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K:\Transfert\2025-12-24\Suivi Tréso\"/>
    </mc:Choice>
  </mc:AlternateContent>
  <xr:revisionPtr revIDLastSave="0" documentId="13_ncr:1_{D5CF82FF-101C-4DF8-9607-1C1FBD9458CB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Trésorerie" sheetId="2" r:id="rId1"/>
    <sheet name="2022" sheetId="3" r:id="rId2"/>
    <sheet name="2023-01" sheetId="6" r:id="rId3"/>
    <sheet name="2023-02" sheetId="7" r:id="rId4"/>
    <sheet name="2023-03" sheetId="8" r:id="rId5"/>
    <sheet name="2023-04" sheetId="10" r:id="rId6"/>
    <sheet name="2023-05" sheetId="13" r:id="rId7"/>
    <sheet name="2023-06" sheetId="14" r:id="rId8"/>
    <sheet name="2023-07" sheetId="16" r:id="rId9"/>
    <sheet name="2023-08" sheetId="17" r:id="rId10"/>
    <sheet name="2023-09" sheetId="18" r:id="rId11"/>
    <sheet name="2023-10" sheetId="19" r:id="rId12"/>
  </sheets>
  <definedNames>
    <definedName name="_xlnm._FilterDatabase" localSheetId="3" hidden="1">'2023-02'!$A$1:$R$1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0" i="2" l="1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Z19" i="2" l="1"/>
  <c r="Y19" i="2"/>
  <c r="X19" i="2"/>
  <c r="W19" i="2"/>
  <c r="V19" i="2"/>
  <c r="U19" i="2"/>
  <c r="T19" i="2"/>
  <c r="S19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Y70" i="2" l="1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5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V34" i="2"/>
  <c r="U34" i="2"/>
  <c r="T34" i="2"/>
  <c r="S34" i="2"/>
  <c r="P34" i="2"/>
  <c r="W71" i="2" l="1"/>
  <c r="W43" i="2"/>
  <c r="E66" i="2"/>
  <c r="F66" i="2"/>
  <c r="G66" i="2"/>
  <c r="H66" i="2"/>
  <c r="I66" i="2"/>
  <c r="J66" i="2"/>
  <c r="K66" i="2"/>
  <c r="L66" i="2"/>
  <c r="M66" i="2"/>
  <c r="N66" i="2"/>
  <c r="O66" i="2"/>
  <c r="P66" i="2"/>
  <c r="S66" i="2"/>
  <c r="T66" i="2"/>
  <c r="U66" i="2"/>
  <c r="V66" i="2"/>
  <c r="E36" i="2"/>
  <c r="F36" i="2"/>
  <c r="G36" i="2"/>
  <c r="H36" i="2"/>
  <c r="I36" i="2"/>
  <c r="J36" i="2"/>
  <c r="K36" i="2"/>
  <c r="L36" i="2"/>
  <c r="M36" i="2"/>
  <c r="N36" i="2"/>
  <c r="O36" i="2"/>
  <c r="P36" i="2"/>
  <c r="S36" i="2"/>
  <c r="T36" i="2"/>
  <c r="U36" i="2"/>
  <c r="V36" i="2"/>
  <c r="E26" i="2"/>
  <c r="F26" i="2"/>
  <c r="G26" i="2"/>
  <c r="H26" i="2"/>
  <c r="I26" i="2"/>
  <c r="J26" i="2"/>
  <c r="K26" i="2"/>
  <c r="L26" i="2"/>
  <c r="M26" i="2"/>
  <c r="N26" i="2"/>
  <c r="O26" i="2"/>
  <c r="P26" i="2"/>
  <c r="S26" i="2"/>
  <c r="T26" i="2"/>
  <c r="U26" i="2"/>
  <c r="V26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20" i="2"/>
  <c r="U21" i="2"/>
  <c r="U22" i="2"/>
  <c r="U23" i="2"/>
  <c r="U24" i="2"/>
  <c r="U25" i="2"/>
  <c r="U27" i="2"/>
  <c r="U28" i="2"/>
  <c r="U29" i="2"/>
  <c r="U30" i="2"/>
  <c r="U31" i="2"/>
  <c r="U32" i="2"/>
  <c r="U33" i="2"/>
  <c r="U35" i="2"/>
  <c r="U37" i="2"/>
  <c r="U38" i="2"/>
  <c r="U39" i="2"/>
  <c r="U40" i="2"/>
  <c r="U41" i="2"/>
  <c r="U42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7" i="2"/>
  <c r="V68" i="2"/>
  <c r="V69" i="2"/>
  <c r="V70" i="2"/>
  <c r="V44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20" i="2"/>
  <c r="V21" i="2"/>
  <c r="V22" i="2"/>
  <c r="V23" i="2"/>
  <c r="V24" i="2"/>
  <c r="V25" i="2"/>
  <c r="V27" i="2"/>
  <c r="V28" i="2"/>
  <c r="V29" i="2"/>
  <c r="V30" i="2"/>
  <c r="V31" i="2"/>
  <c r="V32" i="2"/>
  <c r="V33" i="2"/>
  <c r="V35" i="2"/>
  <c r="V37" i="2"/>
  <c r="V38" i="2"/>
  <c r="V39" i="2"/>
  <c r="V40" i="2"/>
  <c r="V41" i="2"/>
  <c r="V42" i="2"/>
  <c r="V5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7" i="2"/>
  <c r="U68" i="2"/>
  <c r="U69" i="2"/>
  <c r="U70" i="2"/>
  <c r="U44" i="2"/>
  <c r="W72" i="2" l="1"/>
  <c r="A66" i="2"/>
  <c r="A36" i="2"/>
  <c r="A26" i="2"/>
  <c r="U71" i="2"/>
  <c r="U43" i="2"/>
  <c r="T41" i="2"/>
  <c r="S41" i="2"/>
  <c r="P41" i="2"/>
  <c r="O41" i="2"/>
  <c r="N41" i="2"/>
  <c r="M41" i="2"/>
  <c r="L41" i="2"/>
  <c r="K41" i="2"/>
  <c r="J41" i="2"/>
  <c r="I41" i="2"/>
  <c r="H41" i="2"/>
  <c r="G41" i="2"/>
  <c r="F41" i="2"/>
  <c r="E41" i="2"/>
  <c r="T70" i="2"/>
  <c r="T69" i="2"/>
  <c r="T68" i="2"/>
  <c r="T67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2" i="2"/>
  <c r="T40" i="2"/>
  <c r="T39" i="2"/>
  <c r="T38" i="2"/>
  <c r="T37" i="2"/>
  <c r="T35" i="2"/>
  <c r="T33" i="2"/>
  <c r="T32" i="2"/>
  <c r="T31" i="2"/>
  <c r="T30" i="2"/>
  <c r="T29" i="2"/>
  <c r="T28" i="2"/>
  <c r="T27" i="2"/>
  <c r="T25" i="2"/>
  <c r="T24" i="2"/>
  <c r="T23" i="2"/>
  <c r="T22" i="2"/>
  <c r="T21" i="2"/>
  <c r="T20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S35" i="2"/>
  <c r="P35" i="2"/>
  <c r="O35" i="2"/>
  <c r="N35" i="2"/>
  <c r="M35" i="2"/>
  <c r="L35" i="2"/>
  <c r="K35" i="2"/>
  <c r="J35" i="2"/>
  <c r="I35" i="2"/>
  <c r="H35" i="2"/>
  <c r="G35" i="2"/>
  <c r="F35" i="2"/>
  <c r="E35" i="2"/>
  <c r="U72" i="2" l="1"/>
  <c r="A41" i="2"/>
  <c r="T71" i="2"/>
  <c r="T43" i="2"/>
  <c r="A35" i="2"/>
  <c r="T72" i="2" l="1"/>
  <c r="S70" i="2"/>
  <c r="S69" i="2"/>
  <c r="S68" i="2"/>
  <c r="S67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2" i="2"/>
  <c r="S40" i="2"/>
  <c r="S39" i="2"/>
  <c r="S38" i="2"/>
  <c r="S37" i="2"/>
  <c r="S33" i="2"/>
  <c r="S32" i="2"/>
  <c r="S31" i="2"/>
  <c r="S30" i="2"/>
  <c r="S29" i="2"/>
  <c r="S28" i="2"/>
  <c r="S27" i="2"/>
  <c r="S25" i="2"/>
  <c r="S24" i="2"/>
  <c r="S23" i="2"/>
  <c r="S22" i="2"/>
  <c r="S21" i="2"/>
  <c r="S20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71" i="2" l="1"/>
  <c r="S43" i="2"/>
  <c r="R52" i="2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2" i="6"/>
  <c r="R50" i="2" s="1"/>
  <c r="R37" i="2" l="1"/>
  <c r="R8" i="2"/>
  <c r="R48" i="2"/>
  <c r="R33" i="2"/>
  <c r="R24" i="2"/>
  <c r="R15" i="2"/>
  <c r="R7" i="2"/>
  <c r="R63" i="2"/>
  <c r="R55" i="2"/>
  <c r="R47" i="2"/>
  <c r="R16" i="2"/>
  <c r="R56" i="2"/>
  <c r="R32" i="2"/>
  <c r="R23" i="2"/>
  <c r="R14" i="2"/>
  <c r="R6" i="2"/>
  <c r="R62" i="2"/>
  <c r="R54" i="2"/>
  <c r="R46" i="2"/>
  <c r="R25" i="2"/>
  <c r="R64" i="2"/>
  <c r="R5" i="2"/>
  <c r="R31" i="2"/>
  <c r="R22" i="2"/>
  <c r="R13" i="2"/>
  <c r="R44" i="2"/>
  <c r="R61" i="2"/>
  <c r="R53" i="2"/>
  <c r="R45" i="2"/>
  <c r="R30" i="2"/>
  <c r="R60" i="2"/>
  <c r="R40" i="2"/>
  <c r="R29" i="2"/>
  <c r="R20" i="2"/>
  <c r="R11" i="2"/>
  <c r="R68" i="2"/>
  <c r="R59" i="2"/>
  <c r="R51" i="2"/>
  <c r="R42" i="2"/>
  <c r="R21" i="2"/>
  <c r="R12" i="2"/>
  <c r="R39" i="2"/>
  <c r="R28" i="2"/>
  <c r="R18" i="2"/>
  <c r="R10" i="2"/>
  <c r="R67" i="2"/>
  <c r="R58" i="2"/>
  <c r="R19" i="2"/>
  <c r="R34" i="2"/>
  <c r="R26" i="2"/>
  <c r="R36" i="2"/>
  <c r="R66" i="2"/>
  <c r="R41" i="2"/>
  <c r="AB41" i="2" s="1"/>
  <c r="AC41" i="2" s="1"/>
  <c r="R35" i="2"/>
  <c r="R69" i="2"/>
  <c r="R70" i="2"/>
  <c r="R38" i="2"/>
  <c r="R27" i="2"/>
  <c r="R17" i="2"/>
  <c r="R9" i="2"/>
  <c r="R65" i="2"/>
  <c r="R57" i="2"/>
  <c r="R49" i="2"/>
  <c r="S72" i="2"/>
  <c r="Q3" i="2"/>
  <c r="D3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P45" i="2" s="1"/>
  <c r="E18" i="3"/>
  <c r="E19" i="3"/>
  <c r="E20" i="3"/>
  <c r="E21" i="3"/>
  <c r="E22" i="3"/>
  <c r="E23" i="3"/>
  <c r="E24" i="3"/>
  <c r="E25" i="3"/>
  <c r="E26" i="3"/>
  <c r="I44" i="2" s="1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M37" i="2" s="1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2" i="3"/>
  <c r="R71" i="2" l="1"/>
  <c r="AB19" i="2"/>
  <c r="AC19" i="2"/>
  <c r="R43" i="2"/>
  <c r="AB35" i="2"/>
  <c r="AC35" i="2" s="1"/>
  <c r="AB66" i="2"/>
  <c r="AC66" i="2"/>
  <c r="AB36" i="2"/>
  <c r="AC36" i="2" s="1"/>
  <c r="AB26" i="2"/>
  <c r="AC26" i="2"/>
  <c r="O38" i="2"/>
  <c r="F5" i="2"/>
  <c r="G6" i="2"/>
  <c r="O34" i="2"/>
  <c r="G34" i="2"/>
  <c r="K34" i="2"/>
  <c r="E6" i="2"/>
  <c r="N34" i="2"/>
  <c r="F34" i="2"/>
  <c r="M34" i="2"/>
  <c r="E34" i="2"/>
  <c r="L34" i="2"/>
  <c r="I34" i="2"/>
  <c r="J34" i="2"/>
  <c r="H34" i="2"/>
  <c r="M69" i="2"/>
  <c r="E69" i="2"/>
  <c r="L69" i="2"/>
  <c r="N69" i="2"/>
  <c r="K69" i="2"/>
  <c r="I69" i="2"/>
  <c r="J69" i="2"/>
  <c r="F69" i="2"/>
  <c r="P69" i="2"/>
  <c r="H69" i="2"/>
  <c r="O69" i="2"/>
  <c r="G69" i="2"/>
  <c r="E39" i="2"/>
  <c r="O24" i="2"/>
  <c r="R3" i="2"/>
  <c r="S3" i="2" s="1"/>
  <c r="T3" i="2" s="1"/>
  <c r="R72" i="2"/>
  <c r="M46" i="2"/>
  <c r="N50" i="2"/>
  <c r="I59" i="2"/>
  <c r="M64" i="2"/>
  <c r="I11" i="2"/>
  <c r="F21" i="2"/>
  <c r="N32" i="2"/>
  <c r="K44" i="2"/>
  <c r="H45" i="2"/>
  <c r="E46" i="2"/>
  <c r="N46" i="2"/>
  <c r="K47" i="2"/>
  <c r="H48" i="2"/>
  <c r="E49" i="2"/>
  <c r="P49" i="2"/>
  <c r="P50" i="2"/>
  <c r="E52" i="2"/>
  <c r="I53" i="2"/>
  <c r="M54" i="2"/>
  <c r="E56" i="2"/>
  <c r="O57" i="2"/>
  <c r="J59" i="2"/>
  <c r="I61" i="2"/>
  <c r="G63" i="2"/>
  <c r="N64" i="2"/>
  <c r="M67" i="2"/>
  <c r="K70" i="2"/>
  <c r="F6" i="2"/>
  <c r="E8" i="2"/>
  <c r="O9" i="2"/>
  <c r="J11" i="2"/>
  <c r="I13" i="2"/>
  <c r="G15" i="2"/>
  <c r="N16" i="2"/>
  <c r="M18" i="2"/>
  <c r="K21" i="2"/>
  <c r="F23" i="2"/>
  <c r="E25" i="2"/>
  <c r="O27" i="2"/>
  <c r="J29" i="2"/>
  <c r="I31" i="2"/>
  <c r="G33" i="2"/>
  <c r="N37" i="2"/>
  <c r="G40" i="2"/>
  <c r="G13" i="2"/>
  <c r="G31" i="2"/>
  <c r="L44" i="2"/>
  <c r="I45" i="2"/>
  <c r="F46" i="2"/>
  <c r="O46" i="2"/>
  <c r="L47" i="2"/>
  <c r="I48" i="2"/>
  <c r="G49" i="2"/>
  <c r="E50" i="2"/>
  <c r="G51" i="2"/>
  <c r="F52" i="2"/>
  <c r="J53" i="2"/>
  <c r="N54" i="2"/>
  <c r="F56" i="2"/>
  <c r="E58" i="2"/>
  <c r="O59" i="2"/>
  <c r="J61" i="2"/>
  <c r="I63" i="2"/>
  <c r="G65" i="2"/>
  <c r="N67" i="2"/>
  <c r="M70" i="2"/>
  <c r="K6" i="2"/>
  <c r="F8" i="2"/>
  <c r="E10" i="2"/>
  <c r="O11" i="2"/>
  <c r="J13" i="2"/>
  <c r="I15" i="2"/>
  <c r="G17" i="2"/>
  <c r="N18" i="2"/>
  <c r="M21" i="2"/>
  <c r="K23" i="2"/>
  <c r="F25" i="2"/>
  <c r="E28" i="2"/>
  <c r="O29" i="2"/>
  <c r="J31" i="2"/>
  <c r="I33" i="2"/>
  <c r="G38" i="2"/>
  <c r="J40" i="2"/>
  <c r="G48" i="2"/>
  <c r="L54" i="2"/>
  <c r="N62" i="2"/>
  <c r="I29" i="2"/>
  <c r="M44" i="2"/>
  <c r="J45" i="2"/>
  <c r="G46" i="2"/>
  <c r="P46" i="2"/>
  <c r="M47" i="2"/>
  <c r="K48" i="2"/>
  <c r="H49" i="2"/>
  <c r="F50" i="2"/>
  <c r="H51" i="2"/>
  <c r="K52" i="2"/>
  <c r="O53" i="2"/>
  <c r="G55" i="2"/>
  <c r="K56" i="2"/>
  <c r="F58" i="2"/>
  <c r="E60" i="2"/>
  <c r="O61" i="2"/>
  <c r="J63" i="2"/>
  <c r="I65" i="2"/>
  <c r="G68" i="2"/>
  <c r="N70" i="2"/>
  <c r="M6" i="2"/>
  <c r="K8" i="2"/>
  <c r="F10" i="2"/>
  <c r="E12" i="2"/>
  <c r="O13" i="2"/>
  <c r="J15" i="2"/>
  <c r="I17" i="2"/>
  <c r="G20" i="2"/>
  <c r="N21" i="2"/>
  <c r="M23" i="2"/>
  <c r="K25" i="2"/>
  <c r="F28" i="2"/>
  <c r="E30" i="2"/>
  <c r="O31" i="2"/>
  <c r="J33" i="2"/>
  <c r="I38" i="2"/>
  <c r="O40" i="2"/>
  <c r="G45" i="2"/>
  <c r="P48" i="2"/>
  <c r="H53" i="2"/>
  <c r="G61" i="2"/>
  <c r="O7" i="2"/>
  <c r="M16" i="2"/>
  <c r="J27" i="2"/>
  <c r="E44" i="2"/>
  <c r="N44" i="2"/>
  <c r="K45" i="2"/>
  <c r="H46" i="2"/>
  <c r="E47" i="2"/>
  <c r="O47" i="2"/>
  <c r="L48" i="2"/>
  <c r="I49" i="2"/>
  <c r="H50" i="2"/>
  <c r="I51" i="2"/>
  <c r="L52" i="2"/>
  <c r="P53" i="2"/>
  <c r="H55" i="2"/>
  <c r="M56" i="2"/>
  <c r="K58" i="2"/>
  <c r="F60" i="2"/>
  <c r="E62" i="2"/>
  <c r="O63" i="2"/>
  <c r="J65" i="2"/>
  <c r="I68" i="2"/>
  <c r="G5" i="2"/>
  <c r="N6" i="2"/>
  <c r="M8" i="2"/>
  <c r="K10" i="2"/>
  <c r="F12" i="2"/>
  <c r="E14" i="2"/>
  <c r="O15" i="2"/>
  <c r="J17" i="2"/>
  <c r="I20" i="2"/>
  <c r="G22" i="2"/>
  <c r="N23" i="2"/>
  <c r="M25" i="2"/>
  <c r="K28" i="2"/>
  <c r="F30" i="2"/>
  <c r="E32" i="2"/>
  <c r="O33" i="2"/>
  <c r="J38" i="2"/>
  <c r="F42" i="2"/>
  <c r="O49" i="2"/>
  <c r="P55" i="2"/>
  <c r="K67" i="2"/>
  <c r="J9" i="2"/>
  <c r="K18" i="2"/>
  <c r="E23" i="2"/>
  <c r="F44" i="2"/>
  <c r="O44" i="2"/>
  <c r="L45" i="2"/>
  <c r="I46" i="2"/>
  <c r="G47" i="2"/>
  <c r="P47" i="2"/>
  <c r="M48" i="2"/>
  <c r="J49" i="2"/>
  <c r="K50" i="2"/>
  <c r="J51" i="2"/>
  <c r="M52" i="2"/>
  <c r="E54" i="2"/>
  <c r="I55" i="2"/>
  <c r="N56" i="2"/>
  <c r="M58" i="2"/>
  <c r="K60" i="2"/>
  <c r="F62" i="2"/>
  <c r="E64" i="2"/>
  <c r="O65" i="2"/>
  <c r="J68" i="2"/>
  <c r="I5" i="2"/>
  <c r="G7" i="2"/>
  <c r="N8" i="2"/>
  <c r="M10" i="2"/>
  <c r="K12" i="2"/>
  <c r="F14" i="2"/>
  <c r="E16" i="2"/>
  <c r="O17" i="2"/>
  <c r="J20" i="2"/>
  <c r="I22" i="2"/>
  <c r="G24" i="2"/>
  <c r="N25" i="2"/>
  <c r="M28" i="2"/>
  <c r="K30" i="2"/>
  <c r="F32" i="2"/>
  <c r="E37" i="2"/>
  <c r="J47" i="2"/>
  <c r="P51" i="2"/>
  <c r="J57" i="2"/>
  <c r="F70" i="2"/>
  <c r="N14" i="2"/>
  <c r="M42" i="2"/>
  <c r="E42" i="2"/>
  <c r="I40" i="2"/>
  <c r="M39" i="2"/>
  <c r="L42" i="2"/>
  <c r="P40" i="2"/>
  <c r="H40" i="2"/>
  <c r="L39" i="2"/>
  <c r="P38" i="2"/>
  <c r="H38" i="2"/>
  <c r="L37" i="2"/>
  <c r="P33" i="2"/>
  <c r="H33" i="2"/>
  <c r="L32" i="2"/>
  <c r="P31" i="2"/>
  <c r="H31" i="2"/>
  <c r="L30" i="2"/>
  <c r="P29" i="2"/>
  <c r="H29" i="2"/>
  <c r="L28" i="2"/>
  <c r="P27" i="2"/>
  <c r="H27" i="2"/>
  <c r="L25" i="2"/>
  <c r="P24" i="2"/>
  <c r="H24" i="2"/>
  <c r="L23" i="2"/>
  <c r="P22" i="2"/>
  <c r="H22" i="2"/>
  <c r="L21" i="2"/>
  <c r="P20" i="2"/>
  <c r="H20" i="2"/>
  <c r="L18" i="2"/>
  <c r="P17" i="2"/>
  <c r="H17" i="2"/>
  <c r="L16" i="2"/>
  <c r="P15" i="2"/>
  <c r="H15" i="2"/>
  <c r="L14" i="2"/>
  <c r="P13" i="2"/>
  <c r="H13" i="2"/>
  <c r="L12" i="2"/>
  <c r="P11" i="2"/>
  <c r="H11" i="2"/>
  <c r="L10" i="2"/>
  <c r="P9" i="2"/>
  <c r="H9" i="2"/>
  <c r="L8" i="2"/>
  <c r="P7" i="2"/>
  <c r="H7" i="2"/>
  <c r="L6" i="2"/>
  <c r="P5" i="2"/>
  <c r="H5" i="2"/>
  <c r="L70" i="2"/>
  <c r="P68" i="2"/>
  <c r="H68" i="2"/>
  <c r="L67" i="2"/>
  <c r="P65" i="2"/>
  <c r="H65" i="2"/>
  <c r="L64" i="2"/>
  <c r="P63" i="2"/>
  <c r="H63" i="2"/>
  <c r="L62" i="2"/>
  <c r="P61" i="2"/>
  <c r="H61" i="2"/>
  <c r="L60" i="2"/>
  <c r="P59" i="2"/>
  <c r="H59" i="2"/>
  <c r="L58" i="2"/>
  <c r="P57" i="2"/>
  <c r="H57" i="2"/>
  <c r="L56" i="2"/>
  <c r="K42" i="2"/>
  <c r="J42" i="2"/>
  <c r="N40" i="2"/>
  <c r="F40" i="2"/>
  <c r="J39" i="2"/>
  <c r="N38" i="2"/>
  <c r="F38" i="2"/>
  <c r="J37" i="2"/>
  <c r="N33" i="2"/>
  <c r="F33" i="2"/>
  <c r="J32" i="2"/>
  <c r="N31" i="2"/>
  <c r="F31" i="2"/>
  <c r="J30" i="2"/>
  <c r="N29" i="2"/>
  <c r="F29" i="2"/>
  <c r="J28" i="2"/>
  <c r="N27" i="2"/>
  <c r="F27" i="2"/>
  <c r="J25" i="2"/>
  <c r="N24" i="2"/>
  <c r="F24" i="2"/>
  <c r="J23" i="2"/>
  <c r="N22" i="2"/>
  <c r="F22" i="2"/>
  <c r="J21" i="2"/>
  <c r="N20" i="2"/>
  <c r="F20" i="2"/>
  <c r="J18" i="2"/>
  <c r="N17" i="2"/>
  <c r="F17" i="2"/>
  <c r="J16" i="2"/>
  <c r="N15" i="2"/>
  <c r="F15" i="2"/>
  <c r="J14" i="2"/>
  <c r="N13" i="2"/>
  <c r="F13" i="2"/>
  <c r="J12" i="2"/>
  <c r="N11" i="2"/>
  <c r="F11" i="2"/>
  <c r="J10" i="2"/>
  <c r="N9" i="2"/>
  <c r="F9" i="2"/>
  <c r="J8" i="2"/>
  <c r="N7" i="2"/>
  <c r="F7" i="2"/>
  <c r="J6" i="2"/>
  <c r="N5" i="2"/>
  <c r="J70" i="2"/>
  <c r="N68" i="2"/>
  <c r="F68" i="2"/>
  <c r="J67" i="2"/>
  <c r="N65" i="2"/>
  <c r="F65" i="2"/>
  <c r="J64" i="2"/>
  <c r="N63" i="2"/>
  <c r="F63" i="2"/>
  <c r="J62" i="2"/>
  <c r="N61" i="2"/>
  <c r="F61" i="2"/>
  <c r="J60" i="2"/>
  <c r="N59" i="2"/>
  <c r="F59" i="2"/>
  <c r="J58" i="2"/>
  <c r="N57" i="2"/>
  <c r="F57" i="2"/>
  <c r="J56" i="2"/>
  <c r="N55" i="2"/>
  <c r="F55" i="2"/>
  <c r="J54" i="2"/>
  <c r="N53" i="2"/>
  <c r="F53" i="2"/>
  <c r="J52" i="2"/>
  <c r="N51" i="2"/>
  <c r="F51" i="2"/>
  <c r="J50" i="2"/>
  <c r="N49" i="2"/>
  <c r="F49" i="2"/>
  <c r="J48" i="2"/>
  <c r="N47" i="2"/>
  <c r="F47" i="2"/>
  <c r="J46" i="2"/>
  <c r="N45" i="2"/>
  <c r="F45" i="2"/>
  <c r="J44" i="2"/>
  <c r="I42" i="2"/>
  <c r="M40" i="2"/>
  <c r="E40" i="2"/>
  <c r="I39" i="2"/>
  <c r="M38" i="2"/>
  <c r="E38" i="2"/>
  <c r="I37" i="2"/>
  <c r="M33" i="2"/>
  <c r="E33" i="2"/>
  <c r="AB33" i="2" s="1"/>
  <c r="AC33" i="2" s="1"/>
  <c r="I32" i="2"/>
  <c r="M31" i="2"/>
  <c r="E31" i="2"/>
  <c r="I30" i="2"/>
  <c r="M29" i="2"/>
  <c r="E29" i="2"/>
  <c r="I28" i="2"/>
  <c r="M27" i="2"/>
  <c r="E27" i="2"/>
  <c r="I25" i="2"/>
  <c r="M24" i="2"/>
  <c r="E24" i="2"/>
  <c r="I23" i="2"/>
  <c r="M22" i="2"/>
  <c r="E22" i="2"/>
  <c r="I21" i="2"/>
  <c r="M20" i="2"/>
  <c r="E20" i="2"/>
  <c r="I18" i="2"/>
  <c r="M17" i="2"/>
  <c r="E17" i="2"/>
  <c r="I16" i="2"/>
  <c r="M15" i="2"/>
  <c r="E15" i="2"/>
  <c r="I14" i="2"/>
  <c r="M13" i="2"/>
  <c r="E13" i="2"/>
  <c r="I12" i="2"/>
  <c r="M11" i="2"/>
  <c r="E11" i="2"/>
  <c r="I10" i="2"/>
  <c r="M9" i="2"/>
  <c r="E9" i="2"/>
  <c r="I8" i="2"/>
  <c r="M7" i="2"/>
  <c r="E7" i="2"/>
  <c r="I6" i="2"/>
  <c r="M5" i="2"/>
  <c r="E5" i="2"/>
  <c r="I70" i="2"/>
  <c r="M68" i="2"/>
  <c r="E68" i="2"/>
  <c r="I67" i="2"/>
  <c r="M65" i="2"/>
  <c r="E65" i="2"/>
  <c r="I64" i="2"/>
  <c r="M63" i="2"/>
  <c r="E63" i="2"/>
  <c r="I62" i="2"/>
  <c r="M61" i="2"/>
  <c r="E61" i="2"/>
  <c r="I60" i="2"/>
  <c r="M59" i="2"/>
  <c r="E59" i="2"/>
  <c r="I58" i="2"/>
  <c r="M57" i="2"/>
  <c r="E57" i="2"/>
  <c r="I56" i="2"/>
  <c r="M55" i="2"/>
  <c r="E55" i="2"/>
  <c r="I54" i="2"/>
  <c r="M53" i="2"/>
  <c r="E53" i="2"/>
  <c r="I52" i="2"/>
  <c r="M51" i="2"/>
  <c r="E51" i="2"/>
  <c r="I50" i="2"/>
  <c r="M49" i="2"/>
  <c r="P42" i="2"/>
  <c r="H42" i="2"/>
  <c r="L40" i="2"/>
  <c r="P39" i="2"/>
  <c r="H39" i="2"/>
  <c r="L38" i="2"/>
  <c r="P37" i="2"/>
  <c r="H37" i="2"/>
  <c r="L33" i="2"/>
  <c r="P32" i="2"/>
  <c r="H32" i="2"/>
  <c r="L31" i="2"/>
  <c r="P30" i="2"/>
  <c r="H30" i="2"/>
  <c r="L29" i="2"/>
  <c r="P28" i="2"/>
  <c r="H28" i="2"/>
  <c r="L27" i="2"/>
  <c r="P25" i="2"/>
  <c r="H25" i="2"/>
  <c r="L24" i="2"/>
  <c r="P23" i="2"/>
  <c r="H23" i="2"/>
  <c r="L22" i="2"/>
  <c r="P21" i="2"/>
  <c r="H21" i="2"/>
  <c r="L20" i="2"/>
  <c r="P18" i="2"/>
  <c r="H18" i="2"/>
  <c r="L17" i="2"/>
  <c r="P16" i="2"/>
  <c r="H16" i="2"/>
  <c r="L15" i="2"/>
  <c r="P14" i="2"/>
  <c r="H14" i="2"/>
  <c r="L13" i="2"/>
  <c r="P12" i="2"/>
  <c r="H12" i="2"/>
  <c r="L11" i="2"/>
  <c r="P10" i="2"/>
  <c r="H10" i="2"/>
  <c r="L9" i="2"/>
  <c r="P8" i="2"/>
  <c r="H8" i="2"/>
  <c r="L7" i="2"/>
  <c r="P6" i="2"/>
  <c r="H6" i="2"/>
  <c r="L5" i="2"/>
  <c r="P70" i="2"/>
  <c r="H70" i="2"/>
  <c r="L68" i="2"/>
  <c r="P67" i="2"/>
  <c r="H67" i="2"/>
  <c r="L65" i="2"/>
  <c r="P64" i="2"/>
  <c r="H64" i="2"/>
  <c r="L63" i="2"/>
  <c r="P62" i="2"/>
  <c r="H62" i="2"/>
  <c r="L61" i="2"/>
  <c r="P60" i="2"/>
  <c r="H60" i="2"/>
  <c r="L59" i="2"/>
  <c r="P58" i="2"/>
  <c r="H58" i="2"/>
  <c r="L57" i="2"/>
  <c r="P56" i="2"/>
  <c r="H56" i="2"/>
  <c r="L55" i="2"/>
  <c r="P54" i="2"/>
  <c r="H54" i="2"/>
  <c r="L53" i="2"/>
  <c r="P52" i="2"/>
  <c r="H52" i="2"/>
  <c r="O42" i="2"/>
  <c r="G42" i="2"/>
  <c r="K40" i="2"/>
  <c r="O39" i="2"/>
  <c r="G39" i="2"/>
  <c r="K38" i="2"/>
  <c r="O37" i="2"/>
  <c r="G37" i="2"/>
  <c r="K33" i="2"/>
  <c r="O32" i="2"/>
  <c r="G32" i="2"/>
  <c r="K31" i="2"/>
  <c r="O30" i="2"/>
  <c r="G30" i="2"/>
  <c r="K29" i="2"/>
  <c r="O28" i="2"/>
  <c r="G28" i="2"/>
  <c r="K27" i="2"/>
  <c r="O25" i="2"/>
  <c r="G25" i="2"/>
  <c r="K24" i="2"/>
  <c r="O23" i="2"/>
  <c r="G23" i="2"/>
  <c r="K22" i="2"/>
  <c r="O21" i="2"/>
  <c r="G21" i="2"/>
  <c r="K20" i="2"/>
  <c r="O18" i="2"/>
  <c r="G18" i="2"/>
  <c r="K17" i="2"/>
  <c r="O16" i="2"/>
  <c r="G16" i="2"/>
  <c r="K15" i="2"/>
  <c r="O14" i="2"/>
  <c r="G14" i="2"/>
  <c r="K13" i="2"/>
  <c r="O12" i="2"/>
  <c r="G12" i="2"/>
  <c r="K11" i="2"/>
  <c r="O10" i="2"/>
  <c r="G10" i="2"/>
  <c r="K9" i="2"/>
  <c r="O8" i="2"/>
  <c r="G8" i="2"/>
  <c r="K7" i="2"/>
  <c r="O6" i="2"/>
  <c r="K5" i="2"/>
  <c r="O70" i="2"/>
  <c r="G70" i="2"/>
  <c r="K68" i="2"/>
  <c r="O67" i="2"/>
  <c r="G67" i="2"/>
  <c r="K65" i="2"/>
  <c r="O64" i="2"/>
  <c r="G64" i="2"/>
  <c r="K63" i="2"/>
  <c r="O62" i="2"/>
  <c r="G62" i="2"/>
  <c r="K61" i="2"/>
  <c r="O60" i="2"/>
  <c r="G60" i="2"/>
  <c r="K59" i="2"/>
  <c r="O58" i="2"/>
  <c r="G58" i="2"/>
  <c r="K57" i="2"/>
  <c r="O56" i="2"/>
  <c r="G56" i="2"/>
  <c r="K55" i="2"/>
  <c r="O54" i="2"/>
  <c r="G54" i="2"/>
  <c r="K53" i="2"/>
  <c r="O52" i="2"/>
  <c r="G52" i="2"/>
  <c r="K51" i="2"/>
  <c r="O50" i="2"/>
  <c r="G50" i="2"/>
  <c r="N42" i="2"/>
  <c r="G44" i="2"/>
  <c r="P44" i="2"/>
  <c r="M45" i="2"/>
  <c r="K46" i="2"/>
  <c r="H47" i="2"/>
  <c r="E48" i="2"/>
  <c r="N48" i="2"/>
  <c r="K49" i="2"/>
  <c r="L50" i="2"/>
  <c r="L51" i="2"/>
  <c r="N52" i="2"/>
  <c r="F54" i="2"/>
  <c r="J55" i="2"/>
  <c r="G57" i="2"/>
  <c r="N58" i="2"/>
  <c r="M60" i="2"/>
  <c r="K62" i="2"/>
  <c r="F64" i="2"/>
  <c r="E67" i="2"/>
  <c r="O68" i="2"/>
  <c r="J5" i="2"/>
  <c r="I7" i="2"/>
  <c r="G9" i="2"/>
  <c r="N10" i="2"/>
  <c r="M12" i="2"/>
  <c r="K14" i="2"/>
  <c r="F16" i="2"/>
  <c r="E18" i="2"/>
  <c r="O20" i="2"/>
  <c r="J22" i="2"/>
  <c r="I24" i="2"/>
  <c r="G27" i="2"/>
  <c r="N28" i="2"/>
  <c r="M30" i="2"/>
  <c r="K32" i="2"/>
  <c r="F37" i="2"/>
  <c r="F39" i="2"/>
  <c r="H44" i="2"/>
  <c r="E45" i="2"/>
  <c r="O45" i="2"/>
  <c r="L46" i="2"/>
  <c r="I47" i="2"/>
  <c r="F48" i="2"/>
  <c r="O48" i="2"/>
  <c r="L49" i="2"/>
  <c r="M50" i="2"/>
  <c r="O51" i="2"/>
  <c r="G53" i="2"/>
  <c r="K54" i="2"/>
  <c r="O55" i="2"/>
  <c r="I57" i="2"/>
  <c r="G59" i="2"/>
  <c r="N60" i="2"/>
  <c r="M62" i="2"/>
  <c r="K64" i="2"/>
  <c r="F67" i="2"/>
  <c r="E70" i="2"/>
  <c r="O5" i="2"/>
  <c r="J7" i="2"/>
  <c r="I9" i="2"/>
  <c r="G11" i="2"/>
  <c r="N12" i="2"/>
  <c r="M14" i="2"/>
  <c r="K16" i="2"/>
  <c r="F18" i="2"/>
  <c r="E21" i="2"/>
  <c r="O22" i="2"/>
  <c r="J24" i="2"/>
  <c r="I27" i="2"/>
  <c r="G29" i="2"/>
  <c r="N30" i="2"/>
  <c r="M32" i="2"/>
  <c r="K37" i="2"/>
  <c r="K39" i="2"/>
  <c r="N39" i="2"/>
  <c r="AB8" i="2" l="1"/>
  <c r="AC8" i="2"/>
  <c r="AB53" i="2"/>
  <c r="AC53" i="2" s="1"/>
  <c r="AB5" i="2"/>
  <c r="AC5" i="2" s="1"/>
  <c r="AB22" i="2"/>
  <c r="AC22" i="2"/>
  <c r="AB62" i="2"/>
  <c r="AC62" i="2" s="1"/>
  <c r="AB44" i="2"/>
  <c r="AB58" i="2"/>
  <c r="AC58" i="2"/>
  <c r="AB56" i="2"/>
  <c r="AC56" i="2" s="1"/>
  <c r="AB34" i="2"/>
  <c r="AC34" i="2"/>
  <c r="AC59" i="2"/>
  <c r="AB59" i="2"/>
  <c r="AB11" i="2"/>
  <c r="AC11" i="2"/>
  <c r="AB29" i="2"/>
  <c r="AC29" i="2" s="1"/>
  <c r="AB37" i="2"/>
  <c r="AC37" i="2" s="1"/>
  <c r="AB54" i="2"/>
  <c r="AC54" i="2" s="1"/>
  <c r="AC15" i="2"/>
  <c r="AB15" i="2"/>
  <c r="AB39" i="2"/>
  <c r="AC39" i="2"/>
  <c r="AB65" i="2"/>
  <c r="AC65" i="2" s="1"/>
  <c r="AB17" i="2"/>
  <c r="AC17" i="2" s="1"/>
  <c r="AB38" i="2"/>
  <c r="AC38" i="2" s="1"/>
  <c r="AB42" i="2"/>
  <c r="AC42" i="2" s="1"/>
  <c r="AB16" i="2"/>
  <c r="AC16" i="2"/>
  <c r="AB46" i="2"/>
  <c r="AC46" i="2" s="1"/>
  <c r="AB69" i="2"/>
  <c r="AC69" i="2" s="1"/>
  <c r="AB55" i="2"/>
  <c r="AC55" i="2"/>
  <c r="AB7" i="2"/>
  <c r="AC7" i="2" s="1"/>
  <c r="AB24" i="2"/>
  <c r="AC24" i="2" s="1"/>
  <c r="AB64" i="2"/>
  <c r="AC64" i="2" s="1"/>
  <c r="AB52" i="2"/>
  <c r="AC52" i="2" s="1"/>
  <c r="AB10" i="2"/>
  <c r="AC10" i="2"/>
  <c r="AB61" i="2"/>
  <c r="AC61" i="2" s="1"/>
  <c r="AB13" i="2"/>
  <c r="AC13" i="2" s="1"/>
  <c r="AB31" i="2"/>
  <c r="AC31" i="2"/>
  <c r="AB47" i="2"/>
  <c r="AC47" i="2" s="1"/>
  <c r="AB30" i="2"/>
  <c r="AC30" i="2"/>
  <c r="AB6" i="2"/>
  <c r="AC6" i="2" s="1"/>
  <c r="AB63" i="2"/>
  <c r="AC63" i="2"/>
  <c r="AB14" i="2"/>
  <c r="AC14" i="2"/>
  <c r="AB18" i="2"/>
  <c r="AC18" i="2"/>
  <c r="AC67" i="2"/>
  <c r="AB67" i="2"/>
  <c r="AB21" i="2"/>
  <c r="AC21" i="2" s="1"/>
  <c r="AB45" i="2"/>
  <c r="AC45" i="2" s="1"/>
  <c r="AB51" i="2"/>
  <c r="AC51" i="2"/>
  <c r="AB68" i="2"/>
  <c r="AC68" i="2" s="1"/>
  <c r="AB20" i="2"/>
  <c r="AC20" i="2"/>
  <c r="AB40" i="2"/>
  <c r="AC40" i="2" s="1"/>
  <c r="AB23" i="2"/>
  <c r="AC23" i="2" s="1"/>
  <c r="AB12" i="2"/>
  <c r="AC12" i="2" s="1"/>
  <c r="AB48" i="2"/>
  <c r="AC48" i="2" s="1"/>
  <c r="AB57" i="2"/>
  <c r="AC57" i="2" s="1"/>
  <c r="AB9" i="2"/>
  <c r="AC9" i="2" s="1"/>
  <c r="AB27" i="2"/>
  <c r="AC27" i="2" s="1"/>
  <c r="AB32" i="2"/>
  <c r="AC32" i="2"/>
  <c r="AB60" i="2"/>
  <c r="AC60" i="2" s="1"/>
  <c r="AB28" i="2"/>
  <c r="AC28" i="2" s="1"/>
  <c r="AB50" i="2"/>
  <c r="AC50" i="2" s="1"/>
  <c r="AB25" i="2"/>
  <c r="AC25" i="2" s="1"/>
  <c r="AB49" i="2"/>
  <c r="AC49" i="2" s="1"/>
  <c r="A34" i="2"/>
  <c r="A69" i="2"/>
  <c r="A6" i="2"/>
  <c r="A49" i="2"/>
  <c r="A29" i="2"/>
  <c r="A10" i="2"/>
  <c r="A44" i="2"/>
  <c r="A52" i="2"/>
  <c r="A22" i="2"/>
  <c r="I71" i="2"/>
  <c r="A64" i="2"/>
  <c r="A12" i="2"/>
  <c r="A37" i="2"/>
  <c r="A18" i="2"/>
  <c r="A54" i="2"/>
  <c r="A46" i="2"/>
  <c r="A5" i="2"/>
  <c r="G43" i="2"/>
  <c r="A70" i="2"/>
  <c r="K43" i="2"/>
  <c r="O43" i="2"/>
  <c r="A42" i="2"/>
  <c r="A56" i="2"/>
  <c r="H43" i="2"/>
  <c r="L43" i="2"/>
  <c r="P43" i="2"/>
  <c r="A25" i="2"/>
  <c r="A63" i="2"/>
  <c r="M43" i="2"/>
  <c r="A15" i="2"/>
  <c r="A33" i="2"/>
  <c r="F71" i="2"/>
  <c r="J71" i="2"/>
  <c r="N71" i="2"/>
  <c r="F43" i="2"/>
  <c r="A14" i="2"/>
  <c r="A24" i="2"/>
  <c r="N43" i="2"/>
  <c r="A58" i="2"/>
  <c r="M71" i="2"/>
  <c r="L71" i="2"/>
  <c r="P71" i="2"/>
  <c r="A60" i="2"/>
  <c r="A28" i="2"/>
  <c r="A50" i="2"/>
  <c r="O71" i="2"/>
  <c r="A39" i="2"/>
  <c r="A53" i="2"/>
  <c r="J43" i="2"/>
  <c r="A55" i="2"/>
  <c r="A7" i="2"/>
  <c r="A16" i="2"/>
  <c r="H71" i="2"/>
  <c r="I43" i="2"/>
  <c r="A48" i="2"/>
  <c r="A51" i="2"/>
  <c r="A68" i="2"/>
  <c r="A20" i="2"/>
  <c r="A40" i="2"/>
  <c r="A47" i="2"/>
  <c r="A30" i="2"/>
  <c r="A21" i="2"/>
  <c r="A67" i="2"/>
  <c r="A65" i="2"/>
  <c r="A23" i="2"/>
  <c r="A38" i="2"/>
  <c r="A62" i="2"/>
  <c r="A9" i="2"/>
  <c r="A27" i="2"/>
  <c r="A45" i="2"/>
  <c r="A57" i="2"/>
  <c r="A59" i="2"/>
  <c r="A31" i="2"/>
  <c r="A61" i="2"/>
  <c r="A32" i="2"/>
  <c r="E43" i="2"/>
  <c r="G71" i="2"/>
  <c r="A17" i="2"/>
  <c r="A8" i="2"/>
  <c r="A13" i="2"/>
  <c r="K71" i="2"/>
  <c r="A11" i="2"/>
  <c r="E71" i="2"/>
  <c r="AC44" i="2" l="1"/>
  <c r="AC71" i="2" s="1"/>
  <c r="AB71" i="2"/>
  <c r="U3" i="2"/>
  <c r="O72" i="2"/>
  <c r="I72" i="2"/>
  <c r="F72" i="2"/>
  <c r="P72" i="2"/>
  <c r="M72" i="2"/>
  <c r="K72" i="2"/>
  <c r="G72" i="2"/>
  <c r="N72" i="2"/>
  <c r="L72" i="2"/>
  <c r="H72" i="2"/>
  <c r="J72" i="2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E72" i="2"/>
  <c r="V43" i="2" l="1"/>
  <c r="V71" i="2"/>
  <c r="V3" i="2" l="1"/>
  <c r="V72" i="2"/>
  <c r="X71" i="2"/>
  <c r="W3" i="2" l="1"/>
  <c r="X43" i="2"/>
  <c r="X72" i="2" s="1"/>
  <c r="Y71" i="2"/>
  <c r="AA71" i="2" l="1"/>
  <c r="Z71" i="2"/>
  <c r="Y43" i="2"/>
  <c r="X3" i="2"/>
  <c r="Y72" i="2" l="1"/>
  <c r="Y3" i="2"/>
  <c r="AA43" i="2"/>
  <c r="AA72" i="2" s="1"/>
  <c r="Z43" i="2"/>
  <c r="Z72" i="2" s="1"/>
  <c r="Z3" i="2" l="1"/>
  <c r="AA3" i="2" s="1"/>
  <c r="AC43" i="2"/>
  <c r="AC72" i="2" s="1"/>
  <c r="AB43" i="2"/>
  <c r="AB72" i="2" s="1"/>
  <c r="AB3" i="2" l="1"/>
  <c r="AC3" i="2" s="1"/>
  <c r="AD3" i="2" s="1"/>
  <c r="AE3" i="2" s="1"/>
  <c r="AF3" i="2" s="1"/>
  <c r="AG3" i="2" s="1"/>
</calcChain>
</file>

<file path=xl/sharedStrings.xml><?xml version="1.0" encoding="utf-8"?>
<sst xmlns="http://schemas.openxmlformats.org/spreadsheetml/2006/main" count="74532" uniqueCount="7723">
  <si>
    <t>JournalCode</t>
  </si>
  <si>
    <t>JournalLib</t>
  </si>
  <si>
    <t>EcritureNum</t>
  </si>
  <si>
    <t>EcritureDate</t>
  </si>
  <si>
    <t>CompteNum</t>
  </si>
  <si>
    <t>CompteLib</t>
  </si>
  <si>
    <t>CompAuxNum</t>
  </si>
  <si>
    <t>CompAuxLib</t>
  </si>
  <si>
    <t>PieceRef</t>
  </si>
  <si>
    <t>PieceDate</t>
  </si>
  <si>
    <t>EcritureLib</t>
  </si>
  <si>
    <t>Debit</t>
  </si>
  <si>
    <t>Credit</t>
  </si>
  <si>
    <t>EcritureLet</t>
  </si>
  <si>
    <t>DateLet</t>
  </si>
  <si>
    <t>ValidDate</t>
  </si>
  <si>
    <t>Montantdevise</t>
  </si>
  <si>
    <t>Idevise</t>
  </si>
  <si>
    <t xml:space="preserve">COMPTE GESTION ADHERENTS                </t>
  </si>
  <si>
    <t xml:space="preserve">  </t>
  </si>
  <si>
    <t xml:space="preserve">        </t>
  </si>
  <si>
    <t xml:space="preserve">COLLECTIF CLIENTS DIVERS                </t>
  </si>
  <si>
    <t>LA</t>
  </si>
  <si>
    <t>LM</t>
  </si>
  <si>
    <t xml:space="preserve">BOUDADI   </t>
  </si>
  <si>
    <t xml:space="preserve">BOUDADI RACHID                          </t>
  </si>
  <si>
    <t xml:space="preserve">COMBE     </t>
  </si>
  <si>
    <t xml:space="preserve">COMBE DOMINIQUE                         </t>
  </si>
  <si>
    <t xml:space="preserve">DANIAL    </t>
  </si>
  <si>
    <t xml:space="preserve">DANIAL ZAHARIA                          </t>
  </si>
  <si>
    <t xml:space="preserve">COLLECTIF CLIENTS GRIBOUILLE            </t>
  </si>
  <si>
    <t xml:space="preserve">ER        </t>
  </si>
  <si>
    <t xml:space="preserve">ER EMRULLAH                             </t>
  </si>
  <si>
    <t xml:space="preserve">IBRAHIM   </t>
  </si>
  <si>
    <t xml:space="preserve">IBRAHIM NOORA                           </t>
  </si>
  <si>
    <t xml:space="preserve">KHELOUF   </t>
  </si>
  <si>
    <t xml:space="preserve">KHELOUF FATIMA ZOHRA                    </t>
  </si>
  <si>
    <t xml:space="preserve">LUCAS     </t>
  </si>
  <si>
    <t xml:space="preserve">LUCAS CLEMENT                           </t>
  </si>
  <si>
    <t xml:space="preserve">SERIN     </t>
  </si>
  <si>
    <t xml:space="preserve">SERIN ELISA                             </t>
  </si>
  <si>
    <t xml:space="preserve">COLLECTIF FOURNISSEURS                  </t>
  </si>
  <si>
    <t xml:space="preserve">ALTER     </t>
  </si>
  <si>
    <t xml:space="preserve">ALTER INFO                              </t>
  </si>
  <si>
    <t xml:space="preserve">AST       </t>
  </si>
  <si>
    <t xml:space="preserve">MEDECINE DU TRAVAIL                     </t>
  </si>
  <si>
    <t xml:space="preserve">COURRI    </t>
  </si>
  <si>
    <t xml:space="preserve">COURRIERS RHODANIENS                    </t>
  </si>
  <si>
    <t xml:space="preserve">LSA       </t>
  </si>
  <si>
    <t xml:space="preserve">LSA  - GROUPEMENT EMPLOYEURS            </t>
  </si>
  <si>
    <t xml:space="preserve">MELLIER   </t>
  </si>
  <si>
    <t xml:space="preserve">MELLIER                                 </t>
  </si>
  <si>
    <t xml:space="preserve">ORANGE    </t>
  </si>
  <si>
    <t xml:space="preserve">ORANGE                                  </t>
  </si>
  <si>
    <t xml:space="preserve">PICHON    </t>
  </si>
  <si>
    <t xml:space="preserve">PICHON PAPETERIES                       </t>
  </si>
  <si>
    <t xml:space="preserve">RPC       </t>
  </si>
  <si>
    <t xml:space="preserve">RPC                                     </t>
  </si>
  <si>
    <t xml:space="preserve">WESCO     </t>
  </si>
  <si>
    <t xml:space="preserve">WESCO                                   </t>
  </si>
  <si>
    <t xml:space="preserve">BOUBEKA   </t>
  </si>
  <si>
    <t xml:space="preserve">AUZAS     </t>
  </si>
  <si>
    <t xml:space="preserve">AUZAS BRIGITTE                          </t>
  </si>
  <si>
    <t xml:space="preserve">DUTRUC    </t>
  </si>
  <si>
    <t xml:space="preserve">DUTRUC MARIE HELENE                     </t>
  </si>
  <si>
    <t xml:space="preserve">MATJABO   </t>
  </si>
  <si>
    <t xml:space="preserve">MATJABO TOUA MADELEINE                  </t>
  </si>
  <si>
    <t xml:space="preserve">CELLULOSE </t>
  </si>
  <si>
    <t xml:space="preserve">CELLULOSE DE BROCELIANDE                </t>
  </si>
  <si>
    <t xml:space="preserve">VILLE     </t>
  </si>
  <si>
    <t xml:space="preserve">VILLE DE VILLEURBANNE                   </t>
  </si>
  <si>
    <t xml:space="preserve">PLG       </t>
  </si>
  <si>
    <t xml:space="preserve">PLG PIERRE LEGOFF                       </t>
  </si>
  <si>
    <t xml:space="preserve">ZEKRI     </t>
  </si>
  <si>
    <t xml:space="preserve">ZEKRI SABRI                             </t>
  </si>
  <si>
    <t xml:space="preserve">APPEL     </t>
  </si>
  <si>
    <t xml:space="preserve">APPEL MEDICAL                           </t>
  </si>
  <si>
    <t xml:space="preserve">KHALFA    </t>
  </si>
  <si>
    <t xml:space="preserve">KHALFA SIMARD LOIS                      </t>
  </si>
  <si>
    <t xml:space="preserve">AMRAOUI   </t>
  </si>
  <si>
    <t xml:space="preserve">AMRAOUI RATIBA                          </t>
  </si>
  <si>
    <t xml:space="preserve">BENMAZOUZ </t>
  </si>
  <si>
    <t xml:space="preserve">BENMAZOUZ CHELHA                        </t>
  </si>
  <si>
    <t xml:space="preserve">FOURNIER  </t>
  </si>
  <si>
    <t xml:space="preserve">FOURNIER ANNE                           </t>
  </si>
  <si>
    <t>ABDELKADER</t>
  </si>
  <si>
    <t xml:space="preserve">ABDELKADER SAMIR                        </t>
  </si>
  <si>
    <t xml:space="preserve">COLLECTIF CLIENTS BABILHOME             </t>
  </si>
  <si>
    <t xml:space="preserve">MAIRECHE  </t>
  </si>
  <si>
    <t xml:space="preserve">BELGACEM  </t>
  </si>
  <si>
    <t xml:space="preserve">BELGACEM AMAL                           </t>
  </si>
  <si>
    <t xml:space="preserve">DJELASSI  </t>
  </si>
  <si>
    <t xml:space="preserve">DJELASSI MOUNIR                         </t>
  </si>
  <si>
    <t>DEOLIVEIRA</t>
  </si>
  <si>
    <t xml:space="preserve">DE OLIVEIRA JOHNNY                      </t>
  </si>
  <si>
    <t xml:space="preserve">MELLAH    </t>
  </si>
  <si>
    <t xml:space="preserve">MELLAH KHADRA                           </t>
  </si>
  <si>
    <t xml:space="preserve">BRUNEAU   </t>
  </si>
  <si>
    <t xml:space="preserve">BRUNEAU                                 </t>
  </si>
  <si>
    <t xml:space="preserve">SOGERES   </t>
  </si>
  <si>
    <t xml:space="preserve">SOGERES                                 </t>
  </si>
  <si>
    <t xml:space="preserve">KHEROUFI  </t>
  </si>
  <si>
    <t xml:space="preserve">KHEROUFI SALIHA                         </t>
  </si>
  <si>
    <t xml:space="preserve">CHARENSOL </t>
  </si>
  <si>
    <t xml:space="preserve">CHARENSOL MICHELE                       </t>
  </si>
  <si>
    <t xml:space="preserve">LOUATI    </t>
  </si>
  <si>
    <t xml:space="preserve">LOUATI OUAFA                            </t>
  </si>
  <si>
    <t xml:space="preserve">THIAM     </t>
  </si>
  <si>
    <t xml:space="preserve">THIAM CISSE                             </t>
  </si>
  <si>
    <t xml:space="preserve">CHAMOUINI </t>
  </si>
  <si>
    <t xml:space="preserve">CHAMOUINI KAALA                         </t>
  </si>
  <si>
    <t xml:space="preserve">BELLEMIN  </t>
  </si>
  <si>
    <t xml:space="preserve">BELLEMIN MICHELLE                       </t>
  </si>
  <si>
    <t xml:space="preserve">COLOM     </t>
  </si>
  <si>
    <t xml:space="preserve">COLOM FRANCOISE                         </t>
  </si>
  <si>
    <t xml:space="preserve">CHANAUD   </t>
  </si>
  <si>
    <t xml:space="preserve">CHANAUD MARTINE                         </t>
  </si>
  <si>
    <t>KANNEVORFF</t>
  </si>
  <si>
    <t xml:space="preserve">KANNEVORFF ANNE                         </t>
  </si>
  <si>
    <t>PATINOIREB</t>
  </si>
  <si>
    <t xml:space="preserve">PATINOIRE BARABAN                       </t>
  </si>
  <si>
    <t xml:space="preserve">SEROT     </t>
  </si>
  <si>
    <t xml:space="preserve">SEROT HELENE                            </t>
  </si>
  <si>
    <t xml:space="preserve">AQUARIUM  </t>
  </si>
  <si>
    <t xml:space="preserve">AQUARIUM DE LYON                        </t>
  </si>
  <si>
    <t xml:space="preserve">WAKOO     </t>
  </si>
  <si>
    <t xml:space="preserve">WAKOO PARK                              </t>
  </si>
  <si>
    <t xml:space="preserve">Virement direct ・des tiers                       </t>
  </si>
  <si>
    <t xml:space="preserve">FCSR      </t>
  </si>
  <si>
    <t xml:space="preserve">FEDERATION DES CENTRES SOCIAUX DU RHONE </t>
  </si>
  <si>
    <t xml:space="preserve">DIALLOT   </t>
  </si>
  <si>
    <t xml:space="preserve">DIALLO THIERNO ABDOULAYE                </t>
  </si>
  <si>
    <t>EAUGRDLYON</t>
  </si>
  <si>
    <t xml:space="preserve">EAU DU GRAND LYON                       </t>
  </si>
  <si>
    <t>FERRANDIER</t>
  </si>
  <si>
    <t xml:space="preserve">CENTRE SOCIAL ET FAMILIAL FERRANDIERE   </t>
  </si>
  <si>
    <t xml:space="preserve">SAMUEL    </t>
  </si>
  <si>
    <t xml:space="preserve">SAMUEL Uyigue                           </t>
  </si>
  <si>
    <t>SLIMANICHA</t>
  </si>
  <si>
    <t xml:space="preserve">SLIMANI CHAINEZ                         </t>
  </si>
  <si>
    <t xml:space="preserve">TOBOGGAN  </t>
  </si>
  <si>
    <t xml:space="preserve">CINEMA LE TOBOGGAN                      </t>
  </si>
  <si>
    <t xml:space="preserve">ANDRIET   </t>
  </si>
  <si>
    <t xml:space="preserve">ANDRIET AGNES                           </t>
  </si>
  <si>
    <t xml:space="preserve">6CSCUSSET </t>
  </si>
  <si>
    <t xml:space="preserve">CENTRE SOCIAL CUSSET                    </t>
  </si>
  <si>
    <t xml:space="preserve">6CSSTJEAN </t>
  </si>
  <si>
    <t xml:space="preserve">CENTRE D'ANIMATION ST JEAN              </t>
  </si>
  <si>
    <t xml:space="preserve">JOKERLAND </t>
  </si>
  <si>
    <t xml:space="preserve">JOKER - PRODUCTIONS FRANCE              </t>
  </si>
  <si>
    <t xml:space="preserve">SIOUDA    </t>
  </si>
  <si>
    <t xml:space="preserve">SIOUDA CHAHRAZAD                        </t>
  </si>
  <si>
    <t xml:space="preserve">MAHI      </t>
  </si>
  <si>
    <t xml:space="preserve">MAHI DJILLALI                           </t>
  </si>
  <si>
    <t>BOUKHANOUF</t>
  </si>
  <si>
    <t xml:space="preserve">BOUKHANOUFA MOUNIR                      </t>
  </si>
  <si>
    <t xml:space="preserve">FATIC     </t>
  </si>
  <si>
    <t xml:space="preserve">FATIC KAMILA                            </t>
  </si>
  <si>
    <t xml:space="preserve">ACTE2     </t>
  </si>
  <si>
    <t xml:space="preserve">ACTE 2 THEATRE                          </t>
  </si>
  <si>
    <t xml:space="preserve">AUXILIAIRE SALARIES                     </t>
  </si>
  <si>
    <t>SGUILLERMI</t>
  </si>
  <si>
    <t xml:space="preserve">GUILLERMIN VIRGINIE                     </t>
  </si>
  <si>
    <t xml:space="preserve">Virement ・un tiers                               </t>
  </si>
  <si>
    <t xml:space="preserve">SKANNIAH  </t>
  </si>
  <si>
    <t xml:space="preserve">KANNIAH JOSE                            </t>
  </si>
  <si>
    <t xml:space="preserve">EXALTO    </t>
  </si>
  <si>
    <t xml:space="preserve">EXALTO                                  </t>
  </si>
  <si>
    <t xml:space="preserve">FDIVERS   </t>
  </si>
  <si>
    <t xml:space="preserve">DIVERS                                  </t>
  </si>
  <si>
    <t xml:space="preserve">SBOISSY   </t>
  </si>
  <si>
    <t xml:space="preserve">BOISSY OLIVIER                          </t>
  </si>
  <si>
    <t xml:space="preserve">SKAMBI    </t>
  </si>
  <si>
    <t xml:space="preserve">KAMBI SITTI                             </t>
  </si>
  <si>
    <t xml:space="preserve">KAMBI SITTI AVANCE DE CAISSE CARREFOUR            </t>
  </si>
  <si>
    <t xml:space="preserve">DIAGOLA   </t>
  </si>
  <si>
    <t xml:space="preserve">DIAGOLA SAMBA                           </t>
  </si>
  <si>
    <t xml:space="preserve">GRIMBERT  </t>
  </si>
  <si>
    <t xml:space="preserve">GRIMBERT ELSA                           </t>
  </si>
  <si>
    <t xml:space="preserve">VILLARD   </t>
  </si>
  <si>
    <t xml:space="preserve">VILLARD JOELLE                          </t>
  </si>
  <si>
    <t xml:space="preserve">10DOIGTS  </t>
  </si>
  <si>
    <t xml:space="preserve">10 DOIGTS                               </t>
  </si>
  <si>
    <t xml:space="preserve">SCRETTE   </t>
  </si>
  <si>
    <t xml:space="preserve">FRANCINE CRETTE                         </t>
  </si>
  <si>
    <t>SMERIMECHE</t>
  </si>
  <si>
    <t xml:space="preserve">DJAMILA MERIMECHE                       </t>
  </si>
  <si>
    <t xml:space="preserve">CHERAIET  </t>
  </si>
  <si>
    <t xml:space="preserve">CHERAIET FEHIM                          </t>
  </si>
  <si>
    <t xml:space="preserve">ENGIE     </t>
  </si>
  <si>
    <t xml:space="preserve">ENGIE                                   </t>
  </si>
  <si>
    <t xml:space="preserve">PRLV ENGIE                                        </t>
  </si>
  <si>
    <t xml:space="preserve">BAKAMBO   </t>
  </si>
  <si>
    <t xml:space="preserve">BAKAMBO PERNELLE                        </t>
  </si>
  <si>
    <t xml:space="preserve">GUERIN    </t>
  </si>
  <si>
    <t xml:space="preserve">GUERIN CHRISTELLE                       </t>
  </si>
  <si>
    <t xml:space="preserve">PRALUS    </t>
  </si>
  <si>
    <t xml:space="preserve">PRALUS ANGELIQUE                        </t>
  </si>
  <si>
    <t>KIRAKOSYAN</t>
  </si>
  <si>
    <t xml:space="preserve">KIRAKOSYAN ANI                          </t>
  </si>
  <si>
    <t>6CSFERRAND</t>
  </si>
  <si>
    <t xml:space="preserve">CENTRE FAMILIAL FERRANDIERE             </t>
  </si>
  <si>
    <t xml:space="preserve">CHAVANTON MICKAEL                       </t>
  </si>
  <si>
    <t xml:space="preserve">ASSUPERG  </t>
  </si>
  <si>
    <t xml:space="preserve">ASSOCIATION SPORTIVE DE SUPERG          </t>
  </si>
  <si>
    <t>NKULIKIYIN</t>
  </si>
  <si>
    <t xml:space="preserve">NKULIKIYINKA IRAGUHA LIEVIN             </t>
  </si>
  <si>
    <t>ATMANIDENI</t>
  </si>
  <si>
    <t xml:space="preserve">ATMANI DENIA                            </t>
  </si>
  <si>
    <t>KINANVUIDI</t>
  </si>
  <si>
    <t xml:space="preserve">KINANVUIDI DJIMY                        </t>
  </si>
  <si>
    <t xml:space="preserve">6BARIOZ   </t>
  </si>
  <si>
    <t xml:space="preserve">REGIE CITYA BARIOZ                      </t>
  </si>
  <si>
    <t>ERDEMGULUZ</t>
  </si>
  <si>
    <t xml:space="preserve">ERDEM GULUZAR                           </t>
  </si>
  <si>
    <t>ERDEMNURTE</t>
  </si>
  <si>
    <t xml:space="preserve">ERDEM NURTEN                            </t>
  </si>
  <si>
    <t>MADITAREK1</t>
  </si>
  <si>
    <t xml:space="preserve">MADI TAREK                              </t>
  </si>
  <si>
    <t>SELGAROUID</t>
  </si>
  <si>
    <t xml:space="preserve">EL GAROUI DORSAF                        </t>
  </si>
  <si>
    <t xml:space="preserve">EL GAROUI DORSAF AVANCE DE CAISSE ACTION          </t>
  </si>
  <si>
    <t xml:space="preserve">EL GAROUI DORSAF AVANCE DE CAISSE METRO           </t>
  </si>
  <si>
    <t>FEDERATION</t>
  </si>
  <si>
    <t xml:space="preserve">FEDERATION DES CENTRES SOCIAUX          </t>
  </si>
  <si>
    <t xml:space="preserve">DIAC      </t>
  </si>
  <si>
    <t xml:space="preserve">DIAC                                    </t>
  </si>
  <si>
    <t xml:space="preserve">FAYE      </t>
  </si>
  <si>
    <t xml:space="preserve">FAYE ALICIA                             </t>
  </si>
  <si>
    <t xml:space="preserve">BOUZAIDA  </t>
  </si>
  <si>
    <t xml:space="preserve">BOUZAIDA SABA                           </t>
  </si>
  <si>
    <t>FONTANIERE</t>
  </si>
  <si>
    <t xml:space="preserve">FONTANIERE CHRISTOPHE                   </t>
  </si>
  <si>
    <t xml:space="preserve">KOUICI    </t>
  </si>
  <si>
    <t xml:space="preserve">KOUICI STEVE                            </t>
  </si>
  <si>
    <t xml:space="preserve">ALIOUCHE  </t>
  </si>
  <si>
    <t xml:space="preserve">ALIOUCHE LEMNOUAR                       </t>
  </si>
  <si>
    <t xml:space="preserve">BENRHOUMA </t>
  </si>
  <si>
    <t xml:space="preserve">BENRHOUMA RHOUMA                        </t>
  </si>
  <si>
    <t xml:space="preserve">HENNI     </t>
  </si>
  <si>
    <t xml:space="preserve">HENNI MOHAMED                           </t>
  </si>
  <si>
    <t xml:space="preserve">NKOUA     </t>
  </si>
  <si>
    <t xml:space="preserve">NKOUA EMPANA ELIM                       </t>
  </si>
  <si>
    <t xml:space="preserve">VINCENT   </t>
  </si>
  <si>
    <t xml:space="preserve">VINCENT ADELINE                         </t>
  </si>
  <si>
    <t xml:space="preserve">SHKODRA   </t>
  </si>
  <si>
    <t xml:space="preserve">SHKODRA                                 </t>
  </si>
  <si>
    <t xml:space="preserve">BAHDIALLO </t>
  </si>
  <si>
    <t xml:space="preserve">BAH DIALLO ABOUBACAR                    </t>
  </si>
  <si>
    <t xml:space="preserve">CARILLI   </t>
  </si>
  <si>
    <t xml:space="preserve">CARILLI GABRIELLE                       </t>
  </si>
  <si>
    <t xml:space="preserve">ZEMMOUR   </t>
  </si>
  <si>
    <t xml:space="preserve">ZEMMOUR YAYA                            </t>
  </si>
  <si>
    <t xml:space="preserve">NASRIEMNA </t>
  </si>
  <si>
    <t xml:space="preserve">NASRI EMNA                              </t>
  </si>
  <si>
    <t xml:space="preserve">DJELLOUAH </t>
  </si>
  <si>
    <t xml:space="preserve">DJELLOUAH ZOUINA                        </t>
  </si>
  <si>
    <t>BEKOLOBEKO</t>
  </si>
  <si>
    <t xml:space="preserve">BEKOLO BEKOLO FRANCOIS                  </t>
  </si>
  <si>
    <t xml:space="preserve">ABDELLI   </t>
  </si>
  <si>
    <t xml:space="preserve">ABDELLI HALIMA                          </t>
  </si>
  <si>
    <t xml:space="preserve">DIAWDIOU  </t>
  </si>
  <si>
    <t xml:space="preserve">DIAW DIOUMOLO                           </t>
  </si>
  <si>
    <t xml:space="preserve">CHENAIT   </t>
  </si>
  <si>
    <t xml:space="preserve">CHENAIT GHALIA                          </t>
  </si>
  <si>
    <t xml:space="preserve">ADAMNOAM  </t>
  </si>
  <si>
    <t xml:space="preserve">ADAM NOAM                               </t>
  </si>
  <si>
    <t xml:space="preserve">SMAJIC    </t>
  </si>
  <si>
    <t xml:space="preserve">SMAJIC VELIDA                           </t>
  </si>
  <si>
    <t xml:space="preserve">TALIBI    </t>
  </si>
  <si>
    <t xml:space="preserve">TALIBI HANANE                           </t>
  </si>
  <si>
    <t xml:space="preserve">THABET    </t>
  </si>
  <si>
    <t xml:space="preserve">THABET MOUNIRA                          </t>
  </si>
  <si>
    <t>TSASAMASUN</t>
  </si>
  <si>
    <t xml:space="preserve">TSASA MASUNDA GUY                       </t>
  </si>
  <si>
    <t>ADOUYANGAO</t>
  </si>
  <si>
    <t xml:space="preserve">ADOU YANGAO Frederic-Yanick             </t>
  </si>
  <si>
    <t xml:space="preserve">BROSSUTTI </t>
  </si>
  <si>
    <t xml:space="preserve">BROSSUTTI BOUCHRA                       </t>
  </si>
  <si>
    <t xml:space="preserve">SAIDOUA   </t>
  </si>
  <si>
    <t xml:space="preserve">SAID OUASSILA                           </t>
  </si>
  <si>
    <t>MEHMEDOVIC</t>
  </si>
  <si>
    <t xml:space="preserve">MEHMEDOVIC HAMIFA                       </t>
  </si>
  <si>
    <t xml:space="preserve">ALIC      </t>
  </si>
  <si>
    <t xml:space="preserve">ALIC BAHRA                              </t>
  </si>
  <si>
    <t xml:space="preserve">AGGREY    </t>
  </si>
  <si>
    <t xml:space="preserve">AGGREY ANGELA                           </t>
  </si>
  <si>
    <t xml:space="preserve">SIRVENT   </t>
  </si>
  <si>
    <t xml:space="preserve">SIRVENT GISELE                          </t>
  </si>
  <si>
    <t xml:space="preserve">LUAMBILA  </t>
  </si>
  <si>
    <t xml:space="preserve">LUAMBILA SANDRINE                       </t>
  </si>
  <si>
    <t xml:space="preserve">SERSAR    </t>
  </si>
  <si>
    <t xml:space="preserve">SERSAR SANAE                            </t>
  </si>
  <si>
    <t xml:space="preserve">LOUHICHI  </t>
  </si>
  <si>
    <t xml:space="preserve">LOUHICHI SANDRINE                       </t>
  </si>
  <si>
    <t xml:space="preserve">AZEMI     </t>
  </si>
  <si>
    <t xml:space="preserve">AZEMI BUJAR                             </t>
  </si>
  <si>
    <t xml:space="preserve">HOUMADI   </t>
  </si>
  <si>
    <t xml:space="preserve">ALI MARIAMA                             </t>
  </si>
  <si>
    <t xml:space="preserve">ALILET    </t>
  </si>
  <si>
    <t xml:space="preserve">ALILET AMELLE                           </t>
  </si>
  <si>
    <t xml:space="preserve">DESAGE    </t>
  </si>
  <si>
    <t xml:space="preserve">DESAGE ELISE                            </t>
  </si>
  <si>
    <t xml:space="preserve">BOUJAABA  </t>
  </si>
  <si>
    <t xml:space="preserve">NOURDINE BOUJAABA                       </t>
  </si>
  <si>
    <t xml:space="preserve">MAKITA    </t>
  </si>
  <si>
    <t xml:space="preserve">MAKITA CHRIS                            </t>
  </si>
  <si>
    <t>REBBOUCHEA</t>
  </si>
  <si>
    <t xml:space="preserve">REBBOUCHE ABDELGHANI                    </t>
  </si>
  <si>
    <t>ABDESSELEM</t>
  </si>
  <si>
    <t xml:space="preserve">ABDESSELEM                              </t>
  </si>
  <si>
    <t xml:space="preserve">TSHIBANGU </t>
  </si>
  <si>
    <t xml:space="preserve">TSHIBANGU RITA                          </t>
  </si>
  <si>
    <t xml:space="preserve">HARIZI    </t>
  </si>
  <si>
    <t xml:space="preserve">HARIZI WANNIS                           </t>
  </si>
  <si>
    <t xml:space="preserve">FOLIO     </t>
  </si>
  <si>
    <t xml:space="preserve">SABERKANE </t>
  </si>
  <si>
    <t xml:space="preserve">ABERKANE ASSIA                          </t>
  </si>
  <si>
    <t xml:space="preserve">MKRTCHYAN </t>
  </si>
  <si>
    <t xml:space="preserve">MKRTCHYAN                               </t>
  </si>
  <si>
    <t xml:space="preserve">BAUTISTA  </t>
  </si>
  <si>
    <t xml:space="preserve">BAUTISTA DANIELA                        </t>
  </si>
  <si>
    <t xml:space="preserve">GHIDEY    </t>
  </si>
  <si>
    <t xml:space="preserve">GHIDEY SUZAN                            </t>
  </si>
  <si>
    <t xml:space="preserve">AMEUR     </t>
  </si>
  <si>
    <t xml:space="preserve">AMEUR                                   </t>
  </si>
  <si>
    <t>AHMEDMAHAM</t>
  </si>
  <si>
    <t xml:space="preserve">AHMED MAHAMOUD NAIMA                    </t>
  </si>
  <si>
    <t>IDELHOUCIN</t>
  </si>
  <si>
    <t xml:space="preserve">IDELHOUCINE Marouane                    </t>
  </si>
  <si>
    <t>KWEDIHECKM</t>
  </si>
  <si>
    <t xml:space="preserve">KWEDI Gael                              </t>
  </si>
  <si>
    <t xml:space="preserve">BENAHMED  </t>
  </si>
  <si>
    <t xml:space="preserve">BEN AHMED NADIA                         </t>
  </si>
  <si>
    <t xml:space="preserve">JEBABLI   </t>
  </si>
  <si>
    <t xml:space="preserve">JEBABLI MAHER                           </t>
  </si>
  <si>
    <t xml:space="preserve">FOURANE   </t>
  </si>
  <si>
    <t xml:space="preserve">FOURANE KARIMA                          </t>
  </si>
  <si>
    <t xml:space="preserve">TRAORE    </t>
  </si>
  <si>
    <t xml:space="preserve">TRAORE MARIAM                           </t>
  </si>
  <si>
    <t xml:space="preserve">VAY       </t>
  </si>
  <si>
    <t xml:space="preserve">VAY MEI-LING                            </t>
  </si>
  <si>
    <t>KOYOUKOMBE</t>
  </si>
  <si>
    <t xml:space="preserve">KOYOU-KOMBELE Lauriane                  </t>
  </si>
  <si>
    <t>KHALDIKARI</t>
  </si>
  <si>
    <t xml:space="preserve">KHALDI KARIMA                           </t>
  </si>
  <si>
    <t xml:space="preserve">SOW       </t>
  </si>
  <si>
    <t xml:space="preserve">SOW MARIAMA                             </t>
  </si>
  <si>
    <t xml:space="preserve">BASTI     </t>
  </si>
  <si>
    <t xml:space="preserve">BASTI SAFA                              </t>
  </si>
  <si>
    <t xml:space="preserve">SITOU     </t>
  </si>
  <si>
    <t xml:space="preserve">SITOU LILIANE                           </t>
  </si>
  <si>
    <t xml:space="preserve">RACHIDI   </t>
  </si>
  <si>
    <t xml:space="preserve">RACHIDI AMINA                           </t>
  </si>
  <si>
    <t xml:space="preserve">BETTERSON </t>
  </si>
  <si>
    <t xml:space="preserve">BETTERSON FLORENCE                      </t>
  </si>
  <si>
    <t>AZZOUZIGUI</t>
  </si>
  <si>
    <t xml:space="preserve">AZZOUZI-GUITTET JIHANE                  </t>
  </si>
  <si>
    <t xml:space="preserve">BAZIZI    </t>
  </si>
  <si>
    <t xml:space="preserve">BAZIZI NACIMA                           </t>
  </si>
  <si>
    <t>TCHOKOMENI</t>
  </si>
  <si>
    <t xml:space="preserve">TCHOKOMENI C駘estin Jason               </t>
  </si>
  <si>
    <t xml:space="preserve">MOENGARIE </t>
  </si>
  <si>
    <t xml:space="preserve">MAJERI    </t>
  </si>
  <si>
    <t xml:space="preserve">MAJERI Izac                             </t>
  </si>
  <si>
    <t xml:space="preserve">BOUKROUMA </t>
  </si>
  <si>
    <t xml:space="preserve">BOUKROUMA Olfa                          </t>
  </si>
  <si>
    <t xml:space="preserve">AKA       </t>
  </si>
  <si>
    <t xml:space="preserve">AKA Serge                               </t>
  </si>
  <si>
    <t xml:space="preserve">DELELET   </t>
  </si>
  <si>
    <t xml:space="preserve">DELELET                                 </t>
  </si>
  <si>
    <t xml:space="preserve">MAROVELO  </t>
  </si>
  <si>
    <t xml:space="preserve">MAROVELO ERIC                           </t>
  </si>
  <si>
    <t>TENNAHBENS</t>
  </si>
  <si>
    <t xml:space="preserve">TENNAH BENSALEM CHAIMA                  </t>
  </si>
  <si>
    <t>MUSEEPOMPI</t>
  </si>
  <si>
    <t xml:space="preserve">MUSEE DES SAPEURS POMPIERS DE LYON      </t>
  </si>
  <si>
    <t xml:space="preserve">KEITA     </t>
  </si>
  <si>
    <t xml:space="preserve">KEITA KARIFA HAWA                       </t>
  </si>
  <si>
    <t xml:space="preserve">SAHLI     </t>
  </si>
  <si>
    <t xml:space="preserve">SAHLI Perrine                           </t>
  </si>
  <si>
    <t xml:space="preserve">COLLOMB   </t>
  </si>
  <si>
    <t xml:space="preserve">COLLOMB Geoffrey                        </t>
  </si>
  <si>
    <t xml:space="preserve">BOUAMARI  </t>
  </si>
  <si>
    <t xml:space="preserve">BOUAMARI ZOUBIDA                        </t>
  </si>
  <si>
    <t xml:space="preserve">NKANGA    </t>
  </si>
  <si>
    <t xml:space="preserve">NKANGA WINA NYOTA                       </t>
  </si>
  <si>
    <t xml:space="preserve">BENMBAREK </t>
  </si>
  <si>
    <t xml:space="preserve">BEN MBAREK MOHAMED BEN                  </t>
  </si>
  <si>
    <t xml:space="preserve">OLYMPIQUE </t>
  </si>
  <si>
    <t xml:space="preserve">OLYMPIQUE LYONNAIS                      </t>
  </si>
  <si>
    <t xml:space="preserve">CABESTAN  </t>
  </si>
  <si>
    <t xml:space="preserve">CABESTAN                                </t>
  </si>
  <si>
    <t xml:space="preserve">URBANSOC  </t>
  </si>
  <si>
    <t xml:space="preserve">URBAN SOCCER                            </t>
  </si>
  <si>
    <t xml:space="preserve">CHAUMEIL  </t>
  </si>
  <si>
    <t xml:space="preserve">GROUPE CHAUMEIL                         </t>
  </si>
  <si>
    <t xml:space="preserve">JANELIDZE </t>
  </si>
  <si>
    <t xml:space="preserve">JANELIDZE AVTANDIL                      </t>
  </si>
  <si>
    <t xml:space="preserve">OSARETIN  </t>
  </si>
  <si>
    <t xml:space="preserve">OSARETIN Augustin                       </t>
  </si>
  <si>
    <t xml:space="preserve">          </t>
  </si>
  <si>
    <t xml:space="preserve">                                        </t>
  </si>
  <si>
    <t xml:space="preserve">REMUNERATIONS DUES                      </t>
  </si>
  <si>
    <t xml:space="preserve">REMB PARTIEL TROP PERCU OUMNAI 300/1189.68        </t>
  </si>
  <si>
    <t xml:space="preserve">COMITE D'ETABLISSEMENT                  </t>
  </si>
  <si>
    <t xml:space="preserve">SAISIE SUR SALAIRE                      </t>
  </si>
  <si>
    <t xml:space="preserve">PERS AUTRE CHARGES A PAYER              </t>
  </si>
  <si>
    <t xml:space="preserve">URSSAF/POLE EMPLOI                      </t>
  </si>
  <si>
    <t xml:space="preserve">URSSAF/POLE EMPLOI                                </t>
  </si>
  <si>
    <t xml:space="preserve">APICIL                                  </t>
  </si>
  <si>
    <t xml:space="preserve">CHORUM PREVOYANCE C+NC                  </t>
  </si>
  <si>
    <t xml:space="preserve">CAF PS AL EXTRASCO CYP CFAL             </t>
  </si>
  <si>
    <t xml:space="preserve">CAF PS PERISCO MERCREDIS CYP CFAL       </t>
  </si>
  <si>
    <t xml:space="preserve">CAF  PS BABILHOME                       </t>
  </si>
  <si>
    <t xml:space="preserve">CAF PS GRIBOUILLE                       </t>
  </si>
  <si>
    <t xml:space="preserve">CAF  PS PILOTAGE ANIMATION GLOBALE      </t>
  </si>
  <si>
    <t xml:space="preserve">CAF ACF                                 </t>
  </si>
  <si>
    <t xml:space="preserve">CAF AUTRES SUBVENTIONS                  </t>
  </si>
  <si>
    <t xml:space="preserve">TAXE SUR LES SALAIRES                   </t>
  </si>
  <si>
    <t xml:space="preserve">UNIFORMATION FPC A PAYER                </t>
  </si>
  <si>
    <t xml:space="preserve">INDEMN.JOURNAL. A RECEVOIR              </t>
  </si>
  <si>
    <t xml:space="preserve">INDEMN.JOURNAL. A RECEVOIR                        </t>
  </si>
  <si>
    <t xml:space="preserve">METROPOLE GRD LYON A RECEVOIR           </t>
  </si>
  <si>
    <t xml:space="preserve">ETAT CNASEA                             </t>
  </si>
  <si>
    <t xml:space="preserve">PRE                                     </t>
  </si>
  <si>
    <t xml:space="preserve">VILLE A RECEVOIR                        </t>
  </si>
  <si>
    <t xml:space="preserve">FONDS SOCIAL EUROPEEN A RECEV.          </t>
  </si>
  <si>
    <t xml:space="preserve">BFCC COMPTE COURANT                     </t>
  </si>
  <si>
    <t xml:space="preserve">CAISSE                                  </t>
  </si>
  <si>
    <t xml:space="preserve">MUTUELLE                                </t>
  </si>
  <si>
    <t xml:space="preserve">CH  DIFFERES                            </t>
  </si>
  <si>
    <t xml:space="preserve">CREDIT MUTUEL                           </t>
  </si>
  <si>
    <t xml:space="preserve">CARSAT                                  </t>
  </si>
  <si>
    <t xml:space="preserve">CH ANCV DIFFERES                        </t>
  </si>
  <si>
    <t xml:space="preserve">PRELEVEMENT A LA SOURCE                 </t>
  </si>
  <si>
    <t xml:space="preserve">CONTRIBUTION CNRACL                     </t>
  </si>
  <si>
    <t xml:space="preserve">MAIF      </t>
  </si>
  <si>
    <t xml:space="preserve">MAIF                                    </t>
  </si>
  <si>
    <t xml:space="preserve">CCC       </t>
  </si>
  <si>
    <t xml:space="preserve">SORTIES FAMILLES/ENFANCE                </t>
  </si>
  <si>
    <t xml:space="preserve">KOEZIO    </t>
  </si>
  <si>
    <t xml:space="preserve">KOEZIO                                  </t>
  </si>
  <si>
    <t xml:space="preserve">AURACS    </t>
  </si>
  <si>
    <t xml:space="preserve">AUVERGNE RHONE ALPES CENTRES SOCIAUX    </t>
  </si>
  <si>
    <t xml:space="preserve">AIGA      </t>
  </si>
  <si>
    <t xml:space="preserve">AIGA S.A.                               </t>
  </si>
  <si>
    <t xml:space="preserve">FOURNITURES D'ACTIVITES                 </t>
  </si>
  <si>
    <t xml:space="preserve">RICOH     </t>
  </si>
  <si>
    <t xml:space="preserve">RICOH                                   </t>
  </si>
  <si>
    <t xml:space="preserve">PHARMA    </t>
  </si>
  <si>
    <t xml:space="preserve">PHARMACIE CYPRIAN                       </t>
  </si>
  <si>
    <t xml:space="preserve">APOGEES   </t>
  </si>
  <si>
    <t xml:space="preserve">APEF - EXPETISE D'ACHATS                </t>
  </si>
  <si>
    <t xml:space="preserve">SILLIKE   </t>
  </si>
  <si>
    <t xml:space="preserve">SILLIKER                                </t>
  </si>
  <si>
    <t xml:space="preserve">ASULJC    </t>
  </si>
  <si>
    <t xml:space="preserve">ASUL - JULIE COMMERCON                  </t>
  </si>
  <si>
    <t xml:space="preserve">JACQUOT   </t>
  </si>
  <si>
    <t xml:space="preserve">SA JACQUOT ET ASSOCIES EXPERT-COMPTABLE </t>
  </si>
  <si>
    <t xml:space="preserve">ACP       </t>
  </si>
  <si>
    <t>ACP ACCOMPAGNEMENT AUX CHANGEMENTS PROF.</t>
  </si>
  <si>
    <t xml:space="preserve">ECOLASE   </t>
  </si>
  <si>
    <t xml:space="preserve">ECOLASER XEFI                           </t>
  </si>
  <si>
    <t xml:space="preserve">FNAC      </t>
  </si>
  <si>
    <t xml:space="preserve">FNAC                                    </t>
  </si>
  <si>
    <t xml:space="preserve">BAYA      </t>
  </si>
  <si>
    <t xml:space="preserve">BAYA CONSULTING                         </t>
  </si>
  <si>
    <t xml:space="preserve">BLV       </t>
  </si>
  <si>
    <t xml:space="preserve">BLV AUTOMOBILE                          </t>
  </si>
  <si>
    <t xml:space="preserve">BOULANGER </t>
  </si>
  <si>
    <t xml:space="preserve">BOULANGER                               </t>
  </si>
  <si>
    <t xml:space="preserve">DABIRA    </t>
  </si>
  <si>
    <t xml:space="preserve">DABIRA ADRIEN                           </t>
  </si>
  <si>
    <t xml:space="preserve">PATILLON  </t>
  </si>
  <si>
    <t xml:space="preserve">PATILLON LUCIE                          </t>
  </si>
  <si>
    <t xml:space="preserve">BFC  </t>
  </si>
  <si>
    <t xml:space="preserve">BFCC CPTE COURANT                       </t>
  </si>
  <si>
    <t xml:space="preserve">BFC2201/00207  </t>
  </si>
  <si>
    <t xml:space="preserve">VIRT AIDE APPRENTIS                               </t>
  </si>
  <si>
    <t xml:space="preserve">SERVICES BANCAIRES                      </t>
  </si>
  <si>
    <t xml:space="preserve">BFC2201/00208  </t>
  </si>
  <si>
    <t xml:space="preserve">FRAIS BANCAIRE                                    </t>
  </si>
  <si>
    <t xml:space="preserve">BFC2201/00209  </t>
  </si>
  <si>
    <t xml:space="preserve">BFC2201/00210  </t>
  </si>
  <si>
    <t xml:space="preserve">BFC2201/00211  </t>
  </si>
  <si>
    <t xml:space="preserve">BFC2201/00212  </t>
  </si>
  <si>
    <t xml:space="preserve">BFC2201/00213  </t>
  </si>
  <si>
    <t xml:space="preserve">PRLV DIAC                                         </t>
  </si>
  <si>
    <t xml:space="preserve">BFC2201/00006  </t>
  </si>
  <si>
    <t xml:space="preserve">SCOUX     </t>
  </si>
  <si>
    <t xml:space="preserve">COUX STEPHANE                           </t>
  </si>
  <si>
    <t xml:space="preserve">BFC2201/00009  </t>
  </si>
  <si>
    <t xml:space="preserve">SALAIRE - SEBAA DOUNIA                            </t>
  </si>
  <si>
    <t xml:space="preserve">SALAIRE - SEBAA DOUNIA (Prime Inflation)          </t>
  </si>
  <si>
    <t xml:space="preserve">BFC2201/00214  </t>
  </si>
  <si>
    <t xml:space="preserve">BFC2201/00215  </t>
  </si>
  <si>
    <t xml:space="preserve">PRLV AESIO MUTUELLE                               </t>
  </si>
  <si>
    <t xml:space="preserve">BFC2201/00216  </t>
  </si>
  <si>
    <t xml:space="preserve">BFC2201/00217  </t>
  </si>
  <si>
    <t xml:space="preserve">FRAIS OPPOSITION PRLV FRAUDULEUX                  </t>
  </si>
  <si>
    <t xml:space="preserve">BAN2201/00019  </t>
  </si>
  <si>
    <t xml:space="preserve">BFC2201/00218  </t>
  </si>
  <si>
    <t xml:space="preserve">REMBT PRLV FRAUDULEUX 29/12 MCAFEE                </t>
  </si>
  <si>
    <t xml:space="preserve">6CARRON   </t>
  </si>
  <si>
    <t xml:space="preserve">REGIE CARRON                            </t>
  </si>
  <si>
    <t xml:space="preserve">BFC2201/00228  </t>
  </si>
  <si>
    <t xml:space="preserve">VIRT LOCATION REGIE CARRON/CREMIEU                </t>
  </si>
  <si>
    <t xml:space="preserve">BFC2201/00229  </t>
  </si>
  <si>
    <t xml:space="preserve">VIRT CAUTION REGIE CARRON/CREMIEU                 </t>
  </si>
  <si>
    <t xml:space="preserve">BFC2201/00230  </t>
  </si>
  <si>
    <t xml:space="preserve">BFC2201/00024  </t>
  </si>
  <si>
    <t xml:space="preserve">BFC2201/00232  </t>
  </si>
  <si>
    <t xml:space="preserve">PRLV URSSAF/POLE EMPLOI                           </t>
  </si>
  <si>
    <t xml:space="preserve">BFC2201/00233  </t>
  </si>
  <si>
    <t xml:space="preserve">VIRT AIDE EMBAUCHE JEUNE                          </t>
  </si>
  <si>
    <t xml:space="preserve">BFC2201/00234  </t>
  </si>
  <si>
    <t xml:space="preserve">SSALOMON  </t>
  </si>
  <si>
    <t xml:space="preserve">SALOMON SIMON                           </t>
  </si>
  <si>
    <t xml:space="preserve">BAN2201/00025  </t>
  </si>
  <si>
    <t>RIBARDIERE</t>
  </si>
  <si>
    <t xml:space="preserve">RIBARDIERE Cyndie                       </t>
  </si>
  <si>
    <t xml:space="preserve">BAN2201/00027  </t>
  </si>
  <si>
    <t xml:space="preserve">BFC2201/00235  </t>
  </si>
  <si>
    <t xml:space="preserve">BFC2201/00236  </t>
  </si>
  <si>
    <t xml:space="preserve">BAN2201/00036  </t>
  </si>
  <si>
    <t xml:space="preserve">BFC2201/00039  </t>
  </si>
  <si>
    <t xml:space="preserve">BFC2201/00238  </t>
  </si>
  <si>
    <t xml:space="preserve">PRELEVEMENT A LA SOURCE                           </t>
  </si>
  <si>
    <t xml:space="preserve">BFC2201/00237  </t>
  </si>
  <si>
    <t xml:space="preserve">PRLV APICIL                                       </t>
  </si>
  <si>
    <t xml:space="preserve">BAN2201/00044  </t>
  </si>
  <si>
    <t xml:space="preserve">VIREMENTS INTERNES                      </t>
  </si>
  <si>
    <t xml:space="preserve">BFC2201/00239  </t>
  </si>
  <si>
    <t xml:space="preserve">CHORUM PREVOYANCE C+NC                            </t>
  </si>
  <si>
    <t xml:space="preserve">KAPLA     </t>
  </si>
  <si>
    <t xml:space="preserve">CENTRE KAPLA                            </t>
  </si>
  <si>
    <t xml:space="preserve">BAN2201/00048  </t>
  </si>
  <si>
    <t xml:space="preserve">BFC2201/00240  </t>
  </si>
  <si>
    <t xml:space="preserve">REMUNERATIONS DUES - 01/22                        </t>
  </si>
  <si>
    <t xml:space="preserve">BFC2201/00241  </t>
  </si>
  <si>
    <t xml:space="preserve">BFC2201/00242  </t>
  </si>
  <si>
    <t xml:space="preserve">VIRT PRE                                          </t>
  </si>
  <si>
    <t xml:space="preserve">BFC2201/00243  </t>
  </si>
  <si>
    <t xml:space="preserve">REMUNERATIONS DUES - 01/22 CEE                    </t>
  </si>
  <si>
    <t xml:space="preserve">BFC2201/00244  </t>
  </si>
  <si>
    <t xml:space="preserve">PRLV VEAMA GROUPE                                 </t>
  </si>
  <si>
    <t xml:space="preserve">BFC2201/00245  </t>
  </si>
  <si>
    <t xml:space="preserve">CAI  </t>
  </si>
  <si>
    <t xml:space="preserve">CAI2201/00002  </t>
  </si>
  <si>
    <t xml:space="preserve">KAMBI SITTI RETOUR AVANCE DE CAISSE               </t>
  </si>
  <si>
    <t xml:space="preserve">ABDELLI HALIMA R0100023121                        </t>
  </si>
  <si>
    <t xml:space="preserve">ABDELLI HALIMA R0100023122                        </t>
  </si>
  <si>
    <t xml:space="preserve">DJELLOUAH ZOUINA R0100023123                      </t>
  </si>
  <si>
    <t xml:space="preserve">DJELASSI MOUNIR R0100023124                       </t>
  </si>
  <si>
    <t xml:space="preserve">CHENAIT GHALIA R0100023125                        </t>
  </si>
  <si>
    <t xml:space="preserve">CHERAIET FEHIM R0100023126                        </t>
  </si>
  <si>
    <t xml:space="preserve">CHERAIET FEHIM R0100023127                        </t>
  </si>
  <si>
    <t xml:space="preserve">MADI TAREK R0100023128                            </t>
  </si>
  <si>
    <t xml:space="preserve">ZEKRI SABRI R0100023129                           </t>
  </si>
  <si>
    <t xml:space="preserve">ZEKRI SABRI R0100023130                           </t>
  </si>
  <si>
    <t xml:space="preserve">KHEROUFI SALIHA R0100023131                       </t>
  </si>
  <si>
    <t xml:space="preserve">KHALDI KARIMA R0100023132                         </t>
  </si>
  <si>
    <t xml:space="preserve">BOUKHANOUFA MOUNIR R0100023133                    </t>
  </si>
  <si>
    <t xml:space="preserve">BOUKHANOUFA MOUNIR R0100023134                    </t>
  </si>
  <si>
    <t xml:space="preserve">Remise : ESPECES                                  </t>
  </si>
  <si>
    <t xml:space="preserve">CAI2201/00010  </t>
  </si>
  <si>
    <t xml:space="preserve">DANIAL ZAHARIA R0300000765                        </t>
  </si>
  <si>
    <t xml:space="preserve">Cr馘it DANIAL ZAHARIA R0300000765                 </t>
  </si>
  <si>
    <t xml:space="preserve">ZEKRI SABRI R0100023135                           </t>
  </si>
  <si>
    <t xml:space="preserve">ZEKRI SABRI R0100023136                           </t>
  </si>
  <si>
    <t xml:space="preserve">BOUKHANOUFA MOUNIR R0100023137                    </t>
  </si>
  <si>
    <t xml:space="preserve">BOUKHANOUFA MOUNIR R0100023138                    </t>
  </si>
  <si>
    <t xml:space="preserve">Cr馘it BENRHOUMA RHOUMA R0100023139               </t>
  </si>
  <si>
    <t xml:space="preserve">NKOUA EMPANA ELIM R0100023140                     </t>
  </si>
  <si>
    <t xml:space="preserve">ABDELKADER SAMIR R0100023141                      </t>
  </si>
  <si>
    <t xml:space="preserve">KHEROUFI SALIHA R0100023142                       </t>
  </si>
  <si>
    <t xml:space="preserve">KHALDI KARIMA R0100023143                         </t>
  </si>
  <si>
    <t xml:space="preserve">BENMAZOUZ CHELHA R0100023144                      </t>
  </si>
  <si>
    <t xml:space="preserve">LOUATI ALI R0100023145                            </t>
  </si>
  <si>
    <t xml:space="preserve">LOUATI ALI R0100023146                            </t>
  </si>
  <si>
    <t xml:space="preserve">LOUATI ALI R0100023147                            </t>
  </si>
  <si>
    <t xml:space="preserve">CHENAIT GHALIA R0100023148                        </t>
  </si>
  <si>
    <t xml:space="preserve">WILHELM   </t>
  </si>
  <si>
    <t xml:space="preserve">WILHELM NICOLAS                         </t>
  </si>
  <si>
    <t xml:space="preserve">WILHELM NICOLAS R0100023149                       </t>
  </si>
  <si>
    <t xml:space="preserve">MAJERI Izac R0200000998                           </t>
  </si>
  <si>
    <t xml:space="preserve">ABDESSELEM  R0300000768                           </t>
  </si>
  <si>
    <t xml:space="preserve">Cr馘it ABDESSELEM  R0300000768                    </t>
  </si>
  <si>
    <t xml:space="preserve">BOUKROUMA Olfa R0200001000                        </t>
  </si>
  <si>
    <t xml:space="preserve">AMEUR Rima R0200001003                            </t>
  </si>
  <si>
    <t xml:space="preserve">IDELHOUCINE BUSTAMANTE GUZMAN Elias R0200001004   </t>
  </si>
  <si>
    <t xml:space="preserve">EZZEDDINE </t>
  </si>
  <si>
    <t xml:space="preserve">AOUJI ZOHRA                             </t>
  </si>
  <si>
    <t xml:space="preserve">EZZEDDINE MOHAMED R0100023150                     </t>
  </si>
  <si>
    <t xml:space="preserve">JANELIDZE AVTANDIL R0100023158                    </t>
  </si>
  <si>
    <t xml:space="preserve">KIZILTEPE </t>
  </si>
  <si>
    <t xml:space="preserve">KIZILTEPE SATI                          </t>
  </si>
  <si>
    <t xml:space="preserve">KIZILTEPE SATI R0100023159                        </t>
  </si>
  <si>
    <t xml:space="preserve">SENTAS    </t>
  </si>
  <si>
    <t xml:space="preserve">SENTAS NEVZAT                           </t>
  </si>
  <si>
    <t xml:space="preserve">SENTAS NEVZAT R0100023160                         </t>
  </si>
  <si>
    <t xml:space="preserve">BASTI SAFA R0100023161                            </t>
  </si>
  <si>
    <t xml:space="preserve">THABET MOUNIRA R0200001008                        </t>
  </si>
  <si>
    <t xml:space="preserve">MAROVELO ERIC R0300000771                         </t>
  </si>
  <si>
    <t xml:space="preserve">Cr馘it MAROVELO ERIC R0300000771                  </t>
  </si>
  <si>
    <t xml:space="preserve">NKANGA WINA NYOTA R0300000772                     </t>
  </si>
  <si>
    <t xml:space="preserve">Cr馘it NKANGA WINA NYOTA R0300000772              </t>
  </si>
  <si>
    <t xml:space="preserve">BEN AHMED NADIA R0300000773                       </t>
  </si>
  <si>
    <t xml:space="preserve">Cr馘it BEN AHMED NADIA R0300000773                </t>
  </si>
  <si>
    <t xml:space="preserve">AMEUR  R0300000774                                </t>
  </si>
  <si>
    <t xml:space="preserve">Cr馘it AMEUR  R0300000774                         </t>
  </si>
  <si>
    <t xml:space="preserve">TSASA MASUNDA GUY R0300000775                     </t>
  </si>
  <si>
    <t xml:space="preserve">Cr馘it TSASA MASUNDA GUY R0300000775              </t>
  </si>
  <si>
    <t xml:space="preserve">AGGREY ANGELA R0300000776                         </t>
  </si>
  <si>
    <t xml:space="preserve">REBBOUCHE-ADDALA IMENE R0300000777                </t>
  </si>
  <si>
    <t xml:space="preserve">DELELET  R0300000778                              </t>
  </si>
  <si>
    <t xml:space="preserve">KIRAKOSYAN ANI R0300000779                        </t>
  </si>
  <si>
    <t xml:space="preserve">Cr馘it KIRAKOSYAN ANI R0300000779                 </t>
  </si>
  <si>
    <t xml:space="preserve">ER EMRULLAH R0100023162                           </t>
  </si>
  <si>
    <t xml:space="preserve">KHALFA SIMARD LOIS R0200001010                    </t>
  </si>
  <si>
    <t xml:space="preserve">CAI2201/00011  </t>
  </si>
  <si>
    <t xml:space="preserve">FRANCINE CRETTE RETOUR AVANCE DE CAISSE           </t>
  </si>
  <si>
    <t xml:space="preserve">FRANCINE CRETTE                                   </t>
  </si>
  <si>
    <t xml:space="preserve">CM2201/00014   </t>
  </si>
  <si>
    <t xml:space="preserve">Virement interne                                  </t>
  </si>
  <si>
    <t xml:space="preserve">SBERNY    </t>
  </si>
  <si>
    <t xml:space="preserve">NADEGE BERNY                            </t>
  </si>
  <si>
    <t xml:space="preserve">CAI2201/00015  </t>
  </si>
  <si>
    <t xml:space="preserve">NADEGE BERNY REMBOURSEMENT GALETTE                </t>
  </si>
  <si>
    <t xml:space="preserve">NADEGE BERNY REMBOUSEMENT GALETTE                 </t>
  </si>
  <si>
    <t>SFEOUXMILA</t>
  </si>
  <si>
    <t xml:space="preserve">FEOUX MILAN AUDREY                      </t>
  </si>
  <si>
    <t xml:space="preserve">CAI2201/00018  </t>
  </si>
  <si>
    <t xml:space="preserve">FEOUX MILAN AUDREY REMBOURSEMENT ENVOIE RECO      </t>
  </si>
  <si>
    <t xml:space="preserve">TOPLEK    </t>
  </si>
  <si>
    <t xml:space="preserve">TOPLEK SERIFE                           </t>
  </si>
  <si>
    <t xml:space="preserve">TOPLEK SERIFE R0100023165                         </t>
  </si>
  <si>
    <t xml:space="preserve">LOWE      </t>
  </si>
  <si>
    <t xml:space="preserve">LOWE ANNE YOLANDE                       </t>
  </si>
  <si>
    <t xml:space="preserve">LOWE ANNE YOLANDE R0100023166                     </t>
  </si>
  <si>
    <t xml:space="preserve">IMERAS    </t>
  </si>
  <si>
    <t xml:space="preserve">IMERAJ GRESA                            </t>
  </si>
  <si>
    <t xml:space="preserve">IMERAS GRESA R0100023167                          </t>
  </si>
  <si>
    <t xml:space="preserve">JEBABLI MAHER R0100023168                         </t>
  </si>
  <si>
    <t xml:space="preserve">TCHOKOMENI C駘estin Jason R0200001012             </t>
  </si>
  <si>
    <t xml:space="preserve">SAHLI Perrine R0200001013                         </t>
  </si>
  <si>
    <t xml:space="preserve">BENRHOUMA RHOUMA R0100023170                      </t>
  </si>
  <si>
    <t xml:space="preserve">BAUTISTA DANIELA R0100023174                      </t>
  </si>
  <si>
    <t xml:space="preserve">BENMAZOUZ CHELHA R0100023176                      </t>
  </si>
  <si>
    <t xml:space="preserve">BOUKHANOUFA MOUNIR R0100023178                    </t>
  </si>
  <si>
    <t xml:space="preserve">BENRHOUMA RHOUMA R0100023179                      </t>
  </si>
  <si>
    <t xml:space="preserve">ABDELKADER SAMIR R0100023180                      </t>
  </si>
  <si>
    <t xml:space="preserve">ABDELLI HALIMA R0100023181                        </t>
  </si>
  <si>
    <t xml:space="preserve">CHERAIET FEHIM R0100023182                        </t>
  </si>
  <si>
    <t xml:space="preserve">CHERAIET FEHIM R0100023183                        </t>
  </si>
  <si>
    <t xml:space="preserve">CHENAIT GHALIA R0100023184                        </t>
  </si>
  <si>
    <t xml:space="preserve">ELHADDA   </t>
  </si>
  <si>
    <t xml:space="preserve">EL HADDAD ABDELNASSER                   </t>
  </si>
  <si>
    <t xml:space="preserve">EL HADDAD ABDELNASSER R0100023185                 </t>
  </si>
  <si>
    <t xml:space="preserve">JOUINI    </t>
  </si>
  <si>
    <t xml:space="preserve">JOUINI MONIA                            </t>
  </si>
  <si>
    <t xml:space="preserve">JOUINI MONIA R0100023186                          </t>
  </si>
  <si>
    <t xml:space="preserve">MADI TAREK R0100023187                            </t>
  </si>
  <si>
    <t xml:space="preserve">CAI2201/00029  </t>
  </si>
  <si>
    <t xml:space="preserve">EL GAROUI DORSAF AVANCE DE CAISSE BOULANGERIE     </t>
  </si>
  <si>
    <t xml:space="preserve">CAI2201/00040  </t>
  </si>
  <si>
    <t xml:space="preserve">EL GAROUI DORSAF REMBOURSEMENT BOULANGERIE        </t>
  </si>
  <si>
    <t xml:space="preserve">SNOTIN    </t>
  </si>
  <si>
    <t xml:space="preserve">LUDIVINE NOTIN                          </t>
  </si>
  <si>
    <t xml:space="preserve">CAI2201/00041  </t>
  </si>
  <si>
    <t xml:space="preserve">FRANCINE CRETTE REMBOURSEMENT IKEA                </t>
  </si>
  <si>
    <t xml:space="preserve">RACHIDI AMINA R0200001015                         </t>
  </si>
  <si>
    <t xml:space="preserve">KOUICI STEVE R0200001016                          </t>
  </si>
  <si>
    <t xml:space="preserve">ABBAS     </t>
  </si>
  <si>
    <t xml:space="preserve">ABBAS HAKIMA                            </t>
  </si>
  <si>
    <t xml:space="preserve">ABBAS HAKIMA R0100023190                          </t>
  </si>
  <si>
    <t xml:space="preserve">BENRHOUMA RHOUMA R0100023193                      </t>
  </si>
  <si>
    <t>OUAHBIFATI</t>
  </si>
  <si>
    <t xml:space="preserve">OUAHBI FATIMA                           </t>
  </si>
  <si>
    <t xml:space="preserve">OUAHBI FATIMA R0100023198                         </t>
  </si>
  <si>
    <t xml:space="preserve">SERSAR SANAE R0100023199                          </t>
  </si>
  <si>
    <t xml:space="preserve">Cr馘it SERSAR SANAE R0100023199                   </t>
  </si>
  <si>
    <t xml:space="preserve">BAUTISTA DANIELA R0100023201                      </t>
  </si>
  <si>
    <t xml:space="preserve">RACHIDI AMINA R0100023206                         </t>
  </si>
  <si>
    <t xml:space="preserve">TSHIBANGU RITA R0100023211                        </t>
  </si>
  <si>
    <t xml:space="preserve">BETTERSON FLORENCE R0100023212                    </t>
  </si>
  <si>
    <t xml:space="preserve">THABET MOUNIRA R0100023221                        </t>
  </si>
  <si>
    <t xml:space="preserve">OUHISSA   </t>
  </si>
  <si>
    <t xml:space="preserve">OUHISSA NAJAT                           </t>
  </si>
  <si>
    <t xml:space="preserve">OUHISSA NAJAT R0100023222                         </t>
  </si>
  <si>
    <t xml:space="preserve">KOUICI STEVE R0100023223                          </t>
  </si>
  <si>
    <t xml:space="preserve">CAI2201/00042  </t>
  </si>
  <si>
    <t xml:space="preserve">EL GAROUI DORSAF retour avance de caisse          </t>
  </si>
  <si>
    <t xml:space="preserve">BOYACI    </t>
  </si>
  <si>
    <t xml:space="preserve">BOYACI SIBEL                            </t>
  </si>
  <si>
    <t xml:space="preserve">BOYACI SIBEL R0100023230                          </t>
  </si>
  <si>
    <t xml:space="preserve">TENNAH BENSALEM CHAIMA R0100023231                </t>
  </si>
  <si>
    <t xml:space="preserve">HAMRANI   </t>
  </si>
  <si>
    <t xml:space="preserve">HAMRANI DALILA                          </t>
  </si>
  <si>
    <t xml:space="preserve">HAMRANI DALILA R0100023235                        </t>
  </si>
  <si>
    <t xml:space="preserve">MAKITA CHRIS R0100023237                          </t>
  </si>
  <si>
    <t xml:space="preserve">BOUDADI RACHID R0300000780                        </t>
  </si>
  <si>
    <t xml:space="preserve">BOUDADI RACHID R0100023238                        </t>
  </si>
  <si>
    <t xml:space="preserve">CAI2201/00046  </t>
  </si>
  <si>
    <t xml:space="preserve">EL GAROUI DORSAF AVANCE DE CAISSE                 </t>
  </si>
  <si>
    <t xml:space="preserve">SIOUDA CHAHRAZAD R0100023250                      </t>
  </si>
  <si>
    <t xml:space="preserve">CAI2201/00047  </t>
  </si>
  <si>
    <t xml:space="preserve">EL GAROUI DORSAF retour espece                    </t>
  </si>
  <si>
    <t xml:space="preserve">DIALLO THIERNO ABDOULAYE R0100023254              </t>
  </si>
  <si>
    <t xml:space="preserve">SIDIBE    </t>
  </si>
  <si>
    <t xml:space="preserve">SIDIBE MAMADOU                          </t>
  </si>
  <si>
    <t xml:space="preserve">SIDIBE MAMADOU R0100023262                        </t>
  </si>
  <si>
    <t xml:space="preserve">CAI2201/00049  </t>
  </si>
  <si>
    <t xml:space="preserve">COUX STEPHANE avance de caisse la vie claire      </t>
  </si>
  <si>
    <t xml:space="preserve">CM   </t>
  </si>
  <si>
    <t xml:space="preserve">CM2201/00273   </t>
  </si>
  <si>
    <t xml:space="preserve">PRLV ORANGE 75867078                              </t>
  </si>
  <si>
    <t xml:space="preserve">CM2201/00274   </t>
  </si>
  <si>
    <t xml:space="preserve">PRLV ORANGE 75867006                              </t>
  </si>
  <si>
    <t xml:space="preserve">CM2201/00275   </t>
  </si>
  <si>
    <t xml:space="preserve">PRLV FIBRE ORANGE 8641J4                          </t>
  </si>
  <si>
    <t xml:space="preserve">FRAIS ANCV                              </t>
  </si>
  <si>
    <t xml:space="preserve">CM2201/00276   </t>
  </si>
  <si>
    <t xml:space="preserve">FRAIS ANCV                                        </t>
  </si>
  <si>
    <t xml:space="preserve">CM2201/00277   </t>
  </si>
  <si>
    <t xml:space="preserve">CM2201/00278   </t>
  </si>
  <si>
    <t xml:space="preserve">RGLT CB 10 DOIGTS                                 </t>
  </si>
  <si>
    <t xml:space="preserve">CM2201/00289   </t>
  </si>
  <si>
    <t xml:space="preserve">FRAIS CRCESU                            </t>
  </si>
  <si>
    <t xml:space="preserve">CM2201/00279   </t>
  </si>
  <si>
    <t xml:space="preserve">FRAIS CRCESU                                      </t>
  </si>
  <si>
    <t xml:space="preserve">CM2201/00281   </t>
  </si>
  <si>
    <t xml:space="preserve">RGLT PATINOIRE BARABAN                            </t>
  </si>
  <si>
    <t xml:space="preserve">HABA      </t>
  </si>
  <si>
    <t xml:space="preserve">HABA                                    </t>
  </si>
  <si>
    <t xml:space="preserve">CM2201/00280   </t>
  </si>
  <si>
    <t xml:space="preserve">HABA - LITS BABILHOME                             </t>
  </si>
  <si>
    <t xml:space="preserve">CM2201/00012   </t>
  </si>
  <si>
    <t xml:space="preserve">Remise de ch鑷ues nｰ 20220113                     </t>
  </si>
  <si>
    <t xml:space="preserve">CM2201/00013   </t>
  </si>
  <si>
    <t xml:space="preserve">Remise de ch鑷ues nｰ 20220113.2                   </t>
  </si>
  <si>
    <t xml:space="preserve">6BILLON   </t>
  </si>
  <si>
    <t xml:space="preserve">REGIE BILLON BOUVET BONNAMOUR           </t>
  </si>
  <si>
    <t xml:space="preserve">CM2201/00282   </t>
  </si>
  <si>
    <t xml:space="preserve">VIRT REGIE GALYO                                  </t>
  </si>
  <si>
    <t xml:space="preserve">CM2201/00284   </t>
  </si>
  <si>
    <t xml:space="preserve">CM2201/00285   </t>
  </si>
  <si>
    <t xml:space="preserve">PRLV ORANGE FIBRE 1682A1                          </t>
  </si>
  <si>
    <t xml:space="preserve">INDEMNITE ACTIVITE PARTIELLE            </t>
  </si>
  <si>
    <t xml:space="preserve">CM2201/00286   </t>
  </si>
  <si>
    <t xml:space="preserve">VIRT INDEMNITE ACTIVITE PARTIELLE                 </t>
  </si>
  <si>
    <t xml:space="preserve">CM2201/00287   </t>
  </si>
  <si>
    <t xml:space="preserve">RGLT AQUARIUM DE LYON                             </t>
  </si>
  <si>
    <t xml:space="preserve">CM2201/00288   </t>
  </si>
  <si>
    <t xml:space="preserve">RGLT CINEMA LE TOBOGGAN                           </t>
  </si>
  <si>
    <t xml:space="preserve">CM2201/00028   </t>
  </si>
  <si>
    <t xml:space="preserve">Remise de ch鑷ues nｰ 20210119                     </t>
  </si>
  <si>
    <t xml:space="preserve">CM2201/00290   </t>
  </si>
  <si>
    <t xml:space="preserve">REGLT BRUNEAU CB                                  </t>
  </si>
  <si>
    <t xml:space="preserve">HAPIK     </t>
  </si>
  <si>
    <t xml:space="preserve">HAPIK                                   </t>
  </si>
  <si>
    <t xml:space="preserve">BFC2201/00739  </t>
  </si>
  <si>
    <t xml:space="preserve">REGLT HAPIK AL 6/11                               </t>
  </si>
  <si>
    <t xml:space="preserve">MINIWORLD </t>
  </si>
  <si>
    <t xml:space="preserve">MINI WORLD LYON                         </t>
  </si>
  <si>
    <t xml:space="preserve">CM2201/00250   </t>
  </si>
  <si>
    <t xml:space="preserve">REGLT MINI WORLD LYON ACPTE AL 6/11               </t>
  </si>
  <si>
    <t xml:space="preserve">CM2201/00291   </t>
  </si>
  <si>
    <t xml:space="preserve">CB BOULANGER                                      </t>
  </si>
  <si>
    <t xml:space="preserve">CM2201/00292   </t>
  </si>
  <si>
    <t xml:space="preserve">CB FNAC                                           </t>
  </si>
  <si>
    <t xml:space="preserve">CM2201/00045   </t>
  </si>
  <si>
    <t xml:space="preserve">Remise de ch鑷ues nｰ 20220127                     </t>
  </si>
  <si>
    <t xml:space="preserve">CM2201/00295   </t>
  </si>
  <si>
    <t xml:space="preserve">VIRT CREDIT COOP - ERREUR RIB                     </t>
  </si>
  <si>
    <t xml:space="preserve">CM2201/00296   </t>
  </si>
  <si>
    <t xml:space="preserve">REGLT CB - 10 DOIGTS                              </t>
  </si>
  <si>
    <t xml:space="preserve">BFC2201/00740  </t>
  </si>
  <si>
    <t xml:space="preserve">REGLT MINI WORLD LYON AL 3/6                      </t>
  </si>
  <si>
    <t xml:space="preserve">CM2201/00298   </t>
  </si>
  <si>
    <t xml:space="preserve">PRLV ORANGE 76224821                              </t>
  </si>
  <si>
    <t xml:space="preserve">CM2201/00299   </t>
  </si>
  <si>
    <t xml:space="preserve">PRLV ORANGE INTERNET 8202A4                       </t>
  </si>
  <si>
    <t xml:space="preserve">CM2201/00297   </t>
  </si>
  <si>
    <t xml:space="preserve">PRLV ORANGE 76224961                              </t>
  </si>
  <si>
    <t xml:space="preserve">CHEQUES CRCESU DIFFERES                 </t>
  </si>
  <si>
    <t xml:space="preserve">RIAHI     </t>
  </si>
  <si>
    <t xml:space="preserve">COTTIER ELEONORE                        </t>
  </si>
  <si>
    <t xml:space="preserve">FATIC1    </t>
  </si>
  <si>
    <t xml:space="preserve">FATIC DAMIR                             </t>
  </si>
  <si>
    <t xml:space="preserve">CHARNI    </t>
  </si>
  <si>
    <t xml:space="preserve">CHARNI BASMA                            </t>
  </si>
  <si>
    <t xml:space="preserve">MRIDA     </t>
  </si>
  <si>
    <t xml:space="preserve">MRIDA LEILA                             </t>
  </si>
  <si>
    <t xml:space="preserve">CENTRE D'ANIMATION ST JEAN                        </t>
  </si>
  <si>
    <t xml:space="preserve">KAYOWA    </t>
  </si>
  <si>
    <t xml:space="preserve">KAYOWA KABUNDA MARTINE                  </t>
  </si>
  <si>
    <t xml:space="preserve">DRIS      </t>
  </si>
  <si>
    <t xml:space="preserve">DRIS AREME                              </t>
  </si>
  <si>
    <t>SAHRAOUIMO</t>
  </si>
  <si>
    <t xml:space="preserve">SAHRAOUI MOHAMED                        </t>
  </si>
  <si>
    <t>GRECOLARRI</t>
  </si>
  <si>
    <t xml:space="preserve">GRECO LARRIERE FANNY                    </t>
  </si>
  <si>
    <t xml:space="preserve">ZAIDI     </t>
  </si>
  <si>
    <t xml:space="preserve">ZAIDI ANISSA                            </t>
  </si>
  <si>
    <t xml:space="preserve">TRANSFERT CHARGES UNIFORMATION          </t>
  </si>
  <si>
    <t xml:space="preserve">PARTICIPATIONS USAGERS                  </t>
  </si>
  <si>
    <t xml:space="preserve">TAXE CONTRIB.HANDICAPES                 </t>
  </si>
  <si>
    <t xml:space="preserve">ALIMENTATION ET BOISSONS                </t>
  </si>
  <si>
    <t xml:space="preserve">MISSIONS / RECEPTIONS                   </t>
  </si>
  <si>
    <t xml:space="preserve">PDTS DIV.DE GESTION COURANTE            </t>
  </si>
  <si>
    <t xml:space="preserve">FRAIS POSTAUX                           </t>
  </si>
  <si>
    <t xml:space="preserve">COTISATION URSSAF                       </t>
  </si>
  <si>
    <t xml:space="preserve">MISE A DISPOS.PONCT. SALLE              </t>
  </si>
  <si>
    <t xml:space="preserve">6GALYO    </t>
  </si>
  <si>
    <t xml:space="preserve">REGIE GALYO                             </t>
  </si>
  <si>
    <t>ALBANMEJIA</t>
  </si>
  <si>
    <t xml:space="preserve">ALBAN MEJIA NAIN CORIMOLDX              </t>
  </si>
  <si>
    <t xml:space="preserve">ARFAOUI   </t>
  </si>
  <si>
    <t xml:space="preserve">ARFAOUI NABILA                          </t>
  </si>
  <si>
    <t xml:space="preserve">MOUELHI   </t>
  </si>
  <si>
    <t xml:space="preserve">MOUELHI WAJDI                           </t>
  </si>
  <si>
    <t xml:space="preserve">SLIMANE   </t>
  </si>
  <si>
    <t xml:space="preserve">SLIMANE NAIMA                           </t>
  </si>
  <si>
    <t xml:space="preserve">GANDIOL   </t>
  </si>
  <si>
    <t xml:space="preserve">AUDE GANDIOL                            </t>
  </si>
  <si>
    <t xml:space="preserve">VIEU      </t>
  </si>
  <si>
    <t xml:space="preserve">VIEU SEBASTIEN                          </t>
  </si>
  <si>
    <t>BOWLINGSTA</t>
  </si>
  <si>
    <t>SWEATBOBIN</t>
  </si>
  <si>
    <t xml:space="preserve">SWEAT BOBINES - JULIE BURIANNE          </t>
  </si>
  <si>
    <t xml:space="preserve">MONOPRIX  </t>
  </si>
  <si>
    <t xml:space="preserve">MONOPRIX                                </t>
  </si>
  <si>
    <t xml:space="preserve">OXALIS    </t>
  </si>
  <si>
    <t xml:space="preserve">OXALIS                                  </t>
  </si>
  <si>
    <t xml:space="preserve">WARRIOR   </t>
  </si>
  <si>
    <t xml:space="preserve">WARRIOR ADVENTURE                       </t>
  </si>
  <si>
    <t xml:space="preserve">ALIGNANCE </t>
  </si>
  <si>
    <t xml:space="preserve">ALIGNANCE                               </t>
  </si>
  <si>
    <t xml:space="preserve">METRO     </t>
  </si>
  <si>
    <t xml:space="preserve">METRO                                   </t>
  </si>
  <si>
    <t xml:space="preserve">ZEOTROP   </t>
  </si>
  <si>
    <t xml:space="preserve">ZEOTROPE                                </t>
  </si>
  <si>
    <t xml:space="preserve">ODEON     </t>
  </si>
  <si>
    <t xml:space="preserve">THEATRE DE L'ODEON                      </t>
  </si>
  <si>
    <t xml:space="preserve">PATHE     </t>
  </si>
  <si>
    <t xml:space="preserve">SAS PATHE CARRE DE SOIE                 </t>
  </si>
  <si>
    <t xml:space="preserve">LASERGAME </t>
  </si>
  <si>
    <t xml:space="preserve">LASER GAME CENTRE EUROPEEN              </t>
  </si>
  <si>
    <t xml:space="preserve">PEAUGRES  </t>
  </si>
  <si>
    <t xml:space="preserve">SAFARI DE PEAUGRES                      </t>
  </si>
  <si>
    <t xml:space="preserve">TCL       </t>
  </si>
  <si>
    <t xml:space="preserve">AGENCE COMMERCIALE TCL LA SOIE          </t>
  </si>
  <si>
    <t xml:space="preserve">LE1400    </t>
  </si>
  <si>
    <t xml:space="preserve">LE 1400                                 </t>
  </si>
  <si>
    <t>INTERSPORT</t>
  </si>
  <si>
    <t xml:space="preserve">INTERSPORT                              </t>
  </si>
  <si>
    <t xml:space="preserve">ZOLA      </t>
  </si>
  <si>
    <t xml:space="preserve">LE ZOLA CINEMA                          </t>
  </si>
  <si>
    <t xml:space="preserve">CSCT      </t>
  </si>
  <si>
    <t xml:space="preserve">CENTRE SOCIAL CHARPENNES TONKIN         </t>
  </si>
  <si>
    <t>TCTRANSPOR</t>
  </si>
  <si>
    <t xml:space="preserve">TC TRANSPORT ADAPTE                     </t>
  </si>
  <si>
    <t xml:space="preserve">API       </t>
  </si>
  <si>
    <t xml:space="preserve">A.P.I. ENTREPRISE ADAPTEE               </t>
  </si>
  <si>
    <t xml:space="preserve">BFC2202/00549  </t>
  </si>
  <si>
    <t xml:space="preserve">BFC2202/00550  </t>
  </si>
  <si>
    <t xml:space="preserve">ASP AIDE APPRENTIS                                </t>
  </si>
  <si>
    <t xml:space="preserve">BFC2202/00551  </t>
  </si>
  <si>
    <t xml:space="preserve">BFC2202/00552  </t>
  </si>
  <si>
    <t xml:space="preserve">BFC2202/00553  </t>
  </si>
  <si>
    <t xml:space="preserve">BFC2202/00554  </t>
  </si>
  <si>
    <t xml:space="preserve">BFC2202/00555  </t>
  </si>
  <si>
    <t xml:space="preserve">VIRT CENTRE SOCIAL CUSSET                         </t>
  </si>
  <si>
    <t xml:space="preserve">BAN2202/00079  </t>
  </si>
  <si>
    <t xml:space="preserve">BFC2202/00080  </t>
  </si>
  <si>
    <t xml:space="preserve">BFC2202/00556  </t>
  </si>
  <si>
    <t xml:space="preserve">BFC2202/00557  </t>
  </si>
  <si>
    <t xml:space="preserve">VIREMENTS INTERNES                                </t>
  </si>
  <si>
    <t xml:space="preserve">BFC2202/00558  </t>
  </si>
  <si>
    <t xml:space="preserve">BFC2202/00559  </t>
  </si>
  <si>
    <t xml:space="preserve">BAN2202/00095  </t>
  </si>
  <si>
    <t xml:space="preserve">BFC2202/00560  </t>
  </si>
  <si>
    <t xml:space="preserve">BFC2202/00100  </t>
  </si>
  <si>
    <t xml:space="preserve">BFC2202/00561  </t>
  </si>
  <si>
    <t xml:space="preserve">VILLE - PERISCOLAIRE                              </t>
  </si>
  <si>
    <t xml:space="preserve">BFC2202/00562  </t>
  </si>
  <si>
    <t xml:space="preserve">BFC2202/00563  </t>
  </si>
  <si>
    <t xml:space="preserve">FACTURE HORS NOE / SUPERG                         </t>
  </si>
  <si>
    <t xml:space="preserve">BFC2202/00564  </t>
  </si>
  <si>
    <t xml:space="preserve">BFC2202/00565  </t>
  </si>
  <si>
    <t xml:space="preserve">BFC2202/00566  </t>
  </si>
  <si>
    <t xml:space="preserve">ASP AIDE CONTRAT JEUNE M.PARIS                    </t>
  </si>
  <si>
    <t xml:space="preserve">BFC2202/00112  </t>
  </si>
  <si>
    <t xml:space="preserve">BAN2202/00113  </t>
  </si>
  <si>
    <t xml:space="preserve">BFC2202/00567  </t>
  </si>
  <si>
    <t xml:space="preserve">BFC2202/00568  </t>
  </si>
  <si>
    <t xml:space="preserve">TAXE SUR LES SALAIRES                             </t>
  </si>
  <si>
    <t xml:space="preserve">BFC2202/00569  </t>
  </si>
  <si>
    <t xml:space="preserve">BFC2202/00570  </t>
  </si>
  <si>
    <t xml:space="preserve">ASP - AIDE APPRENTIS                              </t>
  </si>
  <si>
    <t xml:space="preserve">BFC2202/00571  </t>
  </si>
  <si>
    <t xml:space="preserve">BFC2202/00572  </t>
  </si>
  <si>
    <t xml:space="preserve">BFC2202/00147  </t>
  </si>
  <si>
    <t xml:space="preserve">TRESOR PUBLIC VENISSIEUX                </t>
  </si>
  <si>
    <t xml:space="preserve">BAN2202/00149  </t>
  </si>
  <si>
    <t xml:space="preserve">KAMBI - SAISIE 12/21+01-02/22                     </t>
  </si>
  <si>
    <t xml:space="preserve">TRESOR PUBLIC LYON                      </t>
  </si>
  <si>
    <t xml:space="preserve">KANNIAH - SAISIE 12/21+01-02/22                   </t>
  </si>
  <si>
    <t xml:space="preserve">SIP EST LYONNAIS                        </t>
  </si>
  <si>
    <t xml:space="preserve">DANIAL - SAISIE 12/21                             </t>
  </si>
  <si>
    <t xml:space="preserve">CNRACL - 01/2022                                  </t>
  </si>
  <si>
    <t xml:space="preserve">BFC2202/00573  </t>
  </si>
  <si>
    <t xml:space="preserve">VILLE - ACOMPTE SUBV DE FONCTIONNEMENT 70%        </t>
  </si>
  <si>
    <t xml:space="preserve">BFC2202/00575  </t>
  </si>
  <si>
    <t xml:space="preserve">TAXE SUR LES SALAIRES - REMB TROP PAYE            </t>
  </si>
  <si>
    <t xml:space="preserve">BFC2202/00576  </t>
  </si>
  <si>
    <t xml:space="preserve">PRLV PAS                                          </t>
  </si>
  <si>
    <t xml:space="preserve">BFC2202/00577  </t>
  </si>
  <si>
    <t xml:space="preserve">BFC2202/00578  </t>
  </si>
  <si>
    <t xml:space="preserve">BFC2202/00579  </t>
  </si>
  <si>
    <t xml:space="preserve">REMUNERATIONS DUES                                </t>
  </si>
  <si>
    <t xml:space="preserve">BFC2202/00580  </t>
  </si>
  <si>
    <t xml:space="preserve">BFC2202/00581  </t>
  </si>
  <si>
    <t xml:space="preserve">SUNDER    </t>
  </si>
  <si>
    <t xml:space="preserve">SUNDER THERESA                          </t>
  </si>
  <si>
    <t xml:space="preserve">SUNDER THERESA R0100023271                        </t>
  </si>
  <si>
    <t xml:space="preserve">MALEK     </t>
  </si>
  <si>
    <t xml:space="preserve">MALEK FATIMA                            </t>
  </si>
  <si>
    <t xml:space="preserve">MALEK FATIMA R0100023272                          </t>
  </si>
  <si>
    <t xml:space="preserve">SANCHEZ   </t>
  </si>
  <si>
    <t xml:space="preserve">SANCHEZ MELINA                          </t>
  </si>
  <si>
    <t xml:space="preserve">SANCHEZ MELINA R0100023273                        </t>
  </si>
  <si>
    <t xml:space="preserve">LOUHICHI WEJDENE R0100023276                      </t>
  </si>
  <si>
    <t xml:space="preserve">GUERIN CHRISTELLE R0100023277                     </t>
  </si>
  <si>
    <t xml:space="preserve">MOUELHI WAJDI R0100023279                         </t>
  </si>
  <si>
    <t xml:space="preserve">BAH DIALLO ABOUBACAR R0300000781                  </t>
  </si>
  <si>
    <t xml:space="preserve">DIAGOLA SAMBA R0300000782                         </t>
  </si>
  <si>
    <t xml:space="preserve">BAKAMBO PERNELLE R0300000783                      </t>
  </si>
  <si>
    <t xml:space="preserve">SMAJIC VELIDA R0100023287                         </t>
  </si>
  <si>
    <t xml:space="preserve">SOMMIER   </t>
  </si>
  <si>
    <t xml:space="preserve">SOMMIER VIRGINIE                        </t>
  </si>
  <si>
    <t xml:space="preserve">SOMMIER VIRGINIE R0100023289                      </t>
  </si>
  <si>
    <t xml:space="preserve">ALBAYRAK  </t>
  </si>
  <si>
    <t xml:space="preserve">ALBAYRAK DURSUN                         </t>
  </si>
  <si>
    <t xml:space="preserve">ALBAYRAK DURSUN R0100023290                       </t>
  </si>
  <si>
    <t xml:space="preserve">AGAGUENA  </t>
  </si>
  <si>
    <t xml:space="preserve">BELKFIF MESSAOUDA                       </t>
  </si>
  <si>
    <t xml:space="preserve">BELKFIF MESSAOUDA R0100023291                     </t>
  </si>
  <si>
    <t xml:space="preserve">CAI2202/00075  </t>
  </si>
  <si>
    <t xml:space="preserve">EL GAROUI DORSAF avance de caisse                 </t>
  </si>
  <si>
    <t xml:space="preserve">EZZEDDINE MOHAMED R0100023293                     </t>
  </si>
  <si>
    <t xml:space="preserve">DIAGOLA SAMBA R0100023298                         </t>
  </si>
  <si>
    <t xml:space="preserve">RACHIDI AMINA R0100023299                         </t>
  </si>
  <si>
    <t xml:space="preserve">CHERAIET FEHIM R0100023300                        </t>
  </si>
  <si>
    <t xml:space="preserve">CHERAIET FEHIM R0100023301                        </t>
  </si>
  <si>
    <t xml:space="preserve">BOUKHANOUFA MOUNIR R0100023302                    </t>
  </si>
  <si>
    <t xml:space="preserve">BOUKHANOUFA MOUNIR R0100023303                    </t>
  </si>
  <si>
    <t xml:space="preserve">BENRHOUMA RHOUMA R0100023304                      </t>
  </si>
  <si>
    <t xml:space="preserve">JOUINI MONIA R0100023305                          </t>
  </si>
  <si>
    <t xml:space="preserve">ABDELLI HALIMA R0100023306                        </t>
  </si>
  <si>
    <t xml:space="preserve">MADI TAREK R0100023307                            </t>
  </si>
  <si>
    <t xml:space="preserve">CHENAIT GHALIA R0100023308                        </t>
  </si>
  <si>
    <t xml:space="preserve">RACHIDI AMINA R0200001018                         </t>
  </si>
  <si>
    <t xml:space="preserve">CAI2202/00083  </t>
  </si>
  <si>
    <t xml:space="preserve">ABERKANE ASSIA AVANCE DE CAISSE PROJET PARIS      </t>
  </si>
  <si>
    <t xml:space="preserve">CAI2202/00084  </t>
  </si>
  <si>
    <t xml:space="preserve">ABERKANE ASSIA REMBOURSEMENT CARREFOUR            </t>
  </si>
  <si>
    <t xml:space="preserve">CAI2202/00085  </t>
  </si>
  <si>
    <t xml:space="preserve">KIRAKOSYAN ANI R0300000790                        </t>
  </si>
  <si>
    <t xml:space="preserve">Cr馘it KIRAKOSYAN ANI R0300000790                 </t>
  </si>
  <si>
    <t xml:space="preserve">MAROVELO ERIC R0300000791                         </t>
  </si>
  <si>
    <t xml:space="preserve">Cr馘it MAROVELO ERIC R0300000791                  </t>
  </si>
  <si>
    <t xml:space="preserve">DELELET  R0300000792                              </t>
  </si>
  <si>
    <t xml:space="preserve">Cr馘it DELELET  R0300000792                       </t>
  </si>
  <si>
    <t xml:space="preserve">TRAORE MARIAM R0300000793                         </t>
  </si>
  <si>
    <t xml:space="preserve">Cr馘it TRAORE MARIAM R0300000793                  </t>
  </si>
  <si>
    <t xml:space="preserve">TRAORE MARIAM R0300000794                         </t>
  </si>
  <si>
    <t xml:space="preserve">AGGREY ANGELA R0300000795                         </t>
  </si>
  <si>
    <t xml:space="preserve">JEBABLI MAHER R0100023314                         </t>
  </si>
  <si>
    <t xml:space="preserve">CM2202/00087   </t>
  </si>
  <si>
    <t xml:space="preserve">MAKITA CHRIS R0100023315                          </t>
  </si>
  <si>
    <t xml:space="preserve">KAYOWA KABUNDA MARTINE R0100023316                </t>
  </si>
  <si>
    <t xml:space="preserve">AMEUR  R0300000798                                </t>
  </si>
  <si>
    <t xml:space="preserve">BEN AHMED NADIA R0300000799                       </t>
  </si>
  <si>
    <t xml:space="preserve">NKANGA WINA NYOTA R0300000800                     </t>
  </si>
  <si>
    <t xml:space="preserve">Cr馘it NKANGA WINA NYOTA R0300000800              </t>
  </si>
  <si>
    <t xml:space="preserve">CAI2202/00094  </t>
  </si>
  <si>
    <t xml:space="preserve">KAMBI SITTI avance de caisse Sitty DECATHLON      </t>
  </si>
  <si>
    <t xml:space="preserve">LOWE ANNE YOLANDE R0100023317                     </t>
  </si>
  <si>
    <t xml:space="preserve">THABET MOUNIRA R0200001022                        </t>
  </si>
  <si>
    <t xml:space="preserve">EZZEDDINE MOHAMED R0100023319                     </t>
  </si>
  <si>
    <t xml:space="preserve">DE OLIVEIRA JOHNNY R0100023320                    </t>
  </si>
  <si>
    <t xml:space="preserve">CAI2202/00101  </t>
  </si>
  <si>
    <t>FRANCINE CRETTE avance de caisse activit駸 17-18/0</t>
  </si>
  <si>
    <t xml:space="preserve">BAUTISTA DANIELA R0100023321                      </t>
  </si>
  <si>
    <t xml:space="preserve">BERTON    </t>
  </si>
  <si>
    <t xml:space="preserve">BERTON MADELEINE                        </t>
  </si>
  <si>
    <t xml:space="preserve">BERTON MADELEINE R0100023322                      </t>
  </si>
  <si>
    <t xml:space="preserve">GAUDIN    </t>
  </si>
  <si>
    <t xml:space="preserve">GAUDIN MARIE CLAUDE                     </t>
  </si>
  <si>
    <t xml:space="preserve">GAUDIN MARIE CLAUDE R0100023323                   </t>
  </si>
  <si>
    <t xml:space="preserve">GIRAUD    </t>
  </si>
  <si>
    <t xml:space="preserve">GIRAUD YVETTE                           </t>
  </si>
  <si>
    <t xml:space="preserve">GIRAUD YVETTE R0100023324                         </t>
  </si>
  <si>
    <t xml:space="preserve">TEMPESTA  </t>
  </si>
  <si>
    <t xml:space="preserve">TEMPESTA GINA                           </t>
  </si>
  <si>
    <t xml:space="preserve">TEMPESTA GINA R0100023325                         </t>
  </si>
  <si>
    <t xml:space="preserve">DUTKA     </t>
  </si>
  <si>
    <t xml:space="preserve">DUTKA Marko                             </t>
  </si>
  <si>
    <t xml:space="preserve">DUTKA Marko R0100023326                           </t>
  </si>
  <si>
    <t xml:space="preserve">MAJERI Izac R0200001025                           </t>
  </si>
  <si>
    <t xml:space="preserve">SAMUEL Uyigue R0200001027                         </t>
  </si>
  <si>
    <t xml:space="preserve">SBOTH     </t>
  </si>
  <si>
    <t xml:space="preserve">BOTH ANDREA                             </t>
  </si>
  <si>
    <t xml:space="preserve">CAI2202/00104  </t>
  </si>
  <si>
    <t xml:space="preserve">BOTH ANDREA Avance de caisse sortie familles      </t>
  </si>
  <si>
    <t xml:space="preserve">KHALFA SIMARD LOIS R0100023327                    </t>
  </si>
  <si>
    <t xml:space="preserve">KHALFA SIMARD LOIS R0200001029                    </t>
  </si>
  <si>
    <t xml:space="preserve">OSARETIN Augustin R0300000802                     </t>
  </si>
  <si>
    <t xml:space="preserve">Cr馘it OSARETIN Augustin R0300000802              </t>
  </si>
  <si>
    <t xml:space="preserve">MKRTCHYAN  R0300000803                            </t>
  </si>
  <si>
    <t xml:space="preserve">BENRHOUMA RHOUMA R0100023329                      </t>
  </si>
  <si>
    <t xml:space="preserve">BENRHOUMA RHOUMA R0100023330                      </t>
  </si>
  <si>
    <t xml:space="preserve">BOUKHANOUFA MOUNIR R0100023331                    </t>
  </si>
  <si>
    <t xml:space="preserve">BENMAZOUZ CHELHA R0100023332                      </t>
  </si>
  <si>
    <t xml:space="preserve">ABDELLI HALIMA R0100023333                        </t>
  </si>
  <si>
    <t xml:space="preserve">ZEKRI SABRI R0100023334                           </t>
  </si>
  <si>
    <t>DAHMANIMOU</t>
  </si>
  <si>
    <t xml:space="preserve">DAHMANI MOURAD                          </t>
  </si>
  <si>
    <t xml:space="preserve">DAHMANI MOURAD R0100023335                        </t>
  </si>
  <si>
    <t xml:space="preserve">DAHMANI MOURAD R0100023336                        </t>
  </si>
  <si>
    <t xml:space="preserve">FATNASSI  </t>
  </si>
  <si>
    <t xml:space="preserve">FATNASSI CINDY                          </t>
  </si>
  <si>
    <t xml:space="preserve">FATNASSI CINDY R0100023337                        </t>
  </si>
  <si>
    <t xml:space="preserve">ZEKRI SABRI R0100023338                           </t>
  </si>
  <si>
    <t xml:space="preserve">KARASLIMA </t>
  </si>
  <si>
    <t xml:space="preserve">KARA SLIMANE YAMINA                     </t>
  </si>
  <si>
    <t xml:space="preserve">KARA SLIMANE YAMINA R0100023339                   </t>
  </si>
  <si>
    <t xml:space="preserve">BOUKHANOUFA MOUNIR R0100023340                    </t>
  </si>
  <si>
    <t xml:space="preserve">KHALFA SIMARD LOIS R0100023341                    </t>
  </si>
  <si>
    <t xml:space="preserve">BROSSUTTI BOUCHRA R0100023342                     </t>
  </si>
  <si>
    <t>OUAKZIZBEZ</t>
  </si>
  <si>
    <t xml:space="preserve">OUAKZIZ BEZZA                           </t>
  </si>
  <si>
    <t xml:space="preserve">OUAKZIZ BEZZA R0100023343                         </t>
  </si>
  <si>
    <t xml:space="preserve">ZEKRI SABRI R0100023344                           </t>
  </si>
  <si>
    <t xml:space="preserve">KARA SLIMANE YAMINA R0100023345                   </t>
  </si>
  <si>
    <t xml:space="preserve">ABDELLI HALIMA R0100023346                        </t>
  </si>
  <si>
    <t xml:space="preserve">KHALFA SIMARD LOIS R0100023347                    </t>
  </si>
  <si>
    <t xml:space="preserve">OUILI     </t>
  </si>
  <si>
    <t xml:space="preserve">OUILI ANISSA                            </t>
  </si>
  <si>
    <t xml:space="preserve">OUILI ANISSA R0100023348                          </t>
  </si>
  <si>
    <t xml:space="preserve">SMAALI    </t>
  </si>
  <si>
    <t xml:space="preserve">SMAALI YOUSRA                           </t>
  </si>
  <si>
    <t xml:space="preserve">SMAALI KHEMAIES R0100023349                       </t>
  </si>
  <si>
    <t xml:space="preserve">SMAALI KHEMAIES R0100023350                       </t>
  </si>
  <si>
    <t xml:space="preserve">CAI2202/00127  </t>
  </si>
  <si>
    <t xml:space="preserve">BOTH ANDREA RETOUR AVANCE DE CAISSE               </t>
  </si>
  <si>
    <t xml:space="preserve">ABDELLI HALIMA R0100023351                        </t>
  </si>
  <si>
    <t xml:space="preserve">ABDELLI HALIMA R0100023352                        </t>
  </si>
  <si>
    <t xml:space="preserve">BENMAZOUZ CHELHA R0100023353                      </t>
  </si>
  <si>
    <t xml:space="preserve">DRISS     </t>
  </si>
  <si>
    <t xml:space="preserve">DRISS MOHAMED                           </t>
  </si>
  <si>
    <t xml:space="preserve">DRISS MOHAMED R0100023354                         </t>
  </si>
  <si>
    <t xml:space="preserve">KARA SLIMANE YAMINA R0100023355                   </t>
  </si>
  <si>
    <t xml:space="preserve">BOUKHANOUFA MOUNIR R0100023356                    </t>
  </si>
  <si>
    <t xml:space="preserve">ZEKRI SABRI R0100023357                           </t>
  </si>
  <si>
    <t xml:space="preserve">ZEKRI SABRI R0100023358                           </t>
  </si>
  <si>
    <t xml:space="preserve">BENRHOUMA RHOUMA R0100023359                      </t>
  </si>
  <si>
    <t xml:space="preserve">FATNASSI CINDY R0100023360                        </t>
  </si>
  <si>
    <t xml:space="preserve">ZEMMOUR YAYA R0100023361                          </t>
  </si>
  <si>
    <t xml:space="preserve">KHALFA SIMARD LOIS R0100023362                    </t>
  </si>
  <si>
    <t xml:space="preserve">KHALFA SIMARD LOIS R0100023363                    </t>
  </si>
  <si>
    <t xml:space="preserve">KHALFA SIMARD LOIS R0100023364                    </t>
  </si>
  <si>
    <t xml:space="preserve">LOUATI ALI R0100023365                            </t>
  </si>
  <si>
    <t xml:space="preserve">LOUATI ALI R0100023366                            </t>
  </si>
  <si>
    <t xml:space="preserve">LOUATI ALI R0100023367                            </t>
  </si>
  <si>
    <t xml:space="preserve">OUILI ANISSA R0100023368                          </t>
  </si>
  <si>
    <t xml:space="preserve">SMAALI KHEMAIES R0100023369                       </t>
  </si>
  <si>
    <t xml:space="preserve">SMAALI KHEMAIES R0100023370                       </t>
  </si>
  <si>
    <t xml:space="preserve">ABDELKADER SAMIR R0100023371                      </t>
  </si>
  <si>
    <t xml:space="preserve">BOUKHANOUFA MOUNIR R0100023372                    </t>
  </si>
  <si>
    <t xml:space="preserve">ABDELKADER SAMIR R0100023373                      </t>
  </si>
  <si>
    <t xml:space="preserve">BENMAZOUZ CHELHA R0100023374                      </t>
  </si>
  <si>
    <t xml:space="preserve">KARA SLIMANE YAMINA R0100023375                   </t>
  </si>
  <si>
    <t xml:space="preserve">IDELHOUCINE BUSTAMANTE GUZMAN Elias R0200001036   </t>
  </si>
  <si>
    <t xml:space="preserve">KOUICI STEVE R0200001037                          </t>
  </si>
  <si>
    <t xml:space="preserve">SAHLI Perrine R0200001038                         </t>
  </si>
  <si>
    <t xml:space="preserve">MALEK FATIMA R0100023377                          </t>
  </si>
  <si>
    <t xml:space="preserve">BENRHOUMA RHOUMA R0100023379                      </t>
  </si>
  <si>
    <t xml:space="preserve">BENRHOUMA RHOUMA R0100023380                      </t>
  </si>
  <si>
    <t xml:space="preserve">BOUKHANOUFA MOUNIR R0100023381                    </t>
  </si>
  <si>
    <t xml:space="preserve">LOUATI ALI R0100023382                            </t>
  </si>
  <si>
    <t xml:space="preserve">BENMAZOUZ CHELHA R0100023383                      </t>
  </si>
  <si>
    <t xml:space="preserve">JOUINI MONIA R0100023384                          </t>
  </si>
  <si>
    <t xml:space="preserve">ABDELKADER SAMIR R0100023385                      </t>
  </si>
  <si>
    <t xml:space="preserve">ZEKRI SABRI R0100023386                           </t>
  </si>
  <si>
    <t xml:space="preserve">ZEKRI SABRI R0100023387                           </t>
  </si>
  <si>
    <t xml:space="preserve">KARA SLIMANE YAMINA R0100023388                   </t>
  </si>
  <si>
    <t xml:space="preserve">DRISS MOHAMED R0100023389                         </t>
  </si>
  <si>
    <t xml:space="preserve">ABDELLI HALIMA R0100023390                        </t>
  </si>
  <si>
    <t xml:space="preserve">SMAALI KHEMAIES R0100023391                       </t>
  </si>
  <si>
    <t xml:space="preserve">OUILI ANISSA R0100023392                          </t>
  </si>
  <si>
    <t xml:space="preserve">MADI TAREK R0100023393                            </t>
  </si>
  <si>
    <t xml:space="preserve">BROSSUTTI BOUCHRA R0100023394                     </t>
  </si>
  <si>
    <t xml:space="preserve">OUAKZIZ BEZZA R0100023395                         </t>
  </si>
  <si>
    <t xml:space="preserve">KARA SLIMANE YAMINA R0100023396                   </t>
  </si>
  <si>
    <t xml:space="preserve">KHALDI KARIMA R0100023397                         </t>
  </si>
  <si>
    <t xml:space="preserve">ZEKRI SABRI R0100023398                           </t>
  </si>
  <si>
    <t xml:space="preserve">ZEKRI SABRI R0100023399                           </t>
  </si>
  <si>
    <t xml:space="preserve">BENRHOUMA RHOUMA R0100023400                      </t>
  </si>
  <si>
    <t xml:space="preserve">BENRHOUMA RHOUMA R0100023401                      </t>
  </si>
  <si>
    <t xml:space="preserve">BOUKHANOUFA MOUNIR R0100023402                    </t>
  </si>
  <si>
    <t xml:space="preserve">FATNASSI CINDY R0100023403                        </t>
  </si>
  <si>
    <t xml:space="preserve">KHALDI KARIMA R0100023404                         </t>
  </si>
  <si>
    <t xml:space="preserve">DRISS MOHAMED R0100023405                         </t>
  </si>
  <si>
    <t xml:space="preserve">KHALFA SIMARD LOIS R0100023406                    </t>
  </si>
  <si>
    <t xml:space="preserve">BENMAZOUZ CHELHA R0100023407                      </t>
  </si>
  <si>
    <t xml:space="preserve">LOUATI ALI R0100023408                            </t>
  </si>
  <si>
    <t xml:space="preserve">ABDELKADER SAMIR R0100023409                      </t>
  </si>
  <si>
    <t xml:space="preserve">JOUINI MONIA R0100023410                          </t>
  </si>
  <si>
    <t xml:space="preserve">EL HADDAD ABDELNASSER R0100023411                 </t>
  </si>
  <si>
    <t xml:space="preserve">OUILI ANISSA R0100023412                          </t>
  </si>
  <si>
    <t xml:space="preserve">SMAALI KHEMAIES R0100023413                       </t>
  </si>
  <si>
    <t xml:space="preserve">SMAALI KHEMAIES R0100023414                       </t>
  </si>
  <si>
    <t xml:space="preserve">BOUKHANOUFA MOUNIR R0100023415                    </t>
  </si>
  <si>
    <t xml:space="preserve">KARA SLIMANE YAMINA R0100023416                   </t>
  </si>
  <si>
    <t xml:space="preserve">KHALDI KARIMA R0100023417                         </t>
  </si>
  <si>
    <t xml:space="preserve">ZEKRI SABRI R0100023418                           </t>
  </si>
  <si>
    <t xml:space="preserve">CHENAIT GHALIA R0100023419                        </t>
  </si>
  <si>
    <t xml:space="preserve">FATNASSI CINDY R0100023420                        </t>
  </si>
  <si>
    <t xml:space="preserve">KHALFA SIMARD LOIS R0100023421                    </t>
  </si>
  <si>
    <t xml:space="preserve">SMAALI KHEMAIES R0100023422                       </t>
  </si>
  <si>
    <t xml:space="preserve">OUILI ANISSA R0100023423                          </t>
  </si>
  <si>
    <t xml:space="preserve">BENRHOUMA RHOUMA R0100023424                      </t>
  </si>
  <si>
    <t xml:space="preserve">BENMAZOUZ CHELHA R0100023425                      </t>
  </si>
  <si>
    <t xml:space="preserve">JOUINI MONIA R0100023426                          </t>
  </si>
  <si>
    <t xml:space="preserve">EL HADDAD ABDELNASSER R0100023427                 </t>
  </si>
  <si>
    <t xml:space="preserve">LOUATI ALI R0100023428                            </t>
  </si>
  <si>
    <t xml:space="preserve">ABDELKADER SAMIR R0100023429                      </t>
  </si>
  <si>
    <t xml:space="preserve">DRISS MOHAMED R0100023430                         </t>
  </si>
  <si>
    <t xml:space="preserve">MADI TAREK R0100023431                            </t>
  </si>
  <si>
    <t xml:space="preserve">LOUATI ALI R0100023432                            </t>
  </si>
  <si>
    <t xml:space="preserve">JOUINI MONIA R0100023433                          </t>
  </si>
  <si>
    <t xml:space="preserve">BELGACEM AMAL R0100023434                         </t>
  </si>
  <si>
    <t xml:space="preserve">SLIMANE NAIMA R0100023435                         </t>
  </si>
  <si>
    <t xml:space="preserve">Cr馘it SLIMANE NAIMA R0100023435                  </t>
  </si>
  <si>
    <t xml:space="preserve">CAI2202/00153  </t>
  </si>
  <si>
    <t xml:space="preserve">FRANCINE CRETTE rendu suite avance de caisse      </t>
  </si>
  <si>
    <t xml:space="preserve">CAI2202/00154  </t>
  </si>
  <si>
    <t xml:space="preserve">FRANCINE CRETTE REMBOURSEMENT CASINO              </t>
  </si>
  <si>
    <t xml:space="preserve">COTTIER ELEONORE R0100023436                      </t>
  </si>
  <si>
    <t xml:space="preserve">BENMAZOUZ CHELHA R0100023437                      </t>
  </si>
  <si>
    <t xml:space="preserve">LOUATI ALI R0100023438                            </t>
  </si>
  <si>
    <t xml:space="preserve">CHENAIT GHALIA R0100023439                        </t>
  </si>
  <si>
    <t xml:space="preserve">BOUKHANOUFA MOUNIR R0100023440                    </t>
  </si>
  <si>
    <t xml:space="preserve">MADI TAREK R0100023441                            </t>
  </si>
  <si>
    <t xml:space="preserve">JOUINI MONIA R0100023442                          </t>
  </si>
  <si>
    <t xml:space="preserve">KHALFA SIMARD LOIS R0100023443                    </t>
  </si>
  <si>
    <t xml:space="preserve">KHALFA SIMARD LOIS R0100023444                    </t>
  </si>
  <si>
    <t xml:space="preserve">KHALDI KARIMA R0100023445                         </t>
  </si>
  <si>
    <t xml:space="preserve">DRISS MOHAMED R0100023446                         </t>
  </si>
  <si>
    <t xml:space="preserve">FATNASSI CINDY R0100023447                        </t>
  </si>
  <si>
    <t xml:space="preserve">KARA SLIMANE YAMINA R0100023448                   </t>
  </si>
  <si>
    <t xml:space="preserve">EL HADDAD ABDELNASSER R0100023449                 </t>
  </si>
  <si>
    <t xml:space="preserve">ABDELKADER SAMIR R0100023450                      </t>
  </si>
  <si>
    <t xml:space="preserve">SMAALI KHEMAIES R0100023451                       </t>
  </si>
  <si>
    <t xml:space="preserve">OUILI ANISSA R0100023452                          </t>
  </si>
  <si>
    <t xml:space="preserve">BOUKHANOUFA MOUNIR R0100023453                    </t>
  </si>
  <si>
    <t xml:space="preserve">KHALFA SIMARD LOIS R0100023454                    </t>
  </si>
  <si>
    <t xml:space="preserve">KHALDI KARIMA R0100023455                         </t>
  </si>
  <si>
    <t xml:space="preserve">SAFFI     </t>
  </si>
  <si>
    <t xml:space="preserve">SAFFI INAYA                             </t>
  </si>
  <si>
    <t xml:space="preserve">SAFFI RIME R0100023456                            </t>
  </si>
  <si>
    <t xml:space="preserve">DRISS MOHAMED R0100023457                         </t>
  </si>
  <si>
    <t xml:space="preserve">DRISS MOHAMED R0100023458                         </t>
  </si>
  <si>
    <t xml:space="preserve">DRISS MOHAMED R0100023459                         </t>
  </si>
  <si>
    <t xml:space="preserve">SEGHIOUER </t>
  </si>
  <si>
    <t xml:space="preserve">SEGHIOUER NAFEZ                         </t>
  </si>
  <si>
    <t xml:space="preserve">SEGHIOUER NAFEZ R0100023460                       </t>
  </si>
  <si>
    <t xml:space="preserve">SEGHIOUER NAFEZ R0100023461                       </t>
  </si>
  <si>
    <t xml:space="preserve">SAFFI RIME R0100023462                            </t>
  </si>
  <si>
    <t xml:space="preserve">DRISS MOHAMED R0100023463                         </t>
  </si>
  <si>
    <t xml:space="preserve">JOUINI MONIA R0100023464                          </t>
  </si>
  <si>
    <t xml:space="preserve">KARA SLIMANE YAMINA R0100023465                   </t>
  </si>
  <si>
    <t xml:space="preserve">SMAALI KHEMAIES R0100023466                       </t>
  </si>
  <si>
    <t xml:space="preserve">BOUKHANOUFA MOUNIR R0100023467                    </t>
  </si>
  <si>
    <t xml:space="preserve">EL HADDAD ABDELNASSER R0100023468                 </t>
  </si>
  <si>
    <t xml:space="preserve">CHENAIT GHALIA R0100023469                        </t>
  </si>
  <si>
    <t xml:space="preserve">LOUATI ALI R0100023470                            </t>
  </si>
  <si>
    <t xml:space="preserve">DRISS MOHAMED R0100023471                         </t>
  </si>
  <si>
    <t xml:space="preserve">BENMAZOUZ CHELHA R0100023472                      </t>
  </si>
  <si>
    <t xml:space="preserve">MADI TAREK R0100023473                            </t>
  </si>
  <si>
    <t xml:space="preserve">CAI2202/00155  </t>
  </si>
  <si>
    <t xml:space="preserve">BOISSY OLIVIER remboursement Amelia carrefour     </t>
  </si>
  <si>
    <t xml:space="preserve">LOUATI ALI R0100023474                            </t>
  </si>
  <si>
    <t xml:space="preserve">GUERIN CHRISTELLE R0100023475                     </t>
  </si>
  <si>
    <t xml:space="preserve">Ann LOUATI ALI R0100023438                        </t>
  </si>
  <si>
    <t xml:space="preserve">CAI2202/00157  </t>
  </si>
  <si>
    <t xml:space="preserve">FRANCINE CRETTE avance de caisse bureau vall・    </t>
  </si>
  <si>
    <t xml:space="preserve">SBOUVIER  </t>
  </si>
  <si>
    <t xml:space="preserve">BOUVIER LUCILE                          </t>
  </si>
  <si>
    <t xml:space="preserve">CAI2202/00160  </t>
  </si>
  <si>
    <t xml:space="preserve">BOUVIER LUCILE AVANCE DE CAISSE REPAS FORMATION   </t>
  </si>
  <si>
    <t xml:space="preserve">CAI2202/00161  </t>
  </si>
  <si>
    <t xml:space="preserve">BOUVIER LUCILE RETOUR AVANCE DE CAISSE REPAS      </t>
  </si>
  <si>
    <t xml:space="preserve">CAI2202/00162  </t>
  </si>
  <si>
    <t xml:space="preserve">BOUVIER LUCILE AVANCE DE CAISSE LA VIE CLAIRE     </t>
  </si>
  <si>
    <t xml:space="preserve">CAI2202/00163  </t>
  </si>
  <si>
    <t>ABERKANE ASSIA RETOUR AVANCE DE CAISSE PROJET PARI</t>
  </si>
  <si>
    <t xml:space="preserve">RACHIDI AMINA R0100023477                         </t>
  </si>
  <si>
    <t xml:space="preserve">ZEKRI SABRI R0100023478                           </t>
  </si>
  <si>
    <t xml:space="preserve">ABDELKADER SAMIR R0100023479                      </t>
  </si>
  <si>
    <t xml:space="preserve">KARA SLIMANE YAMINA R0100023480                   </t>
  </si>
  <si>
    <t xml:space="preserve">KARA SLIMANE YAMINA R0100023481                   </t>
  </si>
  <si>
    <t xml:space="preserve">ABDELKADER SAMIR R0100023482                      </t>
  </si>
  <si>
    <t xml:space="preserve">BOUKHANOUFA MOUNIR R0100023483                    </t>
  </si>
  <si>
    <t xml:space="preserve">ZEKRI SABRI R0100023484                           </t>
  </si>
  <si>
    <t xml:space="preserve">ZEKRI SABRI R0100023485                           </t>
  </si>
  <si>
    <t xml:space="preserve">SAFFI RIME R0100023486                            </t>
  </si>
  <si>
    <t xml:space="preserve">KHALDI KARIMA R0100023487                         </t>
  </si>
  <si>
    <t xml:space="preserve">DRISS MOHAMED R0100023488                         </t>
  </si>
  <si>
    <t xml:space="preserve">JOUINI MONIA R0100023489                          </t>
  </si>
  <si>
    <t xml:space="preserve">BENMAZOUZ CHELHA R0100023490                      </t>
  </si>
  <si>
    <t xml:space="preserve">LOUATI ALI R0100023491                            </t>
  </si>
  <si>
    <t xml:space="preserve">LOUATI ALI R0100023492                            </t>
  </si>
  <si>
    <t xml:space="preserve">MADI TAREK R0100023493                            </t>
  </si>
  <si>
    <t xml:space="preserve">EL HADDAD ABDELNASSER R0100023494                 </t>
  </si>
  <si>
    <t xml:space="preserve">ZEKRI SABRI R0100023495                           </t>
  </si>
  <si>
    <t xml:space="preserve">SAFFI RIME R0100023496                            </t>
  </si>
  <si>
    <t xml:space="preserve">FATNASSI CINDY R0100023497                        </t>
  </si>
  <si>
    <t xml:space="preserve">ABDELKADER SAMIR R0100023498                      </t>
  </si>
  <si>
    <t xml:space="preserve">JOUINI MONIA R0100023499                          </t>
  </si>
  <si>
    <t xml:space="preserve">BENMAZOUZ CHELHA R0100023500                      </t>
  </si>
  <si>
    <t xml:space="preserve">KHALDI KARIMA R0100023501                         </t>
  </si>
  <si>
    <t xml:space="preserve">LOUATI ALI R0100023502                            </t>
  </si>
  <si>
    <t xml:space="preserve">BOUKHANOUFA MOUNIR R0100023503                    </t>
  </si>
  <si>
    <t xml:space="preserve">RACHIDI AMINA R0200001039                         </t>
  </si>
  <si>
    <t xml:space="preserve">CM2202/00050   </t>
  </si>
  <si>
    <t xml:space="preserve">Remise de ch鑷ues nｰ 20220201                     </t>
  </si>
  <si>
    <t xml:space="preserve">CM2202/00456   </t>
  </si>
  <si>
    <t xml:space="preserve">CM2202/00457   </t>
  </si>
  <si>
    <t xml:space="preserve">BFC2202/00741  </t>
  </si>
  <si>
    <t xml:space="preserve">ACPTE MINI WORLD LYON AL 3/6                      </t>
  </si>
  <si>
    <t xml:space="preserve">CM2202/00458   </t>
  </si>
  <si>
    <t xml:space="preserve">PAIEMENT CB - FNAC                                </t>
  </si>
  <si>
    <t xml:space="preserve">CM2202/00459   </t>
  </si>
  <si>
    <t xml:space="preserve">PRLV ORANGE FIBRE 8642A6                          </t>
  </si>
  <si>
    <t xml:space="preserve">CM2202/00460   </t>
  </si>
  <si>
    <t xml:space="preserve">PRLV ORANGE FIXE 4022A6                           </t>
  </si>
  <si>
    <t xml:space="preserve">CM2202/00462   </t>
  </si>
  <si>
    <t xml:space="preserve">CM2202/00086   </t>
  </si>
  <si>
    <t xml:space="preserve">Remise de ch鑷ues nｰ 20220209                     </t>
  </si>
  <si>
    <t xml:space="preserve">CM2202/00463   </t>
  </si>
  <si>
    <t xml:space="preserve">FRAIS BANCAIRES                                   </t>
  </si>
  <si>
    <t xml:space="preserve">CM2202/00464   </t>
  </si>
  <si>
    <t xml:space="preserve">REGLT CB - BRUNEAU                                </t>
  </si>
  <si>
    <t xml:space="preserve">CM2202/00465   </t>
  </si>
  <si>
    <t xml:space="preserve">CM2202/00466   </t>
  </si>
  <si>
    <t xml:space="preserve">REGLT CB - MONOPRIX                               </t>
  </si>
  <si>
    <t xml:space="preserve">CM2202/00467   </t>
  </si>
  <si>
    <t xml:space="preserve">CM2202/00468   </t>
  </si>
  <si>
    <t xml:space="preserve">REGLT CHQ PATINOIRE BARABAN                       </t>
  </si>
  <si>
    <t xml:space="preserve">CM2202/00103   </t>
  </si>
  <si>
    <t xml:space="preserve">Remise de ch鑷ues nｰ 20220215                     </t>
  </si>
  <si>
    <t xml:space="preserve">CM2202/00469   </t>
  </si>
  <si>
    <t xml:space="preserve">CM2202/02209   </t>
  </si>
  <si>
    <t xml:space="preserve">ANNUL CH ANCV DIFFERES                            </t>
  </si>
  <si>
    <t xml:space="preserve">CM2202/00105   </t>
  </si>
  <si>
    <t xml:space="preserve">Remise de ch鑷ues nｰ 20220216                     </t>
  </si>
  <si>
    <t xml:space="preserve">CM2202/00470   </t>
  </si>
  <si>
    <t xml:space="preserve">REGLT TCL CHQ                                     </t>
  </si>
  <si>
    <t xml:space="preserve">CM2202/00471   </t>
  </si>
  <si>
    <t xml:space="preserve">REGLT CB - METRO                                  </t>
  </si>
  <si>
    <t xml:space="preserve">CM2202/00472   </t>
  </si>
  <si>
    <t xml:space="preserve">CM2202/00473   </t>
  </si>
  <si>
    <t xml:space="preserve">REGLT CHQ - AQUARIUM DE LYON                      </t>
  </si>
  <si>
    <t xml:space="preserve">CM2202/00474   </t>
  </si>
  <si>
    <t xml:space="preserve">PRLV ORANGE FIBRE 1682A9                          </t>
  </si>
  <si>
    <t xml:space="preserve">CM2202/00475   </t>
  </si>
  <si>
    <t xml:space="preserve">REGLT CHQ - SAFARI DE PEAUGRES                    </t>
  </si>
  <si>
    <t xml:space="preserve">CM2202/00476   </t>
  </si>
  <si>
    <t xml:space="preserve">PRLV RICOH                                        </t>
  </si>
  <si>
    <t xml:space="preserve">FORUM REFUGIE                           </t>
  </si>
  <si>
    <t xml:space="preserve">CM2202/00477   </t>
  </si>
  <si>
    <t xml:space="preserve">VIRT FORUM REFUGIE                                </t>
  </si>
  <si>
    <t xml:space="preserve">CM2202/00478   </t>
  </si>
  <si>
    <t xml:space="preserve">PRLV ORANGE INTERNET 8202B2                       </t>
  </si>
  <si>
    <t xml:space="preserve">CM2202/00479   </t>
  </si>
  <si>
    <t xml:space="preserve">REGLT CHQ - THEATRE DE L'ODEON                    </t>
  </si>
  <si>
    <t xml:space="preserve">CM2202/00480   </t>
  </si>
  <si>
    <t xml:space="preserve">REGLT CHQ - PATHE CARRE DE SOIE                   </t>
  </si>
  <si>
    <t xml:space="preserve">BOULARES  </t>
  </si>
  <si>
    <t xml:space="preserve">BOULARES LATEFA                         </t>
  </si>
  <si>
    <t xml:space="preserve">GAVRILIUC </t>
  </si>
  <si>
    <t xml:space="preserve">GAVRILIUC VASILE                        </t>
  </si>
  <si>
    <t xml:space="preserve">FIKRI     </t>
  </si>
  <si>
    <t xml:space="preserve">FIKRI HAFIDA                            </t>
  </si>
  <si>
    <t>DIALLOCAMA</t>
  </si>
  <si>
    <t xml:space="preserve">DIALLO CAMARA IBRAHIMA                  </t>
  </si>
  <si>
    <t xml:space="preserve">BOUGHRARA </t>
  </si>
  <si>
    <t xml:space="preserve">BOUGHRARA HANANE                        </t>
  </si>
  <si>
    <t xml:space="preserve">REGIELYON </t>
  </si>
  <si>
    <t xml:space="preserve">REGIE LYON REGIE                        </t>
  </si>
  <si>
    <t xml:space="preserve">SAUDEBEAU </t>
  </si>
  <si>
    <t xml:space="preserve">AUDEBEAU AURELIA                        </t>
  </si>
  <si>
    <t xml:space="preserve">SARTHUS   </t>
  </si>
  <si>
    <t xml:space="preserve">PIERRE ARTHUS                           </t>
  </si>
  <si>
    <t xml:space="preserve">QUESNOY   </t>
  </si>
  <si>
    <t xml:space="preserve">QUESNOY MARTINE                         </t>
  </si>
  <si>
    <t xml:space="preserve">CEMEA     </t>
  </si>
  <si>
    <t xml:space="preserve">CEMEA                                   </t>
  </si>
  <si>
    <t xml:space="preserve">TECHNIV   </t>
  </si>
  <si>
    <t xml:space="preserve">TECHNIVAP LYON SA                       </t>
  </si>
  <si>
    <t xml:space="preserve">SECOURS   </t>
  </si>
  <si>
    <t xml:space="preserve">SECOURS POPULAIRE FRANCAIS              </t>
  </si>
  <si>
    <t>CENTREEQUE</t>
  </si>
  <si>
    <t xml:space="preserve">CENTRE EQUESTRE LYON PARILLY            </t>
  </si>
  <si>
    <t>PARKEVENTS</t>
  </si>
  <si>
    <t xml:space="preserve">PARK EVENTS KARTING                     </t>
  </si>
  <si>
    <t xml:space="preserve">PICARD    </t>
  </si>
  <si>
    <t xml:space="preserve">PICARD SERVICES                         </t>
  </si>
  <si>
    <t xml:space="preserve">CASAL     </t>
  </si>
  <si>
    <t xml:space="preserve">CASAL SPORT LYON                        </t>
  </si>
  <si>
    <t>FRANCEAVEN</t>
  </si>
  <si>
    <t xml:space="preserve">FRANCE AVENTURES LYON                   </t>
  </si>
  <si>
    <t xml:space="preserve">BFC2203/00182  </t>
  </si>
  <si>
    <t xml:space="preserve">BFC2203/00816  </t>
  </si>
  <si>
    <t xml:space="preserve">FRAIS BANCAIRE : INFO COMM/COMPTES                </t>
  </si>
  <si>
    <t xml:space="preserve">BFC2203/00817  </t>
  </si>
  <si>
    <t xml:space="preserve">VILLE VIRT ACPTE SUBV ENFANCE                     </t>
  </si>
  <si>
    <t xml:space="preserve">BFC2203/00818  </t>
  </si>
  <si>
    <t xml:space="preserve">BFC2203/00819  </t>
  </si>
  <si>
    <t xml:space="preserve">BFC2203/00195  </t>
  </si>
  <si>
    <t>BOISDESLUT</t>
  </si>
  <si>
    <t xml:space="preserve">LE BOIS DES LUTINS                      </t>
  </si>
  <si>
    <t xml:space="preserve">BAN2203/00196  </t>
  </si>
  <si>
    <t xml:space="preserve">BFC2203/00820  </t>
  </si>
  <si>
    <t xml:space="preserve">VIRT SALAIRE CEE                                  </t>
  </si>
  <si>
    <t xml:space="preserve">BFC2203/00821  </t>
  </si>
  <si>
    <t xml:space="preserve">BFC2203/00822  </t>
  </si>
  <si>
    <t xml:space="preserve">BFC2203/00823  </t>
  </si>
  <si>
    <t xml:space="preserve">VIRT VILLE - ACOMPTE SUBV PETITE ENFANCE          </t>
  </si>
  <si>
    <t xml:space="preserve">BFC2203/00824  </t>
  </si>
  <si>
    <t xml:space="preserve">VIRT UNIFORMATION                                 </t>
  </si>
  <si>
    <t xml:space="preserve">BFC2203/00271  </t>
  </si>
  <si>
    <t xml:space="preserve">BAN2203/00272  </t>
  </si>
  <si>
    <t xml:space="preserve">BFC2203/00825  </t>
  </si>
  <si>
    <t xml:space="preserve">PRLV MUTUELLE                                     </t>
  </si>
  <si>
    <t xml:space="preserve">BFC2203/00826  </t>
  </si>
  <si>
    <t xml:space="preserve">BFC2203/00827  </t>
  </si>
  <si>
    <t xml:space="preserve">METROPOLE - SOLDE IED 2021                        </t>
  </si>
  <si>
    <t xml:space="preserve">BFC2203/00828  </t>
  </si>
  <si>
    <t xml:space="preserve">METROPOLE - SOLDE IER 2021                        </t>
  </si>
  <si>
    <t xml:space="preserve">BFC2203/00829  </t>
  </si>
  <si>
    <t xml:space="preserve">BFC2203/00837  </t>
  </si>
  <si>
    <t xml:space="preserve">PS ACF - CFAL - ACOMPTE                           </t>
  </si>
  <si>
    <t xml:space="preserve">BFC2203/00838  </t>
  </si>
  <si>
    <t xml:space="preserve">PS ACF - CYPRIAN - ACOMPTE                        </t>
  </si>
  <si>
    <t xml:space="preserve">BFC2203/00853  </t>
  </si>
  <si>
    <t xml:space="preserve">BAN2203/00304  </t>
  </si>
  <si>
    <t xml:space="preserve">BAN2203/00308  </t>
  </si>
  <si>
    <t xml:space="preserve">BFC2203/00854  </t>
  </si>
  <si>
    <t xml:space="preserve">ASP - VIRT CONTRAT AIDE                           </t>
  </si>
  <si>
    <t xml:space="preserve">BFC2203/00855  </t>
  </si>
  <si>
    <t xml:space="preserve">PRLV PAS 02/22                                    </t>
  </si>
  <si>
    <t xml:space="preserve">BFC2203/00356  </t>
  </si>
  <si>
    <t xml:space="preserve">BAN2203/00359  </t>
  </si>
  <si>
    <t xml:space="preserve">BFC2203/00856  </t>
  </si>
  <si>
    <t xml:space="preserve">BFC2203/00857  </t>
  </si>
  <si>
    <t xml:space="preserve">PRLV APICIL 02/22                                 </t>
  </si>
  <si>
    <t xml:space="preserve">BFC2203/00858  </t>
  </si>
  <si>
    <t xml:space="preserve">VIRT VILLE - PRE                                  </t>
  </si>
  <si>
    <t xml:space="preserve">BFC2203/00859  </t>
  </si>
  <si>
    <t xml:space="preserve">VIRT VILLE - ECO SOC ET SOL PEF SOLDE 2021        </t>
  </si>
  <si>
    <t xml:space="preserve">BFC2203/00860  </t>
  </si>
  <si>
    <t xml:space="preserve">VIRT SALAIRE 03/22                                </t>
  </si>
  <si>
    <t xml:space="preserve">PRLV VAEMA                                        </t>
  </si>
  <si>
    <t xml:space="preserve">BFC2203/00861  </t>
  </si>
  <si>
    <t xml:space="preserve">BFC2203/01113  </t>
  </si>
  <si>
    <t xml:space="preserve">VIRT CAF PS AG / CYPRIAN                          </t>
  </si>
  <si>
    <t xml:space="preserve">BFC2203/01114  </t>
  </si>
  <si>
    <t xml:space="preserve">VIRT CAF PS AG / CFAL                             </t>
  </si>
  <si>
    <t xml:space="preserve">ANDRIET AGNES R0100023504                         </t>
  </si>
  <si>
    <t xml:space="preserve">BELLEMIN MICHELLE R0100023505                     </t>
  </si>
  <si>
    <t xml:space="preserve">CHANAUD MARTINE R0100023506                       </t>
  </si>
  <si>
    <t xml:space="preserve">CHARENSOL MICHELE R0100023507                     </t>
  </si>
  <si>
    <t xml:space="preserve">COLOM FRANCOISE R0100023508                       </t>
  </si>
  <si>
    <t xml:space="preserve">COMBE DOMINIQUE R0100023509                       </t>
  </si>
  <si>
    <t xml:space="preserve">KANNEVORFF ANNE R0100023510                       </t>
  </si>
  <si>
    <t xml:space="preserve">Cr馘it KANNEVORFF ANNE R0100023510                </t>
  </si>
  <si>
    <t xml:space="preserve">SEROT HELENE R0100023511                          </t>
  </si>
  <si>
    <t xml:space="preserve">AUZAS BRIGITTE R0100023512                        </t>
  </si>
  <si>
    <t xml:space="preserve">CARILLI GABRIELLE R0100023513                     </t>
  </si>
  <si>
    <t xml:space="preserve">SIRVENT GISELE R0100023514                        </t>
  </si>
  <si>
    <t xml:space="preserve">KARA SLIMANE YAMINA R0100023516                   </t>
  </si>
  <si>
    <t xml:space="preserve">CAI2203/00171  </t>
  </si>
  <si>
    <t xml:space="preserve">BOUVIER LUCILE REMBOURSEMENT ACHAT AQUARIUM       </t>
  </si>
  <si>
    <t xml:space="preserve">CAI2203/00175  </t>
  </si>
  <si>
    <t xml:space="preserve">BOUVIER LUCILE  REMBOURSEMENT BOULANGERIE         </t>
  </si>
  <si>
    <t xml:space="preserve">CAI2203/00176  </t>
  </si>
  <si>
    <t xml:space="preserve">BOUVIER LUCILE REMBOURSEMENT PRODUITS MENAGERS    </t>
  </si>
  <si>
    <t xml:space="preserve">Cr馘it RACHIDI AMINA R0100023517                  </t>
  </si>
  <si>
    <t xml:space="preserve">MOUELHI WAJDI R0100023518                         </t>
  </si>
  <si>
    <t xml:space="preserve">THABET MOUNIRA R0200001040                        </t>
  </si>
  <si>
    <t xml:space="preserve">Cr馘it THABET MOUNIRA R0200001040                 </t>
  </si>
  <si>
    <t xml:space="preserve">VENAFRO   </t>
  </si>
  <si>
    <t xml:space="preserve">VENAFRO JACQUES                         </t>
  </si>
  <si>
    <t xml:space="preserve">VENAFRO JACQUES R0100023519                       </t>
  </si>
  <si>
    <t xml:space="preserve">MAJERI Izac R0200001041                           </t>
  </si>
  <si>
    <t xml:space="preserve">AZZOUZI-GUITTET JIHANE R0100023521                </t>
  </si>
  <si>
    <t xml:space="preserve">Cr馘it AZZOUZI-GUITTET JIHANE R0100023521         </t>
  </si>
  <si>
    <t xml:space="preserve">DANIAL ZAHARIA R0300000804                        </t>
  </si>
  <si>
    <t xml:space="preserve">Cr馘it DANIAL ZAHARIA R0300000804                 </t>
  </si>
  <si>
    <t xml:space="preserve">CAI2203/00246  </t>
  </si>
  <si>
    <t>FRANCINE CRETTE retour avance de caisse bureau val</t>
  </si>
  <si>
    <t xml:space="preserve">AMEZRAR   </t>
  </si>
  <si>
    <t xml:space="preserve">AMEZRAR FERROUDJA                       </t>
  </si>
  <si>
    <t xml:space="preserve">AMEZRAR FERROUDJA R0100023531                     </t>
  </si>
  <si>
    <t xml:space="preserve">BERTON MADELEINE R0100023532                      </t>
  </si>
  <si>
    <t xml:space="preserve">ROBERT    </t>
  </si>
  <si>
    <t xml:space="preserve">ROBERT MARTINE                          </t>
  </si>
  <si>
    <t xml:space="preserve">ROBERT MARTINE R0100023533                        </t>
  </si>
  <si>
    <t xml:space="preserve">TEMPESTA GINA R0100023534                         </t>
  </si>
  <si>
    <t xml:space="preserve">VINCENT ADELINE R0100023535                       </t>
  </si>
  <si>
    <t xml:space="preserve">LUCAS CLEMENT R0300000805                         </t>
  </si>
  <si>
    <t xml:space="preserve">AMEUR  R0300000806                                </t>
  </si>
  <si>
    <t xml:space="preserve">Cr馘it AMEUR  R0300000806                         </t>
  </si>
  <si>
    <t xml:space="preserve">SOW MARIAMA R0300000807                           </t>
  </si>
  <si>
    <t xml:space="preserve">DELELET  R0300000808                              </t>
  </si>
  <si>
    <t xml:space="preserve">Cr馘it DELELET  R0300000808                       </t>
  </si>
  <si>
    <t xml:space="preserve">MAROVELO ERIC R0300000809                         </t>
  </si>
  <si>
    <t xml:space="preserve">Cr馘it MAROVELO ERIC R0300000809                  </t>
  </si>
  <si>
    <t xml:space="preserve">KIRAKOSYAN ANI R0300000810                        </t>
  </si>
  <si>
    <t xml:space="preserve">Cr馘it KIRAKOSYAN ANI R0300000810                 </t>
  </si>
  <si>
    <t xml:space="preserve">ABDESSELEM  R0300000811                           </t>
  </si>
  <si>
    <t xml:space="preserve">Cr馘it ABDESSELEM  R0300000811                    </t>
  </si>
  <si>
    <t xml:space="preserve">NKANGA WINA NYOTA R0300000812                     </t>
  </si>
  <si>
    <t xml:space="preserve">Cr馘it NKANGA WINA NYOTA R0300000812              </t>
  </si>
  <si>
    <t xml:space="preserve">CM2203/00248   </t>
  </si>
  <si>
    <t xml:space="preserve">ALI MARIAMA R0100023537                           </t>
  </si>
  <si>
    <t xml:space="preserve">ABDELKADER SAMIR R0300000816                      </t>
  </si>
  <si>
    <t xml:space="preserve">Cr馘it ABDELKADER SAMIR R0300000816               </t>
  </si>
  <si>
    <t xml:space="preserve">BEN AHMED NADIA R0300000817                       </t>
  </si>
  <si>
    <t xml:space="preserve">Cr馘it BEN AHMED NADIA R0300000817                </t>
  </si>
  <si>
    <t xml:space="preserve">BOUKROUMA Olfa R0200001050                        </t>
  </si>
  <si>
    <t xml:space="preserve">KHALFA SIMARD LOIS R0200001052                    </t>
  </si>
  <si>
    <t xml:space="preserve">EZZEDDINE MOHAMED R0100023538                     </t>
  </si>
  <si>
    <t xml:space="preserve">COTTIER ELEONORE R0100023541                      </t>
  </si>
  <si>
    <t xml:space="preserve">Cr馘it COTTIER ELEONORE R0100023541               </t>
  </si>
  <si>
    <t xml:space="preserve">BOUDADI RACHID R0100023543                        </t>
  </si>
  <si>
    <t xml:space="preserve">Cr馘it BOUDADI RACHID R0100023543                 </t>
  </si>
  <si>
    <t>MBIANGOEKW</t>
  </si>
  <si>
    <t xml:space="preserve">MBIANGO EKWELE MARIE NADEGE             </t>
  </si>
  <si>
    <t xml:space="preserve">MBIANGO EKWELE MARIE NADEGE R0100023546           </t>
  </si>
  <si>
    <t xml:space="preserve">RACHIDI AMINA R0200001053                         </t>
  </si>
  <si>
    <t xml:space="preserve">Cr馘it RACHIDI AMINA R0200001053                  </t>
  </si>
  <si>
    <t xml:space="preserve">ZENELI    </t>
  </si>
  <si>
    <t xml:space="preserve">ZENELI HAVA                             </t>
  </si>
  <si>
    <t xml:space="preserve">ZENELI HAVA R0100023547                           </t>
  </si>
  <si>
    <t xml:space="preserve">VINCENT ADELINE R0100023548                       </t>
  </si>
  <si>
    <t xml:space="preserve">AMEZRAR FERROUDJA R0100023549                     </t>
  </si>
  <si>
    <t xml:space="preserve">ROBERT MARTINE R0100023550                        </t>
  </si>
  <si>
    <t xml:space="preserve">BERTON MADELEINE R0100023551                      </t>
  </si>
  <si>
    <t xml:space="preserve">VILLARD JOELLE R0100023552                        </t>
  </si>
  <si>
    <t xml:space="preserve">VENAFRO JACQUES R0100023553                       </t>
  </si>
  <si>
    <t xml:space="preserve">AUZAS BRIGITTE R0100023554                        </t>
  </si>
  <si>
    <t xml:space="preserve">CARILLI GABRIELLE R0100023555                     </t>
  </si>
  <si>
    <t xml:space="preserve">CHANAUD MARTINE R0100023556                       </t>
  </si>
  <si>
    <t xml:space="preserve">CHARENSOL MICHELE R0100023557                     </t>
  </si>
  <si>
    <t xml:space="preserve">COLOM FRANCOISE R0100023558                       </t>
  </si>
  <si>
    <t xml:space="preserve">COMBE DOMINIQUE R0100023559                       </t>
  </si>
  <si>
    <t xml:space="preserve">DUTRUC MARIE HELENE R0100023560                   </t>
  </si>
  <si>
    <t xml:space="preserve">KANNEVORFF ANNE R0100023561                       </t>
  </si>
  <si>
    <t xml:space="preserve">SEROT HELENE R0100023562                          </t>
  </si>
  <si>
    <t xml:space="preserve">SIRVENT GISELE R0100023563                        </t>
  </si>
  <si>
    <t xml:space="preserve">DIAGOLA SAMBA R0300000818                         </t>
  </si>
  <si>
    <t xml:space="preserve">Cr馘it DIAGOLA SAMBA R0300000818                  </t>
  </si>
  <si>
    <t xml:space="preserve">BAH DIALLO ABOUBACAR R0300000819                  </t>
  </si>
  <si>
    <t xml:space="preserve">Cr馘it BAH DIALLO ABOUBACAR R0300000819           </t>
  </si>
  <si>
    <t xml:space="preserve">TRAORE MARIAM R0300000820                         </t>
  </si>
  <si>
    <t xml:space="preserve">Cr馘it TRAORE MARIAM R0300000820                  </t>
  </si>
  <si>
    <t xml:space="preserve">CAI2203/00300  </t>
  </si>
  <si>
    <t xml:space="preserve">NADEGE BERNY remboursement boulangerie            </t>
  </si>
  <si>
    <t xml:space="preserve">CAI2203/00301  </t>
  </si>
  <si>
    <t xml:space="preserve">EL GAROUI DORSAF avance de caisse Leroy Merlin    </t>
  </si>
  <si>
    <t xml:space="preserve">VENAFRO JACQUES R0100023565                       </t>
  </si>
  <si>
    <t xml:space="preserve">ALBAN MEJIA NAIN CORIMOLDX R0100023566            </t>
  </si>
  <si>
    <t xml:space="preserve">ALIOUCHE LEMNOUAR R0100023567                     </t>
  </si>
  <si>
    <t xml:space="preserve">ABDELLI HALIMA R0100023568                        </t>
  </si>
  <si>
    <t xml:space="preserve">BENMAZOUZ CHELHA R0100023569                      </t>
  </si>
  <si>
    <t xml:space="preserve">CHERAIET FEHIM R0100023570                        </t>
  </si>
  <si>
    <t xml:space="preserve">JOUINI MONIA R0100023571                          </t>
  </si>
  <si>
    <t xml:space="preserve">EL HADDAD ABDELNASSER R0100023572                 </t>
  </si>
  <si>
    <t xml:space="preserve">LOUATI ALI R0100023573                            </t>
  </si>
  <si>
    <t xml:space="preserve">BOUKHANOUFA MOUNIR R0100023574                    </t>
  </si>
  <si>
    <t xml:space="preserve">CAI2203/00305  </t>
  </si>
  <si>
    <t xml:space="preserve">FRANCINE CRETTE remboursement alimentation        </t>
  </si>
  <si>
    <t xml:space="preserve">BOUZAIDA SABA R0100023577                         </t>
  </si>
  <si>
    <t xml:space="preserve">Cr馘it BOUZAIDA SABA R0100023577                  </t>
  </si>
  <si>
    <t xml:space="preserve">IDELHOUCINE BUSTAMANTE GUZMAN Elias R0200001056   </t>
  </si>
  <si>
    <t xml:space="preserve">SAMUEL Uyigue R0200001057                         </t>
  </si>
  <si>
    <t xml:space="preserve">CHETTOUH  </t>
  </si>
  <si>
    <t xml:space="preserve">CHETTOUH ASMA                           </t>
  </si>
  <si>
    <t xml:space="preserve">CHETTOUH ASMA R0100023578                         </t>
  </si>
  <si>
    <t xml:space="preserve">RAHMOUNI  </t>
  </si>
  <si>
    <t xml:space="preserve">RAHMOUNI MEHHNI BILEL                   </t>
  </si>
  <si>
    <t xml:space="preserve">RAHMOUNI MEHHNI BILEL R0100023579                 </t>
  </si>
  <si>
    <t xml:space="preserve">CAI2203/00315  </t>
  </si>
  <si>
    <t xml:space="preserve">FRANCINE CRETTE AVANCE DE CAISSE CARREFOUR        </t>
  </si>
  <si>
    <t xml:space="preserve">AMEUR Rima R0200001061                            </t>
  </si>
  <si>
    <t xml:space="preserve">CAI2203/00316  </t>
  </si>
  <si>
    <t xml:space="preserve">GUILLERMIN AVANCE DE CAISSE LAIT BAB              </t>
  </si>
  <si>
    <t xml:space="preserve">TSHIBANGU RITA R0100023581                        </t>
  </si>
  <si>
    <t xml:space="preserve">SABOUNI   </t>
  </si>
  <si>
    <t xml:space="preserve">SABOUNI MOHAMMED                        </t>
  </si>
  <si>
    <t xml:space="preserve">SABOUNI MOHAMED R0100023583                       </t>
  </si>
  <si>
    <t xml:space="preserve">CAI2203/00339  </t>
  </si>
  <si>
    <t xml:space="preserve">FRANCINE CRETTE retour espace Carrefour           </t>
  </si>
  <si>
    <t xml:space="preserve">CAI2203/00349  </t>
  </si>
  <si>
    <t xml:space="preserve">ABERKANE ASSIA avance de caisse projet paris      </t>
  </si>
  <si>
    <t xml:space="preserve">SKURNAZ   </t>
  </si>
  <si>
    <t xml:space="preserve">KURNAZ AYSUN                            </t>
  </si>
  <si>
    <t xml:space="preserve">CAI2203/00357  </t>
  </si>
  <si>
    <t xml:space="preserve">KURNAZ AYSUN REMBOURSEMENT PROJET SOLIDAIRE       </t>
  </si>
  <si>
    <t xml:space="preserve">CAI2203/00360  </t>
  </si>
  <si>
    <t xml:space="preserve">ABERKANE  RETOUR AVANCE DE CAISSE PROJET PARIS    </t>
  </si>
  <si>
    <t xml:space="preserve">SAHLI Perrine R0200001062                         </t>
  </si>
  <si>
    <t xml:space="preserve">SMAJIC VELIDA R0100023585                         </t>
  </si>
  <si>
    <t xml:space="preserve">MAHI NADIA R0100023588                            </t>
  </si>
  <si>
    <t xml:space="preserve">BELKFIF MESSAOUDA R0100023592                     </t>
  </si>
  <si>
    <t xml:space="preserve">KOUICI STEVE R0100023598                          </t>
  </si>
  <si>
    <t xml:space="preserve">CAI2203/00367  </t>
  </si>
  <si>
    <t xml:space="preserve">FRANCINE CRETTE REMBOURSEMENT BOULANGERIE         </t>
  </si>
  <si>
    <t xml:space="preserve">COTTIER ELEONORE R0100023602                      </t>
  </si>
  <si>
    <t xml:space="preserve">SOUIHI    </t>
  </si>
  <si>
    <t xml:space="preserve">SOUIHI WASSILA                          </t>
  </si>
  <si>
    <t xml:space="preserve">SOUIHI WASSILA R0100023603                        </t>
  </si>
  <si>
    <t xml:space="preserve">FEDALA    </t>
  </si>
  <si>
    <t xml:space="preserve">FEDALA AWATIF                           </t>
  </si>
  <si>
    <t xml:space="preserve">FEDALA AWATIF R0100023606                         </t>
  </si>
  <si>
    <t xml:space="preserve">AMRAOUI RATIBA R0100023609                        </t>
  </si>
  <si>
    <t xml:space="preserve">FATIC KAMILA R0100023611                          </t>
  </si>
  <si>
    <t xml:space="preserve">Cr馘it FATIC KAMILA R0100023611                   </t>
  </si>
  <si>
    <t xml:space="preserve">OUAHBI FATIMA R0100023613                         </t>
  </si>
  <si>
    <t xml:space="preserve">RACHIDI AMINA R0100023620                         </t>
  </si>
  <si>
    <t xml:space="preserve">THABET MOUNIRA R0100023621                        </t>
  </si>
  <si>
    <t xml:space="preserve">BAUTISTA DANIELA R0100023622                      </t>
  </si>
  <si>
    <t xml:space="preserve">Cr馘it BAUTISTA DANIELA R0100023622               </t>
  </si>
  <si>
    <t xml:space="preserve">MAKITA CHRIS R0100023624                          </t>
  </si>
  <si>
    <t xml:space="preserve">JEBABLI MAHER R0100023632                         </t>
  </si>
  <si>
    <t xml:space="preserve">BOUKHANOUFA MOUNIR R0100023633                    </t>
  </si>
  <si>
    <t xml:space="preserve">CHERAIET FEHIM R0100023634                        </t>
  </si>
  <si>
    <t xml:space="preserve">JOUINI MONIA R0100023635                          </t>
  </si>
  <si>
    <t xml:space="preserve">BENMAZOUZ CHELHA R0100023636                      </t>
  </si>
  <si>
    <t xml:space="preserve">LOUATI ALI R0100023637                            </t>
  </si>
  <si>
    <t xml:space="preserve">EL HADDAD ABDELNASSER R0100023638                 </t>
  </si>
  <si>
    <t>SARKISSIA1</t>
  </si>
  <si>
    <t xml:space="preserve">SARKISSIAN ARTIOM                       </t>
  </si>
  <si>
    <t xml:space="preserve">SARKISSIAN ARTIOM R0100023639                     </t>
  </si>
  <si>
    <t xml:space="preserve">GUERIN CHRISTELLE R0100023640                     </t>
  </si>
  <si>
    <t xml:space="preserve">SELAMI    </t>
  </si>
  <si>
    <t xml:space="preserve">SELAMI SONILA                           </t>
  </si>
  <si>
    <t xml:space="preserve">SELAMI SONILA R0100023642                         </t>
  </si>
  <si>
    <t xml:space="preserve">CM2203/00919   </t>
  </si>
  <si>
    <t xml:space="preserve">CM2203/00920   </t>
  </si>
  <si>
    <t xml:space="preserve">CM2203/00921   </t>
  </si>
  <si>
    <t xml:space="preserve">VIRT ANCV                                         </t>
  </si>
  <si>
    <t xml:space="preserve">CM2203/02210   </t>
  </si>
  <si>
    <t xml:space="preserve">CM2203/00922   </t>
  </si>
  <si>
    <t xml:space="preserve">LE ZOLA CINEMA POLE ADULTE                        </t>
  </si>
  <si>
    <t xml:space="preserve">CM2203/00923   </t>
  </si>
  <si>
    <t xml:space="preserve">PRLV ORANGE - 76596905                            </t>
  </si>
  <si>
    <t xml:space="preserve">CM2203/00930   </t>
  </si>
  <si>
    <t xml:space="preserve">CHQ REMB ADAM SOFIA                               </t>
  </si>
  <si>
    <t xml:space="preserve">CM2203/00926   </t>
  </si>
  <si>
    <t xml:space="preserve">CHQ PATHE CARRE DE SOIE                           </t>
  </si>
  <si>
    <t xml:space="preserve">CM2203/00925   </t>
  </si>
  <si>
    <t xml:space="preserve">PRLV ORANGE - FIBRE 8642B4                        </t>
  </si>
  <si>
    <t xml:space="preserve">CM2203/00924   </t>
  </si>
  <si>
    <t xml:space="preserve">PRLV ORANGE - 76596753                            </t>
  </si>
  <si>
    <t xml:space="preserve">CM2203/00247   </t>
  </si>
  <si>
    <t xml:space="preserve">Remise de ch鑷ues nｰ 20220308                     </t>
  </si>
  <si>
    <t xml:space="preserve">CM2203/00249   </t>
  </si>
  <si>
    <t xml:space="preserve">RGLT SOLDE MINI WORLD LYON                        </t>
  </si>
  <si>
    <t xml:space="preserve">CM2203/00928   </t>
  </si>
  <si>
    <t xml:space="preserve">CHQ THEATRE DE L'ODEON                            </t>
  </si>
  <si>
    <t xml:space="preserve">CM2203/00927   </t>
  </si>
  <si>
    <t xml:space="preserve">REGLT CB BRUNEAU                                  </t>
  </si>
  <si>
    <t xml:space="preserve">CM2203/00929   </t>
  </si>
  <si>
    <t xml:space="preserve">CM2203/00931   </t>
  </si>
  <si>
    <t xml:space="preserve">CHQ LASER GAME CENTRE EUROPEEN                    </t>
  </si>
  <si>
    <t xml:space="preserve">CM2203/00932   </t>
  </si>
  <si>
    <t xml:space="preserve">CM2203/00933   </t>
  </si>
  <si>
    <t xml:space="preserve">CHQ LE 1400 / AL 6/11                             </t>
  </si>
  <si>
    <t xml:space="preserve">CM2203/00934   </t>
  </si>
  <si>
    <t xml:space="preserve">REGLT CB BOULANGER                                </t>
  </si>
  <si>
    <t xml:space="preserve">CM2203/00935   </t>
  </si>
  <si>
    <t xml:space="preserve">PRLV ORANGE - 1682B7                              </t>
  </si>
  <si>
    <t xml:space="preserve">CM2203/00936   </t>
  </si>
  <si>
    <t xml:space="preserve">VIRT CENTRE FAMILIAL FERRANDIERE                  </t>
  </si>
  <si>
    <t xml:space="preserve">CM2203/00937   </t>
  </si>
  <si>
    <t xml:space="preserve">CHQ PARK EVENTS KARTING                           </t>
  </si>
  <si>
    <t xml:space="preserve">CM2203/00309   </t>
  </si>
  <si>
    <t xml:space="preserve">Remise de ch鑷ues nｰ 20220323                     </t>
  </si>
  <si>
    <t xml:space="preserve">MRIDA LEILA R0100023595                           </t>
  </si>
  <si>
    <t xml:space="preserve">Remise : CHEQUE                                   </t>
  </si>
  <si>
    <t xml:space="preserve">CM2203/00938   </t>
  </si>
  <si>
    <t xml:space="preserve">CM2203/00939   </t>
  </si>
  <si>
    <t xml:space="preserve">PRLV ORANGE- 8202C0                               </t>
  </si>
  <si>
    <t xml:space="preserve">CM2203/00940   </t>
  </si>
  <si>
    <t xml:space="preserve">CM2203/00941   </t>
  </si>
  <si>
    <t xml:space="preserve">REGLT CB CASAL SPORT LYON                         </t>
  </si>
  <si>
    <t xml:space="preserve">CM2203/00368   </t>
  </si>
  <si>
    <t xml:space="preserve">Remise de ch鑷ues nｰ 20220331                     </t>
  </si>
  <si>
    <t xml:space="preserve">6ARTHUS   </t>
  </si>
  <si>
    <t xml:space="preserve">ARTHUS PIERRE                           </t>
  </si>
  <si>
    <t xml:space="preserve">BOUTALEB  </t>
  </si>
  <si>
    <t xml:space="preserve">BOUTALEB FERROUDJA                      </t>
  </si>
  <si>
    <t xml:space="preserve">ELGAROUI  </t>
  </si>
  <si>
    <t xml:space="preserve">EL GAROUI AMIR                          </t>
  </si>
  <si>
    <t xml:space="preserve">REZGUI    </t>
  </si>
  <si>
    <t xml:space="preserve">REZGUI KARIM                            </t>
  </si>
  <si>
    <t xml:space="preserve">SHOVHANN  </t>
  </si>
  <si>
    <t xml:space="preserve">HOVHANNESIAN LENA                       </t>
  </si>
  <si>
    <t xml:space="preserve">SPARIS    </t>
  </si>
  <si>
    <t xml:space="preserve">PARIS MAXIME                            </t>
  </si>
  <si>
    <t xml:space="preserve">SJACQUOT  </t>
  </si>
  <si>
    <t xml:space="preserve">JULIE JACQUOT                           </t>
  </si>
  <si>
    <t xml:space="preserve">TRANSFERT DE CHARGES EXPLOITATION       </t>
  </si>
  <si>
    <t>ISHAKHASSA</t>
  </si>
  <si>
    <t xml:space="preserve">ISHAK HASSAN IBRAHIM                    </t>
  </si>
  <si>
    <t xml:space="preserve">KARA      </t>
  </si>
  <si>
    <t xml:space="preserve">KARA Salah Eddine                       </t>
  </si>
  <si>
    <t xml:space="preserve">KEOLIS    </t>
  </si>
  <si>
    <t xml:space="preserve">KEOLIS                                  </t>
  </si>
  <si>
    <t xml:space="preserve">POTENTIEL </t>
  </si>
  <si>
    <t xml:space="preserve">POTENTIEL&amp;SENS                          </t>
  </si>
  <si>
    <t xml:space="preserve">WALIBI    </t>
  </si>
  <si>
    <t xml:space="preserve">PARC WALIBI RHONE ALPES                 </t>
  </si>
  <si>
    <t xml:space="preserve">PAREDES   </t>
  </si>
  <si>
    <t xml:space="preserve">PAREDES                                 </t>
  </si>
  <si>
    <t xml:space="preserve">SNCF      </t>
  </si>
  <si>
    <t xml:space="preserve">SOCIETE NATIONALE DES CHEMINS DE FER    </t>
  </si>
  <si>
    <t xml:space="preserve">BATEAULYO </t>
  </si>
  <si>
    <t xml:space="preserve">LES BATEAUX LYONNAIS                    </t>
  </si>
  <si>
    <t xml:space="preserve">CROCODILE </t>
  </si>
  <si>
    <t xml:space="preserve">LA FERME AUX CROCODILES                 </t>
  </si>
  <si>
    <t xml:space="preserve">POYET     </t>
  </si>
  <si>
    <t xml:space="preserve">POYET-MOTTE PUERICULTURE                </t>
  </si>
  <si>
    <t xml:space="preserve">LAGRANGE  </t>
  </si>
  <si>
    <t xml:space="preserve">LEO LAGRANGE                            </t>
  </si>
  <si>
    <t xml:space="preserve">EGALIGONE </t>
  </si>
  <si>
    <t xml:space="preserve">INSTITUT EGALIGONE                      </t>
  </si>
  <si>
    <t>BOWLINGLUM</t>
  </si>
  <si>
    <t xml:space="preserve">BOWLING DES LUMIERES                    </t>
  </si>
  <si>
    <t xml:space="preserve">ACROBOIS  </t>
  </si>
  <si>
    <t xml:space="preserve">LES ACROBOIS                            </t>
  </si>
  <si>
    <t xml:space="preserve">ABOUKOUA  </t>
  </si>
  <si>
    <t xml:space="preserve">RC ABOUKOUA                             </t>
  </si>
  <si>
    <t>PARCOISEAU</t>
  </si>
  <si>
    <t xml:space="preserve">PARC DES OISEAUX                        </t>
  </si>
  <si>
    <t xml:space="preserve">BFC2204/00376  </t>
  </si>
  <si>
    <t xml:space="preserve">PRODUITS EXCEPT. DE GESTION             </t>
  </si>
  <si>
    <t xml:space="preserve">BFC2204/00956  </t>
  </si>
  <si>
    <t xml:space="preserve">VIRT HUISSIER AFFAIRE SERVIGNE                    </t>
  </si>
  <si>
    <t xml:space="preserve">BFC2204/00957  </t>
  </si>
  <si>
    <t xml:space="preserve">BFC2204/00958  </t>
  </si>
  <si>
    <t xml:space="preserve">BFC2204/00959  </t>
  </si>
  <si>
    <t xml:space="preserve">BFC2204/00960  </t>
  </si>
  <si>
    <t xml:space="preserve">BFC2204/00961  </t>
  </si>
  <si>
    <t xml:space="preserve">BAN2204/00378  </t>
  </si>
  <si>
    <t xml:space="preserve">SNAECSO   </t>
  </si>
  <si>
    <t xml:space="preserve">SNAECSO                                 </t>
  </si>
  <si>
    <t xml:space="preserve">BFC2204/00379  </t>
  </si>
  <si>
    <t xml:space="preserve">BFC2204/00962  </t>
  </si>
  <si>
    <t xml:space="preserve">VIRT SALAIRE                                      </t>
  </si>
  <si>
    <t xml:space="preserve">BFC2204/00963  </t>
  </si>
  <si>
    <t xml:space="preserve">BAN2204/00400  </t>
  </si>
  <si>
    <t xml:space="preserve">SALAIRE LO KADIDIATOU                             </t>
  </si>
  <si>
    <t xml:space="preserve">BFC2204/00964  </t>
  </si>
  <si>
    <t xml:space="preserve">BFC2204/00965  </t>
  </si>
  <si>
    <t xml:space="preserve">ASP VIRT AIDE APPRENTIS                           </t>
  </si>
  <si>
    <t xml:space="preserve">BFC2204/00966  </t>
  </si>
  <si>
    <t xml:space="preserve">BFC2204/00413  </t>
  </si>
  <si>
    <t xml:space="preserve">BAN2204/00414  </t>
  </si>
  <si>
    <t xml:space="preserve">MIJE      </t>
  </si>
  <si>
    <t xml:space="preserve">MIJE                                    </t>
  </si>
  <si>
    <t xml:space="preserve">BFC2204/00967  </t>
  </si>
  <si>
    <t xml:space="preserve">BAN2204/00419  </t>
  </si>
  <si>
    <t xml:space="preserve">BFC2204/00968  </t>
  </si>
  <si>
    <t xml:space="preserve">BAN2204/00437  </t>
  </si>
  <si>
    <t xml:space="preserve">BFC2204/00441  </t>
  </si>
  <si>
    <t xml:space="preserve">BFC2204/00451  </t>
  </si>
  <si>
    <t xml:space="preserve">BFC2204/00969  </t>
  </si>
  <si>
    <t xml:space="preserve">REGUL TRSPT 02/22                                 </t>
  </si>
  <si>
    <t xml:space="preserve">PRLV URSSAF 02/22                                 </t>
  </si>
  <si>
    <t xml:space="preserve">BFC2204/00970  </t>
  </si>
  <si>
    <t xml:space="preserve">REGUL TRSPT 12/21                                 </t>
  </si>
  <si>
    <t xml:space="preserve">PRLV URSSAF 12/21                                 </t>
  </si>
  <si>
    <t xml:space="preserve">BFC2204/00971  </t>
  </si>
  <si>
    <t xml:space="preserve">VIRT FRANCE AVENTURES REMBOURSEMENT               </t>
  </si>
  <si>
    <t xml:space="preserve">BFC2204/00972  </t>
  </si>
  <si>
    <t xml:space="preserve">URSSAF/POLE EMPLOI 03/22                          </t>
  </si>
  <si>
    <t xml:space="preserve">BFC2204/00975  </t>
  </si>
  <si>
    <t xml:space="preserve">VIRT VILLE - FRANCAIS                             </t>
  </si>
  <si>
    <t xml:space="preserve">BFC2204/00976  </t>
  </si>
  <si>
    <t xml:space="preserve">PRELEVEMENT A LA SOURCE 03/22                     </t>
  </si>
  <si>
    <t xml:space="preserve">BFC2204/00977  </t>
  </si>
  <si>
    <t xml:space="preserve">BFC2204/00978  </t>
  </si>
  <si>
    <t xml:space="preserve">VIRT VILLE - FRACT.NUM.                           </t>
  </si>
  <si>
    <t>CAMPINGBEA</t>
  </si>
  <si>
    <t xml:space="preserve">CAMPING LES PORTES DU BEAUJOLAIS        </t>
  </si>
  <si>
    <t xml:space="preserve">BAN2204/00501  </t>
  </si>
  <si>
    <t xml:space="preserve">BFC2204/00979  </t>
  </si>
  <si>
    <t xml:space="preserve">VIRT CAF PLAN REBOND BABILHOME                    </t>
  </si>
  <si>
    <t xml:space="preserve">BFC2204/00980  </t>
  </si>
  <si>
    <t xml:space="preserve">VIRT ASP CONTRAT AIDE                             </t>
  </si>
  <si>
    <t xml:space="preserve">BFC2204/00981  </t>
  </si>
  <si>
    <t xml:space="preserve">BFC2204/00982  </t>
  </si>
  <si>
    <t xml:space="preserve">BFC2204/00983  </t>
  </si>
  <si>
    <t xml:space="preserve">APICIL                                            </t>
  </si>
  <si>
    <t xml:space="preserve">BFC2204/00984  </t>
  </si>
  <si>
    <t xml:space="preserve">BFC2204/00985  </t>
  </si>
  <si>
    <t xml:space="preserve">BFC2204/00538  </t>
  </si>
  <si>
    <t xml:space="preserve">SREBIB    </t>
  </si>
  <si>
    <t xml:space="preserve">REBIB SIHEM                             </t>
  </si>
  <si>
    <t xml:space="preserve">BFC2204/00986  </t>
  </si>
  <si>
    <t xml:space="preserve">VIRT SALAIRE 04/22                                </t>
  </si>
  <si>
    <t xml:space="preserve">BFC2204/00987  </t>
  </si>
  <si>
    <t xml:space="preserve">BFC2204/00988  </t>
  </si>
  <si>
    <t xml:space="preserve">VIRT CAF SOLDE FPT 2020                           </t>
  </si>
  <si>
    <t xml:space="preserve">BAN2204/00545  </t>
  </si>
  <si>
    <t xml:space="preserve">SALAIRE CEE 04/22 FLY SAINTE MARIE                </t>
  </si>
  <si>
    <t xml:space="preserve">ALBAYRAK DURSUN R0100023647                       </t>
  </si>
  <si>
    <t xml:space="preserve">SLIMANE NAIMA R0100023650                         </t>
  </si>
  <si>
    <t xml:space="preserve">ALIC BAHRA R0100023665                            </t>
  </si>
  <si>
    <t xml:space="preserve">AMEZRAR FERROUDJA R0100023666                     </t>
  </si>
  <si>
    <t xml:space="preserve">BERTON MADELEINE R0100023667                      </t>
  </si>
  <si>
    <t xml:space="preserve">VINCENT ADELINE R0100023668                       </t>
  </si>
  <si>
    <t xml:space="preserve">RACHIDI AMINA R0100023669                         </t>
  </si>
  <si>
    <t xml:space="preserve">GJOKA     </t>
  </si>
  <si>
    <t xml:space="preserve">GJOKA EDMOND                            </t>
  </si>
  <si>
    <t xml:space="preserve">GJOKA EDMOND R0100023670                          </t>
  </si>
  <si>
    <t xml:space="preserve">RACHIDI AMINA R0200001066                         </t>
  </si>
  <si>
    <t xml:space="preserve">Cr馘it RACHIDI AMINA R0200001066                  </t>
  </si>
  <si>
    <t xml:space="preserve">CAI2204/00380  </t>
  </si>
  <si>
    <t xml:space="preserve">SJANUEL   </t>
  </si>
  <si>
    <t xml:space="preserve">JANUEL LUCIE                            </t>
  </si>
  <si>
    <t xml:space="preserve">CAI2204/00384  </t>
  </si>
  <si>
    <t xml:space="preserve">JANUEL LUCIE REMBOURSEMENT ACHAT CAFE             </t>
  </si>
  <si>
    <t xml:space="preserve">EZZEDDINE MOHAMED R0100023672                     </t>
  </si>
  <si>
    <t xml:space="preserve">BOYACI SIBEL R0100023675                          </t>
  </si>
  <si>
    <t xml:space="preserve">CM2204/00399   </t>
  </si>
  <si>
    <t>OUSSENIABD</t>
  </si>
  <si>
    <t xml:space="preserve">OUSSENI ABDILLAH NASRA                  </t>
  </si>
  <si>
    <t xml:space="preserve">OUSSENI ABDILLAH NASRA R0100023678                </t>
  </si>
  <si>
    <t xml:space="preserve">SERSAR SANAE R0100023684                          </t>
  </si>
  <si>
    <t xml:space="preserve">SERSAR SANAE R0100023685                          </t>
  </si>
  <si>
    <t xml:space="preserve">THABET MOUNIRA R0200001068                        </t>
  </si>
  <si>
    <t xml:space="preserve">Cr馘it THABET MOUNIRA R0200001068                 </t>
  </si>
  <si>
    <t>BIBANGMIKU</t>
  </si>
  <si>
    <t xml:space="preserve">BIBANG MIKUE MARIA                      </t>
  </si>
  <si>
    <t xml:space="preserve">BIBANG MIKUE MARIA R0100023695                    </t>
  </si>
  <si>
    <t xml:space="preserve">ADOUNI    </t>
  </si>
  <si>
    <t xml:space="preserve">ADOUNI MOHAMED                          </t>
  </si>
  <si>
    <t xml:space="preserve">ADOUNI MOHAMED R0100023696                        </t>
  </si>
  <si>
    <t xml:space="preserve">DE OLIVEIRA JOHNNY R0100023698                    </t>
  </si>
  <si>
    <t xml:space="preserve">ADOUNI MOHAMED R0100023699                        </t>
  </si>
  <si>
    <t xml:space="preserve">CAI2204/00415  </t>
  </si>
  <si>
    <t xml:space="preserve">BOUVIER LUCILE AVANCE DE CAISSE CASINO            </t>
  </si>
  <si>
    <t xml:space="preserve">CAI2204/00420  </t>
  </si>
  <si>
    <t xml:space="preserve">CAI2204/00421  </t>
  </si>
  <si>
    <t xml:space="preserve">REZAGUI   </t>
  </si>
  <si>
    <t xml:space="preserve">REZAGUI ABDELHALIM                      </t>
  </si>
  <si>
    <t xml:space="preserve">REZAGUI ABDELHALIM R0100023704                    </t>
  </si>
  <si>
    <t xml:space="preserve">HENNI MOHAMED R0100023705                         </t>
  </si>
  <si>
    <t xml:space="preserve">Cr馘it HENNI MOHAMED R0100023705                  </t>
  </si>
  <si>
    <t xml:space="preserve">MAJERI Izac R0200001072                           </t>
  </si>
  <si>
    <t xml:space="preserve">REBBOUCHE-ADDALA IMENE R0300000821                </t>
  </si>
  <si>
    <t xml:space="preserve">DELELET  R0300000822                              </t>
  </si>
  <si>
    <t xml:space="preserve">Cr馘it DELELET  R0300000822                       </t>
  </si>
  <si>
    <t xml:space="preserve">KIRAKOSYAN ANI R0300000823                        </t>
  </si>
  <si>
    <t xml:space="preserve">Cr馘it KIRAKOSYAN ANI R0300000823                 </t>
  </si>
  <si>
    <t xml:space="preserve">NKANGA WINA NYOTA R0300000824                     </t>
  </si>
  <si>
    <t xml:space="preserve">Cr馘it NKANGA WINA NYOTA R0300000824              </t>
  </si>
  <si>
    <t xml:space="preserve">ABDELKADER SAMIR R0300000825                      </t>
  </si>
  <si>
    <t xml:space="preserve">Cr馘it ABDELKADER SAMIR R0300000825               </t>
  </si>
  <si>
    <t xml:space="preserve">CAI2204/00426  </t>
  </si>
  <si>
    <t xml:space="preserve">BOTH ANDREA AVANCE DE CAISSE TCL                  </t>
  </si>
  <si>
    <t xml:space="preserve">KHALFA SIMARD LOIS R0100023706                    </t>
  </si>
  <si>
    <t xml:space="preserve">KHALFA SIMARD LOIS R0200001076                    </t>
  </si>
  <si>
    <t xml:space="preserve">CAI2204/00422  </t>
  </si>
  <si>
    <t xml:space="preserve">KAMBI SITTI AVANCE DE CAISSE DECATHLON            </t>
  </si>
  <si>
    <t xml:space="preserve">CAI2204/00423  </t>
  </si>
  <si>
    <t xml:space="preserve">KAMBI SITTI RETOUR AVANCE DE CAISSE CARREFOUR     </t>
  </si>
  <si>
    <t xml:space="preserve">AMEZRAR FERROUDJA R0100023709                     </t>
  </si>
  <si>
    <t xml:space="preserve">BERTON MADELEINE R0100023710                      </t>
  </si>
  <si>
    <t xml:space="preserve">ROBERT MARTINE R0100023711                        </t>
  </si>
  <si>
    <t xml:space="preserve">VILLARD JOELLE R0100023712                        </t>
  </si>
  <si>
    <t xml:space="preserve">VINCENT ADELINE R0100023713                       </t>
  </si>
  <si>
    <t xml:space="preserve">SAHLI Perrine R0200001080                         </t>
  </si>
  <si>
    <t xml:space="preserve">MKRTCHYAN  R0300000829                            </t>
  </si>
  <si>
    <t xml:space="preserve">MAROVELO ERIC R0300000830                         </t>
  </si>
  <si>
    <t xml:space="preserve">Cr馘it MAROVELO ERIC R0300000830                  </t>
  </si>
  <si>
    <t xml:space="preserve">DIAGOLA SAMBA R0300000831                         </t>
  </si>
  <si>
    <t xml:space="preserve">Cr馘it DIAGOLA SAMBA R0300000831                  </t>
  </si>
  <si>
    <t xml:space="preserve">TRAORE MARIAM R0300000832                         </t>
  </si>
  <si>
    <t xml:space="preserve">Cr馘it TRAORE MARIAM R0300000832                  </t>
  </si>
  <si>
    <t xml:space="preserve">CAI2204/00425  </t>
  </si>
  <si>
    <t xml:space="preserve">LUDIVINE NOTIN remboursement                      </t>
  </si>
  <si>
    <t xml:space="preserve">CAI2204/00427  </t>
  </si>
  <si>
    <t xml:space="preserve">EL GAROUI DORSAF AVANCE DE CAISSE LEROY MERLIN    </t>
  </si>
  <si>
    <t xml:space="preserve">CAI2204/00428  </t>
  </si>
  <si>
    <t xml:space="preserve">ABERKANE ASSIA AVANCE DE CAISSE ASSIA ACTION      </t>
  </si>
  <si>
    <t xml:space="preserve">CAI2204/00429  </t>
  </si>
  <si>
    <t xml:space="preserve">EZZEDDINE MOHAMED R0100023716                     </t>
  </si>
  <si>
    <t xml:space="preserve">SOMMIER VIRGINIE R0100023718                      </t>
  </si>
  <si>
    <t>Cr馘it IDELHOUCINE BUSTAMANTE GUZMAN Elias R020000</t>
  </si>
  <si>
    <t xml:space="preserve">KOUICI STEVE R0200001082                          </t>
  </si>
  <si>
    <t xml:space="preserve">Cr馘it KOUICI STEVE R0200001082                   </t>
  </si>
  <si>
    <t xml:space="preserve">CAI2204/00442  </t>
  </si>
  <si>
    <t xml:space="preserve">ABERKANE ASSIA retour espece - Action             </t>
  </si>
  <si>
    <t xml:space="preserve">CAI2204/00443  </t>
  </si>
  <si>
    <t xml:space="preserve">EL GAROUI DORSAF retour esp鐵e - Leroy Merlin     </t>
  </si>
  <si>
    <t xml:space="preserve">CAI2204/00444  </t>
  </si>
  <si>
    <t xml:space="preserve">EL GAROUI DORSAF retour espece - Metro            </t>
  </si>
  <si>
    <t xml:space="preserve">CAI2204/00453  </t>
  </si>
  <si>
    <t xml:space="preserve">FRANCINE CRETTE REMBOURSEMENT CARREFOUR           </t>
  </si>
  <si>
    <t xml:space="preserve">CAI2204/00454  </t>
  </si>
  <si>
    <t xml:space="preserve">FRANCINE CRETTE REMBOURSEMENT LECLERC             </t>
  </si>
  <si>
    <t xml:space="preserve">Rbt SARKISSIAN ARTIOM R0100023720                 </t>
  </si>
  <si>
    <t xml:space="preserve">TENNAH BENSALEM CHAIMA R0100023721                </t>
  </si>
  <si>
    <t xml:space="preserve">BEN AHMED NADIA R0300000833                       </t>
  </si>
  <si>
    <t xml:space="preserve">Cr馘it BEN AHMED NADIA R0300000833                </t>
  </si>
  <si>
    <t xml:space="preserve">AMEUR  R0300000835                                </t>
  </si>
  <si>
    <t xml:space="preserve">Cr馘it AMEUR  R0300000835                         </t>
  </si>
  <si>
    <t xml:space="preserve">KHALDI KARIMA R0100023723                         </t>
  </si>
  <si>
    <t xml:space="preserve">FATNASSI CINDY R0100023724                        </t>
  </si>
  <si>
    <t xml:space="preserve">KARA SLIMANE YAMINA R0100023725                   </t>
  </si>
  <si>
    <t xml:space="preserve">LOUATI ALI R0100023726                            </t>
  </si>
  <si>
    <t xml:space="preserve">JOUINI MONIA R0100023727                          </t>
  </si>
  <si>
    <t xml:space="preserve">DJELASSI MOUNIR R0100023728                       </t>
  </si>
  <si>
    <t xml:space="preserve">ABDELLI HALIMA R0100023729                        </t>
  </si>
  <si>
    <t xml:space="preserve">CHENAIT GHALIA R0100023730                        </t>
  </si>
  <si>
    <t xml:space="preserve">CHERAIET FEHIM R0100023731                        </t>
  </si>
  <si>
    <t xml:space="preserve">BENRHOUMA RHOUMA R0100023732                      </t>
  </si>
  <si>
    <t xml:space="preserve">GA01797   </t>
  </si>
  <si>
    <t xml:space="preserve">ZENATI WASSILA                          </t>
  </si>
  <si>
    <t xml:space="preserve">ZENATI WASSILA R0100023733                        </t>
  </si>
  <si>
    <t xml:space="preserve">EL HADDAD ABDELNASSER R0100023734                 </t>
  </si>
  <si>
    <t xml:space="preserve">MATJABO TOUA MADELEINE R0100023735                </t>
  </si>
  <si>
    <t xml:space="preserve">LOUATI ALI R0100023736                            </t>
  </si>
  <si>
    <t xml:space="preserve">AMEZRAR FERROUDJA R0100023737                     </t>
  </si>
  <si>
    <t xml:space="preserve">VILLARD JOELLE R0100023738                        </t>
  </si>
  <si>
    <t xml:space="preserve">VINCENT ADELINE R0100023739                       </t>
  </si>
  <si>
    <t xml:space="preserve">CAI2204/00461  </t>
  </si>
  <si>
    <t xml:space="preserve">LUDIVINE NOTIN AVANCE DE CAISSE FERME CHARLY      </t>
  </si>
  <si>
    <t xml:space="preserve">CAI2204/00496  </t>
  </si>
  <si>
    <t xml:space="preserve">BOISSY OLIVIER AVANCE DE CAISSE METRO             </t>
  </si>
  <si>
    <t xml:space="preserve">CAI2204/00497  </t>
  </si>
  <si>
    <t xml:space="preserve">BOUVIER LUCILE REMBOURSEMENT GIBERT ET JOSEPH     </t>
  </si>
  <si>
    <t xml:space="preserve">CAI2204/00498  </t>
  </si>
  <si>
    <t xml:space="preserve">BOUVIER LUCILE REMBOURSEMENT SOSTRENE GRENES      </t>
  </si>
  <si>
    <t xml:space="preserve">CAI2204/00499  </t>
  </si>
  <si>
    <t xml:space="preserve">BOUVIER LUCILE REMBOURSEMENT B&amp;M                  </t>
  </si>
  <si>
    <t xml:space="preserve">ABDELKADER SAMIR R0100023741                      </t>
  </si>
  <si>
    <t xml:space="preserve">JOUINI MONIA R0100023742                          </t>
  </si>
  <si>
    <t xml:space="preserve">DRISS MOHAMED R0100023743                         </t>
  </si>
  <si>
    <t xml:space="preserve">DJELASSI MOUNIR R0100023744                       </t>
  </si>
  <si>
    <t xml:space="preserve">CHERAIET FEHIM R0100023745                        </t>
  </si>
  <si>
    <t xml:space="preserve">ABDELLI HALIMA R0100023746                        </t>
  </si>
  <si>
    <t xml:space="preserve">ABDELLI HALIMA R0100023747                        </t>
  </si>
  <si>
    <t xml:space="preserve">EL HADDAD ABDELNASSER R0100023748                 </t>
  </si>
  <si>
    <t xml:space="preserve">BOUKHANOUFA MOUNIR R0100023749                    </t>
  </si>
  <si>
    <t xml:space="preserve">MADI TAREK R0100023750                            </t>
  </si>
  <si>
    <t xml:space="preserve">MATJABO TOUA MADELEINE R0100023751                </t>
  </si>
  <si>
    <t xml:space="preserve">KHALDI KARIMA R0100023752                         </t>
  </si>
  <si>
    <t xml:space="preserve">LOUATI ALI R0100023753                            </t>
  </si>
  <si>
    <t xml:space="preserve">BENRHOUMA RHOUMA R0100023754                      </t>
  </si>
  <si>
    <t xml:space="preserve">KARA SLIMANE YAMINA R0100023755                   </t>
  </si>
  <si>
    <t xml:space="preserve">FATNASSI CINDY R0100023756                        </t>
  </si>
  <si>
    <t xml:space="preserve">OUILI ANISSA R0100023757                          </t>
  </si>
  <si>
    <t xml:space="preserve">SMAALI YOUSRA R0100023758                         </t>
  </si>
  <si>
    <t xml:space="preserve">CHENAIT GHALIA R0100023759                        </t>
  </si>
  <si>
    <t xml:space="preserve">DRISS MOHAMED R0100023760                         </t>
  </si>
  <si>
    <t xml:space="preserve">KARA SLIMANE YAMINA R0100023761                   </t>
  </si>
  <si>
    <t xml:space="preserve">BENRHOUMA RHOUMA R0100023762                      </t>
  </si>
  <si>
    <t xml:space="preserve">KHALDI KARIMA R0100023763                         </t>
  </si>
  <si>
    <t xml:space="preserve">BOUKHANOUFA MOUNIR R0100023764                    </t>
  </si>
  <si>
    <t xml:space="preserve">CHERAIET FEHIM R0100023765                        </t>
  </si>
  <si>
    <t xml:space="preserve">ZEKRI SABRI R0100023766                           </t>
  </si>
  <si>
    <t xml:space="preserve">SAFFI INAYA R0100023767                           </t>
  </si>
  <si>
    <t xml:space="preserve">ABDELLI HALIMA R0100023768                        </t>
  </si>
  <si>
    <t xml:space="preserve">CHENAIT GHALIA R0100023769                        </t>
  </si>
  <si>
    <t xml:space="preserve">LOUATI ALI R0100023770                            </t>
  </si>
  <si>
    <t xml:space="preserve">SMAALI YOUSRA R0100023771                         </t>
  </si>
  <si>
    <t xml:space="preserve">OUILI ANISSA R0100023772                          </t>
  </si>
  <si>
    <t xml:space="preserve">JOUINI MONIA R0100023773                          </t>
  </si>
  <si>
    <t xml:space="preserve">JOUINI MONIA R0100023774                          </t>
  </si>
  <si>
    <t xml:space="preserve">BENMAZOUZ CHELHA R0100023775                      </t>
  </si>
  <si>
    <t xml:space="preserve">ZENATI WASSILA R0100023776                        </t>
  </si>
  <si>
    <t xml:space="preserve">BOUKHANOUFA MOUNIR R0100023777                    </t>
  </si>
  <si>
    <t xml:space="preserve">OUILI ANISSA R0100023778                          </t>
  </si>
  <si>
    <t xml:space="preserve">SMAALI YOUSRA R0100023779                         </t>
  </si>
  <si>
    <t xml:space="preserve">SMAALI YOUSRA R0100023780                         </t>
  </si>
  <si>
    <t xml:space="preserve">CHERAIET FEHIM R0100023781                        </t>
  </si>
  <si>
    <t xml:space="preserve">ABDELLI HALIMA R0100023782                        </t>
  </si>
  <si>
    <t xml:space="preserve">EL HADDAD ABDELNASSER R0100023783                 </t>
  </si>
  <si>
    <t xml:space="preserve">CHENAIT GHALIA R0100023784                        </t>
  </si>
  <si>
    <t xml:space="preserve">BOUDISSA  </t>
  </si>
  <si>
    <t xml:space="preserve">BOUDISSA HAMZA                          </t>
  </si>
  <si>
    <t xml:space="preserve">BOUDISSA HAMZA R0100023785                        </t>
  </si>
  <si>
    <t xml:space="preserve">BENMAZOUZ CHELHA R0100023786                      </t>
  </si>
  <si>
    <t xml:space="preserve">BENRHOUMA RHOUMA R0100023787                      </t>
  </si>
  <si>
    <t xml:space="preserve">JOUINI MONIA R0100023788                          </t>
  </si>
  <si>
    <t xml:space="preserve">ZEKRI SABRI R0100023789                           </t>
  </si>
  <si>
    <t xml:space="preserve">MATJABO TOUA MADELEINE R0100023790                </t>
  </si>
  <si>
    <t xml:space="preserve">ZENATI WASSILA R0100023791                        </t>
  </si>
  <si>
    <t xml:space="preserve">SAHRAOUI MOHAMED R0100023792                      </t>
  </si>
  <si>
    <t xml:space="preserve">CHERAIET FEHIM R0100023793                        </t>
  </si>
  <si>
    <t xml:space="preserve">DRISS MOHAMED R0100023794                         </t>
  </si>
  <si>
    <t xml:space="preserve">BOUKHANOUFA MOUNIR R0100023795                    </t>
  </si>
  <si>
    <t xml:space="preserve">KHALDI KARIMA R0100023796                         </t>
  </si>
  <si>
    <t xml:space="preserve">KARA SLIMANE YAMINA R0100023797                   </t>
  </si>
  <si>
    <t xml:space="preserve">ABDELKADER SAMIR R0100023798                      </t>
  </si>
  <si>
    <t xml:space="preserve">BOUDISSA HAMZA R0100023799                        </t>
  </si>
  <si>
    <t xml:space="preserve">ZENATI WASSILA R0100023800                        </t>
  </si>
  <si>
    <t xml:space="preserve">ZENATI WASSILA R0100023801                        </t>
  </si>
  <si>
    <t xml:space="preserve">SAHRAOUI MOHAMED R0100023802                      </t>
  </si>
  <si>
    <t xml:space="preserve">KHALDI KARIMA R0100023803                         </t>
  </si>
  <si>
    <t xml:space="preserve">DRISS MOHAMED R0100023804                         </t>
  </si>
  <si>
    <t xml:space="preserve">MATJABO TOUA MADELEINE R0100023805                </t>
  </si>
  <si>
    <t xml:space="preserve">ABDELKADER SAMIR R0100023806                      </t>
  </si>
  <si>
    <t xml:space="preserve">JOUINI MONIA R0100023807                          </t>
  </si>
  <si>
    <t xml:space="preserve">DJELASSI MOUNIR R0100023808                       </t>
  </si>
  <si>
    <t xml:space="preserve">BOUKHANOUFA MOUNIR R0100023809                    </t>
  </si>
  <si>
    <t xml:space="preserve">BOUDISSA HAMZA R0100023810                        </t>
  </si>
  <si>
    <t xml:space="preserve">BENRHOUMA RHOUMA R0100023811                      </t>
  </si>
  <si>
    <t xml:space="preserve">LOUATI ALI R0100023812                            </t>
  </si>
  <si>
    <t xml:space="preserve">ADOUNI MOHAMED R0100023813                        </t>
  </si>
  <si>
    <t xml:space="preserve">OUAHBI FATIMA R0100023814                         </t>
  </si>
  <si>
    <t xml:space="preserve">BROSSUTTI BOUCHRA R0100023815                     </t>
  </si>
  <si>
    <t xml:space="preserve">BAH DIALLO ABOUBACAR R0100023816                  </t>
  </si>
  <si>
    <t xml:space="preserve">CAI2204/00537  </t>
  </si>
  <si>
    <t xml:space="preserve">BOUVIER LUCILE REMBOURSEMENT TCL                  </t>
  </si>
  <si>
    <t xml:space="preserve">BENRHOUMA RHOUMA R0100023818                      </t>
  </si>
  <si>
    <t xml:space="preserve">BOUKHANOUFA MOUNIR R0100023819                    </t>
  </si>
  <si>
    <t xml:space="preserve">BOUDISSA HAMZA R0100023820                        </t>
  </si>
  <si>
    <t xml:space="preserve">EL HADDAD ABDELNASSER R0100023821                 </t>
  </si>
  <si>
    <t xml:space="preserve">MADI TAREK R0100023822                            </t>
  </si>
  <si>
    <t xml:space="preserve">BENMAZOUZ CHELHA R0100023823                      </t>
  </si>
  <si>
    <t xml:space="preserve">LOUATI ALI R0100023824                            </t>
  </si>
  <si>
    <t xml:space="preserve">LOUATI ALI R0100023825                            </t>
  </si>
  <si>
    <t xml:space="preserve">MATJABO TOUA MADELEINE R0100023826                </t>
  </si>
  <si>
    <t xml:space="preserve">ABDELKADER SAMIR R0100023827                      </t>
  </si>
  <si>
    <t xml:space="preserve">DRISS MOHAMED R0100023828                         </t>
  </si>
  <si>
    <t xml:space="preserve">JOUINI MONIA R0100023829                          </t>
  </si>
  <si>
    <t xml:space="preserve">ALDOSHA   </t>
  </si>
  <si>
    <t xml:space="preserve">ALDOSHA RAFI                            </t>
  </si>
  <si>
    <t xml:space="preserve">ALDOSHA RAFI R0100023830                          </t>
  </si>
  <si>
    <t xml:space="preserve">CAI2204/00539  </t>
  </si>
  <si>
    <t xml:space="preserve">AUDEBEAU AURELIA FOND DE CAISSE POLE ADULTES      </t>
  </si>
  <si>
    <t xml:space="preserve">CAI2204/00541  </t>
  </si>
  <si>
    <t xml:space="preserve">SALOMON SIMON ACHAT PAIN BABILHOME                </t>
  </si>
  <si>
    <t xml:space="preserve">CAI2204/00542  </t>
  </si>
  <si>
    <t xml:space="preserve">FRANCINE CRETTE ACHAT METRO                       </t>
  </si>
  <si>
    <t xml:space="preserve">MATJABO TOUA MADELEINE R0100023831                </t>
  </si>
  <si>
    <t xml:space="preserve">ABDELLI HALIMA R0100023832                        </t>
  </si>
  <si>
    <t xml:space="preserve">ZENATI WASSILA R0100023833                        </t>
  </si>
  <si>
    <t xml:space="preserve">LOUATI ALI R0100023834                            </t>
  </si>
  <si>
    <t xml:space="preserve">ZEKRI SABRI R0100023835                           </t>
  </si>
  <si>
    <t xml:space="preserve">SAFFI RIME R0100023836                            </t>
  </si>
  <si>
    <t xml:space="preserve">SAFFI INAYA R0100023837                           </t>
  </si>
  <si>
    <t xml:space="preserve">CHERAIET FEHIM R0100023838                        </t>
  </si>
  <si>
    <t xml:space="preserve">ALDOSHA RAFI R0100023839                          </t>
  </si>
  <si>
    <t xml:space="preserve">OUILI ANISSA R0100023840                          </t>
  </si>
  <si>
    <t xml:space="preserve">DRISS MOHAMED R0100023841                         </t>
  </si>
  <si>
    <t xml:space="preserve">SAHRAOUI MOHAMED R0100023842                      </t>
  </si>
  <si>
    <t xml:space="preserve">BENRHOUMA RHOUMA R0100023843                      </t>
  </si>
  <si>
    <t xml:space="preserve">JOUINI MONIA R0100023844                          </t>
  </si>
  <si>
    <t xml:space="preserve">BOUKHANOUFA MOUNIR R0100023845                    </t>
  </si>
  <si>
    <t xml:space="preserve">KHALDI KARIMA R0100023846                         </t>
  </si>
  <si>
    <t xml:space="preserve">ZEKRI SABRI R0100023847                           </t>
  </si>
  <si>
    <t xml:space="preserve">SAFFI INAYA R0100023848                           </t>
  </si>
  <si>
    <t xml:space="preserve">SAFFI RIME R0100023849                            </t>
  </si>
  <si>
    <t xml:space="preserve">KHALDI KARIMA R0100023850                         </t>
  </si>
  <si>
    <t xml:space="preserve">BENRHOUMA RHOUMA R0100023851                      </t>
  </si>
  <si>
    <t xml:space="preserve">BOUDISSA HAMZA R0100023852                        </t>
  </si>
  <si>
    <t xml:space="preserve">BENRHOUMA RHOUMA R0100023853                      </t>
  </si>
  <si>
    <t xml:space="preserve">BOUKHANOUFA MOUNIR R0100023854                    </t>
  </si>
  <si>
    <t xml:space="preserve">BOUKHANOUFA MOUNIR R0100023855                    </t>
  </si>
  <si>
    <t xml:space="preserve">ALDOSHA RAFI R0100023856                          </t>
  </si>
  <si>
    <t xml:space="preserve">EL HADDAD ABDELNASSER R0100023857                 </t>
  </si>
  <si>
    <t xml:space="preserve">KHALDI KARIMA R0100023858                         </t>
  </si>
  <si>
    <t xml:space="preserve">ZENATI WASSILA R0100023859                        </t>
  </si>
  <si>
    <t xml:space="preserve">MADI TAREK R0100023860                            </t>
  </si>
  <si>
    <t xml:space="preserve">ALDOSHA RAFI R0100023861                          </t>
  </si>
  <si>
    <t xml:space="preserve">BAKAMBO PERNELLE R0300000836                      </t>
  </si>
  <si>
    <t xml:space="preserve">OSARETIN Augustin R0300000837                     </t>
  </si>
  <si>
    <t xml:space="preserve">Cr馘it OSARETIN Augustin R0300000837              </t>
  </si>
  <si>
    <t xml:space="preserve">AGGREY ANGELA R0300000838                         </t>
  </si>
  <si>
    <t xml:space="preserve">BFC2204/01117  </t>
  </si>
  <si>
    <t xml:space="preserve">BFC2204/01118  </t>
  </si>
  <si>
    <t xml:space="preserve">PRLV ORANGE 76954984                              </t>
  </si>
  <si>
    <t xml:space="preserve">BFC2204/01119  </t>
  </si>
  <si>
    <t xml:space="preserve">PRLV ORANGE 76954914                              </t>
  </si>
  <si>
    <t xml:space="preserve">BFC2204/01120  </t>
  </si>
  <si>
    <t xml:space="preserve">CB BRUNEAU                                        </t>
  </si>
  <si>
    <t xml:space="preserve">BFC2204/01121  </t>
  </si>
  <si>
    <t xml:space="preserve">CB DEN HAAG CROCSEU                               </t>
  </si>
  <si>
    <t xml:space="preserve">CM2204/00381   </t>
  </si>
  <si>
    <t xml:space="preserve">Remise de ch鑷ues nｰ 20220405                     </t>
  </si>
  <si>
    <t xml:space="preserve">CM2204/01266   </t>
  </si>
  <si>
    <t xml:space="preserve">PRLV ORANGE 4022C2                                </t>
  </si>
  <si>
    <t xml:space="preserve">CM2204/01267   </t>
  </si>
  <si>
    <t xml:space="preserve">PRLV ORANGE 8642C2                                </t>
  </si>
  <si>
    <t xml:space="preserve">CM2204/01268   </t>
  </si>
  <si>
    <t xml:space="preserve">RGLT CHQ CENTRE EQUESTRE LYON PARILLY             </t>
  </si>
  <si>
    <t xml:space="preserve">CM2204/01269   </t>
  </si>
  <si>
    <t xml:space="preserve">RGLT CHQ FRANCE AVENTURES LYON                    </t>
  </si>
  <si>
    <t xml:space="preserve">CM2204/01270   </t>
  </si>
  <si>
    <t xml:space="preserve">CB / RGLT 10 DOIGTS                               </t>
  </si>
  <si>
    <t xml:space="preserve">CM2204/01271   </t>
  </si>
  <si>
    <t xml:space="preserve">CM2204/00424   </t>
  </si>
  <si>
    <t xml:space="preserve">Remise de ch鑷ues nｰ 20220413                     </t>
  </si>
  <si>
    <t xml:space="preserve">CM2204/01272   </t>
  </si>
  <si>
    <t xml:space="preserve">CM2204/01273   </t>
  </si>
  <si>
    <t xml:space="preserve">PRLV ORANGE 1682C5                                </t>
  </si>
  <si>
    <t xml:space="preserve">CM2204/01274   </t>
  </si>
  <si>
    <t xml:space="preserve">POLE ENFANCE - VOYAGE A PARIS / SNCF              </t>
  </si>
  <si>
    <t xml:space="preserve">CM2204/01279   </t>
  </si>
  <si>
    <t xml:space="preserve">RGLT CB BRUNEAU                                   </t>
  </si>
  <si>
    <t xml:space="preserve">AKA Serge R0200001107                             </t>
  </si>
  <si>
    <t xml:space="preserve">Remise : VIREMENT CM                              </t>
  </si>
  <si>
    <t xml:space="preserve">CM2204/01280   </t>
  </si>
  <si>
    <t xml:space="preserve">CB - FRS DIVERS                                   </t>
  </si>
  <si>
    <t xml:space="preserve">CM2204/01281   </t>
  </si>
  <si>
    <t xml:space="preserve">CM2204/02535   </t>
  </si>
  <si>
    <t xml:space="preserve">CHQ LE ZOLA CINEMA                                </t>
  </si>
  <si>
    <t xml:space="preserve">BARBIER   </t>
  </si>
  <si>
    <t xml:space="preserve">BARBIER DELPHINE                        </t>
  </si>
  <si>
    <t>DIAWFATIMA</t>
  </si>
  <si>
    <t xml:space="preserve">DIAW FATIMATA                           </t>
  </si>
  <si>
    <t xml:space="preserve">CSBUERS   </t>
  </si>
  <si>
    <t xml:space="preserve">CENTRE SOCIAL DES BUERS                 </t>
  </si>
  <si>
    <t xml:space="preserve">EDF       </t>
  </si>
  <si>
    <t xml:space="preserve">EDF PRO                                 </t>
  </si>
  <si>
    <t xml:space="preserve">CRECHES   </t>
  </si>
  <si>
    <t xml:space="preserve">CRECHES&amp;CO                              </t>
  </si>
  <si>
    <t xml:space="preserve">CARREL    </t>
  </si>
  <si>
    <t xml:space="preserve">CARREL CENTRE DE FORMATION              </t>
  </si>
  <si>
    <t>GRANDFRAIS</t>
  </si>
  <si>
    <t xml:space="preserve">GRAND FRAIS                             </t>
  </si>
  <si>
    <t>BMLLOCATIO</t>
  </si>
  <si>
    <t xml:space="preserve">BML LOCATION                            </t>
  </si>
  <si>
    <t xml:space="preserve">MINIFERME </t>
  </si>
  <si>
    <t xml:space="preserve">LA MINI FERME DE NOISETTE               </t>
  </si>
  <si>
    <t xml:space="preserve">MENA      </t>
  </si>
  <si>
    <t xml:space="preserve">MENA RHONE SERVICE                      </t>
  </si>
  <si>
    <t xml:space="preserve">VASSEL    </t>
  </si>
  <si>
    <t xml:space="preserve">VASSEL GRAPHIQUE                        </t>
  </si>
  <si>
    <t xml:space="preserve">CDISCOUNT </t>
  </si>
  <si>
    <t xml:space="preserve">C DISCOUNT                              </t>
  </si>
  <si>
    <t xml:space="preserve">BFC2205/00583  </t>
  </si>
  <si>
    <t xml:space="preserve">VIRT - REMB. THEATRE                              </t>
  </si>
  <si>
    <t xml:space="preserve">BFC2205/00850  </t>
  </si>
  <si>
    <t xml:space="preserve">CAF  PS ANIMATION GLOBALE CFAL 2022               </t>
  </si>
  <si>
    <t xml:space="preserve">BFC2205/00851  </t>
  </si>
  <si>
    <t xml:space="preserve">CAF  PS ANIMATION GLOBALE CYPRIAN 2022            </t>
  </si>
  <si>
    <t xml:space="preserve">BFC2205/01087  </t>
  </si>
  <si>
    <t xml:space="preserve">PRLV VEAMA                                        </t>
  </si>
  <si>
    <t xml:space="preserve">BFC2205/01089  </t>
  </si>
  <si>
    <t xml:space="preserve">FRAIS BANCAIRE 3*9.90                             </t>
  </si>
  <si>
    <t xml:space="preserve">BFC2205/01090  </t>
  </si>
  <si>
    <t xml:space="preserve">BFC2205/01091  </t>
  </si>
  <si>
    <t xml:space="preserve">BFC2205/01092  </t>
  </si>
  <si>
    <t xml:space="preserve">BFC2205/01093  </t>
  </si>
  <si>
    <t xml:space="preserve">VIRT CEE REJETE GUENFOUD / CPTE INVALIDE          </t>
  </si>
  <si>
    <t xml:space="preserve">BAN2205/00590  </t>
  </si>
  <si>
    <t xml:space="preserve">BFC2205/00846  </t>
  </si>
  <si>
    <t xml:space="preserve">CAF  PS BABILHOME 2022                            </t>
  </si>
  <si>
    <t xml:space="preserve">BFC2205/00847  </t>
  </si>
  <si>
    <t xml:space="preserve">CAF PS GRIBOUILLE 2022                            </t>
  </si>
  <si>
    <t xml:space="preserve">BFC2205/00848  </t>
  </si>
  <si>
    <t xml:space="preserve">CAF PS PERISCO 2022                               </t>
  </si>
  <si>
    <t xml:space="preserve">BFC2205/01094  </t>
  </si>
  <si>
    <t xml:space="preserve">BFC2205/01095  </t>
  </si>
  <si>
    <t xml:space="preserve">ASP - VIRT AIDE APPRENTI                          </t>
  </si>
  <si>
    <t xml:space="preserve">BFC2205/01096  </t>
  </si>
  <si>
    <t xml:space="preserve">BFC2205/00849  </t>
  </si>
  <si>
    <t xml:space="preserve">CAF PS EXTRASCO 2022                              </t>
  </si>
  <si>
    <t xml:space="preserve">BAN2205/00619  </t>
  </si>
  <si>
    <t xml:space="preserve">BFC2205/01097  </t>
  </si>
  <si>
    <t xml:space="preserve">BFC2205/01098  </t>
  </si>
  <si>
    <t xml:space="preserve">BFC2205/00627  </t>
  </si>
  <si>
    <t xml:space="preserve">BFC2205/01099  </t>
  </si>
  <si>
    <t xml:space="preserve">VIRT METROPOLE IER ACPTE 2022                     </t>
  </si>
  <si>
    <t xml:space="preserve">BFC2205/01100  </t>
  </si>
  <si>
    <t xml:space="preserve">VIRT METROPOLE IED ACPTE 2022                     </t>
  </si>
  <si>
    <t xml:space="preserve">BFC2205/01101  </t>
  </si>
  <si>
    <t xml:space="preserve">BAN2205/00633  </t>
  </si>
  <si>
    <t xml:space="preserve">CEE SALAIRE 05/22 GENFOUD                         </t>
  </si>
  <si>
    <t xml:space="preserve">BFC2205/01102  </t>
  </si>
  <si>
    <t xml:space="preserve">URSSAF/POLE EMPLOI 04/22                          </t>
  </si>
  <si>
    <t xml:space="preserve">DOETH 2021                                        </t>
  </si>
  <si>
    <t xml:space="preserve">BFC2205/01103  </t>
  </si>
  <si>
    <t xml:space="preserve">BFC2205/01104  </t>
  </si>
  <si>
    <t xml:space="preserve">BAN2205/00640  </t>
  </si>
  <si>
    <t xml:space="preserve">BFC2205/01105  </t>
  </si>
  <si>
    <t xml:space="preserve">VIRT HUISSIER / AFFAIRE SERVIGNE                  </t>
  </si>
  <si>
    <t xml:space="preserve">BFC2205/01106  </t>
  </si>
  <si>
    <t xml:space="preserve">BFC2205/01107  </t>
  </si>
  <si>
    <t xml:space="preserve">BFC2205/01108  </t>
  </si>
  <si>
    <t xml:space="preserve">BFC2205/01109  </t>
  </si>
  <si>
    <t xml:space="preserve">PRELEVEMENT A LA SOURCE 04/22                     </t>
  </si>
  <si>
    <t xml:space="preserve">BFC2205/00696  </t>
  </si>
  <si>
    <t>SABERKANEM</t>
  </si>
  <si>
    <t xml:space="preserve">ABERKANE MARYAM                         </t>
  </si>
  <si>
    <t xml:space="preserve">BFC2205/00698  </t>
  </si>
  <si>
    <t xml:space="preserve">DELPHINE RIAS - SALAIRE 05/22                     </t>
  </si>
  <si>
    <t xml:space="preserve">BFC2205/01110  </t>
  </si>
  <si>
    <t xml:space="preserve">BFC2205/01111  </t>
  </si>
  <si>
    <t xml:space="preserve">BFC2205/01112  </t>
  </si>
  <si>
    <t xml:space="preserve">BFC2205/00842  </t>
  </si>
  <si>
    <t xml:space="preserve">PS ACF - CYPRIAN SOLDE 2021                       </t>
  </si>
  <si>
    <t xml:space="preserve">BFC2205/00843  </t>
  </si>
  <si>
    <t xml:space="preserve">PS ACF - CFAL - SOLDE 2021                        </t>
  </si>
  <si>
    <t xml:space="preserve">BFC2205/00844  </t>
  </si>
  <si>
    <t xml:space="preserve">CAF  PS ANIMATION GLOBALE - SOLDE CYPRIAN 2021    </t>
  </si>
  <si>
    <t xml:space="preserve">BFC2205/00845  </t>
  </si>
  <si>
    <t xml:space="preserve">CAF  PS ANIMATION GLOBALE - SOLDE CFAL 2021       </t>
  </si>
  <si>
    <t xml:space="preserve">CAI2205/00574  </t>
  </si>
  <si>
    <t xml:space="preserve">LUDIVINE NOTIN AVANCE DE CAISSE IKEA              </t>
  </si>
  <si>
    <t xml:space="preserve">GUERIN CHRISTELLE R0100023862                     </t>
  </si>
  <si>
    <t xml:space="preserve">KHALDI KARIMA R0100023864                         </t>
  </si>
  <si>
    <t xml:space="preserve">SAHRAOUI MOHAMED R0100023865                      </t>
  </si>
  <si>
    <t xml:space="preserve">BENRHOUMA RHOUMA R0100023866                      </t>
  </si>
  <si>
    <t xml:space="preserve">BOUKHANOUFA MOUNIR R0100023867                    </t>
  </si>
  <si>
    <t xml:space="preserve">JOUINI MONIA R0100023868                          </t>
  </si>
  <si>
    <t xml:space="preserve">LOUATI ALI R0100023869                            </t>
  </si>
  <si>
    <t xml:space="preserve">EL HADDAD ABDELNASSER R0100023870                 </t>
  </si>
  <si>
    <t xml:space="preserve">ABDELLI HALIMA R0100023871                        </t>
  </si>
  <si>
    <t xml:space="preserve">BENMAZOUZ CHELHA R0100023872                      </t>
  </si>
  <si>
    <t xml:space="preserve">BOUDISSA HAMZA R0100023873                        </t>
  </si>
  <si>
    <t xml:space="preserve">MADI TAREK R0100023874                            </t>
  </si>
  <si>
    <t xml:space="preserve">DRISS MOHAMED R0100023875                         </t>
  </si>
  <si>
    <t xml:space="preserve">ABDELKADER SAMIR R0100023876                      </t>
  </si>
  <si>
    <t xml:space="preserve">MATJABO TOUA MADELEINE R0100023877                </t>
  </si>
  <si>
    <t xml:space="preserve">ALDOSHA RAFI R0100023878                          </t>
  </si>
  <si>
    <t xml:space="preserve">LOUATI ALI R0100023879                            </t>
  </si>
  <si>
    <t xml:space="preserve">ZENATI WASSILA R0100023880                        </t>
  </si>
  <si>
    <t xml:space="preserve">ZENATI WASSILA R0100023881                        </t>
  </si>
  <si>
    <t xml:space="preserve">CHENAIT GHALIA R0100023882                        </t>
  </si>
  <si>
    <t xml:space="preserve">CM2205/00586   </t>
  </si>
  <si>
    <t xml:space="preserve">CAI2205/00613  </t>
  </si>
  <si>
    <t xml:space="preserve">LUDIVINE NOTIN REMBOURSEMENT REPAS FORMATION      </t>
  </si>
  <si>
    <t xml:space="preserve">CAI2205/00614  </t>
  </si>
  <si>
    <t xml:space="preserve">LUDIVINE NOTIN RETOUR AVANCE DE CAISSE IKEA       </t>
  </si>
  <si>
    <t xml:space="preserve">Cr馘it SITOU LILIANE R0200001086                  </t>
  </si>
  <si>
    <t xml:space="preserve">MOUELHI WAJDI R0100023888                         </t>
  </si>
  <si>
    <t xml:space="preserve">BEKKIS    </t>
  </si>
  <si>
    <t xml:space="preserve">BEKKIS FADILA                           </t>
  </si>
  <si>
    <t xml:space="preserve">BEKKIS FADILA R0100023891                         </t>
  </si>
  <si>
    <t xml:space="preserve">HAMIDI    </t>
  </si>
  <si>
    <t xml:space="preserve">HAMIDI RAZIKA                           </t>
  </si>
  <si>
    <t xml:space="preserve">HAMIDI RAZIKA R0100023892                         </t>
  </si>
  <si>
    <t xml:space="preserve">POUOYEWO  </t>
  </si>
  <si>
    <t xml:space="preserve">POUOYEWO RACHEL                         </t>
  </si>
  <si>
    <t xml:space="preserve">POUOYEWO RACHEL R0100023893                       </t>
  </si>
  <si>
    <t xml:space="preserve">HAMIDI RAZIKA R0100023895                         </t>
  </si>
  <si>
    <t xml:space="preserve">BROSSUTTI BOUCHRA R0100023896                     </t>
  </si>
  <si>
    <t xml:space="preserve">TEKARI    </t>
  </si>
  <si>
    <t xml:space="preserve">TEKARI FAIEZ                            </t>
  </si>
  <si>
    <t xml:space="preserve">TEKARI FAIEZ R0100023898                          </t>
  </si>
  <si>
    <t xml:space="preserve">REZAGUI ABDELHALIM R0100023900                    </t>
  </si>
  <si>
    <t xml:space="preserve">AMEZRAR FERROUDJA R0100023901                     </t>
  </si>
  <si>
    <t xml:space="preserve">BERTON MADELEINE R0100023902                      </t>
  </si>
  <si>
    <t xml:space="preserve">ORSAT     </t>
  </si>
  <si>
    <t xml:space="preserve">ORSAT SIMONE                            </t>
  </si>
  <si>
    <t xml:space="preserve">ORSAT SIMONE R0100023903                          </t>
  </si>
  <si>
    <t xml:space="preserve">VILLARD JOELLE R0100023904                        </t>
  </si>
  <si>
    <t xml:space="preserve">MAJERI Izac R0200001087                           </t>
  </si>
  <si>
    <t xml:space="preserve">SAHLI Perrine R0200001089                         </t>
  </si>
  <si>
    <t xml:space="preserve">Rbt MAHI NADIA R0100023907                        </t>
  </si>
  <si>
    <t xml:space="preserve">JEBABLI MAHER R0100023905                         </t>
  </si>
  <si>
    <t xml:space="preserve">NKANGA WINA NYOTA R0300000841                     </t>
  </si>
  <si>
    <t xml:space="preserve">Cr馘it NKANGA WINA NYOTA R0300000841              </t>
  </si>
  <si>
    <t xml:space="preserve">BEN AHMED NADIA R0300000842                       </t>
  </si>
  <si>
    <t xml:space="preserve">Cr馘it BEN AHMED NADIA R0300000842                </t>
  </si>
  <si>
    <t xml:space="preserve">KIRAKOSYAN ANI R0300000843                        </t>
  </si>
  <si>
    <t xml:space="preserve">Cr馘it KIRAKOSYAN ANI R0300000843                 </t>
  </si>
  <si>
    <t xml:space="preserve">DELELET  R0300000844                              </t>
  </si>
  <si>
    <t xml:space="preserve">Cr馘it DELELET  R0300000844                       </t>
  </si>
  <si>
    <t xml:space="preserve">LOUHICHI WEJDENE R0100023909                      </t>
  </si>
  <si>
    <t xml:space="preserve">BENRHOUMA RHOUMA R0100023910                      </t>
  </si>
  <si>
    <t xml:space="preserve">LOWE ANNE YOLANDE R0100023911                     </t>
  </si>
  <si>
    <t xml:space="preserve">RACHIDI AMINA R0100023912                         </t>
  </si>
  <si>
    <t xml:space="preserve">RACHIDI AMINA R0200001093                         </t>
  </si>
  <si>
    <t xml:space="preserve">Cr馘it RACHIDI AMINA R0200001093                  </t>
  </si>
  <si>
    <t xml:space="preserve">BETTERSON FLORENCE R0100023915                    </t>
  </si>
  <si>
    <t xml:space="preserve">COTTIER ELEONORE R0100023916                      </t>
  </si>
  <si>
    <t xml:space="preserve">GUERIN CHRISTELLE R0100023917                     </t>
  </si>
  <si>
    <t xml:space="preserve">MAROVELO ERIC R0300000845                         </t>
  </si>
  <si>
    <t xml:space="preserve">Cr馘it MAROVELO ERIC R0300000845                  </t>
  </si>
  <si>
    <t xml:space="preserve">BAH DIALLO ABOUBACAR R0300000846                  </t>
  </si>
  <si>
    <t xml:space="preserve">Cr馘it BAH DIALLO ABOUBACAR R0300000846           </t>
  </si>
  <si>
    <t xml:space="preserve">THABET MOUNIRA R0200001095                        </t>
  </si>
  <si>
    <t xml:space="preserve">SAMUEL Uyigue R0200001096                         </t>
  </si>
  <si>
    <t xml:space="preserve">CAI2205/00629  </t>
  </si>
  <si>
    <t xml:space="preserve">FRANCINE CRETTE AVANCE DE CAISSE BOULANGER        </t>
  </si>
  <si>
    <t xml:space="preserve">AMEUR  R0300000849                                </t>
  </si>
  <si>
    <t xml:space="preserve">Cr馘it AMEUR  R0300000849                         </t>
  </si>
  <si>
    <t xml:space="preserve">TRAORE MARIAM R0300000850                         </t>
  </si>
  <si>
    <t xml:space="preserve">Cr馘it TRAORE MARIAM R0300000850                  </t>
  </si>
  <si>
    <t xml:space="preserve">ISHAK HASSAN IBRAHIM R0300000851                  </t>
  </si>
  <si>
    <t xml:space="preserve">Cr馘it ISHAK HASSAN IBRAHIM R0300000851           </t>
  </si>
  <si>
    <t xml:space="preserve">EZZEDDINE MOHAMED R0100023919                     </t>
  </si>
  <si>
    <t>HERRARAROM</t>
  </si>
  <si>
    <t xml:space="preserve">HERRARA ROMARO JOSE MANUEL              </t>
  </si>
  <si>
    <t xml:space="preserve">HERRARA ROMARO JOSE MANUEL R0100023921            </t>
  </si>
  <si>
    <t xml:space="preserve">KOUICI STEVE R0200001098                          </t>
  </si>
  <si>
    <t xml:space="preserve">ABDELKADER SAMIR R0300000853                      </t>
  </si>
  <si>
    <t xml:space="preserve">Cr馘it ABDELKADER SAMIR R0300000853               </t>
  </si>
  <si>
    <t xml:space="preserve">CM2205/00638   </t>
  </si>
  <si>
    <t xml:space="preserve">IDELHOUCINE BUSTAMANTE GUZMAN Elias R0200001100   </t>
  </si>
  <si>
    <t xml:space="preserve">KARA Salah Eddine R0200001105                     </t>
  </si>
  <si>
    <t xml:space="preserve">CAI2205/00641  </t>
  </si>
  <si>
    <t xml:space="preserve">AUDEBEAU AURELIA remboursement sortie ferme       </t>
  </si>
  <si>
    <t xml:space="preserve">CAI2205/00642  </t>
  </si>
  <si>
    <t xml:space="preserve">ABERKANE ASSIA AVANCE DE CAISSE CARREFOUR         </t>
  </si>
  <si>
    <t xml:space="preserve">SHACHANI  </t>
  </si>
  <si>
    <t xml:space="preserve">HACHANI YAMINA                          </t>
  </si>
  <si>
    <t xml:space="preserve">CAI2205/00643  </t>
  </si>
  <si>
    <t xml:space="preserve">HACHANI YAMINA AVANCE DE CAISSE REPAS EQUIPE      </t>
  </si>
  <si>
    <t xml:space="preserve">CAI2205/00644  </t>
  </si>
  <si>
    <t xml:space="preserve">AUDEBEAU AURELIA RETOUR AVANCE DE CAISSE          </t>
  </si>
  <si>
    <t xml:space="preserve">CAI2205/00645  </t>
  </si>
  <si>
    <t xml:space="preserve">CAI2205/00646  </t>
  </si>
  <si>
    <t xml:space="preserve">KURNAZ AYSUN REMBOURSEMENT BOULANGERIE            </t>
  </si>
  <si>
    <t xml:space="preserve">CAI2205/00647  </t>
  </si>
  <si>
    <t xml:space="preserve">FEOUX MILAN AUDREY REMBOURSEMENT CASINO + PHARMA  </t>
  </si>
  <si>
    <t xml:space="preserve">CAI2205/00648  </t>
  </si>
  <si>
    <t>HACHANI YAMINA RETOUR AVANCE DE CAISSE BOULANGERIE</t>
  </si>
  <si>
    <t xml:space="preserve">BEKKIS FADILA R0100023930                         </t>
  </si>
  <si>
    <t xml:space="preserve">KARIM     </t>
  </si>
  <si>
    <t xml:space="preserve">KARIM KELTOUM                           </t>
  </si>
  <si>
    <t xml:space="preserve">KARIM KELTOUM R0100023931                         </t>
  </si>
  <si>
    <t xml:space="preserve">AMEZRAR FERROUDJA R0100023932                     </t>
  </si>
  <si>
    <t xml:space="preserve">SLIMANIDA </t>
  </si>
  <si>
    <t xml:space="preserve">SLIMANI DALILA                          </t>
  </si>
  <si>
    <t xml:space="preserve">SLIMANI DALILA R0100023933                        </t>
  </si>
  <si>
    <t xml:space="preserve">SLIMANI CHAINEZ R0100023934                       </t>
  </si>
  <si>
    <t xml:space="preserve">OUAHBI FATIMA R0100023935                         </t>
  </si>
  <si>
    <t xml:space="preserve">ALBAN MEJIA NAIN CORIMOLDX R0100023936            </t>
  </si>
  <si>
    <t xml:space="preserve">ALIOUCHE LEMNOUAR R0100023939                     </t>
  </si>
  <si>
    <t xml:space="preserve">TSHIBANGU RITA R0100023940                        </t>
  </si>
  <si>
    <t xml:space="preserve">PART. USAGERS HORS FACTURATION.         </t>
  </si>
  <si>
    <t xml:space="preserve">CAI2205/00656  </t>
  </si>
  <si>
    <t xml:space="preserve">VIDE GRENIER - PROJET PARIS                       </t>
  </si>
  <si>
    <t xml:space="preserve">CAI2205/00657  </t>
  </si>
  <si>
    <t xml:space="preserve">VENTE DE BOISSONS - PROJET PARIS                  </t>
  </si>
  <si>
    <t xml:space="preserve">CAI2205/00658  </t>
  </si>
  <si>
    <t xml:space="preserve">VENTES CONCERT NOMADE - PROJET PARIS              </t>
  </si>
  <si>
    <t xml:space="preserve">CAI2205/00659  </t>
  </si>
  <si>
    <t xml:space="preserve">VENTES FETE OXYGENE - PROJET PARIS                </t>
  </si>
  <si>
    <t xml:space="preserve">CAI2205/00660  </t>
  </si>
  <si>
    <t xml:space="preserve">EL GAROUI DORSAF AVANCE DE CAISSE CARREFOUR       </t>
  </si>
  <si>
    <t xml:space="preserve">MKRTCHYAN  R0300000854                            </t>
  </si>
  <si>
    <t xml:space="preserve">BAKAMBO PERNELLE R0300000855                      </t>
  </si>
  <si>
    <t xml:space="preserve">Cr馘it BAKAMBO PERNELLE R0300000855               </t>
  </si>
  <si>
    <t xml:space="preserve">ABDESSELEM  R0300000857                           </t>
  </si>
  <si>
    <t xml:space="preserve">AUZAS BRIGITTE R0100023941                        </t>
  </si>
  <si>
    <t xml:space="preserve">CHANAUD MARTINE R0100023942                       </t>
  </si>
  <si>
    <t xml:space="preserve">SEROT HELENE R0100023943                          </t>
  </si>
  <si>
    <t xml:space="preserve">DUTRUC MARIE HELENE R0100023944                   </t>
  </si>
  <si>
    <t xml:space="preserve">SIRVENT GISELE R0100023945                        </t>
  </si>
  <si>
    <t xml:space="preserve">ANDRIET AGNES R0100023946                         </t>
  </si>
  <si>
    <t xml:space="preserve">BELLEMIN MICHELLE R0100023947                     </t>
  </si>
  <si>
    <t xml:space="preserve">COMBE DOMINIQUE R0100023948                       </t>
  </si>
  <si>
    <t xml:space="preserve">COLOM FRANCOISE R0100023949                       </t>
  </si>
  <si>
    <t xml:space="preserve">CERTAIN   </t>
  </si>
  <si>
    <t xml:space="preserve">CERTAIN NICOLE                          </t>
  </si>
  <si>
    <t xml:space="preserve">CERTAIN NICOLE R0100023950                        </t>
  </si>
  <si>
    <t xml:space="preserve">CARILLI GABRIELLE R0100023951                     </t>
  </si>
  <si>
    <t xml:space="preserve">KANNEVORFF ANNE R0100023952                       </t>
  </si>
  <si>
    <t xml:space="preserve">SIRVENT GISELE R0100023953                        </t>
  </si>
  <si>
    <t xml:space="preserve">SEROT HELENE R0100023954                          </t>
  </si>
  <si>
    <t xml:space="preserve">DUTRUC MARIE HELENE R0100023955                   </t>
  </si>
  <si>
    <t xml:space="preserve">ROSSERO   </t>
  </si>
  <si>
    <t xml:space="preserve">ROSSERO JOELLE                          </t>
  </si>
  <si>
    <t xml:space="preserve">ROSSERO JOELLE R0100023956                        </t>
  </si>
  <si>
    <t xml:space="preserve">CHARENSOL MICHELE R0100023957                     </t>
  </si>
  <si>
    <t xml:space="preserve">CERTAIN NICOLE R0100023958                        </t>
  </si>
  <si>
    <t xml:space="preserve">BELLEMIN MICHELLE R0100023959                     </t>
  </si>
  <si>
    <t xml:space="preserve">COMBE DOMINIQUE R0100023960                       </t>
  </si>
  <si>
    <t xml:space="preserve">CAI2205/00663  </t>
  </si>
  <si>
    <t xml:space="preserve">ABERKANE ASSIA RETOUR AVANCE DE CAISSE CARREFOUR  </t>
  </si>
  <si>
    <t xml:space="preserve">CAI2205/00700  </t>
  </si>
  <si>
    <t xml:space="preserve">NADEGE BERNY REMBOURSEMENT COLLIER ACTION         </t>
  </si>
  <si>
    <t xml:space="preserve">BOUDADI RACHID R0300000858                        </t>
  </si>
  <si>
    <t xml:space="preserve">RACHIDI AMINA R0100023961                         </t>
  </si>
  <si>
    <t xml:space="preserve">CAI2205/00680  </t>
  </si>
  <si>
    <t>EL GAROUI DORSAF RETOUR AVANCE DE CAISSE CARREFOUR</t>
  </si>
  <si>
    <t xml:space="preserve">DANIAL ZAHARIA R0300000860                        </t>
  </si>
  <si>
    <t xml:space="preserve">CAI2205/00701  </t>
  </si>
  <si>
    <t xml:space="preserve">EL GAROUI DORSAF avance de caisse auchan          </t>
  </si>
  <si>
    <t xml:space="preserve">CAI2205/00702  </t>
  </si>
  <si>
    <t xml:space="preserve">ABERKANE ASSIA avance de caisse pole enfance      </t>
  </si>
  <si>
    <t xml:space="preserve">CM2205/01282   </t>
  </si>
  <si>
    <t xml:space="preserve">PRLV ORANGE 77332317                              </t>
  </si>
  <si>
    <t xml:space="preserve">CM2205/01285   </t>
  </si>
  <si>
    <t xml:space="preserve">CHQ BOWLING DES LUMIERES                          </t>
  </si>
  <si>
    <t xml:space="preserve">CM2205/01286   </t>
  </si>
  <si>
    <t xml:space="preserve">CM2205/01283   </t>
  </si>
  <si>
    <t xml:space="preserve">PRLV ORANGE 77332245                              </t>
  </si>
  <si>
    <t xml:space="preserve">CM2205/01284   </t>
  </si>
  <si>
    <t xml:space="preserve">PRLV ORANGE 8202C8                                </t>
  </si>
  <si>
    <t xml:space="preserve">CM2205/01289   </t>
  </si>
  <si>
    <t xml:space="preserve">CHQ WAKOO PARK                                    </t>
  </si>
  <si>
    <t xml:space="preserve">CM2205/01290   </t>
  </si>
  <si>
    <t xml:space="preserve">CHQ LES ACROBOIS AL 3/6                           </t>
  </si>
  <si>
    <t xml:space="preserve">CM2205/00585   </t>
  </si>
  <si>
    <t xml:space="preserve">Remise de ch鑷ues nｰ 20220505                     </t>
  </si>
  <si>
    <t xml:space="preserve">CM2205/01291   </t>
  </si>
  <si>
    <t xml:space="preserve">CHQ ACPTE SECOURS POPULAIRE FRANCAIS              </t>
  </si>
  <si>
    <t xml:space="preserve">CM2205/01292   </t>
  </si>
  <si>
    <t xml:space="preserve">CHQ URBAN SOCCER                                  </t>
  </si>
  <si>
    <t xml:space="preserve">CM2205/01293   </t>
  </si>
  <si>
    <t xml:space="preserve">CHQ LA FERME AUX CROCODILES                       </t>
  </si>
  <si>
    <t xml:space="preserve">CM2205/01295   </t>
  </si>
  <si>
    <t xml:space="preserve">CHQ PARC DES OISEAUX                              </t>
  </si>
  <si>
    <t xml:space="preserve">CM2205/01294   </t>
  </si>
  <si>
    <t xml:space="preserve">PRLV ORANGE FIBRE / 8642D0                        </t>
  </si>
  <si>
    <t xml:space="preserve">CM2205/01296   </t>
  </si>
  <si>
    <t xml:space="preserve">CM2205/01297   </t>
  </si>
  <si>
    <t xml:space="preserve">CM2205/01298   </t>
  </si>
  <si>
    <t xml:space="preserve">CB OUIGO / SNCF                                   </t>
  </si>
  <si>
    <t xml:space="preserve">CM2205/01299   </t>
  </si>
  <si>
    <t xml:space="preserve">KAOTEP    </t>
  </si>
  <si>
    <t xml:space="preserve">KAOTEP PLAGE                            </t>
  </si>
  <si>
    <t xml:space="preserve">CM2205/01300   </t>
  </si>
  <si>
    <t xml:space="preserve">CB KAOTEP PLAGE                                   </t>
  </si>
  <si>
    <t xml:space="preserve">CM2205/01301   </t>
  </si>
  <si>
    <t xml:space="preserve">CM2205/01302   </t>
  </si>
  <si>
    <t xml:space="preserve">CM2205/00631   </t>
  </si>
  <si>
    <t xml:space="preserve">Remise de ch鑷ues nｰ 16052022                     </t>
  </si>
  <si>
    <t xml:space="preserve">CM2205/01303   </t>
  </si>
  <si>
    <t xml:space="preserve">CB C DISCOUNT                                     </t>
  </si>
  <si>
    <t xml:space="preserve">AKA Serge R0200001142                             </t>
  </si>
  <si>
    <t xml:space="preserve">CM2205/01304   </t>
  </si>
  <si>
    <t xml:space="preserve">PRLV ORANGE 1682D3                                </t>
  </si>
  <si>
    <t xml:space="preserve">CM2205/01305   </t>
  </si>
  <si>
    <t xml:space="preserve">CB METRO                                          </t>
  </si>
  <si>
    <t xml:space="preserve">CM2205/01306   </t>
  </si>
  <si>
    <t xml:space="preserve">CB GRAND FRAIS                                    </t>
  </si>
  <si>
    <t xml:space="preserve">CM2205/01308   </t>
  </si>
  <si>
    <t xml:space="preserve">PRLV EDF PRO TIP                                  </t>
  </si>
  <si>
    <t xml:space="preserve">CM2205/01309   </t>
  </si>
  <si>
    <t xml:space="preserve">CM2205/01310   </t>
  </si>
  <si>
    <t xml:space="preserve">CM2205/01311   </t>
  </si>
  <si>
    <t xml:space="preserve">PRLV ORANGE 8202D6                                </t>
  </si>
  <si>
    <t xml:space="preserve">CM2205/01312   </t>
  </si>
  <si>
    <t xml:space="preserve">PRLV ORANGE 77710772                              </t>
  </si>
  <si>
    <t xml:space="preserve">CM2205/01313   </t>
  </si>
  <si>
    <t xml:space="preserve">PRLV ORANGE 77710703                              </t>
  </si>
  <si>
    <t xml:space="preserve">GUITARI   </t>
  </si>
  <si>
    <t xml:space="preserve">GUITARI SALEM                           </t>
  </si>
  <si>
    <t xml:space="preserve">SGAMBONI  </t>
  </si>
  <si>
    <t xml:space="preserve">STEPHANIE GAMBONI                       </t>
  </si>
  <si>
    <t xml:space="preserve">ETAT ACSE CGET                          </t>
  </si>
  <si>
    <t>FONDFOURVI</t>
  </si>
  <si>
    <t xml:space="preserve">FONDATION FOURVIERE                     </t>
  </si>
  <si>
    <t xml:space="preserve">ACTIO     </t>
  </si>
  <si>
    <t xml:space="preserve">ACTION                                  </t>
  </si>
  <si>
    <t xml:space="preserve">COREP     </t>
  </si>
  <si>
    <t xml:space="preserve">COREP                                   </t>
  </si>
  <si>
    <t>PLANETARIU</t>
  </si>
  <si>
    <t xml:space="preserve">PLANETARIUM VAULX EN VELIN              </t>
  </si>
  <si>
    <t>GETYOURGUI</t>
  </si>
  <si>
    <t xml:space="preserve">GET YOUR GUIDE                          </t>
  </si>
  <si>
    <t xml:space="preserve">UCPA      </t>
  </si>
  <si>
    <t xml:space="preserve">UCPA SPORT ACCESS                       </t>
  </si>
  <si>
    <t>RUEDUCOMME</t>
  </si>
  <si>
    <t xml:space="preserve">RUE DU COMMERCE                         </t>
  </si>
  <si>
    <t xml:space="preserve">AUCHAN    </t>
  </si>
  <si>
    <t xml:space="preserve">AUCHAN DIRECT                           </t>
  </si>
  <si>
    <t xml:space="preserve">PISCINE   </t>
  </si>
  <si>
    <t xml:space="preserve">CENTRE NAUTIQUE DE BRON                 </t>
  </si>
  <si>
    <t xml:space="preserve">RTMBATEAU </t>
  </si>
  <si>
    <t xml:space="preserve">RTM BATEAU IF ET FRIOUL                 </t>
  </si>
  <si>
    <t xml:space="preserve">POSTE     </t>
  </si>
  <si>
    <t xml:space="preserve">LA POSTE                                </t>
  </si>
  <si>
    <t xml:space="preserve">BOBIL     </t>
  </si>
  <si>
    <t xml:space="preserve">BOBILLON (COMM AUX COMPTES)             </t>
  </si>
  <si>
    <t>BRICODEPOT</t>
  </si>
  <si>
    <t xml:space="preserve">BRICO DEPOT                             </t>
  </si>
  <si>
    <t xml:space="preserve">BFC2206/01314  </t>
  </si>
  <si>
    <t xml:space="preserve">BFC2206/01315  </t>
  </si>
  <si>
    <t xml:space="preserve">BFC2206/01316  </t>
  </si>
  <si>
    <t xml:space="preserve">BFC2206/01318  </t>
  </si>
  <si>
    <t xml:space="preserve">BFC2206/01320  </t>
  </si>
  <si>
    <t xml:space="preserve">VIRT ASP AIDE APPRENTIS                           </t>
  </si>
  <si>
    <t xml:space="preserve">BFC2206/01321  </t>
  </si>
  <si>
    <t xml:space="preserve">BFC2206/01322  </t>
  </si>
  <si>
    <t xml:space="preserve">BFC2206/00725  </t>
  </si>
  <si>
    <t xml:space="preserve">BAN2206/00727  </t>
  </si>
  <si>
    <t xml:space="preserve">CSE VERSEMENT EXCEPTIONNEL 2022                   </t>
  </si>
  <si>
    <t xml:space="preserve">BATEAUX   </t>
  </si>
  <si>
    <t xml:space="preserve">COMPAGNIE DES BATEAUX D'ANNECY          </t>
  </si>
  <si>
    <t xml:space="preserve">BFC2206/00728  </t>
  </si>
  <si>
    <t xml:space="preserve">BFC2206/01323  </t>
  </si>
  <si>
    <t xml:space="preserve">VIRT  PS BABILHOME 2022                           </t>
  </si>
  <si>
    <t xml:space="preserve">BFC2206/01324  </t>
  </si>
  <si>
    <t xml:space="preserve">VIRT PS GRIBOUILLE 2022                           </t>
  </si>
  <si>
    <t xml:space="preserve">FONCIA    </t>
  </si>
  <si>
    <t xml:space="preserve">FONCIA                                  </t>
  </si>
  <si>
    <t xml:space="preserve">BFC2206/01325  </t>
  </si>
  <si>
    <t xml:space="preserve">Loc. Salle A voir (No・ - Syndicat le Trouvere    </t>
  </si>
  <si>
    <t xml:space="preserve">BFC2206/01326  </t>
  </si>
  <si>
    <t xml:space="preserve">BFC2206/01327  </t>
  </si>
  <si>
    <t xml:space="preserve">BFC2206/01328  </t>
  </si>
  <si>
    <t xml:space="preserve">BCE2206/00751  </t>
  </si>
  <si>
    <t xml:space="preserve">BFC2206/01329  </t>
  </si>
  <si>
    <t xml:space="preserve">VIRT VILLE - VIVRE ENSEMBLE                       </t>
  </si>
  <si>
    <t xml:space="preserve">BAN2206/00754  </t>
  </si>
  <si>
    <t xml:space="preserve">Avance Frais WE ・Paris                           </t>
  </si>
  <si>
    <t xml:space="preserve">SGUIRASSY </t>
  </si>
  <si>
    <t xml:space="preserve">GUIRASSY FATOU                          </t>
  </si>
  <si>
    <t xml:space="preserve">SCHAIB    </t>
  </si>
  <si>
    <t xml:space="preserve">CHAIB YOUSRA                            </t>
  </si>
  <si>
    <t xml:space="preserve">BFC2206/00839  </t>
  </si>
  <si>
    <t xml:space="preserve">PS PERISCO 2022                                   </t>
  </si>
  <si>
    <t xml:space="preserve">BFC2206/01330  </t>
  </si>
  <si>
    <t xml:space="preserve">PRLV TAXE SUR LES SALAIRES                        </t>
  </si>
  <si>
    <t xml:space="preserve">BFC2206/01331  </t>
  </si>
  <si>
    <t xml:space="preserve">BFC2206/01332  </t>
  </si>
  <si>
    <t xml:space="preserve">BFC2206/00774  </t>
  </si>
  <si>
    <t xml:space="preserve">SEGAPAL   </t>
  </si>
  <si>
    <t xml:space="preserve">SEGAPAL REGISSEUR INTERESSE MIRIBEL     </t>
  </si>
  <si>
    <t xml:space="preserve">BAN2206/00777  </t>
  </si>
  <si>
    <t>PLAINETONI</t>
  </si>
  <si>
    <t xml:space="preserve">LA PLAINE TONIQUE                       </t>
  </si>
  <si>
    <t xml:space="preserve">CERDON    </t>
  </si>
  <si>
    <t xml:space="preserve">GROTTES DU CERDON                       </t>
  </si>
  <si>
    <t xml:space="preserve">Acompte non d馘uit                                </t>
  </si>
  <si>
    <t xml:space="preserve">BFC2206/01335  </t>
  </si>
  <si>
    <t xml:space="preserve">BFC2206/01336  </t>
  </si>
  <si>
    <t xml:space="preserve">VIRT VILLE PERISCO PERIODE 2A                     </t>
  </si>
  <si>
    <t xml:space="preserve">BFC2206/01337  </t>
  </si>
  <si>
    <t xml:space="preserve">VIRT VILLE PERISCO PERIODE 2B                     </t>
  </si>
  <si>
    <t xml:space="preserve">CAF  SUBV.FONCTIONNEMENT                </t>
  </si>
  <si>
    <t xml:space="preserve">BFC2206/01334  </t>
  </si>
  <si>
    <t xml:space="preserve">VIRT CAF SUBV.FONCT. 1ER ACPTE 2022               </t>
  </si>
  <si>
    <t xml:space="preserve">BAN2206/00779  </t>
  </si>
  <si>
    <t xml:space="preserve">BFC2206/01338  </t>
  </si>
  <si>
    <t xml:space="preserve">ASP - CONTRAT AIDE                                </t>
  </si>
  <si>
    <t xml:space="preserve">BFC2206/01339  </t>
  </si>
  <si>
    <t xml:space="preserve">BFC2206/01340  </t>
  </si>
  <si>
    <t xml:space="preserve">BFC2206/01341  </t>
  </si>
  <si>
    <t xml:space="preserve">VIRT PS AL EXTRASCO Solde 2021                    </t>
  </si>
  <si>
    <t xml:space="preserve">BFC2206/01342  </t>
  </si>
  <si>
    <t xml:space="preserve">VIRT PS PERISCO MERCREDIS Solde 2021              </t>
  </si>
  <si>
    <t xml:space="preserve">BFC2206/00788  </t>
  </si>
  <si>
    <t xml:space="preserve">SGRANGE   </t>
  </si>
  <si>
    <t xml:space="preserve">GRANGE AURELIE                          </t>
  </si>
  <si>
    <t xml:space="preserve">BFC2206/01343  </t>
  </si>
  <si>
    <t xml:space="preserve">PRLV CHORUM PREVOYANCE C+NC                       </t>
  </si>
  <si>
    <t xml:space="preserve">BFC2206/01344  </t>
  </si>
  <si>
    <t xml:space="preserve">BFC2206/00814  </t>
  </si>
  <si>
    <t xml:space="preserve">BAN2206/00815  </t>
  </si>
  <si>
    <t xml:space="preserve">BFC2206/01345  </t>
  </si>
  <si>
    <t xml:space="preserve">VIRT PS AL EXTRASCO                               </t>
  </si>
  <si>
    <t xml:space="preserve">BFC2206/01687  </t>
  </si>
  <si>
    <t xml:space="preserve">ANNUL VIRT NON TRANSMIS BANQUE                    </t>
  </si>
  <si>
    <t xml:space="preserve">BFC2206/01346  </t>
  </si>
  <si>
    <t xml:space="preserve">REMUNERATIONS DUES 06/22                          </t>
  </si>
  <si>
    <t xml:space="preserve">BFC2206/01347  </t>
  </si>
  <si>
    <t xml:space="preserve">BFC2206/01348  </t>
  </si>
  <si>
    <t xml:space="preserve">BFC2206/01349  </t>
  </si>
  <si>
    <t xml:space="preserve">CAI2206/00703  </t>
  </si>
  <si>
    <t xml:space="preserve">BOUVIER LUCILE REMBOURSEMENT ACHAT FLEURS         </t>
  </si>
  <si>
    <t xml:space="preserve">CM2206/00704   </t>
  </si>
  <si>
    <t xml:space="preserve">CAI2206/00705  </t>
  </si>
  <si>
    <t xml:space="preserve">ABERKANE ASSIA   AVANCE DE CAISSE PROJET REEL     </t>
  </si>
  <si>
    <t xml:space="preserve">MAKITA CHRIS R0100023964                          </t>
  </si>
  <si>
    <t xml:space="preserve">MAKITA CHRIS R0100023965                          </t>
  </si>
  <si>
    <t xml:space="preserve">Cr馘it MAKITA CHRIS R0100023965                   </t>
  </si>
  <si>
    <t xml:space="preserve">AMEZRAR FERROUDJA R0100023966                     </t>
  </si>
  <si>
    <t xml:space="preserve">ROBERT MARTINE R0100023967                        </t>
  </si>
  <si>
    <t xml:space="preserve">VILLARD JOELLE R0100023968                        </t>
  </si>
  <si>
    <t xml:space="preserve">VINCENT ADELINE R0100023969                       </t>
  </si>
  <si>
    <t xml:space="preserve">CAI2206/00706  </t>
  </si>
  <si>
    <t xml:space="preserve">BOUVIER LUCILE REMBOURSEMENT ACHAT CENTRAKOR      </t>
  </si>
  <si>
    <t xml:space="preserve">CAI2206/00707  </t>
  </si>
  <si>
    <t xml:space="preserve">ERDEM GULUZAR REMBOURSEMENT ACHAT AG              </t>
  </si>
  <si>
    <t xml:space="preserve">CAI2206/00708  </t>
  </si>
  <si>
    <t xml:space="preserve">ABERKANE ASSIA RETOUR AVANCE DE CAISSE            </t>
  </si>
  <si>
    <t xml:space="preserve">CAI2206/00709  </t>
  </si>
  <si>
    <t xml:space="preserve">PIERRE ARTHUS AVANCE DE CAISSE ESSENCE            </t>
  </si>
  <si>
    <t xml:space="preserve">ERDEM     </t>
  </si>
  <si>
    <t xml:space="preserve">ERDEM ISMAIL                            </t>
  </si>
  <si>
    <t xml:space="preserve">ERDEM NURTEN R0100023970                          </t>
  </si>
  <si>
    <t xml:space="preserve">CAI2206/00710  </t>
  </si>
  <si>
    <t xml:space="preserve">PIERRE ARTHUS RETOUR AVANCE DE CAISSE             </t>
  </si>
  <si>
    <t xml:space="preserve">CAI2206/00719  </t>
  </si>
  <si>
    <t xml:space="preserve">NADEGE BERNY REMBOURSEMENT ACHAT AG               </t>
  </si>
  <si>
    <t xml:space="preserve">ALI MARIAMA R0100023972                           </t>
  </si>
  <si>
    <t xml:space="preserve">Cr馘it ALI MARIAMA R0100023972                    </t>
  </si>
  <si>
    <t xml:space="preserve">RACHIDI AMINA R0100023973                         </t>
  </si>
  <si>
    <t xml:space="preserve">KOYOU-KOMBELE Lauriane R0200001110                </t>
  </si>
  <si>
    <t xml:space="preserve">AMEUR Rima R0200001111                            </t>
  </si>
  <si>
    <t xml:space="preserve">RACHIDI AMINA R0200001112                         </t>
  </si>
  <si>
    <t xml:space="preserve">RACHIDI AMINA R0200001113                         </t>
  </si>
  <si>
    <t xml:space="preserve">CAI2206/00735  </t>
  </si>
  <si>
    <t xml:space="preserve">SSANLAV   </t>
  </si>
  <si>
    <t xml:space="preserve">ANNE SANLAVILLE                         </t>
  </si>
  <si>
    <t xml:space="preserve">CAI2206/00736  </t>
  </si>
  <si>
    <t xml:space="preserve">ANNE SANLAVILLE REMBOURSEMENT ACHAT AG            </t>
  </si>
  <si>
    <t xml:space="preserve">CAI2206/00737  </t>
  </si>
  <si>
    <t xml:space="preserve">FRANCINE CRETTE AVANCE DE CAISSE COREP            </t>
  </si>
  <si>
    <t xml:space="preserve">EZZEDDINE MOHAMED R0100023975                     </t>
  </si>
  <si>
    <t>SANLAVILLE</t>
  </si>
  <si>
    <t xml:space="preserve">SANLAVILLE DAMIEN                       </t>
  </si>
  <si>
    <t xml:space="preserve">SANLAVILLE THOMAS R0100023976                     </t>
  </si>
  <si>
    <t xml:space="preserve">SEVA      </t>
  </si>
  <si>
    <t xml:space="preserve">SEVA ANDRE                              </t>
  </si>
  <si>
    <t xml:space="preserve">SEVA ANDRE R0100023977                            </t>
  </si>
  <si>
    <t xml:space="preserve">KOUICI STEVE R0200001118                          </t>
  </si>
  <si>
    <t xml:space="preserve">Cr馘it KOUICI STEVE R0200001118                   </t>
  </si>
  <si>
    <t xml:space="preserve">CAI2206/00743  </t>
  </si>
  <si>
    <t xml:space="preserve">CAI2206/00744  </t>
  </si>
  <si>
    <t xml:space="preserve">EL GAROUI DORSAF REMBOURSEMENT DECATHLON          </t>
  </si>
  <si>
    <t xml:space="preserve">CAI2206/00745  </t>
  </si>
  <si>
    <t xml:space="preserve">ABERKANE ASSIA REMBOURSEMENT LIDL                 </t>
  </si>
  <si>
    <t xml:space="preserve">SDANIAL   </t>
  </si>
  <si>
    <t xml:space="preserve">CAI2206/00746  </t>
  </si>
  <si>
    <t xml:space="preserve">DANIAL ZAHARIA REMBOURSEMENT CASINO               </t>
  </si>
  <si>
    <t xml:space="preserve">DEMAJ     </t>
  </si>
  <si>
    <t xml:space="preserve">DEMAJ FATLIND                           </t>
  </si>
  <si>
    <t xml:space="preserve">DEMAJ FATLIND R0100023985                         </t>
  </si>
  <si>
    <t xml:space="preserve">KHALFA SIMARD LOIS R0200001120                    </t>
  </si>
  <si>
    <t xml:space="preserve">CAI2206/00747  </t>
  </si>
  <si>
    <t xml:space="preserve">BOUVIER LUCILE REMBOURSEMENT LUCILE LA VIE CLAIRE </t>
  </si>
  <si>
    <t xml:space="preserve">CAI2206/00748  </t>
  </si>
  <si>
    <t xml:space="preserve">GUERIN CHRISTELLE R0100023995                     </t>
  </si>
  <si>
    <t xml:space="preserve">Cr馘it GUERIN CHRISTELLE R0100023995              </t>
  </si>
  <si>
    <t xml:space="preserve">MAJERI Izac R0200001121                           </t>
  </si>
  <si>
    <t xml:space="preserve">IDELHOUCINE BUSTAMANTE GUZMAN Elias R0200001124   </t>
  </si>
  <si>
    <t xml:space="preserve">AMEUR  R0300000862                                </t>
  </si>
  <si>
    <t xml:space="preserve">Cr馘it AMEUR  R0300000862                         </t>
  </si>
  <si>
    <t xml:space="preserve">MAROVELO ERIC R0300000863                         </t>
  </si>
  <si>
    <t xml:space="preserve">Cr馘it MAROVELO ERIC R0300000863                  </t>
  </si>
  <si>
    <t xml:space="preserve">KIRAKOSYAN ANI R0300000864                        </t>
  </si>
  <si>
    <t xml:space="preserve">Cr馘it KIRAKOSYAN ANI R0300000864                 </t>
  </si>
  <si>
    <t xml:space="preserve">DELELET  R0300000865                              </t>
  </si>
  <si>
    <t xml:space="preserve">Cr馘it DELELET  R0300000865                       </t>
  </si>
  <si>
    <t xml:space="preserve">NKANGA WINA NYOTA R0300000866                     </t>
  </si>
  <si>
    <t xml:space="preserve">Cr馘it NKANGA WINA NYOTA R0300000866              </t>
  </si>
  <si>
    <t xml:space="preserve">TRAORE MARIAM R0300000867                         </t>
  </si>
  <si>
    <t xml:space="preserve">Cr馘it TRAORE MARIAM R0300000867                  </t>
  </si>
  <si>
    <t xml:space="preserve">BEN AHMED NADIA R0300000868                       </t>
  </si>
  <si>
    <t xml:space="preserve">LOWE ANNE YOLANDE R0100024007                     </t>
  </si>
  <si>
    <t xml:space="preserve">OUAHBI FATIMA R0100024011                         </t>
  </si>
  <si>
    <t xml:space="preserve">DESAGE ELISE R0100024020                          </t>
  </si>
  <si>
    <t xml:space="preserve">THABET MOUNIRA R0200001125                        </t>
  </si>
  <si>
    <t xml:space="preserve">Cr馘it THABET MOUNIRA R0200001125                 </t>
  </si>
  <si>
    <t xml:space="preserve">THABET MOUNIRA R0100024027                        </t>
  </si>
  <si>
    <t xml:space="preserve">ALBAYRAK DURSUN R0100024033                       </t>
  </si>
  <si>
    <t xml:space="preserve">TSHIBANGU RITA R0100024038                        </t>
  </si>
  <si>
    <t xml:space="preserve">SOUIHI WASSILA R0100024039                        </t>
  </si>
  <si>
    <t xml:space="preserve">DIALLO THIERNO ABDOULAYE R0100024040              </t>
  </si>
  <si>
    <t xml:space="preserve">DIAW FATIMATA R0100024044                         </t>
  </si>
  <si>
    <t xml:space="preserve">SIOUDA CHAHRAZAD R0100024045                      </t>
  </si>
  <si>
    <t xml:space="preserve">BOUCHNAG  </t>
  </si>
  <si>
    <t xml:space="preserve">BOUCHNAG MOUNA                          </t>
  </si>
  <si>
    <t xml:space="preserve">BOUCHNAG MOUNA R0100024050                        </t>
  </si>
  <si>
    <t xml:space="preserve">COTTIER ELEONORE R0100024051                      </t>
  </si>
  <si>
    <t xml:space="preserve">ELHAKOUR  </t>
  </si>
  <si>
    <t xml:space="preserve">EL HAKOUR AHMED                         </t>
  </si>
  <si>
    <t xml:space="preserve">EL HAKOUR AHMED R0100024053                       </t>
  </si>
  <si>
    <t xml:space="preserve">TSHIBANGU RITA R0100024054                        </t>
  </si>
  <si>
    <t xml:space="preserve">EZZEDDINE MOHAMED R0100024057                     </t>
  </si>
  <si>
    <t xml:space="preserve">ALBAYRAK DURSUN R0100024061                       </t>
  </si>
  <si>
    <t xml:space="preserve">SERSAR SANAE R0100024066                          </t>
  </si>
  <si>
    <t xml:space="preserve">Cr馘it SERSAR SANAE R0100024066                   </t>
  </si>
  <si>
    <t xml:space="preserve">KOUICI STEVE R0100024068                          </t>
  </si>
  <si>
    <t xml:space="preserve">BOUZAIDA SABA R0100024073                         </t>
  </si>
  <si>
    <t xml:space="preserve">EL HAKOUR AHMED R0100024074                       </t>
  </si>
  <si>
    <t xml:space="preserve">LOUHICHI WEJDENE R0100024076                      </t>
  </si>
  <si>
    <t xml:space="preserve">ADOUNI MOHAMED R0100024078                        </t>
  </si>
  <si>
    <t xml:space="preserve">CAI2206/00780  </t>
  </si>
  <si>
    <t xml:space="preserve">RETOUR AVANCE WE A PARIS                          </t>
  </si>
  <si>
    <t xml:space="preserve">FOUR      </t>
  </si>
  <si>
    <t xml:space="preserve">FOUR MELISSA                            </t>
  </si>
  <si>
    <t xml:space="preserve">FOUR MELISSA R0100024081                          </t>
  </si>
  <si>
    <t xml:space="preserve">DIALLO THIERNO ABDOULAYE R0100024084              </t>
  </si>
  <si>
    <t xml:space="preserve">SMAJIC VELIDA R0100024086                         </t>
  </si>
  <si>
    <t>BUENAVENTU</t>
  </si>
  <si>
    <t xml:space="preserve">BUENAVENTURA CAROLINA                   </t>
  </si>
  <si>
    <t xml:space="preserve">BUENAVENTURA CAROLINA R0100024088                 </t>
  </si>
  <si>
    <t xml:space="preserve">BENNACEUR </t>
  </si>
  <si>
    <t xml:space="preserve">BENNACEUR OUMAIMA                       </t>
  </si>
  <si>
    <t xml:space="preserve">BENNACEUR OUMAIMA R0100024095                     </t>
  </si>
  <si>
    <t xml:space="preserve">SLIMANE NAIMA R0100024096                         </t>
  </si>
  <si>
    <t xml:space="preserve">ISHAK HASSAN IBRAHIM R0300000869                  </t>
  </si>
  <si>
    <t xml:space="preserve">Cr馘it ISHAK HASSAN IBRAHIM R0300000869           </t>
  </si>
  <si>
    <t xml:space="preserve">AGGREY ANGELA R0300000870                         </t>
  </si>
  <si>
    <t xml:space="preserve">OSARETIN Augustin R0300000871                     </t>
  </si>
  <si>
    <t xml:space="preserve">BAKAMBO PERNELLE R0300000872                      </t>
  </si>
  <si>
    <t xml:space="preserve">Cr馘it BAKAMBO PERNELLE R0300000872               </t>
  </si>
  <si>
    <t xml:space="preserve">ABDELKADER SAMIR R0300000873                      </t>
  </si>
  <si>
    <t xml:space="preserve">Cr馘it ABDELKADER SAMIR R0300000873               </t>
  </si>
  <si>
    <t xml:space="preserve">DIAGOLA SAMBA R0300000874                         </t>
  </si>
  <si>
    <t xml:space="preserve">Cr馘it DIAGOLA SAMBA R0300000874                  </t>
  </si>
  <si>
    <t xml:space="preserve">CAI2206/00789  </t>
  </si>
  <si>
    <t xml:space="preserve">KURNAZ AYSUN PHOTOS POT DE DEPART                 </t>
  </si>
  <si>
    <t xml:space="preserve">CAI2206/00790  </t>
  </si>
  <si>
    <t xml:space="preserve">FRANCINE CRETTE DECATHLON                         </t>
  </si>
  <si>
    <t xml:space="preserve">CAI2206/00791  </t>
  </si>
  <si>
    <t xml:space="preserve">FRANCINE CRETTE LECLERC CAFE PARENTS              </t>
  </si>
  <si>
    <t xml:space="preserve">CAI2206/00792  </t>
  </si>
  <si>
    <t xml:space="preserve">KURNAZ AYSUN AVANCE DE CAISSE LAC                 </t>
  </si>
  <si>
    <t xml:space="preserve">CAI2206/00793  </t>
  </si>
  <si>
    <t xml:space="preserve">CAI2206/00794  </t>
  </si>
  <si>
    <t xml:space="preserve">AVANCE DE CAISSE PROJET PARIS                     </t>
  </si>
  <si>
    <t xml:space="preserve">CAI2206/00795  </t>
  </si>
  <si>
    <t xml:space="preserve">CAI2206/00796  </t>
  </si>
  <si>
    <t xml:space="preserve">BOUVIER LUCILE SORTIE PEDAGOGIQUE TCL             </t>
  </si>
  <si>
    <t xml:space="preserve">CAI2206/00797  </t>
  </si>
  <si>
    <t xml:space="preserve">BOUVIER LUCILE AVANCE DE CAISSE ACHAT PEDAGOGIQUE </t>
  </si>
  <si>
    <t xml:space="preserve">CAI2206/00799  </t>
  </si>
  <si>
    <t xml:space="preserve">CAI2206/00800  </t>
  </si>
  <si>
    <t xml:space="preserve">KAMBI SITTI REMBOURSEMENT                         </t>
  </si>
  <si>
    <t xml:space="preserve">CAI2206/00801  </t>
  </si>
  <si>
    <t xml:space="preserve">KAMBI SITTI AVANCE DE CAISSE GRAND FRAIS          </t>
  </si>
  <si>
    <t xml:space="preserve">CAI2206/00802  </t>
  </si>
  <si>
    <t xml:space="preserve">EL GAROUI DORSAF RETOUR AVANCE DE CAISSE          </t>
  </si>
  <si>
    <t xml:space="preserve">CAI2206/00804  </t>
  </si>
  <si>
    <t>BOISSY OLIVIER REMBOURSEMENT TEE SHIRT FETE OXYGEN</t>
  </si>
  <si>
    <t xml:space="preserve">CAI2206/00830  </t>
  </si>
  <si>
    <t xml:space="preserve">HACHANI YAMINA ACHAT CRECHE                       </t>
  </si>
  <si>
    <t xml:space="preserve">CAI2206/00831  </t>
  </si>
  <si>
    <t xml:space="preserve">NADEGE BERNY ACHAT POT DE DEPART AYSUN            </t>
  </si>
  <si>
    <t xml:space="preserve">SBORAND   </t>
  </si>
  <si>
    <t xml:space="preserve">BORAND CYRIL                            </t>
  </si>
  <si>
    <t xml:space="preserve">CAI2206/00832  </t>
  </si>
  <si>
    <t xml:space="preserve">BORAND CYRIL ACHAT POT DE DEPART AYSUN            </t>
  </si>
  <si>
    <t xml:space="preserve">CAI2206/00833  </t>
  </si>
  <si>
    <t xml:space="preserve">BOTH ANDREA ACHAT MARSEILLE + REPAS PARTAGE       </t>
  </si>
  <si>
    <t xml:space="preserve">CAI2206/00834  </t>
  </si>
  <si>
    <t xml:space="preserve">BOUVIER LUCILE REPAS FORMATION BABILHOME          </t>
  </si>
  <si>
    <t xml:space="preserve">CAI2206/00835  </t>
  </si>
  <si>
    <t xml:space="preserve">GRANGE AURELIE ACHAT BRICO                        </t>
  </si>
  <si>
    <t xml:space="preserve">CAI2206/00836  </t>
  </si>
  <si>
    <t>BOUVIER LUCILE RETOUR AVANCE DE CAISSE LA VIE CLAI</t>
  </si>
  <si>
    <t xml:space="preserve">CAI2206/00862  </t>
  </si>
  <si>
    <t xml:space="preserve">BOUDADI RACHID R0100024097                        </t>
  </si>
  <si>
    <t xml:space="preserve">Cr馘it BOUDADI RACHID R0100024097                 </t>
  </si>
  <si>
    <t xml:space="preserve">BENNACEUR OUMAIMA R0100024100                     </t>
  </si>
  <si>
    <t xml:space="preserve">BIBANG MIKUE MARIA R0100024101                    </t>
  </si>
  <si>
    <t xml:space="preserve">BELATROUS </t>
  </si>
  <si>
    <t xml:space="preserve">BELATROUS ZHORA                         </t>
  </si>
  <si>
    <t xml:space="preserve">BELATROUS ZHORA R0100024102                       </t>
  </si>
  <si>
    <t xml:space="preserve">THABET MOUNIRA R0100024103                        </t>
  </si>
  <si>
    <t xml:space="preserve">DJEMEL    </t>
  </si>
  <si>
    <t xml:space="preserve">DJEMEL HAKIM                            </t>
  </si>
  <si>
    <t xml:space="preserve">DJEMEL HAKIM R0100024104                          </t>
  </si>
  <si>
    <t xml:space="preserve">MAKITA CHRIS R0100024106                          </t>
  </si>
  <si>
    <t xml:space="preserve">CAI2206/00863  </t>
  </si>
  <si>
    <t xml:space="preserve">EL GAROUI  DORSAF AVANCE DE CAISSE METRO          </t>
  </si>
  <si>
    <t xml:space="preserve">CAI2206/00911  </t>
  </si>
  <si>
    <t xml:space="preserve">PIERRE ARTHUS avance de caisse minibus            </t>
  </si>
  <si>
    <t xml:space="preserve">CM2206/01423   </t>
  </si>
  <si>
    <t xml:space="preserve">CM2206/01424   </t>
  </si>
  <si>
    <t xml:space="preserve">CM2206/01425   </t>
  </si>
  <si>
    <t xml:space="preserve">CM2206/01426   </t>
  </si>
  <si>
    <t xml:space="preserve">RGLT CB - KAOTEP PLAGE                            </t>
  </si>
  <si>
    <t xml:space="preserve">CM2206/01428   </t>
  </si>
  <si>
    <t xml:space="preserve">RGLT BML LOCATION                                 </t>
  </si>
  <si>
    <t xml:space="preserve">CM2206/01429   </t>
  </si>
  <si>
    <t xml:space="preserve">RGLT CB FONDATION FOURVIERE                       </t>
  </si>
  <si>
    <t xml:space="preserve">PRMV ORANGE 4022D8                                </t>
  </si>
  <si>
    <t xml:space="preserve">CM2206/01430   </t>
  </si>
  <si>
    <t xml:space="preserve">PRLV ORANGE 8642D8                                </t>
  </si>
  <si>
    <t xml:space="preserve">CM2206/01431   </t>
  </si>
  <si>
    <t xml:space="preserve">CB ACTION                                         </t>
  </si>
  <si>
    <t xml:space="preserve">CM2206/01432   </t>
  </si>
  <si>
    <t xml:space="preserve">CM2206/01433   </t>
  </si>
  <si>
    <t xml:space="preserve">VIRT RECU AKA                                     </t>
  </si>
  <si>
    <t xml:space="preserve">CM2206/01434   </t>
  </si>
  <si>
    <t xml:space="preserve">CM2206/01435   </t>
  </si>
  <si>
    <t xml:space="preserve">CM2206/01439   </t>
  </si>
  <si>
    <t xml:space="preserve">CHQ LA RONDE DE BERTHELOT / VIDE GRENIER 6/13     </t>
  </si>
  <si>
    <t xml:space="preserve">CM2206/01436   </t>
  </si>
  <si>
    <t xml:space="preserve">CB / GET YOUR GUIDE                               </t>
  </si>
  <si>
    <t xml:space="preserve">CM2206/01437   </t>
  </si>
  <si>
    <t xml:space="preserve">CM2206/01438   </t>
  </si>
  <si>
    <t xml:space="preserve">CM2206/01440   </t>
  </si>
  <si>
    <t xml:space="preserve">CM2206/00742   </t>
  </si>
  <si>
    <t xml:space="preserve">Remise de ch鑷ues nｰ 20220613                     </t>
  </si>
  <si>
    <t xml:space="preserve">CM2206/01441   </t>
  </si>
  <si>
    <t xml:space="preserve">REGIE BILLON BOUVET BONNAMOUR                     </t>
  </si>
  <si>
    <t xml:space="preserve">CM2206/01442   </t>
  </si>
  <si>
    <t xml:space="preserve">CM2206/01443   </t>
  </si>
  <si>
    <t xml:space="preserve">CM2206/01444   </t>
  </si>
  <si>
    <t xml:space="preserve">PRLV ORANGE 1682E1                                </t>
  </si>
  <si>
    <t xml:space="preserve">CM2206/01445   </t>
  </si>
  <si>
    <t xml:space="preserve">CB / RUE DU COMMERCE                              </t>
  </si>
  <si>
    <t xml:space="preserve">CM2206/01446   </t>
  </si>
  <si>
    <t xml:space="preserve">CHQ COREP                                         </t>
  </si>
  <si>
    <t xml:space="preserve">CM2206/01447   </t>
  </si>
  <si>
    <t xml:space="preserve">CHQ RGLT SUPERFLY / WE A PARIS                    </t>
  </si>
  <si>
    <t xml:space="preserve">CM2206/01448   </t>
  </si>
  <si>
    <t xml:space="preserve">CB AUCHAN DIRECT                                  </t>
  </si>
  <si>
    <t xml:space="preserve">CM2206/01449   </t>
  </si>
  <si>
    <t xml:space="preserve">CHQ / FONDATION FOURVIERE                         </t>
  </si>
  <si>
    <t xml:space="preserve">CM2206/01450   </t>
  </si>
  <si>
    <t xml:space="preserve">CM2206/00908   </t>
  </si>
  <si>
    <t xml:space="preserve">Remise de ch鑷ues nｰ 20220630                     </t>
  </si>
  <si>
    <t xml:space="preserve">CM2206/00910   </t>
  </si>
  <si>
    <t xml:space="preserve">Remise de ch鑷ues nｰ 30062022                     </t>
  </si>
  <si>
    <t xml:space="preserve">CM2206/01451   </t>
  </si>
  <si>
    <t xml:space="preserve">PRLV ORANGE 8202E4                                </t>
  </si>
  <si>
    <t xml:space="preserve">CM2206/01452   </t>
  </si>
  <si>
    <t xml:space="preserve">CB / LA POSTE                                     </t>
  </si>
  <si>
    <t xml:space="preserve">CM2206/01453   </t>
  </si>
  <si>
    <t>ROCCHICCIO</t>
  </si>
  <si>
    <t xml:space="preserve">ROCCHICCIOLI BEATRICE                   </t>
  </si>
  <si>
    <t>BOUCHEKIO1</t>
  </si>
  <si>
    <t xml:space="preserve">BOUCHEKIOUA STEPHANIE                   </t>
  </si>
  <si>
    <t xml:space="preserve">TORKI     </t>
  </si>
  <si>
    <t xml:space="preserve">TORKI RADHOUAN                          </t>
  </si>
  <si>
    <t>SLIMANIMOU</t>
  </si>
  <si>
    <t xml:space="preserve">SLIMANI LAMIA                           </t>
  </si>
  <si>
    <t xml:space="preserve">ZAMAN     </t>
  </si>
  <si>
    <t xml:space="preserve">ZAMAN MUHAMMAD                          </t>
  </si>
  <si>
    <t xml:space="preserve">MARZOUQ   </t>
  </si>
  <si>
    <t xml:space="preserve">MARZOUQ STEPHANIE                       </t>
  </si>
  <si>
    <t xml:space="preserve">SSIOUDA   </t>
  </si>
  <si>
    <t xml:space="preserve">DECATHLON </t>
  </si>
  <si>
    <t xml:space="preserve">MAGASIN DECATHLON EVASION PORTE ALPES   </t>
  </si>
  <si>
    <t xml:space="preserve">TOUROPARC </t>
  </si>
  <si>
    <t xml:space="preserve">TOUROPARC ZOO                           </t>
  </si>
  <si>
    <t>LAFABRIQUE</t>
  </si>
  <si>
    <t xml:space="preserve">LA FABRIQUE DE RONAN                    </t>
  </si>
  <si>
    <t xml:space="preserve">CREAVEA   </t>
  </si>
  <si>
    <t xml:space="preserve">CREAVEA                                 </t>
  </si>
  <si>
    <t xml:space="preserve">SFLAMIER  </t>
  </si>
  <si>
    <t xml:space="preserve">FLAMIER ALINE                           </t>
  </si>
  <si>
    <t xml:space="preserve">BENNOUR   </t>
  </si>
  <si>
    <t xml:space="preserve">BENNOUR RENOV                           </t>
  </si>
  <si>
    <t xml:space="preserve">CNFDI     </t>
  </si>
  <si>
    <t>CENTRE NATIONAL PRIVE DE FORMATION A DIS</t>
  </si>
  <si>
    <t>LOISIRPARC</t>
  </si>
  <si>
    <t xml:space="preserve">LES LOISIRS DU PARC                     </t>
  </si>
  <si>
    <t>PISCINEDEC</t>
  </si>
  <si>
    <t xml:space="preserve">CENTRE NAUTIQUE DECINES                 </t>
  </si>
  <si>
    <t xml:space="preserve">FUNZY     </t>
  </si>
  <si>
    <t xml:space="preserve">FUNZY                                   </t>
  </si>
  <si>
    <t xml:space="preserve">SQUARESP  </t>
  </si>
  <si>
    <t xml:space="preserve">SQUARESPACE                             </t>
  </si>
  <si>
    <t>MUSEEGADAG</t>
  </si>
  <si>
    <t xml:space="preserve">MUSEE GADAGNE                           </t>
  </si>
  <si>
    <t>BELLICLAUD</t>
  </si>
  <si>
    <t xml:space="preserve">BELLI CLAUDIA                           </t>
  </si>
  <si>
    <t xml:space="preserve">ALICE     </t>
  </si>
  <si>
    <t xml:space="preserve">ALICE DANS LES VILLES                   </t>
  </si>
  <si>
    <t xml:space="preserve">ARCHIPEL  </t>
  </si>
  <si>
    <t xml:space="preserve">ARCHIPEL - PISCINE DE L'ARBRESLE        </t>
  </si>
  <si>
    <t>PISCINEMEY</t>
  </si>
  <si>
    <t xml:space="preserve">CENTRE AQUATIQUE LES VAGUES             </t>
  </si>
  <si>
    <t xml:space="preserve">BFC2207/01579  </t>
  </si>
  <si>
    <t xml:space="preserve">BFC2207/01580  </t>
  </si>
  <si>
    <t xml:space="preserve">BFC2207/01581  </t>
  </si>
  <si>
    <t xml:space="preserve">BFC2207/01584  </t>
  </si>
  <si>
    <t xml:space="preserve">CAF SOLDE 2021 PS BABILHOME                       </t>
  </si>
  <si>
    <t xml:space="preserve">CAF PS VOIR DETAIL                                </t>
  </si>
  <si>
    <t xml:space="preserve">CAF SOLDE 2021 PS GRIBOUILLE                      </t>
  </si>
  <si>
    <t xml:space="preserve">BFC2207/01585  </t>
  </si>
  <si>
    <t xml:space="preserve">BFC2207/01586  </t>
  </si>
  <si>
    <t xml:space="preserve">BFC2207/01587  </t>
  </si>
  <si>
    <t xml:space="preserve">BAN2207/00996  </t>
  </si>
  <si>
    <t xml:space="preserve">BFC2207/01588  </t>
  </si>
  <si>
    <t xml:space="preserve">ASP AIDE APPRENTI                                 </t>
  </si>
  <si>
    <t xml:space="preserve">BAN2207/01048  </t>
  </si>
  <si>
    <t xml:space="preserve">BFC2207/01050  </t>
  </si>
  <si>
    <t xml:space="preserve">BAN2207/01052  </t>
  </si>
  <si>
    <t xml:space="preserve">BFC2207/01589  </t>
  </si>
  <si>
    <t xml:space="preserve">VIRT CAF SOLDE FPT 2X10.000                       </t>
  </si>
  <si>
    <t xml:space="preserve">VIRT CAF SPC A VOIR                               </t>
  </si>
  <si>
    <t xml:space="preserve">BFC2207/01590  </t>
  </si>
  <si>
    <t xml:space="preserve">BFC2207/01591  </t>
  </si>
  <si>
    <t xml:space="preserve">BAN2207/01083  </t>
  </si>
  <si>
    <t xml:space="preserve">BFC2207/01084  </t>
  </si>
  <si>
    <t xml:space="preserve">BFC2207/01085  </t>
  </si>
  <si>
    <t xml:space="preserve">BAN2207/01116  </t>
  </si>
  <si>
    <t xml:space="preserve">VIRT SALAIRE EL GAROUI DORSAF 07/22               </t>
  </si>
  <si>
    <t xml:space="preserve">BFC2207/01592  </t>
  </si>
  <si>
    <t xml:space="preserve">BAN2207/01128  </t>
  </si>
  <si>
    <t xml:space="preserve">BFC2207/01593  </t>
  </si>
  <si>
    <t xml:space="preserve">BFC2207/01594  </t>
  </si>
  <si>
    <t xml:space="preserve">BFC2207/01595  </t>
  </si>
  <si>
    <t xml:space="preserve">BFC2207/01596  </t>
  </si>
  <si>
    <t xml:space="preserve">BFC2207/01597  </t>
  </si>
  <si>
    <t xml:space="preserve">BFC2207/01598  </t>
  </si>
  <si>
    <t xml:space="preserve">VIREMENT VILLE / PROJET PARIS                     </t>
  </si>
  <si>
    <t xml:space="preserve">BFC2207/01599  </t>
  </si>
  <si>
    <t xml:space="preserve">BAN2207/01180  </t>
  </si>
  <si>
    <t xml:space="preserve">BFC2207/01191  </t>
  </si>
  <si>
    <t xml:space="preserve">BFC2207/01600  </t>
  </si>
  <si>
    <t xml:space="preserve">BFC2207/01601  </t>
  </si>
  <si>
    <t xml:space="preserve">CAI2207/02649  </t>
  </si>
  <si>
    <t xml:space="preserve">EZZEDDINE MOHAMED R0100024121                     </t>
  </si>
  <si>
    <t xml:space="preserve">SAID OUASSILA R0100024124                         </t>
  </si>
  <si>
    <t xml:space="preserve">CAI2207/00914  </t>
  </si>
  <si>
    <t xml:space="preserve">BELKFIF MESSAOUDA R0100024111                     </t>
  </si>
  <si>
    <t xml:space="preserve">SAID OUASSILA R0100024112                         </t>
  </si>
  <si>
    <t xml:space="preserve">CAI2207/00915  </t>
  </si>
  <si>
    <t xml:space="preserve">LUDIVINE NOTIN REMBOURSEMENT FETE GRIBOUILLE      </t>
  </si>
  <si>
    <t xml:space="preserve">CAI2207/00916  </t>
  </si>
  <si>
    <t xml:space="preserve">SIOUDA CHAHRAZAD REMBOURSEMENT ACHAT PEDAGOGIQUE  </t>
  </si>
  <si>
    <t xml:space="preserve">CAI2207/00917  </t>
  </si>
  <si>
    <t xml:space="preserve">FRANCINE CRETTE REMBOURSEMENT BUREAU VALLEE       </t>
  </si>
  <si>
    <t xml:space="preserve">CAI2207/00952  </t>
  </si>
  <si>
    <t xml:space="preserve">PART.FAMILLE SORTIE PARIS                         </t>
  </si>
  <si>
    <t xml:space="preserve">SRIAS     </t>
  </si>
  <si>
    <t xml:space="preserve">DELPHINE RIAS                           </t>
  </si>
  <si>
    <t xml:space="preserve">CAI2207/00989  </t>
  </si>
  <si>
    <t xml:space="preserve">DELPHINE RIAS ACHAT LA VIE CLAIRE                 </t>
  </si>
  <si>
    <t xml:space="preserve">CAI2207/00990  </t>
  </si>
  <si>
    <t xml:space="preserve">EL GAROUI DORSAF AVANCE DE CAISSE DECATHLON       </t>
  </si>
  <si>
    <t xml:space="preserve">CAI2207/00991  </t>
  </si>
  <si>
    <t xml:space="preserve">FRANCINE CRETTE RETOUR TROP PERCU                 </t>
  </si>
  <si>
    <t xml:space="preserve">REBBOUCHE-ADDALA IMENE R0300000878                </t>
  </si>
  <si>
    <t xml:space="preserve">SOMMIER VIRGINIE R0100024114                      </t>
  </si>
  <si>
    <t xml:space="preserve">RACHIDI AMINA R0100024115                         </t>
  </si>
  <si>
    <t xml:space="preserve">KOUICI STEVE R0100024117                          </t>
  </si>
  <si>
    <t xml:space="preserve">CAI2207/00992  </t>
  </si>
  <si>
    <t xml:space="preserve">GRANGE AURELIE REMBOURSEMENT SORTIE FERME         </t>
  </si>
  <si>
    <t xml:space="preserve">CAI2207/00993  </t>
  </si>
  <si>
    <t xml:space="preserve">EL GAROUI DORSAF  RETOUR AVANCE DE CAISSE METRO   </t>
  </si>
  <si>
    <t xml:space="preserve">CAI2207/00994  </t>
  </si>
  <si>
    <t xml:space="preserve">FRANCINE CRETTE AVANCE DE CAISSE REPAS EQUIPE     </t>
  </si>
  <si>
    <t xml:space="preserve">RACHIDI AMINA R0200001132                         </t>
  </si>
  <si>
    <t xml:space="preserve">RACHIDI AMINA R0200001133                         </t>
  </si>
  <si>
    <t xml:space="preserve">CAI2207/00997  </t>
  </si>
  <si>
    <t xml:space="preserve">KURNAZ AYSUN AVANCE DE CAISSE SORTIE LAC          </t>
  </si>
  <si>
    <t xml:space="preserve">CM2207/00998   </t>
  </si>
  <si>
    <t xml:space="preserve">CAI2207/00999  </t>
  </si>
  <si>
    <t xml:space="preserve">CAI2207/01002  </t>
  </si>
  <si>
    <t xml:space="preserve">KAMBI SITTI AVANCE DE CAISSE GIFI                 </t>
  </si>
  <si>
    <t xml:space="preserve">NKANGA WINA NYOTA R0300000879                     </t>
  </si>
  <si>
    <t xml:space="preserve">Cr馘it NKANGA WINA NYOTA R0300000879              </t>
  </si>
  <si>
    <t xml:space="preserve">KIRAKOSYAN ANI R0300000880                        </t>
  </si>
  <si>
    <t xml:space="preserve">Cr馘it KIRAKOSYAN ANI R0300000880                 </t>
  </si>
  <si>
    <t xml:space="preserve">AMEUR  R0300000881                                </t>
  </si>
  <si>
    <t xml:space="preserve">Cr馘it AMEUR  R0300000881                         </t>
  </si>
  <si>
    <t xml:space="preserve">MAROVELO ERIC R0300000882                         </t>
  </si>
  <si>
    <t xml:space="preserve">Cr馘it MAROVELO ERIC R0300000882                  </t>
  </si>
  <si>
    <t xml:space="preserve">ABDESSELEM  R0300000883                           </t>
  </si>
  <si>
    <t xml:space="preserve">Cr馘it ABDESSELEM  R0300000883                    </t>
  </si>
  <si>
    <t xml:space="preserve">TRAORE MARIAM R0300000884                         </t>
  </si>
  <si>
    <t xml:space="preserve">Cr馘it TRAORE MARIAM R0300000884                  </t>
  </si>
  <si>
    <t xml:space="preserve">SOW MARIAMA R0300000885                           </t>
  </si>
  <si>
    <t xml:space="preserve">ADOUNI MOHAMED R0100024125                        </t>
  </si>
  <si>
    <t xml:space="preserve">SLIMANI LAMIA R0100024126                         </t>
  </si>
  <si>
    <t xml:space="preserve">BROSSUTTI BOUCHRA R0100024128                     </t>
  </si>
  <si>
    <t xml:space="preserve">BAH DIALLO ABOUBACAR R0100024129                  </t>
  </si>
  <si>
    <t xml:space="preserve">BERNY     </t>
  </si>
  <si>
    <t xml:space="preserve">BERNY NADEGE                            </t>
  </si>
  <si>
    <t xml:space="preserve">BERNY NADEGE R0100024130                          </t>
  </si>
  <si>
    <t xml:space="preserve">ERDEM GULUZAR R0100024131                         </t>
  </si>
  <si>
    <t xml:space="preserve">ERDEM NURTEN R0100024132                          </t>
  </si>
  <si>
    <t xml:space="preserve">TEKARI FAIEZ R0100024133                          </t>
  </si>
  <si>
    <t>OTTAPLACKA</t>
  </si>
  <si>
    <t xml:space="preserve">OTTAPLACKAL NAZAR NISHAD                </t>
  </si>
  <si>
    <t xml:space="preserve">OTTAPLACKAL NAZAR NISHAD R0100024134              </t>
  </si>
  <si>
    <t xml:space="preserve">TEKARI FAIEZ R0100024135                          </t>
  </si>
  <si>
    <t xml:space="preserve">ERDEM NURTEN R0100024136                          </t>
  </si>
  <si>
    <t xml:space="preserve">ERDEM GULUZAR R0100024137                         </t>
  </si>
  <si>
    <t xml:space="preserve">BROSSUTTI BOUCHRA R0100024138                     </t>
  </si>
  <si>
    <t xml:space="preserve">THABET MOUNIRA R0100024139                        </t>
  </si>
  <si>
    <t xml:space="preserve">ASSANI    </t>
  </si>
  <si>
    <t xml:space="preserve">ASSANI SALAMA                           </t>
  </si>
  <si>
    <t xml:space="preserve">ASSANI SALAMA R0100024142                         </t>
  </si>
  <si>
    <t xml:space="preserve">CAI2207/01029  </t>
  </si>
  <si>
    <t xml:space="preserve">DELPHINE RIAS REMBOURSEMENT AGENDAS               </t>
  </si>
  <si>
    <t xml:space="preserve">CAI2207/01030  </t>
  </si>
  <si>
    <t xml:space="preserve">KAMBI SITTI AVANCE DE CAISSE TCL                  </t>
  </si>
  <si>
    <t xml:space="preserve">CAI2207/01031  </t>
  </si>
  <si>
    <t xml:space="preserve">CAI2207/01033  </t>
  </si>
  <si>
    <t xml:space="preserve">PIERRE ARTHUS AVANCE DE CAISSE CONTROLE TECHNIQUE </t>
  </si>
  <si>
    <t xml:space="preserve">MAJERI Izac R0200001136                           </t>
  </si>
  <si>
    <t xml:space="preserve">SAHLI Perrine R0200001139                         </t>
  </si>
  <si>
    <t xml:space="preserve">Cr馘it SAHLI Perrine R0200001139                  </t>
  </si>
  <si>
    <t xml:space="preserve">MALEK FATIMA R0100024146                          </t>
  </si>
  <si>
    <t xml:space="preserve">AMINE     </t>
  </si>
  <si>
    <t xml:space="preserve">AMINE RACHIDA                           </t>
  </si>
  <si>
    <t xml:space="preserve">AMINE RACHIDA R0100024147                         </t>
  </si>
  <si>
    <t xml:space="preserve">AKOPIAN   </t>
  </si>
  <si>
    <t xml:space="preserve">AKOPIAN JANNA                           </t>
  </si>
  <si>
    <t xml:space="preserve">AKOPIAN JANNA R0100024152                         </t>
  </si>
  <si>
    <t xml:space="preserve">KARIM KELTOUM R0100024154                         </t>
  </si>
  <si>
    <t xml:space="preserve">AMEZRAR FERROUDJA R0100024155                     </t>
  </si>
  <si>
    <t xml:space="preserve">BAZIZI NACIMA R0100024157                         </t>
  </si>
  <si>
    <t xml:space="preserve">AMAR      </t>
  </si>
  <si>
    <t xml:space="preserve">AMAR ABDELSAMED                         </t>
  </si>
  <si>
    <t xml:space="preserve">AMAR ABDELSAMED R0100024158                       </t>
  </si>
  <si>
    <t xml:space="preserve">REZAGUI ABDELHALIM R0100024159                    </t>
  </si>
  <si>
    <t xml:space="preserve">CAI2207/01053  </t>
  </si>
  <si>
    <t>PIERRE ARTHUS RETOUR AVANCE DE CAISSE CONTROLE TEC</t>
  </si>
  <si>
    <t xml:space="preserve">SLIMANI LAMIA R0100024160                         </t>
  </si>
  <si>
    <t xml:space="preserve">HADDADNI  </t>
  </si>
  <si>
    <t xml:space="preserve">HADDAD NIZAR                            </t>
  </si>
  <si>
    <t xml:space="preserve">HADDAD NIZAR R0100024161                          </t>
  </si>
  <si>
    <t xml:space="preserve">CAI2207/01058  </t>
  </si>
  <si>
    <t xml:space="preserve">FLAMIER ALINE REMBOURSEMENT SORTIE FERME          </t>
  </si>
  <si>
    <t xml:space="preserve">CAI2207/01059  </t>
  </si>
  <si>
    <t xml:space="preserve">STEPHANIE GAMBONI REMBOURSEMENT REPAS FORMATION   </t>
  </si>
  <si>
    <t xml:space="preserve">CAI2207/01063  </t>
  </si>
  <si>
    <t xml:space="preserve">KURNAZ AYSUN REMBOURSEMENT BOULANGERIE + REPAS    </t>
  </si>
  <si>
    <t xml:space="preserve">CAI2207/01070  </t>
  </si>
  <si>
    <t>FRANCINE CRETTE RETOUR AVANCE DE CAISSE SORTIE GRI</t>
  </si>
  <si>
    <t xml:space="preserve">CAI2207/01077  </t>
  </si>
  <si>
    <t xml:space="preserve">KURNAZ AYSUN RETOUR AVANCE DE CAISSE SORTIE LAC   </t>
  </si>
  <si>
    <t xml:space="preserve">CAI2207/01081  </t>
  </si>
  <si>
    <t xml:space="preserve">KURNAZ AYSUN AVANCE DE CAISSE SORTIE CUEILLETTE   </t>
  </si>
  <si>
    <t xml:space="preserve">KHELOUF SAMIRA R0100024167                        </t>
  </si>
  <si>
    <t xml:space="preserve">REZAGUI ABDELHALIM R0100024168                    </t>
  </si>
  <si>
    <t xml:space="preserve">TEKARI FAIEZ R0100024169                          </t>
  </si>
  <si>
    <t xml:space="preserve">MALEK FATIMA R0100024171                          </t>
  </si>
  <si>
    <t xml:space="preserve">ERDEM ISMAIL R0100024172                          </t>
  </si>
  <si>
    <t xml:space="preserve">ERDEM GULUZAR R0100024173                         </t>
  </si>
  <si>
    <t xml:space="preserve">ERDEM NURTEN R0100024174                          </t>
  </si>
  <si>
    <t xml:space="preserve">AKOPIAN JANNA R0100024175                         </t>
  </si>
  <si>
    <t xml:space="preserve">AKOPIAN JANNA R0100024176                         </t>
  </si>
  <si>
    <t xml:space="preserve">SALLAH    </t>
  </si>
  <si>
    <t xml:space="preserve">SALLAH CHERIF                           </t>
  </si>
  <si>
    <t xml:space="preserve">SALLAH CHERIF R0100024177                         </t>
  </si>
  <si>
    <t xml:space="preserve">CAI2207/01088  </t>
  </si>
  <si>
    <t xml:space="preserve">KAMBI SITTI AVANCE DE CAISSE CASINO               </t>
  </si>
  <si>
    <t xml:space="preserve">CAI2207/01115  </t>
  </si>
  <si>
    <t xml:space="preserve">THABET MOUNIRA R0200001144                        </t>
  </si>
  <si>
    <t xml:space="preserve">THIAM CISSE R0100024181                           </t>
  </si>
  <si>
    <t xml:space="preserve">OTTAPLACKAL NAZAR NISHAD R0100024182              </t>
  </si>
  <si>
    <t xml:space="preserve">CAI2207/01122  </t>
  </si>
  <si>
    <t xml:space="preserve">LUDIVINE NOTIN AVANCE DE CAISSE SORTIE CUEILLETTE </t>
  </si>
  <si>
    <t xml:space="preserve">CAI2207/01123  </t>
  </si>
  <si>
    <t xml:space="preserve">CAI2207/01124  </t>
  </si>
  <si>
    <t xml:space="preserve">FEOUX MILAN AUDREY REMBOURSEMENT RECOMMANDE POSTE </t>
  </si>
  <si>
    <t xml:space="preserve">CAI2207/01125  </t>
  </si>
  <si>
    <t xml:space="preserve">FEOUX MILAN AUDREY REMBOURSEMENT REPAS ANNECY     </t>
  </si>
  <si>
    <t xml:space="preserve">CAI2207/01126  </t>
  </si>
  <si>
    <t xml:space="preserve">KURNAZ AYSUN REMBOURSEMENT REPAS SORTIES          </t>
  </si>
  <si>
    <t xml:space="preserve">CAI2207/01127  </t>
  </si>
  <si>
    <t>KURNAZ AYSUN RETOUR AV DE CAISSE SORTIE CUEILLETTE</t>
  </si>
  <si>
    <t xml:space="preserve">CAI2207/01129  </t>
  </si>
  <si>
    <t xml:space="preserve">ABERKANE ASSIA AVANCE DE CAISSE POT DE DEPART     </t>
  </si>
  <si>
    <t xml:space="preserve">CAI2207/01130  </t>
  </si>
  <si>
    <t xml:space="preserve">KAMBI SITTI ACHAT FLEURS DEPART JULIE             </t>
  </si>
  <si>
    <t xml:space="preserve">CAI2207/01131  </t>
  </si>
  <si>
    <t xml:space="preserve">KURNAZ AYSUN AVANCE DE CAISSE MUSEE GADAGNE       </t>
  </si>
  <si>
    <t xml:space="preserve">RACHIDI AMINA R0200001145                         </t>
  </si>
  <si>
    <t xml:space="preserve">KARIM KELTOUM R0100024186                         </t>
  </si>
  <si>
    <t xml:space="preserve">MARINO    </t>
  </si>
  <si>
    <t xml:space="preserve">MARINO CATHERINE                        </t>
  </si>
  <si>
    <t xml:space="preserve">MARINO CATHERINE R0100024187                      </t>
  </si>
  <si>
    <t xml:space="preserve">NDRIO     </t>
  </si>
  <si>
    <t xml:space="preserve">NTRIO KAMELA                            </t>
  </si>
  <si>
    <t xml:space="preserve">NTRIO KAMELA R0100024188                          </t>
  </si>
  <si>
    <t xml:space="preserve">NTRIO KAMELA R0100024189                          </t>
  </si>
  <si>
    <t xml:space="preserve">HAMIDI RAZIKA R0100024190                         </t>
  </si>
  <si>
    <t xml:space="preserve">REZAGUI ABDELHALIM R0100024191                    </t>
  </si>
  <si>
    <t xml:space="preserve">RACHIDI AMINA R0100024192                         </t>
  </si>
  <si>
    <t xml:space="preserve">CAI2207/02656  </t>
  </si>
  <si>
    <t xml:space="preserve">CAI2207/02655  </t>
  </si>
  <si>
    <t xml:space="preserve">CAI2207/02654  </t>
  </si>
  <si>
    <t xml:space="preserve">CAI2207/02653  </t>
  </si>
  <si>
    <t xml:space="preserve">BEN AHMED NADIA R0300000890                       </t>
  </si>
  <si>
    <t xml:space="preserve">Cr馘it BEN AHMED NADIA R0300000890                </t>
  </si>
  <si>
    <t xml:space="preserve">BAKAMBO PERNELLE R0300000891                      </t>
  </si>
  <si>
    <t xml:space="preserve">MATJABO TOUA MADELEINE R0100024193                </t>
  </si>
  <si>
    <t xml:space="preserve">DELELET  R0100024194                              </t>
  </si>
  <si>
    <t xml:space="preserve">LAGGOUNE  </t>
  </si>
  <si>
    <t xml:space="preserve">LAGGOUNE SAMIRA                         </t>
  </si>
  <si>
    <t xml:space="preserve">LAGGOUNE SAMIRA R0100024195                       </t>
  </si>
  <si>
    <t xml:space="preserve">LAGGOUNE SAMIRA R0100024196                       </t>
  </si>
  <si>
    <t xml:space="preserve">LAGGOUNE SAMIRA R0100024197                       </t>
  </si>
  <si>
    <t xml:space="preserve">KHALDI KARIMA R0100024198                         </t>
  </si>
  <si>
    <t xml:space="preserve">ABDELKADER SAMIR R0100024199                      </t>
  </si>
  <si>
    <t xml:space="preserve">LOUATI ALI R0100024200                            </t>
  </si>
  <si>
    <t xml:space="preserve">FATNASSI CINDY R0100024201                        </t>
  </si>
  <si>
    <t xml:space="preserve">JOUINI MONIA R0100024202                          </t>
  </si>
  <si>
    <t xml:space="preserve">TLIDJANE  </t>
  </si>
  <si>
    <t xml:space="preserve">TLIDJANE NADIR                          </t>
  </si>
  <si>
    <t xml:space="preserve">TLIDJANE NADIR R0100024203                        </t>
  </si>
  <si>
    <t xml:space="preserve">BOUDISSA HAMZA R0100024204                        </t>
  </si>
  <si>
    <t xml:space="preserve">BOUDISSA HAMZA R0100024205                        </t>
  </si>
  <si>
    <t xml:space="preserve">EL HADDAD ABDELNASSER R0100024206                 </t>
  </si>
  <si>
    <t xml:space="preserve">KARAKAYA  </t>
  </si>
  <si>
    <t xml:space="preserve">KARAKAYA TABI                           </t>
  </si>
  <si>
    <t xml:space="preserve">KARAKAYA TABI R0100024207                         </t>
  </si>
  <si>
    <t xml:space="preserve">DAHMANI MOURAD R0100024208                        </t>
  </si>
  <si>
    <t xml:space="preserve">BOUKHANOUFA MOUNIR R0100024209                    </t>
  </si>
  <si>
    <t xml:space="preserve">BENKHALIF </t>
  </si>
  <si>
    <t xml:space="preserve">BENKHALIFA MOHAMED                      </t>
  </si>
  <si>
    <t xml:space="preserve">BENKHALIFA MOHAMED R0100024210                    </t>
  </si>
  <si>
    <t xml:space="preserve">ABDELKADER SAMIR R0100024211                      </t>
  </si>
  <si>
    <t xml:space="preserve">KHALDI KARIMA R0100024212                         </t>
  </si>
  <si>
    <t xml:space="preserve">LOUATI ALI R0100024213                            </t>
  </si>
  <si>
    <t xml:space="preserve">ERDEM ISMAIL R0100024214                          </t>
  </si>
  <si>
    <t xml:space="preserve">KHELOUF SAMIRA R0100024215                        </t>
  </si>
  <si>
    <t xml:space="preserve">REZAGUI ABDELHALIM R0100024216                    </t>
  </si>
  <si>
    <t xml:space="preserve">BENMAZOUZ CHELHA R0100024217                      </t>
  </si>
  <si>
    <t xml:space="preserve">BOUDISSA HAMZA R0100024218                        </t>
  </si>
  <si>
    <t xml:space="preserve">BENKHALIFA MOHAMED R0100024219                    </t>
  </si>
  <si>
    <t xml:space="preserve">MATJABO TOUA MADELEINE R0100024220                </t>
  </si>
  <si>
    <t xml:space="preserve">EL HADDAD ABDELNASSER R0100024221                 </t>
  </si>
  <si>
    <t xml:space="preserve">FATNASSI CINDY R0100024222                        </t>
  </si>
  <si>
    <t xml:space="preserve">ISLAMUKAJ </t>
  </si>
  <si>
    <t xml:space="preserve">ISLAMUKAJ ADRIANA                       </t>
  </si>
  <si>
    <t xml:space="preserve">ISLAMUKAJ ADRIANA R0100024223                     </t>
  </si>
  <si>
    <t xml:space="preserve">CAI2207/01133  </t>
  </si>
  <si>
    <t xml:space="preserve">SORTIES VFS DIALLO TRANSPORT+LOISIRS              </t>
  </si>
  <si>
    <t xml:space="preserve">CAI2207/01134  </t>
  </si>
  <si>
    <t xml:space="preserve">PART.VFS FAMILLE DIALLO                           </t>
  </si>
  <si>
    <t xml:space="preserve">CAI2207/01135  </t>
  </si>
  <si>
    <t>KURNAZ AYSUN RETOUR AVANCE DE CAISSE MUSEE GADAGNE</t>
  </si>
  <si>
    <t xml:space="preserve">CAI2207/01136  </t>
  </si>
  <si>
    <t xml:space="preserve">BOUKHANOUFA MOUNIR R0100024224                    </t>
  </si>
  <si>
    <t xml:space="preserve">LAGGOUNE SAMIRA R0100024225                       </t>
  </si>
  <si>
    <t xml:space="preserve">FATNASSI CINDY R0100024226                        </t>
  </si>
  <si>
    <t xml:space="preserve">MATJABO TOUA MADELEINE R0100024227                </t>
  </si>
  <si>
    <t>BOUGUERCHE</t>
  </si>
  <si>
    <t xml:space="preserve">BOUGUERCHE SARRA                        </t>
  </si>
  <si>
    <t xml:space="preserve">BOUGUERCHE SARRA R0100024228                      </t>
  </si>
  <si>
    <t xml:space="preserve">DAHMANI MOURAD R0100024229                        </t>
  </si>
  <si>
    <t xml:space="preserve">BENMAZOUZ CHELHA R0100024232                      </t>
  </si>
  <si>
    <t xml:space="preserve">LOUATI ALI R0100024233                            </t>
  </si>
  <si>
    <t xml:space="preserve">BOUKHANOUFA MOUNIR R0100024234                    </t>
  </si>
  <si>
    <t xml:space="preserve">MATJABO TOUA MADELEINE R0100024235                </t>
  </si>
  <si>
    <t xml:space="preserve">JOUINI MONIA R0100024236                          </t>
  </si>
  <si>
    <t xml:space="preserve">BOUDISSA HAMZA R0100024237                        </t>
  </si>
  <si>
    <t xml:space="preserve">BOUDISSA HAMZA R0100024238                        </t>
  </si>
  <si>
    <t xml:space="preserve">BENKHALIFA MOHAMED R0100024239                    </t>
  </si>
  <si>
    <t xml:space="preserve">CHERAIET FEHIM R0100024240                        </t>
  </si>
  <si>
    <t xml:space="preserve">FATNASSI CINDY R0100024241                        </t>
  </si>
  <si>
    <t xml:space="preserve">TLIDJANE NADIR R0100024242                        </t>
  </si>
  <si>
    <t xml:space="preserve">KHALDI KARIMA R0100024243                         </t>
  </si>
  <si>
    <t xml:space="preserve">ISLAMUKAJ ADRIANA R0100024244                     </t>
  </si>
  <si>
    <t xml:space="preserve">KARAKAYA TABI R0100024245                         </t>
  </si>
  <si>
    <t xml:space="preserve">KARAKAYA TABI R0100024246                         </t>
  </si>
  <si>
    <t xml:space="preserve">LAGGOUNE SAMIRA R0100024247                       </t>
  </si>
  <si>
    <t xml:space="preserve">ZEKRI SABRI R0100024248                           </t>
  </si>
  <si>
    <t xml:space="preserve">SAFFI RIME R0100024249                            </t>
  </si>
  <si>
    <t xml:space="preserve">SAFFI INAYA R0100024250                           </t>
  </si>
  <si>
    <t xml:space="preserve">KHALFA SIMARD LOIS R0100024251                    </t>
  </si>
  <si>
    <t xml:space="preserve">CHAMOUINI KAALA R0100024252                       </t>
  </si>
  <si>
    <t xml:space="preserve">CHAMOUINI KAALA R0100024254                       </t>
  </si>
  <si>
    <t>ABDOULHAMI</t>
  </si>
  <si>
    <t xml:space="preserve">ABDOUL HAMID ABDILAHI                   </t>
  </si>
  <si>
    <t xml:space="preserve">ABDOUL HAMID ABDILAHI R0100024255                 </t>
  </si>
  <si>
    <t xml:space="preserve">AMAR ABDELSAMED R0100024256                       </t>
  </si>
  <si>
    <t xml:space="preserve">BROSSUTTI BOUCHRA R0100024258                     </t>
  </si>
  <si>
    <t xml:space="preserve">ERDEM GULUZAR R0100024259                         </t>
  </si>
  <si>
    <t xml:space="preserve">ERDEM ISMAIL R0100024260                          </t>
  </si>
  <si>
    <t xml:space="preserve">CAI2207/01141  </t>
  </si>
  <si>
    <t xml:space="preserve">OUAHBI FATIMA R0100024266                         </t>
  </si>
  <si>
    <t xml:space="preserve">DANIAL ZAHARIA R0100024269                        </t>
  </si>
  <si>
    <t xml:space="preserve">BAZIZI NACIMA R0100024271                         </t>
  </si>
  <si>
    <t xml:space="preserve">HAMIDI RAZIKA R0100024272                         </t>
  </si>
  <si>
    <t xml:space="preserve">KHELOUF SAMIRA R0100024273                        </t>
  </si>
  <si>
    <t xml:space="preserve">REZAGUI ABDELHALIM R0100024274                    </t>
  </si>
  <si>
    <t xml:space="preserve">CAI2207/01164  </t>
  </si>
  <si>
    <t xml:space="preserve">BOTH ANDREA  AVANCE DE CAISSE SORTIE VAPORETTO    </t>
  </si>
  <si>
    <t xml:space="preserve">CAI2207/01165  </t>
  </si>
  <si>
    <t xml:space="preserve">BOTH ANDREA AVANCE DE CAISSE GLACES 28/07         </t>
  </si>
  <si>
    <t xml:space="preserve">CAI2207/01166  </t>
  </si>
  <si>
    <t xml:space="preserve">BOTH ANDREA REMBOURSEMENT REPAS LAC 12/07         </t>
  </si>
  <si>
    <t xml:space="preserve">CAI2207/01167  </t>
  </si>
  <si>
    <t xml:space="preserve">BOTH ANDREA REMBOURSEMENT REPAS TOUROPARC         </t>
  </si>
  <si>
    <t xml:space="preserve">CAI2207/01168  </t>
  </si>
  <si>
    <t xml:space="preserve">BOTH ANDREA REMBOURSEMENT REPAS ANNECY            </t>
  </si>
  <si>
    <t xml:space="preserve">CAI2207/01169  </t>
  </si>
  <si>
    <t xml:space="preserve">AUDEBEAU AURELIA REMBOURSEMENT REPAS LAC          </t>
  </si>
  <si>
    <t xml:space="preserve">CAI2207/01170  </t>
  </si>
  <si>
    <t xml:space="preserve">AUDEBEAU AURELIA REMBOURSEMENT REPAS MUSEE        </t>
  </si>
  <si>
    <t xml:space="preserve">BAZIZI NACIMA R0100024276                         </t>
  </si>
  <si>
    <t xml:space="preserve">HAMIDI RAZIKA R0100024277                         </t>
  </si>
  <si>
    <t xml:space="preserve">ERDEM GULUZAR R0100024278                         </t>
  </si>
  <si>
    <t xml:space="preserve">TEKARI FAIEZ R0100024280                          </t>
  </si>
  <si>
    <t xml:space="preserve">ERDEM NURTEN R0100024281                          </t>
  </si>
  <si>
    <t xml:space="preserve">ERDEM ISMAIL R0100024282                          </t>
  </si>
  <si>
    <t xml:space="preserve">GAVRILIUC VASILE R0100024283                      </t>
  </si>
  <si>
    <t xml:space="preserve">KHELOUF SAMIRA R0100024284                        </t>
  </si>
  <si>
    <t xml:space="preserve">REZAGUI ABDELHALIM R0100024286                    </t>
  </si>
  <si>
    <t xml:space="preserve">CAI2207/01171  </t>
  </si>
  <si>
    <t xml:space="preserve">NADEGE BERNY REMBOURSEMENT NUIT DANS LES ETOILES  </t>
  </si>
  <si>
    <t xml:space="preserve">CAI2207/01177  </t>
  </si>
  <si>
    <t xml:space="preserve">FRANCINE CRETTE AVANCE DE CAISSE FORMATION        </t>
  </si>
  <si>
    <t xml:space="preserve">CAI2207/01178  </t>
  </si>
  <si>
    <t xml:space="preserve">KURNAZ AYSUN AVANCE DE CAISSE REPAS PARTAGE       </t>
  </si>
  <si>
    <t xml:space="preserve">ADOUNI MOHAMED R0100024287                        </t>
  </si>
  <si>
    <t xml:space="preserve">BENRHOUMA RHOUMA R0100024288                      </t>
  </si>
  <si>
    <t xml:space="preserve">ATTAF     </t>
  </si>
  <si>
    <t xml:space="preserve">ATTAF AHMED                             </t>
  </si>
  <si>
    <t xml:space="preserve">ATTAF AHMED R0100024289                           </t>
  </si>
  <si>
    <t xml:space="preserve">KHALFA SIMARD LOIS R0100024290                    </t>
  </si>
  <si>
    <t xml:space="preserve">YAHIAOUI  </t>
  </si>
  <si>
    <t xml:space="preserve">YAHIAOUI TAHAR                          </t>
  </si>
  <si>
    <t xml:space="preserve">YAHIAOUI TAHAR R0100024291                        </t>
  </si>
  <si>
    <t xml:space="preserve">EL HADDAD ABDELNASSER R0100024292                 </t>
  </si>
  <si>
    <t xml:space="preserve">DAHMANI MOURAD R0100024293                        </t>
  </si>
  <si>
    <t xml:space="preserve">MATJABO TOUA MADELEINE R0100024294                </t>
  </si>
  <si>
    <t xml:space="preserve">BOUKHANOUFA MOUNIR R0100024295                    </t>
  </si>
  <si>
    <t xml:space="preserve">FATNASSI CINDY R0100024296                        </t>
  </si>
  <si>
    <t xml:space="preserve">BENMAZOUZ CHELHA R0100024297                      </t>
  </si>
  <si>
    <t xml:space="preserve">LOUATI ALI R0100024298                            </t>
  </si>
  <si>
    <t xml:space="preserve">MATJABO TOUA MADELEINE R0100024299                </t>
  </si>
  <si>
    <t xml:space="preserve">BOUDISSA HAMZA R0100024300                        </t>
  </si>
  <si>
    <t xml:space="preserve">CHERAIET FEHIM R0100024301                        </t>
  </si>
  <si>
    <t xml:space="preserve">TLIDJANE NADIR R0100024302                        </t>
  </si>
  <si>
    <t xml:space="preserve">KHALDI KARIMA R0100024303                         </t>
  </si>
  <si>
    <t xml:space="preserve">LAGGOUNE SAMIRA R0100024304                       </t>
  </si>
  <si>
    <t xml:space="preserve">ZEKRI SABRI R0100024305                           </t>
  </si>
  <si>
    <t xml:space="preserve">SAFFI INAYA R0100024306                           </t>
  </si>
  <si>
    <t xml:space="preserve">SAFFI RIME R0100024307                            </t>
  </si>
  <si>
    <t xml:space="preserve">DE OLIVEIRA JOHNNY R0100024308                    </t>
  </si>
  <si>
    <t xml:space="preserve">LAGGOUNE SAMIRA R0100024309                       </t>
  </si>
  <si>
    <t xml:space="preserve">KHALDI KARIMA R0100024310                         </t>
  </si>
  <si>
    <t xml:space="preserve">KHALFA SIMARD LOIS R0100024311                    </t>
  </si>
  <si>
    <t xml:space="preserve">TLIDJANE NADIR R0100024312                        </t>
  </si>
  <si>
    <t xml:space="preserve">YAHIAOUI TAHAR R0100024313                        </t>
  </si>
  <si>
    <t xml:space="preserve">ZEKRI SABRI R0100024314                           </t>
  </si>
  <si>
    <t xml:space="preserve">MATJABO TOUA MADELEINE R0100024317                </t>
  </si>
  <si>
    <t xml:space="preserve">KHALDI KARIMA R0100024318                         </t>
  </si>
  <si>
    <t xml:space="preserve">EL HADDAD ABDELNASSER R0100024319                 </t>
  </si>
  <si>
    <t xml:space="preserve">CAI2207/01192  </t>
  </si>
  <si>
    <t xml:space="preserve">FRANCINE CRETTE RETOUT AVANCE DE CAISSE FORMATION </t>
  </si>
  <si>
    <t xml:space="preserve">MATJABO TOUA MADELEINE R0100024320                </t>
  </si>
  <si>
    <t xml:space="preserve">BOUDISSA HAMZA R0100024321                        </t>
  </si>
  <si>
    <t xml:space="preserve">KHALFA SIMARD LOIS R0100024322                    </t>
  </si>
  <si>
    <t xml:space="preserve">BENMAZOUZ CHELHA R0100024323                      </t>
  </si>
  <si>
    <t xml:space="preserve">LOUATI ALI R0100024324                            </t>
  </si>
  <si>
    <t xml:space="preserve">TLIDJANE NADIR R0100024325                        </t>
  </si>
  <si>
    <t xml:space="preserve">CHERAIET FEHIM R0100024326                        </t>
  </si>
  <si>
    <t xml:space="preserve">KHALDI KARIMA R0100024327                         </t>
  </si>
  <si>
    <t xml:space="preserve">LAGGOUNE SAMIRA R0100024328                       </t>
  </si>
  <si>
    <t xml:space="preserve">ZEKRI SABRI R0100024329                           </t>
  </si>
  <si>
    <t xml:space="preserve">KARAKAYA TABI R0100024330                         </t>
  </si>
  <si>
    <t xml:space="preserve">DE OLIVEIRA JOHNNY R0100024331                    </t>
  </si>
  <si>
    <t xml:space="preserve">DAHMANI MOURAD R0100024332                        </t>
  </si>
  <si>
    <t xml:space="preserve">DAHMANI MOURAD R0100024333                        </t>
  </si>
  <si>
    <t xml:space="preserve">BOUGUERCHE SARRA R0100024334                      </t>
  </si>
  <si>
    <t xml:space="preserve">COLLOMB Geoffrey R0200001148                      </t>
  </si>
  <si>
    <t xml:space="preserve">KOUICI STEVE R0200001150                          </t>
  </si>
  <si>
    <t xml:space="preserve">THABET MOUNIRA R0200001151                        </t>
  </si>
  <si>
    <t xml:space="preserve">CM2207/01034   </t>
  </si>
  <si>
    <t xml:space="preserve">REGLT DECATHLON CB                                </t>
  </si>
  <si>
    <t xml:space="preserve">CM2207/01518   </t>
  </si>
  <si>
    <t xml:space="preserve">ANNUL CHQ 5262181                                 </t>
  </si>
  <si>
    <t xml:space="preserve">CM2207/01491   </t>
  </si>
  <si>
    <t xml:space="preserve">PRLV ORANGE 78079215                              </t>
  </si>
  <si>
    <t xml:space="preserve">CM2207/01492   </t>
  </si>
  <si>
    <t xml:space="preserve">PRLV ORANGE 78079154                              </t>
  </si>
  <si>
    <t xml:space="preserve">CM2207/01493   </t>
  </si>
  <si>
    <t xml:space="preserve">RGLT CB DECATHLON                                 </t>
  </si>
  <si>
    <t xml:space="preserve">ANNUL SAISIE 2X                                   </t>
  </si>
  <si>
    <t xml:space="preserve">CM2207/01494   </t>
  </si>
  <si>
    <t xml:space="preserve">CHQ RTM BATEAU IF ET FRIOUL                       </t>
  </si>
  <si>
    <t xml:space="preserve">CM2207/01496   </t>
  </si>
  <si>
    <t xml:space="preserve">RGLT CHQ BRICO DEPOT                              </t>
  </si>
  <si>
    <t xml:space="preserve">CM2207/01025   </t>
  </si>
  <si>
    <t xml:space="preserve">ACHAT CB KURNAZ / ATELIER FLEURS                  </t>
  </si>
  <si>
    <t xml:space="preserve">CM2207/01027   </t>
  </si>
  <si>
    <t xml:space="preserve">REGLT CREAVEA CB                                  </t>
  </si>
  <si>
    <t xml:space="preserve">CM2207/01495   </t>
  </si>
  <si>
    <t xml:space="preserve">PRLV ORANGE 8642E6                                </t>
  </si>
  <si>
    <t xml:space="preserve">CM2207/01497   </t>
  </si>
  <si>
    <t xml:space="preserve">CHQ / CENTRE NAUTIQUE DE BRON                     </t>
  </si>
  <si>
    <t xml:space="preserve">CM2207/01498   </t>
  </si>
  <si>
    <t xml:space="preserve">CM2207/01499   </t>
  </si>
  <si>
    <t xml:space="preserve">CHQ TOUROPARC ZOO                                 </t>
  </si>
  <si>
    <t xml:space="preserve">CM2207/01500   </t>
  </si>
  <si>
    <t xml:space="preserve">CHQ / LES LOISIRS DU PARC                         </t>
  </si>
  <si>
    <t xml:space="preserve">CM2207/01501   </t>
  </si>
  <si>
    <t xml:space="preserve">BFC2207/01080  </t>
  </si>
  <si>
    <t xml:space="preserve">CB / ATELIERS FLEURS POLE ADULTE / KURNAZ         </t>
  </si>
  <si>
    <t xml:space="preserve">CM2207/01504   </t>
  </si>
  <si>
    <t xml:space="preserve">PRLV ORANGE 1682E9                                </t>
  </si>
  <si>
    <t xml:space="preserve">CM2207/01507   </t>
  </si>
  <si>
    <t xml:space="preserve">CM2207/01508   </t>
  </si>
  <si>
    <t xml:space="preserve">CB / SQUARESPACE                                  </t>
  </si>
  <si>
    <t xml:space="preserve">CM2207/01509   </t>
  </si>
  <si>
    <t xml:space="preserve">CM2207/01510   </t>
  </si>
  <si>
    <t xml:space="preserve">REMBOURSEMENT FAMILLE CHQ                         </t>
  </si>
  <si>
    <t xml:space="preserve">CM2207/01511   </t>
  </si>
  <si>
    <t xml:space="preserve">CHQ FUNZY / GLISS'ON                              </t>
  </si>
  <si>
    <t xml:space="preserve">CM2207/01512   </t>
  </si>
  <si>
    <t xml:space="preserve">RGLT CH ACTE 2 THEATRE                            </t>
  </si>
  <si>
    <t xml:space="preserve">CM2207/01513   </t>
  </si>
  <si>
    <t xml:space="preserve">CM2207/01514   </t>
  </si>
  <si>
    <t xml:space="preserve">CM2207/01515   </t>
  </si>
  <si>
    <t xml:space="preserve">CHQ COMPAGNIE DES BATEAUX D'ANNECY                </t>
  </si>
  <si>
    <t xml:space="preserve">IKHLEF    </t>
  </si>
  <si>
    <t xml:space="preserve">IKHLEF SABAH                            </t>
  </si>
  <si>
    <t>BOURASFARO</t>
  </si>
  <si>
    <t xml:space="preserve">BOURAS FAROUK                           </t>
  </si>
  <si>
    <t xml:space="preserve">JOMNIZ    </t>
  </si>
  <si>
    <t xml:space="preserve">JOMNI ZOHRA                             </t>
  </si>
  <si>
    <t>BENRHOUMA2</t>
  </si>
  <si>
    <t xml:space="preserve">BENRHOUMA FETHI                         </t>
  </si>
  <si>
    <t xml:space="preserve">MAYOL     </t>
  </si>
  <si>
    <t xml:space="preserve">MAYOL Johann                            </t>
  </si>
  <si>
    <t xml:space="preserve">CAMARA    </t>
  </si>
  <si>
    <t xml:space="preserve">CAMARA IBRAHIMA SORY                    </t>
  </si>
  <si>
    <t xml:space="preserve">HAIMER    </t>
  </si>
  <si>
    <t xml:space="preserve">HAIMER MOKHTARIA                        </t>
  </si>
  <si>
    <t xml:space="preserve">HAMMOUDI  </t>
  </si>
  <si>
    <t xml:space="preserve">HAMMOUDI ISMAIL                         </t>
  </si>
  <si>
    <t xml:space="preserve">MEROUACHE </t>
  </si>
  <si>
    <t xml:space="preserve">MEROUACHE WAFA                          </t>
  </si>
  <si>
    <t>BOURASHASN</t>
  </si>
  <si>
    <t xml:space="preserve">BOURAS HASNA                            </t>
  </si>
  <si>
    <t xml:space="preserve">MOUSSA    </t>
  </si>
  <si>
    <t xml:space="preserve">MOUSSA SACAD                            </t>
  </si>
  <si>
    <t>VALLEEBLEU</t>
  </si>
  <si>
    <t xml:space="preserve">VALLEE BLEUE                            </t>
  </si>
  <si>
    <t xml:space="preserve">UBER      </t>
  </si>
  <si>
    <t xml:space="preserve">UBER                                    </t>
  </si>
  <si>
    <t xml:space="preserve">DULALA    </t>
  </si>
  <si>
    <t xml:space="preserve">DULALA                                  </t>
  </si>
  <si>
    <t xml:space="preserve">BAN2208/01236  </t>
  </si>
  <si>
    <t xml:space="preserve">BFC2208/01602  </t>
  </si>
  <si>
    <t xml:space="preserve">REMUNERATIONS DUES - CEE 07/22                    </t>
  </si>
  <si>
    <t xml:space="preserve">BFC2208/01603  </t>
  </si>
  <si>
    <t xml:space="preserve">BFC2208/01604  </t>
  </si>
  <si>
    <t xml:space="preserve">BFC2208/01605  </t>
  </si>
  <si>
    <t xml:space="preserve">REMUNERATIONS DUES - VIRT REJETE / RIB            </t>
  </si>
  <si>
    <t xml:space="preserve">BFC2208/01606  </t>
  </si>
  <si>
    <t xml:space="preserve">BFC2208/01607  </t>
  </si>
  <si>
    <t xml:space="preserve">BFC2208/01608  </t>
  </si>
  <si>
    <t xml:space="preserve">BFC2208/01609  </t>
  </si>
  <si>
    <t xml:space="preserve">BAN2208/01262  </t>
  </si>
  <si>
    <t xml:space="preserve">BFC2208/01263  </t>
  </si>
  <si>
    <t xml:space="preserve">BFC2208/01264  </t>
  </si>
  <si>
    <t xml:space="preserve">BFC2208/01265  </t>
  </si>
  <si>
    <t xml:space="preserve">BFC2208/01610  </t>
  </si>
  <si>
    <t xml:space="preserve">BFC2208/01611  </t>
  </si>
  <si>
    <t xml:space="preserve">BFC2208/01612  </t>
  </si>
  <si>
    <t xml:space="preserve">VILLE - PERISCOLAIRE PERIODE 3                    </t>
  </si>
  <si>
    <t xml:space="preserve">BFC2208/01613  </t>
  </si>
  <si>
    <t xml:space="preserve">BFC2208/01614  </t>
  </si>
  <si>
    <t xml:space="preserve">BFC2208/01615  </t>
  </si>
  <si>
    <t xml:space="preserve">BFC2208/01616  </t>
  </si>
  <si>
    <t xml:space="preserve">ETAT ACSE CGET                                    </t>
  </si>
  <si>
    <t xml:space="preserve">BFC2208/01617  </t>
  </si>
  <si>
    <t xml:space="preserve">BFC2208/01618  </t>
  </si>
  <si>
    <t xml:space="preserve">BFC2208/01619  </t>
  </si>
  <si>
    <t xml:space="preserve">BFC2208/01620  </t>
  </si>
  <si>
    <t xml:space="preserve">BFC2208/01621  </t>
  </si>
  <si>
    <t xml:space="preserve">BFC2208/01622  </t>
  </si>
  <si>
    <t xml:space="preserve">BFC2208/01623  </t>
  </si>
  <si>
    <t xml:space="preserve">BFC2208/01624  </t>
  </si>
  <si>
    <t xml:space="preserve">BFC2208/01625  </t>
  </si>
  <si>
    <t xml:space="preserve">ASSOCIATION SPORTIVE DE SUPERG  R0100024384       </t>
  </si>
  <si>
    <t xml:space="preserve">Remise : VIREMENT CC                              </t>
  </si>
  <si>
    <t xml:space="preserve">BFC2208/01626  </t>
  </si>
  <si>
    <t xml:space="preserve">BFC2208/01627  </t>
  </si>
  <si>
    <t xml:space="preserve">TRANSFERT CHARGES UNIFORMATION                    </t>
  </si>
  <si>
    <t xml:space="preserve">BFC2208/01416  </t>
  </si>
  <si>
    <t xml:space="preserve">BAN2208/01418  </t>
  </si>
  <si>
    <t xml:space="preserve">VIRT SALAIRE HANANI                               </t>
  </si>
  <si>
    <t xml:space="preserve">BFC2208/01628  </t>
  </si>
  <si>
    <t xml:space="preserve">CAI2208/01217  </t>
  </si>
  <si>
    <t xml:space="preserve">PIERRE ARTHUS REMBOURSEMENT ACHAT AMPOULES        </t>
  </si>
  <si>
    <t xml:space="preserve">KARIM KELTOUM R0100024335                         </t>
  </si>
  <si>
    <t xml:space="preserve">TEKARI FAIEZ R0100024336                          </t>
  </si>
  <si>
    <t xml:space="preserve">BAZIZI NACIMA R0100024337                         </t>
  </si>
  <si>
    <t xml:space="preserve">MEROUACHE WAFA R0100024338                        </t>
  </si>
  <si>
    <t xml:space="preserve">AMEZRAR FERROUDJA R0100024339                     </t>
  </si>
  <si>
    <t xml:space="preserve">AMAR ABDELSAMED R0100024340                       </t>
  </si>
  <si>
    <t xml:space="preserve">REZAGUI ABDELHALIM R0100024341                    </t>
  </si>
  <si>
    <t xml:space="preserve">MOUSSA SACAD R0100024342                          </t>
  </si>
  <si>
    <t xml:space="preserve">SLIMANI LAMIA R0100024343                         </t>
  </si>
  <si>
    <t xml:space="preserve">KHELOUF EL GHAZI R0100024344                      </t>
  </si>
  <si>
    <t xml:space="preserve">ERDEM GULUZAR R0100024345                         </t>
  </si>
  <si>
    <t xml:space="preserve">ERDEM ISMAIL R0100024346                          </t>
  </si>
  <si>
    <t xml:space="preserve">BOURAS HASNA R0100024347                          </t>
  </si>
  <si>
    <t xml:space="preserve">AMEZRAR FERROUDJA R0100024348                     </t>
  </si>
  <si>
    <t xml:space="preserve">DIAW DIOUMOLO R0100024349                         </t>
  </si>
  <si>
    <t xml:space="preserve">BENRHOUMA RHOUMA R0100024350                      </t>
  </si>
  <si>
    <t xml:space="preserve">DAHMANI MOURAD R0100024351                        </t>
  </si>
  <si>
    <t xml:space="preserve">ATTAF AHMED R0100024352                           </t>
  </si>
  <si>
    <t xml:space="preserve">YAHIAOUI TAHAR R0100024353                        </t>
  </si>
  <si>
    <t xml:space="preserve">CHERAIET FEHIM R0100024354                        </t>
  </si>
  <si>
    <t xml:space="preserve">LAGGOUNE SAMIRA R0100024355                       </t>
  </si>
  <si>
    <t xml:space="preserve">BENRHOUMA RHOUMA R0100024356                      </t>
  </si>
  <si>
    <t xml:space="preserve">BOUDISSA HAMZA R0100024357                        </t>
  </si>
  <si>
    <t xml:space="preserve">BOUDISSA HAMZA R0100024358                        </t>
  </si>
  <si>
    <t xml:space="preserve">KHALFA SIMARD LOIS R0100024359                    </t>
  </si>
  <si>
    <t xml:space="preserve">LAGGOUNE SAMIRA R0100024360                       </t>
  </si>
  <si>
    <t xml:space="preserve">DAHMANI MOURAD R0100024361                        </t>
  </si>
  <si>
    <t xml:space="preserve">YAHIAOUI TAHAR R0100024362                        </t>
  </si>
  <si>
    <t xml:space="preserve">CM2208/01238   </t>
  </si>
  <si>
    <t xml:space="preserve">FONTANIERE CHRISTOPHE R0100024363                 </t>
  </si>
  <si>
    <t xml:space="preserve">DE OLIVEIRA JOHNNY R0100024367                    </t>
  </si>
  <si>
    <t xml:space="preserve">CAI2208/01242  </t>
  </si>
  <si>
    <t xml:space="preserve">KAMBI SITTI avance de caisse carrefour            </t>
  </si>
  <si>
    <t xml:space="preserve">EZZEDDINE MOHAMED R0100024368                     </t>
  </si>
  <si>
    <t xml:space="preserve">EZZEDDINE MOHAMED R0100024369                     </t>
  </si>
  <si>
    <t xml:space="preserve">EL HADDAD ABDELNASSER R0100024370                 </t>
  </si>
  <si>
    <t xml:space="preserve">BOUDISSA HAMZA R0100024371                        </t>
  </si>
  <si>
    <t xml:space="preserve">BOUGUERCHE SARRA R0100024372                      </t>
  </si>
  <si>
    <t xml:space="preserve">ZEKRI SABRI R0100024373                           </t>
  </si>
  <si>
    <t xml:space="preserve">LAGGOUNE SAMIRA R0100024374                       </t>
  </si>
  <si>
    <t xml:space="preserve">MATJABO TOUA MADELEINE R0100024375                </t>
  </si>
  <si>
    <t xml:space="preserve">ATTAF AHMED R0100024376                           </t>
  </si>
  <si>
    <t xml:space="preserve">SIOUDA CHAHRAZAD R0100024377                      </t>
  </si>
  <si>
    <t>BELAROUSSI</t>
  </si>
  <si>
    <t xml:space="preserve">BELAROUSSI NORDINE                      </t>
  </si>
  <si>
    <t xml:space="preserve">BELAROUSSI NORDINE R0100024378                    </t>
  </si>
  <si>
    <t xml:space="preserve">BENRHOUMA RHOUMA R0100024379                      </t>
  </si>
  <si>
    <t xml:space="preserve">DAHMANI MOURAD R0100024380                        </t>
  </si>
  <si>
    <t xml:space="preserve">KHALFA SIMARD LOIS R0100024381                    </t>
  </si>
  <si>
    <t xml:space="preserve">ZEKRI SABRI R0100024382                           </t>
  </si>
  <si>
    <t>KHATROUCHE</t>
  </si>
  <si>
    <t xml:space="preserve">KHATROUCHE AMOR                         </t>
  </si>
  <si>
    <t xml:space="preserve">KHATROUCHE AMOR R0100024383                       </t>
  </si>
  <si>
    <t xml:space="preserve">CAI2208/01317  </t>
  </si>
  <si>
    <t xml:space="preserve">FRANCINE CRETTE AVANCE DE CAISSE PETIT DEJEUNER   </t>
  </si>
  <si>
    <t xml:space="preserve">CAI2208/01319  </t>
  </si>
  <si>
    <t xml:space="preserve">LUDIVINE NOTIN AVANCE DE CAISSE ACHAT GRIBOUILLE  </t>
  </si>
  <si>
    <t xml:space="preserve">CM2208/01237   </t>
  </si>
  <si>
    <t xml:space="preserve">Remise de ch鑷ues nｰ 20220801                     </t>
  </si>
  <si>
    <t xml:space="preserve">CM2208/01546   </t>
  </si>
  <si>
    <t xml:space="preserve">CM2208/01547   </t>
  </si>
  <si>
    <t xml:space="preserve">PRLV ORANGE - 78450823                            </t>
  </si>
  <si>
    <t xml:space="preserve">CM2208/01548   </t>
  </si>
  <si>
    <t xml:space="preserve">PRLV ORANGE - 78450761                            </t>
  </si>
  <si>
    <t xml:space="preserve">CM2208/01549   </t>
  </si>
  <si>
    <t xml:space="preserve">PRLV ORANGE - 8202F2                              </t>
  </si>
  <si>
    <t xml:space="preserve">CM2208/01550   </t>
  </si>
  <si>
    <t xml:space="preserve">CHQ VALLEE BLEUE                                  </t>
  </si>
  <si>
    <t xml:space="preserve">CM2208/01239   </t>
  </si>
  <si>
    <t xml:space="preserve">Remise de ch鑷ues nｰ 03082022                     </t>
  </si>
  <si>
    <t xml:space="preserve">Ann MRIDA LEILA R0100023595                       </t>
  </si>
  <si>
    <t xml:space="preserve">CM2208/01551   </t>
  </si>
  <si>
    <t xml:space="preserve">CM2208/01552   </t>
  </si>
  <si>
    <t xml:space="preserve">CHQ CENTRE AQUATIQUE LES VAGUES                   </t>
  </si>
  <si>
    <t xml:space="preserve">CM2208/01554   </t>
  </si>
  <si>
    <t xml:space="preserve">PRLV ORANGE 4022F4                                </t>
  </si>
  <si>
    <t xml:space="preserve">CM2208/01555   </t>
  </si>
  <si>
    <t xml:space="preserve">RGLT TOUROPARC ZOO 6/11                           </t>
  </si>
  <si>
    <t xml:space="preserve">CM2208/01556   </t>
  </si>
  <si>
    <t xml:space="preserve">RGLT PLANETARIUM VAULX EN VELIN                   </t>
  </si>
  <si>
    <t xml:space="preserve">CM2208/01559   </t>
  </si>
  <si>
    <t xml:space="preserve">CHQ CENTRE NAUTIQUE DE BRON 3/6                   </t>
  </si>
  <si>
    <t xml:space="preserve">CM2208/01577   </t>
  </si>
  <si>
    <t xml:space="preserve">PRLV ORANGE 8642F4                                </t>
  </si>
  <si>
    <t xml:space="preserve">CM2208/01578   </t>
  </si>
  <si>
    <t xml:space="preserve">CHQ ARCHIPEL - 6/11                               </t>
  </si>
  <si>
    <t xml:space="preserve">CM2208/01557   </t>
  </si>
  <si>
    <t xml:space="preserve">CHQ CENTRE NAUTIQUE DE BRON 6/11                  </t>
  </si>
  <si>
    <t xml:space="preserve">CM2208/01558   </t>
  </si>
  <si>
    <t xml:space="preserve">CM2208/01560   </t>
  </si>
  <si>
    <t xml:space="preserve">CM2208/01561   </t>
  </si>
  <si>
    <t xml:space="preserve">PRLV EDF PRO                                      </t>
  </si>
  <si>
    <t xml:space="preserve">CM2208/01562   </t>
  </si>
  <si>
    <t xml:space="preserve">CM2208/01563   </t>
  </si>
  <si>
    <t xml:space="preserve">CHQ ACPTE UCPA VITAM PARC 6/11                    </t>
  </si>
  <si>
    <t xml:space="preserve">CM2208/01564   </t>
  </si>
  <si>
    <t xml:space="preserve">PRLV EAU DU GRAND LYON                            </t>
  </si>
  <si>
    <t xml:space="preserve">CM2208/01565   </t>
  </si>
  <si>
    <t xml:space="preserve">FRAIS ANCV REMISE 30/06/22                        </t>
  </si>
  <si>
    <t xml:space="preserve">CM2208/01566   </t>
  </si>
  <si>
    <t xml:space="preserve">PRLV ORANGE 1682F7                                </t>
  </si>
  <si>
    <t xml:space="preserve">CM2208/01567   </t>
  </si>
  <si>
    <t xml:space="preserve">CHQ PISCINE VENISSIEUX 3/6                        </t>
  </si>
  <si>
    <t xml:space="preserve">CM2208/01573   </t>
  </si>
  <si>
    <t xml:space="preserve">CHQ GROTTES DU CERDON 6/11                        </t>
  </si>
  <si>
    <t xml:space="preserve">CM2208/01569   </t>
  </si>
  <si>
    <t xml:space="preserve">CM2208/01570   </t>
  </si>
  <si>
    <t xml:space="preserve">PRLV ORANGE 8202G0                                </t>
  </si>
  <si>
    <t xml:space="preserve">CM2208/01571   </t>
  </si>
  <si>
    <t xml:space="preserve">CB LA POSTE                                       </t>
  </si>
  <si>
    <t xml:space="preserve">Ch鑷ue impay・- DIAGOLA SAMBA R0300000887         </t>
  </si>
  <si>
    <t>Ch鑷ue impay・- Remise de ch鑷ues 20220801 - DIAGO</t>
  </si>
  <si>
    <t xml:space="preserve">CM2208/01572   </t>
  </si>
  <si>
    <t xml:space="preserve">CB UBER EATS                                      </t>
  </si>
  <si>
    <t xml:space="preserve">SHADDED   </t>
  </si>
  <si>
    <t xml:space="preserve">HADDED CAMILIA                          </t>
  </si>
  <si>
    <t xml:space="preserve">ASH       </t>
  </si>
  <si>
    <t xml:space="preserve">ASH                                     </t>
  </si>
  <si>
    <t xml:space="preserve">CASINO    </t>
  </si>
  <si>
    <t xml:space="preserve">CASINO SUPERMARCHES                     </t>
  </si>
  <si>
    <t xml:space="preserve">BFC2209/01703  </t>
  </si>
  <si>
    <t xml:space="preserve">REMUNERATIONS DUES / CEE                          </t>
  </si>
  <si>
    <t xml:space="preserve">BFC2209/01856  </t>
  </si>
  <si>
    <t xml:space="preserve">BFC2209/01857  </t>
  </si>
  <si>
    <t xml:space="preserve">BFC2209/01858  </t>
  </si>
  <si>
    <t xml:space="preserve">BFC2209/01859  </t>
  </si>
  <si>
    <t xml:space="preserve">BFC2209/01860  </t>
  </si>
  <si>
    <t xml:space="preserve">CAF AIDE COVID BABILHOME                          </t>
  </si>
  <si>
    <t xml:space="preserve">BFC2209/01861  </t>
  </si>
  <si>
    <t xml:space="preserve">CAF AIDE COVID GRIBOUILLE                         </t>
  </si>
  <si>
    <t xml:space="preserve">BFC2209/01538  </t>
  </si>
  <si>
    <t xml:space="preserve">BAN2209/01539  </t>
  </si>
  <si>
    <t xml:space="preserve">BFC2209/01541  </t>
  </si>
  <si>
    <t xml:space="preserve">SEGUIN    </t>
  </si>
  <si>
    <t xml:space="preserve">FERME DE M SEGUIN                       </t>
  </si>
  <si>
    <t xml:space="preserve">BAN2209/01542  </t>
  </si>
  <si>
    <t xml:space="preserve">BFC2209/01862  </t>
  </si>
  <si>
    <t xml:space="preserve">BFC2209/01863  </t>
  </si>
  <si>
    <t xml:space="preserve">FRAIS BANCAIRE - COMMISSION INTERVENTION          </t>
  </si>
  <si>
    <t xml:space="preserve">BFC2209/01864  </t>
  </si>
  <si>
    <t xml:space="preserve">BFC2209/01865  </t>
  </si>
  <si>
    <t xml:space="preserve">REGUL TRSPT 07/22                                 </t>
  </si>
  <si>
    <t xml:space="preserve">BFC2209/01866  </t>
  </si>
  <si>
    <t xml:space="preserve">VIREMENT INTERNET EPARGNE&gt;CC                      </t>
  </si>
  <si>
    <t xml:space="preserve">BFC2209/01867  </t>
  </si>
  <si>
    <t xml:space="preserve">BFC2209/01868  </t>
  </si>
  <si>
    <t xml:space="preserve">BFC2209/01682  </t>
  </si>
  <si>
    <t>SBRINGUIER</t>
  </si>
  <si>
    <t xml:space="preserve">LOLA BRINGUIER                          </t>
  </si>
  <si>
    <t xml:space="preserve">BAN2209/01684  </t>
  </si>
  <si>
    <t xml:space="preserve">BFC2209/01869  </t>
  </si>
  <si>
    <t xml:space="preserve">BFC2209/01870  </t>
  </si>
  <si>
    <t xml:space="preserve">BFC2209/01871  </t>
  </si>
  <si>
    <t xml:space="preserve">VIREMENTS INTERNES CM&gt;CC                          </t>
  </si>
  <si>
    <t xml:space="preserve">BFC2209/01872  </t>
  </si>
  <si>
    <t xml:space="preserve">VIREMENTS INTERNES EPARGNE&gt;CC                     </t>
  </si>
  <si>
    <t xml:space="preserve">BFC2209/01873  </t>
  </si>
  <si>
    <t xml:space="preserve">BFC2209/01874  </t>
  </si>
  <si>
    <t xml:space="preserve">BFC2209/01875  </t>
  </si>
  <si>
    <t xml:space="preserve">SOLDE CARSAT 2021                                 </t>
  </si>
  <si>
    <t xml:space="preserve">BFC2209/01876  </t>
  </si>
  <si>
    <t xml:space="preserve">BFC2209/01877  </t>
  </si>
  <si>
    <t xml:space="preserve">BFC2209/01878  </t>
  </si>
  <si>
    <t xml:space="preserve">CAF V.F.S.SORTIES                       </t>
  </si>
  <si>
    <t xml:space="preserve">BFC2209/01879  </t>
  </si>
  <si>
    <t xml:space="preserve">VIRT CAF V.F.S.SORTIES                            </t>
  </si>
  <si>
    <t xml:space="preserve">BFC2209/01701  </t>
  </si>
  <si>
    <t xml:space="preserve">VIRT SALAIRE OTMANI SIRINE                        </t>
  </si>
  <si>
    <t xml:space="preserve">BFC2209/01722  </t>
  </si>
  <si>
    <t xml:space="preserve">BAN2209/01723  </t>
  </si>
  <si>
    <t xml:space="preserve">BFC2209/01880  </t>
  </si>
  <si>
    <t xml:space="preserve">VIRT VILLE 2022 ECO SOCIALE                       </t>
  </si>
  <si>
    <t xml:space="preserve">BFC2209/01881  </t>
  </si>
  <si>
    <t xml:space="preserve">MAJERI Izac R0200001160                           </t>
  </si>
  <si>
    <t xml:space="preserve">OSARETIN Augustin R0300000895                     </t>
  </si>
  <si>
    <t xml:space="preserve">BENRHOUMA RHOUMA R0100024385                      </t>
  </si>
  <si>
    <t xml:space="preserve">Cr馘it BENRHOUMA RHOUMA R0100024385               </t>
  </si>
  <si>
    <t xml:space="preserve">BENRHOUMA RHOUMA R0100024386                      </t>
  </si>
  <si>
    <t xml:space="preserve">CAI2209/01516  </t>
  </si>
  <si>
    <t xml:space="preserve">BOTH ANDREA RETOUR AVANCE DE CAISSE VAPORETTO     </t>
  </si>
  <si>
    <t xml:space="preserve">CAI2209/01517  </t>
  </si>
  <si>
    <t>BOTH ANDREA RETOUR AVANCE DE CAISSE GLACES VAPORET</t>
  </si>
  <si>
    <t xml:space="preserve">KOUICI STEVE R0200001165                          </t>
  </si>
  <si>
    <t xml:space="preserve">CAI2209/01521  </t>
  </si>
  <si>
    <t>FRANCINE CRETTE RETOUR AVANCE DE CAISSE REU PEDAGO</t>
  </si>
  <si>
    <t xml:space="preserve">CAI2209/01522  </t>
  </si>
  <si>
    <t xml:space="preserve">CRETTE RETOUR AVANCE DE CAISSE ACHAT PEDAG        </t>
  </si>
  <si>
    <t xml:space="preserve">CAI2209/01523  </t>
  </si>
  <si>
    <t>FEOUX MILAN AUDREY SORTIE DE CAISSE INSCRIP ADULTE</t>
  </si>
  <si>
    <t xml:space="preserve">CAI2209/01524  </t>
  </si>
  <si>
    <t xml:space="preserve">BOTH ANDREA AGENDA 2022                           </t>
  </si>
  <si>
    <t xml:space="preserve">CAI2209/01525  </t>
  </si>
  <si>
    <t xml:space="preserve">HADDED CAMILIA AGENDAS 2022                       </t>
  </si>
  <si>
    <t xml:space="preserve">BENRHOUMA RHOUMA R0100024396                      </t>
  </si>
  <si>
    <t xml:space="preserve">KHATROUCHE AMOR R0100024397                       </t>
  </si>
  <si>
    <t xml:space="preserve">BOUDISSA HAMZA R0100024398                        </t>
  </si>
  <si>
    <t xml:space="preserve">EL HADDAD ABDELNASSER R0100024399                 </t>
  </si>
  <si>
    <t xml:space="preserve">Cr馘it EL HADDAD ABDELNASSER R0100024399          </t>
  </si>
  <si>
    <t xml:space="preserve">SERSAR SANAE R0100024400                          </t>
  </si>
  <si>
    <t xml:space="preserve">Cr馘it SERSAR SANAE R0100024400                   </t>
  </si>
  <si>
    <t xml:space="preserve">RACHIDI AMINA R0100024401                         </t>
  </si>
  <si>
    <t xml:space="preserve">Cr馘it RACHIDI AMINA R0100024401                  </t>
  </si>
  <si>
    <t xml:space="preserve">RACHIDI AMINA R0100024402                         </t>
  </si>
  <si>
    <t xml:space="preserve">Cr馘it RACHIDI AMINA R0100024402                  </t>
  </si>
  <si>
    <t xml:space="preserve">RACHIDI AMINA R0200001168                         </t>
  </si>
  <si>
    <t xml:space="preserve">CAI2209/01543  </t>
  </si>
  <si>
    <t xml:space="preserve">PIERRE ARTHUS AVANCE DE CAISSE DOUBLE CLES        </t>
  </si>
  <si>
    <t xml:space="preserve">CAI2209/01544  </t>
  </si>
  <si>
    <t xml:space="preserve">LUDIVINE NOTIN REMBOURSEMENT ACHAT AMAZON         </t>
  </si>
  <si>
    <t xml:space="preserve">ATTAF AHMED R0100024403                           </t>
  </si>
  <si>
    <t xml:space="preserve">SIOUDA CHAHRAZAD R0100024404                      </t>
  </si>
  <si>
    <t xml:space="preserve">Cr馘it SIOUDA CHAHRAZAD R0100024404               </t>
  </si>
  <si>
    <t xml:space="preserve">ATTAF AHMED R0100024405                           </t>
  </si>
  <si>
    <t xml:space="preserve">ZEKRI SABRI R0100024406                           </t>
  </si>
  <si>
    <t xml:space="preserve">BENRHOUMA RHOUMA R0100024407                      </t>
  </si>
  <si>
    <t xml:space="preserve">KHATROUCHE AMOR R0100024408                       </t>
  </si>
  <si>
    <t xml:space="preserve">BENMAZOUZ CHELHA R0100024409                      </t>
  </si>
  <si>
    <t xml:space="preserve">LAGGOUNE SAMIRA R0100024410                       </t>
  </si>
  <si>
    <t xml:space="preserve">BOUDISSA HAMZA R0100024411                        </t>
  </si>
  <si>
    <t xml:space="preserve">CHERAIET FEHIM R0100024412                        </t>
  </si>
  <si>
    <t xml:space="preserve">YAHIAOUI TAHAR R0100024413                        </t>
  </si>
  <si>
    <t xml:space="preserve">EL HADDAD ABDELNASSER R0100024414                 </t>
  </si>
  <si>
    <t xml:space="preserve">DAHMANI MOURAD R0100024415                        </t>
  </si>
  <si>
    <t xml:space="preserve">MATJABO TOUA MADELEINE R0100024416                </t>
  </si>
  <si>
    <t xml:space="preserve">ABDELKADER SAMIR R0300000897                      </t>
  </si>
  <si>
    <t xml:space="preserve">Cr馘it ABDELKADER SAMIR R0300000897               </t>
  </si>
  <si>
    <t xml:space="preserve">BEN AHMED NADIA R0300000898                       </t>
  </si>
  <si>
    <t xml:space="preserve">CAI2209/01553  </t>
  </si>
  <si>
    <t xml:space="preserve">PIERRE ARTHUS RETOUR AVANCE DE CAISSE DOUBLE CLES </t>
  </si>
  <si>
    <t xml:space="preserve">CAI2209/01574  </t>
  </si>
  <si>
    <t xml:space="preserve">BOUVIER LUCILE REMBOURSEMENT LEROY MERLIN         </t>
  </si>
  <si>
    <t xml:space="preserve">CAI2209/01575  </t>
  </si>
  <si>
    <t xml:space="preserve">BOUVIER LUCILE REMBOURSEMENT MONDIAL TISSUS       </t>
  </si>
  <si>
    <t xml:space="preserve">CAI2209/01576  </t>
  </si>
  <si>
    <t xml:space="preserve">GRANGE AURELIE REMBOURSEMENT ACTION               </t>
  </si>
  <si>
    <t xml:space="preserve">MALEK FATIMA R0100024418                          </t>
  </si>
  <si>
    <t xml:space="preserve">VILLARD JOELLE R0100024419                        </t>
  </si>
  <si>
    <t xml:space="preserve">CM2209/01583   </t>
  </si>
  <si>
    <t xml:space="preserve">MME OUHAB RACHIDA                       </t>
  </si>
  <si>
    <t xml:space="preserve">MME OUHAB RACHIDA  R0100024420                    </t>
  </si>
  <si>
    <t xml:space="preserve">SAID OUASSILA R0100024421                         </t>
  </si>
  <si>
    <t xml:space="preserve">CAI2209/01644  </t>
  </si>
  <si>
    <t xml:space="preserve">FEOUX MILAN AUDREY REMBOURSEMENT AGENDA           </t>
  </si>
  <si>
    <t xml:space="preserve">CAI2209/01676  </t>
  </si>
  <si>
    <t xml:space="preserve">FRANCINE CRETTE REMBOURSEMENT ACHAT GRIBOUILLE    </t>
  </si>
  <si>
    <t xml:space="preserve">SGRANCHER </t>
  </si>
  <si>
    <t xml:space="preserve">MATHILDE GRANCHER                       </t>
  </si>
  <si>
    <t xml:space="preserve">CAI2209/01677  </t>
  </si>
  <si>
    <t xml:space="preserve">MATHILDE GRANCHER REMBOURSEMENT TCL               </t>
  </si>
  <si>
    <t xml:space="preserve">CAI2209/01685  </t>
  </si>
  <si>
    <t xml:space="preserve">BOTH ANDREA REMBOURSEMENT LIDL                    </t>
  </si>
  <si>
    <t xml:space="preserve">AGGREY ANGELA R0300000900                         </t>
  </si>
  <si>
    <t xml:space="preserve">THABET MOUNIRA R0100024422                        </t>
  </si>
  <si>
    <t xml:space="preserve">CAI2209/01686  </t>
  </si>
  <si>
    <t xml:space="preserve">ANNE SANLAVILLE REMBOURSEMENT PARKING             </t>
  </si>
  <si>
    <t xml:space="preserve">LOWE ANNE YOLANDE R0100024425                     </t>
  </si>
  <si>
    <t xml:space="preserve">VAY MEI-LING R0100024426                          </t>
  </si>
  <si>
    <t xml:space="preserve">BENRHOUMA RHOUMA R0100024427                      </t>
  </si>
  <si>
    <t xml:space="preserve">MARQUES   </t>
  </si>
  <si>
    <t xml:space="preserve">MARQUES SIMONE                          </t>
  </si>
  <si>
    <t xml:space="preserve">MARQUES SIMONE R0100024428                        </t>
  </si>
  <si>
    <t xml:space="preserve">SAHRAOUI MOHAMED R0100024430                      </t>
  </si>
  <si>
    <t xml:space="preserve">SENTAS NEVZAT R0100024433                         </t>
  </si>
  <si>
    <t xml:space="preserve">BAUTISTA DANIELA R0100024434                      </t>
  </si>
  <si>
    <t xml:space="preserve">Cr馘it BAUTISTA DANIELA R0100024434               </t>
  </si>
  <si>
    <t xml:space="preserve">BENRHOUMA FETHI R0100024435                       </t>
  </si>
  <si>
    <t xml:space="preserve">KHELIFATI </t>
  </si>
  <si>
    <t xml:space="preserve">KHELIFATI DALILA                        </t>
  </si>
  <si>
    <t xml:space="preserve">KHELIFATI DALILA R0100024437                      </t>
  </si>
  <si>
    <t xml:space="preserve">BUSHAJ    </t>
  </si>
  <si>
    <t xml:space="preserve">BUSHAJ SAIT                             </t>
  </si>
  <si>
    <t xml:space="preserve">BUSHAJ SAIT R0100024438                           </t>
  </si>
  <si>
    <t xml:space="preserve">ABBASI    </t>
  </si>
  <si>
    <t xml:space="preserve">ABBASI ABDUL JAMIL                      </t>
  </si>
  <si>
    <t xml:space="preserve">ABBASI ABDUL JAMIL R0100024439                    </t>
  </si>
  <si>
    <t xml:space="preserve">RADULOVIC </t>
  </si>
  <si>
    <t xml:space="preserve">RADULOVIC DRAGICA                       </t>
  </si>
  <si>
    <t xml:space="preserve">RADULOVIC DRAGICA R0100024440                     </t>
  </si>
  <si>
    <t xml:space="preserve">MOUSSA SACAD R0100024441                          </t>
  </si>
  <si>
    <t xml:space="preserve">AMACHRAA  </t>
  </si>
  <si>
    <t xml:space="preserve">AMACHRAA NOURA                          </t>
  </si>
  <si>
    <t xml:space="preserve">AMACHRAA NOURA R0100024442                        </t>
  </si>
  <si>
    <t xml:space="preserve">DIAW      </t>
  </si>
  <si>
    <t xml:space="preserve">DIAW MAYEMOUNA                          </t>
  </si>
  <si>
    <t xml:space="preserve">DIAW MAYEMOUNA R0100024443                        </t>
  </si>
  <si>
    <t xml:space="preserve">KARIM KELTOUM R0100024444                         </t>
  </si>
  <si>
    <t xml:space="preserve">MELLAH KHADRA R0100024445                         </t>
  </si>
  <si>
    <t xml:space="preserve">JOMNI ZOHRA R0100024447                           </t>
  </si>
  <si>
    <t xml:space="preserve">BENDAAMAR </t>
  </si>
  <si>
    <t xml:space="preserve">BEN DAAMAR RAHDIA                       </t>
  </si>
  <si>
    <t xml:space="preserve">BEN DAAMAR RAHDIA R0100024448                     </t>
  </si>
  <si>
    <t xml:space="preserve">GA03398   </t>
  </si>
  <si>
    <t xml:space="preserve">LAKHRIRAZ RAHMA                         </t>
  </si>
  <si>
    <t xml:space="preserve">LAKHRIRAZ RAHMA R0100024449                       </t>
  </si>
  <si>
    <t xml:space="preserve">AALILOUCH </t>
  </si>
  <si>
    <t xml:space="preserve">AALILOUCH AZIZA                         </t>
  </si>
  <si>
    <t xml:space="preserve">AALILOUCH AZIZA R0100024450                       </t>
  </si>
  <si>
    <t xml:space="preserve">TEKARI FAIEZ R0100024451                          </t>
  </si>
  <si>
    <t xml:space="preserve">REZAGUI ABDELHALIM R0100024452                    </t>
  </si>
  <si>
    <t xml:space="preserve">DJEMEL HAKIM R0100024453                          </t>
  </si>
  <si>
    <t xml:space="preserve">CAI2209/01688  </t>
  </si>
  <si>
    <t xml:space="preserve">FRANCINE CRETTE AVANCE DE CAISSE                  </t>
  </si>
  <si>
    <t xml:space="preserve">CAI2209/01689  </t>
  </si>
  <si>
    <t xml:space="preserve"> REMBOURSEMENT RECOMMANDE POSTE                   </t>
  </si>
  <si>
    <t xml:space="preserve">BOUKHANOUFA MOUNIR R0100024454                    </t>
  </si>
  <si>
    <t>BENDADACHE</t>
  </si>
  <si>
    <t xml:space="preserve">BENDADACHE ABDELKADER                   </t>
  </si>
  <si>
    <t xml:space="preserve">BENDADACHE ABDELKADER R0100024455                 </t>
  </si>
  <si>
    <t xml:space="preserve">CHIBOUT   </t>
  </si>
  <si>
    <t xml:space="preserve">CHIBOUT SABAH                           </t>
  </si>
  <si>
    <t xml:space="preserve">CHIBOUT SABAH R0100024456                         </t>
  </si>
  <si>
    <t xml:space="preserve">KHALDI KARIMA R0100024457                         </t>
  </si>
  <si>
    <t xml:space="preserve">REBBOUCHE ABDELGHANI R0100024460                  </t>
  </si>
  <si>
    <t xml:space="preserve">CAI2209/01690  </t>
  </si>
  <si>
    <t xml:space="preserve">ABERKANE ASSIA AVANCE DE CAISSE DEJEUNER          </t>
  </si>
  <si>
    <t xml:space="preserve">CAI2209/01691  </t>
  </si>
  <si>
    <t xml:space="preserve">ZIOUAR    </t>
  </si>
  <si>
    <t xml:space="preserve">ZIOUAR BASMA                            </t>
  </si>
  <si>
    <t xml:space="preserve">ZIOUAR BASMA R0100024462                          </t>
  </si>
  <si>
    <t xml:space="preserve">MEHALLELZ </t>
  </si>
  <si>
    <t xml:space="preserve">MEHALLEL ZAHIA                          </t>
  </si>
  <si>
    <t xml:space="preserve">MEHALLEL ZAHIA R0100024463                        </t>
  </si>
  <si>
    <t xml:space="preserve">CM2209/02149   </t>
  </si>
  <si>
    <t xml:space="preserve">CM2209/02150   </t>
  </si>
  <si>
    <t xml:space="preserve">PRLV ORANGE 78820028                              </t>
  </si>
  <si>
    <t xml:space="preserve">CM2209/02151   </t>
  </si>
  <si>
    <t xml:space="preserve">PRLV ORANGE 78819961                              </t>
  </si>
  <si>
    <t xml:space="preserve">CM2209/02152   </t>
  </si>
  <si>
    <t xml:space="preserve">RGLT CB CASINO                                    </t>
  </si>
  <si>
    <t xml:space="preserve">CM2209/02153   </t>
  </si>
  <si>
    <t xml:space="preserve">CM2209/02154   </t>
  </si>
  <si>
    <t xml:space="preserve">CASINO CB / REPAS INSCRIPTIONS ADULTE             </t>
  </si>
  <si>
    <t xml:space="preserve">HAMMOUDI ISMAIL R0100024417                       </t>
  </si>
  <si>
    <t xml:space="preserve">CM2209/01582   </t>
  </si>
  <si>
    <t xml:space="preserve">Remise de ch鑷ues nｰ 20220915                     </t>
  </si>
  <si>
    <t xml:space="preserve">CM2209/02155   </t>
  </si>
  <si>
    <t xml:space="preserve">CHQ Abonnement ASH                                </t>
  </si>
  <si>
    <t xml:space="preserve">CM2209/02156   </t>
  </si>
  <si>
    <t xml:space="preserve">PRLV ORANGE 1682G5                                </t>
  </si>
  <si>
    <t xml:space="preserve">CM2209/02157   </t>
  </si>
  <si>
    <t xml:space="preserve">CM2209/02158   </t>
  </si>
  <si>
    <t xml:space="preserve">CM2209/02159   </t>
  </si>
  <si>
    <t xml:space="preserve">RGLT CB FNAC                                      </t>
  </si>
  <si>
    <t xml:space="preserve">CM2209/02160   </t>
  </si>
  <si>
    <t xml:space="preserve">CM2209/02161   </t>
  </si>
  <si>
    <t xml:space="preserve">REMBOURSEMENT SNCF                                </t>
  </si>
  <si>
    <t xml:space="preserve">CM2209/02162   </t>
  </si>
  <si>
    <t xml:space="preserve">CM2209/02163   </t>
  </si>
  <si>
    <t xml:space="preserve">PRLV ORANGE 8202G8                                </t>
  </si>
  <si>
    <t>PLANTEMORE</t>
  </si>
  <si>
    <t xml:space="preserve">PLANTE MORENO CELINE                    </t>
  </si>
  <si>
    <t xml:space="preserve">BERTIL    </t>
  </si>
  <si>
    <t xml:space="preserve">BERTIL BRAHIM                           </t>
  </si>
  <si>
    <t xml:space="preserve">AKAKBA    </t>
  </si>
  <si>
    <t xml:space="preserve">AKAKBA LARBI                            </t>
  </si>
  <si>
    <t xml:space="preserve">AZEIZ     </t>
  </si>
  <si>
    <t xml:space="preserve">AZEIZ                                   </t>
  </si>
  <si>
    <t xml:space="preserve">DIABY     </t>
  </si>
  <si>
    <t xml:space="preserve">DIABY MAMADOU                           </t>
  </si>
  <si>
    <t xml:space="preserve">KHICHANE  </t>
  </si>
  <si>
    <t xml:space="preserve">KHICHANE HOCINE                         </t>
  </si>
  <si>
    <t xml:space="preserve">KISUNGU   </t>
  </si>
  <si>
    <t xml:space="preserve">KISUNGU ANTONIO                         </t>
  </si>
  <si>
    <t xml:space="preserve">LOUDI     </t>
  </si>
  <si>
    <t xml:space="preserve">LOUDI HANAN                             </t>
  </si>
  <si>
    <t xml:space="preserve">AAROUS    </t>
  </si>
  <si>
    <t xml:space="preserve">AAROUS MAJIHA                           </t>
  </si>
  <si>
    <t>ADJEMIENMA</t>
  </si>
  <si>
    <t xml:space="preserve">BWANGA    </t>
  </si>
  <si>
    <t xml:space="preserve">BWANGA ALICE                            </t>
  </si>
  <si>
    <t>DIASGONCAL</t>
  </si>
  <si>
    <t xml:space="preserve">DIAS GONCALVES DO CANTO YARA            </t>
  </si>
  <si>
    <t xml:space="preserve">DUMOULIN  </t>
  </si>
  <si>
    <t xml:space="preserve">DUMOULIN ANNE-LISE                      </t>
  </si>
  <si>
    <t xml:space="preserve">LAATIKI   </t>
  </si>
  <si>
    <t xml:space="preserve">LAATIKI BOUCHRA                         </t>
  </si>
  <si>
    <t xml:space="preserve">LAVRYNIUK </t>
  </si>
  <si>
    <t xml:space="preserve">LAVRYNIUK VICTORIA                      </t>
  </si>
  <si>
    <t xml:space="preserve">NACEUR    </t>
  </si>
  <si>
    <t xml:space="preserve">NACEUR REDOUANE                         </t>
  </si>
  <si>
    <t xml:space="preserve">SANVISEN  </t>
  </si>
  <si>
    <t xml:space="preserve">SANVISEN QUENTIN                        </t>
  </si>
  <si>
    <t>ZAIDISABRI</t>
  </si>
  <si>
    <t xml:space="preserve">ZAIDI SABRINA                           </t>
  </si>
  <si>
    <t xml:space="preserve">RIVADIS   </t>
  </si>
  <si>
    <t xml:space="preserve">RIVADIS                                 </t>
  </si>
  <si>
    <t xml:space="preserve">ALIZES    </t>
  </si>
  <si>
    <t xml:space="preserve">CINEMA LES ALIZES                       </t>
  </si>
  <si>
    <t xml:space="preserve">ARENA     </t>
  </si>
  <si>
    <t xml:space="preserve">ARENA PRODUCTION                        </t>
  </si>
  <si>
    <t xml:space="preserve">DOMAINE   </t>
  </si>
  <si>
    <t xml:space="preserve">LE DOMAINE DES FAUVES                   </t>
  </si>
  <si>
    <t>TRAMPOLINE</t>
  </si>
  <si>
    <t xml:space="preserve">TRAMPOLINE PARK                         </t>
  </si>
  <si>
    <t xml:space="preserve">BFC2210/02258  </t>
  </si>
  <si>
    <t xml:space="preserve">BFC2210/02309  </t>
  </si>
  <si>
    <t xml:space="preserve">BFC2210/02310  </t>
  </si>
  <si>
    <t xml:space="preserve">INTERETS DEBITEURS                                </t>
  </si>
  <si>
    <t xml:space="preserve">BFC2210/02311  </t>
  </si>
  <si>
    <t xml:space="preserve">COMMISSIONS                                       </t>
  </si>
  <si>
    <t xml:space="preserve">BFC2210/02312  </t>
  </si>
  <si>
    <t xml:space="preserve">BFC2210/01882  </t>
  </si>
  <si>
    <t xml:space="preserve">VIRT VILLE SOLDE FONCTIONNEMENT 2022              </t>
  </si>
  <si>
    <t xml:space="preserve">BFC2210/02313  </t>
  </si>
  <si>
    <t xml:space="preserve">BFC2210/02314  </t>
  </si>
  <si>
    <t xml:space="preserve">BFC2210/02315  </t>
  </si>
  <si>
    <t xml:space="preserve">BAN2210/01730  </t>
  </si>
  <si>
    <t xml:space="preserve">BFC2210/01884  </t>
  </si>
  <si>
    <t xml:space="preserve">VIRT CAF SUBV.FONCT. 2E ACPTE 2022                </t>
  </si>
  <si>
    <t xml:space="preserve">BFC2210/02316  </t>
  </si>
  <si>
    <t xml:space="preserve">BFC2210/01885  </t>
  </si>
  <si>
    <t xml:space="preserve">VIRT VILLE SOLDE                                  </t>
  </si>
  <si>
    <t xml:space="preserve">BFC2210/01886  </t>
  </si>
  <si>
    <t xml:space="preserve">BFC2210/02317  </t>
  </si>
  <si>
    <t xml:space="preserve">BFC2210/02318  </t>
  </si>
  <si>
    <t xml:space="preserve">BFC2210/01805  </t>
  </si>
  <si>
    <t xml:space="preserve">BFC2210/02323  </t>
  </si>
  <si>
    <t xml:space="preserve">CAF V.F.S.SORTIES                                 </t>
  </si>
  <si>
    <t xml:space="preserve">BFC2210/02324  </t>
  </si>
  <si>
    <t xml:space="preserve">BFC2210/02325  </t>
  </si>
  <si>
    <t xml:space="preserve">BFC2210/02326  </t>
  </si>
  <si>
    <t xml:space="preserve">BFC2210/02327  </t>
  </si>
  <si>
    <t xml:space="preserve">VIREMENT PRE                                      </t>
  </si>
  <si>
    <t xml:space="preserve">BFC2210/02328  </t>
  </si>
  <si>
    <t xml:space="preserve">BFC2210/02330  </t>
  </si>
  <si>
    <t xml:space="preserve">VIRT METROPOLE SUBV. 2022                         </t>
  </si>
  <si>
    <t xml:space="preserve">ASSAOUI   </t>
  </si>
  <si>
    <t xml:space="preserve">AISSAOUI HECHAICHI                      </t>
  </si>
  <si>
    <t xml:space="preserve">AISSAOUI HECHAICHI  R0100024838                   </t>
  </si>
  <si>
    <t xml:space="preserve">BFC2210/02331  </t>
  </si>
  <si>
    <t xml:space="preserve">BAN2210/01821  </t>
  </si>
  <si>
    <t xml:space="preserve">BFC2210/02332  </t>
  </si>
  <si>
    <t xml:space="preserve">VILLE A RECEVOIR                                  </t>
  </si>
  <si>
    <t xml:space="preserve">BFC2210/02335  </t>
  </si>
  <si>
    <t xml:space="preserve">BFC2210/01836  </t>
  </si>
  <si>
    <t xml:space="preserve">BFC2210/02336  </t>
  </si>
  <si>
    <t xml:space="preserve">BFC2210/02337  </t>
  </si>
  <si>
    <t xml:space="preserve">PRLV PRELEVEMENT A LA SOURCE                      </t>
  </si>
  <si>
    <t xml:space="preserve">BFC2210/02338  </t>
  </si>
  <si>
    <t xml:space="preserve">BFC2210/02347  </t>
  </si>
  <si>
    <t xml:space="preserve">CHQ SALAIRE OUATAH KAIS                           </t>
  </si>
  <si>
    <t xml:space="preserve">BFC2210/01850  </t>
  </si>
  <si>
    <t xml:space="preserve">RGLT CHQ SAISIE/SALAIRE KANNIAH                   </t>
  </si>
  <si>
    <t xml:space="preserve">BAN2210/01855  </t>
  </si>
  <si>
    <t xml:space="preserve">SALAIRE OTMANI SIRINE                             </t>
  </si>
  <si>
    <t xml:space="preserve">BFC2210/02339  </t>
  </si>
  <si>
    <t xml:space="preserve">CAF VSF DEPART FAMILLES                 </t>
  </si>
  <si>
    <t xml:space="preserve">BFC2210/02342  </t>
  </si>
  <si>
    <t xml:space="preserve">CAF VSF DEPART FAMILLES                           </t>
  </si>
  <si>
    <t xml:space="preserve">BFC2210/02340  </t>
  </si>
  <si>
    <t xml:space="preserve">BFC2210/01896  </t>
  </si>
  <si>
    <t xml:space="preserve">BAN2210/01898  </t>
  </si>
  <si>
    <t xml:space="preserve">BFC2210/02344  </t>
  </si>
  <si>
    <t xml:space="preserve">VIRT VILLE CLAS 2022/23                           </t>
  </si>
  <si>
    <t xml:space="preserve">BFC2210/02345  </t>
  </si>
  <si>
    <t xml:space="preserve">BFC2210/01901  </t>
  </si>
  <si>
    <t xml:space="preserve">SALAIRE ASSIA ABERKANE 10/22                      </t>
  </si>
  <si>
    <t xml:space="preserve">CAI2210/01725  </t>
  </si>
  <si>
    <t xml:space="preserve">PIERRE ARTHUS avance de caisse essence            </t>
  </si>
  <si>
    <t xml:space="preserve">CAI2210/01726  </t>
  </si>
  <si>
    <t xml:space="preserve">BOUVIER LUCILE remboursement livres               </t>
  </si>
  <si>
    <t xml:space="preserve">CAI2210/01729  </t>
  </si>
  <si>
    <t xml:space="preserve">ABERKANE ASSIA retour avance de caisse carrefour  </t>
  </si>
  <si>
    <t xml:space="preserve">BEN MBAREK MOHAMED BEN R0100024464                </t>
  </si>
  <si>
    <t xml:space="preserve">THABET MOUNIRA R0100024465                        </t>
  </si>
  <si>
    <t xml:space="preserve">KINANVUIDI DJIMY R0100024471                      </t>
  </si>
  <si>
    <t xml:space="preserve">KOUICI STEVE R0100024474                          </t>
  </si>
  <si>
    <t xml:space="preserve">FATIC KAMILA R0100024478                          </t>
  </si>
  <si>
    <t xml:space="preserve">Cr馘it FATIC KAMILA R0100024478                   </t>
  </si>
  <si>
    <t xml:space="preserve">IBRAHIM NOORA R0100024479                         </t>
  </si>
  <si>
    <t xml:space="preserve">SMAJIC VELIDA R0100024480                         </t>
  </si>
  <si>
    <t xml:space="preserve">ALIC BAHRA R0100024481                            </t>
  </si>
  <si>
    <t xml:space="preserve">FATIC DAMIR R0100024482                           </t>
  </si>
  <si>
    <t xml:space="preserve">KINANVUIDI DJIMY R0100024491                      </t>
  </si>
  <si>
    <t xml:space="preserve">OSARETIN Augustin R0300000905                     </t>
  </si>
  <si>
    <t xml:space="preserve">BAKAMBO PERNELLE R0300000906                      </t>
  </si>
  <si>
    <t xml:space="preserve">BROUZIYNE </t>
  </si>
  <si>
    <t xml:space="preserve">BROUZIYNE LOUBNA                        </t>
  </si>
  <si>
    <t xml:space="preserve">BROUZIYNE LOUBNA R0100024502                      </t>
  </si>
  <si>
    <t xml:space="preserve">SANVISEN QUENTIN R0100024504                      </t>
  </si>
  <si>
    <t xml:space="preserve">GUERIN CHRISTELLE R0100024509                     </t>
  </si>
  <si>
    <t xml:space="preserve">ADOUNI MOHAMED R0100024510                        </t>
  </si>
  <si>
    <t xml:space="preserve">MKRTCHYAN  R0300000907                            </t>
  </si>
  <si>
    <t xml:space="preserve">TENNAH BENSALEM CHAIMA R0100024515                </t>
  </si>
  <si>
    <t xml:space="preserve">CM2210/01781   </t>
  </si>
  <si>
    <t xml:space="preserve">DJAKMA    </t>
  </si>
  <si>
    <t xml:space="preserve">DJAKMA DJAHIDA                          </t>
  </si>
  <si>
    <t xml:space="preserve">DJAKMA DJAHIDA R0100024518                        </t>
  </si>
  <si>
    <t xml:space="preserve">BENRHOUMA RHOUMA R0100024520                      </t>
  </si>
  <si>
    <t xml:space="preserve">SLIMANE NAIMA R0100024525                         </t>
  </si>
  <si>
    <t xml:space="preserve">IMERAJ GRESA R0100024526                          </t>
  </si>
  <si>
    <t xml:space="preserve">SERSAR SANAE R0100024529                          </t>
  </si>
  <si>
    <t xml:space="preserve">SAID OUASSILA R0100024531                         </t>
  </si>
  <si>
    <t xml:space="preserve">MARQUES SIMONE R0100024535                        </t>
  </si>
  <si>
    <t xml:space="preserve">DIAS GONCALVES DO CANTO YARA R0100024537          </t>
  </si>
  <si>
    <t xml:space="preserve">Cr馘it DIAS GONCALVES DO CANTO YARA R0100024537   </t>
  </si>
  <si>
    <t xml:space="preserve">NASRI EMNA R0100024538                            </t>
  </si>
  <si>
    <t xml:space="preserve">KHALFA SIMARD LOIS R0100024539                    </t>
  </si>
  <si>
    <t xml:space="preserve">REZAGUI ABDELHALIM R0100024544                    </t>
  </si>
  <si>
    <t>ELMOKHLESS</t>
  </si>
  <si>
    <t xml:space="preserve">EL MOKHLESSE OMAR                       </t>
  </si>
  <si>
    <t xml:space="preserve">EL MOKHLESSE OMAR R0100024545                     </t>
  </si>
  <si>
    <t xml:space="preserve">KHALFA SIMARD LOIS R0200001175                    </t>
  </si>
  <si>
    <t xml:space="preserve">LUAMBILA SANDRINE R0100024552                     </t>
  </si>
  <si>
    <t xml:space="preserve">HAIMER MOKHTARIA R0100024554                      </t>
  </si>
  <si>
    <t xml:space="preserve">LUAMBILA SANDRINE R0100024555                     </t>
  </si>
  <si>
    <t xml:space="preserve">GUELIMI   </t>
  </si>
  <si>
    <t xml:space="preserve">GUELIMI POLINA                          </t>
  </si>
  <si>
    <t xml:space="preserve">GUELIMI POLINA R0100024557                        </t>
  </si>
  <si>
    <t xml:space="preserve">Rbt IBRAHIM NOORA R0100024561                     </t>
  </si>
  <si>
    <t xml:space="preserve">KSAIBI    </t>
  </si>
  <si>
    <t xml:space="preserve">KSAIBI FATIMA                           </t>
  </si>
  <si>
    <t xml:space="preserve">KSAIBI FATIMA R0100024565                         </t>
  </si>
  <si>
    <t xml:space="preserve">SERSAR SANAE R0100024566                          </t>
  </si>
  <si>
    <t xml:space="preserve">GHIDEY SUZAN R0100024568                          </t>
  </si>
  <si>
    <t xml:space="preserve">SADOU     </t>
  </si>
  <si>
    <t xml:space="preserve">SADOU DAVY SAMI                         </t>
  </si>
  <si>
    <t xml:space="preserve">SADOU DAVY SAMI R0100024571                       </t>
  </si>
  <si>
    <t xml:space="preserve">RACHIDI AMINA R0100024572                         </t>
  </si>
  <si>
    <t xml:space="preserve">AZEIZ  R0300000911                                </t>
  </si>
  <si>
    <t xml:space="preserve">KINANVUIDI DJIMY R0300000912                      </t>
  </si>
  <si>
    <t xml:space="preserve">AMEUR  R0300000913                                </t>
  </si>
  <si>
    <t xml:space="preserve">Cr馘it AMEUR  R0300000913                         </t>
  </si>
  <si>
    <t xml:space="preserve">LOUDI HANAN R0300000914                           </t>
  </si>
  <si>
    <t xml:space="preserve">AKAKBA LARBI R0300000915                          </t>
  </si>
  <si>
    <t xml:space="preserve">Cr馘it AKAKBA LARBI R0300000915                   </t>
  </si>
  <si>
    <t xml:space="preserve">BEN AHMED NADIA R0300000916                       </t>
  </si>
  <si>
    <t xml:space="preserve">REBBOUCHE ABDELGHANI R0300000917                  </t>
  </si>
  <si>
    <t xml:space="preserve">COLLOMB Geoffrey R0200001176                      </t>
  </si>
  <si>
    <t xml:space="preserve">Cr馘it COLLOMB Geoffrey R0200001176               </t>
  </si>
  <si>
    <t xml:space="preserve">RACHIDI AMINA R0200001178                         </t>
  </si>
  <si>
    <t xml:space="preserve">MAJERI Izac R0200001180                           </t>
  </si>
  <si>
    <t xml:space="preserve">SAHLI Perrine R0200001182                         </t>
  </si>
  <si>
    <t xml:space="preserve">LAATIKI BOUCHRA R0100024574                       </t>
  </si>
  <si>
    <t xml:space="preserve">BOYACI SIBEL R0100024576                          </t>
  </si>
  <si>
    <t xml:space="preserve">TSHIBANGU RITA R0100024577                        </t>
  </si>
  <si>
    <t xml:space="preserve">DE OLIVEIRA JOHNNY R0100024578                    </t>
  </si>
  <si>
    <t>SCHAVANTON</t>
  </si>
  <si>
    <t xml:space="preserve">CAI2210/01808  </t>
  </si>
  <si>
    <t xml:space="preserve">CHAVANTON MICKAEL REMBOURSEMENT FRAIS CARTE GRISE </t>
  </si>
  <si>
    <t xml:space="preserve">MAKITA CHRIS R0100024581                          </t>
  </si>
  <si>
    <t xml:space="preserve">SIDIBE MAMADOU R0100024588                        </t>
  </si>
  <si>
    <t xml:space="preserve">TALIBI HANANE R0100024592                         </t>
  </si>
  <si>
    <t xml:space="preserve">BAUTISTA DANIELA R0100024597                      </t>
  </si>
  <si>
    <t xml:space="preserve">RACHIDI AMINA R0200001186                         </t>
  </si>
  <si>
    <t xml:space="preserve">KOUICI STEVE R0200001187                          </t>
  </si>
  <si>
    <t xml:space="preserve">CM2210/01809   </t>
  </si>
  <si>
    <t xml:space="preserve">EZZEDDINE MOHAMED R0100024600                     </t>
  </si>
  <si>
    <t xml:space="preserve">TEMPESTA GINA R0100024601                         </t>
  </si>
  <si>
    <t xml:space="preserve">SANVISEN QUENTIN R0100024603                      </t>
  </si>
  <si>
    <t xml:space="preserve">CAI2210/01816  </t>
  </si>
  <si>
    <t xml:space="preserve">CAI2210/01817  </t>
  </si>
  <si>
    <t xml:space="preserve">BEKKIS FADILA R0100024605                         </t>
  </si>
  <si>
    <t xml:space="preserve">SOMMIER VIRGINIE R0100024606                      </t>
  </si>
  <si>
    <t xml:space="preserve">MAKITA CHRIS R0100024607                          </t>
  </si>
  <si>
    <t xml:space="preserve">ALBAYRAK DURSUN R0100024608                       </t>
  </si>
  <si>
    <t xml:space="preserve">COTTIER ELEONORE R0100024609                      </t>
  </si>
  <si>
    <t xml:space="preserve">LOWE ANNE YOLANDE R0100024614                     </t>
  </si>
  <si>
    <t xml:space="preserve">NKANGA WINA NYOTA R0300000920                     </t>
  </si>
  <si>
    <t xml:space="preserve">CAI2210/01819  </t>
  </si>
  <si>
    <t xml:space="preserve">ABERKANE ASSIA AVANCE DE CAISSE METRO             </t>
  </si>
  <si>
    <t xml:space="preserve">HARIZI WANNIS R0100024616                         </t>
  </si>
  <si>
    <t xml:space="preserve">NTRIO KAMELA R0100024627                          </t>
  </si>
  <si>
    <t xml:space="preserve">SERSAR SANAE R0100024641                          </t>
  </si>
  <si>
    <t xml:space="preserve">KAPLAN    </t>
  </si>
  <si>
    <t xml:space="preserve">KAPLAN HATICE                           </t>
  </si>
  <si>
    <t xml:space="preserve">KAPLAN HATICE R0100024642                         </t>
  </si>
  <si>
    <t xml:space="preserve">ENDERLIN  </t>
  </si>
  <si>
    <t xml:space="preserve">ENDERLIN MARIE-PIERRE                   </t>
  </si>
  <si>
    <t xml:space="preserve">ENDERLIN MARIE-PIERRE R0100024652                 </t>
  </si>
  <si>
    <t xml:space="preserve">BEKOLO BEKOLO FRANCOIS R0100024678                </t>
  </si>
  <si>
    <t xml:space="preserve">DACLIN    </t>
  </si>
  <si>
    <t xml:space="preserve">DACLIN STEPHANIE                        </t>
  </si>
  <si>
    <t xml:space="preserve">DACLIN STEPHANIE R0100024686                      </t>
  </si>
  <si>
    <t xml:space="preserve">ISMAILOVA </t>
  </si>
  <si>
    <t xml:space="preserve">ISMAILOVA SAMIRA                        </t>
  </si>
  <si>
    <t xml:space="preserve">ISMAILOVA SAMIRA R0100024692                      </t>
  </si>
  <si>
    <t xml:space="preserve">VILLARD JOELLE R0100024697                        </t>
  </si>
  <si>
    <t xml:space="preserve">FERNANDEZ </t>
  </si>
  <si>
    <t xml:space="preserve">FERNANDEZ MIREIRA                       </t>
  </si>
  <si>
    <t xml:space="preserve">FERNANDEZ MIREIRA R0100024708                     </t>
  </si>
  <si>
    <t xml:space="preserve">GONZALEZ1 </t>
  </si>
  <si>
    <t xml:space="preserve">GONZALEZ ELEONORE                       </t>
  </si>
  <si>
    <t xml:space="preserve">GONZALEZ ELEONORE R0100024715                     </t>
  </si>
  <si>
    <t>LARREGOYTI</t>
  </si>
  <si>
    <t xml:space="preserve">LARREGOYTI LYDIE                        </t>
  </si>
  <si>
    <t xml:space="preserve">LARREGOYTI LYDIE R0100024717                      </t>
  </si>
  <si>
    <t xml:space="preserve">MECHICHE  </t>
  </si>
  <si>
    <t xml:space="preserve">MECHICHE SAMIRA                         </t>
  </si>
  <si>
    <t xml:space="preserve">MECHICHE SAMIRA R0100024718                       </t>
  </si>
  <si>
    <t xml:space="preserve">ARDORE    </t>
  </si>
  <si>
    <t xml:space="preserve">ARDORE DIANE                            </t>
  </si>
  <si>
    <t xml:space="preserve">ARDORE DIANE R0100024719                          </t>
  </si>
  <si>
    <t xml:space="preserve">BELKFIF MESSAOUDA R0100024720                     </t>
  </si>
  <si>
    <t xml:space="preserve">SAID OUASSILA R0100024721                         </t>
  </si>
  <si>
    <t xml:space="preserve">ALCOLEA   </t>
  </si>
  <si>
    <t xml:space="preserve">ALCOLEA AMELIE                          </t>
  </si>
  <si>
    <t xml:space="preserve">ALCOLEA AMELIE R0100024722                        </t>
  </si>
  <si>
    <t xml:space="preserve">SAID OUASSILA R0100024723                         </t>
  </si>
  <si>
    <t xml:space="preserve">Ann SAID OUASSILA R0100024531                     </t>
  </si>
  <si>
    <t xml:space="preserve">CAI2210/01822  </t>
  </si>
  <si>
    <t xml:space="preserve">SIOUDA CHAHRAZAD REMBOURSEMENT ACHAT PEDA         </t>
  </si>
  <si>
    <t xml:space="preserve">CAI2210/01823  </t>
  </si>
  <si>
    <t xml:space="preserve">AUDEBEAU AURELIA AVANCE DE CAISSE POLE ADULTES    </t>
  </si>
  <si>
    <t xml:space="preserve">CAI2210/01824  </t>
  </si>
  <si>
    <t xml:space="preserve">AUDEBEAU AURELIA REMBOURSEMENT REPAS SORTIE       </t>
  </si>
  <si>
    <t xml:space="preserve">CAI2210/01825  </t>
  </si>
  <si>
    <t xml:space="preserve">BOTH ANDREA REMBOURSEMENT REPAS SORTIE            </t>
  </si>
  <si>
    <t xml:space="preserve">CAI2210/01837  </t>
  </si>
  <si>
    <t>FEOUX MILAN AUDREY retour fond de caisse pole adul</t>
  </si>
  <si>
    <t xml:space="preserve">SERSAR SANAE R0100024724                          </t>
  </si>
  <si>
    <t xml:space="preserve">Cr馘it SERSAR SANAE R0100024724                   </t>
  </si>
  <si>
    <t xml:space="preserve">DJELLOUL  </t>
  </si>
  <si>
    <t xml:space="preserve">DJELLOUL AFAF                           </t>
  </si>
  <si>
    <t xml:space="preserve">DJELLOUL AFAF R0100024725                         </t>
  </si>
  <si>
    <t xml:space="preserve">ADOUNI MOHAMED R0100024726                        </t>
  </si>
  <si>
    <t xml:space="preserve">ABDELLI HALIMA R0100024727                        </t>
  </si>
  <si>
    <t xml:space="preserve">DRISS MOHAMED R0100024728                         </t>
  </si>
  <si>
    <t xml:space="preserve">EL HADDAD ABDELNASSER R0100024729                 </t>
  </si>
  <si>
    <t xml:space="preserve">BOUDISSA HAMZA R0100024730                        </t>
  </si>
  <si>
    <t xml:space="preserve">BOUDISSA HAMZA R0100024731                        </t>
  </si>
  <si>
    <t xml:space="preserve">FATNASSI CINDY R0100024732                        </t>
  </si>
  <si>
    <t xml:space="preserve">BOUKHANOUFA MOUNIR R0100024733                    </t>
  </si>
  <si>
    <t>MOHAMEDBEN</t>
  </si>
  <si>
    <t xml:space="preserve">MOHAMED BEN KADA KARIM                  </t>
  </si>
  <si>
    <t xml:space="preserve">MOHAMED BEN KADA KARIM R0100024734                </t>
  </si>
  <si>
    <t xml:space="preserve">SLIMANE MOHAMED R0100024737                       </t>
  </si>
  <si>
    <t xml:space="preserve">ZAIDI SABRINA R0100024738                         </t>
  </si>
  <si>
    <t xml:space="preserve">DUMOULIN ANNE-LISE R0100024740                    </t>
  </si>
  <si>
    <t xml:space="preserve">NACEUR REDOUANE R0100024741                       </t>
  </si>
  <si>
    <t xml:space="preserve">THABET MOUNIRA R0100024745                        </t>
  </si>
  <si>
    <t xml:space="preserve">TEMPESTA GINA R0100024746                         </t>
  </si>
  <si>
    <t xml:space="preserve">VINCENT ADELINE R0100024747                       </t>
  </si>
  <si>
    <t xml:space="preserve">ROCCHICCIOLI BEATRICE R0100024748                 </t>
  </si>
  <si>
    <t xml:space="preserve">GAUDIN MARIE CLAUDE R0100024749                   </t>
  </si>
  <si>
    <t xml:space="preserve">GIRAUD YVETTE R0100024750                         </t>
  </si>
  <si>
    <t xml:space="preserve">BERTON MADELEINE R0100024751                      </t>
  </si>
  <si>
    <t xml:space="preserve">AMEZRAR FERROUDJA R0100024752                     </t>
  </si>
  <si>
    <t xml:space="preserve">VILLARD JOELLE R0100024753                        </t>
  </si>
  <si>
    <t xml:space="preserve">DUBUIS    </t>
  </si>
  <si>
    <t xml:space="preserve">DUBUIS PHILIPPE                         </t>
  </si>
  <si>
    <t xml:space="preserve">DUBUIS PHILIPPE R0100024754                       </t>
  </si>
  <si>
    <t xml:space="preserve">ALCOLEA AMELIE R0100024755                        </t>
  </si>
  <si>
    <t xml:space="preserve">ERDEM ISMAIL R0100024758                          </t>
  </si>
  <si>
    <t xml:space="preserve">KARIM KELTOUM R0100024760                         </t>
  </si>
  <si>
    <t xml:space="preserve">FATIC KAMILA R0100024761                          </t>
  </si>
  <si>
    <t xml:space="preserve">KRADAOUI  </t>
  </si>
  <si>
    <t xml:space="preserve">KRADAOUI ZOHRA                          </t>
  </si>
  <si>
    <t xml:space="preserve">KRADAOUI ZOHRA R0100024762                        </t>
  </si>
  <si>
    <t xml:space="preserve">SMAJIC VELIDA R0100024763                         </t>
  </si>
  <si>
    <t xml:space="preserve">TEKARI FAIEZ R0100024764                          </t>
  </si>
  <si>
    <t xml:space="preserve">BAKAMBO PERNELLE R0300000921                      </t>
  </si>
  <si>
    <t xml:space="preserve">TEKARIRIH </t>
  </si>
  <si>
    <t xml:space="preserve">TEKARI RIHEB                            </t>
  </si>
  <si>
    <t xml:space="preserve">TEKARI RIHEB R0100024765                          </t>
  </si>
  <si>
    <t xml:space="preserve">ERDEM NURTEN R0100024766                          </t>
  </si>
  <si>
    <t xml:space="preserve">ERDEM GULUZAR R0100024767                         </t>
  </si>
  <si>
    <t xml:space="preserve">LAKHRIRAZ RAHMA R0100024768                       </t>
  </si>
  <si>
    <t xml:space="preserve">SERSAR SANAE R0100024769                          </t>
  </si>
  <si>
    <t xml:space="preserve">ZIYAD     </t>
  </si>
  <si>
    <t xml:space="preserve">ZIYAD NADIA                             </t>
  </si>
  <si>
    <t xml:space="preserve">ZIYAD NADIA R0100024770                           </t>
  </si>
  <si>
    <t xml:space="preserve">CHARNI BASMA R0100024771                          </t>
  </si>
  <si>
    <t xml:space="preserve">Cr馘it CHARNI BASMA R0100024771                   </t>
  </si>
  <si>
    <t xml:space="preserve">FATIC DAMIR R0100024772                           </t>
  </si>
  <si>
    <t xml:space="preserve">ALIC BAHRA R0100024773                            </t>
  </si>
  <si>
    <t xml:space="preserve">MEHMEDOVIC HAMIFA R0100024774                     </t>
  </si>
  <si>
    <t xml:space="preserve">CAI2210/01839  </t>
  </si>
  <si>
    <t xml:space="preserve">ABERKANE ASSIA REMBOURSEMENT ACHAT GO SPORT       </t>
  </si>
  <si>
    <t xml:space="preserve">ZEMMOUR YAYA R0100024777                          </t>
  </si>
  <si>
    <t xml:space="preserve">BOUKHANOUFA MOUNIR R0100024778                    </t>
  </si>
  <si>
    <t xml:space="preserve">BOUDISSA HAMZA R0100024779                        </t>
  </si>
  <si>
    <t xml:space="preserve">MOHAMED BEN KADA KARIM R0100024780                </t>
  </si>
  <si>
    <t xml:space="preserve">SAHRAOUI MOHAMED R0100024781                      </t>
  </si>
  <si>
    <t xml:space="preserve">FATNASSI CINDY R0100024782                        </t>
  </si>
  <si>
    <t xml:space="preserve">MATJABO TOUA MADELEINE R0100024783                </t>
  </si>
  <si>
    <t xml:space="preserve">BENRHOUMA RHOUMA R0100024784                      </t>
  </si>
  <si>
    <t xml:space="preserve">KARADAY   </t>
  </si>
  <si>
    <t xml:space="preserve">KARADAY SERPIL                          </t>
  </si>
  <si>
    <t xml:space="preserve">KARADAY SERPIL R0100024785                        </t>
  </si>
  <si>
    <t xml:space="preserve">AKOPIAN JANNA R0100024786                         </t>
  </si>
  <si>
    <t>HOVHANNISY</t>
  </si>
  <si>
    <t xml:space="preserve">HOVHANNISYAN KAREN                      </t>
  </si>
  <si>
    <t xml:space="preserve">HOVHANNISYAN KAREN R0100024787                    </t>
  </si>
  <si>
    <t xml:space="preserve">DJELLOUAH ZOUINA R0100024788                      </t>
  </si>
  <si>
    <t xml:space="preserve">DRISS MOHAMED R0100024789                         </t>
  </si>
  <si>
    <t xml:space="preserve">FARAH     </t>
  </si>
  <si>
    <t xml:space="preserve">FARAH MEHDI                             </t>
  </si>
  <si>
    <t xml:space="preserve">FARAH MEHDI R0100024790                           </t>
  </si>
  <si>
    <t xml:space="preserve">ZEMMOUR YAYA R0100024791                          </t>
  </si>
  <si>
    <t xml:space="preserve">SAHRAOUI MOHAMED R0100024792                      </t>
  </si>
  <si>
    <t xml:space="preserve">BENMAZOUZ CHELHA R0100024793                      </t>
  </si>
  <si>
    <t xml:space="preserve">BOUKHANOUFA MOUNIR R0100024794                    </t>
  </si>
  <si>
    <t xml:space="preserve">BOUDISSA HAMZA R0100024795                        </t>
  </si>
  <si>
    <t xml:space="preserve">ZEKRI SABRI R0100024796                           </t>
  </si>
  <si>
    <t xml:space="preserve">CHIBOUT SABAH R0100024797                         </t>
  </si>
  <si>
    <t xml:space="preserve">BENRHOUMA FETHI R0100024798                       </t>
  </si>
  <si>
    <t>DRAMEDJENA</t>
  </si>
  <si>
    <t xml:space="preserve">DRAME DJENABA                           </t>
  </si>
  <si>
    <t xml:space="preserve">DRAME DJENABA R0100024799                         </t>
  </si>
  <si>
    <t>BENALINASS</t>
  </si>
  <si>
    <t xml:space="preserve">BENALI NASSIRA                          </t>
  </si>
  <si>
    <t xml:space="preserve">BENALI NASSIRA R0100024800                        </t>
  </si>
  <si>
    <t xml:space="preserve">MBAMI     </t>
  </si>
  <si>
    <t xml:space="preserve">MBAMI GISELLE                           </t>
  </si>
  <si>
    <t xml:space="preserve">MBAMI GISELLE R0100024801                         </t>
  </si>
  <si>
    <t xml:space="preserve">KHELOUF SAMIRA R0100024802                        </t>
  </si>
  <si>
    <t xml:space="preserve">KAOUTE    </t>
  </si>
  <si>
    <t xml:space="preserve">KAOUTE FADILA                           </t>
  </si>
  <si>
    <t xml:space="preserve">KAOUTE FADILA R0100024803                         </t>
  </si>
  <si>
    <t xml:space="preserve">MECHICHE SAMIRA R0100024804                       </t>
  </si>
  <si>
    <t xml:space="preserve">SABOUNI MOHAMED R0100024805                       </t>
  </si>
  <si>
    <t xml:space="preserve">BELKIR    </t>
  </si>
  <si>
    <t xml:space="preserve">BELKIR BOUCHRA                          </t>
  </si>
  <si>
    <t xml:space="preserve">BELKIR BOUCHRA R0100024807                        </t>
  </si>
  <si>
    <t xml:space="preserve">THABET MOUNIRA R0100024808                        </t>
  </si>
  <si>
    <t xml:space="preserve">DJIBABA   </t>
  </si>
  <si>
    <t xml:space="preserve">DJIBABA SALMIA                          </t>
  </si>
  <si>
    <t xml:space="preserve">DJIBABA SALMIA R0100024809                        </t>
  </si>
  <si>
    <t xml:space="preserve">BUSHAJ SAIT R0100024810                           </t>
  </si>
  <si>
    <t xml:space="preserve">PANKOVA   </t>
  </si>
  <si>
    <t xml:space="preserve">SUDNIK SVIATLANA                        </t>
  </si>
  <si>
    <t xml:space="preserve">SUDNIK SVIATLANA R0100024811                      </t>
  </si>
  <si>
    <t xml:space="preserve">AKOPIAN JANNA R0100024812                         </t>
  </si>
  <si>
    <t xml:space="preserve">ISMAILOVA SAMIRA R0100024813                      </t>
  </si>
  <si>
    <t xml:space="preserve">AZAHOUM   </t>
  </si>
  <si>
    <t xml:space="preserve">AZAHOUM BOUCHRA                         </t>
  </si>
  <si>
    <t xml:space="preserve">AZAHOUM BOUCHRA R0100024814                       </t>
  </si>
  <si>
    <t xml:space="preserve">TOPLEK SERIFE R0100024815                         </t>
  </si>
  <si>
    <t xml:space="preserve">AMINE RACHIDA R0100024816                         </t>
  </si>
  <si>
    <t xml:space="preserve">HOVHANNISYAN KAREN R0100024817                    </t>
  </si>
  <si>
    <t xml:space="preserve">IVANENKO  </t>
  </si>
  <si>
    <t xml:space="preserve">IVANENKO TATIANA                        </t>
  </si>
  <si>
    <t xml:space="preserve">IVANENKO TATIANA R0100024819                      </t>
  </si>
  <si>
    <t xml:space="preserve">TONG      </t>
  </si>
  <si>
    <t xml:space="preserve">TONG VAN HAC                            </t>
  </si>
  <si>
    <t xml:space="preserve">TONG VAN HAC R0100024820                          </t>
  </si>
  <si>
    <t>ELMAAROUTI</t>
  </si>
  <si>
    <t xml:space="preserve">EL MAAROUTI MUSTAPHA                    </t>
  </si>
  <si>
    <t xml:space="preserve">EL MAAROUTI MUSTAPHA R0100024821                  </t>
  </si>
  <si>
    <t xml:space="preserve">BUSHAJ SAIT R0100024822                           </t>
  </si>
  <si>
    <t xml:space="preserve">BUSHAJ SAIT R0100024823                           </t>
  </si>
  <si>
    <t xml:space="preserve">MAKITA BRINDE R0100024824                         </t>
  </si>
  <si>
    <t xml:space="preserve">CELIK     </t>
  </si>
  <si>
    <t xml:space="preserve">CELIK SEMIHA                            </t>
  </si>
  <si>
    <t xml:space="preserve">CELIK SEMIHA R0100024825                          </t>
  </si>
  <si>
    <t xml:space="preserve">CORDIER   </t>
  </si>
  <si>
    <t xml:space="preserve">CORDIER YASMINA                         </t>
  </si>
  <si>
    <t xml:space="preserve">CORDIER YASMINA R0100024826                       </t>
  </si>
  <si>
    <t xml:space="preserve">PALEKHA   </t>
  </si>
  <si>
    <t xml:space="preserve">PALEKHA OLGA                            </t>
  </si>
  <si>
    <t xml:space="preserve">PALEKHA OLGA R0100024827                          </t>
  </si>
  <si>
    <t xml:space="preserve">CAI2210/01899  </t>
  </si>
  <si>
    <t xml:space="preserve">KAMBI SITTI REMBOURSEMENT CASINO                  </t>
  </si>
  <si>
    <t xml:space="preserve">SANVISEN QUENTIN R0100024828                      </t>
  </si>
  <si>
    <t xml:space="preserve">HAMZA     </t>
  </si>
  <si>
    <t xml:space="preserve">HAMZA ZOULIKA                           </t>
  </si>
  <si>
    <t xml:space="preserve">HAMZA ZOULIKA R0100024829                         </t>
  </si>
  <si>
    <t xml:space="preserve">AGGREY ANGELA R0100024830                         </t>
  </si>
  <si>
    <t>SHUAIBJANA</t>
  </si>
  <si>
    <t xml:space="preserve">SHUAIB JANA AHMED                       </t>
  </si>
  <si>
    <t xml:space="preserve">SHUAIB JANA AHMED R0100024831                     </t>
  </si>
  <si>
    <t xml:space="preserve">HAMIDI RAZIKA R0100024832                         </t>
  </si>
  <si>
    <t xml:space="preserve">SHABANI   </t>
  </si>
  <si>
    <t xml:space="preserve">SHABANI GANIMETE                        </t>
  </si>
  <si>
    <t xml:space="preserve">SHABANI GANIMETE R0100024833                      </t>
  </si>
  <si>
    <t xml:space="preserve">OTTAPLACKAL NAZAR NISHAD R0100024834              </t>
  </si>
  <si>
    <t xml:space="preserve">ZIYAD NADIA R0100024835                           </t>
  </si>
  <si>
    <t xml:space="preserve">ZENELI HAVA R0100024836                           </t>
  </si>
  <si>
    <t>MAKHMURJAN</t>
  </si>
  <si>
    <t xml:space="preserve">MAKHMURJAN SONIK                        </t>
  </si>
  <si>
    <t xml:space="preserve">MAKHMURJAN SONIK R0100024837                      </t>
  </si>
  <si>
    <t>CHERGIZBAE</t>
  </si>
  <si>
    <t xml:space="preserve">CHERGIZBAEV ARSEN                       </t>
  </si>
  <si>
    <t xml:space="preserve">CHERGIZBAEV ARSEN R0100024839                     </t>
  </si>
  <si>
    <t xml:space="preserve">LIKRAMA   </t>
  </si>
  <si>
    <t xml:space="preserve">LIKRAMA RESMIJE                         </t>
  </si>
  <si>
    <t xml:space="preserve">LIKRAMA RESMIJE R0100024840                       </t>
  </si>
  <si>
    <t xml:space="preserve">DUTKA Marko R0100024841                           </t>
  </si>
  <si>
    <t xml:space="preserve">ZOGLAMI   </t>
  </si>
  <si>
    <t xml:space="preserve">ZOGLAMI MOHSNI EL HADHA                 </t>
  </si>
  <si>
    <t xml:space="preserve">ZOGLAMI MOHSNI EL HADHA R0100024842               </t>
  </si>
  <si>
    <t xml:space="preserve">ZAKARIA   </t>
  </si>
  <si>
    <t xml:space="preserve">ZAKARIA ISMAIL BICHARA                  </t>
  </si>
  <si>
    <t xml:space="preserve">ZAKARIA ISMAIL BICHARA R0100024845                </t>
  </si>
  <si>
    <t xml:space="preserve">AAROUS MAJIHA R0100024846                         </t>
  </si>
  <si>
    <t>KASHANIANI</t>
  </si>
  <si>
    <t xml:space="preserve">KASHANIANI IAMZE                        </t>
  </si>
  <si>
    <t xml:space="preserve">KASHANIANI IAMZE R0100024847                      </t>
  </si>
  <si>
    <t xml:space="preserve">BAUTISTA DANIELA R0100024848                      </t>
  </si>
  <si>
    <t xml:space="preserve">CM2210/02165   </t>
  </si>
  <si>
    <t xml:space="preserve">PRLV ORANGE 79186176                              </t>
  </si>
  <si>
    <t xml:space="preserve">CM2210/02166   </t>
  </si>
  <si>
    <t xml:space="preserve">PRLV ORANGE 79186130                              </t>
  </si>
  <si>
    <t xml:space="preserve">CM2210/01810   </t>
  </si>
  <si>
    <t xml:space="preserve">REMUNERATIONS DUES / TLIBA CHAIMA 09/22           </t>
  </si>
  <si>
    <t xml:space="preserve">CM2210/02167   </t>
  </si>
  <si>
    <t xml:space="preserve">RGLT KAOTEP PLAGE CHQ                             </t>
  </si>
  <si>
    <t xml:space="preserve">CM2210/01774   </t>
  </si>
  <si>
    <t xml:space="preserve">Remise de ch鑷ues nｰ 20221006                     </t>
  </si>
  <si>
    <t xml:space="preserve">CM2210/02168   </t>
  </si>
  <si>
    <t xml:space="preserve">PRLV ORANGE FIBRE 8642H0                          </t>
  </si>
  <si>
    <t xml:space="preserve">CM2210/02169   </t>
  </si>
  <si>
    <t xml:space="preserve">PRLV ORANGE FIXE 4022H0                           </t>
  </si>
  <si>
    <t xml:space="preserve">CM2210/02170   </t>
  </si>
  <si>
    <t xml:space="preserve">CM2210/02171   </t>
  </si>
  <si>
    <t xml:space="preserve">RGLT CHQ BOWLING DES LUMIERES                     </t>
  </si>
  <si>
    <t xml:space="preserve">CM2210/02172   </t>
  </si>
  <si>
    <t xml:space="preserve">RGLT TCL AL 3/6 CHQ                               </t>
  </si>
  <si>
    <t xml:space="preserve">CM2210/01811   </t>
  </si>
  <si>
    <t xml:space="preserve">Remise de ch鑷ues nｰ 20221017                     </t>
  </si>
  <si>
    <t xml:space="preserve">CM2210/01812   </t>
  </si>
  <si>
    <t xml:space="preserve">Remise de ch鑷ues nｰ 20221017.2                   </t>
  </si>
  <si>
    <t xml:space="preserve">CM2210/02173   </t>
  </si>
  <si>
    <t xml:space="preserve">PRLV ORANGE FIBRE 1682H3                          </t>
  </si>
  <si>
    <t xml:space="preserve">CM2210/02174   </t>
  </si>
  <si>
    <t xml:space="preserve">CB 10 DOIGTS                                      </t>
  </si>
  <si>
    <t xml:space="preserve">CM2210/02175   </t>
  </si>
  <si>
    <t xml:space="preserve">RGLT CHQ KEOLIS AL 6/11                           </t>
  </si>
  <si>
    <t xml:space="preserve">CM2210/01838   </t>
  </si>
  <si>
    <t xml:space="preserve">Remise de ch鑷ues nｰ 20221026                     </t>
  </si>
  <si>
    <t xml:space="preserve">CM2210/01840   </t>
  </si>
  <si>
    <t xml:space="preserve">Remise de ch鑷ues nｰ 202210260.1                  </t>
  </si>
  <si>
    <t xml:space="preserve">CM2210/02200   </t>
  </si>
  <si>
    <t xml:space="preserve">FRAIS CRCESU / REMISE 20221026                    </t>
  </si>
  <si>
    <t xml:space="preserve">CM2210/01841   </t>
  </si>
  <si>
    <t xml:space="preserve">Remise de ch鑷ues nｰ 20221026.2                   </t>
  </si>
  <si>
    <t xml:space="preserve">CM2210/02184   </t>
  </si>
  <si>
    <t xml:space="preserve">FRAIS ANCV/Remise 20221026                        </t>
  </si>
  <si>
    <t xml:space="preserve">CM2210/02176   </t>
  </si>
  <si>
    <t xml:space="preserve">PRLV ORANGE 79558809                              </t>
  </si>
  <si>
    <t xml:space="preserve">CM2210/02177   </t>
  </si>
  <si>
    <t xml:space="preserve">PRLV ORANGE 79558755                              </t>
  </si>
  <si>
    <t xml:space="preserve">CM2210/02178   </t>
  </si>
  <si>
    <t xml:space="preserve">CM2210/02179   </t>
  </si>
  <si>
    <t xml:space="preserve">PRLV ORANGE INTERNET 8202H6                       </t>
  </si>
  <si>
    <t xml:space="preserve">CM2210/02180   </t>
  </si>
  <si>
    <t xml:space="preserve">CM2210/02528   </t>
  </si>
  <si>
    <t xml:space="preserve">CHQ MUSEE GADAGNE                                 </t>
  </si>
  <si>
    <t xml:space="preserve">BOVIO     </t>
  </si>
  <si>
    <t xml:space="preserve">BOVIO PASCALINE                         </t>
  </si>
  <si>
    <t xml:space="preserve">RAPIN     </t>
  </si>
  <si>
    <t xml:space="preserve">RAPIN ERIKA                             </t>
  </si>
  <si>
    <t>ABDELMOUMN</t>
  </si>
  <si>
    <t xml:space="preserve">ABDELMOUMNAI LYNDA                      </t>
  </si>
  <si>
    <t xml:space="preserve">COMTE     </t>
  </si>
  <si>
    <t xml:space="preserve">COMTE AURELIEN                          </t>
  </si>
  <si>
    <t xml:space="preserve">BASRI     </t>
  </si>
  <si>
    <t xml:space="preserve">BASRI HAMID                             </t>
  </si>
  <si>
    <t xml:space="preserve">NAY       </t>
  </si>
  <si>
    <t xml:space="preserve">NAY KSENIIA                             </t>
  </si>
  <si>
    <t xml:space="preserve">CHATAIN   </t>
  </si>
  <si>
    <t xml:space="preserve">CHATAIN HELENE                          </t>
  </si>
  <si>
    <t xml:space="preserve">BELDA     </t>
  </si>
  <si>
    <t xml:space="preserve">BELDA CHANTAL                           </t>
  </si>
  <si>
    <t xml:space="preserve">GA02905   </t>
  </si>
  <si>
    <t xml:space="preserve">SOUCHE / DOUDAINE GUY                   </t>
  </si>
  <si>
    <t xml:space="preserve">ANDRE     </t>
  </si>
  <si>
    <t xml:space="preserve">ANDRE ANISSIA                           </t>
  </si>
  <si>
    <t xml:space="preserve">TCHERIVK  </t>
  </si>
  <si>
    <t xml:space="preserve">TCHERIVKHANOVA AZIV                     </t>
  </si>
  <si>
    <t xml:space="preserve">RICCI     </t>
  </si>
  <si>
    <t xml:space="preserve">RICCI CELESTE                           </t>
  </si>
  <si>
    <t>BETTREMIEU</t>
  </si>
  <si>
    <t xml:space="preserve">BETTREMIEUX VERONIQUE                   </t>
  </si>
  <si>
    <t xml:space="preserve">TELHA     </t>
  </si>
  <si>
    <t xml:space="preserve">TELHA KHEIRA                            </t>
  </si>
  <si>
    <t xml:space="preserve">HOCINE    </t>
  </si>
  <si>
    <t xml:space="preserve">HOCINE MEDJAHED                         </t>
  </si>
  <si>
    <t>KOUASSEUMO</t>
  </si>
  <si>
    <t xml:space="preserve">KOUASSEU MOUNGANG                       </t>
  </si>
  <si>
    <t xml:space="preserve">PLASSE    </t>
  </si>
  <si>
    <t xml:space="preserve">PLASSE MARIE ELISABETH                  </t>
  </si>
  <si>
    <t>ELMAAROUT2</t>
  </si>
  <si>
    <t xml:space="preserve">EL MAAROUTI MOHAMED                     </t>
  </si>
  <si>
    <t xml:space="preserve">TEMPORA   </t>
  </si>
  <si>
    <t xml:space="preserve">TEMPORA                                 </t>
  </si>
  <si>
    <t xml:space="preserve">SAPINNOEL </t>
  </si>
  <si>
    <t xml:space="preserve">MON SAPIN A DOMIOCILE.COM               </t>
  </si>
  <si>
    <t xml:space="preserve">ROYALKIDS </t>
  </si>
  <si>
    <t xml:space="preserve">SARJ FELICITAS                          </t>
  </si>
  <si>
    <t xml:space="preserve">BFC2211/02350  </t>
  </si>
  <si>
    <t xml:space="preserve">BFC2211/02351  </t>
  </si>
  <si>
    <t xml:space="preserve">BFC2211/02352  </t>
  </si>
  <si>
    <t xml:space="preserve">BFC2211/02353  </t>
  </si>
  <si>
    <t xml:space="preserve">BFC2211/02358  </t>
  </si>
  <si>
    <t xml:space="preserve">BAN2211/01907  </t>
  </si>
  <si>
    <t xml:space="preserve">BAN2211/01908  </t>
  </si>
  <si>
    <t xml:space="preserve">BFC2211/02354  </t>
  </si>
  <si>
    <t xml:space="preserve">BFC2211/02355  </t>
  </si>
  <si>
    <t xml:space="preserve">BFC2211/02356  </t>
  </si>
  <si>
    <t xml:space="preserve">BFC2211/02357  </t>
  </si>
  <si>
    <t xml:space="preserve">BFC2211/01920  </t>
  </si>
  <si>
    <t xml:space="preserve">BAN2211/01922  </t>
  </si>
  <si>
    <t xml:space="preserve">BFC2211/02381  </t>
  </si>
  <si>
    <t xml:space="preserve">BFC2211/01925  </t>
  </si>
  <si>
    <t xml:space="preserve">Rbt BELDA CHANTAL R0100024923                     </t>
  </si>
  <si>
    <t xml:space="preserve">BFC2211/02359  </t>
  </si>
  <si>
    <t xml:space="preserve">VIRT REJETE - CEE                                 </t>
  </si>
  <si>
    <t xml:space="preserve">BFC2211/02360  </t>
  </si>
  <si>
    <t xml:space="preserve">BFC2211/02361  </t>
  </si>
  <si>
    <t xml:space="preserve">BFC2211/02362  </t>
  </si>
  <si>
    <t xml:space="preserve">BFC2211/02364  </t>
  </si>
  <si>
    <t xml:space="preserve">BFC2211/02365  </t>
  </si>
  <si>
    <t xml:space="preserve">BFC2211/02366  </t>
  </si>
  <si>
    <t xml:space="preserve">BAN2211/01967  </t>
  </si>
  <si>
    <t xml:space="preserve">SAISIE/SALAIRE KANNIAH 07+08/22                   </t>
  </si>
  <si>
    <t xml:space="preserve">VIRT SALAIRE CEE 10+11/22 (NITOUCH)               </t>
  </si>
  <si>
    <t xml:space="preserve">VIRT NDF DEPLACEMENT 01&gt;10/22 BOISSY              </t>
  </si>
  <si>
    <t xml:space="preserve">BFC2211/01968  </t>
  </si>
  <si>
    <t xml:space="preserve">MAYOL Johann R0200001205                          </t>
  </si>
  <si>
    <t xml:space="preserve">BFC2211/02367  </t>
  </si>
  <si>
    <t xml:space="preserve">BFC2211/02368  </t>
  </si>
  <si>
    <t xml:space="preserve">VIRT ASP AIDE APPRENTI                            </t>
  </si>
  <si>
    <t xml:space="preserve">BFC2211/02369  </t>
  </si>
  <si>
    <t xml:space="preserve">VILLE A RECEVOIR - PROJET FRESQUE COLLAGE         </t>
  </si>
  <si>
    <t xml:space="preserve">BFC2211/02372  </t>
  </si>
  <si>
    <t xml:space="preserve">BFC2211/02373  </t>
  </si>
  <si>
    <t xml:space="preserve">CAF  SUBV.AG 3e/4e ACPTE CYP 2022                 </t>
  </si>
  <si>
    <t xml:space="preserve">CAF  SUBV.AG 3e/4e ACPTE CFAL 2022                </t>
  </si>
  <si>
    <t xml:space="preserve">CAF ACF CYP 2E ACPT 2022                          </t>
  </si>
  <si>
    <t xml:space="preserve">CAF ACF CFAL 2E ACPT 2022                         </t>
  </si>
  <si>
    <t xml:space="preserve">VIRT CAF ACF/AG 2022                              </t>
  </si>
  <si>
    <t xml:space="preserve">BFC2211/02374  </t>
  </si>
  <si>
    <t xml:space="preserve">BFC2211/02375  </t>
  </si>
  <si>
    <t xml:space="preserve">CAF PS CLAS                             </t>
  </si>
  <si>
    <t xml:space="preserve">BFC2211/02376  </t>
  </si>
  <si>
    <t xml:space="preserve">CAF SOLDE CLAS 2021                               </t>
  </si>
  <si>
    <t xml:space="preserve">BFC2211/02010  </t>
  </si>
  <si>
    <t xml:space="preserve">BAN2211/02012  </t>
  </si>
  <si>
    <t xml:space="preserve">BFC2211/02013  </t>
  </si>
  <si>
    <t xml:space="preserve">BFC2211/02377  </t>
  </si>
  <si>
    <t xml:space="preserve">BFC2211/02378  </t>
  </si>
  <si>
    <t xml:space="preserve">CAF PS GRIBOUILLE                                 </t>
  </si>
  <si>
    <t xml:space="preserve">CAF  PS BABILHOME                                 </t>
  </si>
  <si>
    <t xml:space="preserve">CAF PS AL EXTRASCO CYP CFAL                       </t>
  </si>
  <si>
    <t xml:space="preserve">CAF PS PERISCO MERCREDIS CYP CFAL                 </t>
  </si>
  <si>
    <t xml:space="preserve">CAF PS 2022                                       </t>
  </si>
  <si>
    <t xml:space="preserve">BFC2211/02380  </t>
  </si>
  <si>
    <t xml:space="preserve">VILLE SUBVENTION SORTIES FAMILLES                 </t>
  </si>
  <si>
    <t xml:space="preserve">CAI2211/01903  </t>
  </si>
  <si>
    <t xml:space="preserve">SAHRAOUI MOHAMED R0100024849                      </t>
  </si>
  <si>
    <t xml:space="preserve">FARAH MEHDI R0100024850                           </t>
  </si>
  <si>
    <t xml:space="preserve">CHIBOUT SABAH R0100024851                         </t>
  </si>
  <si>
    <t xml:space="preserve">ZEKRI SABRI R0100024852                           </t>
  </si>
  <si>
    <t xml:space="preserve">ALBAYRAK DURSUN R0100024853                       </t>
  </si>
  <si>
    <t xml:space="preserve">ABDELLI HALIMA R0100024854                        </t>
  </si>
  <si>
    <t xml:space="preserve">BENMAZOUZ CHELHA R0100024855                      </t>
  </si>
  <si>
    <t xml:space="preserve">BOUDISSA HAMZA R0100024856                        </t>
  </si>
  <si>
    <t xml:space="preserve">ZEKRI SABRI R0100024857                           </t>
  </si>
  <si>
    <t xml:space="preserve">LOUATI ALI R0100024858                            </t>
  </si>
  <si>
    <t xml:space="preserve">BOUKHANOUFA MOUNIR R0100024859                    </t>
  </si>
  <si>
    <t xml:space="preserve">JOUINI MONIA R0100024860                          </t>
  </si>
  <si>
    <t xml:space="preserve">ZEKRI SABRI R0100024861                           </t>
  </si>
  <si>
    <t xml:space="preserve">SAFFI INAYA R0100024862                           </t>
  </si>
  <si>
    <t xml:space="preserve">BOUKHANOUFA MOUNIR R0100024863                    </t>
  </si>
  <si>
    <t xml:space="preserve">SAHRAOUI MOHAMED R0100024864                      </t>
  </si>
  <si>
    <t xml:space="preserve">BOUKHANOUFA MOUNIR R0100024865                    </t>
  </si>
  <si>
    <t xml:space="preserve">EL HADDAD ABDELNASSER R0100024866                 </t>
  </si>
  <si>
    <t xml:space="preserve">ABDELLI HALIMA R0100024867                        </t>
  </si>
  <si>
    <t xml:space="preserve">TRAORE MARIAM R0300000922                         </t>
  </si>
  <si>
    <t xml:space="preserve">CAI2211/01904  </t>
  </si>
  <si>
    <t xml:space="preserve">AUDEBEAU AURELIA AVANCE DE CAISSE VAPORETTO       </t>
  </si>
  <si>
    <t xml:space="preserve">CAI2211/01905  </t>
  </si>
  <si>
    <t xml:space="preserve">HACHANI YAMINA REMBOURSEMENT DOSS SUSPENDUS       </t>
  </si>
  <si>
    <t xml:space="preserve">AHMED MAHAMOUD NAIMA R0100024868                  </t>
  </si>
  <si>
    <t xml:space="preserve">MASSOUDI  </t>
  </si>
  <si>
    <t xml:space="preserve">MASSOUDI SIHAM                          </t>
  </si>
  <si>
    <t xml:space="preserve">MASSOUDI SIHAM R0100024869                        </t>
  </si>
  <si>
    <t xml:space="preserve">CM2211/01906   </t>
  </si>
  <si>
    <t xml:space="preserve">BOUKHANOUFA MOUNIR R0100024870                    </t>
  </si>
  <si>
    <t xml:space="preserve">ZEKRI SABRI R0100024871                           </t>
  </si>
  <si>
    <t xml:space="preserve">SAFFI INAYA R0100024872                           </t>
  </si>
  <si>
    <t xml:space="preserve">SAHRAOUI MOHAMED R0100024873                      </t>
  </si>
  <si>
    <t xml:space="preserve">FARAH MEHDI R0100024874                           </t>
  </si>
  <si>
    <t xml:space="preserve">FARAH MEHDI R0100024875                           </t>
  </si>
  <si>
    <t xml:space="preserve">BASRI HAMID R0100024876                           </t>
  </si>
  <si>
    <t xml:space="preserve">ZEKRI SABRI R0100024877                           </t>
  </si>
  <si>
    <t xml:space="preserve">LOUATI ALI R0100024878                            </t>
  </si>
  <si>
    <t xml:space="preserve">ABDELLI HALIMA R0100024879                        </t>
  </si>
  <si>
    <t xml:space="preserve">ALBAYRAK DURSUN R0100024880                       </t>
  </si>
  <si>
    <t xml:space="preserve">LOUDI HANAN R0300000924                           </t>
  </si>
  <si>
    <t xml:space="preserve">AKAKBA LARBI R0300000925                          </t>
  </si>
  <si>
    <t xml:space="preserve">Cr馘it AKAKBA LARBI R0300000925                   </t>
  </si>
  <si>
    <t xml:space="preserve">TRAORE MARIAM R0300000926                         </t>
  </si>
  <si>
    <t xml:space="preserve">Cr馘it TRAORE MARIAM R0300000926                  </t>
  </si>
  <si>
    <t xml:space="preserve">LUCAS CLEMENT R0300000927                         </t>
  </si>
  <si>
    <t xml:space="preserve">CAMARA IBRAHIMA SORY R0300000928                  </t>
  </si>
  <si>
    <t xml:space="preserve">Cr馘it CAMARA IBRAHIMA SORY R0300000928           </t>
  </si>
  <si>
    <t xml:space="preserve">CAI2211/01909  </t>
  </si>
  <si>
    <t>AUDEBEAU AURELIA retour avance de caisse vaporetto</t>
  </si>
  <si>
    <t xml:space="preserve">GUELIMI POLINA R0100024881                        </t>
  </si>
  <si>
    <t xml:space="preserve">BOUKHANOUFA MOUNIR R0100024882                    </t>
  </si>
  <si>
    <t xml:space="preserve">FATNASSI CINDY R0100024883                        </t>
  </si>
  <si>
    <t xml:space="preserve">BOUDISSA HAMZA R0100024884                        </t>
  </si>
  <si>
    <t xml:space="preserve">FARAH MEHDI R0100024885                           </t>
  </si>
  <si>
    <t xml:space="preserve">DRISS MOHAMED R0100024886                         </t>
  </si>
  <si>
    <t xml:space="preserve">MATJABO TOUA MADELEINE R0100024887                </t>
  </si>
  <si>
    <t xml:space="preserve">DJELLOUAH ZOUINA R0100024888                      </t>
  </si>
  <si>
    <t xml:space="preserve">EL HADDAD ABDELNASSER R0100024889                 </t>
  </si>
  <si>
    <t xml:space="preserve">BENMAZOUZ CHELHA R0100024890                      </t>
  </si>
  <si>
    <t xml:space="preserve">ZEKRI SABRI R0100024891                           </t>
  </si>
  <si>
    <t xml:space="preserve">BWANGA ALICE R0100024892                          </t>
  </si>
  <si>
    <t xml:space="preserve">LOUATI ALI R0100024893                            </t>
  </si>
  <si>
    <t xml:space="preserve">MADI TAREK R0100024894                            </t>
  </si>
  <si>
    <t xml:space="preserve">ABDELLI HALIMA R0100024895                        </t>
  </si>
  <si>
    <t xml:space="preserve">SAFFI INAYA R0100024896                           </t>
  </si>
  <si>
    <t xml:space="preserve">SAHRAOUI MOHAMED R0100024897                      </t>
  </si>
  <si>
    <t xml:space="preserve">SAFFI INAYA R0100024898                           </t>
  </si>
  <si>
    <t xml:space="preserve">REBBOUCHE ABDELGHANI R0100024899                  </t>
  </si>
  <si>
    <t xml:space="preserve">Cr馘it REBBOUCHE ABDELGHANI R0100024899           </t>
  </si>
  <si>
    <t xml:space="preserve">FARAH MEHDI R0100024900                           </t>
  </si>
  <si>
    <t xml:space="preserve">SAHRAOUI MOHAMED R0100024901                      </t>
  </si>
  <si>
    <t xml:space="preserve">KHALFA SIMARD LOIS R0100024902                    </t>
  </si>
  <si>
    <t xml:space="preserve">DRAME DJENABA R0100024903                         </t>
  </si>
  <si>
    <t xml:space="preserve">ZAFRANI   </t>
  </si>
  <si>
    <t xml:space="preserve">ZAFRANI NADIA                           </t>
  </si>
  <si>
    <t xml:space="preserve">ZAFRANI NADIA R0100024904                         </t>
  </si>
  <si>
    <t xml:space="preserve">AKOPIAN JANNA R0100024905                         </t>
  </si>
  <si>
    <t xml:space="preserve">KARIM KELTOUM R0100024906                         </t>
  </si>
  <si>
    <t xml:space="preserve">LAKHRIRAZ RAHMA R0100024907                       </t>
  </si>
  <si>
    <t xml:space="preserve">POUOYEWO RACHEL R0100024908                       </t>
  </si>
  <si>
    <t xml:space="preserve">KHALFA SIMARD LOIS R0100024909                    </t>
  </si>
  <si>
    <t xml:space="preserve">POUOYEWO RACHEL R0100024910                       </t>
  </si>
  <si>
    <t xml:space="preserve">ZIYAD NADIA R0100024911                           </t>
  </si>
  <si>
    <t xml:space="preserve">BOUGHRARA HANANE R0100024913                      </t>
  </si>
  <si>
    <t xml:space="preserve">SERSAR SANAE R0100024914                          </t>
  </si>
  <si>
    <t xml:space="preserve">DIALLO CAMARA IBRAHIMA R0100024915                </t>
  </si>
  <si>
    <t xml:space="preserve">ERDEM ISMAIL R0100024916                          </t>
  </si>
  <si>
    <t xml:space="preserve">KHELOUF SAMIRA R0100024917                        </t>
  </si>
  <si>
    <t xml:space="preserve">TEKARI FAIEZ R0100024918                          </t>
  </si>
  <si>
    <t xml:space="preserve">MOHAMED BEN KADA KARIM R0100024919                </t>
  </si>
  <si>
    <t xml:space="preserve">CHIHA     </t>
  </si>
  <si>
    <t xml:space="preserve">CHIHA AHMED                             </t>
  </si>
  <si>
    <t xml:space="preserve">CHIHA AHMED R0100024920                           </t>
  </si>
  <si>
    <t xml:space="preserve">CAI2211/01927  </t>
  </si>
  <si>
    <t xml:space="preserve">FRANCINE CRETTE avance de caisse formation        </t>
  </si>
  <si>
    <t xml:space="preserve">CAI2211/01928  </t>
  </si>
  <si>
    <t xml:space="preserve">FRANCINE CRETTE remboursement boulangerie         </t>
  </si>
  <si>
    <t xml:space="preserve">BENRHOUMA RHOUMA R0100024926                      </t>
  </si>
  <si>
    <t xml:space="preserve">LAVRYNIUK VICTORIA R0100024928                    </t>
  </si>
  <si>
    <t xml:space="preserve">GUELIMI POLINA R0100024929                        </t>
  </si>
  <si>
    <t xml:space="preserve">MAJERI Izac R0200001200                           </t>
  </si>
  <si>
    <t xml:space="preserve">KOUICI STEVE R0200001201                          </t>
  </si>
  <si>
    <t xml:space="preserve">BEN AHMED NADIA R0300000930                       </t>
  </si>
  <si>
    <t xml:space="preserve">Cr馘it BEN AHMED NADIA R0300000930                </t>
  </si>
  <si>
    <t xml:space="preserve">AZEIZ  R0300000932                                </t>
  </si>
  <si>
    <t xml:space="preserve">Cr馘it AZEIZ  R0300000932                         </t>
  </si>
  <si>
    <t xml:space="preserve">KOUASSEU MOUNGANG  R0300000933                    </t>
  </si>
  <si>
    <t xml:space="preserve">Cr馘it KOUASSEU MOUNGANG  R0300000933             </t>
  </si>
  <si>
    <t xml:space="preserve">BAKAMBO PERNELLE R0300000934                      </t>
  </si>
  <si>
    <t xml:space="preserve">DIABY HASSAN R0300000935                          </t>
  </si>
  <si>
    <t xml:space="preserve">Cr馘it DIABY HASSAN R0300000935                   </t>
  </si>
  <si>
    <t xml:space="preserve">MARQUES SIMONE R0100024931                        </t>
  </si>
  <si>
    <t xml:space="preserve">PRALUS ANGELIQUE R0100024933                      </t>
  </si>
  <si>
    <t xml:space="preserve">THABET MOUNIRA R0100024934                        </t>
  </si>
  <si>
    <t xml:space="preserve">Rbt KAPLAN HATICE R0100024939                     </t>
  </si>
  <si>
    <t>MANIKAMESA</t>
  </si>
  <si>
    <t xml:space="preserve">MANIKA MESA SOLANGE                     </t>
  </si>
  <si>
    <t xml:space="preserve">MANIKA MESA SOLANGE R0100024938                   </t>
  </si>
  <si>
    <t xml:space="preserve">CM2211/01966   </t>
  </si>
  <si>
    <t xml:space="preserve">ANDRIET AGNES R0100024941                         </t>
  </si>
  <si>
    <t xml:space="preserve">COLOM FRANCOISE R0100024942                       </t>
  </si>
  <si>
    <t xml:space="preserve">SIRVENT GISELE R0100024948                        </t>
  </si>
  <si>
    <t xml:space="preserve">KANNEVORFF ANNE R0100024949                       </t>
  </si>
  <si>
    <t xml:space="preserve">CHANAUD MARTINE R0100024950                       </t>
  </si>
  <si>
    <t xml:space="preserve">CERTAIN NICOLE R0100024951                        </t>
  </si>
  <si>
    <t xml:space="preserve">CARILLI GABRIELLE R0100024953                     </t>
  </si>
  <si>
    <t xml:space="preserve">CHARENSOL MICHELE R0100024954                     </t>
  </si>
  <si>
    <t xml:space="preserve">AUZAS BRIGITTE R0100024955                        </t>
  </si>
  <si>
    <t xml:space="preserve">COMBE DOMINIQUE R0100024956                       </t>
  </si>
  <si>
    <t xml:space="preserve">ANDRIET AGNES R0100024958                         </t>
  </si>
  <si>
    <t xml:space="preserve">DUTRUC MARIE HELENE R0100024959                   </t>
  </si>
  <si>
    <t xml:space="preserve">SIRVENT GISELE R0100024960                        </t>
  </si>
  <si>
    <t xml:space="preserve">BELLEMIN MICHELLE R0100024961                     </t>
  </si>
  <si>
    <t xml:space="preserve">COLOM FRANCOISE R0100024962                       </t>
  </si>
  <si>
    <t xml:space="preserve">SEROT HELENE R0100024963                          </t>
  </si>
  <si>
    <t xml:space="preserve">KANNEVORFF ANNE R0100024964                       </t>
  </si>
  <si>
    <t xml:space="preserve">TSHIBANGU RITA R0100024966                        </t>
  </si>
  <si>
    <t xml:space="preserve">RAPIN ERIKA R0100024969                           </t>
  </si>
  <si>
    <t xml:space="preserve">BERTON MADELEINE R0100024971                      </t>
  </si>
  <si>
    <t xml:space="preserve">AMEZRAR FERROUDJA R0100024972                     </t>
  </si>
  <si>
    <t xml:space="preserve">GAUDIN MARIE CLAUDE R0100024973                   </t>
  </si>
  <si>
    <t xml:space="preserve">GIRAUD YVETTE R0100024974                         </t>
  </si>
  <si>
    <t xml:space="preserve">VILLARD JOELLE R0100024975                        </t>
  </si>
  <si>
    <t xml:space="preserve">KARIM KELTOUM R0100024976                         </t>
  </si>
  <si>
    <t xml:space="preserve">EL MAAROUTI MOHAMED R0200001213                   </t>
  </si>
  <si>
    <t xml:space="preserve">CAI2211/01981  </t>
  </si>
  <si>
    <t xml:space="preserve">FRANCINE CRETTE retour avance de caisse           </t>
  </si>
  <si>
    <t xml:space="preserve">CAI2211/01982  </t>
  </si>
  <si>
    <t xml:space="preserve">STEPHANIE GAMBONI remboursement cafe parents      </t>
  </si>
  <si>
    <t xml:space="preserve">CAI2211/01983  </t>
  </si>
  <si>
    <t xml:space="preserve">FRANCINE CRETTE remboursement activite gribouille </t>
  </si>
  <si>
    <t xml:space="preserve">CAI2211/01984  </t>
  </si>
  <si>
    <t xml:space="preserve">BOUVIER LUCILE avance de caisse la vie claire     </t>
  </si>
  <si>
    <t xml:space="preserve">GASPARIAN </t>
  </si>
  <si>
    <t xml:space="preserve">GASPARIAN KAREN                         </t>
  </si>
  <si>
    <t xml:space="preserve">GASPARIAN KAREN R0100024979                       </t>
  </si>
  <si>
    <t xml:space="preserve">KINANVUIDI DJIMY R0300000939                      </t>
  </si>
  <si>
    <t xml:space="preserve">Cr馘it KINANVUIDI DJIMY R0300000939               </t>
  </si>
  <si>
    <t xml:space="preserve">OSARETIN Augustin R0300000940                     </t>
  </si>
  <si>
    <t xml:space="preserve">AMEUR  R0300000941                                </t>
  </si>
  <si>
    <t xml:space="preserve">Cr馘it AMEUR  R0300000941                         </t>
  </si>
  <si>
    <t xml:space="preserve">SANVISEN QUENTIN R0100024981                      </t>
  </si>
  <si>
    <t xml:space="preserve">Cr馘it SANVISEN QUENTIN R0100024981               </t>
  </si>
  <si>
    <t xml:space="preserve">SAHLI Perrine R0200001217                         </t>
  </si>
  <si>
    <t xml:space="preserve">Cr馘it SAHLI Perrine R0200001217                  </t>
  </si>
  <si>
    <t xml:space="preserve">MAKITA CHRIS R0100024986                          </t>
  </si>
  <si>
    <t xml:space="preserve">CAI2211/01986  </t>
  </si>
  <si>
    <t xml:space="preserve">SIOUDA CHAHRAZAD remboursement activit・          </t>
  </si>
  <si>
    <t xml:space="preserve">CAI2211/01987  </t>
  </si>
  <si>
    <t xml:space="preserve">FLAMIER ALINE remboursement reunion parents       </t>
  </si>
  <si>
    <t xml:space="preserve">MATOUG    </t>
  </si>
  <si>
    <t xml:space="preserve">MATOUG SAKHR                            </t>
  </si>
  <si>
    <t xml:space="preserve">MATOUG SAKHR R0100024988                          </t>
  </si>
  <si>
    <t xml:space="preserve">AYEMERE   </t>
  </si>
  <si>
    <t xml:space="preserve">AYEMERE LAWRENTA                        </t>
  </si>
  <si>
    <t xml:space="preserve">AYEMERE LAWRENTA R0100024989                      </t>
  </si>
  <si>
    <t>ROCHASANCH</t>
  </si>
  <si>
    <t xml:space="preserve">ROCHA SANCHEZ MARLEN                    </t>
  </si>
  <si>
    <t xml:space="preserve">ROCHA SANCHEZ MARLEN R0100024990                  </t>
  </si>
  <si>
    <t xml:space="preserve">ASSOUMANI </t>
  </si>
  <si>
    <t xml:space="preserve">ASSOUMANI AMINA                         </t>
  </si>
  <si>
    <t xml:space="preserve">ASSOUMANI AMINA R0100024991                       </t>
  </si>
  <si>
    <t xml:space="preserve">RACHIDI AMINA R0100024992                         </t>
  </si>
  <si>
    <t xml:space="preserve">KEITA KARIFA HAWA R0200001218                     </t>
  </si>
  <si>
    <t xml:space="preserve">RACHIDI AMINA R0200001219                         </t>
  </si>
  <si>
    <t xml:space="preserve">Cr馘it RACHIDI AMINA R0200001219                  </t>
  </si>
  <si>
    <t>ALSHORBAGY</t>
  </si>
  <si>
    <t xml:space="preserve">ALSHORBAGY AMIRA                        </t>
  </si>
  <si>
    <t xml:space="preserve">ALSHORBAGY AMIRA R0100024993                      </t>
  </si>
  <si>
    <t xml:space="preserve">MAHI DJILLALI R0100024994                         </t>
  </si>
  <si>
    <t xml:space="preserve">Cr馘it MAHI DJILLALI R0100024994                  </t>
  </si>
  <si>
    <t xml:space="preserve">CHATAIN HELENE R0100024995                        </t>
  </si>
  <si>
    <t xml:space="preserve">CM2211/02015   </t>
  </si>
  <si>
    <t xml:space="preserve">CHENAIT GHALIA R0300000944                        </t>
  </si>
  <si>
    <t xml:space="preserve">Cr馘it CHENAIT GHALIA R0300000944                 </t>
  </si>
  <si>
    <t xml:space="preserve">CM2211/02183   </t>
  </si>
  <si>
    <t xml:space="preserve">PRLV ORANGE FIBRE 8642H8                          </t>
  </si>
  <si>
    <t xml:space="preserve">CM2211/02185   </t>
  </si>
  <si>
    <t xml:space="preserve">CM2211/02186   </t>
  </si>
  <si>
    <t xml:space="preserve">CM2211/02187   </t>
  </si>
  <si>
    <t xml:space="preserve">RGLT CHQ TRAMPOLINE PARK                          </t>
  </si>
  <si>
    <t xml:space="preserve">CM2211/02188   </t>
  </si>
  <si>
    <t xml:space="preserve">RGLT CHQ LASER GAME CENTRE EUROPEEN               </t>
  </si>
  <si>
    <t xml:space="preserve">CM2211/02189   </t>
  </si>
  <si>
    <t xml:space="preserve">RGLT CHQ ACTE 2 THEATRE                           </t>
  </si>
  <si>
    <t xml:space="preserve">CM2211/02190   </t>
  </si>
  <si>
    <t xml:space="preserve">CM2211/02191   </t>
  </si>
  <si>
    <t xml:space="preserve">RGLT CHQ CINEMA LE TOBOGGAN                       </t>
  </si>
  <si>
    <t xml:space="preserve">CM2211/02192   </t>
  </si>
  <si>
    <t xml:space="preserve">RGLT CHQ ROYAL KIDS                               </t>
  </si>
  <si>
    <t xml:space="preserve">CM2211/02193   </t>
  </si>
  <si>
    <t xml:space="preserve">RGLT CHQ LE ZOLA CINEMA                           </t>
  </si>
  <si>
    <t xml:space="preserve">CM2211/02194   </t>
  </si>
  <si>
    <t xml:space="preserve">RGLT CHQ TCL AL 3/6                               </t>
  </si>
  <si>
    <t xml:space="preserve">CM2211/02195   </t>
  </si>
  <si>
    <t xml:space="preserve">CM2211/02196   </t>
  </si>
  <si>
    <t xml:space="preserve">RGLT CHQ ARENA PRODUCTION                         </t>
  </si>
  <si>
    <t xml:space="preserve">CM2211/02197   </t>
  </si>
  <si>
    <t xml:space="preserve">RGLT CHQ LE DOMAINE DES FAUVES                    </t>
  </si>
  <si>
    <t xml:space="preserve">CM2211/01964   </t>
  </si>
  <si>
    <t xml:space="preserve">Remise de ch鑷ues nｰ 20221118                     </t>
  </si>
  <si>
    <t xml:space="preserve">CM2211/01965   </t>
  </si>
  <si>
    <t xml:space="preserve">Remise de ch鑷ues nｰ 20221118.2                   </t>
  </si>
  <si>
    <t xml:space="preserve">CM2211/02198   </t>
  </si>
  <si>
    <t xml:space="preserve">CM2211/02199   </t>
  </si>
  <si>
    <t xml:space="preserve">CM2211/02201   </t>
  </si>
  <si>
    <t xml:space="preserve">RGLT CB LA POSTE                                  </t>
  </si>
  <si>
    <t xml:space="preserve">CM2211/02202   </t>
  </si>
  <si>
    <t xml:space="preserve">PRLV ORANGE FIBRE 1682I1                          </t>
  </si>
  <si>
    <t xml:space="preserve">CM2211/02203   </t>
  </si>
  <si>
    <t xml:space="preserve">RGLT CB MARKET                                    </t>
  </si>
  <si>
    <t xml:space="preserve">CM2211/02204   </t>
  </si>
  <si>
    <t xml:space="preserve">RPLV ENGIE                                        </t>
  </si>
  <si>
    <t xml:space="preserve">CM2211/02208   </t>
  </si>
  <si>
    <t xml:space="preserve">RGLT CHQ MUSEE GADAGNE                            </t>
  </si>
  <si>
    <t xml:space="preserve">CM2211/02205   </t>
  </si>
  <si>
    <t xml:space="preserve">PRLV ORANGE 8202I4                                </t>
  </si>
  <si>
    <t xml:space="preserve">CM2211/02014   </t>
  </si>
  <si>
    <t xml:space="preserve">Remise de ch鑷ues nｰ 20221130                     </t>
  </si>
  <si>
    <t xml:space="preserve">CM2211/02206   </t>
  </si>
  <si>
    <t xml:space="preserve">6SALLE    </t>
  </si>
  <si>
    <t xml:space="preserve">BOUGHRARA HANENE                        </t>
  </si>
  <si>
    <t xml:space="preserve">BENALI    </t>
  </si>
  <si>
    <t xml:space="preserve">BEN ALI IMANE                           </t>
  </si>
  <si>
    <t xml:space="preserve">AININE    </t>
  </si>
  <si>
    <t xml:space="preserve">DAHMANI   </t>
  </si>
  <si>
    <t xml:space="preserve">DAHMANI Hajar                           </t>
  </si>
  <si>
    <t xml:space="preserve">DJANISSI  </t>
  </si>
  <si>
    <t xml:space="preserve">DJANISSI Habou                          </t>
  </si>
  <si>
    <t xml:space="preserve">CARREFOUR </t>
  </si>
  <si>
    <t xml:space="preserve">CARREFOUR                               </t>
  </si>
  <si>
    <t>LIREETFAIR</t>
  </si>
  <si>
    <t xml:space="preserve">LIRE ET FAIRE LIRE ASSOCIATION          </t>
  </si>
  <si>
    <t>MUSEEMINIA</t>
  </si>
  <si>
    <t xml:space="preserve">MUSEE MINIATURE ET CINEMA               </t>
  </si>
  <si>
    <t xml:space="preserve">LAGIRAFE  </t>
  </si>
  <si>
    <t xml:space="preserve">LA GIRAFE QUI SE PEIGNE                 </t>
  </si>
  <si>
    <t xml:space="preserve">ALBON     </t>
  </si>
  <si>
    <t xml:space="preserve">ALBON LUCIE                             </t>
  </si>
  <si>
    <t xml:space="preserve">STARLASER </t>
  </si>
  <si>
    <t xml:space="preserve">STAR LASER GAME 3D                      </t>
  </si>
  <si>
    <t>PLAYINPARK</t>
  </si>
  <si>
    <t xml:space="preserve">PLAY IN PARK                            </t>
  </si>
  <si>
    <t xml:space="preserve">GOUCHOU   </t>
  </si>
  <si>
    <t xml:space="preserve">SAS GOUT'CHOU                           </t>
  </si>
  <si>
    <t xml:space="preserve">BFC2212/02382  </t>
  </si>
  <si>
    <t xml:space="preserve">BFC2212/02383  </t>
  </si>
  <si>
    <t xml:space="preserve">BFC2212/02386  </t>
  </si>
  <si>
    <t xml:space="preserve">SERVICES BANCAIRES                                </t>
  </si>
  <si>
    <t xml:space="preserve">BFC2212/02387  </t>
  </si>
  <si>
    <t xml:space="preserve">BFC2212/02388  </t>
  </si>
  <si>
    <t xml:space="preserve">RGLT REGIE CARRON                                 </t>
  </si>
  <si>
    <t xml:space="preserve">BFC2212/02385  </t>
  </si>
  <si>
    <t xml:space="preserve">BFC2212/02389  </t>
  </si>
  <si>
    <t xml:space="preserve">BFC2212/02390  </t>
  </si>
  <si>
    <t xml:space="preserve">BAN2212/02021  </t>
  </si>
  <si>
    <t xml:space="preserve">BFC2212/02391  </t>
  </si>
  <si>
    <t xml:space="preserve">BFC2212/02027  </t>
  </si>
  <si>
    <t xml:space="preserve">BFC2212/02392  </t>
  </si>
  <si>
    <t xml:space="preserve">BFC2212/02051  </t>
  </si>
  <si>
    <t xml:space="preserve">BAN2212/02052  </t>
  </si>
  <si>
    <t xml:space="preserve">BFC2212/02393  </t>
  </si>
  <si>
    <t xml:space="preserve">PRL AESIO MUTUELLE                                </t>
  </si>
  <si>
    <t xml:space="preserve">BFC2212/02394  </t>
  </si>
  <si>
    <t xml:space="preserve">BAN2212/02062  </t>
  </si>
  <si>
    <t xml:space="preserve">BFC2212/02395  </t>
  </si>
  <si>
    <t xml:space="preserve">REGUL TRSPT 12/22                                 </t>
  </si>
  <si>
    <t xml:space="preserve">BFC2212/02396  </t>
  </si>
  <si>
    <t xml:space="preserve">VIRT PERISCOLAIRE PERIODE 1A                      </t>
  </si>
  <si>
    <t xml:space="preserve">BFC2212/02397  </t>
  </si>
  <si>
    <t xml:space="preserve">BFC2212/02398  </t>
  </si>
  <si>
    <t xml:space="preserve">BFC2212/02399  </t>
  </si>
  <si>
    <t xml:space="preserve">BFC2212/02107  </t>
  </si>
  <si>
    <t xml:space="preserve">BAN2212/02108  </t>
  </si>
  <si>
    <t xml:space="preserve">BFC2212/02400  </t>
  </si>
  <si>
    <t xml:space="preserve">BFC2212/02401  </t>
  </si>
  <si>
    <t xml:space="preserve">VIRT CAF CLAS 22/23 1ER ACPT                      </t>
  </si>
  <si>
    <t xml:space="preserve">BAN2212/02110  </t>
  </si>
  <si>
    <t xml:space="preserve">BAN2212/02111  </t>
  </si>
  <si>
    <t xml:space="preserve">PAIE CEE KEBIRECHE                                </t>
  </si>
  <si>
    <t xml:space="preserve">BFC2212/02402  </t>
  </si>
  <si>
    <t xml:space="preserve">BFC2212/02403  </t>
  </si>
  <si>
    <t xml:space="preserve">BFC2212/02404  </t>
  </si>
  <si>
    <t xml:space="preserve">BFC2212/02405  </t>
  </si>
  <si>
    <t xml:space="preserve">RGLT CHQ CENTRE KAPLA                             </t>
  </si>
  <si>
    <t xml:space="preserve">BFC2212/02406  </t>
  </si>
  <si>
    <t xml:space="preserve">BFC2212/02407  </t>
  </si>
  <si>
    <t xml:space="preserve">BFC2212/02408  </t>
  </si>
  <si>
    <t xml:space="preserve">LASER GAME CENTRE EUROPEEN                        </t>
  </si>
  <si>
    <t xml:space="preserve">BFC2212/02409  </t>
  </si>
  <si>
    <t xml:space="preserve">BFC2212/02410  </t>
  </si>
  <si>
    <t xml:space="preserve">BFC2212/02411  </t>
  </si>
  <si>
    <t xml:space="preserve">BFC2212/02509  </t>
  </si>
  <si>
    <t xml:space="preserve">ANNUL CHQ 5904358 DU 15/01/2019                   </t>
  </si>
  <si>
    <t xml:space="preserve">BFC2212/02510  </t>
  </si>
  <si>
    <t xml:space="preserve">ANNUL CHQ 5904426 DU 11/07/2019                   </t>
  </si>
  <si>
    <t xml:space="preserve">BFC2212/02511  </t>
  </si>
  <si>
    <t xml:space="preserve">ANNUL CHQ 5904473 DU 17/05/2021                   </t>
  </si>
  <si>
    <t xml:space="preserve">THABET MOUNIRA R0100024996                        </t>
  </si>
  <si>
    <t xml:space="preserve">FOURNIER ANNE R0100024997                         </t>
  </si>
  <si>
    <t xml:space="preserve">CAI2212/02016  </t>
  </si>
  <si>
    <t xml:space="preserve">KISUNGU ANTONIO R0100025002                       </t>
  </si>
  <si>
    <t>RUKHSHANDA</t>
  </si>
  <si>
    <t xml:space="preserve">RUKHSHANDA MUNIR                        </t>
  </si>
  <si>
    <t xml:space="preserve">RUKHSHANDA MUNIR R0100025003                      </t>
  </si>
  <si>
    <t xml:space="preserve">BAUTISTA DANIELA R0100025004                      </t>
  </si>
  <si>
    <t xml:space="preserve">Cr馘it BAUTISTA DANIELA R0100025004               </t>
  </si>
  <si>
    <t xml:space="preserve">CAI2212/02017  </t>
  </si>
  <si>
    <t xml:space="preserve">RACHIDI AMINA R0100025008                         </t>
  </si>
  <si>
    <t xml:space="preserve">KOUASSEU MOUNGANG  R0300000947                    </t>
  </si>
  <si>
    <t xml:space="preserve">Cr馘it KOUASSEU MOUNGANG  R0300000947             </t>
  </si>
  <si>
    <t xml:space="preserve">DIABY HASSAN R0300000949                          </t>
  </si>
  <si>
    <t xml:space="preserve">LOWE ANNE YOLANDE R0100025010                     </t>
  </si>
  <si>
    <t xml:space="preserve">CAI2212/02018  </t>
  </si>
  <si>
    <t xml:space="preserve">ABERKANE ASSIA AVANCE DE CAISSE                   </t>
  </si>
  <si>
    <t xml:space="preserve">CAI2212/02019  </t>
  </si>
  <si>
    <t xml:space="preserve">BOUVIER LUCILE REMBOURSEMENT ACHAT FAOUZIA        </t>
  </si>
  <si>
    <t xml:space="preserve">GUERIN CHRISTELLE R0100025016                     </t>
  </si>
  <si>
    <t xml:space="preserve">DIAS GONCALVES DO CANTO YARA R0100025017          </t>
  </si>
  <si>
    <t xml:space="preserve">CAI2212/02022  </t>
  </si>
  <si>
    <t xml:space="preserve">LUDIVINE NOTIN AVANCE DE CAISSE GRIBOUILLE        </t>
  </si>
  <si>
    <t xml:space="preserve">CAI2212/02023  </t>
  </si>
  <si>
    <t xml:space="preserve">ABERKANE ASSIA REMBOURSEMENT ACHATS THEATRE       </t>
  </si>
  <si>
    <t xml:space="preserve">BROUZIYNE LOUBNA R0100025019                      </t>
  </si>
  <si>
    <t xml:space="preserve">MARZOUQ STEPHANIE R0100025020                     </t>
  </si>
  <si>
    <t xml:space="preserve">DAHMANI Hajar R0200001222                         </t>
  </si>
  <si>
    <t xml:space="preserve">CAI2212/02031  </t>
  </si>
  <si>
    <t xml:space="preserve">LUDIVINE NOTIN RETOUR AVANCE DE CAISSE            </t>
  </si>
  <si>
    <t xml:space="preserve">CAI2212/02053  </t>
  </si>
  <si>
    <t xml:space="preserve">HACHANI YAMINA ACHAT REUNION PARENTS              </t>
  </si>
  <si>
    <t xml:space="preserve">MARQUES SIMONE R0100025021                        </t>
  </si>
  <si>
    <t xml:space="preserve">VILLARD JOELLE R0100025022                        </t>
  </si>
  <si>
    <t xml:space="preserve">TEMPESTA GINA R0100025023                         </t>
  </si>
  <si>
    <t xml:space="preserve">VINCENT ADELINE R0100025024                       </t>
  </si>
  <si>
    <t xml:space="preserve">AMEZRAR FERROUDJA R0100025025                     </t>
  </si>
  <si>
    <t xml:space="preserve">REZGUI KARIM R0100025028                          </t>
  </si>
  <si>
    <t xml:space="preserve">REZGUI KARIM R0100025029                          </t>
  </si>
  <si>
    <t xml:space="preserve">Cr馘it REZGUI KARIM R0100025029                   </t>
  </si>
  <si>
    <t xml:space="preserve">Ann ALSHORBAGY AMIRA R0100024993                  </t>
  </si>
  <si>
    <t xml:space="preserve">MAJERI Izac R0200001224                           </t>
  </si>
  <si>
    <t xml:space="preserve">CAI2212/02058  </t>
  </si>
  <si>
    <t xml:space="preserve">FLAMIER ALINE remboursement cles gribouille       </t>
  </si>
  <si>
    <t xml:space="preserve">HOCINE MEDJAHED R0300000954                       </t>
  </si>
  <si>
    <t xml:space="preserve">BAKAMBO PERNELLE R0300000955                      </t>
  </si>
  <si>
    <t xml:space="preserve">Cr馘it BAKAMBO PERNELLE R0300000955               </t>
  </si>
  <si>
    <t xml:space="preserve">BEN AHMED NADIA R0300000956                       </t>
  </si>
  <si>
    <t xml:space="preserve">CAMARA IBRAHIMA SORY R0300000957                  </t>
  </si>
  <si>
    <t xml:space="preserve">TRAORE MARIAM R0300000958                         </t>
  </si>
  <si>
    <t xml:space="preserve">Cr馘it TRAORE MARIAM R0300000958                  </t>
  </si>
  <si>
    <t xml:space="preserve">AKAKBA LARBI R0300000959                          </t>
  </si>
  <si>
    <t xml:space="preserve">Cr馘it AKAKBA LARBI R0300000959                   </t>
  </si>
  <si>
    <t xml:space="preserve">AZEIZ  R0300000960                                </t>
  </si>
  <si>
    <t xml:space="preserve">Cr馘it AZEIZ  R0300000960                         </t>
  </si>
  <si>
    <t xml:space="preserve">PRALUS ANGELIQUE R0100025032                      </t>
  </si>
  <si>
    <t xml:space="preserve">CAI2212/02061  </t>
  </si>
  <si>
    <t xml:space="preserve">FLAMIER ALINE remboursement achat gribouille      </t>
  </si>
  <si>
    <t xml:space="preserve">REBBOUCHE ABDELGHANI R0100025034                  </t>
  </si>
  <si>
    <t xml:space="preserve">Cr馘it REBBOUCHE ABDELGHANI R0100025034           </t>
  </si>
  <si>
    <t xml:space="preserve">THABET MOUNIRA R0100025036                        </t>
  </si>
  <si>
    <t xml:space="preserve">CAI2212/02065  </t>
  </si>
  <si>
    <t xml:space="preserve">ABERKANE ASSIA avance de caisse decathlon         </t>
  </si>
  <si>
    <t xml:space="preserve">CAI2212/02066  </t>
  </si>
  <si>
    <t xml:space="preserve">AUDEBEAU AURELIA avance de caisse marche de noel  </t>
  </si>
  <si>
    <t>YOUSSEFABD</t>
  </si>
  <si>
    <t xml:space="preserve">YOUSSEF ABDOULJABAR SOUMAYA             </t>
  </si>
  <si>
    <t xml:space="preserve">YOUSSEF ABDOULJABAR SOUMAYA R0100025038           </t>
  </si>
  <si>
    <t xml:space="preserve">COTTIER ELEONORE R0100025039                      </t>
  </si>
  <si>
    <t xml:space="preserve">CAI2212/02067  </t>
  </si>
  <si>
    <t>FRANCINE CRETTE avance de caisse sortie fin dannee</t>
  </si>
  <si>
    <t xml:space="preserve">CAI2212/02068  </t>
  </si>
  <si>
    <t xml:space="preserve">AUDEBEAU AURELIA retour avance de caisse sortie   </t>
  </si>
  <si>
    <t xml:space="preserve">SLUCAS    </t>
  </si>
  <si>
    <t xml:space="preserve">LUCAS EVELYNE                           </t>
  </si>
  <si>
    <t xml:space="preserve">CAI2212/02069  </t>
  </si>
  <si>
    <t xml:space="preserve">LUCAS EVELYNE REMBOURSEMENT METRO                 </t>
  </si>
  <si>
    <t xml:space="preserve">BENMAZOUZ CHELHA R0100025040                      </t>
  </si>
  <si>
    <t xml:space="preserve">ZEKRI SABRI R0100025041                           </t>
  </si>
  <si>
    <t xml:space="preserve">BOUKHANOUFA MOUNIR R0100025042                    </t>
  </si>
  <si>
    <t xml:space="preserve">BOUDISSA HAMZA R0100025043                        </t>
  </si>
  <si>
    <t xml:space="preserve">ABDELLI HALIMA R0100025044                        </t>
  </si>
  <si>
    <t xml:space="preserve">ADOUNI MOHAMED R0100025046                        </t>
  </si>
  <si>
    <t xml:space="preserve">KWEDI Gael R0200001233                            </t>
  </si>
  <si>
    <t xml:space="preserve">KHICHANE HOCINE R0300000961                       </t>
  </si>
  <si>
    <t xml:space="preserve">Cr馘it KHICHANE HOCINE R0300000961                </t>
  </si>
  <si>
    <t xml:space="preserve">OSARETIN Augustin R0300000962                     </t>
  </si>
  <si>
    <t xml:space="preserve">Cr馘it OSARETIN Augustin R0300000962              </t>
  </si>
  <si>
    <t xml:space="preserve">KINANVUIDI DJIMY R0300000963                      </t>
  </si>
  <si>
    <t xml:space="preserve">LOUDI HANAN R0300000964                           </t>
  </si>
  <si>
    <t xml:space="preserve">Cr馘it LOUDI HANAN R0300000964                    </t>
  </si>
  <si>
    <t xml:space="preserve">AMEUR  R0300000965                                </t>
  </si>
  <si>
    <t xml:space="preserve">CAI2212/02097  </t>
  </si>
  <si>
    <t xml:space="preserve">HADDED CAMILIA AVANCE DE CAISSE                   </t>
  </si>
  <si>
    <t xml:space="preserve">CAI2212/02070  </t>
  </si>
  <si>
    <t xml:space="preserve">HADDED CAMILIA retour avance de caisse            </t>
  </si>
  <si>
    <t xml:space="preserve">CAI2212/02071  </t>
  </si>
  <si>
    <t xml:space="preserve">AUDEBEAU AURELIA AVANCE DE CAISSE REPAS PARTAGE   </t>
  </si>
  <si>
    <t xml:space="preserve">CAI2212/02072  </t>
  </si>
  <si>
    <t xml:space="preserve">KAMBI SITTI AVANCE DE CAISSE BUREAU VALLEY        </t>
  </si>
  <si>
    <t xml:space="preserve">CAI2212/02073  </t>
  </si>
  <si>
    <t xml:space="preserve">AUDEBEAU AURELIA retour avance de caisse repas    </t>
  </si>
  <si>
    <t xml:space="preserve">MARQUES SIMONE R0100025050                        </t>
  </si>
  <si>
    <t xml:space="preserve">PALEKHA OLGA R0100025051                          </t>
  </si>
  <si>
    <t xml:space="preserve">KHALFA SIMARD LOIS R0100025052                    </t>
  </si>
  <si>
    <t xml:space="preserve">KHALFA SIMARD LOIS R0100025053                    </t>
  </si>
  <si>
    <t xml:space="preserve">Cr馘it KHALFA SIMARD LOIS R0100025053             </t>
  </si>
  <si>
    <t xml:space="preserve">KHALFA SIMARD LOIS R0200001234                    </t>
  </si>
  <si>
    <t xml:space="preserve">Cr馘it KHALFA SIMARD LOIS R0200001234             </t>
  </si>
  <si>
    <t xml:space="preserve">KOUICI STEVE R0200001235                          </t>
  </si>
  <si>
    <t xml:space="preserve">COLLOMB Geoffrey R0200001238                      </t>
  </si>
  <si>
    <t xml:space="preserve">BELKFIF MESSAOUDA R0100025057                     </t>
  </si>
  <si>
    <t xml:space="preserve">LOUNISFAT </t>
  </si>
  <si>
    <t xml:space="preserve">LOUNIS FATIHA                           </t>
  </si>
  <si>
    <t xml:space="preserve">LOUNIS FATIHA R0100025059                         </t>
  </si>
  <si>
    <t xml:space="preserve">BOUKHANOUFA MOUNIR R0100025060                    </t>
  </si>
  <si>
    <t xml:space="preserve">BOUDISSA HAMZA R0100025061                        </t>
  </si>
  <si>
    <t xml:space="preserve">EL HADDAD ABDELNASSER R0100025062                 </t>
  </si>
  <si>
    <t xml:space="preserve">BENRHOUMA RHOUMA R0100025063                      </t>
  </si>
  <si>
    <t xml:space="preserve">Cr馘it BENRHOUMA RHOUMA R0100025063               </t>
  </si>
  <si>
    <t xml:space="preserve">MAYOL Johann R0200001239                          </t>
  </si>
  <si>
    <t xml:space="preserve">Cr馘it MAYOL Johann R0200001239                   </t>
  </si>
  <si>
    <t xml:space="preserve">CAI2212/02093  </t>
  </si>
  <si>
    <t xml:space="preserve">HACHANI YAMINA remboursement achat plastifieuse   </t>
  </si>
  <si>
    <t xml:space="preserve">CM2212/02109   </t>
  </si>
  <si>
    <t xml:space="preserve">BOUGHRARA HANANE R0100025067                      </t>
  </si>
  <si>
    <t xml:space="preserve">BOUGHRARA HANANE R0100025068                      </t>
  </si>
  <si>
    <t xml:space="preserve">PLASSE MARIE ELISABETH R0100025069                </t>
  </si>
  <si>
    <t xml:space="preserve">BOUGHRARA HANANE R0100025071                      </t>
  </si>
  <si>
    <t xml:space="preserve">DIALLO CAMARA IBRAHIMA R0100025072                </t>
  </si>
  <si>
    <t xml:space="preserve">ERDEM NURTEN R0100025073                          </t>
  </si>
  <si>
    <t xml:space="preserve">ERDEM ISMAIL R0100025074                          </t>
  </si>
  <si>
    <t xml:space="preserve">MALEK FATIMA R0100025075                          </t>
  </si>
  <si>
    <t xml:space="preserve">IVANENKO TATIANA R0100025076                      </t>
  </si>
  <si>
    <t xml:space="preserve">SUDNIK SVIATLANA R0100025077                      </t>
  </si>
  <si>
    <t xml:space="preserve">BENMAZOUZ CHELHA R0100025078                      </t>
  </si>
  <si>
    <t xml:space="preserve">EL HADDAD ABDELNASSER R0100025079                 </t>
  </si>
  <si>
    <t xml:space="preserve">BOUDISSA HAMZA R0100025080                        </t>
  </si>
  <si>
    <t xml:space="preserve">ZEKRI SABRI R0100025081                           </t>
  </si>
  <si>
    <t xml:space="preserve">ZEKRI SABRI R0100025082                           </t>
  </si>
  <si>
    <t xml:space="preserve">ABDELLI HALIMA R0100025083                        </t>
  </si>
  <si>
    <t xml:space="preserve">SIOUDA CHAHRAZAD R0100025084                      </t>
  </si>
  <si>
    <t xml:space="preserve">CHIBOUT SABAH R0100025085                         </t>
  </si>
  <si>
    <t xml:space="preserve">ZEKRI SABRI R0100025086                           </t>
  </si>
  <si>
    <t xml:space="preserve">BOUDISSA HAMZA R0100025087                        </t>
  </si>
  <si>
    <t xml:space="preserve">EL HADDAD ABDELNASSER R0100025088                 </t>
  </si>
  <si>
    <t xml:space="preserve">MOHAMED BEN KADA KARIM R0100025089                </t>
  </si>
  <si>
    <t xml:space="preserve">JOUINI MONIA R0100025090                          </t>
  </si>
  <si>
    <t xml:space="preserve">BENRHOUMA RHOUMA R0100025091                      </t>
  </si>
  <si>
    <t xml:space="preserve">LOUATI ALI R0100025092                            </t>
  </si>
  <si>
    <t xml:space="preserve">CM2212/02211   </t>
  </si>
  <si>
    <t xml:space="preserve">RGLT CB CASINO NDF                                </t>
  </si>
  <si>
    <t xml:space="preserve">CM2212/02212   </t>
  </si>
  <si>
    <t xml:space="preserve">NDF CRETTE CB CARREFOUR / POT DEPART              </t>
  </si>
  <si>
    <t xml:space="preserve">CM2212/02213   </t>
  </si>
  <si>
    <t xml:space="preserve">PRLV ORANGE 79932118                              </t>
  </si>
  <si>
    <t xml:space="preserve">CM2212/02216   </t>
  </si>
  <si>
    <t xml:space="preserve">PRLV ORANGE FIBRE 8642I6                          </t>
  </si>
  <si>
    <t xml:space="preserve">CM2212/02217   </t>
  </si>
  <si>
    <t xml:space="preserve">NDF CRETTE / POT DE DEPART CB GRAND FRAIS         </t>
  </si>
  <si>
    <t xml:space="preserve">CM2212/02218   </t>
  </si>
  <si>
    <t xml:space="preserve">RGLT CB METRO                                     </t>
  </si>
  <si>
    <t xml:space="preserve">CM2212/02219   </t>
  </si>
  <si>
    <t xml:space="preserve">CM2212/02214   </t>
  </si>
  <si>
    <t xml:space="preserve">PRLV ORANGE 79932059                              </t>
  </si>
  <si>
    <t xml:space="preserve">CM2212/02215   </t>
  </si>
  <si>
    <t xml:space="preserve">PRLV ORANGE FIXE 4022I6                           </t>
  </si>
  <si>
    <t xml:space="preserve">CM2212/02220   </t>
  </si>
  <si>
    <t xml:space="preserve">RGLT CHQ LIRE ET FAIRE LIRE ASSOCIATION           </t>
  </si>
  <si>
    <t xml:space="preserve">CM2212/02221   </t>
  </si>
  <si>
    <t xml:space="preserve">Ch鑷ue impay・- HAMRANI DALILA R0100024580        </t>
  </si>
  <si>
    <t>Ch鑷ue impay・- Remise de ch鑷ues 20221118 - HAMRA</t>
  </si>
  <si>
    <t xml:space="preserve">CM2212/02222   </t>
  </si>
  <si>
    <t xml:space="preserve">RGLT CB CARREFOUR                                 </t>
  </si>
  <si>
    <t xml:space="preserve">CM2212/02223   </t>
  </si>
  <si>
    <t xml:space="preserve">RGLT CHQ LEO LAGRANGE                             </t>
  </si>
  <si>
    <t xml:space="preserve">CM2212/02224   </t>
  </si>
  <si>
    <t xml:space="preserve">CM2212/02055   </t>
  </si>
  <si>
    <t xml:space="preserve">Remise de ch鑷ues nｰ 20221213                     </t>
  </si>
  <si>
    <t xml:space="preserve">CM2212/02057   </t>
  </si>
  <si>
    <t xml:space="preserve">Remise de ch鑷ues nｰ 20221213.2                   </t>
  </si>
  <si>
    <t xml:space="preserve">CM2212/02225   </t>
  </si>
  <si>
    <t xml:space="preserve">RGLT CHQ  EXALTO                                  </t>
  </si>
  <si>
    <t xml:space="preserve">CM2212/02226   </t>
  </si>
  <si>
    <t xml:space="preserve">RGLT CHQ EXALTO                                   </t>
  </si>
  <si>
    <t xml:space="preserve">CM2212/02060   </t>
  </si>
  <si>
    <t xml:space="preserve">Remise de ch鑷ues nｰ 20221214                     </t>
  </si>
  <si>
    <t xml:space="preserve">CM2212/02227   </t>
  </si>
  <si>
    <t xml:space="preserve">PRLV ORANGE FIBRE                                 </t>
  </si>
  <si>
    <t xml:space="preserve">CM2212/02228   </t>
  </si>
  <si>
    <t xml:space="preserve">RGLT CHQ MON SAPIN A DOMIOCILE.COM                </t>
  </si>
  <si>
    <t xml:space="preserve">CM2212/02229   </t>
  </si>
  <si>
    <t xml:space="preserve">CM2212/02230   </t>
  </si>
  <si>
    <t xml:space="preserve">CM2212/02094   </t>
  </si>
  <si>
    <t xml:space="preserve">Remise de ch鑷ues nｰ 20221221                     </t>
  </si>
  <si>
    <t xml:space="preserve">CM2212/02095   </t>
  </si>
  <si>
    <t xml:space="preserve">Remise de ch鑷ues nｰ 20221221.2                   </t>
  </si>
  <si>
    <t xml:space="preserve">CM2212/02231   </t>
  </si>
  <si>
    <t xml:space="preserve">CM2212/02232   </t>
  </si>
  <si>
    <t xml:space="preserve">RGLT CHQ MUSEE MINIATURE ET CINEMA                </t>
  </si>
  <si>
    <t xml:space="preserve">CM2212/02233   </t>
  </si>
  <si>
    <t xml:space="preserve">RGLT CHQ URBAN SOCCER                             </t>
  </si>
  <si>
    <t xml:space="preserve">CM2212/02234   </t>
  </si>
  <si>
    <t xml:space="preserve">CM2212/02235   </t>
  </si>
  <si>
    <t xml:space="preserve">RGLT CHQ PLAY IN PARK AL 6/11                     </t>
  </si>
  <si>
    <t xml:space="preserve">CM2212/02512   </t>
  </si>
  <si>
    <t xml:space="preserve">ANNUL CHQ 5332201 DU 30/11/2019                   </t>
  </si>
  <si>
    <t xml:space="preserve">CM2212/02529   </t>
  </si>
  <si>
    <t xml:space="preserve">CHQ STAR LASER GAME 3D                            </t>
  </si>
  <si>
    <t xml:space="preserve">JACOULET  </t>
  </si>
  <si>
    <t xml:space="preserve">JACOULET PASCALE                        </t>
  </si>
  <si>
    <t xml:space="preserve">NTUMBA    </t>
  </si>
  <si>
    <t xml:space="preserve">MSA PS EAJE+AL                          </t>
  </si>
  <si>
    <t>Entrée</t>
  </si>
  <si>
    <t>Sortie</t>
  </si>
  <si>
    <t>Solde de Trésorerie (CC+CM+Caisse) :</t>
  </si>
  <si>
    <t>SOUS TOTAL</t>
  </si>
  <si>
    <t>TOTAL</t>
  </si>
  <si>
    <t xml:space="preserve">DISSEDERE </t>
  </si>
  <si>
    <t xml:space="preserve">DISSEDERE                               </t>
  </si>
  <si>
    <t xml:space="preserve">HYSEQUA   </t>
  </si>
  <si>
    <t xml:space="preserve">HYSEQUA                                 </t>
  </si>
  <si>
    <t xml:space="preserve">BAN  </t>
  </si>
  <si>
    <t xml:space="preserve">CREDIT LYONNAIS                         </t>
  </si>
  <si>
    <t xml:space="preserve">Rbt ANDRE ANISSIA R0100025213                     </t>
  </si>
  <si>
    <t xml:space="preserve">BFC2301/00346  </t>
  </si>
  <si>
    <t xml:space="preserve">BAN2301/00009  </t>
  </si>
  <si>
    <t xml:space="preserve">Virement direct Ó des tiers                       </t>
  </si>
  <si>
    <t xml:space="preserve">BFC2301/00010  </t>
  </si>
  <si>
    <t xml:space="preserve">Virement Ó un tiers                               </t>
  </si>
  <si>
    <t xml:space="preserve">DOUBLE PAIEMENT SUR DECEMBRE                      </t>
  </si>
  <si>
    <t xml:space="preserve">BAN2301/00015  </t>
  </si>
  <si>
    <t xml:space="preserve">BFC2301/00016  </t>
  </si>
  <si>
    <t xml:space="preserve">BFC2301/00017  </t>
  </si>
  <si>
    <t xml:space="preserve">BFC2301/00047  </t>
  </si>
  <si>
    <t xml:space="preserve">BAN2301/00049  </t>
  </si>
  <si>
    <t xml:space="preserve">BCE2301/00062  </t>
  </si>
  <si>
    <t xml:space="preserve">SALAIRE GALVEZ MAIA                               </t>
  </si>
  <si>
    <t xml:space="preserve">BFC2301/00068  </t>
  </si>
  <si>
    <t xml:space="preserve">REGLT SAISIE/SALAIRE KANNIAH TRESOR PUBLIC        </t>
  </si>
  <si>
    <t xml:space="preserve">BFC2301/00081  </t>
  </si>
  <si>
    <t xml:space="preserve">BAN2301/00082  </t>
  </si>
  <si>
    <t xml:space="preserve">BFC2301/00083  </t>
  </si>
  <si>
    <t xml:space="preserve">BFC2301/00317  </t>
  </si>
  <si>
    <t xml:space="preserve">BFC2301/00321  </t>
  </si>
  <si>
    <t xml:space="preserve">BFC2301/00328  </t>
  </si>
  <si>
    <t xml:space="preserve">BFC2301/00329  </t>
  </si>
  <si>
    <t xml:space="preserve">BFC2301/00330  </t>
  </si>
  <si>
    <t xml:space="preserve">BFC2301/00331  </t>
  </si>
  <si>
    <t xml:space="preserve">BFC2301/00332  </t>
  </si>
  <si>
    <t xml:space="preserve">CHQ TCL AL 3/6                                    </t>
  </si>
  <si>
    <t xml:space="preserve">BFC2301/00333  </t>
  </si>
  <si>
    <t xml:space="preserve">BFC2301/00334  </t>
  </si>
  <si>
    <t xml:space="preserve">BFC2301/00335  </t>
  </si>
  <si>
    <t xml:space="preserve">BFC2301/00336  </t>
  </si>
  <si>
    <t xml:space="preserve">BFC2301/00337  </t>
  </si>
  <si>
    <t xml:space="preserve">BFC2301/00338  </t>
  </si>
  <si>
    <t xml:space="preserve">VIRT ASP REMB. TROP PERCU                         </t>
  </si>
  <si>
    <t xml:space="preserve">BFC2301/00339  </t>
  </si>
  <si>
    <t xml:space="preserve">VIRT VILLE PERISCO PERIODE 1B                     </t>
  </si>
  <si>
    <t xml:space="preserve">BFC2301/00340  </t>
  </si>
  <si>
    <t xml:space="preserve">PRLV MUTEX                                        </t>
  </si>
  <si>
    <t xml:space="preserve">BFC2301/00341  </t>
  </si>
  <si>
    <t xml:space="preserve">ATTENTE COMPTABLE                       </t>
  </si>
  <si>
    <t xml:space="preserve">BFC2301/00342  </t>
  </si>
  <si>
    <t xml:space="preserve">VIRT SEPA GROUPE JPL REMB.ELEVES                  </t>
  </si>
  <si>
    <t xml:space="preserve">BFC2301/00343  </t>
  </si>
  <si>
    <t xml:space="preserve">BFC2301/00344  </t>
  </si>
  <si>
    <t xml:space="preserve">BFC2301/00345  </t>
  </si>
  <si>
    <t xml:space="preserve">REGIE LYON REGIE  R0100025224                     </t>
  </si>
  <si>
    <t xml:space="preserve">BFC2301/00348  </t>
  </si>
  <si>
    <t xml:space="preserve">BFC2301/00349  </t>
  </si>
  <si>
    <t xml:space="preserve">CHQ LITIGE BERTIN                                 </t>
  </si>
  <si>
    <t xml:space="preserve">BENRHOUMA RHOUMA R0100025093                      </t>
  </si>
  <si>
    <t xml:space="preserve">IKHLEF SABAH R0100025094                          </t>
  </si>
  <si>
    <t xml:space="preserve">MOHAMED BEN KADA KARIM R0100025095                </t>
  </si>
  <si>
    <t xml:space="preserve">BOURAS FAROUK R0100025096                         </t>
  </si>
  <si>
    <t xml:space="preserve">BOUDISSA HAMZA R0100025097                        </t>
  </si>
  <si>
    <t xml:space="preserve">BOUDISSA HAMZA R0100025098                        </t>
  </si>
  <si>
    <t xml:space="preserve">CHIBOUT SABAH R0100025099                         </t>
  </si>
  <si>
    <t xml:space="preserve">BOUKHANOUFA MOUNIR R0100025100                    </t>
  </si>
  <si>
    <t xml:space="preserve">BENMAZOUZ CHELHA R0100025101                      </t>
  </si>
  <si>
    <t xml:space="preserve">ZEKRI SABRI R0100025102                           </t>
  </si>
  <si>
    <t xml:space="preserve">EL HADDAD ABDELNASSER R0100025103                 </t>
  </si>
  <si>
    <t xml:space="preserve">ZEKRI SABRI R0100025104                           </t>
  </si>
  <si>
    <t xml:space="preserve">ABDELLI HALIMA R0100025105                        </t>
  </si>
  <si>
    <t xml:space="preserve">IKHLEF SABAH R0100025106                          </t>
  </si>
  <si>
    <t xml:space="preserve">BUENAVENTURA CAROLINA R0100025107                 </t>
  </si>
  <si>
    <t xml:space="preserve">ASLAN     </t>
  </si>
  <si>
    <t xml:space="preserve">ASLAN NASAN                             </t>
  </si>
  <si>
    <t xml:space="preserve">ASLAN NASAN R0100025108                           </t>
  </si>
  <si>
    <t xml:space="preserve">SAMUEL Uyigue R0200001242                         </t>
  </si>
  <si>
    <t xml:space="preserve">RACHIDI AMINA R0200001243                         </t>
  </si>
  <si>
    <t xml:space="preserve">DJANISSI Habou R0200001244                        </t>
  </si>
  <si>
    <t xml:space="preserve">SAHLI Perrine R0200001245                         </t>
  </si>
  <si>
    <t xml:space="preserve">CrÚdit SAHLI Perrine R0200001245                  </t>
  </si>
  <si>
    <t xml:space="preserve">CAI2301/00002  </t>
  </si>
  <si>
    <t xml:space="preserve">SIOUDA CHAHRAZAD achat fete parents               </t>
  </si>
  <si>
    <t xml:space="preserve">CAI2301/00003  </t>
  </si>
  <si>
    <t xml:space="preserve">HACHANI YAMINA remboursement petit dejeuner       </t>
  </si>
  <si>
    <t xml:space="preserve">CAI2301/00004  </t>
  </si>
  <si>
    <t xml:space="preserve">BOUVIER LUCILE remboursement achat plastifieuse   </t>
  </si>
  <si>
    <t xml:space="preserve">SANVISEN QUENTIN R0100025109                      </t>
  </si>
  <si>
    <t>BENMOHAME1</t>
  </si>
  <si>
    <t xml:space="preserve">BENMOHAMED NADIA                        </t>
  </si>
  <si>
    <t xml:space="preserve">BENMOHAMED NADIA R0100025112                      </t>
  </si>
  <si>
    <t xml:space="preserve">DAHMANI Hajar R0200001249                         </t>
  </si>
  <si>
    <t xml:space="preserve">CAI2301/00005  </t>
  </si>
  <si>
    <t xml:space="preserve">SIOUDA CHAHRAZAD remboursement achat gribouille   </t>
  </si>
  <si>
    <t xml:space="preserve">SLARCHER  </t>
  </si>
  <si>
    <t xml:space="preserve">CHRISTOPHE LARCHER                      </t>
  </si>
  <si>
    <t xml:space="preserve">CAI2301/00011  </t>
  </si>
  <si>
    <t xml:space="preserve">CHRISTOPHE LARCHER AVANCE DE CAISSE GRIBOUILLE    </t>
  </si>
  <si>
    <t xml:space="preserve">EZZEDDINE MOHAMED R0100025113                     </t>
  </si>
  <si>
    <t xml:space="preserve">RACHIDI AMINA R0100025114                         </t>
  </si>
  <si>
    <t xml:space="preserve">BAUTISTA DANIELA R0100025117                      </t>
  </si>
  <si>
    <t xml:space="preserve">CrÚdit BAUTISTA DANIELA R0100025117               </t>
  </si>
  <si>
    <t xml:space="preserve">RACHIDI AMINA R0200001250                         </t>
  </si>
  <si>
    <t xml:space="preserve">KEITA KARIFA HAWA R0200001251                     </t>
  </si>
  <si>
    <t xml:space="preserve">KEITA KARIFA HAWA R0200001252                     </t>
  </si>
  <si>
    <t xml:space="preserve">ABDELKADER SAMIR R0300000967                      </t>
  </si>
  <si>
    <t xml:space="preserve">CrÚdit ABDELKADER SAMIR R0300000967               </t>
  </si>
  <si>
    <t xml:space="preserve">CAMARA IBRAHIMA SORY R0300000968                  </t>
  </si>
  <si>
    <t xml:space="preserve">CrÚdit CAMARA IBRAHIMA SORY R0300000968           </t>
  </si>
  <si>
    <t xml:space="preserve">BASKARIAN </t>
  </si>
  <si>
    <t xml:space="preserve">BASKARIAN VELLUPPULAI                   </t>
  </si>
  <si>
    <t xml:space="preserve">BASKARIAN VELLUPPULAI R0100025118                 </t>
  </si>
  <si>
    <t xml:space="preserve">BERTON MADELEINE R0100025119                      </t>
  </si>
  <si>
    <t xml:space="preserve">AMEZRAR FERROUDJA R0100025120                     </t>
  </si>
  <si>
    <t xml:space="preserve">GIRAUD YVETTE R0100025121                         </t>
  </si>
  <si>
    <t xml:space="preserve">VILLARD JOELLE R0100025122                        </t>
  </si>
  <si>
    <t xml:space="preserve">TEMPESTA GINA R0100025123                         </t>
  </si>
  <si>
    <t xml:space="preserve">NIER      </t>
  </si>
  <si>
    <t xml:space="preserve">NIER MICHEL                             </t>
  </si>
  <si>
    <t xml:space="preserve">NIER MICHEL R0100025127                           </t>
  </si>
  <si>
    <t xml:space="preserve">GUESMI    </t>
  </si>
  <si>
    <t xml:space="preserve">GUESMI MOHAMED                          </t>
  </si>
  <si>
    <t xml:space="preserve">GUESMI MOHAMED R0100025129                        </t>
  </si>
  <si>
    <t xml:space="preserve">AKHLAQI   </t>
  </si>
  <si>
    <t xml:space="preserve">AKHLAQI QURBANALI                       </t>
  </si>
  <si>
    <t xml:space="preserve">AKHLAQI QURBANALI R0100025130                     </t>
  </si>
  <si>
    <t xml:space="preserve">AKAKBA LARBI R0300000971                          </t>
  </si>
  <si>
    <t xml:space="preserve">CrÚdit AKAKBA LARBI R0300000971                   </t>
  </si>
  <si>
    <t xml:space="preserve">BEN AHMED NADIA R0300000973                       </t>
  </si>
  <si>
    <t xml:space="preserve">CrÚdit BEN AHMED NADIA R0300000973                </t>
  </si>
  <si>
    <t xml:space="preserve">AZEIZ  R0300000974                                </t>
  </si>
  <si>
    <t xml:space="preserve">BELKFIF MESSAOUDA R0100025131                     </t>
  </si>
  <si>
    <t xml:space="preserve">CM2301/00013   </t>
  </si>
  <si>
    <t xml:space="preserve">CAI2301/00014  </t>
  </si>
  <si>
    <t xml:space="preserve">BOUVIER LUCILE achat alimentaire bab              </t>
  </si>
  <si>
    <t xml:space="preserve">SANVISEN QUENTIN R0100025133                      </t>
  </si>
  <si>
    <t xml:space="preserve">CrÚdit SANVISEN QUENTIN R0100025133               </t>
  </si>
  <si>
    <t xml:space="preserve">MIDASSI   </t>
  </si>
  <si>
    <t xml:space="preserve">MIDASSI MARINA                          </t>
  </si>
  <si>
    <t xml:space="preserve">MIDASSI MARINA R0100025134                        </t>
  </si>
  <si>
    <t xml:space="preserve">REBBOUCHE ABDELGHANI R0100025135                  </t>
  </si>
  <si>
    <t xml:space="preserve">MAJERI Izac R0200001258                           </t>
  </si>
  <si>
    <t xml:space="preserve">MAYOL Johann R0200001260                          </t>
  </si>
  <si>
    <t xml:space="preserve">CAI2301/00024  </t>
  </si>
  <si>
    <t xml:space="preserve">CHRISTOPHE LARCHER                                </t>
  </si>
  <si>
    <t xml:space="preserve">A¤NINE Mohamed                          </t>
  </si>
  <si>
    <t xml:space="preserve">A¤NINE Mohamed R0200001261                        </t>
  </si>
  <si>
    <t xml:space="preserve">CAI2201/02164  </t>
  </si>
  <si>
    <t xml:space="preserve">RETRAIT ESPECE ACTIVATION CB                      </t>
  </si>
  <si>
    <t xml:space="preserve">CAI2301/00028  </t>
  </si>
  <si>
    <t xml:space="preserve">BOUVIER LUCILE achat babilhomr                    </t>
  </si>
  <si>
    <t xml:space="preserve">ADOUNI MOHAMED R0100025137                        </t>
  </si>
  <si>
    <t xml:space="preserve">MARQUES SIMONE R0100025138                        </t>
  </si>
  <si>
    <t xml:space="preserve">MENTESE   </t>
  </si>
  <si>
    <t xml:space="preserve">MENTESE UFUK                            </t>
  </si>
  <si>
    <t xml:space="preserve">MENTESE UFUK R0100025140                          </t>
  </si>
  <si>
    <t xml:space="preserve">ALIC BAHRA R0100025144                            </t>
  </si>
  <si>
    <t>ALTIPARMA1</t>
  </si>
  <si>
    <t xml:space="preserve">ALTIPARMAK HAYRETTIN                    </t>
  </si>
  <si>
    <t xml:space="preserve">ALTIPARMAK HAYRETTIN R0100025146                  </t>
  </si>
  <si>
    <t xml:space="preserve">ARIFI     </t>
  </si>
  <si>
    <t xml:space="preserve">ARIFI QEFSERE                           </t>
  </si>
  <si>
    <t xml:space="preserve">ARIFI QEFSERE R0100025148                         </t>
  </si>
  <si>
    <t xml:space="preserve">PRALUS ANGELIQUE R0100025152                      </t>
  </si>
  <si>
    <t xml:space="preserve">CrÚdit PRALUS ANGELIQUE R0100025152               </t>
  </si>
  <si>
    <t xml:space="preserve">KOUICI STEVE R0200001264                          </t>
  </si>
  <si>
    <t xml:space="preserve">AMEUR  R0300000977                                </t>
  </si>
  <si>
    <t xml:space="preserve">SMAJIC VELIDA R0100025155                         </t>
  </si>
  <si>
    <t xml:space="preserve">DIAS GONCALVES DO CANTO YARA R0100025156          </t>
  </si>
  <si>
    <t xml:space="preserve">BEN MBAREK MOHAMED BEN R0100025157                </t>
  </si>
  <si>
    <t xml:space="preserve">CrÚdit BEN MBAREK MOHAMED BEN R0100025157         </t>
  </si>
  <si>
    <t xml:space="preserve">ALBAN MEJIA NAIN CORIMOLDX R0100025159            </t>
  </si>
  <si>
    <t xml:space="preserve">CHETTOUH ASMA R0100025162                         </t>
  </si>
  <si>
    <t xml:space="preserve">SIDIBE MAMADOU R0100025164                        </t>
  </si>
  <si>
    <t xml:space="preserve">NKULIKIYINKA IRAGUHA LIEVIN R0100025165           </t>
  </si>
  <si>
    <t xml:space="preserve">KOUICI STEVE R0100025166                          </t>
  </si>
  <si>
    <t xml:space="preserve">KHALFA SIMARD LOIS R0100025167                    </t>
  </si>
  <si>
    <t xml:space="preserve">MENTESE UFUK R0100025168                          </t>
  </si>
  <si>
    <t xml:space="preserve">KHALFA SIMARD LOIS R0200001267                    </t>
  </si>
  <si>
    <t xml:space="preserve">TRAORE MARIAM R0300000978                         </t>
  </si>
  <si>
    <t xml:space="preserve">SANVISEN QUENTIN R0100025174                      </t>
  </si>
  <si>
    <t xml:space="preserve">SADOU DAVY SAMI R0100025175                       </t>
  </si>
  <si>
    <t xml:space="preserve">JOUINI MONIA R0100025177                          </t>
  </si>
  <si>
    <t xml:space="preserve">KOUASSEU MOUNGANG  R0300000979                    </t>
  </si>
  <si>
    <t xml:space="preserve">DIABY HASSAN R0300000980                          </t>
  </si>
  <si>
    <t xml:space="preserve">COTTIER ELEONORE R0100025189                      </t>
  </si>
  <si>
    <t xml:space="preserve">BERHANE   </t>
  </si>
  <si>
    <t xml:space="preserve">BERHANE YONAS                           </t>
  </si>
  <si>
    <t xml:space="preserve">BERHANE YONAS R0100025192                         </t>
  </si>
  <si>
    <t xml:space="preserve">SAID OUASSILA R0100025194                         </t>
  </si>
  <si>
    <t xml:space="preserve">BOUGHRARA HANENE  R0100025196                     </t>
  </si>
  <si>
    <t xml:space="preserve">BAUTISTA DANIELA R0100025200                      </t>
  </si>
  <si>
    <t xml:space="preserve">OSARETIN Augustin R0300000981                     </t>
  </si>
  <si>
    <t xml:space="preserve">CrÚdit OSARETIN Augustin R0300000981              </t>
  </si>
  <si>
    <t xml:space="preserve">KINANVUIDI DJIMY R0300000982                      </t>
  </si>
  <si>
    <t xml:space="preserve">GUERIN CHRISTELLE R0100025202                     </t>
  </si>
  <si>
    <t xml:space="preserve">BENRHOUMA RHOUMA R0100025203                      </t>
  </si>
  <si>
    <t xml:space="preserve">CrÚdit BENRHOUMA RHOUMA R0100025203               </t>
  </si>
  <si>
    <t xml:space="preserve">THABET MOUNIRA R0100025208                        </t>
  </si>
  <si>
    <t xml:space="preserve">AKHLAQI QURBANALI R0100025209                     </t>
  </si>
  <si>
    <t xml:space="preserve">QURAISHI  </t>
  </si>
  <si>
    <t xml:space="preserve">QURAISHI SAMI                           </t>
  </si>
  <si>
    <t xml:space="preserve">QURAISHI SAMI R0100025210                         </t>
  </si>
  <si>
    <t xml:space="preserve">BELATROUS ZHORA R0100025211                       </t>
  </si>
  <si>
    <t xml:space="preserve">BEN ALI IMANE R0100025214                         </t>
  </si>
  <si>
    <t xml:space="preserve">SLAROCHE  </t>
  </si>
  <si>
    <t xml:space="preserve">RAPHAEL LAROCHE                         </t>
  </si>
  <si>
    <t xml:space="preserve">CAI2301/00050  </t>
  </si>
  <si>
    <t xml:space="preserve">RAPHAEL LAROCHE AVANCE DE CAISSE LIDL             </t>
  </si>
  <si>
    <t xml:space="preserve">CAI2301/00051  </t>
  </si>
  <si>
    <t xml:space="preserve">BOISSY OLIVIER remboursement Auchan               </t>
  </si>
  <si>
    <t xml:space="preserve">SMKIDADI  </t>
  </si>
  <si>
    <t xml:space="preserve">SOIFIA MKIDADI                          </t>
  </si>
  <si>
    <t xml:space="preserve">CAI2301/00052  </t>
  </si>
  <si>
    <t xml:space="preserve">SOIFIA MKIDADI remboursement achat babilhome      </t>
  </si>
  <si>
    <t xml:space="preserve">CAI2301/00053  </t>
  </si>
  <si>
    <t xml:space="preserve">ABERKANE ASSIA avance de caisse BM                </t>
  </si>
  <si>
    <t xml:space="preserve">CAI2301/00054  </t>
  </si>
  <si>
    <t xml:space="preserve">ABERKANE ASSIA avance de caisse boulangerie       </t>
  </si>
  <si>
    <t xml:space="preserve">CAI2301/00055  </t>
  </si>
  <si>
    <t xml:space="preserve">HACHANI YAMINA achat emmaus                       </t>
  </si>
  <si>
    <t xml:space="preserve">CAI2301/00057  </t>
  </si>
  <si>
    <t xml:space="preserve">SOIFIA MKIDADI retour avance de caisse            </t>
  </si>
  <si>
    <t xml:space="preserve">COLLOMB Geoffrey R0200001270                      </t>
  </si>
  <si>
    <t xml:space="preserve">CrÚdit COLLOMB Geoffrey R0200001270               </t>
  </si>
  <si>
    <t xml:space="preserve">CM2301/00060   </t>
  </si>
  <si>
    <t xml:space="preserve">BENAYOD   </t>
  </si>
  <si>
    <t xml:space="preserve">BENAYOD ABDELHAFID                      </t>
  </si>
  <si>
    <t xml:space="preserve">BENAYOD ABDELHAFID R0100025225                    </t>
  </si>
  <si>
    <t>TOURESADJO</t>
  </si>
  <si>
    <t xml:space="preserve">TOURE SADJO MARIAM                      </t>
  </si>
  <si>
    <t xml:space="preserve">TOURE SADJO MARIAM R0100025226                    </t>
  </si>
  <si>
    <t xml:space="preserve">BENMAZOUZ CHELHA R0100025227                      </t>
  </si>
  <si>
    <t xml:space="preserve">BOUDISSA HAMZA R0100025228                        </t>
  </si>
  <si>
    <t xml:space="preserve">ZEKRI SABRI R0100025229                           </t>
  </si>
  <si>
    <t xml:space="preserve">MOHAMED BEN KADA KARIM R0100025230                </t>
  </si>
  <si>
    <t xml:space="preserve">EL HADDAD ABDELNASSER R0100025231                 </t>
  </si>
  <si>
    <t xml:space="preserve">SIOUDA CHAHRAZAD R0100025232                      </t>
  </si>
  <si>
    <t xml:space="preserve">SERSAR SANAE R0100025233                          </t>
  </si>
  <si>
    <t xml:space="preserve">CrÚdit SERSAR SANAE R0100025233                   </t>
  </si>
  <si>
    <t xml:space="preserve">BAKAMBO PERNELLE R0300000983                      </t>
  </si>
  <si>
    <t xml:space="preserve">KHALDI KARIMA R0100025235                         </t>
  </si>
  <si>
    <t xml:space="preserve">CAI2301/00063  </t>
  </si>
  <si>
    <t xml:space="preserve">PIERRE ARTHUS avance de caisse retroviseur        </t>
  </si>
  <si>
    <t xml:space="preserve">CAI2301/00076  </t>
  </si>
  <si>
    <t xml:space="preserve">ABERKANE ASSIA avance de caisse Decatlhon         </t>
  </si>
  <si>
    <t xml:space="preserve">CAI2301/00077  </t>
  </si>
  <si>
    <t xml:space="preserve">ABERKANE ASSIA avance de caisse action            </t>
  </si>
  <si>
    <t xml:space="preserve">CAI2301/00078  </t>
  </si>
  <si>
    <t xml:space="preserve">ABERKANE ASSIA RETOUR AVANCE DE CAISSE BM         </t>
  </si>
  <si>
    <t xml:space="preserve">KOC       </t>
  </si>
  <si>
    <t xml:space="preserve">KOC ZADE                                </t>
  </si>
  <si>
    <t xml:space="preserve">KOC ZADE R0100025239                              </t>
  </si>
  <si>
    <t xml:space="preserve">BOUKHANOUFA MOUNIR R0100025240                    </t>
  </si>
  <si>
    <t xml:space="preserve">BOUDISSA HAMZA R0100025241                        </t>
  </si>
  <si>
    <t xml:space="preserve">ZEKRI SABRI R0100025242                           </t>
  </si>
  <si>
    <t xml:space="preserve">MADI TAREK R0100025243                            </t>
  </si>
  <si>
    <t xml:space="preserve">MOHAMED BEN KADA KARIM R0100025244                </t>
  </si>
  <si>
    <t xml:space="preserve">ARFAOUI NABILA R0100025245                        </t>
  </si>
  <si>
    <t xml:space="preserve">LOWE ANNE YOLANDE R0100025246                     </t>
  </si>
  <si>
    <t xml:space="preserve">RACHIDI AMINA R0100025249                         </t>
  </si>
  <si>
    <t xml:space="preserve">RACHIDI AMINA R0100025250                         </t>
  </si>
  <si>
    <t xml:space="preserve">BELKFIF MESSAOUDA R0100025251                     </t>
  </si>
  <si>
    <t xml:space="preserve">NTRIO KAMELA R0100025252                          </t>
  </si>
  <si>
    <t xml:space="preserve">IMERAJ GRESA R0100025253                          </t>
  </si>
  <si>
    <t xml:space="preserve">CM2301/00401   </t>
  </si>
  <si>
    <t xml:space="preserve">CM2301/00394   </t>
  </si>
  <si>
    <t xml:space="preserve">PRLV ORANGE 80299963                              </t>
  </si>
  <si>
    <t xml:space="preserve">CM2301/00395   </t>
  </si>
  <si>
    <t xml:space="preserve">PRLV ORANGE 80299905                              </t>
  </si>
  <si>
    <t xml:space="preserve">CM2301/00396   </t>
  </si>
  <si>
    <t xml:space="preserve">PRLV ORANGE 8202J2                                </t>
  </si>
  <si>
    <t xml:space="preserve">CM2301/00397   </t>
  </si>
  <si>
    <t xml:space="preserve">RGLT UBER EAT CB                                  </t>
  </si>
  <si>
    <t xml:space="preserve">CM2301/00398   </t>
  </si>
  <si>
    <t xml:space="preserve">PRLV ORANGE 8642J4                                </t>
  </si>
  <si>
    <t xml:space="preserve">CM2301/00399   </t>
  </si>
  <si>
    <t xml:space="preserve">CM2301/00400   </t>
  </si>
  <si>
    <t xml:space="preserve">VIREMENTS INTERNES (CREDIT COOP)                  </t>
  </si>
  <si>
    <t xml:space="preserve">CM2301/00402   </t>
  </si>
  <si>
    <t xml:space="preserve">CB CASINO NDF ?                                   </t>
  </si>
  <si>
    <t xml:space="preserve">CM2301/00403   </t>
  </si>
  <si>
    <t xml:space="preserve">CB PANEO NDF ?                                    </t>
  </si>
  <si>
    <t xml:space="preserve">CM2301/00404   </t>
  </si>
  <si>
    <t xml:space="preserve">VIRT HAMMOUDI ISMAIL                              </t>
  </si>
  <si>
    <t xml:space="preserve">CM2301/00405   </t>
  </si>
  <si>
    <t xml:space="preserve">PRLV ORANGE 1683A1                                </t>
  </si>
  <si>
    <t xml:space="preserve">CM2301/00406   </t>
  </si>
  <si>
    <t xml:space="preserve">CHQ SECOURS POPULAIRE FRANCAIS                    </t>
  </si>
  <si>
    <t xml:space="preserve">CM2301/00407   </t>
  </si>
  <si>
    <t xml:space="preserve">VIRT ENGIE                                        </t>
  </si>
  <si>
    <t xml:space="preserve">CM2301/00408   </t>
  </si>
  <si>
    <t xml:space="preserve">CB AMAZON NDF ?                                   </t>
  </si>
  <si>
    <t xml:space="preserve">CM2301/00012   </t>
  </si>
  <si>
    <t xml:space="preserve">Remise de chÞques n░ 20230111                     </t>
  </si>
  <si>
    <t xml:space="preserve">CM2301/00026   </t>
  </si>
  <si>
    <t xml:space="preserve">RETRAIT ESPCE ACTIVATION CB                       </t>
  </si>
  <si>
    <t xml:space="preserve">CM2301/00031   </t>
  </si>
  <si>
    <t xml:space="preserve">PRLV ORANGE                                       </t>
  </si>
  <si>
    <t xml:space="preserve">Remise de chÞques n░ 20230119                     </t>
  </si>
  <si>
    <t xml:space="preserve">CM2301/00059   </t>
  </si>
  <si>
    <t xml:space="preserve">Remise de chÞques n░ 20230126                     </t>
  </si>
  <si>
    <t xml:space="preserve">CM2301/00409   </t>
  </si>
  <si>
    <t xml:space="preserve">MARKET CB NDF ??                                  </t>
  </si>
  <si>
    <t xml:space="preserve">CM2301/00410   </t>
  </si>
  <si>
    <t xml:space="preserve">PRLV ORANGE 80665219                              </t>
  </si>
  <si>
    <t xml:space="preserve">CM2301/00411   </t>
  </si>
  <si>
    <t xml:space="preserve">PRLV ORANGE 80665161                              </t>
  </si>
  <si>
    <t xml:space="preserve">CM2301/00412   </t>
  </si>
  <si>
    <t xml:space="preserve">PRLV ORANGE INTERNET 8203A4                       </t>
  </si>
  <si>
    <t xml:space="preserve">BIBA      </t>
  </si>
  <si>
    <t xml:space="preserve">BIBA YAHIA                              </t>
  </si>
  <si>
    <t>BADREDDINE</t>
  </si>
  <si>
    <t xml:space="preserve">BADREDDINE DALILA                       </t>
  </si>
  <si>
    <t xml:space="preserve">SAUBATTE  </t>
  </si>
  <si>
    <t xml:space="preserve">SAUBATTE EWONO                          </t>
  </si>
  <si>
    <t xml:space="preserve">NDIAYE    </t>
  </si>
  <si>
    <t xml:space="preserve">NTUMBA ThÚthÚ                           </t>
  </si>
  <si>
    <t>LESQUATRES</t>
  </si>
  <si>
    <t xml:space="preserve">LES QUATRE SAISONS DE LOZERE            </t>
  </si>
  <si>
    <t xml:space="preserve">UGC       </t>
  </si>
  <si>
    <t xml:space="preserve">UGC CINE CITE PART DIEU                 </t>
  </si>
  <si>
    <t>PATINOIREC</t>
  </si>
  <si>
    <t xml:space="preserve">PATINOIRE CHARLEMAGNE                   </t>
  </si>
  <si>
    <t xml:space="preserve">GUIGNOL   </t>
  </si>
  <si>
    <t xml:space="preserve">LA MAISON DE GUIGNOL                    </t>
  </si>
  <si>
    <t>BUBBLEBUMP</t>
  </si>
  <si>
    <t xml:space="preserve">BUBBLE BUMP                             </t>
  </si>
  <si>
    <t xml:space="preserve">BAN2302/00085  </t>
  </si>
  <si>
    <t xml:space="preserve">BFC2302/00114  </t>
  </si>
  <si>
    <t xml:space="preserve">BAN2302/00115  </t>
  </si>
  <si>
    <t xml:space="preserve">BAN2302/00118  </t>
  </si>
  <si>
    <t xml:space="preserve">BAN2302/00119  </t>
  </si>
  <si>
    <t xml:space="preserve">SPECOUT   </t>
  </si>
  <si>
    <t xml:space="preserve">XAVIER PECOUT                           </t>
  </si>
  <si>
    <t xml:space="preserve">BAN2302/00128  </t>
  </si>
  <si>
    <t>SJESSIMHAM</t>
  </si>
  <si>
    <t xml:space="preserve">JESSIM HAMZA                            </t>
  </si>
  <si>
    <t xml:space="preserve">BAN2302/00165  </t>
  </si>
  <si>
    <t>SAIDAYCHAT</t>
  </si>
  <si>
    <t xml:space="preserve">SAID AYCHAT                             </t>
  </si>
  <si>
    <t xml:space="preserve">SHKODRA  R0100025255                              </t>
  </si>
  <si>
    <t xml:space="preserve">FOURANE KARIMA R0100025256                        </t>
  </si>
  <si>
    <t xml:space="preserve">CAI2302/00087  </t>
  </si>
  <si>
    <t xml:space="preserve">RAPHAEL LAROCHE retour avance de caisse           </t>
  </si>
  <si>
    <t xml:space="preserve">Rbt AMRAOUI RATIBA R0100025259                    </t>
  </si>
  <si>
    <t xml:space="preserve">NTRIO KAMELA R0100025257                          </t>
  </si>
  <si>
    <t xml:space="preserve">LOUA      </t>
  </si>
  <si>
    <t xml:space="preserve">LOUA POLA                               </t>
  </si>
  <si>
    <t xml:space="preserve">LOUA POLA R0100025258                             </t>
  </si>
  <si>
    <t xml:space="preserve">KHEMAIES  </t>
  </si>
  <si>
    <t xml:space="preserve">KHEMAIES NOURA                          </t>
  </si>
  <si>
    <t xml:space="preserve">KHEMAIES NOURA R0100025260                        </t>
  </si>
  <si>
    <t xml:space="preserve">JACOULET PASCALE R0100025261                      </t>
  </si>
  <si>
    <t xml:space="preserve">COMBE DOMINIQUE R0100025262                       </t>
  </si>
  <si>
    <t xml:space="preserve">SEROT HELENE R0100025263                          </t>
  </si>
  <si>
    <t xml:space="preserve">BELLEMIN MICHELLE R0100025264                     </t>
  </si>
  <si>
    <t xml:space="preserve">ANDRIET AGNES R0100025265                         </t>
  </si>
  <si>
    <t xml:space="preserve">AUZAS BRIGITTE R0100025266                        </t>
  </si>
  <si>
    <t xml:space="preserve">CHANAUD MARTINE R0100025267                       </t>
  </si>
  <si>
    <t xml:space="preserve">COLOM FRANCOISE R0100025268                       </t>
  </si>
  <si>
    <t xml:space="preserve">CHARENSOL MICHELE R0100025269                     </t>
  </si>
  <si>
    <t xml:space="preserve">KANNEVORFF ANNE R0100025270                       </t>
  </si>
  <si>
    <t xml:space="preserve">CARILLI GABRIELLE R0100025271                     </t>
  </si>
  <si>
    <t xml:space="preserve">ROSSERO JOELLE R0100025272                        </t>
  </si>
  <si>
    <t xml:space="preserve">DUTRUC MARIE HELENE R0100025273                   </t>
  </si>
  <si>
    <t xml:space="preserve">CERTAIN NICOLE R0100025274                        </t>
  </si>
  <si>
    <t xml:space="preserve">CM2302/00088   </t>
  </si>
  <si>
    <t>ERIKLIYAKU</t>
  </si>
  <si>
    <t xml:space="preserve">ERIKLI YAKUP                            </t>
  </si>
  <si>
    <t xml:space="preserve">ERIKLI YAKUP R0100025275                          </t>
  </si>
  <si>
    <t xml:space="preserve">HAIMER MOKHTARIA R0100025276                      </t>
  </si>
  <si>
    <t xml:space="preserve">CAI2302/00089  </t>
  </si>
  <si>
    <t xml:space="preserve">ABERKANE ASSIA retour avance de caisse action     </t>
  </si>
  <si>
    <t xml:space="preserve">CAI2302/00090  </t>
  </si>
  <si>
    <t xml:space="preserve">ABERKANE ASSIA retour avance de caisse decathlon  </t>
  </si>
  <si>
    <t xml:space="preserve">SIRVENT GISELE R0100025277                        </t>
  </si>
  <si>
    <t xml:space="preserve">OUAHBI FATIMA R0100025278                         </t>
  </si>
  <si>
    <t xml:space="preserve">KHELOUF FATIMA ZOHRA R0100025279                  </t>
  </si>
  <si>
    <t xml:space="preserve">BOYACI SIBEL R0100025280                          </t>
  </si>
  <si>
    <t xml:space="preserve">DAHMANI Hajar R0200001272                         </t>
  </si>
  <si>
    <t xml:space="preserve">EL MAAROUTI MOHAMED R0200001274                   </t>
  </si>
  <si>
    <t xml:space="preserve">CAI2302/00101  </t>
  </si>
  <si>
    <t xml:space="preserve">PIERRE ARTHUS retour avance de caisse retroviseur </t>
  </si>
  <si>
    <t xml:space="preserve">CAI2302/00102  </t>
  </si>
  <si>
    <t xml:space="preserve">KAMBI SITTI avance de caisse action               </t>
  </si>
  <si>
    <t xml:space="preserve">CAI2302/00103  </t>
  </si>
  <si>
    <t xml:space="preserve">BORAND CYRIL isolant fenetre                      </t>
  </si>
  <si>
    <t xml:space="preserve">CAI2302/00105  </t>
  </si>
  <si>
    <t xml:space="preserve">RAPHAEL LAROCHE avance de caisse lidl             </t>
  </si>
  <si>
    <t xml:space="preserve">CAI2302/00106  </t>
  </si>
  <si>
    <t xml:space="preserve">RAPHAEL LAROCHE avance de caisse action           </t>
  </si>
  <si>
    <t xml:space="preserve">TENNAH BENSALEM CHAIMA R0100025282                </t>
  </si>
  <si>
    <t xml:space="preserve">CrÚdit TENNAH BENSALEM CHAIMA R0100025282         </t>
  </si>
  <si>
    <t xml:space="preserve">TENNAH BENSALEM CHAIMA R0100025283                </t>
  </si>
  <si>
    <t xml:space="preserve">CrÚdit TENNAH BENSALEM CHAIMA R0100025283         </t>
  </si>
  <si>
    <t xml:space="preserve">AMEZRAR FERROUDJA R0100025284                     </t>
  </si>
  <si>
    <t xml:space="preserve">MELLAH KHADRA R0100025285                         </t>
  </si>
  <si>
    <t xml:space="preserve">NIER MICHEL R0100025286                           </t>
  </si>
  <si>
    <t xml:space="preserve">GAUDIN MARIE CLAUDE R0100025287                   </t>
  </si>
  <si>
    <t xml:space="preserve">KRADAOUI ZOHRA R0100025288                        </t>
  </si>
  <si>
    <t xml:space="preserve">COTTIER ELEONORE R0100025290                      </t>
  </si>
  <si>
    <t xml:space="preserve">CrÚdit COTTIER ELEONORE R0100025290               </t>
  </si>
  <si>
    <t xml:space="preserve">AOUJI ZOHRA R0100025291                           </t>
  </si>
  <si>
    <t xml:space="preserve">ZEKRI SABRI R0100025292                           </t>
  </si>
  <si>
    <t xml:space="preserve">BOUKHANOUFA MOUNIR R0100025293                    </t>
  </si>
  <si>
    <t xml:space="preserve">BOUDISSA HAMZA R0100025294                        </t>
  </si>
  <si>
    <t xml:space="preserve">MOHAMED BEN KADA KARIM R0100025295                </t>
  </si>
  <si>
    <t xml:space="preserve">SAFFI RIME R0100025296                            </t>
  </si>
  <si>
    <t xml:space="preserve">SAFFI INAYA R0100025297                           </t>
  </si>
  <si>
    <t xml:space="preserve">ABDELLI HALIMA R0100025298                        </t>
  </si>
  <si>
    <t xml:space="preserve">BENMAZOUZ CHELHA R0100025299                      </t>
  </si>
  <si>
    <t xml:space="preserve">BOUDISSA HAMZA R0100025300                        </t>
  </si>
  <si>
    <t xml:space="preserve">EL HADDAD ABDELNASSER R0100025301                 </t>
  </si>
  <si>
    <t xml:space="preserve">KADDOURI  </t>
  </si>
  <si>
    <t xml:space="preserve">KADDOURI SONIA                          </t>
  </si>
  <si>
    <t xml:space="preserve">KADDOURI SONIA R0100025302                        </t>
  </si>
  <si>
    <t xml:space="preserve">CAI2302/00116  </t>
  </si>
  <si>
    <t xml:space="preserve">NADEGE BERNY REMBOURSEMENT BOULANGERIE            </t>
  </si>
  <si>
    <t xml:space="preserve">PRALUS ANGELIQUE R0100025304                      </t>
  </si>
  <si>
    <t xml:space="preserve">BERNY NADEGE R0100025305                          </t>
  </si>
  <si>
    <t xml:space="preserve">SABER     </t>
  </si>
  <si>
    <t xml:space="preserve">SABER AMEL                              </t>
  </si>
  <si>
    <t xml:space="preserve">CAI2302/00124  </t>
  </si>
  <si>
    <t xml:space="preserve">SABER AMEL R0100025306                            </t>
  </si>
  <si>
    <t xml:space="preserve">CAI2302/00117  </t>
  </si>
  <si>
    <t xml:space="preserve">BOUVIER LUCILE avance de caisse achat babilhome   </t>
  </si>
  <si>
    <t xml:space="preserve">SAFFI RIME R0100025308                            </t>
  </si>
  <si>
    <t xml:space="preserve">SAFFI RIME R0100025309                            </t>
  </si>
  <si>
    <t xml:space="preserve">SIOUDA CHAHRAZAD R0100025310                      </t>
  </si>
  <si>
    <t xml:space="preserve">ZEKRI SABRI R0100025311                           </t>
  </si>
  <si>
    <t xml:space="preserve">BOUKHANOUFA MOUNIR R0100025312                    </t>
  </si>
  <si>
    <t xml:space="preserve">MOHAMED BEN KADA KARIM R0100025313                </t>
  </si>
  <si>
    <t xml:space="preserve">BOUDISSA HAMZA R0100025314                        </t>
  </si>
  <si>
    <t xml:space="preserve">BENMAZOUZ CHELHA R0100025315                      </t>
  </si>
  <si>
    <t xml:space="preserve">SAHRAOUI MOHAMED R0100025316                      </t>
  </si>
  <si>
    <t xml:space="preserve">KHAMALLAH </t>
  </si>
  <si>
    <t xml:space="preserve">KHAMALLAH LYNDA                         </t>
  </si>
  <si>
    <t xml:space="preserve">KHAMALLAH LYNDA R0100025317                       </t>
  </si>
  <si>
    <t xml:space="preserve">NEZZAR    </t>
  </si>
  <si>
    <t xml:space="preserve">NEZZAR FOUDHIL                          </t>
  </si>
  <si>
    <t xml:space="preserve">NEZZAR FOUDHIL R0100025318                        </t>
  </si>
  <si>
    <t xml:space="preserve">KHEMLICHE </t>
  </si>
  <si>
    <t xml:space="preserve">KHEMLICHE KAMEL                         </t>
  </si>
  <si>
    <t xml:space="preserve">KHEMLICHE KAMEL R0100025319                       </t>
  </si>
  <si>
    <t xml:space="preserve">SOMMIER VIRGINIE R0100025320                      </t>
  </si>
  <si>
    <t xml:space="preserve">SIOUDA CHAHRAZAD R0100025321                      </t>
  </si>
  <si>
    <t xml:space="preserve">SAHRAOUI MOHAMED R0100025322                      </t>
  </si>
  <si>
    <t xml:space="preserve">HAMRANI DALILA R0100025323                        </t>
  </si>
  <si>
    <t xml:space="preserve">SAFFI RIME R0100025324                            </t>
  </si>
  <si>
    <t xml:space="preserve">SAFFI RIME R0100025325                            </t>
  </si>
  <si>
    <t xml:space="preserve">ZEKRI SABRI R0100025326                           </t>
  </si>
  <si>
    <t xml:space="preserve">KHEMLICHE KAMEL R0100025327                       </t>
  </si>
  <si>
    <t xml:space="preserve">BOUKHANOUFA MOUNIR R0100025328                    </t>
  </si>
  <si>
    <t xml:space="preserve">BOUKHANOUFA MOUNIR R0100025329                    </t>
  </si>
  <si>
    <t xml:space="preserve">BENMAZOUZ CHELHA R0100025330                      </t>
  </si>
  <si>
    <t xml:space="preserve">BOUDISSA HAMZA R0100025331                        </t>
  </si>
  <si>
    <t xml:space="preserve">MOHAMED BEN KADA KARIM R0100025332                </t>
  </si>
  <si>
    <t xml:space="preserve">CAI2302/00120  </t>
  </si>
  <si>
    <t xml:space="preserve">ABERKANE ASSIA avance de caisse carrefour         </t>
  </si>
  <si>
    <t xml:space="preserve">ADOUNI MOHAMED R0100025333                        </t>
  </si>
  <si>
    <t xml:space="preserve">MAJERI Izac R0200001277                           </t>
  </si>
  <si>
    <t xml:space="preserve">KOUICI STEVE R0200001278                          </t>
  </si>
  <si>
    <t xml:space="preserve">KOUASSEU MOUNGANG  R0300000986                    </t>
  </si>
  <si>
    <t xml:space="preserve">CAI2302/00121  </t>
  </si>
  <si>
    <t xml:space="preserve">GRANGE AURELIE avance de caisse                   </t>
  </si>
  <si>
    <t xml:space="preserve">THABET MOUNIRA R0100025334                        </t>
  </si>
  <si>
    <t xml:space="preserve">MARQUES SIMONE R0100025336                        </t>
  </si>
  <si>
    <t xml:space="preserve">NEZZAR FOUDHIL R0100025337                        </t>
  </si>
  <si>
    <t xml:space="preserve">KHEMLICHE KAMEL R0100025338                       </t>
  </si>
  <si>
    <t xml:space="preserve">ABDELLI HALIMA R0100025339                        </t>
  </si>
  <si>
    <t xml:space="preserve">BOUKHANOUFA MOUNIR R0100025340                    </t>
  </si>
  <si>
    <t xml:space="preserve">BOUDISSA HAMZA R0100025341                        </t>
  </si>
  <si>
    <t xml:space="preserve">HAMRANI DALILA R0100025342                        </t>
  </si>
  <si>
    <t xml:space="preserve">ZEKRI SABRI R0100025343                           </t>
  </si>
  <si>
    <t xml:space="preserve">SAFFI RIME R0100025344                            </t>
  </si>
  <si>
    <t xml:space="preserve">SAHRAOUI MOHAMED R0100025345                      </t>
  </si>
  <si>
    <t xml:space="preserve">SAHRAOUI MOHAMED R0100025346                      </t>
  </si>
  <si>
    <t xml:space="preserve">RACHIDI AMINA R0200001281                         </t>
  </si>
  <si>
    <t xml:space="preserve">CrÚdit RACHIDI AMINA R0200001281                  </t>
  </si>
  <si>
    <t xml:space="preserve">SAHLI Perrine R0200001282                         </t>
  </si>
  <si>
    <t xml:space="preserve">KHALFA SIMARD LOIS R0200001283                    </t>
  </si>
  <si>
    <t xml:space="preserve">AZEIZ  R0300000987                                </t>
  </si>
  <si>
    <t xml:space="preserve">SAHRAOUI MOHAMED R0100025347                      </t>
  </si>
  <si>
    <t xml:space="preserve">ZEKRI SABRI R0100025348                           </t>
  </si>
  <si>
    <t xml:space="preserve">SAFFI RIME R0100025349                            </t>
  </si>
  <si>
    <t xml:space="preserve">BOUKHANOUFA MOUNIR R0100025350                    </t>
  </si>
  <si>
    <t xml:space="preserve">DJANDIA   </t>
  </si>
  <si>
    <t xml:space="preserve">DJANDIA IBTISSEM                        </t>
  </si>
  <si>
    <t xml:space="preserve">DJANDIA IBTISSEM R0100025351                      </t>
  </si>
  <si>
    <t xml:space="preserve">ATIK      </t>
  </si>
  <si>
    <t xml:space="preserve">ATIK NEZAHAT                            </t>
  </si>
  <si>
    <t xml:space="preserve">ATIK NEZAHAT R0100025353                          </t>
  </si>
  <si>
    <t xml:space="preserve">SLIMANE NAIMA R0100025354                         </t>
  </si>
  <si>
    <t xml:space="preserve">SLIMANE NAIMA R0100025355                         </t>
  </si>
  <si>
    <t xml:space="preserve">CrÚdit SLIMANE NAIMA R0100025355                  </t>
  </si>
  <si>
    <t xml:space="preserve">MAKITA CHRIS R0100025356                          </t>
  </si>
  <si>
    <t xml:space="preserve">CrÚdit MAKITA CHRIS R0100025356                   </t>
  </si>
  <si>
    <t xml:space="preserve">SLIMANE NAIMA R0100025358                         </t>
  </si>
  <si>
    <t xml:space="preserve">MAYOL Johann R0200001287                          </t>
  </si>
  <si>
    <t xml:space="preserve">BEN AHMED NADIA R0300000989                       </t>
  </si>
  <si>
    <t xml:space="preserve">TRAORE MARIAM R0300000990                         </t>
  </si>
  <si>
    <t xml:space="preserve">CAI2302/00125  </t>
  </si>
  <si>
    <t xml:space="preserve">KAMBI SITTI avance de caisse                      </t>
  </si>
  <si>
    <t xml:space="preserve">BENMAZOUZ CHELHA R0100025359                      </t>
  </si>
  <si>
    <t xml:space="preserve">BOUKHANOUFA MOUNIR R0100025360                    </t>
  </si>
  <si>
    <t xml:space="preserve">SAHRAOUI MOHAMED R0100025361                      </t>
  </si>
  <si>
    <t xml:space="preserve">ZEKRI SABRI R0100025362                           </t>
  </si>
  <si>
    <t xml:space="preserve">SAFFI RIME R0100025363                            </t>
  </si>
  <si>
    <t xml:space="preserve">KHEMLICHE KAMEL R0100025364                       </t>
  </si>
  <si>
    <t xml:space="preserve">NEZZAR FOUDHIL R0100025365                        </t>
  </si>
  <si>
    <t xml:space="preserve">ABDELLI HALIMA R0100025366                        </t>
  </si>
  <si>
    <t xml:space="preserve">ABDELLI HALIMA R0100025367                        </t>
  </si>
  <si>
    <t xml:space="preserve">KHALFA SIMARD LOIS R0100025368                    </t>
  </si>
  <si>
    <t xml:space="preserve">MOHAMED BEN KADA KARIM R0100025369                </t>
  </si>
  <si>
    <t xml:space="preserve">KHEMLICHE KAMEL R0100025370                       </t>
  </si>
  <si>
    <t xml:space="preserve">AKAKBA LARBI R0300000991                          </t>
  </si>
  <si>
    <t xml:space="preserve">CrÚdit AKAKBA LARBI R0300000991                   </t>
  </si>
  <si>
    <t xml:space="preserve">SAHRAOUI MOHAMED R0100025371                      </t>
  </si>
  <si>
    <t xml:space="preserve">ZEKRI SABRI R0100025372                           </t>
  </si>
  <si>
    <t xml:space="preserve">ABDELLI HALIMA R0100025373                        </t>
  </si>
  <si>
    <t xml:space="preserve">NEZZAR FOUDHIL R0100025374                        </t>
  </si>
  <si>
    <t xml:space="preserve">KHEMLICHE KAMEL R0100025375                       </t>
  </si>
  <si>
    <t xml:space="preserve">BOUDISSA HAMZA R0100025376                        </t>
  </si>
  <si>
    <t xml:space="preserve">MOHAMED BEN KADA KARIM R0100025378                </t>
  </si>
  <si>
    <t xml:space="preserve">KHALFA SIMARD LOIS R0100025379                    </t>
  </si>
  <si>
    <t xml:space="preserve">SAHRAOUI  </t>
  </si>
  <si>
    <t xml:space="preserve">SAHRAOUI HOUDA                          </t>
  </si>
  <si>
    <t xml:space="preserve">SAHRAOUI HOUDA R0100025380                        </t>
  </si>
  <si>
    <t xml:space="preserve">CAI2302/00155  </t>
  </si>
  <si>
    <t xml:space="preserve">BOUVIER LUCILE                                    </t>
  </si>
  <si>
    <t xml:space="preserve">CAI2302/00156  </t>
  </si>
  <si>
    <t xml:space="preserve">RAPHAEL LAROCHE retour avance de caisse action    </t>
  </si>
  <si>
    <t xml:space="preserve">CAI2302/00157  </t>
  </si>
  <si>
    <t xml:space="preserve">RAPHAEL LAROCHE retour avance de caisse carrefour </t>
  </si>
  <si>
    <t xml:space="preserve">RAPHAEL LAROCHEretour avance de caisse carrefour  </t>
  </si>
  <si>
    <t xml:space="preserve">SERSAR SANAE R0100025381                          </t>
  </si>
  <si>
    <t xml:space="preserve">OUAKZIZ BEZZA R0100025382                         </t>
  </si>
  <si>
    <t xml:space="preserve">REZAGUI ABDELHALIM R0100025383                    </t>
  </si>
  <si>
    <t xml:space="preserve">ALBAN MEJIA NAIN CORIMOLDX R0100025385            </t>
  </si>
  <si>
    <t xml:space="preserve">HABA  R0100025386                                 </t>
  </si>
  <si>
    <t xml:space="preserve">BAKAMBO PERNELLE R0300000992                      </t>
  </si>
  <si>
    <t xml:space="preserve">CAI2302/00159  </t>
  </si>
  <si>
    <t xml:space="preserve">ABERKANE ASSIA retour avance de caisse            </t>
  </si>
  <si>
    <t xml:space="preserve">BOUDISSA HAMZA R0100025388                        </t>
  </si>
  <si>
    <t xml:space="preserve">MOHAMED BEN KADA KARIM R0100025389                </t>
  </si>
  <si>
    <t xml:space="preserve">NEZZAR FOUDHIL R0100025390                        </t>
  </si>
  <si>
    <t xml:space="preserve">KHEMLICHE KAMEL R0100025391                       </t>
  </si>
  <si>
    <t xml:space="preserve">ZEKRI SABRI R0100025392                           </t>
  </si>
  <si>
    <t xml:space="preserve">SAFFI RIME R0100025393                            </t>
  </si>
  <si>
    <t xml:space="preserve">BENMAZOUZ CHELHA R0100025394                      </t>
  </si>
  <si>
    <t xml:space="preserve">BOUDISSA HAMZA R0100025395                        </t>
  </si>
  <si>
    <t xml:space="preserve">ABDELKADER SAMIR R0100025396                      </t>
  </si>
  <si>
    <t xml:space="preserve">ABDELLI HALIMA R0100025397                        </t>
  </si>
  <si>
    <t xml:space="preserve">MADI TAREK R0100025398                            </t>
  </si>
  <si>
    <t xml:space="preserve">SAHRAOUI MOHAMED R0100025399                      </t>
  </si>
  <si>
    <t xml:space="preserve">NKOUA EMPANA ELIM R0100025400                     </t>
  </si>
  <si>
    <t xml:space="preserve">NEZZAR FOUDHIL R0100025401                        </t>
  </si>
  <si>
    <t xml:space="preserve">KHEMLICHE KAMEL R0100025402                       </t>
  </si>
  <si>
    <t xml:space="preserve">SAHRAOUI MOHAMED R0100025403                      </t>
  </si>
  <si>
    <t xml:space="preserve">KHEMLICHE KAMEL R0100025404                       </t>
  </si>
  <si>
    <t xml:space="preserve">BOUDISSA HAMZA R0100025405                        </t>
  </si>
  <si>
    <t xml:space="preserve">BENMAZOUZ CHELHA R0100025406                      </t>
  </si>
  <si>
    <t xml:space="preserve">ABDELLI HALIMA R0100025407                        </t>
  </si>
  <si>
    <t xml:space="preserve">KHAMALLAH LYNDA R0100025409                       </t>
  </si>
  <si>
    <t xml:space="preserve">ZEKRI SABRI R0100025410                           </t>
  </si>
  <si>
    <t xml:space="preserve">HAMRANI DALILA R0100025411                        </t>
  </si>
  <si>
    <t xml:space="preserve">MOHAMED BEN KADA KARIM R0100025412                </t>
  </si>
  <si>
    <t xml:space="preserve">SAFFI RIME R0100025413                            </t>
  </si>
  <si>
    <t xml:space="preserve">SAFFI INAYA R0100025414                           </t>
  </si>
  <si>
    <t xml:space="preserve">CHIBOUT SABAH R0100025415                         </t>
  </si>
  <si>
    <t xml:space="preserve">MANSOUR   </t>
  </si>
  <si>
    <t xml:space="preserve">MANSOUR ROUJAINA                        </t>
  </si>
  <si>
    <t xml:space="preserve">MANSOUR ROUJAINA R0100025416                      </t>
  </si>
  <si>
    <t xml:space="preserve">KARAKAYA TABI R0100025417                         </t>
  </si>
  <si>
    <t xml:space="preserve">SAHRAOUI MOHAMED R0100025418                      </t>
  </si>
  <si>
    <t xml:space="preserve">ZEKRI SABRI R0100025419                           </t>
  </si>
  <si>
    <t xml:space="preserve">SAFFI RIME R0100025420                            </t>
  </si>
  <si>
    <t xml:space="preserve">SAFFI INAYA R0100025421                           </t>
  </si>
  <si>
    <t xml:space="preserve">SAHRAOUI HOUDA R0100025422                        </t>
  </si>
  <si>
    <t xml:space="preserve">KHEMLICHE KAMEL R0100025423                       </t>
  </si>
  <si>
    <t xml:space="preserve">ABDELLI HALIMA R0100025424                        </t>
  </si>
  <si>
    <t xml:space="preserve">NEZZAR FOUDHIL R0100025425                        </t>
  </si>
  <si>
    <t xml:space="preserve">MOHAMED BEN KADA KARIM R0100025426                </t>
  </si>
  <si>
    <t xml:space="preserve">BENMAZOUZ CHELHA R0100025428                      </t>
  </si>
  <si>
    <t xml:space="preserve">KARAKAYA TABI R0100025429                         </t>
  </si>
  <si>
    <t xml:space="preserve">KWEDI Gael R0200001292                            </t>
  </si>
  <si>
    <t xml:space="preserve">KADDOURI SONIA R0100025430                        </t>
  </si>
  <si>
    <t xml:space="preserve">TCHERIVKHANOVA AZIV R0100025431                   </t>
  </si>
  <si>
    <t xml:space="preserve">ERIKLI YAKUP R0100025432                          </t>
  </si>
  <si>
    <t xml:space="preserve">ERDEM GULUZAR R0100025433                         </t>
  </si>
  <si>
    <t xml:space="preserve">NTRIO KAMELA R0100025434                          </t>
  </si>
  <si>
    <t xml:space="preserve">ERDEM ISMAIL R0100025435                          </t>
  </si>
  <si>
    <t xml:space="preserve">HABA  R0100025436                                 </t>
  </si>
  <si>
    <t xml:space="preserve">KHELOUF FATIMA ZOHRA R0100025437                  </t>
  </si>
  <si>
    <t xml:space="preserve">SABER AMEL R0100025438                            </t>
  </si>
  <si>
    <t xml:space="preserve">REZAGUI ABDELHALIM R0100025439                    </t>
  </si>
  <si>
    <t xml:space="preserve">ERDEM GULUZAR R0100025440                         </t>
  </si>
  <si>
    <t xml:space="preserve">KHELOUF FATIMA ZOHRA R0100025441                  </t>
  </si>
  <si>
    <t xml:space="preserve">ERIKLI YAKUP R0100025442                          </t>
  </si>
  <si>
    <t xml:space="preserve">REZAGUI ABDELHALIM R0100025443                    </t>
  </si>
  <si>
    <t xml:space="preserve">NTRIO KAMELA R0100025444                          </t>
  </si>
  <si>
    <t xml:space="preserve">KHELOUF FATIMA ZOHRA R0100025446                  </t>
  </si>
  <si>
    <t xml:space="preserve">SABER AMEL R0100025447                            </t>
  </si>
  <si>
    <t xml:space="preserve">KOC ZADE R0100025448                              </t>
  </si>
  <si>
    <t xml:space="preserve">KOC ZADE R0100025449                              </t>
  </si>
  <si>
    <t xml:space="preserve">ERIKLI YAKUP R0100025450                          </t>
  </si>
  <si>
    <t xml:space="preserve">SALLAH CHERIF R0100025453                         </t>
  </si>
  <si>
    <t xml:space="preserve">OUAKZIZ BEZZA R0100025454                         </t>
  </si>
  <si>
    <t xml:space="preserve">SANLAVILLE DAMIEN R0100025455                     </t>
  </si>
  <si>
    <t xml:space="preserve">Ann BOUKHANOUFA MOUNIR R0100025293                </t>
  </si>
  <si>
    <t xml:space="preserve">Ann BOUKHANOUFA MOUNIR R0100025312                </t>
  </si>
  <si>
    <t xml:space="preserve">Ann BOUKHANOUFA MOUNIR R0100025328                </t>
  </si>
  <si>
    <t xml:space="preserve">Ann BOUKHANOUFA MOUNIR R0100025329                </t>
  </si>
  <si>
    <t xml:space="preserve">Ann BOUKHANOUFA MOUNIR R0100025340                </t>
  </si>
  <si>
    <t xml:space="preserve">Ann BOUKHANOUFA MOUNIR R0100025350                </t>
  </si>
  <si>
    <t xml:space="preserve">Ann BOUKHANOUFA MOUNIR R0100025360                </t>
  </si>
  <si>
    <t xml:space="preserve">COLLOMB Geoffrey R0200001295                      </t>
  </si>
  <si>
    <t xml:space="preserve">CAI2302/00162  </t>
  </si>
  <si>
    <t xml:space="preserve">RAPHAEL LAROCHE avance de caisse Velos            </t>
  </si>
  <si>
    <t xml:space="preserve">CAI2302/00163  </t>
  </si>
  <si>
    <t xml:space="preserve">RAPHAEL LAROCHE avance de caisse                  </t>
  </si>
  <si>
    <t xml:space="preserve">CAI2302/00164  </t>
  </si>
  <si>
    <t xml:space="preserve">RAPHAEL LAROCHE avance de caisse ikea             </t>
  </si>
  <si>
    <t xml:space="preserve">CM2302/00167   </t>
  </si>
  <si>
    <t xml:space="preserve">DIABY MAMADOU R0100025459                         </t>
  </si>
  <si>
    <t xml:space="preserve">A¤NINE Mohamed R0200001296                        </t>
  </si>
  <si>
    <t xml:space="preserve">CAI2302/00170  </t>
  </si>
  <si>
    <t xml:space="preserve">CHRISTOPHE LARCHER remboursement gribouille       </t>
  </si>
  <si>
    <t xml:space="preserve">CM2302/00084   </t>
  </si>
  <si>
    <t xml:space="preserve">Remise de chÞques n░ 20230201                     </t>
  </si>
  <si>
    <t xml:space="preserve">ChÞque impayÚ - MRIDA LEILA R0100025220           </t>
  </si>
  <si>
    <t>ChÞque impayÚ - Remise de chÞques 20230201 - MRIDA</t>
  </si>
  <si>
    <t xml:space="preserve">ChÞque impayÚ - BADREDDINE DALILA R0100025124     </t>
  </si>
  <si>
    <t>ChÞque impayÚ - Remise de chÞques 20230201 - BADRE</t>
  </si>
  <si>
    <t xml:space="preserve">CM2302/00126   </t>
  </si>
  <si>
    <t xml:space="preserve">Remise de chÞques n░ 20230216                     </t>
  </si>
  <si>
    <t xml:space="preserve">Annulation remise de chÞques n░ 20230216          </t>
  </si>
  <si>
    <t xml:space="preserve">CM2302/00127   </t>
  </si>
  <si>
    <t xml:space="preserve">CM2302/00166   </t>
  </si>
  <si>
    <t xml:space="preserve">Remise de chÞques n░ 20230227                     </t>
  </si>
  <si>
    <t xml:space="preserve">CM2302/00168   </t>
  </si>
  <si>
    <t xml:space="preserve">Remise de chÞques n░ 20230228                     </t>
  </si>
  <si>
    <t xml:space="preserve">BECHA     </t>
  </si>
  <si>
    <t xml:space="preserve">BECHA SAMIRA                            </t>
  </si>
  <si>
    <t xml:space="preserve">ZAKARYAN  </t>
  </si>
  <si>
    <t xml:space="preserve">ZAKARYAN GOHAR                          </t>
  </si>
  <si>
    <t xml:space="preserve">REGIE CITYA BARIOZ  R0100025513                   </t>
  </si>
  <si>
    <t xml:space="preserve">BAN2303/00208  </t>
  </si>
  <si>
    <t xml:space="preserve">BFC2303/00209  </t>
  </si>
  <si>
    <t xml:space="preserve">BFC2303/00258  </t>
  </si>
  <si>
    <t xml:space="preserve">BAN2303/00259  </t>
  </si>
  <si>
    <t xml:space="preserve">BAN2303/00260  </t>
  </si>
  <si>
    <t xml:space="preserve">BFC2303/00267  </t>
  </si>
  <si>
    <t xml:space="preserve">BAN2303/00281  </t>
  </si>
  <si>
    <t xml:space="preserve">BFC2303/00282  </t>
  </si>
  <si>
    <t>LAGRANGDEC</t>
  </si>
  <si>
    <t xml:space="preserve">LEO LAGRANGE DECINES                    </t>
  </si>
  <si>
    <t xml:space="preserve">BAN2303/00289  </t>
  </si>
  <si>
    <t xml:space="preserve">BFC2303/00290  </t>
  </si>
  <si>
    <t xml:space="preserve">BAN2303/00298  </t>
  </si>
  <si>
    <t xml:space="preserve">BFC2303/00309  </t>
  </si>
  <si>
    <t xml:space="preserve">BFC2303/00315  </t>
  </si>
  <si>
    <t xml:space="preserve">SFOISON   </t>
  </si>
  <si>
    <t xml:space="preserve">SOLENE FOISON                           </t>
  </si>
  <si>
    <t xml:space="preserve">BFC2303/00325  </t>
  </si>
  <si>
    <t xml:space="preserve">SDUPERRAY </t>
  </si>
  <si>
    <t xml:space="preserve">ANAIS DUPERRAY                          </t>
  </si>
  <si>
    <t>CITY AVENT</t>
  </si>
  <si>
    <t xml:space="preserve">CITY AVENTURE                           </t>
  </si>
  <si>
    <t xml:space="preserve">BFC2303/00368  </t>
  </si>
  <si>
    <t xml:space="preserve">CAI2303/00171  </t>
  </si>
  <si>
    <t xml:space="preserve">CAI2303/00173  </t>
  </si>
  <si>
    <t xml:space="preserve">CAI2303/00174  </t>
  </si>
  <si>
    <t xml:space="preserve">RAPHAEL LAROCHE retour avance de caisse ikea      </t>
  </si>
  <si>
    <t xml:space="preserve">SANVISEN QUENTIN R0100025460                      </t>
  </si>
  <si>
    <t xml:space="preserve">CrÚdit SANVISEN QUENTIN R0100025460               </t>
  </si>
  <si>
    <t xml:space="preserve">MECHICHE SAMIRA R0100025461                       </t>
  </si>
  <si>
    <t xml:space="preserve">ZAKARYAN GOHAR R0100025463                        </t>
  </si>
  <si>
    <t xml:space="preserve">SENTAS NEVZAT R0100025464                         </t>
  </si>
  <si>
    <t xml:space="preserve">SEGHIOUER NAFEZ R0100025465                       </t>
  </si>
  <si>
    <t xml:space="preserve">THABET MOUNIRA R0100025466                        </t>
  </si>
  <si>
    <t xml:space="preserve">LAKHRIRAZ RAHMA R0100025467                       </t>
  </si>
  <si>
    <t xml:space="preserve">KASHANIANI IAMZE R0100025469                      </t>
  </si>
  <si>
    <t xml:space="preserve">SERSAR SANAE R0100025472                          </t>
  </si>
  <si>
    <t xml:space="preserve">AMEUR  R0300000996                                </t>
  </si>
  <si>
    <t xml:space="preserve">CAI2303/00175  </t>
  </si>
  <si>
    <t xml:space="preserve">RAPHAEL LAROCHE retour avance de caisse Velo      </t>
  </si>
  <si>
    <t xml:space="preserve">CAI2303/00176  </t>
  </si>
  <si>
    <t xml:space="preserve">RAPHAEL LAROCHE avance de caisse course           </t>
  </si>
  <si>
    <t xml:space="preserve">CAI2303/00177  </t>
  </si>
  <si>
    <t xml:space="preserve">PIERRE ARTHUS remboursement cadenas               </t>
  </si>
  <si>
    <t xml:space="preserve">KHALFA SIMARD LOIS R0100025474                    </t>
  </si>
  <si>
    <t xml:space="preserve">BECHA SAMIRA R0100025475                          </t>
  </si>
  <si>
    <t xml:space="preserve">BERNY NADEGE R0100025476                          </t>
  </si>
  <si>
    <t xml:space="preserve">AMEZRAR FERROUDJA R0100025477                     </t>
  </si>
  <si>
    <t xml:space="preserve">KARIM KELTOUM R0100025478                         </t>
  </si>
  <si>
    <t xml:space="preserve">CAI2303/00179  </t>
  </si>
  <si>
    <t xml:space="preserve">AUDEBEAU AURELIA remboursement repas sortie neige </t>
  </si>
  <si>
    <t xml:space="preserve">CAI2303/00180  </t>
  </si>
  <si>
    <t xml:space="preserve">RAPHAEL LAROCHE                                   </t>
  </si>
  <si>
    <t xml:space="preserve">SAHRAOUI HOUDA R0100025479                        </t>
  </si>
  <si>
    <t xml:space="preserve">MOHAMED BEN KADA KARIM R0100025480                </t>
  </si>
  <si>
    <t xml:space="preserve">BOUKHANOUFA MOUNIR R0100025481                    </t>
  </si>
  <si>
    <t xml:space="preserve">BENMAZOUZ CHELHA R0100025483                      </t>
  </si>
  <si>
    <t xml:space="preserve">BOUDISSA HAMZA R0100025485                        </t>
  </si>
  <si>
    <t xml:space="preserve">ABDELKADER SAMIR R0100025486                      </t>
  </si>
  <si>
    <t xml:space="preserve">NEZZAR FOUDHIL R0100025487                        </t>
  </si>
  <si>
    <t xml:space="preserve">KHEMLICHE KAMEL R0100025488                       </t>
  </si>
  <si>
    <t xml:space="preserve">KARAKAYA TABI R0100025489                         </t>
  </si>
  <si>
    <t xml:space="preserve">CAMARA IBRAHIMA SORY R0300000997                  </t>
  </si>
  <si>
    <t xml:space="preserve">DIABY HASSAN R0300000998                          </t>
  </si>
  <si>
    <t xml:space="preserve">GAUDIN MARIE CLAUDE R0100025491                   </t>
  </si>
  <si>
    <t xml:space="preserve">GIRAUD YVETTE R0100025492                         </t>
  </si>
  <si>
    <t xml:space="preserve">BERTON MADELEINE R0100025493                      </t>
  </si>
  <si>
    <t xml:space="preserve">AMEZRAR FERROUDJA R0100025494                     </t>
  </si>
  <si>
    <t xml:space="preserve">KRADAOUI ZOHRA R0100025495                        </t>
  </si>
  <si>
    <t xml:space="preserve">VILLARD JOELLE R0100025496                        </t>
  </si>
  <si>
    <t xml:space="preserve">SABOUNI MOHAMMED R0100025497                      </t>
  </si>
  <si>
    <t xml:space="preserve">CAI2303/00261  </t>
  </si>
  <si>
    <t xml:space="preserve">RETOUR DE CAISSE : 50 Ç                           </t>
  </si>
  <si>
    <t xml:space="preserve">CAI2303/00278  </t>
  </si>
  <si>
    <t xml:space="preserve">RAPHAEL LAROCHE avance de caisse velo             </t>
  </si>
  <si>
    <t xml:space="preserve">RACHIDI AMINA R0100025498                         </t>
  </si>
  <si>
    <t xml:space="preserve">MAKITA CHRIS R0100025499                          </t>
  </si>
  <si>
    <t xml:space="preserve">ALAHYANE  </t>
  </si>
  <si>
    <t xml:space="preserve">ALAHYANE RKIA                           </t>
  </si>
  <si>
    <t xml:space="preserve">ALAHYANE RKIA R0100025500                         </t>
  </si>
  <si>
    <t xml:space="preserve">SERSAR SANAE R0100025502                          </t>
  </si>
  <si>
    <t xml:space="preserve">BOUKHANOUFA MOUNIR R0100025503                    </t>
  </si>
  <si>
    <t xml:space="preserve">BOUDISSA HAMZA R0100025504                        </t>
  </si>
  <si>
    <t xml:space="preserve">BENMAZOUZ CHELHA R0100025505                      </t>
  </si>
  <si>
    <t xml:space="preserve">ABDELKADER SAMIR R0100025506                      </t>
  </si>
  <si>
    <t xml:space="preserve">BOUDISSA HAMZA R0100025507                        </t>
  </si>
  <si>
    <t xml:space="preserve">MADI TAREK R0100025508                            </t>
  </si>
  <si>
    <t xml:space="preserve">MOHAMED BEN KADA KARIM R0100025509                </t>
  </si>
  <si>
    <t xml:space="preserve">NKOUA EMPANA ELIM R0100025510                     </t>
  </si>
  <si>
    <t xml:space="preserve">MANZAMBI  </t>
  </si>
  <si>
    <t xml:space="preserve">MANZAMBI JUNIOR                         </t>
  </si>
  <si>
    <t xml:space="preserve">MANZAMBI JUNIOR R0100025511                       </t>
  </si>
  <si>
    <t xml:space="preserve">IMERAJ GRESA R0100025512                          </t>
  </si>
  <si>
    <t xml:space="preserve">HACHI     </t>
  </si>
  <si>
    <t xml:space="preserve">HACHI FARID                             </t>
  </si>
  <si>
    <t xml:space="preserve">HACHI FARID R0100025514                           </t>
  </si>
  <si>
    <t xml:space="preserve">PRALUS ANGELIQUE R0100025515                      </t>
  </si>
  <si>
    <t xml:space="preserve">FAROUK    </t>
  </si>
  <si>
    <t xml:space="preserve">FAROUK                                  </t>
  </si>
  <si>
    <t xml:space="preserve">FAROUK  R0200001297                               </t>
  </si>
  <si>
    <t xml:space="preserve">MAJERI Izac R0200001298                           </t>
  </si>
  <si>
    <t xml:space="preserve">RACHIDI AMINA R0200001300                         </t>
  </si>
  <si>
    <t xml:space="preserve">CrÚdit RACHIDI AMINA R0200001300                  </t>
  </si>
  <si>
    <t xml:space="preserve">DJANISSI Habou R0200001301                        </t>
  </si>
  <si>
    <t xml:space="preserve">HABA  R0200001303                                 </t>
  </si>
  <si>
    <t xml:space="preserve">MAYOL Johann R0200001308                          </t>
  </si>
  <si>
    <t xml:space="preserve">CrÚdit MAYOL Johann R0200001308                   </t>
  </si>
  <si>
    <t xml:space="preserve">KOUICI STEVE R0200001311                          </t>
  </si>
  <si>
    <t xml:space="preserve">SAHLI Perrine R0200001316                         </t>
  </si>
  <si>
    <t xml:space="preserve">KOUASSEU MOUNGANG  R0300001002                    </t>
  </si>
  <si>
    <t xml:space="preserve">OSARETIN Augustin R0300001003                     </t>
  </si>
  <si>
    <t xml:space="preserve">CM2303/00285   </t>
  </si>
  <si>
    <t xml:space="preserve">CAI2303/00286  </t>
  </si>
  <si>
    <t xml:space="preserve">SOIFIA MKIDADI REMBOURSEMENT CASTORAMA            </t>
  </si>
  <si>
    <t xml:space="preserve">CAI2303/00287  </t>
  </si>
  <si>
    <t xml:space="preserve">BORAND CYRIL ACHAT LIDL                           </t>
  </si>
  <si>
    <t xml:space="preserve">CAI2303/00291  </t>
  </si>
  <si>
    <t xml:space="preserve">SOIFIA MKIDADI ACHAT BABILHOME                    </t>
  </si>
  <si>
    <t xml:space="preserve">CAI2303/00292  </t>
  </si>
  <si>
    <t xml:space="preserve">ABERKANE ASSIA ACHAT BOULANGERIE                  </t>
  </si>
  <si>
    <t xml:space="preserve">CAI2303/00293  </t>
  </si>
  <si>
    <t xml:space="preserve">SOIFIA MKIDADI RETOUR ESPECE ACHAT BABILHOME      </t>
  </si>
  <si>
    <t xml:space="preserve">SAMIDOU   </t>
  </si>
  <si>
    <t xml:space="preserve">AMIDOU FAOUZIA                          </t>
  </si>
  <si>
    <t xml:space="preserve">CAI2303/00296  </t>
  </si>
  <si>
    <t xml:space="preserve">AMIDOU FAOUZIA remboursement amazon               </t>
  </si>
  <si>
    <t xml:space="preserve">CAI2303/00297  </t>
  </si>
  <si>
    <t xml:space="preserve">ABERKANE ASSIA REMBOURSEMENT PETIT DEJ            </t>
  </si>
  <si>
    <t xml:space="preserve">CAI2303/00301  </t>
  </si>
  <si>
    <t xml:space="preserve">SOIFIA MKIDADI AVANCE DE CAISSE BABILHOME         </t>
  </si>
  <si>
    <t xml:space="preserve">AMEUR  R0300001004                                </t>
  </si>
  <si>
    <t xml:space="preserve">HOCINE MEDJAHED R0300001006                       </t>
  </si>
  <si>
    <t xml:space="preserve">BAKAMBO PERNELLE R0300001008                      </t>
  </si>
  <si>
    <t xml:space="preserve">KEITA KARIFA HAWA R0200001318                     </t>
  </si>
  <si>
    <t xml:space="preserve">KHALFA SIMARD LOIS R0200001319                    </t>
  </si>
  <si>
    <t xml:space="preserve">NTUMBA ThÚthÚ R0200001321                         </t>
  </si>
  <si>
    <t xml:space="preserve">DAHMANI Hajar R0200001322                         </t>
  </si>
  <si>
    <t xml:space="preserve">AMEZRAR FERROUDJA R0100025518                     </t>
  </si>
  <si>
    <t xml:space="preserve">BERTON MADELEINE R0100025519                      </t>
  </si>
  <si>
    <t xml:space="preserve">GAUDIN MARIE CLAUDE R0100025520                   </t>
  </si>
  <si>
    <t xml:space="preserve">GIRAUD YVETTE R0100025521                         </t>
  </si>
  <si>
    <t xml:space="preserve">VILLARD JOELLE R0100025522                        </t>
  </si>
  <si>
    <t xml:space="preserve">VINCENT ADELINE R0100025523                       </t>
  </si>
  <si>
    <t xml:space="preserve">LAKHRIRAZ RAHMA R0100025524                       </t>
  </si>
  <si>
    <t xml:space="preserve">BOUKHANOUFA MOUNIR R0100025525                    </t>
  </si>
  <si>
    <t xml:space="preserve">BOUDISSA HAMZA R0100025526                        </t>
  </si>
  <si>
    <t xml:space="preserve">KARAKAYA TABI R0100025527                         </t>
  </si>
  <si>
    <t xml:space="preserve">ABDELLI HALIMA R0100025528                        </t>
  </si>
  <si>
    <t xml:space="preserve">EL GAROUI AMIR R0100025529                        </t>
  </si>
  <si>
    <t xml:space="preserve">OUJEGHBI  </t>
  </si>
  <si>
    <t xml:space="preserve">OUJEGHBI FATIHA                         </t>
  </si>
  <si>
    <t xml:space="preserve">OUJEGHBI FATIHA R0100025531                       </t>
  </si>
  <si>
    <t xml:space="preserve">MARQUES SIMONE R0100025535                        </t>
  </si>
  <si>
    <t xml:space="preserve">AMRAOUI RATIBA R0100025539                        </t>
  </si>
  <si>
    <t>ALVAREZFAR</t>
  </si>
  <si>
    <t xml:space="preserve">ALVAREZ FARINAS BELEN                   </t>
  </si>
  <si>
    <t xml:space="preserve">ALVAREZ FARINAS BELEN R0100025542                 </t>
  </si>
  <si>
    <t xml:space="preserve">CHETTOUH ASMA R0100025543                         </t>
  </si>
  <si>
    <t xml:space="preserve">CrÚdit CHETTOUH ASMA R0100025543                  </t>
  </si>
  <si>
    <t xml:space="preserve">SHATERIAN </t>
  </si>
  <si>
    <t xml:space="preserve">SHATERIAN ABOLGHASEM                    </t>
  </si>
  <si>
    <t xml:space="preserve">SHATERIAN ABOLGHASEM R0100025544                  </t>
  </si>
  <si>
    <t xml:space="preserve">KOUICI STEVE R0100025546                          </t>
  </si>
  <si>
    <t xml:space="preserve">THABET MOUNIRA R0100025547                        </t>
  </si>
  <si>
    <t xml:space="preserve">BOUCHEKIOUA STEPHANIE R0100025549                 </t>
  </si>
  <si>
    <t xml:space="preserve">COTTIER ELEONORE R0100025551                      </t>
  </si>
  <si>
    <t xml:space="preserve">SMAJIC VELIDA R0100025553                         </t>
  </si>
  <si>
    <t>SELLATHURA</t>
  </si>
  <si>
    <t xml:space="preserve">SELLATHURAI NAGANANTHINI                </t>
  </si>
  <si>
    <t xml:space="preserve">SELLATHURAI NAGANANTHINI R0100025555              </t>
  </si>
  <si>
    <t xml:space="preserve">BENDADACHE ABDELKADER R0100025556                 </t>
  </si>
  <si>
    <t xml:space="preserve">DJELASSI MOUNIR R0100025559                       </t>
  </si>
  <si>
    <t xml:space="preserve">SAUBATTE EWONO R0100025564                        </t>
  </si>
  <si>
    <t xml:space="preserve">FATIC KAMILA R0100025565                          </t>
  </si>
  <si>
    <t xml:space="preserve">DIAW DIOUMOLO R0100025574                         </t>
  </si>
  <si>
    <t xml:space="preserve">ALTIPARMAK HAYRETTIN R0100025576                  </t>
  </si>
  <si>
    <t xml:space="preserve">NAY KSENIIA R0100025578                           </t>
  </si>
  <si>
    <t xml:space="preserve">SLIMANE NAIMA R0100025579                         </t>
  </si>
  <si>
    <t xml:space="preserve">ADOUNI MOHAMED R0100025580                        </t>
  </si>
  <si>
    <t xml:space="preserve">SERSAR SANAE R0100025583                          </t>
  </si>
  <si>
    <t xml:space="preserve">LAVRYNIUK VICTORIA R0100025589                    </t>
  </si>
  <si>
    <t xml:space="preserve">BIBANG MIKUE MARIA R0100025591                    </t>
  </si>
  <si>
    <t xml:space="preserve">DANIAL ZAHARIA R0100025592                        </t>
  </si>
  <si>
    <t xml:space="preserve">ALIC BAHRA R0100025594                            </t>
  </si>
  <si>
    <t xml:space="preserve">CM2303/00303   </t>
  </si>
  <si>
    <t xml:space="preserve">CAI2303/00304  </t>
  </si>
  <si>
    <t xml:space="preserve">KAMBI SITTI avance de caisse centre akor          </t>
  </si>
  <si>
    <t xml:space="preserve">CAI2303/00305  </t>
  </si>
  <si>
    <t xml:space="preserve">CAI2303/00306  </t>
  </si>
  <si>
    <t xml:space="preserve">RAPHAEL LAROCHE MANUEL PREPA FLE                  </t>
  </si>
  <si>
    <t xml:space="preserve">CAI2303/00307  </t>
  </si>
  <si>
    <t xml:space="preserve">RAPHAEL LAROCHE ADHESION MDM                      </t>
  </si>
  <si>
    <t xml:space="preserve">CAI2303/00308  </t>
  </si>
  <si>
    <t xml:space="preserve">SOIFIA MKIDADI RETOUR AVANCE DE CAISSE            </t>
  </si>
  <si>
    <t xml:space="preserve">CAI2303/00369  </t>
  </si>
  <si>
    <t xml:space="preserve">CHRISTOPHE LARCHER REMBOURSEMENT GRANDE LESSIVE   </t>
  </si>
  <si>
    <t xml:space="preserve">CAI2303/00370  </t>
  </si>
  <si>
    <t xml:space="preserve">AUDEBEAU AURELIA ACHAT BRIC A BRAC VAISE          </t>
  </si>
  <si>
    <t xml:space="preserve">BIBANG MIKUE MARIA R0100025596                    </t>
  </si>
  <si>
    <t xml:space="preserve">ALI MARIAMA R0100025600                           </t>
  </si>
  <si>
    <t xml:space="preserve">LAVRYNIUK VICTORIA R0100025604                    </t>
  </si>
  <si>
    <t xml:space="preserve">CrÚdit LAVRYNIUK VICTORIA R0100025604             </t>
  </si>
  <si>
    <t xml:space="preserve">GA03359   </t>
  </si>
  <si>
    <t xml:space="preserve">SMATTI ABDERRAZAK                       </t>
  </si>
  <si>
    <t xml:space="preserve">SMATTI ABDERRAZAK R0100025607                     </t>
  </si>
  <si>
    <t xml:space="preserve">BAUTISTA DANIELA R0100025614                      </t>
  </si>
  <si>
    <t xml:space="preserve">KHEMAIES NOURA R0100025615                        </t>
  </si>
  <si>
    <t xml:space="preserve">GUERIN CHRISTELLE R0100025616                     </t>
  </si>
  <si>
    <t xml:space="preserve">DIAS GONCALVES DO CANTO YARA R0100025617          </t>
  </si>
  <si>
    <t xml:space="preserve">ZAIDI ANISSA R0100025620                          </t>
  </si>
  <si>
    <t xml:space="preserve">DRIS AREME R0100025626                            </t>
  </si>
  <si>
    <t xml:space="preserve">AGGREY ANGELA R0100025629                         </t>
  </si>
  <si>
    <t xml:space="preserve">SLIMANI CHAINEZ R0100025635                       </t>
  </si>
  <si>
    <t xml:space="preserve">SOMMIER VIRGINIE R0100025636                      </t>
  </si>
  <si>
    <t xml:space="preserve">CrÚdit SOMMIER VIRGINIE R0100025636               </t>
  </si>
  <si>
    <t xml:space="preserve">DIAS GONCALVES DO CANTO YARA R0100025637          </t>
  </si>
  <si>
    <t xml:space="preserve">CrÚdit DIAS GONCALVES DO CANTO YARA R0100025637   </t>
  </si>
  <si>
    <t xml:space="preserve">MAKITA CHRIS R0100025639                          </t>
  </si>
  <si>
    <t xml:space="preserve">RACHIDI AMINA R0100025642                         </t>
  </si>
  <si>
    <t xml:space="preserve">KHALFA SIMARD LOIS R0100025643                    </t>
  </si>
  <si>
    <t xml:space="preserve">SIDIBE MAMADOU R0100025647                        </t>
  </si>
  <si>
    <t xml:space="preserve">Ann LAVRYNIUK VICTORIA R0100025589                </t>
  </si>
  <si>
    <t xml:space="preserve">BEN AHMED NADIA R0300001009                       </t>
  </si>
  <si>
    <t xml:space="preserve">AZEIZ  R0300001011                                </t>
  </si>
  <si>
    <t xml:space="preserve">CrÚdit AZEIZ  R0300001011                         </t>
  </si>
  <si>
    <t xml:space="preserve">AKAKBA LARBI R0300001012                          </t>
  </si>
  <si>
    <t xml:space="preserve">CrÚdit AKAKBA LARBI R0300001012                   </t>
  </si>
  <si>
    <t xml:space="preserve">CAI2303/00371  </t>
  </si>
  <si>
    <t xml:space="preserve">AUDEBEAU AURELIA RETOUR DE CAISSE                 </t>
  </si>
  <si>
    <t xml:space="preserve">CM2303/00283   </t>
  </si>
  <si>
    <t xml:space="preserve">Remise de chÞques n░ 20230315                     </t>
  </si>
  <si>
    <t xml:space="preserve">CM2303/00302   </t>
  </si>
  <si>
    <t xml:space="preserve">Remise de chÞques n░ 20230323                     </t>
  </si>
  <si>
    <t xml:space="preserve">CM2303/00319   </t>
  </si>
  <si>
    <t xml:space="preserve">Remise de chÞques n░ 20230327                     </t>
  </si>
  <si>
    <t xml:space="preserve">CM2303/00320   </t>
  </si>
  <si>
    <t xml:space="preserve">Remise de chÞques n░ 20230327-2                   </t>
  </si>
  <si>
    <t xml:space="preserve">SALMI     </t>
  </si>
  <si>
    <t xml:space="preserve">SALMI SONIA                             </t>
  </si>
  <si>
    <t xml:space="preserve">STANKOVIC </t>
  </si>
  <si>
    <t xml:space="preserve">STANKOVIC ZEID                          </t>
  </si>
  <si>
    <t xml:space="preserve">JACQUEMIN </t>
  </si>
  <si>
    <t xml:space="preserve">JACQUEMIN GWENDOLINE                    </t>
  </si>
  <si>
    <t xml:space="preserve">BFC2304/00387  </t>
  </si>
  <si>
    <t xml:space="preserve">BAN2304/00388  </t>
  </si>
  <si>
    <t xml:space="preserve">BAN2304/00390  </t>
  </si>
  <si>
    <t xml:space="preserve">BAN2304/00393  </t>
  </si>
  <si>
    <t xml:space="preserve">CAI2304/00372  </t>
  </si>
  <si>
    <t xml:space="preserve">AVANCE DE CAISSE RAPHAEL                          </t>
  </si>
  <si>
    <t xml:space="preserve">CAI2304/00389  </t>
  </si>
  <si>
    <t xml:space="preserve">AVANCE DE CAISSE ASSIA ACTION/CARREFOUR           </t>
  </si>
  <si>
    <t xml:space="preserve">CM2304/00376   </t>
  </si>
  <si>
    <t xml:space="preserve">Remise de chÞques n░ 20230404                     </t>
  </si>
  <si>
    <t xml:space="preserve">CHQ SAEM - SORTIE NEIGE ADULTE                    </t>
  </si>
  <si>
    <t xml:space="preserve">CM2302/00484   </t>
  </si>
  <si>
    <t xml:space="preserve">CM2302/00483   </t>
  </si>
  <si>
    <t xml:space="preserve">CHQ MUSEE DE L'ILLUSION                           </t>
  </si>
  <si>
    <t xml:space="preserve">CM2302/00482   </t>
  </si>
  <si>
    <t xml:space="preserve">PRLV ORANGE 80970349                              </t>
  </si>
  <si>
    <t xml:space="preserve">CM2302/00481   </t>
  </si>
  <si>
    <t xml:space="preserve">Remise de chèques n° 20230228                     </t>
  </si>
  <si>
    <t xml:space="preserve">Remise de chèques n° 20230227                     </t>
  </si>
  <si>
    <t xml:space="preserve">Remise de chèques n° 20230216                     </t>
  </si>
  <si>
    <t xml:space="preserve">Annulation remise de chèques n° 20230216          </t>
  </si>
  <si>
    <t>Chèque impayé - Remise de chèques 20230201 - BADRE</t>
  </si>
  <si>
    <t xml:space="preserve">Chèque impayé - BADREDDINE DALILA R0100025124     </t>
  </si>
  <si>
    <t>Chèque impayé - Remise de chèques 20230201 - MRIDA</t>
  </si>
  <si>
    <t xml:space="preserve">Chèque impayé - MRIDA LEILA R0100025220           </t>
  </si>
  <si>
    <t xml:space="preserve">Remise de chèques n° 20230201                     </t>
  </si>
  <si>
    <t xml:space="preserve">CM2302/00480   </t>
  </si>
  <si>
    <t xml:space="preserve">CHQ KEOLIS 6/11                                   </t>
  </si>
  <si>
    <t xml:space="preserve">CM2302/00479   </t>
  </si>
  <si>
    <t xml:space="preserve">CHQ TCL  3/6                                      </t>
  </si>
  <si>
    <t xml:space="preserve">CM2302/00478   </t>
  </si>
  <si>
    <t xml:space="preserve">CHQ HAPIK AL 9/13                                 </t>
  </si>
  <si>
    <t xml:space="preserve">CM2302/00477   </t>
  </si>
  <si>
    <t xml:space="preserve">CHQ CINEMA LES ALIZES                             </t>
  </si>
  <si>
    <t xml:space="preserve">CM2302/00476   </t>
  </si>
  <si>
    <t xml:space="preserve">CB AMAZON / VOIR NDF                              </t>
  </si>
  <si>
    <t xml:space="preserve">CM2302/00475   </t>
  </si>
  <si>
    <t xml:space="preserve">PRLV ORANGE FIBRE 1683A9                          </t>
  </si>
  <si>
    <t xml:space="preserve">CM2302/00474   </t>
  </si>
  <si>
    <t xml:space="preserve">CM2302/00473   </t>
  </si>
  <si>
    <t xml:space="preserve">CHQ MAISON POUR TOUS AL 3/6                       </t>
  </si>
  <si>
    <t xml:space="preserve">CM2302/00472   </t>
  </si>
  <si>
    <t xml:space="preserve">CM2302/00471   </t>
  </si>
  <si>
    <t xml:space="preserve">LOCATION SDC LE FLORIAN AG 15/03                  </t>
  </si>
  <si>
    <t xml:space="preserve">CM2302/00470   </t>
  </si>
  <si>
    <t xml:space="preserve">CM2302/00469   </t>
  </si>
  <si>
    <t xml:space="preserve">CHQ CINEMA LE TOBOGGAN 6/13                       </t>
  </si>
  <si>
    <t xml:space="preserve">CM2302/00468   </t>
  </si>
  <si>
    <t xml:space="preserve">CHQ SOCCER FIVE                                   </t>
  </si>
  <si>
    <t xml:space="preserve">CM2302/00467   </t>
  </si>
  <si>
    <t xml:space="preserve">CHQ UGC 9/13 MER                                  </t>
  </si>
  <si>
    <t xml:space="preserve">CM2302/00466   </t>
  </si>
  <si>
    <t xml:space="preserve">CB LA POSTE - TIMBRE                              </t>
  </si>
  <si>
    <t xml:space="preserve">CM2302/00465   </t>
  </si>
  <si>
    <t xml:space="preserve">CM2302/00464   </t>
  </si>
  <si>
    <t xml:space="preserve">RETRO FACTURE 54346094 OPE 01/11/22               </t>
  </si>
  <si>
    <t xml:space="preserve">CM2302/00463   </t>
  </si>
  <si>
    <t xml:space="preserve">CHQ LA MAISON DE GUIGNOL 6/11                     </t>
  </si>
  <si>
    <t xml:space="preserve">CM2302/00462   </t>
  </si>
  <si>
    <t xml:space="preserve">CHQ EXALTO                                        </t>
  </si>
  <si>
    <t xml:space="preserve">CM2302/00461   </t>
  </si>
  <si>
    <t xml:space="preserve">CM2302/00460   </t>
  </si>
  <si>
    <t xml:space="preserve">PRLV ORANGE FIBRE 864A6                           </t>
  </si>
  <si>
    <t xml:space="preserve">CM2302/00459   </t>
  </si>
  <si>
    <t xml:space="preserve">PRLV ORANGE FIXE 4023A6                           </t>
  </si>
  <si>
    <t xml:space="preserve">CM2302/00458   </t>
  </si>
  <si>
    <t xml:space="preserve">CB MARKET / VOIR NDF                              </t>
  </si>
  <si>
    <t xml:space="preserve">CM2302/00457   </t>
  </si>
  <si>
    <t xml:space="preserve">CM2302/00456   </t>
  </si>
  <si>
    <t xml:space="preserve">CM2302/00455   </t>
  </si>
  <si>
    <t xml:space="preserve">AÏNINE Mohamed R0200001296                        </t>
  </si>
  <si>
    <t xml:space="preserve">AÏNINE Mohamed                          </t>
  </si>
  <si>
    <t xml:space="preserve">Crédit AKAKBA LARBI R0300000991                   </t>
  </si>
  <si>
    <t xml:space="preserve">Crédit MAKITA CHRIS R0100025356                   </t>
  </si>
  <si>
    <t xml:space="preserve">Crédit SLIMANE NAIMA R0100025355                  </t>
  </si>
  <si>
    <t xml:space="preserve">Crédit RACHIDI AMINA R0200001281                  </t>
  </si>
  <si>
    <t xml:space="preserve">Crédit COTTIER ELEONORE R0100025290               </t>
  </si>
  <si>
    <t xml:space="preserve">Crédit TENNAH BENSALEM CHAIMA R0100025283         </t>
  </si>
  <si>
    <t xml:space="preserve">Crédit TENNAH BENSALEM CHAIMA R0100025282         </t>
  </si>
  <si>
    <t xml:space="preserve">BFC2302/00454  </t>
  </si>
  <si>
    <t xml:space="preserve">BFC2302/00453  </t>
  </si>
  <si>
    <t xml:space="preserve">REMUNERATIONS DUES 02/23                          </t>
  </si>
  <si>
    <t xml:space="preserve">BFC2302/00452  </t>
  </si>
  <si>
    <t xml:space="preserve">VIREMENTS INTERNES / LIVRET ASSO                  </t>
  </si>
  <si>
    <t xml:space="preserve">BFC2302/00451  </t>
  </si>
  <si>
    <t xml:space="preserve">VIREMENTS INTERNES / LIVRET A                     </t>
  </si>
  <si>
    <t xml:space="preserve">BFC2302/00450  </t>
  </si>
  <si>
    <t xml:space="preserve">BFC2302/00449  </t>
  </si>
  <si>
    <t xml:space="preserve">BFC2302/00448  </t>
  </si>
  <si>
    <t xml:space="preserve">BFC2302/00447  </t>
  </si>
  <si>
    <t xml:space="preserve">VIREMENT ACPTE CLAS 22/23                         </t>
  </si>
  <si>
    <t xml:space="preserve">BFC2302/00446  </t>
  </si>
  <si>
    <t xml:space="preserve">BFC2302/00445  </t>
  </si>
  <si>
    <t xml:space="preserve">BFC2302/00444  </t>
  </si>
  <si>
    <t xml:space="preserve">BFC2302/00443  </t>
  </si>
  <si>
    <t xml:space="preserve">BFC2302/00442  </t>
  </si>
  <si>
    <t xml:space="preserve">BFC2302/00441  </t>
  </si>
  <si>
    <t xml:space="preserve">BFC2302/00436  </t>
  </si>
  <si>
    <t xml:space="preserve">BFC2302/00435  </t>
  </si>
  <si>
    <t xml:space="preserve">BFC2302/00434  </t>
  </si>
  <si>
    <t xml:space="preserve">BFC2302/00433  </t>
  </si>
  <si>
    <t xml:space="preserve">BFC2302/00432  </t>
  </si>
  <si>
    <t xml:space="preserve">BFC2302/00431  </t>
  </si>
  <si>
    <t xml:space="preserve">BFC2302/00430  </t>
  </si>
  <si>
    <t xml:space="preserve">BFC2302/00429  </t>
  </si>
  <si>
    <t xml:space="preserve">TAXE SUR LES SALAIRES 01/23                       </t>
  </si>
  <si>
    <t xml:space="preserve">BFC2302/00428  </t>
  </si>
  <si>
    <t xml:space="preserve">BFC2302/00427  </t>
  </si>
  <si>
    <t xml:space="preserve">BFC2302/00426  </t>
  </si>
  <si>
    <t xml:space="preserve">FRAIS INTERVENTION                                </t>
  </si>
  <si>
    <t xml:space="preserve">BFC2302/00425  </t>
  </si>
  <si>
    <t xml:space="preserve">BFC2302/00424  </t>
  </si>
  <si>
    <t xml:space="preserve">BFC2302/00423  </t>
  </si>
  <si>
    <t xml:space="preserve">Virement direct à des tiers                       </t>
  </si>
  <si>
    <t xml:space="preserve">Virement à un tiers                               </t>
  </si>
  <si>
    <t>COMPTE D'ATTENTE</t>
  </si>
  <si>
    <t xml:space="preserve">PRLV ORANGE INTERNET 8203C0                       </t>
  </si>
  <si>
    <t xml:space="preserve">CM2303/00557   </t>
  </si>
  <si>
    <t xml:space="preserve">CHQ PLAY IN PARK AL 9/13                          </t>
  </si>
  <si>
    <t xml:space="preserve">CM2303/00556   </t>
  </si>
  <si>
    <t xml:space="preserve">CM2303/00555   </t>
  </si>
  <si>
    <t xml:space="preserve">CHQ MINI WORLD LYON AL 9/13                       </t>
  </si>
  <si>
    <t xml:space="preserve">CM2303/00554   </t>
  </si>
  <si>
    <t xml:space="preserve">PRLV ORANGE 81335700                              </t>
  </si>
  <si>
    <t xml:space="preserve">CM2302/00552   </t>
  </si>
  <si>
    <t xml:space="preserve">PRLV ORANGE FIBRE 1683B7                          </t>
  </si>
  <si>
    <t xml:space="preserve">CM2303/00550   </t>
  </si>
  <si>
    <t xml:space="preserve">Remise de chèques n° 20230315                     </t>
  </si>
  <si>
    <t xml:space="preserve">CHQ UGC 9/13                                      </t>
  </si>
  <si>
    <t xml:space="preserve">CM2303/00549   </t>
  </si>
  <si>
    <t xml:space="preserve">CM2303/00548   </t>
  </si>
  <si>
    <t xml:space="preserve">CHQ CINEMA LE TOBOGGAN ADULTE                     </t>
  </si>
  <si>
    <t xml:space="preserve">CM2303/00547   </t>
  </si>
  <si>
    <t xml:space="preserve">CHQ CINEMA LE TOBOGGAN 3/6                        </t>
  </si>
  <si>
    <t xml:space="preserve">CM2303/00546   </t>
  </si>
  <si>
    <t xml:space="preserve">CM2303/00545   </t>
  </si>
  <si>
    <t xml:space="preserve">VIREMENTS INTERNES / CREDIT COOP                  </t>
  </si>
  <si>
    <t xml:space="preserve">CM2303/00544   </t>
  </si>
  <si>
    <t xml:space="preserve">PRLV ORANGE FIBRE 8643B4                          </t>
  </si>
  <si>
    <t xml:space="preserve">CM2303/00543   </t>
  </si>
  <si>
    <t xml:space="preserve">CB MARKET / NDF ?                                 </t>
  </si>
  <si>
    <t xml:space="preserve">CM2303/00542   </t>
  </si>
  <si>
    <t xml:space="preserve">CHQ BOWLINGSTAR (01/2022)                         </t>
  </si>
  <si>
    <t xml:space="preserve">CM2303/00541   </t>
  </si>
  <si>
    <t xml:space="preserve">BOWLINGSTAR LYON 8ème                   </t>
  </si>
  <si>
    <t xml:space="preserve">PRLV ORANGE 81034497                              </t>
  </si>
  <si>
    <t xml:space="preserve">CM2303/00540   </t>
  </si>
  <si>
    <t xml:space="preserve">PRLV ORANGE 81034558                              </t>
  </si>
  <si>
    <t xml:space="preserve">CM2303/00539   </t>
  </si>
  <si>
    <t xml:space="preserve">CM2303/00538   </t>
  </si>
  <si>
    <t xml:space="preserve">CHQ PATINOIRE CHARLEMAGNE                         </t>
  </si>
  <si>
    <t xml:space="preserve">CM2303/00537   </t>
  </si>
  <si>
    <t xml:space="preserve">PRLV ORANGE INTERNET 8203B2                       </t>
  </si>
  <si>
    <t xml:space="preserve">CM2303/00536   </t>
  </si>
  <si>
    <t xml:space="preserve">CHQ UGC AL 9/13                                   </t>
  </si>
  <si>
    <t xml:space="preserve">CM2303/00535   </t>
  </si>
  <si>
    <t xml:space="preserve">Remise de chèques n° 20230327-2                   </t>
  </si>
  <si>
    <t xml:space="preserve">Remise de chèques n° 20230327                     </t>
  </si>
  <si>
    <t xml:space="preserve">Remise de chèques n° 20230323                     </t>
  </si>
  <si>
    <t xml:space="preserve">Crédit AKAKBA LARBI R0300001012                   </t>
  </si>
  <si>
    <t xml:space="preserve">Crédit AZEIZ  R0300001011                         </t>
  </si>
  <si>
    <t xml:space="preserve">Crédit DIAS GONCALVES DO CANTO YARA R0100025637   </t>
  </si>
  <si>
    <t xml:space="preserve">Crédit SOMMIER VIRGINIE R0100025636               </t>
  </si>
  <si>
    <t xml:space="preserve">Crédit LAVRYNIUK VICTORIA R0100025604             </t>
  </si>
  <si>
    <t xml:space="preserve">Crédit CHETTOUH ASMA R0100025543                  </t>
  </si>
  <si>
    <t xml:space="preserve">NTUMBA Théthé R0200001321                         </t>
  </si>
  <si>
    <t xml:space="preserve">NTUMBA Théthé                           </t>
  </si>
  <si>
    <t xml:space="preserve">Crédit MAYOL Johann R0200001308                   </t>
  </si>
  <si>
    <t xml:space="preserve">Crédit RACHIDI AMINA R0200001300                  </t>
  </si>
  <si>
    <t xml:space="preserve">RETOUR DE CAISSE : 50 €                           </t>
  </si>
  <si>
    <t xml:space="preserve">Crédit SANVISEN QUENTIN R0100025460               </t>
  </si>
  <si>
    <t xml:space="preserve">BFC2303/00512  </t>
  </si>
  <si>
    <t xml:space="preserve">VIRT REJETE TOBOGGAN / ERREUR RIB                 </t>
  </si>
  <si>
    <t xml:space="preserve">BFC2303/00511  </t>
  </si>
  <si>
    <t xml:space="preserve">BFC2303/00534  </t>
  </si>
  <si>
    <t xml:space="preserve">BFC2303/00533  </t>
  </si>
  <si>
    <t xml:space="preserve">REMUNERATIONS DUES 03/23                          </t>
  </si>
  <si>
    <t xml:space="preserve">BFC2303/00532  </t>
  </si>
  <si>
    <t xml:space="preserve">VIRT SOLDE FSE 2020                               </t>
  </si>
  <si>
    <t xml:space="preserve">BFC2303/00531  </t>
  </si>
  <si>
    <t xml:space="preserve">BFC2303/00530  </t>
  </si>
  <si>
    <t xml:space="preserve">BFC2303/00529  </t>
  </si>
  <si>
    <t xml:space="preserve">BFC2303/00528  </t>
  </si>
  <si>
    <t xml:space="preserve">BFC2303/00527  </t>
  </si>
  <si>
    <t xml:space="preserve">BFC2303/00526  </t>
  </si>
  <si>
    <t xml:space="preserve">VIRT VILLE MISE A DISPO ANIM.                     </t>
  </si>
  <si>
    <t xml:space="preserve">BFC2303/00525  </t>
  </si>
  <si>
    <t xml:space="preserve">VIRT VILLE ACPTE SUBV 2023                        </t>
  </si>
  <si>
    <t xml:space="preserve">BFC2303/00524  </t>
  </si>
  <si>
    <t xml:space="preserve">BFC2303/00523  </t>
  </si>
  <si>
    <t xml:space="preserve">BFC2303/00522  </t>
  </si>
  <si>
    <t xml:space="preserve">BFC2303/00521  </t>
  </si>
  <si>
    <t xml:space="preserve">VIRT ACPTE CAF PS AL PERISCO                      </t>
  </si>
  <si>
    <t xml:space="preserve">BFC2303/00520  </t>
  </si>
  <si>
    <t xml:space="preserve">VIRT ACPTE CAF PS AL EXTRASCO                     </t>
  </si>
  <si>
    <t xml:space="preserve">VIRT ACPTE CAF  PS AG CYPRIAN                     </t>
  </si>
  <si>
    <t xml:space="preserve">BFC2303/00519  </t>
  </si>
  <si>
    <t xml:space="preserve">VIRT ACPTE CAF  PS AG CFAL                        </t>
  </si>
  <si>
    <t xml:space="preserve">VIRT / VILLE A RECEVOIR                           </t>
  </si>
  <si>
    <t xml:space="preserve">BFC2303/00518  </t>
  </si>
  <si>
    <t xml:space="preserve">REMB. LEO LAGRANGE DECINES                        </t>
  </si>
  <si>
    <t xml:space="preserve">BFC2303/00517  </t>
  </si>
  <si>
    <t xml:space="preserve">BFC2303/00516  </t>
  </si>
  <si>
    <t xml:space="preserve">VIRT ACPTE  CAF ACF CYPRIAN 2023                  </t>
  </si>
  <si>
    <t xml:space="preserve">BFC2303/00515  </t>
  </si>
  <si>
    <t xml:space="preserve">VIRT ACPTE CAF ACF CFAL 2023                      </t>
  </si>
  <si>
    <t xml:space="preserve">BFC2303/00514  </t>
  </si>
  <si>
    <t xml:space="preserve">BFC2303/00513  </t>
  </si>
  <si>
    <t xml:space="preserve">BFC2303/00510  </t>
  </si>
  <si>
    <t xml:space="preserve">VIRT ACPTE CAF PS BAB/GRIB 2023                   </t>
  </si>
  <si>
    <t xml:space="preserve">BFC2303/00509  </t>
  </si>
  <si>
    <t xml:space="preserve">VIRT ACPTE CAF PS GRIBOUILLE 2023                 </t>
  </si>
  <si>
    <t xml:space="preserve">BFC2303/00508  </t>
  </si>
  <si>
    <t xml:space="preserve">VIREMENTS INTERNES / CREDIT MUTUEL                </t>
  </si>
  <si>
    <t xml:space="preserve">BFC2303/00507  </t>
  </si>
  <si>
    <t xml:space="preserve">BFC2303/00506  </t>
  </si>
  <si>
    <t xml:space="preserve">VIRT CHORUM PREV. BRINGUIER                       </t>
  </si>
  <si>
    <t xml:space="preserve">BFC2303/00505  </t>
  </si>
  <si>
    <t xml:space="preserve">BFC2303/00504  </t>
  </si>
  <si>
    <t xml:space="preserve">BFC2303/00503  </t>
  </si>
  <si>
    <t xml:space="preserve">BFC2303/00502  </t>
  </si>
  <si>
    <t xml:space="preserve">BFC2303/00501  </t>
  </si>
  <si>
    <t xml:space="preserve">BFC2303/00500  </t>
  </si>
  <si>
    <t xml:space="preserve">BFC2303/00499  </t>
  </si>
  <si>
    <t xml:space="preserve">BFC2303/00498  </t>
  </si>
  <si>
    <t xml:space="preserve">BFC2303/00497  </t>
  </si>
  <si>
    <t xml:space="preserve">BFC2303/00496  </t>
  </si>
  <si>
    <t xml:space="preserve">BFC2303/00495  </t>
  </si>
  <si>
    <t>FSE</t>
  </si>
  <si>
    <t xml:space="preserve">HABA Pola-Esther                        </t>
  </si>
  <si>
    <t xml:space="preserve">FAROUK Ali                              </t>
  </si>
  <si>
    <t xml:space="preserve">BFC2304/00739  </t>
  </si>
  <si>
    <t xml:space="preserve">BFC2304/00740  </t>
  </si>
  <si>
    <t xml:space="preserve">BFC2304/00741  </t>
  </si>
  <si>
    <t xml:space="preserve">PRELV VEAMA                                       </t>
  </si>
  <si>
    <t xml:space="preserve">BFC2304/00742  </t>
  </si>
  <si>
    <t xml:space="preserve">SERVICES BANCAIRES / INTERET DEBITEUR             </t>
  </si>
  <si>
    <t xml:space="preserve">BFC2304/00743  </t>
  </si>
  <si>
    <t xml:space="preserve">SERVICES BANCAIRES / COMMISSIONS                  </t>
  </si>
  <si>
    <t xml:space="preserve">BFC2304/00744  </t>
  </si>
  <si>
    <t xml:space="preserve">SERVICES BANCAIRES / FRAIS TENUE DE COMPTE        </t>
  </si>
  <si>
    <t xml:space="preserve">BFC2304/00745  </t>
  </si>
  <si>
    <t xml:space="preserve">BFC2304/00746  </t>
  </si>
  <si>
    <t xml:space="preserve">BFC2304/00747  </t>
  </si>
  <si>
    <t xml:space="preserve">BFC2304/00748  </t>
  </si>
  <si>
    <t xml:space="preserve">BFC2304/00749  </t>
  </si>
  <si>
    <t xml:space="preserve">BFC2304/00750  </t>
  </si>
  <si>
    <t xml:space="preserve">VIRT VILLE PERISCO P2A                            </t>
  </si>
  <si>
    <t xml:space="preserve">BFC2304/00751  </t>
  </si>
  <si>
    <t xml:space="preserve">BFC2304/00752  </t>
  </si>
  <si>
    <t xml:space="preserve">BFC2304/00753  </t>
  </si>
  <si>
    <t xml:space="preserve">BFC2304/00754  </t>
  </si>
  <si>
    <t xml:space="preserve">MSA PS EAJE+AL                                    </t>
  </si>
  <si>
    <t xml:space="preserve">BFC2304/00755  </t>
  </si>
  <si>
    <t xml:space="preserve">BFC2304/00756  </t>
  </si>
  <si>
    <t xml:space="preserve">BFC2304/00757  </t>
  </si>
  <si>
    <t xml:space="preserve">BFC2304/00758  </t>
  </si>
  <si>
    <t xml:space="preserve">BFC2304/00759  </t>
  </si>
  <si>
    <t xml:space="preserve">BFC2304/00760  </t>
  </si>
  <si>
    <t xml:space="preserve">BFC2304/00761  </t>
  </si>
  <si>
    <t xml:space="preserve">BFC2304/00762  </t>
  </si>
  <si>
    <t xml:space="preserve">ACPTE VILLE EXTRA/PERI 2023                       </t>
  </si>
  <si>
    <t xml:space="preserve">BFC2304/00763  </t>
  </si>
  <si>
    <t xml:space="preserve">ACPTE VILLE PETITE ENFANCE 2023                   </t>
  </si>
  <si>
    <t xml:space="preserve">BFC2304/00764  </t>
  </si>
  <si>
    <t xml:space="preserve">BFC2304/00765  </t>
  </si>
  <si>
    <t xml:space="preserve">2E ACPTE CAF ANIMATION GLOBALE CYPRIAN            </t>
  </si>
  <si>
    <t xml:space="preserve">BFC2304/00766  </t>
  </si>
  <si>
    <t xml:space="preserve">2E ACPTE CAF ANIMATION GLOBALE CFAL               </t>
  </si>
  <si>
    <t xml:space="preserve">BFC2304/00767  </t>
  </si>
  <si>
    <t xml:space="preserve">BAN2304/00421  </t>
  </si>
  <si>
    <t xml:space="preserve">BFC2304/00422  </t>
  </si>
  <si>
    <t xml:space="preserve">CAI2304/00572  </t>
  </si>
  <si>
    <t xml:space="preserve">LARCHER - REMB. NDF                               </t>
  </si>
  <si>
    <t xml:space="preserve">CAI2304/00573  </t>
  </si>
  <si>
    <t xml:space="preserve">AVANCE DE CAISSE LAROCHE / VAC. AVRIL CINE        </t>
  </si>
  <si>
    <t xml:space="preserve">CAI2304/00574  </t>
  </si>
  <si>
    <t xml:space="preserve">AVANCE LAROCHE DECATHLON SORTIE VFS               </t>
  </si>
  <si>
    <t xml:space="preserve">CAI2304/00575  </t>
  </si>
  <si>
    <t xml:space="preserve">RETOUR DE CAISSE CINE LAROCHE                     </t>
  </si>
  <si>
    <t xml:space="preserve">CAI2304/00576  </t>
  </si>
  <si>
    <t xml:space="preserve">RETOUR DE CAISSE DECATHLON LAROCHE                </t>
  </si>
  <si>
    <t xml:space="preserve">CAI2304/00577  </t>
  </si>
  <si>
    <t xml:space="preserve">AVANCE DE CAISSE LAROCHE CINE                     </t>
  </si>
  <si>
    <t xml:space="preserve">CAI2304/00578  </t>
  </si>
  <si>
    <t xml:space="preserve">RETOUR DE CAISSE LAROCHE ACTIVITE                 </t>
  </si>
  <si>
    <t xml:space="preserve">CAI2304/00579  </t>
  </si>
  <si>
    <t xml:space="preserve">RETOUR DE CAISSE LAROCHE CINE                     </t>
  </si>
  <si>
    <t xml:space="preserve">IMERAJ GRESA R0100025650                          </t>
  </si>
  <si>
    <t xml:space="preserve">DIAGOLA SAMBA R0100025651                         </t>
  </si>
  <si>
    <t xml:space="preserve">SANLAVILLE THOMAS                       </t>
  </si>
  <si>
    <t xml:space="preserve">SANLAVILLE THOMAS R0100025652                     </t>
  </si>
  <si>
    <t xml:space="preserve">VAY MEI-LING R0100025653                          </t>
  </si>
  <si>
    <t xml:space="preserve">AOUJI ZOHRA R0100025654                           </t>
  </si>
  <si>
    <t xml:space="preserve">LAKHRIRAZ RAHMA R0100025655                       </t>
  </si>
  <si>
    <t xml:space="preserve">AMEZRAR FERROUDJA R0100025656                     </t>
  </si>
  <si>
    <t xml:space="preserve">BERTON MADELEINE R0100025657                      </t>
  </si>
  <si>
    <t xml:space="preserve">TEMPESTA GINA R0100025658                         </t>
  </si>
  <si>
    <t xml:space="preserve">VILLARD JOELLE R0100025659                        </t>
  </si>
  <si>
    <t xml:space="preserve">GIRAUD YVETTE R0100025660                         </t>
  </si>
  <si>
    <t xml:space="preserve">GAUDIN MARIE CLAUDE R0100025661                   </t>
  </si>
  <si>
    <t xml:space="preserve">HARIZI WANNIS R0100025662                         </t>
  </si>
  <si>
    <t xml:space="preserve">HAMOUDI   </t>
  </si>
  <si>
    <t xml:space="preserve">HAMOUDI VIRGINIE                        </t>
  </si>
  <si>
    <t xml:space="preserve">HAMOUDI VIRGINIE R0100025663                      </t>
  </si>
  <si>
    <t xml:space="preserve">SAID OUASSILA R0100025666                         </t>
  </si>
  <si>
    <t xml:space="preserve">MAKITA CHRIS R0100025667                          </t>
  </si>
  <si>
    <t xml:space="preserve">KHEMAIES NOURA R0100025668                        </t>
  </si>
  <si>
    <t xml:space="preserve">ADOUNI MOHAMED R0100025669                        </t>
  </si>
  <si>
    <t xml:space="preserve">BOYACI SIBEL R0100025670                          </t>
  </si>
  <si>
    <t xml:space="preserve">SAHLI Perrine R0200001325                         </t>
  </si>
  <si>
    <t xml:space="preserve">FAROUK Ali R0200001326                            </t>
  </si>
  <si>
    <t xml:space="preserve">Crédit FAROUK Ali R0200001326                     </t>
  </si>
  <si>
    <t xml:space="preserve">NTUMBA Théthé R0200001328                         </t>
  </si>
  <si>
    <t xml:space="preserve">KOUICI STEVE R0200001330                          </t>
  </si>
  <si>
    <t xml:space="preserve">COLLOMB Geoffrey R0200001331                      </t>
  </si>
  <si>
    <t xml:space="preserve">DJANISSI Habou R0200001333                        </t>
  </si>
  <si>
    <t xml:space="preserve">HABA Pola-Esther R0200001335                      </t>
  </si>
  <si>
    <t xml:space="preserve">MAYOL Johann R0200001339                          </t>
  </si>
  <si>
    <t xml:space="preserve">KINANVUIDI DJIMY R0300001015                      </t>
  </si>
  <si>
    <t xml:space="preserve">TRAORE MARIAM R0300001020                         </t>
  </si>
  <si>
    <t xml:space="preserve">KOUASSEU MOUNGANG  R0300001021                    </t>
  </si>
  <si>
    <t xml:space="preserve">AMEUR  R0300001023                                </t>
  </si>
  <si>
    <t xml:space="preserve">CAI2304/00580  </t>
  </si>
  <si>
    <t xml:space="preserve">AVANCE DE CAISSE LAROCHE COURSES REPAS SOLIDAIRE  </t>
  </si>
  <si>
    <t xml:space="preserve">CM2304/00583   </t>
  </si>
  <si>
    <t xml:space="preserve">CAI2304/00584  </t>
  </si>
  <si>
    <t xml:space="preserve">RETOUR DE CAISSE ABERKANE ENFANCE                 </t>
  </si>
  <si>
    <t xml:space="preserve">BOUDISSA HAMZA R0100025698                        </t>
  </si>
  <si>
    <t xml:space="preserve">KARAKAYA TABI R0100025699                         </t>
  </si>
  <si>
    <t xml:space="preserve">BOUDISSA HAMZA R0100025700                        </t>
  </si>
  <si>
    <t xml:space="preserve">KARAKAYA TABI R0100025701                         </t>
  </si>
  <si>
    <t xml:space="preserve">SAHRAOUI HOUDA R0100025702                        </t>
  </si>
  <si>
    <t xml:space="preserve">NEZZAR FOUDHIL R0100025703                        </t>
  </si>
  <si>
    <t xml:space="preserve">BENMAZOUZ CHELHA R0100025704                      </t>
  </si>
  <si>
    <t xml:space="preserve">BOUKHANOUFA MOUNIR R0100025705                    </t>
  </si>
  <si>
    <t xml:space="preserve">NKOUA EMPANA ELIM R0100025706                     </t>
  </si>
  <si>
    <t xml:space="preserve">ABDELLI HALIMA R0100025708                        </t>
  </si>
  <si>
    <t xml:space="preserve">DRISS MOHAMED R0100025709                         </t>
  </si>
  <si>
    <t xml:space="preserve">ABDELKADER SAMIR R0100025710                      </t>
  </si>
  <si>
    <t xml:space="preserve">BOUDISSA HAMZA R0100025711                        </t>
  </si>
  <si>
    <t xml:space="preserve">KHEMLICHE KAMEL R0100025712                       </t>
  </si>
  <si>
    <t xml:space="preserve">KHEMLICHE KAMEL R0100025713                       </t>
  </si>
  <si>
    <t xml:space="preserve">NEZZAR FOUDHIL R0100025714                        </t>
  </si>
  <si>
    <t xml:space="preserve">SAHRAOUI HOUDA R0100025715                        </t>
  </si>
  <si>
    <t xml:space="preserve">DRISS MOHAMED R0100025716                         </t>
  </si>
  <si>
    <t xml:space="preserve">HAMRANI DALILA R0100025717                        </t>
  </si>
  <si>
    <t xml:space="preserve">ZEKRI SABRI R0100025718                           </t>
  </si>
  <si>
    <t xml:space="preserve">SIOUDA CHAHRAZAD R0100025719                      </t>
  </si>
  <si>
    <t xml:space="preserve">BENRHOUMA RHOUMA R0100025721                      </t>
  </si>
  <si>
    <t xml:space="preserve">KHATROUCHE AMOR R0100025722                       </t>
  </si>
  <si>
    <t xml:space="preserve">HAMRANI DALILA R0100025723                        </t>
  </si>
  <si>
    <t xml:space="preserve">SAHRAOUI HOUDA R0100025724                        </t>
  </si>
  <si>
    <t xml:space="preserve">ABDELLI HALIMA R0100025725                        </t>
  </si>
  <si>
    <t xml:space="preserve">BOUDISSA HAMZA R0100025726                        </t>
  </si>
  <si>
    <t xml:space="preserve">BOUKHANOUFA MOUNIR R0100025727                    </t>
  </si>
  <si>
    <t xml:space="preserve">MOHAMED BEN KADA KARIM R0100025728                </t>
  </si>
  <si>
    <t xml:space="preserve">KARAKAYA TABI R0100025729                         </t>
  </si>
  <si>
    <t xml:space="preserve">SERIN ELISA R0100025731                           </t>
  </si>
  <si>
    <t xml:space="preserve">BENRHOUMA RHOUMA R0100025732                      </t>
  </si>
  <si>
    <t xml:space="preserve">HAMRANI DALILA R0100025733                        </t>
  </si>
  <si>
    <t xml:space="preserve">BOUKHANOUFA MOUNIR R0100025734                    </t>
  </si>
  <si>
    <t xml:space="preserve">BOULARES LATEFA R0100025735                       </t>
  </si>
  <si>
    <t xml:space="preserve">ABDELKADER SAMIR R0100025736                      </t>
  </si>
  <si>
    <t xml:space="preserve">DRISS MOHAMED R0100025737                         </t>
  </si>
  <si>
    <t xml:space="preserve">REBBOUCHE ABDELGHANI R0100025738                  </t>
  </si>
  <si>
    <t xml:space="preserve">Crédit REBBOUCHE ABDELGHANI R0100025738           </t>
  </si>
  <si>
    <t xml:space="preserve">MAJERI Izac R0200001342                           </t>
  </si>
  <si>
    <t xml:space="preserve">RACHIDI AMINA R0200001343                         </t>
  </si>
  <si>
    <t xml:space="preserve">CAI2304/00587  </t>
  </si>
  <si>
    <t xml:space="preserve">REMB. NDF PEAGE HACHANI YAMINA                    </t>
  </si>
  <si>
    <t xml:space="preserve">CAI2304/00588  </t>
  </si>
  <si>
    <t xml:space="preserve">AVANCE DE CAISSE KAMBI SITTI ESSENCE MINI BUS     </t>
  </si>
  <si>
    <t xml:space="preserve">CAI2204/02674  </t>
  </si>
  <si>
    <t xml:space="preserve">RAPHAEL LAROCHE AVANCE DE CAISSE COURSES          </t>
  </si>
  <si>
    <t xml:space="preserve">CAI2304/00591  </t>
  </si>
  <si>
    <t xml:space="preserve">RAPHAEL LAROCHE AVANCE CAISSE LEGUM AU LOGIS      </t>
  </si>
  <si>
    <t xml:space="preserve">CAI2304/00595  </t>
  </si>
  <si>
    <t xml:space="preserve">RAPHAEL LAROCHE RETOUR CAISSE REPAS SOLIDAIRE     </t>
  </si>
  <si>
    <t xml:space="preserve">KARA SLIMANE YAMINA R0100025672                   </t>
  </si>
  <si>
    <t xml:space="preserve">Crédit KARA SLIMANE YAMINA R0100025672            </t>
  </si>
  <si>
    <t xml:space="preserve">SAHRAOUI MOHAMED R0100025673                      </t>
  </si>
  <si>
    <t xml:space="preserve">ZEKRI SABRI R0100025674                           </t>
  </si>
  <si>
    <t xml:space="preserve">Crédit ZEKRI SABRI R0100025674                    </t>
  </si>
  <si>
    <t xml:space="preserve">ABDELLI HALIMA R0100025675                        </t>
  </si>
  <si>
    <t xml:space="preserve">HAMRANI DALILA R0100025676                        </t>
  </si>
  <si>
    <t xml:space="preserve">ZEKRI SABRI R0100025677                           </t>
  </si>
  <si>
    <t xml:space="preserve">ABDELLI HALIMA R0100025678                        </t>
  </si>
  <si>
    <t xml:space="preserve">BENRHOUMA RHOUMA R0100025679                      </t>
  </si>
  <si>
    <t xml:space="preserve">BENMAZOUZ CHELHA R0100025680                      </t>
  </si>
  <si>
    <t xml:space="preserve">EL HADDAD ABDELNASSER R0100025681                 </t>
  </si>
  <si>
    <t xml:space="preserve">DRISS MOHAMED R0100025682                         </t>
  </si>
  <si>
    <t xml:space="preserve">Crédit DRISS MOHAMED R0100025682                  </t>
  </si>
  <si>
    <t xml:space="preserve">TORKI RADHOUAN R0100025683                        </t>
  </si>
  <si>
    <t xml:space="preserve">SAHRAOUI MOHAMED R0100025684                      </t>
  </si>
  <si>
    <t xml:space="preserve">ABDELLI HALIMA R0100025685                        </t>
  </si>
  <si>
    <t xml:space="preserve">ZEKRI SABRI R0100025686                           </t>
  </si>
  <si>
    <t xml:space="preserve">ABDELLI HALIMA R0100025687                        </t>
  </si>
  <si>
    <t xml:space="preserve">BENRHOUMA RHOUMA R0100025688                      </t>
  </si>
  <si>
    <t xml:space="preserve">ABDELKADER SAMIR R0100025689                      </t>
  </si>
  <si>
    <t xml:space="preserve">NKOUA EMPANA ELIM R0100025690                     </t>
  </si>
  <si>
    <t xml:space="preserve">SAHRAOUI MOHAMED R0100025691                      </t>
  </si>
  <si>
    <t xml:space="preserve">KARA SLIMANE YAMINA R0100025692                   </t>
  </si>
  <si>
    <t xml:space="preserve">Crédit KARA SLIMANE YAMINA R0100025692            </t>
  </si>
  <si>
    <t xml:space="preserve">ABDELKADER SAMIR R0100025693                      </t>
  </si>
  <si>
    <t xml:space="preserve">EL HADDAD ABDELNASSER R0100025694                 </t>
  </si>
  <si>
    <t xml:space="preserve">ABDELLI HALIMA R0100025695                        </t>
  </si>
  <si>
    <t xml:space="preserve">BOUKHANOUFA MOUNIR R0100025696                    </t>
  </si>
  <si>
    <t xml:space="preserve">LOWE ANNE YOLANDE R0100025697                     </t>
  </si>
  <si>
    <t xml:space="preserve">CAI2304/00597  </t>
  </si>
  <si>
    <t xml:space="preserve">CAI2304/00596  </t>
  </si>
  <si>
    <t xml:space="preserve">CAI2304/00592  </t>
  </si>
  <si>
    <t xml:space="preserve">RAPHAEL LAROCHE RETOUR CAISSE LEGUM AU LOGIS      </t>
  </si>
  <si>
    <t xml:space="preserve">CAI2304/00594  </t>
  </si>
  <si>
    <t xml:space="preserve">RAPHAEL LAROCHE RETOUR CAISSE COURSES             </t>
  </si>
  <si>
    <t xml:space="preserve">BAKAMBO PERNELLE R0300001025                      </t>
  </si>
  <si>
    <t xml:space="preserve">COLLOMB Geoffrey R0200001345                      </t>
  </si>
  <si>
    <t xml:space="preserve">Crédit COLLOMB Geoffrey R0200001345               </t>
  </si>
  <si>
    <t xml:space="preserve">CAMARA IBRAHIMA SORY R0300001026                  </t>
  </si>
  <si>
    <t xml:space="preserve">CM2304/00819   </t>
  </si>
  <si>
    <t xml:space="preserve">CM2304/00820   </t>
  </si>
  <si>
    <t xml:space="preserve">CM2304/00821   </t>
  </si>
  <si>
    <t xml:space="preserve">AMAZONE   </t>
  </si>
  <si>
    <t xml:space="preserve">AMAZONE                                 </t>
  </si>
  <si>
    <t xml:space="preserve">CM2304/00822   </t>
  </si>
  <si>
    <t xml:space="preserve">CB AMAZONE                                        </t>
  </si>
  <si>
    <t xml:space="preserve">CM2304/00823   </t>
  </si>
  <si>
    <t xml:space="preserve">CM2304/00824   </t>
  </si>
  <si>
    <t xml:space="preserve">CM2304/00825   </t>
  </si>
  <si>
    <t xml:space="preserve">CM2304/00826   </t>
  </si>
  <si>
    <t xml:space="preserve">FRAIS ANCV / 460 €                                </t>
  </si>
  <si>
    <t xml:space="preserve">CM2304/00827   </t>
  </si>
  <si>
    <t xml:space="preserve">PRLV ORANGE FIXE 4023C2                           </t>
  </si>
  <si>
    <t xml:space="preserve">CM2304/00828   </t>
  </si>
  <si>
    <t xml:space="preserve">PRLV ORANGE FIBRE 8643C2                          </t>
  </si>
  <si>
    <t xml:space="preserve">CM2304/00829   </t>
  </si>
  <si>
    <t xml:space="preserve">CM2304/00830   </t>
  </si>
  <si>
    <t xml:space="preserve">CM2304/00831   </t>
  </si>
  <si>
    <t xml:space="preserve">CM2304/00832   </t>
  </si>
  <si>
    <t xml:space="preserve">FRAIS CRCESU / 1434.92                            </t>
  </si>
  <si>
    <t xml:space="preserve">K1SPEED   </t>
  </si>
  <si>
    <t xml:space="preserve">K1 SPEED                                </t>
  </si>
  <si>
    <t xml:space="preserve">CM2304/00833   </t>
  </si>
  <si>
    <t xml:space="preserve">CHQ K1 SPEED                                      </t>
  </si>
  <si>
    <t xml:space="preserve">CM2304/00834   </t>
  </si>
  <si>
    <t xml:space="preserve">CHQ OLYMPIQUE LYONNAIS                            </t>
  </si>
  <si>
    <t xml:space="preserve">CM2304/00835   </t>
  </si>
  <si>
    <t xml:space="preserve">PRLV FIBRE ORANGE 1683C5                          </t>
  </si>
  <si>
    <t xml:space="preserve">CM2304/00836   </t>
  </si>
  <si>
    <t xml:space="preserve">CHQ PLAY IN PARK                                  </t>
  </si>
  <si>
    <t xml:space="preserve">CM2304/00837   </t>
  </si>
  <si>
    <t xml:space="preserve">CM2304/00838   </t>
  </si>
  <si>
    <t xml:space="preserve">CM2304/00841   </t>
  </si>
  <si>
    <t xml:space="preserve">CM2304/00839   </t>
  </si>
  <si>
    <t xml:space="preserve">CHQ UGC CINE                                      </t>
  </si>
  <si>
    <t xml:space="preserve">CM2304/00840   </t>
  </si>
  <si>
    <t xml:space="preserve">PRLV ORANGE 81696847                              </t>
  </si>
  <si>
    <t xml:space="preserve">CM2304/00842   </t>
  </si>
  <si>
    <t xml:space="preserve">Remise de chèques n° 20230404                     </t>
  </si>
  <si>
    <t xml:space="preserve">CM2304/00582   </t>
  </si>
  <si>
    <t xml:space="preserve">Remise de chèques n° 25042023                     </t>
  </si>
  <si>
    <t xml:space="preserve">SIOUDA CHAHRAZAD R0200001341                      </t>
  </si>
  <si>
    <t xml:space="preserve">Crédit SIOUDA CHAHRAZAD R0200001341               </t>
  </si>
  <si>
    <t xml:space="preserve">Ann LOUATI OUAFA R0100025742                      </t>
  </si>
  <si>
    <t xml:space="preserve">Remise : CHEQUE CM                                </t>
  </si>
  <si>
    <t xml:space="preserve">Ann BERTIL BRAHIM R0100025777                     </t>
  </si>
  <si>
    <t xml:space="preserve">BERTIL BRAHIM R0100025777                         </t>
  </si>
  <si>
    <t xml:space="preserve">ALILET AMELLE R0100025743                         </t>
  </si>
  <si>
    <t xml:space="preserve">Remise de chèques n° 05032023                     </t>
  </si>
  <si>
    <t xml:space="preserve">CM2305/00616   </t>
  </si>
  <si>
    <t xml:space="preserve">LOUATI OUAFA R0100025742                          </t>
  </si>
  <si>
    <t xml:space="preserve">CHQ UGC CINE CITE PART DIEU                       </t>
  </si>
  <si>
    <t xml:space="preserve">CM2305/00857   </t>
  </si>
  <si>
    <t xml:space="preserve">CHQ CINEMA LE TOBOGGAN                            </t>
  </si>
  <si>
    <t xml:space="preserve">CM2305/00856   </t>
  </si>
  <si>
    <t xml:space="preserve">PRLV ORANGE 8203D6                                </t>
  </si>
  <si>
    <t xml:space="preserve">CM2305/00855   </t>
  </si>
  <si>
    <t xml:space="preserve">CB MARKET ???                                     </t>
  </si>
  <si>
    <t xml:space="preserve">CM2305/00854   </t>
  </si>
  <si>
    <t xml:space="preserve">Remise de chèques n° 24052023                     </t>
  </si>
  <si>
    <t xml:space="preserve">CM2305/00653   </t>
  </si>
  <si>
    <t xml:space="preserve">PRLV ORANGE 1683D3                                </t>
  </si>
  <si>
    <t xml:space="preserve">CM2305/00853   </t>
  </si>
  <si>
    <t xml:space="preserve">CM2305/00852   </t>
  </si>
  <si>
    <t xml:space="preserve">CM2305/00638   </t>
  </si>
  <si>
    <t xml:space="preserve">RGLT CB MANON PRO                                 </t>
  </si>
  <si>
    <t xml:space="preserve">CM2305/00851   </t>
  </si>
  <si>
    <t xml:space="preserve">MANON PRO                               </t>
  </si>
  <si>
    <t xml:space="preserve">MANONPRO  </t>
  </si>
  <si>
    <t xml:space="preserve">CM2305/00850   </t>
  </si>
  <si>
    <t xml:space="preserve">PRLV ORANGE 8643D0                                </t>
  </si>
  <si>
    <t xml:space="preserve">CM2305/00849   </t>
  </si>
  <si>
    <t xml:space="preserve">CHQ PAINTBALL NATURE                              </t>
  </si>
  <si>
    <t xml:space="preserve">CM2305/00848   </t>
  </si>
  <si>
    <t xml:space="preserve">PAINTBALL NATURE                        </t>
  </si>
  <si>
    <t>PAINTBALLN</t>
  </si>
  <si>
    <t xml:space="preserve">CHQ CITY AVENTURE ALBIGNY                         </t>
  </si>
  <si>
    <t xml:space="preserve">CM2305/00847   </t>
  </si>
  <si>
    <t xml:space="preserve">CM2305/00846   </t>
  </si>
  <si>
    <t xml:space="preserve">PRLV ORANGE 8203C8                                </t>
  </si>
  <si>
    <t xml:space="preserve">CM2305/00845   </t>
  </si>
  <si>
    <t xml:space="preserve">PRLV ORANGE 81757594                              </t>
  </si>
  <si>
    <t xml:space="preserve">CM2305/00844   </t>
  </si>
  <si>
    <t xml:space="preserve">PRLV ORANGE 81757640                              </t>
  </si>
  <si>
    <t xml:space="preserve">CM2305/00843   </t>
  </si>
  <si>
    <t xml:space="preserve">Crédit KHALFA SIMARD LOIS R0200001372             </t>
  </si>
  <si>
    <t xml:space="preserve">KHALFA SIMARD LOIS R0200001372                    </t>
  </si>
  <si>
    <t xml:space="preserve">RACHIDI AMINA R0200001370                         </t>
  </si>
  <si>
    <t xml:space="preserve">AZEIZ  R0300001047                                </t>
  </si>
  <si>
    <t xml:space="preserve">CAMARA IBRAHIMA SORY R0300001046                  </t>
  </si>
  <si>
    <t xml:space="preserve">BAUTISTA DANIELA R0100025796                      </t>
  </si>
  <si>
    <t xml:space="preserve">HOCINE MEDJAHED R0300001044                       </t>
  </si>
  <si>
    <t xml:space="preserve">BAKAMBO PERNELLE R0300001043                      </t>
  </si>
  <si>
    <t xml:space="preserve">KINANVUIDI DJIMY R0300001040                      </t>
  </si>
  <si>
    <t xml:space="preserve">KOUICI STEVE R0200001366                          </t>
  </si>
  <si>
    <t xml:space="preserve">GUERIN CHRISTELLE R0100025792                     </t>
  </si>
  <si>
    <t xml:space="preserve">OSARETIN Augustin R0300001038                     </t>
  </si>
  <si>
    <t xml:space="preserve">DAHMANI Hajar R0200001365                         </t>
  </si>
  <si>
    <t xml:space="preserve">HABA Pola-Esther R0200001357                      </t>
  </si>
  <si>
    <t xml:space="preserve">THIAM CISSE R0200001356                           </t>
  </si>
  <si>
    <t xml:space="preserve">Crédit BENRHOUMA RHOUMA R0100025788               </t>
  </si>
  <si>
    <t xml:space="preserve">BENRHOUMA RHOUMA R0100025788                      </t>
  </si>
  <si>
    <t xml:space="preserve">RACHIDI AMINA R0100025786                         </t>
  </si>
  <si>
    <t xml:space="preserve">LOWE ANNE YOLANDE R0100025784                     </t>
  </si>
  <si>
    <t xml:space="preserve">MARQUES SIMONE R0100025782                        </t>
  </si>
  <si>
    <t xml:space="preserve">TRAORE MARIAM R0300001035                         </t>
  </si>
  <si>
    <t xml:space="preserve">BEN AHMED NADIA R0300001033                       </t>
  </si>
  <si>
    <t xml:space="preserve">KOUASSEU MOUNGANG  R0300001032                    </t>
  </si>
  <si>
    <t xml:space="preserve">Crédit AKAKBA LARBI R0300001031                   </t>
  </si>
  <si>
    <t xml:space="preserve">AKAKBA LARBI R0300001031                          </t>
  </si>
  <si>
    <t xml:space="preserve">COLLOMB Geoffrey R0200001352                      </t>
  </si>
  <si>
    <t xml:space="preserve">FAROUK Ali R0200001349                            </t>
  </si>
  <si>
    <t xml:space="preserve">NTUMBA Théthé R0200001348                         </t>
  </si>
  <si>
    <t xml:space="preserve">KHEMAIES NOURA R0100025776                        </t>
  </si>
  <si>
    <t xml:space="preserve">TORKHANI ARIJ R0100025775                         </t>
  </si>
  <si>
    <t xml:space="preserve">TORKHANI ARIJ                           </t>
  </si>
  <si>
    <t xml:space="preserve">TORKHANI  </t>
  </si>
  <si>
    <t xml:space="preserve">AOUJI ZOHRA R0100025773                           </t>
  </si>
  <si>
    <t xml:space="preserve">THABET MOUNIRA R0100025771                        </t>
  </si>
  <si>
    <t xml:space="preserve">KHEMLICHE KAMEL R0100025770                       </t>
  </si>
  <si>
    <t xml:space="preserve">SERIN ELISA R0100025769                           </t>
  </si>
  <si>
    <t xml:space="preserve">KARA SLIMANE YAMINA R0100025768                   </t>
  </si>
  <si>
    <t xml:space="preserve">KHEMLICHE KAMEL R0100025767                       </t>
  </si>
  <si>
    <t xml:space="preserve">NEZZAR FOUDHIL R0100025766                        </t>
  </si>
  <si>
    <t xml:space="preserve">ABDELLI HALIMA R0100025765                        </t>
  </si>
  <si>
    <t xml:space="preserve">SAHRAOUI HOUDA R0100025764                        </t>
  </si>
  <si>
    <t xml:space="preserve">SAHRAOUI MOHAMED R0100025763                      </t>
  </si>
  <si>
    <t xml:space="preserve">BENMAZOUZ CHELHA R0100025762                      </t>
  </si>
  <si>
    <t xml:space="preserve">ABDELKADER SAMIR R0100025761                      </t>
  </si>
  <si>
    <t xml:space="preserve">KARAKAYA TABI R0100025760                         </t>
  </si>
  <si>
    <t xml:space="preserve">BENRHOUMA RHOUMA R0100025759                      </t>
  </si>
  <si>
    <t xml:space="preserve">BOUDISSA HAMZA R0100025758                        </t>
  </si>
  <si>
    <t xml:space="preserve">ABDELKADER SAMIR R0100025757                      </t>
  </si>
  <si>
    <t xml:space="preserve">MOHAMED BEN KADA KARIM R0100025756                </t>
  </si>
  <si>
    <t xml:space="preserve">SAHRAOUI HOUDA R0100025755                        </t>
  </si>
  <si>
    <t xml:space="preserve">KHEMLICHE KAMEL R0100025754                       </t>
  </si>
  <si>
    <t xml:space="preserve">NEZZAR FOUDHIL R0100025753                        </t>
  </si>
  <si>
    <t xml:space="preserve">BENMAZOUZ CHELHA R0100025751                      </t>
  </si>
  <si>
    <t xml:space="preserve">KARAKAYA TABI R0100025750                         </t>
  </si>
  <si>
    <t xml:space="preserve">KHATROUCHE AMOR R0100025749                       </t>
  </si>
  <si>
    <t xml:space="preserve">ABDELLI HALIMA R0100025748                        </t>
  </si>
  <si>
    <t xml:space="preserve">SAHRAOUI MOHAMED R0100025747                      </t>
  </si>
  <si>
    <t xml:space="preserve">BOUDISSA HAMZA R0100025746                        </t>
  </si>
  <si>
    <t xml:space="preserve">SAHRAOUI MOHAMED R0100025744                      </t>
  </si>
  <si>
    <t xml:space="preserve">AVANCE DE CAISSE ABERKANE FETE OXYGENE            </t>
  </si>
  <si>
    <t xml:space="preserve">CAI2305/00619  </t>
  </si>
  <si>
    <t xml:space="preserve">AVANCE DE CAISSE LAROCHE MATERIEL                 </t>
  </si>
  <si>
    <t xml:space="preserve">CAI2305/00618  </t>
  </si>
  <si>
    <t xml:space="preserve">RETOUR CAISSE RAPHAEL LAROCHE (ASL)               </t>
  </si>
  <si>
    <t xml:space="preserve">CAI2305/00617  </t>
  </si>
  <si>
    <t xml:space="preserve">LOUDI HANAN R0300001027                           </t>
  </si>
  <si>
    <t xml:space="preserve">RETOUR DE CAISSE KAMBI SITTI                      </t>
  </si>
  <si>
    <t xml:space="preserve">CAI2305/00612  </t>
  </si>
  <si>
    <t xml:space="preserve">AVANCE DE CAISSE ADULTE / COURSES                 </t>
  </si>
  <si>
    <t xml:space="preserve">CAI2305/00611  </t>
  </si>
  <si>
    <t xml:space="preserve">NDF JANUEL RETOUR COLISSIMO                       </t>
  </si>
  <si>
    <t xml:space="preserve">CAI2305/00687  </t>
  </si>
  <si>
    <t xml:space="preserve">AVANCE DE CAISSE LAROCHE / ALIMENTAIRES           </t>
  </si>
  <si>
    <t xml:space="preserve">CAI2305/00672  </t>
  </si>
  <si>
    <t xml:space="preserve">LAROCHE RETOUR DE CAISSE MATERIEL                 </t>
  </si>
  <si>
    <t xml:space="preserve">CAI2305/00670  </t>
  </si>
  <si>
    <t xml:space="preserve">REMBOURSEMENT HACHANI YAMINA                      </t>
  </si>
  <si>
    <t xml:space="preserve">CAI2305/00668  </t>
  </si>
  <si>
    <t xml:space="preserve">REMBOURSEMENT REPAS OXYGENE                       </t>
  </si>
  <si>
    <t xml:space="preserve">CAI2305/00697  </t>
  </si>
  <si>
    <t xml:space="preserve">BOTH ANDREA                                       </t>
  </si>
  <si>
    <t xml:space="preserve">CAI2305/00695  </t>
  </si>
  <si>
    <t xml:space="preserve">AVANCE DE CAISSE KAMBI SITTI / NETTO/CARREFOUR    </t>
  </si>
  <si>
    <t xml:space="preserve">CAI2305/00637  </t>
  </si>
  <si>
    <t xml:space="preserve">BAN2305/00634  </t>
  </si>
  <si>
    <t xml:space="preserve">BFC2305/00632  </t>
  </si>
  <si>
    <t xml:space="preserve">BAN2305/00631  </t>
  </si>
  <si>
    <t xml:space="preserve">BAN2305/00610  </t>
  </si>
  <si>
    <t xml:space="preserve">BFC2305/00609  </t>
  </si>
  <si>
    <t xml:space="preserve">BFC2305/00692  </t>
  </si>
  <si>
    <t xml:space="preserve">VIRT CS SAINT JEAN RETOUR PART.FESTIVAL REEL 2022 </t>
  </si>
  <si>
    <t xml:space="preserve">BFC2305/00791  </t>
  </si>
  <si>
    <t xml:space="preserve">BFC2305/00645  </t>
  </si>
  <si>
    <t xml:space="preserve">VIRT ACPT METROPOLE IED                           </t>
  </si>
  <si>
    <t xml:space="preserve">BFC2305/00790  </t>
  </si>
  <si>
    <t xml:space="preserve">BFC2305/00789  </t>
  </si>
  <si>
    <t xml:space="preserve">BFC2305/00788  </t>
  </si>
  <si>
    <t xml:space="preserve">VIRT SEPA KOALA CA ALB                            </t>
  </si>
  <si>
    <t xml:space="preserve">BFC2305/00787  </t>
  </si>
  <si>
    <t xml:space="preserve">VIRT VILLE PERDISCO 2-B                           </t>
  </si>
  <si>
    <t xml:space="preserve">BFC2305/00786  </t>
  </si>
  <si>
    <t xml:space="preserve">BFC2305/00785  </t>
  </si>
  <si>
    <t xml:space="preserve">ACPTE METROPOLE IER 2023                          </t>
  </si>
  <si>
    <t xml:space="preserve">BFC2305/00784  </t>
  </si>
  <si>
    <t xml:space="preserve">BFC2305/00783  </t>
  </si>
  <si>
    <t xml:space="preserve">VIRT PART. APP PEF / CENTRE SOCIAL DES BUERS      </t>
  </si>
  <si>
    <t xml:space="preserve">BFC2305/00782  </t>
  </si>
  <si>
    <t xml:space="preserve">BFC2305/00781  </t>
  </si>
  <si>
    <t xml:space="preserve">BFC2305/00780  </t>
  </si>
  <si>
    <t xml:space="preserve">BFC2305/00779  </t>
  </si>
  <si>
    <t xml:space="preserve">ACHAT PARTS SOCIALES CREDIT COOPERATIF            </t>
  </si>
  <si>
    <t xml:space="preserve">BFC2305/00778  </t>
  </si>
  <si>
    <t xml:space="preserve">BFC2305/00777  </t>
  </si>
  <si>
    <t xml:space="preserve">APS VIRT AIDE APPRENTIS                           </t>
  </si>
  <si>
    <t xml:space="preserve">BFC2305/00776  </t>
  </si>
  <si>
    <t xml:space="preserve">BFC2305/00775  </t>
  </si>
  <si>
    <t xml:space="preserve">BFC2305/00773  </t>
  </si>
  <si>
    <t xml:space="preserve">BFC2305/00772  </t>
  </si>
  <si>
    <t xml:space="preserve">BFC2305/00771  </t>
  </si>
  <si>
    <t xml:space="preserve">REJET VIRT EFFECTUE PAR ERREUR                    </t>
  </si>
  <si>
    <t xml:space="preserve">BFC2305/00774  </t>
  </si>
  <si>
    <t xml:space="preserve">BFC2305/00770  </t>
  </si>
  <si>
    <t xml:space="preserve">BFC2305/00769  </t>
  </si>
  <si>
    <t xml:space="preserve">BFC2305/00768  </t>
  </si>
  <si>
    <t>X</t>
  </si>
  <si>
    <t xml:space="preserve">Crédit CHARNI BASMA R0100025822                   </t>
  </si>
  <si>
    <t xml:space="preserve">CHARNI BASMA R0100025822                          </t>
  </si>
  <si>
    <t xml:space="preserve">MAHI DJILLALI R0100025805                         </t>
  </si>
  <si>
    <t xml:space="preserve">CB MARKET CARREFOUR LUCIE ??                      </t>
  </si>
  <si>
    <t xml:space="preserve">CM2306/01027   </t>
  </si>
  <si>
    <t xml:space="preserve">PRLV ORANGE 8203E4                                </t>
  </si>
  <si>
    <t xml:space="preserve">CM2306/01026   </t>
  </si>
  <si>
    <t xml:space="preserve">CB AMAZONE 6/11                                   </t>
  </si>
  <si>
    <t xml:space="preserve">CM2306/01025   </t>
  </si>
  <si>
    <t xml:space="preserve">CM2306/01024   </t>
  </si>
  <si>
    <t xml:space="preserve">CM2306/01022   </t>
  </si>
  <si>
    <t xml:space="preserve">ERREUR BQ / DEPOT ESPECE                          </t>
  </si>
  <si>
    <t xml:space="preserve">CM2306/01023   </t>
  </si>
  <si>
    <t xml:space="preserve">CM2306/00858   </t>
  </si>
  <si>
    <t xml:space="preserve">PRLV ORANGE 1683E1                                </t>
  </si>
  <si>
    <t xml:space="preserve">CM2306/01021   </t>
  </si>
  <si>
    <t xml:space="preserve">VIRT REGIE BILLON / VOIR NOE                      </t>
  </si>
  <si>
    <t xml:space="preserve">CM2306/01020   </t>
  </si>
  <si>
    <t xml:space="preserve">BFC2306/01019  </t>
  </si>
  <si>
    <t xml:space="preserve">BFC2306/01018  </t>
  </si>
  <si>
    <t xml:space="preserve">CB MARKET  CARREFOUR LUCIE ?                      </t>
  </si>
  <si>
    <t xml:space="preserve">BFC2306/01017  </t>
  </si>
  <si>
    <t xml:space="preserve">PRLV ORANGE 8643D8                                </t>
  </si>
  <si>
    <t xml:space="preserve">BFC2306/01016  </t>
  </si>
  <si>
    <t xml:space="preserve">PRLV ORANGE 4023D8                                </t>
  </si>
  <si>
    <t xml:space="preserve">BFC2306/01015  </t>
  </si>
  <si>
    <t xml:space="preserve">PRLV ORANGE 82117615                              </t>
  </si>
  <si>
    <t xml:space="preserve">BFC2306/01014  </t>
  </si>
  <si>
    <t xml:space="preserve">BFC2306/01013  </t>
  </si>
  <si>
    <t xml:space="preserve">BFC2306/01012  </t>
  </si>
  <si>
    <t xml:space="preserve">BFC2306/01011  </t>
  </si>
  <si>
    <t xml:space="preserve">Crédit AKAKBA LARBI R0300001063                   </t>
  </si>
  <si>
    <t xml:space="preserve">AKAKBA LARBI R0300001063                          </t>
  </si>
  <si>
    <t xml:space="preserve">CAMARA MARIAMA R0300001062                        </t>
  </si>
  <si>
    <t xml:space="preserve">CAMARA MARIAMA                          </t>
  </si>
  <si>
    <t xml:space="preserve">Crédit TRAORE MARIAM R0300001061                  </t>
  </si>
  <si>
    <t xml:space="preserve">TRAORE MARIAM R0300001061                         </t>
  </si>
  <si>
    <t xml:space="preserve">BAKAMBO PERNELLE R0300001059                      </t>
  </si>
  <si>
    <t xml:space="preserve">COTTIER ELEONORE R0100025961                      </t>
  </si>
  <si>
    <t xml:space="preserve">KHALFA SIMARD LOIS R0100025960                    </t>
  </si>
  <si>
    <t xml:space="preserve">BAKAMBO PERNELLE R0100025958                      </t>
  </si>
  <si>
    <t xml:space="preserve">NDIAYE KHADIDIA R0100025956                       </t>
  </si>
  <si>
    <t xml:space="preserve">NDIAYE KHADIDIA                         </t>
  </si>
  <si>
    <t xml:space="preserve">REBBOUCHE ABDELGHANI R0100025955                  </t>
  </si>
  <si>
    <t xml:space="preserve">AOUSJI MOHAMED R0100025950                        </t>
  </si>
  <si>
    <t xml:space="preserve">AOUSJI MOHAMED                          </t>
  </si>
  <si>
    <t xml:space="preserve">AOUSJI    </t>
  </si>
  <si>
    <t xml:space="preserve">AYITEBE OYONO ALVINE RUSNELLE R0100025947         </t>
  </si>
  <si>
    <t xml:space="preserve">AYITEBE OYONO ALVINE RUSNELLE           </t>
  </si>
  <si>
    <t>AYITEBEOYO</t>
  </si>
  <si>
    <t xml:space="preserve">Crédit FRU Sedrick R0100025946                    </t>
  </si>
  <si>
    <t xml:space="preserve">FRU Sedrick                             </t>
  </si>
  <si>
    <t xml:space="preserve">FRU       </t>
  </si>
  <si>
    <t xml:space="preserve">FRU Sedrick R0100025946                           </t>
  </si>
  <si>
    <t xml:space="preserve">LOUHICHI WEJDENE R0100025945                      </t>
  </si>
  <si>
    <t xml:space="preserve">LOUHICHI WEJDENE                        </t>
  </si>
  <si>
    <t xml:space="preserve">SOMMIER VIRGINIE R0100025944                      </t>
  </si>
  <si>
    <t xml:space="preserve">STANKOVIC ZEID R0100025933                        </t>
  </si>
  <si>
    <t xml:space="preserve">Crédit SANVISEN QUENTIN R0100025932               </t>
  </si>
  <si>
    <t xml:space="preserve">SANVISEN QUENTIN R0100025932                      </t>
  </si>
  <si>
    <t xml:space="preserve">MIEZI SIPE ESPERANCE R0100025927                  </t>
  </si>
  <si>
    <t xml:space="preserve">MIEZI SIPE ESPERANCE                    </t>
  </si>
  <si>
    <t xml:space="preserve">MIEZISIPE </t>
  </si>
  <si>
    <t xml:space="preserve">TSHIBANGU RITA R0100025925                        </t>
  </si>
  <si>
    <t xml:space="preserve">Crédit VINCENT Emmanuelle R0100025923             </t>
  </si>
  <si>
    <t xml:space="preserve">VINCENT Emmanuelle                      </t>
  </si>
  <si>
    <t xml:space="preserve">VINCENT Emmanuelle R0100025923                    </t>
  </si>
  <si>
    <t xml:space="preserve">THABET MOUNIRA R0100025916                        </t>
  </si>
  <si>
    <t xml:space="preserve">SIDIBE MAMADOU R0100025911                        </t>
  </si>
  <si>
    <t xml:space="preserve">RACHIDI AMINA R0100025907                         </t>
  </si>
  <si>
    <t xml:space="preserve">Rbt LAVRYNIUK VICTORIA R0100025922                </t>
  </si>
  <si>
    <t xml:space="preserve">Crédit Rbt LAVRYNIUK VICTORIA R0100025922         </t>
  </si>
  <si>
    <t xml:space="preserve">MAJERI Izac R0200001397                           </t>
  </si>
  <si>
    <t xml:space="preserve">Crédit POUOYEWO RACHEL R0200001396                </t>
  </si>
  <si>
    <t xml:space="preserve">POUOYEWO RACHEL R0200001396                       </t>
  </si>
  <si>
    <t xml:space="preserve">KISUNGU ANTONIO R0300001057                       </t>
  </si>
  <si>
    <t xml:space="preserve">OSARETIN Augustin R0300001056                     </t>
  </si>
  <si>
    <t xml:space="preserve">Ann RACHIDI AMINA R0100025818                     </t>
  </si>
  <si>
    <t xml:space="preserve">BAUTISTA DANIELA R0100025898                      </t>
  </si>
  <si>
    <t xml:space="preserve">KOUICI STEVE R0100025892                          </t>
  </si>
  <si>
    <t xml:space="preserve">SHKODRA  R0100025890                              </t>
  </si>
  <si>
    <t xml:space="preserve">BENRHOUMA RHOUMA R0100025888                      </t>
  </si>
  <si>
    <t xml:space="preserve">Crédit BOVIO PASCALINE R0100025887                </t>
  </si>
  <si>
    <t xml:space="preserve">BOVIO PASCALINE R0100025887                       </t>
  </si>
  <si>
    <t xml:space="preserve">GUERIN CHRISTELLE R0100025885                     </t>
  </si>
  <si>
    <t xml:space="preserve">FOURANE KARIMA R0100025884                        </t>
  </si>
  <si>
    <t xml:space="preserve">MESSAI Sana R0100025882                           </t>
  </si>
  <si>
    <t xml:space="preserve">MESSAI Sana                             </t>
  </si>
  <si>
    <t xml:space="preserve">MESSAI    </t>
  </si>
  <si>
    <t xml:space="preserve">FAGNOU Camille R0100025881                        </t>
  </si>
  <si>
    <t xml:space="preserve">FAGNOU Camille                          </t>
  </si>
  <si>
    <t xml:space="preserve">FAGNOU    </t>
  </si>
  <si>
    <t xml:space="preserve">Crédit VAY MEI-LING R0100025873                   </t>
  </si>
  <si>
    <t xml:space="preserve">VAY MEI-LING R0100025873                          </t>
  </si>
  <si>
    <t xml:space="preserve">SLIMANE NAIMA R0100025871                         </t>
  </si>
  <si>
    <t xml:space="preserve">HARIZI WANNIS R0100025844                         </t>
  </si>
  <si>
    <t xml:space="preserve">THABET MOUNIRA R0100025839                        </t>
  </si>
  <si>
    <t xml:space="preserve">DIOP MAME BOUSSO R0100025836                      </t>
  </si>
  <si>
    <t xml:space="preserve">DIOP MAME BOUSSO                        </t>
  </si>
  <si>
    <t xml:space="preserve">DIOP      </t>
  </si>
  <si>
    <t xml:space="preserve">Crédit DIAS GONCALVES DO CANTO YARA R0100025835   </t>
  </si>
  <si>
    <t xml:space="preserve">DIAS GONCALVES DO CANTO YARA R0100025835          </t>
  </si>
  <si>
    <t xml:space="preserve">LOWE ANNE YOLANDE R0100025834                     </t>
  </si>
  <si>
    <t xml:space="preserve">Crédit SAHRAOUI MOHAMED R0100025826               </t>
  </si>
  <si>
    <t xml:space="preserve">SAHRAOUI MOHAMED R0100025826                      </t>
  </si>
  <si>
    <t xml:space="preserve">LE SAUX HELENE R0100025825                        </t>
  </si>
  <si>
    <t xml:space="preserve">LE SAUX HELENE                          </t>
  </si>
  <si>
    <t xml:space="preserve">LESAUX    </t>
  </si>
  <si>
    <t xml:space="preserve">CHARNI BASMA R0100025821                          </t>
  </si>
  <si>
    <t xml:space="preserve">Crédit RACHIDI AMINA R0100025819                  </t>
  </si>
  <si>
    <t xml:space="preserve">RACHIDI AMINA R0100025819                         </t>
  </si>
  <si>
    <t xml:space="preserve">Crédit RACHIDI AMINA R0200001395                  </t>
  </si>
  <si>
    <t xml:space="preserve">RACHIDI AMINA R0200001395                         </t>
  </si>
  <si>
    <t xml:space="preserve">Crédit THIAM CISSE R0200001393                    </t>
  </si>
  <si>
    <t xml:space="preserve">THIAM CISSE R0200001393                           </t>
  </si>
  <si>
    <t xml:space="preserve">COLLOMB Geoffrey R0200001390                      </t>
  </si>
  <si>
    <t xml:space="preserve">COLLOMB Geoffrey R0200001388                      </t>
  </si>
  <si>
    <t xml:space="preserve">MAYOL Johann R0200001387                          </t>
  </si>
  <si>
    <t xml:space="preserve">HABA Pola-Esther R0200001383                      </t>
  </si>
  <si>
    <t xml:space="preserve">DAHMANI Hajar R0200001382                         </t>
  </si>
  <si>
    <t xml:space="preserve">MAJERI Izac R0200001378                           </t>
  </si>
  <si>
    <t xml:space="preserve">Crédit FAROUK Ali R0200001375                     </t>
  </si>
  <si>
    <t xml:space="preserve">KOUICI STEVE R0200001374                          </t>
  </si>
  <si>
    <t xml:space="preserve">Crédit NTUMBA Théthé R0200001373                  </t>
  </si>
  <si>
    <t xml:space="preserve">NTUMBA Théthé R0200001373                         </t>
  </si>
  <si>
    <t xml:space="preserve">KOUASSEU MOUNGANG  R0300001049                    </t>
  </si>
  <si>
    <t xml:space="preserve">DIABY HASSAN R0300001048                          </t>
  </si>
  <si>
    <t xml:space="preserve">DIABY HASSAN                            </t>
  </si>
  <si>
    <t xml:space="preserve">Crédit RACHIDI AMINA R0100025818                  </t>
  </si>
  <si>
    <t xml:space="preserve">RACHIDI AMINA R0100025818                         </t>
  </si>
  <si>
    <t xml:space="preserve">LABIADH HANADI R0100025817                        </t>
  </si>
  <si>
    <t xml:space="preserve">LABIADH HANADI                          </t>
  </si>
  <si>
    <t xml:space="preserve">LABIADH   </t>
  </si>
  <si>
    <t xml:space="preserve">REBBOUCHE ABDELGHANI R0100025814                  </t>
  </si>
  <si>
    <t xml:space="preserve">KHEMAIES NOURA R0100025812                        </t>
  </si>
  <si>
    <t xml:space="preserve">MARQUES SIMONE R0100025807                        </t>
  </si>
  <si>
    <t xml:space="preserve">AOUJI ZOHRA R0100025806                           </t>
  </si>
  <si>
    <t xml:space="preserve">SAID OUASSILA R0100025803                         </t>
  </si>
  <si>
    <t xml:space="preserve">COTTIER ELEONORE R0100025802                      </t>
  </si>
  <si>
    <t xml:space="preserve">Crédit DIAS GONCALVES DO CANTO YARA R0100025800   </t>
  </si>
  <si>
    <t xml:space="preserve">DIAS GONCALVES DO CANTO YARA R0100025800          </t>
  </si>
  <si>
    <t xml:space="preserve">MAKITA CHRIS R0100025799                          </t>
  </si>
  <si>
    <t xml:space="preserve">NTUMBA Théthé R0100025798                         </t>
  </si>
  <si>
    <t xml:space="preserve">RETOUR DE CAISSE / RAPHAEL LAROCHE                </t>
  </si>
  <si>
    <t xml:space="preserve">CAI2306/00885  </t>
  </si>
  <si>
    <t xml:space="preserve">POLE ADULTE - SORTIE ECOPOLE DU FOREZ (24/06)     </t>
  </si>
  <si>
    <t xml:space="preserve">CAI2306/00879  </t>
  </si>
  <si>
    <t xml:space="preserve">REMBOURSEMENT ABERKANE ASSIA / METRO              </t>
  </si>
  <si>
    <t xml:space="preserve">CAI2306/00884  </t>
  </si>
  <si>
    <t xml:space="preserve">AVANCE DE CAISSE RAPHAEL LAROCHE / POLE ADULTE    </t>
  </si>
  <si>
    <t xml:space="preserve">CAI2306/00882  </t>
  </si>
  <si>
    <t xml:space="preserve">RETOUR DE CAISSE GRANGE AURELIE                   </t>
  </si>
  <si>
    <t xml:space="preserve">CAI2306/00883  </t>
  </si>
  <si>
    <t xml:space="preserve">AVANCE DE CAISSE GRANGE AURELIE / BAB SORTIE      </t>
  </si>
  <si>
    <t xml:space="preserve">CAI2306/00881  </t>
  </si>
  <si>
    <t xml:space="preserve">AVANCE DE CAISSE ABERKANE ASSIA / METRO           </t>
  </si>
  <si>
    <t xml:space="preserve">CAI2306/00880  </t>
  </si>
  <si>
    <t xml:space="preserve">AVANCE DE CAISSE KAMBI SITTI - NETTO              </t>
  </si>
  <si>
    <t xml:space="preserve">CAI2306/00803  </t>
  </si>
  <si>
    <t xml:space="preserve">AVANCE DE CAISSE ABERKANE / CARREFOUR LIDL        </t>
  </si>
  <si>
    <t xml:space="preserve">CAI2306/00804  </t>
  </si>
  <si>
    <t xml:space="preserve">RETOUR DE CAISSE ABERKANE - OXYGENE               </t>
  </si>
  <si>
    <t xml:space="preserve">CAI2306/00703  </t>
  </si>
  <si>
    <t xml:space="preserve">PART.USAGERS SORTIE CINE ADULTE 12/04 + 20/04     </t>
  </si>
  <si>
    <t xml:space="preserve">CAI2306/00702  </t>
  </si>
  <si>
    <t xml:space="preserve">SORTIE VFS LACROIX LAVAL 18/04/23                 </t>
  </si>
  <si>
    <t xml:space="preserve">CAI2306/00701  </t>
  </si>
  <si>
    <t xml:space="preserve">PARTICIPATION REPAS SOLIDAIRE                     </t>
  </si>
  <si>
    <t xml:space="preserve">CAI2306/00700  </t>
  </si>
  <si>
    <t xml:space="preserve">REGLT PATCHWORK 13/05 - 08/04 - 04/03 2023        </t>
  </si>
  <si>
    <t xml:space="preserve">CAI2306/00699  </t>
  </si>
  <si>
    <t xml:space="preserve">RETOUR CAISSE LAROCHE / COURSES AG                </t>
  </si>
  <si>
    <t xml:space="preserve">CAI2306/00694  </t>
  </si>
  <si>
    <t xml:space="preserve">AVANCE CAISSE LAROCHE / COURSES AG                </t>
  </si>
  <si>
    <t xml:space="preserve">CAI2306/00693  </t>
  </si>
  <si>
    <t xml:space="preserve">VIRT RRIGRECO LARRIERE FANNY                      </t>
  </si>
  <si>
    <t xml:space="preserve">BFC2306/01068  </t>
  </si>
  <si>
    <t xml:space="preserve">RRIGRECO LARRIERE FANNY                 </t>
  </si>
  <si>
    <t xml:space="preserve">GRECOLA   </t>
  </si>
  <si>
    <t xml:space="preserve">BFC2306/00878  </t>
  </si>
  <si>
    <t xml:space="preserve">REMBOURSEMENT CINEMA LE TOBOGGAN                  </t>
  </si>
  <si>
    <t xml:space="preserve">BFC2306/01067  </t>
  </si>
  <si>
    <t xml:space="preserve">BFC2306/01066  </t>
  </si>
  <si>
    <t xml:space="preserve">BFC2306/01065  </t>
  </si>
  <si>
    <t xml:space="preserve">BFC2306/01064  </t>
  </si>
  <si>
    <t xml:space="preserve">BFC2306/01063  </t>
  </si>
  <si>
    <t xml:space="preserve">VIRT CAF  PS BABILHOME SOLDE 2022                 </t>
  </si>
  <si>
    <t xml:space="preserve">BFC2306/01062  </t>
  </si>
  <si>
    <t xml:space="preserve">VIRT CAF PS EXTRASCO SOLDE 2022                   </t>
  </si>
  <si>
    <t xml:space="preserve">BFC2306/01061  </t>
  </si>
  <si>
    <t xml:space="preserve">BFC2306/01060  </t>
  </si>
  <si>
    <t xml:space="preserve">PRL APICIL                                        </t>
  </si>
  <si>
    <t xml:space="preserve">BFC2306/01059  </t>
  </si>
  <si>
    <t xml:space="preserve">BFC2306/01058  </t>
  </si>
  <si>
    <t xml:space="preserve">VIRT CAF PSO - A VOIR                             </t>
  </si>
  <si>
    <t xml:space="preserve">BFC2306/01057  </t>
  </si>
  <si>
    <t xml:space="preserve">BFC2306/01056  </t>
  </si>
  <si>
    <t xml:space="preserve">BFC2306/01055  </t>
  </si>
  <si>
    <t xml:space="preserve">BFC2306/00807  </t>
  </si>
  <si>
    <t xml:space="preserve">BAN2306/00806  </t>
  </si>
  <si>
    <t xml:space="preserve">BFC2306/00805  </t>
  </si>
  <si>
    <t xml:space="preserve">ADECCO PETITE ENFANCE                   </t>
  </si>
  <si>
    <t xml:space="preserve">ADECCO    </t>
  </si>
  <si>
    <t xml:space="preserve">BFC2306/01054  </t>
  </si>
  <si>
    <t xml:space="preserve">BFC2306/01053  </t>
  </si>
  <si>
    <t xml:space="preserve">BFC2306/01052  </t>
  </si>
  <si>
    <t xml:space="preserve">VIRT CAF PERISCO SOLDE 2022                       </t>
  </si>
  <si>
    <t xml:space="preserve">BFC2306/01051  </t>
  </si>
  <si>
    <t xml:space="preserve">BFC2306/01050  </t>
  </si>
  <si>
    <t xml:space="preserve">VIRT AKA Serge - BABILHOME                        </t>
  </si>
  <si>
    <t xml:space="preserve">BFC2306/01049  </t>
  </si>
  <si>
    <t xml:space="preserve">BAN2306/00738  </t>
  </si>
  <si>
    <t xml:space="preserve">STEPHANIE DISANT                        </t>
  </si>
  <si>
    <t xml:space="preserve">DISANT    </t>
  </si>
  <si>
    <t xml:space="preserve">BAN2306/00736  </t>
  </si>
  <si>
    <t xml:space="preserve">BFC2306/00734  </t>
  </si>
  <si>
    <t xml:space="preserve">BFC2306/01048  </t>
  </si>
  <si>
    <t xml:space="preserve">BFC2306/01047  </t>
  </si>
  <si>
    <t xml:space="preserve">BFC2306/01046  </t>
  </si>
  <si>
    <t xml:space="preserve">RGLT TCL AL 6/13                                  </t>
  </si>
  <si>
    <t xml:space="preserve">BFC2306/01045  </t>
  </si>
  <si>
    <t xml:space="preserve">CAF 1ER ACPTE  SUBV.FONCTIONNEMENT 2023           </t>
  </si>
  <si>
    <t xml:space="preserve">BFC2306/00901  </t>
  </si>
  <si>
    <t xml:space="preserve">BFC2306/01044  </t>
  </si>
  <si>
    <t xml:space="preserve">BAN2306/00709  </t>
  </si>
  <si>
    <t xml:space="preserve">BFC2306/01043  </t>
  </si>
  <si>
    <t xml:space="preserve">CAF PS AG CFAL INDU 22                            </t>
  </si>
  <si>
    <t xml:space="preserve">BFC2306/00903  </t>
  </si>
  <si>
    <t xml:space="preserve">CAF PS AG CFAL SOLDE 22                           </t>
  </si>
  <si>
    <t xml:space="preserve">CAF PS AG CYPRIAN SOLDE 22                        </t>
  </si>
  <si>
    <t xml:space="preserve">BFC2306/00902  </t>
  </si>
  <si>
    <t xml:space="preserve">BFC2306/01042  </t>
  </si>
  <si>
    <t xml:space="preserve">BFC2306/01041  </t>
  </si>
  <si>
    <t xml:space="preserve">BFC2306/01040  </t>
  </si>
  <si>
    <t xml:space="preserve">AKA Serge R0200001391                             </t>
  </si>
  <si>
    <t xml:space="preserve">REGIE BILLON BOUVET BONNAMOUR  R0100025992        </t>
  </si>
  <si>
    <t xml:space="preserve">CM2307/01129   </t>
  </si>
  <si>
    <t xml:space="preserve">PRLV ORANGE 8203F2                                </t>
  </si>
  <si>
    <t xml:space="preserve">CM2307/01128   </t>
  </si>
  <si>
    <t xml:space="preserve">PRLV ORANGE 82830597                              </t>
  </si>
  <si>
    <t xml:space="preserve">CM2307/01127   </t>
  </si>
  <si>
    <t xml:space="preserve">PRLV ORANGE 82830655                              </t>
  </si>
  <si>
    <t xml:space="preserve">CM2307/01126   </t>
  </si>
  <si>
    <t xml:space="preserve">CM2307/01125   </t>
  </si>
  <si>
    <t xml:space="preserve">Remise de chèques n° 31072023                     </t>
  </si>
  <si>
    <t xml:space="preserve">CM2307/01031   </t>
  </si>
  <si>
    <t xml:space="preserve">Remise de chèques n° 25072023                     </t>
  </si>
  <si>
    <t xml:space="preserve">CM2307/01220   </t>
  </si>
  <si>
    <t xml:space="preserve">CM2307/00997   </t>
  </si>
  <si>
    <t xml:space="preserve">CM2307/00956   </t>
  </si>
  <si>
    <t xml:space="preserve">CHQ BML LOCATION / OXYGENE 6/11                   </t>
  </si>
  <si>
    <t xml:space="preserve">CM2307/01123   </t>
  </si>
  <si>
    <t xml:space="preserve">RGLT CB SQUARESPACE                               </t>
  </si>
  <si>
    <t xml:space="preserve">CM2307/01121   </t>
  </si>
  <si>
    <t xml:space="preserve">Remise de chèques n° 19072023                     </t>
  </si>
  <si>
    <t xml:space="preserve">CM2307/01213   </t>
  </si>
  <si>
    <t xml:space="preserve">CHQ WAKOO PARK AL 6/11                            </t>
  </si>
  <si>
    <t xml:space="preserve">CM2307/01122   </t>
  </si>
  <si>
    <t xml:space="preserve">CM2307/00945   </t>
  </si>
  <si>
    <t xml:space="preserve">PRLV ORANGE FIBRE 1683E9                          </t>
  </si>
  <si>
    <t xml:space="preserve">CM2307/01120   </t>
  </si>
  <si>
    <t xml:space="preserve">Remise de chèques n° 130723C                      </t>
  </si>
  <si>
    <t xml:space="preserve">CM2307/01212   </t>
  </si>
  <si>
    <t xml:space="preserve">Remise de chèques n° 130720232                    </t>
  </si>
  <si>
    <t xml:space="preserve">CM2307/00938   </t>
  </si>
  <si>
    <t xml:space="preserve">Remise de chèques n° 13072023                     </t>
  </si>
  <si>
    <t xml:space="preserve">CM2307/00937   </t>
  </si>
  <si>
    <t xml:space="preserve">CB MARKET NDF A VOIR                              </t>
  </si>
  <si>
    <t xml:space="preserve">CM2307/01119   </t>
  </si>
  <si>
    <t xml:space="preserve">CM2307/01118   </t>
  </si>
  <si>
    <t xml:space="preserve">CM2307/01117   </t>
  </si>
  <si>
    <t xml:space="preserve">PRLV ORANGE FIBRE 8643E6                          </t>
  </si>
  <si>
    <t xml:space="preserve">CM2307/01116   </t>
  </si>
  <si>
    <t xml:space="preserve">PRLV ORANGE 82470574                              </t>
  </si>
  <si>
    <t xml:space="preserve">CM2307/01115   </t>
  </si>
  <si>
    <t xml:space="preserve">PRLV ORANGE 82470630                              </t>
  </si>
  <si>
    <t xml:space="preserve">CM2307/01114   </t>
  </si>
  <si>
    <t xml:space="preserve">AKAKBA LARBI R0300001072                          </t>
  </si>
  <si>
    <t xml:space="preserve">CAMARA MARIAMA R0300001071                        </t>
  </si>
  <si>
    <t xml:space="preserve">Crédit BEN AHMED NADIA R0300001069                </t>
  </si>
  <si>
    <t xml:space="preserve">BEN AHMED NADIA R0300001069                       </t>
  </si>
  <si>
    <t xml:space="preserve">COTTIER ELEONORE R0200001424                      </t>
  </si>
  <si>
    <t xml:space="preserve">COTTIER ELEONORE R0200001423                      </t>
  </si>
  <si>
    <t xml:space="preserve">HABA Pola-Esther R0200001422                      </t>
  </si>
  <si>
    <t xml:space="preserve">FAROUK Ali R0200001418                            </t>
  </si>
  <si>
    <t xml:space="preserve">IMERAJ GRESA R0100026113                          </t>
  </si>
  <si>
    <t xml:space="preserve">AL YACOUB ADEEB R0100026112                       </t>
  </si>
  <si>
    <t xml:space="preserve">AL YACOUB ADEEB                         </t>
  </si>
  <si>
    <t xml:space="preserve">ALYACOUB  </t>
  </si>
  <si>
    <t xml:space="preserve">ARTHUS PIERRE  R0100026110                        </t>
  </si>
  <si>
    <t xml:space="preserve">DE OLIVEIRA JOHNNY R0100026105                    </t>
  </si>
  <si>
    <t xml:space="preserve">YAKER  R0100026104                                </t>
  </si>
  <si>
    <t xml:space="preserve">YAKER                                   </t>
  </si>
  <si>
    <t xml:space="preserve">YAKER     </t>
  </si>
  <si>
    <t xml:space="preserve">ABDELLI HALIMA R0100026102                        </t>
  </si>
  <si>
    <t xml:space="preserve">BOUDISSA HAMZA R0100026101                        </t>
  </si>
  <si>
    <t xml:space="preserve">SAFFI RIME R0100026100                            </t>
  </si>
  <si>
    <t xml:space="preserve">SAFFI RIME                              </t>
  </si>
  <si>
    <t xml:space="preserve">ZEKRI SABRI R0100026099                           </t>
  </si>
  <si>
    <t xml:space="preserve">LOUATI ALI R0100026098                            </t>
  </si>
  <si>
    <t xml:space="preserve">JOUINI MONIA R0100026097                          </t>
  </si>
  <si>
    <t xml:space="preserve">BOUDISSA HAMZA R0100026096                        </t>
  </si>
  <si>
    <t xml:space="preserve">BENRHOUMA RHOUMA R0100026095                      </t>
  </si>
  <si>
    <t xml:space="preserve">NKOUA EMPANA ELIM R0100026094                     </t>
  </si>
  <si>
    <t xml:space="preserve">FATNASSI CINDY R0100026093                        </t>
  </si>
  <si>
    <t xml:space="preserve">HAMRANI DALILA R0100026092                        </t>
  </si>
  <si>
    <t xml:space="preserve">SAFFI RIME R0100026091                            </t>
  </si>
  <si>
    <t xml:space="preserve">ZEKRI SABRI R0100026090                           </t>
  </si>
  <si>
    <t xml:space="preserve">BELAROUSSI NORDINE R0100026089                    </t>
  </si>
  <si>
    <t xml:space="preserve">SAFFI RIME R0100026088                            </t>
  </si>
  <si>
    <t xml:space="preserve">ZEKRI SABRI R0100026087                           </t>
  </si>
  <si>
    <t xml:space="preserve">ZEKRI SABRI R0100026086                           </t>
  </si>
  <si>
    <t xml:space="preserve">HAMRANI DALILA R0100026085                        </t>
  </si>
  <si>
    <t xml:space="preserve">ABDELKADER SAMIR R0100026084                      </t>
  </si>
  <si>
    <t xml:space="preserve">SAFFI RIME R0100026083                            </t>
  </si>
  <si>
    <t xml:space="preserve">SAFFI RIME R0100026082                            </t>
  </si>
  <si>
    <t xml:space="preserve">ZEKRI SABRI R0100026081                           </t>
  </si>
  <si>
    <t xml:space="preserve">ZEKRI SABRI R0100026080                           </t>
  </si>
  <si>
    <t xml:space="preserve">BOUDISSA HAMZA R0100026079                        </t>
  </si>
  <si>
    <t xml:space="preserve">BOUDISSA HAMZA R0100026077                        </t>
  </si>
  <si>
    <t xml:space="preserve">BENRHOUMA RHOUMA R0100026076                      </t>
  </si>
  <si>
    <t xml:space="preserve">RACHIDI AMINA R0100026071                         </t>
  </si>
  <si>
    <t xml:space="preserve">AGGREY ANGELA R0100026067                         </t>
  </si>
  <si>
    <t xml:space="preserve">BENNACEUR OUMAIMA R0100026064                     </t>
  </si>
  <si>
    <t xml:space="preserve">BOUDADI RACHID R0100026063                        </t>
  </si>
  <si>
    <t xml:space="preserve">ABDELKADER SAMIR R0100026062                      </t>
  </si>
  <si>
    <t xml:space="preserve">BOUDISSA HAMZA R0100026061                        </t>
  </si>
  <si>
    <t xml:space="preserve">BOUDISSA HAMZA R0100026060                        </t>
  </si>
  <si>
    <t xml:space="preserve">Crédit BOUDISSA HAMZA R0100026059                 </t>
  </si>
  <si>
    <t xml:space="preserve">BOUDISSA HAMZA R0100026059                        </t>
  </si>
  <si>
    <t xml:space="preserve">SAFFI RIME R0100026058                            </t>
  </si>
  <si>
    <t xml:space="preserve">KARAKAYA TABI R0100026057                         </t>
  </si>
  <si>
    <t xml:space="preserve">BENRHOUMA RHOUMA R0100026056                      </t>
  </si>
  <si>
    <t xml:space="preserve">SLIMANI LAMIA R0100026055                         </t>
  </si>
  <si>
    <t xml:space="preserve">BOUKHANOUFA MOUNIR R0100026054                    </t>
  </si>
  <si>
    <t xml:space="preserve">AMEZRAR FERROUDJA R0100026053                     </t>
  </si>
  <si>
    <t xml:space="preserve">HAMRANI DALILA R0100026052                        </t>
  </si>
  <si>
    <t xml:space="preserve">SAFFI RIME R0100026051                            </t>
  </si>
  <si>
    <t xml:space="preserve">ZEKRI SABRI R0100026050                           </t>
  </si>
  <si>
    <t xml:space="preserve">LOUATI ALI R0100026049                            </t>
  </si>
  <si>
    <t xml:space="preserve">LOUATI ALI R0100026048                            </t>
  </si>
  <si>
    <t xml:space="preserve">DJELASSI INES R0100026047                         </t>
  </si>
  <si>
    <t xml:space="preserve">DJELASSI INES                           </t>
  </si>
  <si>
    <t>DJELASSIIN</t>
  </si>
  <si>
    <t xml:space="preserve">Crédit JOMNI ZOHRA R0100026045                    </t>
  </si>
  <si>
    <t xml:space="preserve">JOMNI ZOHRA R0100026045                           </t>
  </si>
  <si>
    <t xml:space="preserve">AOUSJI MOHAMED R0100026031                        </t>
  </si>
  <si>
    <t xml:space="preserve">BENRHOUMA RHOUMA R0100026030                      </t>
  </si>
  <si>
    <t xml:space="preserve">DJELASSI INES R0100026028                         </t>
  </si>
  <si>
    <t xml:space="preserve">JOUINI MONIA R0100026027                          </t>
  </si>
  <si>
    <t xml:space="preserve">BENMAZOUZ CHELHA R0100026026                      </t>
  </si>
  <si>
    <t xml:space="preserve">OUAKZIZ BEZZA R0100026025                         </t>
  </si>
  <si>
    <t xml:space="preserve">HAMRANI DALILA R0100026024                        </t>
  </si>
  <si>
    <t xml:space="preserve">SAFFI RIME R0100026023                            </t>
  </si>
  <si>
    <t xml:space="preserve">ZEKRI SABRI R0100026022                           </t>
  </si>
  <si>
    <t xml:space="preserve">ZEKRI SABRI R0100026021                           </t>
  </si>
  <si>
    <t xml:space="preserve">ZEKRI SABRI R0100026020                           </t>
  </si>
  <si>
    <t xml:space="preserve">DJELALI MOUNA R0100026019                         </t>
  </si>
  <si>
    <t xml:space="preserve">DJELALI MOUNA                           </t>
  </si>
  <si>
    <t xml:space="preserve">DJELALI   </t>
  </si>
  <si>
    <t xml:space="preserve">BEN MAHREZ AHMED R0100026016                      </t>
  </si>
  <si>
    <t xml:space="preserve">BEN MAHREZ AHMED                        </t>
  </si>
  <si>
    <t xml:space="preserve">BENMAHREZ </t>
  </si>
  <si>
    <t xml:space="preserve">ABDELLI HALIMA R0100026015                        </t>
  </si>
  <si>
    <t xml:space="preserve">LOUATI ALI R0100026014                            </t>
  </si>
  <si>
    <t xml:space="preserve">JOUINI MONIA R0100026013                          </t>
  </si>
  <si>
    <t xml:space="preserve">BOUDISSA HAMZA R0100026008                        </t>
  </si>
  <si>
    <t xml:space="preserve">NKOUA EMPANA ELIM R0100026007                     </t>
  </si>
  <si>
    <t xml:space="preserve">SAFFI RIME R0100026006                            </t>
  </si>
  <si>
    <t xml:space="preserve">ADOU YANGAO Frederic-Yanick R0100026005           </t>
  </si>
  <si>
    <t xml:space="preserve">ZEKRI SABRI R0100026004                           </t>
  </si>
  <si>
    <t xml:space="preserve">HAMRANI DALILA R0100026003                        </t>
  </si>
  <si>
    <t xml:space="preserve">BOUKHANOUFA MOUNIR R0100026002                    </t>
  </si>
  <si>
    <t xml:space="preserve">KHALFA SIMARD LOIS R0100025997                    </t>
  </si>
  <si>
    <t xml:space="preserve">AYITEBE OYONO ALVINE RUSNELLE R0100025996         </t>
  </si>
  <si>
    <t xml:space="preserve">AZEIZ  R0300001068                                </t>
  </si>
  <si>
    <t xml:space="preserve">Crédit BOUTALEB FERROUDJA R0300001066             </t>
  </si>
  <si>
    <t xml:space="preserve">BOUTALEB FERROUDJA R0300001066                    </t>
  </si>
  <si>
    <t xml:space="preserve">KOUASSEU MOUNGANG  R0300001064                    </t>
  </si>
  <si>
    <t xml:space="preserve">MAYOL Johann R0200001413                          </t>
  </si>
  <si>
    <t xml:space="preserve">KOUICI STEVE R0200001411                          </t>
  </si>
  <si>
    <t xml:space="preserve">COLLOMB Geoffrey R0200001408                      </t>
  </si>
  <si>
    <t xml:space="preserve">SAHLI Perrine R0200001407                         </t>
  </si>
  <si>
    <t xml:space="preserve">RACHIDI AMINA R0200001406                         </t>
  </si>
  <si>
    <t xml:space="preserve">COLLOMB Geoffrey R0200001404                      </t>
  </si>
  <si>
    <t xml:space="preserve">MAJERI Izac R0200001403                           </t>
  </si>
  <si>
    <t xml:space="preserve">MAJERI Farid                            </t>
  </si>
  <si>
    <t xml:space="preserve">Crédit ALEMBE Benedicte R0100025994               </t>
  </si>
  <si>
    <t xml:space="preserve">ALEMBE Benedicte                        </t>
  </si>
  <si>
    <t xml:space="preserve">ALEMBE    </t>
  </si>
  <si>
    <t xml:space="preserve">ALEMBE Benedicte R0100025994                      </t>
  </si>
  <si>
    <t xml:space="preserve">DRIS AREME R0100025983                            </t>
  </si>
  <si>
    <t xml:space="preserve">BERNY NADEGE R0100025982                          </t>
  </si>
  <si>
    <t xml:space="preserve">SAID OUASSILA R0100025978                         </t>
  </si>
  <si>
    <t xml:space="preserve">NTRIO KAMELA R0100025977                          </t>
  </si>
  <si>
    <t xml:space="preserve">KAMBI RAISSA R0100025976                          </t>
  </si>
  <si>
    <t xml:space="preserve">KAMBI RAISSA                            </t>
  </si>
  <si>
    <t xml:space="preserve">KAMBI     </t>
  </si>
  <si>
    <t xml:space="preserve">Crédit MAKITA CHRIS R0100025975                   </t>
  </si>
  <si>
    <t xml:space="preserve">MAKITA CHRIS R0100025975                          </t>
  </si>
  <si>
    <t xml:space="preserve">SIDIBE MAMADOU R0100025970                        </t>
  </si>
  <si>
    <t xml:space="preserve">Crédit JACQUEMIN GWENDOLINE R0100025969           </t>
  </si>
  <si>
    <t xml:space="preserve">JACQUEMIN GWENDOLINE R0100025969                  </t>
  </si>
  <si>
    <t xml:space="preserve">SERSAR SANAE R0100025967                          </t>
  </si>
  <si>
    <t xml:space="preserve">RETOUR DE CAISSE / RAPHAEL LAROCHE / SORTIE       </t>
  </si>
  <si>
    <t xml:space="preserve">CAI2307/01001  </t>
  </si>
  <si>
    <t xml:space="preserve">NDF LUDIVINE NOTIN SORTIE GRIBOUILLE              </t>
  </si>
  <si>
    <t xml:space="preserve">CAI2307/01185  </t>
  </si>
  <si>
    <t xml:space="preserve">PART. SORTIE ADULTE LITTLE FISH LAND 12/07        </t>
  </si>
  <si>
    <t xml:space="preserve">CAI2307/01136  </t>
  </si>
  <si>
    <t xml:space="preserve">PARTICIPATION SORTIE ADULTE 25/07/23              </t>
  </si>
  <si>
    <t xml:space="preserve">CAI2307/01133  </t>
  </si>
  <si>
    <t xml:space="preserve">NDF HADDED CAMILIA / KIABI POLE ENFANCE           </t>
  </si>
  <si>
    <t xml:space="preserve">CAI2307/01186  </t>
  </si>
  <si>
    <t xml:space="preserve">AVANCE DE CAISSE / SORTIE / RAPHAEL LAROCHE       </t>
  </si>
  <si>
    <t xml:space="preserve">CAI2307/00955  </t>
  </si>
  <si>
    <t xml:space="preserve">REMB. NDF GRANGE AURELIE / BABILHOME              </t>
  </si>
  <si>
    <t xml:space="preserve">CAI2307/00950  </t>
  </si>
  <si>
    <t xml:space="preserve">RETOUR AVANCE RAPHAEL LAROCHE / SORTIE            </t>
  </si>
  <si>
    <t xml:space="preserve">CAI2307/00949  </t>
  </si>
  <si>
    <t xml:space="preserve">RETOUR AVANCE RAPHAEL LAROCHE / CARREFOUR         </t>
  </si>
  <si>
    <t xml:space="preserve">CAI2307/00944  </t>
  </si>
  <si>
    <t xml:space="preserve">CAI2307/00943  </t>
  </si>
  <si>
    <t xml:space="preserve">AVANCE DE CAISSE RAPHAEL LAROCHE                  </t>
  </si>
  <si>
    <t xml:space="preserve">CAI2307/00942  </t>
  </si>
  <si>
    <t xml:space="preserve">AVANCE CAISSE - GRANGE AURELIE / FERME            </t>
  </si>
  <si>
    <t xml:space="preserve">CAI2307/01329  </t>
  </si>
  <si>
    <t xml:space="preserve">PARTICIPATION FAMILLE SORTIE POLE ADULTE 18/07    </t>
  </si>
  <si>
    <t xml:space="preserve">CAI2307/01002  </t>
  </si>
  <si>
    <t xml:space="preserve">AVANCE DE CAISSE LAROCHE QUARTIER D'ETE           </t>
  </si>
  <si>
    <t xml:space="preserve">CAI2307/01328  </t>
  </si>
  <si>
    <t xml:space="preserve">AVANCE DE CAISSE LAROCHE SORTIE ADULTE            </t>
  </si>
  <si>
    <t xml:space="preserve">CAI2307/01327  </t>
  </si>
  <si>
    <t xml:space="preserve">RETOUR DE CAISSE - RAPHAEL LAROCHE                </t>
  </si>
  <si>
    <t xml:space="preserve">CAI2307/01203  </t>
  </si>
  <si>
    <t xml:space="preserve">RGLT NDF SORTIE LITTLE FISH LAND                  </t>
  </si>
  <si>
    <t xml:space="preserve">CAI2307/01181  </t>
  </si>
  <si>
    <t xml:space="preserve">CAI2307/00939  </t>
  </si>
  <si>
    <t xml:space="preserve">AVANCE DE CAISSE KAMBI SITTI / NETTO              </t>
  </si>
  <si>
    <t xml:space="preserve">CAI2307/00921  </t>
  </si>
  <si>
    <t xml:space="preserve">AVANCE DE CAISSE KAMBI SITTI / CARREFOUR          </t>
  </si>
  <si>
    <t xml:space="preserve">CAI2307/00920  </t>
  </si>
  <si>
    <t xml:space="preserve">REMBOURSEMENT NDF KAMBI SITTI                     </t>
  </si>
  <si>
    <t xml:space="preserve">CAI2307/00919  </t>
  </si>
  <si>
    <t xml:space="preserve">RETOUR DE CAISSE RAPHAEL LAROCHE                  </t>
  </si>
  <si>
    <t xml:space="preserve">CAI2307/00918  </t>
  </si>
  <si>
    <t xml:space="preserve">RETOUR DE CAISSE RAPHAEL LAROCHE / TERREAU        </t>
  </si>
  <si>
    <t xml:space="preserve">CAI2307/00917  </t>
  </si>
  <si>
    <t xml:space="preserve">AVANCE DE CAISSE RAPHAEL LAROCHE / TERREAU        </t>
  </si>
  <si>
    <t xml:space="preserve">CAI2307/00916  </t>
  </si>
  <si>
    <t xml:space="preserve">RETOUR DE CAISSE REBIB SIHEM / PHARMACIE          </t>
  </si>
  <si>
    <t xml:space="preserve">CAI2307/00915  </t>
  </si>
  <si>
    <t xml:space="preserve">AVANCE DE CAISSE REBIB SIHEM / PHARMACIE          </t>
  </si>
  <si>
    <t xml:space="preserve">CAI2307/00914  </t>
  </si>
  <si>
    <t xml:space="preserve">AVANCE DE CAISSE ABERKANE / CARREFOUR             </t>
  </si>
  <si>
    <t xml:space="preserve">CAI2307/00899  </t>
  </si>
  <si>
    <t xml:space="preserve">FONCIA  R0100025993                               </t>
  </si>
  <si>
    <t xml:space="preserve">BOYACI SIBEL R0100025981                          </t>
  </si>
  <si>
    <t xml:space="preserve">BFC2307/01283  </t>
  </si>
  <si>
    <t xml:space="preserve">CHQ VANCI AVENTURE                                </t>
  </si>
  <si>
    <t xml:space="preserve">BFC2307/01282  </t>
  </si>
  <si>
    <t xml:space="preserve">VANCI AVENTURE                          </t>
  </si>
  <si>
    <t xml:space="preserve">VANCIAVEN </t>
  </si>
  <si>
    <t xml:space="preserve">VIRT ACPTE FSE 2023                               </t>
  </si>
  <si>
    <t xml:space="preserve">BFC2307/01281  </t>
  </si>
  <si>
    <t xml:space="preserve">VIRT ETAT ACSE CGET                               </t>
  </si>
  <si>
    <t xml:space="preserve">BFC2307/01280  </t>
  </si>
  <si>
    <t xml:space="preserve">BFC2307/01279  </t>
  </si>
  <si>
    <t xml:space="preserve">BFC2307/01278  </t>
  </si>
  <si>
    <t xml:space="preserve">BFC2307/01277  </t>
  </si>
  <si>
    <t xml:space="preserve">BFC2307/01275  </t>
  </si>
  <si>
    <t xml:space="preserve">VIRT CAF ACOMPTE AG                               </t>
  </si>
  <si>
    <t xml:space="preserve">BFC2307/01274  </t>
  </si>
  <si>
    <t xml:space="preserve">VIRT CAF ACOMPTE AG CYPRIAN                       </t>
  </si>
  <si>
    <t xml:space="preserve">VIRT CAF ACOMPTE AG CFAL                          </t>
  </si>
  <si>
    <t xml:space="preserve">BFC2307/01273  </t>
  </si>
  <si>
    <t xml:space="preserve">BFC2307/01272  </t>
  </si>
  <si>
    <t xml:space="preserve">BFC2307/01271  </t>
  </si>
  <si>
    <t xml:space="preserve">BFC2307/00996  </t>
  </si>
  <si>
    <t xml:space="preserve">COLLECTIF PALAVANNE                     </t>
  </si>
  <si>
    <t xml:space="preserve">PALAVANNE </t>
  </si>
  <si>
    <t xml:space="preserve">COLLECTIF PETIT TRAVERS                 </t>
  </si>
  <si>
    <t>PETITTRAVE</t>
  </si>
  <si>
    <t xml:space="preserve">LITTLE FISH LAND                        </t>
  </si>
  <si>
    <t>LITTLEFISH</t>
  </si>
  <si>
    <t xml:space="preserve">FRANCE NATURE ENVIRONNEMENT             </t>
  </si>
  <si>
    <t>FRANCENATU</t>
  </si>
  <si>
    <t xml:space="preserve">BAN2307/00995  </t>
  </si>
  <si>
    <t xml:space="preserve">BFC2307/01270  </t>
  </si>
  <si>
    <t xml:space="preserve">CAF V.F.S.SORTIES / LACROIX-LAVAL                 </t>
  </si>
  <si>
    <t xml:space="preserve">BFC2307/01268  </t>
  </si>
  <si>
    <t xml:space="preserve">REMUNERATIONS DUES - CEE                          </t>
  </si>
  <si>
    <t xml:space="preserve">BFC2307/01267  </t>
  </si>
  <si>
    <t xml:space="preserve">CHQ CL AL 3/6                                     </t>
  </si>
  <si>
    <t xml:space="preserve">BFC2307/01209  </t>
  </si>
  <si>
    <t xml:space="preserve">BFC2307/01266  </t>
  </si>
  <si>
    <t xml:space="preserve">BFC2307/01265  </t>
  </si>
  <si>
    <t xml:space="preserve">BFC2307/00948  </t>
  </si>
  <si>
    <t xml:space="preserve">BFC2307/01264  </t>
  </si>
  <si>
    <t xml:space="preserve">BFC2307/01263  </t>
  </si>
  <si>
    <t xml:space="preserve">CAF AIDE COVID ?                                  </t>
  </si>
  <si>
    <t xml:space="preserve">BFC2307/01262  </t>
  </si>
  <si>
    <t xml:space="preserve">BFC2307/01261  </t>
  </si>
  <si>
    <t xml:space="preserve">BAN2307/00941  </t>
  </si>
  <si>
    <t xml:space="preserve">BFC2307/01208  </t>
  </si>
  <si>
    <t xml:space="preserve">LESVAGUES </t>
  </si>
  <si>
    <t xml:space="preserve">BFC2307/01260  </t>
  </si>
  <si>
    <t xml:space="preserve">VIRT VIVRE ENSEMBLE LCD                           </t>
  </si>
  <si>
    <t xml:space="preserve">BFC2307/01259  </t>
  </si>
  <si>
    <t xml:space="preserve">VIRT FRANCAIS                                     </t>
  </si>
  <si>
    <t xml:space="preserve">BFC2307/01258  </t>
  </si>
  <si>
    <t xml:space="preserve">VIRT FRACTURE NUMERIQUE                           </t>
  </si>
  <si>
    <t xml:space="preserve">BFC2307/01257  </t>
  </si>
  <si>
    <t xml:space="preserve">BFC2307/01256  </t>
  </si>
  <si>
    <t xml:space="preserve">BFC2307/01255  </t>
  </si>
  <si>
    <t xml:space="preserve">BFC2307/01254  </t>
  </si>
  <si>
    <t xml:space="preserve">BFC2307/00936  </t>
  </si>
  <si>
    <t xml:space="preserve">BAN2307/00935  </t>
  </si>
  <si>
    <t xml:space="preserve">BFC2307/01253  </t>
  </si>
  <si>
    <t xml:space="preserve">BFC2307/00932  </t>
  </si>
  <si>
    <t xml:space="preserve">TAMO                                    </t>
  </si>
  <si>
    <t xml:space="preserve">TAMO      </t>
  </si>
  <si>
    <t xml:space="preserve">VIRT ASP - AIDE APPRENTIS                         </t>
  </si>
  <si>
    <t xml:space="preserve">BFC2307/01252  </t>
  </si>
  <si>
    <t xml:space="preserve">BFC2307/01251  </t>
  </si>
  <si>
    <t xml:space="preserve">ACOMPTE POSTE COORDINATEUR TZC                    </t>
  </si>
  <si>
    <t xml:space="preserve">BFC2307/01250  </t>
  </si>
  <si>
    <t xml:space="preserve">BFC2307/01249  </t>
  </si>
  <si>
    <t xml:space="preserve">BFC2307/01248  </t>
  </si>
  <si>
    <t xml:space="preserve">BFC2307/01247  </t>
  </si>
  <si>
    <t xml:space="preserve">BFC2307/01246  </t>
  </si>
  <si>
    <t xml:space="preserve">BFC2307/01245  </t>
  </si>
  <si>
    <t xml:space="preserve">BFC2307/01244  </t>
  </si>
  <si>
    <t xml:space="preserve">BFC2307/01243  </t>
  </si>
  <si>
    <t xml:space="preserve">BAN2307/00887  </t>
  </si>
  <si>
    <t xml:space="preserve">BFC2307/01141  </t>
  </si>
  <si>
    <t>Mois</t>
  </si>
  <si>
    <t xml:space="preserve">VILLARD JOELLE R0100026128                        </t>
  </si>
  <si>
    <t xml:space="preserve">VILLARD JOELLE R0100026127                        </t>
  </si>
  <si>
    <t xml:space="preserve">VILLARD JOELLE R0100026126                        </t>
  </si>
  <si>
    <t xml:space="preserve">PRLV ORANGE 8203G0                                </t>
  </si>
  <si>
    <t xml:space="preserve">CM2308/01224   </t>
  </si>
  <si>
    <t xml:space="preserve">NDF LARCHER - DELIVEROO CB                        </t>
  </si>
  <si>
    <t xml:space="preserve">CM2308/01223   </t>
  </si>
  <si>
    <t xml:space="preserve">CHQ BEFUN                                         </t>
  </si>
  <si>
    <t xml:space="preserve">CM2308/01206   </t>
  </si>
  <si>
    <t xml:space="preserve">BEFUN                                   </t>
  </si>
  <si>
    <t xml:space="preserve">BEFUN     </t>
  </si>
  <si>
    <t xml:space="preserve">PRLV ORANGE 1683F7                                </t>
  </si>
  <si>
    <t xml:space="preserve">CM2308/01222   </t>
  </si>
  <si>
    <t xml:space="preserve">CM2308/01219   </t>
  </si>
  <si>
    <t xml:space="preserve">CHQ LABYLAND                                      </t>
  </si>
  <si>
    <t xml:space="preserve">CM2308/01205   </t>
  </si>
  <si>
    <t xml:space="preserve">LABYLAND                                </t>
  </si>
  <si>
    <t xml:space="preserve">LABYLAND  </t>
  </si>
  <si>
    <t xml:space="preserve">PRLV ORANGE 8643F4                                </t>
  </si>
  <si>
    <t xml:space="preserve">CM2308/01218   </t>
  </si>
  <si>
    <t xml:space="preserve">PRLV ORANGE 4023F4                                </t>
  </si>
  <si>
    <t xml:space="preserve">CM2308/01217   </t>
  </si>
  <si>
    <t xml:space="preserve">CM2308/01216   </t>
  </si>
  <si>
    <t xml:space="preserve">RPLV RICOH                                        </t>
  </si>
  <si>
    <t xml:space="preserve">CM2308/01215   </t>
  </si>
  <si>
    <t xml:space="preserve">CM2308/01214   </t>
  </si>
  <si>
    <t xml:space="preserve">MOENGARIE Sirine R0200001441                      </t>
  </si>
  <si>
    <t xml:space="preserve">MOENGARIE Sirine                        </t>
  </si>
  <si>
    <t xml:space="preserve">Crédit MAJERI Farid R0200001433                   </t>
  </si>
  <si>
    <t xml:space="preserve">MAJERI Farid R0200001433                          </t>
  </si>
  <si>
    <t xml:space="preserve">SAHLI Perrine R0200001432                         </t>
  </si>
  <si>
    <t xml:space="preserve">POUOYEWO RACHEL R0200001431                       </t>
  </si>
  <si>
    <t xml:space="preserve">THIAM CISSE R0200001429                           </t>
  </si>
  <si>
    <t xml:space="preserve">KAYOWA KABUNDA MARTINE R0100026152                </t>
  </si>
  <si>
    <t xml:space="preserve">Crédit LE SAUX HELENE R0100026149                 </t>
  </si>
  <si>
    <t xml:space="preserve">LE SAUX HELENE R0100026149                        </t>
  </si>
  <si>
    <t xml:space="preserve">THABET MOUNIRA R0100026147                        </t>
  </si>
  <si>
    <t xml:space="preserve">ZAIDI ANISSA R0100026143                          </t>
  </si>
  <si>
    <t xml:space="preserve">ENAH SEGUE APPOLONIE R0100026142                  </t>
  </si>
  <si>
    <t xml:space="preserve">ENAH SEGUE APPOLONIE                    </t>
  </si>
  <si>
    <t xml:space="preserve">ENAHSEGUE </t>
  </si>
  <si>
    <t xml:space="preserve">BOLUMBA MBONGO Simone R0100026137                 </t>
  </si>
  <si>
    <t xml:space="preserve">BOLUMBA MBONGO Simone                   </t>
  </si>
  <si>
    <t>BOLUMBAMBO</t>
  </si>
  <si>
    <t xml:space="preserve">ANDRIET AGNES R0100026135                         </t>
  </si>
  <si>
    <t xml:space="preserve">GUERIN CHRISTELLE R0100026133                     </t>
  </si>
  <si>
    <t xml:space="preserve">COTTIER ELEONORE R0100026131                      </t>
  </si>
  <si>
    <t xml:space="preserve">Rbt ARFAOUI NABILA R0100026138                    </t>
  </si>
  <si>
    <t xml:space="preserve">HOCINE MEDJAHED R0300001074                       </t>
  </si>
  <si>
    <t xml:space="preserve">Crédit MAYOL Johann R0200001428                   </t>
  </si>
  <si>
    <t xml:space="preserve">MAYOL Johann R0200001428                          </t>
  </si>
  <si>
    <t xml:space="preserve">COLLOMB Geoffrey R0200001427                      </t>
  </si>
  <si>
    <t xml:space="preserve">BAUTISTA DANIELA R0100026124                      </t>
  </si>
  <si>
    <t xml:space="preserve">AL YACOUB ADEEB R0100026121                       </t>
  </si>
  <si>
    <t xml:space="preserve">Crédit VINCENT Emmanuelle R0100026116             </t>
  </si>
  <si>
    <t xml:space="preserve">VINCENT Emmanuelle R0100026116                    </t>
  </si>
  <si>
    <t xml:space="preserve">Crédit AMRAOUI RATIBA R0100026115                 </t>
  </si>
  <si>
    <t xml:space="preserve">AMRAOUI RATIBA R0100026115                        </t>
  </si>
  <si>
    <t xml:space="preserve">AVANCE CAISSE - PISCINE / ABERKANE                </t>
  </si>
  <si>
    <t xml:space="preserve">CAI2308/01330  </t>
  </si>
  <si>
    <t xml:space="preserve">AVANCE DE CAISSE RAPHAEL LAROCHE UNISBIKE         </t>
  </si>
  <si>
    <t xml:space="preserve">CAI2308/01085  </t>
  </si>
  <si>
    <t xml:space="preserve">SADOU DAVY SAMI R0100026157                       </t>
  </si>
  <si>
    <t xml:space="preserve">CB A ENCAISSER                          </t>
  </si>
  <si>
    <t xml:space="preserve">BFC2308/01323  </t>
  </si>
  <si>
    <t xml:space="preserve">BFC2308/01102  </t>
  </si>
  <si>
    <t xml:space="preserve">Baptiste Arsac                          </t>
  </si>
  <si>
    <t xml:space="preserve">SARSAC    </t>
  </si>
  <si>
    <t xml:space="preserve">BFC2308/01322  </t>
  </si>
  <si>
    <t xml:space="preserve">BFC2308/01321  </t>
  </si>
  <si>
    <t xml:space="preserve">CHQ CENTRE NAUTIQUE DE BRON                       </t>
  </si>
  <si>
    <t xml:space="preserve">BFC2308/01320  </t>
  </si>
  <si>
    <t xml:space="preserve">BFC2308/01319  </t>
  </si>
  <si>
    <t xml:space="preserve">BFC2308/01318  </t>
  </si>
  <si>
    <t xml:space="preserve">BFC2308/01317  </t>
  </si>
  <si>
    <t xml:space="preserve">FRAIS LECTEUR CAP                                 </t>
  </si>
  <si>
    <t xml:space="preserve">BFC2308/01316  </t>
  </si>
  <si>
    <t xml:space="preserve">PRLV BPCE PAYEMENT SERVICES                       </t>
  </si>
  <si>
    <t xml:space="preserve">BFC2308/01315  </t>
  </si>
  <si>
    <t xml:space="preserve">VIRT AKA Serge                                    </t>
  </si>
  <si>
    <t xml:space="preserve">BFC2308/01314  </t>
  </si>
  <si>
    <t xml:space="preserve">METROPOLE IED SOLDE 2022                          </t>
  </si>
  <si>
    <t xml:space="preserve">BFC2308/01313  </t>
  </si>
  <si>
    <t xml:space="preserve">REMUNERATIONS DUES - CEE BOUMENDJEL CHQ           </t>
  </si>
  <si>
    <t xml:space="preserve">BFC2308/01312  </t>
  </si>
  <si>
    <t xml:space="preserve">BFC2308/01311  </t>
  </si>
  <si>
    <t xml:space="preserve">BFC2308/01310  </t>
  </si>
  <si>
    <t xml:space="preserve">BFC2308/01309  </t>
  </si>
  <si>
    <t xml:space="preserve">BFC2308/01308  </t>
  </si>
  <si>
    <t xml:space="preserve">CHQ ORIGAMI / PISCINE RILLEUX 6/11                </t>
  </si>
  <si>
    <t xml:space="preserve">BFC2308/01307  </t>
  </si>
  <si>
    <t xml:space="preserve">ORIGAMI / PISCINE RILLEUX               </t>
  </si>
  <si>
    <t xml:space="preserve">ORIGAMI   </t>
  </si>
  <si>
    <t xml:space="preserve">ETAT ACSE CGET - QE                               </t>
  </si>
  <si>
    <t xml:space="preserve">BFC2308/01306  </t>
  </si>
  <si>
    <t xml:space="preserve">VIRT VILLE SUB HANDICAP                           </t>
  </si>
  <si>
    <t xml:space="preserve">BFC2308/01305  </t>
  </si>
  <si>
    <t xml:space="preserve">BFC2308/01304  </t>
  </si>
  <si>
    <t xml:space="preserve">BFC2308/01303  </t>
  </si>
  <si>
    <t xml:space="preserve">BFC2308/01302  </t>
  </si>
  <si>
    <t xml:space="preserve">BFC2308/01301  </t>
  </si>
  <si>
    <t xml:space="preserve">BFC2308/01300  </t>
  </si>
  <si>
    <t xml:space="preserve">CHQ AL 3/6 GALAXY GR                              </t>
  </si>
  <si>
    <t xml:space="preserve">BFC2308/01299  </t>
  </si>
  <si>
    <t xml:space="preserve">GALAXY GR                               </t>
  </si>
  <si>
    <t xml:space="preserve">GALAXYGR  </t>
  </si>
  <si>
    <t xml:space="preserve">BFC2308/01298  </t>
  </si>
  <si>
    <t xml:space="preserve">BFC2308/01297  </t>
  </si>
  <si>
    <t xml:space="preserve">VIRT DRAC A AFFECTER - CREER COMPTE               </t>
  </si>
  <si>
    <t xml:space="preserve">BFC2308/01296  </t>
  </si>
  <si>
    <t xml:space="preserve">BFC2308/01295  </t>
  </si>
  <si>
    <t xml:space="preserve">FRAIS ACTU DONNEES JURIDIQUES                     </t>
  </si>
  <si>
    <t xml:space="preserve">BFC2308/01294  </t>
  </si>
  <si>
    <t xml:space="preserve">BFC2308/01293  </t>
  </si>
  <si>
    <t xml:space="preserve">BFC2308/01072  </t>
  </si>
  <si>
    <t xml:space="preserve">BAN2308/01070  </t>
  </si>
  <si>
    <t xml:space="preserve">BFC2308/01291  </t>
  </si>
  <si>
    <t xml:space="preserve">BFC2308/01290  </t>
  </si>
  <si>
    <t xml:space="preserve">BFC2308/01292  </t>
  </si>
  <si>
    <t xml:space="preserve">VIRT VILLE / PERISCO                              </t>
  </si>
  <si>
    <t xml:space="preserve">BFC2308/01289  </t>
  </si>
  <si>
    <t xml:space="preserve">BFC2308/01288  </t>
  </si>
  <si>
    <t xml:space="preserve">ORIGAMI / PISCINE RILLEUX                         </t>
  </si>
  <si>
    <t xml:space="preserve">BFC2308/01287  </t>
  </si>
  <si>
    <t xml:space="preserve">BFC2308/01286  </t>
  </si>
  <si>
    <t xml:space="preserve">REMBOURSEMENT WAKOO PARK                          </t>
  </si>
  <si>
    <t xml:space="preserve">BFC2308/01285  </t>
  </si>
  <si>
    <t xml:space="preserve">CHQ BASE DE LOISIRS DE CORMORANCHE                </t>
  </si>
  <si>
    <t xml:space="preserve">BFC2308/01284  </t>
  </si>
  <si>
    <t xml:space="preserve">BASE DE LOISIRS DE CORMORANCHE          </t>
  </si>
  <si>
    <t xml:space="preserve">CORMORAN  </t>
  </si>
  <si>
    <t xml:space="preserve">BFC2308/01039  </t>
  </si>
  <si>
    <t xml:space="preserve">Ann VILLARD JOELLE R0100026128                    </t>
  </si>
  <si>
    <t xml:space="preserve">Ann VILLARD JOELLE R0100026127                    </t>
  </si>
  <si>
    <t xml:space="preserve">Ann VILLARD JOELLE R0100026126                    </t>
  </si>
  <si>
    <t xml:space="preserve">Remise de chèques n° 28092023                     </t>
  </si>
  <si>
    <t xml:space="preserve">CM2309/01402   </t>
  </si>
  <si>
    <t xml:space="preserve">CM2309/01682   </t>
  </si>
  <si>
    <t xml:space="preserve">RGLT CB DECITRES / LIVRES POLE ADULTES FRANCAIS   </t>
  </si>
  <si>
    <t xml:space="preserve">CM2309/01681   </t>
  </si>
  <si>
    <t xml:space="preserve">DECITRE                                 </t>
  </si>
  <si>
    <t xml:space="preserve">DECITRE   </t>
  </si>
  <si>
    <t xml:space="preserve">RGLT BOESNER CB / PEINTURE POLE ADULTE            </t>
  </si>
  <si>
    <t xml:space="preserve">CM2309/01683   </t>
  </si>
  <si>
    <t xml:space="preserve">BOESNER                                 </t>
  </si>
  <si>
    <t xml:space="preserve">BOESNER   </t>
  </si>
  <si>
    <t xml:space="preserve">PRLV ORANGE 1683G5                                </t>
  </si>
  <si>
    <t xml:space="preserve">CM2309/01680   </t>
  </si>
  <si>
    <t xml:space="preserve">NORISKO CONTROLE TECHNIQUE / CB                   </t>
  </si>
  <si>
    <t xml:space="preserve">CM2309/01679   </t>
  </si>
  <si>
    <t xml:space="preserve">CM2309/01234   </t>
  </si>
  <si>
    <t xml:space="preserve">Remise de chèques n° 14092023                     </t>
  </si>
  <si>
    <t xml:space="preserve">CM2309/01232   </t>
  </si>
  <si>
    <t xml:space="preserve">RGLT CB SNCF OUIGO                                </t>
  </si>
  <si>
    <t xml:space="preserve">CM2309/01678   </t>
  </si>
  <si>
    <t xml:space="preserve">CM2309/01677   </t>
  </si>
  <si>
    <t xml:space="preserve">CM2309/01676   </t>
  </si>
  <si>
    <t xml:space="preserve">Chèque impayé - Remise de chèques 31072023 - ADOU </t>
  </si>
  <si>
    <t>Chèque impayé - ADOU YANGAO Frederic-Yanick R01000</t>
  </si>
  <si>
    <t xml:space="preserve">CM2309/01675   </t>
  </si>
  <si>
    <t xml:space="preserve">PAIEMENT CB LEGALPLACE ???                        </t>
  </si>
  <si>
    <t xml:space="preserve">CM2309/01674   </t>
  </si>
  <si>
    <t xml:space="preserve">CRECHES&amp;CO RGT CB                                 </t>
  </si>
  <si>
    <t xml:space="preserve">CM2309/01673   </t>
  </si>
  <si>
    <t xml:space="preserve">CARREFOUR CB                                      </t>
  </si>
  <si>
    <t xml:space="preserve">CM2309/01672   </t>
  </si>
  <si>
    <t xml:space="preserve">PRLV ORANGE FIBRE 8643G2                          </t>
  </si>
  <si>
    <t xml:space="preserve">CM2309/01671   </t>
  </si>
  <si>
    <t xml:space="preserve">PRLV ORANGE 83188372                              </t>
  </si>
  <si>
    <t xml:space="preserve">CM2309/01670   </t>
  </si>
  <si>
    <t xml:space="preserve">PRLV ORANGE 83188439                              </t>
  </si>
  <si>
    <t xml:space="preserve">CM2309/01669   </t>
  </si>
  <si>
    <t xml:space="preserve">OTTAPLACKAL NAZAR NISHAD R0100026429              </t>
  </si>
  <si>
    <t xml:space="preserve">LOUDI HANAN R0300001087                           </t>
  </si>
  <si>
    <t xml:space="preserve">CAMARA MARIAMA R0300001086                        </t>
  </si>
  <si>
    <t xml:space="preserve">POUOYEWO RACHEL R0200001459                       </t>
  </si>
  <si>
    <t xml:space="preserve">CHOWDHURY Prattay R0100026428                     </t>
  </si>
  <si>
    <t xml:space="preserve">CHOWDHURY Prattay                       </t>
  </si>
  <si>
    <t xml:space="preserve">CHOWDHURY </t>
  </si>
  <si>
    <t xml:space="preserve">BOUJDAY Fethia R0100026423                        </t>
  </si>
  <si>
    <t xml:space="preserve">BOUJDAY Fethia                          </t>
  </si>
  <si>
    <t xml:space="preserve">BOUJDAY   </t>
  </si>
  <si>
    <t xml:space="preserve">MISINI Behare R0100026422                         </t>
  </si>
  <si>
    <t xml:space="preserve">MISINI Behare                           </t>
  </si>
  <si>
    <t xml:space="preserve">MISINI    </t>
  </si>
  <si>
    <t xml:space="preserve">KOROS Abigael R0100026421                         </t>
  </si>
  <si>
    <t xml:space="preserve">KOROS Abigael                           </t>
  </si>
  <si>
    <t xml:space="preserve">KOROS     </t>
  </si>
  <si>
    <t xml:space="preserve">KARANFIL BIRCAN R0100026414                       </t>
  </si>
  <si>
    <t xml:space="preserve">KARANFIL BIRCAN                         </t>
  </si>
  <si>
    <t>KARANFILBI</t>
  </si>
  <si>
    <t xml:space="preserve">CERTAIN NICOLE R0100026412                        </t>
  </si>
  <si>
    <t xml:space="preserve">BROSSUTTI BOUCHRA R0100026406                     </t>
  </si>
  <si>
    <t xml:space="preserve">TRAORE MARIAM R0100026405                         </t>
  </si>
  <si>
    <t xml:space="preserve">CAMARA MARIAMA R0100026404                        </t>
  </si>
  <si>
    <t xml:space="preserve">GODINEAU CATHERINE R0100026397                    </t>
  </si>
  <si>
    <t xml:space="preserve">GODINEAU CATHERINE                      </t>
  </si>
  <si>
    <t xml:space="preserve">GODINEAU  </t>
  </si>
  <si>
    <t xml:space="preserve">CALISKAN FATIH R0100026395                        </t>
  </si>
  <si>
    <t xml:space="preserve">CALISKAN FATIH                          </t>
  </si>
  <si>
    <t xml:space="preserve">CALISKAN  </t>
  </si>
  <si>
    <t xml:space="preserve">DIABY MAMADOU R0100026393                         </t>
  </si>
  <si>
    <t xml:space="preserve">ISSA Aisha R0100026392                            </t>
  </si>
  <si>
    <t xml:space="preserve">ISSA Aisha                              </t>
  </si>
  <si>
    <t xml:space="preserve">ISSA      </t>
  </si>
  <si>
    <t xml:space="preserve">KASHANIANI IAMZE R0100026391                      </t>
  </si>
  <si>
    <t xml:space="preserve">KASHANIANI IAMZE R0100026390                      </t>
  </si>
  <si>
    <t xml:space="preserve">AKOPIAN JANNA R0100026389                         </t>
  </si>
  <si>
    <t xml:space="preserve">MAKHMURJAN SONIK R0100026388                      </t>
  </si>
  <si>
    <t xml:space="preserve">HAMIDI RAZIKA R0100026387                         </t>
  </si>
  <si>
    <t xml:space="preserve">BEN SLAMA HAKIM R0100026386                       </t>
  </si>
  <si>
    <t xml:space="preserve">BEN SLAMA HAKIM                         </t>
  </si>
  <si>
    <t xml:space="preserve">BENSLAMA  </t>
  </si>
  <si>
    <t xml:space="preserve">HAMZA ZOULIKA R0100026385                         </t>
  </si>
  <si>
    <t xml:space="preserve">BOUKHANOUFA MOUNIR R0100026384                    </t>
  </si>
  <si>
    <t xml:space="preserve">MATTAR LAHCEN R0100026383                         </t>
  </si>
  <si>
    <t xml:space="preserve">MATTAR LAHCEN                           </t>
  </si>
  <si>
    <t xml:space="preserve">MATTAR    </t>
  </si>
  <si>
    <t xml:space="preserve">KHEZZARI MOHAMED R0100026382                      </t>
  </si>
  <si>
    <t xml:space="preserve">KHEZZARI MOHAMED                        </t>
  </si>
  <si>
    <t>KHEZZARIMO</t>
  </si>
  <si>
    <t xml:space="preserve">REZAGUI ABDELHALIM R0100026381                    </t>
  </si>
  <si>
    <t xml:space="preserve">KHACHATRYAN SUSAN R0100026380                     </t>
  </si>
  <si>
    <t xml:space="preserve">KHACHATRYAN SUSAN                       </t>
  </si>
  <si>
    <t>KHACHATRYA</t>
  </si>
  <si>
    <t xml:space="preserve">CHIHA AHMED R0100026379                           </t>
  </si>
  <si>
    <t xml:space="preserve">ZENELI HAVA R0100026378                           </t>
  </si>
  <si>
    <t xml:space="preserve">AMBARTSUMYAN Sergey R0100026377                   </t>
  </si>
  <si>
    <t xml:space="preserve">AMBARTSUMYAN Sergey                     </t>
  </si>
  <si>
    <t>AMBARTSUMY</t>
  </si>
  <si>
    <t xml:space="preserve">GUITARI SALEM R0100026375                         </t>
  </si>
  <si>
    <t xml:space="preserve">OUAHBI FATIMA R0100026374                         </t>
  </si>
  <si>
    <t xml:space="preserve">MAIRECHE ZAHIA R0100026373                        </t>
  </si>
  <si>
    <t xml:space="preserve">MAIRECHE ZAHIA                          </t>
  </si>
  <si>
    <t xml:space="preserve">NAHAPETIAN MARIE THERESE R0100026372              </t>
  </si>
  <si>
    <t xml:space="preserve">NAHAPETIAN MARIE THERESE                </t>
  </si>
  <si>
    <t>NAHAPETIAN</t>
  </si>
  <si>
    <t xml:space="preserve">BOUBEKA FARID R0100026371                         </t>
  </si>
  <si>
    <t xml:space="preserve">BOUBEKA FARID                           </t>
  </si>
  <si>
    <t xml:space="preserve">DIALLO CAMARA IBRAHIMA R0100026370                </t>
  </si>
  <si>
    <t xml:space="preserve">DJELLOUAH Amel R0100026369                        </t>
  </si>
  <si>
    <t xml:space="preserve">DJELLOUAH Amel                          </t>
  </si>
  <si>
    <t xml:space="preserve">SABOUNI MOHAMED R0100026367                       </t>
  </si>
  <si>
    <t xml:space="preserve">MBAMI GISELLE R0100026366                         </t>
  </si>
  <si>
    <t xml:space="preserve">KAOUTE FADILA R0100026365                         </t>
  </si>
  <si>
    <t xml:space="preserve">BENALI NASSIRA R0100026364                        </t>
  </si>
  <si>
    <t xml:space="preserve">DRAME DJENABA R0100026363                         </t>
  </si>
  <si>
    <t xml:space="preserve">TOURE SADJO MARIAM R0100026362                    </t>
  </si>
  <si>
    <t xml:space="preserve">SUDNIK SVIATLANA R0100026361                      </t>
  </si>
  <si>
    <t xml:space="preserve">ZIYAD NADIA R0100026359                           </t>
  </si>
  <si>
    <t xml:space="preserve">LIKRAMA RESMIJE R0100026358                       </t>
  </si>
  <si>
    <t xml:space="preserve">AKOPIAN JANNA R0100026357                         </t>
  </si>
  <si>
    <t xml:space="preserve">BUSHAJ SAIT R0100026356                           </t>
  </si>
  <si>
    <t xml:space="preserve">BIBA YAHIA R0100026355                            </t>
  </si>
  <si>
    <t xml:space="preserve">HOVHANNISYAN KAREN R0100026354                    </t>
  </si>
  <si>
    <t xml:space="preserve">KISUNGU ANTONIO R0100026353                       </t>
  </si>
  <si>
    <t xml:space="preserve">OBASOHAN Olivia R0100026352                       </t>
  </si>
  <si>
    <t xml:space="preserve">OBASOHAN Olivia                         </t>
  </si>
  <si>
    <t xml:space="preserve">OBASOHAN  </t>
  </si>
  <si>
    <t xml:space="preserve">KOSENI Khesika R0100026351                        </t>
  </si>
  <si>
    <t xml:space="preserve">KOSENI Khesika                          </t>
  </si>
  <si>
    <t xml:space="preserve">KOSENI    </t>
  </si>
  <si>
    <t xml:space="preserve">GJEVORI Pleorat R0100026350                       </t>
  </si>
  <si>
    <t xml:space="preserve">GJEVORI Pleorat                         </t>
  </si>
  <si>
    <t xml:space="preserve">GJEVORI   </t>
  </si>
  <si>
    <t xml:space="preserve">COSTA Liliana R0100026349                         </t>
  </si>
  <si>
    <t xml:space="preserve">COSTA Liliana                           </t>
  </si>
  <si>
    <t xml:space="preserve">COSTA     </t>
  </si>
  <si>
    <t xml:space="preserve">TEKARI FAIEZ R0100026348                          </t>
  </si>
  <si>
    <t xml:space="preserve">COSTA Liliana R0100026347                         </t>
  </si>
  <si>
    <t xml:space="preserve">BUSHAJ SAIT R0100026346                           </t>
  </si>
  <si>
    <t xml:space="preserve">BUSHAJ SAIT R0100026345                           </t>
  </si>
  <si>
    <t xml:space="preserve">BUSHAJ SAIT R0100026344                           </t>
  </si>
  <si>
    <t xml:space="preserve">ERDEM GULUZAR  R0100026342                        </t>
  </si>
  <si>
    <t xml:space="preserve">RADULOVIC DRAGICA R0100026341                     </t>
  </si>
  <si>
    <t xml:space="preserve">EL MAAROUTI MUSTAPHA R0100026340                  </t>
  </si>
  <si>
    <t xml:space="preserve">CELIK SEMIHA R0100026338                          </t>
  </si>
  <si>
    <t xml:space="preserve">BEN MOHAMED NADIA R0100026337                     </t>
  </si>
  <si>
    <t xml:space="preserve">BEN MOHAMED NADIA                       </t>
  </si>
  <si>
    <t>BENMOHAME2</t>
  </si>
  <si>
    <t xml:space="preserve">AIT MOUHOUB LAZIZ R0100026335                     </t>
  </si>
  <si>
    <t xml:space="preserve">AIT MOUHOUB LAZIZ                       </t>
  </si>
  <si>
    <t>AITMOUHOUB</t>
  </si>
  <si>
    <t xml:space="preserve">AIT MOUHOUB LAZIZ R0100026334                     </t>
  </si>
  <si>
    <t xml:space="preserve">KOUROUMA Oumar R0100026330                        </t>
  </si>
  <si>
    <t xml:space="preserve">KOUROUMA Oumar                          </t>
  </si>
  <si>
    <t xml:space="preserve">KOUROUMA  </t>
  </si>
  <si>
    <t xml:space="preserve">SAANDI Farida R0100026329                         </t>
  </si>
  <si>
    <t xml:space="preserve">SAANDI Farida                           </t>
  </si>
  <si>
    <t xml:space="preserve">SAANDI    </t>
  </si>
  <si>
    <t xml:space="preserve">BEN DAAMAR RAHDIA R0100026328                     </t>
  </si>
  <si>
    <t xml:space="preserve">KARIM KELTOUM R0100026327                         </t>
  </si>
  <si>
    <t xml:space="preserve">LOUNIS HASSINA R0100026326                        </t>
  </si>
  <si>
    <t xml:space="preserve">LOUNIS HASSINA                          </t>
  </si>
  <si>
    <t xml:space="preserve">LAKHRIRAZ RAHMA R0100026325                       </t>
  </si>
  <si>
    <t xml:space="preserve">DIAW MAYEMOUNA R0100026324                        </t>
  </si>
  <si>
    <t xml:space="preserve">MELLAH KHADRA R0100026323                         </t>
  </si>
  <si>
    <t xml:space="preserve">ADJEMIEN MARAMAN Jaqueline R0100026319            </t>
  </si>
  <si>
    <t xml:space="preserve">ADJEMIEN MARAMAN Jaqueline              </t>
  </si>
  <si>
    <t xml:space="preserve">ASLAN NASAN R0100026317                           </t>
  </si>
  <si>
    <t xml:space="preserve">MIRON Inga R0100026315                            </t>
  </si>
  <si>
    <t xml:space="preserve">MIRON Inga                              </t>
  </si>
  <si>
    <t xml:space="preserve">MIRON     </t>
  </si>
  <si>
    <t xml:space="preserve">BALAJ Rudina R0100026314                          </t>
  </si>
  <si>
    <t xml:space="preserve">BALAJ Rudina                            </t>
  </si>
  <si>
    <t xml:space="preserve">BALAJ     </t>
  </si>
  <si>
    <t xml:space="preserve">FARAH MEHDI R0100026311                           </t>
  </si>
  <si>
    <t xml:space="preserve">Rbt JACQUELIN Robert R0100026402                  </t>
  </si>
  <si>
    <t xml:space="preserve">JACQUELIN Robert                        </t>
  </si>
  <si>
    <t xml:space="preserve">JAQUELIN  </t>
  </si>
  <si>
    <t xml:space="preserve">OSARETIN Augustin R0300001083                     </t>
  </si>
  <si>
    <t xml:space="preserve">AZEIZ  R0300001082                                </t>
  </si>
  <si>
    <t xml:space="preserve">KOUASSEU MOUNGANG  R0300001079                    </t>
  </si>
  <si>
    <t xml:space="preserve">BAKAMBO PERNELLE R0300001078                      </t>
  </si>
  <si>
    <t xml:space="preserve">Crédit KOUICI STEVE R0200001453                   </t>
  </si>
  <si>
    <t xml:space="preserve">KOUICI STEVE R0200001453                          </t>
  </si>
  <si>
    <t xml:space="preserve">THIAM CISSE R0200001452                           </t>
  </si>
  <si>
    <t xml:space="preserve">COTTIER ELEONORE R0200001446                      </t>
  </si>
  <si>
    <t xml:space="preserve">FAROUK Ali R0200001445                            </t>
  </si>
  <si>
    <t xml:space="preserve">Ann LOUATI ALI R0100026098                        </t>
  </si>
  <si>
    <t xml:space="preserve">LOUATI ALI                              </t>
  </si>
  <si>
    <t xml:space="preserve">BENKADDOUR Khadidja R0100026307                   </t>
  </si>
  <si>
    <t xml:space="preserve">BENKADDOUR Khadidja                     </t>
  </si>
  <si>
    <t>BENKADDOUR</t>
  </si>
  <si>
    <t xml:space="preserve">DESMOULINS ANNE MARIE R0100026302                 </t>
  </si>
  <si>
    <t xml:space="preserve">DESMOULINS ANNE MARIE                   </t>
  </si>
  <si>
    <t>DESMOULINS</t>
  </si>
  <si>
    <t xml:space="preserve">ZAKARYAN GOHAR R0100026284                        </t>
  </si>
  <si>
    <t xml:space="preserve">NTRIO KAMELA R0100026282                          </t>
  </si>
  <si>
    <t xml:space="preserve">ABDELLI HALIMA R0100026277                        </t>
  </si>
  <si>
    <t xml:space="preserve">BENRHOUMA RHOUMA R0100026276                      </t>
  </si>
  <si>
    <t xml:space="preserve">FATNASSI CINDY R0100026275                        </t>
  </si>
  <si>
    <t xml:space="preserve">OUAKZIZ BEZZA R0100026274                         </t>
  </si>
  <si>
    <t xml:space="preserve">LOUATI ALI R0100026273                            </t>
  </si>
  <si>
    <t xml:space="preserve">LOUATI ALI R0100026272                            </t>
  </si>
  <si>
    <t xml:space="preserve">LOUATI ALI R0100026271                            </t>
  </si>
  <si>
    <t xml:space="preserve">LOUATI ALI R0100026270                            </t>
  </si>
  <si>
    <t xml:space="preserve">BENMAZOUZ CHELHA R0100026269                      </t>
  </si>
  <si>
    <t xml:space="preserve">BOUKHANOUFA MOUNIR R0100026268                    </t>
  </si>
  <si>
    <t xml:space="preserve">NKOUA EMPANA ELIM R0100026267                     </t>
  </si>
  <si>
    <t xml:space="preserve">ABDELKADER SAMIR R0100026266                      </t>
  </si>
  <si>
    <t xml:space="preserve">ABDELKADER SAMIR R0100026265                      </t>
  </si>
  <si>
    <t xml:space="preserve">HAMRANI DALILA R0100026264                        </t>
  </si>
  <si>
    <t xml:space="preserve">JOUINI MONIA R0100026263                          </t>
  </si>
  <si>
    <t xml:space="preserve">DE OLIVEIRA JOHNNY R0100026262                    </t>
  </si>
  <si>
    <t xml:space="preserve">BOUDISSA HAMZA R0100026261                        </t>
  </si>
  <si>
    <t xml:space="preserve">SLIMANI LAMIA R0100026260                         </t>
  </si>
  <si>
    <t xml:space="preserve">SAFFI RIME R0100026259                            </t>
  </si>
  <si>
    <t xml:space="preserve">SAFFI RIME R0100026258                            </t>
  </si>
  <si>
    <t xml:space="preserve">ZEKRI SABRI R0100026257                           </t>
  </si>
  <si>
    <t xml:space="preserve">ZEKRI SABRI R0100026256                           </t>
  </si>
  <si>
    <t xml:space="preserve">KADIRI Amdiatou R0100026243                       </t>
  </si>
  <si>
    <t xml:space="preserve">KADIRI Amdiatou                         </t>
  </si>
  <si>
    <t xml:space="preserve">KADIRI    </t>
  </si>
  <si>
    <t xml:space="preserve">IDMONT CHLOE R0100026228                          </t>
  </si>
  <si>
    <t xml:space="preserve">IDMONT CHLOE                            </t>
  </si>
  <si>
    <t xml:space="preserve">IDMONT    </t>
  </si>
  <si>
    <t xml:space="preserve">LOUNIS HASSINA R0100026227                        </t>
  </si>
  <si>
    <t xml:space="preserve">SINOQUET CAROLE R0100026218                       </t>
  </si>
  <si>
    <t xml:space="preserve">SINOQUET CAROLE                         </t>
  </si>
  <si>
    <t xml:space="preserve">SINOQUET  </t>
  </si>
  <si>
    <t xml:space="preserve">SAID OUASSILA R0100026213                         </t>
  </si>
  <si>
    <t xml:space="preserve">KARIM KELTOUM R0100026207                         </t>
  </si>
  <si>
    <t xml:space="preserve">PALEKHA OLGA R0100026206                          </t>
  </si>
  <si>
    <t xml:space="preserve">OUAKZIZ BEZZA R0100026205                         </t>
  </si>
  <si>
    <t xml:space="preserve">MEHMEDOVIC HAMIFA R0100026204                     </t>
  </si>
  <si>
    <t xml:space="preserve">SMAJIC VELIDA R0100026201                         </t>
  </si>
  <si>
    <t xml:space="preserve">ALIC BAHRA R0100026200                            </t>
  </si>
  <si>
    <t xml:space="preserve">LAKHRIRAZ RAHMA R0100026199                       </t>
  </si>
  <si>
    <t xml:space="preserve">ZIYAD NADIA R0100026198                           </t>
  </si>
  <si>
    <t xml:space="preserve">MELLAH KHADRA R0100026197                         </t>
  </si>
  <si>
    <t xml:space="preserve">LIKRAMA RESMIJE R0100026196                       </t>
  </si>
  <si>
    <t xml:space="preserve">ARDORE DIANE R0100026195                          </t>
  </si>
  <si>
    <t xml:space="preserve">BEN DAAMAR RAHDIA R0100026194                     </t>
  </si>
  <si>
    <t xml:space="preserve">AMEZRAR FERROUDJA R0100026193                     </t>
  </si>
  <si>
    <t xml:space="preserve">DESAGE ELISE R0100026191                          </t>
  </si>
  <si>
    <t xml:space="preserve">VINCENT ADELINE R0100026189                       </t>
  </si>
  <si>
    <t xml:space="preserve">MAKITA CHRIS R0100026187                          </t>
  </si>
  <si>
    <t xml:space="preserve">Crédit SANVISEN QUENTIN R0100026183               </t>
  </si>
  <si>
    <t xml:space="preserve">SANVISEN QUENTIN R0100026183                      </t>
  </si>
  <si>
    <t xml:space="preserve">DIOP MAME BOUSSO R0100026179                      </t>
  </si>
  <si>
    <t xml:space="preserve">KAPLAN HATICE R0100026163                         </t>
  </si>
  <si>
    <t xml:space="preserve">Crédit LABIADH HANADI R0100026162                 </t>
  </si>
  <si>
    <t xml:space="preserve">LABIADH HANADI R0100026162                        </t>
  </si>
  <si>
    <t xml:space="preserve">RETOUR DE CAISSE ABERKANE ASSIA                   </t>
  </si>
  <si>
    <t xml:space="preserve">CAI2309/01368  </t>
  </si>
  <si>
    <t xml:space="preserve">AVANCE DE CAISSE RAPHAEL LAROCHE / LIDL           </t>
  </si>
  <si>
    <t xml:space="preserve">CAI2309/01337  </t>
  </si>
  <si>
    <t xml:space="preserve">REMB.NDF LAROCHE / CASINO                         </t>
  </si>
  <si>
    <t xml:space="preserve">CAI2309/01349  </t>
  </si>
  <si>
    <t xml:space="preserve">RETOUR DE CAISSE RAPHAEL LAROCHE (CLES)           </t>
  </si>
  <si>
    <t xml:space="preserve">CAI2309/01336  </t>
  </si>
  <si>
    <t xml:space="preserve">RETOUR DE CAISSE RAPHAEL LAROCHE (/100+50)        </t>
  </si>
  <si>
    <t xml:space="preserve">CAI2309/01335  </t>
  </si>
  <si>
    <t xml:space="preserve">AVANCE DE CAISSE - LAROCHE / DOUBLE CLES          </t>
  </si>
  <si>
    <t xml:space="preserve">CAI2309/01333  </t>
  </si>
  <si>
    <t xml:space="preserve">PART.MARCHE VERTE 05+06/2023                      </t>
  </si>
  <si>
    <t xml:space="preserve">CAI2309/01233  </t>
  </si>
  <si>
    <t xml:space="preserve">PART.MARCHE VERTE DU 30/06/23                     </t>
  </si>
  <si>
    <t xml:space="preserve">PART.MARCHE VERTE DU 23/06/23                     </t>
  </si>
  <si>
    <t xml:space="preserve">PART.MARCHE VERTE DU 02/06/23                     </t>
  </si>
  <si>
    <t xml:space="preserve">PART.MARCHE VERTE DU 26/05/23                     </t>
  </si>
  <si>
    <t xml:space="preserve">AVANCE DE CAISSE - LAROCHE / FOURN.ATELIERS       </t>
  </si>
  <si>
    <t xml:space="preserve">CAI2309/01331  </t>
  </si>
  <si>
    <t xml:space="preserve">AVANCE DE CAISSE - LAROCHE / ALIMENTAIRE          </t>
  </si>
  <si>
    <t xml:space="preserve">CAI2309/01332  </t>
  </si>
  <si>
    <t xml:space="preserve">REGUL ADHESION SAISIE SUR NOE                     </t>
  </si>
  <si>
    <t xml:space="preserve">CAI2309/01413  </t>
  </si>
  <si>
    <t xml:space="preserve">NKANGA WINA NYOTA R0100026316                     </t>
  </si>
  <si>
    <t xml:space="preserve">LUGA Sidorela R0100026427                         </t>
  </si>
  <si>
    <t xml:space="preserve">LUGA Sidorela                           </t>
  </si>
  <si>
    <t xml:space="preserve">LUGA      </t>
  </si>
  <si>
    <t xml:space="preserve">ANDRIN CAMILLE R0100026425                        </t>
  </si>
  <si>
    <t xml:space="preserve">ANDRIN CAMILLE                          </t>
  </si>
  <si>
    <t xml:space="preserve">ANDRIN    </t>
  </si>
  <si>
    <t xml:space="preserve">OUJEGHBI FATIHA R0100026419                       </t>
  </si>
  <si>
    <t xml:space="preserve">PONVIANNE Maryline R0100026408                    </t>
  </si>
  <si>
    <t xml:space="preserve">PONVIANNE Maryline                      </t>
  </si>
  <si>
    <t xml:space="preserve">PONVIANNE </t>
  </si>
  <si>
    <t xml:space="preserve">AGHOUTAN Mouna R0100026403                        </t>
  </si>
  <si>
    <t xml:space="preserve">AGHOUTAN Mouna                          </t>
  </si>
  <si>
    <t xml:space="preserve">AGHOUTAN  </t>
  </si>
  <si>
    <t xml:space="preserve">ALBAYRAK DURSUN R0100026394                       </t>
  </si>
  <si>
    <t xml:space="preserve">AMRANI ALDJA R0100026368                          </t>
  </si>
  <si>
    <t xml:space="preserve">AMRANI ALDJA                            </t>
  </si>
  <si>
    <t xml:space="preserve">AMRANI    </t>
  </si>
  <si>
    <t xml:space="preserve">BENDAMAR RADIA R0100026343                        </t>
  </si>
  <si>
    <t xml:space="preserve">BENDAMAR RADIA                          </t>
  </si>
  <si>
    <t xml:space="preserve">BENDAMAR  </t>
  </si>
  <si>
    <t xml:space="preserve">ERDEM GULUZAR R0100026339                         </t>
  </si>
  <si>
    <t xml:space="preserve">GUTIERREZ MORA Leidi Alexandra R0100026322        </t>
  </si>
  <si>
    <t xml:space="preserve">GUTIERREZ MORA Leidi Alexandra          </t>
  </si>
  <si>
    <t>GUTIERREZM</t>
  </si>
  <si>
    <t xml:space="preserve">DEFOUS Arbia R0100026321                          </t>
  </si>
  <si>
    <t xml:space="preserve">DEFOUS Arbia                            </t>
  </si>
  <si>
    <t xml:space="preserve">DEFOUS    </t>
  </si>
  <si>
    <t xml:space="preserve">TELHA KHEIRA R0100026320                          </t>
  </si>
  <si>
    <t xml:space="preserve">TSGOEVA Zalina R0100026318                        </t>
  </si>
  <si>
    <t xml:space="preserve">TSGOEVA Zalina                          </t>
  </si>
  <si>
    <t xml:space="preserve">TSGOEVA   </t>
  </si>
  <si>
    <t xml:space="preserve">FAYE ALICIA R0100026312                           </t>
  </si>
  <si>
    <t xml:space="preserve">AUDEBEAU AURELIA R0100026310                      </t>
  </si>
  <si>
    <t xml:space="preserve">AUDEBEAU  </t>
  </si>
  <si>
    <t xml:space="preserve">RICCI CELESTE R0100026309                         </t>
  </si>
  <si>
    <t xml:space="preserve">CHENAIT GHALIA R0300001084                        </t>
  </si>
  <si>
    <t xml:space="preserve">BEN AHMED NADIA R0300001081                       </t>
  </si>
  <si>
    <t xml:space="preserve">KHALFA SIMARD LOIS R0200001458                    </t>
  </si>
  <si>
    <t xml:space="preserve">RACHIDI AMINA R0200001456                         </t>
  </si>
  <si>
    <t xml:space="preserve">DJANISSI Habou R0200001454                        </t>
  </si>
  <si>
    <t xml:space="preserve">BOYACI SIBEL R0200001451                          </t>
  </si>
  <si>
    <t xml:space="preserve">BOUKROUMA Olfa R0200001448                        </t>
  </si>
  <si>
    <t xml:space="preserve">TELHA KHEIRA R0100026305                          </t>
  </si>
  <si>
    <t xml:space="preserve">TELHA KHEIRA R0100026304                          </t>
  </si>
  <si>
    <t xml:space="preserve">ARTHUS PIERRE  R0100026301                        </t>
  </si>
  <si>
    <t xml:space="preserve">KRADAOUI ZOHRA R0100026281                        </t>
  </si>
  <si>
    <t xml:space="preserve">NACEUR REDOUANE R0100026254                       </t>
  </si>
  <si>
    <t xml:space="preserve">LOUNIS HASSINA R0100026252                        </t>
  </si>
  <si>
    <t xml:space="preserve">LOUNIS HASSINA R0100026251                        </t>
  </si>
  <si>
    <t xml:space="preserve">PLANTE MORENO CELINE R0100026249                  </t>
  </si>
  <si>
    <t xml:space="preserve">GALY RENEE R0100026248                            </t>
  </si>
  <si>
    <t xml:space="preserve">GALY RENEE                              </t>
  </si>
  <si>
    <t xml:space="preserve">GALY      </t>
  </si>
  <si>
    <t xml:space="preserve">SANLAVILLE DAMIEN R0100026247                     </t>
  </si>
  <si>
    <t xml:space="preserve">SANLAVILLE DAMIEN R0100026246                     </t>
  </si>
  <si>
    <t xml:space="preserve">FONTANIERE AMANDA R0100026245                     </t>
  </si>
  <si>
    <t xml:space="preserve">FONTANIERE AMANDA                       </t>
  </si>
  <si>
    <t xml:space="preserve">ROFFET ANNE R0100026242                           </t>
  </si>
  <si>
    <t xml:space="preserve">ROFFET ANNE                             </t>
  </si>
  <si>
    <t xml:space="preserve">MECHICHE SAMIRA R0100026235                       </t>
  </si>
  <si>
    <t xml:space="preserve">IDMONT CHLOE R0100026229                          </t>
  </si>
  <si>
    <t xml:space="preserve">MORENO VILLARES JOSEFA R0100026226                </t>
  </si>
  <si>
    <t xml:space="preserve">MORENO VILLARES JOSEFA                  </t>
  </si>
  <si>
    <t xml:space="preserve">VILLARES  </t>
  </si>
  <si>
    <t xml:space="preserve">GONZALEZ ELEONORE R0100026224                     </t>
  </si>
  <si>
    <t xml:space="preserve">TRAN VAN ELISABETH R0100026220                    </t>
  </si>
  <si>
    <t xml:space="preserve">TRAN VAN ELISABETH                      </t>
  </si>
  <si>
    <t xml:space="preserve">TRANVAN   </t>
  </si>
  <si>
    <t xml:space="preserve">ATMANI DENIA R0100026216                          </t>
  </si>
  <si>
    <t xml:space="preserve">SOUCHE / DOUDAINE GUY R0100026215                 </t>
  </si>
  <si>
    <t xml:space="preserve">RACHIDI AMINA R0100026211                         </t>
  </si>
  <si>
    <t xml:space="preserve">BENRHOUMA RHOUMA R0100026210                      </t>
  </si>
  <si>
    <t xml:space="preserve">REBBOUCHE ABDELGHANI R0100026209                  </t>
  </si>
  <si>
    <t xml:space="preserve">MIEZI SIPE ESPERANCE R0100026208                  </t>
  </si>
  <si>
    <t xml:space="preserve">NASRI EMNA R0100026203                            </t>
  </si>
  <si>
    <t xml:space="preserve">AL YACOUB ADEEB R0100026192                       </t>
  </si>
  <si>
    <t xml:space="preserve">ADOU YANGAO Frederic-Yanick R0100026188           </t>
  </si>
  <si>
    <t xml:space="preserve">Crédit ADOU YANGAO Frederic-Yanick R0100026188    </t>
  </si>
  <si>
    <t xml:space="preserve">BAKAMBO PERNELLE R0100026186                      </t>
  </si>
  <si>
    <t xml:space="preserve">MAJERI Farid R0100026182                          </t>
  </si>
  <si>
    <t xml:space="preserve">GBOKO ABENAN R0100026181                          </t>
  </si>
  <si>
    <t xml:space="preserve">GBOKO ABENAN                            </t>
  </si>
  <si>
    <t xml:space="preserve">GBOKO     </t>
  </si>
  <si>
    <t xml:space="preserve">BOYACI SIBEL R0100026180                          </t>
  </si>
  <si>
    <t xml:space="preserve">AL YACOUB ADEEB R0100026171                       </t>
  </si>
  <si>
    <t xml:space="preserve">VINCENT Emmanuelle R0100026168                    </t>
  </si>
  <si>
    <t xml:space="preserve">OUAHBI FATIMA R0100026166                         </t>
  </si>
  <si>
    <t xml:space="preserve">FAYE ALICIA R0100026165                           </t>
  </si>
  <si>
    <t xml:space="preserve">FRAIS CARTE BANCAIRE 16/09&gt;30/09                  </t>
  </si>
  <si>
    <t xml:space="preserve">BFC2309/01617  </t>
  </si>
  <si>
    <t xml:space="preserve">CB A ENCAISSER 09/2023                            </t>
  </si>
  <si>
    <t xml:space="preserve">BFC2309/01557  </t>
  </si>
  <si>
    <t xml:space="preserve">BAN2309/01408  </t>
  </si>
  <si>
    <t xml:space="preserve">BFC2309/01407  </t>
  </si>
  <si>
    <t xml:space="preserve">UFCV                                    </t>
  </si>
  <si>
    <t xml:space="preserve">UFCV      </t>
  </si>
  <si>
    <t xml:space="preserve">VIRT METROPOLE / PRISE EN CHARGE USAGER           </t>
  </si>
  <si>
    <t xml:space="preserve">BFC2309/01631  </t>
  </si>
  <si>
    <t xml:space="preserve">BFC2309/01630  </t>
  </si>
  <si>
    <t xml:space="preserve">VIRT VILLE SOLDE FONCT. DPD 2023                  </t>
  </si>
  <si>
    <t xml:space="preserve">BFC2309/01629  </t>
  </si>
  <si>
    <t xml:space="preserve">VIRT VILLE SOLDE FONCT. DED 2023                  </t>
  </si>
  <si>
    <t xml:space="preserve">BFC2309/01628  </t>
  </si>
  <si>
    <t xml:space="preserve">BFC2309/01627  </t>
  </si>
  <si>
    <t xml:space="preserve">BAN2309/01367  </t>
  </si>
  <si>
    <t xml:space="preserve">BFC2309/01366  </t>
  </si>
  <si>
    <t xml:space="preserve">VDG AVOCATS                             </t>
  </si>
  <si>
    <t xml:space="preserve">VDGAVOCAT </t>
  </si>
  <si>
    <t xml:space="preserve">ASSOCIATION MEDIATONE                   </t>
  </si>
  <si>
    <t xml:space="preserve">MEDIATONE </t>
  </si>
  <si>
    <t xml:space="preserve">LEGUM'AU LOGIS                          </t>
  </si>
  <si>
    <t>LEGUMAULOG</t>
  </si>
  <si>
    <t xml:space="preserve">BFC2309/01626  </t>
  </si>
  <si>
    <t xml:space="preserve">BFC2309/01625  </t>
  </si>
  <si>
    <t xml:space="preserve">VIRT CAF A IDENTIFIER                             </t>
  </si>
  <si>
    <t xml:space="preserve">BFC2309/01624  </t>
  </si>
  <si>
    <t xml:space="preserve">LOYER TPE 09/23                                   </t>
  </si>
  <si>
    <t xml:space="preserve">BFC2309/01623  </t>
  </si>
  <si>
    <t xml:space="preserve">BAN2309/01338  </t>
  </si>
  <si>
    <t xml:space="preserve">BFC2309/01622  </t>
  </si>
  <si>
    <t xml:space="preserve">RGLT CHQ TOBOGGAN CINE 3/6                        </t>
  </si>
  <si>
    <t xml:space="preserve">BFC2309/01621  </t>
  </si>
  <si>
    <t xml:space="preserve">BFC2309/01620  </t>
  </si>
  <si>
    <t xml:space="preserve">BFC2309/01619  </t>
  </si>
  <si>
    <t xml:space="preserve">BFC2309/01573  </t>
  </si>
  <si>
    <t xml:space="preserve">BFC2309/01326  </t>
  </si>
  <si>
    <t xml:space="preserve">EIRL HOVART SEBASTIEN                   </t>
  </si>
  <si>
    <t xml:space="preserve">HOVART    </t>
  </si>
  <si>
    <t xml:space="preserve">BFC2309/01618  </t>
  </si>
  <si>
    <t xml:space="preserve">CAF CTG PERISCO                                   </t>
  </si>
  <si>
    <t xml:space="preserve">CAF CTG BONUS TERRITOIRE                </t>
  </si>
  <si>
    <t xml:space="preserve">CAF CTG EXTRASCO                                  </t>
  </si>
  <si>
    <t xml:space="preserve">REJET VIRT VILLE DE VILLEURBANNE                  </t>
  </si>
  <si>
    <t xml:space="preserve">BFC2309/01572  </t>
  </si>
  <si>
    <t xml:space="preserve">BFC2309/01571  </t>
  </si>
  <si>
    <t xml:space="preserve">FRAIS CARTE BANCAIRE 01/09&gt;15/09                  </t>
  </si>
  <si>
    <t xml:space="preserve">BFC2309/01570  </t>
  </si>
  <si>
    <t xml:space="preserve">VIRT SOLDE 2023 SUB FONCTIONNEMENT                </t>
  </si>
  <si>
    <t xml:space="preserve">BFC2309/01569  </t>
  </si>
  <si>
    <t xml:space="preserve">BFC2309/01552  </t>
  </si>
  <si>
    <t xml:space="preserve">BAN2309/01239  </t>
  </si>
  <si>
    <t xml:space="preserve">BFC2309/01238  </t>
  </si>
  <si>
    <t xml:space="preserve">BFC2309/01568  </t>
  </si>
  <si>
    <t xml:space="preserve">RGLT CHQ GARAGE CAFFON-BOILEAU                    </t>
  </si>
  <si>
    <t xml:space="preserve">BFC2309/01567  </t>
  </si>
  <si>
    <t xml:space="preserve">GARAG CAFFON-BOILEAU                    </t>
  </si>
  <si>
    <t xml:space="preserve">GARAGECAF </t>
  </si>
  <si>
    <t xml:space="preserve">BFC2309/01416  </t>
  </si>
  <si>
    <t xml:space="preserve">BAN2309/01211  </t>
  </si>
  <si>
    <t xml:space="preserve">BFC2309/01210  </t>
  </si>
  <si>
    <t xml:space="preserve">REMUNERATIONS DUES 08/2023                        </t>
  </si>
  <si>
    <t xml:space="preserve">BFC2309/01565  </t>
  </si>
  <si>
    <t xml:space="preserve">VIRT SUBV. VILLE                                  </t>
  </si>
  <si>
    <t xml:space="preserve">BFC2309/01564  </t>
  </si>
  <si>
    <t xml:space="preserve">VIRT CAF CTG GRIBOUILLE                           </t>
  </si>
  <si>
    <t xml:space="preserve">BFC2309/01563  </t>
  </si>
  <si>
    <t xml:space="preserve">VIRT CAF PS GRIBOUILLE                            </t>
  </si>
  <si>
    <t xml:space="preserve">VIRT CAF CTG BABILHOME                            </t>
  </si>
  <si>
    <t xml:space="preserve">VIRT CAF PS/CTG BABILHOME/GRIBOUILLE              </t>
  </si>
  <si>
    <t xml:space="preserve">VIRT CAF PS BABILHOME                             </t>
  </si>
  <si>
    <t xml:space="preserve">BAN2309/01167  </t>
  </si>
  <si>
    <t xml:space="preserve">BFC2309/01562  </t>
  </si>
  <si>
    <t xml:space="preserve">BFC2309/01561  </t>
  </si>
  <si>
    <t xml:space="preserve">BFC2309/01560  </t>
  </si>
  <si>
    <t xml:space="preserve">BFC2309/01559  </t>
  </si>
  <si>
    <t xml:space="preserve">PRLV VEAMA  GROUPE                                </t>
  </si>
  <si>
    <t xml:space="preserve">BFC2309/01558  </t>
  </si>
  <si>
    <t>CAF CTG</t>
  </si>
  <si>
    <t xml:space="preserve">CHQ BOWLING DES LUMIERES AL 6/13                  </t>
  </si>
  <si>
    <t xml:space="preserve">CM2310/01753   </t>
  </si>
  <si>
    <t xml:space="preserve">PRLV ORANGE INTERNET 8203H6                       </t>
  </si>
  <si>
    <t xml:space="preserve">CM2310/01752   </t>
  </si>
  <si>
    <t xml:space="preserve">PRLV ORANGE 83896308                              </t>
  </si>
  <si>
    <t xml:space="preserve">CM2310/01751   </t>
  </si>
  <si>
    <t xml:space="preserve">PRLV ORANGE 83896358                              </t>
  </si>
  <si>
    <t xml:space="preserve">CM2310/01750   </t>
  </si>
  <si>
    <t xml:space="preserve">CM2310/01542   </t>
  </si>
  <si>
    <t xml:space="preserve">CM2310/01749   </t>
  </si>
  <si>
    <t xml:space="preserve">CM2310/01748   </t>
  </si>
  <si>
    <t xml:space="preserve">CM2310/01747   </t>
  </si>
  <si>
    <t xml:space="preserve">CHQ KEOLIS 3/6 + 6/11 (171+735)                   </t>
  </si>
  <si>
    <t xml:space="preserve">CM2310/01503   </t>
  </si>
  <si>
    <t xml:space="preserve">PRLV ORANGE FIBRE 1683H3                          </t>
  </si>
  <si>
    <t xml:space="preserve">CM2310/01746   </t>
  </si>
  <si>
    <t xml:space="preserve">Remise de chèques n° 121020232                    </t>
  </si>
  <si>
    <t xml:space="preserve">CM2310/01489   </t>
  </si>
  <si>
    <t xml:space="preserve">Remise de chèques n° 12102023                     </t>
  </si>
  <si>
    <t xml:space="preserve">CM2310/01488   </t>
  </si>
  <si>
    <t xml:space="preserve">CM2310/01745   </t>
  </si>
  <si>
    <t xml:space="preserve">CM2310/01744   </t>
  </si>
  <si>
    <t xml:space="preserve">CM2310/01743   </t>
  </si>
  <si>
    <t xml:space="preserve">CM2310/01487   </t>
  </si>
  <si>
    <t xml:space="preserve">PRLV ORANGE FIBRE 8643H0                          </t>
  </si>
  <si>
    <t xml:space="preserve">CM2310/01742   </t>
  </si>
  <si>
    <t xml:space="preserve">PRLV ORANGE FIXE 4023H0                           </t>
  </si>
  <si>
    <t xml:space="preserve">CM2310/01741   </t>
  </si>
  <si>
    <t xml:space="preserve">REPAS JOURNEE BPA EXP.COMPTABLE                   </t>
  </si>
  <si>
    <t xml:space="preserve">CM2310/01740   </t>
  </si>
  <si>
    <t xml:space="preserve">CM2310/01739   </t>
  </si>
  <si>
    <t xml:space="preserve">PRLV EDF                                          </t>
  </si>
  <si>
    <t xml:space="preserve">CM2310/01738   </t>
  </si>
  <si>
    <t xml:space="preserve">RGLT CB VERBAUDET / GRIBOUILLE                    </t>
  </si>
  <si>
    <t xml:space="preserve">CM2310/01737   </t>
  </si>
  <si>
    <t xml:space="preserve">VERBAUDET                               </t>
  </si>
  <si>
    <t>VERTBAUDET</t>
  </si>
  <si>
    <t xml:space="preserve">PRLV ORANGE 8203G8                                </t>
  </si>
  <si>
    <t xml:space="preserve">CM2310/01736   </t>
  </si>
  <si>
    <t xml:space="preserve">PRLV ORANGE 83542915                              </t>
  </si>
  <si>
    <t xml:space="preserve">CM2310/01735   </t>
  </si>
  <si>
    <t xml:space="preserve">PRLV ORANGE 83542981                              </t>
  </si>
  <si>
    <t xml:space="preserve">CM2310/01734   </t>
  </si>
  <si>
    <t xml:space="preserve">BENRHOUMA RHOUMA R0100026610                      </t>
  </si>
  <si>
    <t xml:space="preserve">AZAHOUM BOUCHRA R0100026603                       </t>
  </si>
  <si>
    <t xml:space="preserve">CELA Ervisa R0100026599                           </t>
  </si>
  <si>
    <t xml:space="preserve">CELA Ervisa                             </t>
  </si>
  <si>
    <t xml:space="preserve">CELA      </t>
  </si>
  <si>
    <t xml:space="preserve">HARIZI WANNIS R0100026596                         </t>
  </si>
  <si>
    <t xml:space="preserve">TLIDJANE NADIR R0100026593                        </t>
  </si>
  <si>
    <t xml:space="preserve">LILA Nexhmie R0100026624                          </t>
  </si>
  <si>
    <t xml:space="preserve">LILA Nexhmie                            </t>
  </si>
  <si>
    <t xml:space="preserve">LILA      </t>
  </si>
  <si>
    <t xml:space="preserve">MAJERI Farid R0100026619                          </t>
  </si>
  <si>
    <t xml:space="preserve">BAHORA MOHAMED R0100026618                        </t>
  </si>
  <si>
    <t xml:space="preserve">BAHORA MOHAMED                          </t>
  </si>
  <si>
    <t xml:space="preserve">BAHORA    </t>
  </si>
  <si>
    <t xml:space="preserve">Crédit JOUINI MONIA R0100026617                   </t>
  </si>
  <si>
    <t xml:space="preserve">JOUINI MONIA R0100026617                          </t>
  </si>
  <si>
    <t xml:space="preserve">JANUZI Sheride R0100026613                        </t>
  </si>
  <si>
    <t xml:space="preserve">JANUZI Sheride                          </t>
  </si>
  <si>
    <t xml:space="preserve">JANUZI    </t>
  </si>
  <si>
    <t xml:space="preserve">DERVISHI Vito R0100026612                         </t>
  </si>
  <si>
    <t xml:space="preserve">DERVISHI Vito                           </t>
  </si>
  <si>
    <t xml:space="preserve">DERVISHI  </t>
  </si>
  <si>
    <t xml:space="preserve">Crédit AZEIZ  R0300001096                         </t>
  </si>
  <si>
    <t xml:space="preserve">AZEIZ  R0300001096                                </t>
  </si>
  <si>
    <t xml:space="preserve">Crédit DIABY HASSAN R0300001094                   </t>
  </si>
  <si>
    <t xml:space="preserve">DIABY HASSAN R0300001094                          </t>
  </si>
  <si>
    <t xml:space="preserve">Crédit KOUASSEU MOUNGANG  R0300001093             </t>
  </si>
  <si>
    <t xml:space="preserve">KOUASSEU MOUNGANG  R0300001093                    </t>
  </si>
  <si>
    <t xml:space="preserve">TRAORE MARIAM R0300001092                         </t>
  </si>
  <si>
    <t xml:space="preserve">ALOUACHE - AÏSSANI Wahiba R0300001090             </t>
  </si>
  <si>
    <t xml:space="preserve">ALOUACHE - AÏSSANI Wahiba               </t>
  </si>
  <si>
    <t>ALOUACHEAI</t>
  </si>
  <si>
    <t xml:space="preserve">AGONMA Aklah R0300001088                          </t>
  </si>
  <si>
    <t xml:space="preserve">AGONMA Aklah                            </t>
  </si>
  <si>
    <t xml:space="preserve">AGONMA    </t>
  </si>
  <si>
    <t xml:space="preserve">SAHLI Perrine R0200001471                         </t>
  </si>
  <si>
    <t xml:space="preserve">HAMDI Raouf R0200001470                           </t>
  </si>
  <si>
    <t xml:space="preserve">HAMDI Raouf                             </t>
  </si>
  <si>
    <t xml:space="preserve">HAMDI     </t>
  </si>
  <si>
    <t xml:space="preserve">HABA Pola-Esther R0200001468                      </t>
  </si>
  <si>
    <t xml:space="preserve">COTTIER ELEONORE R0200001467                      </t>
  </si>
  <si>
    <t xml:space="preserve">Ann OUAKZIZ BEZZA R0100026274                     </t>
  </si>
  <si>
    <t xml:space="preserve">Ann BOUKHANOUFA MOUNIR R0100026268                </t>
  </si>
  <si>
    <t xml:space="preserve">Ann BOUDISSA HAMZA R0100026101                    </t>
  </si>
  <si>
    <t xml:space="preserve">Ann BOUDISSA HAMZA R0100026096                    </t>
  </si>
  <si>
    <t xml:space="preserve">Ann BOUDISSA HAMZA R0100026079                    </t>
  </si>
  <si>
    <t xml:space="preserve">Ann BOUDISSA HAMZA R0100026077                    </t>
  </si>
  <si>
    <t xml:space="preserve">Ann BOUDISSA HAMZA R0100026061                    </t>
  </si>
  <si>
    <t xml:space="preserve">Ann BOUDISSA HAMZA R0100026060                    </t>
  </si>
  <si>
    <t xml:space="preserve">Ann BOUDISSA HAMZA R0100026059                    </t>
  </si>
  <si>
    <t xml:space="preserve">Ann BOUKHANOUFA MOUNIR R0100026054                </t>
  </si>
  <si>
    <t xml:space="preserve">Ann OUAKZIZ BEZZA R0100026025                     </t>
  </si>
  <si>
    <t xml:space="preserve">Ann BOUDISSA HAMZA R0100026008                    </t>
  </si>
  <si>
    <t xml:space="preserve">Ann BOUKHANOUFA MOUNIR R0100026002                </t>
  </si>
  <si>
    <t xml:space="preserve">Ann OUAKZIZ BEZZA R0100025454                     </t>
  </si>
  <si>
    <t xml:space="preserve">Ann OUAKZIZ BEZZA R0100025382                     </t>
  </si>
  <si>
    <t xml:space="preserve">Ann BOUDISSA HAMZA R0100026261                    </t>
  </si>
  <si>
    <t xml:space="preserve">Crédit OUAKZIZ BEZZA R0100026587                  </t>
  </si>
  <si>
    <t xml:space="preserve">OUAKZIZ BEZZA R0100026587                         </t>
  </si>
  <si>
    <t xml:space="preserve">SHKODRA  R0100026583                              </t>
  </si>
  <si>
    <t xml:space="preserve">MAKITA CHRIS R0100026569                          </t>
  </si>
  <si>
    <t xml:space="preserve">MAJERI Farid R0100026568                          </t>
  </si>
  <si>
    <t xml:space="preserve">KAMBI RAISSA R0100026558                          </t>
  </si>
  <si>
    <t xml:space="preserve">AISSAOUI HECHAICHI  R0100026557                   </t>
  </si>
  <si>
    <t xml:space="preserve">MALEK FATIMA R0100026553                          </t>
  </si>
  <si>
    <t xml:space="preserve">BENMAZOUZ CHELHA R0100026550                      </t>
  </si>
  <si>
    <t xml:space="preserve">BELAROUSSI NORDINE R0100026549                    </t>
  </si>
  <si>
    <t xml:space="preserve">ABDELKADER SAMIR R0100026548                      </t>
  </si>
  <si>
    <t xml:space="preserve">Crédit OUAKZIZ BEZZA R0100026545                  </t>
  </si>
  <si>
    <t xml:space="preserve">OUAKZIZ BEZZA R0100026545                         </t>
  </si>
  <si>
    <t xml:space="preserve">ABBAS HAKIMA R0100026543                          </t>
  </si>
  <si>
    <t xml:space="preserve">THABET MOUNIRA R0100026536                        </t>
  </si>
  <si>
    <t xml:space="preserve">MAJERI Farid R0100026521                          </t>
  </si>
  <si>
    <t xml:space="preserve">FATIC KAMILA R0100026515                          </t>
  </si>
  <si>
    <t xml:space="preserve">LOWE ANNE YOLANDE R0100026513                     </t>
  </si>
  <si>
    <t xml:space="preserve">HABOUDI Hadia R0100026511                         </t>
  </si>
  <si>
    <t xml:space="preserve">HABOUDI Hadia                           </t>
  </si>
  <si>
    <t xml:space="preserve">HABOUDI   </t>
  </si>
  <si>
    <t xml:space="preserve">COTTIER ELEONORE R0100026507                      </t>
  </si>
  <si>
    <t xml:space="preserve">Crédit COTTIER ELEONORE R0100026506               </t>
  </si>
  <si>
    <t xml:space="preserve">COTTIER ELEONORE R0100026506                      </t>
  </si>
  <si>
    <t xml:space="preserve">GUERIN CHRISTELLE R0100026504                     </t>
  </si>
  <si>
    <t xml:space="preserve">Crédit BENRHOUMA RHOUMA R0100026493               </t>
  </si>
  <si>
    <t xml:space="preserve">BENRHOUMA RHOUMA R0100026493                      </t>
  </si>
  <si>
    <t xml:space="preserve">REY JEANNINE R0100026487                          </t>
  </si>
  <si>
    <t xml:space="preserve">REY JEANNINE                            </t>
  </si>
  <si>
    <t xml:space="preserve">REY       </t>
  </si>
  <si>
    <t xml:space="preserve">ALAHYANE RKIA R0100026482                         </t>
  </si>
  <si>
    <t xml:space="preserve">AMINE RACHIDA R0100026481                         </t>
  </si>
  <si>
    <t xml:space="preserve">SABOUNI MOHAMMED R0100026480                      </t>
  </si>
  <si>
    <t xml:space="preserve">TALIBI HANANE R0100026479                         </t>
  </si>
  <si>
    <t xml:space="preserve">BAZIZI NACIMA R0100026478                         </t>
  </si>
  <si>
    <t xml:space="preserve">LE SAUX HELENE R0100026472                        </t>
  </si>
  <si>
    <t xml:space="preserve">AZEMI BUJAR R0100026471                           </t>
  </si>
  <si>
    <t xml:space="preserve">GRIGORYAN Samvel R0100026459                      </t>
  </si>
  <si>
    <t xml:space="preserve">GRIGORYAN                               </t>
  </si>
  <si>
    <t xml:space="preserve">GRIGORYAN </t>
  </si>
  <si>
    <t xml:space="preserve">KOUICI STEVE R0100026449                          </t>
  </si>
  <si>
    <t xml:space="preserve">MARQUES SIMONE R0100026436                        </t>
  </si>
  <si>
    <t xml:space="preserve">RETOUR DE CAISSE AUDEBEAU AURELIA / CINE          </t>
  </si>
  <si>
    <t xml:space="preserve">CAI2310/01555  </t>
  </si>
  <si>
    <t xml:space="preserve">CAI2310/01554  </t>
  </si>
  <si>
    <t xml:space="preserve">AVANCE DE CAISSE AUDEBEAU AURELIA / CINE TOBOGGAN </t>
  </si>
  <si>
    <t xml:space="preserve">CAI2310/01549  </t>
  </si>
  <si>
    <t xml:space="preserve">AVANCE DE CAISSE HADDED CAMILIA / CINE PATHE      </t>
  </si>
  <si>
    <t xml:space="preserve">CAI2310/01548  </t>
  </si>
  <si>
    <t xml:space="preserve">PART.FAMILLE SORTIES PONEYS 28/10/23 POLE ADULTE  </t>
  </si>
  <si>
    <t xml:space="preserve">CAI2310/01715  </t>
  </si>
  <si>
    <t xml:space="preserve">AVANCE DE CAISSE KAMBI SITTI                      </t>
  </si>
  <si>
    <t xml:space="preserve">CAI2310/01543  </t>
  </si>
  <si>
    <t xml:space="preserve">AVANCE DE CAISSE REBIB SIHEM                      </t>
  </si>
  <si>
    <t xml:space="preserve">CAI2310/01538  </t>
  </si>
  <si>
    <t xml:space="preserve">RETOUR DE CAISSE REBIB SIHEM                      </t>
  </si>
  <si>
    <t xml:space="preserve">CAI2310/01537  </t>
  </si>
  <si>
    <t xml:space="preserve">PART.ATELIER SOUPE ADULTE 12.10+14.09             </t>
  </si>
  <si>
    <t xml:space="preserve">CAI2310/01534  </t>
  </si>
  <si>
    <t xml:space="preserve">RETOUR DE CAISSE CAMILIA / POLE ENFANCE           </t>
  </si>
  <si>
    <t xml:space="preserve">CAI2310/01519  </t>
  </si>
  <si>
    <t xml:space="preserve">AVANCE DE CAISSE CAMILIA / POLE ENFANCE           </t>
  </si>
  <si>
    <t xml:space="preserve">CAI2310/01518  </t>
  </si>
  <si>
    <t xml:space="preserve">AVANCE DE CAISSE RAPHAEL LAROCHE / DECATHLON      </t>
  </si>
  <si>
    <t xml:space="preserve">CAI2310/01502  </t>
  </si>
  <si>
    <t xml:space="preserve">CAI2310/01501  </t>
  </si>
  <si>
    <t xml:space="preserve">RETOUR DE CAISSE RAPHAEL LAROCHE / LIDL CARREFOUR </t>
  </si>
  <si>
    <t xml:space="preserve">CAI2310/01532  </t>
  </si>
  <si>
    <t xml:space="preserve">AVANCE DE CAISSE RAPHAEL LAROCHE / LIDL CARREFOUR </t>
  </si>
  <si>
    <t xml:space="preserve">CAI2310/01531  </t>
  </si>
  <si>
    <t xml:space="preserve">AVANCE DE CAISSE REBIB SIHEM / REUNION VAC.       </t>
  </si>
  <si>
    <t xml:space="preserve">CAI2310/01500  </t>
  </si>
  <si>
    <t xml:space="preserve">RETOUR DE CAISSE RAPHAEL LAROCHE/LIDL             </t>
  </si>
  <si>
    <t xml:space="preserve">CAI2310/01499  </t>
  </si>
  <si>
    <t xml:space="preserve">CAI2310/01504  </t>
  </si>
  <si>
    <t xml:space="preserve">KAMO  R0100026495                                 </t>
  </si>
  <si>
    <t xml:space="preserve">Ann KAMO  R0100026495                             </t>
  </si>
  <si>
    <t xml:space="preserve">KAMO                                    </t>
  </si>
  <si>
    <t xml:space="preserve">KAMO      </t>
  </si>
  <si>
    <t xml:space="preserve">YASJAN Tania R0100026611                          </t>
  </si>
  <si>
    <t xml:space="preserve">YASJAN Tania                            </t>
  </si>
  <si>
    <t xml:space="preserve">YASJAN    </t>
  </si>
  <si>
    <t xml:space="preserve">COTTIER ELEONORE R0100026609                      </t>
  </si>
  <si>
    <t xml:space="preserve">KAMO TCHOUANHOU ELPHY R0100026601                 </t>
  </si>
  <si>
    <t xml:space="preserve">KAMOTCHOUA                              </t>
  </si>
  <si>
    <t>KAMOTCHOUA</t>
  </si>
  <si>
    <t xml:space="preserve">DOGANAY Kymet R0100026600                         </t>
  </si>
  <si>
    <t xml:space="preserve">DOGANAY Kymet                           </t>
  </si>
  <si>
    <t xml:space="preserve">DOGANAY   </t>
  </si>
  <si>
    <t xml:space="preserve">SADOU DAVY SAMI R0100026598                       </t>
  </si>
  <si>
    <t xml:space="preserve">ZAMAN MUHAMMAD R0100026595                        </t>
  </si>
  <si>
    <t xml:space="preserve">ATMANI DENIA R0100026589                          </t>
  </si>
  <si>
    <t xml:space="preserve">BAKAMBO PERNELLE R0300001099                      </t>
  </si>
  <si>
    <t xml:space="preserve">DAHBI Nadera R0200001481                          </t>
  </si>
  <si>
    <t xml:space="preserve">DAHBI Nadera                            </t>
  </si>
  <si>
    <t xml:space="preserve">DAHBI     </t>
  </si>
  <si>
    <t xml:space="preserve">DALOZ Estelle R0100026630                         </t>
  </si>
  <si>
    <t xml:space="preserve">DALOZ Estelle                           </t>
  </si>
  <si>
    <t xml:space="preserve">DALOZ     </t>
  </si>
  <si>
    <t xml:space="preserve">Rbt AUDEBEAU AURELIA R0100026628                  </t>
  </si>
  <si>
    <t xml:space="preserve">MUKOSA KABULO Sifa R0200001480                    </t>
  </si>
  <si>
    <t xml:space="preserve">MUKOSA KABULO Sifa                      </t>
  </si>
  <si>
    <t>NTUMBANKUN</t>
  </si>
  <si>
    <t xml:space="preserve">KHALFA SIMARD LOIS R0200001478                    </t>
  </si>
  <si>
    <t xml:space="preserve">THIAM CISSE R0200001474                           </t>
  </si>
  <si>
    <t xml:space="preserve">BOUKROUMA Olfa R0200001472                        </t>
  </si>
  <si>
    <t xml:space="preserve">FAROUK Ali R0200001465                            </t>
  </si>
  <si>
    <t xml:space="preserve">VAY MEI-LING R0200001464                          </t>
  </si>
  <si>
    <t xml:space="preserve">MOUNIB Youcef R0200001462                         </t>
  </si>
  <si>
    <t xml:space="preserve">MOUNIB Youcef                           </t>
  </si>
  <si>
    <t xml:space="preserve">MOUNIB    </t>
  </si>
  <si>
    <t xml:space="preserve">COLLOMB Geoffrey R0200001461                      </t>
  </si>
  <si>
    <t xml:space="preserve">BOYACI SIBEL R0200001460                          </t>
  </si>
  <si>
    <t xml:space="preserve">SANVISEN QUENTIN R0100026579                      </t>
  </si>
  <si>
    <t xml:space="preserve">CONTUCCINI Céline Marielle R0100026577            </t>
  </si>
  <si>
    <t xml:space="preserve">CONTUCCINI                              </t>
  </si>
  <si>
    <t>CONTUCCINI</t>
  </si>
  <si>
    <t xml:space="preserve">VAY MEI-LING R0100026576                          </t>
  </si>
  <si>
    <t xml:space="preserve">DIOP MAME BOUSSO R0100026574                      </t>
  </si>
  <si>
    <t xml:space="preserve">JACQUEMIN GWENDOLINE R0100026554                  </t>
  </si>
  <si>
    <t xml:space="preserve">M'ROIVILI Faouzia R0100026551                     </t>
  </si>
  <si>
    <t xml:space="preserve">MROIVILI                                </t>
  </si>
  <si>
    <t xml:space="preserve">MROIVILI  </t>
  </si>
  <si>
    <t xml:space="preserve">ADOU YANGAO Frederic-Yanick R0100026540           </t>
  </si>
  <si>
    <t xml:space="preserve">LUAMBILA SANDRINE R0100026538                     </t>
  </si>
  <si>
    <t xml:space="preserve">ANTONIO EUNICE R0100026537                        </t>
  </si>
  <si>
    <t xml:space="preserve">ANTONIO EUNICE                          </t>
  </si>
  <si>
    <t xml:space="preserve">ANTONIO   </t>
  </si>
  <si>
    <t xml:space="preserve">GBOKO ABENAN R0100026534                          </t>
  </si>
  <si>
    <t xml:space="preserve">SALMI SONIA R0100026532                           </t>
  </si>
  <si>
    <t xml:space="preserve">SIDIBE MAMADOU R0100026529                        </t>
  </si>
  <si>
    <t xml:space="preserve">FAYE ALICIA R0100026527                           </t>
  </si>
  <si>
    <t xml:space="preserve">SADOU DAVY SAMI R0100026524                       </t>
  </si>
  <si>
    <t xml:space="preserve">MAJERI Farid R0100026522                          </t>
  </si>
  <si>
    <t xml:space="preserve">MANIKA MESA SOLANGE R0100026520                   </t>
  </si>
  <si>
    <t xml:space="preserve">RACHIDI AMINA R0100026517                         </t>
  </si>
  <si>
    <t xml:space="preserve">OUAHBI FATIMA R0100026516                         </t>
  </si>
  <si>
    <t xml:space="preserve">DIONISI Catherine R0100026510                     </t>
  </si>
  <si>
    <t xml:space="preserve">DIONISI Catherine                       </t>
  </si>
  <si>
    <t xml:space="preserve">DIONISI   </t>
  </si>
  <si>
    <t xml:space="preserve">REBBOUCHE ABDELGHANI R0100026509                  </t>
  </si>
  <si>
    <t xml:space="preserve">Crédit REBBOUCHE ABDELGHANI R0100026509           </t>
  </si>
  <si>
    <t xml:space="preserve">FONTANIERE AMANDA R0100026505                     </t>
  </si>
  <si>
    <t xml:space="preserve">ILUNGA MESU Gracia R0100026497                    </t>
  </si>
  <si>
    <t xml:space="preserve">ILUNGA MESU Gracia                      </t>
  </si>
  <si>
    <t xml:space="preserve">ILUNGA    </t>
  </si>
  <si>
    <t xml:space="preserve">ABDELMOUMNAI LYNDA R0100026496                    </t>
  </si>
  <si>
    <t xml:space="preserve">KAMO Elphy R0100026495                            </t>
  </si>
  <si>
    <t xml:space="preserve">FOLIO ANAÏS R0100026491                           </t>
  </si>
  <si>
    <t xml:space="preserve">FOLIO ANAÏS                             </t>
  </si>
  <si>
    <t xml:space="preserve">KAYOWA KABUNDA MARTINE R0100026484                </t>
  </si>
  <si>
    <t xml:space="preserve">LAROCHE Raphaël R0100026467                       </t>
  </si>
  <si>
    <t xml:space="preserve">LAROCHE Raphaël                         </t>
  </si>
  <si>
    <t xml:space="preserve">LAROCHE   </t>
  </si>
  <si>
    <t xml:space="preserve">COMTE AURELIEN R0100026460                        </t>
  </si>
  <si>
    <t xml:space="preserve">DIAS GONCALVES DO CANTO YARA R0100026458          </t>
  </si>
  <si>
    <t xml:space="preserve">BRAHAMI Ouasila R0100026450                       </t>
  </si>
  <si>
    <t xml:space="preserve">BRAHAMI                                 </t>
  </si>
  <si>
    <t xml:space="preserve">BRAHAMI2  </t>
  </si>
  <si>
    <t xml:space="preserve">ZAMAN MUHAMMAD R0100026448                        </t>
  </si>
  <si>
    <t xml:space="preserve">AUZAS BRIGITTE R0100026446                        </t>
  </si>
  <si>
    <t xml:space="preserve">BIBANG MIKUE MARIA R0100026438                    </t>
  </si>
  <si>
    <t xml:space="preserve">BARBIER DELPHINE R0100026437                      </t>
  </si>
  <si>
    <t xml:space="preserve">BOYACI SIBEL R0100026434                          </t>
  </si>
  <si>
    <t xml:space="preserve">AL YACOUB ADEEB R0100026432                       </t>
  </si>
  <si>
    <t xml:space="preserve">FRAIS SUR RGLT CB 16&gt;31/10                        </t>
  </si>
  <si>
    <t xml:space="preserve">BFC2310/01823  </t>
  </si>
  <si>
    <t xml:space="preserve">BFC2310/01821  </t>
  </si>
  <si>
    <t xml:space="preserve">BFC2310/01820  </t>
  </si>
  <si>
    <t xml:space="preserve">CB A ENCAISSER 16/10&gt;31/10                        </t>
  </si>
  <si>
    <t xml:space="preserve">BFC2310/01787  </t>
  </si>
  <si>
    <t xml:space="preserve">REJET VIRT SALAIRE SIOUDA                         </t>
  </si>
  <si>
    <t xml:space="preserve">BFC2310/01819  </t>
  </si>
  <si>
    <t xml:space="preserve">BFC2310/01818  </t>
  </si>
  <si>
    <t xml:space="preserve">PART.FAMILLE SORTIE PONEYS POLE ADULTE            </t>
  </si>
  <si>
    <t xml:space="preserve">BFC2310/01726  </t>
  </si>
  <si>
    <t xml:space="preserve">BFC2310/01725  </t>
  </si>
  <si>
    <t xml:space="preserve">BFC2310/01547  </t>
  </si>
  <si>
    <t xml:space="preserve">BFC2310/01817  </t>
  </si>
  <si>
    <t xml:space="preserve">CAF  PS ACF CYPRIAN 2e ACPTE 2023                 </t>
  </si>
  <si>
    <t xml:space="preserve">BFC2310/01816  </t>
  </si>
  <si>
    <t xml:space="preserve">CAF  PS ACF CFAL 2e ACPTE 2023                    </t>
  </si>
  <si>
    <t xml:space="preserve">CAF  PS PILOTAGE AG CYPRIAN 4e ACPTE 2023         </t>
  </si>
  <si>
    <t xml:space="preserve">CAF  PS PILOTAGE AG CFAL 4e ACPTE 2023            </t>
  </si>
  <si>
    <t xml:space="preserve">VIRT CAF CLASS SOLDE 2022                         </t>
  </si>
  <si>
    <t xml:space="preserve">BFC2310/01815  </t>
  </si>
  <si>
    <t xml:space="preserve">BFC2310/01814  </t>
  </si>
  <si>
    <t xml:space="preserve">BFC2310/01813  </t>
  </si>
  <si>
    <t xml:space="preserve">BFC2310/01812  </t>
  </si>
  <si>
    <t xml:space="preserve">VIRT VILLE CLAS 2023/2024                         </t>
  </si>
  <si>
    <t xml:space="preserve">BFC2310/01811  </t>
  </si>
  <si>
    <t xml:space="preserve">FRAIS TPE                                         </t>
  </si>
  <si>
    <t xml:space="preserve">BFC2310/01810  </t>
  </si>
  <si>
    <t xml:space="preserve">BFC2310/01724  </t>
  </si>
  <si>
    <t xml:space="preserve">BFC2310/01723  </t>
  </si>
  <si>
    <t xml:space="preserve">BFC2310/01722  </t>
  </si>
  <si>
    <t xml:space="preserve">BFC2310/01809  </t>
  </si>
  <si>
    <t xml:space="preserve">BFC2310/01512  </t>
  </si>
  <si>
    <t xml:space="preserve">PARISI ALEXIA                           </t>
  </si>
  <si>
    <t xml:space="preserve">PARISI    </t>
  </si>
  <si>
    <t xml:space="preserve">BAN2310/01511  </t>
  </si>
  <si>
    <t xml:space="preserve">VILLE DE BRON                           </t>
  </si>
  <si>
    <t xml:space="preserve">VILLEBRON </t>
  </si>
  <si>
    <t xml:space="preserve">VIRT METROPOLE SUBV. GLOBALE 2023                 </t>
  </si>
  <si>
    <t xml:space="preserve">BFC2310/01808  </t>
  </si>
  <si>
    <t xml:space="preserve">BFC2310/01727  </t>
  </si>
  <si>
    <t xml:space="preserve">BFC2310/01498  </t>
  </si>
  <si>
    <t xml:space="preserve">BAN2310/01495  </t>
  </si>
  <si>
    <t xml:space="preserve">BFC2310/01807  </t>
  </si>
  <si>
    <t xml:space="preserve">VIRT METROPOLE SOLDE IER 2022                     </t>
  </si>
  <si>
    <t xml:space="preserve">BFC2310/01806  </t>
  </si>
  <si>
    <t xml:space="preserve">BFC2310/01805  </t>
  </si>
  <si>
    <t xml:space="preserve">BFC2310/01804  </t>
  </si>
  <si>
    <t xml:space="preserve">FRAIS SUR RGLT CB 01&gt;15/10                        </t>
  </si>
  <si>
    <t xml:space="preserve">BFC2310/01822  </t>
  </si>
  <si>
    <t xml:space="preserve">CB A ENCAISSER 01/10&gt;14/10                        </t>
  </si>
  <si>
    <t xml:space="preserve">BFC2310/01579  </t>
  </si>
  <si>
    <t xml:space="preserve">RGLT CHQ SALAIRE CEE                              </t>
  </si>
  <si>
    <t xml:space="preserve">BFC2310/01803  </t>
  </si>
  <si>
    <t xml:space="preserve">BFC2310/01802  </t>
  </si>
  <si>
    <t xml:space="preserve">BFC2310/01801  </t>
  </si>
  <si>
    <t xml:space="preserve">BFC2310/01800  </t>
  </si>
  <si>
    <t xml:space="preserve">BFC2310/01799  </t>
  </si>
  <si>
    <t xml:space="preserve">BAN2310/01486  </t>
  </si>
  <si>
    <t xml:space="preserve">SIP LYON 2                              </t>
  </si>
  <si>
    <t xml:space="preserve">BFC2310/01484  </t>
  </si>
  <si>
    <t xml:space="preserve">BFC2310/01798  </t>
  </si>
  <si>
    <t xml:space="preserve">BFC2310/01797  </t>
  </si>
  <si>
    <t xml:space="preserve">BFC2310/01796  </t>
  </si>
  <si>
    <t xml:space="preserve">BFC2310/01793  </t>
  </si>
  <si>
    <t xml:space="preserve">BFC2310/01792  </t>
  </si>
  <si>
    <t xml:space="preserve">BFC2310/01791  </t>
  </si>
  <si>
    <t xml:space="preserve">BFC2310/01790  </t>
  </si>
  <si>
    <t xml:space="preserve">BFC2310/01788  </t>
  </si>
  <si>
    <t xml:space="preserve">BFC2310/01789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</si>
</sst>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right"/>
    </xf>
    <xf numFmtId="0" fontId="16" fillId="42" borderId="10" xfId="0" applyFont="1" applyFill="1" applyBorder="1" applyAlignment="1">
      <alignment horizontal="center"/>
    </xf>
    <xf numFmtId="164" fontId="0" fillId="36" borderId="14" xfId="0" applyNumberFormat="1" applyFill="1" applyBorder="1"/>
    <xf numFmtId="164" fontId="0" fillId="36" borderId="16" xfId="0" applyNumberFormat="1" applyFill="1" applyBorder="1"/>
    <xf numFmtId="164" fontId="0" fillId="34" borderId="16" xfId="0" applyNumberFormat="1" applyFill="1" applyBorder="1"/>
    <xf numFmtId="164" fontId="0" fillId="35" borderId="16" xfId="0" applyNumberFormat="1" applyFill="1" applyBorder="1"/>
    <xf numFmtId="164" fontId="0" fillId="33" borderId="16" xfId="0" applyNumberFormat="1" applyFill="1" applyBorder="1"/>
    <xf numFmtId="164" fontId="0" fillId="33" borderId="15" xfId="0" applyNumberFormat="1" applyFill="1" applyBorder="1"/>
    <xf numFmtId="0" fontId="0" fillId="36" borderId="17" xfId="0" applyFill="1" applyBorder="1"/>
    <xf numFmtId="0" fontId="0" fillId="36" borderId="18" xfId="0" applyFill="1" applyBorder="1"/>
    <xf numFmtId="0" fontId="0" fillId="34" borderId="18" xfId="0" applyFill="1" applyBorder="1"/>
    <xf numFmtId="0" fontId="0" fillId="35" borderId="18" xfId="0" applyFill="1" applyBorder="1"/>
    <xf numFmtId="0" fontId="0" fillId="33" borderId="18" xfId="0" applyFill="1" applyBorder="1"/>
    <xf numFmtId="0" fontId="0" fillId="33" borderId="19" xfId="0" applyFill="1" applyBorder="1"/>
    <xf numFmtId="164" fontId="0" fillId="36" borderId="17" xfId="0" applyNumberFormat="1" applyFill="1" applyBorder="1" applyAlignment="1">
      <alignment horizontal="center"/>
    </xf>
    <xf numFmtId="164" fontId="0" fillId="36" borderId="18" xfId="0" applyNumberFormat="1" applyFill="1" applyBorder="1" applyAlignment="1">
      <alignment horizontal="center"/>
    </xf>
    <xf numFmtId="164" fontId="0" fillId="34" borderId="18" xfId="0" applyNumberFormat="1" applyFill="1" applyBorder="1" applyAlignment="1">
      <alignment horizontal="center"/>
    </xf>
    <xf numFmtId="164" fontId="0" fillId="35" borderId="18" xfId="0" applyNumberFormat="1" applyFill="1" applyBorder="1" applyAlignment="1">
      <alignment horizontal="center"/>
    </xf>
    <xf numFmtId="164" fontId="0" fillId="33" borderId="18" xfId="0" applyNumberFormat="1" applyFill="1" applyBorder="1" applyAlignment="1">
      <alignment horizontal="center"/>
    </xf>
    <xf numFmtId="164" fontId="0" fillId="33" borderId="19" xfId="0" applyNumberFormat="1" applyFill="1" applyBorder="1" applyAlignment="1">
      <alignment horizontal="center"/>
    </xf>
    <xf numFmtId="164" fontId="0" fillId="42" borderId="10" xfId="0" applyNumberFormat="1" applyFill="1" applyBorder="1" applyAlignment="1">
      <alignment horizontal="center"/>
    </xf>
    <xf numFmtId="164" fontId="0" fillId="38" borderId="14" xfId="0" applyNumberFormat="1" applyFill="1" applyBorder="1"/>
    <xf numFmtId="164" fontId="0" fillId="38" borderId="16" xfId="0" applyNumberFormat="1" applyFill="1" applyBorder="1"/>
    <xf numFmtId="164" fontId="0" fillId="37" borderId="16" xfId="0" applyNumberFormat="1" applyFill="1" applyBorder="1"/>
    <xf numFmtId="164" fontId="0" fillId="39" borderId="16" xfId="0" applyNumberFormat="1" applyFill="1" applyBorder="1"/>
    <xf numFmtId="164" fontId="0" fillId="40" borderId="16" xfId="0" applyNumberFormat="1" applyFill="1" applyBorder="1"/>
    <xf numFmtId="164" fontId="0" fillId="40" borderId="15" xfId="0" applyNumberFormat="1" applyFill="1" applyBorder="1"/>
    <xf numFmtId="0" fontId="0" fillId="38" borderId="17" xfId="0" applyFill="1" applyBorder="1"/>
    <xf numFmtId="0" fontId="0" fillId="38" borderId="18" xfId="0" applyFill="1" applyBorder="1"/>
    <xf numFmtId="0" fontId="0" fillId="37" borderId="18" xfId="0" applyFill="1" applyBorder="1"/>
    <xf numFmtId="0" fontId="0" fillId="39" borderId="18" xfId="0" applyFill="1" applyBorder="1"/>
    <xf numFmtId="0" fontId="0" fillId="40" borderId="18" xfId="0" applyFill="1" applyBorder="1"/>
    <xf numFmtId="0" fontId="0" fillId="40" borderId="19" xfId="0" applyFill="1" applyBorder="1"/>
    <xf numFmtId="164" fontId="0" fillId="38" borderId="17" xfId="0" applyNumberFormat="1" applyFill="1" applyBorder="1" applyAlignment="1">
      <alignment horizontal="center"/>
    </xf>
    <xf numFmtId="164" fontId="0" fillId="38" borderId="18" xfId="0" applyNumberFormat="1" applyFill="1" applyBorder="1" applyAlignment="1">
      <alignment horizontal="center"/>
    </xf>
    <xf numFmtId="164" fontId="0" fillId="37" borderId="18" xfId="0" applyNumberFormat="1" applyFill="1" applyBorder="1" applyAlignment="1">
      <alignment horizontal="center"/>
    </xf>
    <xf numFmtId="164" fontId="0" fillId="39" borderId="18" xfId="0" applyNumberFormat="1" applyFill="1" applyBorder="1" applyAlignment="1">
      <alignment horizontal="center"/>
    </xf>
    <xf numFmtId="164" fontId="0" fillId="40" borderId="18" xfId="0" applyNumberFormat="1" applyFill="1" applyBorder="1" applyAlignment="1">
      <alignment horizontal="center"/>
    </xf>
    <xf numFmtId="164" fontId="0" fillId="40" borderId="19" xfId="0" applyNumberFormat="1" applyFill="1" applyBorder="1" applyAlignment="1">
      <alignment horizontal="center"/>
    </xf>
    <xf numFmtId="164" fontId="0" fillId="41" borderId="10" xfId="0" applyNumberFormat="1" applyFill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42" borderId="10" xfId="0" applyFont="1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6" borderId="18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8" borderId="17" xfId="0" applyFill="1" applyBorder="1" applyAlignment="1">
      <alignment horizontal="center"/>
    </xf>
    <xf numFmtId="0" fontId="0" fillId="38" borderId="18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9" borderId="18" xfId="0" applyFill="1" applyBorder="1" applyAlignment="1">
      <alignment horizontal="center"/>
    </xf>
    <xf numFmtId="0" fontId="0" fillId="40" borderId="18" xfId="0" applyFill="1" applyBorder="1" applyAlignment="1">
      <alignment horizontal="center"/>
    </xf>
    <xf numFmtId="0" fontId="0" fillId="40" borderId="19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14" fontId="16" fillId="42" borderId="10" xfId="0" applyNumberFormat="1" applyFont="1" applyFill="1" applyBorder="1" applyAlignment="1">
      <alignment horizontal="center"/>
    </xf>
    <xf numFmtId="164" fontId="16" fillId="42" borderId="10" xfId="0" applyNumberFormat="1" applyFont="1" applyFill="1" applyBorder="1" applyAlignment="1">
      <alignment horizontal="center"/>
    </xf>
    <xf numFmtId="164" fontId="0" fillId="36" borderId="14" xfId="0" applyNumberFormat="1" applyFill="1" applyBorder="1" applyAlignment="1">
      <alignment horizontal="center"/>
    </xf>
    <xf numFmtId="164" fontId="0" fillId="36" borderId="16" xfId="0" applyNumberFormat="1" applyFill="1" applyBorder="1" applyAlignment="1">
      <alignment horizontal="center"/>
    </xf>
    <xf numFmtId="164" fontId="0" fillId="34" borderId="16" xfId="0" applyNumberFormat="1" applyFill="1" applyBorder="1" applyAlignment="1">
      <alignment horizontal="center"/>
    </xf>
    <xf numFmtId="164" fontId="0" fillId="35" borderId="16" xfId="0" applyNumberFormat="1" applyFill="1" applyBorder="1" applyAlignment="1">
      <alignment horizontal="center"/>
    </xf>
    <xf numFmtId="164" fontId="0" fillId="33" borderId="16" xfId="0" applyNumberFormat="1" applyFill="1" applyBorder="1" applyAlignment="1">
      <alignment horizontal="center"/>
    </xf>
    <xf numFmtId="164" fontId="0" fillId="33" borderId="15" xfId="0" applyNumberFormat="1" applyFill="1" applyBorder="1" applyAlignment="1">
      <alignment horizontal="center"/>
    </xf>
    <xf numFmtId="164" fontId="0" fillId="38" borderId="14" xfId="0" applyNumberFormat="1" applyFill="1" applyBorder="1" applyAlignment="1">
      <alignment horizontal="center"/>
    </xf>
    <xf numFmtId="164" fontId="0" fillId="38" borderId="16" xfId="0" applyNumberFormat="1" applyFill="1" applyBorder="1" applyAlignment="1">
      <alignment horizontal="center"/>
    </xf>
    <xf numFmtId="164" fontId="0" fillId="37" borderId="16" xfId="0" applyNumberFormat="1" applyFill="1" applyBorder="1" applyAlignment="1">
      <alignment horizontal="center"/>
    </xf>
    <xf numFmtId="164" fontId="0" fillId="39" borderId="16" xfId="0" applyNumberFormat="1" applyFill="1" applyBorder="1" applyAlignment="1">
      <alignment horizontal="center"/>
    </xf>
    <xf numFmtId="164" fontId="0" fillId="40" borderId="16" xfId="0" applyNumberFormat="1" applyFill="1" applyBorder="1" applyAlignment="1">
      <alignment horizontal="center"/>
    </xf>
    <xf numFmtId="164" fontId="0" fillId="40" borderId="15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42" borderId="11" xfId="0" applyNumberFormat="1" applyFill="1" applyBorder="1" applyAlignment="1">
      <alignment horizontal="center"/>
    </xf>
    <xf numFmtId="164" fontId="0" fillId="41" borderId="11" xfId="0" applyNumberForma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6" fillId="43" borderId="11" xfId="0" applyFont="1" applyFill="1" applyBorder="1" applyAlignment="1">
      <alignment horizontal="center"/>
    </xf>
    <xf numFmtId="0" fontId="16" fillId="43" borderId="12" xfId="0" applyFont="1" applyFill="1" applyBorder="1" applyAlignment="1">
      <alignment horizontal="center"/>
    </xf>
    <xf numFmtId="0" fontId="16" fillId="43" borderId="13" xfId="0" applyFont="1" applyFill="1" applyBorder="1" applyAlignment="1">
      <alignment horizontal="center"/>
    </xf>
    <xf numFmtId="0" fontId="16" fillId="43" borderId="21" xfId="0" applyFont="1" applyFill="1" applyBorder="1" applyAlignment="1">
      <alignment horizontal="center"/>
    </xf>
    <xf numFmtId="0" fontId="16" fillId="43" borderId="0" xfId="0" applyFon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showGridLines="0" tabSelected="1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AE19" sqref="AE19"/>
    </sheetView>
  </sheetViews>
  <sheetFormatPr baseColWidth="10" defaultRowHeight="15" x14ac:dyDescent="0.25"/>
  <cols>
    <col min="2" max="2" width="11.42578125" style="1"/>
    <col min="3" max="3" width="39.28515625" bestFit="1" customWidth="1"/>
    <col min="4" max="4" width="11.7109375" bestFit="1" customWidth="1"/>
    <col min="5" max="16" width="10.140625" style="1" customWidth="1"/>
    <col min="17" max="17" width="10.7109375" bestFit="1" customWidth="1"/>
    <col min="18" max="20" width="10.140625" customWidth="1"/>
    <col min="21" max="29" width="10.140625" style="1" customWidth="1"/>
  </cols>
  <sheetData>
    <row r="1" spans="1:33" s="2" customFormat="1" x14ac:dyDescent="0.25">
      <c r="B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U1" s="75"/>
      <c r="V1" s="75"/>
      <c r="W1" s="75"/>
      <c r="X1" s="75"/>
      <c r="Y1" s="75"/>
      <c r="Z1" s="75"/>
      <c r="AA1" s="75"/>
      <c r="AB1" s="75"/>
      <c r="AC1" s="75"/>
    </row>
    <row r="2" spans="1:33" x14ac:dyDescent="0.25">
      <c r="D2" s="61">
        <v>44561</v>
      </c>
      <c r="E2" s="80">
        <v>2022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2"/>
      <c r="Q2" s="61">
        <v>44926</v>
      </c>
      <c r="R2" s="80">
        <v>2023</v>
      </c>
      <c r="S2" s="81"/>
      <c r="T2" s="81"/>
      <c r="U2" s="81"/>
      <c r="V2" s="81"/>
      <c r="W2" s="81"/>
      <c r="X2" s="81"/>
      <c r="Y2" s="81"/>
      <c r="Z2" s="81"/>
      <c r="AA2" s="81"/>
      <c r="AB2" s="81"/>
      <c r="AC2" s="82"/>
      <c r="AD2" s="83">
        <v>2024</v>
      </c>
      <c r="AE2" s="84"/>
      <c r="AF2" s="84"/>
      <c r="AG2" s="84"/>
    </row>
    <row r="3" spans="1:33" x14ac:dyDescent="0.25">
      <c r="C3" s="4" t="s">
        <v>4753</v>
      </c>
      <c r="D3" s="62">
        <f>207964.31+100711.45+1229.06</f>
        <v>309904.82</v>
      </c>
      <c r="E3" s="3">
        <f>D3+E43+E71</f>
        <v>200930.88</v>
      </c>
      <c r="F3" s="3">
        <f>E3+F43+F71</f>
        <v>249307.43999999994</v>
      </c>
      <c r="G3" s="3">
        <f>F3+G43+G71</f>
        <v>297762.77999999991</v>
      </c>
      <c r="H3" s="3">
        <f>G3+H43+H71</f>
        <v>227618.04999999993</v>
      </c>
      <c r="I3" s="3">
        <f>H3+I43+I71</f>
        <v>271817.99999999988</v>
      </c>
      <c r="J3" s="3">
        <f>I3+J43+J71</f>
        <v>296726.79999999993</v>
      </c>
      <c r="K3" s="3">
        <f>J3+K43+K71</f>
        <v>220757.37999999989</v>
      </c>
      <c r="L3" s="44">
        <f>K3+L43+L71</f>
        <v>104408.69999999987</v>
      </c>
      <c r="M3" s="44">
        <f>L3+M43+M71+90000</f>
        <v>97952.769999999873</v>
      </c>
      <c r="N3" s="3">
        <f>M3+N43+N71</f>
        <v>299366.98999999987</v>
      </c>
      <c r="O3" s="3">
        <f>N3+O43+O71</f>
        <v>331662.61999999982</v>
      </c>
      <c r="P3" s="3">
        <f>O3+P43+P71</f>
        <v>203888.89999999985</v>
      </c>
      <c r="Q3" s="62">
        <f>109619.71+92951.16+1380.7</f>
        <v>203951.57</v>
      </c>
      <c r="R3" s="3">
        <f>Q3+R43+R71+40000</f>
        <v>79651.429999999993</v>
      </c>
      <c r="S3" s="3">
        <f>R3+S43+S71+95006.53</f>
        <v>82184.66</v>
      </c>
      <c r="T3" s="3">
        <f>S3+T43+T71</f>
        <v>366194.24999999988</v>
      </c>
      <c r="U3" s="3">
        <f>T3+U43+U71</f>
        <v>383255.86999999982</v>
      </c>
      <c r="V3" s="3">
        <f>U3+V43+V71</f>
        <v>355386.50999999978</v>
      </c>
      <c r="W3" s="3">
        <f>V3+W43+W71</f>
        <v>405582.12999999977</v>
      </c>
      <c r="X3" s="3">
        <f>W3+X43+X71</f>
        <v>452749.74999999977</v>
      </c>
      <c r="Y3" s="3">
        <f>X3+Y43+Y71</f>
        <v>320465.2999999997</v>
      </c>
      <c r="Z3" s="44">
        <f>Y3+Z43+Z71</f>
        <v>518238.25999999972</v>
      </c>
      <c r="AA3" s="3">
        <f>Z3+AA43+AA71</f>
        <v>522684.10999999969</v>
      </c>
      <c r="AB3" s="3">
        <f>AA3+AB43+AB71</f>
        <v>394436.02999999945</v>
      </c>
      <c r="AC3" s="3">
        <f>AB3+AC43+AC71</f>
        <v>259616.28999999946</v>
      </c>
      <c r="AD3" s="44">
        <f>AC3+R72</f>
        <v>95316.149999999441</v>
      </c>
      <c r="AE3" s="44">
        <f>AD3+S72</f>
        <v>2842.8499999994528</v>
      </c>
      <c r="AF3" s="3">
        <f>AE3+T72</f>
        <v>286852.43999999942</v>
      </c>
      <c r="AG3" s="3">
        <f>AF3+U72</f>
        <v>303914.05999999936</v>
      </c>
    </row>
    <row r="4" spans="1:33" x14ac:dyDescent="0.25"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45">
        <v>8</v>
      </c>
      <c r="M4" s="45">
        <v>9</v>
      </c>
      <c r="N4" s="5">
        <v>10</v>
      </c>
      <c r="O4" s="5">
        <v>11</v>
      </c>
      <c r="P4" s="5">
        <v>12</v>
      </c>
      <c r="R4" s="5">
        <v>1</v>
      </c>
      <c r="S4" s="5">
        <v>2</v>
      </c>
      <c r="T4" s="5">
        <v>3</v>
      </c>
      <c r="U4" s="5">
        <v>4</v>
      </c>
      <c r="V4" s="5">
        <v>5</v>
      </c>
      <c r="W4" s="5">
        <v>6</v>
      </c>
      <c r="X4" s="5">
        <v>7</v>
      </c>
      <c r="Y4" s="5">
        <v>8</v>
      </c>
      <c r="Z4" s="5">
        <v>9</v>
      </c>
      <c r="AA4" s="5">
        <v>10</v>
      </c>
      <c r="AB4" s="5">
        <v>11</v>
      </c>
      <c r="AC4" s="5">
        <v>12</v>
      </c>
      <c r="AD4" s="5">
        <v>1</v>
      </c>
      <c r="AE4" s="5">
        <v>2</v>
      </c>
      <c r="AF4" s="5">
        <v>3</v>
      </c>
      <c r="AG4" s="5">
        <v>4</v>
      </c>
    </row>
    <row r="5" spans="1:33" x14ac:dyDescent="0.25">
      <c r="A5" s="6">
        <f t="shared" ref="A5:A70" si="0">SUM(E5:P5)</f>
        <v>553708.30000000005</v>
      </c>
      <c r="B5" s="46">
        <v>468740</v>
      </c>
      <c r="C5" s="12" t="s">
        <v>426</v>
      </c>
      <c r="D5" s="46" t="s">
        <v>4751</v>
      </c>
      <c r="E5" s="18">
        <f>-SUMIFS('2022'!$M:$M,'2022'!$E:$E,Trésorerie!E$4,'2022'!$F:$F,Trésorerie!$B5)+SUMIFS('2022'!$N:$N,'2022'!$E:$E,Trésorerie!E$4,'2022'!$F:$F,Trésorerie!$B5)</f>
        <v>0</v>
      </c>
      <c r="F5" s="18">
        <f>-SUMIFS('2022'!$M:$M,'2022'!$E:$E,Trésorerie!F$4,'2022'!$F:$F,Trésorerie!$B5)+SUMIFS('2022'!$N:$N,'2022'!$E:$E,Trésorerie!F$4,'2022'!$F:$F,Trésorerie!$B5)</f>
        <v>172245.3</v>
      </c>
      <c r="G5" s="18">
        <f>-SUMIFS('2022'!$M:$M,'2022'!$E:$E,Trésorerie!G$4,'2022'!$F:$F,Trésorerie!$B5)+SUMIFS('2022'!$N:$N,'2022'!$E:$E,Trésorerie!G$4,'2022'!$F:$F,Trésorerie!$B5)</f>
        <v>123296</v>
      </c>
      <c r="H5" s="18">
        <f>-SUMIFS('2022'!$M:$M,'2022'!$E:$E,Trésorerie!H$4,'2022'!$F:$F,Trésorerie!$B5)+SUMIFS('2022'!$N:$N,'2022'!$E:$E,Trésorerie!H$4,'2022'!$F:$F,Trésorerie!$B5)</f>
        <v>17000</v>
      </c>
      <c r="I5" s="18">
        <f>-SUMIFS('2022'!$M:$M,'2022'!$E:$E,Trésorerie!I$4,'2022'!$F:$F,Trésorerie!$B5)+SUMIFS('2022'!$N:$N,'2022'!$E:$E,Trésorerie!I$4,'2022'!$F:$F,Trésorerie!$B5)</f>
        <v>0</v>
      </c>
      <c r="J5" s="18">
        <f>-SUMIFS('2022'!$M:$M,'2022'!$E:$E,Trésorerie!J$4,'2022'!$F:$F,Trésorerie!$B5)+SUMIFS('2022'!$N:$N,'2022'!$E:$E,Trésorerie!J$4,'2022'!$F:$F,Trésorerie!$B5)</f>
        <v>11099.800000000001</v>
      </c>
      <c r="K5" s="18">
        <f>-SUMIFS('2022'!$M:$M,'2022'!$E:$E,Trésorerie!K$4,'2022'!$F:$F,Trésorerie!$B5)+SUMIFS('2022'!$N:$N,'2022'!$E:$E,Trésorerie!K$4,'2022'!$F:$F,Trésorerie!$B5)</f>
        <v>1200</v>
      </c>
      <c r="L5" s="18">
        <f>-SUMIFS('2022'!$M:$M,'2022'!$E:$E,Trésorerie!L$4,'2022'!$F:$F,Trésorerie!$B5)+SUMIFS('2022'!$N:$N,'2022'!$E:$E,Trésorerie!L$4,'2022'!$F:$F,Trésorerie!$B5)</f>
        <v>169.2</v>
      </c>
      <c r="M5" s="18">
        <f>-SUMIFS('2022'!$M:$M,'2022'!$E:$E,Trésorerie!M$4,'2022'!$F:$F,Trésorerie!$B5)+SUMIFS('2022'!$N:$N,'2022'!$E:$E,Trésorerie!M$4,'2022'!$F:$F,Trésorerie!$B5)</f>
        <v>16139</v>
      </c>
      <c r="N5" s="18">
        <f>-SUMIFS('2022'!$M:$M,'2022'!$E:$E,Trésorerie!N$4,'2022'!$F:$F,Trésorerie!$B5)+SUMIFS('2022'!$N:$N,'2022'!$E:$E,Trésorerie!N$4,'2022'!$F:$F,Trésorerie!$B5)</f>
        <v>208566</v>
      </c>
      <c r="O5" s="18">
        <f>-SUMIFS('2022'!$M:$M,'2022'!$E:$E,Trésorerie!O$4,'2022'!$F:$F,Trésorerie!$B5)+SUMIFS('2022'!$N:$N,'2022'!$E:$E,Trésorerie!O$4,'2022'!$F:$F,Trésorerie!$B5)</f>
        <v>3649</v>
      </c>
      <c r="P5" s="18">
        <f>-SUMIFS('2022'!$M:$M,'2022'!$E:$E,Trésorerie!P$4,'2022'!$F:$F,Trésorerie!$B5)+SUMIFS('2022'!$N:$N,'2022'!$E:$E,Trésorerie!P$4,'2022'!$F:$F,Trésorerie!$B5)</f>
        <v>344</v>
      </c>
      <c r="R5" s="63">
        <f>-SUMIFS('2023-01'!$M:$M,'2023-01'!$E:$E,Trésorerie!R$4,'2023-01'!$F:$F,Trésorerie!$B5)+SUMIFS('2023-01'!$N:$N,'2023-01'!$E:$E,Trésorerie!R$4,'2023-01'!$F:$F,Trésorerie!$B5)</f>
        <v>430</v>
      </c>
      <c r="S5" s="63">
        <f>-SUMIFS('2023-02'!$M:$M,'2023-02'!$E:$E,Trésorerie!S$4,'2023-02'!$F:$F,Trésorerie!$B5)+SUMIFS('2023-02'!$N:$N,'2023-02'!$E:$E,Trésorerie!S$4,'2023-02'!$F:$F,Trésorerie!$B5)</f>
        <v>0</v>
      </c>
      <c r="T5" s="63">
        <f>-SUMIFS('2023-03'!$M:$M,'2023-03'!$E:$E,Trésorerie!T$4,'2023-03'!$F:$F,Trésorerie!$B5)+SUMIFS('2023-03'!$N:$N,'2023-03'!$E:$E,Trésorerie!T$4,'2023-03'!$F:$F,Trésorerie!$B5)</f>
        <v>176370</v>
      </c>
      <c r="U5" s="63">
        <f>-SUMIFS('2023-04'!$M:$M,'2023-04'!$E:$E,Trésorerie!U$4,'2023-04'!$F:$F,Trésorerie!$B5)+SUMIFS('2023-04'!$N:$N,'2023-04'!$E:$E,Trésorerie!U$4,'2023-04'!$F:$F,Trésorerie!$B5)</f>
        <v>88447.5</v>
      </c>
      <c r="V5" s="63">
        <f>-SUMIFS('2023-05'!$M:$M,'2023-05'!$E:$E,Trésorerie!V$4,'2023-05'!$F:$F,Trésorerie!$B5)+SUMIFS('2023-05'!$N:$N,'2023-05'!$E:$E,Trésorerie!V$4,'2023-05'!$F:$F,Trésorerie!$B5)</f>
        <v>473</v>
      </c>
      <c r="W5" s="63">
        <f>-SUMIFS('2023-06'!$M:$M,'2023-06'!$E:$E,Trésorerie!W$4,'2023-06'!$F:$F,Trésorerie!$B5)+SUMIFS('2023-06'!$N:$N,'2023-06'!$E:$E,Trésorerie!W$4,'2023-06'!$F:$F,Trésorerie!$B5)</f>
        <v>0</v>
      </c>
      <c r="X5" s="63">
        <f>-SUMIFS('2023-07'!$M:$M,'2023-07'!$E:$E,Trésorerie!X$4,'2023-07'!$F:$F,Trésorerie!$B5)+SUMIFS('2023-07'!$N:$N,'2023-07'!$E:$E,Trésorerie!X$4,'2023-07'!$F:$F,Trésorerie!$B5)</f>
        <v>54000</v>
      </c>
      <c r="Y5" s="63">
        <f>-SUMIFS('2023-08'!$M:$M,'2023-08'!$E:$E,Trésorerie!Y$4,'2023-08'!$F:$F,Trésorerie!$B5)+SUMIFS('2023-08'!$N:$N,'2023-08'!$E:$E,Trésorerie!Y$4,'2023-08'!$F:$F,Trésorerie!$B5)</f>
        <v>6774</v>
      </c>
      <c r="Z5" s="63">
        <f>-SUMIFS('2023-09'!$M:$M,'2023-09'!$E:$E,Trésorerie!Z$4,'2023-09'!$F:$F,Trésorerie!$B5)+SUMIFS('2023-09'!$N:$N,'2023-09'!$E:$E,Trésorerie!Z$4,'2023-09'!$F:$F,Trésorerie!$B5)</f>
        <v>161766.5</v>
      </c>
      <c r="AA5" s="63">
        <f>-SUMIFS('2023-10'!$M:$M,'2023-10'!$E:$E,Trésorerie!AA$4,'2023-10'!$F:$F,Trésorerie!$B5)+SUMIFS('2023-10'!$N:$N,'2023-10'!$E:$E,Trésorerie!AA$4,'2023-10'!$F:$F,Trésorerie!$B5)</f>
        <v>5200</v>
      </c>
      <c r="AB5" s="75">
        <f>IF(SUM($E5:O5)&gt;SUM($R5:AA5),SUM($E5:O5)-SUM($R5:AA5),0)</f>
        <v>59903.300000000047</v>
      </c>
      <c r="AC5" s="75">
        <f>IF(SUM($E5:P5)&gt;SUM($R5:AB5),SUM($E5:P5)-SUM($R5:AB5),0)</f>
        <v>344</v>
      </c>
      <c r="AD5" s="78"/>
    </row>
    <row r="6" spans="1:33" x14ac:dyDescent="0.25">
      <c r="A6" s="7">
        <f t="shared" si="0"/>
        <v>173624.12000000002</v>
      </c>
      <c r="B6" s="47">
        <v>445020</v>
      </c>
      <c r="C6" s="13" t="s">
        <v>414</v>
      </c>
      <c r="D6" s="47" t="s">
        <v>4751</v>
      </c>
      <c r="E6" s="19">
        <f>-SUMIFS('2022'!$M:$M,'2022'!$E:$E,Trésorerie!E$4,'2022'!$F:$F,Trésorerie!$B6)+SUMIFS('2022'!$N:$N,'2022'!$E:$E,Trésorerie!E$4,'2022'!$F:$F,Trésorerie!$B6)</f>
        <v>0</v>
      </c>
      <c r="F6" s="19">
        <f>-SUMIFS('2022'!$M:$M,'2022'!$E:$E,Trésorerie!F$4,'2022'!$F:$F,Trésorerie!$B6)+SUMIFS('2022'!$N:$N,'2022'!$E:$E,Trésorerie!F$4,'2022'!$F:$F,Trésorerie!$B6)</f>
        <v>0</v>
      </c>
      <c r="G6" s="19">
        <f>-SUMIFS('2022'!$M:$M,'2022'!$E:$E,Trésorerie!G$4,'2022'!$F:$F,Trésorerie!$B6)+SUMIFS('2022'!$N:$N,'2022'!$E:$E,Trésorerie!G$4,'2022'!$F:$F,Trésorerie!$B6)</f>
        <v>0</v>
      </c>
      <c r="H6" s="19">
        <f>-SUMIFS('2022'!$M:$M,'2022'!$E:$E,Trésorerie!H$4,'2022'!$F:$F,Trésorerie!$B6)+SUMIFS('2022'!$N:$N,'2022'!$E:$E,Trésorerie!H$4,'2022'!$F:$F,Trésorerie!$B6)</f>
        <v>18666</v>
      </c>
      <c r="I6" s="19">
        <f>-SUMIFS('2022'!$M:$M,'2022'!$E:$E,Trésorerie!I$4,'2022'!$F:$F,Trésorerie!$B6)+SUMIFS('2022'!$N:$N,'2022'!$E:$E,Trésorerie!I$4,'2022'!$F:$F,Trésorerie!$B6)</f>
        <v>52278.63</v>
      </c>
      <c r="J6" s="19">
        <f>-SUMIFS('2022'!$M:$M,'2022'!$E:$E,Trésorerie!J$4,'2022'!$F:$F,Trésorerie!$B6)+SUMIFS('2022'!$N:$N,'2022'!$E:$E,Trésorerie!J$4,'2022'!$F:$F,Trésorerie!$B6)</f>
        <v>47050.76</v>
      </c>
      <c r="K6" s="19">
        <f>-SUMIFS('2022'!$M:$M,'2022'!$E:$E,Trésorerie!K$4,'2022'!$F:$F,Trésorerie!$B6)+SUMIFS('2022'!$N:$N,'2022'!$E:$E,Trésorerie!K$4,'2022'!$F:$F,Trésorerie!$B6)</f>
        <v>23987.200000000001</v>
      </c>
      <c r="L6" s="19">
        <f>-SUMIFS('2022'!$M:$M,'2022'!$E:$E,Trésorerie!L$4,'2022'!$F:$F,Trésorerie!$B6)+SUMIFS('2022'!$N:$N,'2022'!$E:$E,Trésorerie!L$4,'2022'!$F:$F,Trésorerie!$B6)</f>
        <v>0</v>
      </c>
      <c r="M6" s="19">
        <f>-SUMIFS('2022'!$M:$M,'2022'!$E:$E,Trésorerie!M$4,'2022'!$F:$F,Trésorerie!$B6)+SUMIFS('2022'!$N:$N,'2022'!$E:$E,Trésorerie!M$4,'2022'!$F:$F,Trésorerie!$B6)</f>
        <v>3808</v>
      </c>
      <c r="N6" s="19">
        <f>-SUMIFS('2022'!$M:$M,'2022'!$E:$E,Trésorerie!N$4,'2022'!$F:$F,Trésorerie!$B6)+SUMIFS('2022'!$N:$N,'2022'!$E:$E,Trésorerie!N$4,'2022'!$F:$F,Trésorerie!$B6)</f>
        <v>0</v>
      </c>
      <c r="O6" s="19">
        <f>-SUMIFS('2022'!$M:$M,'2022'!$E:$E,Trésorerie!O$4,'2022'!$F:$F,Trésorerie!$B6)+SUMIFS('2022'!$N:$N,'2022'!$E:$E,Trésorerie!O$4,'2022'!$F:$F,Trésorerie!$B6)</f>
        <v>27833.53</v>
      </c>
      <c r="P6" s="19">
        <f>-SUMIFS('2022'!$M:$M,'2022'!$E:$E,Trésorerie!P$4,'2022'!$F:$F,Trésorerie!$B6)+SUMIFS('2022'!$N:$N,'2022'!$E:$E,Trésorerie!P$4,'2022'!$F:$F,Trésorerie!$B6)</f>
        <v>0</v>
      </c>
      <c r="R6" s="64">
        <f>-SUMIFS('2023-01'!$M:$M,'2023-01'!$E:$E,Trésorerie!R$4,'2023-01'!$F:$F,Trésorerie!$B6)+SUMIFS('2023-01'!$N:$N,'2023-01'!$E:$E,Trésorerie!R$4,'2023-01'!$F:$F,Trésorerie!$B6)</f>
        <v>0</v>
      </c>
      <c r="S6" s="64">
        <f>-SUMIFS('2023-02'!$M:$M,'2023-02'!$E:$E,Trésorerie!S$4,'2023-02'!$F:$F,Trésorerie!$B6)+SUMIFS('2023-02'!$N:$N,'2023-02'!$E:$E,Trésorerie!S$4,'2023-02'!$F:$F,Trésorerie!$B6)</f>
        <v>0</v>
      </c>
      <c r="T6" s="64">
        <f>-SUMIFS('2023-03'!$M:$M,'2023-03'!$E:$E,Trésorerie!T$4,'2023-03'!$F:$F,Trésorerie!$B6)+SUMIFS('2023-03'!$N:$N,'2023-03'!$E:$E,Trésorerie!T$4,'2023-03'!$F:$F,Trésorerie!$B6)</f>
        <v>79819.259999999995</v>
      </c>
      <c r="U6" s="64">
        <f>-SUMIFS('2023-04'!$M:$M,'2023-04'!$E:$E,Trésorerie!U$4,'2023-04'!$F:$F,Trésorerie!$B6)+SUMIFS('2023-04'!$N:$N,'2023-04'!$E:$E,Trésorerie!U$4,'2023-04'!$F:$F,Trésorerie!$B6)</f>
        <v>0</v>
      </c>
      <c r="V6" s="64">
        <f>-SUMIFS('2023-05'!$M:$M,'2023-05'!$E:$E,Trésorerie!V$4,'2023-05'!$F:$F,Trésorerie!$B6)+SUMIFS('2023-05'!$N:$N,'2023-05'!$E:$E,Trésorerie!V$4,'2023-05'!$F:$F,Trésorerie!$B6)</f>
        <v>0</v>
      </c>
      <c r="W6" s="64">
        <f>-SUMIFS('2023-06'!$M:$M,'2023-06'!$E:$E,Trésorerie!W$4,'2023-06'!$F:$F,Trésorerie!$B6)+SUMIFS('2023-06'!$N:$N,'2023-06'!$E:$E,Trésorerie!W$4,'2023-06'!$F:$F,Trésorerie!$B6)</f>
        <v>47728.19</v>
      </c>
      <c r="X6" s="64">
        <f>-SUMIFS('2023-07'!$M:$M,'2023-07'!$E:$E,Trésorerie!X$4,'2023-07'!$F:$F,Trésorerie!$B6)+SUMIFS('2023-07'!$N:$N,'2023-07'!$E:$E,Trésorerie!X$4,'2023-07'!$F:$F,Trésorerie!$B6)</f>
        <v>0</v>
      </c>
      <c r="Y6" s="64">
        <f>-SUMIFS('2023-08'!$M:$M,'2023-08'!$E:$E,Trésorerie!Y$4,'2023-08'!$F:$F,Trésorerie!$B6)+SUMIFS('2023-08'!$N:$N,'2023-08'!$E:$E,Trésorerie!Y$4,'2023-08'!$F:$F,Trésorerie!$B6)</f>
        <v>0</v>
      </c>
      <c r="Z6" s="64">
        <f>-SUMIFS('2023-09'!$M:$M,'2023-09'!$E:$E,Trésorerie!Z$4,'2023-09'!$F:$F,Trésorerie!$B6)+SUMIFS('2023-09'!$N:$N,'2023-09'!$E:$E,Trésorerie!Z$4,'2023-09'!$F:$F,Trésorerie!$B6)</f>
        <v>45258.77</v>
      </c>
      <c r="AA6" s="64">
        <f>-SUMIFS('2023-10'!$M:$M,'2023-10'!$E:$E,Trésorerie!AA$4,'2023-10'!$F:$F,Trésorerie!$B6)+SUMIFS('2023-10'!$N:$N,'2023-10'!$E:$E,Trésorerie!AA$4,'2023-10'!$F:$F,Trésorerie!$B6)</f>
        <v>0</v>
      </c>
      <c r="AB6" s="75">
        <f>IF(SUM($E6:O6)&gt;SUM($R6:AA6),SUM($E6:O6)-SUM($R6:AA6),0)</f>
        <v>817.90000000002328</v>
      </c>
      <c r="AC6" s="75">
        <f>IF(SUM($E6:P6)&gt;SUM($R6:AB6),SUM($E6:P6)-SUM($R6:AB6),0)</f>
        <v>0</v>
      </c>
      <c r="AD6" s="79"/>
    </row>
    <row r="7" spans="1:33" x14ac:dyDescent="0.25">
      <c r="A7" s="7">
        <f t="shared" si="0"/>
        <v>162124.28999999998</v>
      </c>
      <c r="B7" s="47">
        <v>445030</v>
      </c>
      <c r="C7" s="13" t="s">
        <v>415</v>
      </c>
      <c r="D7" s="47" t="s">
        <v>4751</v>
      </c>
      <c r="E7" s="19">
        <f>-SUMIFS('2022'!$M:$M,'2022'!$E:$E,Trésorerie!E$4,'2022'!$F:$F,Trésorerie!$B7)+SUMIFS('2022'!$N:$N,'2022'!$E:$E,Trésorerie!E$4,'2022'!$F:$F,Trésorerie!$B7)</f>
        <v>0</v>
      </c>
      <c r="F7" s="19">
        <f>-SUMIFS('2022'!$M:$M,'2022'!$E:$E,Trésorerie!F$4,'2022'!$F:$F,Trésorerie!$B7)+SUMIFS('2022'!$N:$N,'2022'!$E:$E,Trésorerie!F$4,'2022'!$F:$F,Trésorerie!$B7)</f>
        <v>0</v>
      </c>
      <c r="G7" s="19">
        <f>-SUMIFS('2022'!$M:$M,'2022'!$E:$E,Trésorerie!G$4,'2022'!$F:$F,Trésorerie!$B7)+SUMIFS('2022'!$N:$N,'2022'!$E:$E,Trésorerie!G$4,'2022'!$F:$F,Trésorerie!$B7)</f>
        <v>0</v>
      </c>
      <c r="H7" s="19">
        <f>-SUMIFS('2022'!$M:$M,'2022'!$E:$E,Trésorerie!H$4,'2022'!$F:$F,Trésorerie!$B7)+SUMIFS('2022'!$N:$N,'2022'!$E:$E,Trésorerie!H$4,'2022'!$F:$F,Trésorerie!$B7)</f>
        <v>0</v>
      </c>
      <c r="I7" s="19">
        <f>-SUMIFS('2022'!$M:$M,'2022'!$E:$E,Trésorerie!I$4,'2022'!$F:$F,Trésorerie!$B7)+SUMIFS('2022'!$N:$N,'2022'!$E:$E,Trésorerie!I$4,'2022'!$F:$F,Trésorerie!$B7)</f>
        <v>35683.97</v>
      </c>
      <c r="J7" s="19">
        <f>-SUMIFS('2022'!$M:$M,'2022'!$E:$E,Trésorerie!J$4,'2022'!$F:$F,Trésorerie!$B7)+SUMIFS('2022'!$N:$N,'2022'!$E:$E,Trésorerie!J$4,'2022'!$F:$F,Trésorerie!$B7)</f>
        <v>37199.360000000001</v>
      </c>
      <c r="K7" s="19">
        <f>-SUMIFS('2022'!$M:$M,'2022'!$E:$E,Trésorerie!K$4,'2022'!$F:$F,Trésorerie!$B7)+SUMIFS('2022'!$N:$N,'2022'!$E:$E,Trésorerie!K$4,'2022'!$F:$F,Trésorerie!$B7)</f>
        <v>53774.63</v>
      </c>
      <c r="L7" s="19">
        <f>-SUMIFS('2022'!$M:$M,'2022'!$E:$E,Trésorerie!L$4,'2022'!$F:$F,Trésorerie!$B7)+SUMIFS('2022'!$N:$N,'2022'!$E:$E,Trésorerie!L$4,'2022'!$F:$F,Trésorerie!$B7)</f>
        <v>0</v>
      </c>
      <c r="M7" s="19">
        <f>-SUMIFS('2022'!$M:$M,'2022'!$E:$E,Trésorerie!M$4,'2022'!$F:$F,Trésorerie!$B7)+SUMIFS('2022'!$N:$N,'2022'!$E:$E,Trésorerie!M$4,'2022'!$F:$F,Trésorerie!$B7)</f>
        <v>3808</v>
      </c>
      <c r="N7" s="19">
        <f>-SUMIFS('2022'!$M:$M,'2022'!$E:$E,Trésorerie!N$4,'2022'!$F:$F,Trésorerie!$B7)+SUMIFS('2022'!$N:$N,'2022'!$E:$E,Trésorerie!N$4,'2022'!$F:$F,Trésorerie!$B7)</f>
        <v>0</v>
      </c>
      <c r="O7" s="19">
        <f>-SUMIFS('2022'!$M:$M,'2022'!$E:$E,Trésorerie!O$4,'2022'!$F:$F,Trésorerie!$B7)+SUMIFS('2022'!$N:$N,'2022'!$E:$E,Trésorerie!O$4,'2022'!$F:$F,Trésorerie!$B7)</f>
        <v>31658.33</v>
      </c>
      <c r="P7" s="19">
        <f>-SUMIFS('2022'!$M:$M,'2022'!$E:$E,Trésorerie!P$4,'2022'!$F:$F,Trésorerie!$B7)+SUMIFS('2022'!$N:$N,'2022'!$E:$E,Trésorerie!P$4,'2022'!$F:$F,Trésorerie!$B7)</f>
        <v>0</v>
      </c>
      <c r="R7" s="64">
        <f>-SUMIFS('2023-01'!$M:$M,'2023-01'!$E:$E,Trésorerie!R$4,'2023-01'!$F:$F,Trésorerie!$B7)+SUMIFS('2023-01'!$N:$N,'2023-01'!$E:$E,Trésorerie!R$4,'2023-01'!$F:$F,Trésorerie!$B7)</f>
        <v>0</v>
      </c>
      <c r="S7" s="64">
        <f>-SUMIFS('2023-02'!$M:$M,'2023-02'!$E:$E,Trésorerie!S$4,'2023-02'!$F:$F,Trésorerie!$B7)+SUMIFS('2023-02'!$N:$N,'2023-02'!$E:$E,Trésorerie!S$4,'2023-02'!$F:$F,Trésorerie!$B7)</f>
        <v>0</v>
      </c>
      <c r="T7" s="64">
        <f>-SUMIFS('2023-03'!$M:$M,'2023-03'!$E:$E,Trésorerie!T$4,'2023-03'!$F:$F,Trésorerie!$B7)+SUMIFS('2023-03'!$N:$N,'2023-03'!$E:$E,Trésorerie!T$4,'2023-03'!$F:$F,Trésorerie!$B7)</f>
        <v>66666.06</v>
      </c>
      <c r="U7" s="64">
        <f>-SUMIFS('2023-04'!$M:$M,'2023-04'!$E:$E,Trésorerie!U$4,'2023-04'!$F:$F,Trésorerie!$B7)+SUMIFS('2023-04'!$N:$N,'2023-04'!$E:$E,Trésorerie!U$4,'2023-04'!$F:$F,Trésorerie!$B7)</f>
        <v>0</v>
      </c>
      <c r="V7" s="64">
        <f>-SUMIFS('2023-05'!$M:$M,'2023-05'!$E:$E,Trésorerie!V$4,'2023-05'!$F:$F,Trésorerie!$B7)+SUMIFS('2023-05'!$N:$N,'2023-05'!$E:$E,Trésorerie!V$4,'2023-05'!$F:$F,Trésorerie!$B7)</f>
        <v>0</v>
      </c>
      <c r="W7" s="64">
        <f>-SUMIFS('2023-06'!$M:$M,'2023-06'!$E:$E,Trésorerie!W$4,'2023-06'!$F:$F,Trésorerie!$B7)+SUMIFS('2023-06'!$N:$N,'2023-06'!$E:$E,Trésorerie!W$4,'2023-06'!$F:$F,Trésorerie!$B7)</f>
        <v>0</v>
      </c>
      <c r="X7" s="64">
        <f>-SUMIFS('2023-07'!$M:$M,'2023-07'!$E:$E,Trésorerie!X$4,'2023-07'!$F:$F,Trésorerie!$B7)+SUMIFS('2023-07'!$N:$N,'2023-07'!$E:$E,Trésorerie!X$4,'2023-07'!$F:$F,Trésorerie!$B7)</f>
        <v>0</v>
      </c>
      <c r="Y7" s="64">
        <f>-SUMIFS('2023-08'!$M:$M,'2023-08'!$E:$E,Trésorerie!Y$4,'2023-08'!$F:$F,Trésorerie!$B7)+SUMIFS('2023-08'!$N:$N,'2023-08'!$E:$E,Trésorerie!Y$4,'2023-08'!$F:$F,Trésorerie!$B7)</f>
        <v>0</v>
      </c>
      <c r="Z7" s="64">
        <f>-SUMIFS('2023-09'!$M:$M,'2023-09'!$E:$E,Trésorerie!Z$4,'2023-09'!$F:$F,Trésorerie!$B7)+SUMIFS('2023-09'!$N:$N,'2023-09'!$E:$E,Trésorerie!Z$4,'2023-09'!$F:$F,Trésorerie!$B7)</f>
        <v>31089.94</v>
      </c>
      <c r="AA7" s="64">
        <f>-SUMIFS('2023-10'!$M:$M,'2023-10'!$E:$E,Trésorerie!AA$4,'2023-10'!$F:$F,Trésorerie!$B7)+SUMIFS('2023-10'!$N:$N,'2023-10'!$E:$E,Trésorerie!AA$4,'2023-10'!$F:$F,Trésorerie!$B7)</f>
        <v>0</v>
      </c>
      <c r="AB7" s="75">
        <f>IF(SUM($E7:O7)&gt;SUM($R7:AA7),SUM($E7:O7)-SUM($R7:AA7),0)</f>
        <v>64368.289999999979</v>
      </c>
      <c r="AC7" s="75">
        <f>IF(SUM($E7:P7)&gt;SUM($R7:AB7),SUM($E7:P7)-SUM($R7:AB7),0)</f>
        <v>0</v>
      </c>
      <c r="AD7" s="79"/>
    </row>
    <row r="8" spans="1:33" x14ac:dyDescent="0.25">
      <c r="A8" s="7">
        <f t="shared" si="0"/>
        <v>141360.79999999999</v>
      </c>
      <c r="B8" s="47">
        <v>445050</v>
      </c>
      <c r="C8" s="13" t="s">
        <v>416</v>
      </c>
      <c r="D8" s="47" t="s">
        <v>4751</v>
      </c>
      <c r="E8" s="19">
        <f>-SUMIFS('2022'!$M:$M,'2022'!$E:$E,Trésorerie!E$4,'2022'!$F:$F,Trésorerie!$B8)+SUMIFS('2022'!$N:$N,'2022'!$E:$E,Trésorerie!E$4,'2022'!$F:$F,Trésorerie!$B8)</f>
        <v>0</v>
      </c>
      <c r="F8" s="19">
        <f>-SUMIFS('2022'!$M:$M,'2022'!$E:$E,Trésorerie!F$4,'2022'!$F:$F,Trésorerie!$B8)+SUMIFS('2022'!$N:$N,'2022'!$E:$E,Trésorerie!F$4,'2022'!$F:$F,Trésorerie!$B8)</f>
        <v>0</v>
      </c>
      <c r="G8" s="19">
        <f>-SUMIFS('2022'!$M:$M,'2022'!$E:$E,Trésorerie!G$4,'2022'!$F:$F,Trésorerie!$B8)+SUMIFS('2022'!$N:$N,'2022'!$E:$E,Trésorerie!G$4,'2022'!$F:$F,Trésorerie!$B8)</f>
        <v>31853.22</v>
      </c>
      <c r="H8" s="19">
        <f>-SUMIFS('2022'!$M:$M,'2022'!$E:$E,Trésorerie!H$4,'2022'!$F:$F,Trésorerie!$B8)+SUMIFS('2022'!$N:$N,'2022'!$E:$E,Trésorerie!H$4,'2022'!$F:$F,Trésorerie!$B8)</f>
        <v>0</v>
      </c>
      <c r="I8" s="19">
        <f>-SUMIFS('2022'!$M:$M,'2022'!$E:$E,Trésorerie!I$4,'2022'!$F:$F,Trésorerie!$B8)+SUMIFS('2022'!$N:$N,'2022'!$E:$E,Trésorerie!I$4,'2022'!$F:$F,Trésorerie!$B8)</f>
        <v>45801.06</v>
      </c>
      <c r="J8" s="19">
        <f>-SUMIFS('2022'!$M:$M,'2022'!$E:$E,Trésorerie!J$4,'2022'!$F:$F,Trésorerie!$B8)+SUMIFS('2022'!$N:$N,'2022'!$E:$E,Trésorerie!J$4,'2022'!$F:$F,Trésorerie!$B8)</f>
        <v>0</v>
      </c>
      <c r="K8" s="19">
        <f>-SUMIFS('2022'!$M:$M,'2022'!$E:$E,Trésorerie!K$4,'2022'!$F:$F,Trésorerie!$B8)+SUMIFS('2022'!$N:$N,'2022'!$E:$E,Trésorerie!K$4,'2022'!$F:$F,Trésorerie!$B8)</f>
        <v>0</v>
      </c>
      <c r="L8" s="19">
        <f>-SUMIFS('2022'!$M:$M,'2022'!$E:$E,Trésorerie!L$4,'2022'!$F:$F,Trésorerie!$B8)+SUMIFS('2022'!$N:$N,'2022'!$E:$E,Trésorerie!L$4,'2022'!$F:$F,Trésorerie!$B8)</f>
        <v>0</v>
      </c>
      <c r="M8" s="19">
        <f>-SUMIFS('2022'!$M:$M,'2022'!$E:$E,Trésorerie!M$4,'2022'!$F:$F,Trésorerie!$B8)+SUMIFS('2022'!$N:$N,'2022'!$E:$E,Trésorerie!M$4,'2022'!$F:$F,Trésorerie!$B8)</f>
        <v>0</v>
      </c>
      <c r="N8" s="19">
        <f>-SUMIFS('2022'!$M:$M,'2022'!$E:$E,Trésorerie!N$4,'2022'!$F:$F,Trésorerie!$B8)+SUMIFS('2022'!$N:$N,'2022'!$E:$E,Trésorerie!N$4,'2022'!$F:$F,Trésorerie!$B8)</f>
        <v>0</v>
      </c>
      <c r="O8" s="19">
        <f>-SUMIFS('2022'!$M:$M,'2022'!$E:$E,Trésorerie!O$4,'2022'!$F:$F,Trésorerie!$B8)+SUMIFS('2022'!$N:$N,'2022'!$E:$E,Trésorerie!O$4,'2022'!$F:$F,Trésorerie!$B8)</f>
        <v>63706.52</v>
      </c>
      <c r="P8" s="19">
        <f>-SUMIFS('2022'!$M:$M,'2022'!$E:$E,Trésorerie!P$4,'2022'!$F:$F,Trésorerie!$B8)+SUMIFS('2022'!$N:$N,'2022'!$E:$E,Trésorerie!P$4,'2022'!$F:$F,Trésorerie!$B8)</f>
        <v>0</v>
      </c>
      <c r="R8" s="64">
        <f>-SUMIFS('2023-01'!$M:$M,'2023-01'!$E:$E,Trésorerie!R$4,'2023-01'!$F:$F,Trésorerie!$B8)+SUMIFS('2023-01'!$N:$N,'2023-01'!$E:$E,Trésorerie!R$4,'2023-01'!$F:$F,Trésorerie!$B8)</f>
        <v>0</v>
      </c>
      <c r="S8" s="64">
        <f>-SUMIFS('2023-02'!$M:$M,'2023-02'!$E:$E,Trésorerie!S$4,'2023-02'!$F:$F,Trésorerie!$B8)+SUMIFS('2023-02'!$N:$N,'2023-02'!$E:$E,Trésorerie!S$4,'2023-02'!$F:$F,Trésorerie!$B8)</f>
        <v>0</v>
      </c>
      <c r="T8" s="64">
        <f>-SUMIFS('2023-03'!$M:$M,'2023-03'!$E:$E,Trésorerie!T$4,'2023-03'!$F:$F,Trésorerie!$B8)+SUMIFS('2023-03'!$N:$N,'2023-03'!$E:$E,Trésorerie!T$4,'2023-03'!$F:$F,Trésorerie!$B8)</f>
        <v>31853.22</v>
      </c>
      <c r="U8" s="64">
        <f>-SUMIFS('2023-04'!$M:$M,'2023-04'!$E:$E,Trésorerie!U$4,'2023-04'!$F:$F,Trésorerie!$B8)+SUMIFS('2023-04'!$N:$N,'2023-04'!$E:$E,Trésorerie!U$4,'2023-04'!$F:$F,Trésorerie!$B8)</f>
        <v>31853.26</v>
      </c>
      <c r="V8" s="64">
        <f>-SUMIFS('2023-05'!$M:$M,'2023-05'!$E:$E,Trésorerie!V$4,'2023-05'!$F:$F,Trésorerie!$B8)+SUMIFS('2023-05'!$N:$N,'2023-05'!$E:$E,Trésorerie!V$4,'2023-05'!$F:$F,Trésorerie!$B8)</f>
        <v>0</v>
      </c>
      <c r="W8" s="64">
        <f>-SUMIFS('2023-06'!$M:$M,'2023-06'!$E:$E,Trésorerie!W$4,'2023-06'!$F:$F,Trésorerie!$B8)+SUMIFS('2023-06'!$N:$N,'2023-06'!$E:$E,Trésorerie!W$4,'2023-06'!$F:$F,Trésorerie!$B8)</f>
        <v>13380.12</v>
      </c>
      <c r="X8" s="64">
        <f>-SUMIFS('2023-07'!$M:$M,'2023-07'!$E:$E,Trésorerie!X$4,'2023-07'!$F:$F,Trésorerie!$B8)+SUMIFS('2023-07'!$N:$N,'2023-07'!$E:$E,Trésorerie!X$4,'2023-07'!$F:$F,Trésorerie!$B8)</f>
        <v>31853.26</v>
      </c>
      <c r="Y8" s="64">
        <f>-SUMIFS('2023-08'!$M:$M,'2023-08'!$E:$E,Trésorerie!Y$4,'2023-08'!$F:$F,Trésorerie!$B8)+SUMIFS('2023-08'!$N:$N,'2023-08'!$E:$E,Trésorerie!Y$4,'2023-08'!$F:$F,Trésorerie!$B8)</f>
        <v>0</v>
      </c>
      <c r="Z8" s="64">
        <f>-SUMIFS('2023-09'!$M:$M,'2023-09'!$E:$E,Trésorerie!Z$4,'2023-09'!$F:$F,Trésorerie!$B8)+SUMIFS('2023-09'!$N:$N,'2023-09'!$E:$E,Trésorerie!Z$4,'2023-09'!$F:$F,Trésorerie!$B8)</f>
        <v>0</v>
      </c>
      <c r="AA8" s="64">
        <f>-SUMIFS('2023-10'!$M:$M,'2023-10'!$E:$E,Trésorerie!AA$4,'2023-10'!$F:$F,Trésorerie!$B8)+SUMIFS('2023-10'!$N:$N,'2023-10'!$E:$E,Trésorerie!AA$4,'2023-10'!$F:$F,Trésorerie!$B8)</f>
        <v>31853.26</v>
      </c>
      <c r="AB8" s="75">
        <f>IF(SUM($E8:O8)&gt;SUM($R8:AA8),SUM($E8:O8)-SUM($R8:AA8),0)</f>
        <v>567.67999999999302</v>
      </c>
      <c r="AC8" s="75">
        <f>IF(SUM($E8:P8)&gt;SUM($R8:AB8),SUM($E8:P8)-SUM($R8:AB8),0)</f>
        <v>0</v>
      </c>
      <c r="AD8" s="79"/>
    </row>
    <row r="9" spans="1:33" x14ac:dyDescent="0.25">
      <c r="A9" s="7">
        <f t="shared" si="0"/>
        <v>108029.15</v>
      </c>
      <c r="B9" s="47">
        <v>511000</v>
      </c>
      <c r="C9" s="13" t="s">
        <v>431</v>
      </c>
      <c r="D9" s="47" t="s">
        <v>4751</v>
      </c>
      <c r="E9" s="19">
        <f>-SUMIFS('2022'!$M:$M,'2022'!$E:$E,Trésorerie!E$4,'2022'!$F:$F,Trésorerie!$B9)+SUMIFS('2022'!$N:$N,'2022'!$E:$E,Trésorerie!E$4,'2022'!$F:$F,Trésorerie!$B9)</f>
        <v>7551.88</v>
      </c>
      <c r="F9" s="19">
        <f>-SUMIFS('2022'!$M:$M,'2022'!$E:$E,Trésorerie!F$4,'2022'!$F:$F,Trésorerie!$B9)+SUMIFS('2022'!$N:$N,'2022'!$E:$E,Trésorerie!F$4,'2022'!$F:$F,Trésorerie!$B9)</f>
        <v>13099.93</v>
      </c>
      <c r="G9" s="19">
        <f>-SUMIFS('2022'!$M:$M,'2022'!$E:$E,Trésorerie!G$4,'2022'!$F:$F,Trésorerie!$B9)+SUMIFS('2022'!$N:$N,'2022'!$E:$E,Trésorerie!G$4,'2022'!$F:$F,Trésorerie!$B9)</f>
        <v>8928.19</v>
      </c>
      <c r="H9" s="19">
        <f>-SUMIFS('2022'!$M:$M,'2022'!$E:$E,Trésorerie!H$4,'2022'!$F:$F,Trésorerie!$B9)+SUMIFS('2022'!$N:$N,'2022'!$E:$E,Trésorerie!H$4,'2022'!$F:$F,Trésorerie!$B9)</f>
        <v>7922.26</v>
      </c>
      <c r="I9" s="19">
        <f>-SUMIFS('2022'!$M:$M,'2022'!$E:$E,Trésorerie!I$4,'2022'!$F:$F,Trésorerie!$B9)+SUMIFS('2022'!$N:$N,'2022'!$E:$E,Trésorerie!I$4,'2022'!$F:$F,Trésorerie!$B9)</f>
        <v>4306.24</v>
      </c>
      <c r="J9" s="19">
        <f>-SUMIFS('2022'!$M:$M,'2022'!$E:$E,Trésorerie!J$4,'2022'!$F:$F,Trésorerie!$B9)+SUMIFS('2022'!$N:$N,'2022'!$E:$E,Trésorerie!J$4,'2022'!$F:$F,Trésorerie!$B9)</f>
        <v>13962.970000000001</v>
      </c>
      <c r="K9" s="19">
        <f>-SUMIFS('2022'!$M:$M,'2022'!$E:$E,Trésorerie!K$4,'2022'!$F:$F,Trésorerie!$B9)+SUMIFS('2022'!$N:$N,'2022'!$E:$E,Trésorerie!K$4,'2022'!$F:$F,Trésorerie!$B9)</f>
        <v>0</v>
      </c>
      <c r="L9" s="19">
        <f>-SUMIFS('2022'!$M:$M,'2022'!$E:$E,Trésorerie!L$4,'2022'!$F:$F,Trésorerie!$B9)+SUMIFS('2022'!$N:$N,'2022'!$E:$E,Trésorerie!L$4,'2022'!$F:$F,Trésorerie!$B9)</f>
        <v>7478.7</v>
      </c>
      <c r="M9" s="19">
        <f>-SUMIFS('2022'!$M:$M,'2022'!$E:$E,Trésorerie!M$4,'2022'!$F:$F,Trésorerie!$B9)+SUMIFS('2022'!$N:$N,'2022'!$E:$E,Trésorerie!M$4,'2022'!$F:$F,Trésorerie!$B9)</f>
        <v>4374.8</v>
      </c>
      <c r="N9" s="19">
        <f>-SUMIFS('2022'!$M:$M,'2022'!$E:$E,Trésorerie!N$4,'2022'!$F:$F,Trésorerie!$B9)+SUMIFS('2022'!$N:$N,'2022'!$E:$E,Trésorerie!N$4,'2022'!$F:$F,Trésorerie!$B9)</f>
        <v>24204.309999999998</v>
      </c>
      <c r="O9" s="19">
        <f>-SUMIFS('2022'!$M:$M,'2022'!$E:$E,Trésorerie!O$4,'2022'!$F:$F,Trésorerie!$B9)+SUMIFS('2022'!$N:$N,'2022'!$E:$E,Trésorerie!O$4,'2022'!$F:$F,Trésorerie!$B9)</f>
        <v>8504.33</v>
      </c>
      <c r="P9" s="19">
        <f>-SUMIFS('2022'!$M:$M,'2022'!$E:$E,Trésorerie!P$4,'2022'!$F:$F,Trésorerie!$B9)+SUMIFS('2022'!$N:$N,'2022'!$E:$E,Trésorerie!P$4,'2022'!$F:$F,Trésorerie!$B9)</f>
        <v>7695.5399999999991</v>
      </c>
      <c r="R9" s="64">
        <f>-SUMIFS('2023-01'!$M:$M,'2023-01'!$E:$E,Trésorerie!R$4,'2023-01'!$F:$F,Trésorerie!$B9)+SUMIFS('2023-01'!$N:$N,'2023-01'!$E:$E,Trésorerie!R$4,'2023-01'!$F:$F,Trésorerie!$B9)</f>
        <v>10472.390000000001</v>
      </c>
      <c r="S9" s="64">
        <f>-SUMIFS('2023-02'!$M:$M,'2023-02'!$E:$E,Trésorerie!S$4,'2023-02'!$F:$F,Trésorerie!$B9)+SUMIFS('2023-02'!$N:$N,'2023-02'!$E:$E,Trésorerie!S$4,'2023-02'!$F:$F,Trésorerie!$B9)</f>
        <v>16536.940000000002</v>
      </c>
      <c r="T9" s="64">
        <f>-SUMIFS('2023-03'!$M:$M,'2023-03'!$E:$E,Trésorerie!T$4,'2023-03'!$F:$F,Trésorerie!$B9)+SUMIFS('2023-03'!$N:$N,'2023-03'!$E:$E,Trésorerie!T$4,'2023-03'!$F:$F,Trésorerie!$B9)</f>
        <v>7603.93</v>
      </c>
      <c r="U9" s="64">
        <f>-SUMIFS('2023-04'!$M:$M,'2023-04'!$E:$E,Trésorerie!U$4,'2023-04'!$F:$F,Trésorerie!$B9)+SUMIFS('2023-04'!$N:$N,'2023-04'!$E:$E,Trésorerie!U$4,'2023-04'!$F:$F,Trésorerie!$B9)</f>
        <v>10499.49</v>
      </c>
      <c r="V9" s="64">
        <f>-SUMIFS('2023-05'!$M:$M,'2023-05'!$E:$E,Trésorerie!V$4,'2023-05'!$F:$F,Trésorerie!$B9)+SUMIFS('2023-05'!$N:$N,'2023-05'!$E:$E,Trésorerie!V$4,'2023-05'!$F:$F,Trésorerie!$B9)</f>
        <v>4135.2700000000004</v>
      </c>
      <c r="W9" s="64">
        <f>-SUMIFS('2023-06'!$M:$M,'2023-06'!$E:$E,Trésorerie!W$4,'2023-06'!$F:$F,Trésorerie!$B9)+SUMIFS('2023-06'!$N:$N,'2023-06'!$E:$E,Trésorerie!W$4,'2023-06'!$F:$F,Trésorerie!$B9)</f>
        <v>0</v>
      </c>
      <c r="X9" s="64">
        <f>-SUMIFS('2023-07'!$M:$M,'2023-07'!$E:$E,Trésorerie!X$4,'2023-07'!$F:$F,Trésorerie!$B9)+SUMIFS('2023-07'!$N:$N,'2023-07'!$E:$E,Trésorerie!X$4,'2023-07'!$F:$F,Trésorerie!$B9)</f>
        <v>26937.39</v>
      </c>
      <c r="Y9" s="64">
        <f>-SUMIFS('2023-08'!$M:$M,'2023-08'!$E:$E,Trésorerie!Y$4,'2023-08'!$F:$F,Trésorerie!$B9)+SUMIFS('2023-08'!$N:$N,'2023-08'!$E:$E,Trésorerie!Y$4,'2023-08'!$F:$F,Trésorerie!$B9)</f>
        <v>0</v>
      </c>
      <c r="Z9" s="64">
        <f>-SUMIFS('2023-09'!$M:$M,'2023-09'!$E:$E,Trésorerie!Z$4,'2023-09'!$F:$F,Trésorerie!$B9)+SUMIFS('2023-09'!$N:$N,'2023-09'!$E:$E,Trésorerie!Z$4,'2023-09'!$F:$F,Trésorerie!$B9)</f>
        <v>11311.02</v>
      </c>
      <c r="AA9" s="64">
        <f>-SUMIFS('2023-10'!$M:$M,'2023-10'!$E:$E,Trésorerie!AA$4,'2023-10'!$F:$F,Trésorerie!$B9)+SUMIFS('2023-10'!$N:$N,'2023-10'!$E:$E,Trésorerie!AA$4,'2023-10'!$F:$F,Trésorerie!$B9)</f>
        <v>8009.76</v>
      </c>
      <c r="AB9" s="75">
        <f>IF(SUM($E9:O9)&gt;SUM($R9:AA9),SUM($E9:O9)-SUM($R9:AA9),0)</f>
        <v>4827.4199999999983</v>
      </c>
      <c r="AC9" s="75">
        <f>IF(SUM($E9:P9)&gt;SUM($R9:AB9),SUM($E9:P9)-SUM($R9:AB9),0)</f>
        <v>7695.5399999999936</v>
      </c>
      <c r="AD9" s="79"/>
    </row>
    <row r="10" spans="1:33" x14ac:dyDescent="0.25">
      <c r="A10" s="7">
        <f t="shared" si="0"/>
        <v>90202</v>
      </c>
      <c r="B10" s="47">
        <v>445060</v>
      </c>
      <c r="C10" s="13" t="s">
        <v>2452</v>
      </c>
      <c r="D10" s="47" t="s">
        <v>4751</v>
      </c>
      <c r="E10" s="19">
        <f>-SUMIFS('2022'!$M:$M,'2022'!$E:$E,Trésorerie!E$4,'2022'!$F:$F,Trésorerie!$B10)+SUMIFS('2022'!$N:$N,'2022'!$E:$E,Trésorerie!E$4,'2022'!$F:$F,Trésorerie!$B10)</f>
        <v>0</v>
      </c>
      <c r="F10" s="19">
        <f>-SUMIFS('2022'!$M:$M,'2022'!$E:$E,Trésorerie!F$4,'2022'!$F:$F,Trésorerie!$B10)+SUMIFS('2022'!$N:$N,'2022'!$E:$E,Trésorerie!F$4,'2022'!$F:$F,Trésorerie!$B10)</f>
        <v>0</v>
      </c>
      <c r="G10" s="19">
        <f>-SUMIFS('2022'!$M:$M,'2022'!$E:$E,Trésorerie!G$4,'2022'!$F:$F,Trésorerie!$B10)+SUMIFS('2022'!$N:$N,'2022'!$E:$E,Trésorerie!G$4,'2022'!$F:$F,Trésorerie!$B10)</f>
        <v>0</v>
      </c>
      <c r="H10" s="19">
        <f>-SUMIFS('2022'!$M:$M,'2022'!$E:$E,Trésorerie!H$4,'2022'!$F:$F,Trésorerie!$B10)+SUMIFS('2022'!$N:$N,'2022'!$E:$E,Trésorerie!H$4,'2022'!$F:$F,Trésorerie!$B10)</f>
        <v>0</v>
      </c>
      <c r="I10" s="19">
        <f>-SUMIFS('2022'!$M:$M,'2022'!$E:$E,Trésorerie!I$4,'2022'!$F:$F,Trésorerie!$B10)+SUMIFS('2022'!$N:$N,'2022'!$E:$E,Trésorerie!I$4,'2022'!$F:$F,Trésorerie!$B10)</f>
        <v>0</v>
      </c>
      <c r="J10" s="19">
        <f>-SUMIFS('2022'!$M:$M,'2022'!$E:$E,Trésorerie!J$4,'2022'!$F:$F,Trésorerie!$B10)+SUMIFS('2022'!$N:$N,'2022'!$E:$E,Trésorerie!J$4,'2022'!$F:$F,Trésorerie!$B10)</f>
        <v>45101</v>
      </c>
      <c r="K10" s="19">
        <f>-SUMIFS('2022'!$M:$M,'2022'!$E:$E,Trésorerie!K$4,'2022'!$F:$F,Trésorerie!$B10)+SUMIFS('2022'!$N:$N,'2022'!$E:$E,Trésorerie!K$4,'2022'!$F:$F,Trésorerie!$B10)</f>
        <v>0</v>
      </c>
      <c r="L10" s="19">
        <f>-SUMIFS('2022'!$M:$M,'2022'!$E:$E,Trésorerie!L$4,'2022'!$F:$F,Trésorerie!$B10)+SUMIFS('2022'!$N:$N,'2022'!$E:$E,Trésorerie!L$4,'2022'!$F:$F,Trésorerie!$B10)</f>
        <v>0</v>
      </c>
      <c r="M10" s="19">
        <f>-SUMIFS('2022'!$M:$M,'2022'!$E:$E,Trésorerie!M$4,'2022'!$F:$F,Trésorerie!$B10)+SUMIFS('2022'!$N:$N,'2022'!$E:$E,Trésorerie!M$4,'2022'!$F:$F,Trésorerie!$B10)</f>
        <v>0</v>
      </c>
      <c r="N10" s="19">
        <f>-SUMIFS('2022'!$M:$M,'2022'!$E:$E,Trésorerie!N$4,'2022'!$F:$F,Trésorerie!$B10)+SUMIFS('2022'!$N:$N,'2022'!$E:$E,Trésorerie!N$4,'2022'!$F:$F,Trésorerie!$B10)</f>
        <v>45101</v>
      </c>
      <c r="O10" s="19">
        <f>-SUMIFS('2022'!$M:$M,'2022'!$E:$E,Trésorerie!O$4,'2022'!$F:$F,Trésorerie!$B10)+SUMIFS('2022'!$N:$N,'2022'!$E:$E,Trésorerie!O$4,'2022'!$F:$F,Trésorerie!$B10)</f>
        <v>0</v>
      </c>
      <c r="P10" s="19">
        <f>-SUMIFS('2022'!$M:$M,'2022'!$E:$E,Trésorerie!P$4,'2022'!$F:$F,Trésorerie!$B10)+SUMIFS('2022'!$N:$N,'2022'!$E:$E,Trésorerie!P$4,'2022'!$F:$F,Trésorerie!$B10)</f>
        <v>0</v>
      </c>
      <c r="R10" s="64">
        <f>-SUMIFS('2023-01'!$M:$M,'2023-01'!$E:$E,Trésorerie!R$4,'2023-01'!$F:$F,Trésorerie!$B10)+SUMIFS('2023-01'!$N:$N,'2023-01'!$E:$E,Trésorerie!R$4,'2023-01'!$F:$F,Trésorerie!$B10)</f>
        <v>0</v>
      </c>
      <c r="S10" s="64">
        <f>-SUMIFS('2023-02'!$M:$M,'2023-02'!$E:$E,Trésorerie!S$4,'2023-02'!$F:$F,Trésorerie!$B10)+SUMIFS('2023-02'!$N:$N,'2023-02'!$E:$E,Trésorerie!S$4,'2023-02'!$F:$F,Trésorerie!$B10)</f>
        <v>0</v>
      </c>
      <c r="T10" s="64">
        <f>-SUMIFS('2023-03'!$M:$M,'2023-03'!$E:$E,Trésorerie!T$4,'2023-03'!$F:$F,Trésorerie!$B10)+SUMIFS('2023-03'!$N:$N,'2023-03'!$E:$E,Trésorerie!T$4,'2023-03'!$F:$F,Trésorerie!$B10)</f>
        <v>0</v>
      </c>
      <c r="U10" s="64">
        <f>-SUMIFS('2023-04'!$M:$M,'2023-04'!$E:$E,Trésorerie!U$4,'2023-04'!$F:$F,Trésorerie!$B10)+SUMIFS('2023-04'!$N:$N,'2023-04'!$E:$E,Trésorerie!U$4,'2023-04'!$F:$F,Trésorerie!$B10)</f>
        <v>0</v>
      </c>
      <c r="V10" s="64">
        <f>-SUMIFS('2023-05'!$M:$M,'2023-05'!$E:$E,Trésorerie!V$4,'2023-05'!$F:$F,Trésorerie!$B10)+SUMIFS('2023-05'!$N:$N,'2023-05'!$E:$E,Trésorerie!V$4,'2023-05'!$F:$F,Trésorerie!$B10)</f>
        <v>0</v>
      </c>
      <c r="W10" s="64">
        <f>-SUMIFS('2023-06'!$M:$M,'2023-06'!$E:$E,Trésorerie!W$4,'2023-06'!$F:$F,Trésorerie!$B10)+SUMIFS('2023-06'!$N:$N,'2023-06'!$E:$E,Trésorerie!W$4,'2023-06'!$F:$F,Trésorerie!$B10)</f>
        <v>44039</v>
      </c>
      <c r="X10" s="64">
        <f>-SUMIFS('2023-07'!$M:$M,'2023-07'!$E:$E,Trésorerie!X$4,'2023-07'!$F:$F,Trésorerie!$B10)+SUMIFS('2023-07'!$N:$N,'2023-07'!$E:$E,Trésorerie!X$4,'2023-07'!$F:$F,Trésorerie!$B10)</f>
        <v>0</v>
      </c>
      <c r="Y10" s="64">
        <f>-SUMIFS('2023-08'!$M:$M,'2023-08'!$E:$E,Trésorerie!Y$4,'2023-08'!$F:$F,Trésorerie!$B10)+SUMIFS('2023-08'!$N:$N,'2023-08'!$E:$E,Trésorerie!Y$4,'2023-08'!$F:$F,Trésorerie!$B10)</f>
        <v>0</v>
      </c>
      <c r="Z10" s="64">
        <f>-SUMIFS('2023-09'!$M:$M,'2023-09'!$E:$E,Trésorerie!Z$4,'2023-09'!$F:$F,Trésorerie!$B10)+SUMIFS('2023-09'!$N:$N,'2023-09'!$E:$E,Trésorerie!Z$4,'2023-09'!$F:$F,Trésorerie!$B10)</f>
        <v>44039</v>
      </c>
      <c r="AA10" s="64">
        <f>-SUMIFS('2023-10'!$M:$M,'2023-10'!$E:$E,Trésorerie!AA$4,'2023-10'!$F:$F,Trésorerie!$B10)+SUMIFS('2023-10'!$N:$N,'2023-10'!$E:$E,Trésorerie!AA$4,'2023-10'!$F:$F,Trésorerie!$B10)</f>
        <v>0</v>
      </c>
      <c r="AB10" s="75">
        <f>IF(SUM($E10:O10)&gt;SUM($R10:AA10),SUM($E10:O10)-SUM($R10:AA10),0)</f>
        <v>2124</v>
      </c>
      <c r="AC10" s="75">
        <f>IF(SUM($E10:P10)&gt;SUM($R10:AB10),SUM($E10:P10)-SUM($R10:AB10),0)</f>
        <v>0</v>
      </c>
      <c r="AD10" s="79"/>
    </row>
    <row r="11" spans="1:33" x14ac:dyDescent="0.25">
      <c r="A11" s="7">
        <f t="shared" si="0"/>
        <v>56340</v>
      </c>
      <c r="B11" s="47">
        <v>468710</v>
      </c>
      <c r="C11" s="13" t="s">
        <v>423</v>
      </c>
      <c r="D11" s="47" t="s">
        <v>4751</v>
      </c>
      <c r="E11" s="19">
        <f>-SUMIFS('2022'!$M:$M,'2022'!$E:$E,Trésorerie!E$4,'2022'!$F:$F,Trésorerie!$B11)+SUMIFS('2022'!$N:$N,'2022'!$E:$E,Trésorerie!E$4,'2022'!$F:$F,Trésorerie!$B11)</f>
        <v>0</v>
      </c>
      <c r="F11" s="19">
        <f>-SUMIFS('2022'!$M:$M,'2022'!$E:$E,Trésorerie!F$4,'2022'!$F:$F,Trésorerie!$B11)+SUMIFS('2022'!$N:$N,'2022'!$E:$E,Trésorerie!F$4,'2022'!$F:$F,Trésorerie!$B11)</f>
        <v>0</v>
      </c>
      <c r="G11" s="19">
        <f>-SUMIFS('2022'!$M:$M,'2022'!$E:$E,Trésorerie!G$4,'2022'!$F:$F,Trésorerie!$B11)+SUMIFS('2022'!$N:$N,'2022'!$E:$E,Trésorerie!G$4,'2022'!$F:$F,Trésorerie!$B11)</f>
        <v>9780</v>
      </c>
      <c r="H11" s="19">
        <f>-SUMIFS('2022'!$M:$M,'2022'!$E:$E,Trésorerie!H$4,'2022'!$F:$F,Trésorerie!$B11)+SUMIFS('2022'!$N:$N,'2022'!$E:$E,Trésorerie!H$4,'2022'!$F:$F,Trésorerie!$B11)</f>
        <v>0</v>
      </c>
      <c r="I11" s="19">
        <f>-SUMIFS('2022'!$M:$M,'2022'!$E:$E,Trésorerie!I$4,'2022'!$F:$F,Trésorerie!$B11)+SUMIFS('2022'!$N:$N,'2022'!$E:$E,Trésorerie!I$4,'2022'!$F:$F,Trésorerie!$B11)</f>
        <v>22820</v>
      </c>
      <c r="J11" s="19">
        <f>-SUMIFS('2022'!$M:$M,'2022'!$E:$E,Trésorerie!J$4,'2022'!$F:$F,Trésorerie!$B11)+SUMIFS('2022'!$N:$N,'2022'!$E:$E,Trésorerie!J$4,'2022'!$F:$F,Trésorerie!$B11)</f>
        <v>0</v>
      </c>
      <c r="K11" s="19">
        <f>-SUMIFS('2022'!$M:$M,'2022'!$E:$E,Trésorerie!K$4,'2022'!$F:$F,Trésorerie!$B11)+SUMIFS('2022'!$N:$N,'2022'!$E:$E,Trésorerie!K$4,'2022'!$F:$F,Trésorerie!$B11)</f>
        <v>0</v>
      </c>
      <c r="L11" s="19">
        <f>-SUMIFS('2022'!$M:$M,'2022'!$E:$E,Trésorerie!L$4,'2022'!$F:$F,Trésorerie!$B11)+SUMIFS('2022'!$N:$N,'2022'!$E:$E,Trésorerie!L$4,'2022'!$F:$F,Trésorerie!$B11)</f>
        <v>0</v>
      </c>
      <c r="M11" s="19">
        <f>-SUMIFS('2022'!$M:$M,'2022'!$E:$E,Trésorerie!M$4,'2022'!$F:$F,Trésorerie!$B11)+SUMIFS('2022'!$N:$N,'2022'!$E:$E,Trésorerie!M$4,'2022'!$F:$F,Trésorerie!$B11)</f>
        <v>0</v>
      </c>
      <c r="N11" s="19">
        <f>-SUMIFS('2022'!$M:$M,'2022'!$E:$E,Trésorerie!N$4,'2022'!$F:$F,Trésorerie!$B11)+SUMIFS('2022'!$N:$N,'2022'!$E:$E,Trésorerie!N$4,'2022'!$F:$F,Trésorerie!$B11)</f>
        <v>23740</v>
      </c>
      <c r="O11" s="19">
        <f>-SUMIFS('2022'!$M:$M,'2022'!$E:$E,Trésorerie!O$4,'2022'!$F:$F,Trésorerie!$B11)+SUMIFS('2022'!$N:$N,'2022'!$E:$E,Trésorerie!O$4,'2022'!$F:$F,Trésorerie!$B11)</f>
        <v>0</v>
      </c>
      <c r="P11" s="19">
        <f>-SUMIFS('2022'!$M:$M,'2022'!$E:$E,Trésorerie!P$4,'2022'!$F:$F,Trésorerie!$B11)+SUMIFS('2022'!$N:$N,'2022'!$E:$E,Trésorerie!P$4,'2022'!$F:$F,Trésorerie!$B11)</f>
        <v>0</v>
      </c>
      <c r="R11" s="64">
        <f>-SUMIFS('2023-01'!$M:$M,'2023-01'!$E:$E,Trésorerie!R$4,'2023-01'!$F:$F,Trésorerie!$B11)+SUMIFS('2023-01'!$N:$N,'2023-01'!$E:$E,Trésorerie!R$4,'2023-01'!$F:$F,Trésorerie!$B11)</f>
        <v>0</v>
      </c>
      <c r="S11" s="64">
        <f>-SUMIFS('2023-02'!$M:$M,'2023-02'!$E:$E,Trésorerie!S$4,'2023-02'!$F:$F,Trésorerie!$B11)+SUMIFS('2023-02'!$N:$N,'2023-02'!$E:$E,Trésorerie!S$4,'2023-02'!$F:$F,Trésorerie!$B11)</f>
        <v>0</v>
      </c>
      <c r="T11" s="64">
        <f>-SUMIFS('2023-03'!$M:$M,'2023-03'!$E:$E,Trésorerie!T$4,'2023-03'!$F:$F,Trésorerie!$B11)+SUMIFS('2023-03'!$N:$N,'2023-03'!$E:$E,Trésorerie!T$4,'2023-03'!$F:$F,Trésorerie!$B11)</f>
        <v>0</v>
      </c>
      <c r="U11" s="64">
        <f>-SUMIFS('2023-04'!$M:$M,'2023-04'!$E:$E,Trésorerie!U$4,'2023-04'!$F:$F,Trésorerie!$B11)+SUMIFS('2023-04'!$N:$N,'2023-04'!$E:$E,Trésorerie!U$4,'2023-04'!$F:$F,Trésorerie!$B11)</f>
        <v>0</v>
      </c>
      <c r="V11" s="64">
        <f>-SUMIFS('2023-05'!$M:$M,'2023-05'!$E:$E,Trésorerie!V$4,'2023-05'!$F:$F,Trésorerie!$B11)+SUMIFS('2023-05'!$N:$N,'2023-05'!$E:$E,Trésorerie!V$4,'2023-05'!$F:$F,Trésorerie!$B11)</f>
        <v>24661</v>
      </c>
      <c r="W11" s="64">
        <f>-SUMIFS('2023-06'!$M:$M,'2023-06'!$E:$E,Trésorerie!W$4,'2023-06'!$F:$F,Trésorerie!$B11)+SUMIFS('2023-06'!$N:$N,'2023-06'!$E:$E,Trésorerie!W$4,'2023-06'!$F:$F,Trésorerie!$B11)</f>
        <v>0</v>
      </c>
      <c r="X11" s="64">
        <f>-SUMIFS('2023-07'!$M:$M,'2023-07'!$E:$E,Trésorerie!X$4,'2023-07'!$F:$F,Trésorerie!$B11)+SUMIFS('2023-07'!$N:$N,'2023-07'!$E:$E,Trésorerie!X$4,'2023-07'!$F:$F,Trésorerie!$B11)</f>
        <v>0</v>
      </c>
      <c r="Y11" s="64">
        <f>-SUMIFS('2023-08'!$M:$M,'2023-08'!$E:$E,Trésorerie!Y$4,'2023-08'!$F:$F,Trésorerie!$B11)+SUMIFS('2023-08'!$N:$N,'2023-08'!$E:$E,Trésorerie!Y$4,'2023-08'!$F:$F,Trésorerie!$B11)</f>
        <v>6000</v>
      </c>
      <c r="Z11" s="64">
        <f>-SUMIFS('2023-09'!$M:$M,'2023-09'!$E:$E,Trésorerie!Z$4,'2023-09'!$F:$F,Trésorerie!$B11)+SUMIFS('2023-09'!$N:$N,'2023-09'!$E:$E,Trésorerie!Z$4,'2023-09'!$F:$F,Trésorerie!$B11)</f>
        <v>0</v>
      </c>
      <c r="AA11" s="64">
        <f>-SUMIFS('2023-10'!$M:$M,'2023-10'!$E:$E,Trésorerie!AA$4,'2023-10'!$F:$F,Trésorerie!$B11)+SUMIFS('2023-10'!$N:$N,'2023-10'!$E:$E,Trésorerie!AA$4,'2023-10'!$F:$F,Trésorerie!$B11)</f>
        <v>25630</v>
      </c>
      <c r="AB11" s="75">
        <f>IF(SUM($E11:O11)&gt;SUM($R11:AA11),SUM($E11:O11)-SUM($R11:AA11),0)</f>
        <v>49</v>
      </c>
      <c r="AC11" s="75">
        <f>IF(SUM($E11:P11)&gt;SUM($R11:AB11),SUM($E11:P11)-SUM($R11:AB11),0)</f>
        <v>0</v>
      </c>
      <c r="AD11" s="79"/>
    </row>
    <row r="12" spans="1:33" x14ac:dyDescent="0.25">
      <c r="A12" s="7">
        <f t="shared" si="0"/>
        <v>51000</v>
      </c>
      <c r="B12" s="47">
        <v>468730</v>
      </c>
      <c r="C12" s="13" t="s">
        <v>2371</v>
      </c>
      <c r="D12" s="47" t="s">
        <v>4751</v>
      </c>
      <c r="E12" s="19">
        <f>-SUMIFS('2022'!$M:$M,'2022'!$E:$E,Trésorerie!E$4,'2022'!$F:$F,Trésorerie!$B12)+SUMIFS('2022'!$N:$N,'2022'!$E:$E,Trésorerie!E$4,'2022'!$F:$F,Trésorerie!$B12)</f>
        <v>0</v>
      </c>
      <c r="F12" s="19">
        <f>-SUMIFS('2022'!$M:$M,'2022'!$E:$E,Trésorerie!F$4,'2022'!$F:$F,Trésorerie!$B12)+SUMIFS('2022'!$N:$N,'2022'!$E:$E,Trésorerie!F$4,'2022'!$F:$F,Trésorerie!$B12)</f>
        <v>0</v>
      </c>
      <c r="G12" s="19">
        <f>-SUMIFS('2022'!$M:$M,'2022'!$E:$E,Trésorerie!G$4,'2022'!$F:$F,Trésorerie!$B12)+SUMIFS('2022'!$N:$N,'2022'!$E:$E,Trésorerie!G$4,'2022'!$F:$F,Trésorerie!$B12)</f>
        <v>0</v>
      </c>
      <c r="H12" s="19">
        <f>-SUMIFS('2022'!$M:$M,'2022'!$E:$E,Trésorerie!H$4,'2022'!$F:$F,Trésorerie!$B12)+SUMIFS('2022'!$N:$N,'2022'!$E:$E,Trésorerie!H$4,'2022'!$F:$F,Trésorerie!$B12)</f>
        <v>0</v>
      </c>
      <c r="I12" s="19">
        <f>-SUMIFS('2022'!$M:$M,'2022'!$E:$E,Trésorerie!I$4,'2022'!$F:$F,Trésorerie!$B12)+SUMIFS('2022'!$N:$N,'2022'!$E:$E,Trésorerie!I$4,'2022'!$F:$F,Trésorerie!$B12)</f>
        <v>0</v>
      </c>
      <c r="J12" s="19">
        <f>-SUMIFS('2022'!$M:$M,'2022'!$E:$E,Trésorerie!J$4,'2022'!$F:$F,Trésorerie!$B12)+SUMIFS('2022'!$N:$N,'2022'!$E:$E,Trésorerie!J$4,'2022'!$F:$F,Trésorerie!$B12)</f>
        <v>0</v>
      </c>
      <c r="K12" s="19">
        <f>-SUMIFS('2022'!$M:$M,'2022'!$E:$E,Trésorerie!K$4,'2022'!$F:$F,Trésorerie!$B12)+SUMIFS('2022'!$N:$N,'2022'!$E:$E,Trésorerie!K$4,'2022'!$F:$F,Trésorerie!$B12)</f>
        <v>0</v>
      </c>
      <c r="L12" s="19">
        <f>-SUMIFS('2022'!$M:$M,'2022'!$E:$E,Trésorerie!L$4,'2022'!$F:$F,Trésorerie!$B12)+SUMIFS('2022'!$N:$N,'2022'!$E:$E,Trésorerie!L$4,'2022'!$F:$F,Trésorerie!$B12)</f>
        <v>51000</v>
      </c>
      <c r="M12" s="19">
        <f>-SUMIFS('2022'!$M:$M,'2022'!$E:$E,Trésorerie!M$4,'2022'!$F:$F,Trésorerie!$B12)+SUMIFS('2022'!$N:$N,'2022'!$E:$E,Trésorerie!M$4,'2022'!$F:$F,Trésorerie!$B12)</f>
        <v>0</v>
      </c>
      <c r="N12" s="19">
        <f>-SUMIFS('2022'!$M:$M,'2022'!$E:$E,Trésorerie!N$4,'2022'!$F:$F,Trésorerie!$B12)+SUMIFS('2022'!$N:$N,'2022'!$E:$E,Trésorerie!N$4,'2022'!$F:$F,Trésorerie!$B12)</f>
        <v>0</v>
      </c>
      <c r="O12" s="19">
        <f>-SUMIFS('2022'!$M:$M,'2022'!$E:$E,Trésorerie!O$4,'2022'!$F:$F,Trésorerie!$B12)+SUMIFS('2022'!$N:$N,'2022'!$E:$E,Trésorerie!O$4,'2022'!$F:$F,Trésorerie!$B12)</f>
        <v>0</v>
      </c>
      <c r="P12" s="19">
        <f>-SUMIFS('2022'!$M:$M,'2022'!$E:$E,Trésorerie!P$4,'2022'!$F:$F,Trésorerie!$B12)+SUMIFS('2022'!$N:$N,'2022'!$E:$E,Trésorerie!P$4,'2022'!$F:$F,Trésorerie!$B12)</f>
        <v>0</v>
      </c>
      <c r="R12" s="64">
        <f>-SUMIFS('2023-01'!$M:$M,'2023-01'!$E:$E,Trésorerie!R$4,'2023-01'!$F:$F,Trésorerie!$B12)+SUMIFS('2023-01'!$N:$N,'2023-01'!$E:$E,Trésorerie!R$4,'2023-01'!$F:$F,Trésorerie!$B12)</f>
        <v>0</v>
      </c>
      <c r="S12" s="64">
        <f>-SUMIFS('2023-02'!$M:$M,'2023-02'!$E:$E,Trésorerie!S$4,'2023-02'!$F:$F,Trésorerie!$B12)+SUMIFS('2023-02'!$N:$N,'2023-02'!$E:$E,Trésorerie!S$4,'2023-02'!$F:$F,Trésorerie!$B12)</f>
        <v>0</v>
      </c>
      <c r="T12" s="64">
        <f>-SUMIFS('2023-03'!$M:$M,'2023-03'!$E:$E,Trésorerie!T$4,'2023-03'!$F:$F,Trésorerie!$B12)+SUMIFS('2023-03'!$N:$N,'2023-03'!$E:$E,Trésorerie!T$4,'2023-03'!$F:$F,Trésorerie!$B12)</f>
        <v>0</v>
      </c>
      <c r="U12" s="64">
        <f>-SUMIFS('2023-04'!$M:$M,'2023-04'!$E:$E,Trésorerie!U$4,'2023-04'!$F:$F,Trésorerie!$B12)+SUMIFS('2023-04'!$N:$N,'2023-04'!$E:$E,Trésorerie!U$4,'2023-04'!$F:$F,Trésorerie!$B12)</f>
        <v>0</v>
      </c>
      <c r="V12" s="64">
        <f>-SUMIFS('2023-05'!$M:$M,'2023-05'!$E:$E,Trésorerie!V$4,'2023-05'!$F:$F,Trésorerie!$B12)+SUMIFS('2023-05'!$N:$N,'2023-05'!$E:$E,Trésorerie!V$4,'2023-05'!$F:$F,Trésorerie!$B12)</f>
        <v>0</v>
      </c>
      <c r="W12" s="64">
        <f>-SUMIFS('2023-06'!$M:$M,'2023-06'!$E:$E,Trésorerie!W$4,'2023-06'!$F:$F,Trésorerie!$B12)+SUMIFS('2023-06'!$N:$N,'2023-06'!$E:$E,Trésorerie!W$4,'2023-06'!$F:$F,Trésorerie!$B12)</f>
        <v>0</v>
      </c>
      <c r="X12" s="64">
        <f>-SUMIFS('2023-07'!$M:$M,'2023-07'!$E:$E,Trésorerie!X$4,'2023-07'!$F:$F,Trésorerie!$B12)+SUMIFS('2023-07'!$N:$N,'2023-07'!$E:$E,Trésorerie!X$4,'2023-07'!$F:$F,Trésorerie!$B12)</f>
        <v>43000</v>
      </c>
      <c r="Y12" s="64">
        <f>-SUMIFS('2023-08'!$M:$M,'2023-08'!$E:$E,Trésorerie!Y$4,'2023-08'!$F:$F,Trésorerie!$B12)+SUMIFS('2023-08'!$N:$N,'2023-08'!$E:$E,Trésorerie!Y$4,'2023-08'!$F:$F,Trésorerie!$B12)</f>
        <v>4500</v>
      </c>
      <c r="Z12" s="64">
        <f>-SUMIFS('2023-09'!$M:$M,'2023-09'!$E:$E,Trésorerie!Z$4,'2023-09'!$F:$F,Trésorerie!$B12)+SUMIFS('2023-09'!$N:$N,'2023-09'!$E:$E,Trésorerie!Z$4,'2023-09'!$F:$F,Trésorerie!$B12)</f>
        <v>0</v>
      </c>
      <c r="AA12" s="64">
        <f>-SUMIFS('2023-10'!$M:$M,'2023-10'!$E:$E,Trésorerie!AA$4,'2023-10'!$F:$F,Trésorerie!$B12)+SUMIFS('2023-10'!$N:$N,'2023-10'!$E:$E,Trésorerie!AA$4,'2023-10'!$F:$F,Trésorerie!$B12)</f>
        <v>666.6</v>
      </c>
      <c r="AB12" s="75">
        <f>IF(SUM($E12:O12)&gt;SUM($R12:AA12),SUM($E12:O12)-SUM($R12:AA12),0)</f>
        <v>2833.4000000000015</v>
      </c>
      <c r="AC12" s="75">
        <f>IF(SUM($E12:P12)&gt;SUM($R12:AB12),SUM($E12:P12)-SUM($R12:AB12),0)</f>
        <v>0</v>
      </c>
      <c r="AD12" s="79"/>
    </row>
    <row r="13" spans="1:33" x14ac:dyDescent="0.25">
      <c r="A13" s="8">
        <f t="shared" si="0"/>
        <v>47294</v>
      </c>
      <c r="B13" s="48">
        <v>445051</v>
      </c>
      <c r="C13" s="14" t="s">
        <v>417</v>
      </c>
      <c r="D13" s="48" t="s">
        <v>4751</v>
      </c>
      <c r="E13" s="20">
        <f>-SUMIFS('2022'!$M:$M,'2022'!$E:$E,Trésorerie!E$4,'2022'!$F:$F,Trésorerie!$B13)+SUMIFS('2022'!$N:$N,'2022'!$E:$E,Trésorerie!E$4,'2022'!$F:$F,Trésorerie!$B13)</f>
        <v>0</v>
      </c>
      <c r="F13" s="20">
        <f>-SUMIFS('2022'!$M:$M,'2022'!$E:$E,Trésorerie!F$4,'2022'!$F:$F,Trésorerie!$B13)+SUMIFS('2022'!$N:$N,'2022'!$E:$E,Trésorerie!F$4,'2022'!$F:$F,Trésorerie!$B13)</f>
        <v>0</v>
      </c>
      <c r="G13" s="20">
        <f>-SUMIFS('2022'!$M:$M,'2022'!$E:$E,Trésorerie!G$4,'2022'!$F:$F,Trésorerie!$B13)+SUMIFS('2022'!$N:$N,'2022'!$E:$E,Trésorerie!G$4,'2022'!$F:$F,Trésorerie!$B13)</f>
        <v>21313.8</v>
      </c>
      <c r="H13" s="20">
        <f>-SUMIFS('2022'!$M:$M,'2022'!$E:$E,Trésorerie!H$4,'2022'!$F:$F,Trésorerie!$B13)+SUMIFS('2022'!$N:$N,'2022'!$E:$E,Trésorerie!H$4,'2022'!$F:$F,Trésorerie!$B13)</f>
        <v>0</v>
      </c>
      <c r="I13" s="20">
        <f>-SUMIFS('2022'!$M:$M,'2022'!$E:$E,Trésorerie!I$4,'2022'!$F:$F,Trésorerie!$B13)+SUMIFS('2022'!$N:$N,'2022'!$E:$E,Trésorerie!I$4,'2022'!$F:$F,Trésorerie!$B13)</f>
        <v>4666.3999999999996</v>
      </c>
      <c r="J13" s="20">
        <f>-SUMIFS('2022'!$M:$M,'2022'!$E:$E,Trésorerie!J$4,'2022'!$F:$F,Trésorerie!$B13)+SUMIFS('2022'!$N:$N,'2022'!$E:$E,Trésorerie!J$4,'2022'!$F:$F,Trésorerie!$B13)</f>
        <v>0</v>
      </c>
      <c r="K13" s="20">
        <f>-SUMIFS('2022'!$M:$M,'2022'!$E:$E,Trésorerie!K$4,'2022'!$F:$F,Trésorerie!$B13)+SUMIFS('2022'!$N:$N,'2022'!$E:$E,Trésorerie!K$4,'2022'!$F:$F,Trésorerie!$B13)</f>
        <v>0</v>
      </c>
      <c r="L13" s="20">
        <f>-SUMIFS('2022'!$M:$M,'2022'!$E:$E,Trésorerie!L$4,'2022'!$F:$F,Trésorerie!$B13)+SUMIFS('2022'!$N:$N,'2022'!$E:$E,Trésorerie!L$4,'2022'!$F:$F,Trésorerie!$B13)</f>
        <v>0</v>
      </c>
      <c r="M13" s="20">
        <f>-SUMIFS('2022'!$M:$M,'2022'!$E:$E,Trésorerie!M$4,'2022'!$F:$F,Trésorerie!$B13)+SUMIFS('2022'!$N:$N,'2022'!$E:$E,Trésorerie!M$4,'2022'!$F:$F,Trésorerie!$B13)</f>
        <v>0</v>
      </c>
      <c r="N13" s="20">
        <f>-SUMIFS('2022'!$M:$M,'2022'!$E:$E,Trésorerie!N$4,'2022'!$F:$F,Trésorerie!$B13)+SUMIFS('2022'!$N:$N,'2022'!$E:$E,Trésorerie!N$4,'2022'!$F:$F,Trésorerie!$B13)</f>
        <v>0</v>
      </c>
      <c r="O13" s="20">
        <f>-SUMIFS('2022'!$M:$M,'2022'!$E:$E,Trésorerie!O$4,'2022'!$F:$F,Trésorerie!$B13)+SUMIFS('2022'!$N:$N,'2022'!$E:$E,Trésorerie!O$4,'2022'!$F:$F,Trésorerie!$B13)</f>
        <v>21313.8</v>
      </c>
      <c r="P13" s="20">
        <f>-SUMIFS('2022'!$M:$M,'2022'!$E:$E,Trésorerie!P$4,'2022'!$F:$F,Trésorerie!$B13)+SUMIFS('2022'!$N:$N,'2022'!$E:$E,Trésorerie!P$4,'2022'!$F:$F,Trésorerie!$B13)</f>
        <v>0</v>
      </c>
      <c r="R13" s="65">
        <f>-SUMIFS('2023-01'!$M:$M,'2023-01'!$E:$E,Trésorerie!R$4,'2023-01'!$F:$F,Trésorerie!$B13)+SUMIFS('2023-01'!$N:$N,'2023-01'!$E:$E,Trésorerie!R$4,'2023-01'!$F:$F,Trésorerie!$B13)</f>
        <v>0</v>
      </c>
      <c r="S13" s="65">
        <f>-SUMIFS('2023-02'!$M:$M,'2023-02'!$E:$E,Trésorerie!S$4,'2023-02'!$F:$F,Trésorerie!$B13)+SUMIFS('2023-02'!$N:$N,'2023-02'!$E:$E,Trésorerie!S$4,'2023-02'!$F:$F,Trésorerie!$B13)</f>
        <v>0</v>
      </c>
      <c r="T13" s="65">
        <f>-SUMIFS('2023-03'!$M:$M,'2023-03'!$E:$E,Trésorerie!T$4,'2023-03'!$F:$F,Trésorerie!$B13)+SUMIFS('2023-03'!$N:$N,'2023-03'!$E:$E,Trésorerie!T$4,'2023-03'!$F:$F,Trésorerie!$B13)</f>
        <v>20632.68</v>
      </c>
      <c r="U13" s="65">
        <f>-SUMIFS('2023-04'!$M:$M,'2023-04'!$E:$E,Trésorerie!U$4,'2023-04'!$F:$F,Trésorerie!$B13)+SUMIFS('2023-04'!$N:$N,'2023-04'!$E:$E,Trésorerie!U$4,'2023-04'!$F:$F,Trésorerie!$B13)</f>
        <v>0</v>
      </c>
      <c r="V13" s="65">
        <f>-SUMIFS('2023-05'!$M:$M,'2023-05'!$E:$E,Trésorerie!V$4,'2023-05'!$F:$F,Trésorerie!$B13)+SUMIFS('2023-05'!$N:$N,'2023-05'!$E:$E,Trésorerie!V$4,'2023-05'!$F:$F,Trésorerie!$B13)</f>
        <v>0</v>
      </c>
      <c r="W13" s="65">
        <f>-SUMIFS('2023-06'!$M:$M,'2023-06'!$E:$E,Trésorerie!W$4,'2023-06'!$F:$F,Trésorerie!$B13)+SUMIFS('2023-06'!$N:$N,'2023-06'!$E:$E,Trésorerie!W$4,'2023-06'!$F:$F,Trésorerie!$B13)</f>
        <v>0</v>
      </c>
      <c r="X13" s="65">
        <f>-SUMIFS('2023-07'!$M:$M,'2023-07'!$E:$E,Trésorerie!X$4,'2023-07'!$F:$F,Trésorerie!$B13)+SUMIFS('2023-07'!$N:$N,'2023-07'!$E:$E,Trésorerie!X$4,'2023-07'!$F:$F,Trésorerie!$B13)</f>
        <v>0</v>
      </c>
      <c r="Y13" s="65">
        <f>-SUMIFS('2023-08'!$M:$M,'2023-08'!$E:$E,Trésorerie!Y$4,'2023-08'!$F:$F,Trésorerie!$B13)+SUMIFS('2023-08'!$N:$N,'2023-08'!$E:$E,Trésorerie!Y$4,'2023-08'!$F:$F,Trésorerie!$B13)</f>
        <v>0</v>
      </c>
      <c r="Z13" s="65">
        <f>-SUMIFS('2023-09'!$M:$M,'2023-09'!$E:$E,Trésorerie!Z$4,'2023-09'!$F:$F,Trésorerie!$B13)+SUMIFS('2023-09'!$N:$N,'2023-09'!$E:$E,Trésorerie!Z$4,'2023-09'!$F:$F,Trésorerie!$B13)</f>
        <v>0</v>
      </c>
      <c r="AA13" s="65">
        <f>-SUMIFS('2023-10'!$M:$M,'2023-10'!$E:$E,Trésorerie!AA$4,'2023-10'!$F:$F,Trésorerie!$B13)+SUMIFS('2023-10'!$N:$N,'2023-10'!$E:$E,Trésorerie!AA$4,'2023-10'!$F:$F,Trésorerie!$B13)</f>
        <v>20632.68</v>
      </c>
      <c r="AB13" s="75">
        <f>IF(SUM($E13:O13)&gt;SUM($R13:AA13),SUM($E13:O13)-SUM($R13:AA13),0)</f>
        <v>6028.6399999999994</v>
      </c>
      <c r="AC13" s="75">
        <f>IF(SUM($E13:P13)&gt;SUM($R13:AB13),SUM($E13:P13)-SUM($R13:AB13),0)</f>
        <v>0</v>
      </c>
      <c r="AD13" s="79"/>
    </row>
    <row r="14" spans="1:33" x14ac:dyDescent="0.25">
      <c r="A14" s="8">
        <f t="shared" si="0"/>
        <v>38494.29</v>
      </c>
      <c r="B14" s="48">
        <v>468200</v>
      </c>
      <c r="C14" s="14" t="s">
        <v>421</v>
      </c>
      <c r="D14" s="48" t="s">
        <v>4751</v>
      </c>
      <c r="E14" s="20">
        <f>-SUMIFS('2022'!$M:$M,'2022'!$E:$E,Trésorerie!E$4,'2022'!$F:$F,Trésorerie!$B14)+SUMIFS('2022'!$N:$N,'2022'!$E:$E,Trésorerie!E$4,'2022'!$F:$F,Trésorerie!$B14)</f>
        <v>2980.91</v>
      </c>
      <c r="F14" s="20">
        <f>-SUMIFS('2022'!$M:$M,'2022'!$E:$E,Trésorerie!F$4,'2022'!$F:$F,Trésorerie!$B14)+SUMIFS('2022'!$N:$N,'2022'!$E:$E,Trésorerie!F$4,'2022'!$F:$F,Trésorerie!$B14)</f>
        <v>2585.36</v>
      </c>
      <c r="G14" s="20">
        <f>-SUMIFS('2022'!$M:$M,'2022'!$E:$E,Trésorerie!G$4,'2022'!$F:$F,Trésorerie!$B14)+SUMIFS('2022'!$N:$N,'2022'!$E:$E,Trésorerie!G$4,'2022'!$F:$F,Trésorerie!$B14)</f>
        <v>1030.5</v>
      </c>
      <c r="H14" s="20">
        <f>-SUMIFS('2022'!$M:$M,'2022'!$E:$E,Trésorerie!H$4,'2022'!$F:$F,Trésorerie!$B14)+SUMIFS('2022'!$N:$N,'2022'!$E:$E,Trésorerie!H$4,'2022'!$F:$F,Trésorerie!$B14)</f>
        <v>1879.11</v>
      </c>
      <c r="I14" s="20">
        <f>-SUMIFS('2022'!$M:$M,'2022'!$E:$E,Trésorerie!I$4,'2022'!$F:$F,Trésorerie!$B14)+SUMIFS('2022'!$N:$N,'2022'!$E:$E,Trésorerie!I$4,'2022'!$F:$F,Trésorerie!$B14)</f>
        <v>6227.46</v>
      </c>
      <c r="J14" s="20">
        <f>-SUMIFS('2022'!$M:$M,'2022'!$E:$E,Trésorerie!J$4,'2022'!$F:$F,Trésorerie!$B14)+SUMIFS('2022'!$N:$N,'2022'!$E:$E,Trésorerie!J$4,'2022'!$F:$F,Trésorerie!$B14)</f>
        <v>2199.5600000000004</v>
      </c>
      <c r="K14" s="20">
        <f>-SUMIFS('2022'!$M:$M,'2022'!$E:$E,Trésorerie!K$4,'2022'!$F:$F,Trésorerie!$B14)+SUMIFS('2022'!$N:$N,'2022'!$E:$E,Trésorerie!K$4,'2022'!$F:$F,Trésorerie!$B14)</f>
        <v>878.92000000000007</v>
      </c>
      <c r="L14" s="20">
        <f>-SUMIFS('2022'!$M:$M,'2022'!$E:$E,Trésorerie!L$4,'2022'!$F:$F,Trésorerie!$B14)+SUMIFS('2022'!$N:$N,'2022'!$E:$E,Trésorerie!L$4,'2022'!$F:$F,Trésorerie!$B14)</f>
        <v>3571.1499999999996</v>
      </c>
      <c r="M14" s="20">
        <f>-SUMIFS('2022'!$M:$M,'2022'!$E:$E,Trésorerie!M$4,'2022'!$F:$F,Trésorerie!$B14)+SUMIFS('2022'!$N:$N,'2022'!$E:$E,Trésorerie!M$4,'2022'!$F:$F,Trésorerie!$B14)</f>
        <v>2540.7799999999997</v>
      </c>
      <c r="N14" s="20">
        <f>-SUMIFS('2022'!$M:$M,'2022'!$E:$E,Trésorerie!N$4,'2022'!$F:$F,Trésorerie!$B14)+SUMIFS('2022'!$N:$N,'2022'!$E:$E,Trésorerie!N$4,'2022'!$F:$F,Trésorerie!$B14)</f>
        <v>6351.28</v>
      </c>
      <c r="O14" s="20">
        <f>-SUMIFS('2022'!$M:$M,'2022'!$E:$E,Trésorerie!O$4,'2022'!$F:$F,Trésorerie!$B14)+SUMIFS('2022'!$N:$N,'2022'!$E:$E,Trésorerie!O$4,'2022'!$F:$F,Trésorerie!$B14)</f>
        <v>7360.9800000000005</v>
      </c>
      <c r="P14" s="20">
        <f>-SUMIFS('2022'!$M:$M,'2022'!$E:$E,Trésorerie!P$4,'2022'!$F:$F,Trésorerie!$B14)+SUMIFS('2022'!$N:$N,'2022'!$E:$E,Trésorerie!P$4,'2022'!$F:$F,Trésorerie!$B14)</f>
        <v>888.28</v>
      </c>
      <c r="R14" s="65">
        <f>-SUMIFS('2023-01'!$M:$M,'2023-01'!$E:$E,Trésorerie!R$4,'2023-01'!$F:$F,Trésorerie!$B14)+SUMIFS('2023-01'!$N:$N,'2023-01'!$E:$E,Trésorerie!R$4,'2023-01'!$F:$F,Trésorerie!$B14)</f>
        <v>290.76</v>
      </c>
      <c r="S14" s="65">
        <f>-SUMIFS('2023-02'!$M:$M,'2023-02'!$E:$E,Trésorerie!S$4,'2023-02'!$F:$F,Trésorerie!$B14)+SUMIFS('2023-02'!$N:$N,'2023-02'!$E:$E,Trésorerie!S$4,'2023-02'!$F:$F,Trésorerie!$B14)</f>
        <v>2046.45</v>
      </c>
      <c r="T14" s="65">
        <f>-SUMIFS('2023-03'!$M:$M,'2023-03'!$E:$E,Trésorerie!T$4,'2023-03'!$F:$F,Trésorerie!$B14)+SUMIFS('2023-03'!$N:$N,'2023-03'!$E:$E,Trésorerie!T$4,'2023-03'!$F:$F,Trésorerie!$B14)</f>
        <v>3402.8700000000003</v>
      </c>
      <c r="U14" s="65">
        <f>-SUMIFS('2023-04'!$M:$M,'2023-04'!$E:$E,Trésorerie!U$4,'2023-04'!$F:$F,Trésorerie!$B14)+SUMIFS('2023-04'!$N:$N,'2023-04'!$E:$E,Trésorerie!U$4,'2023-04'!$F:$F,Trésorerie!$B14)</f>
        <v>2414.0499999999997</v>
      </c>
      <c r="V14" s="65">
        <f>-SUMIFS('2023-05'!$M:$M,'2023-05'!$E:$E,Trésorerie!V$4,'2023-05'!$F:$F,Trésorerie!$B14)+SUMIFS('2023-05'!$N:$N,'2023-05'!$E:$E,Trésorerie!V$4,'2023-05'!$F:$F,Trésorerie!$B14)</f>
        <v>953.48</v>
      </c>
      <c r="W14" s="65">
        <f>-SUMIFS('2023-06'!$M:$M,'2023-06'!$E:$E,Trésorerie!W$4,'2023-06'!$F:$F,Trésorerie!$B14)+SUMIFS('2023-06'!$N:$N,'2023-06'!$E:$E,Trésorerie!W$4,'2023-06'!$F:$F,Trésorerie!$B14)</f>
        <v>2874.4800000000005</v>
      </c>
      <c r="X14" s="65">
        <f>-SUMIFS('2023-07'!$M:$M,'2023-07'!$E:$E,Trésorerie!X$4,'2023-07'!$F:$F,Trésorerie!$B14)+SUMIFS('2023-07'!$N:$N,'2023-07'!$E:$E,Trésorerie!X$4,'2023-07'!$F:$F,Trésorerie!$B14)</f>
        <v>2138.0700000000002</v>
      </c>
      <c r="Y14" s="65">
        <f>-SUMIFS('2023-08'!$M:$M,'2023-08'!$E:$E,Trésorerie!Y$4,'2023-08'!$F:$F,Trésorerie!$B14)+SUMIFS('2023-08'!$N:$N,'2023-08'!$E:$E,Trésorerie!Y$4,'2023-08'!$F:$F,Trésorerie!$B14)</f>
        <v>818.96</v>
      </c>
      <c r="Z14" s="65">
        <f>-SUMIFS('2023-09'!$M:$M,'2023-09'!$E:$E,Trésorerie!Z$4,'2023-09'!$F:$F,Trésorerie!$B14)+SUMIFS('2023-09'!$N:$N,'2023-09'!$E:$E,Trésorerie!Z$4,'2023-09'!$F:$F,Trésorerie!$B14)</f>
        <v>1006.4499999999999</v>
      </c>
      <c r="AA14" s="65">
        <f>-SUMIFS('2023-10'!$M:$M,'2023-10'!$E:$E,Trésorerie!AA$4,'2023-10'!$F:$F,Trésorerie!$B14)+SUMIFS('2023-10'!$N:$N,'2023-10'!$E:$E,Trésorerie!AA$4,'2023-10'!$F:$F,Trésorerie!$B14)</f>
        <v>8507.24</v>
      </c>
      <c r="AB14" s="75">
        <f>IF(SUM($E14:O14)&gt;SUM($R14:AA14),SUM($E14:O14)-SUM($R14:AA14),0)</f>
        <v>13153.200000000004</v>
      </c>
      <c r="AC14" s="75">
        <f>IF(SUM($E14:P14)&gt;SUM($R14:AB14),SUM($E14:P14)-SUM($R14:AB14),0)</f>
        <v>888.27999999999884</v>
      </c>
      <c r="AD14" s="79"/>
    </row>
    <row r="15" spans="1:33" x14ac:dyDescent="0.25">
      <c r="A15" s="8">
        <f t="shared" si="0"/>
        <v>32172</v>
      </c>
      <c r="B15" s="48">
        <v>445000</v>
      </c>
      <c r="C15" s="14" t="s">
        <v>412</v>
      </c>
      <c r="D15" s="48" t="s">
        <v>4751</v>
      </c>
      <c r="E15" s="20">
        <f>-SUMIFS('2022'!$M:$M,'2022'!$E:$E,Trésorerie!E$4,'2022'!$F:$F,Trésorerie!$B15)+SUMIFS('2022'!$N:$N,'2022'!$E:$E,Trésorerie!E$4,'2022'!$F:$F,Trésorerie!$B15)</f>
        <v>0</v>
      </c>
      <c r="F15" s="20">
        <f>-SUMIFS('2022'!$M:$M,'2022'!$E:$E,Trésorerie!F$4,'2022'!$F:$F,Trésorerie!$B15)+SUMIFS('2022'!$N:$N,'2022'!$E:$E,Trésorerie!F$4,'2022'!$F:$F,Trésorerie!$B15)</f>
        <v>0</v>
      </c>
      <c r="G15" s="20">
        <f>-SUMIFS('2022'!$M:$M,'2022'!$E:$E,Trésorerie!G$4,'2022'!$F:$F,Trésorerie!$B15)+SUMIFS('2022'!$N:$N,'2022'!$E:$E,Trésorerie!G$4,'2022'!$F:$F,Trésorerie!$B15)</f>
        <v>0</v>
      </c>
      <c r="H15" s="20">
        <f>-SUMIFS('2022'!$M:$M,'2022'!$E:$E,Trésorerie!H$4,'2022'!$F:$F,Trésorerie!$B15)+SUMIFS('2022'!$N:$N,'2022'!$E:$E,Trésorerie!H$4,'2022'!$F:$F,Trésorerie!$B15)</f>
        <v>0</v>
      </c>
      <c r="I15" s="20">
        <f>-SUMIFS('2022'!$M:$M,'2022'!$E:$E,Trésorerie!I$4,'2022'!$F:$F,Trésorerie!$B15)+SUMIFS('2022'!$N:$N,'2022'!$E:$E,Trésorerie!I$4,'2022'!$F:$F,Trésorerie!$B15)</f>
        <v>10692.8</v>
      </c>
      <c r="J15" s="20">
        <f>-SUMIFS('2022'!$M:$M,'2022'!$E:$E,Trésorerie!J$4,'2022'!$F:$F,Trésorerie!$B15)+SUMIFS('2022'!$N:$N,'2022'!$E:$E,Trésorerie!J$4,'2022'!$F:$F,Trésorerie!$B15)</f>
        <v>14973.48</v>
      </c>
      <c r="K15" s="20">
        <f>-SUMIFS('2022'!$M:$M,'2022'!$E:$E,Trésorerie!K$4,'2022'!$F:$F,Trésorerie!$B15)+SUMIFS('2022'!$N:$N,'2022'!$E:$E,Trésorerie!K$4,'2022'!$F:$F,Trésorerie!$B15)</f>
        <v>0</v>
      </c>
      <c r="L15" s="20">
        <f>-SUMIFS('2022'!$M:$M,'2022'!$E:$E,Trésorerie!L$4,'2022'!$F:$F,Trésorerie!$B15)+SUMIFS('2022'!$N:$N,'2022'!$E:$E,Trésorerie!L$4,'2022'!$F:$F,Trésorerie!$B15)</f>
        <v>0</v>
      </c>
      <c r="M15" s="20">
        <f>-SUMIFS('2022'!$M:$M,'2022'!$E:$E,Trésorerie!M$4,'2022'!$F:$F,Trésorerie!$B15)+SUMIFS('2022'!$N:$N,'2022'!$E:$E,Trésorerie!M$4,'2022'!$F:$F,Trésorerie!$B15)</f>
        <v>0</v>
      </c>
      <c r="N15" s="20">
        <f>-SUMIFS('2022'!$M:$M,'2022'!$E:$E,Trésorerie!N$4,'2022'!$F:$F,Trésorerie!$B15)+SUMIFS('2022'!$N:$N,'2022'!$E:$E,Trésorerie!N$4,'2022'!$F:$F,Trésorerie!$B15)</f>
        <v>0</v>
      </c>
      <c r="O15" s="20">
        <f>-SUMIFS('2022'!$M:$M,'2022'!$E:$E,Trésorerie!O$4,'2022'!$F:$F,Trésorerie!$B15)+SUMIFS('2022'!$N:$N,'2022'!$E:$E,Trésorerie!O$4,'2022'!$F:$F,Trésorerie!$B15)</f>
        <v>6505.72</v>
      </c>
      <c r="P15" s="20">
        <f>-SUMIFS('2022'!$M:$M,'2022'!$E:$E,Trésorerie!P$4,'2022'!$F:$F,Trésorerie!$B15)+SUMIFS('2022'!$N:$N,'2022'!$E:$E,Trésorerie!P$4,'2022'!$F:$F,Trésorerie!$B15)</f>
        <v>0</v>
      </c>
      <c r="R15" s="65">
        <f>-SUMIFS('2023-01'!$M:$M,'2023-01'!$E:$E,Trésorerie!R$4,'2023-01'!$F:$F,Trésorerie!$B15)+SUMIFS('2023-01'!$N:$N,'2023-01'!$E:$E,Trésorerie!R$4,'2023-01'!$F:$F,Trésorerie!$B15)</f>
        <v>0</v>
      </c>
      <c r="S15" s="65">
        <f>-SUMIFS('2023-02'!$M:$M,'2023-02'!$E:$E,Trésorerie!S$4,'2023-02'!$F:$F,Trésorerie!$B15)+SUMIFS('2023-02'!$N:$N,'2023-02'!$E:$E,Trésorerie!S$4,'2023-02'!$F:$F,Trésorerie!$B15)</f>
        <v>0</v>
      </c>
      <c r="T15" s="65">
        <f>-SUMIFS('2023-03'!$M:$M,'2023-03'!$E:$E,Trésorerie!T$4,'2023-03'!$F:$F,Trésorerie!$B15)+SUMIFS('2023-03'!$N:$N,'2023-03'!$E:$E,Trésorerie!T$4,'2023-03'!$F:$F,Trésorerie!$B15)</f>
        <v>14695.16</v>
      </c>
      <c r="U15" s="65">
        <f>-SUMIFS('2023-04'!$M:$M,'2023-04'!$E:$E,Trésorerie!U$4,'2023-04'!$F:$F,Trésorerie!$B15)+SUMIFS('2023-04'!$N:$N,'2023-04'!$E:$E,Trésorerie!U$4,'2023-04'!$F:$F,Trésorerie!$B15)</f>
        <v>0</v>
      </c>
      <c r="V15" s="65">
        <f>-SUMIFS('2023-05'!$M:$M,'2023-05'!$E:$E,Trésorerie!V$4,'2023-05'!$F:$F,Trésorerie!$B15)+SUMIFS('2023-05'!$N:$N,'2023-05'!$E:$E,Trésorerie!V$4,'2023-05'!$F:$F,Trésorerie!$B15)</f>
        <v>0</v>
      </c>
      <c r="W15" s="65">
        <f>-SUMIFS('2023-06'!$M:$M,'2023-06'!$E:$E,Trésorerie!W$4,'2023-06'!$F:$F,Trésorerie!$B15)+SUMIFS('2023-06'!$N:$N,'2023-06'!$E:$E,Trésorerie!W$4,'2023-06'!$F:$F,Trésorerie!$B15)</f>
        <v>6291.27</v>
      </c>
      <c r="X15" s="65">
        <f>-SUMIFS('2023-07'!$M:$M,'2023-07'!$E:$E,Trésorerie!X$4,'2023-07'!$F:$F,Trésorerie!$B15)+SUMIFS('2023-07'!$N:$N,'2023-07'!$E:$E,Trésorerie!X$4,'2023-07'!$F:$F,Trésorerie!$B15)</f>
        <v>0</v>
      </c>
      <c r="Y15" s="65">
        <f>-SUMIFS('2023-08'!$M:$M,'2023-08'!$E:$E,Trésorerie!Y$4,'2023-08'!$F:$F,Trésorerie!$B15)+SUMIFS('2023-08'!$N:$N,'2023-08'!$E:$E,Trésorerie!Y$4,'2023-08'!$F:$F,Trésorerie!$B15)</f>
        <v>0</v>
      </c>
      <c r="Z15" s="65">
        <f>-SUMIFS('2023-09'!$M:$M,'2023-09'!$E:$E,Trésorerie!Z$4,'2023-09'!$F:$F,Trésorerie!$B15)+SUMIFS('2023-09'!$N:$N,'2023-09'!$E:$E,Trésorerie!Z$4,'2023-09'!$F:$F,Trésorerie!$B15)</f>
        <v>6111.21</v>
      </c>
      <c r="AA15" s="65">
        <f>-SUMIFS('2023-10'!$M:$M,'2023-10'!$E:$E,Trésorerie!AA$4,'2023-10'!$F:$F,Trésorerie!$B15)+SUMIFS('2023-10'!$N:$N,'2023-10'!$E:$E,Trésorerie!AA$4,'2023-10'!$F:$F,Trésorerie!$B15)</f>
        <v>0</v>
      </c>
      <c r="AB15" s="75">
        <f>IF(SUM($E15:O15)&gt;SUM($R15:AA15),SUM($E15:O15)-SUM($R15:AA15),0)</f>
        <v>5074.3600000000006</v>
      </c>
      <c r="AC15" s="75">
        <f>IF(SUM($E15:P15)&gt;SUM($R15:AB15),SUM($E15:P15)-SUM($R15:AB15),0)</f>
        <v>0</v>
      </c>
      <c r="AD15" s="79"/>
    </row>
    <row r="16" spans="1:33" x14ac:dyDescent="0.25">
      <c r="A16" s="8">
        <f t="shared" si="0"/>
        <v>29719.629999999997</v>
      </c>
      <c r="B16" s="48">
        <v>411100</v>
      </c>
      <c r="C16" s="14" t="s">
        <v>18</v>
      </c>
      <c r="D16" s="48" t="s">
        <v>4751</v>
      </c>
      <c r="E16" s="20">
        <f>-SUMIFS('2022'!$M:$M,'2022'!$E:$E,Trésorerie!E$4,'2022'!$F:$F,Trésorerie!$B16)+SUMIFS('2022'!$N:$N,'2022'!$E:$E,Trésorerie!E$4,'2022'!$F:$F,Trésorerie!$B16)</f>
        <v>2108.4500000000003</v>
      </c>
      <c r="F16" s="20">
        <f>-SUMIFS('2022'!$M:$M,'2022'!$E:$E,Trésorerie!F$4,'2022'!$F:$F,Trésorerie!$B16)+SUMIFS('2022'!$N:$N,'2022'!$E:$E,Trésorerie!F$4,'2022'!$F:$F,Trésorerie!$B16)</f>
        <v>2682.07</v>
      </c>
      <c r="G16" s="20">
        <f>-SUMIFS('2022'!$M:$M,'2022'!$E:$E,Trésorerie!G$4,'2022'!$F:$F,Trésorerie!$B16)+SUMIFS('2022'!$N:$N,'2022'!$E:$E,Trésorerie!G$4,'2022'!$F:$F,Trésorerie!$B16)</f>
        <v>2694.1699999999992</v>
      </c>
      <c r="H16" s="20">
        <f>-SUMIFS('2022'!$M:$M,'2022'!$E:$E,Trésorerie!H$4,'2022'!$F:$F,Trésorerie!$B16)+SUMIFS('2022'!$N:$N,'2022'!$E:$E,Trésorerie!H$4,'2022'!$F:$F,Trésorerie!$B16)</f>
        <v>2398.6799999999998</v>
      </c>
      <c r="I16" s="20">
        <f>-SUMIFS('2022'!$M:$M,'2022'!$E:$E,Trésorerie!I$4,'2022'!$F:$F,Trésorerie!$B16)+SUMIFS('2022'!$N:$N,'2022'!$E:$E,Trésorerie!I$4,'2022'!$F:$F,Trésorerie!$B16)</f>
        <v>1550.7799999999997</v>
      </c>
      <c r="J16" s="20">
        <f>-SUMIFS('2022'!$M:$M,'2022'!$E:$E,Trésorerie!J$4,'2022'!$F:$F,Trésorerie!$B16)+SUMIFS('2022'!$N:$N,'2022'!$E:$E,Trésorerie!J$4,'2022'!$F:$F,Trésorerie!$B16)</f>
        <v>3974.7099999999982</v>
      </c>
      <c r="K16" s="20">
        <f>-SUMIFS('2022'!$M:$M,'2022'!$E:$E,Trésorerie!K$4,'2022'!$F:$F,Trésorerie!$B16)+SUMIFS('2022'!$N:$N,'2022'!$E:$E,Trésorerie!K$4,'2022'!$F:$F,Trésorerie!$B16)</f>
        <v>2352.4799999999996</v>
      </c>
      <c r="L16" s="20">
        <f>-SUMIFS('2022'!$M:$M,'2022'!$E:$E,Trésorerie!L$4,'2022'!$F:$F,Trésorerie!$B16)+SUMIFS('2022'!$N:$N,'2022'!$E:$E,Trésorerie!L$4,'2022'!$F:$F,Trésorerie!$B16)</f>
        <v>348.89</v>
      </c>
      <c r="M16" s="20">
        <f>-SUMIFS('2022'!$M:$M,'2022'!$E:$E,Trésorerie!M$4,'2022'!$F:$F,Trésorerie!$B16)+SUMIFS('2022'!$N:$N,'2022'!$E:$E,Trésorerie!M$4,'2022'!$F:$F,Trésorerie!$B16)</f>
        <v>1373.1499999999999</v>
      </c>
      <c r="N16" s="20">
        <f>-SUMIFS('2022'!$M:$M,'2022'!$E:$E,Trésorerie!N$4,'2022'!$F:$F,Trésorerie!$B16)+SUMIFS('2022'!$N:$N,'2022'!$E:$E,Trésorerie!N$4,'2022'!$F:$F,Trésorerie!$B16)</f>
        <v>7076.7999999999993</v>
      </c>
      <c r="O16" s="20">
        <f>-SUMIFS('2022'!$M:$M,'2022'!$E:$E,Trésorerie!O$4,'2022'!$F:$F,Trésorerie!$B16)+SUMIFS('2022'!$N:$N,'2022'!$E:$E,Trésorerie!O$4,'2022'!$F:$F,Trésorerie!$B16)</f>
        <v>2089.0599999999995</v>
      </c>
      <c r="P16" s="20">
        <f>-SUMIFS('2022'!$M:$M,'2022'!$E:$E,Trésorerie!P$4,'2022'!$F:$F,Trésorerie!$B16)+SUMIFS('2022'!$N:$N,'2022'!$E:$E,Trésorerie!P$4,'2022'!$F:$F,Trésorerie!$B16)</f>
        <v>1070.3899999999999</v>
      </c>
      <c r="R16" s="65">
        <f>-SUMIFS('2023-01'!$M:$M,'2023-01'!$E:$E,Trésorerie!R$4,'2023-01'!$F:$F,Trésorerie!$B16)+SUMIFS('2023-01'!$N:$N,'2023-01'!$E:$E,Trésorerie!R$4,'2023-01'!$F:$F,Trésorerie!$B16)</f>
        <v>4197.0099999999993</v>
      </c>
      <c r="S16" s="65">
        <f>-SUMIFS('2023-02'!$M:$M,'2023-02'!$E:$E,Trésorerie!S$4,'2023-02'!$F:$F,Trésorerie!$B16)+SUMIFS('2023-02'!$N:$N,'2023-02'!$E:$E,Trésorerie!S$4,'2023-02'!$F:$F,Trésorerie!$B16)</f>
        <v>2177.34</v>
      </c>
      <c r="T16" s="65">
        <f>-SUMIFS('2023-03'!$M:$M,'2023-03'!$E:$E,Trésorerie!T$4,'2023-03'!$F:$F,Trésorerie!$B16)+SUMIFS('2023-03'!$N:$N,'2023-03'!$E:$E,Trésorerie!T$4,'2023-03'!$F:$F,Trésorerie!$B16)</f>
        <v>4485.05</v>
      </c>
      <c r="U16" s="65">
        <f>-SUMIFS('2023-04'!$M:$M,'2023-04'!$E:$E,Trésorerie!U$4,'2023-04'!$F:$F,Trésorerie!$B16)+SUMIFS('2023-04'!$N:$N,'2023-04'!$E:$E,Trésorerie!U$4,'2023-04'!$F:$F,Trésorerie!$B16)</f>
        <v>2003.89</v>
      </c>
      <c r="V16" s="65">
        <f>-SUMIFS('2023-05'!$M:$M,'2023-05'!$E:$E,Trésorerie!V$4,'2023-05'!$F:$F,Trésorerie!$B16)+SUMIFS('2023-05'!$N:$N,'2023-05'!$E:$E,Trésorerie!V$4,'2023-05'!$F:$F,Trésorerie!$B16)</f>
        <v>1651.04</v>
      </c>
      <c r="W16" s="65">
        <f>-SUMIFS('2023-06'!$M:$M,'2023-06'!$E:$E,Trésorerie!W$4,'2023-06'!$F:$F,Trésorerie!$B16)+SUMIFS('2023-06'!$N:$N,'2023-06'!$E:$E,Trésorerie!W$4,'2023-06'!$F:$F,Trésorerie!$B16)</f>
        <v>5835.53</v>
      </c>
      <c r="X16" s="65">
        <f>-SUMIFS('2023-07'!$M:$M,'2023-07'!$E:$E,Trésorerie!X$4,'2023-07'!$F:$F,Trésorerie!$B16)+SUMIFS('2023-07'!$N:$N,'2023-07'!$E:$E,Trésorerie!X$4,'2023-07'!$F:$F,Trésorerie!$B16)</f>
        <v>3291.56</v>
      </c>
      <c r="Y16" s="65">
        <f>-SUMIFS('2023-08'!$M:$M,'2023-08'!$E:$E,Trésorerie!Y$4,'2023-08'!$F:$F,Trésorerie!$B16)+SUMIFS('2023-08'!$N:$N,'2023-08'!$E:$E,Trésorerie!Y$4,'2023-08'!$F:$F,Trésorerie!$B16)</f>
        <v>735.8599999999999</v>
      </c>
      <c r="Z16" s="65">
        <f>-SUMIFS('2023-09'!$M:$M,'2023-09'!$E:$E,Trésorerie!Z$4,'2023-09'!$F:$F,Trésorerie!$B16)+SUMIFS('2023-09'!$N:$N,'2023-09'!$E:$E,Trésorerie!Z$4,'2023-09'!$F:$F,Trésorerie!$B16)</f>
        <v>4975.3700000000008</v>
      </c>
      <c r="AA16" s="65">
        <f>-SUMIFS('2023-10'!$M:$M,'2023-10'!$E:$E,Trésorerie!AA$4,'2023-10'!$F:$F,Trésorerie!$B16)+SUMIFS('2023-10'!$N:$N,'2023-10'!$E:$E,Trésorerie!AA$4,'2023-10'!$F:$F,Trésorerie!$B16)</f>
        <v>5709</v>
      </c>
      <c r="AB16" s="75">
        <f>IF(SUM($E16:O16)&gt;SUM($R16:AA16),SUM($E16:O16)-SUM($R16:AA16),0)</f>
        <v>0</v>
      </c>
      <c r="AC16" s="75">
        <f>IF(SUM($E16:P16)&gt;SUM($R16:AB16),SUM($E16:P16)-SUM($R16:AB16),0)</f>
        <v>0</v>
      </c>
      <c r="AD16" s="79"/>
    </row>
    <row r="17" spans="1:30" x14ac:dyDescent="0.25">
      <c r="A17" s="8">
        <f t="shared" si="0"/>
        <v>27726.460000000006</v>
      </c>
      <c r="B17" s="48">
        <v>468725</v>
      </c>
      <c r="C17" s="14" t="s">
        <v>424</v>
      </c>
      <c r="D17" s="48" t="s">
        <v>4751</v>
      </c>
      <c r="E17" s="20">
        <f>-SUMIFS('2022'!$M:$M,'2022'!$E:$E,Trésorerie!E$4,'2022'!$F:$F,Trésorerie!$B17)+SUMIFS('2022'!$N:$N,'2022'!$E:$E,Trésorerie!E$4,'2022'!$F:$F,Trésorerie!$B17)</f>
        <v>5121.51</v>
      </c>
      <c r="F17" s="20">
        <f>-SUMIFS('2022'!$M:$M,'2022'!$E:$E,Trésorerie!F$4,'2022'!$F:$F,Trésorerie!$B17)+SUMIFS('2022'!$N:$N,'2022'!$E:$E,Trésorerie!F$4,'2022'!$F:$F,Trésorerie!$B17)</f>
        <v>4758.62</v>
      </c>
      <c r="G17" s="20">
        <f>-SUMIFS('2022'!$M:$M,'2022'!$E:$E,Trésorerie!G$4,'2022'!$F:$F,Trésorerie!$B17)+SUMIFS('2022'!$N:$N,'2022'!$E:$E,Trésorerie!G$4,'2022'!$F:$F,Trésorerie!$B17)</f>
        <v>2503.81</v>
      </c>
      <c r="H17" s="20">
        <f>-SUMIFS('2022'!$M:$M,'2022'!$E:$E,Trésorerie!H$4,'2022'!$F:$F,Trésorerie!$B17)+SUMIFS('2022'!$N:$N,'2022'!$E:$E,Trésorerie!H$4,'2022'!$F:$F,Trésorerie!$B17)</f>
        <v>1791.35</v>
      </c>
      <c r="I17" s="20">
        <f>-SUMIFS('2022'!$M:$M,'2022'!$E:$E,Trésorerie!I$4,'2022'!$F:$F,Trésorerie!$B17)+SUMIFS('2022'!$N:$N,'2022'!$E:$E,Trésorerie!I$4,'2022'!$F:$F,Trésorerie!$B17)</f>
        <v>1803.49</v>
      </c>
      <c r="J17" s="20">
        <f>-SUMIFS('2022'!$M:$M,'2022'!$E:$E,Trésorerie!J$4,'2022'!$F:$F,Trésorerie!$B17)+SUMIFS('2022'!$N:$N,'2022'!$E:$E,Trésorerie!J$4,'2022'!$F:$F,Trésorerie!$B17)</f>
        <v>1803.49</v>
      </c>
      <c r="K17" s="20">
        <f>-SUMIFS('2022'!$M:$M,'2022'!$E:$E,Trésorerie!K$4,'2022'!$F:$F,Trésorerie!$B17)+SUMIFS('2022'!$N:$N,'2022'!$E:$E,Trésorerie!K$4,'2022'!$F:$F,Trésorerie!$B17)</f>
        <v>1803.49</v>
      </c>
      <c r="L17" s="20">
        <f>-SUMIFS('2022'!$M:$M,'2022'!$E:$E,Trésorerie!L$4,'2022'!$F:$F,Trésorerie!$B17)+SUMIFS('2022'!$N:$N,'2022'!$E:$E,Trésorerie!L$4,'2022'!$F:$F,Trésorerie!$B17)</f>
        <v>848.04</v>
      </c>
      <c r="M17" s="20">
        <f>-SUMIFS('2022'!$M:$M,'2022'!$E:$E,Trésorerie!M$4,'2022'!$F:$F,Trésorerie!$B17)+SUMIFS('2022'!$N:$N,'2022'!$E:$E,Trésorerie!M$4,'2022'!$F:$F,Trésorerie!$B17)</f>
        <v>0</v>
      </c>
      <c r="N17" s="20">
        <f>-SUMIFS('2022'!$M:$M,'2022'!$E:$E,Trésorerie!N$4,'2022'!$F:$F,Trésorerie!$B17)+SUMIFS('2022'!$N:$N,'2022'!$E:$E,Trésorerie!N$4,'2022'!$F:$F,Trésorerie!$B17)</f>
        <v>0</v>
      </c>
      <c r="O17" s="20">
        <f>-SUMIFS('2022'!$M:$M,'2022'!$E:$E,Trésorerie!O$4,'2022'!$F:$F,Trésorerie!$B17)+SUMIFS('2022'!$N:$N,'2022'!$E:$E,Trésorerie!O$4,'2022'!$F:$F,Trésorerie!$B17)</f>
        <v>-707.26</v>
      </c>
      <c r="P17" s="20">
        <f>-SUMIFS('2022'!$M:$M,'2022'!$E:$E,Trésorerie!P$4,'2022'!$F:$F,Trésorerie!$B17)+SUMIFS('2022'!$N:$N,'2022'!$E:$E,Trésorerie!P$4,'2022'!$F:$F,Trésorerie!$B17)</f>
        <v>7999.92</v>
      </c>
      <c r="R17" s="65">
        <f>-SUMIFS('2023-01'!$M:$M,'2023-01'!$E:$E,Trésorerie!R$4,'2023-01'!$F:$F,Trésorerie!$B17)+SUMIFS('2023-01'!$N:$N,'2023-01'!$E:$E,Trésorerie!R$4,'2023-01'!$F:$F,Trésorerie!$B17)</f>
        <v>1020.29</v>
      </c>
      <c r="S17" s="65">
        <f>-SUMIFS('2023-02'!$M:$M,'2023-02'!$E:$E,Trésorerie!S$4,'2023-02'!$F:$F,Trésorerie!$B17)+SUMIFS('2023-02'!$N:$N,'2023-02'!$E:$E,Trésorerie!S$4,'2023-02'!$F:$F,Trésorerie!$B17)</f>
        <v>3333.3</v>
      </c>
      <c r="T17" s="65">
        <f>-SUMIFS('2023-03'!$M:$M,'2023-03'!$E:$E,Trésorerie!T$4,'2023-03'!$F:$F,Trésorerie!$B17)+SUMIFS('2023-03'!$N:$N,'2023-03'!$E:$E,Trésorerie!T$4,'2023-03'!$F:$F,Trésorerie!$B17)</f>
        <v>2666.64</v>
      </c>
      <c r="U17" s="65">
        <f>-SUMIFS('2023-04'!$M:$M,'2023-04'!$E:$E,Trésorerie!U$4,'2023-04'!$F:$F,Trésorerie!$B17)+SUMIFS('2023-04'!$N:$N,'2023-04'!$E:$E,Trésorerie!U$4,'2023-04'!$F:$F,Trésorerie!$B17)</f>
        <v>2666.64</v>
      </c>
      <c r="V17" s="65">
        <f>-SUMIFS('2023-05'!$M:$M,'2023-05'!$E:$E,Trésorerie!V$4,'2023-05'!$F:$F,Trésorerie!$B17)+SUMIFS('2023-05'!$N:$N,'2023-05'!$E:$E,Trésorerie!V$4,'2023-05'!$F:$F,Trésorerie!$B17)</f>
        <v>2666.64</v>
      </c>
      <c r="W17" s="65">
        <f>-SUMIFS('2023-06'!$M:$M,'2023-06'!$E:$E,Trésorerie!W$4,'2023-06'!$F:$F,Trésorerie!$B17)+SUMIFS('2023-06'!$N:$N,'2023-06'!$E:$E,Trésorerie!W$4,'2023-06'!$F:$F,Trésorerie!$B17)</f>
        <v>2666.64</v>
      </c>
      <c r="X17" s="65">
        <f>-SUMIFS('2023-07'!$M:$M,'2023-07'!$E:$E,Trésorerie!X$4,'2023-07'!$F:$F,Trésorerie!$B17)+SUMIFS('2023-07'!$N:$N,'2023-07'!$E:$E,Trésorerie!X$4,'2023-07'!$F:$F,Trésorerie!$B17)</f>
        <v>2666.64</v>
      </c>
      <c r="Y17" s="65">
        <f>-SUMIFS('2023-08'!$M:$M,'2023-08'!$E:$E,Trésorerie!Y$4,'2023-08'!$F:$F,Trésorerie!$B17)+SUMIFS('2023-08'!$N:$N,'2023-08'!$E:$E,Trésorerie!Y$4,'2023-08'!$F:$F,Trésorerie!$B17)</f>
        <v>2666.8</v>
      </c>
      <c r="Z17" s="65">
        <f>-SUMIFS('2023-09'!$M:$M,'2023-09'!$E:$E,Trésorerie!Z$4,'2023-09'!$F:$F,Trésorerie!$B17)+SUMIFS('2023-09'!$N:$N,'2023-09'!$E:$E,Trésorerie!Z$4,'2023-09'!$F:$F,Trésorerie!$B17)</f>
        <v>1333.4</v>
      </c>
      <c r="AA17" s="65">
        <f>-SUMIFS('2023-10'!$M:$M,'2023-10'!$E:$E,Trésorerie!AA$4,'2023-10'!$F:$F,Trésorerie!$B17)+SUMIFS('2023-10'!$N:$N,'2023-10'!$E:$E,Trésorerie!AA$4,'2023-10'!$F:$F,Trésorerie!$B17)</f>
        <v>0</v>
      </c>
      <c r="AB17" s="75">
        <f>IF(SUM($E17:O17)&gt;SUM($R17:AA17),SUM($E17:O17)-SUM($R17:AA17),0)</f>
        <v>0</v>
      </c>
      <c r="AC17" s="75">
        <f>IF(SUM($E17:P17)&gt;SUM($R17:AB17),SUM($E17:P17)-SUM($R17:AB17),0)</f>
        <v>6039.4700000000084</v>
      </c>
      <c r="AD17" s="79"/>
    </row>
    <row r="18" spans="1:30" x14ac:dyDescent="0.25">
      <c r="A18" s="8">
        <f t="shared" si="0"/>
        <v>26900</v>
      </c>
      <c r="B18" s="48">
        <v>445057</v>
      </c>
      <c r="C18" s="14" t="s">
        <v>418</v>
      </c>
      <c r="D18" s="48" t="s">
        <v>4751</v>
      </c>
      <c r="E18" s="20">
        <f>-SUMIFS('2022'!$M:$M,'2022'!$E:$E,Trésorerie!E$4,'2022'!$F:$F,Trésorerie!$B18)+SUMIFS('2022'!$N:$N,'2022'!$E:$E,Trésorerie!E$4,'2022'!$F:$F,Trésorerie!$B18)</f>
        <v>0</v>
      </c>
      <c r="F18" s="20">
        <f>-SUMIFS('2022'!$M:$M,'2022'!$E:$E,Trésorerie!F$4,'2022'!$F:$F,Trésorerie!$B18)+SUMIFS('2022'!$N:$N,'2022'!$E:$E,Trésorerie!F$4,'2022'!$F:$F,Trésorerie!$B18)</f>
        <v>0</v>
      </c>
      <c r="G18" s="20">
        <f>-SUMIFS('2022'!$M:$M,'2022'!$E:$E,Trésorerie!G$4,'2022'!$F:$F,Trésorerie!$B18)+SUMIFS('2022'!$N:$N,'2022'!$E:$E,Trésorerie!G$4,'2022'!$F:$F,Trésorerie!$B18)</f>
        <v>0</v>
      </c>
      <c r="H18" s="20">
        <f>-SUMIFS('2022'!$M:$M,'2022'!$E:$E,Trésorerie!H$4,'2022'!$F:$F,Trésorerie!$B18)+SUMIFS('2022'!$N:$N,'2022'!$E:$E,Trésorerie!H$4,'2022'!$F:$F,Trésorerie!$B18)</f>
        <v>6900</v>
      </c>
      <c r="I18" s="20">
        <f>-SUMIFS('2022'!$M:$M,'2022'!$E:$E,Trésorerie!I$4,'2022'!$F:$F,Trésorerie!$B18)+SUMIFS('2022'!$N:$N,'2022'!$E:$E,Trésorerie!I$4,'2022'!$F:$F,Trésorerie!$B18)</f>
        <v>0</v>
      </c>
      <c r="J18" s="20">
        <f>-SUMIFS('2022'!$M:$M,'2022'!$E:$E,Trésorerie!J$4,'2022'!$F:$F,Trésorerie!$B18)+SUMIFS('2022'!$N:$N,'2022'!$E:$E,Trésorerie!J$4,'2022'!$F:$F,Trésorerie!$B18)</f>
        <v>0</v>
      </c>
      <c r="K18" s="20">
        <f>-SUMIFS('2022'!$M:$M,'2022'!$E:$E,Trésorerie!K$4,'2022'!$F:$F,Trésorerie!$B18)+SUMIFS('2022'!$N:$N,'2022'!$E:$E,Trésorerie!K$4,'2022'!$F:$F,Trésorerie!$B18)</f>
        <v>20000</v>
      </c>
      <c r="L18" s="20">
        <f>-SUMIFS('2022'!$M:$M,'2022'!$E:$E,Trésorerie!L$4,'2022'!$F:$F,Trésorerie!$B18)+SUMIFS('2022'!$N:$N,'2022'!$E:$E,Trésorerie!L$4,'2022'!$F:$F,Trésorerie!$B18)</f>
        <v>0</v>
      </c>
      <c r="M18" s="20">
        <f>-SUMIFS('2022'!$M:$M,'2022'!$E:$E,Trésorerie!M$4,'2022'!$F:$F,Trésorerie!$B18)+SUMIFS('2022'!$N:$N,'2022'!$E:$E,Trésorerie!M$4,'2022'!$F:$F,Trésorerie!$B18)</f>
        <v>0</v>
      </c>
      <c r="N18" s="20">
        <f>-SUMIFS('2022'!$M:$M,'2022'!$E:$E,Trésorerie!N$4,'2022'!$F:$F,Trésorerie!$B18)+SUMIFS('2022'!$N:$N,'2022'!$E:$E,Trésorerie!N$4,'2022'!$F:$F,Trésorerie!$B18)</f>
        <v>0</v>
      </c>
      <c r="O18" s="20">
        <f>-SUMIFS('2022'!$M:$M,'2022'!$E:$E,Trésorerie!O$4,'2022'!$F:$F,Trésorerie!$B18)+SUMIFS('2022'!$N:$N,'2022'!$E:$E,Trésorerie!O$4,'2022'!$F:$F,Trésorerie!$B18)</f>
        <v>0</v>
      </c>
      <c r="P18" s="20">
        <f>-SUMIFS('2022'!$M:$M,'2022'!$E:$E,Trésorerie!P$4,'2022'!$F:$F,Trésorerie!$B18)+SUMIFS('2022'!$N:$N,'2022'!$E:$E,Trésorerie!P$4,'2022'!$F:$F,Trésorerie!$B18)</f>
        <v>0</v>
      </c>
      <c r="R18" s="65">
        <f>-SUMIFS('2023-01'!$M:$M,'2023-01'!$E:$E,Trésorerie!R$4,'2023-01'!$F:$F,Trésorerie!$B18)+SUMIFS('2023-01'!$N:$N,'2023-01'!$E:$E,Trésorerie!R$4,'2023-01'!$F:$F,Trésorerie!$B18)</f>
        <v>0</v>
      </c>
      <c r="S18" s="65">
        <f>-SUMIFS('2023-02'!$M:$M,'2023-02'!$E:$E,Trésorerie!S$4,'2023-02'!$F:$F,Trésorerie!$B18)+SUMIFS('2023-02'!$N:$N,'2023-02'!$E:$E,Trésorerie!S$4,'2023-02'!$F:$F,Trésorerie!$B18)</f>
        <v>0</v>
      </c>
      <c r="T18" s="65">
        <f>-SUMIFS('2023-03'!$M:$M,'2023-03'!$E:$E,Trésorerie!T$4,'2023-03'!$F:$F,Trésorerie!$B18)+SUMIFS('2023-03'!$N:$N,'2023-03'!$E:$E,Trésorerie!T$4,'2023-03'!$F:$F,Trésorerie!$B18)</f>
        <v>0</v>
      </c>
      <c r="U18" s="65">
        <f>-SUMIFS('2023-04'!$M:$M,'2023-04'!$E:$E,Trésorerie!U$4,'2023-04'!$F:$F,Trésorerie!$B18)+SUMIFS('2023-04'!$N:$N,'2023-04'!$E:$E,Trésorerie!U$4,'2023-04'!$F:$F,Trésorerie!$B18)</f>
        <v>0</v>
      </c>
      <c r="V18" s="65">
        <f>-SUMIFS('2023-05'!$M:$M,'2023-05'!$E:$E,Trésorerie!V$4,'2023-05'!$F:$F,Trésorerie!$B18)+SUMIFS('2023-05'!$N:$N,'2023-05'!$E:$E,Trésorerie!V$4,'2023-05'!$F:$F,Trésorerie!$B18)</f>
        <v>0</v>
      </c>
      <c r="W18" s="65">
        <f>-SUMIFS('2023-06'!$M:$M,'2023-06'!$E:$E,Trésorerie!W$4,'2023-06'!$F:$F,Trésorerie!$B18)+SUMIFS('2023-06'!$N:$N,'2023-06'!$E:$E,Trésorerie!W$4,'2023-06'!$F:$F,Trésorerie!$B18)</f>
        <v>0</v>
      </c>
      <c r="X18" s="65">
        <f>-SUMIFS('2023-07'!$M:$M,'2023-07'!$E:$E,Trésorerie!X$4,'2023-07'!$F:$F,Trésorerie!$B18)+SUMIFS('2023-07'!$N:$N,'2023-07'!$E:$E,Trésorerie!X$4,'2023-07'!$F:$F,Trésorerie!$B18)</f>
        <v>0</v>
      </c>
      <c r="Y18" s="65">
        <f>-SUMIFS('2023-08'!$M:$M,'2023-08'!$E:$E,Trésorerie!Y$4,'2023-08'!$F:$F,Trésorerie!$B18)+SUMIFS('2023-08'!$N:$N,'2023-08'!$E:$E,Trésorerie!Y$4,'2023-08'!$F:$F,Trésorerie!$B18)</f>
        <v>0</v>
      </c>
      <c r="Z18" s="65">
        <f>-SUMIFS('2023-09'!$M:$M,'2023-09'!$E:$E,Trésorerie!Z$4,'2023-09'!$F:$F,Trésorerie!$B18)+SUMIFS('2023-09'!$N:$N,'2023-09'!$E:$E,Trésorerie!Z$4,'2023-09'!$F:$F,Trésorerie!$B18)</f>
        <v>0</v>
      </c>
      <c r="AA18" s="65">
        <f>-SUMIFS('2023-10'!$M:$M,'2023-10'!$E:$E,Trésorerie!AA$4,'2023-10'!$F:$F,Trésorerie!$B18)+SUMIFS('2023-10'!$N:$N,'2023-10'!$E:$E,Trésorerie!AA$4,'2023-10'!$F:$F,Trésorerie!$B18)</f>
        <v>0</v>
      </c>
      <c r="AB18" s="75">
        <f>IF(SUM($E18:O18)&gt;SUM($R18:AA18),SUM($E18:O18)-SUM($R18:AA18),0)</f>
        <v>26900</v>
      </c>
      <c r="AC18" s="75">
        <f>IF(SUM($E18:P18)&gt;SUM($R18:AB18),SUM($E18:P18)-SUM($R18:AB18),0)</f>
        <v>0</v>
      </c>
      <c r="AD18" s="79"/>
    </row>
    <row r="19" spans="1:30" x14ac:dyDescent="0.25">
      <c r="A19" s="8">
        <v>0</v>
      </c>
      <c r="B19" s="48">
        <v>445040</v>
      </c>
      <c r="C19" s="14" t="s">
        <v>7387</v>
      </c>
      <c r="D19" s="48" t="s">
        <v>4751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R19" s="65">
        <f>-SUMIFS('2023-01'!$M:$M,'2023-01'!$E:$E,Trésorerie!R$4,'2023-01'!$F:$F,Trésorerie!$B19)+SUMIFS('2023-01'!$N:$N,'2023-01'!$E:$E,Trésorerie!R$4,'2023-01'!$F:$F,Trésorerie!$B19)</f>
        <v>0</v>
      </c>
      <c r="S19" s="65">
        <f>-SUMIFS('2023-02'!$M:$M,'2023-02'!$E:$E,Trésorerie!S$4,'2023-02'!$F:$F,Trésorerie!$B19)+SUMIFS('2023-02'!$N:$N,'2023-02'!$E:$E,Trésorerie!S$4,'2023-02'!$F:$F,Trésorerie!$B19)</f>
        <v>0</v>
      </c>
      <c r="T19" s="65">
        <f>-SUMIFS('2023-03'!$M:$M,'2023-03'!$E:$E,Trésorerie!T$4,'2023-03'!$F:$F,Trésorerie!$B19)+SUMIFS('2023-03'!$N:$N,'2023-03'!$E:$E,Trésorerie!T$4,'2023-03'!$F:$F,Trésorerie!$B19)</f>
        <v>0</v>
      </c>
      <c r="U19" s="65">
        <f>-SUMIFS('2023-04'!$M:$M,'2023-04'!$E:$E,Trésorerie!U$4,'2023-04'!$F:$F,Trésorerie!$B19)+SUMIFS('2023-04'!$N:$N,'2023-04'!$E:$E,Trésorerie!U$4,'2023-04'!$F:$F,Trésorerie!$B19)</f>
        <v>0</v>
      </c>
      <c r="V19" s="65">
        <f>-SUMIFS('2023-05'!$M:$M,'2023-05'!$E:$E,Trésorerie!V$4,'2023-05'!$F:$F,Trésorerie!$B19)+SUMIFS('2023-05'!$N:$N,'2023-05'!$E:$E,Trésorerie!V$4,'2023-05'!$F:$F,Trésorerie!$B19)</f>
        <v>0</v>
      </c>
      <c r="W19" s="65">
        <f>-SUMIFS('2023-06'!$M:$M,'2023-06'!$E:$E,Trésorerie!W$4,'2023-06'!$F:$F,Trésorerie!$B19)+SUMIFS('2023-06'!$N:$N,'2023-06'!$E:$E,Trésorerie!W$4,'2023-06'!$F:$F,Trésorerie!$B19)</f>
        <v>0</v>
      </c>
      <c r="X19" s="65">
        <f>-SUMIFS('2023-07'!$M:$M,'2023-07'!$E:$E,Trésorerie!X$4,'2023-07'!$F:$F,Trésorerie!$B19)+SUMIFS('2023-07'!$N:$N,'2023-07'!$E:$E,Trésorerie!X$4,'2023-07'!$F:$F,Trésorerie!$B19)</f>
        <v>0</v>
      </c>
      <c r="Y19" s="65">
        <f>-SUMIFS('2023-08'!$M:$M,'2023-08'!$E:$E,Trésorerie!Y$4,'2023-08'!$F:$F,Trésorerie!$B19)+SUMIFS('2023-08'!$N:$N,'2023-08'!$E:$E,Trésorerie!Y$4,'2023-08'!$F:$F,Trésorerie!$B19)</f>
        <v>0</v>
      </c>
      <c r="Z19" s="65">
        <f>-SUMIFS('2023-09'!$M:$M,'2023-09'!$E:$E,Trésorerie!Z$4,'2023-09'!$F:$F,Trésorerie!$B19)+SUMIFS('2023-09'!$N:$N,'2023-09'!$E:$E,Trésorerie!Z$4,'2023-09'!$F:$F,Trésorerie!$B19)</f>
        <v>17163.72</v>
      </c>
      <c r="AA19" s="65">
        <f>-SUMIFS('2023-10'!$M:$M,'2023-10'!$E:$E,Trésorerie!AA$4,'2023-10'!$F:$F,Trésorerie!$B19)+SUMIFS('2023-10'!$N:$N,'2023-10'!$E:$E,Trésorerie!AA$4,'2023-10'!$F:$F,Trésorerie!$B19)</f>
        <v>0</v>
      </c>
      <c r="AB19" s="75">
        <f>IF(SUM($E19:O19)&gt;SUM($R19:AA19),SUM($E19:O19)-SUM($R19:AA19),0)</f>
        <v>0</v>
      </c>
      <c r="AC19" s="75">
        <f>IF(SUM($E19:P19)&gt;SUM($R19:AB19),SUM($E19:P19)-SUM($R19:AB19),0)</f>
        <v>0</v>
      </c>
      <c r="AD19" s="79"/>
    </row>
    <row r="20" spans="1:30" x14ac:dyDescent="0.25">
      <c r="A20" s="8">
        <f t="shared" si="0"/>
        <v>16596.45</v>
      </c>
      <c r="B20" s="48">
        <v>791100</v>
      </c>
      <c r="C20" s="14" t="s">
        <v>806</v>
      </c>
      <c r="D20" s="48" t="s">
        <v>4751</v>
      </c>
      <c r="E20" s="20">
        <f>-SUMIFS('2022'!$M:$M,'2022'!$E:$E,Trésorerie!E$4,'2022'!$F:$F,Trésorerie!$B20)+SUMIFS('2022'!$N:$N,'2022'!$E:$E,Trésorerie!E$4,'2022'!$F:$F,Trésorerie!$B20)</f>
        <v>0</v>
      </c>
      <c r="F20" s="20">
        <f>-SUMIFS('2022'!$M:$M,'2022'!$E:$E,Trésorerie!F$4,'2022'!$F:$F,Trésorerie!$B20)+SUMIFS('2022'!$N:$N,'2022'!$E:$E,Trésorerie!F$4,'2022'!$F:$F,Trésorerie!$B20)</f>
        <v>0</v>
      </c>
      <c r="G20" s="20">
        <f>-SUMIFS('2022'!$M:$M,'2022'!$E:$E,Trésorerie!G$4,'2022'!$F:$F,Trésorerie!$B20)+SUMIFS('2022'!$N:$N,'2022'!$E:$E,Trésorerie!G$4,'2022'!$F:$F,Trésorerie!$B20)</f>
        <v>3384</v>
      </c>
      <c r="H20" s="20">
        <f>-SUMIFS('2022'!$M:$M,'2022'!$E:$E,Trésorerie!H$4,'2022'!$F:$F,Trésorerie!$B20)+SUMIFS('2022'!$N:$N,'2022'!$E:$E,Trésorerie!H$4,'2022'!$F:$F,Trésorerie!$B20)</f>
        <v>0</v>
      </c>
      <c r="I20" s="20">
        <f>-SUMIFS('2022'!$M:$M,'2022'!$E:$E,Trésorerie!I$4,'2022'!$F:$F,Trésorerie!$B20)+SUMIFS('2022'!$N:$N,'2022'!$E:$E,Trésorerie!I$4,'2022'!$F:$F,Trésorerie!$B20)</f>
        <v>345</v>
      </c>
      <c r="J20" s="20">
        <f>-SUMIFS('2022'!$M:$M,'2022'!$E:$E,Trésorerie!J$4,'2022'!$F:$F,Trésorerie!$B20)+SUMIFS('2022'!$N:$N,'2022'!$E:$E,Trésorerie!J$4,'2022'!$F:$F,Trésorerie!$B20)</f>
        <v>2399.4499999999998</v>
      </c>
      <c r="K20" s="20">
        <f>-SUMIFS('2022'!$M:$M,'2022'!$E:$E,Trésorerie!K$4,'2022'!$F:$F,Trésorerie!$B20)+SUMIFS('2022'!$N:$N,'2022'!$E:$E,Trésorerie!K$4,'2022'!$F:$F,Trésorerie!$B20)</f>
        <v>1960</v>
      </c>
      <c r="L20" s="20">
        <f>-SUMIFS('2022'!$M:$M,'2022'!$E:$E,Trésorerie!L$4,'2022'!$F:$F,Trésorerie!$B20)+SUMIFS('2022'!$N:$N,'2022'!$E:$E,Trésorerie!L$4,'2022'!$F:$F,Trésorerie!$B20)</f>
        <v>438</v>
      </c>
      <c r="M20" s="20">
        <f>-SUMIFS('2022'!$M:$M,'2022'!$E:$E,Trésorerie!M$4,'2022'!$F:$F,Trésorerie!$B20)+SUMIFS('2022'!$N:$N,'2022'!$E:$E,Trésorerie!M$4,'2022'!$F:$F,Trésorerie!$B20)</f>
        <v>8070</v>
      </c>
      <c r="N20" s="20">
        <f>-SUMIFS('2022'!$M:$M,'2022'!$E:$E,Trésorerie!N$4,'2022'!$F:$F,Trésorerie!$B20)+SUMIFS('2022'!$N:$N,'2022'!$E:$E,Trésorerie!N$4,'2022'!$F:$F,Trésorerie!$B20)</f>
        <v>0</v>
      </c>
      <c r="O20" s="20">
        <f>-SUMIFS('2022'!$M:$M,'2022'!$E:$E,Trésorerie!O$4,'2022'!$F:$F,Trésorerie!$B20)+SUMIFS('2022'!$N:$N,'2022'!$E:$E,Trésorerie!O$4,'2022'!$F:$F,Trésorerie!$B20)</f>
        <v>0</v>
      </c>
      <c r="P20" s="20">
        <f>-SUMIFS('2022'!$M:$M,'2022'!$E:$E,Trésorerie!P$4,'2022'!$F:$F,Trésorerie!$B20)+SUMIFS('2022'!$N:$N,'2022'!$E:$E,Trésorerie!P$4,'2022'!$F:$F,Trésorerie!$B20)</f>
        <v>0</v>
      </c>
      <c r="R20" s="65">
        <f>-SUMIFS('2023-01'!$M:$M,'2023-01'!$E:$E,Trésorerie!R$4,'2023-01'!$F:$F,Trésorerie!$B20)+SUMIFS('2023-01'!$N:$N,'2023-01'!$E:$E,Trésorerie!R$4,'2023-01'!$F:$F,Trésorerie!$B20)</f>
        <v>5076</v>
      </c>
      <c r="S20" s="65">
        <f>-SUMIFS('2023-02'!$M:$M,'2023-02'!$E:$E,Trésorerie!S$4,'2023-02'!$F:$F,Trésorerie!$B20)+SUMIFS('2023-02'!$N:$N,'2023-02'!$E:$E,Trésorerie!S$4,'2023-02'!$F:$F,Trésorerie!$B20)</f>
        <v>0</v>
      </c>
      <c r="T20" s="65">
        <f>-SUMIFS('2023-03'!$M:$M,'2023-03'!$E:$E,Trésorerie!T$4,'2023-03'!$F:$F,Trésorerie!$B20)+SUMIFS('2023-03'!$N:$N,'2023-03'!$E:$E,Trésorerie!T$4,'2023-03'!$F:$F,Trésorerie!$B20)</f>
        <v>4663</v>
      </c>
      <c r="U20" s="65">
        <f>-SUMIFS('2023-04'!$M:$M,'2023-04'!$E:$E,Trésorerie!U$4,'2023-04'!$F:$F,Trésorerie!$B20)+SUMIFS('2023-04'!$N:$N,'2023-04'!$E:$E,Trésorerie!U$4,'2023-04'!$F:$F,Trésorerie!$B20)</f>
        <v>0</v>
      </c>
      <c r="V20" s="65">
        <f>-SUMIFS('2023-05'!$M:$M,'2023-05'!$E:$E,Trésorerie!V$4,'2023-05'!$F:$F,Trésorerie!$B20)+SUMIFS('2023-05'!$N:$N,'2023-05'!$E:$E,Trésorerie!V$4,'2023-05'!$F:$F,Trésorerie!$B20)</f>
        <v>0</v>
      </c>
      <c r="W20" s="65">
        <f>-SUMIFS('2023-06'!$M:$M,'2023-06'!$E:$E,Trésorerie!W$4,'2023-06'!$F:$F,Trésorerie!$B20)+SUMIFS('2023-06'!$N:$N,'2023-06'!$E:$E,Trésorerie!W$4,'2023-06'!$F:$F,Trésorerie!$B20)</f>
        <v>390</v>
      </c>
      <c r="X20" s="65">
        <f>-SUMIFS('2023-07'!$M:$M,'2023-07'!$E:$E,Trésorerie!X$4,'2023-07'!$F:$F,Trésorerie!$B20)+SUMIFS('2023-07'!$N:$N,'2023-07'!$E:$E,Trésorerie!X$4,'2023-07'!$F:$F,Trésorerie!$B20)</f>
        <v>0</v>
      </c>
      <c r="Y20" s="65">
        <f>-SUMIFS('2023-08'!$M:$M,'2023-08'!$E:$E,Trésorerie!Y$4,'2023-08'!$F:$F,Trésorerie!$B20)+SUMIFS('2023-08'!$N:$N,'2023-08'!$E:$E,Trésorerie!Y$4,'2023-08'!$F:$F,Trésorerie!$B20)</f>
        <v>0</v>
      </c>
      <c r="Z20" s="65">
        <f>-SUMIFS('2023-09'!$M:$M,'2023-09'!$E:$E,Trésorerie!Z$4,'2023-09'!$F:$F,Trésorerie!$B20)+SUMIFS('2023-09'!$N:$N,'2023-09'!$E:$E,Trésorerie!Z$4,'2023-09'!$F:$F,Trésorerie!$B20)</f>
        <v>0</v>
      </c>
      <c r="AA20" s="65">
        <f>-SUMIFS('2023-10'!$M:$M,'2023-10'!$E:$E,Trésorerie!AA$4,'2023-10'!$F:$F,Trésorerie!$B20)+SUMIFS('2023-10'!$N:$N,'2023-10'!$E:$E,Trésorerie!AA$4,'2023-10'!$F:$F,Trésorerie!$B20)</f>
        <v>0</v>
      </c>
      <c r="AB20" s="75">
        <f>IF(SUM($E20:O20)&gt;SUM($R20:AA20),SUM($E20:O20)-SUM($R20:AA20),0)</f>
        <v>6467.4500000000007</v>
      </c>
      <c r="AC20" s="75">
        <f>IF(SUM($E20:P20)&gt;SUM($R20:AB20),SUM($E20:P20)-SUM($R20:AB20),0)</f>
        <v>0</v>
      </c>
      <c r="AD20" s="79"/>
    </row>
    <row r="21" spans="1:30" x14ac:dyDescent="0.25">
      <c r="A21" s="9">
        <f t="shared" si="0"/>
        <v>9487.7000000000007</v>
      </c>
      <c r="B21" s="49">
        <v>411010</v>
      </c>
      <c r="C21" s="15" t="s">
        <v>87</v>
      </c>
      <c r="D21" s="49" t="s">
        <v>4751</v>
      </c>
      <c r="E21" s="21">
        <f>-SUMIFS('2022'!$M:$M,'2022'!$E:$E,Trésorerie!E$4,'2022'!$F:$F,Trésorerie!$B21)+SUMIFS('2022'!$N:$N,'2022'!$E:$E,Trésorerie!E$4,'2022'!$F:$F,Trésorerie!$B21)</f>
        <v>537.28</v>
      </c>
      <c r="F21" s="21">
        <f>-SUMIFS('2022'!$M:$M,'2022'!$E:$E,Trésorerie!F$4,'2022'!$F:$F,Trésorerie!$B21)+SUMIFS('2022'!$N:$N,'2022'!$E:$E,Trésorerie!F$4,'2022'!$F:$F,Trésorerie!$B21)</f>
        <v>854.38</v>
      </c>
      <c r="G21" s="21">
        <f>-SUMIFS('2022'!$M:$M,'2022'!$E:$E,Trésorerie!G$4,'2022'!$F:$F,Trésorerie!$B21)+SUMIFS('2022'!$N:$N,'2022'!$E:$E,Trésorerie!G$4,'2022'!$F:$F,Trésorerie!$B21)</f>
        <v>765.8</v>
      </c>
      <c r="H21" s="21">
        <f>-SUMIFS('2022'!$M:$M,'2022'!$E:$E,Trésorerie!H$4,'2022'!$F:$F,Trésorerie!$B21)+SUMIFS('2022'!$N:$N,'2022'!$E:$E,Trésorerie!H$4,'2022'!$F:$F,Trésorerie!$B21)</f>
        <v>1085.43</v>
      </c>
      <c r="I21" s="21">
        <f>-SUMIFS('2022'!$M:$M,'2022'!$E:$E,Trésorerie!I$4,'2022'!$F:$F,Trésorerie!$B21)+SUMIFS('2022'!$N:$N,'2022'!$E:$E,Trésorerie!I$4,'2022'!$F:$F,Trésorerie!$B21)</f>
        <v>933.93000000000006</v>
      </c>
      <c r="J21" s="21">
        <f>-SUMIFS('2022'!$M:$M,'2022'!$E:$E,Trésorerie!J$4,'2022'!$F:$F,Trésorerie!$B21)+SUMIFS('2022'!$N:$N,'2022'!$E:$E,Trésorerie!J$4,'2022'!$F:$F,Trésorerie!$B21)</f>
        <v>808.06</v>
      </c>
      <c r="K21" s="21">
        <f>-SUMIFS('2022'!$M:$M,'2022'!$E:$E,Trésorerie!K$4,'2022'!$F:$F,Trésorerie!$B21)+SUMIFS('2022'!$N:$N,'2022'!$E:$E,Trésorerie!K$4,'2022'!$F:$F,Trésorerie!$B21)</f>
        <v>556.99</v>
      </c>
      <c r="L21" s="21">
        <f>-SUMIFS('2022'!$M:$M,'2022'!$E:$E,Trésorerie!L$4,'2022'!$F:$F,Trésorerie!$B21)+SUMIFS('2022'!$N:$N,'2022'!$E:$E,Trésorerie!L$4,'2022'!$F:$F,Trésorerie!$B21)</f>
        <v>362</v>
      </c>
      <c r="M21" s="21">
        <f>-SUMIFS('2022'!$M:$M,'2022'!$E:$E,Trésorerie!M$4,'2022'!$F:$F,Trésorerie!$B21)+SUMIFS('2022'!$N:$N,'2022'!$E:$E,Trésorerie!M$4,'2022'!$F:$F,Trésorerie!$B21)</f>
        <v>98.93</v>
      </c>
      <c r="N21" s="21">
        <f>-SUMIFS('2022'!$M:$M,'2022'!$E:$E,Trésorerie!N$4,'2022'!$F:$F,Trésorerie!$B21)+SUMIFS('2022'!$N:$N,'2022'!$E:$E,Trésorerie!N$4,'2022'!$F:$F,Trésorerie!$B21)</f>
        <v>1203.03</v>
      </c>
      <c r="O21" s="21">
        <f>-SUMIFS('2022'!$M:$M,'2022'!$E:$E,Trésorerie!O$4,'2022'!$F:$F,Trésorerie!$B21)+SUMIFS('2022'!$N:$N,'2022'!$E:$E,Trésorerie!O$4,'2022'!$F:$F,Trésorerie!$B21)</f>
        <v>889.56</v>
      </c>
      <c r="P21" s="21">
        <f>-SUMIFS('2022'!$M:$M,'2022'!$E:$E,Trésorerie!P$4,'2022'!$F:$F,Trésorerie!$B21)+SUMIFS('2022'!$N:$N,'2022'!$E:$E,Trésorerie!P$4,'2022'!$F:$F,Trésorerie!$B21)</f>
        <v>1392.31</v>
      </c>
      <c r="R21" s="66">
        <f>-SUMIFS('2023-01'!$M:$M,'2023-01'!$E:$E,Trésorerie!R$4,'2023-01'!$F:$F,Trésorerie!$B21)+SUMIFS('2023-01'!$N:$N,'2023-01'!$E:$E,Trésorerie!R$4,'2023-01'!$F:$F,Trésorerie!$B21)</f>
        <v>1509.7499999999998</v>
      </c>
      <c r="S21" s="66">
        <f>-SUMIFS('2023-02'!$M:$M,'2023-02'!$E:$E,Trésorerie!S$4,'2023-02'!$F:$F,Trésorerie!$B21)+SUMIFS('2023-02'!$N:$N,'2023-02'!$E:$E,Trésorerie!S$4,'2023-02'!$F:$F,Trésorerie!$B21)</f>
        <v>1269.7599999999998</v>
      </c>
      <c r="T21" s="66">
        <f>-SUMIFS('2023-03'!$M:$M,'2023-03'!$E:$E,Trésorerie!T$4,'2023-03'!$F:$F,Trésorerie!$B21)+SUMIFS('2023-03'!$N:$N,'2023-03'!$E:$E,Trésorerie!T$4,'2023-03'!$F:$F,Trésorerie!$B21)</f>
        <v>842.76</v>
      </c>
      <c r="U21" s="66">
        <f>-SUMIFS('2023-04'!$M:$M,'2023-04'!$E:$E,Trésorerie!U$4,'2023-04'!$F:$F,Trésorerie!$B21)+SUMIFS('2023-04'!$N:$N,'2023-04'!$E:$E,Trésorerie!U$4,'2023-04'!$F:$F,Trésorerie!$B21)</f>
        <v>2264.86</v>
      </c>
      <c r="V21" s="66">
        <f>-SUMIFS('2023-05'!$M:$M,'2023-05'!$E:$E,Trésorerie!V$4,'2023-05'!$F:$F,Trésorerie!$B21)+SUMIFS('2023-05'!$N:$N,'2023-05'!$E:$E,Trésorerie!V$4,'2023-05'!$F:$F,Trésorerie!$B21)</f>
        <v>928.22</v>
      </c>
      <c r="W21" s="66">
        <f>-SUMIFS('2023-06'!$M:$M,'2023-06'!$E:$E,Trésorerie!W$4,'2023-06'!$F:$F,Trésorerie!$B21)+SUMIFS('2023-06'!$N:$N,'2023-06'!$E:$E,Trésorerie!W$4,'2023-06'!$F:$F,Trésorerie!$B21)</f>
        <v>4158.7299999999996</v>
      </c>
      <c r="X21" s="66">
        <f>-SUMIFS('2023-07'!$M:$M,'2023-07'!$E:$E,Trésorerie!X$4,'2023-07'!$F:$F,Trésorerie!$B21)+SUMIFS('2023-07'!$N:$N,'2023-07'!$E:$E,Trésorerie!X$4,'2023-07'!$F:$F,Trésorerie!$B21)</f>
        <v>1833.4</v>
      </c>
      <c r="Y21" s="66">
        <f>-SUMIFS('2023-08'!$M:$M,'2023-08'!$E:$E,Trésorerie!Y$4,'2023-08'!$F:$F,Trésorerie!$B21)+SUMIFS('2023-08'!$N:$N,'2023-08'!$E:$E,Trésorerie!Y$4,'2023-08'!$F:$F,Trésorerie!$B21)</f>
        <v>1572.4900000000002</v>
      </c>
      <c r="Z21" s="66">
        <f>-SUMIFS('2023-09'!$M:$M,'2023-09'!$E:$E,Trésorerie!Z$4,'2023-09'!$F:$F,Trésorerie!$B21)+SUMIFS('2023-09'!$N:$N,'2023-09'!$E:$E,Trésorerie!Z$4,'2023-09'!$F:$F,Trésorerie!$B21)</f>
        <v>815.68</v>
      </c>
      <c r="AA21" s="66">
        <f>-SUMIFS('2023-10'!$M:$M,'2023-10'!$E:$E,Trésorerie!AA$4,'2023-10'!$F:$F,Trésorerie!$B21)+SUMIFS('2023-10'!$N:$N,'2023-10'!$E:$E,Trésorerie!AA$4,'2023-10'!$F:$F,Trésorerie!$B21)</f>
        <v>2167.14</v>
      </c>
      <c r="AB21" s="75">
        <f>IF(SUM($E21:O21)&gt;SUM($R21:AA21),SUM($E21:O21)-SUM($R21:AA21),0)</f>
        <v>0</v>
      </c>
      <c r="AC21" s="75">
        <f>IF(SUM($E21:P21)&gt;SUM($R21:AB21),SUM($E21:P21)-SUM($R21:AB21),0)</f>
        <v>0</v>
      </c>
      <c r="AD21" s="79"/>
    </row>
    <row r="22" spans="1:30" x14ac:dyDescent="0.25">
      <c r="A22" s="9">
        <f t="shared" si="0"/>
        <v>9150.67</v>
      </c>
      <c r="B22" s="49">
        <v>706237</v>
      </c>
      <c r="C22" s="15" t="s">
        <v>4203</v>
      </c>
      <c r="D22" s="49" t="s">
        <v>4751</v>
      </c>
      <c r="E22" s="21">
        <f>-SUMIFS('2022'!$M:$M,'2022'!$E:$E,Trésorerie!E$4,'2022'!$F:$F,Trésorerie!$B22)+SUMIFS('2022'!$N:$N,'2022'!$E:$E,Trésorerie!E$4,'2022'!$F:$F,Trésorerie!$B22)</f>
        <v>0</v>
      </c>
      <c r="F22" s="21">
        <f>-SUMIFS('2022'!$M:$M,'2022'!$E:$E,Trésorerie!F$4,'2022'!$F:$F,Trésorerie!$B22)+SUMIFS('2022'!$N:$N,'2022'!$E:$E,Trésorerie!F$4,'2022'!$F:$F,Trésorerie!$B22)</f>
        <v>0</v>
      </c>
      <c r="G22" s="21">
        <f>-SUMIFS('2022'!$M:$M,'2022'!$E:$E,Trésorerie!G$4,'2022'!$F:$F,Trésorerie!$B22)+SUMIFS('2022'!$N:$N,'2022'!$E:$E,Trésorerie!G$4,'2022'!$F:$F,Trésorerie!$B22)</f>
        <v>0</v>
      </c>
      <c r="H22" s="21">
        <f>-SUMIFS('2022'!$M:$M,'2022'!$E:$E,Trésorerie!H$4,'2022'!$F:$F,Trésorerie!$B22)+SUMIFS('2022'!$N:$N,'2022'!$E:$E,Trésorerie!H$4,'2022'!$F:$F,Trésorerie!$B22)</f>
        <v>0</v>
      </c>
      <c r="I22" s="21">
        <f>-SUMIFS('2022'!$M:$M,'2022'!$E:$E,Trésorerie!I$4,'2022'!$F:$F,Trésorerie!$B22)+SUMIFS('2022'!$N:$N,'2022'!$E:$E,Trésorerie!I$4,'2022'!$F:$F,Trésorerie!$B22)</f>
        <v>0</v>
      </c>
      <c r="J22" s="21">
        <f>-SUMIFS('2022'!$M:$M,'2022'!$E:$E,Trésorerie!J$4,'2022'!$F:$F,Trésorerie!$B22)+SUMIFS('2022'!$N:$N,'2022'!$E:$E,Trésorerie!J$4,'2022'!$F:$F,Trésorerie!$B22)</f>
        <v>0</v>
      </c>
      <c r="K22" s="21">
        <f>-SUMIFS('2022'!$M:$M,'2022'!$E:$E,Trésorerie!K$4,'2022'!$F:$F,Trésorerie!$B22)+SUMIFS('2022'!$N:$N,'2022'!$E:$E,Trésorerie!K$4,'2022'!$F:$F,Trésorerie!$B22)</f>
        <v>0</v>
      </c>
      <c r="L22" s="21">
        <f>-SUMIFS('2022'!$M:$M,'2022'!$E:$E,Trésorerie!L$4,'2022'!$F:$F,Trésorerie!$B22)+SUMIFS('2022'!$N:$N,'2022'!$E:$E,Trésorerie!L$4,'2022'!$F:$F,Trésorerie!$B22)</f>
        <v>0</v>
      </c>
      <c r="M22" s="21">
        <f>-SUMIFS('2022'!$M:$M,'2022'!$E:$E,Trésorerie!M$4,'2022'!$F:$F,Trésorerie!$B22)+SUMIFS('2022'!$N:$N,'2022'!$E:$E,Trésorerie!M$4,'2022'!$F:$F,Trésorerie!$B22)</f>
        <v>0</v>
      </c>
      <c r="N22" s="21">
        <f>-SUMIFS('2022'!$M:$M,'2022'!$E:$E,Trésorerie!N$4,'2022'!$F:$F,Trésorerie!$B22)+SUMIFS('2022'!$N:$N,'2022'!$E:$E,Trésorerie!N$4,'2022'!$F:$F,Trésorerie!$B22)</f>
        <v>0</v>
      </c>
      <c r="O22" s="21">
        <f>-SUMIFS('2022'!$M:$M,'2022'!$E:$E,Trésorerie!O$4,'2022'!$F:$F,Trésorerie!$B22)+SUMIFS('2022'!$N:$N,'2022'!$E:$E,Trésorerie!O$4,'2022'!$F:$F,Trésorerie!$B22)</f>
        <v>5938.93</v>
      </c>
      <c r="P22" s="21">
        <f>-SUMIFS('2022'!$M:$M,'2022'!$E:$E,Trésorerie!P$4,'2022'!$F:$F,Trésorerie!$B22)+SUMIFS('2022'!$N:$N,'2022'!$E:$E,Trésorerie!P$4,'2022'!$F:$F,Trésorerie!$B22)</f>
        <v>3211.74</v>
      </c>
      <c r="R22" s="66">
        <f>-SUMIFS('2023-01'!$M:$M,'2023-01'!$E:$E,Trésorerie!R$4,'2023-01'!$F:$F,Trésorerie!$B22)+SUMIFS('2023-01'!$N:$N,'2023-01'!$E:$E,Trésorerie!R$4,'2023-01'!$F:$F,Trésorerie!$B22)</f>
        <v>0</v>
      </c>
      <c r="S22" s="66">
        <f>-SUMIFS('2023-02'!$M:$M,'2023-02'!$E:$E,Trésorerie!S$4,'2023-02'!$F:$F,Trésorerie!$B22)+SUMIFS('2023-02'!$N:$N,'2023-02'!$E:$E,Trésorerie!S$4,'2023-02'!$F:$F,Trésorerie!$B22)</f>
        <v>4817.6099999999997</v>
      </c>
      <c r="T22" s="66">
        <f>-SUMIFS('2023-03'!$M:$M,'2023-03'!$E:$E,Trésorerie!T$4,'2023-03'!$F:$F,Trésorerie!$B22)+SUMIFS('2023-03'!$N:$N,'2023-03'!$E:$E,Trésorerie!T$4,'2023-03'!$F:$F,Trésorerie!$B22)</f>
        <v>0</v>
      </c>
      <c r="U22" s="66">
        <f>-SUMIFS('2023-04'!$M:$M,'2023-04'!$E:$E,Trésorerie!U$4,'2023-04'!$F:$F,Trésorerie!$B22)+SUMIFS('2023-04'!$N:$N,'2023-04'!$E:$E,Trésorerie!U$4,'2023-04'!$F:$F,Trésorerie!$B22)</f>
        <v>0</v>
      </c>
      <c r="V22" s="66">
        <f>-SUMIFS('2023-05'!$M:$M,'2023-05'!$E:$E,Trésorerie!V$4,'2023-05'!$F:$F,Trésorerie!$B22)+SUMIFS('2023-05'!$N:$N,'2023-05'!$E:$E,Trésorerie!V$4,'2023-05'!$F:$F,Trésorerie!$B22)</f>
        <v>0</v>
      </c>
      <c r="W22" s="66">
        <f>-SUMIFS('2023-06'!$M:$M,'2023-06'!$E:$E,Trésorerie!W$4,'2023-06'!$F:$F,Trésorerie!$B22)+SUMIFS('2023-06'!$N:$N,'2023-06'!$E:$E,Trésorerie!W$4,'2023-06'!$F:$F,Trésorerie!$B22)</f>
        <v>0</v>
      </c>
      <c r="X22" s="66">
        <f>-SUMIFS('2023-07'!$M:$M,'2023-07'!$E:$E,Trésorerie!X$4,'2023-07'!$F:$F,Trésorerie!$B22)+SUMIFS('2023-07'!$N:$N,'2023-07'!$E:$E,Trésorerie!X$4,'2023-07'!$F:$F,Trésorerie!$B22)</f>
        <v>0</v>
      </c>
      <c r="Y22" s="66">
        <f>-SUMIFS('2023-08'!$M:$M,'2023-08'!$E:$E,Trésorerie!Y$4,'2023-08'!$F:$F,Trésorerie!$B22)+SUMIFS('2023-08'!$N:$N,'2023-08'!$E:$E,Trésorerie!Y$4,'2023-08'!$F:$F,Trésorerie!$B22)</f>
        <v>0</v>
      </c>
      <c r="Z22" s="66">
        <f>-SUMIFS('2023-09'!$M:$M,'2023-09'!$E:$E,Trésorerie!Z$4,'2023-09'!$F:$F,Trésorerie!$B22)+SUMIFS('2023-09'!$N:$N,'2023-09'!$E:$E,Trésorerie!Z$4,'2023-09'!$F:$F,Trésorerie!$B22)</f>
        <v>0</v>
      </c>
      <c r="AA22" s="66">
        <f>-SUMIFS('2023-10'!$M:$M,'2023-10'!$E:$E,Trésorerie!AA$4,'2023-10'!$F:$F,Trésorerie!$B22)+SUMIFS('2023-10'!$N:$N,'2023-10'!$E:$E,Trésorerie!AA$4,'2023-10'!$F:$F,Trésorerie!$B22)</f>
        <v>3014.19</v>
      </c>
      <c r="AB22" s="75">
        <f>IF(SUM($E22:O22)&gt;SUM($R22:AA22),SUM($E22:O22)-SUM($R22:AA22),0)</f>
        <v>0</v>
      </c>
      <c r="AC22" s="75">
        <f>IF(SUM($E22:P22)&gt;SUM($R22:AB22),SUM($E22:P22)-SUM($R22:AB22),0)</f>
        <v>1318.8700000000008</v>
      </c>
      <c r="AD22" s="79"/>
    </row>
    <row r="23" spans="1:30" x14ac:dyDescent="0.25">
      <c r="A23" s="9">
        <f t="shared" si="0"/>
        <v>7115.26</v>
      </c>
      <c r="B23" s="49">
        <v>411020</v>
      </c>
      <c r="C23" s="15" t="s">
        <v>30</v>
      </c>
      <c r="D23" s="49" t="s">
        <v>4751</v>
      </c>
      <c r="E23" s="21">
        <f>-SUMIFS('2022'!$M:$M,'2022'!$E:$E,Trésorerie!E$4,'2022'!$F:$F,Trésorerie!$B23)+SUMIFS('2022'!$N:$N,'2022'!$E:$E,Trésorerie!E$4,'2022'!$F:$F,Trésorerie!$B23)</f>
        <v>580.95000000000005</v>
      </c>
      <c r="F23" s="21">
        <f>-SUMIFS('2022'!$M:$M,'2022'!$E:$E,Trésorerie!F$4,'2022'!$F:$F,Trésorerie!$B23)+SUMIFS('2022'!$N:$N,'2022'!$E:$E,Trésorerie!F$4,'2022'!$F:$F,Trésorerie!$B23)</f>
        <v>805.56000000000006</v>
      </c>
      <c r="G23" s="21">
        <f>-SUMIFS('2022'!$M:$M,'2022'!$E:$E,Trésorerie!G$4,'2022'!$F:$F,Trésorerie!$B23)+SUMIFS('2022'!$N:$N,'2022'!$E:$E,Trésorerie!G$4,'2022'!$F:$F,Trésorerie!$B23)</f>
        <v>711.90000000000009</v>
      </c>
      <c r="H23" s="21">
        <f>-SUMIFS('2022'!$M:$M,'2022'!$E:$E,Trésorerie!H$4,'2022'!$F:$F,Trésorerie!$B23)+SUMIFS('2022'!$N:$N,'2022'!$E:$E,Trésorerie!H$4,'2022'!$F:$F,Trésorerie!$B23)</f>
        <v>583</v>
      </c>
      <c r="I23" s="21">
        <f>-SUMIFS('2022'!$M:$M,'2022'!$E:$E,Trésorerie!I$4,'2022'!$F:$F,Trésorerie!$B23)+SUMIFS('2022'!$N:$N,'2022'!$E:$E,Trésorerie!I$4,'2022'!$F:$F,Trésorerie!$B23)</f>
        <v>491.90000000000003</v>
      </c>
      <c r="J23" s="21">
        <f>-SUMIFS('2022'!$M:$M,'2022'!$E:$E,Trésorerie!J$4,'2022'!$F:$F,Trésorerie!$B23)+SUMIFS('2022'!$N:$N,'2022'!$E:$E,Trésorerie!J$4,'2022'!$F:$F,Trésorerie!$B23)</f>
        <v>681.68999999999994</v>
      </c>
      <c r="K23" s="21">
        <f>-SUMIFS('2022'!$M:$M,'2022'!$E:$E,Trésorerie!K$4,'2022'!$F:$F,Trésorerie!$B23)+SUMIFS('2022'!$N:$N,'2022'!$E:$E,Trésorerie!K$4,'2022'!$F:$F,Trésorerie!$B23)</f>
        <v>906.5</v>
      </c>
      <c r="L23" s="21">
        <f>-SUMIFS('2022'!$M:$M,'2022'!$E:$E,Trésorerie!L$4,'2022'!$F:$F,Trésorerie!$B23)+SUMIFS('2022'!$N:$N,'2022'!$E:$E,Trésorerie!L$4,'2022'!$F:$F,Trésorerie!$B23)</f>
        <v>0</v>
      </c>
      <c r="M23" s="21">
        <f>-SUMIFS('2022'!$M:$M,'2022'!$E:$E,Trésorerie!M$4,'2022'!$F:$F,Trésorerie!$B23)+SUMIFS('2022'!$N:$N,'2022'!$E:$E,Trésorerie!M$4,'2022'!$F:$F,Trésorerie!$B23)</f>
        <v>249.22</v>
      </c>
      <c r="N23" s="21">
        <f>-SUMIFS('2022'!$M:$M,'2022'!$E:$E,Trésorerie!N$4,'2022'!$F:$F,Trésorerie!$B23)+SUMIFS('2022'!$N:$N,'2022'!$E:$E,Trésorerie!N$4,'2022'!$F:$F,Trésorerie!$B23)</f>
        <v>773.25</v>
      </c>
      <c r="O23" s="21">
        <f>-SUMIFS('2022'!$M:$M,'2022'!$E:$E,Trésorerie!O$4,'2022'!$F:$F,Trésorerie!$B23)+SUMIFS('2022'!$N:$N,'2022'!$E:$E,Trésorerie!O$4,'2022'!$F:$F,Trésorerie!$B23)</f>
        <v>710.43</v>
      </c>
      <c r="P23" s="21">
        <f>-SUMIFS('2022'!$M:$M,'2022'!$E:$E,Trésorerie!P$4,'2022'!$F:$F,Trésorerie!$B23)+SUMIFS('2022'!$N:$N,'2022'!$E:$E,Trésorerie!P$4,'2022'!$F:$F,Trésorerie!$B23)</f>
        <v>620.86</v>
      </c>
      <c r="R23" s="66">
        <f>-SUMIFS('2023-01'!$M:$M,'2023-01'!$E:$E,Trésorerie!R$4,'2023-01'!$F:$F,Trésorerie!$B23)+SUMIFS('2023-01'!$N:$N,'2023-01'!$E:$E,Trésorerie!R$4,'2023-01'!$F:$F,Trésorerie!$B23)</f>
        <v>481.47</v>
      </c>
      <c r="S23" s="66">
        <f>-SUMIFS('2023-02'!$M:$M,'2023-02'!$E:$E,Trésorerie!S$4,'2023-02'!$F:$F,Trésorerie!$B23)+SUMIFS('2023-02'!$N:$N,'2023-02'!$E:$E,Trésorerie!S$4,'2023-02'!$F:$F,Trésorerie!$B23)</f>
        <v>373.07</v>
      </c>
      <c r="T23" s="66">
        <f>-SUMIFS('2023-03'!$M:$M,'2023-03'!$E:$E,Trésorerie!T$4,'2023-03'!$F:$F,Trésorerie!$B23)+SUMIFS('2023-03'!$N:$N,'2023-03'!$E:$E,Trésorerie!T$4,'2023-03'!$F:$F,Trésorerie!$B23)</f>
        <v>958.80000000000007</v>
      </c>
      <c r="U23" s="66">
        <f>-SUMIFS('2023-04'!$M:$M,'2023-04'!$E:$E,Trésorerie!U$4,'2023-04'!$F:$F,Trésorerie!$B23)+SUMIFS('2023-04'!$N:$N,'2023-04'!$E:$E,Trésorerie!U$4,'2023-04'!$F:$F,Trésorerie!$B23)</f>
        <v>496.59</v>
      </c>
      <c r="V23" s="66">
        <f>-SUMIFS('2023-05'!$M:$M,'2023-05'!$E:$E,Trésorerie!V$4,'2023-05'!$F:$F,Trésorerie!$B23)+SUMIFS('2023-05'!$N:$N,'2023-05'!$E:$E,Trésorerie!V$4,'2023-05'!$F:$F,Trésorerie!$B23)</f>
        <v>871.88000000000011</v>
      </c>
      <c r="W23" s="66">
        <f>-SUMIFS('2023-06'!$M:$M,'2023-06'!$E:$E,Trésorerie!W$4,'2023-06'!$F:$F,Trésorerie!$B23)+SUMIFS('2023-06'!$N:$N,'2023-06'!$E:$E,Trésorerie!W$4,'2023-06'!$F:$F,Trésorerie!$B23)</f>
        <v>531.47</v>
      </c>
      <c r="X23" s="66">
        <f>-SUMIFS('2023-07'!$M:$M,'2023-07'!$E:$E,Trésorerie!X$4,'2023-07'!$F:$F,Trésorerie!$B23)+SUMIFS('2023-07'!$N:$N,'2023-07'!$E:$E,Trésorerie!X$4,'2023-07'!$F:$F,Trésorerie!$B23)</f>
        <v>405.65999999999997</v>
      </c>
      <c r="Y23" s="66">
        <f>-SUMIFS('2023-08'!$M:$M,'2023-08'!$E:$E,Trésorerie!Y$4,'2023-08'!$F:$F,Trésorerie!$B23)+SUMIFS('2023-08'!$N:$N,'2023-08'!$E:$E,Trésorerie!Y$4,'2023-08'!$F:$F,Trésorerie!$B23)</f>
        <v>349.31</v>
      </c>
      <c r="Z23" s="66">
        <f>-SUMIFS('2023-09'!$M:$M,'2023-09'!$E:$E,Trésorerie!Z$4,'2023-09'!$F:$F,Trésorerie!$B23)+SUMIFS('2023-09'!$N:$N,'2023-09'!$E:$E,Trésorerie!Z$4,'2023-09'!$F:$F,Trésorerie!$B23)</f>
        <v>496.00999999999993</v>
      </c>
      <c r="AA23" s="66">
        <f>-SUMIFS('2023-10'!$M:$M,'2023-10'!$E:$E,Trésorerie!AA$4,'2023-10'!$F:$F,Trésorerie!$B23)+SUMIFS('2023-10'!$N:$N,'2023-10'!$E:$E,Trésorerie!AA$4,'2023-10'!$F:$F,Trésorerie!$B23)</f>
        <v>746.43</v>
      </c>
      <c r="AB23" s="75">
        <f>IF(SUM($E23:O23)&gt;SUM($R23:AA23),SUM($E23:O23)-SUM($R23:AA23),0)</f>
        <v>783.70999999999913</v>
      </c>
      <c r="AC23" s="75">
        <f>IF(SUM($E23:P23)&gt;SUM($R23:AB23),SUM($E23:P23)-SUM($R23:AB23),0)</f>
        <v>620.85999999999967</v>
      </c>
      <c r="AD23" s="79"/>
    </row>
    <row r="24" spans="1:30" x14ac:dyDescent="0.25">
      <c r="A24" s="9">
        <f t="shared" si="0"/>
        <v>6960.4599999999991</v>
      </c>
      <c r="B24" s="49">
        <v>445010</v>
      </c>
      <c r="C24" s="15" t="s">
        <v>413</v>
      </c>
      <c r="D24" s="49" t="s">
        <v>4751</v>
      </c>
      <c r="E24" s="21">
        <f>-SUMIFS('2022'!$M:$M,'2022'!$E:$E,Trésorerie!E$4,'2022'!$F:$F,Trésorerie!$B24)+SUMIFS('2022'!$N:$N,'2022'!$E:$E,Trésorerie!E$4,'2022'!$F:$F,Trésorerie!$B24)</f>
        <v>0</v>
      </c>
      <c r="F24" s="21">
        <f>-SUMIFS('2022'!$M:$M,'2022'!$E:$E,Trésorerie!F$4,'2022'!$F:$F,Trésorerie!$B24)+SUMIFS('2022'!$N:$N,'2022'!$E:$E,Trésorerie!F$4,'2022'!$F:$F,Trésorerie!$B24)</f>
        <v>0</v>
      </c>
      <c r="G24" s="21">
        <f>-SUMIFS('2022'!$M:$M,'2022'!$E:$E,Trésorerie!G$4,'2022'!$F:$F,Trésorerie!$B24)+SUMIFS('2022'!$N:$N,'2022'!$E:$E,Trésorerie!G$4,'2022'!$F:$F,Trésorerie!$B24)</f>
        <v>0</v>
      </c>
      <c r="H24" s="21">
        <f>-SUMIFS('2022'!$M:$M,'2022'!$E:$E,Trésorerie!H$4,'2022'!$F:$F,Trésorerie!$B24)+SUMIFS('2022'!$N:$N,'2022'!$E:$E,Trésorerie!H$4,'2022'!$F:$F,Trésorerie!$B24)</f>
        <v>0</v>
      </c>
      <c r="I24" s="21">
        <f>-SUMIFS('2022'!$M:$M,'2022'!$E:$E,Trésorerie!I$4,'2022'!$F:$F,Trésorerie!$B24)+SUMIFS('2022'!$N:$N,'2022'!$E:$E,Trésorerie!I$4,'2022'!$F:$F,Trésorerie!$B24)</f>
        <v>2329.83</v>
      </c>
      <c r="J24" s="21">
        <f>-SUMIFS('2022'!$M:$M,'2022'!$E:$E,Trésorerie!J$4,'2022'!$F:$F,Trésorerie!$B24)+SUMIFS('2022'!$N:$N,'2022'!$E:$E,Trésorerie!J$4,'2022'!$F:$F,Trésorerie!$B24)</f>
        <v>3139.6499999999996</v>
      </c>
      <c r="K24" s="21">
        <f>-SUMIFS('2022'!$M:$M,'2022'!$E:$E,Trésorerie!K$4,'2022'!$F:$F,Trésorerie!$B24)+SUMIFS('2022'!$N:$N,'2022'!$E:$E,Trésorerie!K$4,'2022'!$F:$F,Trésorerie!$B24)</f>
        <v>0</v>
      </c>
      <c r="L24" s="21">
        <f>-SUMIFS('2022'!$M:$M,'2022'!$E:$E,Trésorerie!L$4,'2022'!$F:$F,Trésorerie!$B24)+SUMIFS('2022'!$N:$N,'2022'!$E:$E,Trésorerie!L$4,'2022'!$F:$F,Trésorerie!$B24)</f>
        <v>0</v>
      </c>
      <c r="M24" s="21">
        <f>-SUMIFS('2022'!$M:$M,'2022'!$E:$E,Trésorerie!M$4,'2022'!$F:$F,Trésorerie!$B24)+SUMIFS('2022'!$N:$N,'2022'!$E:$E,Trésorerie!M$4,'2022'!$F:$F,Trésorerie!$B24)</f>
        <v>0</v>
      </c>
      <c r="N24" s="21">
        <f>-SUMIFS('2022'!$M:$M,'2022'!$E:$E,Trésorerie!N$4,'2022'!$F:$F,Trésorerie!$B24)+SUMIFS('2022'!$N:$N,'2022'!$E:$E,Trésorerie!N$4,'2022'!$F:$F,Trésorerie!$B24)</f>
        <v>0</v>
      </c>
      <c r="O24" s="21">
        <f>-SUMIFS('2022'!$M:$M,'2022'!$E:$E,Trésorerie!O$4,'2022'!$F:$F,Trésorerie!$B24)+SUMIFS('2022'!$N:$N,'2022'!$E:$E,Trésorerie!O$4,'2022'!$F:$F,Trésorerie!$B24)</f>
        <v>1490.98</v>
      </c>
      <c r="P24" s="21">
        <f>-SUMIFS('2022'!$M:$M,'2022'!$E:$E,Trésorerie!P$4,'2022'!$F:$F,Trésorerie!$B24)+SUMIFS('2022'!$N:$N,'2022'!$E:$E,Trésorerie!P$4,'2022'!$F:$F,Trésorerie!$B24)</f>
        <v>0</v>
      </c>
      <c r="R24" s="66">
        <f>-SUMIFS('2023-01'!$M:$M,'2023-01'!$E:$E,Trésorerie!R$4,'2023-01'!$F:$F,Trésorerie!$B24)+SUMIFS('2023-01'!$N:$N,'2023-01'!$E:$E,Trésorerie!R$4,'2023-01'!$F:$F,Trésorerie!$B24)</f>
        <v>0</v>
      </c>
      <c r="S24" s="66">
        <f>-SUMIFS('2023-02'!$M:$M,'2023-02'!$E:$E,Trésorerie!S$4,'2023-02'!$F:$F,Trésorerie!$B24)+SUMIFS('2023-02'!$N:$N,'2023-02'!$E:$E,Trésorerie!S$4,'2023-02'!$F:$F,Trésorerie!$B24)</f>
        <v>0</v>
      </c>
      <c r="T24" s="66">
        <f>-SUMIFS('2023-03'!$M:$M,'2023-03'!$E:$E,Trésorerie!T$4,'2023-03'!$F:$F,Trésorerie!$B24)+SUMIFS('2023-03'!$N:$N,'2023-03'!$E:$E,Trésorerie!T$4,'2023-03'!$F:$F,Trésorerie!$B24)</f>
        <v>3808.48</v>
      </c>
      <c r="U24" s="66">
        <f>-SUMIFS('2023-04'!$M:$M,'2023-04'!$E:$E,Trésorerie!U$4,'2023-04'!$F:$F,Trésorerie!$B24)+SUMIFS('2023-04'!$N:$N,'2023-04'!$E:$E,Trésorerie!U$4,'2023-04'!$F:$F,Trésorerie!$B24)</f>
        <v>0</v>
      </c>
      <c r="V24" s="66">
        <f>-SUMIFS('2023-05'!$M:$M,'2023-05'!$E:$E,Trésorerie!V$4,'2023-05'!$F:$F,Trésorerie!$B24)+SUMIFS('2023-05'!$N:$N,'2023-05'!$E:$E,Trésorerie!V$4,'2023-05'!$F:$F,Trésorerie!$B24)</f>
        <v>0</v>
      </c>
      <c r="W24" s="66">
        <f>-SUMIFS('2023-06'!$M:$M,'2023-06'!$E:$E,Trésorerie!W$4,'2023-06'!$F:$F,Trésorerie!$B24)+SUMIFS('2023-06'!$N:$N,'2023-06'!$E:$E,Trésorerie!W$4,'2023-06'!$F:$F,Trésorerie!$B24)</f>
        <v>2289.7199999999998</v>
      </c>
      <c r="X24" s="66">
        <f>-SUMIFS('2023-07'!$M:$M,'2023-07'!$E:$E,Trésorerie!X$4,'2023-07'!$F:$F,Trésorerie!$B24)+SUMIFS('2023-07'!$N:$N,'2023-07'!$E:$E,Trésorerie!X$4,'2023-07'!$F:$F,Trésorerie!$B24)</f>
        <v>0</v>
      </c>
      <c r="Y24" s="66">
        <f>-SUMIFS('2023-08'!$M:$M,'2023-08'!$E:$E,Trésorerie!Y$4,'2023-08'!$F:$F,Trésorerie!$B24)+SUMIFS('2023-08'!$N:$N,'2023-08'!$E:$E,Trésorerie!Y$4,'2023-08'!$F:$F,Trésorerie!$B24)</f>
        <v>0</v>
      </c>
      <c r="Z24" s="66">
        <f>-SUMIFS('2023-09'!$M:$M,'2023-09'!$E:$E,Trésorerie!Z$4,'2023-09'!$F:$F,Trésorerie!$B24)+SUMIFS('2023-09'!$N:$N,'2023-09'!$E:$E,Trésorerie!Z$4,'2023-09'!$F:$F,Trésorerie!$B24)</f>
        <v>1979.42</v>
      </c>
      <c r="AA24" s="66">
        <f>-SUMIFS('2023-10'!$M:$M,'2023-10'!$E:$E,Trésorerie!AA$4,'2023-10'!$F:$F,Trésorerie!$B24)+SUMIFS('2023-10'!$N:$N,'2023-10'!$E:$E,Trésorerie!AA$4,'2023-10'!$F:$F,Trésorerie!$B24)</f>
        <v>0</v>
      </c>
      <c r="AB24" s="75">
        <f>IF(SUM($E24:O24)&gt;SUM($R24:AA24),SUM($E24:O24)-SUM($R24:AA24),0)</f>
        <v>0</v>
      </c>
      <c r="AC24" s="75">
        <f>IF(SUM($E24:P24)&gt;SUM($R24:AB24),SUM($E24:P24)-SUM($R24:AB24),0)</f>
        <v>0</v>
      </c>
      <c r="AD24" s="79"/>
    </row>
    <row r="25" spans="1:30" x14ac:dyDescent="0.25">
      <c r="A25" s="9">
        <f t="shared" si="0"/>
        <v>4821</v>
      </c>
      <c r="B25" s="49">
        <v>445055</v>
      </c>
      <c r="C25" s="15" t="s">
        <v>3441</v>
      </c>
      <c r="D25" s="49" t="s">
        <v>4751</v>
      </c>
      <c r="E25" s="21">
        <f>-SUMIFS('2022'!$M:$M,'2022'!$E:$E,Trésorerie!E$4,'2022'!$F:$F,Trésorerie!$B25)+SUMIFS('2022'!$N:$N,'2022'!$E:$E,Trésorerie!E$4,'2022'!$F:$F,Trésorerie!$B25)</f>
        <v>0</v>
      </c>
      <c r="F25" s="21">
        <f>-SUMIFS('2022'!$M:$M,'2022'!$E:$E,Trésorerie!F$4,'2022'!$F:$F,Trésorerie!$B25)+SUMIFS('2022'!$N:$N,'2022'!$E:$E,Trésorerie!F$4,'2022'!$F:$F,Trésorerie!$B25)</f>
        <v>0</v>
      </c>
      <c r="G25" s="21">
        <f>-SUMIFS('2022'!$M:$M,'2022'!$E:$E,Trésorerie!G$4,'2022'!$F:$F,Trésorerie!$B25)+SUMIFS('2022'!$N:$N,'2022'!$E:$E,Trésorerie!G$4,'2022'!$F:$F,Trésorerie!$B25)</f>
        <v>0</v>
      </c>
      <c r="H25" s="21">
        <f>-SUMIFS('2022'!$M:$M,'2022'!$E:$E,Trésorerie!H$4,'2022'!$F:$F,Trésorerie!$B25)+SUMIFS('2022'!$N:$N,'2022'!$E:$E,Trésorerie!H$4,'2022'!$F:$F,Trésorerie!$B25)</f>
        <v>0</v>
      </c>
      <c r="I25" s="21">
        <f>-SUMIFS('2022'!$M:$M,'2022'!$E:$E,Trésorerie!I$4,'2022'!$F:$F,Trésorerie!$B25)+SUMIFS('2022'!$N:$N,'2022'!$E:$E,Trésorerie!I$4,'2022'!$F:$F,Trésorerie!$B25)</f>
        <v>0</v>
      </c>
      <c r="J25" s="21">
        <f>-SUMIFS('2022'!$M:$M,'2022'!$E:$E,Trésorerie!J$4,'2022'!$F:$F,Trésorerie!$B25)+SUMIFS('2022'!$N:$N,'2022'!$E:$E,Trésorerie!J$4,'2022'!$F:$F,Trésorerie!$B25)</f>
        <v>0</v>
      </c>
      <c r="K25" s="21">
        <f>-SUMIFS('2022'!$M:$M,'2022'!$E:$E,Trésorerie!K$4,'2022'!$F:$F,Trésorerie!$B25)+SUMIFS('2022'!$N:$N,'2022'!$E:$E,Trésorerie!K$4,'2022'!$F:$F,Trésorerie!$B25)</f>
        <v>0</v>
      </c>
      <c r="L25" s="21">
        <f>-SUMIFS('2022'!$M:$M,'2022'!$E:$E,Trésorerie!L$4,'2022'!$F:$F,Trésorerie!$B25)+SUMIFS('2022'!$N:$N,'2022'!$E:$E,Trésorerie!L$4,'2022'!$F:$F,Trésorerie!$B25)</f>
        <v>0</v>
      </c>
      <c r="M25" s="21">
        <f>-SUMIFS('2022'!$M:$M,'2022'!$E:$E,Trésorerie!M$4,'2022'!$F:$F,Trésorerie!$B25)+SUMIFS('2022'!$N:$N,'2022'!$E:$E,Trésorerie!M$4,'2022'!$F:$F,Trésorerie!$B25)</f>
        <v>831</v>
      </c>
      <c r="N25" s="21">
        <f>-SUMIFS('2022'!$M:$M,'2022'!$E:$E,Trésorerie!N$4,'2022'!$F:$F,Trésorerie!$B25)+SUMIFS('2022'!$N:$N,'2022'!$E:$E,Trésorerie!N$4,'2022'!$F:$F,Trésorerie!$B25)</f>
        <v>2213</v>
      </c>
      <c r="O25" s="21">
        <f>-SUMIFS('2022'!$M:$M,'2022'!$E:$E,Trésorerie!O$4,'2022'!$F:$F,Trésorerie!$B25)+SUMIFS('2022'!$N:$N,'2022'!$E:$E,Trésorerie!O$4,'2022'!$F:$F,Trésorerie!$B25)</f>
        <v>995</v>
      </c>
      <c r="P25" s="21">
        <f>-SUMIFS('2022'!$M:$M,'2022'!$E:$E,Trésorerie!P$4,'2022'!$F:$F,Trésorerie!$B25)+SUMIFS('2022'!$N:$N,'2022'!$E:$E,Trésorerie!P$4,'2022'!$F:$F,Trésorerie!$B25)</f>
        <v>782</v>
      </c>
      <c r="R25" s="66">
        <f>-SUMIFS('2023-01'!$M:$M,'2023-01'!$E:$E,Trésorerie!R$4,'2023-01'!$F:$F,Trésorerie!$B25)+SUMIFS('2023-01'!$N:$N,'2023-01'!$E:$E,Trésorerie!R$4,'2023-01'!$F:$F,Trésorerie!$B25)</f>
        <v>0</v>
      </c>
      <c r="S25" s="66">
        <f>-SUMIFS('2023-02'!$M:$M,'2023-02'!$E:$E,Trésorerie!S$4,'2023-02'!$F:$F,Trésorerie!$B25)+SUMIFS('2023-02'!$N:$N,'2023-02'!$E:$E,Trésorerie!S$4,'2023-02'!$F:$F,Trésorerie!$B25)</f>
        <v>0</v>
      </c>
      <c r="T25" s="66">
        <f>-SUMIFS('2023-03'!$M:$M,'2023-03'!$E:$E,Trésorerie!T$4,'2023-03'!$F:$F,Trésorerie!$B25)+SUMIFS('2023-03'!$N:$N,'2023-03'!$E:$E,Trésorerie!T$4,'2023-03'!$F:$F,Trésorerie!$B25)</f>
        <v>0</v>
      </c>
      <c r="U25" s="66">
        <f>-SUMIFS('2023-04'!$M:$M,'2023-04'!$E:$E,Trésorerie!U$4,'2023-04'!$F:$F,Trésorerie!$B25)+SUMIFS('2023-04'!$N:$N,'2023-04'!$E:$E,Trésorerie!U$4,'2023-04'!$F:$F,Trésorerie!$B25)</f>
        <v>0</v>
      </c>
      <c r="V25" s="66">
        <f>-SUMIFS('2023-05'!$M:$M,'2023-05'!$E:$E,Trésorerie!V$4,'2023-05'!$F:$F,Trésorerie!$B25)+SUMIFS('2023-05'!$N:$N,'2023-05'!$E:$E,Trésorerie!V$4,'2023-05'!$F:$F,Trésorerie!$B25)</f>
        <v>0</v>
      </c>
      <c r="W25" s="66">
        <f>-SUMIFS('2023-06'!$M:$M,'2023-06'!$E:$E,Trésorerie!W$4,'2023-06'!$F:$F,Trésorerie!$B25)+SUMIFS('2023-06'!$N:$N,'2023-06'!$E:$E,Trésorerie!W$4,'2023-06'!$F:$F,Trésorerie!$B25)</f>
        <v>0</v>
      </c>
      <c r="X25" s="66">
        <f>-SUMIFS('2023-07'!$M:$M,'2023-07'!$E:$E,Trésorerie!X$4,'2023-07'!$F:$F,Trésorerie!$B25)+SUMIFS('2023-07'!$N:$N,'2023-07'!$E:$E,Trésorerie!X$4,'2023-07'!$F:$F,Trésorerie!$B25)</f>
        <v>245</v>
      </c>
      <c r="Y25" s="66">
        <f>-SUMIFS('2023-08'!$M:$M,'2023-08'!$E:$E,Trésorerie!Y$4,'2023-08'!$F:$F,Trésorerie!$B25)+SUMIFS('2023-08'!$N:$N,'2023-08'!$E:$E,Trésorerie!Y$4,'2023-08'!$F:$F,Trésorerie!$B25)</f>
        <v>0</v>
      </c>
      <c r="Z25" s="66">
        <f>-SUMIFS('2023-09'!$M:$M,'2023-09'!$E:$E,Trésorerie!Z$4,'2023-09'!$F:$F,Trésorerie!$B25)+SUMIFS('2023-09'!$N:$N,'2023-09'!$E:$E,Trésorerie!Z$4,'2023-09'!$F:$F,Trésorerie!$B25)</f>
        <v>0</v>
      </c>
      <c r="AA25" s="66">
        <f>-SUMIFS('2023-10'!$M:$M,'2023-10'!$E:$E,Trésorerie!AA$4,'2023-10'!$F:$F,Trésorerie!$B25)+SUMIFS('2023-10'!$N:$N,'2023-10'!$E:$E,Trésorerie!AA$4,'2023-10'!$F:$F,Trésorerie!$B25)</f>
        <v>0</v>
      </c>
      <c r="AB25" s="75">
        <f>IF(SUM($E25:O25)&gt;SUM($R25:AA25),SUM($E25:O25)-SUM($R25:AA25),0)</f>
        <v>3794</v>
      </c>
      <c r="AC25" s="75">
        <f>IF(SUM($E25:P25)&gt;SUM($R25:AB25),SUM($E25:P25)-SUM($R25:AB25),0)</f>
        <v>782</v>
      </c>
      <c r="AD25" s="79"/>
    </row>
    <row r="26" spans="1:30" x14ac:dyDescent="0.25">
      <c r="A26" s="9">
        <f t="shared" si="0"/>
        <v>0</v>
      </c>
      <c r="B26" s="49">
        <v>445035</v>
      </c>
      <c r="C26" s="15" t="s">
        <v>6273</v>
      </c>
      <c r="D26" s="49" t="s">
        <v>4751</v>
      </c>
      <c r="E26" s="21">
        <f>-SUMIFS('2022'!$M:$M,'2022'!$E:$E,Trésorerie!E$4,'2022'!$F:$F,Trésorerie!$B26)+SUMIFS('2022'!$N:$N,'2022'!$E:$E,Trésorerie!E$4,'2022'!$F:$F,Trésorerie!$B26)</f>
        <v>0</v>
      </c>
      <c r="F26" s="21">
        <f>-SUMIFS('2022'!$M:$M,'2022'!$E:$E,Trésorerie!F$4,'2022'!$F:$F,Trésorerie!$B26)+SUMIFS('2022'!$N:$N,'2022'!$E:$E,Trésorerie!F$4,'2022'!$F:$F,Trésorerie!$B26)</f>
        <v>0</v>
      </c>
      <c r="G26" s="21">
        <f>-SUMIFS('2022'!$M:$M,'2022'!$E:$E,Trésorerie!G$4,'2022'!$F:$F,Trésorerie!$B26)+SUMIFS('2022'!$N:$N,'2022'!$E:$E,Trésorerie!G$4,'2022'!$F:$F,Trésorerie!$B26)</f>
        <v>0</v>
      </c>
      <c r="H26" s="21">
        <f>-SUMIFS('2022'!$M:$M,'2022'!$E:$E,Trésorerie!H$4,'2022'!$F:$F,Trésorerie!$B26)+SUMIFS('2022'!$N:$N,'2022'!$E:$E,Trésorerie!H$4,'2022'!$F:$F,Trésorerie!$B26)</f>
        <v>0</v>
      </c>
      <c r="I26" s="21">
        <f>-SUMIFS('2022'!$M:$M,'2022'!$E:$E,Trésorerie!I$4,'2022'!$F:$F,Trésorerie!$B26)+SUMIFS('2022'!$N:$N,'2022'!$E:$E,Trésorerie!I$4,'2022'!$F:$F,Trésorerie!$B26)</f>
        <v>0</v>
      </c>
      <c r="J26" s="21">
        <f>-SUMIFS('2022'!$M:$M,'2022'!$E:$E,Trésorerie!J$4,'2022'!$F:$F,Trésorerie!$B26)+SUMIFS('2022'!$N:$N,'2022'!$E:$E,Trésorerie!J$4,'2022'!$F:$F,Trésorerie!$B26)</f>
        <v>0</v>
      </c>
      <c r="K26" s="21">
        <f>-SUMIFS('2022'!$M:$M,'2022'!$E:$E,Trésorerie!K$4,'2022'!$F:$F,Trésorerie!$B26)+SUMIFS('2022'!$N:$N,'2022'!$E:$E,Trésorerie!K$4,'2022'!$F:$F,Trésorerie!$B26)</f>
        <v>0</v>
      </c>
      <c r="L26" s="21">
        <f>-SUMIFS('2022'!$M:$M,'2022'!$E:$E,Trésorerie!L$4,'2022'!$F:$F,Trésorerie!$B26)+SUMIFS('2022'!$N:$N,'2022'!$E:$E,Trésorerie!L$4,'2022'!$F:$F,Trésorerie!$B26)</f>
        <v>0</v>
      </c>
      <c r="M26" s="21">
        <f>-SUMIFS('2022'!$M:$M,'2022'!$E:$E,Trésorerie!M$4,'2022'!$F:$F,Trésorerie!$B26)+SUMIFS('2022'!$N:$N,'2022'!$E:$E,Trésorerie!M$4,'2022'!$F:$F,Trésorerie!$B26)</f>
        <v>0</v>
      </c>
      <c r="N26" s="21">
        <f>-SUMIFS('2022'!$M:$M,'2022'!$E:$E,Trésorerie!N$4,'2022'!$F:$F,Trésorerie!$B26)+SUMIFS('2022'!$N:$N,'2022'!$E:$E,Trésorerie!N$4,'2022'!$F:$F,Trésorerie!$B26)</f>
        <v>0</v>
      </c>
      <c r="O26" s="21">
        <f>-SUMIFS('2022'!$M:$M,'2022'!$E:$E,Trésorerie!O$4,'2022'!$F:$F,Trésorerie!$B26)+SUMIFS('2022'!$N:$N,'2022'!$E:$E,Trésorerie!O$4,'2022'!$F:$F,Trésorerie!$B26)</f>
        <v>0</v>
      </c>
      <c r="P26" s="21">
        <f>-SUMIFS('2022'!$M:$M,'2022'!$E:$E,Trésorerie!P$4,'2022'!$F:$F,Trésorerie!$B26)+SUMIFS('2022'!$N:$N,'2022'!$E:$E,Trésorerie!P$4,'2022'!$F:$F,Trésorerie!$B26)</f>
        <v>0</v>
      </c>
      <c r="R26" s="66">
        <f>-SUMIFS('2023-01'!$M:$M,'2023-01'!$E:$E,Trésorerie!R$4,'2023-01'!$F:$F,Trésorerie!$B26)+SUMIFS('2023-01'!$N:$N,'2023-01'!$E:$E,Trésorerie!R$4,'2023-01'!$F:$F,Trésorerie!$B26)</f>
        <v>0</v>
      </c>
      <c r="S26" s="66">
        <f>-SUMIFS('2023-02'!$M:$M,'2023-02'!$E:$E,Trésorerie!S$4,'2023-02'!$F:$F,Trésorerie!$B26)+SUMIFS('2023-02'!$N:$N,'2023-02'!$E:$E,Trésorerie!S$4,'2023-02'!$F:$F,Trésorerie!$B26)</f>
        <v>0</v>
      </c>
      <c r="T26" s="66">
        <f>-SUMIFS('2023-03'!$M:$M,'2023-03'!$E:$E,Trésorerie!T$4,'2023-03'!$F:$F,Trésorerie!$B26)+SUMIFS('2023-03'!$N:$N,'2023-03'!$E:$E,Trésorerie!T$4,'2023-03'!$F:$F,Trésorerie!$B26)</f>
        <v>0</v>
      </c>
      <c r="U26" s="66">
        <f>-SUMIFS('2023-04'!$M:$M,'2023-04'!$E:$E,Trésorerie!U$4,'2023-04'!$F:$F,Trésorerie!$B26)+SUMIFS('2023-04'!$N:$N,'2023-04'!$E:$E,Trésorerie!U$4,'2023-04'!$F:$F,Trésorerie!$B26)</f>
        <v>121.93</v>
      </c>
      <c r="V26" s="66">
        <f>-SUMIFS('2023-05'!$M:$M,'2023-05'!$E:$E,Trésorerie!V$4,'2023-05'!$F:$F,Trésorerie!$B26)+SUMIFS('2023-05'!$N:$N,'2023-05'!$E:$E,Trésorerie!V$4,'2023-05'!$F:$F,Trésorerie!$B26)</f>
        <v>0</v>
      </c>
      <c r="W26" s="66">
        <f>-SUMIFS('2023-06'!$M:$M,'2023-06'!$E:$E,Trésorerie!W$4,'2023-06'!$F:$F,Trésorerie!$B26)+SUMIFS('2023-06'!$N:$N,'2023-06'!$E:$E,Trésorerie!W$4,'2023-06'!$F:$F,Trésorerie!$B26)</f>
        <v>0</v>
      </c>
      <c r="X26" s="66">
        <f>-SUMIFS('2023-07'!$M:$M,'2023-07'!$E:$E,Trésorerie!X$4,'2023-07'!$F:$F,Trésorerie!$B26)+SUMIFS('2023-07'!$N:$N,'2023-07'!$E:$E,Trésorerie!X$4,'2023-07'!$F:$F,Trésorerie!$B26)</f>
        <v>0</v>
      </c>
      <c r="Y26" s="66">
        <f>-SUMIFS('2023-08'!$M:$M,'2023-08'!$E:$E,Trésorerie!Y$4,'2023-08'!$F:$F,Trésorerie!$B26)+SUMIFS('2023-08'!$N:$N,'2023-08'!$E:$E,Trésorerie!Y$4,'2023-08'!$F:$F,Trésorerie!$B26)</f>
        <v>0</v>
      </c>
      <c r="Z26" s="66">
        <f>-SUMIFS('2023-09'!$M:$M,'2023-09'!$E:$E,Trésorerie!Z$4,'2023-09'!$F:$F,Trésorerie!$B26)+SUMIFS('2023-09'!$N:$N,'2023-09'!$E:$E,Trésorerie!Z$4,'2023-09'!$F:$F,Trésorerie!$B26)</f>
        <v>0</v>
      </c>
      <c r="AA26" s="66">
        <f>-SUMIFS('2023-10'!$M:$M,'2023-10'!$E:$E,Trésorerie!AA$4,'2023-10'!$F:$F,Trésorerie!$B26)+SUMIFS('2023-10'!$N:$N,'2023-10'!$E:$E,Trésorerie!AA$4,'2023-10'!$F:$F,Trésorerie!$B26)</f>
        <v>0</v>
      </c>
      <c r="AB26" s="75">
        <f>IF(SUM($E26:O26)&gt;SUM($R26:AA26),SUM($E26:O26)-SUM($R26:AA26),0)</f>
        <v>0</v>
      </c>
      <c r="AC26" s="75">
        <f>IF(SUM($E26:P26)&gt;SUM($R26:AB26),SUM($E26:P26)-SUM($R26:AB26),0)</f>
        <v>0</v>
      </c>
      <c r="AD26" s="79"/>
    </row>
    <row r="27" spans="1:30" x14ac:dyDescent="0.25">
      <c r="A27" s="9">
        <f t="shared" si="0"/>
        <v>3770.2000000000003</v>
      </c>
      <c r="B27" s="49">
        <v>411000</v>
      </c>
      <c r="C27" s="15" t="s">
        <v>21</v>
      </c>
      <c r="D27" s="49" t="s">
        <v>4751</v>
      </c>
      <c r="E27" s="21">
        <f>-SUMIFS('2022'!$M:$M,'2022'!$E:$E,Trésorerie!E$4,'2022'!$F:$F,Trésorerie!$B27)+SUMIFS('2022'!$N:$N,'2022'!$E:$E,Trésorerie!E$4,'2022'!$F:$F,Trésorerie!$B27)</f>
        <v>407.09999999999997</v>
      </c>
      <c r="F27" s="21">
        <f>-SUMIFS('2022'!$M:$M,'2022'!$E:$E,Trésorerie!F$4,'2022'!$F:$F,Trésorerie!$B27)+SUMIFS('2022'!$N:$N,'2022'!$E:$E,Trésorerie!F$4,'2022'!$F:$F,Trésorerie!$B27)</f>
        <v>557.66</v>
      </c>
      <c r="G27" s="21">
        <f>-SUMIFS('2022'!$M:$M,'2022'!$E:$E,Trésorerie!G$4,'2022'!$F:$F,Trésorerie!$B27)+SUMIFS('2022'!$N:$N,'2022'!$E:$E,Trésorerie!G$4,'2022'!$F:$F,Trésorerie!$B27)</f>
        <v>910.63</v>
      </c>
      <c r="H27" s="21">
        <f>-SUMIFS('2022'!$M:$M,'2022'!$E:$E,Trésorerie!H$4,'2022'!$F:$F,Trésorerie!$B27)+SUMIFS('2022'!$N:$N,'2022'!$E:$E,Trésorerie!H$4,'2022'!$F:$F,Trésorerie!$B27)</f>
        <v>-30</v>
      </c>
      <c r="I27" s="21">
        <f>-SUMIFS('2022'!$M:$M,'2022'!$E:$E,Trésorerie!I$4,'2022'!$F:$F,Trésorerie!$B27)+SUMIFS('2022'!$N:$N,'2022'!$E:$E,Trésorerie!I$4,'2022'!$F:$F,Trésorerie!$B27)</f>
        <v>61.4</v>
      </c>
      <c r="J27" s="21">
        <f>-SUMIFS('2022'!$M:$M,'2022'!$E:$E,Trésorerie!J$4,'2022'!$F:$F,Trésorerie!$B27)+SUMIFS('2022'!$N:$N,'2022'!$E:$E,Trésorerie!J$4,'2022'!$F:$F,Trésorerie!$B27)</f>
        <v>588.88</v>
      </c>
      <c r="K27" s="21">
        <f>-SUMIFS('2022'!$M:$M,'2022'!$E:$E,Trésorerie!K$4,'2022'!$F:$F,Trésorerie!$B27)+SUMIFS('2022'!$N:$N,'2022'!$E:$E,Trésorerie!K$4,'2022'!$F:$F,Trésorerie!$B27)</f>
        <v>-13.469999999999999</v>
      </c>
      <c r="L27" s="21">
        <f>-SUMIFS('2022'!$M:$M,'2022'!$E:$E,Trésorerie!L$4,'2022'!$F:$F,Trésorerie!$B27)+SUMIFS('2022'!$N:$N,'2022'!$E:$E,Trésorerie!L$4,'2022'!$F:$F,Trésorerie!$B27)</f>
        <v>0</v>
      </c>
      <c r="M27" s="21">
        <f>-SUMIFS('2022'!$M:$M,'2022'!$E:$E,Trésorerie!M$4,'2022'!$F:$F,Trésorerie!$B27)+SUMIFS('2022'!$N:$N,'2022'!$E:$E,Trésorerie!M$4,'2022'!$F:$F,Trésorerie!$B27)</f>
        <v>110</v>
      </c>
      <c r="N27" s="21">
        <f>-SUMIFS('2022'!$M:$M,'2022'!$E:$E,Trésorerie!N$4,'2022'!$F:$F,Trésorerie!$B27)+SUMIFS('2022'!$N:$N,'2022'!$E:$E,Trésorerie!N$4,'2022'!$F:$F,Trésorerie!$B27)</f>
        <v>311</v>
      </c>
      <c r="O27" s="21">
        <f>-SUMIFS('2022'!$M:$M,'2022'!$E:$E,Trésorerie!O$4,'2022'!$F:$F,Trésorerie!$B27)+SUMIFS('2022'!$N:$N,'2022'!$E:$E,Trésorerie!O$4,'2022'!$F:$F,Trésorerie!$B27)</f>
        <v>146</v>
      </c>
      <c r="P27" s="21">
        <f>-SUMIFS('2022'!$M:$M,'2022'!$E:$E,Trésorerie!P$4,'2022'!$F:$F,Trésorerie!$B27)+SUMIFS('2022'!$N:$N,'2022'!$E:$E,Trésorerie!P$4,'2022'!$F:$F,Trésorerie!$B27)</f>
        <v>721</v>
      </c>
      <c r="R27" s="66">
        <f>-SUMIFS('2023-01'!$M:$M,'2023-01'!$E:$E,Trésorerie!R$4,'2023-01'!$F:$F,Trésorerie!$B27)+SUMIFS('2023-01'!$N:$N,'2023-01'!$E:$E,Trésorerie!R$4,'2023-01'!$F:$F,Trésorerie!$B27)</f>
        <v>849.83</v>
      </c>
      <c r="S27" s="66">
        <f>-SUMIFS('2023-02'!$M:$M,'2023-02'!$E:$E,Trésorerie!S$4,'2023-02'!$F:$F,Trésorerie!$B27)+SUMIFS('2023-02'!$N:$N,'2023-02'!$E:$E,Trésorerie!S$4,'2023-02'!$F:$F,Trésorerie!$B27)</f>
        <v>24</v>
      </c>
      <c r="T27" s="66">
        <f>-SUMIFS('2023-03'!$M:$M,'2023-03'!$E:$E,Trésorerie!T$4,'2023-03'!$F:$F,Trésorerie!$B27)+SUMIFS('2023-03'!$N:$N,'2023-03'!$E:$E,Trésorerie!T$4,'2023-03'!$F:$F,Trésorerie!$B27)</f>
        <v>189</v>
      </c>
      <c r="U27" s="66">
        <f>-SUMIFS('2023-04'!$M:$M,'2023-04'!$E:$E,Trésorerie!U$4,'2023-04'!$F:$F,Trésorerie!$B27)+SUMIFS('2023-04'!$N:$N,'2023-04'!$E:$E,Trésorerie!U$4,'2023-04'!$F:$F,Trésorerie!$B27)</f>
        <v>48.37</v>
      </c>
      <c r="V27" s="66">
        <f>-SUMIFS('2023-05'!$M:$M,'2023-05'!$E:$E,Trésorerie!V$4,'2023-05'!$F:$F,Trésorerie!$B27)+SUMIFS('2023-05'!$N:$N,'2023-05'!$E:$E,Trésorerie!V$4,'2023-05'!$F:$F,Trésorerie!$B27)</f>
        <v>10.5</v>
      </c>
      <c r="W27" s="66">
        <f>-SUMIFS('2023-06'!$M:$M,'2023-06'!$E:$E,Trésorerie!W$4,'2023-06'!$F:$F,Trésorerie!$B27)+SUMIFS('2023-06'!$N:$N,'2023-06'!$E:$E,Trésorerie!W$4,'2023-06'!$F:$F,Trésorerie!$B27)</f>
        <v>239.9</v>
      </c>
      <c r="X27" s="66">
        <f>-SUMIFS('2023-07'!$M:$M,'2023-07'!$E:$E,Trésorerie!X$4,'2023-07'!$F:$F,Trésorerie!$B27)+SUMIFS('2023-07'!$N:$N,'2023-07'!$E:$E,Trésorerie!X$4,'2023-07'!$F:$F,Trésorerie!$B27)</f>
        <v>371.6</v>
      </c>
      <c r="Y27" s="66">
        <f>-SUMIFS('2023-08'!$M:$M,'2023-08'!$E:$E,Trésorerie!Y$4,'2023-08'!$F:$F,Trésorerie!$B27)+SUMIFS('2023-08'!$N:$N,'2023-08'!$E:$E,Trésorerie!Y$4,'2023-08'!$F:$F,Trésorerie!$B27)</f>
        <v>9.81</v>
      </c>
      <c r="Z27" s="66">
        <f>-SUMIFS('2023-09'!$M:$M,'2023-09'!$E:$E,Trésorerie!Z$4,'2023-09'!$F:$F,Trésorerie!$B27)+SUMIFS('2023-09'!$N:$N,'2023-09'!$E:$E,Trésorerie!Z$4,'2023-09'!$F:$F,Trésorerie!$B27)</f>
        <v>385.42</v>
      </c>
      <c r="AA27" s="66">
        <f>-SUMIFS('2023-10'!$M:$M,'2023-10'!$E:$E,Trésorerie!AA$4,'2023-10'!$F:$F,Trésorerie!$B27)+SUMIFS('2023-10'!$N:$N,'2023-10'!$E:$E,Trésorerie!AA$4,'2023-10'!$F:$F,Trésorerie!$B27)</f>
        <v>103.99</v>
      </c>
      <c r="AB27" s="75">
        <f>IF(SUM($E27:O27)&gt;SUM($R27:AA27),SUM($E27:O27)-SUM($R27:AA27),0)</f>
        <v>816.78000000000065</v>
      </c>
      <c r="AC27" s="75">
        <f>IF(SUM($E27:P27)&gt;SUM($R27:AB27),SUM($E27:P27)-SUM($R27:AB27),0)</f>
        <v>721</v>
      </c>
      <c r="AD27" s="79"/>
    </row>
    <row r="28" spans="1:30" x14ac:dyDescent="0.25">
      <c r="A28" s="9">
        <f t="shared" si="0"/>
        <v>3450</v>
      </c>
      <c r="B28" s="49">
        <v>511002</v>
      </c>
      <c r="C28" s="15" t="s">
        <v>786</v>
      </c>
      <c r="D28" s="49" t="s">
        <v>4751</v>
      </c>
      <c r="E28" s="21">
        <f>-SUMIFS('2022'!$M:$M,'2022'!$E:$E,Trésorerie!E$4,'2022'!$F:$F,Trésorerie!$B28)+SUMIFS('2022'!$N:$N,'2022'!$E:$E,Trésorerie!E$4,'2022'!$F:$F,Trésorerie!$B28)</f>
        <v>0</v>
      </c>
      <c r="F28" s="21">
        <f>-SUMIFS('2022'!$M:$M,'2022'!$E:$E,Trésorerie!F$4,'2022'!$F:$F,Trésorerie!$B28)+SUMIFS('2022'!$N:$N,'2022'!$E:$E,Trésorerie!F$4,'2022'!$F:$F,Trésorerie!$B28)</f>
        <v>0</v>
      </c>
      <c r="G28" s="21">
        <f>-SUMIFS('2022'!$M:$M,'2022'!$E:$E,Trésorerie!G$4,'2022'!$F:$F,Trésorerie!$B28)+SUMIFS('2022'!$N:$N,'2022'!$E:$E,Trésorerie!G$4,'2022'!$F:$F,Trésorerie!$B28)</f>
        <v>0</v>
      </c>
      <c r="H28" s="21">
        <f>-SUMIFS('2022'!$M:$M,'2022'!$E:$E,Trésorerie!H$4,'2022'!$F:$F,Trésorerie!$B28)+SUMIFS('2022'!$N:$N,'2022'!$E:$E,Trésorerie!H$4,'2022'!$F:$F,Trésorerie!$B28)</f>
        <v>0</v>
      </c>
      <c r="I28" s="21">
        <f>-SUMIFS('2022'!$M:$M,'2022'!$E:$E,Trésorerie!I$4,'2022'!$F:$F,Trésorerie!$B28)+SUMIFS('2022'!$N:$N,'2022'!$E:$E,Trésorerie!I$4,'2022'!$F:$F,Trésorerie!$B28)</f>
        <v>0</v>
      </c>
      <c r="J28" s="21">
        <f>-SUMIFS('2022'!$M:$M,'2022'!$E:$E,Trésorerie!J$4,'2022'!$F:$F,Trésorerie!$B28)+SUMIFS('2022'!$N:$N,'2022'!$E:$E,Trésorerie!J$4,'2022'!$F:$F,Trésorerie!$B28)</f>
        <v>0</v>
      </c>
      <c r="K28" s="21">
        <f>-SUMIFS('2022'!$M:$M,'2022'!$E:$E,Trésorerie!K$4,'2022'!$F:$F,Trésorerie!$B28)+SUMIFS('2022'!$N:$N,'2022'!$E:$E,Trésorerie!K$4,'2022'!$F:$F,Trésorerie!$B28)</f>
        <v>0</v>
      </c>
      <c r="L28" s="21">
        <f>-SUMIFS('2022'!$M:$M,'2022'!$E:$E,Trésorerie!L$4,'2022'!$F:$F,Trésorerie!$B28)+SUMIFS('2022'!$N:$N,'2022'!$E:$E,Trésorerie!L$4,'2022'!$F:$F,Trésorerie!$B28)</f>
        <v>2315</v>
      </c>
      <c r="M28" s="21">
        <f>-SUMIFS('2022'!$M:$M,'2022'!$E:$E,Trésorerie!M$4,'2022'!$F:$F,Trésorerie!$B28)+SUMIFS('2022'!$N:$N,'2022'!$E:$E,Trésorerie!M$4,'2022'!$F:$F,Trésorerie!$B28)</f>
        <v>0</v>
      </c>
      <c r="N28" s="21">
        <f>-SUMIFS('2022'!$M:$M,'2022'!$E:$E,Trésorerie!N$4,'2022'!$F:$F,Trésorerie!$B28)+SUMIFS('2022'!$N:$N,'2022'!$E:$E,Trésorerie!N$4,'2022'!$F:$F,Trésorerie!$B28)</f>
        <v>425</v>
      </c>
      <c r="O28" s="21">
        <f>-SUMIFS('2022'!$M:$M,'2022'!$E:$E,Trésorerie!O$4,'2022'!$F:$F,Trésorerie!$B28)+SUMIFS('2022'!$N:$N,'2022'!$E:$E,Trésorerie!O$4,'2022'!$F:$F,Trésorerie!$B28)</f>
        <v>0</v>
      </c>
      <c r="P28" s="21">
        <f>-SUMIFS('2022'!$M:$M,'2022'!$E:$E,Trésorerie!P$4,'2022'!$F:$F,Trésorerie!$B28)+SUMIFS('2022'!$N:$N,'2022'!$E:$E,Trésorerie!P$4,'2022'!$F:$F,Trésorerie!$B28)</f>
        <v>710</v>
      </c>
      <c r="R28" s="66">
        <f>-SUMIFS('2023-01'!$M:$M,'2023-01'!$E:$E,Trésorerie!R$4,'2023-01'!$F:$F,Trésorerie!$B28)+SUMIFS('2023-01'!$N:$N,'2023-01'!$E:$E,Trésorerie!R$4,'2023-01'!$F:$F,Trésorerie!$B28)</f>
        <v>0</v>
      </c>
      <c r="S28" s="66">
        <f>-SUMIFS('2023-02'!$M:$M,'2023-02'!$E:$E,Trésorerie!S$4,'2023-02'!$F:$F,Trésorerie!$B28)+SUMIFS('2023-02'!$N:$N,'2023-02'!$E:$E,Trésorerie!S$4,'2023-02'!$F:$F,Trésorerie!$B28)</f>
        <v>2235</v>
      </c>
      <c r="T28" s="66">
        <f>-SUMIFS('2023-03'!$M:$M,'2023-03'!$E:$E,Trésorerie!T$4,'2023-03'!$F:$F,Trésorerie!$B28)+SUMIFS('2023-03'!$N:$N,'2023-03'!$E:$E,Trésorerie!T$4,'2023-03'!$F:$F,Trésorerie!$B28)</f>
        <v>1434.92</v>
      </c>
      <c r="U28" s="66">
        <f>-SUMIFS('2023-04'!$M:$M,'2023-04'!$E:$E,Trésorerie!U$4,'2023-04'!$F:$F,Trésorerie!$B28)+SUMIFS('2023-04'!$N:$N,'2023-04'!$E:$E,Trésorerie!U$4,'2023-04'!$F:$F,Trésorerie!$B28)</f>
        <v>0</v>
      </c>
      <c r="V28" s="66">
        <f>-SUMIFS('2023-05'!$M:$M,'2023-05'!$E:$E,Trésorerie!V$4,'2023-05'!$F:$F,Trésorerie!$B28)+SUMIFS('2023-05'!$N:$N,'2023-05'!$E:$E,Trésorerie!V$4,'2023-05'!$F:$F,Trésorerie!$B28)</f>
        <v>0</v>
      </c>
      <c r="W28" s="66">
        <f>-SUMIFS('2023-06'!$M:$M,'2023-06'!$E:$E,Trésorerie!W$4,'2023-06'!$F:$F,Trésorerie!$B28)+SUMIFS('2023-06'!$N:$N,'2023-06'!$E:$E,Trésorerie!W$4,'2023-06'!$F:$F,Trésorerie!$B28)</f>
        <v>0</v>
      </c>
      <c r="X28" s="66">
        <f>-SUMIFS('2023-07'!$M:$M,'2023-07'!$E:$E,Trésorerie!X$4,'2023-07'!$F:$F,Trésorerie!$B28)+SUMIFS('2023-07'!$N:$N,'2023-07'!$E:$E,Trésorerie!X$4,'2023-07'!$F:$F,Trésorerie!$B28)</f>
        <v>700</v>
      </c>
      <c r="Y28" s="66">
        <f>-SUMIFS('2023-08'!$M:$M,'2023-08'!$E:$E,Trésorerie!Y$4,'2023-08'!$F:$F,Trésorerie!$B28)+SUMIFS('2023-08'!$N:$N,'2023-08'!$E:$E,Trésorerie!Y$4,'2023-08'!$F:$F,Trésorerie!$B28)</f>
        <v>0</v>
      </c>
      <c r="Z28" s="66">
        <f>-SUMIFS('2023-09'!$M:$M,'2023-09'!$E:$E,Trésorerie!Z$4,'2023-09'!$F:$F,Trésorerie!$B28)+SUMIFS('2023-09'!$N:$N,'2023-09'!$E:$E,Trésorerie!Z$4,'2023-09'!$F:$F,Trésorerie!$B28)</f>
        <v>0</v>
      </c>
      <c r="AA28" s="66">
        <f>-SUMIFS('2023-10'!$M:$M,'2023-10'!$E:$E,Trésorerie!AA$4,'2023-10'!$F:$F,Trésorerie!$B28)+SUMIFS('2023-10'!$N:$N,'2023-10'!$E:$E,Trésorerie!AA$4,'2023-10'!$F:$F,Trésorerie!$B28)</f>
        <v>0</v>
      </c>
      <c r="AB28" s="75">
        <f>IF(SUM($E28:O28)&gt;SUM($R28:AA28),SUM($E28:O28)-SUM($R28:AA28),0)</f>
        <v>0</v>
      </c>
      <c r="AC28" s="75">
        <f>IF(SUM($E28:P28)&gt;SUM($R28:AB28),SUM($E28:P28)-SUM($R28:AB28),0)</f>
        <v>0</v>
      </c>
      <c r="AD28" s="79"/>
    </row>
    <row r="29" spans="1:30" x14ac:dyDescent="0.25">
      <c r="A29" s="9">
        <f t="shared" si="0"/>
        <v>1889.72</v>
      </c>
      <c r="B29" s="49">
        <v>511001</v>
      </c>
      <c r="C29" s="15" t="s">
        <v>434</v>
      </c>
      <c r="D29" s="49" t="s">
        <v>4751</v>
      </c>
      <c r="E29" s="21">
        <f>-SUMIFS('2022'!$M:$M,'2022'!$E:$E,Trésorerie!E$4,'2022'!$F:$F,Trésorerie!$B29)+SUMIFS('2022'!$N:$N,'2022'!$E:$E,Trésorerie!E$4,'2022'!$F:$F,Trésorerie!$B29)</f>
        <v>0</v>
      </c>
      <c r="F29" s="21">
        <f>-SUMIFS('2022'!$M:$M,'2022'!$E:$E,Trésorerie!F$4,'2022'!$F:$F,Trésorerie!$B29)+SUMIFS('2022'!$N:$N,'2022'!$E:$E,Trésorerie!F$4,'2022'!$F:$F,Trésorerie!$B29)</f>
        <v>0</v>
      </c>
      <c r="G29" s="21">
        <f>-SUMIFS('2022'!$M:$M,'2022'!$E:$E,Trésorerie!G$4,'2022'!$F:$F,Trésorerie!$B29)+SUMIFS('2022'!$N:$N,'2022'!$E:$E,Trésorerie!G$4,'2022'!$F:$F,Trésorerie!$B29)</f>
        <v>200</v>
      </c>
      <c r="H29" s="21">
        <f>-SUMIFS('2022'!$M:$M,'2022'!$E:$E,Trésorerie!H$4,'2022'!$F:$F,Trésorerie!$B29)+SUMIFS('2022'!$N:$N,'2022'!$E:$E,Trésorerie!H$4,'2022'!$F:$F,Trésorerie!$B29)</f>
        <v>0</v>
      </c>
      <c r="I29" s="21">
        <f>-SUMIFS('2022'!$M:$M,'2022'!$E:$E,Trésorerie!I$4,'2022'!$F:$F,Trésorerie!$B29)+SUMIFS('2022'!$N:$N,'2022'!$E:$E,Trésorerie!I$4,'2022'!$F:$F,Trésorerie!$B29)</f>
        <v>0</v>
      </c>
      <c r="J29" s="21">
        <f>-SUMIFS('2022'!$M:$M,'2022'!$E:$E,Trésorerie!J$4,'2022'!$F:$F,Trésorerie!$B29)+SUMIFS('2022'!$N:$N,'2022'!$E:$E,Trésorerie!J$4,'2022'!$F:$F,Trésorerie!$B29)</f>
        <v>1149.72</v>
      </c>
      <c r="K29" s="21">
        <f>-SUMIFS('2022'!$M:$M,'2022'!$E:$E,Trésorerie!K$4,'2022'!$F:$F,Trésorerie!$B29)+SUMIFS('2022'!$N:$N,'2022'!$E:$E,Trésorerie!K$4,'2022'!$F:$F,Trésorerie!$B29)</f>
        <v>0</v>
      </c>
      <c r="L29" s="21">
        <f>-SUMIFS('2022'!$M:$M,'2022'!$E:$E,Trésorerie!L$4,'2022'!$F:$F,Trésorerie!$B29)+SUMIFS('2022'!$N:$N,'2022'!$E:$E,Trésorerie!L$4,'2022'!$F:$F,Trésorerie!$B29)</f>
        <v>0</v>
      </c>
      <c r="M29" s="21">
        <f>-SUMIFS('2022'!$M:$M,'2022'!$E:$E,Trésorerie!M$4,'2022'!$F:$F,Trésorerie!$B29)+SUMIFS('2022'!$N:$N,'2022'!$E:$E,Trésorerie!M$4,'2022'!$F:$F,Trésorerie!$B29)</f>
        <v>0</v>
      </c>
      <c r="N29" s="21">
        <f>-SUMIFS('2022'!$M:$M,'2022'!$E:$E,Trésorerie!N$4,'2022'!$F:$F,Trésorerie!$B29)+SUMIFS('2022'!$N:$N,'2022'!$E:$E,Trésorerie!N$4,'2022'!$F:$F,Trésorerie!$B29)</f>
        <v>540</v>
      </c>
      <c r="O29" s="21">
        <f>-SUMIFS('2022'!$M:$M,'2022'!$E:$E,Trésorerie!O$4,'2022'!$F:$F,Trésorerie!$B29)+SUMIFS('2022'!$N:$N,'2022'!$E:$E,Trésorerie!O$4,'2022'!$F:$F,Trésorerie!$B29)</f>
        <v>0</v>
      </c>
      <c r="P29" s="21">
        <f>-SUMIFS('2022'!$M:$M,'2022'!$E:$E,Trésorerie!P$4,'2022'!$F:$F,Trésorerie!$B29)+SUMIFS('2022'!$N:$N,'2022'!$E:$E,Trésorerie!P$4,'2022'!$F:$F,Trésorerie!$B29)</f>
        <v>0</v>
      </c>
      <c r="R29" s="66">
        <f>-SUMIFS('2023-01'!$M:$M,'2023-01'!$E:$E,Trésorerie!R$4,'2023-01'!$F:$F,Trésorerie!$B29)+SUMIFS('2023-01'!$N:$N,'2023-01'!$E:$E,Trésorerie!R$4,'2023-01'!$F:$F,Trésorerie!$B29)</f>
        <v>0</v>
      </c>
      <c r="S29" s="66">
        <f>-SUMIFS('2023-02'!$M:$M,'2023-02'!$E:$E,Trésorerie!S$4,'2023-02'!$F:$F,Trésorerie!$B29)+SUMIFS('2023-02'!$N:$N,'2023-02'!$E:$E,Trésorerie!S$4,'2023-02'!$F:$F,Trésorerie!$B29)</f>
        <v>0</v>
      </c>
      <c r="T29" s="66">
        <f>-SUMIFS('2023-03'!$M:$M,'2023-03'!$E:$E,Trésorerie!T$4,'2023-03'!$F:$F,Trésorerie!$B29)+SUMIFS('2023-03'!$N:$N,'2023-03'!$E:$E,Trésorerie!T$4,'2023-03'!$F:$F,Trésorerie!$B29)</f>
        <v>460</v>
      </c>
      <c r="U29" s="66">
        <f>-SUMIFS('2023-04'!$M:$M,'2023-04'!$E:$E,Trésorerie!U$4,'2023-04'!$F:$F,Trésorerie!$B29)+SUMIFS('2023-04'!$N:$N,'2023-04'!$E:$E,Trésorerie!U$4,'2023-04'!$F:$F,Trésorerie!$B29)</f>
        <v>0</v>
      </c>
      <c r="V29" s="66">
        <f>-SUMIFS('2023-05'!$M:$M,'2023-05'!$E:$E,Trésorerie!V$4,'2023-05'!$F:$F,Trésorerie!$B29)+SUMIFS('2023-05'!$N:$N,'2023-05'!$E:$E,Trésorerie!V$4,'2023-05'!$F:$F,Trésorerie!$B29)</f>
        <v>0</v>
      </c>
      <c r="W29" s="66">
        <f>-SUMIFS('2023-06'!$M:$M,'2023-06'!$E:$E,Trésorerie!W$4,'2023-06'!$F:$F,Trésorerie!$B29)+SUMIFS('2023-06'!$N:$N,'2023-06'!$E:$E,Trésorerie!W$4,'2023-06'!$F:$F,Trésorerie!$B29)</f>
        <v>0</v>
      </c>
      <c r="X29" s="66">
        <f>-SUMIFS('2023-07'!$M:$M,'2023-07'!$E:$E,Trésorerie!X$4,'2023-07'!$F:$F,Trésorerie!$B29)+SUMIFS('2023-07'!$N:$N,'2023-07'!$E:$E,Trésorerie!X$4,'2023-07'!$F:$F,Trésorerie!$B29)</f>
        <v>1799</v>
      </c>
      <c r="Y29" s="66">
        <f>-SUMIFS('2023-08'!$M:$M,'2023-08'!$E:$E,Trésorerie!Y$4,'2023-08'!$F:$F,Trésorerie!$B29)+SUMIFS('2023-08'!$N:$N,'2023-08'!$E:$E,Trésorerie!Y$4,'2023-08'!$F:$F,Trésorerie!$B29)</f>
        <v>0</v>
      </c>
      <c r="Z29" s="66">
        <f>-SUMIFS('2023-09'!$M:$M,'2023-09'!$E:$E,Trésorerie!Z$4,'2023-09'!$F:$F,Trésorerie!$B29)+SUMIFS('2023-09'!$N:$N,'2023-09'!$E:$E,Trésorerie!Z$4,'2023-09'!$F:$F,Trésorerie!$B29)</f>
        <v>0</v>
      </c>
      <c r="AA29" s="66">
        <f>-SUMIFS('2023-10'!$M:$M,'2023-10'!$E:$E,Trésorerie!AA$4,'2023-10'!$F:$F,Trésorerie!$B29)+SUMIFS('2023-10'!$N:$N,'2023-10'!$E:$E,Trésorerie!AA$4,'2023-10'!$F:$F,Trésorerie!$B29)</f>
        <v>1600</v>
      </c>
      <c r="AB29" s="75">
        <f>IF(SUM($E29:O29)&gt;SUM($R29:AA29),SUM($E29:O29)-SUM($R29:AA29),0)</f>
        <v>0</v>
      </c>
      <c r="AC29" s="75">
        <f>IF(SUM($E29:P29)&gt;SUM($R29:AB29),SUM($E29:P29)-SUM($R29:AB29),0)</f>
        <v>0</v>
      </c>
      <c r="AD29" s="79"/>
    </row>
    <row r="30" spans="1:30" x14ac:dyDescent="0.25">
      <c r="A30" s="9">
        <f t="shared" si="0"/>
        <v>1648.17</v>
      </c>
      <c r="B30" s="49">
        <v>771300</v>
      </c>
      <c r="C30" s="15" t="s">
        <v>1664</v>
      </c>
      <c r="D30" s="49" t="s">
        <v>4751</v>
      </c>
      <c r="E30" s="21">
        <f>-SUMIFS('2022'!$M:$M,'2022'!$E:$E,Trésorerie!E$4,'2022'!$F:$F,Trésorerie!$B30)+SUMIFS('2022'!$N:$N,'2022'!$E:$E,Trésorerie!E$4,'2022'!$F:$F,Trésorerie!$B30)</f>
        <v>0</v>
      </c>
      <c r="F30" s="21">
        <f>-SUMIFS('2022'!$M:$M,'2022'!$E:$E,Trésorerie!F$4,'2022'!$F:$F,Trésorerie!$B30)+SUMIFS('2022'!$N:$N,'2022'!$E:$E,Trésorerie!F$4,'2022'!$F:$F,Trésorerie!$B30)</f>
        <v>0</v>
      </c>
      <c r="G30" s="21">
        <f>-SUMIFS('2022'!$M:$M,'2022'!$E:$E,Trésorerie!G$4,'2022'!$F:$F,Trésorerie!$B30)+SUMIFS('2022'!$N:$N,'2022'!$E:$E,Trésorerie!G$4,'2022'!$F:$F,Trésorerie!$B30)</f>
        <v>0</v>
      </c>
      <c r="H30" s="21">
        <f>-SUMIFS('2022'!$M:$M,'2022'!$E:$E,Trésorerie!H$4,'2022'!$F:$F,Trésorerie!$B30)+SUMIFS('2022'!$N:$N,'2022'!$E:$E,Trésorerie!H$4,'2022'!$F:$F,Trésorerie!$B30)</f>
        <v>648.16999999999996</v>
      </c>
      <c r="I30" s="21">
        <f>-SUMIFS('2022'!$M:$M,'2022'!$E:$E,Trésorerie!I$4,'2022'!$F:$F,Trésorerie!$B30)+SUMIFS('2022'!$N:$N,'2022'!$E:$E,Trésorerie!I$4,'2022'!$F:$F,Trésorerie!$B30)</f>
        <v>1000</v>
      </c>
      <c r="J30" s="21">
        <f>-SUMIFS('2022'!$M:$M,'2022'!$E:$E,Trésorerie!J$4,'2022'!$F:$F,Trésorerie!$B30)+SUMIFS('2022'!$N:$N,'2022'!$E:$E,Trésorerie!J$4,'2022'!$F:$F,Trésorerie!$B30)</f>
        <v>0</v>
      </c>
      <c r="K30" s="21">
        <f>-SUMIFS('2022'!$M:$M,'2022'!$E:$E,Trésorerie!K$4,'2022'!$F:$F,Trésorerie!$B30)+SUMIFS('2022'!$N:$N,'2022'!$E:$E,Trésorerie!K$4,'2022'!$F:$F,Trésorerie!$B30)</f>
        <v>0</v>
      </c>
      <c r="L30" s="21">
        <f>-SUMIFS('2022'!$M:$M,'2022'!$E:$E,Trésorerie!L$4,'2022'!$F:$F,Trésorerie!$B30)+SUMIFS('2022'!$N:$N,'2022'!$E:$E,Trésorerie!L$4,'2022'!$F:$F,Trésorerie!$B30)</f>
        <v>0</v>
      </c>
      <c r="M30" s="21">
        <f>-SUMIFS('2022'!$M:$M,'2022'!$E:$E,Trésorerie!M$4,'2022'!$F:$F,Trésorerie!$B30)+SUMIFS('2022'!$N:$N,'2022'!$E:$E,Trésorerie!M$4,'2022'!$F:$F,Trésorerie!$B30)</f>
        <v>0</v>
      </c>
      <c r="N30" s="21">
        <f>-SUMIFS('2022'!$M:$M,'2022'!$E:$E,Trésorerie!N$4,'2022'!$F:$F,Trésorerie!$B30)+SUMIFS('2022'!$N:$N,'2022'!$E:$E,Trésorerie!N$4,'2022'!$F:$F,Trésorerie!$B30)</f>
        <v>0</v>
      </c>
      <c r="O30" s="21">
        <f>-SUMIFS('2022'!$M:$M,'2022'!$E:$E,Trésorerie!O$4,'2022'!$F:$F,Trésorerie!$B30)+SUMIFS('2022'!$N:$N,'2022'!$E:$E,Trésorerie!O$4,'2022'!$F:$F,Trésorerie!$B30)</f>
        <v>0</v>
      </c>
      <c r="P30" s="21">
        <f>-SUMIFS('2022'!$M:$M,'2022'!$E:$E,Trésorerie!P$4,'2022'!$F:$F,Trésorerie!$B30)+SUMIFS('2022'!$N:$N,'2022'!$E:$E,Trésorerie!P$4,'2022'!$F:$F,Trésorerie!$B30)</f>
        <v>0</v>
      </c>
      <c r="R30" s="66">
        <f>-SUMIFS('2023-01'!$M:$M,'2023-01'!$E:$E,Trésorerie!R$4,'2023-01'!$F:$F,Trésorerie!$B30)+SUMIFS('2023-01'!$N:$N,'2023-01'!$E:$E,Trésorerie!R$4,'2023-01'!$F:$F,Trésorerie!$B30)</f>
        <v>0</v>
      </c>
      <c r="S30" s="66">
        <f>-SUMIFS('2023-02'!$M:$M,'2023-02'!$E:$E,Trésorerie!S$4,'2023-02'!$F:$F,Trésorerie!$B30)+SUMIFS('2023-02'!$N:$N,'2023-02'!$E:$E,Trésorerie!S$4,'2023-02'!$F:$F,Trésorerie!$B30)</f>
        <v>0</v>
      </c>
      <c r="T30" s="66">
        <f>-SUMIFS('2023-03'!$M:$M,'2023-03'!$E:$E,Trésorerie!T$4,'2023-03'!$F:$F,Trésorerie!$B30)+SUMIFS('2023-03'!$N:$N,'2023-03'!$E:$E,Trésorerie!T$4,'2023-03'!$F:$F,Trésorerie!$B30)</f>
        <v>0</v>
      </c>
      <c r="U30" s="66">
        <f>-SUMIFS('2023-04'!$M:$M,'2023-04'!$E:$E,Trésorerie!U$4,'2023-04'!$F:$F,Trésorerie!$B30)+SUMIFS('2023-04'!$N:$N,'2023-04'!$E:$E,Trésorerie!U$4,'2023-04'!$F:$F,Trésorerie!$B30)</f>
        <v>0</v>
      </c>
      <c r="V30" s="66">
        <f>-SUMIFS('2023-05'!$M:$M,'2023-05'!$E:$E,Trésorerie!V$4,'2023-05'!$F:$F,Trésorerie!$B30)+SUMIFS('2023-05'!$N:$N,'2023-05'!$E:$E,Trésorerie!V$4,'2023-05'!$F:$F,Trésorerie!$B30)</f>
        <v>0</v>
      </c>
      <c r="W30" s="66">
        <f>-SUMIFS('2023-06'!$M:$M,'2023-06'!$E:$E,Trésorerie!W$4,'2023-06'!$F:$F,Trésorerie!$B30)+SUMIFS('2023-06'!$N:$N,'2023-06'!$E:$E,Trésorerie!W$4,'2023-06'!$F:$F,Trésorerie!$B30)</f>
        <v>0</v>
      </c>
      <c r="X30" s="66">
        <f>-SUMIFS('2023-07'!$M:$M,'2023-07'!$E:$E,Trésorerie!X$4,'2023-07'!$F:$F,Trésorerie!$B30)+SUMIFS('2023-07'!$N:$N,'2023-07'!$E:$E,Trésorerie!X$4,'2023-07'!$F:$F,Trésorerie!$B30)</f>
        <v>0</v>
      </c>
      <c r="Y30" s="66">
        <f>-SUMIFS('2023-08'!$M:$M,'2023-08'!$E:$E,Trésorerie!Y$4,'2023-08'!$F:$F,Trésorerie!$B30)+SUMIFS('2023-08'!$N:$N,'2023-08'!$E:$E,Trésorerie!Y$4,'2023-08'!$F:$F,Trésorerie!$B30)</f>
        <v>0</v>
      </c>
      <c r="Z30" s="66">
        <f>-SUMIFS('2023-09'!$M:$M,'2023-09'!$E:$E,Trésorerie!Z$4,'2023-09'!$F:$F,Trésorerie!$B30)+SUMIFS('2023-09'!$N:$N,'2023-09'!$E:$E,Trésorerie!Z$4,'2023-09'!$F:$F,Trésorerie!$B30)</f>
        <v>0</v>
      </c>
      <c r="AA30" s="66">
        <f>-SUMIFS('2023-10'!$M:$M,'2023-10'!$E:$E,Trésorerie!AA$4,'2023-10'!$F:$F,Trésorerie!$B30)+SUMIFS('2023-10'!$N:$N,'2023-10'!$E:$E,Trésorerie!AA$4,'2023-10'!$F:$F,Trésorerie!$B30)</f>
        <v>2103.0100000000002</v>
      </c>
      <c r="AB30" s="75">
        <f>IF(SUM($E30:O30)&gt;SUM($R30:AA30),SUM($E30:O30)-SUM($R30:AA30),0)</f>
        <v>0</v>
      </c>
      <c r="AC30" s="75">
        <f>IF(SUM($E30:P30)&gt;SUM($R30:AB30),SUM($E30:P30)-SUM($R30:AB30),0)</f>
        <v>0</v>
      </c>
      <c r="AD30" s="79"/>
    </row>
    <row r="31" spans="1:30" x14ac:dyDescent="0.25">
      <c r="A31" s="9">
        <f t="shared" si="0"/>
        <v>1466.5</v>
      </c>
      <c r="B31" s="49">
        <v>706105</v>
      </c>
      <c r="C31" s="15" t="s">
        <v>2258</v>
      </c>
      <c r="D31" s="49" t="s">
        <v>4751</v>
      </c>
      <c r="E31" s="21">
        <f>-SUMIFS('2022'!$M:$M,'2022'!$E:$E,Trésorerie!E$4,'2022'!$F:$F,Trésorerie!$B31)+SUMIFS('2022'!$N:$N,'2022'!$E:$E,Trésorerie!E$4,'2022'!$F:$F,Trésorerie!$B31)</f>
        <v>0</v>
      </c>
      <c r="F31" s="21">
        <f>-SUMIFS('2022'!$M:$M,'2022'!$E:$E,Trésorerie!F$4,'2022'!$F:$F,Trésorerie!$B31)+SUMIFS('2022'!$N:$N,'2022'!$E:$E,Trésorerie!F$4,'2022'!$F:$F,Trésorerie!$B31)</f>
        <v>0</v>
      </c>
      <c r="G31" s="21">
        <f>-SUMIFS('2022'!$M:$M,'2022'!$E:$E,Trésorerie!G$4,'2022'!$F:$F,Trésorerie!$B31)+SUMIFS('2022'!$N:$N,'2022'!$E:$E,Trésorerie!G$4,'2022'!$F:$F,Trésorerie!$B31)</f>
        <v>0</v>
      </c>
      <c r="H31" s="21">
        <f>-SUMIFS('2022'!$M:$M,'2022'!$E:$E,Trésorerie!H$4,'2022'!$F:$F,Trésorerie!$B31)+SUMIFS('2022'!$N:$N,'2022'!$E:$E,Trésorerie!H$4,'2022'!$F:$F,Trésorerie!$B31)</f>
        <v>0</v>
      </c>
      <c r="I31" s="21">
        <f>-SUMIFS('2022'!$M:$M,'2022'!$E:$E,Trésorerie!I$4,'2022'!$F:$F,Trésorerie!$B31)+SUMIFS('2022'!$N:$N,'2022'!$E:$E,Trésorerie!I$4,'2022'!$F:$F,Trésorerie!$B31)</f>
        <v>736.5</v>
      </c>
      <c r="J31" s="21">
        <f>-SUMIFS('2022'!$M:$M,'2022'!$E:$E,Trésorerie!J$4,'2022'!$F:$F,Trésorerie!$B31)+SUMIFS('2022'!$N:$N,'2022'!$E:$E,Trésorerie!J$4,'2022'!$F:$F,Trésorerie!$B31)</f>
        <v>0</v>
      </c>
      <c r="K31" s="21">
        <f>-SUMIFS('2022'!$M:$M,'2022'!$E:$E,Trésorerie!K$4,'2022'!$F:$F,Trésorerie!$B31)+SUMIFS('2022'!$N:$N,'2022'!$E:$E,Trésorerie!K$4,'2022'!$F:$F,Trésorerie!$B31)</f>
        <v>730</v>
      </c>
      <c r="L31" s="21">
        <f>-SUMIFS('2022'!$M:$M,'2022'!$E:$E,Trésorerie!L$4,'2022'!$F:$F,Trésorerie!$B31)+SUMIFS('2022'!$N:$N,'2022'!$E:$E,Trésorerie!L$4,'2022'!$F:$F,Trésorerie!$B31)</f>
        <v>0</v>
      </c>
      <c r="M31" s="21">
        <f>-SUMIFS('2022'!$M:$M,'2022'!$E:$E,Trésorerie!M$4,'2022'!$F:$F,Trésorerie!$B31)+SUMIFS('2022'!$N:$N,'2022'!$E:$E,Trésorerie!M$4,'2022'!$F:$F,Trésorerie!$B31)</f>
        <v>0</v>
      </c>
      <c r="N31" s="21">
        <f>-SUMIFS('2022'!$M:$M,'2022'!$E:$E,Trésorerie!N$4,'2022'!$F:$F,Trésorerie!$B31)+SUMIFS('2022'!$N:$N,'2022'!$E:$E,Trésorerie!N$4,'2022'!$F:$F,Trésorerie!$B31)</f>
        <v>0</v>
      </c>
      <c r="O31" s="21">
        <f>-SUMIFS('2022'!$M:$M,'2022'!$E:$E,Trésorerie!O$4,'2022'!$F:$F,Trésorerie!$B31)+SUMIFS('2022'!$N:$N,'2022'!$E:$E,Trésorerie!O$4,'2022'!$F:$F,Trésorerie!$B31)</f>
        <v>0</v>
      </c>
      <c r="P31" s="21">
        <f>-SUMIFS('2022'!$M:$M,'2022'!$E:$E,Trésorerie!P$4,'2022'!$F:$F,Trésorerie!$B31)+SUMIFS('2022'!$N:$N,'2022'!$E:$E,Trésorerie!P$4,'2022'!$F:$F,Trésorerie!$B31)</f>
        <v>0</v>
      </c>
      <c r="R31" s="66">
        <f>-SUMIFS('2023-01'!$M:$M,'2023-01'!$E:$E,Trésorerie!R$4,'2023-01'!$F:$F,Trésorerie!$B31)+SUMIFS('2023-01'!$N:$N,'2023-01'!$E:$E,Trésorerie!R$4,'2023-01'!$F:$F,Trésorerie!$B31)</f>
        <v>0</v>
      </c>
      <c r="S31" s="66">
        <f>-SUMIFS('2023-02'!$M:$M,'2023-02'!$E:$E,Trésorerie!S$4,'2023-02'!$F:$F,Trésorerie!$B31)+SUMIFS('2023-02'!$N:$N,'2023-02'!$E:$E,Trésorerie!S$4,'2023-02'!$F:$F,Trésorerie!$B31)</f>
        <v>0</v>
      </c>
      <c r="T31" s="66">
        <f>-SUMIFS('2023-03'!$M:$M,'2023-03'!$E:$E,Trésorerie!T$4,'2023-03'!$F:$F,Trésorerie!$B31)+SUMIFS('2023-03'!$N:$N,'2023-03'!$E:$E,Trésorerie!T$4,'2023-03'!$F:$F,Trésorerie!$B31)</f>
        <v>0</v>
      </c>
      <c r="U31" s="66">
        <f>-SUMIFS('2023-04'!$M:$M,'2023-04'!$E:$E,Trésorerie!U$4,'2023-04'!$F:$F,Trésorerie!$B31)+SUMIFS('2023-04'!$N:$N,'2023-04'!$E:$E,Trésorerie!U$4,'2023-04'!$F:$F,Trésorerie!$B31)</f>
        <v>0</v>
      </c>
      <c r="V31" s="66">
        <f>-SUMIFS('2023-05'!$M:$M,'2023-05'!$E:$E,Trésorerie!V$4,'2023-05'!$F:$F,Trésorerie!$B31)+SUMIFS('2023-05'!$N:$N,'2023-05'!$E:$E,Trésorerie!V$4,'2023-05'!$F:$F,Trésorerie!$B31)</f>
        <v>0</v>
      </c>
      <c r="W31" s="66">
        <f>-SUMIFS('2023-06'!$M:$M,'2023-06'!$E:$E,Trésorerie!W$4,'2023-06'!$F:$F,Trésorerie!$B31)+SUMIFS('2023-06'!$N:$N,'2023-06'!$E:$E,Trésorerie!W$4,'2023-06'!$F:$F,Trésorerie!$B31)</f>
        <v>307</v>
      </c>
      <c r="X31" s="66">
        <f>-SUMIFS('2023-07'!$M:$M,'2023-07'!$E:$E,Trésorerie!X$4,'2023-07'!$F:$F,Trésorerie!$B31)+SUMIFS('2023-07'!$N:$N,'2023-07'!$E:$E,Trésorerie!X$4,'2023-07'!$F:$F,Trésorerie!$B31)</f>
        <v>357</v>
      </c>
      <c r="Y31" s="66">
        <f>-SUMIFS('2023-08'!$M:$M,'2023-08'!$E:$E,Trésorerie!Y$4,'2023-08'!$F:$F,Trésorerie!$B31)+SUMIFS('2023-08'!$N:$N,'2023-08'!$E:$E,Trésorerie!Y$4,'2023-08'!$F:$F,Trésorerie!$B31)</f>
        <v>0</v>
      </c>
      <c r="Z31" s="66">
        <f>-SUMIFS('2023-09'!$M:$M,'2023-09'!$E:$E,Trésorerie!Z$4,'2023-09'!$F:$F,Trésorerie!$B31)+SUMIFS('2023-09'!$N:$N,'2023-09'!$E:$E,Trésorerie!Z$4,'2023-09'!$F:$F,Trésorerie!$B31)</f>
        <v>-300</v>
      </c>
      <c r="AA31" s="66">
        <f>-SUMIFS('2023-10'!$M:$M,'2023-10'!$E:$E,Trésorerie!AA$4,'2023-10'!$F:$F,Trésorerie!$B31)+SUMIFS('2023-10'!$N:$N,'2023-10'!$E:$E,Trésorerie!AA$4,'2023-10'!$F:$F,Trésorerie!$B31)</f>
        <v>264.88</v>
      </c>
      <c r="AB31" s="75">
        <f>IF(SUM($E31:O31)&gt;SUM($R31:AA31),SUM($E31:O31)-SUM($R31:AA31),0)</f>
        <v>837.62</v>
      </c>
      <c r="AC31" s="75">
        <f>IF(SUM($E31:P31)&gt;SUM($R31:AB31),SUM($E31:P31)-SUM($R31:AB31),0)</f>
        <v>0</v>
      </c>
      <c r="AD31" s="79"/>
    </row>
    <row r="32" spans="1:30" x14ac:dyDescent="0.25">
      <c r="A32" s="9">
        <f t="shared" si="0"/>
        <v>1306</v>
      </c>
      <c r="B32" s="49">
        <v>445053</v>
      </c>
      <c r="C32" s="15" t="s">
        <v>3724</v>
      </c>
      <c r="D32" s="49" t="s">
        <v>4751</v>
      </c>
      <c r="E32" s="21">
        <f>-SUMIFS('2022'!$M:$M,'2022'!$E:$E,Trésorerie!E$4,'2022'!$F:$F,Trésorerie!$B32)+SUMIFS('2022'!$N:$N,'2022'!$E:$E,Trésorerie!E$4,'2022'!$F:$F,Trésorerie!$B32)</f>
        <v>0</v>
      </c>
      <c r="F32" s="21">
        <f>-SUMIFS('2022'!$M:$M,'2022'!$E:$E,Trésorerie!F$4,'2022'!$F:$F,Trésorerie!$B32)+SUMIFS('2022'!$N:$N,'2022'!$E:$E,Trésorerie!F$4,'2022'!$F:$F,Trésorerie!$B32)</f>
        <v>0</v>
      </c>
      <c r="G32" s="21">
        <f>-SUMIFS('2022'!$M:$M,'2022'!$E:$E,Trésorerie!G$4,'2022'!$F:$F,Trésorerie!$B32)+SUMIFS('2022'!$N:$N,'2022'!$E:$E,Trésorerie!G$4,'2022'!$F:$F,Trésorerie!$B32)</f>
        <v>0</v>
      </c>
      <c r="H32" s="21">
        <f>-SUMIFS('2022'!$M:$M,'2022'!$E:$E,Trésorerie!H$4,'2022'!$F:$F,Trésorerie!$B32)+SUMIFS('2022'!$N:$N,'2022'!$E:$E,Trésorerie!H$4,'2022'!$F:$F,Trésorerie!$B32)</f>
        <v>0</v>
      </c>
      <c r="I32" s="21">
        <f>-SUMIFS('2022'!$M:$M,'2022'!$E:$E,Trésorerie!I$4,'2022'!$F:$F,Trésorerie!$B32)+SUMIFS('2022'!$N:$N,'2022'!$E:$E,Trésorerie!I$4,'2022'!$F:$F,Trésorerie!$B32)</f>
        <v>0</v>
      </c>
      <c r="J32" s="21">
        <f>-SUMIFS('2022'!$M:$M,'2022'!$E:$E,Trésorerie!J$4,'2022'!$F:$F,Trésorerie!$B32)+SUMIFS('2022'!$N:$N,'2022'!$E:$E,Trésorerie!J$4,'2022'!$F:$F,Trésorerie!$B32)</f>
        <v>0</v>
      </c>
      <c r="K32" s="21">
        <f>-SUMIFS('2022'!$M:$M,'2022'!$E:$E,Trésorerie!K$4,'2022'!$F:$F,Trésorerie!$B32)+SUMIFS('2022'!$N:$N,'2022'!$E:$E,Trésorerie!K$4,'2022'!$F:$F,Trésorerie!$B32)</f>
        <v>0</v>
      </c>
      <c r="L32" s="21">
        <f>-SUMIFS('2022'!$M:$M,'2022'!$E:$E,Trésorerie!L$4,'2022'!$F:$F,Trésorerie!$B32)+SUMIFS('2022'!$N:$N,'2022'!$E:$E,Trésorerie!L$4,'2022'!$F:$F,Trésorerie!$B32)</f>
        <v>0</v>
      </c>
      <c r="M32" s="21">
        <f>-SUMIFS('2022'!$M:$M,'2022'!$E:$E,Trésorerie!M$4,'2022'!$F:$F,Trésorerie!$B32)+SUMIFS('2022'!$N:$N,'2022'!$E:$E,Trésorerie!M$4,'2022'!$F:$F,Trésorerie!$B32)</f>
        <v>0</v>
      </c>
      <c r="N32" s="21">
        <f>-SUMIFS('2022'!$M:$M,'2022'!$E:$E,Trésorerie!N$4,'2022'!$F:$F,Trésorerie!$B32)+SUMIFS('2022'!$N:$N,'2022'!$E:$E,Trésorerie!N$4,'2022'!$F:$F,Trésorerie!$B32)</f>
        <v>1306</v>
      </c>
      <c r="O32" s="21">
        <f>-SUMIFS('2022'!$M:$M,'2022'!$E:$E,Trésorerie!O$4,'2022'!$F:$F,Trésorerie!$B32)+SUMIFS('2022'!$N:$N,'2022'!$E:$E,Trésorerie!O$4,'2022'!$F:$F,Trésorerie!$B32)</f>
        <v>0</v>
      </c>
      <c r="P32" s="21">
        <f>-SUMIFS('2022'!$M:$M,'2022'!$E:$E,Trésorerie!P$4,'2022'!$F:$F,Trésorerie!$B32)+SUMIFS('2022'!$N:$N,'2022'!$E:$E,Trésorerie!P$4,'2022'!$F:$F,Trésorerie!$B32)</f>
        <v>0</v>
      </c>
      <c r="R32" s="66">
        <f>-SUMIFS('2023-01'!$M:$M,'2023-01'!$E:$E,Trésorerie!R$4,'2023-01'!$F:$F,Trésorerie!$B32)+SUMIFS('2023-01'!$N:$N,'2023-01'!$E:$E,Trésorerie!R$4,'2023-01'!$F:$F,Trésorerie!$B32)</f>
        <v>0</v>
      </c>
      <c r="S32" s="66">
        <f>-SUMIFS('2023-02'!$M:$M,'2023-02'!$E:$E,Trésorerie!S$4,'2023-02'!$F:$F,Trésorerie!$B32)+SUMIFS('2023-02'!$N:$N,'2023-02'!$E:$E,Trésorerie!S$4,'2023-02'!$F:$F,Trésorerie!$B32)</f>
        <v>0</v>
      </c>
      <c r="T32" s="66">
        <f>-SUMIFS('2023-03'!$M:$M,'2023-03'!$E:$E,Trésorerie!T$4,'2023-03'!$F:$F,Trésorerie!$B32)+SUMIFS('2023-03'!$N:$N,'2023-03'!$E:$E,Trésorerie!T$4,'2023-03'!$F:$F,Trésorerie!$B32)</f>
        <v>0</v>
      </c>
      <c r="U32" s="66">
        <f>-SUMIFS('2023-04'!$M:$M,'2023-04'!$E:$E,Trésorerie!U$4,'2023-04'!$F:$F,Trésorerie!$B32)+SUMIFS('2023-04'!$N:$N,'2023-04'!$E:$E,Trésorerie!U$4,'2023-04'!$F:$F,Trésorerie!$B32)</f>
        <v>0</v>
      </c>
      <c r="V32" s="66">
        <f>-SUMIFS('2023-05'!$M:$M,'2023-05'!$E:$E,Trésorerie!V$4,'2023-05'!$F:$F,Trésorerie!$B32)+SUMIFS('2023-05'!$N:$N,'2023-05'!$E:$E,Trésorerie!V$4,'2023-05'!$F:$F,Trésorerie!$B32)</f>
        <v>0</v>
      </c>
      <c r="W32" s="66">
        <f>-SUMIFS('2023-06'!$M:$M,'2023-06'!$E:$E,Trésorerie!W$4,'2023-06'!$F:$F,Trésorerie!$B32)+SUMIFS('2023-06'!$N:$N,'2023-06'!$E:$E,Trésorerie!W$4,'2023-06'!$F:$F,Trésorerie!$B32)</f>
        <v>0</v>
      </c>
      <c r="X32" s="66">
        <f>-SUMIFS('2023-07'!$M:$M,'2023-07'!$E:$E,Trésorerie!X$4,'2023-07'!$F:$F,Trésorerie!$B32)+SUMIFS('2023-07'!$N:$N,'2023-07'!$E:$E,Trésorerie!X$4,'2023-07'!$F:$F,Trésorerie!$B32)</f>
        <v>0</v>
      </c>
      <c r="Y32" s="66">
        <f>-SUMIFS('2023-08'!$M:$M,'2023-08'!$E:$E,Trésorerie!Y$4,'2023-08'!$F:$F,Trésorerie!$B32)+SUMIFS('2023-08'!$N:$N,'2023-08'!$E:$E,Trésorerie!Y$4,'2023-08'!$F:$F,Trésorerie!$B32)</f>
        <v>0</v>
      </c>
      <c r="Z32" s="66">
        <f>-SUMIFS('2023-09'!$M:$M,'2023-09'!$E:$E,Trésorerie!Z$4,'2023-09'!$F:$F,Trésorerie!$B32)+SUMIFS('2023-09'!$N:$N,'2023-09'!$E:$E,Trésorerie!Z$4,'2023-09'!$F:$F,Trésorerie!$B32)</f>
        <v>0</v>
      </c>
      <c r="AA32" s="66">
        <f>-SUMIFS('2023-10'!$M:$M,'2023-10'!$E:$E,Trésorerie!AA$4,'2023-10'!$F:$F,Trésorerie!$B32)+SUMIFS('2023-10'!$N:$N,'2023-10'!$E:$E,Trésorerie!AA$4,'2023-10'!$F:$F,Trésorerie!$B32)</f>
        <v>0</v>
      </c>
      <c r="AB32" s="75">
        <f>IF(SUM($E32:O32)&gt;SUM($R32:AA32),SUM($E32:O32)-SUM($R32:AA32),0)</f>
        <v>1306</v>
      </c>
      <c r="AC32" s="75">
        <f>IF(SUM($E32:P32)&gt;SUM($R32:AB32),SUM($E32:P32)-SUM($R32:AB32),0)</f>
        <v>0</v>
      </c>
      <c r="AD32" s="79"/>
    </row>
    <row r="33" spans="1:30" x14ac:dyDescent="0.25">
      <c r="A33" s="10">
        <f t="shared" si="0"/>
        <v>963.27</v>
      </c>
      <c r="B33" s="50">
        <v>791400</v>
      </c>
      <c r="C33" s="16" t="s">
        <v>749</v>
      </c>
      <c r="D33" s="50" t="s">
        <v>4751</v>
      </c>
      <c r="E33" s="22">
        <f>-SUMIFS('2022'!$M:$M,'2022'!$E:$E,Trésorerie!E$4,'2022'!$F:$F,Trésorerie!$B33)+SUMIFS('2022'!$N:$N,'2022'!$E:$E,Trésorerie!E$4,'2022'!$F:$F,Trésorerie!$B33)</f>
        <v>963.27</v>
      </c>
      <c r="F33" s="22">
        <f>-SUMIFS('2022'!$M:$M,'2022'!$E:$E,Trésorerie!F$4,'2022'!$F:$F,Trésorerie!$B33)+SUMIFS('2022'!$N:$N,'2022'!$E:$E,Trésorerie!F$4,'2022'!$F:$F,Trésorerie!$B33)</f>
        <v>0</v>
      </c>
      <c r="G33" s="22">
        <f>-SUMIFS('2022'!$M:$M,'2022'!$E:$E,Trésorerie!G$4,'2022'!$F:$F,Trésorerie!$B33)+SUMIFS('2022'!$N:$N,'2022'!$E:$E,Trésorerie!G$4,'2022'!$F:$F,Trésorerie!$B33)</f>
        <v>0</v>
      </c>
      <c r="H33" s="22">
        <f>-SUMIFS('2022'!$M:$M,'2022'!$E:$E,Trésorerie!H$4,'2022'!$F:$F,Trésorerie!$B33)+SUMIFS('2022'!$N:$N,'2022'!$E:$E,Trésorerie!H$4,'2022'!$F:$F,Trésorerie!$B33)</f>
        <v>0</v>
      </c>
      <c r="I33" s="22">
        <f>-SUMIFS('2022'!$M:$M,'2022'!$E:$E,Trésorerie!I$4,'2022'!$F:$F,Trésorerie!$B33)+SUMIFS('2022'!$N:$N,'2022'!$E:$E,Trésorerie!I$4,'2022'!$F:$F,Trésorerie!$B33)</f>
        <v>0</v>
      </c>
      <c r="J33" s="22">
        <f>-SUMIFS('2022'!$M:$M,'2022'!$E:$E,Trésorerie!J$4,'2022'!$F:$F,Trésorerie!$B33)+SUMIFS('2022'!$N:$N,'2022'!$E:$E,Trésorerie!J$4,'2022'!$F:$F,Trésorerie!$B33)</f>
        <v>0</v>
      </c>
      <c r="K33" s="22">
        <f>-SUMIFS('2022'!$M:$M,'2022'!$E:$E,Trésorerie!K$4,'2022'!$F:$F,Trésorerie!$B33)+SUMIFS('2022'!$N:$N,'2022'!$E:$E,Trésorerie!K$4,'2022'!$F:$F,Trésorerie!$B33)</f>
        <v>0</v>
      </c>
      <c r="L33" s="22">
        <f>-SUMIFS('2022'!$M:$M,'2022'!$E:$E,Trésorerie!L$4,'2022'!$F:$F,Trésorerie!$B33)+SUMIFS('2022'!$N:$N,'2022'!$E:$E,Trésorerie!L$4,'2022'!$F:$F,Trésorerie!$B33)</f>
        <v>0</v>
      </c>
      <c r="M33" s="22">
        <f>-SUMIFS('2022'!$M:$M,'2022'!$E:$E,Trésorerie!M$4,'2022'!$F:$F,Trésorerie!$B33)+SUMIFS('2022'!$N:$N,'2022'!$E:$E,Trésorerie!M$4,'2022'!$F:$F,Trésorerie!$B33)</f>
        <v>0</v>
      </c>
      <c r="N33" s="22">
        <f>-SUMIFS('2022'!$M:$M,'2022'!$E:$E,Trésorerie!N$4,'2022'!$F:$F,Trésorerie!$B33)+SUMIFS('2022'!$N:$N,'2022'!$E:$E,Trésorerie!N$4,'2022'!$F:$F,Trésorerie!$B33)</f>
        <v>0</v>
      </c>
      <c r="O33" s="22">
        <f>-SUMIFS('2022'!$M:$M,'2022'!$E:$E,Trésorerie!O$4,'2022'!$F:$F,Trésorerie!$B33)+SUMIFS('2022'!$N:$N,'2022'!$E:$E,Trésorerie!O$4,'2022'!$F:$F,Trésorerie!$B33)</f>
        <v>0</v>
      </c>
      <c r="P33" s="22">
        <f>-SUMIFS('2022'!$M:$M,'2022'!$E:$E,Trésorerie!P$4,'2022'!$F:$F,Trésorerie!$B33)+SUMIFS('2022'!$N:$N,'2022'!$E:$E,Trésorerie!P$4,'2022'!$F:$F,Trésorerie!$B33)</f>
        <v>0</v>
      </c>
      <c r="R33" s="67">
        <f>-SUMIFS('2023-01'!$M:$M,'2023-01'!$E:$E,Trésorerie!R$4,'2023-01'!$F:$F,Trésorerie!$B33)+SUMIFS('2023-01'!$N:$N,'2023-01'!$E:$E,Trésorerie!R$4,'2023-01'!$F:$F,Trésorerie!$B33)</f>
        <v>0</v>
      </c>
      <c r="S33" s="67">
        <f>-SUMIFS('2023-02'!$M:$M,'2023-02'!$E:$E,Trésorerie!S$4,'2023-02'!$F:$F,Trésorerie!$B33)+SUMIFS('2023-02'!$N:$N,'2023-02'!$E:$E,Trésorerie!S$4,'2023-02'!$F:$F,Trésorerie!$B33)</f>
        <v>0</v>
      </c>
      <c r="T33" s="67">
        <f>-SUMIFS('2023-03'!$M:$M,'2023-03'!$E:$E,Trésorerie!T$4,'2023-03'!$F:$F,Trésorerie!$B33)+SUMIFS('2023-03'!$N:$N,'2023-03'!$E:$E,Trésorerie!T$4,'2023-03'!$F:$F,Trésorerie!$B33)</f>
        <v>0</v>
      </c>
      <c r="U33" s="67">
        <f>-SUMIFS('2023-04'!$M:$M,'2023-04'!$E:$E,Trésorerie!U$4,'2023-04'!$F:$F,Trésorerie!$B33)+SUMIFS('2023-04'!$N:$N,'2023-04'!$E:$E,Trésorerie!U$4,'2023-04'!$F:$F,Trésorerie!$B33)</f>
        <v>0</v>
      </c>
      <c r="V33" s="67">
        <f>-SUMIFS('2023-05'!$M:$M,'2023-05'!$E:$E,Trésorerie!V$4,'2023-05'!$F:$F,Trésorerie!$B33)+SUMIFS('2023-05'!$N:$N,'2023-05'!$E:$E,Trésorerie!V$4,'2023-05'!$F:$F,Trésorerie!$B33)</f>
        <v>0</v>
      </c>
      <c r="W33" s="67">
        <f>-SUMIFS('2023-06'!$M:$M,'2023-06'!$E:$E,Trésorerie!W$4,'2023-06'!$F:$F,Trésorerie!$B33)+SUMIFS('2023-06'!$N:$N,'2023-06'!$E:$E,Trésorerie!W$4,'2023-06'!$F:$F,Trésorerie!$B33)</f>
        <v>0</v>
      </c>
      <c r="X33" s="67">
        <f>-SUMIFS('2023-07'!$M:$M,'2023-07'!$E:$E,Trésorerie!X$4,'2023-07'!$F:$F,Trésorerie!$B33)+SUMIFS('2023-07'!$N:$N,'2023-07'!$E:$E,Trésorerie!X$4,'2023-07'!$F:$F,Trésorerie!$B33)</f>
        <v>0</v>
      </c>
      <c r="Y33" s="67">
        <f>-SUMIFS('2023-08'!$M:$M,'2023-08'!$E:$E,Trésorerie!Y$4,'2023-08'!$F:$F,Trésorerie!$B33)+SUMIFS('2023-08'!$N:$N,'2023-08'!$E:$E,Trésorerie!Y$4,'2023-08'!$F:$F,Trésorerie!$B33)</f>
        <v>0</v>
      </c>
      <c r="Z33" s="67">
        <f>-SUMIFS('2023-09'!$M:$M,'2023-09'!$E:$E,Trésorerie!Z$4,'2023-09'!$F:$F,Trésorerie!$B33)+SUMIFS('2023-09'!$N:$N,'2023-09'!$E:$E,Trésorerie!Z$4,'2023-09'!$F:$F,Trésorerie!$B33)</f>
        <v>0</v>
      </c>
      <c r="AA33" s="67">
        <f>-SUMIFS('2023-10'!$M:$M,'2023-10'!$E:$E,Trésorerie!AA$4,'2023-10'!$F:$F,Trésorerie!$B33)+SUMIFS('2023-10'!$N:$N,'2023-10'!$E:$E,Trésorerie!AA$4,'2023-10'!$F:$F,Trésorerie!$B33)</f>
        <v>0</v>
      </c>
      <c r="AB33" s="75">
        <f>IF(SUM($E33:O33)&gt;SUM($R33:AA33),SUM($E33:O33)-SUM($R33:AA33),0)</f>
        <v>963.27</v>
      </c>
      <c r="AC33" s="75">
        <f>IF(SUM($E33:P33)&gt;SUM($R33:AB33),SUM($E33:P33)-SUM($R33:AB33),0)</f>
        <v>0</v>
      </c>
      <c r="AD33" s="79"/>
    </row>
    <row r="34" spans="1:30" x14ac:dyDescent="0.25">
      <c r="A34" s="10">
        <f t="shared" si="0"/>
        <v>0</v>
      </c>
      <c r="B34" s="50">
        <v>706100</v>
      </c>
      <c r="C34" s="16"/>
      <c r="D34" s="50" t="s">
        <v>4751</v>
      </c>
      <c r="E34" s="22">
        <f>-SUMIFS('2022'!$M:$M,'2022'!$E:$E,Trésorerie!E$4,'2022'!$F:$F,Trésorerie!$B34)+SUMIFS('2022'!$N:$N,'2022'!$E:$E,Trésorerie!E$4,'2022'!$F:$F,Trésorerie!$B34)</f>
        <v>0</v>
      </c>
      <c r="F34" s="22">
        <f>-SUMIFS('2022'!$M:$M,'2022'!$E:$E,Trésorerie!F$4,'2022'!$F:$F,Trésorerie!$B34)+SUMIFS('2022'!$N:$N,'2022'!$E:$E,Trésorerie!F$4,'2022'!$F:$F,Trésorerie!$B34)</f>
        <v>0</v>
      </c>
      <c r="G34" s="22">
        <f>-SUMIFS('2022'!$M:$M,'2022'!$E:$E,Trésorerie!G$4,'2022'!$F:$F,Trésorerie!$B34)+SUMIFS('2022'!$N:$N,'2022'!$E:$E,Trésorerie!G$4,'2022'!$F:$F,Trésorerie!$B34)</f>
        <v>0</v>
      </c>
      <c r="H34" s="22">
        <f>-SUMIFS('2022'!$M:$M,'2022'!$E:$E,Trésorerie!H$4,'2022'!$F:$F,Trésorerie!$B34)+SUMIFS('2022'!$N:$N,'2022'!$E:$E,Trésorerie!H$4,'2022'!$F:$F,Trésorerie!$B34)</f>
        <v>0</v>
      </c>
      <c r="I34" s="22">
        <f>-SUMIFS('2022'!$M:$M,'2022'!$E:$E,Trésorerie!I$4,'2022'!$F:$F,Trésorerie!$B34)+SUMIFS('2022'!$N:$N,'2022'!$E:$E,Trésorerie!I$4,'2022'!$F:$F,Trésorerie!$B34)</f>
        <v>0</v>
      </c>
      <c r="J34" s="22">
        <f>-SUMIFS('2022'!$M:$M,'2022'!$E:$E,Trésorerie!J$4,'2022'!$F:$F,Trésorerie!$B34)+SUMIFS('2022'!$N:$N,'2022'!$E:$E,Trésorerie!J$4,'2022'!$F:$F,Trésorerie!$B34)</f>
        <v>0</v>
      </c>
      <c r="K34" s="22">
        <f>-SUMIFS('2022'!$M:$M,'2022'!$E:$E,Trésorerie!K$4,'2022'!$F:$F,Trésorerie!$B34)+SUMIFS('2022'!$N:$N,'2022'!$E:$E,Trésorerie!K$4,'2022'!$F:$F,Trésorerie!$B34)</f>
        <v>0</v>
      </c>
      <c r="L34" s="22">
        <f>-SUMIFS('2022'!$M:$M,'2022'!$E:$E,Trésorerie!L$4,'2022'!$F:$F,Trésorerie!$B34)+SUMIFS('2022'!$N:$N,'2022'!$E:$E,Trésorerie!L$4,'2022'!$F:$F,Trésorerie!$B34)</f>
        <v>0</v>
      </c>
      <c r="M34" s="22">
        <f>-SUMIFS('2022'!$M:$M,'2022'!$E:$E,Trésorerie!M$4,'2022'!$F:$F,Trésorerie!$B34)+SUMIFS('2022'!$N:$N,'2022'!$E:$E,Trésorerie!M$4,'2022'!$F:$F,Trésorerie!$B34)</f>
        <v>0</v>
      </c>
      <c r="N34" s="22">
        <f>-SUMIFS('2022'!$M:$M,'2022'!$E:$E,Trésorerie!N$4,'2022'!$F:$F,Trésorerie!$B34)+SUMIFS('2022'!$N:$N,'2022'!$E:$E,Trésorerie!N$4,'2022'!$F:$F,Trésorerie!$B34)</f>
        <v>0</v>
      </c>
      <c r="O34" s="22">
        <f>-SUMIFS('2022'!$M:$M,'2022'!$E:$E,Trésorerie!O$4,'2022'!$F:$F,Trésorerie!$B34)+SUMIFS('2022'!$N:$N,'2022'!$E:$E,Trésorerie!O$4,'2022'!$F:$F,Trésorerie!$B34)</f>
        <v>0</v>
      </c>
      <c r="P34" s="22">
        <f>-SUMIFS('2022'!$M:$M,'2022'!$E:$E,Trésorerie!P$4,'2022'!$F:$F,Trésorerie!$B34)+SUMIFS('2022'!$N:$N,'2022'!$E:$E,Trésorerie!P$4,'2022'!$F:$F,Trésorerie!$B34)</f>
        <v>0</v>
      </c>
      <c r="R34" s="67">
        <f>-SUMIFS('2023-01'!$M:$M,'2023-01'!$E:$E,Trésorerie!R$4,'2023-01'!$F:$F,Trésorerie!$B34)+SUMIFS('2023-01'!$N:$N,'2023-01'!$E:$E,Trésorerie!R$4,'2023-01'!$F:$F,Trésorerie!$B34)</f>
        <v>0</v>
      </c>
      <c r="S34" s="67">
        <f>-SUMIFS('2023-02'!$M:$M,'2023-02'!$E:$E,Trésorerie!S$4,'2023-02'!$F:$F,Trésorerie!$B34)+SUMIFS('2023-02'!$N:$N,'2023-02'!$E:$E,Trésorerie!S$4,'2023-02'!$F:$F,Trésorerie!$B34)</f>
        <v>0</v>
      </c>
      <c r="T34" s="67">
        <f>-SUMIFS('2023-03'!$M:$M,'2023-03'!$E:$E,Trésorerie!T$4,'2023-03'!$F:$F,Trésorerie!$B34)+SUMIFS('2023-03'!$N:$N,'2023-03'!$E:$E,Trésorerie!T$4,'2023-03'!$F:$F,Trésorerie!$B34)</f>
        <v>0</v>
      </c>
      <c r="U34" s="67">
        <f>-SUMIFS('2023-04'!$M:$M,'2023-04'!$E:$E,Trésorerie!U$4,'2023-04'!$F:$F,Trésorerie!$B34)+SUMIFS('2023-04'!$N:$N,'2023-04'!$E:$E,Trésorerie!U$4,'2023-04'!$F:$F,Trésorerie!$B34)</f>
        <v>0</v>
      </c>
      <c r="V34" s="67">
        <f>-SUMIFS('2023-05'!$M:$M,'2023-05'!$E:$E,Trésorerie!V$4,'2023-05'!$F:$F,Trésorerie!$B34)+SUMIFS('2023-05'!$N:$N,'2023-05'!$E:$E,Trésorerie!V$4,'2023-05'!$F:$F,Trésorerie!$B34)</f>
        <v>0</v>
      </c>
      <c r="W34" s="67">
        <f>-SUMIFS('2023-06'!$M:$M,'2023-06'!$E:$E,Trésorerie!W$4,'2023-06'!$F:$F,Trésorerie!$B34)+SUMIFS('2023-06'!$N:$N,'2023-06'!$E:$E,Trésorerie!W$4,'2023-06'!$F:$F,Trésorerie!$B34)</f>
        <v>720</v>
      </c>
      <c r="X34" s="67">
        <f>-SUMIFS('2023-07'!$M:$M,'2023-07'!$E:$E,Trésorerie!X$4,'2023-07'!$F:$F,Trésorerie!$B34)+SUMIFS('2023-07'!$N:$N,'2023-07'!$E:$E,Trésorerie!X$4,'2023-07'!$F:$F,Trésorerie!$B34)</f>
        <v>0</v>
      </c>
      <c r="Y34" s="67">
        <f>-SUMIFS('2023-08'!$M:$M,'2023-08'!$E:$E,Trésorerie!Y$4,'2023-08'!$F:$F,Trésorerie!$B34)+SUMIFS('2023-08'!$N:$N,'2023-08'!$E:$E,Trésorerie!Y$4,'2023-08'!$F:$F,Trésorerie!$B34)</f>
        <v>0</v>
      </c>
      <c r="Z34" s="67">
        <f>-SUMIFS('2023-09'!$M:$M,'2023-09'!$E:$E,Trésorerie!Z$4,'2023-09'!$F:$F,Trésorerie!$B34)+SUMIFS('2023-09'!$N:$N,'2023-09'!$E:$E,Trésorerie!Z$4,'2023-09'!$F:$F,Trésorerie!$B34)</f>
        <v>0</v>
      </c>
      <c r="AA34" s="67">
        <f>-SUMIFS('2023-10'!$M:$M,'2023-10'!$E:$E,Trésorerie!AA$4,'2023-10'!$F:$F,Trésorerie!$B34)+SUMIFS('2023-10'!$N:$N,'2023-10'!$E:$E,Trésorerie!AA$4,'2023-10'!$F:$F,Trésorerie!$B34)</f>
        <v>0</v>
      </c>
      <c r="AB34" s="75">
        <f>IF(SUM($E34:O34)&gt;SUM($R34:AA34),SUM($E34:O34)-SUM($R34:AA34),0)</f>
        <v>0</v>
      </c>
      <c r="AC34" s="75">
        <f>IF(SUM($E34:P34)&gt;SUM($R34:AB34),SUM($E34:P34)-SUM($R34:AB34),0)</f>
        <v>0</v>
      </c>
      <c r="AD34" s="79"/>
    </row>
    <row r="35" spans="1:30" x14ac:dyDescent="0.25">
      <c r="A35" s="10">
        <f t="shared" ref="A35:A36" si="1">SUM(E35:P35)</f>
        <v>0</v>
      </c>
      <c r="B35" s="50">
        <v>791200</v>
      </c>
      <c r="C35" s="16" t="s">
        <v>411</v>
      </c>
      <c r="D35" s="50" t="s">
        <v>4751</v>
      </c>
      <c r="E35" s="22">
        <f>-SUMIFS('2022'!$M:$M,'2022'!$E:$E,Trésorerie!E$4,'2022'!$F:$F,Trésorerie!$B35)+SUMIFS('2022'!$N:$N,'2022'!$E:$E,Trésorerie!E$4,'2022'!$F:$F,Trésorerie!$B35)</f>
        <v>0</v>
      </c>
      <c r="F35" s="22">
        <f>-SUMIFS('2022'!$M:$M,'2022'!$E:$E,Trésorerie!F$4,'2022'!$F:$F,Trésorerie!$B35)+SUMIFS('2022'!$N:$N,'2022'!$E:$E,Trésorerie!F$4,'2022'!$F:$F,Trésorerie!$B35)</f>
        <v>0</v>
      </c>
      <c r="G35" s="22">
        <f>-SUMIFS('2022'!$M:$M,'2022'!$E:$E,Trésorerie!G$4,'2022'!$F:$F,Trésorerie!$B35)+SUMIFS('2022'!$N:$N,'2022'!$E:$E,Trésorerie!G$4,'2022'!$F:$F,Trésorerie!$B35)</f>
        <v>0</v>
      </c>
      <c r="H35" s="22">
        <f>-SUMIFS('2022'!$M:$M,'2022'!$E:$E,Trésorerie!H$4,'2022'!$F:$F,Trésorerie!$B35)+SUMIFS('2022'!$N:$N,'2022'!$E:$E,Trésorerie!H$4,'2022'!$F:$F,Trésorerie!$B35)</f>
        <v>0</v>
      </c>
      <c r="I35" s="22">
        <f>-SUMIFS('2022'!$M:$M,'2022'!$E:$E,Trésorerie!I$4,'2022'!$F:$F,Trésorerie!$B35)+SUMIFS('2022'!$N:$N,'2022'!$E:$E,Trésorerie!I$4,'2022'!$F:$F,Trésorerie!$B35)</f>
        <v>0</v>
      </c>
      <c r="J35" s="22">
        <f>-SUMIFS('2022'!$M:$M,'2022'!$E:$E,Trésorerie!J$4,'2022'!$F:$F,Trésorerie!$B35)+SUMIFS('2022'!$N:$N,'2022'!$E:$E,Trésorerie!J$4,'2022'!$F:$F,Trésorerie!$B35)</f>
        <v>0</v>
      </c>
      <c r="K35" s="22">
        <f>-SUMIFS('2022'!$M:$M,'2022'!$E:$E,Trésorerie!K$4,'2022'!$F:$F,Trésorerie!$B35)+SUMIFS('2022'!$N:$N,'2022'!$E:$E,Trésorerie!K$4,'2022'!$F:$F,Trésorerie!$B35)</f>
        <v>0</v>
      </c>
      <c r="L35" s="22">
        <f>-SUMIFS('2022'!$M:$M,'2022'!$E:$E,Trésorerie!L$4,'2022'!$F:$F,Trésorerie!$B35)+SUMIFS('2022'!$N:$N,'2022'!$E:$E,Trésorerie!L$4,'2022'!$F:$F,Trésorerie!$B35)</f>
        <v>0</v>
      </c>
      <c r="M35" s="22">
        <f>-SUMIFS('2022'!$M:$M,'2022'!$E:$E,Trésorerie!M$4,'2022'!$F:$F,Trésorerie!$B35)+SUMIFS('2022'!$N:$N,'2022'!$E:$E,Trésorerie!M$4,'2022'!$F:$F,Trésorerie!$B35)</f>
        <v>0</v>
      </c>
      <c r="N35" s="22">
        <f>-SUMIFS('2022'!$M:$M,'2022'!$E:$E,Trésorerie!N$4,'2022'!$F:$F,Trésorerie!$B35)+SUMIFS('2022'!$N:$N,'2022'!$E:$E,Trésorerie!N$4,'2022'!$F:$F,Trésorerie!$B35)</f>
        <v>0</v>
      </c>
      <c r="O35" s="22">
        <f>-SUMIFS('2022'!$M:$M,'2022'!$E:$E,Trésorerie!O$4,'2022'!$F:$F,Trésorerie!$B35)+SUMIFS('2022'!$N:$N,'2022'!$E:$E,Trésorerie!O$4,'2022'!$F:$F,Trésorerie!$B35)</f>
        <v>0</v>
      </c>
      <c r="P35" s="22">
        <f>-SUMIFS('2022'!$M:$M,'2022'!$E:$E,Trésorerie!P$4,'2022'!$F:$F,Trésorerie!$B35)+SUMIFS('2022'!$N:$N,'2022'!$E:$E,Trésorerie!P$4,'2022'!$F:$F,Trésorerie!$B35)</f>
        <v>0</v>
      </c>
      <c r="R35" s="67">
        <f>-SUMIFS('2023-01'!$M:$M,'2023-01'!$E:$E,Trésorerie!R$4,'2023-01'!$F:$F,Trésorerie!$B35)+SUMIFS('2023-01'!$N:$N,'2023-01'!$E:$E,Trésorerie!R$4,'2023-01'!$F:$F,Trésorerie!$B35)</f>
        <v>0</v>
      </c>
      <c r="S35" s="67">
        <f>-SUMIFS('2023-02'!$M:$M,'2023-02'!$E:$E,Trésorerie!S$4,'2023-02'!$F:$F,Trésorerie!$B35)+SUMIFS('2023-02'!$N:$N,'2023-02'!$E:$E,Trésorerie!S$4,'2023-02'!$F:$F,Trésorerie!$B35)</f>
        <v>0</v>
      </c>
      <c r="T35" s="67">
        <f>-SUMIFS('2023-03'!$M:$M,'2023-03'!$E:$E,Trésorerie!T$4,'2023-03'!$F:$F,Trésorerie!$B35)+SUMIFS('2023-03'!$N:$N,'2023-03'!$E:$E,Trésorerie!T$4,'2023-03'!$F:$F,Trésorerie!$B35)</f>
        <v>0</v>
      </c>
      <c r="U35" s="67">
        <f>-SUMIFS('2023-04'!$M:$M,'2023-04'!$E:$E,Trésorerie!U$4,'2023-04'!$F:$F,Trésorerie!$B35)+SUMIFS('2023-04'!$N:$N,'2023-04'!$E:$E,Trésorerie!U$4,'2023-04'!$F:$F,Trésorerie!$B35)</f>
        <v>0</v>
      </c>
      <c r="V35" s="67">
        <f>-SUMIFS('2023-05'!$M:$M,'2023-05'!$E:$E,Trésorerie!V$4,'2023-05'!$F:$F,Trésorerie!$B35)+SUMIFS('2023-05'!$N:$N,'2023-05'!$E:$E,Trésorerie!V$4,'2023-05'!$F:$F,Trésorerie!$B35)</f>
        <v>0</v>
      </c>
      <c r="W35" s="67">
        <f>-SUMIFS('2023-06'!$M:$M,'2023-06'!$E:$E,Trésorerie!W$4,'2023-06'!$F:$F,Trésorerie!$B35)+SUMIFS('2023-06'!$N:$N,'2023-06'!$E:$E,Trésorerie!W$4,'2023-06'!$F:$F,Trésorerie!$B35)</f>
        <v>0</v>
      </c>
      <c r="X35" s="67">
        <f>-SUMIFS('2023-07'!$M:$M,'2023-07'!$E:$E,Trésorerie!X$4,'2023-07'!$F:$F,Trésorerie!$B35)+SUMIFS('2023-07'!$N:$N,'2023-07'!$E:$E,Trésorerie!X$4,'2023-07'!$F:$F,Trésorerie!$B35)</f>
        <v>0</v>
      </c>
      <c r="Y35" s="67">
        <f>-SUMIFS('2023-08'!$M:$M,'2023-08'!$E:$E,Trésorerie!Y$4,'2023-08'!$F:$F,Trésorerie!$B35)+SUMIFS('2023-08'!$N:$N,'2023-08'!$E:$E,Trésorerie!Y$4,'2023-08'!$F:$F,Trésorerie!$B35)</f>
        <v>0</v>
      </c>
      <c r="Z35" s="67">
        <f>-SUMIFS('2023-09'!$M:$M,'2023-09'!$E:$E,Trésorerie!Z$4,'2023-09'!$F:$F,Trésorerie!$B35)+SUMIFS('2023-09'!$N:$N,'2023-09'!$E:$E,Trésorerie!Z$4,'2023-09'!$F:$F,Trésorerie!$B35)</f>
        <v>0</v>
      </c>
      <c r="AA35" s="67">
        <f>-SUMIFS('2023-10'!$M:$M,'2023-10'!$E:$E,Trésorerie!AA$4,'2023-10'!$F:$F,Trésorerie!$B35)+SUMIFS('2023-10'!$N:$N,'2023-10'!$E:$E,Trésorerie!AA$4,'2023-10'!$F:$F,Trésorerie!$B35)</f>
        <v>0</v>
      </c>
      <c r="AB35" s="75">
        <f>IF(SUM($E35:O35)&gt;SUM($R35:AA35),SUM($E35:O35)-SUM($R35:AA35),0)</f>
        <v>0</v>
      </c>
      <c r="AC35" s="75">
        <f>IF(SUM($E35:P35)&gt;SUM($R35:AB35),SUM($E35:P35)-SUM($R35:AB35),0)</f>
        <v>0</v>
      </c>
      <c r="AD35" s="79"/>
    </row>
    <row r="36" spans="1:30" x14ac:dyDescent="0.25">
      <c r="A36" s="10">
        <f t="shared" si="1"/>
        <v>0</v>
      </c>
      <c r="B36" s="50">
        <v>791000</v>
      </c>
      <c r="C36" s="16" t="s">
        <v>6273</v>
      </c>
      <c r="D36" s="50" t="s">
        <v>4751</v>
      </c>
      <c r="E36" s="22">
        <f>-SUMIFS('2022'!$M:$M,'2022'!$E:$E,Trésorerie!E$4,'2022'!$F:$F,Trésorerie!$B36)+SUMIFS('2022'!$N:$N,'2022'!$E:$E,Trésorerie!E$4,'2022'!$F:$F,Trésorerie!$B36)</f>
        <v>0</v>
      </c>
      <c r="F36" s="22">
        <f>-SUMIFS('2022'!$M:$M,'2022'!$E:$E,Trésorerie!F$4,'2022'!$F:$F,Trésorerie!$B36)+SUMIFS('2022'!$N:$N,'2022'!$E:$E,Trésorerie!F$4,'2022'!$F:$F,Trésorerie!$B36)</f>
        <v>0</v>
      </c>
      <c r="G36" s="22">
        <f>-SUMIFS('2022'!$M:$M,'2022'!$E:$E,Trésorerie!G$4,'2022'!$F:$F,Trésorerie!$B36)+SUMIFS('2022'!$N:$N,'2022'!$E:$E,Trésorerie!G$4,'2022'!$F:$F,Trésorerie!$B36)</f>
        <v>0</v>
      </c>
      <c r="H36" s="22">
        <f>-SUMIFS('2022'!$M:$M,'2022'!$E:$E,Trésorerie!H$4,'2022'!$F:$F,Trésorerie!$B36)+SUMIFS('2022'!$N:$N,'2022'!$E:$E,Trésorerie!H$4,'2022'!$F:$F,Trésorerie!$B36)</f>
        <v>0</v>
      </c>
      <c r="I36" s="22">
        <f>-SUMIFS('2022'!$M:$M,'2022'!$E:$E,Trésorerie!I$4,'2022'!$F:$F,Trésorerie!$B36)+SUMIFS('2022'!$N:$N,'2022'!$E:$E,Trésorerie!I$4,'2022'!$F:$F,Trésorerie!$B36)</f>
        <v>0</v>
      </c>
      <c r="J36" s="22">
        <f>-SUMIFS('2022'!$M:$M,'2022'!$E:$E,Trésorerie!J$4,'2022'!$F:$F,Trésorerie!$B36)+SUMIFS('2022'!$N:$N,'2022'!$E:$E,Trésorerie!J$4,'2022'!$F:$F,Trésorerie!$B36)</f>
        <v>0</v>
      </c>
      <c r="K36" s="22">
        <f>-SUMIFS('2022'!$M:$M,'2022'!$E:$E,Trésorerie!K$4,'2022'!$F:$F,Trésorerie!$B36)+SUMIFS('2022'!$N:$N,'2022'!$E:$E,Trésorerie!K$4,'2022'!$F:$F,Trésorerie!$B36)</f>
        <v>0</v>
      </c>
      <c r="L36" s="22">
        <f>-SUMIFS('2022'!$M:$M,'2022'!$E:$E,Trésorerie!L$4,'2022'!$F:$F,Trésorerie!$B36)+SUMIFS('2022'!$N:$N,'2022'!$E:$E,Trésorerie!L$4,'2022'!$F:$F,Trésorerie!$B36)</f>
        <v>0</v>
      </c>
      <c r="M36" s="22">
        <f>-SUMIFS('2022'!$M:$M,'2022'!$E:$E,Trésorerie!M$4,'2022'!$F:$F,Trésorerie!$B36)+SUMIFS('2022'!$N:$N,'2022'!$E:$E,Trésorerie!M$4,'2022'!$F:$F,Trésorerie!$B36)</f>
        <v>0</v>
      </c>
      <c r="N36" s="22">
        <f>-SUMIFS('2022'!$M:$M,'2022'!$E:$E,Trésorerie!N$4,'2022'!$F:$F,Trésorerie!$B36)+SUMIFS('2022'!$N:$N,'2022'!$E:$E,Trésorerie!N$4,'2022'!$F:$F,Trésorerie!$B36)</f>
        <v>0</v>
      </c>
      <c r="O36" s="22">
        <f>-SUMIFS('2022'!$M:$M,'2022'!$E:$E,Trésorerie!O$4,'2022'!$F:$F,Trésorerie!$B36)+SUMIFS('2022'!$N:$N,'2022'!$E:$E,Trésorerie!O$4,'2022'!$F:$F,Trésorerie!$B36)</f>
        <v>0</v>
      </c>
      <c r="P36" s="22">
        <f>-SUMIFS('2022'!$M:$M,'2022'!$E:$E,Trésorerie!P$4,'2022'!$F:$F,Trésorerie!$B36)+SUMIFS('2022'!$N:$N,'2022'!$E:$E,Trésorerie!P$4,'2022'!$F:$F,Trésorerie!$B36)</f>
        <v>0</v>
      </c>
      <c r="R36" s="67">
        <f>-SUMIFS('2023-01'!$M:$M,'2023-01'!$E:$E,Trésorerie!R$4,'2023-01'!$F:$F,Trésorerie!$B36)+SUMIFS('2023-01'!$N:$N,'2023-01'!$E:$E,Trésorerie!R$4,'2023-01'!$F:$F,Trésorerie!$B36)</f>
        <v>0</v>
      </c>
      <c r="S36" s="67">
        <f>-SUMIFS('2023-02'!$M:$M,'2023-02'!$E:$E,Trésorerie!S$4,'2023-02'!$F:$F,Trésorerie!$B36)+SUMIFS('2023-02'!$N:$N,'2023-02'!$E:$E,Trésorerie!S$4,'2023-02'!$F:$F,Trésorerie!$B36)</f>
        <v>0</v>
      </c>
      <c r="T36" s="67">
        <f>-SUMIFS('2023-03'!$M:$M,'2023-03'!$E:$E,Trésorerie!T$4,'2023-03'!$F:$F,Trésorerie!$B36)+SUMIFS('2023-03'!$N:$N,'2023-03'!$E:$E,Trésorerie!T$4,'2023-03'!$F:$F,Trésorerie!$B36)</f>
        <v>0</v>
      </c>
      <c r="U36" s="67">
        <f>-SUMIFS('2023-04'!$M:$M,'2023-04'!$E:$E,Trésorerie!U$4,'2023-04'!$F:$F,Trésorerie!$B36)+SUMIFS('2023-04'!$N:$N,'2023-04'!$E:$E,Trésorerie!U$4,'2023-04'!$F:$F,Trésorerie!$B36)</f>
        <v>0</v>
      </c>
      <c r="V36" s="67">
        <f>-SUMIFS('2023-05'!$M:$M,'2023-05'!$E:$E,Trésorerie!V$4,'2023-05'!$F:$F,Trésorerie!$B36)+SUMIFS('2023-05'!$N:$N,'2023-05'!$E:$E,Trésorerie!V$4,'2023-05'!$F:$F,Trésorerie!$B36)</f>
        <v>875</v>
      </c>
      <c r="W36" s="67">
        <f>-SUMIFS('2023-06'!$M:$M,'2023-06'!$E:$E,Trésorerie!W$4,'2023-06'!$F:$F,Trésorerie!$B36)+SUMIFS('2023-06'!$N:$N,'2023-06'!$E:$E,Trésorerie!W$4,'2023-06'!$F:$F,Trésorerie!$B36)</f>
        <v>0</v>
      </c>
      <c r="X36" s="67">
        <f>-SUMIFS('2023-07'!$M:$M,'2023-07'!$E:$E,Trésorerie!X$4,'2023-07'!$F:$F,Trésorerie!$B36)+SUMIFS('2023-07'!$N:$N,'2023-07'!$E:$E,Trésorerie!X$4,'2023-07'!$F:$F,Trésorerie!$B36)</f>
        <v>0</v>
      </c>
      <c r="Y36" s="67">
        <f>-SUMIFS('2023-08'!$M:$M,'2023-08'!$E:$E,Trésorerie!Y$4,'2023-08'!$F:$F,Trésorerie!$B36)+SUMIFS('2023-08'!$N:$N,'2023-08'!$E:$E,Trésorerie!Y$4,'2023-08'!$F:$F,Trésorerie!$B36)</f>
        <v>0</v>
      </c>
      <c r="Z36" s="67">
        <f>-SUMIFS('2023-09'!$M:$M,'2023-09'!$E:$E,Trésorerie!Z$4,'2023-09'!$F:$F,Trésorerie!$B36)+SUMIFS('2023-09'!$N:$N,'2023-09'!$E:$E,Trésorerie!Z$4,'2023-09'!$F:$F,Trésorerie!$B36)</f>
        <v>0</v>
      </c>
      <c r="AA36" s="67">
        <f>-SUMIFS('2023-10'!$M:$M,'2023-10'!$E:$E,Trésorerie!AA$4,'2023-10'!$F:$F,Trésorerie!$B36)+SUMIFS('2023-10'!$N:$N,'2023-10'!$E:$E,Trésorerie!AA$4,'2023-10'!$F:$F,Trésorerie!$B36)</f>
        <v>0</v>
      </c>
      <c r="AB36" s="75">
        <f>IF(SUM($E36:O36)&gt;SUM($R36:AA36),SUM($E36:O36)-SUM($R36:AA36),0)</f>
        <v>0</v>
      </c>
      <c r="AC36" s="75">
        <f>IF(SUM($E36:P36)&gt;SUM($R36:AB36),SUM($E36:P36)-SUM($R36:AB36),0)</f>
        <v>0</v>
      </c>
      <c r="AD36" s="79"/>
    </row>
    <row r="37" spans="1:30" x14ac:dyDescent="0.25">
      <c r="A37" s="10">
        <f t="shared" si="0"/>
        <v>750</v>
      </c>
      <c r="B37" s="50">
        <v>468780</v>
      </c>
      <c r="C37" s="16" t="s">
        <v>433</v>
      </c>
      <c r="D37" s="50" t="s">
        <v>4751</v>
      </c>
      <c r="E37" s="22">
        <f>-SUMIFS('2022'!$M:$M,'2022'!$E:$E,Trésorerie!E$4,'2022'!$F:$F,Trésorerie!$B37)+SUMIFS('2022'!$N:$N,'2022'!$E:$E,Trésorerie!E$4,'2022'!$F:$F,Trésorerie!$B37)</f>
        <v>0</v>
      </c>
      <c r="F37" s="22">
        <f>-SUMIFS('2022'!$M:$M,'2022'!$E:$E,Trésorerie!F$4,'2022'!$F:$F,Trésorerie!$B37)+SUMIFS('2022'!$N:$N,'2022'!$E:$E,Trésorerie!F$4,'2022'!$F:$F,Trésorerie!$B37)</f>
        <v>0</v>
      </c>
      <c r="G37" s="22">
        <f>-SUMIFS('2022'!$M:$M,'2022'!$E:$E,Trésorerie!G$4,'2022'!$F:$F,Trésorerie!$B37)+SUMIFS('2022'!$N:$N,'2022'!$E:$E,Trésorerie!G$4,'2022'!$F:$F,Trésorerie!$B37)</f>
        <v>0</v>
      </c>
      <c r="H37" s="22">
        <f>-SUMIFS('2022'!$M:$M,'2022'!$E:$E,Trésorerie!H$4,'2022'!$F:$F,Trésorerie!$B37)+SUMIFS('2022'!$N:$N,'2022'!$E:$E,Trésorerie!H$4,'2022'!$F:$F,Trésorerie!$B37)</f>
        <v>0</v>
      </c>
      <c r="I37" s="22">
        <f>-SUMIFS('2022'!$M:$M,'2022'!$E:$E,Trésorerie!I$4,'2022'!$F:$F,Trésorerie!$B37)+SUMIFS('2022'!$N:$N,'2022'!$E:$E,Trésorerie!I$4,'2022'!$F:$F,Trésorerie!$B37)</f>
        <v>0</v>
      </c>
      <c r="J37" s="22">
        <f>-SUMIFS('2022'!$M:$M,'2022'!$E:$E,Trésorerie!J$4,'2022'!$F:$F,Trésorerie!$B37)+SUMIFS('2022'!$N:$N,'2022'!$E:$E,Trésorerie!J$4,'2022'!$F:$F,Trésorerie!$B37)</f>
        <v>0</v>
      </c>
      <c r="K37" s="22">
        <f>-SUMIFS('2022'!$M:$M,'2022'!$E:$E,Trésorerie!K$4,'2022'!$F:$F,Trésorerie!$B37)+SUMIFS('2022'!$N:$N,'2022'!$E:$E,Trésorerie!K$4,'2022'!$F:$F,Trésorerie!$B37)</f>
        <v>0</v>
      </c>
      <c r="L37" s="22">
        <f>-SUMIFS('2022'!$M:$M,'2022'!$E:$E,Trésorerie!L$4,'2022'!$F:$F,Trésorerie!$B37)+SUMIFS('2022'!$N:$N,'2022'!$E:$E,Trésorerie!L$4,'2022'!$F:$F,Trésorerie!$B37)</f>
        <v>0</v>
      </c>
      <c r="M37" s="22">
        <f>-SUMIFS('2022'!$M:$M,'2022'!$E:$E,Trésorerie!M$4,'2022'!$F:$F,Trésorerie!$B37)+SUMIFS('2022'!$N:$N,'2022'!$E:$E,Trésorerie!M$4,'2022'!$F:$F,Trésorerie!$B37)</f>
        <v>750</v>
      </c>
      <c r="N37" s="22">
        <f>-SUMIFS('2022'!$M:$M,'2022'!$E:$E,Trésorerie!N$4,'2022'!$F:$F,Trésorerie!$B37)+SUMIFS('2022'!$N:$N,'2022'!$E:$E,Trésorerie!N$4,'2022'!$F:$F,Trésorerie!$B37)</f>
        <v>0</v>
      </c>
      <c r="O37" s="22">
        <f>-SUMIFS('2022'!$M:$M,'2022'!$E:$E,Trésorerie!O$4,'2022'!$F:$F,Trésorerie!$B37)+SUMIFS('2022'!$N:$N,'2022'!$E:$E,Trésorerie!O$4,'2022'!$F:$F,Trésorerie!$B37)</f>
        <v>0</v>
      </c>
      <c r="P37" s="22">
        <f>-SUMIFS('2022'!$M:$M,'2022'!$E:$E,Trésorerie!P$4,'2022'!$F:$F,Trésorerie!$B37)+SUMIFS('2022'!$N:$N,'2022'!$E:$E,Trésorerie!P$4,'2022'!$F:$F,Trésorerie!$B37)</f>
        <v>0</v>
      </c>
      <c r="R37" s="67">
        <f>-SUMIFS('2023-01'!$M:$M,'2023-01'!$E:$E,Trésorerie!R$4,'2023-01'!$F:$F,Trésorerie!$B37)+SUMIFS('2023-01'!$N:$N,'2023-01'!$E:$E,Trésorerie!R$4,'2023-01'!$F:$F,Trésorerie!$B37)</f>
        <v>0</v>
      </c>
      <c r="S37" s="67">
        <f>-SUMIFS('2023-02'!$M:$M,'2023-02'!$E:$E,Trésorerie!S$4,'2023-02'!$F:$F,Trésorerie!$B37)+SUMIFS('2023-02'!$N:$N,'2023-02'!$E:$E,Trésorerie!S$4,'2023-02'!$F:$F,Trésorerie!$B37)</f>
        <v>0</v>
      </c>
      <c r="T37" s="67">
        <f>-SUMIFS('2023-03'!$M:$M,'2023-03'!$E:$E,Trésorerie!T$4,'2023-03'!$F:$F,Trésorerie!$B37)+SUMIFS('2023-03'!$N:$N,'2023-03'!$E:$E,Trésorerie!T$4,'2023-03'!$F:$F,Trésorerie!$B37)</f>
        <v>0</v>
      </c>
      <c r="U37" s="67">
        <f>-SUMIFS('2023-04'!$M:$M,'2023-04'!$E:$E,Trésorerie!U$4,'2023-04'!$F:$F,Trésorerie!$B37)+SUMIFS('2023-04'!$N:$N,'2023-04'!$E:$E,Trésorerie!U$4,'2023-04'!$F:$F,Trésorerie!$B37)</f>
        <v>0</v>
      </c>
      <c r="V37" s="67">
        <f>-SUMIFS('2023-05'!$M:$M,'2023-05'!$E:$E,Trésorerie!V$4,'2023-05'!$F:$F,Trésorerie!$B37)+SUMIFS('2023-05'!$N:$N,'2023-05'!$E:$E,Trésorerie!V$4,'2023-05'!$F:$F,Trésorerie!$B37)</f>
        <v>0</v>
      </c>
      <c r="W37" s="67">
        <f>-SUMIFS('2023-06'!$M:$M,'2023-06'!$E:$E,Trésorerie!W$4,'2023-06'!$F:$F,Trésorerie!$B37)+SUMIFS('2023-06'!$N:$N,'2023-06'!$E:$E,Trésorerie!W$4,'2023-06'!$F:$F,Trésorerie!$B37)</f>
        <v>0</v>
      </c>
      <c r="X37" s="67">
        <f>-SUMIFS('2023-07'!$M:$M,'2023-07'!$E:$E,Trésorerie!X$4,'2023-07'!$F:$F,Trésorerie!$B37)+SUMIFS('2023-07'!$N:$N,'2023-07'!$E:$E,Trésorerie!X$4,'2023-07'!$F:$F,Trésorerie!$B37)</f>
        <v>0</v>
      </c>
      <c r="Y37" s="67">
        <f>-SUMIFS('2023-08'!$M:$M,'2023-08'!$E:$E,Trésorerie!Y$4,'2023-08'!$F:$F,Trésorerie!$B37)+SUMIFS('2023-08'!$N:$N,'2023-08'!$E:$E,Trésorerie!Y$4,'2023-08'!$F:$F,Trésorerie!$B37)</f>
        <v>0</v>
      </c>
      <c r="Z37" s="67">
        <f>-SUMIFS('2023-09'!$M:$M,'2023-09'!$E:$E,Trésorerie!Z$4,'2023-09'!$F:$F,Trésorerie!$B37)+SUMIFS('2023-09'!$N:$N,'2023-09'!$E:$E,Trésorerie!Z$4,'2023-09'!$F:$F,Trésorerie!$B37)</f>
        <v>0</v>
      </c>
      <c r="AA37" s="67">
        <f>-SUMIFS('2023-10'!$M:$M,'2023-10'!$E:$E,Trésorerie!AA$4,'2023-10'!$F:$F,Trésorerie!$B37)+SUMIFS('2023-10'!$N:$N,'2023-10'!$E:$E,Trésorerie!AA$4,'2023-10'!$F:$F,Trésorerie!$B37)</f>
        <v>0</v>
      </c>
      <c r="AB37" s="75">
        <f>IF(SUM($E37:O37)&gt;SUM($R37:AA37),SUM($E37:O37)-SUM($R37:AA37),0)</f>
        <v>750</v>
      </c>
      <c r="AC37" s="75">
        <f>IF(SUM($E37:P37)&gt;SUM($R37:AB37),SUM($E37:P37)-SUM($R37:AB37),0)</f>
        <v>0</v>
      </c>
      <c r="AD37" s="79"/>
    </row>
    <row r="38" spans="1:30" x14ac:dyDescent="0.25">
      <c r="A38" s="10">
        <f t="shared" si="0"/>
        <v>373.49</v>
      </c>
      <c r="B38" s="50">
        <v>468736</v>
      </c>
      <c r="C38" s="16" t="s">
        <v>1284</v>
      </c>
      <c r="D38" s="50" t="s">
        <v>4751</v>
      </c>
      <c r="E38" s="22">
        <f>-SUMIFS('2022'!$M:$M,'2022'!$E:$E,Trésorerie!E$4,'2022'!$F:$F,Trésorerie!$B38)+SUMIFS('2022'!$N:$N,'2022'!$E:$E,Trésorerie!E$4,'2022'!$F:$F,Trésorerie!$B38)</f>
        <v>0</v>
      </c>
      <c r="F38" s="22">
        <f>-SUMIFS('2022'!$M:$M,'2022'!$E:$E,Trésorerie!F$4,'2022'!$F:$F,Trésorerie!$B38)+SUMIFS('2022'!$N:$N,'2022'!$E:$E,Trésorerie!F$4,'2022'!$F:$F,Trésorerie!$B38)</f>
        <v>31.57</v>
      </c>
      <c r="G38" s="22">
        <f>-SUMIFS('2022'!$M:$M,'2022'!$E:$E,Trésorerie!G$4,'2022'!$F:$F,Trésorerie!$B38)+SUMIFS('2022'!$N:$N,'2022'!$E:$E,Trésorerie!G$4,'2022'!$F:$F,Trésorerie!$B38)</f>
        <v>0</v>
      </c>
      <c r="H38" s="22">
        <f>-SUMIFS('2022'!$M:$M,'2022'!$E:$E,Trésorerie!H$4,'2022'!$F:$F,Trésorerie!$B38)+SUMIFS('2022'!$N:$N,'2022'!$E:$E,Trésorerie!H$4,'2022'!$F:$F,Trésorerie!$B38)</f>
        <v>133.41</v>
      </c>
      <c r="I38" s="22">
        <f>-SUMIFS('2022'!$M:$M,'2022'!$E:$E,Trésorerie!I$4,'2022'!$F:$F,Trésorerie!$B38)+SUMIFS('2022'!$N:$N,'2022'!$E:$E,Trésorerie!I$4,'2022'!$F:$F,Trésorerie!$B38)</f>
        <v>0</v>
      </c>
      <c r="J38" s="22">
        <f>-SUMIFS('2022'!$M:$M,'2022'!$E:$E,Trésorerie!J$4,'2022'!$F:$F,Trésorerie!$B38)+SUMIFS('2022'!$N:$N,'2022'!$E:$E,Trésorerie!J$4,'2022'!$F:$F,Trésorerie!$B38)</f>
        <v>66.010000000000005</v>
      </c>
      <c r="K38" s="22">
        <f>-SUMIFS('2022'!$M:$M,'2022'!$E:$E,Trésorerie!K$4,'2022'!$F:$F,Trésorerie!$B38)+SUMIFS('2022'!$N:$N,'2022'!$E:$E,Trésorerie!K$4,'2022'!$F:$F,Trésorerie!$B38)</f>
        <v>0</v>
      </c>
      <c r="L38" s="22">
        <f>-SUMIFS('2022'!$M:$M,'2022'!$E:$E,Trésorerie!L$4,'2022'!$F:$F,Trésorerie!$B38)+SUMIFS('2022'!$N:$N,'2022'!$E:$E,Trésorerie!L$4,'2022'!$F:$F,Trésorerie!$B38)</f>
        <v>0</v>
      </c>
      <c r="M38" s="22">
        <f>-SUMIFS('2022'!$M:$M,'2022'!$E:$E,Trésorerie!M$4,'2022'!$F:$F,Trésorerie!$B38)+SUMIFS('2022'!$N:$N,'2022'!$E:$E,Trésorerie!M$4,'2022'!$F:$F,Trésorerie!$B38)</f>
        <v>0</v>
      </c>
      <c r="N38" s="22">
        <f>-SUMIFS('2022'!$M:$M,'2022'!$E:$E,Trésorerie!N$4,'2022'!$F:$F,Trésorerie!$B38)+SUMIFS('2022'!$N:$N,'2022'!$E:$E,Trésorerie!N$4,'2022'!$F:$F,Trésorerie!$B38)</f>
        <v>142.5</v>
      </c>
      <c r="O38" s="22">
        <f>-SUMIFS('2022'!$M:$M,'2022'!$E:$E,Trésorerie!O$4,'2022'!$F:$F,Trésorerie!$B38)+SUMIFS('2022'!$N:$N,'2022'!$E:$E,Trésorerie!O$4,'2022'!$F:$F,Trésorerie!$B38)</f>
        <v>0</v>
      </c>
      <c r="P38" s="22">
        <f>-SUMIFS('2022'!$M:$M,'2022'!$E:$E,Trésorerie!P$4,'2022'!$F:$F,Trésorerie!$B38)+SUMIFS('2022'!$N:$N,'2022'!$E:$E,Trésorerie!P$4,'2022'!$F:$F,Trésorerie!$B38)</f>
        <v>0</v>
      </c>
      <c r="R38" s="67">
        <f>-SUMIFS('2023-01'!$M:$M,'2023-01'!$E:$E,Trésorerie!R$4,'2023-01'!$F:$F,Trésorerie!$B38)+SUMIFS('2023-01'!$N:$N,'2023-01'!$E:$E,Trésorerie!R$4,'2023-01'!$F:$F,Trésorerie!$B38)</f>
        <v>0</v>
      </c>
      <c r="S38" s="67">
        <f>-SUMIFS('2023-02'!$M:$M,'2023-02'!$E:$E,Trésorerie!S$4,'2023-02'!$F:$F,Trésorerie!$B38)+SUMIFS('2023-02'!$N:$N,'2023-02'!$E:$E,Trésorerie!S$4,'2023-02'!$F:$F,Trésorerie!$B38)</f>
        <v>0</v>
      </c>
      <c r="T38" s="67">
        <f>-SUMIFS('2023-03'!$M:$M,'2023-03'!$E:$E,Trésorerie!T$4,'2023-03'!$F:$F,Trésorerie!$B38)+SUMIFS('2023-03'!$N:$N,'2023-03'!$E:$E,Trésorerie!T$4,'2023-03'!$F:$F,Trésorerie!$B38)</f>
        <v>0</v>
      </c>
      <c r="U38" s="67">
        <f>-SUMIFS('2023-04'!$M:$M,'2023-04'!$E:$E,Trésorerie!U$4,'2023-04'!$F:$F,Trésorerie!$B38)+SUMIFS('2023-04'!$N:$N,'2023-04'!$E:$E,Trésorerie!U$4,'2023-04'!$F:$F,Trésorerie!$B38)</f>
        <v>0</v>
      </c>
      <c r="V38" s="67">
        <f>-SUMIFS('2023-05'!$M:$M,'2023-05'!$E:$E,Trésorerie!V$4,'2023-05'!$F:$F,Trésorerie!$B38)+SUMIFS('2023-05'!$N:$N,'2023-05'!$E:$E,Trésorerie!V$4,'2023-05'!$F:$F,Trésorerie!$B38)</f>
        <v>102</v>
      </c>
      <c r="W38" s="67">
        <f>-SUMIFS('2023-06'!$M:$M,'2023-06'!$E:$E,Trésorerie!W$4,'2023-06'!$F:$F,Trésorerie!$B38)+SUMIFS('2023-06'!$N:$N,'2023-06'!$E:$E,Trésorerie!W$4,'2023-06'!$F:$F,Trésorerie!$B38)</f>
        <v>0</v>
      </c>
      <c r="X38" s="67">
        <f>-SUMIFS('2023-07'!$M:$M,'2023-07'!$E:$E,Trésorerie!X$4,'2023-07'!$F:$F,Trésorerie!$B38)+SUMIFS('2023-07'!$N:$N,'2023-07'!$E:$E,Trésorerie!X$4,'2023-07'!$F:$F,Trésorerie!$B38)</f>
        <v>0</v>
      </c>
      <c r="Y38" s="67">
        <f>-SUMIFS('2023-08'!$M:$M,'2023-08'!$E:$E,Trésorerie!Y$4,'2023-08'!$F:$F,Trésorerie!$B38)+SUMIFS('2023-08'!$N:$N,'2023-08'!$E:$E,Trésorerie!Y$4,'2023-08'!$F:$F,Trésorerie!$B38)</f>
        <v>0</v>
      </c>
      <c r="Z38" s="67">
        <f>-SUMIFS('2023-09'!$M:$M,'2023-09'!$E:$E,Trésorerie!Z$4,'2023-09'!$F:$F,Trésorerie!$B38)+SUMIFS('2023-09'!$N:$N,'2023-09'!$E:$E,Trésorerie!Z$4,'2023-09'!$F:$F,Trésorerie!$B38)</f>
        <v>300</v>
      </c>
      <c r="AA38" s="67">
        <f>-SUMIFS('2023-10'!$M:$M,'2023-10'!$E:$E,Trésorerie!AA$4,'2023-10'!$F:$F,Trésorerie!$B38)+SUMIFS('2023-10'!$N:$N,'2023-10'!$E:$E,Trésorerie!AA$4,'2023-10'!$F:$F,Trésorerie!$B38)</f>
        <v>0</v>
      </c>
      <c r="AB38" s="75">
        <f>IF(SUM($E38:O38)&gt;SUM($R38:AA38),SUM($E38:O38)-SUM($R38:AA38),0)</f>
        <v>0</v>
      </c>
      <c r="AC38" s="75">
        <f>IF(SUM($E38:P38)&gt;SUM($R38:AB38),SUM($E38:P38)-SUM($R38:AB38),0)</f>
        <v>0</v>
      </c>
      <c r="AD38" s="79"/>
    </row>
    <row r="39" spans="1:30" x14ac:dyDescent="0.25">
      <c r="A39" s="10">
        <f t="shared" si="0"/>
        <v>326.41999999999996</v>
      </c>
      <c r="B39" s="50">
        <v>758000</v>
      </c>
      <c r="C39" s="16" t="s">
        <v>811</v>
      </c>
      <c r="D39" s="50" t="s">
        <v>4751</v>
      </c>
      <c r="E39" s="22">
        <f>-SUMIFS('2022'!$M:$M,'2022'!$E:$E,Trésorerie!E$4,'2022'!$F:$F,Trésorerie!$B39)+SUMIFS('2022'!$N:$N,'2022'!$E:$E,Trésorerie!E$4,'2022'!$F:$F,Trésorerie!$B39)</f>
        <v>0</v>
      </c>
      <c r="F39" s="22">
        <f>-SUMIFS('2022'!$M:$M,'2022'!$E:$E,Trésorerie!F$4,'2022'!$F:$F,Trésorerie!$B39)+SUMIFS('2022'!$N:$N,'2022'!$E:$E,Trésorerie!F$4,'2022'!$F:$F,Trésorerie!$B39)</f>
        <v>0</v>
      </c>
      <c r="G39" s="22">
        <f>-SUMIFS('2022'!$M:$M,'2022'!$E:$E,Trésorerie!G$4,'2022'!$F:$F,Trésorerie!$B39)+SUMIFS('2022'!$N:$N,'2022'!$E:$E,Trésorerie!G$4,'2022'!$F:$F,Trésorerie!$B39)</f>
        <v>0</v>
      </c>
      <c r="H39" s="22">
        <f>-SUMIFS('2022'!$M:$M,'2022'!$E:$E,Trésorerie!H$4,'2022'!$F:$F,Trésorerie!$B39)+SUMIFS('2022'!$N:$N,'2022'!$E:$E,Trésorerie!H$4,'2022'!$F:$F,Trésorerie!$B39)</f>
        <v>0</v>
      </c>
      <c r="I39" s="22">
        <f>-SUMIFS('2022'!$M:$M,'2022'!$E:$E,Trésorerie!I$4,'2022'!$F:$F,Trésorerie!$B39)+SUMIFS('2022'!$N:$N,'2022'!$E:$E,Trésorerie!I$4,'2022'!$F:$F,Trésorerie!$B39)</f>
        <v>0</v>
      </c>
      <c r="J39" s="22">
        <f>-SUMIFS('2022'!$M:$M,'2022'!$E:$E,Trésorerie!J$4,'2022'!$F:$F,Trésorerie!$B39)+SUMIFS('2022'!$N:$N,'2022'!$E:$E,Trésorerie!J$4,'2022'!$F:$F,Trésorerie!$B39)</f>
        <v>0</v>
      </c>
      <c r="K39" s="22">
        <f>-SUMIFS('2022'!$M:$M,'2022'!$E:$E,Trésorerie!K$4,'2022'!$F:$F,Trésorerie!$B39)+SUMIFS('2022'!$N:$N,'2022'!$E:$E,Trésorerie!K$4,'2022'!$F:$F,Trésorerie!$B39)</f>
        <v>0</v>
      </c>
      <c r="L39" s="22">
        <f>-SUMIFS('2022'!$M:$M,'2022'!$E:$E,Trésorerie!L$4,'2022'!$F:$F,Trésorerie!$B39)+SUMIFS('2022'!$N:$N,'2022'!$E:$E,Trésorerie!L$4,'2022'!$F:$F,Trésorerie!$B39)</f>
        <v>0</v>
      </c>
      <c r="M39" s="22">
        <f>-SUMIFS('2022'!$M:$M,'2022'!$E:$E,Trésorerie!M$4,'2022'!$F:$F,Trésorerie!$B39)+SUMIFS('2022'!$N:$N,'2022'!$E:$E,Trésorerie!M$4,'2022'!$F:$F,Trésorerie!$B39)</f>
        <v>0</v>
      </c>
      <c r="N39" s="22">
        <f>-SUMIFS('2022'!$M:$M,'2022'!$E:$E,Trésorerie!N$4,'2022'!$F:$F,Trésorerie!$B39)+SUMIFS('2022'!$N:$N,'2022'!$E:$E,Trésorerie!N$4,'2022'!$F:$F,Trésorerie!$B39)</f>
        <v>0</v>
      </c>
      <c r="O39" s="22">
        <f>-SUMIFS('2022'!$M:$M,'2022'!$E:$E,Trésorerie!O$4,'2022'!$F:$F,Trésorerie!$B39)+SUMIFS('2022'!$N:$N,'2022'!$E:$E,Trésorerie!O$4,'2022'!$F:$F,Trésorerie!$B39)</f>
        <v>0</v>
      </c>
      <c r="P39" s="22">
        <f>-SUMIFS('2022'!$M:$M,'2022'!$E:$E,Trésorerie!P$4,'2022'!$F:$F,Trésorerie!$B39)+SUMIFS('2022'!$N:$N,'2022'!$E:$E,Trésorerie!P$4,'2022'!$F:$F,Trésorerie!$B39)</f>
        <v>326.41999999999996</v>
      </c>
      <c r="R39" s="67">
        <f>-SUMIFS('2023-01'!$M:$M,'2023-01'!$E:$E,Trésorerie!R$4,'2023-01'!$F:$F,Trésorerie!$B39)+SUMIFS('2023-01'!$N:$N,'2023-01'!$E:$E,Trésorerie!R$4,'2023-01'!$F:$F,Trésorerie!$B39)</f>
        <v>0</v>
      </c>
      <c r="S39" s="67">
        <f>-SUMIFS('2023-02'!$M:$M,'2023-02'!$E:$E,Trésorerie!S$4,'2023-02'!$F:$F,Trésorerie!$B39)+SUMIFS('2023-02'!$N:$N,'2023-02'!$E:$E,Trésorerie!S$4,'2023-02'!$F:$F,Trésorerie!$B39)</f>
        <v>0</v>
      </c>
      <c r="T39" s="67">
        <f>-SUMIFS('2023-03'!$M:$M,'2023-03'!$E:$E,Trésorerie!T$4,'2023-03'!$F:$F,Trésorerie!$B39)+SUMIFS('2023-03'!$N:$N,'2023-03'!$E:$E,Trésorerie!T$4,'2023-03'!$F:$F,Trésorerie!$B39)</f>
        <v>0</v>
      </c>
      <c r="U39" s="67">
        <f>-SUMIFS('2023-04'!$M:$M,'2023-04'!$E:$E,Trésorerie!U$4,'2023-04'!$F:$F,Trésorerie!$B39)+SUMIFS('2023-04'!$N:$N,'2023-04'!$E:$E,Trésorerie!U$4,'2023-04'!$F:$F,Trésorerie!$B39)</f>
        <v>0</v>
      </c>
      <c r="V39" s="67">
        <f>-SUMIFS('2023-05'!$M:$M,'2023-05'!$E:$E,Trésorerie!V$4,'2023-05'!$F:$F,Trésorerie!$B39)+SUMIFS('2023-05'!$N:$N,'2023-05'!$E:$E,Trésorerie!V$4,'2023-05'!$F:$F,Trésorerie!$B39)</f>
        <v>0</v>
      </c>
      <c r="W39" s="67">
        <f>-SUMIFS('2023-06'!$M:$M,'2023-06'!$E:$E,Trésorerie!W$4,'2023-06'!$F:$F,Trésorerie!$B39)+SUMIFS('2023-06'!$N:$N,'2023-06'!$E:$E,Trésorerie!W$4,'2023-06'!$F:$F,Trésorerie!$B39)</f>
        <v>20</v>
      </c>
      <c r="X39" s="67">
        <f>-SUMIFS('2023-07'!$M:$M,'2023-07'!$E:$E,Trésorerie!X$4,'2023-07'!$F:$F,Trésorerie!$B39)+SUMIFS('2023-07'!$N:$N,'2023-07'!$E:$E,Trésorerie!X$4,'2023-07'!$F:$F,Trésorerie!$B39)</f>
        <v>0</v>
      </c>
      <c r="Y39" s="67">
        <f>-SUMIFS('2023-08'!$M:$M,'2023-08'!$E:$E,Trésorerie!Y$4,'2023-08'!$F:$F,Trésorerie!$B39)+SUMIFS('2023-08'!$N:$N,'2023-08'!$E:$E,Trésorerie!Y$4,'2023-08'!$F:$F,Trésorerie!$B39)</f>
        <v>0</v>
      </c>
      <c r="Z39" s="67">
        <f>-SUMIFS('2023-09'!$M:$M,'2023-09'!$E:$E,Trésorerie!Z$4,'2023-09'!$F:$F,Trésorerie!$B39)+SUMIFS('2023-09'!$N:$N,'2023-09'!$E:$E,Trésorerie!Z$4,'2023-09'!$F:$F,Trésorerie!$B39)</f>
        <v>0</v>
      </c>
      <c r="AA39" s="67">
        <f>-SUMIFS('2023-10'!$M:$M,'2023-10'!$E:$E,Trésorerie!AA$4,'2023-10'!$F:$F,Trésorerie!$B39)+SUMIFS('2023-10'!$N:$N,'2023-10'!$E:$E,Trésorerie!AA$4,'2023-10'!$F:$F,Trésorerie!$B39)</f>
        <v>0</v>
      </c>
      <c r="AB39" s="75">
        <f>IF(SUM($E39:O39)&gt;SUM($R39:AA39),SUM($E39:O39)-SUM($R39:AA39),0)</f>
        <v>0</v>
      </c>
      <c r="AC39" s="75">
        <f>IF(SUM($E39:P39)&gt;SUM($R39:AB39),SUM($E39:P39)-SUM($R39:AB39),0)</f>
        <v>306.41999999999996</v>
      </c>
      <c r="AD39" s="79"/>
    </row>
    <row r="40" spans="1:30" x14ac:dyDescent="0.25">
      <c r="A40" s="10">
        <f t="shared" si="0"/>
        <v>129.38</v>
      </c>
      <c r="B40" s="50">
        <v>468735</v>
      </c>
      <c r="C40" s="16" t="s">
        <v>425</v>
      </c>
      <c r="D40" s="50" t="s">
        <v>4751</v>
      </c>
      <c r="E40" s="22">
        <f>-SUMIFS('2022'!$M:$M,'2022'!$E:$E,Trésorerie!E$4,'2022'!$F:$F,Trésorerie!$B40)+SUMIFS('2022'!$N:$N,'2022'!$E:$E,Trésorerie!E$4,'2022'!$F:$F,Trésorerie!$B40)</f>
        <v>78.349999999999994</v>
      </c>
      <c r="F40" s="22">
        <f>-SUMIFS('2022'!$M:$M,'2022'!$E:$E,Trésorerie!F$4,'2022'!$F:$F,Trésorerie!$B40)+SUMIFS('2022'!$N:$N,'2022'!$E:$E,Trésorerie!F$4,'2022'!$F:$F,Trésorerie!$B40)</f>
        <v>0</v>
      </c>
      <c r="G40" s="22">
        <f>-SUMIFS('2022'!$M:$M,'2022'!$E:$E,Trésorerie!G$4,'2022'!$F:$F,Trésorerie!$B40)+SUMIFS('2022'!$N:$N,'2022'!$E:$E,Trésorerie!G$4,'2022'!$F:$F,Trésorerie!$B40)</f>
        <v>24.3</v>
      </c>
      <c r="H40" s="22">
        <f>-SUMIFS('2022'!$M:$M,'2022'!$E:$E,Trésorerie!H$4,'2022'!$F:$F,Trésorerie!$B40)+SUMIFS('2022'!$N:$N,'2022'!$E:$E,Trésorerie!H$4,'2022'!$F:$F,Trésorerie!$B40)</f>
        <v>0</v>
      </c>
      <c r="I40" s="22">
        <f>-SUMIFS('2022'!$M:$M,'2022'!$E:$E,Trésorerie!I$4,'2022'!$F:$F,Trésorerie!$B40)+SUMIFS('2022'!$N:$N,'2022'!$E:$E,Trésorerie!I$4,'2022'!$F:$F,Trésorerie!$B40)</f>
        <v>0</v>
      </c>
      <c r="J40" s="22">
        <f>-SUMIFS('2022'!$M:$M,'2022'!$E:$E,Trésorerie!J$4,'2022'!$F:$F,Trésorerie!$B40)+SUMIFS('2022'!$N:$N,'2022'!$E:$E,Trésorerie!J$4,'2022'!$F:$F,Trésorerie!$B40)</f>
        <v>0</v>
      </c>
      <c r="K40" s="22">
        <f>-SUMIFS('2022'!$M:$M,'2022'!$E:$E,Trésorerie!K$4,'2022'!$F:$F,Trésorerie!$B40)+SUMIFS('2022'!$N:$N,'2022'!$E:$E,Trésorerie!K$4,'2022'!$F:$F,Trésorerie!$B40)</f>
        <v>0</v>
      </c>
      <c r="L40" s="22">
        <f>-SUMIFS('2022'!$M:$M,'2022'!$E:$E,Trésorerie!L$4,'2022'!$F:$F,Trésorerie!$B40)+SUMIFS('2022'!$N:$N,'2022'!$E:$E,Trésorerie!L$4,'2022'!$F:$F,Trésorerie!$B40)</f>
        <v>0</v>
      </c>
      <c r="M40" s="22">
        <f>-SUMIFS('2022'!$M:$M,'2022'!$E:$E,Trésorerie!M$4,'2022'!$F:$F,Trésorerie!$B40)+SUMIFS('2022'!$N:$N,'2022'!$E:$E,Trésorerie!M$4,'2022'!$F:$F,Trésorerie!$B40)</f>
        <v>0</v>
      </c>
      <c r="N40" s="22">
        <f>-SUMIFS('2022'!$M:$M,'2022'!$E:$E,Trésorerie!N$4,'2022'!$F:$F,Trésorerie!$B40)+SUMIFS('2022'!$N:$N,'2022'!$E:$E,Trésorerie!N$4,'2022'!$F:$F,Trésorerie!$B40)</f>
        <v>26.73</v>
      </c>
      <c r="O40" s="22">
        <f>-SUMIFS('2022'!$M:$M,'2022'!$E:$E,Trésorerie!O$4,'2022'!$F:$F,Trésorerie!$B40)+SUMIFS('2022'!$N:$N,'2022'!$E:$E,Trésorerie!O$4,'2022'!$F:$F,Trésorerie!$B40)</f>
        <v>0</v>
      </c>
      <c r="P40" s="22">
        <f>-SUMIFS('2022'!$M:$M,'2022'!$E:$E,Trésorerie!P$4,'2022'!$F:$F,Trésorerie!$B40)+SUMIFS('2022'!$N:$N,'2022'!$E:$E,Trésorerie!P$4,'2022'!$F:$F,Trésorerie!$B40)</f>
        <v>0</v>
      </c>
      <c r="R40" s="67">
        <f>-SUMIFS('2023-01'!$M:$M,'2023-01'!$E:$E,Trésorerie!R$4,'2023-01'!$F:$F,Trésorerie!$B40)+SUMIFS('2023-01'!$N:$N,'2023-01'!$E:$E,Trésorerie!R$4,'2023-01'!$F:$F,Trésorerie!$B40)</f>
        <v>0</v>
      </c>
      <c r="S40" s="67">
        <f>-SUMIFS('2023-02'!$M:$M,'2023-02'!$E:$E,Trésorerie!S$4,'2023-02'!$F:$F,Trésorerie!$B40)+SUMIFS('2023-02'!$N:$N,'2023-02'!$E:$E,Trésorerie!S$4,'2023-02'!$F:$F,Trésorerie!$B40)</f>
        <v>0</v>
      </c>
      <c r="T40" s="67">
        <f>-SUMIFS('2023-03'!$M:$M,'2023-03'!$E:$E,Trésorerie!T$4,'2023-03'!$F:$F,Trésorerie!$B40)+SUMIFS('2023-03'!$N:$N,'2023-03'!$E:$E,Trésorerie!T$4,'2023-03'!$F:$F,Trésorerie!$B40)</f>
        <v>0</v>
      </c>
      <c r="U40" s="67">
        <f>-SUMIFS('2023-04'!$M:$M,'2023-04'!$E:$E,Trésorerie!U$4,'2023-04'!$F:$F,Trésorerie!$B40)+SUMIFS('2023-04'!$N:$N,'2023-04'!$E:$E,Trésorerie!U$4,'2023-04'!$F:$F,Trésorerie!$B40)</f>
        <v>0</v>
      </c>
      <c r="V40" s="67">
        <f>-SUMIFS('2023-05'!$M:$M,'2023-05'!$E:$E,Trésorerie!V$4,'2023-05'!$F:$F,Trésorerie!$B40)+SUMIFS('2023-05'!$N:$N,'2023-05'!$E:$E,Trésorerie!V$4,'2023-05'!$F:$F,Trésorerie!$B40)</f>
        <v>0</v>
      </c>
      <c r="W40" s="67">
        <f>-SUMIFS('2023-06'!$M:$M,'2023-06'!$E:$E,Trésorerie!W$4,'2023-06'!$F:$F,Trésorerie!$B40)+SUMIFS('2023-06'!$N:$N,'2023-06'!$E:$E,Trésorerie!W$4,'2023-06'!$F:$F,Trésorerie!$B40)</f>
        <v>0</v>
      </c>
      <c r="X40" s="67">
        <f>-SUMIFS('2023-07'!$M:$M,'2023-07'!$E:$E,Trésorerie!X$4,'2023-07'!$F:$F,Trésorerie!$B40)+SUMIFS('2023-07'!$N:$N,'2023-07'!$E:$E,Trésorerie!X$4,'2023-07'!$F:$F,Trésorerie!$B40)</f>
        <v>0</v>
      </c>
      <c r="Y40" s="67">
        <f>-SUMIFS('2023-08'!$M:$M,'2023-08'!$E:$E,Trésorerie!Y$4,'2023-08'!$F:$F,Trésorerie!$B40)+SUMIFS('2023-08'!$N:$N,'2023-08'!$E:$E,Trésorerie!Y$4,'2023-08'!$F:$F,Trésorerie!$B40)</f>
        <v>0</v>
      </c>
      <c r="Z40" s="67">
        <f>-SUMIFS('2023-09'!$M:$M,'2023-09'!$E:$E,Trésorerie!Z$4,'2023-09'!$F:$F,Trésorerie!$B40)+SUMIFS('2023-09'!$N:$N,'2023-09'!$E:$E,Trésorerie!Z$4,'2023-09'!$F:$F,Trésorerie!$B40)</f>
        <v>0</v>
      </c>
      <c r="AA40" s="67">
        <f>-SUMIFS('2023-10'!$M:$M,'2023-10'!$E:$E,Trésorerie!AA$4,'2023-10'!$F:$F,Trésorerie!$B40)+SUMIFS('2023-10'!$N:$N,'2023-10'!$E:$E,Trésorerie!AA$4,'2023-10'!$F:$F,Trésorerie!$B40)</f>
        <v>0</v>
      </c>
      <c r="AB40" s="75">
        <f>IF(SUM($E40:O40)&gt;SUM($R40:AA40),SUM($E40:O40)-SUM($R40:AA40),0)</f>
        <v>129.38</v>
      </c>
      <c r="AC40" s="75">
        <f>IF(SUM($E40:P40)&gt;SUM($R40:AB40),SUM($E40:P40)-SUM($R40:AB40),0)</f>
        <v>0</v>
      </c>
      <c r="AD40" s="79"/>
    </row>
    <row r="41" spans="1:30" x14ac:dyDescent="0.25">
      <c r="A41" s="10">
        <f t="shared" ref="A41" si="2">SUM(E41:P41)</f>
        <v>0</v>
      </c>
      <c r="B41" s="50">
        <v>468750</v>
      </c>
      <c r="C41" s="16" t="s">
        <v>5872</v>
      </c>
      <c r="D41" s="50" t="s">
        <v>4751</v>
      </c>
      <c r="E41" s="22">
        <f>-SUMIFS('2022'!$M:$M,'2022'!$E:$E,Trésorerie!E$4,'2022'!$F:$F,Trésorerie!$B41)+SUMIFS('2022'!$N:$N,'2022'!$E:$E,Trésorerie!E$4,'2022'!$F:$F,Trésorerie!$B41)</f>
        <v>0</v>
      </c>
      <c r="F41" s="22">
        <f>-SUMIFS('2022'!$M:$M,'2022'!$E:$E,Trésorerie!F$4,'2022'!$F:$F,Trésorerie!$B41)+SUMIFS('2022'!$N:$N,'2022'!$E:$E,Trésorerie!F$4,'2022'!$F:$F,Trésorerie!$B41)</f>
        <v>0</v>
      </c>
      <c r="G41" s="22">
        <f>-SUMIFS('2022'!$M:$M,'2022'!$E:$E,Trésorerie!G$4,'2022'!$F:$F,Trésorerie!$B41)+SUMIFS('2022'!$N:$N,'2022'!$E:$E,Trésorerie!G$4,'2022'!$F:$F,Trésorerie!$B41)</f>
        <v>0</v>
      </c>
      <c r="H41" s="22">
        <f>-SUMIFS('2022'!$M:$M,'2022'!$E:$E,Trésorerie!H$4,'2022'!$F:$F,Trésorerie!$B41)+SUMIFS('2022'!$N:$N,'2022'!$E:$E,Trésorerie!H$4,'2022'!$F:$F,Trésorerie!$B41)</f>
        <v>0</v>
      </c>
      <c r="I41" s="22">
        <f>-SUMIFS('2022'!$M:$M,'2022'!$E:$E,Trésorerie!I$4,'2022'!$F:$F,Trésorerie!$B41)+SUMIFS('2022'!$N:$N,'2022'!$E:$E,Trésorerie!I$4,'2022'!$F:$F,Trésorerie!$B41)</f>
        <v>0</v>
      </c>
      <c r="J41" s="22">
        <f>-SUMIFS('2022'!$M:$M,'2022'!$E:$E,Trésorerie!J$4,'2022'!$F:$F,Trésorerie!$B41)+SUMIFS('2022'!$N:$N,'2022'!$E:$E,Trésorerie!J$4,'2022'!$F:$F,Trésorerie!$B41)</f>
        <v>0</v>
      </c>
      <c r="K41" s="22">
        <f>-SUMIFS('2022'!$M:$M,'2022'!$E:$E,Trésorerie!K$4,'2022'!$F:$F,Trésorerie!$B41)+SUMIFS('2022'!$N:$N,'2022'!$E:$E,Trésorerie!K$4,'2022'!$F:$F,Trésorerie!$B41)</f>
        <v>0</v>
      </c>
      <c r="L41" s="22">
        <f>-SUMIFS('2022'!$M:$M,'2022'!$E:$E,Trésorerie!L$4,'2022'!$F:$F,Trésorerie!$B41)+SUMIFS('2022'!$N:$N,'2022'!$E:$E,Trésorerie!L$4,'2022'!$F:$F,Trésorerie!$B41)</f>
        <v>0</v>
      </c>
      <c r="M41" s="22">
        <f>-SUMIFS('2022'!$M:$M,'2022'!$E:$E,Trésorerie!M$4,'2022'!$F:$F,Trésorerie!$B41)+SUMIFS('2022'!$N:$N,'2022'!$E:$E,Trésorerie!M$4,'2022'!$F:$F,Trésorerie!$B41)</f>
        <v>0</v>
      </c>
      <c r="N41" s="22">
        <f>-SUMIFS('2022'!$M:$M,'2022'!$E:$E,Trésorerie!N$4,'2022'!$F:$F,Trésorerie!$B41)+SUMIFS('2022'!$N:$N,'2022'!$E:$E,Trésorerie!N$4,'2022'!$F:$F,Trésorerie!$B41)</f>
        <v>0</v>
      </c>
      <c r="O41" s="22">
        <f>-SUMIFS('2022'!$M:$M,'2022'!$E:$E,Trésorerie!O$4,'2022'!$F:$F,Trésorerie!$B41)+SUMIFS('2022'!$N:$N,'2022'!$E:$E,Trésorerie!O$4,'2022'!$F:$F,Trésorerie!$B41)</f>
        <v>0</v>
      </c>
      <c r="P41" s="22">
        <f>-SUMIFS('2022'!$M:$M,'2022'!$E:$E,Trésorerie!P$4,'2022'!$F:$F,Trésorerie!$B41)+SUMIFS('2022'!$N:$N,'2022'!$E:$E,Trésorerie!P$4,'2022'!$F:$F,Trésorerie!$B41)</f>
        <v>0</v>
      </c>
      <c r="R41" s="67">
        <f>-SUMIFS('2023-01'!$M:$M,'2023-01'!$E:$E,Trésorerie!R$4,'2023-01'!$F:$F,Trésorerie!$B41)+SUMIFS('2023-01'!$N:$N,'2023-01'!$E:$E,Trésorerie!R$4,'2023-01'!$F:$F,Trésorerie!$B41)</f>
        <v>0</v>
      </c>
      <c r="S41" s="67">
        <f>-SUMIFS('2023-02'!$M:$M,'2023-02'!$E:$E,Trésorerie!S$4,'2023-02'!$F:$F,Trésorerie!$B41)+SUMIFS('2023-02'!$N:$N,'2023-02'!$E:$E,Trésorerie!S$4,'2023-02'!$F:$F,Trésorerie!$B41)</f>
        <v>0</v>
      </c>
      <c r="T41" s="67">
        <f>-SUMIFS('2023-03'!$M:$M,'2023-03'!$E:$E,Trésorerie!T$4,'2023-03'!$F:$F,Trésorerie!$B41)+SUMIFS('2023-03'!$N:$N,'2023-03'!$E:$E,Trésorerie!T$4,'2023-03'!$F:$F,Trésorerie!$B41)</f>
        <v>8861.5800000000017</v>
      </c>
      <c r="U41" s="67">
        <f>-SUMIFS('2023-04'!$M:$M,'2023-04'!$E:$E,Trésorerie!U$4,'2023-04'!$F:$F,Trésorerie!$B41)+SUMIFS('2023-04'!$N:$N,'2023-04'!$E:$E,Trésorerie!U$4,'2023-04'!$F:$F,Trésorerie!$B41)</f>
        <v>0</v>
      </c>
      <c r="V41" s="67">
        <f>-SUMIFS('2023-05'!$M:$M,'2023-05'!$E:$E,Trésorerie!V$4,'2023-05'!$F:$F,Trésorerie!$B41)+SUMIFS('2023-05'!$N:$N,'2023-05'!$E:$E,Trésorerie!V$4,'2023-05'!$F:$F,Trésorerie!$B41)</f>
        <v>0</v>
      </c>
      <c r="W41" s="67">
        <f>-SUMIFS('2023-06'!$M:$M,'2023-06'!$E:$E,Trésorerie!W$4,'2023-06'!$F:$F,Trésorerie!$B41)+SUMIFS('2023-06'!$N:$N,'2023-06'!$E:$E,Trésorerie!W$4,'2023-06'!$F:$F,Trésorerie!$B41)</f>
        <v>0</v>
      </c>
      <c r="X41" s="67">
        <f>-SUMIFS('2023-07'!$M:$M,'2023-07'!$E:$E,Trésorerie!X$4,'2023-07'!$F:$F,Trésorerie!$B41)+SUMIFS('2023-07'!$N:$N,'2023-07'!$E:$E,Trésorerie!X$4,'2023-07'!$F:$F,Trésorerie!$B41)</f>
        <v>25200</v>
      </c>
      <c r="Y41" s="67">
        <f>-SUMIFS('2023-08'!$M:$M,'2023-08'!$E:$E,Trésorerie!Y$4,'2023-08'!$F:$F,Trésorerie!$B41)+SUMIFS('2023-08'!$N:$N,'2023-08'!$E:$E,Trésorerie!Y$4,'2023-08'!$F:$F,Trésorerie!$B41)</f>
        <v>0</v>
      </c>
      <c r="Z41" s="67">
        <f>-SUMIFS('2023-09'!$M:$M,'2023-09'!$E:$E,Trésorerie!Z$4,'2023-09'!$F:$F,Trésorerie!$B41)+SUMIFS('2023-09'!$N:$N,'2023-09'!$E:$E,Trésorerie!Z$4,'2023-09'!$F:$F,Trésorerie!$B41)</f>
        <v>0</v>
      </c>
      <c r="AA41" s="67">
        <f>-SUMIFS('2023-10'!$M:$M,'2023-10'!$E:$E,Trésorerie!AA$4,'2023-10'!$F:$F,Trésorerie!$B41)+SUMIFS('2023-10'!$N:$N,'2023-10'!$E:$E,Trésorerie!AA$4,'2023-10'!$F:$F,Trésorerie!$B41)</f>
        <v>0</v>
      </c>
      <c r="AB41" s="75">
        <f>IF(SUM($E41:O41)&gt;SUM($R41:AA41),SUM($E41:O41)-SUM($R41:AA41),0)</f>
        <v>0</v>
      </c>
      <c r="AC41" s="75">
        <f>IF(SUM($E41:P41)&gt;SUM($R41:AB41),SUM($E41:P41)-SUM($R41:AB41),0)</f>
        <v>0</v>
      </c>
      <c r="AD41" s="79"/>
    </row>
    <row r="42" spans="1:30" x14ac:dyDescent="0.25">
      <c r="A42" s="11">
        <f t="shared" si="0"/>
        <v>28.5</v>
      </c>
      <c r="B42" s="51">
        <v>708220</v>
      </c>
      <c r="C42" s="17" t="s">
        <v>814</v>
      </c>
      <c r="D42" s="51" t="s">
        <v>4751</v>
      </c>
      <c r="E42" s="23">
        <f>-SUMIFS('2022'!$M:$M,'2022'!$E:$E,Trésorerie!E$4,'2022'!$F:$F,Trésorerie!$B42)+SUMIFS('2022'!$N:$N,'2022'!$E:$E,Trésorerie!E$4,'2022'!$F:$F,Trésorerie!$B42)</f>
        <v>0</v>
      </c>
      <c r="F42" s="23">
        <f>-SUMIFS('2022'!$M:$M,'2022'!$E:$E,Trésorerie!F$4,'2022'!$F:$F,Trésorerie!$B42)+SUMIFS('2022'!$N:$N,'2022'!$E:$E,Trésorerie!F$4,'2022'!$F:$F,Trésorerie!$B42)</f>
        <v>28.5</v>
      </c>
      <c r="G42" s="23">
        <f>-SUMIFS('2022'!$M:$M,'2022'!$E:$E,Trésorerie!G$4,'2022'!$F:$F,Trésorerie!$B42)+SUMIFS('2022'!$N:$N,'2022'!$E:$E,Trésorerie!G$4,'2022'!$F:$F,Trésorerie!$B42)</f>
        <v>0</v>
      </c>
      <c r="H42" s="23">
        <f>-SUMIFS('2022'!$M:$M,'2022'!$E:$E,Trésorerie!H$4,'2022'!$F:$F,Trésorerie!$B42)+SUMIFS('2022'!$N:$N,'2022'!$E:$E,Trésorerie!H$4,'2022'!$F:$F,Trésorerie!$B42)</f>
        <v>0</v>
      </c>
      <c r="I42" s="23">
        <f>-SUMIFS('2022'!$M:$M,'2022'!$E:$E,Trésorerie!I$4,'2022'!$F:$F,Trésorerie!$B42)+SUMIFS('2022'!$N:$N,'2022'!$E:$E,Trésorerie!I$4,'2022'!$F:$F,Trésorerie!$B42)</f>
        <v>0</v>
      </c>
      <c r="J42" s="23">
        <f>-SUMIFS('2022'!$M:$M,'2022'!$E:$E,Trésorerie!J$4,'2022'!$F:$F,Trésorerie!$B42)+SUMIFS('2022'!$N:$N,'2022'!$E:$E,Trésorerie!J$4,'2022'!$F:$F,Trésorerie!$B42)</f>
        <v>0</v>
      </c>
      <c r="K42" s="23">
        <f>-SUMIFS('2022'!$M:$M,'2022'!$E:$E,Trésorerie!K$4,'2022'!$F:$F,Trésorerie!$B42)+SUMIFS('2022'!$N:$N,'2022'!$E:$E,Trésorerie!K$4,'2022'!$F:$F,Trésorerie!$B42)</f>
        <v>0</v>
      </c>
      <c r="L42" s="23">
        <f>-SUMIFS('2022'!$M:$M,'2022'!$E:$E,Trésorerie!L$4,'2022'!$F:$F,Trésorerie!$B42)+SUMIFS('2022'!$N:$N,'2022'!$E:$E,Trésorerie!L$4,'2022'!$F:$F,Trésorerie!$B42)</f>
        <v>0</v>
      </c>
      <c r="M42" s="23">
        <f>-SUMIFS('2022'!$M:$M,'2022'!$E:$E,Trésorerie!M$4,'2022'!$F:$F,Trésorerie!$B42)+SUMIFS('2022'!$N:$N,'2022'!$E:$E,Trésorerie!M$4,'2022'!$F:$F,Trésorerie!$B42)</f>
        <v>0</v>
      </c>
      <c r="N42" s="23">
        <f>-SUMIFS('2022'!$M:$M,'2022'!$E:$E,Trésorerie!N$4,'2022'!$F:$F,Trésorerie!$B42)+SUMIFS('2022'!$N:$N,'2022'!$E:$E,Trésorerie!N$4,'2022'!$F:$F,Trésorerie!$B42)</f>
        <v>0</v>
      </c>
      <c r="O42" s="23">
        <f>-SUMIFS('2022'!$M:$M,'2022'!$E:$E,Trésorerie!O$4,'2022'!$F:$F,Trésorerie!$B42)+SUMIFS('2022'!$N:$N,'2022'!$E:$E,Trésorerie!O$4,'2022'!$F:$F,Trésorerie!$B42)</f>
        <v>0</v>
      </c>
      <c r="P42" s="23">
        <f>-SUMIFS('2022'!$M:$M,'2022'!$E:$E,Trésorerie!P$4,'2022'!$F:$F,Trésorerie!$B42)+SUMIFS('2022'!$N:$N,'2022'!$E:$E,Trésorerie!P$4,'2022'!$F:$F,Trésorerie!$B42)</f>
        <v>0</v>
      </c>
      <c r="R42" s="68">
        <f>-SUMIFS('2023-01'!$M:$M,'2023-01'!$E:$E,Trésorerie!R$4,'2023-01'!$F:$F,Trésorerie!$B42)+SUMIFS('2023-01'!$N:$N,'2023-01'!$E:$E,Trésorerie!R$4,'2023-01'!$F:$F,Trésorerie!$B42)</f>
        <v>0</v>
      </c>
      <c r="S42" s="68">
        <f>-SUMIFS('2023-02'!$M:$M,'2023-02'!$E:$E,Trésorerie!S$4,'2023-02'!$F:$F,Trésorerie!$B42)+SUMIFS('2023-02'!$N:$N,'2023-02'!$E:$E,Trésorerie!S$4,'2023-02'!$F:$F,Trésorerie!$B42)</f>
        <v>0</v>
      </c>
      <c r="T42" s="68">
        <f>-SUMIFS('2023-03'!$M:$M,'2023-03'!$E:$E,Trésorerie!T$4,'2023-03'!$F:$F,Trésorerie!$B42)+SUMIFS('2023-03'!$N:$N,'2023-03'!$E:$E,Trésorerie!T$4,'2023-03'!$F:$F,Trésorerie!$B42)</f>
        <v>0</v>
      </c>
      <c r="U42" s="68">
        <f>-SUMIFS('2023-04'!$M:$M,'2023-04'!$E:$E,Trésorerie!U$4,'2023-04'!$F:$F,Trésorerie!$B42)+SUMIFS('2023-04'!$N:$N,'2023-04'!$E:$E,Trésorerie!U$4,'2023-04'!$F:$F,Trésorerie!$B42)</f>
        <v>0</v>
      </c>
      <c r="V42" s="68">
        <f>-SUMIFS('2023-05'!$M:$M,'2023-05'!$E:$E,Trésorerie!V$4,'2023-05'!$F:$F,Trésorerie!$B42)+SUMIFS('2023-05'!$N:$N,'2023-05'!$E:$E,Trésorerie!V$4,'2023-05'!$F:$F,Trésorerie!$B42)</f>
        <v>0</v>
      </c>
      <c r="W42" s="68">
        <f>-SUMIFS('2023-06'!$M:$M,'2023-06'!$E:$E,Trésorerie!W$4,'2023-06'!$F:$F,Trésorerie!$B42)+SUMIFS('2023-06'!$N:$N,'2023-06'!$E:$E,Trésorerie!W$4,'2023-06'!$F:$F,Trésorerie!$B42)</f>
        <v>0</v>
      </c>
      <c r="X42" s="68">
        <f>-SUMIFS('2023-07'!$M:$M,'2023-07'!$E:$E,Trésorerie!X$4,'2023-07'!$F:$F,Trésorerie!$B42)+SUMIFS('2023-07'!$N:$N,'2023-07'!$E:$E,Trésorerie!X$4,'2023-07'!$F:$F,Trésorerie!$B42)</f>
        <v>0</v>
      </c>
      <c r="Y42" s="68">
        <f>-SUMIFS('2023-08'!$M:$M,'2023-08'!$E:$E,Trésorerie!Y$4,'2023-08'!$F:$F,Trésorerie!$B42)+SUMIFS('2023-08'!$N:$N,'2023-08'!$E:$E,Trésorerie!Y$4,'2023-08'!$F:$F,Trésorerie!$B42)</f>
        <v>0</v>
      </c>
      <c r="Z42" s="68">
        <f>-SUMIFS('2023-09'!$M:$M,'2023-09'!$E:$E,Trésorerie!Z$4,'2023-09'!$F:$F,Trésorerie!$B42)+SUMIFS('2023-09'!$N:$N,'2023-09'!$E:$E,Trésorerie!Z$4,'2023-09'!$F:$F,Trésorerie!$B42)</f>
        <v>0</v>
      </c>
      <c r="AA42" s="68">
        <f>-SUMIFS('2023-10'!$M:$M,'2023-10'!$E:$E,Trésorerie!AA$4,'2023-10'!$F:$F,Trésorerie!$B42)+SUMIFS('2023-10'!$N:$N,'2023-10'!$E:$E,Trésorerie!AA$4,'2023-10'!$F:$F,Trésorerie!$B42)</f>
        <v>0</v>
      </c>
      <c r="AB42" s="75">
        <f>IF(SUM($E42:O42)&gt;SUM($R42:AA42),SUM($E42:O42)-SUM($R42:AA42),0)</f>
        <v>28.5</v>
      </c>
      <c r="AC42" s="75">
        <f>IF(SUM($E42:P42)&gt;SUM($R42:AB42),SUM($E42:P42)-SUM($R42:AB42),0)</f>
        <v>0</v>
      </c>
      <c r="AD42" s="79"/>
    </row>
    <row r="43" spans="1:30" x14ac:dyDescent="0.25">
      <c r="D43" s="52" t="s">
        <v>4754</v>
      </c>
      <c r="E43" s="24">
        <f t="shared" ref="E43:P43" si="3">SUM(E5:E42)</f>
        <v>20329.699999999997</v>
      </c>
      <c r="F43" s="24">
        <f t="shared" si="3"/>
        <v>197648.94999999998</v>
      </c>
      <c r="G43" s="24">
        <f t="shared" si="3"/>
        <v>207396.31999999998</v>
      </c>
      <c r="H43" s="24">
        <f t="shared" si="3"/>
        <v>58977.41</v>
      </c>
      <c r="I43" s="24">
        <f t="shared" si="3"/>
        <v>191729.38999999993</v>
      </c>
      <c r="J43" s="24">
        <f t="shared" si="3"/>
        <v>186198.59000000003</v>
      </c>
      <c r="K43" s="24">
        <f t="shared" si="3"/>
        <v>108136.74</v>
      </c>
      <c r="L43" s="24">
        <f t="shared" si="3"/>
        <v>66530.98000000001</v>
      </c>
      <c r="M43" s="24">
        <f t="shared" si="3"/>
        <v>42152.88</v>
      </c>
      <c r="N43" s="24">
        <f t="shared" si="3"/>
        <v>321979.90000000002</v>
      </c>
      <c r="O43" s="24">
        <f t="shared" si="3"/>
        <v>182084.90999999997</v>
      </c>
      <c r="P43" s="24">
        <f t="shared" si="3"/>
        <v>25762.46</v>
      </c>
      <c r="R43" s="24">
        <f t="shared" ref="R43:AC43" si="4">SUM(R5:R42)</f>
        <v>24327.500000000004</v>
      </c>
      <c r="S43" s="24">
        <f t="shared" si="4"/>
        <v>32813.47</v>
      </c>
      <c r="T43" s="24">
        <f t="shared" si="4"/>
        <v>429413.41</v>
      </c>
      <c r="U43" s="24">
        <f t="shared" si="4"/>
        <v>140816.57999999999</v>
      </c>
      <c r="V43" s="24">
        <f t="shared" si="4"/>
        <v>37328.03</v>
      </c>
      <c r="W43" s="24">
        <f t="shared" si="4"/>
        <v>131472.04999999999</v>
      </c>
      <c r="X43" s="24">
        <f t="shared" si="4"/>
        <v>194798.58000000002</v>
      </c>
      <c r="Y43" s="24">
        <f t="shared" si="4"/>
        <v>23427.230000000003</v>
      </c>
      <c r="Z43" s="24">
        <f t="shared" si="4"/>
        <v>327731.90999999997</v>
      </c>
      <c r="AA43" s="24">
        <f t="shared" si="4"/>
        <v>116208.18</v>
      </c>
      <c r="AB43" s="24">
        <f t="shared" si="4"/>
        <v>202523.9</v>
      </c>
      <c r="AC43" s="76">
        <f t="shared" si="4"/>
        <v>18716.439999999999</v>
      </c>
      <c r="AD43" s="79"/>
    </row>
    <row r="44" spans="1:30" x14ac:dyDescent="0.25">
      <c r="A44" s="25">
        <f t="shared" si="0"/>
        <v>-808208</v>
      </c>
      <c r="B44" s="53">
        <v>421000</v>
      </c>
      <c r="C44" s="31" t="s">
        <v>403</v>
      </c>
      <c r="D44" s="53" t="s">
        <v>4752</v>
      </c>
      <c r="E44" s="37">
        <f>-SUMIFS('2022'!$M:$M,'2022'!$E:$E,Trésorerie!E$4,'2022'!$F:$F,Trésorerie!$B44)+SUMIFS('2022'!$N:$N,'2022'!$E:$E,Trésorerie!E$4,'2022'!$F:$F,Trésorerie!$B44)</f>
        <v>-58061.74</v>
      </c>
      <c r="F44" s="37">
        <f>-SUMIFS('2022'!$M:$M,'2022'!$E:$E,Trésorerie!F$4,'2022'!$F:$F,Trésorerie!$B44)+SUMIFS('2022'!$N:$N,'2022'!$E:$E,Trésorerie!F$4,'2022'!$F:$F,Trésorerie!$B44)</f>
        <v>-61636.56</v>
      </c>
      <c r="G44" s="37">
        <f>-SUMIFS('2022'!$M:$M,'2022'!$E:$E,Trésorerie!G$4,'2022'!$F:$F,Trésorerie!$B44)+SUMIFS('2022'!$N:$N,'2022'!$E:$E,Trésorerie!G$4,'2022'!$F:$F,Trésorerie!$B44)</f>
        <v>-66542.7</v>
      </c>
      <c r="H44" s="37">
        <f>-SUMIFS('2022'!$M:$M,'2022'!$E:$E,Trésorerie!H$4,'2022'!$F:$F,Trésorerie!$B44)+SUMIFS('2022'!$N:$N,'2022'!$E:$E,Trésorerie!H$4,'2022'!$F:$F,Trésorerie!$B44)</f>
        <v>-56284.359999999993</v>
      </c>
      <c r="I44" s="37">
        <f>-SUMIFS('2022'!$M:$M,'2022'!$E:$E,Trésorerie!I$4,'2022'!$F:$F,Trésorerie!$B44)+SUMIFS('2022'!$N:$N,'2022'!$E:$E,Trésorerie!I$4,'2022'!$F:$F,Trésorerie!$B44)</f>
        <v>-67441.239999999991</v>
      </c>
      <c r="J44" s="37">
        <f>-SUMIFS('2022'!$M:$M,'2022'!$E:$E,Trésorerie!J$4,'2022'!$F:$F,Trésorerie!$B44)+SUMIFS('2022'!$N:$N,'2022'!$E:$E,Trésorerie!J$4,'2022'!$F:$F,Trésorerie!$B44)</f>
        <v>-68878.789999999994</v>
      </c>
      <c r="K44" s="37">
        <f>-SUMIFS('2022'!$M:$M,'2022'!$E:$E,Trésorerie!K$4,'2022'!$F:$F,Trésorerie!$B44)+SUMIFS('2022'!$N:$N,'2022'!$E:$E,Trésorerie!K$4,'2022'!$F:$F,Trésorerie!$B44)</f>
        <v>-80774.13</v>
      </c>
      <c r="L44" s="37">
        <f>-SUMIFS('2022'!$M:$M,'2022'!$E:$E,Trésorerie!L$4,'2022'!$F:$F,Trésorerie!$B44)+SUMIFS('2022'!$N:$N,'2022'!$E:$E,Trésorerie!L$4,'2022'!$F:$F,Trésorerie!$B44)</f>
        <v>-76513.47</v>
      </c>
      <c r="M44" s="37">
        <f>-SUMIFS('2022'!$M:$M,'2022'!$E:$E,Trésorerie!M$4,'2022'!$F:$F,Trésorerie!$B44)+SUMIFS('2022'!$N:$N,'2022'!$E:$E,Trésorerie!M$4,'2022'!$F:$F,Trésorerie!$B44)</f>
        <v>-59370.080000000002</v>
      </c>
      <c r="N44" s="37">
        <f>-SUMIFS('2022'!$M:$M,'2022'!$E:$E,Trésorerie!N$4,'2022'!$F:$F,Trésorerie!$B44)+SUMIFS('2022'!$N:$N,'2022'!$E:$E,Trésorerie!N$4,'2022'!$F:$F,Trésorerie!$B44)</f>
        <v>-57837.420000000006</v>
      </c>
      <c r="O44" s="37">
        <f>-SUMIFS('2022'!$M:$M,'2022'!$E:$E,Trésorerie!O$4,'2022'!$F:$F,Trésorerie!$B44)+SUMIFS('2022'!$N:$N,'2022'!$E:$E,Trésorerie!O$4,'2022'!$F:$F,Trésorerie!$B44)</f>
        <v>-75534.650000000009</v>
      </c>
      <c r="P44" s="37">
        <f>-SUMIFS('2022'!$M:$M,'2022'!$E:$E,Trésorerie!P$4,'2022'!$F:$F,Trésorerie!$B44)+SUMIFS('2022'!$N:$N,'2022'!$E:$E,Trésorerie!P$4,'2022'!$F:$F,Trésorerie!$B44)</f>
        <v>-79332.86</v>
      </c>
      <c r="R44" s="69">
        <f>-SUMIFS('2023-01'!$M:$M,'2023-01'!$E:$E,Trésorerie!R$4,'2023-01'!$F:$F,Trésorerie!$B44)+SUMIFS('2023-01'!$N:$N,'2023-01'!$E:$E,Trésorerie!R$4,'2023-01'!$F:$F,Trésorerie!$B44)</f>
        <v>-57174.54</v>
      </c>
      <c r="S44" s="69">
        <f>-SUMIFS('2023-02'!$M:$M,'2023-02'!$E:$E,Trésorerie!S$4,'2023-02'!$F:$F,Trésorerie!$B44)+SUMIFS('2023-02'!$N:$N,'2023-02'!$E:$E,Trésorerie!S$4,'2023-02'!$F:$F,Trésorerie!$B44)</f>
        <v>-61788.74</v>
      </c>
      <c r="T44" s="69">
        <f>-SUMIFS('2023-03'!$M:$M,'2023-03'!$E:$E,Trésorerie!T$4,'2023-03'!$F:$F,Trésorerie!$B44)+SUMIFS('2023-03'!$N:$N,'2023-03'!$E:$E,Trésorerie!T$4,'2023-03'!$F:$F,Trésorerie!$B44)</f>
        <v>-58754.33</v>
      </c>
      <c r="U44" s="69">
        <f>-SUMIFS('2023-04'!$M:$M,'2023-04'!$E:$E,Trésorerie!U$4,'2023-04'!$F:$F,Trésorerie!$B44)+SUMIFS('2023-04'!$N:$N,'2023-04'!$E:$E,Trésorerie!U$4,'2023-04'!$F:$F,Trésorerie!$B44)</f>
        <v>-64999.040000000001</v>
      </c>
      <c r="V44" s="69">
        <f>-SUMIFS('2023-05'!$M:$M,'2023-05'!$E:$E,Trésorerie!V$4,'2023-05'!$F:$F,Trésorerie!$B44)+SUMIFS('2023-05'!$N:$N,'2023-05'!$E:$E,Trésorerie!V$4,'2023-05'!$F:$F,Trésorerie!$B44)</f>
        <v>-474.83</v>
      </c>
      <c r="W44" s="69">
        <f>-SUMIFS('2023-06'!$M:$M,'2023-06'!$E:$E,Trésorerie!W$4,'2023-06'!$F:$F,Trésorerie!$B44)+SUMIFS('2023-06'!$N:$N,'2023-06'!$E:$E,Trésorerie!W$4,'2023-06'!$F:$F,Trésorerie!$B44)</f>
        <v>-60431.22</v>
      </c>
      <c r="X44" s="69">
        <f>-SUMIFS('2023-07'!$M:$M,'2023-07'!$E:$E,Trésorerie!X$4,'2023-07'!$F:$F,Trésorerie!$B44)+SUMIFS('2023-07'!$N:$N,'2023-07'!$E:$E,Trésorerie!X$4,'2023-07'!$F:$F,Trésorerie!$B44)</f>
        <v>-73981.100000000006</v>
      </c>
      <c r="Y44" s="69">
        <f>-SUMIFS('2023-08'!$M:$M,'2023-08'!$E:$E,Trésorerie!Y$4,'2023-08'!$F:$F,Trésorerie!$B44)+SUMIFS('2023-08'!$N:$N,'2023-08'!$E:$E,Trésorerie!Y$4,'2023-08'!$F:$F,Trésorerie!$B44)</f>
        <v>-77212.55</v>
      </c>
      <c r="Z44" s="69">
        <f>-SUMIFS('2023-09'!$M:$M,'2023-09'!$E:$E,Trésorerie!Z$4,'2023-09'!$F:$F,Trésorerie!$B44)+SUMIFS('2023-09'!$N:$N,'2023-09'!$E:$E,Trésorerie!Z$4,'2023-09'!$F:$F,Trésorerie!$B44)</f>
        <v>-49777.61</v>
      </c>
      <c r="AA44" s="69">
        <f>-SUMIFS('2023-10'!$M:$M,'2023-10'!$E:$E,Trésorerie!AA$4,'2023-10'!$F:$F,Trésorerie!$B44)+SUMIFS('2023-10'!$N:$N,'2023-10'!$E:$E,Trésorerie!AA$4,'2023-10'!$F:$F,Trésorerie!$B44)</f>
        <v>-51337.03</v>
      </c>
      <c r="AB44" s="75">
        <f>IF(SUM($E44:O44)&lt;SUM($R44:AA44),SUM($E44:O44)-SUM($R44:AA44),0)</f>
        <v>-172944.15000000014</v>
      </c>
      <c r="AC44" s="75">
        <f>IF(SUM($E44:P44)&lt;SUM($R44:AB44),SUM($E44:P44)-SUM($R44:AB44),0)</f>
        <v>-79332.859999999986</v>
      </c>
      <c r="AD44" s="79"/>
    </row>
    <row r="45" spans="1:30" x14ac:dyDescent="0.25">
      <c r="A45" s="26">
        <f t="shared" si="0"/>
        <v>-380747.5</v>
      </c>
      <c r="B45" s="54">
        <v>401000</v>
      </c>
      <c r="C45" s="32" t="s">
        <v>41</v>
      </c>
      <c r="D45" s="54" t="s">
        <v>4752</v>
      </c>
      <c r="E45" s="38">
        <f>-SUMIFS('2022'!$M:$M,'2022'!$E:$E,Trésorerie!E$4,'2022'!$F:$F,Trésorerie!$B45)+SUMIFS('2022'!$N:$N,'2022'!$E:$E,Trésorerie!E$4,'2022'!$F:$F,Trésorerie!$B45)</f>
        <v>-31493.890000000003</v>
      </c>
      <c r="F45" s="38">
        <f>-SUMIFS('2022'!$M:$M,'2022'!$E:$E,Trésorerie!F$4,'2022'!$F:$F,Trésorerie!$B45)+SUMIFS('2022'!$N:$N,'2022'!$E:$E,Trésorerie!F$4,'2022'!$F:$F,Trésorerie!$B45)</f>
        <v>-43204.020000000004</v>
      </c>
      <c r="G45" s="38">
        <f>-SUMIFS('2022'!$M:$M,'2022'!$E:$E,Trésorerie!G$4,'2022'!$F:$F,Trésorerie!$B45)+SUMIFS('2022'!$N:$N,'2022'!$E:$E,Trésorerie!G$4,'2022'!$F:$F,Trésorerie!$B45)</f>
        <v>-25576.879999999994</v>
      </c>
      <c r="H45" s="38">
        <f>-SUMIFS('2022'!$M:$M,'2022'!$E:$E,Trésorerie!H$4,'2022'!$F:$F,Trésorerie!$B45)+SUMIFS('2022'!$N:$N,'2022'!$E:$E,Trésorerie!H$4,'2022'!$F:$F,Trésorerie!$B45)</f>
        <v>-30863.340000000004</v>
      </c>
      <c r="I45" s="38">
        <f>-SUMIFS('2022'!$M:$M,'2022'!$E:$E,Trésorerie!I$4,'2022'!$F:$F,Trésorerie!$B45)+SUMIFS('2022'!$N:$N,'2022'!$E:$E,Trésorerie!I$4,'2022'!$F:$F,Trésorerie!$B45)</f>
        <v>-34031.540000000008</v>
      </c>
      <c r="J45" s="38">
        <f>-SUMIFS('2022'!$M:$M,'2022'!$E:$E,Trésorerie!J$4,'2022'!$F:$F,Trésorerie!$B45)+SUMIFS('2022'!$N:$N,'2022'!$E:$E,Trésorerie!J$4,'2022'!$F:$F,Trésorerie!$B45)</f>
        <v>-43453.389999999992</v>
      </c>
      <c r="K45" s="38">
        <f>-SUMIFS('2022'!$M:$M,'2022'!$E:$E,Trésorerie!K$4,'2022'!$F:$F,Trésorerie!$B45)+SUMIFS('2022'!$N:$N,'2022'!$E:$E,Trésorerie!K$4,'2022'!$F:$F,Trésorerie!$B45)</f>
        <v>-48014.63</v>
      </c>
      <c r="L45" s="38">
        <f>-SUMIFS('2022'!$M:$M,'2022'!$E:$E,Trésorerie!L$4,'2022'!$F:$F,Trésorerie!$B45)+SUMIFS('2022'!$N:$N,'2022'!$E:$E,Trésorerie!L$4,'2022'!$F:$F,Trésorerie!$B45)</f>
        <v>-28478.480000000003</v>
      </c>
      <c r="M45" s="38">
        <f>-SUMIFS('2022'!$M:$M,'2022'!$E:$E,Trésorerie!M$4,'2022'!$F:$F,Trésorerie!$B45)+SUMIFS('2022'!$N:$N,'2022'!$E:$E,Trésorerie!M$4,'2022'!$F:$F,Trésorerie!$B45)</f>
        <v>-22993.840000000004</v>
      </c>
      <c r="N45" s="38">
        <f>-SUMIFS('2022'!$M:$M,'2022'!$E:$E,Trésorerie!N$4,'2022'!$F:$F,Trésorerie!$B45)+SUMIFS('2022'!$N:$N,'2022'!$E:$E,Trésorerie!N$4,'2022'!$F:$F,Trésorerie!$B45)</f>
        <v>-19897.679999999997</v>
      </c>
      <c r="O45" s="38">
        <f>-SUMIFS('2022'!$M:$M,'2022'!$E:$E,Trésorerie!O$4,'2022'!$F:$F,Trésorerie!$B45)+SUMIFS('2022'!$N:$N,'2022'!$E:$E,Trésorerie!O$4,'2022'!$F:$F,Trésorerie!$B45)</f>
        <v>-27723.320000000003</v>
      </c>
      <c r="P45" s="38">
        <f>-SUMIFS('2022'!$M:$M,'2022'!$E:$E,Trésorerie!P$4,'2022'!$F:$F,Trésorerie!$B45)+SUMIFS('2022'!$N:$N,'2022'!$E:$E,Trésorerie!P$4,'2022'!$F:$F,Trésorerie!$B45)</f>
        <v>-25016.49</v>
      </c>
      <c r="R45" s="70">
        <f>-SUMIFS('2023-01'!$M:$M,'2023-01'!$E:$E,Trésorerie!R$4,'2023-01'!$F:$F,Trésorerie!$B45)+SUMIFS('2023-01'!$N:$N,'2023-01'!$E:$E,Trésorerie!R$4,'2023-01'!$F:$F,Trésorerie!$B45)</f>
        <v>-36419.160000000011</v>
      </c>
      <c r="S45" s="70">
        <f>-SUMIFS('2023-02'!$M:$M,'2023-02'!$E:$E,Trésorerie!S$4,'2023-02'!$F:$F,Trésorerie!$B45)+SUMIFS('2023-02'!$N:$N,'2023-02'!$E:$E,Trésorerie!S$4,'2023-02'!$F:$F,Trésorerie!$B45)</f>
        <v>-12399.889999999998</v>
      </c>
      <c r="T45" s="70">
        <f>-SUMIFS('2023-03'!$M:$M,'2023-03'!$E:$E,Trésorerie!T$4,'2023-03'!$F:$F,Trésorerie!$B45)+SUMIFS('2023-03'!$N:$N,'2023-03'!$E:$E,Trésorerie!T$4,'2023-03'!$F:$F,Trésorerie!$B45)</f>
        <v>-37454.320000000007</v>
      </c>
      <c r="U45" s="70">
        <f>-SUMIFS('2023-04'!$M:$M,'2023-04'!$E:$E,Trésorerie!U$4,'2023-04'!$F:$F,Trésorerie!$B45)+SUMIFS('2023-04'!$N:$N,'2023-04'!$E:$E,Trésorerie!U$4,'2023-04'!$F:$F,Trésorerie!$B45)</f>
        <v>-16355.980000000001</v>
      </c>
      <c r="V45" s="70">
        <f>-SUMIFS('2023-05'!$M:$M,'2023-05'!$E:$E,Trésorerie!V$4,'2023-05'!$F:$F,Trésorerie!$B45)+SUMIFS('2023-05'!$N:$N,'2023-05'!$E:$E,Trésorerie!V$4,'2023-05'!$F:$F,Trésorerie!$B45)</f>
        <v>-20958.730000000007</v>
      </c>
      <c r="W45" s="70">
        <f>-SUMIFS('2023-06'!$M:$M,'2023-06'!$E:$E,Trésorerie!W$4,'2023-06'!$F:$F,Trésorerie!$B45)+SUMIFS('2023-06'!$N:$N,'2023-06'!$E:$E,Trésorerie!W$4,'2023-06'!$F:$F,Trésorerie!$B45)</f>
        <v>-44307.19</v>
      </c>
      <c r="X45" s="70">
        <f>-SUMIFS('2023-07'!$M:$M,'2023-07'!$E:$E,Trésorerie!X$4,'2023-07'!$F:$F,Trésorerie!$B45)+SUMIFS('2023-07'!$N:$N,'2023-07'!$E:$E,Trésorerie!X$4,'2023-07'!$F:$F,Trésorerie!$B45)</f>
        <v>-22943.51</v>
      </c>
      <c r="Y45" s="70">
        <f>-SUMIFS('2023-08'!$M:$M,'2023-08'!$E:$E,Trésorerie!Y$4,'2023-08'!$F:$F,Trésorerie!$B45)+SUMIFS('2023-08'!$N:$N,'2023-08'!$E:$E,Trésorerie!Y$4,'2023-08'!$F:$F,Trésorerie!$B45)</f>
        <v>-17794.920000000002</v>
      </c>
      <c r="Z45" s="70">
        <f>-SUMIFS('2023-09'!$M:$M,'2023-09'!$E:$E,Trésorerie!Z$4,'2023-09'!$F:$F,Trésorerie!$B45)+SUMIFS('2023-09'!$N:$N,'2023-09'!$E:$E,Trésorerie!Z$4,'2023-09'!$F:$F,Trésorerie!$B45)</f>
        <v>-29044.340000000004</v>
      </c>
      <c r="AA45" s="70">
        <f>-SUMIFS('2023-10'!$M:$M,'2023-10'!$E:$E,Trésorerie!AA$4,'2023-10'!$F:$F,Trésorerie!$B45)+SUMIFS('2023-10'!$N:$N,'2023-10'!$E:$E,Trésorerie!AA$4,'2023-10'!$F:$F,Trésorerie!$B45)</f>
        <v>-21573.469999999998</v>
      </c>
      <c r="AB45" s="75">
        <f>IF(SUM($E45:O45)&lt;SUM($R45:AA45),SUM($E45:O45)-SUM($R45:AA45),0)</f>
        <v>-96479.499999999971</v>
      </c>
      <c r="AC45" s="75">
        <f>IF(SUM($E45:P45)&lt;SUM($R45:AB45),SUM($E45:P45)-SUM($R45:AB45),0)</f>
        <v>-25016.489999999991</v>
      </c>
      <c r="AD45" s="79"/>
    </row>
    <row r="46" spans="1:30" x14ac:dyDescent="0.25">
      <c r="A46" s="26">
        <f t="shared" si="0"/>
        <v>-354945</v>
      </c>
      <c r="B46" s="54">
        <v>431000</v>
      </c>
      <c r="C46" s="32" t="s">
        <v>408</v>
      </c>
      <c r="D46" s="54" t="s">
        <v>4752</v>
      </c>
      <c r="E46" s="38">
        <f>-SUMIFS('2022'!$M:$M,'2022'!$E:$E,Trésorerie!E$4,'2022'!$F:$F,Trésorerie!$B46)+SUMIFS('2022'!$N:$N,'2022'!$E:$E,Trésorerie!E$4,'2022'!$F:$F,Trésorerie!$B46)</f>
        <v>-25092</v>
      </c>
      <c r="F46" s="38">
        <f>-SUMIFS('2022'!$M:$M,'2022'!$E:$E,Trésorerie!F$4,'2022'!$F:$F,Trésorerie!$B46)+SUMIFS('2022'!$N:$N,'2022'!$E:$E,Trésorerie!F$4,'2022'!$F:$F,Trésorerie!$B46)</f>
        <v>-26901</v>
      </c>
      <c r="G46" s="38">
        <f>-SUMIFS('2022'!$M:$M,'2022'!$E:$E,Trésorerie!G$4,'2022'!$F:$F,Trésorerie!$B46)+SUMIFS('2022'!$N:$N,'2022'!$E:$E,Trésorerie!G$4,'2022'!$F:$F,Trésorerie!$B46)</f>
        <v>-30881</v>
      </c>
      <c r="H46" s="38">
        <f>-SUMIFS('2022'!$M:$M,'2022'!$E:$E,Trésorerie!H$4,'2022'!$F:$F,Trésorerie!$B46)+SUMIFS('2022'!$N:$N,'2022'!$E:$E,Trésorerie!H$4,'2022'!$F:$F,Trésorerie!$B46)</f>
        <v>-29085</v>
      </c>
      <c r="I46" s="38">
        <f>-SUMIFS('2022'!$M:$M,'2022'!$E:$E,Trésorerie!I$4,'2022'!$F:$F,Trésorerie!$B46)+SUMIFS('2022'!$N:$N,'2022'!$E:$E,Trésorerie!I$4,'2022'!$F:$F,Trésorerie!$B46)</f>
        <v>-26634</v>
      </c>
      <c r="J46" s="38">
        <f>-SUMIFS('2022'!$M:$M,'2022'!$E:$E,Trésorerie!J$4,'2022'!$F:$F,Trésorerie!$B46)+SUMIFS('2022'!$N:$N,'2022'!$E:$E,Trésorerie!J$4,'2022'!$F:$F,Trésorerie!$B46)</f>
        <v>-25265</v>
      </c>
      <c r="K46" s="38">
        <f>-SUMIFS('2022'!$M:$M,'2022'!$E:$E,Trésorerie!K$4,'2022'!$F:$F,Trésorerie!$B46)+SUMIFS('2022'!$N:$N,'2022'!$E:$E,Trésorerie!K$4,'2022'!$F:$F,Trésorerie!$B46)</f>
        <v>-33772</v>
      </c>
      <c r="L46" s="38">
        <f>-SUMIFS('2022'!$M:$M,'2022'!$E:$E,Trésorerie!L$4,'2022'!$F:$F,Trésorerie!$B46)+SUMIFS('2022'!$N:$N,'2022'!$E:$E,Trésorerie!L$4,'2022'!$F:$F,Trésorerie!$B46)</f>
        <v>-44733</v>
      </c>
      <c r="M46" s="38">
        <f>-SUMIFS('2022'!$M:$M,'2022'!$E:$E,Trésorerie!M$4,'2022'!$F:$F,Trésorerie!$B46)+SUMIFS('2022'!$N:$N,'2022'!$E:$E,Trésorerie!M$4,'2022'!$F:$F,Trésorerie!$B46)</f>
        <v>-32802</v>
      </c>
      <c r="N46" s="38">
        <f>-SUMIFS('2022'!$M:$M,'2022'!$E:$E,Trésorerie!N$4,'2022'!$F:$F,Trésorerie!$B46)+SUMIFS('2022'!$N:$N,'2022'!$E:$E,Trésorerie!N$4,'2022'!$F:$F,Trésorerie!$B46)</f>
        <v>-24654</v>
      </c>
      <c r="O46" s="38">
        <f>-SUMIFS('2022'!$M:$M,'2022'!$E:$E,Trésorerie!O$4,'2022'!$F:$F,Trésorerie!$B46)+SUMIFS('2022'!$N:$N,'2022'!$E:$E,Trésorerie!O$4,'2022'!$F:$F,Trésorerie!$B46)</f>
        <v>-27326</v>
      </c>
      <c r="P46" s="38">
        <f>-SUMIFS('2022'!$M:$M,'2022'!$E:$E,Trésorerie!P$4,'2022'!$F:$F,Trésorerie!$B46)+SUMIFS('2022'!$N:$N,'2022'!$E:$E,Trésorerie!P$4,'2022'!$F:$F,Trésorerie!$B46)</f>
        <v>-27800</v>
      </c>
      <c r="R46" s="70">
        <f>-SUMIFS('2023-01'!$M:$M,'2023-01'!$E:$E,Trésorerie!R$4,'2023-01'!$F:$F,Trésorerie!$B46)+SUMIFS('2023-01'!$N:$N,'2023-01'!$E:$E,Trésorerie!R$4,'2023-01'!$F:$F,Trésorerie!$B46)</f>
        <v>-43230</v>
      </c>
      <c r="S46" s="70">
        <f>-SUMIFS('2023-02'!$M:$M,'2023-02'!$E:$E,Trésorerie!S$4,'2023-02'!$F:$F,Trésorerie!$B46)+SUMIFS('2023-02'!$N:$N,'2023-02'!$E:$E,Trésorerie!S$4,'2023-02'!$F:$F,Trésorerie!$B46)</f>
        <v>-26552</v>
      </c>
      <c r="T46" s="70">
        <f>-SUMIFS('2023-03'!$M:$M,'2023-03'!$E:$E,Trésorerie!T$4,'2023-03'!$F:$F,Trésorerie!$B46)+SUMIFS('2023-03'!$N:$N,'2023-03'!$E:$E,Trésorerie!T$4,'2023-03'!$F:$F,Trésorerie!$B46)</f>
        <v>-25573</v>
      </c>
      <c r="U46" s="70">
        <f>-SUMIFS('2023-04'!$M:$M,'2023-04'!$E:$E,Trésorerie!U$4,'2023-04'!$F:$F,Trésorerie!$B46)+SUMIFS('2023-04'!$N:$N,'2023-04'!$E:$E,Trésorerie!U$4,'2023-04'!$F:$F,Trésorerie!$B46)</f>
        <v>-28363</v>
      </c>
      <c r="V46" s="70">
        <f>-SUMIFS('2023-05'!$M:$M,'2023-05'!$E:$E,Trésorerie!V$4,'2023-05'!$F:$F,Trésorerie!$B46)+SUMIFS('2023-05'!$N:$N,'2023-05'!$E:$E,Trésorerie!V$4,'2023-05'!$F:$F,Trésorerie!$B46)</f>
        <v>-28716</v>
      </c>
      <c r="W46" s="70">
        <f>-SUMIFS('2023-06'!$M:$M,'2023-06'!$E:$E,Trésorerie!W$4,'2023-06'!$F:$F,Trésorerie!$B46)+SUMIFS('2023-06'!$N:$N,'2023-06'!$E:$E,Trésorerie!W$4,'2023-06'!$F:$F,Trésorerie!$B46)</f>
        <v>-27170</v>
      </c>
      <c r="X46" s="70">
        <f>-SUMIFS('2023-07'!$M:$M,'2023-07'!$E:$E,Trésorerie!X$4,'2023-07'!$F:$F,Trésorerie!$B46)+SUMIFS('2023-07'!$N:$N,'2023-07'!$E:$E,Trésorerie!X$4,'2023-07'!$F:$F,Trésorerie!$B46)</f>
        <v>-30592</v>
      </c>
      <c r="Y46" s="70">
        <f>-SUMIFS('2023-08'!$M:$M,'2023-08'!$E:$E,Trésorerie!Y$4,'2023-08'!$F:$F,Trésorerie!$B46)+SUMIFS('2023-08'!$N:$N,'2023-08'!$E:$E,Trésorerie!Y$4,'2023-08'!$F:$F,Trésorerie!$B46)</f>
        <v>-40329</v>
      </c>
      <c r="Z46" s="70">
        <f>-SUMIFS('2023-09'!$M:$M,'2023-09'!$E:$E,Trésorerie!Z$4,'2023-09'!$F:$F,Trésorerie!$B46)+SUMIFS('2023-09'!$N:$N,'2023-09'!$E:$E,Trésorerie!Z$4,'2023-09'!$F:$F,Trésorerie!$B46)</f>
        <v>-32388</v>
      </c>
      <c r="AA46" s="70">
        <f>-SUMIFS('2023-10'!$M:$M,'2023-10'!$E:$E,Trésorerie!AA$4,'2023-10'!$F:$F,Trésorerie!$B46)+SUMIFS('2023-10'!$N:$N,'2023-10'!$E:$E,Trésorerie!AA$4,'2023-10'!$F:$F,Trésorerie!$B46)</f>
        <v>-24658</v>
      </c>
      <c r="AB46" s="75">
        <f>IF(SUM($E46:O46)&lt;SUM($R46:AA46),SUM($E46:O46)-SUM($R46:AA46),0)</f>
        <v>-19574</v>
      </c>
      <c r="AC46" s="75">
        <f>IF(SUM($E46:P46)&lt;SUM($R46:AB46),SUM($E46:P46)-SUM($R46:AB46),0)</f>
        <v>-27800</v>
      </c>
      <c r="AD46" s="79"/>
    </row>
    <row r="47" spans="1:30" x14ac:dyDescent="0.25">
      <c r="A47" s="27">
        <f t="shared" si="0"/>
        <v>-75370.680000000008</v>
      </c>
      <c r="B47" s="55">
        <v>433000</v>
      </c>
      <c r="C47" s="33" t="s">
        <v>410</v>
      </c>
      <c r="D47" s="55" t="s">
        <v>4752</v>
      </c>
      <c r="E47" s="39">
        <f>-SUMIFS('2022'!$M:$M,'2022'!$E:$E,Trésorerie!E$4,'2022'!$F:$F,Trésorerie!$B47)+SUMIFS('2022'!$N:$N,'2022'!$E:$E,Trésorerie!E$4,'2022'!$F:$F,Trésorerie!$B47)</f>
        <v>-5907.98</v>
      </c>
      <c r="F47" s="39">
        <f>-SUMIFS('2022'!$M:$M,'2022'!$E:$E,Trésorerie!F$4,'2022'!$F:$F,Trésorerie!$B47)+SUMIFS('2022'!$N:$N,'2022'!$E:$E,Trésorerie!F$4,'2022'!$F:$F,Trésorerie!$B47)</f>
        <v>-5092.45</v>
      </c>
      <c r="G47" s="39">
        <f>-SUMIFS('2022'!$M:$M,'2022'!$E:$E,Trésorerie!G$4,'2022'!$F:$F,Trésorerie!$B47)+SUMIFS('2022'!$N:$N,'2022'!$E:$E,Trésorerie!G$4,'2022'!$F:$F,Trésorerie!$B47)</f>
        <v>-7272.22</v>
      </c>
      <c r="H47" s="39">
        <f>-SUMIFS('2022'!$M:$M,'2022'!$E:$E,Trésorerie!H$4,'2022'!$F:$F,Trésorerie!$B47)+SUMIFS('2022'!$N:$N,'2022'!$E:$E,Trésorerie!H$4,'2022'!$F:$F,Trésorerie!$B47)</f>
        <v>-5605.89</v>
      </c>
      <c r="I47" s="39">
        <f>-SUMIFS('2022'!$M:$M,'2022'!$E:$E,Trésorerie!I$4,'2022'!$F:$F,Trésorerie!$B47)+SUMIFS('2022'!$N:$N,'2022'!$E:$E,Trésorerie!I$4,'2022'!$F:$F,Trésorerie!$B47)</f>
        <v>-5967.75</v>
      </c>
      <c r="J47" s="39">
        <f>-SUMIFS('2022'!$M:$M,'2022'!$E:$E,Trésorerie!J$4,'2022'!$F:$F,Trésorerie!$B47)+SUMIFS('2022'!$N:$N,'2022'!$E:$E,Trésorerie!J$4,'2022'!$F:$F,Trésorerie!$B47)</f>
        <v>-4898.1499999999996</v>
      </c>
      <c r="K47" s="39">
        <f>-SUMIFS('2022'!$M:$M,'2022'!$E:$E,Trésorerie!K$4,'2022'!$F:$F,Trésorerie!$B47)+SUMIFS('2022'!$N:$N,'2022'!$E:$E,Trésorerie!K$4,'2022'!$F:$F,Trésorerie!$B47)</f>
        <v>-6832.92</v>
      </c>
      <c r="L47" s="39">
        <f>-SUMIFS('2022'!$M:$M,'2022'!$E:$E,Trésorerie!L$4,'2022'!$F:$F,Trésorerie!$B47)+SUMIFS('2022'!$N:$N,'2022'!$E:$E,Trésorerie!L$4,'2022'!$F:$F,Trésorerie!$B47)</f>
        <v>-10818.08</v>
      </c>
      <c r="M47" s="39">
        <f>-SUMIFS('2022'!$M:$M,'2022'!$E:$E,Trésorerie!M$4,'2022'!$F:$F,Trésorerie!$B47)+SUMIFS('2022'!$N:$N,'2022'!$E:$E,Trésorerie!M$4,'2022'!$F:$F,Trésorerie!$B47)</f>
        <v>-7256.46</v>
      </c>
      <c r="N47" s="39">
        <f>-SUMIFS('2022'!$M:$M,'2022'!$E:$E,Trésorerie!N$4,'2022'!$F:$F,Trésorerie!$B47)+SUMIFS('2022'!$N:$N,'2022'!$E:$E,Trésorerie!N$4,'2022'!$F:$F,Trésorerie!$B47)</f>
        <v>-4107.63</v>
      </c>
      <c r="O47" s="39">
        <f>-SUMIFS('2022'!$M:$M,'2022'!$E:$E,Trésorerie!O$4,'2022'!$F:$F,Trésorerie!$B47)+SUMIFS('2022'!$N:$N,'2022'!$E:$E,Trésorerie!O$4,'2022'!$F:$F,Trésorerie!$B47)</f>
        <v>-5456.38</v>
      </c>
      <c r="P47" s="39">
        <f>-SUMIFS('2022'!$M:$M,'2022'!$E:$E,Trésorerie!P$4,'2022'!$F:$F,Trésorerie!$B47)+SUMIFS('2022'!$N:$N,'2022'!$E:$E,Trésorerie!P$4,'2022'!$F:$F,Trésorerie!$B47)</f>
        <v>-6154.77</v>
      </c>
      <c r="R47" s="71">
        <f>-SUMIFS('2023-01'!$M:$M,'2023-01'!$E:$E,Trésorerie!R$4,'2023-01'!$F:$F,Trésorerie!$B47)+SUMIFS('2023-01'!$N:$N,'2023-01'!$E:$E,Trésorerie!R$4,'2023-01'!$F:$F,Trésorerie!$B47)</f>
        <v>-11508.12</v>
      </c>
      <c r="S47" s="71">
        <f>-SUMIFS('2023-02'!$M:$M,'2023-02'!$E:$E,Trésorerie!S$4,'2023-02'!$F:$F,Trésorerie!$B47)+SUMIFS('2023-02'!$N:$N,'2023-02'!$E:$E,Trésorerie!S$4,'2023-02'!$F:$F,Trésorerie!$B47)</f>
        <v>0</v>
      </c>
      <c r="T47" s="71">
        <f>-SUMIFS('2023-03'!$M:$M,'2023-03'!$E:$E,Trésorerie!T$4,'2023-03'!$F:$F,Trésorerie!$B47)+SUMIFS('2023-03'!$N:$N,'2023-03'!$E:$E,Trésorerie!T$4,'2023-03'!$F:$F,Trésorerie!$B47)</f>
        <v>-11346.48</v>
      </c>
      <c r="U47" s="71">
        <f>-SUMIFS('2023-04'!$M:$M,'2023-04'!$E:$E,Trésorerie!U$4,'2023-04'!$F:$F,Trésorerie!$B47)+SUMIFS('2023-04'!$N:$N,'2023-04'!$E:$E,Trésorerie!U$4,'2023-04'!$F:$F,Trésorerie!$B47)</f>
        <v>-5785.63</v>
      </c>
      <c r="V47" s="71">
        <f>-SUMIFS('2023-05'!$M:$M,'2023-05'!$E:$E,Trésorerie!V$4,'2023-05'!$F:$F,Trésorerie!$B47)+SUMIFS('2023-05'!$N:$N,'2023-05'!$E:$E,Trésorerie!V$4,'2023-05'!$F:$F,Trésorerie!$B47)</f>
        <v>0</v>
      </c>
      <c r="W47" s="71">
        <f>-SUMIFS('2023-06'!$M:$M,'2023-06'!$E:$E,Trésorerie!W$4,'2023-06'!$F:$F,Trésorerie!$B47)+SUMIFS('2023-06'!$N:$N,'2023-06'!$E:$E,Trésorerie!W$4,'2023-06'!$F:$F,Trésorerie!$B47)</f>
        <v>-5549.88</v>
      </c>
      <c r="X47" s="71">
        <f>-SUMIFS('2023-07'!$M:$M,'2023-07'!$E:$E,Trésorerie!X$4,'2023-07'!$F:$F,Trésorerie!$B47)+SUMIFS('2023-07'!$N:$N,'2023-07'!$E:$E,Trésorerie!X$4,'2023-07'!$F:$F,Trésorerie!$B47)</f>
        <v>-6253.92</v>
      </c>
      <c r="Y47" s="71">
        <f>-SUMIFS('2023-08'!$M:$M,'2023-08'!$E:$E,Trésorerie!Y$4,'2023-08'!$F:$F,Trésorerie!$B47)+SUMIFS('2023-08'!$N:$N,'2023-08'!$E:$E,Trésorerie!Y$4,'2023-08'!$F:$F,Trésorerie!$B47)</f>
        <v>-9494.9</v>
      </c>
      <c r="Z47" s="71">
        <f>-SUMIFS('2023-09'!$M:$M,'2023-09'!$E:$E,Trésorerie!Z$4,'2023-09'!$F:$F,Trésorerie!$B47)+SUMIFS('2023-09'!$N:$N,'2023-09'!$E:$E,Trésorerie!Z$4,'2023-09'!$F:$F,Trésorerie!$B47)</f>
        <v>-6700.09</v>
      </c>
      <c r="AA47" s="71">
        <f>-SUMIFS('2023-10'!$M:$M,'2023-10'!$E:$E,Trésorerie!AA$4,'2023-10'!$F:$F,Trésorerie!$B47)+SUMIFS('2023-10'!$N:$N,'2023-10'!$E:$E,Trésorerie!AA$4,'2023-10'!$F:$F,Trésorerie!$B47)</f>
        <v>-4955.12</v>
      </c>
      <c r="AB47" s="75">
        <f>IF(SUM($E47:O47)&lt;SUM($R47:AA47),SUM($E47:O47)-SUM($R47:AA47),0)</f>
        <v>-7621.7699999999968</v>
      </c>
      <c r="AC47" s="75">
        <f>IF(SUM($E47:P47)&lt;SUM($R47:AB47),SUM($E47:P47)-SUM($R47:AB47),0)</f>
        <v>-6154.7700000000041</v>
      </c>
      <c r="AD47" s="79"/>
    </row>
    <row r="48" spans="1:30" x14ac:dyDescent="0.25">
      <c r="A48" s="27">
        <f t="shared" si="0"/>
        <v>-49407</v>
      </c>
      <c r="B48" s="55">
        <v>447000</v>
      </c>
      <c r="C48" s="33" t="s">
        <v>419</v>
      </c>
      <c r="D48" s="55" t="s">
        <v>4752</v>
      </c>
      <c r="E48" s="39">
        <f>-SUMIFS('2022'!$M:$M,'2022'!$E:$E,Trésorerie!E$4,'2022'!$F:$F,Trésorerie!$B48)+SUMIFS('2022'!$N:$N,'2022'!$E:$E,Trésorerie!E$4,'2022'!$F:$F,Trésorerie!$B48)</f>
        <v>0</v>
      </c>
      <c r="F48" s="39">
        <f>-SUMIFS('2022'!$M:$M,'2022'!$E:$E,Trésorerie!F$4,'2022'!$F:$F,Trésorerie!$B48)+SUMIFS('2022'!$N:$N,'2022'!$E:$E,Trésorerie!F$4,'2022'!$F:$F,Trésorerie!$B48)</f>
        <v>-4197</v>
      </c>
      <c r="G48" s="39">
        <f>-SUMIFS('2022'!$M:$M,'2022'!$E:$E,Trésorerie!G$4,'2022'!$F:$F,Trésorerie!$B48)+SUMIFS('2022'!$N:$N,'2022'!$E:$E,Trésorerie!G$4,'2022'!$F:$F,Trésorerie!$B48)</f>
        <v>0</v>
      </c>
      <c r="H48" s="39">
        <f>-SUMIFS('2022'!$M:$M,'2022'!$E:$E,Trésorerie!H$4,'2022'!$F:$F,Trésorerie!$B48)+SUMIFS('2022'!$N:$N,'2022'!$E:$E,Trésorerie!H$4,'2022'!$F:$F,Trésorerie!$B48)</f>
        <v>0</v>
      </c>
      <c r="I48" s="39">
        <f>-SUMIFS('2022'!$M:$M,'2022'!$E:$E,Trésorerie!I$4,'2022'!$F:$F,Trésorerie!$B48)+SUMIFS('2022'!$N:$N,'2022'!$E:$E,Trésorerie!I$4,'2022'!$F:$F,Trésorerie!$B48)</f>
        <v>-3903</v>
      </c>
      <c r="J48" s="39">
        <f>-SUMIFS('2022'!$M:$M,'2022'!$E:$E,Trésorerie!J$4,'2022'!$F:$F,Trésorerie!$B48)+SUMIFS('2022'!$N:$N,'2022'!$E:$E,Trésorerie!J$4,'2022'!$F:$F,Trésorerie!$B48)</f>
        <v>-5642</v>
      </c>
      <c r="K48" s="39">
        <f>-SUMIFS('2022'!$M:$M,'2022'!$E:$E,Trésorerie!K$4,'2022'!$F:$F,Trésorerie!$B48)+SUMIFS('2022'!$N:$N,'2022'!$E:$E,Trésorerie!K$4,'2022'!$F:$F,Trésorerie!$B48)</f>
        <v>0</v>
      </c>
      <c r="L48" s="39">
        <f>-SUMIFS('2022'!$M:$M,'2022'!$E:$E,Trésorerie!L$4,'2022'!$F:$F,Trésorerie!$B48)+SUMIFS('2022'!$N:$N,'2022'!$E:$E,Trésorerie!L$4,'2022'!$F:$F,Trésorerie!$B48)</f>
        <v>-14901</v>
      </c>
      <c r="M48" s="39">
        <f>-SUMIFS('2022'!$M:$M,'2022'!$E:$E,Trésorerie!M$4,'2022'!$F:$F,Trésorerie!$B48)+SUMIFS('2022'!$N:$N,'2022'!$E:$E,Trésorerie!M$4,'2022'!$F:$F,Trésorerie!$B48)</f>
        <v>-5636</v>
      </c>
      <c r="N48" s="39">
        <f>-SUMIFS('2022'!$M:$M,'2022'!$E:$E,Trésorerie!N$4,'2022'!$F:$F,Trésorerie!$B48)+SUMIFS('2022'!$N:$N,'2022'!$E:$E,Trésorerie!N$4,'2022'!$F:$F,Trésorerie!$B48)</f>
        <v>-4252</v>
      </c>
      <c r="O48" s="39">
        <f>-SUMIFS('2022'!$M:$M,'2022'!$E:$E,Trésorerie!O$4,'2022'!$F:$F,Trésorerie!$B48)+SUMIFS('2022'!$N:$N,'2022'!$E:$E,Trésorerie!O$4,'2022'!$F:$F,Trésorerie!$B48)</f>
        <v>-5327</v>
      </c>
      <c r="P48" s="39">
        <f>-SUMIFS('2022'!$M:$M,'2022'!$E:$E,Trésorerie!P$4,'2022'!$F:$F,Trésorerie!$B48)+SUMIFS('2022'!$N:$N,'2022'!$E:$E,Trésorerie!P$4,'2022'!$F:$F,Trésorerie!$B48)</f>
        <v>-5549</v>
      </c>
      <c r="R48" s="71">
        <f>-SUMIFS('2023-01'!$M:$M,'2023-01'!$E:$E,Trésorerie!R$4,'2023-01'!$F:$F,Trésorerie!$B48)+SUMIFS('2023-01'!$N:$N,'2023-01'!$E:$E,Trésorerie!R$4,'2023-01'!$F:$F,Trésorerie!$B48)</f>
        <v>0</v>
      </c>
      <c r="S48" s="71">
        <f>-SUMIFS('2023-02'!$M:$M,'2023-02'!$E:$E,Trésorerie!S$4,'2023-02'!$F:$F,Trésorerie!$B48)+SUMIFS('2023-02'!$N:$N,'2023-02'!$E:$E,Trésorerie!S$4,'2023-02'!$F:$F,Trésorerie!$B48)</f>
        <v>-8502</v>
      </c>
      <c r="T48" s="71">
        <f>-SUMIFS('2023-03'!$M:$M,'2023-03'!$E:$E,Trésorerie!T$4,'2023-03'!$F:$F,Trésorerie!$B48)+SUMIFS('2023-03'!$N:$N,'2023-03'!$E:$E,Trésorerie!T$4,'2023-03'!$F:$F,Trésorerie!$B48)</f>
        <v>0</v>
      </c>
      <c r="U48" s="71">
        <f>-SUMIFS('2023-04'!$M:$M,'2023-04'!$E:$E,Trésorerie!U$4,'2023-04'!$F:$F,Trésorerie!$B48)+SUMIFS('2023-04'!$N:$N,'2023-04'!$E:$E,Trésorerie!U$4,'2023-04'!$F:$F,Trésorerie!$B48)</f>
        <v>0</v>
      </c>
      <c r="V48" s="71">
        <f>-SUMIFS('2023-05'!$M:$M,'2023-05'!$E:$E,Trésorerie!V$4,'2023-05'!$F:$F,Trésorerie!$B48)+SUMIFS('2023-05'!$N:$N,'2023-05'!$E:$E,Trésorerie!V$4,'2023-05'!$F:$F,Trésorerie!$B48)</f>
        <v>-474</v>
      </c>
      <c r="W48" s="71">
        <f>-SUMIFS('2023-06'!$M:$M,'2023-06'!$E:$E,Trésorerie!W$4,'2023-06'!$F:$F,Trésorerie!$B48)+SUMIFS('2023-06'!$N:$N,'2023-06'!$E:$E,Trésorerie!W$4,'2023-06'!$F:$F,Trésorerie!$B48)</f>
        <v>-5985</v>
      </c>
      <c r="X48" s="71">
        <f>-SUMIFS('2023-07'!$M:$M,'2023-07'!$E:$E,Trésorerie!X$4,'2023-07'!$F:$F,Trésorerie!$B48)+SUMIFS('2023-07'!$N:$N,'2023-07'!$E:$E,Trésorerie!X$4,'2023-07'!$F:$F,Trésorerie!$B48)</f>
        <v>-6209</v>
      </c>
      <c r="Y48" s="71">
        <f>-SUMIFS('2023-08'!$M:$M,'2023-08'!$E:$E,Trésorerie!Y$4,'2023-08'!$F:$F,Trésorerie!$B48)+SUMIFS('2023-08'!$N:$N,'2023-08'!$E:$E,Trésorerie!Y$4,'2023-08'!$F:$F,Trésorerie!$B48)</f>
        <v>-7596</v>
      </c>
      <c r="Z48" s="71">
        <f>-SUMIFS('2023-09'!$M:$M,'2023-09'!$E:$E,Trésorerie!Z$4,'2023-09'!$F:$F,Trésorerie!$B48)+SUMIFS('2023-09'!$N:$N,'2023-09'!$E:$E,Trésorerie!Z$4,'2023-09'!$F:$F,Trésorerie!$B48)</f>
        <v>-6268</v>
      </c>
      <c r="AA48" s="71">
        <f>-SUMIFS('2023-10'!$M:$M,'2023-10'!$E:$E,Trésorerie!AA$4,'2023-10'!$F:$F,Trésorerie!$B48)+SUMIFS('2023-10'!$N:$N,'2023-10'!$E:$E,Trésorerie!AA$4,'2023-10'!$F:$F,Trésorerie!$B48)</f>
        <v>-4746</v>
      </c>
      <c r="AB48" s="75">
        <f>IF(SUM($E48:O48)&lt;SUM($R48:AA48),SUM($E48:O48)-SUM($R48:AA48),0)</f>
        <v>-4078</v>
      </c>
      <c r="AC48" s="75">
        <f>IF(SUM($E48:P48)&lt;SUM($R48:AB48),SUM($E48:P48)-SUM($R48:AB48),0)</f>
        <v>-5549</v>
      </c>
      <c r="AD48" s="79"/>
    </row>
    <row r="49" spans="1:30" x14ac:dyDescent="0.25">
      <c r="A49" s="27">
        <f t="shared" si="0"/>
        <v>-40608.630000000005</v>
      </c>
      <c r="B49" s="55">
        <v>467100</v>
      </c>
      <c r="C49" s="33" t="s">
        <v>160</v>
      </c>
      <c r="D49" s="55" t="s">
        <v>4752</v>
      </c>
      <c r="E49" s="39">
        <f>-SUMIFS('2022'!$M:$M,'2022'!$E:$E,Trésorerie!E$4,'2022'!$F:$F,Trésorerie!$B49)+SUMIFS('2022'!$N:$N,'2022'!$E:$E,Trésorerie!E$4,'2022'!$F:$F,Trésorerie!$B49)</f>
        <v>-2973.3799999999997</v>
      </c>
      <c r="F49" s="39">
        <f>-SUMIFS('2022'!$M:$M,'2022'!$E:$E,Trésorerie!F$4,'2022'!$F:$F,Trésorerie!$B49)+SUMIFS('2022'!$N:$N,'2022'!$E:$E,Trésorerie!F$4,'2022'!$F:$F,Trésorerie!$B49)</f>
        <v>-2520.4100000000003</v>
      </c>
      <c r="G49" s="39">
        <f>-SUMIFS('2022'!$M:$M,'2022'!$E:$E,Trésorerie!G$4,'2022'!$F:$F,Trésorerie!$B49)+SUMIFS('2022'!$N:$N,'2022'!$E:$E,Trésorerie!G$4,'2022'!$F:$F,Trésorerie!$B49)</f>
        <v>-1736.1400000000003</v>
      </c>
      <c r="H49" s="39">
        <f>-SUMIFS('2022'!$M:$M,'2022'!$E:$E,Trésorerie!H$4,'2022'!$F:$F,Trésorerie!$B49)+SUMIFS('2022'!$N:$N,'2022'!$E:$E,Trésorerie!H$4,'2022'!$F:$F,Trésorerie!$B49)</f>
        <v>-3008.6100000000006</v>
      </c>
      <c r="I49" s="39">
        <f>-SUMIFS('2022'!$M:$M,'2022'!$E:$E,Trésorerie!I$4,'2022'!$F:$F,Trésorerie!$B49)+SUMIFS('2022'!$N:$N,'2022'!$E:$E,Trésorerie!I$4,'2022'!$F:$F,Trésorerie!$B49)</f>
        <v>-2806.5899999999997</v>
      </c>
      <c r="J49" s="39">
        <f>-SUMIFS('2022'!$M:$M,'2022'!$E:$E,Trésorerie!J$4,'2022'!$F:$F,Trésorerie!$B49)+SUMIFS('2022'!$N:$N,'2022'!$E:$E,Trésorerie!J$4,'2022'!$F:$F,Trésorerie!$B49)</f>
        <v>-4205.0200000000013</v>
      </c>
      <c r="K49" s="39">
        <f>-SUMIFS('2022'!$M:$M,'2022'!$E:$E,Trésorerie!K$4,'2022'!$F:$F,Trésorerie!$B49)+SUMIFS('2022'!$N:$N,'2022'!$E:$E,Trésorerie!K$4,'2022'!$F:$F,Trésorerie!$B49)</f>
        <v>-8237.69</v>
      </c>
      <c r="L49" s="39">
        <f>-SUMIFS('2022'!$M:$M,'2022'!$E:$E,Trésorerie!L$4,'2022'!$F:$F,Trésorerie!$B49)+SUMIFS('2022'!$N:$N,'2022'!$E:$E,Trésorerie!L$4,'2022'!$F:$F,Trésorerie!$B49)</f>
        <v>-420.65</v>
      </c>
      <c r="M49" s="39">
        <f>-SUMIFS('2022'!$M:$M,'2022'!$E:$E,Trésorerie!M$4,'2022'!$F:$F,Trésorerie!$B49)+SUMIFS('2022'!$N:$N,'2022'!$E:$E,Trésorerie!M$4,'2022'!$F:$F,Trésorerie!$B49)</f>
        <v>-3019.36</v>
      </c>
      <c r="N49" s="39">
        <f>-SUMIFS('2022'!$M:$M,'2022'!$E:$E,Trésorerie!N$4,'2022'!$F:$F,Trésorerie!$B49)+SUMIFS('2022'!$N:$N,'2022'!$E:$E,Trésorerie!N$4,'2022'!$F:$F,Trésorerie!$B49)</f>
        <v>-3657.2900000000009</v>
      </c>
      <c r="O49" s="39">
        <f>-SUMIFS('2022'!$M:$M,'2022'!$E:$E,Trésorerie!O$4,'2022'!$F:$F,Trésorerie!$B49)+SUMIFS('2022'!$N:$N,'2022'!$E:$E,Trésorerie!O$4,'2022'!$F:$F,Trésorerie!$B49)</f>
        <v>-2496.58</v>
      </c>
      <c r="P49" s="39">
        <f>-SUMIFS('2022'!$M:$M,'2022'!$E:$E,Trésorerie!P$4,'2022'!$F:$F,Trésorerie!$B49)+SUMIFS('2022'!$N:$N,'2022'!$E:$E,Trésorerie!P$4,'2022'!$F:$F,Trésorerie!$B49)</f>
        <v>-5526.91</v>
      </c>
      <c r="R49" s="71">
        <f>-SUMIFS('2023-01'!$M:$M,'2023-01'!$E:$E,Trésorerie!R$4,'2023-01'!$F:$F,Trésorerie!$B49)+SUMIFS('2023-01'!$N:$N,'2023-01'!$E:$E,Trésorerie!R$4,'2023-01'!$F:$F,Trésorerie!$B49)</f>
        <v>-1699.49</v>
      </c>
      <c r="S49" s="71">
        <f>-SUMIFS('2023-02'!$M:$M,'2023-02'!$E:$E,Trésorerie!S$4,'2023-02'!$F:$F,Trésorerie!$B49)+SUMIFS('2023-02'!$N:$N,'2023-02'!$E:$E,Trésorerie!S$4,'2023-02'!$F:$F,Trésorerie!$B49)</f>
        <v>-2996.1700000000005</v>
      </c>
      <c r="T49" s="71">
        <f>-SUMIFS('2023-03'!$M:$M,'2023-03'!$E:$E,Trésorerie!T$4,'2023-03'!$F:$F,Trésorerie!$B49)+SUMIFS('2023-03'!$N:$N,'2023-03'!$E:$E,Trésorerie!T$4,'2023-03'!$F:$F,Trésorerie!$B49)</f>
        <v>-6361.9800000000005</v>
      </c>
      <c r="U49" s="71">
        <f>-SUMIFS('2023-04'!$M:$M,'2023-04'!$E:$E,Trésorerie!U$4,'2023-04'!$F:$F,Trésorerie!$B49)+SUMIFS('2023-04'!$N:$N,'2023-04'!$E:$E,Trésorerie!U$4,'2023-04'!$F:$F,Trésorerie!$B49)</f>
        <v>-2621.36</v>
      </c>
      <c r="V49" s="71">
        <f>-SUMIFS('2023-05'!$M:$M,'2023-05'!$E:$E,Trésorerie!V$4,'2023-05'!$F:$F,Trésorerie!$B49)+SUMIFS('2023-05'!$N:$N,'2023-05'!$E:$E,Trésorerie!V$4,'2023-05'!$F:$F,Trésorerie!$B49)</f>
        <v>-2546.1299999999997</v>
      </c>
      <c r="W49" s="71">
        <f>-SUMIFS('2023-06'!$M:$M,'2023-06'!$E:$E,Trésorerie!W$4,'2023-06'!$F:$F,Trésorerie!$B49)+SUMIFS('2023-06'!$N:$N,'2023-06'!$E:$E,Trésorerie!W$4,'2023-06'!$F:$F,Trésorerie!$B49)</f>
        <v>-2538.0500000000002</v>
      </c>
      <c r="X49" s="71">
        <f>-SUMIFS('2023-07'!$M:$M,'2023-07'!$E:$E,Trésorerie!X$4,'2023-07'!$F:$F,Trésorerie!$B49)+SUMIFS('2023-07'!$N:$N,'2023-07'!$E:$E,Trésorerie!X$4,'2023-07'!$F:$F,Trésorerie!$B49)</f>
        <v>-4388.08</v>
      </c>
      <c r="Y49" s="71">
        <f>-SUMIFS('2023-08'!$M:$M,'2023-08'!$E:$E,Trésorerie!Y$4,'2023-08'!$F:$F,Trésorerie!$B49)+SUMIFS('2023-08'!$N:$N,'2023-08'!$E:$E,Trésorerie!Y$4,'2023-08'!$F:$F,Trésorerie!$B49)</f>
        <v>-2232.42</v>
      </c>
      <c r="Z49" s="71">
        <f>-SUMIFS('2023-09'!$M:$M,'2023-09'!$E:$E,Trésorerie!Z$4,'2023-09'!$F:$F,Trésorerie!$B49)+SUMIFS('2023-09'!$N:$N,'2023-09'!$E:$E,Trésorerie!Z$4,'2023-09'!$F:$F,Trésorerie!$B49)</f>
        <v>-1323.43</v>
      </c>
      <c r="AA49" s="71">
        <f>-SUMIFS('2023-10'!$M:$M,'2023-10'!$E:$E,Trésorerie!AA$4,'2023-10'!$F:$F,Trésorerie!$B49)+SUMIFS('2023-10'!$N:$N,'2023-10'!$E:$E,Trésorerie!AA$4,'2023-10'!$F:$F,Trésorerie!$B49)</f>
        <v>-1746.5800000000002</v>
      </c>
      <c r="AB49" s="75">
        <f>IF(SUM($E49:O49)&lt;SUM($R49:AA49),SUM($E49:O49)-SUM($R49:AA49),0)</f>
        <v>-6628.0300000000061</v>
      </c>
      <c r="AC49" s="75">
        <f>IF(SUM($E49:P49)&lt;SUM($R49:AB49),SUM($E49:P49)-SUM($R49:AB49),0)</f>
        <v>-5526.9099999999962</v>
      </c>
      <c r="AD49" s="79"/>
    </row>
    <row r="50" spans="1:30" x14ac:dyDescent="0.25">
      <c r="A50" s="28">
        <f t="shared" si="0"/>
        <v>-19208.420000000002</v>
      </c>
      <c r="B50" s="56">
        <v>437000</v>
      </c>
      <c r="C50" s="34" t="s">
        <v>430</v>
      </c>
      <c r="D50" s="56" t="s">
        <v>4752</v>
      </c>
      <c r="E50" s="40">
        <f>-SUMIFS('2022'!$M:$M,'2022'!$E:$E,Trésorerie!E$4,'2022'!$F:$F,Trésorerie!$B50)+SUMIFS('2022'!$N:$N,'2022'!$E:$E,Trésorerie!E$4,'2022'!$F:$F,Trésorerie!$B50)</f>
        <v>-1535.4</v>
      </c>
      <c r="F50" s="40">
        <f>-SUMIFS('2022'!$M:$M,'2022'!$E:$E,Trésorerie!F$4,'2022'!$F:$F,Trésorerie!$B50)+SUMIFS('2022'!$N:$N,'2022'!$E:$E,Trésorerie!F$4,'2022'!$F:$F,Trésorerie!$B50)</f>
        <v>-1481.58</v>
      </c>
      <c r="G50" s="40">
        <f>-SUMIFS('2022'!$M:$M,'2022'!$E:$E,Trésorerie!G$4,'2022'!$F:$F,Trésorerie!$B50)+SUMIFS('2022'!$N:$N,'2022'!$E:$E,Trésorerie!G$4,'2022'!$F:$F,Trésorerie!$B50)</f>
        <v>-1589.22</v>
      </c>
      <c r="H50" s="40">
        <f>-SUMIFS('2022'!$M:$M,'2022'!$E:$E,Trésorerie!H$4,'2022'!$F:$F,Trésorerie!$B50)+SUMIFS('2022'!$N:$N,'2022'!$E:$E,Trésorerie!H$4,'2022'!$F:$F,Trésorerie!$B50)</f>
        <v>-1589.22</v>
      </c>
      <c r="I50" s="40">
        <f>-SUMIFS('2022'!$M:$M,'2022'!$E:$E,Trésorerie!I$4,'2022'!$F:$F,Trésorerie!$B50)+SUMIFS('2022'!$N:$N,'2022'!$E:$E,Trésorerie!I$4,'2022'!$F:$F,Trésorerie!$B50)</f>
        <v>-1535.4</v>
      </c>
      <c r="J50" s="40">
        <f>-SUMIFS('2022'!$M:$M,'2022'!$E:$E,Trésorerie!J$4,'2022'!$F:$F,Trésorerie!$B50)+SUMIFS('2022'!$N:$N,'2022'!$E:$E,Trésorerie!J$4,'2022'!$F:$F,Trésorerie!$B50)</f>
        <v>-1643.38</v>
      </c>
      <c r="K50" s="40">
        <f>-SUMIFS('2022'!$M:$M,'2022'!$E:$E,Trésorerie!K$4,'2022'!$F:$F,Trésorerie!$B50)+SUMIFS('2022'!$N:$N,'2022'!$E:$E,Trésorerie!K$4,'2022'!$F:$F,Trésorerie!$B50)</f>
        <v>-1697.2</v>
      </c>
      <c r="L50" s="40">
        <f>-SUMIFS('2022'!$M:$M,'2022'!$E:$E,Trésorerie!L$4,'2022'!$F:$F,Trésorerie!$B50)+SUMIFS('2022'!$N:$N,'2022'!$E:$E,Trésorerie!L$4,'2022'!$F:$F,Trésorerie!$B50)</f>
        <v>-1751.36</v>
      </c>
      <c r="M50" s="40">
        <f>-SUMIFS('2022'!$M:$M,'2022'!$E:$E,Trésorerie!M$4,'2022'!$F:$F,Trésorerie!$B50)+SUMIFS('2022'!$N:$N,'2022'!$E:$E,Trésorerie!M$4,'2022'!$F:$F,Trésorerie!$B50)</f>
        <v>-1643.72</v>
      </c>
      <c r="N50" s="40">
        <f>-SUMIFS('2022'!$M:$M,'2022'!$E:$E,Trésorerie!N$4,'2022'!$F:$F,Trésorerie!$B50)+SUMIFS('2022'!$N:$N,'2022'!$E:$E,Trésorerie!N$4,'2022'!$F:$F,Trésorerie!$B50)</f>
        <v>-1616.64</v>
      </c>
      <c r="O50" s="40">
        <f>-SUMIFS('2022'!$M:$M,'2022'!$E:$E,Trésorerie!O$4,'2022'!$F:$F,Trésorerie!$B50)+SUMIFS('2022'!$N:$N,'2022'!$E:$E,Trésorerie!O$4,'2022'!$F:$F,Trésorerie!$B50)</f>
        <v>-1481.92</v>
      </c>
      <c r="P50" s="40">
        <f>-SUMIFS('2022'!$M:$M,'2022'!$E:$E,Trésorerie!P$4,'2022'!$F:$F,Trésorerie!$B50)+SUMIFS('2022'!$N:$N,'2022'!$E:$E,Trésorerie!P$4,'2022'!$F:$F,Trésorerie!$B50)</f>
        <v>-1643.38</v>
      </c>
      <c r="R50" s="72">
        <f>-SUMIFS('2023-01'!$M:$M,'2023-01'!$E:$E,Trésorerie!R$4,'2023-01'!$F:$F,Trésorerie!$B50)+SUMIFS('2023-01'!$N:$N,'2023-01'!$E:$E,Trésorerie!R$4,'2023-01'!$F:$F,Trésorerie!$B50)</f>
        <v>-1562.48</v>
      </c>
      <c r="S50" s="72">
        <f>-SUMIFS('2023-02'!$M:$M,'2023-02'!$E:$E,Trésorerie!S$4,'2023-02'!$F:$F,Trésorerie!$B50)+SUMIFS('2023-02'!$N:$N,'2023-02'!$E:$E,Trésorerie!S$4,'2023-02'!$F:$F,Trésorerie!$B50)</f>
        <v>-1440.44</v>
      </c>
      <c r="T50" s="72">
        <f>-SUMIFS('2023-03'!$M:$M,'2023-03'!$E:$E,Trésorerie!T$4,'2023-03'!$F:$F,Trésorerie!$B50)+SUMIFS('2023-03'!$N:$N,'2023-03'!$E:$E,Trésorerie!T$4,'2023-03'!$F:$F,Trésorerie!$B50)</f>
        <v>-1555.92</v>
      </c>
      <c r="U50" s="72">
        <f>-SUMIFS('2023-04'!$M:$M,'2023-04'!$E:$E,Trésorerie!U$4,'2023-04'!$F:$F,Trésorerie!$B50)+SUMIFS('2023-04'!$N:$N,'2023-04'!$E:$E,Trésorerie!U$4,'2023-04'!$F:$F,Trésorerie!$B50)</f>
        <v>-1989.24</v>
      </c>
      <c r="V50" s="72">
        <f>-SUMIFS('2023-05'!$M:$M,'2023-05'!$E:$E,Trésorerie!V$4,'2023-05'!$F:$F,Trésorerie!$B50)+SUMIFS('2023-05'!$N:$N,'2023-05'!$E:$E,Trésorerie!V$4,'2023-05'!$F:$F,Trésorerie!$B50)</f>
        <v>-1757.92</v>
      </c>
      <c r="W50" s="72">
        <f>-SUMIFS('2023-06'!$M:$M,'2023-06'!$E:$E,Trésorerie!W$4,'2023-06'!$F:$F,Trésorerie!$B50)+SUMIFS('2023-06'!$N:$N,'2023-06'!$E:$E,Trésorerie!W$4,'2023-06'!$F:$F,Trésorerie!$B50)</f>
        <v>1468.32</v>
      </c>
      <c r="X50" s="72">
        <f>-SUMIFS('2023-07'!$M:$M,'2023-07'!$E:$E,Trésorerie!X$4,'2023-07'!$F:$F,Trésorerie!$B50)+SUMIFS('2023-07'!$N:$N,'2023-07'!$E:$E,Trésorerie!X$4,'2023-07'!$F:$F,Trésorerie!$B50)</f>
        <v>-2076.48</v>
      </c>
      <c r="Y50" s="72">
        <f>-SUMIFS('2023-08'!$M:$M,'2023-08'!$E:$E,Trésorerie!Y$4,'2023-08'!$F:$F,Trésorerie!$B50)+SUMIFS('2023-08'!$N:$N,'2023-08'!$E:$E,Trésorerie!Y$4,'2023-08'!$F:$F,Trésorerie!$B50)</f>
        <v>-1584.16</v>
      </c>
      <c r="Z50" s="72">
        <f>-SUMIFS('2023-09'!$M:$M,'2023-09'!$E:$E,Trésorerie!Z$4,'2023-09'!$F:$F,Trésorerie!$B50)+SUMIFS('2023-09'!$N:$N,'2023-09'!$E:$E,Trésorerie!Z$4,'2023-09'!$F:$F,Trésorerie!$B50)</f>
        <v>-1757.92</v>
      </c>
      <c r="AA50" s="72">
        <f>-SUMIFS('2023-10'!$M:$M,'2023-10'!$E:$E,Trésorerie!AA$4,'2023-10'!$F:$F,Trésorerie!$B50)+SUMIFS('2023-10'!$N:$N,'2023-10'!$E:$E,Trésorerie!AA$4,'2023-10'!$F:$F,Trésorerie!$B50)</f>
        <v>-1584.88</v>
      </c>
      <c r="AB50" s="75">
        <f>IF(SUM($E50:O50)&lt;SUM($R50:AA50),SUM($E50:O50)-SUM($R50:AA50),0)</f>
        <v>-3723.9200000000019</v>
      </c>
      <c r="AC50" s="75">
        <f>IF(SUM($E50:P50)&lt;SUM($R50:AB50),SUM($E50:P50)-SUM($R50:AB50),0)</f>
        <v>-1643.380000000001</v>
      </c>
      <c r="AD50" s="79"/>
    </row>
    <row r="51" spans="1:30" x14ac:dyDescent="0.25">
      <c r="A51" s="28">
        <f t="shared" si="0"/>
        <v>-16877</v>
      </c>
      <c r="B51" s="56">
        <v>442100</v>
      </c>
      <c r="C51" s="34" t="s">
        <v>435</v>
      </c>
      <c r="D51" s="56" t="s">
        <v>4752</v>
      </c>
      <c r="E51" s="40">
        <f>-SUMIFS('2022'!$M:$M,'2022'!$E:$E,Trésorerie!E$4,'2022'!$F:$F,Trésorerie!$B51)+SUMIFS('2022'!$N:$N,'2022'!$E:$E,Trésorerie!E$4,'2022'!$F:$F,Trésorerie!$B51)</f>
        <v>-1302</v>
      </c>
      <c r="F51" s="40">
        <f>-SUMIFS('2022'!$M:$M,'2022'!$E:$E,Trésorerie!F$4,'2022'!$F:$F,Trésorerie!$B51)+SUMIFS('2022'!$N:$N,'2022'!$E:$E,Trésorerie!F$4,'2022'!$F:$F,Trésorerie!$B51)</f>
        <v>-1307</v>
      </c>
      <c r="G51" s="40">
        <f>-SUMIFS('2022'!$M:$M,'2022'!$E:$E,Trésorerie!G$4,'2022'!$F:$F,Trésorerie!$B51)+SUMIFS('2022'!$N:$N,'2022'!$E:$E,Trésorerie!G$4,'2022'!$F:$F,Trésorerie!$B51)</f>
        <v>-1483</v>
      </c>
      <c r="H51" s="40">
        <f>-SUMIFS('2022'!$M:$M,'2022'!$E:$E,Trésorerie!H$4,'2022'!$F:$F,Trésorerie!$B51)+SUMIFS('2022'!$N:$N,'2022'!$E:$E,Trésorerie!H$4,'2022'!$F:$F,Trésorerie!$B51)</f>
        <v>-1147</v>
      </c>
      <c r="I51" s="40">
        <f>-SUMIFS('2022'!$M:$M,'2022'!$E:$E,Trésorerie!I$4,'2022'!$F:$F,Trésorerie!$B51)+SUMIFS('2022'!$N:$N,'2022'!$E:$E,Trésorerie!I$4,'2022'!$F:$F,Trésorerie!$B51)</f>
        <v>-1151</v>
      </c>
      <c r="J51" s="40">
        <f>-SUMIFS('2022'!$M:$M,'2022'!$E:$E,Trésorerie!J$4,'2022'!$F:$F,Trésorerie!$B51)+SUMIFS('2022'!$N:$N,'2022'!$E:$E,Trésorerie!J$4,'2022'!$F:$F,Trésorerie!$B51)</f>
        <v>-1166</v>
      </c>
      <c r="K51" s="40">
        <f>-SUMIFS('2022'!$M:$M,'2022'!$E:$E,Trésorerie!K$4,'2022'!$F:$F,Trésorerie!$B51)+SUMIFS('2022'!$N:$N,'2022'!$E:$E,Trésorerie!K$4,'2022'!$F:$F,Trésorerie!$B51)</f>
        <v>-1964</v>
      </c>
      <c r="L51" s="40">
        <f>-SUMIFS('2022'!$M:$M,'2022'!$E:$E,Trésorerie!L$4,'2022'!$F:$F,Trésorerie!$B51)+SUMIFS('2022'!$N:$N,'2022'!$E:$E,Trésorerie!L$4,'2022'!$F:$F,Trésorerie!$B51)</f>
        <v>-1892</v>
      </c>
      <c r="M51" s="40">
        <f>-SUMIFS('2022'!$M:$M,'2022'!$E:$E,Trésorerie!M$4,'2022'!$F:$F,Trésorerie!$B51)+SUMIFS('2022'!$N:$N,'2022'!$E:$E,Trésorerie!M$4,'2022'!$F:$F,Trésorerie!$B51)</f>
        <v>-1407</v>
      </c>
      <c r="N51" s="40">
        <f>-SUMIFS('2022'!$M:$M,'2022'!$E:$E,Trésorerie!N$4,'2022'!$F:$F,Trésorerie!$B51)+SUMIFS('2022'!$N:$N,'2022'!$E:$E,Trésorerie!N$4,'2022'!$F:$F,Trésorerie!$B51)</f>
        <v>-1338</v>
      </c>
      <c r="O51" s="40">
        <f>-SUMIFS('2022'!$M:$M,'2022'!$E:$E,Trésorerie!O$4,'2022'!$F:$F,Trésorerie!$B51)+SUMIFS('2022'!$N:$N,'2022'!$E:$E,Trésorerie!O$4,'2022'!$F:$F,Trésorerie!$B51)</f>
        <v>-1333</v>
      </c>
      <c r="P51" s="40">
        <f>-SUMIFS('2022'!$M:$M,'2022'!$E:$E,Trésorerie!P$4,'2022'!$F:$F,Trésorerie!$B51)+SUMIFS('2022'!$N:$N,'2022'!$E:$E,Trésorerie!P$4,'2022'!$F:$F,Trésorerie!$B51)</f>
        <v>-1387</v>
      </c>
      <c r="R51" s="72">
        <f>-SUMIFS('2023-01'!$M:$M,'2023-01'!$E:$E,Trésorerie!R$4,'2023-01'!$F:$F,Trésorerie!$B51)+SUMIFS('2023-01'!$N:$N,'2023-01'!$E:$E,Trésorerie!R$4,'2023-01'!$F:$F,Trésorerie!$B51)</f>
        <v>-3586</v>
      </c>
      <c r="S51" s="72">
        <f>-SUMIFS('2023-02'!$M:$M,'2023-02'!$E:$E,Trésorerie!S$4,'2023-02'!$F:$F,Trésorerie!$B51)+SUMIFS('2023-02'!$N:$N,'2023-02'!$E:$E,Trésorerie!S$4,'2023-02'!$F:$F,Trésorerie!$B51)</f>
        <v>-596</v>
      </c>
      <c r="T51" s="72">
        <f>-SUMIFS('2023-03'!$M:$M,'2023-03'!$E:$E,Trésorerie!T$4,'2023-03'!$F:$F,Trésorerie!$B51)+SUMIFS('2023-03'!$N:$N,'2023-03'!$E:$E,Trésorerie!T$4,'2023-03'!$F:$F,Trésorerie!$B51)</f>
        <v>-573</v>
      </c>
      <c r="U51" s="72">
        <f>-SUMIFS('2023-04'!$M:$M,'2023-04'!$E:$E,Trésorerie!U$4,'2023-04'!$F:$F,Trésorerie!$B51)+SUMIFS('2023-04'!$N:$N,'2023-04'!$E:$E,Trésorerie!U$4,'2023-04'!$F:$F,Trésorerie!$B51)</f>
        <v>-718</v>
      </c>
      <c r="V51" s="72">
        <f>-SUMIFS('2023-05'!$M:$M,'2023-05'!$E:$E,Trésorerie!V$4,'2023-05'!$F:$F,Trésorerie!$B51)+SUMIFS('2023-05'!$N:$N,'2023-05'!$E:$E,Trésorerie!V$4,'2023-05'!$F:$F,Trésorerie!$B51)</f>
        <v>0</v>
      </c>
      <c r="W51" s="72">
        <f>-SUMIFS('2023-06'!$M:$M,'2023-06'!$E:$E,Trésorerie!W$4,'2023-06'!$F:$F,Trésorerie!$B51)+SUMIFS('2023-06'!$N:$N,'2023-06'!$E:$E,Trésorerie!W$4,'2023-06'!$F:$F,Trésorerie!$B51)</f>
        <v>-809</v>
      </c>
      <c r="X51" s="72">
        <f>-SUMIFS('2023-07'!$M:$M,'2023-07'!$E:$E,Trésorerie!X$4,'2023-07'!$F:$F,Trésorerie!$B51)+SUMIFS('2023-07'!$N:$N,'2023-07'!$E:$E,Trésorerie!X$4,'2023-07'!$F:$F,Trésorerie!$B51)</f>
        <v>-825</v>
      </c>
      <c r="Y51" s="72">
        <f>-SUMIFS('2023-08'!$M:$M,'2023-08'!$E:$E,Trésorerie!Y$4,'2023-08'!$F:$F,Trésorerie!$B51)+SUMIFS('2023-08'!$N:$N,'2023-08'!$E:$E,Trésorerie!Y$4,'2023-08'!$F:$F,Trésorerie!$B51)</f>
        <v>-836</v>
      </c>
      <c r="Z51" s="72">
        <f>-SUMIFS('2023-09'!$M:$M,'2023-09'!$E:$E,Trésorerie!Z$4,'2023-09'!$F:$F,Trésorerie!$B51)+SUMIFS('2023-09'!$N:$N,'2023-09'!$E:$E,Trésorerie!Z$4,'2023-09'!$F:$F,Trésorerie!$B51)</f>
        <v>-824</v>
      </c>
      <c r="AA51" s="72">
        <f>-SUMIFS('2023-10'!$M:$M,'2023-10'!$E:$E,Trésorerie!AA$4,'2023-10'!$F:$F,Trésorerie!$B51)+SUMIFS('2023-10'!$N:$N,'2023-10'!$E:$E,Trésorerie!AA$4,'2023-10'!$F:$F,Trésorerie!$B51)</f>
        <v>-775</v>
      </c>
      <c r="AB51" s="75">
        <f>IF(SUM($E51:O51)&lt;SUM($R51:AA51),SUM($E51:O51)-SUM($R51:AA51),0)</f>
        <v>-5948</v>
      </c>
      <c r="AC51" s="75">
        <f>IF(SUM($E51:P51)&lt;SUM($R51:AB51),SUM($E51:P51)-SUM($R51:AB51),0)</f>
        <v>-1387</v>
      </c>
      <c r="AD51" s="79"/>
    </row>
    <row r="52" spans="1:30" x14ac:dyDescent="0.25">
      <c r="A52" s="28">
        <f t="shared" si="0"/>
        <v>-15907</v>
      </c>
      <c r="B52" s="56">
        <v>448100</v>
      </c>
      <c r="C52" s="34" t="s">
        <v>420</v>
      </c>
      <c r="D52" s="56" t="s">
        <v>4752</v>
      </c>
      <c r="E52" s="40">
        <f>-SUMIFS('2022'!$M:$M,'2022'!$E:$E,Trésorerie!E$4,'2022'!$F:$F,Trésorerie!$B52)+SUMIFS('2022'!$N:$N,'2022'!$E:$E,Trésorerie!E$4,'2022'!$F:$F,Trésorerie!$B52)</f>
        <v>0</v>
      </c>
      <c r="F52" s="40">
        <f>-SUMIFS('2022'!$M:$M,'2022'!$E:$E,Trésorerie!F$4,'2022'!$F:$F,Trésorerie!$B52)+SUMIFS('2022'!$N:$N,'2022'!$E:$E,Trésorerie!F$4,'2022'!$F:$F,Trésorerie!$B52)</f>
        <v>0</v>
      </c>
      <c r="G52" s="40">
        <f>-SUMIFS('2022'!$M:$M,'2022'!$E:$E,Trésorerie!G$4,'2022'!$F:$F,Trésorerie!$B52)+SUMIFS('2022'!$N:$N,'2022'!$E:$E,Trésorerie!G$4,'2022'!$F:$F,Trésorerie!$B52)</f>
        <v>-15907</v>
      </c>
      <c r="H52" s="40">
        <f>-SUMIFS('2022'!$M:$M,'2022'!$E:$E,Trésorerie!H$4,'2022'!$F:$F,Trésorerie!$B52)+SUMIFS('2022'!$N:$N,'2022'!$E:$E,Trésorerie!H$4,'2022'!$F:$F,Trésorerie!$B52)</f>
        <v>0</v>
      </c>
      <c r="I52" s="40">
        <f>-SUMIFS('2022'!$M:$M,'2022'!$E:$E,Trésorerie!I$4,'2022'!$F:$F,Trésorerie!$B52)+SUMIFS('2022'!$N:$N,'2022'!$E:$E,Trésorerie!I$4,'2022'!$F:$F,Trésorerie!$B52)</f>
        <v>0</v>
      </c>
      <c r="J52" s="40">
        <f>-SUMIFS('2022'!$M:$M,'2022'!$E:$E,Trésorerie!J$4,'2022'!$F:$F,Trésorerie!$B52)+SUMIFS('2022'!$N:$N,'2022'!$E:$E,Trésorerie!J$4,'2022'!$F:$F,Trésorerie!$B52)</f>
        <v>0</v>
      </c>
      <c r="K52" s="40">
        <f>-SUMIFS('2022'!$M:$M,'2022'!$E:$E,Trésorerie!K$4,'2022'!$F:$F,Trésorerie!$B52)+SUMIFS('2022'!$N:$N,'2022'!$E:$E,Trésorerie!K$4,'2022'!$F:$F,Trésorerie!$B52)</f>
        <v>0</v>
      </c>
      <c r="L52" s="40">
        <f>-SUMIFS('2022'!$M:$M,'2022'!$E:$E,Trésorerie!L$4,'2022'!$F:$F,Trésorerie!$B52)+SUMIFS('2022'!$N:$N,'2022'!$E:$E,Trésorerie!L$4,'2022'!$F:$F,Trésorerie!$B52)</f>
        <v>0</v>
      </c>
      <c r="M52" s="40">
        <f>-SUMIFS('2022'!$M:$M,'2022'!$E:$E,Trésorerie!M$4,'2022'!$F:$F,Trésorerie!$B52)+SUMIFS('2022'!$N:$N,'2022'!$E:$E,Trésorerie!M$4,'2022'!$F:$F,Trésorerie!$B52)</f>
        <v>0</v>
      </c>
      <c r="N52" s="40">
        <f>-SUMIFS('2022'!$M:$M,'2022'!$E:$E,Trésorerie!N$4,'2022'!$F:$F,Trésorerie!$B52)+SUMIFS('2022'!$N:$N,'2022'!$E:$E,Trésorerie!N$4,'2022'!$F:$F,Trésorerie!$B52)</f>
        <v>0</v>
      </c>
      <c r="O52" s="40">
        <f>-SUMIFS('2022'!$M:$M,'2022'!$E:$E,Trésorerie!O$4,'2022'!$F:$F,Trésorerie!$B52)+SUMIFS('2022'!$N:$N,'2022'!$E:$E,Trésorerie!O$4,'2022'!$F:$F,Trésorerie!$B52)</f>
        <v>0</v>
      </c>
      <c r="P52" s="40">
        <f>-SUMIFS('2022'!$M:$M,'2022'!$E:$E,Trésorerie!P$4,'2022'!$F:$F,Trésorerie!$B52)+SUMIFS('2022'!$N:$N,'2022'!$E:$E,Trésorerie!P$4,'2022'!$F:$F,Trésorerie!$B52)</f>
        <v>0</v>
      </c>
      <c r="R52" s="72">
        <f>-SUMIFS('2023-01'!$M:$M,'2023-01'!$E:$E,Trésorerie!R$4,'2023-01'!$F:$F,Trésorerie!$B52)+SUMIFS('2023-01'!$N:$N,'2023-01'!$E:$E,Trésorerie!R$4,'2023-01'!$F:$F,Trésorerie!$B52)</f>
        <v>0</v>
      </c>
      <c r="S52" s="72">
        <f>-SUMIFS('2023-02'!$M:$M,'2023-02'!$E:$E,Trésorerie!S$4,'2023-02'!$F:$F,Trésorerie!$B52)+SUMIFS('2023-02'!$N:$N,'2023-02'!$E:$E,Trésorerie!S$4,'2023-02'!$F:$F,Trésorerie!$B52)</f>
        <v>-9461</v>
      </c>
      <c r="T52" s="72">
        <f>-SUMIFS('2023-03'!$M:$M,'2023-03'!$E:$E,Trésorerie!T$4,'2023-03'!$F:$F,Trésorerie!$B52)+SUMIFS('2023-03'!$N:$N,'2023-03'!$E:$E,Trésorerie!T$4,'2023-03'!$F:$F,Trésorerie!$B52)</f>
        <v>0</v>
      </c>
      <c r="U52" s="72">
        <f>-SUMIFS('2023-04'!$M:$M,'2023-04'!$E:$E,Trésorerie!U$4,'2023-04'!$F:$F,Trésorerie!$B52)+SUMIFS('2023-04'!$N:$N,'2023-04'!$E:$E,Trésorerie!U$4,'2023-04'!$F:$F,Trésorerie!$B52)</f>
        <v>0</v>
      </c>
      <c r="V52" s="72">
        <f>-SUMIFS('2023-05'!$M:$M,'2023-05'!$E:$E,Trésorerie!V$4,'2023-05'!$F:$F,Trésorerie!$B52)+SUMIFS('2023-05'!$N:$N,'2023-05'!$E:$E,Trésorerie!V$4,'2023-05'!$F:$F,Trésorerie!$B52)</f>
        <v>0</v>
      </c>
      <c r="W52" s="72">
        <f>-SUMIFS('2023-06'!$M:$M,'2023-06'!$E:$E,Trésorerie!W$4,'2023-06'!$F:$F,Trésorerie!$B52)+SUMIFS('2023-06'!$N:$N,'2023-06'!$E:$E,Trésorerie!W$4,'2023-06'!$F:$F,Trésorerie!$B52)</f>
        <v>0</v>
      </c>
      <c r="X52" s="72">
        <f>-SUMIFS('2023-07'!$M:$M,'2023-07'!$E:$E,Trésorerie!X$4,'2023-07'!$F:$F,Trésorerie!$B52)+SUMIFS('2023-07'!$N:$N,'2023-07'!$E:$E,Trésorerie!X$4,'2023-07'!$F:$F,Trésorerie!$B52)</f>
        <v>0</v>
      </c>
      <c r="Y52" s="72">
        <f>-SUMIFS('2023-08'!$M:$M,'2023-08'!$E:$E,Trésorerie!Y$4,'2023-08'!$F:$F,Trésorerie!$B52)+SUMIFS('2023-08'!$N:$N,'2023-08'!$E:$E,Trésorerie!Y$4,'2023-08'!$F:$F,Trésorerie!$B52)</f>
        <v>0</v>
      </c>
      <c r="Z52" s="72">
        <f>-SUMIFS('2023-09'!$M:$M,'2023-09'!$E:$E,Trésorerie!Z$4,'2023-09'!$F:$F,Trésorerie!$B52)+SUMIFS('2023-09'!$N:$N,'2023-09'!$E:$E,Trésorerie!Z$4,'2023-09'!$F:$F,Trésorerie!$B52)</f>
        <v>-4488</v>
      </c>
      <c r="AA52" s="72">
        <f>-SUMIFS('2023-10'!$M:$M,'2023-10'!$E:$E,Trésorerie!AA$4,'2023-10'!$F:$F,Trésorerie!$B52)+SUMIFS('2023-10'!$N:$N,'2023-10'!$E:$E,Trésorerie!AA$4,'2023-10'!$F:$F,Trésorerie!$B52)</f>
        <v>0</v>
      </c>
      <c r="AB52" s="75">
        <f>IF(SUM($E52:O52)&lt;SUM($R52:AA52),SUM($E52:O52)-SUM($R52:AA52),0)</f>
        <v>-1958</v>
      </c>
      <c r="AC52" s="75">
        <f>IF(SUM($E52:P52)&lt;SUM($R52:AB52),SUM($E52:P52)-SUM($R52:AB52),0)</f>
        <v>0</v>
      </c>
      <c r="AD52" s="79"/>
    </row>
    <row r="53" spans="1:30" x14ac:dyDescent="0.25">
      <c r="A53" s="28">
        <f t="shared" si="0"/>
        <v>-15079.829999999998</v>
      </c>
      <c r="B53" s="56">
        <v>433100</v>
      </c>
      <c r="C53" s="34" t="s">
        <v>411</v>
      </c>
      <c r="D53" s="56" t="s">
        <v>4752</v>
      </c>
      <c r="E53" s="40">
        <f>-SUMIFS('2022'!$M:$M,'2022'!$E:$E,Trésorerie!E$4,'2022'!$F:$F,Trésorerie!$B53)+SUMIFS('2022'!$N:$N,'2022'!$E:$E,Trésorerie!E$4,'2022'!$F:$F,Trésorerie!$B53)</f>
        <v>-1242.5899999999999</v>
      </c>
      <c r="F53" s="40">
        <f>-SUMIFS('2022'!$M:$M,'2022'!$E:$E,Trésorerie!F$4,'2022'!$F:$F,Trésorerie!$B53)+SUMIFS('2022'!$N:$N,'2022'!$E:$E,Trésorerie!F$4,'2022'!$F:$F,Trésorerie!$B53)</f>
        <v>-1246.29</v>
      </c>
      <c r="G53" s="40">
        <f>-SUMIFS('2022'!$M:$M,'2022'!$E:$E,Trésorerie!G$4,'2022'!$F:$F,Trésorerie!$B53)+SUMIFS('2022'!$N:$N,'2022'!$E:$E,Trésorerie!G$4,'2022'!$F:$F,Trésorerie!$B53)</f>
        <v>-1390.27</v>
      </c>
      <c r="H53" s="40">
        <f>-SUMIFS('2022'!$M:$M,'2022'!$E:$E,Trésorerie!H$4,'2022'!$F:$F,Trésorerie!$B53)+SUMIFS('2022'!$N:$N,'2022'!$E:$E,Trésorerie!H$4,'2022'!$F:$F,Trésorerie!$B53)</f>
        <v>-1327.77</v>
      </c>
      <c r="I53" s="40">
        <f>-SUMIFS('2022'!$M:$M,'2022'!$E:$E,Trésorerie!I$4,'2022'!$F:$F,Trésorerie!$B53)+SUMIFS('2022'!$N:$N,'2022'!$E:$E,Trésorerie!I$4,'2022'!$F:$F,Trésorerie!$B53)</f>
        <v>-1348.6</v>
      </c>
      <c r="J53" s="40">
        <f>-SUMIFS('2022'!$M:$M,'2022'!$E:$E,Trésorerie!J$4,'2022'!$F:$F,Trésorerie!$B53)+SUMIFS('2022'!$N:$N,'2022'!$E:$E,Trésorerie!J$4,'2022'!$F:$F,Trésorerie!$B53)</f>
        <v>-1318.02</v>
      </c>
      <c r="K53" s="40">
        <f>-SUMIFS('2022'!$M:$M,'2022'!$E:$E,Trésorerie!K$4,'2022'!$F:$F,Trésorerie!$B53)+SUMIFS('2022'!$N:$N,'2022'!$E:$E,Trésorerie!K$4,'2022'!$F:$F,Trésorerie!$B53)</f>
        <v>-1420.75</v>
      </c>
      <c r="L53" s="40">
        <f>-SUMIFS('2022'!$M:$M,'2022'!$E:$E,Trésorerie!L$4,'2022'!$F:$F,Trésorerie!$B53)+SUMIFS('2022'!$N:$N,'2022'!$E:$E,Trésorerie!L$4,'2022'!$F:$F,Trésorerie!$B53)</f>
        <v>-1410.47</v>
      </c>
      <c r="M53" s="40">
        <f>-SUMIFS('2022'!$M:$M,'2022'!$E:$E,Trésorerie!M$4,'2022'!$F:$F,Trésorerie!$B53)+SUMIFS('2022'!$N:$N,'2022'!$E:$E,Trésorerie!M$4,'2022'!$F:$F,Trésorerie!$B53)</f>
        <v>-1266.93</v>
      </c>
      <c r="N53" s="40">
        <f>-SUMIFS('2022'!$M:$M,'2022'!$E:$E,Trésorerie!N$4,'2022'!$F:$F,Trésorerie!$B53)+SUMIFS('2022'!$N:$N,'2022'!$E:$E,Trésorerie!N$4,'2022'!$F:$F,Trésorerie!$B53)</f>
        <v>-1017.05</v>
      </c>
      <c r="O53" s="40">
        <f>-SUMIFS('2022'!$M:$M,'2022'!$E:$E,Trésorerie!O$4,'2022'!$F:$F,Trésorerie!$B53)+SUMIFS('2022'!$N:$N,'2022'!$E:$E,Trésorerie!O$4,'2022'!$F:$F,Trésorerie!$B53)</f>
        <v>-1199.6300000000001</v>
      </c>
      <c r="P53" s="40">
        <f>-SUMIFS('2022'!$M:$M,'2022'!$E:$E,Trésorerie!P$4,'2022'!$F:$F,Trésorerie!$B53)+SUMIFS('2022'!$N:$N,'2022'!$E:$E,Trésorerie!P$4,'2022'!$F:$F,Trésorerie!$B53)</f>
        <v>-891.46</v>
      </c>
      <c r="R53" s="72">
        <f>-SUMIFS('2023-01'!$M:$M,'2023-01'!$E:$E,Trésorerie!R$4,'2023-01'!$F:$F,Trésorerie!$B53)+SUMIFS('2023-01'!$N:$N,'2023-01'!$E:$E,Trésorerie!R$4,'2023-01'!$F:$F,Trésorerie!$B53)</f>
        <v>-1312.38</v>
      </c>
      <c r="S53" s="72">
        <f>-SUMIFS('2023-02'!$M:$M,'2023-02'!$E:$E,Trésorerie!S$4,'2023-02'!$F:$F,Trésorerie!$B53)+SUMIFS('2023-02'!$N:$N,'2023-02'!$E:$E,Trésorerie!S$4,'2023-02'!$F:$F,Trésorerie!$B53)</f>
        <v>0</v>
      </c>
      <c r="T53" s="72">
        <f>-SUMIFS('2023-03'!$M:$M,'2023-03'!$E:$E,Trésorerie!T$4,'2023-03'!$F:$F,Trésorerie!$B53)+SUMIFS('2023-03'!$N:$N,'2023-03'!$E:$E,Trésorerie!T$4,'2023-03'!$F:$F,Trésorerie!$B53)</f>
        <v>-2217.3200000000002</v>
      </c>
      <c r="U53" s="72">
        <f>-SUMIFS('2023-04'!$M:$M,'2023-04'!$E:$E,Trésorerie!U$4,'2023-04'!$F:$F,Trésorerie!$B53)+SUMIFS('2023-04'!$N:$N,'2023-04'!$E:$E,Trésorerie!U$4,'2023-04'!$F:$F,Trésorerie!$B53)</f>
        <v>-1264.4100000000001</v>
      </c>
      <c r="V53" s="72">
        <f>-SUMIFS('2023-05'!$M:$M,'2023-05'!$E:$E,Trésorerie!V$4,'2023-05'!$F:$F,Trésorerie!$B53)+SUMIFS('2023-05'!$N:$N,'2023-05'!$E:$E,Trésorerie!V$4,'2023-05'!$F:$F,Trésorerie!$B53)</f>
        <v>0</v>
      </c>
      <c r="W53" s="72">
        <f>-SUMIFS('2023-06'!$M:$M,'2023-06'!$E:$E,Trésorerie!W$4,'2023-06'!$F:$F,Trésorerie!$B53)+SUMIFS('2023-06'!$N:$N,'2023-06'!$E:$E,Trésorerie!W$4,'2023-06'!$F:$F,Trésorerie!$B53)</f>
        <v>-1315.28</v>
      </c>
      <c r="X53" s="72">
        <f>-SUMIFS('2023-07'!$M:$M,'2023-07'!$E:$E,Trésorerie!X$4,'2023-07'!$F:$F,Trésorerie!$B53)+SUMIFS('2023-07'!$N:$N,'2023-07'!$E:$E,Trésorerie!X$4,'2023-07'!$F:$F,Trésorerie!$B53)</f>
        <v>-1485.08</v>
      </c>
      <c r="Y53" s="72">
        <f>-SUMIFS('2023-08'!$M:$M,'2023-08'!$E:$E,Trésorerie!Y$4,'2023-08'!$F:$F,Trésorerie!$B53)+SUMIFS('2023-08'!$N:$N,'2023-08'!$E:$E,Trésorerie!Y$4,'2023-08'!$F:$F,Trésorerie!$B53)</f>
        <v>-1398.47</v>
      </c>
      <c r="Z53" s="72">
        <f>-SUMIFS('2023-09'!$M:$M,'2023-09'!$E:$E,Trésorerie!Z$4,'2023-09'!$F:$F,Trésorerie!$B53)+SUMIFS('2023-09'!$N:$N,'2023-09'!$E:$E,Trésorerie!Z$4,'2023-09'!$F:$F,Trésorerie!$B53)</f>
        <v>0</v>
      </c>
      <c r="AA53" s="72">
        <f>-SUMIFS('2023-10'!$M:$M,'2023-10'!$E:$E,Trésorerie!AA$4,'2023-10'!$F:$F,Trésorerie!$B53)+SUMIFS('2023-10'!$N:$N,'2023-10'!$E:$E,Trésorerie!AA$4,'2023-10'!$F:$F,Trésorerie!$B53)</f>
        <v>-2449.9299999999998</v>
      </c>
      <c r="AB53" s="75">
        <f>IF(SUM($E53:O53)&lt;SUM($R53:AA53),SUM($E53:O53)-SUM($R53:AA53),0)</f>
        <v>-2745.4999999999982</v>
      </c>
      <c r="AC53" s="75">
        <f>IF(SUM($E53:P53)&lt;SUM($R53:AB53),SUM($E53:P53)-SUM($R53:AB53),0)</f>
        <v>-891.45999999999913</v>
      </c>
      <c r="AD53" s="79"/>
    </row>
    <row r="54" spans="1:30" x14ac:dyDescent="0.25">
      <c r="A54" s="28">
        <f t="shared" si="0"/>
        <v>-12904.619999999999</v>
      </c>
      <c r="B54" s="56">
        <v>437100</v>
      </c>
      <c r="C54" s="34" t="s">
        <v>436</v>
      </c>
      <c r="D54" s="56" t="s">
        <v>4752</v>
      </c>
      <c r="E54" s="40">
        <f>-SUMIFS('2022'!$M:$M,'2022'!$E:$E,Trésorerie!E$4,'2022'!$F:$F,Trésorerie!$B54)+SUMIFS('2022'!$N:$N,'2022'!$E:$E,Trésorerie!E$4,'2022'!$F:$F,Trésorerie!$B54)</f>
        <v>-1473.6</v>
      </c>
      <c r="F54" s="40">
        <f>-SUMIFS('2022'!$M:$M,'2022'!$E:$E,Trésorerie!F$4,'2022'!$F:$F,Trésorerie!$B54)+SUMIFS('2022'!$N:$N,'2022'!$E:$E,Trésorerie!F$4,'2022'!$F:$F,Trésorerie!$B54)</f>
        <v>-736.8</v>
      </c>
      <c r="G54" s="40">
        <f>-SUMIFS('2022'!$M:$M,'2022'!$E:$E,Trésorerie!G$4,'2022'!$F:$F,Trésorerie!$B54)+SUMIFS('2022'!$N:$N,'2022'!$E:$E,Trésorerie!G$4,'2022'!$F:$F,Trésorerie!$B54)</f>
        <v>-736.8</v>
      </c>
      <c r="H54" s="40">
        <f>-SUMIFS('2022'!$M:$M,'2022'!$E:$E,Trésorerie!H$4,'2022'!$F:$F,Trésorerie!$B54)+SUMIFS('2022'!$N:$N,'2022'!$E:$E,Trésorerie!H$4,'2022'!$F:$F,Trésorerie!$B54)</f>
        <v>0</v>
      </c>
      <c r="I54" s="40">
        <f>-SUMIFS('2022'!$M:$M,'2022'!$E:$E,Trésorerie!I$4,'2022'!$F:$F,Trésorerie!$B54)+SUMIFS('2022'!$N:$N,'2022'!$E:$E,Trésorerie!I$4,'2022'!$F:$F,Trésorerie!$B54)</f>
        <v>-736.8</v>
      </c>
      <c r="J54" s="40">
        <f>-SUMIFS('2022'!$M:$M,'2022'!$E:$E,Trésorerie!J$4,'2022'!$F:$F,Trésorerie!$B54)+SUMIFS('2022'!$N:$N,'2022'!$E:$E,Trésorerie!J$4,'2022'!$F:$F,Trésorerie!$B54)</f>
        <v>-736.8</v>
      </c>
      <c r="K54" s="40">
        <f>-SUMIFS('2022'!$M:$M,'2022'!$E:$E,Trésorerie!K$4,'2022'!$F:$F,Trésorerie!$B54)+SUMIFS('2022'!$N:$N,'2022'!$E:$E,Trésorerie!K$4,'2022'!$F:$F,Trésorerie!$B54)</f>
        <v>-736.8</v>
      </c>
      <c r="L54" s="40">
        <f>-SUMIFS('2022'!$M:$M,'2022'!$E:$E,Trésorerie!L$4,'2022'!$F:$F,Trésorerie!$B54)+SUMIFS('2022'!$N:$N,'2022'!$E:$E,Trésorerie!L$4,'2022'!$F:$F,Trésorerie!$B54)</f>
        <v>-1404.6599999999999</v>
      </c>
      <c r="M54" s="40">
        <f>-SUMIFS('2022'!$M:$M,'2022'!$E:$E,Trésorerie!M$4,'2022'!$F:$F,Trésorerie!$B54)+SUMIFS('2022'!$N:$N,'2022'!$E:$E,Trésorerie!M$4,'2022'!$F:$F,Trésorerie!$B54)</f>
        <v>-2858.49</v>
      </c>
      <c r="N54" s="40">
        <f>-SUMIFS('2022'!$M:$M,'2022'!$E:$E,Trésorerie!N$4,'2022'!$F:$F,Trésorerie!$B54)+SUMIFS('2022'!$N:$N,'2022'!$E:$E,Trésorerie!N$4,'2022'!$F:$F,Trésorerie!$B54)</f>
        <v>-1982.48</v>
      </c>
      <c r="O54" s="40">
        <f>-SUMIFS('2022'!$M:$M,'2022'!$E:$E,Trésorerie!O$4,'2022'!$F:$F,Trésorerie!$B54)+SUMIFS('2022'!$N:$N,'2022'!$E:$E,Trésorerie!O$4,'2022'!$F:$F,Trésorerie!$B54)</f>
        <v>-1501.3899999999999</v>
      </c>
      <c r="P54" s="40">
        <f>-SUMIFS('2022'!$M:$M,'2022'!$E:$E,Trésorerie!P$4,'2022'!$F:$F,Trésorerie!$B54)+SUMIFS('2022'!$N:$N,'2022'!$E:$E,Trésorerie!P$4,'2022'!$F:$F,Trésorerie!$B54)</f>
        <v>0</v>
      </c>
      <c r="R54" s="72">
        <f>-SUMIFS('2023-01'!$M:$M,'2023-01'!$E:$E,Trésorerie!R$4,'2023-01'!$F:$F,Trésorerie!$B54)+SUMIFS('2023-01'!$N:$N,'2023-01'!$E:$E,Trésorerie!R$4,'2023-01'!$F:$F,Trésorerie!$B54)</f>
        <v>-3002.7799999999997</v>
      </c>
      <c r="S54" s="72">
        <f>-SUMIFS('2023-02'!$M:$M,'2023-02'!$E:$E,Trésorerie!S$4,'2023-02'!$F:$F,Trésorerie!$B54)+SUMIFS('2023-02'!$N:$N,'2023-02'!$E:$E,Trésorerie!S$4,'2023-02'!$F:$F,Trésorerie!$B54)</f>
        <v>0</v>
      </c>
      <c r="T54" s="72">
        <f>-SUMIFS('2023-03'!$M:$M,'2023-03'!$E:$E,Trésorerie!T$4,'2023-03'!$F:$F,Trésorerie!$B54)+SUMIFS('2023-03'!$N:$N,'2023-03'!$E:$E,Trésorerie!T$4,'2023-03'!$F:$F,Trésorerie!$B54)</f>
        <v>-1409.49</v>
      </c>
      <c r="U54" s="72">
        <f>-SUMIFS('2023-04'!$M:$M,'2023-04'!$E:$E,Trésorerie!U$4,'2023-04'!$F:$F,Trésorerie!$B54)+SUMIFS('2023-04'!$N:$N,'2023-04'!$E:$E,Trésorerie!U$4,'2023-04'!$F:$F,Trésorerie!$B54)</f>
        <v>-1382.48</v>
      </c>
      <c r="V54" s="72">
        <f>-SUMIFS('2023-05'!$M:$M,'2023-05'!$E:$E,Trésorerie!V$4,'2023-05'!$F:$F,Trésorerie!$B54)+SUMIFS('2023-05'!$N:$N,'2023-05'!$E:$E,Trésorerie!V$4,'2023-05'!$F:$F,Trésorerie!$B54)</f>
        <v>0</v>
      </c>
      <c r="W54" s="72">
        <f>-SUMIFS('2023-06'!$M:$M,'2023-06'!$E:$E,Trésorerie!W$4,'2023-06'!$F:$F,Trésorerie!$B54)+SUMIFS('2023-06'!$N:$N,'2023-06'!$E:$E,Trésorerie!W$4,'2023-06'!$F:$F,Trésorerie!$B54)</f>
        <v>-691.24</v>
      </c>
      <c r="X54" s="72">
        <f>-SUMIFS('2023-07'!$M:$M,'2023-07'!$E:$E,Trésorerie!X$4,'2023-07'!$F:$F,Trésorerie!$B54)+SUMIFS('2023-07'!$N:$N,'2023-07'!$E:$E,Trésorerie!X$4,'2023-07'!$F:$F,Trésorerie!$B54)</f>
        <v>-691.24</v>
      </c>
      <c r="Y54" s="72">
        <f>-SUMIFS('2023-08'!$M:$M,'2023-08'!$E:$E,Trésorerie!Y$4,'2023-08'!$F:$F,Trésorerie!$B54)+SUMIFS('2023-08'!$N:$N,'2023-08'!$E:$E,Trésorerie!Y$4,'2023-08'!$F:$F,Trésorerie!$B54)</f>
        <v>0</v>
      </c>
      <c r="Z54" s="72">
        <f>-SUMIFS('2023-09'!$M:$M,'2023-09'!$E:$E,Trésorerie!Z$4,'2023-09'!$F:$F,Trésorerie!$B54)+SUMIFS('2023-09'!$N:$N,'2023-09'!$E:$E,Trésorerie!Z$4,'2023-09'!$F:$F,Trésorerie!$B54)</f>
        <v>-771.77</v>
      </c>
      <c r="AA54" s="72">
        <f>-SUMIFS('2023-10'!$M:$M,'2023-10'!$E:$E,Trésorerie!AA$4,'2023-10'!$F:$F,Trésorerie!$B54)+SUMIFS('2023-10'!$N:$N,'2023-10'!$E:$E,Trésorerie!AA$4,'2023-10'!$F:$F,Trésorerie!$B54)</f>
        <v>0</v>
      </c>
      <c r="AB54" s="75">
        <f>IF(SUM($E54:O54)&lt;SUM($R54:AA54),SUM($E54:O54)-SUM($R54:AA54),0)</f>
        <v>-4955.619999999999</v>
      </c>
      <c r="AC54" s="75">
        <f>IF(SUM($E54:P54)&lt;SUM($R54:AB54),SUM($E54:P54)-SUM($R54:AB54),0)</f>
        <v>0</v>
      </c>
      <c r="AD54" s="79"/>
    </row>
    <row r="55" spans="1:30" x14ac:dyDescent="0.25">
      <c r="A55" s="28">
        <f t="shared" si="0"/>
        <v>-9583.86</v>
      </c>
      <c r="B55" s="56">
        <v>422000</v>
      </c>
      <c r="C55" s="34" t="s">
        <v>405</v>
      </c>
      <c r="D55" s="56" t="s">
        <v>4752</v>
      </c>
      <c r="E55" s="40">
        <f>-SUMIFS('2022'!$M:$M,'2022'!$E:$E,Trésorerie!E$4,'2022'!$F:$F,Trésorerie!$B55)+SUMIFS('2022'!$N:$N,'2022'!$E:$E,Trésorerie!E$4,'2022'!$F:$F,Trésorerie!$B55)</f>
        <v>0</v>
      </c>
      <c r="F55" s="40">
        <f>-SUMIFS('2022'!$M:$M,'2022'!$E:$E,Trésorerie!F$4,'2022'!$F:$F,Trésorerie!$B55)+SUMIFS('2022'!$N:$N,'2022'!$E:$E,Trésorerie!F$4,'2022'!$F:$F,Trésorerie!$B55)</f>
        <v>0</v>
      </c>
      <c r="G55" s="40">
        <f>-SUMIFS('2022'!$M:$M,'2022'!$E:$E,Trésorerie!G$4,'2022'!$F:$F,Trésorerie!$B55)+SUMIFS('2022'!$N:$N,'2022'!$E:$E,Trésorerie!G$4,'2022'!$F:$F,Trésorerie!$B55)</f>
        <v>-5583.86</v>
      </c>
      <c r="H55" s="40">
        <f>-SUMIFS('2022'!$M:$M,'2022'!$E:$E,Trésorerie!H$4,'2022'!$F:$F,Trésorerie!$B55)+SUMIFS('2022'!$N:$N,'2022'!$E:$E,Trésorerie!H$4,'2022'!$F:$F,Trésorerie!$B55)</f>
        <v>0</v>
      </c>
      <c r="I55" s="40">
        <f>-SUMIFS('2022'!$M:$M,'2022'!$E:$E,Trésorerie!I$4,'2022'!$F:$F,Trésorerie!$B55)+SUMIFS('2022'!$N:$N,'2022'!$E:$E,Trésorerie!I$4,'2022'!$F:$F,Trésorerie!$B55)</f>
        <v>0</v>
      </c>
      <c r="J55" s="40">
        <f>-SUMIFS('2022'!$M:$M,'2022'!$E:$E,Trésorerie!J$4,'2022'!$F:$F,Trésorerie!$B55)+SUMIFS('2022'!$N:$N,'2022'!$E:$E,Trésorerie!J$4,'2022'!$F:$F,Trésorerie!$B55)</f>
        <v>-4000</v>
      </c>
      <c r="K55" s="40">
        <f>-SUMIFS('2022'!$M:$M,'2022'!$E:$E,Trésorerie!K$4,'2022'!$F:$F,Trésorerie!$B55)+SUMIFS('2022'!$N:$N,'2022'!$E:$E,Trésorerie!K$4,'2022'!$F:$F,Trésorerie!$B55)</f>
        <v>0</v>
      </c>
      <c r="L55" s="40">
        <f>-SUMIFS('2022'!$M:$M,'2022'!$E:$E,Trésorerie!L$4,'2022'!$F:$F,Trésorerie!$B55)+SUMIFS('2022'!$N:$N,'2022'!$E:$E,Trésorerie!L$4,'2022'!$F:$F,Trésorerie!$B55)</f>
        <v>0</v>
      </c>
      <c r="M55" s="40">
        <f>-SUMIFS('2022'!$M:$M,'2022'!$E:$E,Trésorerie!M$4,'2022'!$F:$F,Trésorerie!$B55)+SUMIFS('2022'!$N:$N,'2022'!$E:$E,Trésorerie!M$4,'2022'!$F:$F,Trésorerie!$B55)</f>
        <v>0</v>
      </c>
      <c r="N55" s="40">
        <f>-SUMIFS('2022'!$M:$M,'2022'!$E:$E,Trésorerie!N$4,'2022'!$F:$F,Trésorerie!$B55)+SUMIFS('2022'!$N:$N,'2022'!$E:$E,Trésorerie!N$4,'2022'!$F:$F,Trésorerie!$B55)</f>
        <v>0</v>
      </c>
      <c r="O55" s="40">
        <f>-SUMIFS('2022'!$M:$M,'2022'!$E:$E,Trésorerie!O$4,'2022'!$F:$F,Trésorerie!$B55)+SUMIFS('2022'!$N:$N,'2022'!$E:$E,Trésorerie!O$4,'2022'!$F:$F,Trésorerie!$B55)</f>
        <v>0</v>
      </c>
      <c r="P55" s="40">
        <f>-SUMIFS('2022'!$M:$M,'2022'!$E:$E,Trésorerie!P$4,'2022'!$F:$F,Trésorerie!$B55)+SUMIFS('2022'!$N:$N,'2022'!$E:$E,Trésorerie!P$4,'2022'!$F:$F,Trésorerie!$B55)</f>
        <v>0</v>
      </c>
      <c r="R55" s="72">
        <f>-SUMIFS('2023-01'!$M:$M,'2023-01'!$E:$E,Trésorerie!R$4,'2023-01'!$F:$F,Trésorerie!$B55)+SUMIFS('2023-01'!$N:$N,'2023-01'!$E:$E,Trésorerie!R$4,'2023-01'!$F:$F,Trésorerie!$B55)</f>
        <v>0</v>
      </c>
      <c r="S55" s="72">
        <f>-SUMIFS('2023-02'!$M:$M,'2023-02'!$E:$E,Trésorerie!S$4,'2023-02'!$F:$F,Trésorerie!$B55)+SUMIFS('2023-02'!$N:$N,'2023-02'!$E:$E,Trésorerie!S$4,'2023-02'!$F:$F,Trésorerie!$B55)</f>
        <v>0</v>
      </c>
      <c r="T55" s="72">
        <f>-SUMIFS('2023-03'!$M:$M,'2023-03'!$E:$E,Trésorerie!T$4,'2023-03'!$F:$F,Trésorerie!$B55)+SUMIFS('2023-03'!$N:$N,'2023-03'!$E:$E,Trésorerie!T$4,'2023-03'!$F:$F,Trésorerie!$B55)</f>
        <v>0</v>
      </c>
      <c r="U55" s="72">
        <f>-SUMIFS('2023-04'!$M:$M,'2023-04'!$E:$E,Trésorerie!U$4,'2023-04'!$F:$F,Trésorerie!$B55)+SUMIFS('2023-04'!$N:$N,'2023-04'!$E:$E,Trésorerie!U$4,'2023-04'!$F:$F,Trésorerie!$B55)</f>
        <v>0</v>
      </c>
      <c r="V55" s="72">
        <f>-SUMIFS('2023-05'!$M:$M,'2023-05'!$E:$E,Trésorerie!V$4,'2023-05'!$F:$F,Trésorerie!$B55)+SUMIFS('2023-05'!$N:$N,'2023-05'!$E:$E,Trésorerie!V$4,'2023-05'!$F:$F,Trésorerie!$B55)</f>
        <v>-10082.18</v>
      </c>
      <c r="W55" s="72">
        <f>-SUMIFS('2023-06'!$M:$M,'2023-06'!$E:$E,Trésorerie!W$4,'2023-06'!$F:$F,Trésorerie!$B55)+SUMIFS('2023-06'!$N:$N,'2023-06'!$E:$E,Trésorerie!W$4,'2023-06'!$F:$F,Trésorerie!$B55)</f>
        <v>0</v>
      </c>
      <c r="X55" s="72">
        <f>-SUMIFS('2023-07'!$M:$M,'2023-07'!$E:$E,Trésorerie!X$4,'2023-07'!$F:$F,Trésorerie!$B55)+SUMIFS('2023-07'!$N:$N,'2023-07'!$E:$E,Trésorerie!X$4,'2023-07'!$F:$F,Trésorerie!$B55)</f>
        <v>0</v>
      </c>
      <c r="Y55" s="72">
        <f>-SUMIFS('2023-08'!$M:$M,'2023-08'!$E:$E,Trésorerie!Y$4,'2023-08'!$F:$F,Trésorerie!$B55)+SUMIFS('2023-08'!$N:$N,'2023-08'!$E:$E,Trésorerie!Y$4,'2023-08'!$F:$F,Trésorerie!$B55)</f>
        <v>0</v>
      </c>
      <c r="Z55" s="72">
        <f>-SUMIFS('2023-09'!$M:$M,'2023-09'!$E:$E,Trésorerie!Z$4,'2023-09'!$F:$F,Trésorerie!$B55)+SUMIFS('2023-09'!$N:$N,'2023-09'!$E:$E,Trésorerie!Z$4,'2023-09'!$F:$F,Trésorerie!$B55)</f>
        <v>0</v>
      </c>
      <c r="AA55" s="72">
        <f>-SUMIFS('2023-10'!$M:$M,'2023-10'!$E:$E,Trésorerie!AA$4,'2023-10'!$F:$F,Trésorerie!$B55)+SUMIFS('2023-10'!$N:$N,'2023-10'!$E:$E,Trésorerie!AA$4,'2023-10'!$F:$F,Trésorerie!$B55)</f>
        <v>0</v>
      </c>
      <c r="AB55" s="75">
        <f>IF(SUM($E55:O55)&lt;SUM($R55:AA55),SUM($E55:O55)-SUM($R55:AA55),0)</f>
        <v>0</v>
      </c>
      <c r="AC55" s="75">
        <f>IF(SUM($E55:P55)&lt;SUM($R55:AB55),SUM($E55:P55)-SUM($R55:AB55),0)</f>
        <v>0</v>
      </c>
      <c r="AD55" s="79"/>
    </row>
    <row r="56" spans="1:30" x14ac:dyDescent="0.25">
      <c r="A56" s="29">
        <f t="shared" si="0"/>
        <v>-1500</v>
      </c>
      <c r="B56" s="57">
        <v>427004</v>
      </c>
      <c r="C56" s="35" t="s">
        <v>908</v>
      </c>
      <c r="D56" s="57" t="s">
        <v>4752</v>
      </c>
      <c r="E56" s="41">
        <f>-SUMIFS('2022'!$M:$M,'2022'!$E:$E,Trésorerie!E$4,'2022'!$F:$F,Trésorerie!$B56)+SUMIFS('2022'!$N:$N,'2022'!$E:$E,Trésorerie!E$4,'2022'!$F:$F,Trésorerie!$B56)</f>
        <v>0</v>
      </c>
      <c r="F56" s="41">
        <f>-SUMIFS('2022'!$M:$M,'2022'!$E:$E,Trésorerie!F$4,'2022'!$F:$F,Trésorerie!$B56)+SUMIFS('2022'!$N:$N,'2022'!$E:$E,Trésorerie!F$4,'2022'!$F:$F,Trésorerie!$B56)</f>
        <v>-600</v>
      </c>
      <c r="G56" s="41">
        <f>-SUMIFS('2022'!$M:$M,'2022'!$E:$E,Trésorerie!G$4,'2022'!$F:$F,Trésorerie!$B56)+SUMIFS('2022'!$N:$N,'2022'!$E:$E,Trésorerie!G$4,'2022'!$F:$F,Trésorerie!$B56)</f>
        <v>0</v>
      </c>
      <c r="H56" s="41">
        <f>-SUMIFS('2022'!$M:$M,'2022'!$E:$E,Trésorerie!H$4,'2022'!$F:$F,Trésorerie!$B56)+SUMIFS('2022'!$N:$N,'2022'!$E:$E,Trésorerie!H$4,'2022'!$F:$F,Trésorerie!$B56)</f>
        <v>0</v>
      </c>
      <c r="I56" s="41">
        <f>-SUMIFS('2022'!$M:$M,'2022'!$E:$E,Trésorerie!I$4,'2022'!$F:$F,Trésorerie!$B56)+SUMIFS('2022'!$N:$N,'2022'!$E:$E,Trésorerie!I$4,'2022'!$F:$F,Trésorerie!$B56)</f>
        <v>-400</v>
      </c>
      <c r="J56" s="41">
        <f>-SUMIFS('2022'!$M:$M,'2022'!$E:$E,Trésorerie!J$4,'2022'!$F:$F,Trésorerie!$B56)+SUMIFS('2022'!$N:$N,'2022'!$E:$E,Trésorerie!J$4,'2022'!$F:$F,Trésorerie!$B56)</f>
        <v>0</v>
      </c>
      <c r="K56" s="41">
        <f>-SUMIFS('2022'!$M:$M,'2022'!$E:$E,Trésorerie!K$4,'2022'!$F:$F,Trésorerie!$B56)+SUMIFS('2022'!$N:$N,'2022'!$E:$E,Trésorerie!K$4,'2022'!$F:$F,Trésorerie!$B56)</f>
        <v>0</v>
      </c>
      <c r="L56" s="41">
        <f>-SUMIFS('2022'!$M:$M,'2022'!$E:$E,Trésorerie!L$4,'2022'!$F:$F,Trésorerie!$B56)+SUMIFS('2022'!$N:$N,'2022'!$E:$E,Trésorerie!L$4,'2022'!$F:$F,Trésorerie!$B56)</f>
        <v>-300</v>
      </c>
      <c r="M56" s="41">
        <f>-SUMIFS('2022'!$M:$M,'2022'!$E:$E,Trésorerie!M$4,'2022'!$F:$F,Trésorerie!$B56)+SUMIFS('2022'!$N:$N,'2022'!$E:$E,Trésorerie!M$4,'2022'!$F:$F,Trésorerie!$B56)</f>
        <v>0</v>
      </c>
      <c r="N56" s="41">
        <f>-SUMIFS('2022'!$M:$M,'2022'!$E:$E,Trésorerie!N$4,'2022'!$F:$F,Trésorerie!$B56)+SUMIFS('2022'!$N:$N,'2022'!$E:$E,Trésorerie!N$4,'2022'!$F:$F,Trésorerie!$B56)</f>
        <v>0</v>
      </c>
      <c r="O56" s="41">
        <f>-SUMIFS('2022'!$M:$M,'2022'!$E:$E,Trésorerie!O$4,'2022'!$F:$F,Trésorerie!$B56)+SUMIFS('2022'!$N:$N,'2022'!$E:$E,Trésorerie!O$4,'2022'!$F:$F,Trésorerie!$B56)</f>
        <v>-200</v>
      </c>
      <c r="P56" s="41">
        <f>-SUMIFS('2022'!$M:$M,'2022'!$E:$E,Trésorerie!P$4,'2022'!$F:$F,Trésorerie!$B56)+SUMIFS('2022'!$N:$N,'2022'!$E:$E,Trésorerie!P$4,'2022'!$F:$F,Trésorerie!$B56)</f>
        <v>0</v>
      </c>
      <c r="R56" s="73">
        <f>-SUMIFS('2023-01'!$M:$M,'2023-01'!$E:$E,Trésorerie!R$4,'2023-01'!$F:$F,Trésorerie!$B56)+SUMIFS('2023-01'!$N:$N,'2023-01'!$E:$E,Trésorerie!R$4,'2023-01'!$F:$F,Trésorerie!$B56)</f>
        <v>0</v>
      </c>
      <c r="S56" s="73">
        <f>-SUMIFS('2023-02'!$M:$M,'2023-02'!$E:$E,Trésorerie!S$4,'2023-02'!$F:$F,Trésorerie!$B56)+SUMIFS('2023-02'!$N:$N,'2023-02'!$E:$E,Trésorerie!S$4,'2023-02'!$F:$F,Trésorerie!$B56)</f>
        <v>0</v>
      </c>
      <c r="T56" s="73">
        <f>-SUMIFS('2023-03'!$M:$M,'2023-03'!$E:$E,Trésorerie!T$4,'2023-03'!$F:$F,Trésorerie!$B56)+SUMIFS('2023-03'!$N:$N,'2023-03'!$E:$E,Trésorerie!T$4,'2023-03'!$F:$F,Trésorerie!$B56)</f>
        <v>0</v>
      </c>
      <c r="U56" s="73">
        <f>-SUMIFS('2023-04'!$M:$M,'2023-04'!$E:$E,Trésorerie!U$4,'2023-04'!$F:$F,Trésorerie!$B56)+SUMIFS('2023-04'!$N:$N,'2023-04'!$E:$E,Trésorerie!U$4,'2023-04'!$F:$F,Trésorerie!$B56)</f>
        <v>0</v>
      </c>
      <c r="V56" s="73">
        <f>-SUMIFS('2023-05'!$M:$M,'2023-05'!$E:$E,Trésorerie!V$4,'2023-05'!$F:$F,Trésorerie!$B56)+SUMIFS('2023-05'!$N:$N,'2023-05'!$E:$E,Trésorerie!V$4,'2023-05'!$F:$F,Trésorerie!$B56)</f>
        <v>0</v>
      </c>
      <c r="W56" s="73">
        <f>-SUMIFS('2023-06'!$M:$M,'2023-06'!$E:$E,Trésorerie!W$4,'2023-06'!$F:$F,Trésorerie!$B56)+SUMIFS('2023-06'!$N:$N,'2023-06'!$E:$E,Trésorerie!W$4,'2023-06'!$F:$F,Trésorerie!$B56)</f>
        <v>0</v>
      </c>
      <c r="X56" s="73">
        <f>-SUMIFS('2023-07'!$M:$M,'2023-07'!$E:$E,Trésorerie!X$4,'2023-07'!$F:$F,Trésorerie!$B56)+SUMIFS('2023-07'!$N:$N,'2023-07'!$E:$E,Trésorerie!X$4,'2023-07'!$F:$F,Trésorerie!$B56)</f>
        <v>0</v>
      </c>
      <c r="Y56" s="73">
        <f>-SUMIFS('2023-08'!$M:$M,'2023-08'!$E:$E,Trésorerie!Y$4,'2023-08'!$F:$F,Trésorerie!$B56)+SUMIFS('2023-08'!$N:$N,'2023-08'!$E:$E,Trésorerie!Y$4,'2023-08'!$F:$F,Trésorerie!$B56)</f>
        <v>0</v>
      </c>
      <c r="Z56" s="73">
        <f>-SUMIFS('2023-09'!$M:$M,'2023-09'!$E:$E,Trésorerie!Z$4,'2023-09'!$F:$F,Trésorerie!$B56)+SUMIFS('2023-09'!$N:$N,'2023-09'!$E:$E,Trésorerie!Z$4,'2023-09'!$F:$F,Trésorerie!$B56)</f>
        <v>0</v>
      </c>
      <c r="AA56" s="73">
        <f>-SUMIFS('2023-10'!$M:$M,'2023-10'!$E:$E,Trésorerie!AA$4,'2023-10'!$F:$F,Trésorerie!$B56)+SUMIFS('2023-10'!$N:$N,'2023-10'!$E:$E,Trésorerie!AA$4,'2023-10'!$F:$F,Trésorerie!$B56)</f>
        <v>-151</v>
      </c>
      <c r="AB56" s="75">
        <f>IF(SUM($E56:O56)&lt;SUM($R56:AA56),SUM($E56:O56)-SUM($R56:AA56),0)</f>
        <v>-1349</v>
      </c>
      <c r="AC56" s="75">
        <f>IF(SUM($E56:P56)&lt;SUM($R56:AB56),SUM($E56:P56)-SUM($R56:AB56),0)</f>
        <v>0</v>
      </c>
      <c r="AD56" s="79"/>
    </row>
    <row r="57" spans="1:30" x14ac:dyDescent="0.25">
      <c r="A57" s="29">
        <f t="shared" si="0"/>
        <v>-1478.9299999999998</v>
      </c>
      <c r="B57" s="57">
        <v>627000</v>
      </c>
      <c r="C57" s="35" t="s">
        <v>480</v>
      </c>
      <c r="D57" s="57" t="s">
        <v>4752</v>
      </c>
      <c r="E57" s="41">
        <f>-SUMIFS('2022'!$M:$M,'2022'!$E:$E,Trésorerie!E$4,'2022'!$F:$F,Trésorerie!$B57)+SUMIFS('2022'!$N:$N,'2022'!$E:$E,Trésorerie!E$4,'2022'!$F:$F,Trésorerie!$B57)</f>
        <v>-148.05000000000001</v>
      </c>
      <c r="F57" s="41">
        <f>-SUMIFS('2022'!$M:$M,'2022'!$E:$E,Trésorerie!F$4,'2022'!$F:$F,Trésorerie!$B57)+SUMIFS('2022'!$N:$N,'2022'!$E:$E,Trésorerie!F$4,'2022'!$F:$F,Trésorerie!$B57)</f>
        <v>-100.28999999999999</v>
      </c>
      <c r="G57" s="41">
        <f>-SUMIFS('2022'!$M:$M,'2022'!$E:$E,Trésorerie!G$4,'2022'!$F:$F,Trésorerie!$B57)+SUMIFS('2022'!$N:$N,'2022'!$E:$E,Trésorerie!G$4,'2022'!$F:$F,Trésorerie!$B57)</f>
        <v>-236.89000000000001</v>
      </c>
      <c r="H57" s="41">
        <f>-SUMIFS('2022'!$M:$M,'2022'!$E:$E,Trésorerie!H$4,'2022'!$F:$F,Trésorerie!$B57)+SUMIFS('2022'!$N:$N,'2022'!$E:$E,Trésorerie!H$4,'2022'!$F:$F,Trésorerie!$B57)</f>
        <v>-139.15</v>
      </c>
      <c r="I57" s="41">
        <f>-SUMIFS('2022'!$M:$M,'2022'!$E:$E,Trésorerie!I$4,'2022'!$F:$F,Trésorerie!$B57)+SUMIFS('2022'!$N:$N,'2022'!$E:$E,Trésorerie!I$4,'2022'!$F:$F,Trésorerie!$B57)</f>
        <v>-108.52000000000001</v>
      </c>
      <c r="J57" s="41">
        <f>-SUMIFS('2022'!$M:$M,'2022'!$E:$E,Trésorerie!J$4,'2022'!$F:$F,Trésorerie!$B57)+SUMIFS('2022'!$N:$N,'2022'!$E:$E,Trésorerie!J$4,'2022'!$F:$F,Trésorerie!$B57)</f>
        <v>-83.240000000000009</v>
      </c>
      <c r="K57" s="41">
        <f>-SUMIFS('2022'!$M:$M,'2022'!$E:$E,Trésorerie!K$4,'2022'!$F:$F,Trésorerie!$B57)+SUMIFS('2022'!$N:$N,'2022'!$E:$E,Trésorerie!K$4,'2022'!$F:$F,Trésorerie!$B57)</f>
        <v>-144.04</v>
      </c>
      <c r="L57" s="41">
        <f>-SUMIFS('2022'!$M:$M,'2022'!$E:$E,Trésorerie!L$4,'2022'!$F:$F,Trésorerie!$B57)+SUMIFS('2022'!$N:$N,'2022'!$E:$E,Trésorerie!L$4,'2022'!$F:$F,Trésorerie!$B57)</f>
        <v>-76.48</v>
      </c>
      <c r="M57" s="41">
        <f>-SUMIFS('2022'!$M:$M,'2022'!$E:$E,Trésorerie!M$4,'2022'!$F:$F,Trésorerie!$B57)+SUMIFS('2022'!$N:$N,'2022'!$E:$E,Trésorerie!M$4,'2022'!$F:$F,Trésorerie!$B57)</f>
        <v>-88.899999999999991</v>
      </c>
      <c r="N57" s="41">
        <f>-SUMIFS('2022'!$M:$M,'2022'!$E:$E,Trésorerie!N$4,'2022'!$F:$F,Trésorerie!$B57)+SUMIFS('2022'!$N:$N,'2022'!$E:$E,Trésorerie!N$4,'2022'!$F:$F,Trésorerie!$B57)</f>
        <v>-136.47</v>
      </c>
      <c r="O57" s="41">
        <f>-SUMIFS('2022'!$M:$M,'2022'!$E:$E,Trésorerie!O$4,'2022'!$F:$F,Trésorerie!$B57)+SUMIFS('2022'!$N:$N,'2022'!$E:$E,Trésorerie!O$4,'2022'!$F:$F,Trésorerie!$B57)</f>
        <v>-137.59</v>
      </c>
      <c r="P57" s="41">
        <f>-SUMIFS('2022'!$M:$M,'2022'!$E:$E,Trésorerie!P$4,'2022'!$F:$F,Trésorerie!$B57)+SUMIFS('2022'!$N:$N,'2022'!$E:$E,Trésorerie!P$4,'2022'!$F:$F,Trésorerie!$B57)</f>
        <v>-79.31</v>
      </c>
      <c r="R57" s="73">
        <f>-SUMIFS('2023-01'!$M:$M,'2023-01'!$E:$E,Trésorerie!R$4,'2023-01'!$F:$F,Trésorerie!$B57)+SUMIFS('2023-01'!$N:$N,'2023-01'!$E:$E,Trésorerie!R$4,'2023-01'!$F:$F,Trésorerie!$B57)</f>
        <v>-140.68</v>
      </c>
      <c r="S57" s="73">
        <f>-SUMIFS('2023-02'!$M:$M,'2023-02'!$E:$E,Trésorerie!S$4,'2023-02'!$F:$F,Trésorerie!$B57)+SUMIFS('2023-02'!$N:$N,'2023-02'!$E:$E,Trésorerie!S$4,'2023-02'!$F:$F,Trésorerie!$B57)</f>
        <v>-121.38</v>
      </c>
      <c r="T57" s="73">
        <f>-SUMIFS('2023-03'!$M:$M,'2023-03'!$E:$E,Trésorerie!T$4,'2023-03'!$F:$F,Trésorerie!$B57)+SUMIFS('2023-03'!$N:$N,'2023-03'!$E:$E,Trésorerie!T$4,'2023-03'!$F:$F,Trésorerie!$B57)</f>
        <v>-76.84</v>
      </c>
      <c r="U57" s="73">
        <f>-SUMIFS('2023-04'!$M:$M,'2023-04'!$E:$E,Trésorerie!U$4,'2023-04'!$F:$F,Trésorerie!$B57)+SUMIFS('2023-04'!$N:$N,'2023-04'!$E:$E,Trésorerie!U$4,'2023-04'!$F:$F,Trésorerie!$B57)</f>
        <v>-169.21</v>
      </c>
      <c r="V57" s="73">
        <f>-SUMIFS('2023-05'!$M:$M,'2023-05'!$E:$E,Trésorerie!V$4,'2023-05'!$F:$F,Trésorerie!$B57)+SUMIFS('2023-05'!$N:$N,'2023-05'!$E:$E,Trésorerie!V$4,'2023-05'!$F:$F,Trésorerie!$B57)</f>
        <v>-89.08</v>
      </c>
      <c r="W57" s="73">
        <f>-SUMIFS('2023-06'!$M:$M,'2023-06'!$E:$E,Trésorerie!W$4,'2023-06'!$F:$F,Trésorerie!$B57)+SUMIFS('2023-06'!$N:$N,'2023-06'!$E:$E,Trésorerie!W$4,'2023-06'!$F:$F,Trésorerie!$B57)</f>
        <v>-77.62</v>
      </c>
      <c r="X57" s="73">
        <f>-SUMIFS('2023-07'!$M:$M,'2023-07'!$E:$E,Trésorerie!X$4,'2023-07'!$F:$F,Trésorerie!$B57)+SUMIFS('2023-07'!$N:$N,'2023-07'!$E:$E,Trésorerie!X$4,'2023-07'!$F:$F,Trésorerie!$B57)</f>
        <v>-140.53</v>
      </c>
      <c r="Y57" s="73">
        <f>-SUMIFS('2023-08'!$M:$M,'2023-08'!$E:$E,Trésorerie!Y$4,'2023-08'!$F:$F,Trésorerie!$B57)+SUMIFS('2023-08'!$N:$N,'2023-08'!$E:$E,Trésorerie!Y$4,'2023-08'!$F:$F,Trésorerie!$B57)</f>
        <v>-233.26000000000002</v>
      </c>
      <c r="Z57" s="73">
        <f>-SUMIFS('2023-09'!$M:$M,'2023-09'!$E:$E,Trésorerie!Z$4,'2023-09'!$F:$F,Trésorerie!$B57)+SUMIFS('2023-09'!$N:$N,'2023-09'!$E:$E,Trésorerie!Z$4,'2023-09'!$F:$F,Trésorerie!$B57)</f>
        <v>-119.13000000000001</v>
      </c>
      <c r="AA57" s="73">
        <f>-SUMIFS('2023-10'!$M:$M,'2023-10'!$E:$E,Trésorerie!AA$4,'2023-10'!$F:$F,Trésorerie!$B57)+SUMIFS('2023-10'!$N:$N,'2023-10'!$E:$E,Trésorerie!AA$4,'2023-10'!$F:$F,Trésorerie!$B57)</f>
        <v>-185.31999999999996</v>
      </c>
      <c r="AB57" s="75">
        <f>IF(SUM($E57:O57)&lt;SUM($R57:AA57),SUM($E57:O57)-SUM($R57:AA57),0)</f>
        <v>-46.569999999999709</v>
      </c>
      <c r="AC57" s="75">
        <f>IF(SUM($E57:P57)&lt;SUM($R57:AB57),SUM($E57:P57)-SUM($R57:AB57),0)</f>
        <v>-79.309999999999945</v>
      </c>
      <c r="AD57" s="79"/>
    </row>
    <row r="58" spans="1:30" x14ac:dyDescent="0.25">
      <c r="A58" s="29">
        <f t="shared" si="0"/>
        <v>-1335</v>
      </c>
      <c r="B58" s="57">
        <v>637000</v>
      </c>
      <c r="C58" s="35" t="s">
        <v>808</v>
      </c>
      <c r="D58" s="57" t="s">
        <v>4752</v>
      </c>
      <c r="E58" s="41">
        <f>-SUMIFS('2022'!$M:$M,'2022'!$E:$E,Trésorerie!E$4,'2022'!$F:$F,Trésorerie!$B58)+SUMIFS('2022'!$N:$N,'2022'!$E:$E,Trésorerie!E$4,'2022'!$F:$F,Trésorerie!$B58)</f>
        <v>0</v>
      </c>
      <c r="F58" s="41">
        <f>-SUMIFS('2022'!$M:$M,'2022'!$E:$E,Trésorerie!F$4,'2022'!$F:$F,Trésorerie!$B58)+SUMIFS('2022'!$N:$N,'2022'!$E:$E,Trésorerie!F$4,'2022'!$F:$F,Trésorerie!$B58)</f>
        <v>0</v>
      </c>
      <c r="G58" s="41">
        <f>-SUMIFS('2022'!$M:$M,'2022'!$E:$E,Trésorerie!G$4,'2022'!$F:$F,Trésorerie!$B58)+SUMIFS('2022'!$N:$N,'2022'!$E:$E,Trésorerie!G$4,'2022'!$F:$F,Trésorerie!$B58)</f>
        <v>0</v>
      </c>
      <c r="H58" s="41">
        <f>-SUMIFS('2022'!$M:$M,'2022'!$E:$E,Trésorerie!H$4,'2022'!$F:$F,Trésorerie!$B58)+SUMIFS('2022'!$N:$N,'2022'!$E:$E,Trésorerie!H$4,'2022'!$F:$F,Trésorerie!$B58)</f>
        <v>0</v>
      </c>
      <c r="I58" s="41">
        <f>-SUMIFS('2022'!$M:$M,'2022'!$E:$E,Trésorerie!I$4,'2022'!$F:$F,Trésorerie!$B58)+SUMIFS('2022'!$N:$N,'2022'!$E:$E,Trésorerie!I$4,'2022'!$F:$F,Trésorerie!$B58)</f>
        <v>-1335</v>
      </c>
      <c r="J58" s="41">
        <f>-SUMIFS('2022'!$M:$M,'2022'!$E:$E,Trésorerie!J$4,'2022'!$F:$F,Trésorerie!$B58)+SUMIFS('2022'!$N:$N,'2022'!$E:$E,Trésorerie!J$4,'2022'!$F:$F,Trésorerie!$B58)</f>
        <v>0</v>
      </c>
      <c r="K58" s="41">
        <f>-SUMIFS('2022'!$M:$M,'2022'!$E:$E,Trésorerie!K$4,'2022'!$F:$F,Trésorerie!$B58)+SUMIFS('2022'!$N:$N,'2022'!$E:$E,Trésorerie!K$4,'2022'!$F:$F,Trésorerie!$B58)</f>
        <v>0</v>
      </c>
      <c r="L58" s="41">
        <f>-SUMIFS('2022'!$M:$M,'2022'!$E:$E,Trésorerie!L$4,'2022'!$F:$F,Trésorerie!$B58)+SUMIFS('2022'!$N:$N,'2022'!$E:$E,Trésorerie!L$4,'2022'!$F:$F,Trésorerie!$B58)</f>
        <v>0</v>
      </c>
      <c r="M58" s="41">
        <f>-SUMIFS('2022'!$M:$M,'2022'!$E:$E,Trésorerie!M$4,'2022'!$F:$F,Trésorerie!$B58)+SUMIFS('2022'!$N:$N,'2022'!$E:$E,Trésorerie!M$4,'2022'!$F:$F,Trésorerie!$B58)</f>
        <v>0</v>
      </c>
      <c r="N58" s="41">
        <f>-SUMIFS('2022'!$M:$M,'2022'!$E:$E,Trésorerie!N$4,'2022'!$F:$F,Trésorerie!$B58)+SUMIFS('2022'!$N:$N,'2022'!$E:$E,Trésorerie!N$4,'2022'!$F:$F,Trésorerie!$B58)</f>
        <v>0</v>
      </c>
      <c r="O58" s="41">
        <f>-SUMIFS('2022'!$M:$M,'2022'!$E:$E,Trésorerie!O$4,'2022'!$F:$F,Trésorerie!$B58)+SUMIFS('2022'!$N:$N,'2022'!$E:$E,Trésorerie!O$4,'2022'!$F:$F,Trésorerie!$B58)</f>
        <v>0</v>
      </c>
      <c r="P58" s="41">
        <f>-SUMIFS('2022'!$M:$M,'2022'!$E:$E,Trésorerie!P$4,'2022'!$F:$F,Trésorerie!$B58)+SUMIFS('2022'!$N:$N,'2022'!$E:$E,Trésorerie!P$4,'2022'!$F:$F,Trésorerie!$B58)</f>
        <v>0</v>
      </c>
      <c r="R58" s="73">
        <f>-SUMIFS('2023-01'!$M:$M,'2023-01'!$E:$E,Trésorerie!R$4,'2023-01'!$F:$F,Trésorerie!$B58)+SUMIFS('2023-01'!$N:$N,'2023-01'!$E:$E,Trésorerie!R$4,'2023-01'!$F:$F,Trésorerie!$B58)</f>
        <v>0</v>
      </c>
      <c r="S58" s="73">
        <f>-SUMIFS('2023-02'!$M:$M,'2023-02'!$E:$E,Trésorerie!S$4,'2023-02'!$F:$F,Trésorerie!$B58)+SUMIFS('2023-02'!$N:$N,'2023-02'!$E:$E,Trésorerie!S$4,'2023-02'!$F:$F,Trésorerie!$B58)</f>
        <v>0</v>
      </c>
      <c r="T58" s="73">
        <f>-SUMIFS('2023-03'!$M:$M,'2023-03'!$E:$E,Trésorerie!T$4,'2023-03'!$F:$F,Trésorerie!$B58)+SUMIFS('2023-03'!$N:$N,'2023-03'!$E:$E,Trésorerie!T$4,'2023-03'!$F:$F,Trésorerie!$B58)</f>
        <v>0</v>
      </c>
      <c r="U58" s="73">
        <f>-SUMIFS('2023-04'!$M:$M,'2023-04'!$E:$E,Trésorerie!U$4,'2023-04'!$F:$F,Trésorerie!$B58)+SUMIFS('2023-04'!$N:$N,'2023-04'!$E:$E,Trésorerie!U$4,'2023-04'!$F:$F,Trésorerie!$B58)</f>
        <v>0</v>
      </c>
      <c r="V58" s="73">
        <f>-SUMIFS('2023-05'!$M:$M,'2023-05'!$E:$E,Trésorerie!V$4,'2023-05'!$F:$F,Trésorerie!$B58)+SUMIFS('2023-05'!$N:$N,'2023-05'!$E:$E,Trésorerie!V$4,'2023-05'!$F:$F,Trésorerie!$B58)</f>
        <v>0</v>
      </c>
      <c r="W58" s="73">
        <f>-SUMIFS('2023-06'!$M:$M,'2023-06'!$E:$E,Trésorerie!W$4,'2023-06'!$F:$F,Trésorerie!$B58)+SUMIFS('2023-06'!$N:$N,'2023-06'!$E:$E,Trésorerie!W$4,'2023-06'!$F:$F,Trésorerie!$B58)</f>
        <v>0</v>
      </c>
      <c r="X58" s="73">
        <f>-SUMIFS('2023-07'!$M:$M,'2023-07'!$E:$E,Trésorerie!X$4,'2023-07'!$F:$F,Trésorerie!$B58)+SUMIFS('2023-07'!$N:$N,'2023-07'!$E:$E,Trésorerie!X$4,'2023-07'!$F:$F,Trésorerie!$B58)</f>
        <v>0</v>
      </c>
      <c r="Y58" s="73">
        <f>-SUMIFS('2023-08'!$M:$M,'2023-08'!$E:$E,Trésorerie!Y$4,'2023-08'!$F:$F,Trésorerie!$B58)+SUMIFS('2023-08'!$N:$N,'2023-08'!$E:$E,Trésorerie!Y$4,'2023-08'!$F:$F,Trésorerie!$B58)</f>
        <v>0</v>
      </c>
      <c r="Z58" s="73">
        <f>-SUMIFS('2023-09'!$M:$M,'2023-09'!$E:$E,Trésorerie!Z$4,'2023-09'!$F:$F,Trésorerie!$B58)+SUMIFS('2023-09'!$N:$N,'2023-09'!$E:$E,Trésorerie!Z$4,'2023-09'!$F:$F,Trésorerie!$B58)</f>
        <v>0</v>
      </c>
      <c r="AA58" s="73">
        <f>-SUMIFS('2023-10'!$M:$M,'2023-10'!$E:$E,Trésorerie!AA$4,'2023-10'!$F:$F,Trésorerie!$B58)+SUMIFS('2023-10'!$N:$N,'2023-10'!$E:$E,Trésorerie!AA$4,'2023-10'!$F:$F,Trésorerie!$B58)</f>
        <v>0</v>
      </c>
      <c r="AB58" s="75">
        <f>IF(SUM($E58:O58)&lt;SUM($R58:AA58),SUM($E58:O58)-SUM($R58:AA58),0)</f>
        <v>-1335</v>
      </c>
      <c r="AC58" s="75">
        <f>IF(SUM($E58:P58)&lt;SUM($R58:AB58),SUM($E58:P58)-SUM($R58:AB58),0)</f>
        <v>0</v>
      </c>
      <c r="AD58" s="79"/>
    </row>
    <row r="59" spans="1:30" x14ac:dyDescent="0.25">
      <c r="A59" s="29">
        <f t="shared" si="0"/>
        <v>-409.28</v>
      </c>
      <c r="B59" s="57">
        <v>427003</v>
      </c>
      <c r="C59" s="35" t="s">
        <v>905</v>
      </c>
      <c r="D59" s="57" t="s">
        <v>4752</v>
      </c>
      <c r="E59" s="41">
        <f>-SUMIFS('2022'!$M:$M,'2022'!$E:$E,Trésorerie!E$4,'2022'!$F:$F,Trésorerie!$B59)+SUMIFS('2022'!$N:$N,'2022'!$E:$E,Trésorerie!E$4,'2022'!$F:$F,Trésorerie!$B59)</f>
        <v>0</v>
      </c>
      <c r="F59" s="41">
        <f>-SUMIFS('2022'!$M:$M,'2022'!$E:$E,Trésorerie!F$4,'2022'!$F:$F,Trésorerie!$B59)+SUMIFS('2022'!$N:$N,'2022'!$E:$E,Trésorerie!F$4,'2022'!$F:$F,Trésorerie!$B59)</f>
        <v>-195</v>
      </c>
      <c r="G59" s="41">
        <f>-SUMIFS('2022'!$M:$M,'2022'!$E:$E,Trésorerie!G$4,'2022'!$F:$F,Trésorerie!$B59)+SUMIFS('2022'!$N:$N,'2022'!$E:$E,Trésorerie!G$4,'2022'!$F:$F,Trésorerie!$B59)</f>
        <v>0</v>
      </c>
      <c r="H59" s="41">
        <f>-SUMIFS('2022'!$M:$M,'2022'!$E:$E,Trésorerie!H$4,'2022'!$F:$F,Trésorerie!$B59)+SUMIFS('2022'!$N:$N,'2022'!$E:$E,Trésorerie!H$4,'2022'!$F:$F,Trésorerie!$B59)</f>
        <v>0</v>
      </c>
      <c r="I59" s="41">
        <f>-SUMIFS('2022'!$M:$M,'2022'!$E:$E,Trésorerie!I$4,'2022'!$F:$F,Trésorerie!$B59)+SUMIFS('2022'!$N:$N,'2022'!$E:$E,Trésorerie!I$4,'2022'!$F:$F,Trésorerie!$B59)</f>
        <v>-130</v>
      </c>
      <c r="J59" s="41">
        <f>-SUMIFS('2022'!$M:$M,'2022'!$E:$E,Trésorerie!J$4,'2022'!$F:$F,Trésorerie!$B59)+SUMIFS('2022'!$N:$N,'2022'!$E:$E,Trésorerie!J$4,'2022'!$F:$F,Trésorerie!$B59)</f>
        <v>0</v>
      </c>
      <c r="K59" s="41">
        <f>-SUMIFS('2022'!$M:$M,'2022'!$E:$E,Trésorerie!K$4,'2022'!$F:$F,Trésorerie!$B59)+SUMIFS('2022'!$N:$N,'2022'!$E:$E,Trésorerie!K$4,'2022'!$F:$F,Trésorerie!$B59)</f>
        <v>0</v>
      </c>
      <c r="L59" s="41">
        <f>-SUMIFS('2022'!$M:$M,'2022'!$E:$E,Trésorerie!L$4,'2022'!$F:$F,Trésorerie!$B59)+SUMIFS('2022'!$N:$N,'2022'!$E:$E,Trésorerie!L$4,'2022'!$F:$F,Trésorerie!$B59)</f>
        <v>-84.28</v>
      </c>
      <c r="M59" s="41">
        <f>-SUMIFS('2022'!$M:$M,'2022'!$E:$E,Trésorerie!M$4,'2022'!$F:$F,Trésorerie!$B59)+SUMIFS('2022'!$N:$N,'2022'!$E:$E,Trésorerie!M$4,'2022'!$F:$F,Trésorerie!$B59)</f>
        <v>0</v>
      </c>
      <c r="N59" s="41">
        <f>-SUMIFS('2022'!$M:$M,'2022'!$E:$E,Trésorerie!N$4,'2022'!$F:$F,Trésorerie!$B59)+SUMIFS('2022'!$N:$N,'2022'!$E:$E,Trésorerie!N$4,'2022'!$F:$F,Trésorerie!$B59)</f>
        <v>0</v>
      </c>
      <c r="O59" s="41">
        <f>-SUMIFS('2022'!$M:$M,'2022'!$E:$E,Trésorerie!O$4,'2022'!$F:$F,Trésorerie!$B59)+SUMIFS('2022'!$N:$N,'2022'!$E:$E,Trésorerie!O$4,'2022'!$F:$F,Trésorerie!$B59)</f>
        <v>0</v>
      </c>
      <c r="P59" s="41">
        <f>-SUMIFS('2022'!$M:$M,'2022'!$E:$E,Trésorerie!P$4,'2022'!$F:$F,Trésorerie!$B59)+SUMIFS('2022'!$N:$N,'2022'!$E:$E,Trésorerie!P$4,'2022'!$F:$F,Trésorerie!$B59)</f>
        <v>0</v>
      </c>
      <c r="R59" s="73">
        <f>-SUMIFS('2023-01'!$M:$M,'2023-01'!$E:$E,Trésorerie!R$4,'2023-01'!$F:$F,Trésorerie!$B59)+SUMIFS('2023-01'!$N:$N,'2023-01'!$E:$E,Trésorerie!R$4,'2023-01'!$F:$F,Trésorerie!$B59)</f>
        <v>0</v>
      </c>
      <c r="S59" s="73">
        <f>-SUMIFS('2023-02'!$M:$M,'2023-02'!$E:$E,Trésorerie!S$4,'2023-02'!$F:$F,Trésorerie!$B59)+SUMIFS('2023-02'!$N:$N,'2023-02'!$E:$E,Trésorerie!S$4,'2023-02'!$F:$F,Trésorerie!$B59)</f>
        <v>0</v>
      </c>
      <c r="T59" s="73">
        <f>-SUMIFS('2023-03'!$M:$M,'2023-03'!$E:$E,Trésorerie!T$4,'2023-03'!$F:$F,Trésorerie!$B59)+SUMIFS('2023-03'!$N:$N,'2023-03'!$E:$E,Trésorerie!T$4,'2023-03'!$F:$F,Trésorerie!$B59)</f>
        <v>0</v>
      </c>
      <c r="U59" s="73">
        <f>-SUMIFS('2023-04'!$M:$M,'2023-04'!$E:$E,Trésorerie!U$4,'2023-04'!$F:$F,Trésorerie!$B59)+SUMIFS('2023-04'!$N:$N,'2023-04'!$E:$E,Trésorerie!U$4,'2023-04'!$F:$F,Trésorerie!$B59)</f>
        <v>0</v>
      </c>
      <c r="V59" s="73">
        <f>-SUMIFS('2023-05'!$M:$M,'2023-05'!$E:$E,Trésorerie!V$4,'2023-05'!$F:$F,Trésorerie!$B59)+SUMIFS('2023-05'!$N:$N,'2023-05'!$E:$E,Trésorerie!V$4,'2023-05'!$F:$F,Trésorerie!$B59)</f>
        <v>0</v>
      </c>
      <c r="W59" s="73">
        <f>-SUMIFS('2023-06'!$M:$M,'2023-06'!$E:$E,Trésorerie!W$4,'2023-06'!$F:$F,Trésorerie!$B59)+SUMIFS('2023-06'!$N:$N,'2023-06'!$E:$E,Trésorerie!W$4,'2023-06'!$F:$F,Trésorerie!$B59)</f>
        <v>0</v>
      </c>
      <c r="X59" s="73">
        <f>-SUMIFS('2023-07'!$M:$M,'2023-07'!$E:$E,Trésorerie!X$4,'2023-07'!$F:$F,Trésorerie!$B59)+SUMIFS('2023-07'!$N:$N,'2023-07'!$E:$E,Trésorerie!X$4,'2023-07'!$F:$F,Trésorerie!$B59)</f>
        <v>0</v>
      </c>
      <c r="Y59" s="73">
        <f>-SUMIFS('2023-08'!$M:$M,'2023-08'!$E:$E,Trésorerie!Y$4,'2023-08'!$F:$F,Trésorerie!$B59)+SUMIFS('2023-08'!$N:$N,'2023-08'!$E:$E,Trésorerie!Y$4,'2023-08'!$F:$F,Trésorerie!$B59)</f>
        <v>0</v>
      </c>
      <c r="Z59" s="73">
        <f>-SUMIFS('2023-09'!$M:$M,'2023-09'!$E:$E,Trésorerie!Z$4,'2023-09'!$F:$F,Trésorerie!$B59)+SUMIFS('2023-09'!$N:$N,'2023-09'!$E:$E,Trésorerie!Z$4,'2023-09'!$F:$F,Trésorerie!$B59)</f>
        <v>0</v>
      </c>
      <c r="AA59" s="73">
        <f>-SUMIFS('2023-10'!$M:$M,'2023-10'!$E:$E,Trésorerie!AA$4,'2023-10'!$F:$F,Trésorerie!$B59)+SUMIFS('2023-10'!$N:$N,'2023-10'!$E:$E,Trésorerie!AA$4,'2023-10'!$F:$F,Trésorerie!$B59)</f>
        <v>0</v>
      </c>
      <c r="AB59" s="75">
        <f>IF(SUM($E59:O59)&lt;SUM($R59:AA59),SUM($E59:O59)-SUM($R59:AA59),0)</f>
        <v>-409.28</v>
      </c>
      <c r="AC59" s="75">
        <f>IF(SUM($E59:P59)&lt;SUM($R59:AB59),SUM($E59:P59)-SUM($R59:AB59),0)</f>
        <v>0</v>
      </c>
      <c r="AD59" s="79"/>
    </row>
    <row r="60" spans="1:30" x14ac:dyDescent="0.25">
      <c r="A60" s="29">
        <f t="shared" si="0"/>
        <v>-392</v>
      </c>
      <c r="B60" s="57">
        <v>628310</v>
      </c>
      <c r="C60" s="35" t="s">
        <v>440</v>
      </c>
      <c r="D60" s="57" t="s">
        <v>4752</v>
      </c>
      <c r="E60" s="41">
        <f>-SUMIFS('2022'!$M:$M,'2022'!$E:$E,Trésorerie!E$4,'2022'!$F:$F,Trésorerie!$B60)+SUMIFS('2022'!$N:$N,'2022'!$E:$E,Trésorerie!E$4,'2022'!$F:$F,Trésorerie!$B60)</f>
        <v>0</v>
      </c>
      <c r="F60" s="41">
        <f>-SUMIFS('2022'!$M:$M,'2022'!$E:$E,Trésorerie!F$4,'2022'!$F:$F,Trésorerie!$B60)+SUMIFS('2022'!$N:$N,'2022'!$E:$E,Trésorerie!F$4,'2022'!$F:$F,Trésorerie!$B60)</f>
        <v>0</v>
      </c>
      <c r="G60" s="41">
        <f>-SUMIFS('2022'!$M:$M,'2022'!$E:$E,Trésorerie!G$4,'2022'!$F:$F,Trésorerie!$B60)+SUMIFS('2022'!$N:$N,'2022'!$E:$E,Trésorerie!G$4,'2022'!$F:$F,Trésorerie!$B60)</f>
        <v>0</v>
      </c>
      <c r="H60" s="41">
        <f>-SUMIFS('2022'!$M:$M,'2022'!$E:$E,Trésorerie!H$4,'2022'!$F:$F,Trésorerie!$B60)+SUMIFS('2022'!$N:$N,'2022'!$E:$E,Trésorerie!H$4,'2022'!$F:$F,Trésorerie!$B60)</f>
        <v>0</v>
      </c>
      <c r="I60" s="41">
        <f>-SUMIFS('2022'!$M:$M,'2022'!$E:$E,Trésorerie!I$4,'2022'!$F:$F,Trésorerie!$B60)+SUMIFS('2022'!$N:$N,'2022'!$E:$E,Trésorerie!I$4,'2022'!$F:$F,Trésorerie!$B60)</f>
        <v>0</v>
      </c>
      <c r="J60" s="41">
        <f>-SUMIFS('2022'!$M:$M,'2022'!$E:$E,Trésorerie!J$4,'2022'!$F:$F,Trésorerie!$B60)+SUMIFS('2022'!$N:$N,'2022'!$E:$E,Trésorerie!J$4,'2022'!$F:$F,Trésorerie!$B60)</f>
        <v>0</v>
      </c>
      <c r="K60" s="41">
        <f>-SUMIFS('2022'!$M:$M,'2022'!$E:$E,Trésorerie!K$4,'2022'!$F:$F,Trésorerie!$B60)+SUMIFS('2022'!$N:$N,'2022'!$E:$E,Trésorerie!K$4,'2022'!$F:$F,Trésorerie!$B60)</f>
        <v>-392</v>
      </c>
      <c r="L60" s="41">
        <f>-SUMIFS('2022'!$M:$M,'2022'!$E:$E,Trésorerie!L$4,'2022'!$F:$F,Trésorerie!$B60)+SUMIFS('2022'!$N:$N,'2022'!$E:$E,Trésorerie!L$4,'2022'!$F:$F,Trésorerie!$B60)</f>
        <v>0</v>
      </c>
      <c r="M60" s="41">
        <f>-SUMIFS('2022'!$M:$M,'2022'!$E:$E,Trésorerie!M$4,'2022'!$F:$F,Trésorerie!$B60)+SUMIFS('2022'!$N:$N,'2022'!$E:$E,Trésorerie!M$4,'2022'!$F:$F,Trésorerie!$B60)</f>
        <v>0</v>
      </c>
      <c r="N60" s="41">
        <f>-SUMIFS('2022'!$M:$M,'2022'!$E:$E,Trésorerie!N$4,'2022'!$F:$F,Trésorerie!$B60)+SUMIFS('2022'!$N:$N,'2022'!$E:$E,Trésorerie!N$4,'2022'!$F:$F,Trésorerie!$B60)</f>
        <v>0</v>
      </c>
      <c r="O60" s="41">
        <f>-SUMIFS('2022'!$M:$M,'2022'!$E:$E,Trésorerie!O$4,'2022'!$F:$F,Trésorerie!$B60)+SUMIFS('2022'!$N:$N,'2022'!$E:$E,Trésorerie!O$4,'2022'!$F:$F,Trésorerie!$B60)</f>
        <v>0</v>
      </c>
      <c r="P60" s="41">
        <f>-SUMIFS('2022'!$M:$M,'2022'!$E:$E,Trésorerie!P$4,'2022'!$F:$F,Trésorerie!$B60)+SUMIFS('2022'!$N:$N,'2022'!$E:$E,Trésorerie!P$4,'2022'!$F:$F,Trésorerie!$B60)</f>
        <v>0</v>
      </c>
      <c r="R60" s="73">
        <f>-SUMIFS('2023-01'!$M:$M,'2023-01'!$E:$E,Trésorerie!R$4,'2023-01'!$F:$F,Trésorerie!$B60)+SUMIFS('2023-01'!$N:$N,'2023-01'!$E:$E,Trésorerie!R$4,'2023-01'!$F:$F,Trésorerie!$B60)</f>
        <v>0</v>
      </c>
      <c r="S60" s="73">
        <f>-SUMIFS('2023-02'!$M:$M,'2023-02'!$E:$E,Trésorerie!S$4,'2023-02'!$F:$F,Trésorerie!$B60)+SUMIFS('2023-02'!$N:$N,'2023-02'!$E:$E,Trésorerie!S$4,'2023-02'!$F:$F,Trésorerie!$B60)</f>
        <v>0</v>
      </c>
      <c r="T60" s="73">
        <f>-SUMIFS('2023-03'!$M:$M,'2023-03'!$E:$E,Trésorerie!T$4,'2023-03'!$F:$F,Trésorerie!$B60)+SUMIFS('2023-03'!$N:$N,'2023-03'!$E:$E,Trésorerie!T$4,'2023-03'!$F:$F,Trésorerie!$B60)</f>
        <v>0</v>
      </c>
      <c r="U60" s="73">
        <f>-SUMIFS('2023-04'!$M:$M,'2023-04'!$E:$E,Trésorerie!U$4,'2023-04'!$F:$F,Trésorerie!$B60)+SUMIFS('2023-04'!$N:$N,'2023-04'!$E:$E,Trésorerie!U$4,'2023-04'!$F:$F,Trésorerie!$B60)</f>
        <v>0</v>
      </c>
      <c r="V60" s="73">
        <f>-SUMIFS('2023-05'!$M:$M,'2023-05'!$E:$E,Trésorerie!V$4,'2023-05'!$F:$F,Trésorerie!$B60)+SUMIFS('2023-05'!$N:$N,'2023-05'!$E:$E,Trésorerie!V$4,'2023-05'!$F:$F,Trésorerie!$B60)</f>
        <v>0</v>
      </c>
      <c r="W60" s="73">
        <f>-SUMIFS('2023-06'!$M:$M,'2023-06'!$E:$E,Trésorerie!W$4,'2023-06'!$F:$F,Trésorerie!$B60)+SUMIFS('2023-06'!$N:$N,'2023-06'!$E:$E,Trésorerie!W$4,'2023-06'!$F:$F,Trésorerie!$B60)</f>
        <v>0</v>
      </c>
      <c r="X60" s="73">
        <f>-SUMIFS('2023-07'!$M:$M,'2023-07'!$E:$E,Trésorerie!X$4,'2023-07'!$F:$F,Trésorerie!$B60)+SUMIFS('2023-07'!$N:$N,'2023-07'!$E:$E,Trésorerie!X$4,'2023-07'!$F:$F,Trésorerie!$B60)</f>
        <v>0</v>
      </c>
      <c r="Y60" s="73">
        <f>-SUMIFS('2023-08'!$M:$M,'2023-08'!$E:$E,Trésorerie!Y$4,'2023-08'!$F:$F,Trésorerie!$B60)+SUMIFS('2023-08'!$N:$N,'2023-08'!$E:$E,Trésorerie!Y$4,'2023-08'!$F:$F,Trésorerie!$B60)</f>
        <v>0</v>
      </c>
      <c r="Z60" s="73">
        <f>-SUMIFS('2023-09'!$M:$M,'2023-09'!$E:$E,Trésorerie!Z$4,'2023-09'!$F:$F,Trésorerie!$B60)+SUMIFS('2023-09'!$N:$N,'2023-09'!$E:$E,Trésorerie!Z$4,'2023-09'!$F:$F,Trésorerie!$B60)</f>
        <v>0</v>
      </c>
      <c r="AA60" s="73">
        <f>-SUMIFS('2023-10'!$M:$M,'2023-10'!$E:$E,Trésorerie!AA$4,'2023-10'!$F:$F,Trésorerie!$B60)+SUMIFS('2023-10'!$N:$N,'2023-10'!$E:$E,Trésorerie!AA$4,'2023-10'!$F:$F,Trésorerie!$B60)</f>
        <v>0</v>
      </c>
      <c r="AB60" s="75">
        <f>IF(SUM($E60:O60)&lt;SUM($R60:AA60),SUM($E60:O60)-SUM($R60:AA60),0)</f>
        <v>-392</v>
      </c>
      <c r="AC60" s="75">
        <f>IF(SUM($E60:P60)&lt;SUM($R60:AB60),SUM($E60:P60)-SUM($R60:AB60),0)</f>
        <v>0</v>
      </c>
      <c r="AD60" s="79"/>
    </row>
    <row r="61" spans="1:30" x14ac:dyDescent="0.25">
      <c r="A61" s="29">
        <f t="shared" si="0"/>
        <v>-382</v>
      </c>
      <c r="B61" s="57">
        <v>645100</v>
      </c>
      <c r="C61" s="35" t="s">
        <v>813</v>
      </c>
      <c r="D61" s="57" t="s">
        <v>4752</v>
      </c>
      <c r="E61" s="41">
        <f>-SUMIFS('2022'!$M:$M,'2022'!$E:$E,Trésorerie!E$4,'2022'!$F:$F,Trésorerie!$B61)+SUMIFS('2022'!$N:$N,'2022'!$E:$E,Trésorerie!E$4,'2022'!$F:$F,Trésorerie!$B61)</f>
        <v>0</v>
      </c>
      <c r="F61" s="41">
        <f>-SUMIFS('2022'!$M:$M,'2022'!$E:$E,Trésorerie!F$4,'2022'!$F:$F,Trésorerie!$B61)+SUMIFS('2022'!$N:$N,'2022'!$E:$E,Trésorerie!F$4,'2022'!$F:$F,Trésorerie!$B61)</f>
        <v>0</v>
      </c>
      <c r="G61" s="41">
        <f>-SUMIFS('2022'!$M:$M,'2022'!$E:$E,Trésorerie!G$4,'2022'!$F:$F,Trésorerie!$B61)+SUMIFS('2022'!$N:$N,'2022'!$E:$E,Trésorerie!G$4,'2022'!$F:$F,Trésorerie!$B61)</f>
        <v>0</v>
      </c>
      <c r="H61" s="41">
        <f>-SUMIFS('2022'!$M:$M,'2022'!$E:$E,Trésorerie!H$4,'2022'!$F:$F,Trésorerie!$B61)+SUMIFS('2022'!$N:$N,'2022'!$E:$E,Trésorerie!H$4,'2022'!$F:$F,Trésorerie!$B61)</f>
        <v>-39</v>
      </c>
      <c r="I61" s="41">
        <f>-SUMIFS('2022'!$M:$M,'2022'!$E:$E,Trésorerie!I$4,'2022'!$F:$F,Trésorerie!$B61)+SUMIFS('2022'!$N:$N,'2022'!$E:$E,Trésorerie!I$4,'2022'!$F:$F,Trésorerie!$B61)</f>
        <v>0</v>
      </c>
      <c r="J61" s="41">
        <f>-SUMIFS('2022'!$M:$M,'2022'!$E:$E,Trésorerie!J$4,'2022'!$F:$F,Trésorerie!$B61)+SUMIFS('2022'!$N:$N,'2022'!$E:$E,Trésorerie!J$4,'2022'!$F:$F,Trésorerie!$B61)</f>
        <v>0</v>
      </c>
      <c r="K61" s="41">
        <f>-SUMIFS('2022'!$M:$M,'2022'!$E:$E,Trésorerie!K$4,'2022'!$F:$F,Trésorerie!$B61)+SUMIFS('2022'!$N:$N,'2022'!$E:$E,Trésorerie!K$4,'2022'!$F:$F,Trésorerie!$B61)</f>
        <v>0</v>
      </c>
      <c r="L61" s="41">
        <f>-SUMIFS('2022'!$M:$M,'2022'!$E:$E,Trésorerie!L$4,'2022'!$F:$F,Trésorerie!$B61)+SUMIFS('2022'!$N:$N,'2022'!$E:$E,Trésorerie!L$4,'2022'!$F:$F,Trésorerie!$B61)</f>
        <v>0</v>
      </c>
      <c r="M61" s="41">
        <f>-SUMIFS('2022'!$M:$M,'2022'!$E:$E,Trésorerie!M$4,'2022'!$F:$F,Trésorerie!$B61)+SUMIFS('2022'!$N:$N,'2022'!$E:$E,Trésorerie!M$4,'2022'!$F:$F,Trésorerie!$B61)</f>
        <v>-188</v>
      </c>
      <c r="N61" s="41">
        <f>-SUMIFS('2022'!$M:$M,'2022'!$E:$E,Trésorerie!N$4,'2022'!$F:$F,Trésorerie!$B61)+SUMIFS('2022'!$N:$N,'2022'!$E:$E,Trésorerie!N$4,'2022'!$F:$F,Trésorerie!$B61)</f>
        <v>0</v>
      </c>
      <c r="O61" s="41">
        <f>-SUMIFS('2022'!$M:$M,'2022'!$E:$E,Trésorerie!O$4,'2022'!$F:$F,Trésorerie!$B61)+SUMIFS('2022'!$N:$N,'2022'!$E:$E,Trésorerie!O$4,'2022'!$F:$F,Trésorerie!$B61)</f>
        <v>0</v>
      </c>
      <c r="P61" s="41">
        <f>-SUMIFS('2022'!$M:$M,'2022'!$E:$E,Trésorerie!P$4,'2022'!$F:$F,Trésorerie!$B61)+SUMIFS('2022'!$N:$N,'2022'!$E:$E,Trésorerie!P$4,'2022'!$F:$F,Trésorerie!$B61)</f>
        <v>-155</v>
      </c>
      <c r="R61" s="73">
        <f>-SUMIFS('2023-01'!$M:$M,'2023-01'!$E:$E,Trésorerie!R$4,'2023-01'!$F:$F,Trésorerie!$B61)+SUMIFS('2023-01'!$N:$N,'2023-01'!$E:$E,Trésorerie!R$4,'2023-01'!$F:$F,Trésorerie!$B61)</f>
        <v>0</v>
      </c>
      <c r="S61" s="73">
        <f>-SUMIFS('2023-02'!$M:$M,'2023-02'!$E:$E,Trésorerie!S$4,'2023-02'!$F:$F,Trésorerie!$B61)+SUMIFS('2023-02'!$N:$N,'2023-02'!$E:$E,Trésorerie!S$4,'2023-02'!$F:$F,Trésorerie!$B61)</f>
        <v>0</v>
      </c>
      <c r="T61" s="73">
        <f>-SUMIFS('2023-03'!$M:$M,'2023-03'!$E:$E,Trésorerie!T$4,'2023-03'!$F:$F,Trésorerie!$B61)+SUMIFS('2023-03'!$N:$N,'2023-03'!$E:$E,Trésorerie!T$4,'2023-03'!$F:$F,Trésorerie!$B61)</f>
        <v>0</v>
      </c>
      <c r="U61" s="73">
        <f>-SUMIFS('2023-04'!$M:$M,'2023-04'!$E:$E,Trésorerie!U$4,'2023-04'!$F:$F,Trésorerie!$B61)+SUMIFS('2023-04'!$N:$N,'2023-04'!$E:$E,Trésorerie!U$4,'2023-04'!$F:$F,Trésorerie!$B61)</f>
        <v>0</v>
      </c>
      <c r="V61" s="73">
        <f>-SUMIFS('2023-05'!$M:$M,'2023-05'!$E:$E,Trésorerie!V$4,'2023-05'!$F:$F,Trésorerie!$B61)+SUMIFS('2023-05'!$N:$N,'2023-05'!$E:$E,Trésorerie!V$4,'2023-05'!$F:$F,Trésorerie!$B61)</f>
        <v>0</v>
      </c>
      <c r="W61" s="73">
        <f>-SUMIFS('2023-06'!$M:$M,'2023-06'!$E:$E,Trésorerie!W$4,'2023-06'!$F:$F,Trésorerie!$B61)+SUMIFS('2023-06'!$N:$N,'2023-06'!$E:$E,Trésorerie!W$4,'2023-06'!$F:$F,Trésorerie!$B61)</f>
        <v>0</v>
      </c>
      <c r="X61" s="73">
        <f>-SUMIFS('2023-07'!$M:$M,'2023-07'!$E:$E,Trésorerie!X$4,'2023-07'!$F:$F,Trésorerie!$B61)+SUMIFS('2023-07'!$N:$N,'2023-07'!$E:$E,Trésorerie!X$4,'2023-07'!$F:$F,Trésorerie!$B61)</f>
        <v>0</v>
      </c>
      <c r="Y61" s="73">
        <f>-SUMIFS('2023-08'!$M:$M,'2023-08'!$E:$E,Trésorerie!Y$4,'2023-08'!$F:$F,Trésorerie!$B61)+SUMIFS('2023-08'!$N:$N,'2023-08'!$E:$E,Trésorerie!Y$4,'2023-08'!$F:$F,Trésorerie!$B61)</f>
        <v>0</v>
      </c>
      <c r="Z61" s="73">
        <f>-SUMIFS('2023-09'!$M:$M,'2023-09'!$E:$E,Trésorerie!Z$4,'2023-09'!$F:$F,Trésorerie!$B61)+SUMIFS('2023-09'!$N:$N,'2023-09'!$E:$E,Trésorerie!Z$4,'2023-09'!$F:$F,Trésorerie!$B61)</f>
        <v>0</v>
      </c>
      <c r="AA61" s="73">
        <f>-SUMIFS('2023-10'!$M:$M,'2023-10'!$E:$E,Trésorerie!AA$4,'2023-10'!$F:$F,Trésorerie!$B61)+SUMIFS('2023-10'!$N:$N,'2023-10'!$E:$E,Trésorerie!AA$4,'2023-10'!$F:$F,Trésorerie!$B61)</f>
        <v>0</v>
      </c>
      <c r="AB61" s="75">
        <f>IF(SUM($E61:O61)&lt;SUM($R61:AA61),SUM($E61:O61)-SUM($R61:AA61),0)</f>
        <v>-227</v>
      </c>
      <c r="AC61" s="75">
        <f>IF(SUM($E61:P61)&lt;SUM($R61:AB61),SUM($E61:P61)-SUM($R61:AB61),0)</f>
        <v>-155</v>
      </c>
      <c r="AD61" s="79"/>
    </row>
    <row r="62" spans="1:30" x14ac:dyDescent="0.25">
      <c r="A62" s="29">
        <f t="shared" si="0"/>
        <v>-153.32999999999998</v>
      </c>
      <c r="B62" s="57">
        <v>627500</v>
      </c>
      <c r="C62" s="35" t="s">
        <v>729</v>
      </c>
      <c r="D62" s="57" t="s">
        <v>4752</v>
      </c>
      <c r="E62" s="41">
        <f>-SUMIFS('2022'!$M:$M,'2022'!$E:$E,Trésorerie!E$4,'2022'!$F:$F,Trésorerie!$B62)+SUMIFS('2022'!$N:$N,'2022'!$E:$E,Trésorerie!E$4,'2022'!$F:$F,Trésorerie!$B62)</f>
        <v>-64.009999999999991</v>
      </c>
      <c r="F62" s="41">
        <f>-SUMIFS('2022'!$M:$M,'2022'!$E:$E,Trésorerie!F$4,'2022'!$F:$F,Trésorerie!$B62)+SUMIFS('2022'!$N:$N,'2022'!$E:$E,Trésorerie!F$4,'2022'!$F:$F,Trésorerie!$B62)</f>
        <v>0</v>
      </c>
      <c r="G62" s="41">
        <f>-SUMIFS('2022'!$M:$M,'2022'!$E:$E,Trésorerie!G$4,'2022'!$F:$F,Trésorerie!$B62)+SUMIFS('2022'!$N:$N,'2022'!$E:$E,Trésorerie!G$4,'2022'!$F:$F,Trésorerie!$B62)</f>
        <v>0</v>
      </c>
      <c r="H62" s="41">
        <f>-SUMIFS('2022'!$M:$M,'2022'!$E:$E,Trésorerie!H$4,'2022'!$F:$F,Trésorerie!$B62)+SUMIFS('2022'!$N:$N,'2022'!$E:$E,Trésorerie!H$4,'2022'!$F:$F,Trésorerie!$B62)</f>
        <v>0</v>
      </c>
      <c r="I62" s="41">
        <f>-SUMIFS('2022'!$M:$M,'2022'!$E:$E,Trésorerie!I$4,'2022'!$F:$F,Trésorerie!$B62)+SUMIFS('2022'!$N:$N,'2022'!$E:$E,Trésorerie!I$4,'2022'!$F:$F,Trésorerie!$B62)</f>
        <v>0</v>
      </c>
      <c r="J62" s="41">
        <f>-SUMIFS('2022'!$M:$M,'2022'!$E:$E,Trésorerie!J$4,'2022'!$F:$F,Trésorerie!$B62)+SUMIFS('2022'!$N:$N,'2022'!$E:$E,Trésorerie!J$4,'2022'!$F:$F,Trésorerie!$B62)</f>
        <v>0</v>
      </c>
      <c r="K62" s="41">
        <f>-SUMIFS('2022'!$M:$M,'2022'!$E:$E,Trésorerie!K$4,'2022'!$F:$F,Trésorerie!$B62)+SUMIFS('2022'!$N:$N,'2022'!$E:$E,Trésorerie!K$4,'2022'!$F:$F,Trésorerie!$B62)</f>
        <v>0</v>
      </c>
      <c r="L62" s="41">
        <f>-SUMIFS('2022'!$M:$M,'2022'!$E:$E,Trésorerie!L$4,'2022'!$F:$F,Trésorerie!$B62)+SUMIFS('2022'!$N:$N,'2022'!$E:$E,Trésorerie!L$4,'2022'!$F:$F,Trésorerie!$B62)</f>
        <v>-67.260000000000005</v>
      </c>
      <c r="M62" s="41">
        <f>-SUMIFS('2022'!$M:$M,'2022'!$E:$E,Trésorerie!M$4,'2022'!$F:$F,Trésorerie!$B62)+SUMIFS('2022'!$N:$N,'2022'!$E:$E,Trésorerie!M$4,'2022'!$F:$F,Trésorerie!$B62)</f>
        <v>0</v>
      </c>
      <c r="N62" s="41">
        <f>-SUMIFS('2022'!$M:$M,'2022'!$E:$E,Trésorerie!N$4,'2022'!$F:$F,Trésorerie!$B62)+SUMIFS('2022'!$N:$N,'2022'!$E:$E,Trésorerie!N$4,'2022'!$F:$F,Trésorerie!$B62)</f>
        <v>-22.06</v>
      </c>
      <c r="O62" s="41">
        <f>-SUMIFS('2022'!$M:$M,'2022'!$E:$E,Trésorerie!O$4,'2022'!$F:$F,Trésorerie!$B62)+SUMIFS('2022'!$N:$N,'2022'!$E:$E,Trésorerie!O$4,'2022'!$F:$F,Trésorerie!$B62)</f>
        <v>0</v>
      </c>
      <c r="P62" s="41">
        <f>-SUMIFS('2022'!$M:$M,'2022'!$E:$E,Trésorerie!P$4,'2022'!$F:$F,Trésorerie!$B62)+SUMIFS('2022'!$N:$N,'2022'!$E:$E,Trésorerie!P$4,'2022'!$F:$F,Trésorerie!$B62)</f>
        <v>0</v>
      </c>
      <c r="R62" s="73">
        <f>-SUMIFS('2023-01'!$M:$M,'2023-01'!$E:$E,Trésorerie!R$4,'2023-01'!$F:$F,Trésorerie!$B62)+SUMIFS('2023-01'!$N:$N,'2023-01'!$E:$E,Trésorerie!R$4,'2023-01'!$F:$F,Trésorerie!$B62)</f>
        <v>-34.590000000000003</v>
      </c>
      <c r="S62" s="73">
        <f>-SUMIFS('2023-02'!$M:$M,'2023-02'!$E:$E,Trésorerie!S$4,'2023-02'!$F:$F,Trésorerie!$B62)+SUMIFS('2023-02'!$N:$N,'2023-02'!$E:$E,Trésorerie!S$4,'2023-02'!$F:$F,Trésorerie!$B62)</f>
        <v>0</v>
      </c>
      <c r="T62" s="73">
        <f>-SUMIFS('2023-03'!$M:$M,'2023-03'!$E:$E,Trésorerie!T$4,'2023-03'!$F:$F,Trésorerie!$B62)+SUMIFS('2023-03'!$N:$N,'2023-03'!$E:$E,Trésorerie!T$4,'2023-03'!$F:$F,Trésorerie!$B62)</f>
        <v>0</v>
      </c>
      <c r="U62" s="73">
        <f>-SUMIFS('2023-04'!$M:$M,'2023-04'!$E:$E,Trésorerie!U$4,'2023-04'!$F:$F,Trésorerie!$B62)+SUMIFS('2023-04'!$N:$N,'2023-04'!$E:$E,Trésorerie!U$4,'2023-04'!$F:$F,Trésorerie!$B62)</f>
        <v>-95.11</v>
      </c>
      <c r="V62" s="73">
        <f>-SUMIFS('2023-05'!$M:$M,'2023-05'!$E:$E,Trésorerie!V$4,'2023-05'!$F:$F,Trésorerie!$B62)+SUMIFS('2023-05'!$N:$N,'2023-05'!$E:$E,Trésorerie!V$4,'2023-05'!$F:$F,Trésorerie!$B62)</f>
        <v>0</v>
      </c>
      <c r="W62" s="73">
        <f>-SUMIFS('2023-06'!$M:$M,'2023-06'!$E:$E,Trésorerie!W$4,'2023-06'!$F:$F,Trésorerie!$B62)+SUMIFS('2023-06'!$N:$N,'2023-06'!$E:$E,Trésorerie!W$4,'2023-06'!$F:$F,Trésorerie!$B62)</f>
        <v>0</v>
      </c>
      <c r="X62" s="73">
        <f>-SUMIFS('2023-07'!$M:$M,'2023-07'!$E:$E,Trésorerie!X$4,'2023-07'!$F:$F,Trésorerie!$B62)+SUMIFS('2023-07'!$N:$N,'2023-07'!$E:$E,Trésorerie!X$4,'2023-07'!$F:$F,Trésorerie!$B62)</f>
        <v>-45.82</v>
      </c>
      <c r="Y62" s="73">
        <f>-SUMIFS('2023-08'!$M:$M,'2023-08'!$E:$E,Trésorerie!Y$4,'2023-08'!$F:$F,Trésorerie!$B62)+SUMIFS('2023-08'!$N:$N,'2023-08'!$E:$E,Trésorerie!Y$4,'2023-08'!$F:$F,Trésorerie!$B62)</f>
        <v>0</v>
      </c>
      <c r="Z62" s="73">
        <f>-SUMIFS('2023-09'!$M:$M,'2023-09'!$E:$E,Trésorerie!Z$4,'2023-09'!$F:$F,Trésorerie!$B62)+SUMIFS('2023-09'!$N:$N,'2023-09'!$E:$E,Trésorerie!Z$4,'2023-09'!$F:$F,Trésorerie!$B62)</f>
        <v>0</v>
      </c>
      <c r="AA62" s="73">
        <f>-SUMIFS('2023-10'!$M:$M,'2023-10'!$E:$E,Trésorerie!AA$4,'2023-10'!$F:$F,Trésorerie!$B62)+SUMIFS('2023-10'!$N:$N,'2023-10'!$E:$E,Trésorerie!AA$4,'2023-10'!$F:$F,Trésorerie!$B62)</f>
        <v>0</v>
      </c>
      <c r="AB62" s="75">
        <f>IF(SUM($E62:O62)&lt;SUM($R62:AA62),SUM($E62:O62)-SUM($R62:AA62),0)</f>
        <v>0</v>
      </c>
      <c r="AC62" s="75">
        <f>IF(SUM($E62:P62)&lt;SUM($R62:AB62),SUM($E62:P62)-SUM($R62:AB62),0)</f>
        <v>0</v>
      </c>
      <c r="AD62" s="79"/>
    </row>
    <row r="63" spans="1:30" x14ac:dyDescent="0.25">
      <c r="A63" s="29">
        <f t="shared" si="0"/>
        <v>-152.79</v>
      </c>
      <c r="B63" s="57">
        <v>602120</v>
      </c>
      <c r="C63" s="35" t="s">
        <v>447</v>
      </c>
      <c r="D63" s="57" t="s">
        <v>4752</v>
      </c>
      <c r="E63" s="41">
        <f>-SUMIFS('2022'!$M:$M,'2022'!$E:$E,Trésorerie!E$4,'2022'!$F:$F,Trésorerie!$B63)+SUMIFS('2022'!$N:$N,'2022'!$E:$E,Trésorerie!E$4,'2022'!$F:$F,Trésorerie!$B63)</f>
        <v>0</v>
      </c>
      <c r="F63" s="41">
        <f>-SUMIFS('2022'!$M:$M,'2022'!$E:$E,Trésorerie!F$4,'2022'!$F:$F,Trésorerie!$B63)+SUMIFS('2022'!$N:$N,'2022'!$E:$E,Trésorerie!F$4,'2022'!$F:$F,Trésorerie!$B63)</f>
        <v>-1.99</v>
      </c>
      <c r="G63" s="41">
        <f>-SUMIFS('2022'!$M:$M,'2022'!$E:$E,Trésorerie!G$4,'2022'!$F:$F,Trésorerie!$B63)+SUMIFS('2022'!$N:$N,'2022'!$E:$E,Trésorerie!G$4,'2022'!$F:$F,Trésorerie!$B63)</f>
        <v>0</v>
      </c>
      <c r="H63" s="41">
        <f>-SUMIFS('2022'!$M:$M,'2022'!$E:$E,Trésorerie!H$4,'2022'!$F:$F,Trésorerie!$B63)+SUMIFS('2022'!$N:$N,'2022'!$E:$E,Trésorerie!H$4,'2022'!$F:$F,Trésorerie!$B63)</f>
        <v>-30.8</v>
      </c>
      <c r="I63" s="41">
        <f>-SUMIFS('2022'!$M:$M,'2022'!$E:$E,Trésorerie!I$4,'2022'!$F:$F,Trésorerie!$B63)+SUMIFS('2022'!$N:$N,'2022'!$E:$E,Trésorerie!I$4,'2022'!$F:$F,Trésorerie!$B63)</f>
        <v>0</v>
      </c>
      <c r="J63" s="41">
        <f>-SUMIFS('2022'!$M:$M,'2022'!$E:$E,Trésorerie!J$4,'2022'!$F:$F,Trésorerie!$B63)+SUMIFS('2022'!$N:$N,'2022'!$E:$E,Trésorerie!J$4,'2022'!$F:$F,Trésorerie!$B63)</f>
        <v>0</v>
      </c>
      <c r="K63" s="41">
        <f>-SUMIFS('2022'!$M:$M,'2022'!$E:$E,Trésorerie!K$4,'2022'!$F:$F,Trésorerie!$B63)+SUMIFS('2022'!$N:$N,'2022'!$E:$E,Trésorerie!K$4,'2022'!$F:$F,Trésorerie!$B63)</f>
        <v>-120</v>
      </c>
      <c r="L63" s="41">
        <f>-SUMIFS('2022'!$M:$M,'2022'!$E:$E,Trésorerie!L$4,'2022'!$F:$F,Trésorerie!$B63)+SUMIFS('2022'!$N:$N,'2022'!$E:$E,Trésorerie!L$4,'2022'!$F:$F,Trésorerie!$B63)</f>
        <v>0</v>
      </c>
      <c r="M63" s="41">
        <f>-SUMIFS('2022'!$M:$M,'2022'!$E:$E,Trésorerie!M$4,'2022'!$F:$F,Trésorerie!$B63)+SUMIFS('2022'!$N:$N,'2022'!$E:$E,Trésorerie!M$4,'2022'!$F:$F,Trésorerie!$B63)</f>
        <v>0</v>
      </c>
      <c r="N63" s="41">
        <f>-SUMIFS('2022'!$M:$M,'2022'!$E:$E,Trésorerie!N$4,'2022'!$F:$F,Trésorerie!$B63)+SUMIFS('2022'!$N:$N,'2022'!$E:$E,Trésorerie!N$4,'2022'!$F:$F,Trésorerie!$B63)</f>
        <v>0</v>
      </c>
      <c r="O63" s="41">
        <f>-SUMIFS('2022'!$M:$M,'2022'!$E:$E,Trésorerie!O$4,'2022'!$F:$F,Trésorerie!$B63)+SUMIFS('2022'!$N:$N,'2022'!$E:$E,Trésorerie!O$4,'2022'!$F:$F,Trésorerie!$B63)</f>
        <v>0</v>
      </c>
      <c r="P63" s="41">
        <f>-SUMIFS('2022'!$M:$M,'2022'!$E:$E,Trésorerie!P$4,'2022'!$F:$F,Trésorerie!$B63)+SUMIFS('2022'!$N:$N,'2022'!$E:$E,Trésorerie!P$4,'2022'!$F:$F,Trésorerie!$B63)</f>
        <v>0</v>
      </c>
      <c r="R63" s="73">
        <f>-SUMIFS('2023-01'!$M:$M,'2023-01'!$E:$E,Trésorerie!R$4,'2023-01'!$F:$F,Trésorerie!$B63)+SUMIFS('2023-01'!$N:$N,'2023-01'!$E:$E,Trésorerie!R$4,'2023-01'!$F:$F,Trésorerie!$B63)</f>
        <v>0</v>
      </c>
      <c r="S63" s="73">
        <f>-SUMIFS('2023-02'!$M:$M,'2023-02'!$E:$E,Trésorerie!S$4,'2023-02'!$F:$F,Trésorerie!$B63)+SUMIFS('2023-02'!$N:$N,'2023-02'!$E:$E,Trésorerie!S$4,'2023-02'!$F:$F,Trésorerie!$B63)</f>
        <v>0</v>
      </c>
      <c r="T63" s="73">
        <f>-SUMIFS('2023-03'!$M:$M,'2023-03'!$E:$E,Trésorerie!T$4,'2023-03'!$F:$F,Trésorerie!$B63)+SUMIFS('2023-03'!$N:$N,'2023-03'!$E:$E,Trésorerie!T$4,'2023-03'!$F:$F,Trésorerie!$B63)</f>
        <v>0</v>
      </c>
      <c r="U63" s="73">
        <f>-SUMIFS('2023-04'!$M:$M,'2023-04'!$E:$E,Trésorerie!U$4,'2023-04'!$F:$F,Trésorerie!$B63)+SUMIFS('2023-04'!$N:$N,'2023-04'!$E:$E,Trésorerie!U$4,'2023-04'!$F:$F,Trésorerie!$B63)</f>
        <v>0</v>
      </c>
      <c r="V63" s="73">
        <f>-SUMIFS('2023-05'!$M:$M,'2023-05'!$E:$E,Trésorerie!V$4,'2023-05'!$F:$F,Trésorerie!$B63)+SUMIFS('2023-05'!$N:$N,'2023-05'!$E:$E,Trésorerie!V$4,'2023-05'!$F:$F,Trésorerie!$B63)</f>
        <v>0</v>
      </c>
      <c r="W63" s="73">
        <f>-SUMIFS('2023-06'!$M:$M,'2023-06'!$E:$E,Trésorerie!W$4,'2023-06'!$F:$F,Trésorerie!$B63)+SUMIFS('2023-06'!$N:$N,'2023-06'!$E:$E,Trésorerie!W$4,'2023-06'!$F:$F,Trésorerie!$B63)</f>
        <v>0</v>
      </c>
      <c r="X63" s="73">
        <f>-SUMIFS('2023-07'!$M:$M,'2023-07'!$E:$E,Trésorerie!X$4,'2023-07'!$F:$F,Trésorerie!$B63)+SUMIFS('2023-07'!$N:$N,'2023-07'!$E:$E,Trésorerie!X$4,'2023-07'!$F:$F,Trésorerie!$B63)</f>
        <v>0</v>
      </c>
      <c r="Y63" s="73">
        <f>-SUMIFS('2023-08'!$M:$M,'2023-08'!$E:$E,Trésorerie!Y$4,'2023-08'!$F:$F,Trésorerie!$B63)+SUMIFS('2023-08'!$N:$N,'2023-08'!$E:$E,Trésorerie!Y$4,'2023-08'!$F:$F,Trésorerie!$B63)</f>
        <v>0</v>
      </c>
      <c r="Z63" s="73">
        <f>-SUMIFS('2023-09'!$M:$M,'2023-09'!$E:$E,Trésorerie!Z$4,'2023-09'!$F:$F,Trésorerie!$B63)+SUMIFS('2023-09'!$N:$N,'2023-09'!$E:$E,Trésorerie!Z$4,'2023-09'!$F:$F,Trésorerie!$B63)</f>
        <v>0</v>
      </c>
      <c r="AA63" s="73">
        <f>-SUMIFS('2023-10'!$M:$M,'2023-10'!$E:$E,Trésorerie!AA$4,'2023-10'!$F:$F,Trésorerie!$B63)+SUMIFS('2023-10'!$N:$N,'2023-10'!$E:$E,Trésorerie!AA$4,'2023-10'!$F:$F,Trésorerie!$B63)</f>
        <v>0</v>
      </c>
      <c r="AB63" s="75">
        <f>IF(SUM($E63:O63)&lt;SUM($R63:AA63),SUM($E63:O63)-SUM($R63:AA63),0)</f>
        <v>-152.79</v>
      </c>
      <c r="AC63" s="75">
        <f>IF(SUM($E63:P63)&lt;SUM($R63:AB63),SUM($E63:P63)-SUM($R63:AB63),0)</f>
        <v>0</v>
      </c>
      <c r="AD63" s="79"/>
    </row>
    <row r="64" spans="1:30" x14ac:dyDescent="0.25">
      <c r="A64" s="29">
        <f t="shared" si="0"/>
        <v>-78.03</v>
      </c>
      <c r="B64" s="57">
        <v>625700</v>
      </c>
      <c r="C64" s="35" t="s">
        <v>810</v>
      </c>
      <c r="D64" s="57" t="s">
        <v>4752</v>
      </c>
      <c r="E64" s="41">
        <f>-SUMIFS('2022'!$M:$M,'2022'!$E:$E,Trésorerie!E$4,'2022'!$F:$F,Trésorerie!$B64)+SUMIFS('2022'!$N:$N,'2022'!$E:$E,Trésorerie!E$4,'2022'!$F:$F,Trésorerie!$B64)</f>
        <v>0</v>
      </c>
      <c r="F64" s="41">
        <f>-SUMIFS('2022'!$M:$M,'2022'!$E:$E,Trésorerie!F$4,'2022'!$F:$F,Trésorerie!$B64)+SUMIFS('2022'!$N:$N,'2022'!$E:$E,Trésorerie!F$4,'2022'!$F:$F,Trésorerie!$B64)</f>
        <v>0</v>
      </c>
      <c r="G64" s="41">
        <f>-SUMIFS('2022'!$M:$M,'2022'!$E:$E,Trésorerie!G$4,'2022'!$F:$F,Trésorerie!$B64)+SUMIFS('2022'!$N:$N,'2022'!$E:$E,Trésorerie!G$4,'2022'!$F:$F,Trésorerie!$B64)</f>
        <v>0</v>
      </c>
      <c r="H64" s="41">
        <f>-SUMIFS('2022'!$M:$M,'2022'!$E:$E,Trésorerie!H$4,'2022'!$F:$F,Trésorerie!$B64)+SUMIFS('2022'!$N:$N,'2022'!$E:$E,Trésorerie!H$4,'2022'!$F:$F,Trésorerie!$B64)</f>
        <v>0</v>
      </c>
      <c r="I64" s="41">
        <f>-SUMIFS('2022'!$M:$M,'2022'!$E:$E,Trésorerie!I$4,'2022'!$F:$F,Trésorerie!$B64)+SUMIFS('2022'!$N:$N,'2022'!$E:$E,Trésorerie!I$4,'2022'!$F:$F,Trésorerie!$B64)</f>
        <v>0</v>
      </c>
      <c r="J64" s="41">
        <f>-SUMIFS('2022'!$M:$M,'2022'!$E:$E,Trésorerie!J$4,'2022'!$F:$F,Trésorerie!$B64)+SUMIFS('2022'!$N:$N,'2022'!$E:$E,Trésorerie!J$4,'2022'!$F:$F,Trésorerie!$B64)</f>
        <v>0</v>
      </c>
      <c r="K64" s="41">
        <f>-SUMIFS('2022'!$M:$M,'2022'!$E:$E,Trésorerie!K$4,'2022'!$F:$F,Trésorerie!$B64)+SUMIFS('2022'!$N:$N,'2022'!$E:$E,Trésorerie!K$4,'2022'!$F:$F,Trésorerie!$B64)</f>
        <v>0</v>
      </c>
      <c r="L64" s="41">
        <f>-SUMIFS('2022'!$M:$M,'2022'!$E:$E,Trésorerie!L$4,'2022'!$F:$F,Trésorerie!$B64)+SUMIFS('2022'!$N:$N,'2022'!$E:$E,Trésorerie!L$4,'2022'!$F:$F,Trésorerie!$B64)</f>
        <v>0</v>
      </c>
      <c r="M64" s="41">
        <f>-SUMIFS('2022'!$M:$M,'2022'!$E:$E,Trésorerie!M$4,'2022'!$F:$F,Trésorerie!$B64)+SUMIFS('2022'!$N:$N,'2022'!$E:$E,Trésorerie!M$4,'2022'!$F:$F,Trésorerie!$B64)</f>
        <v>-78.03</v>
      </c>
      <c r="N64" s="41">
        <f>-SUMIFS('2022'!$M:$M,'2022'!$E:$E,Trésorerie!N$4,'2022'!$F:$F,Trésorerie!$B64)+SUMIFS('2022'!$N:$N,'2022'!$E:$E,Trésorerie!N$4,'2022'!$F:$F,Trésorerie!$B64)</f>
        <v>0</v>
      </c>
      <c r="O64" s="41">
        <f>-SUMIFS('2022'!$M:$M,'2022'!$E:$E,Trésorerie!O$4,'2022'!$F:$F,Trésorerie!$B64)+SUMIFS('2022'!$N:$N,'2022'!$E:$E,Trésorerie!O$4,'2022'!$F:$F,Trésorerie!$B64)</f>
        <v>0</v>
      </c>
      <c r="P64" s="41">
        <f>-SUMIFS('2022'!$M:$M,'2022'!$E:$E,Trésorerie!P$4,'2022'!$F:$F,Trésorerie!$B64)+SUMIFS('2022'!$N:$N,'2022'!$E:$E,Trésorerie!P$4,'2022'!$F:$F,Trésorerie!$B64)</f>
        <v>0</v>
      </c>
      <c r="R64" s="73">
        <f>-SUMIFS('2023-01'!$M:$M,'2023-01'!$E:$E,Trésorerie!R$4,'2023-01'!$F:$F,Trésorerie!$B64)+SUMIFS('2023-01'!$N:$N,'2023-01'!$E:$E,Trésorerie!R$4,'2023-01'!$F:$F,Trésorerie!$B64)</f>
        <v>0</v>
      </c>
      <c r="S64" s="73">
        <f>-SUMIFS('2023-02'!$M:$M,'2023-02'!$E:$E,Trésorerie!S$4,'2023-02'!$F:$F,Trésorerie!$B64)+SUMIFS('2023-02'!$N:$N,'2023-02'!$E:$E,Trésorerie!S$4,'2023-02'!$F:$F,Trésorerie!$B64)</f>
        <v>0</v>
      </c>
      <c r="T64" s="73">
        <f>-SUMIFS('2023-03'!$M:$M,'2023-03'!$E:$E,Trésorerie!T$4,'2023-03'!$F:$F,Trésorerie!$B64)+SUMIFS('2023-03'!$N:$N,'2023-03'!$E:$E,Trésorerie!T$4,'2023-03'!$F:$F,Trésorerie!$B64)</f>
        <v>0</v>
      </c>
      <c r="U64" s="73">
        <f>-SUMIFS('2023-04'!$M:$M,'2023-04'!$E:$E,Trésorerie!U$4,'2023-04'!$F:$F,Trésorerie!$B64)+SUMIFS('2023-04'!$N:$N,'2023-04'!$E:$E,Trésorerie!U$4,'2023-04'!$F:$F,Trésorerie!$B64)</f>
        <v>0</v>
      </c>
      <c r="V64" s="73">
        <f>-SUMIFS('2023-05'!$M:$M,'2023-05'!$E:$E,Trésorerie!V$4,'2023-05'!$F:$F,Trésorerie!$B64)+SUMIFS('2023-05'!$N:$N,'2023-05'!$E:$E,Trésorerie!V$4,'2023-05'!$F:$F,Trésorerie!$B64)</f>
        <v>0</v>
      </c>
      <c r="W64" s="73">
        <f>-SUMIFS('2023-06'!$M:$M,'2023-06'!$E:$E,Trésorerie!W$4,'2023-06'!$F:$F,Trésorerie!$B64)+SUMIFS('2023-06'!$N:$N,'2023-06'!$E:$E,Trésorerie!W$4,'2023-06'!$F:$F,Trésorerie!$B64)</f>
        <v>0</v>
      </c>
      <c r="X64" s="73">
        <f>-SUMIFS('2023-07'!$M:$M,'2023-07'!$E:$E,Trésorerie!X$4,'2023-07'!$F:$F,Trésorerie!$B64)+SUMIFS('2023-07'!$N:$N,'2023-07'!$E:$E,Trésorerie!X$4,'2023-07'!$F:$F,Trésorerie!$B64)</f>
        <v>0</v>
      </c>
      <c r="Y64" s="73">
        <f>-SUMIFS('2023-08'!$M:$M,'2023-08'!$E:$E,Trésorerie!Y$4,'2023-08'!$F:$F,Trésorerie!$B64)+SUMIFS('2023-08'!$N:$N,'2023-08'!$E:$E,Trésorerie!Y$4,'2023-08'!$F:$F,Trésorerie!$B64)</f>
        <v>0</v>
      </c>
      <c r="Z64" s="73">
        <f>-SUMIFS('2023-09'!$M:$M,'2023-09'!$E:$E,Trésorerie!Z$4,'2023-09'!$F:$F,Trésorerie!$B64)+SUMIFS('2023-09'!$N:$N,'2023-09'!$E:$E,Trésorerie!Z$4,'2023-09'!$F:$F,Trésorerie!$B64)</f>
        <v>0</v>
      </c>
      <c r="AA64" s="73">
        <f>-SUMIFS('2023-10'!$M:$M,'2023-10'!$E:$E,Trésorerie!AA$4,'2023-10'!$F:$F,Trésorerie!$B64)+SUMIFS('2023-10'!$N:$N,'2023-10'!$E:$E,Trésorerie!AA$4,'2023-10'!$F:$F,Trésorerie!$B64)</f>
        <v>0</v>
      </c>
      <c r="AB64" s="75">
        <f>IF(SUM($E64:O64)&lt;SUM($R64:AA64),SUM($E64:O64)-SUM($R64:AA64),0)</f>
        <v>-78.03</v>
      </c>
      <c r="AC64" s="75">
        <f>IF(SUM($E64:P64)&lt;SUM($R64:AB64),SUM($E64:P64)-SUM($R64:AB64),0)</f>
        <v>0</v>
      </c>
      <c r="AD64" s="79"/>
    </row>
    <row r="65" spans="1:30" x14ac:dyDescent="0.25">
      <c r="A65" s="29">
        <f t="shared" si="0"/>
        <v>-73.819999999999993</v>
      </c>
      <c r="B65" s="57">
        <v>602110</v>
      </c>
      <c r="C65" s="35" t="s">
        <v>809</v>
      </c>
      <c r="D65" s="57" t="s">
        <v>4752</v>
      </c>
      <c r="E65" s="41">
        <f>-SUMIFS('2022'!$M:$M,'2022'!$E:$E,Trésorerie!E$4,'2022'!$F:$F,Trésorerie!$B65)+SUMIFS('2022'!$N:$N,'2022'!$E:$E,Trésorerie!E$4,'2022'!$F:$F,Trésorerie!$B65)</f>
        <v>0</v>
      </c>
      <c r="F65" s="41">
        <f>-SUMIFS('2022'!$M:$M,'2022'!$E:$E,Trésorerie!F$4,'2022'!$F:$F,Trésorerie!$B65)+SUMIFS('2022'!$N:$N,'2022'!$E:$E,Trésorerie!F$4,'2022'!$F:$F,Trésorerie!$B65)</f>
        <v>0</v>
      </c>
      <c r="G65" s="41">
        <f>-SUMIFS('2022'!$M:$M,'2022'!$E:$E,Trésorerie!G$4,'2022'!$F:$F,Trésorerie!$B65)+SUMIFS('2022'!$N:$N,'2022'!$E:$E,Trésorerie!G$4,'2022'!$F:$F,Trésorerie!$B65)</f>
        <v>0</v>
      </c>
      <c r="H65" s="41">
        <f>-SUMIFS('2022'!$M:$M,'2022'!$E:$E,Trésorerie!H$4,'2022'!$F:$F,Trésorerie!$B65)+SUMIFS('2022'!$N:$N,'2022'!$E:$E,Trésorerie!H$4,'2022'!$F:$F,Trésorerie!$B65)</f>
        <v>-2</v>
      </c>
      <c r="I65" s="41">
        <f>-SUMIFS('2022'!$M:$M,'2022'!$E:$E,Trésorerie!I$4,'2022'!$F:$F,Trésorerie!$B65)+SUMIFS('2022'!$N:$N,'2022'!$E:$E,Trésorerie!I$4,'2022'!$F:$F,Trésorerie!$B65)</f>
        <v>0</v>
      </c>
      <c r="J65" s="41">
        <f>-SUMIFS('2022'!$M:$M,'2022'!$E:$E,Trésorerie!J$4,'2022'!$F:$F,Trésorerie!$B65)+SUMIFS('2022'!$N:$N,'2022'!$E:$E,Trésorerie!J$4,'2022'!$F:$F,Trésorerie!$B65)</f>
        <v>0</v>
      </c>
      <c r="K65" s="41">
        <f>-SUMIFS('2022'!$M:$M,'2022'!$E:$E,Trésorerie!K$4,'2022'!$F:$F,Trésorerie!$B65)+SUMIFS('2022'!$N:$N,'2022'!$E:$E,Trésorerie!K$4,'2022'!$F:$F,Trésorerie!$B65)</f>
        <v>0</v>
      </c>
      <c r="L65" s="41">
        <f>-SUMIFS('2022'!$M:$M,'2022'!$E:$E,Trésorerie!L$4,'2022'!$F:$F,Trésorerie!$B65)+SUMIFS('2022'!$N:$N,'2022'!$E:$E,Trésorerie!L$4,'2022'!$F:$F,Trésorerie!$B65)</f>
        <v>0</v>
      </c>
      <c r="M65" s="41">
        <f>-SUMIFS('2022'!$M:$M,'2022'!$E:$E,Trésorerie!M$4,'2022'!$F:$F,Trésorerie!$B65)+SUMIFS('2022'!$N:$N,'2022'!$E:$E,Trésorerie!M$4,'2022'!$F:$F,Trésorerie!$B65)</f>
        <v>0</v>
      </c>
      <c r="N65" s="41">
        <f>-SUMIFS('2022'!$M:$M,'2022'!$E:$E,Trésorerie!N$4,'2022'!$F:$F,Trésorerie!$B65)+SUMIFS('2022'!$N:$N,'2022'!$E:$E,Trésorerie!N$4,'2022'!$F:$F,Trésorerie!$B65)</f>
        <v>0</v>
      </c>
      <c r="O65" s="41">
        <f>-SUMIFS('2022'!$M:$M,'2022'!$E:$E,Trésorerie!O$4,'2022'!$F:$F,Trésorerie!$B65)+SUMIFS('2022'!$N:$N,'2022'!$E:$E,Trésorerie!O$4,'2022'!$F:$F,Trésorerie!$B65)</f>
        <v>-71.819999999999993</v>
      </c>
      <c r="P65" s="41">
        <f>-SUMIFS('2022'!$M:$M,'2022'!$E:$E,Trésorerie!P$4,'2022'!$F:$F,Trésorerie!$B65)+SUMIFS('2022'!$N:$N,'2022'!$E:$E,Trésorerie!P$4,'2022'!$F:$F,Trésorerie!$B65)</f>
        <v>0</v>
      </c>
      <c r="R65" s="73">
        <f>-SUMIFS('2023-01'!$M:$M,'2023-01'!$E:$E,Trésorerie!R$4,'2023-01'!$F:$F,Trésorerie!$B65)+SUMIFS('2023-01'!$N:$N,'2023-01'!$E:$E,Trésorerie!R$4,'2023-01'!$F:$F,Trésorerie!$B65)</f>
        <v>0</v>
      </c>
      <c r="S65" s="73">
        <f>-SUMIFS('2023-02'!$M:$M,'2023-02'!$E:$E,Trésorerie!S$4,'2023-02'!$F:$F,Trésorerie!$B65)+SUMIFS('2023-02'!$N:$N,'2023-02'!$E:$E,Trésorerie!S$4,'2023-02'!$F:$F,Trésorerie!$B65)</f>
        <v>0</v>
      </c>
      <c r="T65" s="73">
        <f>-SUMIFS('2023-03'!$M:$M,'2023-03'!$E:$E,Trésorerie!T$4,'2023-03'!$F:$F,Trésorerie!$B65)+SUMIFS('2023-03'!$N:$N,'2023-03'!$E:$E,Trésorerie!T$4,'2023-03'!$F:$F,Trésorerie!$B65)</f>
        <v>0</v>
      </c>
      <c r="U65" s="73">
        <f>-SUMIFS('2023-04'!$M:$M,'2023-04'!$E:$E,Trésorerie!U$4,'2023-04'!$F:$F,Trésorerie!$B65)+SUMIFS('2023-04'!$N:$N,'2023-04'!$E:$E,Trésorerie!U$4,'2023-04'!$F:$F,Trésorerie!$B65)</f>
        <v>0</v>
      </c>
      <c r="V65" s="73">
        <f>-SUMIFS('2023-05'!$M:$M,'2023-05'!$E:$E,Trésorerie!V$4,'2023-05'!$F:$F,Trésorerie!$B65)+SUMIFS('2023-05'!$N:$N,'2023-05'!$E:$E,Trésorerie!V$4,'2023-05'!$F:$F,Trésorerie!$B65)</f>
        <v>0</v>
      </c>
      <c r="W65" s="73">
        <f>-SUMIFS('2023-06'!$M:$M,'2023-06'!$E:$E,Trésorerie!W$4,'2023-06'!$F:$F,Trésorerie!$B65)+SUMIFS('2023-06'!$N:$N,'2023-06'!$E:$E,Trésorerie!W$4,'2023-06'!$F:$F,Trésorerie!$B65)</f>
        <v>0</v>
      </c>
      <c r="X65" s="73">
        <f>-SUMIFS('2023-07'!$M:$M,'2023-07'!$E:$E,Trésorerie!X$4,'2023-07'!$F:$F,Trésorerie!$B65)+SUMIFS('2023-07'!$N:$N,'2023-07'!$E:$E,Trésorerie!X$4,'2023-07'!$F:$F,Trésorerie!$B65)</f>
        <v>0</v>
      </c>
      <c r="Y65" s="73">
        <f>-SUMIFS('2023-08'!$M:$M,'2023-08'!$E:$E,Trésorerie!Y$4,'2023-08'!$F:$F,Trésorerie!$B65)+SUMIFS('2023-08'!$N:$N,'2023-08'!$E:$E,Trésorerie!Y$4,'2023-08'!$F:$F,Trésorerie!$B65)</f>
        <v>0</v>
      </c>
      <c r="Z65" s="73">
        <f>-SUMIFS('2023-09'!$M:$M,'2023-09'!$E:$E,Trésorerie!Z$4,'2023-09'!$F:$F,Trésorerie!$B65)+SUMIFS('2023-09'!$N:$N,'2023-09'!$E:$E,Trésorerie!Z$4,'2023-09'!$F:$F,Trésorerie!$B65)</f>
        <v>0</v>
      </c>
      <c r="AA65" s="73">
        <f>-SUMIFS('2023-10'!$M:$M,'2023-10'!$E:$E,Trésorerie!AA$4,'2023-10'!$F:$F,Trésorerie!$B65)+SUMIFS('2023-10'!$N:$N,'2023-10'!$E:$E,Trésorerie!AA$4,'2023-10'!$F:$F,Trésorerie!$B65)</f>
        <v>0</v>
      </c>
      <c r="AB65" s="75">
        <f>IF(SUM($E65:O65)&lt;SUM($R65:AA65),SUM($E65:O65)-SUM($R65:AA65),0)</f>
        <v>-73.819999999999993</v>
      </c>
      <c r="AC65" s="75">
        <f>IF(SUM($E65:P65)&lt;SUM($R65:AB65),SUM($E65:P65)-SUM($R65:AB65),0)</f>
        <v>0</v>
      </c>
      <c r="AD65" s="79"/>
    </row>
    <row r="66" spans="1:30" x14ac:dyDescent="0.25">
      <c r="A66" s="29">
        <f t="shared" si="0"/>
        <v>0</v>
      </c>
      <c r="B66" s="57">
        <v>626100</v>
      </c>
      <c r="C66" s="35" t="s">
        <v>6273</v>
      </c>
      <c r="D66" s="57" t="s">
        <v>4752</v>
      </c>
      <c r="E66" s="41">
        <f>-SUMIFS('2022'!$M:$M,'2022'!$E:$E,Trésorerie!E$4,'2022'!$F:$F,Trésorerie!$B66)+SUMIFS('2022'!$N:$N,'2022'!$E:$E,Trésorerie!E$4,'2022'!$F:$F,Trésorerie!$B66)</f>
        <v>0</v>
      </c>
      <c r="F66" s="41">
        <f>-SUMIFS('2022'!$M:$M,'2022'!$E:$E,Trésorerie!F$4,'2022'!$F:$F,Trésorerie!$B66)+SUMIFS('2022'!$N:$N,'2022'!$E:$E,Trésorerie!F$4,'2022'!$F:$F,Trésorerie!$B66)</f>
        <v>0</v>
      </c>
      <c r="G66" s="41">
        <f>-SUMIFS('2022'!$M:$M,'2022'!$E:$E,Trésorerie!G$4,'2022'!$F:$F,Trésorerie!$B66)+SUMIFS('2022'!$N:$N,'2022'!$E:$E,Trésorerie!G$4,'2022'!$F:$F,Trésorerie!$B66)</f>
        <v>0</v>
      </c>
      <c r="H66" s="41">
        <f>-SUMIFS('2022'!$M:$M,'2022'!$E:$E,Trésorerie!H$4,'2022'!$F:$F,Trésorerie!$B66)+SUMIFS('2022'!$N:$N,'2022'!$E:$E,Trésorerie!H$4,'2022'!$F:$F,Trésorerie!$B66)</f>
        <v>0</v>
      </c>
      <c r="I66" s="41">
        <f>-SUMIFS('2022'!$M:$M,'2022'!$E:$E,Trésorerie!I$4,'2022'!$F:$F,Trésorerie!$B66)+SUMIFS('2022'!$N:$N,'2022'!$E:$E,Trésorerie!I$4,'2022'!$F:$F,Trésorerie!$B66)</f>
        <v>0</v>
      </c>
      <c r="J66" s="41">
        <f>-SUMIFS('2022'!$M:$M,'2022'!$E:$E,Trésorerie!J$4,'2022'!$F:$F,Trésorerie!$B66)+SUMIFS('2022'!$N:$N,'2022'!$E:$E,Trésorerie!J$4,'2022'!$F:$F,Trésorerie!$B66)</f>
        <v>0</v>
      </c>
      <c r="K66" s="41">
        <f>-SUMIFS('2022'!$M:$M,'2022'!$E:$E,Trésorerie!K$4,'2022'!$F:$F,Trésorerie!$B66)+SUMIFS('2022'!$N:$N,'2022'!$E:$E,Trésorerie!K$4,'2022'!$F:$F,Trésorerie!$B66)</f>
        <v>0</v>
      </c>
      <c r="L66" s="41">
        <f>-SUMIFS('2022'!$M:$M,'2022'!$E:$E,Trésorerie!L$4,'2022'!$F:$F,Trésorerie!$B66)+SUMIFS('2022'!$N:$N,'2022'!$E:$E,Trésorerie!L$4,'2022'!$F:$F,Trésorerie!$B66)</f>
        <v>0</v>
      </c>
      <c r="M66" s="41">
        <f>-SUMIFS('2022'!$M:$M,'2022'!$E:$E,Trésorerie!M$4,'2022'!$F:$F,Trésorerie!$B66)+SUMIFS('2022'!$N:$N,'2022'!$E:$E,Trésorerie!M$4,'2022'!$F:$F,Trésorerie!$B66)</f>
        <v>0</v>
      </c>
      <c r="N66" s="41">
        <f>-SUMIFS('2022'!$M:$M,'2022'!$E:$E,Trésorerie!N$4,'2022'!$F:$F,Trésorerie!$B66)+SUMIFS('2022'!$N:$N,'2022'!$E:$E,Trésorerie!N$4,'2022'!$F:$F,Trésorerie!$B66)</f>
        <v>0</v>
      </c>
      <c r="O66" s="41">
        <f>-SUMIFS('2022'!$M:$M,'2022'!$E:$E,Trésorerie!O$4,'2022'!$F:$F,Trésorerie!$B66)+SUMIFS('2022'!$N:$N,'2022'!$E:$E,Trésorerie!O$4,'2022'!$F:$F,Trésorerie!$B66)</f>
        <v>0</v>
      </c>
      <c r="P66" s="41">
        <f>-SUMIFS('2022'!$M:$M,'2022'!$E:$E,Trésorerie!P$4,'2022'!$F:$F,Trésorerie!$B66)+SUMIFS('2022'!$N:$N,'2022'!$E:$E,Trésorerie!P$4,'2022'!$F:$F,Trésorerie!$B66)</f>
        <v>0</v>
      </c>
      <c r="R66" s="73">
        <f>-SUMIFS('2023-01'!$M:$M,'2023-01'!$E:$E,Trésorerie!R$4,'2023-01'!$F:$F,Trésorerie!$B66)+SUMIFS('2023-01'!$N:$N,'2023-01'!$E:$E,Trésorerie!R$4,'2023-01'!$F:$F,Trésorerie!$B66)</f>
        <v>0</v>
      </c>
      <c r="S66" s="73">
        <f>-SUMIFS('2023-02'!$M:$M,'2023-02'!$E:$E,Trésorerie!S$4,'2023-02'!$F:$F,Trésorerie!$B66)+SUMIFS('2023-02'!$N:$N,'2023-02'!$E:$E,Trésorerie!S$4,'2023-02'!$F:$F,Trésorerie!$B66)</f>
        <v>0</v>
      </c>
      <c r="T66" s="73">
        <f>-SUMIFS('2023-03'!$M:$M,'2023-03'!$E:$E,Trésorerie!T$4,'2023-03'!$F:$F,Trésorerie!$B66)+SUMIFS('2023-03'!$N:$N,'2023-03'!$E:$E,Trésorerie!T$4,'2023-03'!$F:$F,Trésorerie!$B66)</f>
        <v>0</v>
      </c>
      <c r="U66" s="73">
        <f>-SUMIFS('2023-04'!$M:$M,'2023-04'!$E:$E,Trésorerie!U$4,'2023-04'!$F:$F,Trésorerie!$B66)+SUMIFS('2023-04'!$N:$N,'2023-04'!$E:$E,Trésorerie!U$4,'2023-04'!$F:$F,Trésorerie!$B66)</f>
        <v>0</v>
      </c>
      <c r="V66" s="73">
        <f>-SUMIFS('2023-05'!$M:$M,'2023-05'!$E:$E,Trésorerie!V$4,'2023-05'!$F:$F,Trésorerie!$B66)+SUMIFS('2023-05'!$N:$N,'2023-05'!$E:$E,Trésorerie!V$4,'2023-05'!$F:$F,Trésorerie!$B66)</f>
        <v>-19.600000000000001</v>
      </c>
      <c r="W66" s="73">
        <f>-SUMIFS('2023-06'!$M:$M,'2023-06'!$E:$E,Trésorerie!W$4,'2023-06'!$F:$F,Trésorerie!$B66)+SUMIFS('2023-06'!$N:$N,'2023-06'!$E:$E,Trésorerie!W$4,'2023-06'!$F:$F,Trésorerie!$B66)</f>
        <v>0</v>
      </c>
      <c r="X66" s="73">
        <f>-SUMIFS('2023-07'!$M:$M,'2023-07'!$E:$E,Trésorerie!X$4,'2023-07'!$F:$F,Trésorerie!$B66)+SUMIFS('2023-07'!$N:$N,'2023-07'!$E:$E,Trésorerie!X$4,'2023-07'!$F:$F,Trésorerie!$B66)</f>
        <v>0</v>
      </c>
      <c r="Y66" s="73">
        <f>-SUMIFS('2023-08'!$M:$M,'2023-08'!$E:$E,Trésorerie!Y$4,'2023-08'!$F:$F,Trésorerie!$B66)+SUMIFS('2023-08'!$N:$N,'2023-08'!$E:$E,Trésorerie!Y$4,'2023-08'!$F:$F,Trésorerie!$B66)</f>
        <v>0</v>
      </c>
      <c r="Z66" s="73">
        <f>-SUMIFS('2023-09'!$M:$M,'2023-09'!$E:$E,Trésorerie!Z$4,'2023-09'!$F:$F,Trésorerie!$B66)+SUMIFS('2023-09'!$N:$N,'2023-09'!$E:$E,Trésorerie!Z$4,'2023-09'!$F:$F,Trésorerie!$B66)</f>
        <v>0</v>
      </c>
      <c r="AA66" s="73">
        <f>-SUMIFS('2023-10'!$M:$M,'2023-10'!$E:$E,Trésorerie!AA$4,'2023-10'!$F:$F,Trésorerie!$B66)+SUMIFS('2023-10'!$N:$N,'2023-10'!$E:$E,Trésorerie!AA$4,'2023-10'!$F:$F,Trésorerie!$B66)</f>
        <v>0</v>
      </c>
      <c r="AB66" s="75">
        <f>IF(SUM($E66:O66)&lt;SUM($R66:AA66),SUM($E66:O66)-SUM($R66:AA66),0)</f>
        <v>0</v>
      </c>
      <c r="AC66" s="75">
        <f>IF(SUM($E66:P66)&lt;SUM($R66:AB66),SUM($E66:P66)-SUM($R66:AB66),0)</f>
        <v>0</v>
      </c>
      <c r="AD66" s="79"/>
    </row>
    <row r="67" spans="1:30" x14ac:dyDescent="0.25">
      <c r="A67" s="29">
        <f t="shared" si="0"/>
        <v>-55.97</v>
      </c>
      <c r="B67" s="57">
        <v>627400</v>
      </c>
      <c r="C67" s="35" t="s">
        <v>722</v>
      </c>
      <c r="D67" s="57" t="s">
        <v>4752</v>
      </c>
      <c r="E67" s="41">
        <f>-SUMIFS('2022'!$M:$M,'2022'!$E:$E,Trésorerie!E$4,'2022'!$F:$F,Trésorerie!$B67)+SUMIFS('2022'!$N:$N,'2022'!$E:$E,Trésorerie!E$4,'2022'!$F:$F,Trésorerie!$B67)</f>
        <v>-9</v>
      </c>
      <c r="F67" s="41">
        <f>-SUMIFS('2022'!$M:$M,'2022'!$E:$E,Trésorerie!F$4,'2022'!$F:$F,Trésorerie!$B67)+SUMIFS('2022'!$N:$N,'2022'!$E:$E,Trésorerie!F$4,'2022'!$F:$F,Trésorerie!$B67)</f>
        <v>0</v>
      </c>
      <c r="G67" s="41">
        <f>-SUMIFS('2022'!$M:$M,'2022'!$E:$E,Trésorerie!G$4,'2022'!$F:$F,Trésorerie!$B67)+SUMIFS('2022'!$N:$N,'2022'!$E:$E,Trésorerie!G$4,'2022'!$F:$F,Trésorerie!$B67)</f>
        <v>-5</v>
      </c>
      <c r="H67" s="41">
        <f>-SUMIFS('2022'!$M:$M,'2022'!$E:$E,Trésorerie!H$4,'2022'!$F:$F,Trésorerie!$B67)+SUMIFS('2022'!$N:$N,'2022'!$E:$E,Trésorerie!H$4,'2022'!$F:$F,Trésorerie!$B67)</f>
        <v>0</v>
      </c>
      <c r="I67" s="41">
        <f>-SUMIFS('2022'!$M:$M,'2022'!$E:$E,Trésorerie!I$4,'2022'!$F:$F,Trésorerie!$B67)+SUMIFS('2022'!$N:$N,'2022'!$E:$E,Trésorerie!I$4,'2022'!$F:$F,Trésorerie!$B67)</f>
        <v>0</v>
      </c>
      <c r="J67" s="41">
        <f>-SUMIFS('2022'!$M:$M,'2022'!$E:$E,Trésorerie!J$4,'2022'!$F:$F,Trésorerie!$B67)+SUMIFS('2022'!$N:$N,'2022'!$E:$E,Trésorerie!J$4,'2022'!$F:$F,Trésorerie!$B67)</f>
        <v>0</v>
      </c>
      <c r="K67" s="41">
        <f>-SUMIFS('2022'!$M:$M,'2022'!$E:$E,Trésorerie!K$4,'2022'!$F:$F,Trésorerie!$B67)+SUMIFS('2022'!$N:$N,'2022'!$E:$E,Trésorerie!K$4,'2022'!$F:$F,Trésorerie!$B67)</f>
        <v>0</v>
      </c>
      <c r="L67" s="41">
        <f>-SUMIFS('2022'!$M:$M,'2022'!$E:$E,Trésorerie!L$4,'2022'!$F:$F,Trésorerie!$B67)+SUMIFS('2022'!$N:$N,'2022'!$E:$E,Trésorerie!L$4,'2022'!$F:$F,Trésorerie!$B67)</f>
        <v>-28.47</v>
      </c>
      <c r="M67" s="41">
        <f>-SUMIFS('2022'!$M:$M,'2022'!$E:$E,Trésorerie!M$4,'2022'!$F:$F,Trésorerie!$B67)+SUMIFS('2022'!$N:$N,'2022'!$E:$E,Trésorerie!M$4,'2022'!$F:$F,Trésorerie!$B67)</f>
        <v>0</v>
      </c>
      <c r="N67" s="41">
        <f>-SUMIFS('2022'!$M:$M,'2022'!$E:$E,Trésorerie!N$4,'2022'!$F:$F,Trésorerie!$B67)+SUMIFS('2022'!$N:$N,'2022'!$E:$E,Trésorerie!N$4,'2022'!$F:$F,Trésorerie!$B67)</f>
        <v>-13.5</v>
      </c>
      <c r="O67" s="41">
        <f>-SUMIFS('2022'!$M:$M,'2022'!$E:$E,Trésorerie!O$4,'2022'!$F:$F,Trésorerie!$B67)+SUMIFS('2022'!$N:$N,'2022'!$E:$E,Trésorerie!O$4,'2022'!$F:$F,Trésorerie!$B67)</f>
        <v>0</v>
      </c>
      <c r="P67" s="41">
        <f>-SUMIFS('2022'!$M:$M,'2022'!$E:$E,Trésorerie!P$4,'2022'!$F:$F,Trésorerie!$B67)+SUMIFS('2022'!$N:$N,'2022'!$E:$E,Trésorerie!P$4,'2022'!$F:$F,Trésorerie!$B67)</f>
        <v>0</v>
      </c>
      <c r="R67" s="73">
        <f>-SUMIFS('2023-01'!$M:$M,'2023-01'!$E:$E,Trésorerie!R$4,'2023-01'!$F:$F,Trésorerie!$B67)+SUMIFS('2023-01'!$N:$N,'2023-01'!$E:$E,Trésorerie!R$4,'2023-01'!$F:$F,Trésorerie!$B67)</f>
        <v>0</v>
      </c>
      <c r="S67" s="73">
        <f>-SUMIFS('2023-02'!$M:$M,'2023-02'!$E:$E,Trésorerie!S$4,'2023-02'!$F:$F,Trésorerie!$B67)+SUMIFS('2023-02'!$N:$N,'2023-02'!$E:$E,Trésorerie!S$4,'2023-02'!$F:$F,Trésorerie!$B67)</f>
        <v>0</v>
      </c>
      <c r="T67" s="73">
        <f>-SUMIFS('2023-03'!$M:$M,'2023-03'!$E:$E,Trésorerie!T$4,'2023-03'!$F:$F,Trésorerie!$B67)+SUMIFS('2023-03'!$N:$N,'2023-03'!$E:$E,Trésorerie!T$4,'2023-03'!$F:$F,Trésorerie!$B67)</f>
        <v>0</v>
      </c>
      <c r="U67" s="73">
        <f>-SUMIFS('2023-04'!$M:$M,'2023-04'!$E:$E,Trésorerie!U$4,'2023-04'!$F:$F,Trésorerie!$B67)+SUMIFS('2023-04'!$N:$N,'2023-04'!$E:$E,Trésorerie!U$4,'2023-04'!$F:$F,Trésorerie!$B67)</f>
        <v>-11.5</v>
      </c>
      <c r="V67" s="73">
        <f>-SUMIFS('2023-05'!$M:$M,'2023-05'!$E:$E,Trésorerie!V$4,'2023-05'!$F:$F,Trésorerie!$B67)+SUMIFS('2023-05'!$N:$N,'2023-05'!$E:$E,Trésorerie!V$4,'2023-05'!$F:$F,Trésorerie!$B67)</f>
        <v>0</v>
      </c>
      <c r="W67" s="73">
        <f>-SUMIFS('2023-06'!$M:$M,'2023-06'!$E:$E,Trésorerie!W$4,'2023-06'!$F:$F,Trésorerie!$B67)+SUMIFS('2023-06'!$N:$N,'2023-06'!$E:$E,Trésorerie!W$4,'2023-06'!$F:$F,Trésorerie!$B67)</f>
        <v>0</v>
      </c>
      <c r="X67" s="73">
        <f>-SUMIFS('2023-07'!$M:$M,'2023-07'!$E:$E,Trésorerie!X$4,'2023-07'!$F:$F,Trésorerie!$B67)+SUMIFS('2023-07'!$N:$N,'2023-07'!$E:$E,Trésorerie!X$4,'2023-07'!$F:$F,Trésorerie!$B67)</f>
        <v>-53.75</v>
      </c>
      <c r="Y67" s="73">
        <f>-SUMIFS('2023-08'!$M:$M,'2023-08'!$E:$E,Trésorerie!Y$4,'2023-08'!$F:$F,Trésorerie!$B67)+SUMIFS('2023-08'!$N:$N,'2023-08'!$E:$E,Trésorerie!Y$4,'2023-08'!$F:$F,Trésorerie!$B67)</f>
        <v>0</v>
      </c>
      <c r="Z67" s="73">
        <f>-SUMIFS('2023-09'!$M:$M,'2023-09'!$E:$E,Trésorerie!Z$4,'2023-09'!$F:$F,Trésorerie!$B67)+SUMIFS('2023-09'!$N:$N,'2023-09'!$E:$E,Trésorerie!Z$4,'2023-09'!$F:$F,Trésorerie!$B67)</f>
        <v>0</v>
      </c>
      <c r="AA67" s="73">
        <f>-SUMIFS('2023-10'!$M:$M,'2023-10'!$E:$E,Trésorerie!AA$4,'2023-10'!$F:$F,Trésorerie!$B67)+SUMIFS('2023-10'!$N:$N,'2023-10'!$E:$E,Trésorerie!AA$4,'2023-10'!$F:$F,Trésorerie!$B67)</f>
        <v>0</v>
      </c>
      <c r="AB67" s="75">
        <f>IF(SUM($E67:O67)&lt;SUM($R67:AA67),SUM($E67:O67)-SUM($R67:AA67),0)</f>
        <v>0</v>
      </c>
      <c r="AC67" s="75">
        <f>IF(SUM($E67:P67)&lt;SUM($R67:AB67),SUM($E67:P67)-SUM($R67:AB67),0)</f>
        <v>0</v>
      </c>
      <c r="AD67" s="79"/>
    </row>
    <row r="68" spans="1:30" x14ac:dyDescent="0.25">
      <c r="A68" s="29">
        <f t="shared" si="0"/>
        <v>-52</v>
      </c>
      <c r="B68" s="57">
        <v>427005</v>
      </c>
      <c r="C68" s="35" t="s">
        <v>910</v>
      </c>
      <c r="D68" s="57" t="s">
        <v>4752</v>
      </c>
      <c r="E68" s="41">
        <f>-SUMIFS('2022'!$M:$M,'2022'!$E:$E,Trésorerie!E$4,'2022'!$F:$F,Trésorerie!$B68)+SUMIFS('2022'!$N:$N,'2022'!$E:$E,Trésorerie!E$4,'2022'!$F:$F,Trésorerie!$B68)</f>
        <v>0</v>
      </c>
      <c r="F68" s="41">
        <f>-SUMIFS('2022'!$M:$M,'2022'!$E:$E,Trésorerie!F$4,'2022'!$F:$F,Trésorerie!$B68)+SUMIFS('2022'!$N:$N,'2022'!$E:$E,Trésorerie!F$4,'2022'!$F:$F,Trésorerie!$B68)</f>
        <v>-52</v>
      </c>
      <c r="G68" s="41">
        <f>-SUMIFS('2022'!$M:$M,'2022'!$E:$E,Trésorerie!G$4,'2022'!$F:$F,Trésorerie!$B68)+SUMIFS('2022'!$N:$N,'2022'!$E:$E,Trésorerie!G$4,'2022'!$F:$F,Trésorerie!$B68)</f>
        <v>0</v>
      </c>
      <c r="H68" s="41">
        <f>-SUMIFS('2022'!$M:$M,'2022'!$E:$E,Trésorerie!H$4,'2022'!$F:$F,Trésorerie!$B68)+SUMIFS('2022'!$N:$N,'2022'!$E:$E,Trésorerie!H$4,'2022'!$F:$F,Trésorerie!$B68)</f>
        <v>0</v>
      </c>
      <c r="I68" s="41">
        <f>-SUMIFS('2022'!$M:$M,'2022'!$E:$E,Trésorerie!I$4,'2022'!$F:$F,Trésorerie!$B68)+SUMIFS('2022'!$N:$N,'2022'!$E:$E,Trésorerie!I$4,'2022'!$F:$F,Trésorerie!$B68)</f>
        <v>0</v>
      </c>
      <c r="J68" s="41">
        <f>-SUMIFS('2022'!$M:$M,'2022'!$E:$E,Trésorerie!J$4,'2022'!$F:$F,Trésorerie!$B68)+SUMIFS('2022'!$N:$N,'2022'!$E:$E,Trésorerie!J$4,'2022'!$F:$F,Trésorerie!$B68)</f>
        <v>0</v>
      </c>
      <c r="K68" s="41">
        <f>-SUMIFS('2022'!$M:$M,'2022'!$E:$E,Trésorerie!K$4,'2022'!$F:$F,Trésorerie!$B68)+SUMIFS('2022'!$N:$N,'2022'!$E:$E,Trésorerie!K$4,'2022'!$F:$F,Trésorerie!$B68)</f>
        <v>0</v>
      </c>
      <c r="L68" s="41">
        <f>-SUMIFS('2022'!$M:$M,'2022'!$E:$E,Trésorerie!L$4,'2022'!$F:$F,Trésorerie!$B68)+SUMIFS('2022'!$N:$N,'2022'!$E:$E,Trésorerie!L$4,'2022'!$F:$F,Trésorerie!$B68)</f>
        <v>0</v>
      </c>
      <c r="M68" s="41">
        <f>-SUMIFS('2022'!$M:$M,'2022'!$E:$E,Trésorerie!M$4,'2022'!$F:$F,Trésorerie!$B68)+SUMIFS('2022'!$N:$N,'2022'!$E:$E,Trésorerie!M$4,'2022'!$F:$F,Trésorerie!$B68)</f>
        <v>0</v>
      </c>
      <c r="N68" s="41">
        <f>-SUMIFS('2022'!$M:$M,'2022'!$E:$E,Trésorerie!N$4,'2022'!$F:$F,Trésorerie!$B68)+SUMIFS('2022'!$N:$N,'2022'!$E:$E,Trésorerie!N$4,'2022'!$F:$F,Trésorerie!$B68)</f>
        <v>0</v>
      </c>
      <c r="O68" s="41">
        <f>-SUMIFS('2022'!$M:$M,'2022'!$E:$E,Trésorerie!O$4,'2022'!$F:$F,Trésorerie!$B68)+SUMIFS('2022'!$N:$N,'2022'!$E:$E,Trésorerie!O$4,'2022'!$F:$F,Trésorerie!$B68)</f>
        <v>0</v>
      </c>
      <c r="P68" s="41">
        <f>-SUMIFS('2022'!$M:$M,'2022'!$E:$E,Trésorerie!P$4,'2022'!$F:$F,Trésorerie!$B68)+SUMIFS('2022'!$N:$N,'2022'!$E:$E,Trésorerie!P$4,'2022'!$F:$F,Trésorerie!$B68)</f>
        <v>0</v>
      </c>
      <c r="R68" s="73">
        <f>-SUMIFS('2023-01'!$M:$M,'2023-01'!$E:$E,Trésorerie!R$4,'2023-01'!$F:$F,Trésorerie!$B68)+SUMIFS('2023-01'!$N:$N,'2023-01'!$E:$E,Trésorerie!R$4,'2023-01'!$F:$F,Trésorerie!$B68)</f>
        <v>0</v>
      </c>
      <c r="S68" s="73">
        <f>-SUMIFS('2023-02'!$M:$M,'2023-02'!$E:$E,Trésorerie!S$4,'2023-02'!$F:$F,Trésorerie!$B68)+SUMIFS('2023-02'!$N:$N,'2023-02'!$E:$E,Trésorerie!S$4,'2023-02'!$F:$F,Trésorerie!$B68)</f>
        <v>0</v>
      </c>
      <c r="T68" s="73">
        <f>-SUMIFS('2023-03'!$M:$M,'2023-03'!$E:$E,Trésorerie!T$4,'2023-03'!$F:$F,Trésorerie!$B68)+SUMIFS('2023-03'!$N:$N,'2023-03'!$E:$E,Trésorerie!T$4,'2023-03'!$F:$F,Trésorerie!$B68)</f>
        <v>0</v>
      </c>
      <c r="U68" s="73">
        <f>-SUMIFS('2023-04'!$M:$M,'2023-04'!$E:$E,Trésorerie!U$4,'2023-04'!$F:$F,Trésorerie!$B68)+SUMIFS('2023-04'!$N:$N,'2023-04'!$E:$E,Trésorerie!U$4,'2023-04'!$F:$F,Trésorerie!$B68)</f>
        <v>0</v>
      </c>
      <c r="V68" s="73">
        <f>-SUMIFS('2023-05'!$M:$M,'2023-05'!$E:$E,Trésorerie!V$4,'2023-05'!$F:$F,Trésorerie!$B68)+SUMIFS('2023-05'!$N:$N,'2023-05'!$E:$E,Trésorerie!V$4,'2023-05'!$F:$F,Trésorerie!$B68)</f>
        <v>0</v>
      </c>
      <c r="W68" s="73">
        <f>-SUMIFS('2023-06'!$M:$M,'2023-06'!$E:$E,Trésorerie!W$4,'2023-06'!$F:$F,Trésorerie!$B68)+SUMIFS('2023-06'!$N:$N,'2023-06'!$E:$E,Trésorerie!W$4,'2023-06'!$F:$F,Trésorerie!$B68)</f>
        <v>0</v>
      </c>
      <c r="X68" s="73">
        <f>-SUMIFS('2023-07'!$M:$M,'2023-07'!$E:$E,Trésorerie!X$4,'2023-07'!$F:$F,Trésorerie!$B68)+SUMIFS('2023-07'!$N:$N,'2023-07'!$E:$E,Trésorerie!X$4,'2023-07'!$F:$F,Trésorerie!$B68)</f>
        <v>0</v>
      </c>
      <c r="Y68" s="73">
        <f>-SUMIFS('2023-08'!$M:$M,'2023-08'!$E:$E,Trésorerie!Y$4,'2023-08'!$F:$F,Trésorerie!$B68)+SUMIFS('2023-08'!$N:$N,'2023-08'!$E:$E,Trésorerie!Y$4,'2023-08'!$F:$F,Trésorerie!$B68)</f>
        <v>0</v>
      </c>
      <c r="Z68" s="73">
        <f>-SUMIFS('2023-09'!$M:$M,'2023-09'!$E:$E,Trésorerie!Z$4,'2023-09'!$F:$F,Trésorerie!$B68)+SUMIFS('2023-09'!$N:$N,'2023-09'!$E:$E,Trésorerie!Z$4,'2023-09'!$F:$F,Trésorerie!$B68)</f>
        <v>0</v>
      </c>
      <c r="AA68" s="73">
        <f>-SUMIFS('2023-10'!$M:$M,'2023-10'!$E:$E,Trésorerie!AA$4,'2023-10'!$F:$F,Trésorerie!$B68)+SUMIFS('2023-10'!$N:$N,'2023-10'!$E:$E,Trésorerie!AA$4,'2023-10'!$F:$F,Trésorerie!$B68)</f>
        <v>0</v>
      </c>
      <c r="AB68" s="75">
        <f>IF(SUM($E68:O68)&lt;SUM($R68:AA68),SUM($E68:O68)-SUM($R68:AA68),0)</f>
        <v>-52</v>
      </c>
      <c r="AC68" s="75">
        <f>IF(SUM($E68:P68)&lt;SUM($R68:AB68),SUM($E68:P68)-SUM($R68:AB68),0)</f>
        <v>0</v>
      </c>
      <c r="AD68" s="79"/>
    </row>
    <row r="69" spans="1:30" x14ac:dyDescent="0.25">
      <c r="A69" s="30">
        <f t="shared" ref="A69" si="5">SUM(E69:P69)</f>
        <v>-33.46</v>
      </c>
      <c r="B69" s="58">
        <v>427000</v>
      </c>
      <c r="C69" s="36" t="s">
        <v>406</v>
      </c>
      <c r="D69" s="58" t="s">
        <v>4752</v>
      </c>
      <c r="E69" s="42">
        <f>-SUMIFS('2022'!$M:$M,'2022'!$E:$E,Trésorerie!E$4,'2022'!$F:$F,Trésorerie!$B69)+SUMIFS('2022'!$N:$N,'2022'!$E:$E,Trésorerie!E$4,'2022'!$F:$F,Trésorerie!$B69)</f>
        <v>0</v>
      </c>
      <c r="F69" s="42">
        <f>-SUMIFS('2022'!$M:$M,'2022'!$E:$E,Trésorerie!F$4,'2022'!$F:$F,Trésorerie!$B69)+SUMIFS('2022'!$N:$N,'2022'!$E:$E,Trésorerie!F$4,'2022'!$F:$F,Trésorerie!$B69)</f>
        <v>0</v>
      </c>
      <c r="G69" s="42">
        <f>-SUMIFS('2022'!$M:$M,'2022'!$E:$E,Trésorerie!G$4,'2022'!$F:$F,Trésorerie!$B69)+SUMIFS('2022'!$N:$N,'2022'!$E:$E,Trésorerie!G$4,'2022'!$F:$F,Trésorerie!$B69)</f>
        <v>0</v>
      </c>
      <c r="H69" s="42">
        <f>-SUMIFS('2022'!$M:$M,'2022'!$E:$E,Trésorerie!H$4,'2022'!$F:$F,Trésorerie!$B69)+SUMIFS('2022'!$N:$N,'2022'!$E:$E,Trésorerie!H$4,'2022'!$F:$F,Trésorerie!$B69)</f>
        <v>0</v>
      </c>
      <c r="I69" s="42">
        <f>-SUMIFS('2022'!$M:$M,'2022'!$E:$E,Trésorerie!I$4,'2022'!$F:$F,Trésorerie!$B69)+SUMIFS('2022'!$N:$N,'2022'!$E:$E,Trésorerie!I$4,'2022'!$F:$F,Trésorerie!$B69)</f>
        <v>0</v>
      </c>
      <c r="J69" s="42">
        <f>-SUMIFS('2022'!$M:$M,'2022'!$E:$E,Trésorerie!J$4,'2022'!$F:$F,Trésorerie!$B69)+SUMIFS('2022'!$N:$N,'2022'!$E:$E,Trésorerie!J$4,'2022'!$F:$F,Trésorerie!$B69)</f>
        <v>0</v>
      </c>
      <c r="K69" s="42">
        <f>-SUMIFS('2022'!$M:$M,'2022'!$E:$E,Trésorerie!K$4,'2022'!$F:$F,Trésorerie!$B69)+SUMIFS('2022'!$N:$N,'2022'!$E:$E,Trésorerie!K$4,'2022'!$F:$F,Trésorerie!$B69)</f>
        <v>0</v>
      </c>
      <c r="L69" s="42">
        <f>-SUMIFS('2022'!$M:$M,'2022'!$E:$E,Trésorerie!L$4,'2022'!$F:$F,Trésorerie!$B69)+SUMIFS('2022'!$N:$N,'2022'!$E:$E,Trésorerie!L$4,'2022'!$F:$F,Trésorerie!$B69)</f>
        <v>0</v>
      </c>
      <c r="M69" s="42">
        <f>-SUMIFS('2022'!$M:$M,'2022'!$E:$E,Trésorerie!M$4,'2022'!$F:$F,Trésorerie!$B69)+SUMIFS('2022'!$N:$N,'2022'!$E:$E,Trésorerie!M$4,'2022'!$F:$F,Trésorerie!$B69)</f>
        <v>0</v>
      </c>
      <c r="N69" s="42">
        <f>-SUMIFS('2022'!$M:$M,'2022'!$E:$E,Trésorerie!N$4,'2022'!$F:$F,Trésorerie!$B69)+SUMIFS('2022'!$N:$N,'2022'!$E:$E,Trésorerie!N$4,'2022'!$F:$F,Trésorerie!$B69)</f>
        <v>-33.46</v>
      </c>
      <c r="O69" s="42">
        <f>-SUMIFS('2022'!$M:$M,'2022'!$E:$E,Trésorerie!O$4,'2022'!$F:$F,Trésorerie!$B69)+SUMIFS('2022'!$N:$N,'2022'!$E:$E,Trésorerie!O$4,'2022'!$F:$F,Trésorerie!$B69)</f>
        <v>0</v>
      </c>
      <c r="P69" s="42">
        <f>-SUMIFS('2022'!$M:$M,'2022'!$E:$E,Trésorerie!P$4,'2022'!$F:$F,Trésorerie!$B69)+SUMIFS('2022'!$N:$N,'2022'!$E:$E,Trésorerie!P$4,'2022'!$F:$F,Trésorerie!$B69)</f>
        <v>0</v>
      </c>
      <c r="R69" s="74">
        <f>-SUMIFS('2023-01'!$M:$M,'2023-01'!$E:$E,Trésorerie!R$4,'2023-01'!$F:$F,Trésorerie!$B69)+SUMIFS('2023-01'!$N:$N,'2023-01'!$E:$E,Trésorerie!R$4,'2023-01'!$F:$F,Trésorerie!$B69)</f>
        <v>-256.01</v>
      </c>
      <c r="S69" s="74">
        <f>-SUMIFS('2023-02'!$M:$M,'2023-02'!$E:$E,Trésorerie!S$4,'2023-02'!$F:$F,Trésorerie!$B69)+SUMIFS('2023-02'!$N:$N,'2023-02'!$E:$E,Trésorerie!S$4,'2023-02'!$F:$F,Trésorerie!$B69)</f>
        <v>0</v>
      </c>
      <c r="T69" s="74">
        <f>-SUMIFS('2023-03'!$M:$M,'2023-03'!$E:$E,Trésorerie!T$4,'2023-03'!$F:$F,Trésorerie!$B69)+SUMIFS('2023-03'!$N:$N,'2023-03'!$E:$E,Trésorerie!T$4,'2023-03'!$F:$F,Trésorerie!$B69)</f>
        <v>0</v>
      </c>
      <c r="U69" s="74">
        <f>-SUMIFS('2023-04'!$M:$M,'2023-04'!$E:$E,Trésorerie!U$4,'2023-04'!$F:$F,Trésorerie!$B69)+SUMIFS('2023-04'!$N:$N,'2023-04'!$E:$E,Trésorerie!U$4,'2023-04'!$F:$F,Trésorerie!$B69)</f>
        <v>0</v>
      </c>
      <c r="V69" s="74">
        <f>-SUMIFS('2023-05'!$M:$M,'2023-05'!$E:$E,Trésorerie!V$4,'2023-05'!$F:$F,Trésorerie!$B69)+SUMIFS('2023-05'!$N:$N,'2023-05'!$E:$E,Trésorerie!V$4,'2023-05'!$F:$F,Trésorerie!$B69)</f>
        <v>0</v>
      </c>
      <c r="W69" s="74">
        <f>-SUMIFS('2023-06'!$M:$M,'2023-06'!$E:$E,Trésorerie!W$4,'2023-06'!$F:$F,Trésorerie!$B69)+SUMIFS('2023-06'!$N:$N,'2023-06'!$E:$E,Trésorerie!W$4,'2023-06'!$F:$F,Trésorerie!$B69)</f>
        <v>0</v>
      </c>
      <c r="X69" s="74">
        <f>-SUMIFS('2023-07'!$M:$M,'2023-07'!$E:$E,Trésorerie!X$4,'2023-07'!$F:$F,Trésorerie!$B69)+SUMIFS('2023-07'!$N:$N,'2023-07'!$E:$E,Trésorerie!X$4,'2023-07'!$F:$F,Trésorerie!$B69)</f>
        <v>0</v>
      </c>
      <c r="Y69" s="74">
        <f>-SUMIFS('2023-08'!$M:$M,'2023-08'!$E:$E,Trésorerie!Y$4,'2023-08'!$F:$F,Trésorerie!$B69)+SUMIFS('2023-08'!$N:$N,'2023-08'!$E:$E,Trésorerie!Y$4,'2023-08'!$F:$F,Trésorerie!$B69)</f>
        <v>0</v>
      </c>
      <c r="Z69" s="74">
        <f>-SUMIFS('2023-09'!$M:$M,'2023-09'!$E:$E,Trésorerie!Z$4,'2023-09'!$F:$F,Trésorerie!$B69)+SUMIFS('2023-09'!$N:$N,'2023-09'!$E:$E,Trésorerie!Z$4,'2023-09'!$F:$F,Trésorerie!$B69)</f>
        <v>0</v>
      </c>
      <c r="AA69" s="74">
        <f>-SUMIFS('2023-10'!$M:$M,'2023-10'!$E:$E,Trésorerie!AA$4,'2023-10'!$F:$F,Trésorerie!$B69)+SUMIFS('2023-10'!$N:$N,'2023-10'!$E:$E,Trésorerie!AA$4,'2023-10'!$F:$F,Trésorerie!$B69)</f>
        <v>0</v>
      </c>
      <c r="AB69" s="75">
        <f>IF(SUM($E69:O69)&lt;SUM($R69:AA69),SUM($E69:O69)-SUM($R69:AA69),0)</f>
        <v>0</v>
      </c>
      <c r="AC69" s="75">
        <f>IF(SUM($E69:P69)&lt;SUM($R69:AB69),SUM($E69:P69)-SUM($R69:AB69),0)</f>
        <v>0</v>
      </c>
      <c r="AD69" s="79"/>
    </row>
    <row r="70" spans="1:30" x14ac:dyDescent="0.25">
      <c r="A70" s="30">
        <f t="shared" si="0"/>
        <v>0</v>
      </c>
      <c r="B70" s="58">
        <v>471000</v>
      </c>
      <c r="C70" s="36" t="s">
        <v>5759</v>
      </c>
      <c r="D70" s="58" t="s">
        <v>4752</v>
      </c>
      <c r="E70" s="42">
        <f>-SUMIFS('2022'!$M:$M,'2022'!$E:$E,Trésorerie!E$4,'2022'!$F:$F,Trésorerie!$B70)+SUMIFS('2022'!$N:$N,'2022'!$E:$E,Trésorerie!E$4,'2022'!$F:$F,Trésorerie!$B70)</f>
        <v>0</v>
      </c>
      <c r="F70" s="42">
        <f>-SUMIFS('2022'!$M:$M,'2022'!$E:$E,Trésorerie!F$4,'2022'!$F:$F,Trésorerie!$B70)+SUMIFS('2022'!$N:$N,'2022'!$E:$E,Trésorerie!F$4,'2022'!$F:$F,Trésorerie!$B70)</f>
        <v>0</v>
      </c>
      <c r="G70" s="42">
        <f>-SUMIFS('2022'!$M:$M,'2022'!$E:$E,Trésorerie!G$4,'2022'!$F:$F,Trésorerie!$B70)+SUMIFS('2022'!$N:$N,'2022'!$E:$E,Trésorerie!G$4,'2022'!$F:$F,Trésorerie!$B70)</f>
        <v>0</v>
      </c>
      <c r="H70" s="42">
        <f>-SUMIFS('2022'!$M:$M,'2022'!$E:$E,Trésorerie!H$4,'2022'!$F:$F,Trésorerie!$B70)+SUMIFS('2022'!$N:$N,'2022'!$E:$E,Trésorerie!H$4,'2022'!$F:$F,Trésorerie!$B70)</f>
        <v>0</v>
      </c>
      <c r="I70" s="42">
        <f>-SUMIFS('2022'!$M:$M,'2022'!$E:$E,Trésorerie!I$4,'2022'!$F:$F,Trésorerie!$B70)+SUMIFS('2022'!$N:$N,'2022'!$E:$E,Trésorerie!I$4,'2022'!$F:$F,Trésorerie!$B70)</f>
        <v>0</v>
      </c>
      <c r="J70" s="42">
        <f>-SUMIFS('2022'!$M:$M,'2022'!$E:$E,Trésorerie!J$4,'2022'!$F:$F,Trésorerie!$B70)+SUMIFS('2022'!$N:$N,'2022'!$E:$E,Trésorerie!J$4,'2022'!$F:$F,Trésorerie!$B70)</f>
        <v>0</v>
      </c>
      <c r="K70" s="42">
        <f>-SUMIFS('2022'!$M:$M,'2022'!$E:$E,Trésorerie!K$4,'2022'!$F:$F,Trésorerie!$B70)+SUMIFS('2022'!$N:$N,'2022'!$E:$E,Trésorerie!K$4,'2022'!$F:$F,Trésorerie!$B70)</f>
        <v>0</v>
      </c>
      <c r="L70" s="42">
        <f>-SUMIFS('2022'!$M:$M,'2022'!$E:$E,Trésorerie!L$4,'2022'!$F:$F,Trésorerie!$B70)+SUMIFS('2022'!$N:$N,'2022'!$E:$E,Trésorerie!L$4,'2022'!$F:$F,Trésorerie!$B70)</f>
        <v>0</v>
      </c>
      <c r="M70" s="42">
        <f>-SUMIFS('2022'!$M:$M,'2022'!$E:$E,Trésorerie!M$4,'2022'!$F:$F,Trésorerie!$B70)+SUMIFS('2022'!$N:$N,'2022'!$E:$E,Trésorerie!M$4,'2022'!$F:$F,Trésorerie!$B70)</f>
        <v>0</v>
      </c>
      <c r="N70" s="42">
        <f>-SUMIFS('2022'!$M:$M,'2022'!$E:$E,Trésorerie!N$4,'2022'!$F:$F,Trésorerie!$B70)+SUMIFS('2022'!$N:$N,'2022'!$E:$E,Trésorerie!N$4,'2022'!$F:$F,Trésorerie!$B70)</f>
        <v>0</v>
      </c>
      <c r="O70" s="42">
        <f>-SUMIFS('2022'!$M:$M,'2022'!$E:$E,Trésorerie!O$4,'2022'!$F:$F,Trésorerie!$B70)+SUMIFS('2022'!$N:$N,'2022'!$E:$E,Trésorerie!O$4,'2022'!$F:$F,Trésorerie!$B70)</f>
        <v>0</v>
      </c>
      <c r="P70" s="42">
        <f>-SUMIFS('2022'!$M:$M,'2022'!$E:$E,Trésorerie!P$4,'2022'!$F:$F,Trésorerie!$B70)+SUMIFS('2022'!$N:$N,'2022'!$E:$E,Trésorerie!P$4,'2022'!$F:$F,Trésorerie!$B70)</f>
        <v>0</v>
      </c>
      <c r="R70" s="74">
        <f>-SUMIFS('2023-01'!$M:$M,'2023-01'!$E:$E,Trésorerie!R$4,'2023-01'!$F:$F,Trésorerie!$B70)+SUMIFS('2023-01'!$N:$N,'2023-01'!$E:$E,Trésorerie!R$4,'2023-01'!$F:$F,Trésorerie!$B70)</f>
        <v>-28701.41</v>
      </c>
      <c r="S70" s="74">
        <f>-SUMIFS('2023-02'!$M:$M,'2023-02'!$E:$E,Trésorerie!S$4,'2023-02'!$F:$F,Trésorerie!$B70)+SUMIFS('2023-02'!$N:$N,'2023-02'!$E:$E,Trésorerie!S$4,'2023-02'!$F:$F,Trésorerie!$B70)</f>
        <v>-1429.15</v>
      </c>
      <c r="T70" s="74">
        <f>-SUMIFS('2023-03'!$M:$M,'2023-03'!$E:$E,Trésorerie!T$4,'2023-03'!$F:$F,Trésorerie!$B70)+SUMIFS('2023-03'!$N:$N,'2023-03'!$E:$E,Trésorerie!T$4,'2023-03'!$F:$F,Trésorerie!$B70)</f>
        <v>-81.14</v>
      </c>
      <c r="U70" s="74">
        <f>-SUMIFS('2023-04'!$M:$M,'2023-04'!$E:$E,Trésorerie!U$4,'2023-04'!$F:$F,Trésorerie!$B70)+SUMIFS('2023-04'!$N:$N,'2023-04'!$E:$E,Trésorerie!U$4,'2023-04'!$F:$F,Trésorerie!$B70)</f>
        <v>0</v>
      </c>
      <c r="V70" s="74">
        <f>-SUMIFS('2023-05'!$M:$M,'2023-05'!$E:$E,Trésorerie!V$4,'2023-05'!$F:$F,Trésorerie!$B70)+SUMIFS('2023-05'!$N:$N,'2023-05'!$E:$E,Trésorerie!V$4,'2023-05'!$F:$F,Trésorerie!$B70)</f>
        <v>-78.919999999999987</v>
      </c>
      <c r="W70" s="74">
        <f>-SUMIFS('2023-06'!$M:$M,'2023-06'!$E:$E,Trésorerie!W$4,'2023-06'!$F:$F,Trésorerie!$B70)+SUMIFS('2023-06'!$N:$N,'2023-06'!$E:$E,Trésorerie!W$4,'2023-06'!$F:$F,Trésorerie!$B70)</f>
        <v>66129.73</v>
      </c>
      <c r="X70" s="74">
        <f>-SUMIFS('2023-07'!$M:$M,'2023-07'!$E:$E,Trésorerie!X$4,'2023-07'!$F:$F,Trésorerie!$B70)+SUMIFS('2023-07'!$N:$N,'2023-07'!$E:$E,Trésorerie!X$4,'2023-07'!$F:$F,Trésorerie!$B70)</f>
        <v>2054.5500000000002</v>
      </c>
      <c r="Y70" s="74">
        <f>-SUMIFS('2023-08'!$M:$M,'2023-08'!$E:$E,Trésorerie!Y$4,'2023-08'!$F:$F,Trésorerie!$B70)+SUMIFS('2023-08'!$N:$N,'2023-08'!$E:$E,Trésorerie!Y$4,'2023-08'!$F:$F,Trésorerie!$B70)</f>
        <v>3000</v>
      </c>
      <c r="Z70" s="74">
        <f>-SUMIFS('2023-09'!$M:$M,'2023-09'!$E:$E,Trésorerie!Z$4,'2023-09'!$F:$F,Trésorerie!$B70)+SUMIFS('2023-09'!$N:$N,'2023-09'!$E:$E,Trésorerie!Z$4,'2023-09'!$F:$F,Trésorerie!$B70)</f>
        <v>3503.34</v>
      </c>
      <c r="AA70" s="74">
        <f>-SUMIFS('2023-10'!$M:$M,'2023-10'!$E:$E,Trésorerie!AA$4,'2023-10'!$F:$F,Trésorerie!$B70)+SUMIFS('2023-10'!$N:$N,'2023-10'!$E:$E,Trésorerie!AA$4,'2023-10'!$F:$F,Trésorerie!$B70)</f>
        <v>2400</v>
      </c>
      <c r="AB70" s="75">
        <v>0</v>
      </c>
      <c r="AC70" s="75">
        <v>0</v>
      </c>
      <c r="AD70" s="79"/>
    </row>
    <row r="71" spans="1:30" x14ac:dyDescent="0.25">
      <c r="A71" s="2"/>
      <c r="D71" s="59" t="s">
        <v>4754</v>
      </c>
      <c r="E71" s="24">
        <f>SUM(E44:E70)</f>
        <v>-129303.64</v>
      </c>
      <c r="F71" s="24">
        <f t="shared" ref="F71:P71" si="6">SUM(F44:F70)</f>
        <v>-149272.39000000001</v>
      </c>
      <c r="G71" s="24">
        <f t="shared" si="6"/>
        <v>-158940.97999999998</v>
      </c>
      <c r="H71" s="24">
        <f t="shared" si="6"/>
        <v>-129122.14</v>
      </c>
      <c r="I71" s="24">
        <f t="shared" si="6"/>
        <v>-147529.43999999997</v>
      </c>
      <c r="J71" s="24">
        <f t="shared" si="6"/>
        <v>-161289.78999999995</v>
      </c>
      <c r="K71" s="24">
        <f t="shared" si="6"/>
        <v>-184106.16000000003</v>
      </c>
      <c r="L71" s="24">
        <f t="shared" si="6"/>
        <v>-182879.66</v>
      </c>
      <c r="M71" s="24">
        <f t="shared" si="6"/>
        <v>-138608.81</v>
      </c>
      <c r="N71" s="24">
        <f t="shared" si="6"/>
        <v>-120565.68000000002</v>
      </c>
      <c r="O71" s="24">
        <f t="shared" si="6"/>
        <v>-149789.28000000003</v>
      </c>
      <c r="P71" s="24">
        <f t="shared" si="6"/>
        <v>-153536.18</v>
      </c>
      <c r="R71" s="24">
        <f t="shared" ref="R71:S71" si="7">SUM(R44:R70)</f>
        <v>-188627.64</v>
      </c>
      <c r="S71" s="24">
        <f t="shared" si="7"/>
        <v>-125286.76999999999</v>
      </c>
      <c r="T71" s="24">
        <f t="shared" ref="T71:AC71" si="8">SUM(T44:T70)</f>
        <v>-145403.82000000004</v>
      </c>
      <c r="U71" s="24">
        <f t="shared" si="8"/>
        <v>-123754.96000000002</v>
      </c>
      <c r="V71" s="24">
        <f t="shared" si="8"/>
        <v>-65197.390000000007</v>
      </c>
      <c r="W71" s="24">
        <f t="shared" si="8"/>
        <v>-81276.429999999978</v>
      </c>
      <c r="X71" s="24">
        <f t="shared" si="8"/>
        <v>-147630.96</v>
      </c>
      <c r="Y71" s="24">
        <f t="shared" si="8"/>
        <v>-155711.68000000002</v>
      </c>
      <c r="Z71" s="24">
        <f t="shared" si="8"/>
        <v>-129958.95000000001</v>
      </c>
      <c r="AA71" s="24">
        <f t="shared" si="8"/>
        <v>-111762.33</v>
      </c>
      <c r="AB71" s="24">
        <f t="shared" si="8"/>
        <v>-330771.98000000021</v>
      </c>
      <c r="AC71" s="76">
        <f t="shared" si="8"/>
        <v>-153536.18</v>
      </c>
      <c r="AD71" s="79"/>
    </row>
    <row r="72" spans="1:30" x14ac:dyDescent="0.25">
      <c r="A72" s="2"/>
      <c r="D72" s="60" t="s">
        <v>4755</v>
      </c>
      <c r="E72" s="43">
        <f>E71+E43</f>
        <v>-108973.94</v>
      </c>
      <c r="F72" s="43">
        <f t="shared" ref="F72:P72" si="9">F71+F43</f>
        <v>48376.559999999969</v>
      </c>
      <c r="G72" s="43">
        <f t="shared" si="9"/>
        <v>48455.34</v>
      </c>
      <c r="H72" s="43">
        <f t="shared" si="9"/>
        <v>-70144.73</v>
      </c>
      <c r="I72" s="43">
        <f t="shared" si="9"/>
        <v>44199.949999999953</v>
      </c>
      <c r="J72" s="43">
        <f t="shared" si="9"/>
        <v>24908.800000000076</v>
      </c>
      <c r="K72" s="43">
        <f t="shared" si="9"/>
        <v>-75969.420000000027</v>
      </c>
      <c r="L72" s="43">
        <f t="shared" si="9"/>
        <v>-116348.68</v>
      </c>
      <c r="M72" s="43">
        <f t="shared" si="9"/>
        <v>-96455.93</v>
      </c>
      <c r="N72" s="43">
        <f t="shared" si="9"/>
        <v>201414.22</v>
      </c>
      <c r="O72" s="43">
        <f t="shared" si="9"/>
        <v>32295.629999999946</v>
      </c>
      <c r="P72" s="43">
        <f t="shared" si="9"/>
        <v>-127773.72</v>
      </c>
      <c r="R72" s="43">
        <f t="shared" ref="R72:S72" si="10">R71+R43</f>
        <v>-164300.14000000001</v>
      </c>
      <c r="S72" s="43">
        <f t="shared" si="10"/>
        <v>-92473.299999999988</v>
      </c>
      <c r="T72" s="43">
        <f t="shared" ref="T72:AC72" si="11">T71+T43</f>
        <v>284009.58999999997</v>
      </c>
      <c r="U72" s="43">
        <f t="shared" si="11"/>
        <v>17061.619999999966</v>
      </c>
      <c r="V72" s="43">
        <f t="shared" si="11"/>
        <v>-27869.360000000008</v>
      </c>
      <c r="W72" s="43">
        <f t="shared" si="11"/>
        <v>50195.62000000001</v>
      </c>
      <c r="X72" s="43">
        <f t="shared" si="11"/>
        <v>47167.620000000024</v>
      </c>
      <c r="Y72" s="43">
        <f t="shared" si="11"/>
        <v>-132284.45000000001</v>
      </c>
      <c r="Z72" s="43">
        <f t="shared" si="11"/>
        <v>197772.95999999996</v>
      </c>
      <c r="AA72" s="43">
        <f t="shared" si="11"/>
        <v>4445.8499999999913</v>
      </c>
      <c r="AB72" s="43">
        <f t="shared" si="11"/>
        <v>-128248.08000000022</v>
      </c>
      <c r="AC72" s="77">
        <f t="shared" si="11"/>
        <v>-134819.74</v>
      </c>
      <c r="AD72" s="79"/>
    </row>
  </sheetData>
  <sortState xmlns:xlrd2="http://schemas.microsoft.com/office/spreadsheetml/2017/richdata2" ref="A4:P35">
    <sortCondition descending="1" ref="A4:A35"/>
  </sortState>
  <mergeCells count="3">
    <mergeCell ref="E2:P2"/>
    <mergeCell ref="R2:AC2"/>
    <mergeCell ref="AD2:A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807"/>
  <sheetViews>
    <sheetView workbookViewId="0">
      <selection activeCell="E2" sqref="E2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3</v>
      </c>
      <c r="D2">
        <v>20220103</v>
      </c>
      <c r="E2">
        <f>VALUE(MID(D2,5,2))</f>
        <v>1</v>
      </c>
      <c r="F2">
        <v>468725</v>
      </c>
      <c r="G2" t="s">
        <v>424</v>
      </c>
      <c r="H2" t="s">
        <v>401</v>
      </c>
      <c r="I2" t="s">
        <v>402</v>
      </c>
      <c r="J2" t="s">
        <v>478</v>
      </c>
      <c r="K2">
        <v>20220103</v>
      </c>
      <c r="L2" t="s">
        <v>479</v>
      </c>
      <c r="M2">
        <v>0</v>
      </c>
      <c r="N2">
        <v>1333.32</v>
      </c>
      <c r="O2" t="s">
        <v>23</v>
      </c>
      <c r="P2">
        <v>20220308</v>
      </c>
      <c r="Q2">
        <v>20220103</v>
      </c>
    </row>
    <row r="3" spans="1:19" x14ac:dyDescent="0.25">
      <c r="A3" t="s">
        <v>476</v>
      </c>
      <c r="B3" t="s">
        <v>477</v>
      </c>
      <c r="C3">
        <v>3</v>
      </c>
      <c r="D3">
        <v>20220103</v>
      </c>
      <c r="E3">
        <f t="shared" ref="E3:E66" si="0">VALUE(MID(D3,5,2))</f>
        <v>1</v>
      </c>
      <c r="F3">
        <v>512000</v>
      </c>
      <c r="G3" t="s">
        <v>428</v>
      </c>
      <c r="H3" t="s">
        <v>401</v>
      </c>
      <c r="I3" t="s">
        <v>402</v>
      </c>
      <c r="J3" t="s">
        <v>478</v>
      </c>
      <c r="K3">
        <v>20220103</v>
      </c>
      <c r="L3" t="s">
        <v>479</v>
      </c>
      <c r="M3">
        <v>1333.32</v>
      </c>
      <c r="N3">
        <v>0</v>
      </c>
      <c r="O3" t="s">
        <v>19</v>
      </c>
      <c r="P3" t="s">
        <v>20</v>
      </c>
      <c r="Q3">
        <v>20220103</v>
      </c>
    </row>
    <row r="4" spans="1:19" x14ac:dyDescent="0.25">
      <c r="A4" t="s">
        <v>476</v>
      </c>
      <c r="B4" t="s">
        <v>477</v>
      </c>
      <c r="C4">
        <v>3</v>
      </c>
      <c r="D4">
        <v>20220103</v>
      </c>
      <c r="E4">
        <f t="shared" si="0"/>
        <v>1</v>
      </c>
      <c r="F4">
        <v>627000</v>
      </c>
      <c r="G4" t="s">
        <v>480</v>
      </c>
      <c r="H4" t="s">
        <v>401</v>
      </c>
      <c r="I4" t="s">
        <v>402</v>
      </c>
      <c r="J4" t="s">
        <v>481</v>
      </c>
      <c r="K4">
        <v>20220103</v>
      </c>
      <c r="L4" t="s">
        <v>482</v>
      </c>
      <c r="M4">
        <v>7.5</v>
      </c>
      <c r="N4">
        <v>0</v>
      </c>
      <c r="O4" t="s">
        <v>19</v>
      </c>
      <c r="P4" t="s">
        <v>20</v>
      </c>
      <c r="Q4">
        <v>20220103</v>
      </c>
    </row>
    <row r="5" spans="1:19" x14ac:dyDescent="0.25">
      <c r="A5" t="s">
        <v>476</v>
      </c>
      <c r="B5" t="s">
        <v>477</v>
      </c>
      <c r="C5">
        <v>3</v>
      </c>
      <c r="D5">
        <v>20220103</v>
      </c>
      <c r="E5">
        <f t="shared" si="0"/>
        <v>1</v>
      </c>
      <c r="F5">
        <v>512000</v>
      </c>
      <c r="G5" t="s">
        <v>428</v>
      </c>
      <c r="H5" t="s">
        <v>401</v>
      </c>
      <c r="I5" t="s">
        <v>402</v>
      </c>
      <c r="J5" t="s">
        <v>481</v>
      </c>
      <c r="K5">
        <v>20220103</v>
      </c>
      <c r="L5" t="s">
        <v>482</v>
      </c>
      <c r="M5">
        <v>0</v>
      </c>
      <c r="N5">
        <v>7.5</v>
      </c>
      <c r="O5" t="s">
        <v>19</v>
      </c>
      <c r="P5" t="s">
        <v>20</v>
      </c>
      <c r="Q5">
        <v>20220103</v>
      </c>
    </row>
    <row r="6" spans="1:19" x14ac:dyDescent="0.25">
      <c r="A6" t="s">
        <v>476</v>
      </c>
      <c r="B6" t="s">
        <v>477</v>
      </c>
      <c r="C6">
        <v>3</v>
      </c>
      <c r="D6">
        <v>20220103</v>
      </c>
      <c r="E6">
        <f t="shared" si="0"/>
        <v>1</v>
      </c>
      <c r="F6">
        <v>468200</v>
      </c>
      <c r="G6" t="s">
        <v>421</v>
      </c>
      <c r="H6" t="s">
        <v>401</v>
      </c>
      <c r="I6" t="s">
        <v>402</v>
      </c>
      <c r="J6" t="s">
        <v>483</v>
      </c>
      <c r="K6">
        <v>20220103</v>
      </c>
      <c r="L6" t="s">
        <v>422</v>
      </c>
      <c r="M6">
        <v>0</v>
      </c>
      <c r="N6">
        <v>95.96</v>
      </c>
      <c r="O6" t="s">
        <v>23</v>
      </c>
      <c r="P6">
        <v>20220323</v>
      </c>
      <c r="Q6">
        <v>20220103</v>
      </c>
    </row>
    <row r="7" spans="1:19" x14ac:dyDescent="0.25">
      <c r="A7" t="s">
        <v>476</v>
      </c>
      <c r="B7" t="s">
        <v>477</v>
      </c>
      <c r="C7">
        <v>3</v>
      </c>
      <c r="D7">
        <v>20220103</v>
      </c>
      <c r="E7">
        <f t="shared" si="0"/>
        <v>1</v>
      </c>
      <c r="F7">
        <v>512000</v>
      </c>
      <c r="G7" t="s">
        <v>428</v>
      </c>
      <c r="H7" t="s">
        <v>401</v>
      </c>
      <c r="I7" t="s">
        <v>402</v>
      </c>
      <c r="J7" t="s">
        <v>483</v>
      </c>
      <c r="K7">
        <v>20220103</v>
      </c>
      <c r="L7" t="s">
        <v>422</v>
      </c>
      <c r="M7">
        <v>95.96</v>
      </c>
      <c r="N7">
        <v>0</v>
      </c>
      <c r="O7" t="s">
        <v>19</v>
      </c>
      <c r="P7" t="s">
        <v>20</v>
      </c>
      <c r="Q7">
        <v>20220103</v>
      </c>
    </row>
    <row r="8" spans="1:19" x14ac:dyDescent="0.25">
      <c r="A8" t="s">
        <v>476</v>
      </c>
      <c r="B8" t="s">
        <v>477</v>
      </c>
      <c r="C8">
        <v>3</v>
      </c>
      <c r="D8">
        <v>20220103</v>
      </c>
      <c r="E8">
        <f t="shared" si="0"/>
        <v>1</v>
      </c>
      <c r="F8">
        <v>627000</v>
      </c>
      <c r="G8" t="s">
        <v>480</v>
      </c>
      <c r="H8" t="s">
        <v>401</v>
      </c>
      <c r="I8" t="s">
        <v>402</v>
      </c>
      <c r="J8" t="s">
        <v>484</v>
      </c>
      <c r="K8">
        <v>20220103</v>
      </c>
      <c r="L8" t="s">
        <v>482</v>
      </c>
      <c r="M8">
        <v>50.62</v>
      </c>
      <c r="N8">
        <v>0</v>
      </c>
      <c r="O8" t="s">
        <v>19</v>
      </c>
      <c r="P8" t="s">
        <v>20</v>
      </c>
      <c r="Q8">
        <v>20220103</v>
      </c>
    </row>
    <row r="9" spans="1:19" x14ac:dyDescent="0.25">
      <c r="A9" t="s">
        <v>476</v>
      </c>
      <c r="B9" t="s">
        <v>477</v>
      </c>
      <c r="C9">
        <v>3</v>
      </c>
      <c r="D9">
        <v>20220103</v>
      </c>
      <c r="E9">
        <f t="shared" si="0"/>
        <v>1</v>
      </c>
      <c r="F9">
        <v>512000</v>
      </c>
      <c r="G9" t="s">
        <v>428</v>
      </c>
      <c r="H9" t="s">
        <v>401</v>
      </c>
      <c r="I9" t="s">
        <v>402</v>
      </c>
      <c r="J9" t="s">
        <v>484</v>
      </c>
      <c r="K9">
        <v>20220103</v>
      </c>
      <c r="L9" t="s">
        <v>482</v>
      </c>
      <c r="M9">
        <v>0</v>
      </c>
      <c r="N9">
        <v>50.62</v>
      </c>
      <c r="O9" t="s">
        <v>19</v>
      </c>
      <c r="P9" t="s">
        <v>20</v>
      </c>
      <c r="Q9">
        <v>20220103</v>
      </c>
    </row>
    <row r="10" spans="1:19" x14ac:dyDescent="0.25">
      <c r="A10" t="s">
        <v>476</v>
      </c>
      <c r="B10" t="s">
        <v>477</v>
      </c>
      <c r="C10">
        <v>3</v>
      </c>
      <c r="D10">
        <v>20220104</v>
      </c>
      <c r="E10">
        <f t="shared" si="0"/>
        <v>1</v>
      </c>
      <c r="F10">
        <v>627000</v>
      </c>
      <c r="G10" t="s">
        <v>480</v>
      </c>
      <c r="H10" t="s">
        <v>401</v>
      </c>
      <c r="I10" t="s">
        <v>402</v>
      </c>
      <c r="J10" t="s">
        <v>485</v>
      </c>
      <c r="K10">
        <v>20220104</v>
      </c>
      <c r="L10" t="s">
        <v>482</v>
      </c>
      <c r="M10">
        <v>49</v>
      </c>
      <c r="N10">
        <v>0</v>
      </c>
      <c r="O10" t="s">
        <v>19</v>
      </c>
      <c r="P10" t="s">
        <v>20</v>
      </c>
      <c r="Q10">
        <v>20220104</v>
      </c>
    </row>
    <row r="11" spans="1:19" x14ac:dyDescent="0.25">
      <c r="A11" t="s">
        <v>476</v>
      </c>
      <c r="B11" t="s">
        <v>477</v>
      </c>
      <c r="C11">
        <v>3</v>
      </c>
      <c r="D11">
        <v>20220104</v>
      </c>
      <c r="E11">
        <f t="shared" si="0"/>
        <v>1</v>
      </c>
      <c r="F11">
        <v>512000</v>
      </c>
      <c r="G11" t="s">
        <v>428</v>
      </c>
      <c r="H11" t="s">
        <v>401</v>
      </c>
      <c r="I11" t="s">
        <v>402</v>
      </c>
      <c r="J11" t="s">
        <v>485</v>
      </c>
      <c r="K11">
        <v>20220104</v>
      </c>
      <c r="L11" t="s">
        <v>482</v>
      </c>
      <c r="M11">
        <v>0</v>
      </c>
      <c r="N11">
        <v>49</v>
      </c>
      <c r="O11" t="s">
        <v>19</v>
      </c>
      <c r="P11" t="s">
        <v>20</v>
      </c>
      <c r="Q11">
        <v>20220104</v>
      </c>
    </row>
    <row r="12" spans="1:19" x14ac:dyDescent="0.25">
      <c r="A12" t="s">
        <v>476</v>
      </c>
      <c r="B12" t="s">
        <v>477</v>
      </c>
      <c r="C12">
        <v>3</v>
      </c>
      <c r="D12">
        <v>20220104</v>
      </c>
      <c r="E12">
        <f t="shared" si="0"/>
        <v>1</v>
      </c>
      <c r="F12">
        <v>627000</v>
      </c>
      <c r="G12" t="s">
        <v>480</v>
      </c>
      <c r="H12" t="s">
        <v>401</v>
      </c>
      <c r="I12" t="s">
        <v>402</v>
      </c>
      <c r="J12" t="s">
        <v>486</v>
      </c>
      <c r="K12">
        <v>20220104</v>
      </c>
      <c r="L12" t="s">
        <v>482</v>
      </c>
      <c r="M12">
        <v>20.149999999999999</v>
      </c>
      <c r="N12">
        <v>0</v>
      </c>
      <c r="O12" t="s">
        <v>19</v>
      </c>
      <c r="P12" t="s">
        <v>20</v>
      </c>
      <c r="Q12">
        <v>20220104</v>
      </c>
    </row>
    <row r="13" spans="1:19" x14ac:dyDescent="0.25">
      <c r="A13" t="s">
        <v>476</v>
      </c>
      <c r="B13" t="s">
        <v>477</v>
      </c>
      <c r="C13">
        <v>3</v>
      </c>
      <c r="D13">
        <v>20220104</v>
      </c>
      <c r="E13">
        <f t="shared" si="0"/>
        <v>1</v>
      </c>
      <c r="F13">
        <v>512000</v>
      </c>
      <c r="G13" t="s">
        <v>428</v>
      </c>
      <c r="H13" t="s">
        <v>401</v>
      </c>
      <c r="I13" t="s">
        <v>402</v>
      </c>
      <c r="J13" t="s">
        <v>486</v>
      </c>
      <c r="K13">
        <v>20220104</v>
      </c>
      <c r="L13" t="s">
        <v>482</v>
      </c>
      <c r="M13">
        <v>0</v>
      </c>
      <c r="N13">
        <v>20.149999999999999</v>
      </c>
      <c r="O13" t="s">
        <v>19</v>
      </c>
      <c r="P13" t="s">
        <v>20</v>
      </c>
      <c r="Q13">
        <v>20220104</v>
      </c>
    </row>
    <row r="14" spans="1:19" x14ac:dyDescent="0.25">
      <c r="A14" t="s">
        <v>476</v>
      </c>
      <c r="B14" t="s">
        <v>477</v>
      </c>
      <c r="C14">
        <v>3</v>
      </c>
      <c r="D14">
        <v>20220105</v>
      </c>
      <c r="E14">
        <f t="shared" si="0"/>
        <v>1</v>
      </c>
      <c r="F14">
        <v>401000</v>
      </c>
      <c r="G14" t="s">
        <v>41</v>
      </c>
      <c r="H14" t="s">
        <v>225</v>
      </c>
      <c r="I14" t="s">
        <v>226</v>
      </c>
      <c r="J14" t="s">
        <v>487</v>
      </c>
      <c r="K14">
        <v>20220105</v>
      </c>
      <c r="L14" t="s">
        <v>488</v>
      </c>
      <c r="M14">
        <v>475.4</v>
      </c>
      <c r="N14">
        <v>0</v>
      </c>
      <c r="O14" t="s">
        <v>23</v>
      </c>
      <c r="P14">
        <v>20220321</v>
      </c>
      <c r="Q14">
        <v>20220105</v>
      </c>
    </row>
    <row r="15" spans="1:19" x14ac:dyDescent="0.25">
      <c r="A15" t="s">
        <v>476</v>
      </c>
      <c r="B15" t="s">
        <v>477</v>
      </c>
      <c r="C15">
        <v>3</v>
      </c>
      <c r="D15">
        <v>20220105</v>
      </c>
      <c r="E15">
        <f t="shared" si="0"/>
        <v>1</v>
      </c>
      <c r="F15">
        <v>512000</v>
      </c>
      <c r="G15" t="s">
        <v>428</v>
      </c>
      <c r="H15" t="s">
        <v>401</v>
      </c>
      <c r="I15" t="s">
        <v>402</v>
      </c>
      <c r="J15" t="s">
        <v>487</v>
      </c>
      <c r="K15">
        <v>20220105</v>
      </c>
      <c r="L15" t="s">
        <v>488</v>
      </c>
      <c r="M15">
        <v>0</v>
      </c>
      <c r="N15">
        <v>475.4</v>
      </c>
      <c r="O15" t="s">
        <v>19</v>
      </c>
      <c r="P15" t="s">
        <v>20</v>
      </c>
      <c r="Q15">
        <v>20220105</v>
      </c>
    </row>
    <row r="16" spans="1:19" x14ac:dyDescent="0.25">
      <c r="A16" t="s">
        <v>476</v>
      </c>
      <c r="B16" t="s">
        <v>477</v>
      </c>
      <c r="C16">
        <v>3</v>
      </c>
      <c r="D16">
        <v>20220107</v>
      </c>
      <c r="E16">
        <f t="shared" si="0"/>
        <v>1</v>
      </c>
      <c r="F16">
        <v>401000</v>
      </c>
      <c r="G16" t="s">
        <v>41</v>
      </c>
      <c r="H16" t="s">
        <v>42</v>
      </c>
      <c r="I16" t="s">
        <v>43</v>
      </c>
      <c r="J16" t="s">
        <v>489</v>
      </c>
      <c r="K16">
        <v>20220107</v>
      </c>
      <c r="L16" t="s">
        <v>163</v>
      </c>
      <c r="M16">
        <v>220.84</v>
      </c>
      <c r="N16">
        <v>0</v>
      </c>
      <c r="O16" t="s">
        <v>22</v>
      </c>
      <c r="P16">
        <v>20220107</v>
      </c>
      <c r="Q16">
        <v>20220107</v>
      </c>
    </row>
    <row r="17" spans="1:17" x14ac:dyDescent="0.25">
      <c r="A17" t="s">
        <v>476</v>
      </c>
      <c r="B17" t="s">
        <v>477</v>
      </c>
      <c r="C17">
        <v>3</v>
      </c>
      <c r="D17">
        <v>20220107</v>
      </c>
      <c r="E17">
        <f t="shared" si="0"/>
        <v>1</v>
      </c>
      <c r="F17">
        <v>401000</v>
      </c>
      <c r="G17" t="s">
        <v>41</v>
      </c>
      <c r="H17" t="s">
        <v>50</v>
      </c>
      <c r="I17" t="s">
        <v>51</v>
      </c>
      <c r="J17" t="s">
        <v>489</v>
      </c>
      <c r="K17">
        <v>20220107</v>
      </c>
      <c r="L17" t="s">
        <v>163</v>
      </c>
      <c r="M17">
        <v>1876</v>
      </c>
      <c r="N17">
        <v>0</v>
      </c>
      <c r="O17" t="s">
        <v>22</v>
      </c>
      <c r="P17">
        <v>20220107</v>
      </c>
      <c r="Q17">
        <v>20220107</v>
      </c>
    </row>
    <row r="18" spans="1:17" x14ac:dyDescent="0.25">
      <c r="A18" t="s">
        <v>476</v>
      </c>
      <c r="B18" t="s">
        <v>477</v>
      </c>
      <c r="C18">
        <v>3</v>
      </c>
      <c r="D18">
        <v>20220107</v>
      </c>
      <c r="E18">
        <f t="shared" si="0"/>
        <v>1</v>
      </c>
      <c r="F18">
        <v>401000</v>
      </c>
      <c r="G18" t="s">
        <v>41</v>
      </c>
      <c r="H18" t="s">
        <v>97</v>
      </c>
      <c r="I18" t="s">
        <v>98</v>
      </c>
      <c r="J18" t="s">
        <v>489</v>
      </c>
      <c r="K18">
        <v>20220107</v>
      </c>
      <c r="L18" t="s">
        <v>163</v>
      </c>
      <c r="M18">
        <v>268.36</v>
      </c>
      <c r="N18">
        <v>0</v>
      </c>
      <c r="O18" t="s">
        <v>22</v>
      </c>
      <c r="P18">
        <v>20220107</v>
      </c>
      <c r="Q18">
        <v>20220107</v>
      </c>
    </row>
    <row r="19" spans="1:17" x14ac:dyDescent="0.25">
      <c r="A19" t="s">
        <v>476</v>
      </c>
      <c r="B19" t="s">
        <v>477</v>
      </c>
      <c r="C19">
        <v>3</v>
      </c>
      <c r="D19">
        <v>20220107</v>
      </c>
      <c r="E19">
        <f t="shared" si="0"/>
        <v>1</v>
      </c>
      <c r="F19">
        <v>467100</v>
      </c>
      <c r="G19" t="s">
        <v>160</v>
      </c>
      <c r="H19" t="s">
        <v>170</v>
      </c>
      <c r="I19" t="s">
        <v>171</v>
      </c>
      <c r="J19" t="s">
        <v>489</v>
      </c>
      <c r="K19">
        <v>20220107</v>
      </c>
      <c r="L19" t="s">
        <v>163</v>
      </c>
      <c r="M19">
        <v>193.98</v>
      </c>
      <c r="N19">
        <v>0</v>
      </c>
      <c r="O19" t="s">
        <v>22</v>
      </c>
      <c r="P19">
        <v>20220107</v>
      </c>
      <c r="Q19">
        <v>20220107</v>
      </c>
    </row>
    <row r="20" spans="1:17" x14ac:dyDescent="0.25">
      <c r="A20" t="s">
        <v>476</v>
      </c>
      <c r="B20" t="s">
        <v>477</v>
      </c>
      <c r="C20">
        <v>3</v>
      </c>
      <c r="D20">
        <v>20220107</v>
      </c>
      <c r="E20">
        <f t="shared" si="0"/>
        <v>1</v>
      </c>
      <c r="F20">
        <v>467100</v>
      </c>
      <c r="G20" t="s">
        <v>160</v>
      </c>
      <c r="H20" t="s">
        <v>490</v>
      </c>
      <c r="I20" t="s">
        <v>491</v>
      </c>
      <c r="J20" t="s">
        <v>489</v>
      </c>
      <c r="K20">
        <v>20220107</v>
      </c>
      <c r="L20" t="s">
        <v>163</v>
      </c>
      <c r="M20">
        <v>34</v>
      </c>
      <c r="N20">
        <v>0</v>
      </c>
      <c r="O20" t="s">
        <v>22</v>
      </c>
      <c r="P20">
        <v>20220107</v>
      </c>
      <c r="Q20">
        <v>20220107</v>
      </c>
    </row>
    <row r="21" spans="1:17" x14ac:dyDescent="0.25">
      <c r="A21" t="s">
        <v>476</v>
      </c>
      <c r="B21" t="s">
        <v>477</v>
      </c>
      <c r="C21">
        <v>3</v>
      </c>
      <c r="D21">
        <v>20220107</v>
      </c>
      <c r="E21">
        <f t="shared" si="0"/>
        <v>1</v>
      </c>
      <c r="F21">
        <v>467100</v>
      </c>
      <c r="G21" t="s">
        <v>160</v>
      </c>
      <c r="H21" t="s">
        <v>164</v>
      </c>
      <c r="I21" t="s">
        <v>165</v>
      </c>
      <c r="J21" t="s">
        <v>489</v>
      </c>
      <c r="K21">
        <v>20220107</v>
      </c>
      <c r="L21" t="s">
        <v>163</v>
      </c>
      <c r="M21">
        <v>126.75</v>
      </c>
      <c r="N21">
        <v>0</v>
      </c>
      <c r="O21" t="s">
        <v>22</v>
      </c>
      <c r="P21">
        <v>20220107</v>
      </c>
      <c r="Q21">
        <v>20220107</v>
      </c>
    </row>
    <row r="22" spans="1:17" x14ac:dyDescent="0.25">
      <c r="A22" t="s">
        <v>476</v>
      </c>
      <c r="B22" t="s">
        <v>477</v>
      </c>
      <c r="C22">
        <v>3</v>
      </c>
      <c r="D22">
        <v>20220107</v>
      </c>
      <c r="E22">
        <f t="shared" si="0"/>
        <v>1</v>
      </c>
      <c r="F22">
        <v>467100</v>
      </c>
      <c r="G22" t="s">
        <v>160</v>
      </c>
      <c r="H22" t="s">
        <v>185</v>
      </c>
      <c r="I22" t="s">
        <v>186</v>
      </c>
      <c r="J22" t="s">
        <v>489</v>
      </c>
      <c r="K22">
        <v>20220107</v>
      </c>
      <c r="L22" t="s">
        <v>163</v>
      </c>
      <c r="M22">
        <v>31</v>
      </c>
      <c r="N22">
        <v>0</v>
      </c>
      <c r="O22" t="s">
        <v>22</v>
      </c>
      <c r="P22">
        <v>20220107</v>
      </c>
      <c r="Q22">
        <v>20220107</v>
      </c>
    </row>
    <row r="23" spans="1:17" x14ac:dyDescent="0.25">
      <c r="A23" t="s">
        <v>476</v>
      </c>
      <c r="B23" t="s">
        <v>477</v>
      </c>
      <c r="C23">
        <v>3</v>
      </c>
      <c r="D23">
        <v>20220107</v>
      </c>
      <c r="E23">
        <f t="shared" si="0"/>
        <v>1</v>
      </c>
      <c r="F23">
        <v>401000</v>
      </c>
      <c r="G23" t="s">
        <v>41</v>
      </c>
      <c r="H23" t="s">
        <v>223</v>
      </c>
      <c r="I23" t="s">
        <v>224</v>
      </c>
      <c r="J23" t="s">
        <v>489</v>
      </c>
      <c r="K23">
        <v>20220107</v>
      </c>
      <c r="L23" t="s">
        <v>163</v>
      </c>
      <c r="M23">
        <v>460</v>
      </c>
      <c r="N23">
        <v>0</v>
      </c>
      <c r="O23" t="s">
        <v>22</v>
      </c>
      <c r="P23">
        <v>20220107</v>
      </c>
      <c r="Q23">
        <v>20220107</v>
      </c>
    </row>
    <row r="24" spans="1:17" x14ac:dyDescent="0.25">
      <c r="A24" t="s">
        <v>476</v>
      </c>
      <c r="B24" t="s">
        <v>477</v>
      </c>
      <c r="C24">
        <v>3</v>
      </c>
      <c r="D24">
        <v>20220107</v>
      </c>
      <c r="E24">
        <f t="shared" si="0"/>
        <v>1</v>
      </c>
      <c r="F24">
        <v>401000</v>
      </c>
      <c r="G24" t="s">
        <v>41</v>
      </c>
      <c r="H24" t="s">
        <v>389</v>
      </c>
      <c r="I24" t="s">
        <v>390</v>
      </c>
      <c r="J24" t="s">
        <v>489</v>
      </c>
      <c r="K24">
        <v>20220107</v>
      </c>
      <c r="L24" t="s">
        <v>163</v>
      </c>
      <c r="M24">
        <v>496</v>
      </c>
      <c r="N24">
        <v>0</v>
      </c>
      <c r="O24" t="s">
        <v>22</v>
      </c>
      <c r="P24">
        <v>20220107</v>
      </c>
      <c r="Q24">
        <v>20220107</v>
      </c>
    </row>
    <row r="25" spans="1:17" x14ac:dyDescent="0.25">
      <c r="A25" t="s">
        <v>476</v>
      </c>
      <c r="B25" t="s">
        <v>477</v>
      </c>
      <c r="C25">
        <v>3</v>
      </c>
      <c r="D25">
        <v>20220107</v>
      </c>
      <c r="E25">
        <f t="shared" si="0"/>
        <v>1</v>
      </c>
      <c r="F25">
        <v>512000</v>
      </c>
      <c r="G25" t="s">
        <v>428</v>
      </c>
      <c r="H25" t="s">
        <v>401</v>
      </c>
      <c r="I25" t="s">
        <v>402</v>
      </c>
      <c r="J25" t="s">
        <v>489</v>
      </c>
      <c r="K25">
        <v>20220107</v>
      </c>
      <c r="L25" t="s">
        <v>163</v>
      </c>
      <c r="M25">
        <v>0</v>
      </c>
      <c r="N25">
        <v>3706.93</v>
      </c>
      <c r="O25" t="s">
        <v>19</v>
      </c>
      <c r="P25" t="s">
        <v>20</v>
      </c>
      <c r="Q25">
        <v>20220107</v>
      </c>
    </row>
    <row r="26" spans="1:17" x14ac:dyDescent="0.25">
      <c r="A26" t="s">
        <v>476</v>
      </c>
      <c r="B26" t="s">
        <v>477</v>
      </c>
      <c r="C26">
        <v>3</v>
      </c>
      <c r="D26">
        <v>20220107</v>
      </c>
      <c r="E26">
        <f t="shared" si="0"/>
        <v>1</v>
      </c>
      <c r="F26">
        <v>421000</v>
      </c>
      <c r="G26" t="s">
        <v>403</v>
      </c>
      <c r="H26" t="s">
        <v>401</v>
      </c>
      <c r="I26" t="s">
        <v>402</v>
      </c>
      <c r="J26" t="s">
        <v>492</v>
      </c>
      <c r="K26">
        <v>20220107</v>
      </c>
      <c r="L26" t="s">
        <v>493</v>
      </c>
      <c r="M26">
        <v>204.61</v>
      </c>
      <c r="N26">
        <v>0</v>
      </c>
      <c r="O26" t="s">
        <v>23</v>
      </c>
      <c r="P26">
        <v>20220212</v>
      </c>
      <c r="Q26">
        <v>20220107</v>
      </c>
    </row>
    <row r="27" spans="1:17" x14ac:dyDescent="0.25">
      <c r="A27" t="s">
        <v>476</v>
      </c>
      <c r="B27" t="s">
        <v>477</v>
      </c>
      <c r="C27">
        <v>3</v>
      </c>
      <c r="D27">
        <v>20220107</v>
      </c>
      <c r="E27">
        <f t="shared" si="0"/>
        <v>1</v>
      </c>
      <c r="F27">
        <v>421000</v>
      </c>
      <c r="G27" t="s">
        <v>403</v>
      </c>
      <c r="H27" t="s">
        <v>401</v>
      </c>
      <c r="I27" t="s">
        <v>402</v>
      </c>
      <c r="J27" t="s">
        <v>492</v>
      </c>
      <c r="K27">
        <v>20220107</v>
      </c>
      <c r="L27" t="s">
        <v>494</v>
      </c>
      <c r="M27">
        <v>100</v>
      </c>
      <c r="N27">
        <v>0</v>
      </c>
      <c r="O27" t="s">
        <v>23</v>
      </c>
      <c r="P27">
        <v>20220212</v>
      </c>
      <c r="Q27">
        <v>20220107</v>
      </c>
    </row>
    <row r="28" spans="1:17" x14ac:dyDescent="0.25">
      <c r="A28" t="s">
        <v>476</v>
      </c>
      <c r="B28" t="s">
        <v>477</v>
      </c>
      <c r="C28">
        <v>3</v>
      </c>
      <c r="D28">
        <v>20220107</v>
      </c>
      <c r="E28">
        <f t="shared" si="0"/>
        <v>1</v>
      </c>
      <c r="F28">
        <v>467100</v>
      </c>
      <c r="G28" t="s">
        <v>160</v>
      </c>
      <c r="H28" t="s">
        <v>490</v>
      </c>
      <c r="I28" t="s">
        <v>491</v>
      </c>
      <c r="J28" t="s">
        <v>492</v>
      </c>
      <c r="K28">
        <v>20220107</v>
      </c>
      <c r="L28" t="s">
        <v>127</v>
      </c>
      <c r="M28">
        <v>771.76</v>
      </c>
      <c r="N28">
        <v>0</v>
      </c>
      <c r="O28" t="s">
        <v>23</v>
      </c>
      <c r="P28">
        <v>20220118</v>
      </c>
      <c r="Q28">
        <v>20220107</v>
      </c>
    </row>
    <row r="29" spans="1:17" x14ac:dyDescent="0.25">
      <c r="A29" t="s">
        <v>476</v>
      </c>
      <c r="B29" t="s">
        <v>477</v>
      </c>
      <c r="C29">
        <v>3</v>
      </c>
      <c r="D29">
        <v>20220107</v>
      </c>
      <c r="E29">
        <f t="shared" si="0"/>
        <v>1</v>
      </c>
      <c r="F29">
        <v>512000</v>
      </c>
      <c r="G29" t="s">
        <v>428</v>
      </c>
      <c r="H29" t="s">
        <v>401</v>
      </c>
      <c r="I29" t="s">
        <v>402</v>
      </c>
      <c r="J29" t="s">
        <v>492</v>
      </c>
      <c r="K29">
        <v>20220107</v>
      </c>
      <c r="L29" t="s">
        <v>127</v>
      </c>
      <c r="M29">
        <v>0</v>
      </c>
      <c r="N29">
        <v>1076.3699999999999</v>
      </c>
      <c r="O29" t="s">
        <v>19</v>
      </c>
      <c r="P29" t="s">
        <v>20</v>
      </c>
      <c r="Q29">
        <v>20220107</v>
      </c>
    </row>
    <row r="30" spans="1:17" x14ac:dyDescent="0.25">
      <c r="A30" t="s">
        <v>476</v>
      </c>
      <c r="B30" t="s">
        <v>477</v>
      </c>
      <c r="C30">
        <v>3</v>
      </c>
      <c r="D30">
        <v>20220110</v>
      </c>
      <c r="E30">
        <f t="shared" si="0"/>
        <v>1</v>
      </c>
      <c r="F30">
        <v>468200</v>
      </c>
      <c r="G30" t="s">
        <v>421</v>
      </c>
      <c r="H30" t="s">
        <v>401</v>
      </c>
      <c r="I30" t="s">
        <v>402</v>
      </c>
      <c r="J30" t="s">
        <v>495</v>
      </c>
      <c r="K30">
        <v>20220110</v>
      </c>
      <c r="L30" t="s">
        <v>422</v>
      </c>
      <c r="M30">
        <v>0</v>
      </c>
      <c r="N30">
        <v>577.08000000000004</v>
      </c>
      <c r="O30" t="s">
        <v>23</v>
      </c>
      <c r="P30">
        <v>20220323</v>
      </c>
      <c r="Q30">
        <v>20220110</v>
      </c>
    </row>
    <row r="31" spans="1:17" x14ac:dyDescent="0.25">
      <c r="A31" t="s">
        <v>476</v>
      </c>
      <c r="B31" t="s">
        <v>477</v>
      </c>
      <c r="C31">
        <v>3</v>
      </c>
      <c r="D31">
        <v>20220110</v>
      </c>
      <c r="E31">
        <f t="shared" si="0"/>
        <v>1</v>
      </c>
      <c r="F31">
        <v>512000</v>
      </c>
      <c r="G31" t="s">
        <v>428</v>
      </c>
      <c r="H31" t="s">
        <v>401</v>
      </c>
      <c r="I31" t="s">
        <v>402</v>
      </c>
      <c r="J31" t="s">
        <v>495</v>
      </c>
      <c r="K31">
        <v>20220110</v>
      </c>
      <c r="L31" t="s">
        <v>422</v>
      </c>
      <c r="M31">
        <v>577.08000000000004</v>
      </c>
      <c r="N31">
        <v>0</v>
      </c>
      <c r="O31" t="s">
        <v>19</v>
      </c>
      <c r="P31" t="s">
        <v>20</v>
      </c>
      <c r="Q31">
        <v>20220110</v>
      </c>
    </row>
    <row r="32" spans="1:17" x14ac:dyDescent="0.25">
      <c r="A32" t="s">
        <v>476</v>
      </c>
      <c r="B32" t="s">
        <v>477</v>
      </c>
      <c r="C32">
        <v>3</v>
      </c>
      <c r="D32">
        <v>20220112</v>
      </c>
      <c r="E32">
        <f t="shared" si="0"/>
        <v>1</v>
      </c>
      <c r="F32">
        <v>437000</v>
      </c>
      <c r="G32" t="s">
        <v>430</v>
      </c>
      <c r="H32" t="s">
        <v>401</v>
      </c>
      <c r="I32" t="s">
        <v>402</v>
      </c>
      <c r="J32" t="s">
        <v>496</v>
      </c>
      <c r="K32">
        <v>20220112</v>
      </c>
      <c r="L32" t="s">
        <v>497</v>
      </c>
      <c r="M32">
        <v>1535.4</v>
      </c>
      <c r="N32">
        <v>0</v>
      </c>
      <c r="O32" t="s">
        <v>19</v>
      </c>
      <c r="P32" t="s">
        <v>20</v>
      </c>
      <c r="Q32">
        <v>20220112</v>
      </c>
    </row>
    <row r="33" spans="1:17" x14ac:dyDescent="0.25">
      <c r="A33" t="s">
        <v>476</v>
      </c>
      <c r="B33" t="s">
        <v>477</v>
      </c>
      <c r="C33">
        <v>3</v>
      </c>
      <c r="D33">
        <v>20220112</v>
      </c>
      <c r="E33">
        <f t="shared" si="0"/>
        <v>1</v>
      </c>
      <c r="F33">
        <v>512000</v>
      </c>
      <c r="G33" t="s">
        <v>428</v>
      </c>
      <c r="H33" t="s">
        <v>401</v>
      </c>
      <c r="I33" t="s">
        <v>402</v>
      </c>
      <c r="J33" t="s">
        <v>496</v>
      </c>
      <c r="K33">
        <v>20220112</v>
      </c>
      <c r="L33" t="s">
        <v>497</v>
      </c>
      <c r="M33">
        <v>0</v>
      </c>
      <c r="N33">
        <v>1535.4</v>
      </c>
      <c r="O33" t="s">
        <v>19</v>
      </c>
      <c r="P33" t="s">
        <v>20</v>
      </c>
      <c r="Q33">
        <v>20220112</v>
      </c>
    </row>
    <row r="34" spans="1:17" x14ac:dyDescent="0.25">
      <c r="A34" t="s">
        <v>476</v>
      </c>
      <c r="B34" t="s">
        <v>477</v>
      </c>
      <c r="C34">
        <v>3</v>
      </c>
      <c r="D34">
        <v>20220112</v>
      </c>
      <c r="E34">
        <f t="shared" si="0"/>
        <v>1</v>
      </c>
      <c r="F34">
        <v>468200</v>
      </c>
      <c r="G34" t="s">
        <v>421</v>
      </c>
      <c r="H34" t="s">
        <v>401</v>
      </c>
      <c r="I34" t="s">
        <v>402</v>
      </c>
      <c r="J34" t="s">
        <v>498</v>
      </c>
      <c r="K34">
        <v>20220112</v>
      </c>
      <c r="L34" t="s">
        <v>422</v>
      </c>
      <c r="M34">
        <v>0</v>
      </c>
      <c r="N34">
        <v>267.2</v>
      </c>
      <c r="O34" t="s">
        <v>23</v>
      </c>
      <c r="P34">
        <v>20220323</v>
      </c>
      <c r="Q34">
        <v>20220112</v>
      </c>
    </row>
    <row r="35" spans="1:17" x14ac:dyDescent="0.25">
      <c r="A35" t="s">
        <v>476</v>
      </c>
      <c r="B35" t="s">
        <v>477</v>
      </c>
      <c r="C35">
        <v>3</v>
      </c>
      <c r="D35">
        <v>20220112</v>
      </c>
      <c r="E35">
        <f t="shared" si="0"/>
        <v>1</v>
      </c>
      <c r="F35">
        <v>512000</v>
      </c>
      <c r="G35" t="s">
        <v>428</v>
      </c>
      <c r="H35" t="s">
        <v>401</v>
      </c>
      <c r="I35" t="s">
        <v>402</v>
      </c>
      <c r="J35" t="s">
        <v>498</v>
      </c>
      <c r="K35">
        <v>20220112</v>
      </c>
      <c r="L35" t="s">
        <v>422</v>
      </c>
      <c r="M35">
        <v>267.2</v>
      </c>
      <c r="N35">
        <v>0</v>
      </c>
      <c r="O35" t="s">
        <v>19</v>
      </c>
      <c r="P35" t="s">
        <v>20</v>
      </c>
      <c r="Q35">
        <v>20220112</v>
      </c>
    </row>
    <row r="36" spans="1:17" x14ac:dyDescent="0.25">
      <c r="A36" t="s">
        <v>476</v>
      </c>
      <c r="B36" t="s">
        <v>477</v>
      </c>
      <c r="C36">
        <v>3</v>
      </c>
      <c r="D36">
        <v>20220112</v>
      </c>
      <c r="E36">
        <f t="shared" si="0"/>
        <v>1</v>
      </c>
      <c r="F36">
        <v>627000</v>
      </c>
      <c r="G36" t="s">
        <v>480</v>
      </c>
      <c r="H36" t="s">
        <v>401</v>
      </c>
      <c r="I36" t="s">
        <v>402</v>
      </c>
      <c r="J36" t="s">
        <v>499</v>
      </c>
      <c r="K36">
        <v>20220112</v>
      </c>
      <c r="L36" t="s">
        <v>500</v>
      </c>
      <c r="M36">
        <v>5</v>
      </c>
      <c r="N36">
        <v>0</v>
      </c>
      <c r="O36" t="s">
        <v>19</v>
      </c>
      <c r="P36" t="s">
        <v>20</v>
      </c>
      <c r="Q36">
        <v>20220112</v>
      </c>
    </row>
    <row r="37" spans="1:17" x14ac:dyDescent="0.25">
      <c r="A37" t="s">
        <v>476</v>
      </c>
      <c r="B37" t="s">
        <v>477</v>
      </c>
      <c r="C37">
        <v>3</v>
      </c>
      <c r="D37">
        <v>20220112</v>
      </c>
      <c r="E37">
        <f t="shared" si="0"/>
        <v>1</v>
      </c>
      <c r="F37">
        <v>512000</v>
      </c>
      <c r="G37" t="s">
        <v>428</v>
      </c>
      <c r="H37" t="s">
        <v>401</v>
      </c>
      <c r="I37" t="s">
        <v>402</v>
      </c>
      <c r="J37" t="s">
        <v>499</v>
      </c>
      <c r="K37">
        <v>20220112</v>
      </c>
      <c r="L37" t="s">
        <v>500</v>
      </c>
      <c r="M37">
        <v>0</v>
      </c>
      <c r="N37">
        <v>5</v>
      </c>
      <c r="O37" t="s">
        <v>19</v>
      </c>
      <c r="P37" t="s">
        <v>20</v>
      </c>
      <c r="Q37">
        <v>20220112</v>
      </c>
    </row>
    <row r="38" spans="1:17" x14ac:dyDescent="0.25">
      <c r="A38" t="s">
        <v>476</v>
      </c>
      <c r="B38" t="s">
        <v>477</v>
      </c>
      <c r="C38">
        <v>3</v>
      </c>
      <c r="D38">
        <v>20220114</v>
      </c>
      <c r="E38">
        <f t="shared" si="0"/>
        <v>1</v>
      </c>
      <c r="F38">
        <v>437100</v>
      </c>
      <c r="G38" t="s">
        <v>436</v>
      </c>
      <c r="H38" t="s">
        <v>401</v>
      </c>
      <c r="I38" t="s">
        <v>402</v>
      </c>
      <c r="J38" t="s">
        <v>501</v>
      </c>
      <c r="K38">
        <v>20220114</v>
      </c>
      <c r="L38" t="s">
        <v>127</v>
      </c>
      <c r="M38">
        <v>736.8</v>
      </c>
      <c r="N38">
        <v>0</v>
      </c>
      <c r="O38" t="s">
        <v>23</v>
      </c>
      <c r="P38">
        <v>20220118</v>
      </c>
      <c r="Q38">
        <v>20220114</v>
      </c>
    </row>
    <row r="39" spans="1:17" x14ac:dyDescent="0.25">
      <c r="A39" t="s">
        <v>476</v>
      </c>
      <c r="B39" t="s">
        <v>477</v>
      </c>
      <c r="C39">
        <v>3</v>
      </c>
      <c r="D39">
        <v>20220114</v>
      </c>
      <c r="E39">
        <f t="shared" si="0"/>
        <v>1</v>
      </c>
      <c r="F39">
        <v>512000</v>
      </c>
      <c r="G39" t="s">
        <v>428</v>
      </c>
      <c r="H39" t="s">
        <v>401</v>
      </c>
      <c r="I39" t="s">
        <v>402</v>
      </c>
      <c r="J39" t="s">
        <v>501</v>
      </c>
      <c r="K39">
        <v>20220114</v>
      </c>
      <c r="L39" t="s">
        <v>127</v>
      </c>
      <c r="M39">
        <v>0</v>
      </c>
      <c r="N39">
        <v>736.8</v>
      </c>
      <c r="O39" t="s">
        <v>19</v>
      </c>
      <c r="P39" t="s">
        <v>20</v>
      </c>
      <c r="Q39">
        <v>20220114</v>
      </c>
    </row>
    <row r="40" spans="1:17" x14ac:dyDescent="0.25">
      <c r="A40" t="s">
        <v>476</v>
      </c>
      <c r="B40" t="s">
        <v>477</v>
      </c>
      <c r="C40">
        <v>3</v>
      </c>
      <c r="D40">
        <v>20220114</v>
      </c>
      <c r="E40">
        <f t="shared" si="0"/>
        <v>1</v>
      </c>
      <c r="F40">
        <v>401000</v>
      </c>
      <c r="G40" t="s">
        <v>41</v>
      </c>
      <c r="H40" t="s">
        <v>168</v>
      </c>
      <c r="I40" t="s">
        <v>169</v>
      </c>
      <c r="J40" t="s">
        <v>502</v>
      </c>
      <c r="K40">
        <v>20220114</v>
      </c>
      <c r="L40" t="s">
        <v>503</v>
      </c>
      <c r="M40">
        <v>0</v>
      </c>
      <c r="N40">
        <v>89.95</v>
      </c>
      <c r="O40" t="s">
        <v>23</v>
      </c>
      <c r="P40">
        <v>20220307</v>
      </c>
      <c r="Q40">
        <v>20220114</v>
      </c>
    </row>
    <row r="41" spans="1:17" x14ac:dyDescent="0.25">
      <c r="A41" t="s">
        <v>476</v>
      </c>
      <c r="B41" t="s">
        <v>477</v>
      </c>
      <c r="C41">
        <v>3</v>
      </c>
      <c r="D41">
        <v>20220114</v>
      </c>
      <c r="E41">
        <f t="shared" si="0"/>
        <v>1</v>
      </c>
      <c r="F41">
        <v>512000</v>
      </c>
      <c r="G41" t="s">
        <v>428</v>
      </c>
      <c r="H41" t="s">
        <v>401</v>
      </c>
      <c r="I41" t="s">
        <v>402</v>
      </c>
      <c r="J41" t="s">
        <v>502</v>
      </c>
      <c r="K41">
        <v>20220114</v>
      </c>
      <c r="L41" t="s">
        <v>503</v>
      </c>
      <c r="M41">
        <v>89.95</v>
      </c>
      <c r="N41">
        <v>0</v>
      </c>
      <c r="O41" t="s">
        <v>19</v>
      </c>
      <c r="P41" t="s">
        <v>20</v>
      </c>
      <c r="Q41">
        <v>20220114</v>
      </c>
    </row>
    <row r="42" spans="1:17" x14ac:dyDescent="0.25">
      <c r="A42" t="s">
        <v>476</v>
      </c>
      <c r="B42" t="s">
        <v>477</v>
      </c>
      <c r="C42">
        <v>3</v>
      </c>
      <c r="D42">
        <v>20220117</v>
      </c>
      <c r="E42">
        <f t="shared" si="0"/>
        <v>1</v>
      </c>
      <c r="F42">
        <v>411000</v>
      </c>
      <c r="G42" t="s">
        <v>21</v>
      </c>
      <c r="H42" t="s">
        <v>504</v>
      </c>
      <c r="I42" t="s">
        <v>505</v>
      </c>
      <c r="J42" t="s">
        <v>506</v>
      </c>
      <c r="K42">
        <v>20220117</v>
      </c>
      <c r="L42" t="s">
        <v>507</v>
      </c>
      <c r="M42">
        <v>0</v>
      </c>
      <c r="N42">
        <v>120</v>
      </c>
      <c r="O42" t="s">
        <v>22</v>
      </c>
      <c r="P42">
        <v>20230218</v>
      </c>
      <c r="Q42">
        <v>20220117</v>
      </c>
    </row>
    <row r="43" spans="1:17" x14ac:dyDescent="0.25">
      <c r="A43" t="s">
        <v>476</v>
      </c>
      <c r="B43" t="s">
        <v>477</v>
      </c>
      <c r="C43">
        <v>3</v>
      </c>
      <c r="D43">
        <v>20220117</v>
      </c>
      <c r="E43">
        <f t="shared" si="0"/>
        <v>1</v>
      </c>
      <c r="F43">
        <v>512000</v>
      </c>
      <c r="G43" t="s">
        <v>428</v>
      </c>
      <c r="H43" t="s">
        <v>401</v>
      </c>
      <c r="I43" t="s">
        <v>402</v>
      </c>
      <c r="J43" t="s">
        <v>506</v>
      </c>
      <c r="K43">
        <v>20220117</v>
      </c>
      <c r="L43" t="s">
        <v>507</v>
      </c>
      <c r="M43">
        <v>120</v>
      </c>
      <c r="N43">
        <v>0</v>
      </c>
      <c r="O43" t="s">
        <v>19</v>
      </c>
      <c r="P43" t="s">
        <v>20</v>
      </c>
      <c r="Q43">
        <v>20220117</v>
      </c>
    </row>
    <row r="44" spans="1:17" x14ac:dyDescent="0.25">
      <c r="A44" t="s">
        <v>476</v>
      </c>
      <c r="B44" t="s">
        <v>477</v>
      </c>
      <c r="C44">
        <v>3</v>
      </c>
      <c r="D44">
        <v>20220117</v>
      </c>
      <c r="E44">
        <f t="shared" si="0"/>
        <v>1</v>
      </c>
      <c r="F44">
        <v>411000</v>
      </c>
      <c r="G44" t="s">
        <v>21</v>
      </c>
      <c r="H44" t="s">
        <v>504</v>
      </c>
      <c r="I44" t="s">
        <v>505</v>
      </c>
      <c r="J44" t="s">
        <v>508</v>
      </c>
      <c r="K44">
        <v>20220117</v>
      </c>
      <c r="L44" t="s">
        <v>509</v>
      </c>
      <c r="M44">
        <v>0</v>
      </c>
      <c r="N44">
        <v>80</v>
      </c>
      <c r="O44" t="s">
        <v>19</v>
      </c>
      <c r="P44" t="s">
        <v>20</v>
      </c>
      <c r="Q44">
        <v>20220117</v>
      </c>
    </row>
    <row r="45" spans="1:17" x14ac:dyDescent="0.25">
      <c r="A45" t="s">
        <v>476</v>
      </c>
      <c r="B45" t="s">
        <v>477</v>
      </c>
      <c r="C45">
        <v>3</v>
      </c>
      <c r="D45">
        <v>20220117</v>
      </c>
      <c r="E45">
        <f t="shared" si="0"/>
        <v>1</v>
      </c>
      <c r="F45">
        <v>512000</v>
      </c>
      <c r="G45" t="s">
        <v>428</v>
      </c>
      <c r="H45" t="s">
        <v>401</v>
      </c>
      <c r="I45" t="s">
        <v>402</v>
      </c>
      <c r="J45" t="s">
        <v>508</v>
      </c>
      <c r="K45">
        <v>20220117</v>
      </c>
      <c r="L45" t="s">
        <v>509</v>
      </c>
      <c r="M45">
        <v>80</v>
      </c>
      <c r="N45">
        <v>0</v>
      </c>
      <c r="O45" t="s">
        <v>19</v>
      </c>
      <c r="P45" t="s">
        <v>20</v>
      </c>
      <c r="Q45">
        <v>20220117</v>
      </c>
    </row>
    <row r="46" spans="1:17" x14ac:dyDescent="0.25">
      <c r="A46" t="s">
        <v>476</v>
      </c>
      <c r="B46" t="s">
        <v>477</v>
      </c>
      <c r="C46">
        <v>3</v>
      </c>
      <c r="D46">
        <v>20220117</v>
      </c>
      <c r="E46">
        <f t="shared" si="0"/>
        <v>1</v>
      </c>
      <c r="F46">
        <v>468200</v>
      </c>
      <c r="G46" t="s">
        <v>421</v>
      </c>
      <c r="H46" t="s">
        <v>401</v>
      </c>
      <c r="I46" t="s">
        <v>402</v>
      </c>
      <c r="J46" t="s">
        <v>510</v>
      </c>
      <c r="K46">
        <v>20220117</v>
      </c>
      <c r="L46" t="s">
        <v>422</v>
      </c>
      <c r="M46">
        <v>0</v>
      </c>
      <c r="N46">
        <v>288.54000000000002</v>
      </c>
      <c r="O46" t="s">
        <v>23</v>
      </c>
      <c r="P46">
        <v>20220323</v>
      </c>
      <c r="Q46">
        <v>20220117</v>
      </c>
    </row>
    <row r="47" spans="1:17" x14ac:dyDescent="0.25">
      <c r="A47" t="s">
        <v>476</v>
      </c>
      <c r="B47" t="s">
        <v>477</v>
      </c>
      <c r="C47">
        <v>3</v>
      </c>
      <c r="D47">
        <v>20220117</v>
      </c>
      <c r="E47">
        <f t="shared" si="0"/>
        <v>1</v>
      </c>
      <c r="F47">
        <v>512000</v>
      </c>
      <c r="G47" t="s">
        <v>428</v>
      </c>
      <c r="H47" t="s">
        <v>401</v>
      </c>
      <c r="I47" t="s">
        <v>402</v>
      </c>
      <c r="J47" t="s">
        <v>510</v>
      </c>
      <c r="K47">
        <v>20220117</v>
      </c>
      <c r="L47" t="s">
        <v>422</v>
      </c>
      <c r="M47">
        <v>288.54000000000002</v>
      </c>
      <c r="N47">
        <v>0</v>
      </c>
      <c r="O47" t="s">
        <v>19</v>
      </c>
      <c r="P47" t="s">
        <v>20</v>
      </c>
      <c r="Q47">
        <v>20220117</v>
      </c>
    </row>
    <row r="48" spans="1:17" x14ac:dyDescent="0.25">
      <c r="A48" t="s">
        <v>476</v>
      </c>
      <c r="B48" t="s">
        <v>477</v>
      </c>
      <c r="C48">
        <v>3</v>
      </c>
      <c r="D48">
        <v>20220118</v>
      </c>
      <c r="E48">
        <f t="shared" si="0"/>
        <v>1</v>
      </c>
      <c r="F48">
        <v>401000</v>
      </c>
      <c r="G48" t="s">
        <v>41</v>
      </c>
      <c r="H48" t="s">
        <v>44</v>
      </c>
      <c r="I48" t="s">
        <v>45</v>
      </c>
      <c r="J48" t="s">
        <v>511</v>
      </c>
      <c r="K48">
        <v>20220118</v>
      </c>
      <c r="L48" t="s">
        <v>163</v>
      </c>
      <c r="M48">
        <v>5896.8</v>
      </c>
      <c r="N48">
        <v>0</v>
      </c>
      <c r="O48" t="s">
        <v>23</v>
      </c>
      <c r="P48">
        <v>20220204</v>
      </c>
      <c r="Q48">
        <v>20220118</v>
      </c>
    </row>
    <row r="49" spans="1:17" x14ac:dyDescent="0.25">
      <c r="A49" t="s">
        <v>476</v>
      </c>
      <c r="B49" t="s">
        <v>477</v>
      </c>
      <c r="C49">
        <v>3</v>
      </c>
      <c r="D49">
        <v>20220118</v>
      </c>
      <c r="E49">
        <f t="shared" si="0"/>
        <v>1</v>
      </c>
      <c r="F49">
        <v>401000</v>
      </c>
      <c r="G49" t="s">
        <v>41</v>
      </c>
      <c r="H49" t="s">
        <v>46</v>
      </c>
      <c r="I49" t="s">
        <v>47</v>
      </c>
      <c r="J49" t="s">
        <v>511</v>
      </c>
      <c r="K49">
        <v>20220118</v>
      </c>
      <c r="L49" t="s">
        <v>163</v>
      </c>
      <c r="M49">
        <v>662</v>
      </c>
      <c r="N49">
        <v>0</v>
      </c>
      <c r="O49" t="s">
        <v>23</v>
      </c>
      <c r="P49">
        <v>20220124</v>
      </c>
      <c r="Q49">
        <v>20220118</v>
      </c>
    </row>
    <row r="50" spans="1:17" x14ac:dyDescent="0.25">
      <c r="A50" t="s">
        <v>476</v>
      </c>
      <c r="B50" t="s">
        <v>477</v>
      </c>
      <c r="C50">
        <v>3</v>
      </c>
      <c r="D50">
        <v>20220118</v>
      </c>
      <c r="E50">
        <f t="shared" si="0"/>
        <v>1</v>
      </c>
      <c r="F50">
        <v>401000</v>
      </c>
      <c r="G50" t="s">
        <v>41</v>
      </c>
      <c r="H50" t="s">
        <v>450</v>
      </c>
      <c r="I50" t="s">
        <v>451</v>
      </c>
      <c r="J50" t="s">
        <v>511</v>
      </c>
      <c r="K50">
        <v>20220118</v>
      </c>
      <c r="L50" t="s">
        <v>163</v>
      </c>
      <c r="M50">
        <v>62.42</v>
      </c>
      <c r="N50">
        <v>0</v>
      </c>
      <c r="O50" t="s">
        <v>23</v>
      </c>
      <c r="P50">
        <v>20220125</v>
      </c>
      <c r="Q50">
        <v>20220118</v>
      </c>
    </row>
    <row r="51" spans="1:17" x14ac:dyDescent="0.25">
      <c r="A51" t="s">
        <v>476</v>
      </c>
      <c r="B51" t="s">
        <v>477</v>
      </c>
      <c r="C51">
        <v>3</v>
      </c>
      <c r="D51">
        <v>20220118</v>
      </c>
      <c r="E51">
        <f t="shared" si="0"/>
        <v>1</v>
      </c>
      <c r="F51">
        <v>401000</v>
      </c>
      <c r="G51" t="s">
        <v>41</v>
      </c>
      <c r="H51" t="s">
        <v>54</v>
      </c>
      <c r="I51" t="s">
        <v>55</v>
      </c>
      <c r="J51" t="s">
        <v>511</v>
      </c>
      <c r="K51">
        <v>20220118</v>
      </c>
      <c r="L51" t="s">
        <v>163</v>
      </c>
      <c r="M51">
        <v>91.52</v>
      </c>
      <c r="N51">
        <v>0</v>
      </c>
      <c r="O51" t="s">
        <v>23</v>
      </c>
      <c r="P51">
        <v>20220125</v>
      </c>
      <c r="Q51">
        <v>20220118</v>
      </c>
    </row>
    <row r="52" spans="1:17" x14ac:dyDescent="0.25">
      <c r="A52" t="s">
        <v>476</v>
      </c>
      <c r="B52" t="s">
        <v>477</v>
      </c>
      <c r="C52">
        <v>3</v>
      </c>
      <c r="D52">
        <v>20220118</v>
      </c>
      <c r="E52">
        <f t="shared" si="0"/>
        <v>1</v>
      </c>
      <c r="F52">
        <v>401000</v>
      </c>
      <c r="G52" t="s">
        <v>41</v>
      </c>
      <c r="H52" t="s">
        <v>67</v>
      </c>
      <c r="I52" t="s">
        <v>68</v>
      </c>
      <c r="J52" t="s">
        <v>511</v>
      </c>
      <c r="K52">
        <v>20220118</v>
      </c>
      <c r="L52" t="s">
        <v>163</v>
      </c>
      <c r="M52">
        <v>882.31</v>
      </c>
      <c r="N52">
        <v>0</v>
      </c>
      <c r="O52" t="s">
        <v>23</v>
      </c>
      <c r="P52">
        <v>20220125</v>
      </c>
      <c r="Q52">
        <v>20220118</v>
      </c>
    </row>
    <row r="53" spans="1:17" x14ac:dyDescent="0.25">
      <c r="A53" t="s">
        <v>476</v>
      </c>
      <c r="B53" t="s">
        <v>477</v>
      </c>
      <c r="C53">
        <v>3</v>
      </c>
      <c r="D53">
        <v>20220118</v>
      </c>
      <c r="E53">
        <f t="shared" si="0"/>
        <v>1</v>
      </c>
      <c r="F53">
        <v>401000</v>
      </c>
      <c r="G53" t="s">
        <v>41</v>
      </c>
      <c r="H53" t="s">
        <v>69</v>
      </c>
      <c r="I53" t="s">
        <v>70</v>
      </c>
      <c r="J53" t="s">
        <v>511</v>
      </c>
      <c r="K53">
        <v>20220118</v>
      </c>
      <c r="L53" t="s">
        <v>163</v>
      </c>
      <c r="M53">
        <v>1349</v>
      </c>
      <c r="N53">
        <v>0</v>
      </c>
      <c r="O53" t="s">
        <v>23</v>
      </c>
      <c r="P53">
        <v>20220125</v>
      </c>
      <c r="Q53">
        <v>20220118</v>
      </c>
    </row>
    <row r="54" spans="1:17" x14ac:dyDescent="0.25">
      <c r="A54" t="s">
        <v>476</v>
      </c>
      <c r="B54" t="s">
        <v>477</v>
      </c>
      <c r="C54">
        <v>3</v>
      </c>
      <c r="D54">
        <v>20220118</v>
      </c>
      <c r="E54">
        <f t="shared" si="0"/>
        <v>1</v>
      </c>
      <c r="F54">
        <v>401000</v>
      </c>
      <c r="G54" t="s">
        <v>41</v>
      </c>
      <c r="H54" t="s">
        <v>75</v>
      </c>
      <c r="I54" t="s">
        <v>76</v>
      </c>
      <c r="J54" t="s">
        <v>511</v>
      </c>
      <c r="K54">
        <v>20220118</v>
      </c>
      <c r="L54" t="s">
        <v>163</v>
      </c>
      <c r="M54">
        <v>1687.06</v>
      </c>
      <c r="N54">
        <v>0</v>
      </c>
      <c r="O54" t="s">
        <v>23</v>
      </c>
      <c r="P54">
        <v>20220125</v>
      </c>
      <c r="Q54">
        <v>20220118</v>
      </c>
    </row>
    <row r="55" spans="1:17" x14ac:dyDescent="0.25">
      <c r="A55" t="s">
        <v>476</v>
      </c>
      <c r="B55" t="s">
        <v>477</v>
      </c>
      <c r="C55">
        <v>3</v>
      </c>
      <c r="D55">
        <v>20220118</v>
      </c>
      <c r="E55">
        <f t="shared" si="0"/>
        <v>1</v>
      </c>
      <c r="F55">
        <v>401000</v>
      </c>
      <c r="G55" t="s">
        <v>41</v>
      </c>
      <c r="H55" t="s">
        <v>97</v>
      </c>
      <c r="I55" t="s">
        <v>98</v>
      </c>
      <c r="J55" t="s">
        <v>511</v>
      </c>
      <c r="K55">
        <v>20220118</v>
      </c>
      <c r="L55" t="s">
        <v>163</v>
      </c>
      <c r="M55">
        <v>44.34</v>
      </c>
      <c r="N55">
        <v>0</v>
      </c>
      <c r="O55" t="s">
        <v>23</v>
      </c>
      <c r="P55">
        <v>20220124</v>
      </c>
      <c r="Q55">
        <v>20220118</v>
      </c>
    </row>
    <row r="56" spans="1:17" x14ac:dyDescent="0.25">
      <c r="A56" t="s">
        <v>476</v>
      </c>
      <c r="B56" t="s">
        <v>477</v>
      </c>
      <c r="C56">
        <v>3</v>
      </c>
      <c r="D56">
        <v>20220118</v>
      </c>
      <c r="E56">
        <f t="shared" si="0"/>
        <v>1</v>
      </c>
      <c r="F56">
        <v>401000</v>
      </c>
      <c r="G56" t="s">
        <v>41</v>
      </c>
      <c r="H56" t="s">
        <v>99</v>
      </c>
      <c r="I56" t="s">
        <v>100</v>
      </c>
      <c r="J56" t="s">
        <v>511</v>
      </c>
      <c r="K56">
        <v>20220118</v>
      </c>
      <c r="L56" t="s">
        <v>163</v>
      </c>
      <c r="M56">
        <v>5431.92</v>
      </c>
      <c r="N56">
        <v>0</v>
      </c>
      <c r="O56" t="s">
        <v>23</v>
      </c>
      <c r="P56">
        <v>20220124</v>
      </c>
      <c r="Q56">
        <v>20220118</v>
      </c>
    </row>
    <row r="57" spans="1:17" x14ac:dyDescent="0.25">
      <c r="A57" t="s">
        <v>476</v>
      </c>
      <c r="B57" t="s">
        <v>477</v>
      </c>
      <c r="C57">
        <v>3</v>
      </c>
      <c r="D57">
        <v>20220118</v>
      </c>
      <c r="E57">
        <f t="shared" si="0"/>
        <v>1</v>
      </c>
      <c r="F57">
        <v>401000</v>
      </c>
      <c r="G57" t="s">
        <v>41</v>
      </c>
      <c r="H57" t="s">
        <v>181</v>
      </c>
      <c r="I57" t="s">
        <v>182</v>
      </c>
      <c r="J57" t="s">
        <v>511</v>
      </c>
      <c r="K57">
        <v>20220118</v>
      </c>
      <c r="L57" t="s">
        <v>163</v>
      </c>
      <c r="M57">
        <v>179.77</v>
      </c>
      <c r="N57">
        <v>0</v>
      </c>
      <c r="O57" t="s">
        <v>23</v>
      </c>
      <c r="P57">
        <v>20220125</v>
      </c>
      <c r="Q57">
        <v>20220118</v>
      </c>
    </row>
    <row r="58" spans="1:17" x14ac:dyDescent="0.25">
      <c r="A58" t="s">
        <v>476</v>
      </c>
      <c r="B58" t="s">
        <v>477</v>
      </c>
      <c r="C58">
        <v>3</v>
      </c>
      <c r="D58">
        <v>20220118</v>
      </c>
      <c r="E58">
        <f t="shared" si="0"/>
        <v>1</v>
      </c>
      <c r="F58">
        <v>401000</v>
      </c>
      <c r="G58" t="s">
        <v>41</v>
      </c>
      <c r="H58" t="s">
        <v>303</v>
      </c>
      <c r="I58" t="s">
        <v>304</v>
      </c>
      <c r="J58" t="s">
        <v>511</v>
      </c>
      <c r="K58">
        <v>20220118</v>
      </c>
      <c r="L58" t="s">
        <v>163</v>
      </c>
      <c r="M58">
        <v>440</v>
      </c>
      <c r="N58">
        <v>0</v>
      </c>
      <c r="O58" t="s">
        <v>23</v>
      </c>
      <c r="P58">
        <v>20220125</v>
      </c>
      <c r="Q58">
        <v>20220118</v>
      </c>
    </row>
    <row r="59" spans="1:17" x14ac:dyDescent="0.25">
      <c r="A59" t="s">
        <v>476</v>
      </c>
      <c r="B59" t="s">
        <v>477</v>
      </c>
      <c r="C59">
        <v>3</v>
      </c>
      <c r="D59">
        <v>20220118</v>
      </c>
      <c r="E59">
        <f t="shared" si="0"/>
        <v>1</v>
      </c>
      <c r="F59">
        <v>401000</v>
      </c>
      <c r="G59" t="s">
        <v>41</v>
      </c>
      <c r="H59" t="s">
        <v>375</v>
      </c>
      <c r="I59" t="s">
        <v>376</v>
      </c>
      <c r="J59" t="s">
        <v>511</v>
      </c>
      <c r="K59">
        <v>20220118</v>
      </c>
      <c r="L59" t="s">
        <v>163</v>
      </c>
      <c r="M59">
        <v>30</v>
      </c>
      <c r="N59">
        <v>0</v>
      </c>
      <c r="O59" t="s">
        <v>23</v>
      </c>
      <c r="P59">
        <v>20220204</v>
      </c>
      <c r="Q59">
        <v>20220118</v>
      </c>
    </row>
    <row r="60" spans="1:17" x14ac:dyDescent="0.25">
      <c r="A60" t="s">
        <v>476</v>
      </c>
      <c r="B60" t="s">
        <v>477</v>
      </c>
      <c r="C60">
        <v>3</v>
      </c>
      <c r="D60">
        <v>20220118</v>
      </c>
      <c r="E60">
        <f t="shared" si="0"/>
        <v>1</v>
      </c>
      <c r="F60">
        <v>512000</v>
      </c>
      <c r="G60" t="s">
        <v>428</v>
      </c>
      <c r="H60" t="s">
        <v>401</v>
      </c>
      <c r="I60" t="s">
        <v>402</v>
      </c>
      <c r="J60" t="s">
        <v>511</v>
      </c>
      <c r="K60">
        <v>20220118</v>
      </c>
      <c r="L60" t="s">
        <v>163</v>
      </c>
      <c r="M60">
        <v>0</v>
      </c>
      <c r="N60">
        <v>16757.14</v>
      </c>
      <c r="O60" t="s">
        <v>19</v>
      </c>
      <c r="P60" t="s">
        <v>20</v>
      </c>
      <c r="Q60">
        <v>20220118</v>
      </c>
    </row>
    <row r="61" spans="1:17" x14ac:dyDescent="0.25">
      <c r="A61" t="s">
        <v>476</v>
      </c>
      <c r="B61" t="s">
        <v>477</v>
      </c>
      <c r="C61">
        <v>3</v>
      </c>
      <c r="D61">
        <v>20220118</v>
      </c>
      <c r="E61">
        <f t="shared" si="0"/>
        <v>1</v>
      </c>
      <c r="F61">
        <v>431000</v>
      </c>
      <c r="G61" t="s">
        <v>408</v>
      </c>
      <c r="H61" t="s">
        <v>401</v>
      </c>
      <c r="I61" t="s">
        <v>402</v>
      </c>
      <c r="J61" t="s">
        <v>512</v>
      </c>
      <c r="K61">
        <v>20220118</v>
      </c>
      <c r="L61" t="s">
        <v>513</v>
      </c>
      <c r="M61">
        <v>25092</v>
      </c>
      <c r="N61">
        <v>0</v>
      </c>
      <c r="O61" t="s">
        <v>23</v>
      </c>
      <c r="P61">
        <v>20220323</v>
      </c>
      <c r="Q61">
        <v>20220118</v>
      </c>
    </row>
    <row r="62" spans="1:17" x14ac:dyDescent="0.25">
      <c r="A62" t="s">
        <v>476</v>
      </c>
      <c r="B62" t="s">
        <v>477</v>
      </c>
      <c r="C62">
        <v>3</v>
      </c>
      <c r="D62">
        <v>20220118</v>
      </c>
      <c r="E62">
        <f t="shared" si="0"/>
        <v>1</v>
      </c>
      <c r="F62">
        <v>512000</v>
      </c>
      <c r="G62" t="s">
        <v>428</v>
      </c>
      <c r="H62" t="s">
        <v>401</v>
      </c>
      <c r="I62" t="s">
        <v>402</v>
      </c>
      <c r="J62" t="s">
        <v>512</v>
      </c>
      <c r="K62">
        <v>20220118</v>
      </c>
      <c r="L62" t="s">
        <v>513</v>
      </c>
      <c r="M62">
        <v>0</v>
      </c>
      <c r="N62">
        <v>25092</v>
      </c>
      <c r="O62" t="s">
        <v>19</v>
      </c>
      <c r="P62" t="s">
        <v>20</v>
      </c>
      <c r="Q62">
        <v>20220118</v>
      </c>
    </row>
    <row r="63" spans="1:17" x14ac:dyDescent="0.25">
      <c r="A63" t="s">
        <v>476</v>
      </c>
      <c r="B63" t="s">
        <v>477</v>
      </c>
      <c r="C63">
        <v>3</v>
      </c>
      <c r="D63">
        <v>20220118</v>
      </c>
      <c r="E63">
        <f t="shared" si="0"/>
        <v>1</v>
      </c>
      <c r="F63">
        <v>468725</v>
      </c>
      <c r="G63" t="s">
        <v>424</v>
      </c>
      <c r="H63" t="s">
        <v>401</v>
      </c>
      <c r="I63" t="s">
        <v>402</v>
      </c>
      <c r="J63" t="s">
        <v>514</v>
      </c>
      <c r="K63">
        <v>20220118</v>
      </c>
      <c r="L63" t="s">
        <v>515</v>
      </c>
      <c r="M63">
        <v>0</v>
      </c>
      <c r="N63">
        <v>454.89</v>
      </c>
      <c r="O63" t="s">
        <v>23</v>
      </c>
      <c r="P63">
        <v>20230105</v>
      </c>
      <c r="Q63">
        <v>20220118</v>
      </c>
    </row>
    <row r="64" spans="1:17" x14ac:dyDescent="0.25">
      <c r="A64" t="s">
        <v>476</v>
      </c>
      <c r="B64" t="s">
        <v>477</v>
      </c>
      <c r="C64">
        <v>3</v>
      </c>
      <c r="D64">
        <v>20220118</v>
      </c>
      <c r="E64">
        <f t="shared" si="0"/>
        <v>1</v>
      </c>
      <c r="F64">
        <v>512000</v>
      </c>
      <c r="G64" t="s">
        <v>428</v>
      </c>
      <c r="H64" t="s">
        <v>401</v>
      </c>
      <c r="I64" t="s">
        <v>402</v>
      </c>
      <c r="J64" t="s">
        <v>514</v>
      </c>
      <c r="K64">
        <v>20220118</v>
      </c>
      <c r="L64" t="s">
        <v>515</v>
      </c>
      <c r="M64">
        <v>454.89</v>
      </c>
      <c r="N64">
        <v>0</v>
      </c>
      <c r="O64" t="s">
        <v>19</v>
      </c>
      <c r="P64" t="s">
        <v>20</v>
      </c>
      <c r="Q64">
        <v>20220118</v>
      </c>
    </row>
    <row r="65" spans="1:17" x14ac:dyDescent="0.25">
      <c r="A65" t="s">
        <v>476</v>
      </c>
      <c r="B65" t="s">
        <v>477</v>
      </c>
      <c r="C65">
        <v>3</v>
      </c>
      <c r="D65">
        <v>20220118</v>
      </c>
      <c r="E65">
        <f t="shared" si="0"/>
        <v>1</v>
      </c>
      <c r="F65">
        <v>468725</v>
      </c>
      <c r="G65" t="s">
        <v>424</v>
      </c>
      <c r="H65" t="s">
        <v>401</v>
      </c>
      <c r="I65" t="s">
        <v>402</v>
      </c>
      <c r="J65" t="s">
        <v>516</v>
      </c>
      <c r="K65">
        <v>20220118</v>
      </c>
      <c r="L65" t="s">
        <v>479</v>
      </c>
      <c r="M65">
        <v>0</v>
      </c>
      <c r="N65">
        <v>3333.3</v>
      </c>
      <c r="O65" t="s">
        <v>23</v>
      </c>
      <c r="P65">
        <v>20230105</v>
      </c>
      <c r="Q65">
        <v>20220118</v>
      </c>
    </row>
    <row r="66" spans="1:17" x14ac:dyDescent="0.25">
      <c r="A66" t="s">
        <v>476</v>
      </c>
      <c r="B66" t="s">
        <v>477</v>
      </c>
      <c r="C66">
        <v>3</v>
      </c>
      <c r="D66">
        <v>20220118</v>
      </c>
      <c r="E66">
        <f t="shared" si="0"/>
        <v>1</v>
      </c>
      <c r="F66">
        <v>512000</v>
      </c>
      <c r="G66" t="s">
        <v>428</v>
      </c>
      <c r="H66" t="s">
        <v>401</v>
      </c>
      <c r="I66" t="s">
        <v>402</v>
      </c>
      <c r="J66" t="s">
        <v>516</v>
      </c>
      <c r="K66">
        <v>20220118</v>
      </c>
      <c r="L66" t="s">
        <v>479</v>
      </c>
      <c r="M66">
        <v>3333.3</v>
      </c>
      <c r="N66">
        <v>0</v>
      </c>
      <c r="O66" t="s">
        <v>19</v>
      </c>
      <c r="P66" t="s">
        <v>20</v>
      </c>
      <c r="Q66">
        <v>20220118</v>
      </c>
    </row>
    <row r="67" spans="1:17" x14ac:dyDescent="0.25">
      <c r="A67" t="s">
        <v>476</v>
      </c>
      <c r="B67" t="s">
        <v>477</v>
      </c>
      <c r="C67">
        <v>3</v>
      </c>
      <c r="D67">
        <v>20220119</v>
      </c>
      <c r="E67">
        <f t="shared" ref="E67:E130" si="1">VALUE(MID(D67,5,2))</f>
        <v>1</v>
      </c>
      <c r="F67">
        <v>467100</v>
      </c>
      <c r="G67" t="s">
        <v>160</v>
      </c>
      <c r="H67" t="s">
        <v>517</v>
      </c>
      <c r="I67" t="s">
        <v>518</v>
      </c>
      <c r="J67" t="s">
        <v>519</v>
      </c>
      <c r="K67">
        <v>20220119</v>
      </c>
      <c r="L67" t="s">
        <v>127</v>
      </c>
      <c r="M67">
        <v>100</v>
      </c>
      <c r="N67">
        <v>0</v>
      </c>
      <c r="O67" t="s">
        <v>23</v>
      </c>
      <c r="P67">
        <v>20220221</v>
      </c>
      <c r="Q67">
        <v>20220119</v>
      </c>
    </row>
    <row r="68" spans="1:17" x14ac:dyDescent="0.25">
      <c r="A68" t="s">
        <v>476</v>
      </c>
      <c r="B68" t="s">
        <v>477</v>
      </c>
      <c r="C68">
        <v>3</v>
      </c>
      <c r="D68">
        <v>20220119</v>
      </c>
      <c r="E68">
        <f t="shared" si="1"/>
        <v>1</v>
      </c>
      <c r="F68">
        <v>512000</v>
      </c>
      <c r="G68" t="s">
        <v>428</v>
      </c>
      <c r="H68" t="s">
        <v>401</v>
      </c>
      <c r="I68" t="s">
        <v>402</v>
      </c>
      <c r="J68" t="s">
        <v>519</v>
      </c>
      <c r="K68">
        <v>20220119</v>
      </c>
      <c r="L68" t="s">
        <v>127</v>
      </c>
      <c r="M68">
        <v>0</v>
      </c>
      <c r="N68">
        <v>100</v>
      </c>
      <c r="O68" t="s">
        <v>19</v>
      </c>
      <c r="P68" t="s">
        <v>20</v>
      </c>
      <c r="Q68">
        <v>20220119</v>
      </c>
    </row>
    <row r="69" spans="1:17" x14ac:dyDescent="0.25">
      <c r="A69" t="s">
        <v>476</v>
      </c>
      <c r="B69" t="s">
        <v>477</v>
      </c>
      <c r="C69">
        <v>3</v>
      </c>
      <c r="D69">
        <v>20220119</v>
      </c>
      <c r="E69">
        <f t="shared" si="1"/>
        <v>1</v>
      </c>
      <c r="F69">
        <v>411100</v>
      </c>
      <c r="G69" t="s">
        <v>18</v>
      </c>
      <c r="H69" t="s">
        <v>520</v>
      </c>
      <c r="I69" t="s">
        <v>521</v>
      </c>
      <c r="J69" t="s">
        <v>522</v>
      </c>
      <c r="K69">
        <v>20220119</v>
      </c>
      <c r="L69" t="s">
        <v>127</v>
      </c>
      <c r="M69">
        <v>56.5</v>
      </c>
      <c r="N69">
        <v>0</v>
      </c>
      <c r="O69" t="s">
        <v>22</v>
      </c>
      <c r="P69">
        <v>20220327</v>
      </c>
      <c r="Q69">
        <v>20220119</v>
      </c>
    </row>
    <row r="70" spans="1:17" x14ac:dyDescent="0.25">
      <c r="A70" t="s">
        <v>476</v>
      </c>
      <c r="B70" t="s">
        <v>477</v>
      </c>
      <c r="C70">
        <v>3</v>
      </c>
      <c r="D70">
        <v>20220119</v>
      </c>
      <c r="E70">
        <f t="shared" si="1"/>
        <v>1</v>
      </c>
      <c r="F70">
        <v>512000</v>
      </c>
      <c r="G70" t="s">
        <v>428</v>
      </c>
      <c r="H70" t="s">
        <v>401</v>
      </c>
      <c r="I70" t="s">
        <v>402</v>
      </c>
      <c r="J70" t="s">
        <v>522</v>
      </c>
      <c r="K70">
        <v>20220119</v>
      </c>
      <c r="L70" t="s">
        <v>127</v>
      </c>
      <c r="M70">
        <v>0</v>
      </c>
      <c r="N70">
        <v>56.5</v>
      </c>
      <c r="O70" t="s">
        <v>19</v>
      </c>
      <c r="P70" t="s">
        <v>20</v>
      </c>
      <c r="Q70">
        <v>20220119</v>
      </c>
    </row>
    <row r="71" spans="1:17" x14ac:dyDescent="0.25">
      <c r="A71" t="s">
        <v>476</v>
      </c>
      <c r="B71" t="s">
        <v>477</v>
      </c>
      <c r="C71">
        <v>3</v>
      </c>
      <c r="D71">
        <v>20220121</v>
      </c>
      <c r="E71">
        <f t="shared" si="1"/>
        <v>1</v>
      </c>
      <c r="F71">
        <v>468200</v>
      </c>
      <c r="G71" t="s">
        <v>421</v>
      </c>
      <c r="H71" t="s">
        <v>401</v>
      </c>
      <c r="I71" t="s">
        <v>402</v>
      </c>
      <c r="J71" t="s">
        <v>523</v>
      </c>
      <c r="K71">
        <v>20220121</v>
      </c>
      <c r="L71" t="s">
        <v>422</v>
      </c>
      <c r="M71">
        <v>0</v>
      </c>
      <c r="N71">
        <v>603.15</v>
      </c>
      <c r="O71" t="s">
        <v>23</v>
      </c>
      <c r="P71">
        <v>20220914</v>
      </c>
      <c r="Q71">
        <v>20220121</v>
      </c>
    </row>
    <row r="72" spans="1:17" x14ac:dyDescent="0.25">
      <c r="A72" t="s">
        <v>476</v>
      </c>
      <c r="B72" t="s">
        <v>477</v>
      </c>
      <c r="C72">
        <v>3</v>
      </c>
      <c r="D72">
        <v>20220121</v>
      </c>
      <c r="E72">
        <f t="shared" si="1"/>
        <v>1</v>
      </c>
      <c r="F72">
        <v>512000</v>
      </c>
      <c r="G72" t="s">
        <v>428</v>
      </c>
      <c r="H72" t="s">
        <v>401</v>
      </c>
      <c r="I72" t="s">
        <v>402</v>
      </c>
      <c r="J72" t="s">
        <v>523</v>
      </c>
      <c r="K72">
        <v>20220121</v>
      </c>
      <c r="L72" t="s">
        <v>422</v>
      </c>
      <c r="M72">
        <v>603.15</v>
      </c>
      <c r="N72">
        <v>0</v>
      </c>
      <c r="O72" t="s">
        <v>19</v>
      </c>
      <c r="P72" t="s">
        <v>20</v>
      </c>
      <c r="Q72">
        <v>20220121</v>
      </c>
    </row>
    <row r="73" spans="1:17" x14ac:dyDescent="0.25">
      <c r="A73" t="s">
        <v>476</v>
      </c>
      <c r="B73" t="s">
        <v>477</v>
      </c>
      <c r="C73">
        <v>3</v>
      </c>
      <c r="D73">
        <v>20220124</v>
      </c>
      <c r="E73">
        <f t="shared" si="1"/>
        <v>1</v>
      </c>
      <c r="F73">
        <v>468200</v>
      </c>
      <c r="G73" t="s">
        <v>421</v>
      </c>
      <c r="H73" t="s">
        <v>401</v>
      </c>
      <c r="I73" t="s">
        <v>402</v>
      </c>
      <c r="J73" t="s">
        <v>524</v>
      </c>
      <c r="K73">
        <v>20220124</v>
      </c>
      <c r="L73" t="s">
        <v>422</v>
      </c>
      <c r="M73">
        <v>0</v>
      </c>
      <c r="N73">
        <v>377.02</v>
      </c>
      <c r="O73" t="s">
        <v>23</v>
      </c>
      <c r="P73">
        <v>20220914</v>
      </c>
      <c r="Q73">
        <v>20220124</v>
      </c>
    </row>
    <row r="74" spans="1:17" x14ac:dyDescent="0.25">
      <c r="A74" t="s">
        <v>476</v>
      </c>
      <c r="B74" t="s">
        <v>477</v>
      </c>
      <c r="C74">
        <v>3</v>
      </c>
      <c r="D74">
        <v>20220124</v>
      </c>
      <c r="E74">
        <f t="shared" si="1"/>
        <v>1</v>
      </c>
      <c r="F74">
        <v>512000</v>
      </c>
      <c r="G74" t="s">
        <v>428</v>
      </c>
      <c r="H74" t="s">
        <v>401</v>
      </c>
      <c r="I74" t="s">
        <v>402</v>
      </c>
      <c r="J74" t="s">
        <v>524</v>
      </c>
      <c r="K74">
        <v>20220124</v>
      </c>
      <c r="L74" t="s">
        <v>422</v>
      </c>
      <c r="M74">
        <v>377.02</v>
      </c>
      <c r="N74">
        <v>0</v>
      </c>
      <c r="O74" t="s">
        <v>19</v>
      </c>
      <c r="P74" t="s">
        <v>20</v>
      </c>
      <c r="Q74">
        <v>20220124</v>
      </c>
    </row>
    <row r="75" spans="1:17" x14ac:dyDescent="0.25">
      <c r="A75" t="s">
        <v>476</v>
      </c>
      <c r="B75" t="s">
        <v>477</v>
      </c>
      <c r="C75">
        <v>3</v>
      </c>
      <c r="D75">
        <v>20220125</v>
      </c>
      <c r="E75">
        <f t="shared" si="1"/>
        <v>1</v>
      </c>
      <c r="F75">
        <v>437100</v>
      </c>
      <c r="G75" t="s">
        <v>436</v>
      </c>
      <c r="H75" t="s">
        <v>401</v>
      </c>
      <c r="I75" t="s">
        <v>402</v>
      </c>
      <c r="J75" t="s">
        <v>525</v>
      </c>
      <c r="K75">
        <v>20220125</v>
      </c>
      <c r="L75" t="s">
        <v>127</v>
      </c>
      <c r="M75">
        <v>736.8</v>
      </c>
      <c r="N75">
        <v>0</v>
      </c>
      <c r="O75" t="s">
        <v>23</v>
      </c>
      <c r="P75">
        <v>20220217</v>
      </c>
      <c r="Q75">
        <v>20220125</v>
      </c>
    </row>
    <row r="76" spans="1:17" x14ac:dyDescent="0.25">
      <c r="A76" t="s">
        <v>476</v>
      </c>
      <c r="B76" t="s">
        <v>477</v>
      </c>
      <c r="C76">
        <v>3</v>
      </c>
      <c r="D76">
        <v>20220125</v>
      </c>
      <c r="E76">
        <f t="shared" si="1"/>
        <v>1</v>
      </c>
      <c r="F76">
        <v>401000</v>
      </c>
      <c r="G76" t="s">
        <v>41</v>
      </c>
      <c r="H76" t="s">
        <v>166</v>
      </c>
      <c r="I76" t="s">
        <v>167</v>
      </c>
      <c r="J76" t="s">
        <v>525</v>
      </c>
      <c r="K76">
        <v>20220125</v>
      </c>
      <c r="L76" t="s">
        <v>127</v>
      </c>
      <c r="M76">
        <v>110</v>
      </c>
      <c r="N76">
        <v>0</v>
      </c>
      <c r="O76" t="s">
        <v>23</v>
      </c>
      <c r="P76">
        <v>20220217</v>
      </c>
      <c r="Q76">
        <v>20220125</v>
      </c>
    </row>
    <row r="77" spans="1:17" x14ac:dyDescent="0.25">
      <c r="A77" t="s">
        <v>476</v>
      </c>
      <c r="B77" t="s">
        <v>477</v>
      </c>
      <c r="C77">
        <v>3</v>
      </c>
      <c r="D77">
        <v>20220125</v>
      </c>
      <c r="E77">
        <f t="shared" si="1"/>
        <v>1</v>
      </c>
      <c r="F77">
        <v>401000</v>
      </c>
      <c r="G77" t="s">
        <v>41</v>
      </c>
      <c r="H77" t="s">
        <v>441</v>
      </c>
      <c r="I77" t="s">
        <v>442</v>
      </c>
      <c r="J77" t="s">
        <v>525</v>
      </c>
      <c r="K77">
        <v>20220125</v>
      </c>
      <c r="L77" t="s">
        <v>127</v>
      </c>
      <c r="M77">
        <v>164.95</v>
      </c>
      <c r="N77">
        <v>0</v>
      </c>
      <c r="O77" t="s">
        <v>23</v>
      </c>
      <c r="P77">
        <v>20221109</v>
      </c>
      <c r="Q77">
        <v>20220125</v>
      </c>
    </row>
    <row r="78" spans="1:17" x14ac:dyDescent="0.25">
      <c r="A78" t="s">
        <v>476</v>
      </c>
      <c r="B78" t="s">
        <v>477</v>
      </c>
      <c r="C78">
        <v>3</v>
      </c>
      <c r="D78">
        <v>20220125</v>
      </c>
      <c r="E78">
        <f t="shared" si="1"/>
        <v>1</v>
      </c>
      <c r="F78">
        <v>512000</v>
      </c>
      <c r="G78" t="s">
        <v>428</v>
      </c>
      <c r="H78" t="s">
        <v>401</v>
      </c>
      <c r="I78" t="s">
        <v>402</v>
      </c>
      <c r="J78" t="s">
        <v>525</v>
      </c>
      <c r="K78">
        <v>20220125</v>
      </c>
      <c r="L78" t="s">
        <v>127</v>
      </c>
      <c r="M78">
        <v>0</v>
      </c>
      <c r="N78">
        <v>1011.75</v>
      </c>
      <c r="O78" t="s">
        <v>19</v>
      </c>
      <c r="P78" t="s">
        <v>20</v>
      </c>
      <c r="Q78">
        <v>20220125</v>
      </c>
    </row>
    <row r="79" spans="1:17" x14ac:dyDescent="0.25">
      <c r="A79" t="s">
        <v>476</v>
      </c>
      <c r="B79" t="s">
        <v>477</v>
      </c>
      <c r="C79">
        <v>3</v>
      </c>
      <c r="D79">
        <v>20220125</v>
      </c>
      <c r="E79">
        <f t="shared" si="1"/>
        <v>1</v>
      </c>
      <c r="F79">
        <v>401000</v>
      </c>
      <c r="G79" t="s">
        <v>41</v>
      </c>
      <c r="H79" t="s">
        <v>56</v>
      </c>
      <c r="I79" t="s">
        <v>57</v>
      </c>
      <c r="J79" t="s">
        <v>526</v>
      </c>
      <c r="K79">
        <v>20220125</v>
      </c>
      <c r="L79" t="s">
        <v>163</v>
      </c>
      <c r="M79">
        <v>1499</v>
      </c>
      <c r="N79">
        <v>0</v>
      </c>
      <c r="O79" t="s">
        <v>22</v>
      </c>
      <c r="P79">
        <v>20220125</v>
      </c>
      <c r="Q79">
        <v>20220125</v>
      </c>
    </row>
    <row r="80" spans="1:17" x14ac:dyDescent="0.25">
      <c r="A80" t="s">
        <v>476</v>
      </c>
      <c r="B80" t="s">
        <v>477</v>
      </c>
      <c r="C80">
        <v>3</v>
      </c>
      <c r="D80">
        <v>20220125</v>
      </c>
      <c r="E80">
        <f t="shared" si="1"/>
        <v>1</v>
      </c>
      <c r="F80">
        <v>401000</v>
      </c>
      <c r="G80" t="s">
        <v>41</v>
      </c>
      <c r="H80" t="s">
        <v>69</v>
      </c>
      <c r="I80" t="s">
        <v>70</v>
      </c>
      <c r="J80" t="s">
        <v>526</v>
      </c>
      <c r="K80">
        <v>20220125</v>
      </c>
      <c r="L80" t="s">
        <v>163</v>
      </c>
      <c r="M80">
        <v>1045</v>
      </c>
      <c r="N80">
        <v>0</v>
      </c>
      <c r="O80" t="s">
        <v>22</v>
      </c>
      <c r="P80">
        <v>20220125</v>
      </c>
      <c r="Q80">
        <v>20220125</v>
      </c>
    </row>
    <row r="81" spans="1:17" x14ac:dyDescent="0.25">
      <c r="A81" t="s">
        <v>476</v>
      </c>
      <c r="B81" t="s">
        <v>477</v>
      </c>
      <c r="C81">
        <v>3</v>
      </c>
      <c r="D81">
        <v>20220125</v>
      </c>
      <c r="E81">
        <f t="shared" si="1"/>
        <v>1</v>
      </c>
      <c r="F81">
        <v>401000</v>
      </c>
      <c r="G81" t="s">
        <v>41</v>
      </c>
      <c r="H81" t="s">
        <v>97</v>
      </c>
      <c r="I81" t="s">
        <v>98</v>
      </c>
      <c r="J81" t="s">
        <v>526</v>
      </c>
      <c r="K81">
        <v>20220125</v>
      </c>
      <c r="L81" t="s">
        <v>163</v>
      </c>
      <c r="M81">
        <v>179.36</v>
      </c>
      <c r="N81">
        <v>0</v>
      </c>
      <c r="O81" t="s">
        <v>22</v>
      </c>
      <c r="P81">
        <v>20220125</v>
      </c>
      <c r="Q81">
        <v>20220125</v>
      </c>
    </row>
    <row r="82" spans="1:17" x14ac:dyDescent="0.25">
      <c r="A82" t="s">
        <v>476</v>
      </c>
      <c r="B82" t="s">
        <v>477</v>
      </c>
      <c r="C82">
        <v>3</v>
      </c>
      <c r="D82">
        <v>20220125</v>
      </c>
      <c r="E82">
        <f t="shared" si="1"/>
        <v>1</v>
      </c>
      <c r="F82">
        <v>401000</v>
      </c>
      <c r="G82" t="s">
        <v>41</v>
      </c>
      <c r="H82" t="s">
        <v>128</v>
      </c>
      <c r="I82" t="s">
        <v>129</v>
      </c>
      <c r="J82" t="s">
        <v>526</v>
      </c>
      <c r="K82">
        <v>20220125</v>
      </c>
      <c r="L82" t="s">
        <v>163</v>
      </c>
      <c r="M82">
        <v>62.5</v>
      </c>
      <c r="N82">
        <v>0</v>
      </c>
      <c r="O82" t="s">
        <v>22</v>
      </c>
      <c r="P82">
        <v>20220125</v>
      </c>
      <c r="Q82">
        <v>20220125</v>
      </c>
    </row>
    <row r="83" spans="1:17" x14ac:dyDescent="0.25">
      <c r="A83" t="s">
        <v>476</v>
      </c>
      <c r="B83" t="s">
        <v>477</v>
      </c>
      <c r="C83">
        <v>3</v>
      </c>
      <c r="D83">
        <v>20220125</v>
      </c>
      <c r="E83">
        <f t="shared" si="1"/>
        <v>1</v>
      </c>
      <c r="F83">
        <v>401000</v>
      </c>
      <c r="G83" t="s">
        <v>41</v>
      </c>
      <c r="H83" t="s">
        <v>456</v>
      </c>
      <c r="I83" t="s">
        <v>457</v>
      </c>
      <c r="J83" t="s">
        <v>526</v>
      </c>
      <c r="K83">
        <v>20220125</v>
      </c>
      <c r="L83" t="s">
        <v>163</v>
      </c>
      <c r="M83">
        <v>472.5</v>
      </c>
      <c r="N83">
        <v>0</v>
      </c>
      <c r="O83" t="s">
        <v>22</v>
      </c>
      <c r="P83">
        <v>20220125</v>
      </c>
      <c r="Q83">
        <v>20220125</v>
      </c>
    </row>
    <row r="84" spans="1:17" x14ac:dyDescent="0.25">
      <c r="A84" t="s">
        <v>476</v>
      </c>
      <c r="B84" t="s">
        <v>477</v>
      </c>
      <c r="C84">
        <v>3</v>
      </c>
      <c r="D84">
        <v>20220125</v>
      </c>
      <c r="E84">
        <f t="shared" si="1"/>
        <v>1</v>
      </c>
      <c r="F84">
        <v>401000</v>
      </c>
      <c r="G84" t="s">
        <v>41</v>
      </c>
      <c r="H84" t="s">
        <v>391</v>
      </c>
      <c r="I84" t="s">
        <v>392</v>
      </c>
      <c r="J84" t="s">
        <v>526</v>
      </c>
      <c r="K84">
        <v>20220125</v>
      </c>
      <c r="L84" t="s">
        <v>163</v>
      </c>
      <c r="M84">
        <v>2040</v>
      </c>
      <c r="N84">
        <v>0</v>
      </c>
      <c r="O84" t="s">
        <v>22</v>
      </c>
      <c r="P84">
        <v>20220125</v>
      </c>
      <c r="Q84">
        <v>20220125</v>
      </c>
    </row>
    <row r="85" spans="1:17" x14ac:dyDescent="0.25">
      <c r="A85" t="s">
        <v>476</v>
      </c>
      <c r="B85" t="s">
        <v>477</v>
      </c>
      <c r="C85">
        <v>3</v>
      </c>
      <c r="D85">
        <v>20220125</v>
      </c>
      <c r="E85">
        <f t="shared" si="1"/>
        <v>1</v>
      </c>
      <c r="F85">
        <v>401000</v>
      </c>
      <c r="G85" t="s">
        <v>41</v>
      </c>
      <c r="H85" t="s">
        <v>393</v>
      </c>
      <c r="I85" t="s">
        <v>394</v>
      </c>
      <c r="J85" t="s">
        <v>526</v>
      </c>
      <c r="K85">
        <v>20220125</v>
      </c>
      <c r="L85" t="s">
        <v>163</v>
      </c>
      <c r="M85">
        <v>100</v>
      </c>
      <c r="N85">
        <v>0</v>
      </c>
      <c r="O85" t="s">
        <v>22</v>
      </c>
      <c r="P85">
        <v>20220125</v>
      </c>
      <c r="Q85">
        <v>20220125</v>
      </c>
    </row>
    <row r="86" spans="1:17" x14ac:dyDescent="0.25">
      <c r="A86" t="s">
        <v>476</v>
      </c>
      <c r="B86" t="s">
        <v>477</v>
      </c>
      <c r="C86">
        <v>3</v>
      </c>
      <c r="D86">
        <v>20220125</v>
      </c>
      <c r="E86">
        <f t="shared" si="1"/>
        <v>1</v>
      </c>
      <c r="F86">
        <v>512000</v>
      </c>
      <c r="G86" t="s">
        <v>428</v>
      </c>
      <c r="H86" t="s">
        <v>401</v>
      </c>
      <c r="I86" t="s">
        <v>402</v>
      </c>
      <c r="J86" t="s">
        <v>526</v>
      </c>
      <c r="K86">
        <v>20220125</v>
      </c>
      <c r="L86" t="s">
        <v>163</v>
      </c>
      <c r="M86">
        <v>0</v>
      </c>
      <c r="N86">
        <v>5398.36</v>
      </c>
      <c r="O86" t="s">
        <v>19</v>
      </c>
      <c r="P86" t="s">
        <v>20</v>
      </c>
      <c r="Q86">
        <v>20220125</v>
      </c>
    </row>
    <row r="87" spans="1:17" x14ac:dyDescent="0.25">
      <c r="A87" t="s">
        <v>476</v>
      </c>
      <c r="B87" t="s">
        <v>477</v>
      </c>
      <c r="C87">
        <v>3</v>
      </c>
      <c r="D87">
        <v>20220125</v>
      </c>
      <c r="E87">
        <f t="shared" si="1"/>
        <v>1</v>
      </c>
      <c r="F87">
        <v>442100</v>
      </c>
      <c r="G87" t="s">
        <v>435</v>
      </c>
      <c r="H87" t="s">
        <v>401</v>
      </c>
      <c r="I87" t="s">
        <v>402</v>
      </c>
      <c r="J87" t="s">
        <v>527</v>
      </c>
      <c r="K87">
        <v>20220125</v>
      </c>
      <c r="L87" t="s">
        <v>528</v>
      </c>
      <c r="M87">
        <v>1302</v>
      </c>
      <c r="N87">
        <v>0</v>
      </c>
      <c r="O87" t="s">
        <v>23</v>
      </c>
      <c r="P87">
        <v>20220327</v>
      </c>
      <c r="Q87">
        <v>20220125</v>
      </c>
    </row>
    <row r="88" spans="1:17" x14ac:dyDescent="0.25">
      <c r="A88" t="s">
        <v>476</v>
      </c>
      <c r="B88" t="s">
        <v>477</v>
      </c>
      <c r="C88">
        <v>3</v>
      </c>
      <c r="D88">
        <v>20220125</v>
      </c>
      <c r="E88">
        <f t="shared" si="1"/>
        <v>1</v>
      </c>
      <c r="F88">
        <v>512000</v>
      </c>
      <c r="G88" t="s">
        <v>428</v>
      </c>
      <c r="H88" t="s">
        <v>401</v>
      </c>
      <c r="I88" t="s">
        <v>402</v>
      </c>
      <c r="J88" t="s">
        <v>527</v>
      </c>
      <c r="K88">
        <v>20220125</v>
      </c>
      <c r="L88" t="s">
        <v>528</v>
      </c>
      <c r="M88">
        <v>0</v>
      </c>
      <c r="N88">
        <v>1302</v>
      </c>
      <c r="O88" t="s">
        <v>19</v>
      </c>
      <c r="P88" t="s">
        <v>20</v>
      </c>
      <c r="Q88">
        <v>20220125</v>
      </c>
    </row>
    <row r="89" spans="1:17" x14ac:dyDescent="0.25">
      <c r="A89" t="s">
        <v>476</v>
      </c>
      <c r="B89" t="s">
        <v>477</v>
      </c>
      <c r="C89">
        <v>3</v>
      </c>
      <c r="D89">
        <v>20220125</v>
      </c>
      <c r="E89">
        <f t="shared" si="1"/>
        <v>1</v>
      </c>
      <c r="F89">
        <v>433000</v>
      </c>
      <c r="G89" t="s">
        <v>410</v>
      </c>
      <c r="H89" t="s">
        <v>401</v>
      </c>
      <c r="I89" t="s">
        <v>402</v>
      </c>
      <c r="J89" t="s">
        <v>529</v>
      </c>
      <c r="K89">
        <v>20220125</v>
      </c>
      <c r="L89" t="s">
        <v>530</v>
      </c>
      <c r="M89">
        <v>5907.98</v>
      </c>
      <c r="N89">
        <v>0</v>
      </c>
      <c r="O89" t="s">
        <v>23</v>
      </c>
      <c r="P89">
        <v>20220323</v>
      </c>
      <c r="Q89">
        <v>20220125</v>
      </c>
    </row>
    <row r="90" spans="1:17" x14ac:dyDescent="0.25">
      <c r="A90" t="s">
        <v>476</v>
      </c>
      <c r="B90" t="s">
        <v>477</v>
      </c>
      <c r="C90">
        <v>3</v>
      </c>
      <c r="D90">
        <v>20220125</v>
      </c>
      <c r="E90">
        <f t="shared" si="1"/>
        <v>1</v>
      </c>
      <c r="F90">
        <v>512000</v>
      </c>
      <c r="G90" t="s">
        <v>428</v>
      </c>
      <c r="H90" t="s">
        <v>401</v>
      </c>
      <c r="I90" t="s">
        <v>402</v>
      </c>
      <c r="J90" t="s">
        <v>529</v>
      </c>
      <c r="K90">
        <v>20220125</v>
      </c>
      <c r="L90" t="s">
        <v>530</v>
      </c>
      <c r="M90">
        <v>0</v>
      </c>
      <c r="N90">
        <v>5907.98</v>
      </c>
      <c r="O90" t="s">
        <v>19</v>
      </c>
      <c r="P90" t="s">
        <v>20</v>
      </c>
      <c r="Q90">
        <v>20220125</v>
      </c>
    </row>
    <row r="91" spans="1:17" x14ac:dyDescent="0.25">
      <c r="A91" t="s">
        <v>476</v>
      </c>
      <c r="B91" t="s">
        <v>477</v>
      </c>
      <c r="C91">
        <v>3</v>
      </c>
      <c r="D91">
        <v>20220126</v>
      </c>
      <c r="E91">
        <f t="shared" si="1"/>
        <v>1</v>
      </c>
      <c r="F91">
        <v>467100</v>
      </c>
      <c r="G91" t="s">
        <v>160</v>
      </c>
      <c r="H91" t="s">
        <v>316</v>
      </c>
      <c r="I91" t="s">
        <v>317</v>
      </c>
      <c r="J91" t="s">
        <v>531</v>
      </c>
      <c r="K91">
        <v>20220126</v>
      </c>
      <c r="L91" t="s">
        <v>127</v>
      </c>
      <c r="M91">
        <v>450</v>
      </c>
      <c r="N91">
        <v>0</v>
      </c>
      <c r="O91" t="s">
        <v>23</v>
      </c>
      <c r="P91">
        <v>20220204</v>
      </c>
      <c r="Q91">
        <v>20220126</v>
      </c>
    </row>
    <row r="92" spans="1:17" x14ac:dyDescent="0.25">
      <c r="A92" t="s">
        <v>476</v>
      </c>
      <c r="B92" t="s">
        <v>477</v>
      </c>
      <c r="C92">
        <v>3</v>
      </c>
      <c r="D92">
        <v>20220126</v>
      </c>
      <c r="E92">
        <f t="shared" si="1"/>
        <v>1</v>
      </c>
      <c r="F92">
        <v>467100</v>
      </c>
      <c r="G92" t="s">
        <v>160</v>
      </c>
      <c r="H92" t="s">
        <v>219</v>
      </c>
      <c r="I92" t="s">
        <v>220</v>
      </c>
      <c r="J92" t="s">
        <v>531</v>
      </c>
      <c r="K92">
        <v>20220126</v>
      </c>
      <c r="L92" t="s">
        <v>127</v>
      </c>
      <c r="M92">
        <v>1000</v>
      </c>
      <c r="N92">
        <v>0</v>
      </c>
      <c r="O92" t="s">
        <v>23</v>
      </c>
      <c r="P92">
        <v>20220204</v>
      </c>
      <c r="Q92">
        <v>20220126</v>
      </c>
    </row>
    <row r="93" spans="1:17" x14ac:dyDescent="0.25">
      <c r="A93" t="s">
        <v>476</v>
      </c>
      <c r="B93" t="s">
        <v>477</v>
      </c>
      <c r="C93">
        <v>3</v>
      </c>
      <c r="D93">
        <v>20220126</v>
      </c>
      <c r="E93">
        <f t="shared" si="1"/>
        <v>1</v>
      </c>
      <c r="F93">
        <v>580000</v>
      </c>
      <c r="G93" t="s">
        <v>532</v>
      </c>
      <c r="H93" t="s">
        <v>401</v>
      </c>
      <c r="I93" t="s">
        <v>402</v>
      </c>
      <c r="J93" t="s">
        <v>531</v>
      </c>
      <c r="K93">
        <v>20220126</v>
      </c>
      <c r="L93" t="s">
        <v>127</v>
      </c>
      <c r="M93">
        <v>80</v>
      </c>
      <c r="N93">
        <v>0</v>
      </c>
      <c r="O93" t="s">
        <v>23</v>
      </c>
      <c r="P93">
        <v>20220919</v>
      </c>
      <c r="Q93">
        <v>20220126</v>
      </c>
    </row>
    <row r="94" spans="1:17" x14ac:dyDescent="0.25">
      <c r="A94" t="s">
        <v>476</v>
      </c>
      <c r="B94" t="s">
        <v>477</v>
      </c>
      <c r="C94">
        <v>3</v>
      </c>
      <c r="D94">
        <v>20220126</v>
      </c>
      <c r="E94">
        <f t="shared" si="1"/>
        <v>1</v>
      </c>
      <c r="F94">
        <v>512000</v>
      </c>
      <c r="G94" t="s">
        <v>428</v>
      </c>
      <c r="H94" t="s">
        <v>401</v>
      </c>
      <c r="I94" t="s">
        <v>402</v>
      </c>
      <c r="J94" t="s">
        <v>531</v>
      </c>
      <c r="K94">
        <v>20220126</v>
      </c>
      <c r="L94" t="s">
        <v>127</v>
      </c>
      <c r="M94">
        <v>0</v>
      </c>
      <c r="N94">
        <v>1530</v>
      </c>
      <c r="O94" t="s">
        <v>19</v>
      </c>
      <c r="P94" t="s">
        <v>20</v>
      </c>
      <c r="Q94">
        <v>20220126</v>
      </c>
    </row>
    <row r="95" spans="1:17" x14ac:dyDescent="0.25">
      <c r="A95" t="s">
        <v>476</v>
      </c>
      <c r="B95" t="s">
        <v>477</v>
      </c>
      <c r="C95">
        <v>3</v>
      </c>
      <c r="D95">
        <v>20220126</v>
      </c>
      <c r="E95">
        <f t="shared" si="1"/>
        <v>1</v>
      </c>
      <c r="F95">
        <v>433100</v>
      </c>
      <c r="G95" t="s">
        <v>411</v>
      </c>
      <c r="H95" t="s">
        <v>401</v>
      </c>
      <c r="I95" t="s">
        <v>402</v>
      </c>
      <c r="J95" t="s">
        <v>533</v>
      </c>
      <c r="K95">
        <v>20220126</v>
      </c>
      <c r="L95" t="s">
        <v>534</v>
      </c>
      <c r="M95">
        <v>1242.5899999999999</v>
      </c>
      <c r="N95">
        <v>0</v>
      </c>
      <c r="O95" t="s">
        <v>23</v>
      </c>
      <c r="P95">
        <v>20220323</v>
      </c>
      <c r="Q95">
        <v>20220126</v>
      </c>
    </row>
    <row r="96" spans="1:17" x14ac:dyDescent="0.25">
      <c r="A96" t="s">
        <v>476</v>
      </c>
      <c r="B96" t="s">
        <v>477</v>
      </c>
      <c r="C96">
        <v>3</v>
      </c>
      <c r="D96">
        <v>20220126</v>
      </c>
      <c r="E96">
        <f t="shared" si="1"/>
        <v>1</v>
      </c>
      <c r="F96">
        <v>512000</v>
      </c>
      <c r="G96" t="s">
        <v>428</v>
      </c>
      <c r="H96" t="s">
        <v>401</v>
      </c>
      <c r="I96" t="s">
        <v>402</v>
      </c>
      <c r="J96" t="s">
        <v>533</v>
      </c>
      <c r="K96">
        <v>20220126</v>
      </c>
      <c r="L96" t="s">
        <v>534</v>
      </c>
      <c r="M96">
        <v>0</v>
      </c>
      <c r="N96">
        <v>1242.5899999999999</v>
      </c>
      <c r="O96" t="s">
        <v>19</v>
      </c>
      <c r="P96" t="s">
        <v>20</v>
      </c>
      <c r="Q96">
        <v>20220126</v>
      </c>
    </row>
    <row r="97" spans="1:17" x14ac:dyDescent="0.25">
      <c r="A97" t="s">
        <v>476</v>
      </c>
      <c r="B97" t="s">
        <v>477</v>
      </c>
      <c r="C97">
        <v>3</v>
      </c>
      <c r="D97">
        <v>20220128</v>
      </c>
      <c r="E97">
        <f t="shared" si="1"/>
        <v>1</v>
      </c>
      <c r="F97">
        <v>401000</v>
      </c>
      <c r="G97" t="s">
        <v>41</v>
      </c>
      <c r="H97" t="s">
        <v>535</v>
      </c>
      <c r="I97" t="s">
        <v>536</v>
      </c>
      <c r="J97" t="s">
        <v>537</v>
      </c>
      <c r="K97">
        <v>20220128</v>
      </c>
      <c r="L97" t="s">
        <v>127</v>
      </c>
      <c r="M97">
        <v>75</v>
      </c>
      <c r="N97">
        <v>0</v>
      </c>
      <c r="O97" t="s">
        <v>23</v>
      </c>
      <c r="P97">
        <v>20220327</v>
      </c>
      <c r="Q97">
        <v>20220128</v>
      </c>
    </row>
    <row r="98" spans="1:17" x14ac:dyDescent="0.25">
      <c r="A98" t="s">
        <v>476</v>
      </c>
      <c r="B98" t="s">
        <v>477</v>
      </c>
      <c r="C98">
        <v>3</v>
      </c>
      <c r="D98">
        <v>20220128</v>
      </c>
      <c r="E98">
        <f t="shared" si="1"/>
        <v>1</v>
      </c>
      <c r="F98">
        <v>512000</v>
      </c>
      <c r="G98" t="s">
        <v>428</v>
      </c>
      <c r="H98" t="s">
        <v>401</v>
      </c>
      <c r="I98" t="s">
        <v>402</v>
      </c>
      <c r="J98" t="s">
        <v>537</v>
      </c>
      <c r="K98">
        <v>20220128</v>
      </c>
      <c r="L98" t="s">
        <v>127</v>
      </c>
      <c r="M98">
        <v>0</v>
      </c>
      <c r="N98">
        <v>75</v>
      </c>
      <c r="O98" t="s">
        <v>19</v>
      </c>
      <c r="P98" t="s">
        <v>20</v>
      </c>
      <c r="Q98">
        <v>20220128</v>
      </c>
    </row>
    <row r="99" spans="1:17" x14ac:dyDescent="0.25">
      <c r="A99" t="s">
        <v>476</v>
      </c>
      <c r="B99" t="s">
        <v>477</v>
      </c>
      <c r="C99">
        <v>3</v>
      </c>
      <c r="D99">
        <v>20220128</v>
      </c>
      <c r="E99">
        <f t="shared" si="1"/>
        <v>1</v>
      </c>
      <c r="F99">
        <v>421000</v>
      </c>
      <c r="G99" t="s">
        <v>403</v>
      </c>
      <c r="H99" t="s">
        <v>401</v>
      </c>
      <c r="I99" t="s">
        <v>402</v>
      </c>
      <c r="J99" t="s">
        <v>538</v>
      </c>
      <c r="K99">
        <v>20220128</v>
      </c>
      <c r="L99" t="s">
        <v>539</v>
      </c>
      <c r="M99">
        <v>56488.79</v>
      </c>
      <c r="N99">
        <v>0</v>
      </c>
      <c r="O99" t="s">
        <v>23</v>
      </c>
      <c r="P99">
        <v>20220319</v>
      </c>
      <c r="Q99">
        <v>20220128</v>
      </c>
    </row>
    <row r="100" spans="1:17" x14ac:dyDescent="0.25">
      <c r="A100" t="s">
        <v>476</v>
      </c>
      <c r="B100" t="s">
        <v>477</v>
      </c>
      <c r="C100">
        <v>3</v>
      </c>
      <c r="D100">
        <v>20220128</v>
      </c>
      <c r="E100">
        <f t="shared" si="1"/>
        <v>1</v>
      </c>
      <c r="F100">
        <v>512000</v>
      </c>
      <c r="G100" t="s">
        <v>428</v>
      </c>
      <c r="H100" t="s">
        <v>401</v>
      </c>
      <c r="I100" t="s">
        <v>402</v>
      </c>
      <c r="J100" t="s">
        <v>538</v>
      </c>
      <c r="K100">
        <v>20220128</v>
      </c>
      <c r="L100" t="s">
        <v>539</v>
      </c>
      <c r="M100">
        <v>0</v>
      </c>
      <c r="N100">
        <v>56488.79</v>
      </c>
      <c r="O100" t="s">
        <v>19</v>
      </c>
      <c r="P100" t="s">
        <v>20</v>
      </c>
      <c r="Q100">
        <v>20220128</v>
      </c>
    </row>
    <row r="101" spans="1:17" x14ac:dyDescent="0.25">
      <c r="A101" t="s">
        <v>476</v>
      </c>
      <c r="B101" t="s">
        <v>477</v>
      </c>
      <c r="C101">
        <v>3</v>
      </c>
      <c r="D101">
        <v>20220128</v>
      </c>
      <c r="E101">
        <f t="shared" si="1"/>
        <v>1</v>
      </c>
      <c r="F101">
        <v>468200</v>
      </c>
      <c r="G101" t="s">
        <v>421</v>
      </c>
      <c r="H101" t="s">
        <v>401</v>
      </c>
      <c r="I101" t="s">
        <v>402</v>
      </c>
      <c r="J101" t="s">
        <v>540</v>
      </c>
      <c r="K101">
        <v>20220128</v>
      </c>
      <c r="L101" t="s">
        <v>422</v>
      </c>
      <c r="M101">
        <v>0</v>
      </c>
      <c r="N101">
        <v>194.88</v>
      </c>
      <c r="O101" t="s">
        <v>23</v>
      </c>
      <c r="P101">
        <v>20220914</v>
      </c>
      <c r="Q101">
        <v>20220128</v>
      </c>
    </row>
    <row r="102" spans="1:17" x14ac:dyDescent="0.25">
      <c r="A102" t="s">
        <v>476</v>
      </c>
      <c r="B102" t="s">
        <v>477</v>
      </c>
      <c r="C102">
        <v>3</v>
      </c>
      <c r="D102">
        <v>20220128</v>
      </c>
      <c r="E102">
        <f t="shared" si="1"/>
        <v>1</v>
      </c>
      <c r="F102">
        <v>512000</v>
      </c>
      <c r="G102" t="s">
        <v>428</v>
      </c>
      <c r="H102" t="s">
        <v>401</v>
      </c>
      <c r="I102" t="s">
        <v>402</v>
      </c>
      <c r="J102" t="s">
        <v>540</v>
      </c>
      <c r="K102">
        <v>20220128</v>
      </c>
      <c r="L102" t="s">
        <v>422</v>
      </c>
      <c r="M102">
        <v>194.88</v>
      </c>
      <c r="N102">
        <v>0</v>
      </c>
      <c r="O102" t="s">
        <v>19</v>
      </c>
      <c r="P102" t="s">
        <v>20</v>
      </c>
      <c r="Q102">
        <v>20220128</v>
      </c>
    </row>
    <row r="103" spans="1:17" x14ac:dyDescent="0.25">
      <c r="A103" t="s">
        <v>476</v>
      </c>
      <c r="B103" t="s">
        <v>477</v>
      </c>
      <c r="C103">
        <v>3</v>
      </c>
      <c r="D103">
        <v>20220128</v>
      </c>
      <c r="E103">
        <f t="shared" si="1"/>
        <v>1</v>
      </c>
      <c r="F103">
        <v>468735</v>
      </c>
      <c r="G103" t="s">
        <v>425</v>
      </c>
      <c r="H103" t="s">
        <v>401</v>
      </c>
      <c r="I103" t="s">
        <v>402</v>
      </c>
      <c r="J103" t="s">
        <v>541</v>
      </c>
      <c r="K103">
        <v>20220128</v>
      </c>
      <c r="L103" t="s">
        <v>542</v>
      </c>
      <c r="M103">
        <v>0</v>
      </c>
      <c r="N103">
        <v>78.349999999999994</v>
      </c>
      <c r="O103" t="s">
        <v>19</v>
      </c>
      <c r="P103" t="s">
        <v>20</v>
      </c>
      <c r="Q103">
        <v>20220128</v>
      </c>
    </row>
    <row r="104" spans="1:17" x14ac:dyDescent="0.25">
      <c r="A104" t="s">
        <v>476</v>
      </c>
      <c r="B104" t="s">
        <v>477</v>
      </c>
      <c r="C104">
        <v>3</v>
      </c>
      <c r="D104">
        <v>20220128</v>
      </c>
      <c r="E104">
        <f t="shared" si="1"/>
        <v>1</v>
      </c>
      <c r="F104">
        <v>512000</v>
      </c>
      <c r="G104" t="s">
        <v>428</v>
      </c>
      <c r="H104" t="s">
        <v>401</v>
      </c>
      <c r="I104" t="s">
        <v>402</v>
      </c>
      <c r="J104" t="s">
        <v>541</v>
      </c>
      <c r="K104">
        <v>20220128</v>
      </c>
      <c r="L104" t="s">
        <v>542</v>
      </c>
      <c r="M104">
        <v>78.349999999999994</v>
      </c>
      <c r="N104">
        <v>0</v>
      </c>
      <c r="O104" t="s">
        <v>19</v>
      </c>
      <c r="P104" t="s">
        <v>20</v>
      </c>
      <c r="Q104">
        <v>20220128</v>
      </c>
    </row>
    <row r="105" spans="1:17" x14ac:dyDescent="0.25">
      <c r="A105" t="s">
        <v>476</v>
      </c>
      <c r="B105" t="s">
        <v>477</v>
      </c>
      <c r="C105">
        <v>3</v>
      </c>
      <c r="D105">
        <v>20220131</v>
      </c>
      <c r="E105">
        <f t="shared" si="1"/>
        <v>1</v>
      </c>
      <c r="F105">
        <v>421000</v>
      </c>
      <c r="G105" t="s">
        <v>403</v>
      </c>
      <c r="H105" t="s">
        <v>401</v>
      </c>
      <c r="I105" t="s">
        <v>402</v>
      </c>
      <c r="J105" t="s">
        <v>543</v>
      </c>
      <c r="K105">
        <v>20220131</v>
      </c>
      <c r="L105" t="s">
        <v>544</v>
      </c>
      <c r="M105">
        <v>1268.3399999999999</v>
      </c>
      <c r="N105">
        <v>0</v>
      </c>
      <c r="O105" t="s">
        <v>23</v>
      </c>
      <c r="P105">
        <v>20220319</v>
      </c>
      <c r="Q105">
        <v>20220131</v>
      </c>
    </row>
    <row r="106" spans="1:17" x14ac:dyDescent="0.25">
      <c r="A106" t="s">
        <v>476</v>
      </c>
      <c r="B106" t="s">
        <v>477</v>
      </c>
      <c r="C106">
        <v>3</v>
      </c>
      <c r="D106">
        <v>20220131</v>
      </c>
      <c r="E106">
        <f t="shared" si="1"/>
        <v>1</v>
      </c>
      <c r="F106">
        <v>512000</v>
      </c>
      <c r="G106" t="s">
        <v>428</v>
      </c>
      <c r="H106" t="s">
        <v>401</v>
      </c>
      <c r="I106" t="s">
        <v>402</v>
      </c>
      <c r="J106" t="s">
        <v>543</v>
      </c>
      <c r="K106">
        <v>20220131</v>
      </c>
      <c r="L106" t="s">
        <v>422</v>
      </c>
      <c r="M106">
        <v>0</v>
      </c>
      <c r="N106">
        <v>1268.3399999999999</v>
      </c>
      <c r="O106" t="s">
        <v>19</v>
      </c>
      <c r="P106" t="s">
        <v>20</v>
      </c>
      <c r="Q106">
        <v>20220131</v>
      </c>
    </row>
    <row r="107" spans="1:17" x14ac:dyDescent="0.25">
      <c r="A107" t="s">
        <v>476</v>
      </c>
      <c r="B107" t="s">
        <v>477</v>
      </c>
      <c r="C107">
        <v>3</v>
      </c>
      <c r="D107">
        <v>20220131</v>
      </c>
      <c r="E107">
        <f t="shared" si="1"/>
        <v>1</v>
      </c>
      <c r="F107">
        <v>401000</v>
      </c>
      <c r="G107" t="s">
        <v>41</v>
      </c>
      <c r="H107" t="s">
        <v>458</v>
      </c>
      <c r="I107" t="s">
        <v>459</v>
      </c>
      <c r="J107" t="s">
        <v>545</v>
      </c>
      <c r="K107">
        <v>20220131</v>
      </c>
      <c r="L107" t="s">
        <v>546</v>
      </c>
      <c r="M107">
        <v>660</v>
      </c>
      <c r="N107">
        <v>0</v>
      </c>
      <c r="O107" t="s">
        <v>23</v>
      </c>
      <c r="P107">
        <v>20221006</v>
      </c>
      <c r="Q107">
        <v>20220131</v>
      </c>
    </row>
    <row r="108" spans="1:17" x14ac:dyDescent="0.25">
      <c r="A108" t="s">
        <v>476</v>
      </c>
      <c r="B108" t="s">
        <v>477</v>
      </c>
      <c r="C108">
        <v>3</v>
      </c>
      <c r="D108">
        <v>20220131</v>
      </c>
      <c r="E108">
        <f t="shared" si="1"/>
        <v>1</v>
      </c>
      <c r="F108">
        <v>512000</v>
      </c>
      <c r="G108" t="s">
        <v>428</v>
      </c>
      <c r="H108" t="s">
        <v>401</v>
      </c>
      <c r="I108" t="s">
        <v>402</v>
      </c>
      <c r="J108" t="s">
        <v>545</v>
      </c>
      <c r="K108">
        <v>20220131</v>
      </c>
      <c r="L108" t="s">
        <v>546</v>
      </c>
      <c r="M108">
        <v>0</v>
      </c>
      <c r="N108">
        <v>660</v>
      </c>
      <c r="O108" t="s">
        <v>19</v>
      </c>
      <c r="P108" t="s">
        <v>20</v>
      </c>
      <c r="Q108">
        <v>20220131</v>
      </c>
    </row>
    <row r="109" spans="1:17" x14ac:dyDescent="0.25">
      <c r="A109" t="s">
        <v>476</v>
      </c>
      <c r="B109" t="s">
        <v>477</v>
      </c>
      <c r="C109">
        <v>3</v>
      </c>
      <c r="D109">
        <v>20220131</v>
      </c>
      <c r="E109">
        <f t="shared" si="1"/>
        <v>1</v>
      </c>
      <c r="F109">
        <v>468200</v>
      </c>
      <c r="G109" t="s">
        <v>421</v>
      </c>
      <c r="H109" t="s">
        <v>401</v>
      </c>
      <c r="I109" t="s">
        <v>402</v>
      </c>
      <c r="J109" t="s">
        <v>547</v>
      </c>
      <c r="K109">
        <v>20220131</v>
      </c>
      <c r="L109" t="s">
        <v>422</v>
      </c>
      <c r="M109">
        <v>0</v>
      </c>
      <c r="N109">
        <v>577.08000000000004</v>
      </c>
      <c r="O109" t="s">
        <v>23</v>
      </c>
      <c r="P109">
        <v>20220914</v>
      </c>
      <c r="Q109">
        <v>20220131</v>
      </c>
    </row>
    <row r="110" spans="1:17" x14ac:dyDescent="0.25">
      <c r="A110" t="s">
        <v>476</v>
      </c>
      <c r="B110" t="s">
        <v>477</v>
      </c>
      <c r="C110">
        <v>3</v>
      </c>
      <c r="D110">
        <v>20220131</v>
      </c>
      <c r="E110">
        <f t="shared" si="1"/>
        <v>1</v>
      </c>
      <c r="F110">
        <v>512000</v>
      </c>
      <c r="G110" t="s">
        <v>428</v>
      </c>
      <c r="H110" t="s">
        <v>401</v>
      </c>
      <c r="I110" t="s">
        <v>402</v>
      </c>
      <c r="J110" t="s">
        <v>547</v>
      </c>
      <c r="K110">
        <v>20220131</v>
      </c>
      <c r="L110" t="s">
        <v>422</v>
      </c>
      <c r="M110">
        <v>577.08000000000004</v>
      </c>
      <c r="N110">
        <v>0</v>
      </c>
      <c r="O110" t="s">
        <v>19</v>
      </c>
      <c r="P110" t="s">
        <v>20</v>
      </c>
      <c r="Q110">
        <v>20220131</v>
      </c>
    </row>
    <row r="111" spans="1:17" x14ac:dyDescent="0.25">
      <c r="A111" t="s">
        <v>548</v>
      </c>
      <c r="B111" t="s">
        <v>429</v>
      </c>
      <c r="C111">
        <v>4</v>
      </c>
      <c r="D111">
        <v>20220101</v>
      </c>
      <c r="E111">
        <f t="shared" si="1"/>
        <v>1</v>
      </c>
      <c r="F111">
        <v>467100</v>
      </c>
      <c r="G111" t="s">
        <v>160</v>
      </c>
      <c r="H111" t="s">
        <v>172</v>
      </c>
      <c r="I111" t="s">
        <v>173</v>
      </c>
      <c r="J111" t="s">
        <v>549</v>
      </c>
      <c r="K111">
        <v>20220101</v>
      </c>
      <c r="L111" t="s">
        <v>550</v>
      </c>
      <c r="M111">
        <v>0</v>
      </c>
      <c r="N111">
        <v>9.8800000000000008</v>
      </c>
      <c r="O111" t="s">
        <v>23</v>
      </c>
      <c r="P111">
        <v>20220321</v>
      </c>
      <c r="Q111">
        <v>20220101</v>
      </c>
    </row>
    <row r="112" spans="1:17" x14ac:dyDescent="0.25">
      <c r="A112" t="s">
        <v>548</v>
      </c>
      <c r="B112" t="s">
        <v>429</v>
      </c>
      <c r="C112">
        <v>4</v>
      </c>
      <c r="D112">
        <v>20220101</v>
      </c>
      <c r="E112">
        <f t="shared" si="1"/>
        <v>1</v>
      </c>
      <c r="F112">
        <v>531105</v>
      </c>
      <c r="G112" t="s">
        <v>429</v>
      </c>
      <c r="H112" t="s">
        <v>401</v>
      </c>
      <c r="I112" t="s">
        <v>402</v>
      </c>
      <c r="J112" t="s">
        <v>549</v>
      </c>
      <c r="K112">
        <v>20220101</v>
      </c>
      <c r="L112" t="s">
        <v>550</v>
      </c>
      <c r="M112">
        <v>9.8800000000000008</v>
      </c>
      <c r="N112">
        <v>0</v>
      </c>
      <c r="O112" t="s">
        <v>19</v>
      </c>
      <c r="P112" t="s">
        <v>20</v>
      </c>
      <c r="Q112">
        <v>20220101</v>
      </c>
    </row>
    <row r="113" spans="1:17" x14ac:dyDescent="0.25">
      <c r="A113" t="s">
        <v>548</v>
      </c>
      <c r="B113" t="s">
        <v>429</v>
      </c>
      <c r="C113">
        <v>4</v>
      </c>
      <c r="D113">
        <v>20220103</v>
      </c>
      <c r="E113">
        <f t="shared" si="1"/>
        <v>1</v>
      </c>
      <c r="F113">
        <v>411100</v>
      </c>
      <c r="G113" t="s">
        <v>18</v>
      </c>
      <c r="H113" t="s">
        <v>259</v>
      </c>
      <c r="I113" t="s">
        <v>260</v>
      </c>
      <c r="J113">
        <v>121120071</v>
      </c>
      <c r="K113">
        <v>20220103</v>
      </c>
      <c r="L113" t="s">
        <v>551</v>
      </c>
      <c r="M113">
        <v>0</v>
      </c>
      <c r="N113">
        <v>6</v>
      </c>
      <c r="O113" t="s">
        <v>23</v>
      </c>
      <c r="P113">
        <v>20230218</v>
      </c>
      <c r="Q113">
        <v>20220103</v>
      </c>
    </row>
    <row r="114" spans="1:17" x14ac:dyDescent="0.25">
      <c r="A114" t="s">
        <v>548</v>
      </c>
      <c r="B114" t="s">
        <v>429</v>
      </c>
      <c r="C114">
        <v>4</v>
      </c>
      <c r="D114">
        <v>20220103</v>
      </c>
      <c r="E114">
        <f t="shared" si="1"/>
        <v>1</v>
      </c>
      <c r="F114">
        <v>411100</v>
      </c>
      <c r="G114" t="s">
        <v>18</v>
      </c>
      <c r="H114" t="s">
        <v>259</v>
      </c>
      <c r="I114" t="s">
        <v>260</v>
      </c>
      <c r="J114">
        <v>121120071</v>
      </c>
      <c r="K114">
        <v>20220103</v>
      </c>
      <c r="L114" t="s">
        <v>552</v>
      </c>
      <c r="M114">
        <v>0</v>
      </c>
      <c r="N114">
        <v>6</v>
      </c>
      <c r="O114" t="s">
        <v>23</v>
      </c>
      <c r="P114">
        <v>20230218</v>
      </c>
      <c r="Q114">
        <v>20220103</v>
      </c>
    </row>
    <row r="115" spans="1:17" x14ac:dyDescent="0.25">
      <c r="A115" t="s">
        <v>548</v>
      </c>
      <c r="B115" t="s">
        <v>429</v>
      </c>
      <c r="C115">
        <v>4</v>
      </c>
      <c r="D115">
        <v>20220103</v>
      </c>
      <c r="E115">
        <f t="shared" si="1"/>
        <v>1</v>
      </c>
      <c r="F115">
        <v>411100</v>
      </c>
      <c r="G115" t="s">
        <v>18</v>
      </c>
      <c r="H115" t="s">
        <v>255</v>
      </c>
      <c r="I115" t="s">
        <v>256</v>
      </c>
      <c r="J115">
        <v>121120080</v>
      </c>
      <c r="K115">
        <v>20220103</v>
      </c>
      <c r="L115" t="s">
        <v>553</v>
      </c>
      <c r="M115">
        <v>0</v>
      </c>
      <c r="N115">
        <v>6</v>
      </c>
      <c r="O115" t="s">
        <v>22</v>
      </c>
      <c r="P115">
        <v>20220327</v>
      </c>
      <c r="Q115">
        <v>20220103</v>
      </c>
    </row>
    <row r="116" spans="1:17" x14ac:dyDescent="0.25">
      <c r="A116" t="s">
        <v>548</v>
      </c>
      <c r="B116" t="s">
        <v>429</v>
      </c>
      <c r="C116">
        <v>4</v>
      </c>
      <c r="D116">
        <v>20220103</v>
      </c>
      <c r="E116">
        <f t="shared" si="1"/>
        <v>1</v>
      </c>
      <c r="F116">
        <v>411100</v>
      </c>
      <c r="G116" t="s">
        <v>18</v>
      </c>
      <c r="H116" t="s">
        <v>91</v>
      </c>
      <c r="I116" t="s">
        <v>92</v>
      </c>
      <c r="J116">
        <v>121120079</v>
      </c>
      <c r="K116">
        <v>20220103</v>
      </c>
      <c r="L116" t="s">
        <v>554</v>
      </c>
      <c r="M116">
        <v>0</v>
      </c>
      <c r="N116">
        <v>6</v>
      </c>
      <c r="O116" t="s">
        <v>22</v>
      </c>
      <c r="P116">
        <v>20220327</v>
      </c>
      <c r="Q116">
        <v>20220103</v>
      </c>
    </row>
    <row r="117" spans="1:17" x14ac:dyDescent="0.25">
      <c r="A117" t="s">
        <v>548</v>
      </c>
      <c r="B117" t="s">
        <v>429</v>
      </c>
      <c r="C117">
        <v>4</v>
      </c>
      <c r="D117">
        <v>20220103</v>
      </c>
      <c r="E117">
        <f t="shared" si="1"/>
        <v>1</v>
      </c>
      <c r="F117">
        <v>411100</v>
      </c>
      <c r="G117" t="s">
        <v>18</v>
      </c>
      <c r="H117" t="s">
        <v>263</v>
      </c>
      <c r="I117" t="s">
        <v>264</v>
      </c>
      <c r="J117">
        <v>121120077</v>
      </c>
      <c r="K117">
        <v>20220103</v>
      </c>
      <c r="L117" t="s">
        <v>555</v>
      </c>
      <c r="M117">
        <v>0</v>
      </c>
      <c r="N117">
        <v>6</v>
      </c>
      <c r="O117" t="s">
        <v>23</v>
      </c>
      <c r="P117">
        <v>20220327</v>
      </c>
      <c r="Q117">
        <v>20220103</v>
      </c>
    </row>
    <row r="118" spans="1:17" x14ac:dyDescent="0.25">
      <c r="A118" t="s">
        <v>548</v>
      </c>
      <c r="B118" t="s">
        <v>429</v>
      </c>
      <c r="C118">
        <v>4</v>
      </c>
      <c r="D118">
        <v>20220103</v>
      </c>
      <c r="E118">
        <f t="shared" si="1"/>
        <v>1</v>
      </c>
      <c r="F118">
        <v>411100</v>
      </c>
      <c r="G118" t="s">
        <v>18</v>
      </c>
      <c r="H118" t="s">
        <v>187</v>
      </c>
      <c r="I118" t="s">
        <v>188</v>
      </c>
      <c r="J118">
        <v>121120078</v>
      </c>
      <c r="K118">
        <v>20220103</v>
      </c>
      <c r="L118" t="s">
        <v>556</v>
      </c>
      <c r="M118">
        <v>0</v>
      </c>
      <c r="N118">
        <v>6</v>
      </c>
      <c r="O118" t="s">
        <v>23</v>
      </c>
      <c r="P118">
        <v>20220327</v>
      </c>
      <c r="Q118">
        <v>20220103</v>
      </c>
    </row>
    <row r="119" spans="1:17" x14ac:dyDescent="0.25">
      <c r="A119" t="s">
        <v>548</v>
      </c>
      <c r="B119" t="s">
        <v>429</v>
      </c>
      <c r="C119">
        <v>4</v>
      </c>
      <c r="D119">
        <v>20220103</v>
      </c>
      <c r="E119">
        <f t="shared" si="1"/>
        <v>1</v>
      </c>
      <c r="F119">
        <v>411100</v>
      </c>
      <c r="G119" t="s">
        <v>18</v>
      </c>
      <c r="H119" t="s">
        <v>187</v>
      </c>
      <c r="I119" t="s">
        <v>188</v>
      </c>
      <c r="J119">
        <v>121120078</v>
      </c>
      <c r="K119">
        <v>20220103</v>
      </c>
      <c r="L119" t="s">
        <v>557</v>
      </c>
      <c r="M119">
        <v>0</v>
      </c>
      <c r="N119">
        <v>6</v>
      </c>
      <c r="O119" t="s">
        <v>23</v>
      </c>
      <c r="P119">
        <v>20220327</v>
      </c>
      <c r="Q119">
        <v>20220103</v>
      </c>
    </row>
    <row r="120" spans="1:17" x14ac:dyDescent="0.25">
      <c r="A120" t="s">
        <v>548</v>
      </c>
      <c r="B120" t="s">
        <v>429</v>
      </c>
      <c r="C120">
        <v>4</v>
      </c>
      <c r="D120">
        <v>20220103</v>
      </c>
      <c r="E120">
        <f t="shared" si="1"/>
        <v>1</v>
      </c>
      <c r="F120">
        <v>411100</v>
      </c>
      <c r="G120" t="s">
        <v>18</v>
      </c>
      <c r="H120" t="s">
        <v>217</v>
      </c>
      <c r="I120" t="s">
        <v>218</v>
      </c>
      <c r="J120">
        <v>121120085</v>
      </c>
      <c r="K120">
        <v>20220103</v>
      </c>
      <c r="L120" t="s">
        <v>558</v>
      </c>
      <c r="M120">
        <v>0</v>
      </c>
      <c r="N120">
        <v>6</v>
      </c>
      <c r="O120" t="s">
        <v>22</v>
      </c>
      <c r="P120">
        <v>20220327</v>
      </c>
      <c r="Q120">
        <v>20220103</v>
      </c>
    </row>
    <row r="121" spans="1:17" x14ac:dyDescent="0.25">
      <c r="A121" t="s">
        <v>548</v>
      </c>
      <c r="B121" t="s">
        <v>429</v>
      </c>
      <c r="C121">
        <v>4</v>
      </c>
      <c r="D121">
        <v>20220103</v>
      </c>
      <c r="E121">
        <f t="shared" si="1"/>
        <v>1</v>
      </c>
      <c r="F121">
        <v>411100</v>
      </c>
      <c r="G121" t="s">
        <v>18</v>
      </c>
      <c r="H121" t="s">
        <v>73</v>
      </c>
      <c r="I121" t="s">
        <v>74</v>
      </c>
      <c r="J121">
        <v>121120088</v>
      </c>
      <c r="K121">
        <v>20220103</v>
      </c>
      <c r="L121" t="s">
        <v>559</v>
      </c>
      <c r="M121">
        <v>0</v>
      </c>
      <c r="N121">
        <v>6</v>
      </c>
      <c r="O121" t="s">
        <v>22</v>
      </c>
      <c r="P121">
        <v>20220327</v>
      </c>
      <c r="Q121">
        <v>20220103</v>
      </c>
    </row>
    <row r="122" spans="1:17" x14ac:dyDescent="0.25">
      <c r="A122" t="s">
        <v>548</v>
      </c>
      <c r="B122" t="s">
        <v>429</v>
      </c>
      <c r="C122">
        <v>4</v>
      </c>
      <c r="D122">
        <v>20220103</v>
      </c>
      <c r="E122">
        <f t="shared" si="1"/>
        <v>1</v>
      </c>
      <c r="F122">
        <v>411100</v>
      </c>
      <c r="G122" t="s">
        <v>18</v>
      </c>
      <c r="H122" t="s">
        <v>73</v>
      </c>
      <c r="I122" t="s">
        <v>74</v>
      </c>
      <c r="J122">
        <v>121120088</v>
      </c>
      <c r="K122">
        <v>20220103</v>
      </c>
      <c r="L122" t="s">
        <v>560</v>
      </c>
      <c r="M122">
        <v>0</v>
      </c>
      <c r="N122">
        <v>6</v>
      </c>
      <c r="O122" t="s">
        <v>22</v>
      </c>
      <c r="P122">
        <v>20220327</v>
      </c>
      <c r="Q122">
        <v>20220103</v>
      </c>
    </row>
    <row r="123" spans="1:17" x14ac:dyDescent="0.25">
      <c r="A123" t="s">
        <v>548</v>
      </c>
      <c r="B123" t="s">
        <v>429</v>
      </c>
      <c r="C123">
        <v>4</v>
      </c>
      <c r="D123">
        <v>20220103</v>
      </c>
      <c r="E123">
        <f t="shared" si="1"/>
        <v>1</v>
      </c>
      <c r="F123">
        <v>411100</v>
      </c>
      <c r="G123" t="s">
        <v>18</v>
      </c>
      <c r="H123" t="s">
        <v>101</v>
      </c>
      <c r="I123" t="s">
        <v>102</v>
      </c>
      <c r="J123">
        <v>121120083</v>
      </c>
      <c r="K123">
        <v>20220103</v>
      </c>
      <c r="L123" t="s">
        <v>561</v>
      </c>
      <c r="M123">
        <v>0</v>
      </c>
      <c r="N123">
        <v>6</v>
      </c>
      <c r="O123" t="s">
        <v>22</v>
      </c>
      <c r="P123">
        <v>20220327</v>
      </c>
      <c r="Q123">
        <v>20220103</v>
      </c>
    </row>
    <row r="124" spans="1:17" x14ac:dyDescent="0.25">
      <c r="A124" t="s">
        <v>548</v>
      </c>
      <c r="B124" t="s">
        <v>429</v>
      </c>
      <c r="C124">
        <v>4</v>
      </c>
      <c r="D124">
        <v>20220103</v>
      </c>
      <c r="E124">
        <f t="shared" si="1"/>
        <v>1</v>
      </c>
      <c r="F124">
        <v>411100</v>
      </c>
      <c r="G124" t="s">
        <v>18</v>
      </c>
      <c r="H124" t="s">
        <v>344</v>
      </c>
      <c r="I124" t="s">
        <v>345</v>
      </c>
      <c r="J124">
        <v>121120082</v>
      </c>
      <c r="K124">
        <v>20220103</v>
      </c>
      <c r="L124" t="s">
        <v>562</v>
      </c>
      <c r="M124">
        <v>0</v>
      </c>
      <c r="N124">
        <v>6</v>
      </c>
      <c r="O124" t="s">
        <v>23</v>
      </c>
      <c r="P124">
        <v>20220327</v>
      </c>
      <c r="Q124">
        <v>20220103</v>
      </c>
    </row>
    <row r="125" spans="1:17" x14ac:dyDescent="0.25">
      <c r="A125" t="s">
        <v>548</v>
      </c>
      <c r="B125" t="s">
        <v>429</v>
      </c>
      <c r="C125">
        <v>4</v>
      </c>
      <c r="D125">
        <v>20220103</v>
      </c>
      <c r="E125">
        <f t="shared" si="1"/>
        <v>1</v>
      </c>
      <c r="F125">
        <v>411100</v>
      </c>
      <c r="G125" t="s">
        <v>18</v>
      </c>
      <c r="H125" t="s">
        <v>154</v>
      </c>
      <c r="I125" t="s">
        <v>155</v>
      </c>
      <c r="J125">
        <v>121120075</v>
      </c>
      <c r="K125">
        <v>20220103</v>
      </c>
      <c r="L125" t="s">
        <v>563</v>
      </c>
      <c r="M125">
        <v>0</v>
      </c>
      <c r="N125">
        <v>6</v>
      </c>
      <c r="O125" t="s">
        <v>23</v>
      </c>
      <c r="P125">
        <v>20220327</v>
      </c>
      <c r="Q125">
        <v>20220103</v>
      </c>
    </row>
    <row r="126" spans="1:17" x14ac:dyDescent="0.25">
      <c r="A126" t="s">
        <v>548</v>
      </c>
      <c r="B126" t="s">
        <v>429</v>
      </c>
      <c r="C126">
        <v>4</v>
      </c>
      <c r="D126">
        <v>20220103</v>
      </c>
      <c r="E126">
        <f t="shared" si="1"/>
        <v>1</v>
      </c>
      <c r="F126">
        <v>411100</v>
      </c>
      <c r="G126" t="s">
        <v>18</v>
      </c>
      <c r="H126" t="s">
        <v>154</v>
      </c>
      <c r="I126" t="s">
        <v>155</v>
      </c>
      <c r="J126">
        <v>121120075</v>
      </c>
      <c r="K126">
        <v>20220103</v>
      </c>
      <c r="L126" t="s">
        <v>564</v>
      </c>
      <c r="M126">
        <v>0</v>
      </c>
      <c r="N126">
        <v>6</v>
      </c>
      <c r="O126" t="s">
        <v>23</v>
      </c>
      <c r="P126">
        <v>20220327</v>
      </c>
      <c r="Q126">
        <v>20220103</v>
      </c>
    </row>
    <row r="127" spans="1:17" x14ac:dyDescent="0.25">
      <c r="A127" t="s">
        <v>548</v>
      </c>
      <c r="B127" t="s">
        <v>429</v>
      </c>
      <c r="C127">
        <v>4</v>
      </c>
      <c r="D127">
        <v>20220103</v>
      </c>
      <c r="E127">
        <f t="shared" si="1"/>
        <v>1</v>
      </c>
      <c r="F127">
        <v>531105</v>
      </c>
      <c r="G127" t="s">
        <v>429</v>
      </c>
      <c r="H127" t="s">
        <v>401</v>
      </c>
      <c r="I127" t="s">
        <v>402</v>
      </c>
      <c r="J127">
        <v>334000</v>
      </c>
      <c r="K127">
        <v>20220103</v>
      </c>
      <c r="L127" t="s">
        <v>565</v>
      </c>
      <c r="M127">
        <v>84</v>
      </c>
      <c r="N127">
        <v>0</v>
      </c>
      <c r="O127" t="s">
        <v>19</v>
      </c>
      <c r="P127" t="s">
        <v>20</v>
      </c>
      <c r="Q127">
        <v>20220103</v>
      </c>
    </row>
    <row r="128" spans="1:17" x14ac:dyDescent="0.25">
      <c r="A128" t="s">
        <v>548</v>
      </c>
      <c r="B128" t="s">
        <v>429</v>
      </c>
      <c r="C128">
        <v>4</v>
      </c>
      <c r="D128">
        <v>20220104</v>
      </c>
      <c r="E128">
        <f t="shared" si="1"/>
        <v>1</v>
      </c>
      <c r="F128">
        <v>531105</v>
      </c>
      <c r="G128" t="s">
        <v>429</v>
      </c>
      <c r="H128" t="s">
        <v>401</v>
      </c>
      <c r="I128" t="s">
        <v>402</v>
      </c>
      <c r="J128" t="s">
        <v>566</v>
      </c>
      <c r="K128">
        <v>20220104</v>
      </c>
      <c r="L128" t="s">
        <v>174</v>
      </c>
      <c r="M128">
        <v>0</v>
      </c>
      <c r="N128">
        <v>150</v>
      </c>
      <c r="O128" t="s">
        <v>19</v>
      </c>
      <c r="P128" t="s">
        <v>20</v>
      </c>
      <c r="Q128">
        <v>20220104</v>
      </c>
    </row>
    <row r="129" spans="1:17" x14ac:dyDescent="0.25">
      <c r="A129" t="s">
        <v>548</v>
      </c>
      <c r="B129" t="s">
        <v>429</v>
      </c>
      <c r="C129">
        <v>4</v>
      </c>
      <c r="D129">
        <v>20220104</v>
      </c>
      <c r="E129">
        <f t="shared" si="1"/>
        <v>1</v>
      </c>
      <c r="F129">
        <v>467100</v>
      </c>
      <c r="G129" t="s">
        <v>160</v>
      </c>
      <c r="H129" t="s">
        <v>172</v>
      </c>
      <c r="I129" t="s">
        <v>173</v>
      </c>
      <c r="J129" t="s">
        <v>566</v>
      </c>
      <c r="K129">
        <v>20220104</v>
      </c>
      <c r="L129" t="s">
        <v>174</v>
      </c>
      <c r="M129">
        <v>150</v>
      </c>
      <c r="N129">
        <v>0</v>
      </c>
      <c r="O129" t="s">
        <v>23</v>
      </c>
      <c r="P129">
        <v>20220422</v>
      </c>
      <c r="Q129">
        <v>20220104</v>
      </c>
    </row>
    <row r="130" spans="1:17" x14ac:dyDescent="0.25">
      <c r="A130" t="s">
        <v>548</v>
      </c>
      <c r="B130" t="s">
        <v>429</v>
      </c>
      <c r="C130">
        <v>4</v>
      </c>
      <c r="D130">
        <v>20220104</v>
      </c>
      <c r="E130">
        <f t="shared" si="1"/>
        <v>1</v>
      </c>
      <c r="F130">
        <v>411100</v>
      </c>
      <c r="G130" t="s">
        <v>18</v>
      </c>
      <c r="H130" t="s">
        <v>28</v>
      </c>
      <c r="I130" t="s">
        <v>29</v>
      </c>
      <c r="J130">
        <v>321100010</v>
      </c>
      <c r="K130">
        <v>20220104</v>
      </c>
      <c r="L130" t="s">
        <v>567</v>
      </c>
      <c r="M130">
        <v>0</v>
      </c>
      <c r="N130">
        <v>58.09</v>
      </c>
      <c r="O130" t="s">
        <v>19</v>
      </c>
      <c r="P130" t="s">
        <v>20</v>
      </c>
      <c r="Q130">
        <v>20220104</v>
      </c>
    </row>
    <row r="131" spans="1:17" x14ac:dyDescent="0.25">
      <c r="A131" t="s">
        <v>548</v>
      </c>
      <c r="B131" t="s">
        <v>429</v>
      </c>
      <c r="C131">
        <v>4</v>
      </c>
      <c r="D131">
        <v>20220104</v>
      </c>
      <c r="E131">
        <f t="shared" ref="E131:E194" si="2">VALUE(MID(D131,5,2))</f>
        <v>1</v>
      </c>
      <c r="F131">
        <v>411100</v>
      </c>
      <c r="G131" t="s">
        <v>18</v>
      </c>
      <c r="H131" t="s">
        <v>28</v>
      </c>
      <c r="I131" t="s">
        <v>29</v>
      </c>
      <c r="J131">
        <v>321100010</v>
      </c>
      <c r="K131">
        <v>20220104</v>
      </c>
      <c r="L131" t="s">
        <v>568</v>
      </c>
      <c r="M131">
        <v>0</v>
      </c>
      <c r="N131">
        <v>1.91</v>
      </c>
      <c r="O131" t="s">
        <v>19</v>
      </c>
      <c r="P131" t="s">
        <v>20</v>
      </c>
      <c r="Q131">
        <v>20220104</v>
      </c>
    </row>
    <row r="132" spans="1:17" x14ac:dyDescent="0.25">
      <c r="A132" t="s">
        <v>548</v>
      </c>
      <c r="B132" t="s">
        <v>429</v>
      </c>
      <c r="C132">
        <v>4</v>
      </c>
      <c r="D132">
        <v>20220104</v>
      </c>
      <c r="E132">
        <f t="shared" si="2"/>
        <v>1</v>
      </c>
      <c r="F132">
        <v>531105</v>
      </c>
      <c r="G132" t="s">
        <v>429</v>
      </c>
      <c r="H132" t="s">
        <v>401</v>
      </c>
      <c r="I132" t="s">
        <v>402</v>
      </c>
      <c r="J132">
        <v>333926</v>
      </c>
      <c r="K132">
        <v>20220104</v>
      </c>
      <c r="L132" t="s">
        <v>565</v>
      </c>
      <c r="M132">
        <v>60</v>
      </c>
      <c r="N132">
        <v>0</v>
      </c>
      <c r="O132" t="s">
        <v>19</v>
      </c>
      <c r="P132" t="s">
        <v>20</v>
      </c>
      <c r="Q132">
        <v>20220104</v>
      </c>
    </row>
    <row r="133" spans="1:17" x14ac:dyDescent="0.25">
      <c r="A133" t="s">
        <v>548</v>
      </c>
      <c r="B133" t="s">
        <v>429</v>
      </c>
      <c r="C133">
        <v>4</v>
      </c>
      <c r="D133">
        <v>20220104</v>
      </c>
      <c r="E133">
        <f t="shared" si="2"/>
        <v>1</v>
      </c>
      <c r="F133">
        <v>411100</v>
      </c>
      <c r="G133" t="s">
        <v>18</v>
      </c>
      <c r="H133" t="s">
        <v>73</v>
      </c>
      <c r="I133" t="s">
        <v>74</v>
      </c>
      <c r="J133">
        <v>121120088</v>
      </c>
      <c r="K133">
        <v>20220104</v>
      </c>
      <c r="L133" t="s">
        <v>569</v>
      </c>
      <c r="M133">
        <v>0</v>
      </c>
      <c r="N133">
        <v>1.5</v>
      </c>
      <c r="O133" t="s">
        <v>22</v>
      </c>
      <c r="P133">
        <v>20220327</v>
      </c>
      <c r="Q133">
        <v>20220104</v>
      </c>
    </row>
    <row r="134" spans="1:17" x14ac:dyDescent="0.25">
      <c r="A134" t="s">
        <v>548</v>
      </c>
      <c r="B134" t="s">
        <v>429</v>
      </c>
      <c r="C134">
        <v>4</v>
      </c>
      <c r="D134">
        <v>20220104</v>
      </c>
      <c r="E134">
        <f t="shared" si="2"/>
        <v>1</v>
      </c>
      <c r="F134">
        <v>411100</v>
      </c>
      <c r="G134" t="s">
        <v>18</v>
      </c>
      <c r="H134" t="s">
        <v>73</v>
      </c>
      <c r="I134" t="s">
        <v>74</v>
      </c>
      <c r="J134">
        <v>121120088</v>
      </c>
      <c r="K134">
        <v>20220104</v>
      </c>
      <c r="L134" t="s">
        <v>570</v>
      </c>
      <c r="M134">
        <v>0</v>
      </c>
      <c r="N134">
        <v>1.5</v>
      </c>
      <c r="O134" t="s">
        <v>22</v>
      </c>
      <c r="P134">
        <v>20220327</v>
      </c>
      <c r="Q134">
        <v>20220104</v>
      </c>
    </row>
    <row r="135" spans="1:17" x14ac:dyDescent="0.25">
      <c r="A135" t="s">
        <v>548</v>
      </c>
      <c r="B135" t="s">
        <v>429</v>
      </c>
      <c r="C135">
        <v>4</v>
      </c>
      <c r="D135">
        <v>20220104</v>
      </c>
      <c r="E135">
        <f t="shared" si="2"/>
        <v>1</v>
      </c>
      <c r="F135">
        <v>411100</v>
      </c>
      <c r="G135" t="s">
        <v>18</v>
      </c>
      <c r="H135" t="s">
        <v>154</v>
      </c>
      <c r="I135" t="s">
        <v>155</v>
      </c>
      <c r="J135">
        <v>121120075</v>
      </c>
      <c r="K135">
        <v>20220104</v>
      </c>
      <c r="L135" t="s">
        <v>571</v>
      </c>
      <c r="M135">
        <v>0</v>
      </c>
      <c r="N135">
        <v>3.5</v>
      </c>
      <c r="O135" t="s">
        <v>23</v>
      </c>
      <c r="P135">
        <v>20220327</v>
      </c>
      <c r="Q135">
        <v>20220104</v>
      </c>
    </row>
    <row r="136" spans="1:17" x14ac:dyDescent="0.25">
      <c r="A136" t="s">
        <v>548</v>
      </c>
      <c r="B136" t="s">
        <v>429</v>
      </c>
      <c r="C136">
        <v>4</v>
      </c>
      <c r="D136">
        <v>20220104</v>
      </c>
      <c r="E136">
        <f t="shared" si="2"/>
        <v>1</v>
      </c>
      <c r="F136">
        <v>411100</v>
      </c>
      <c r="G136" t="s">
        <v>18</v>
      </c>
      <c r="H136" t="s">
        <v>154</v>
      </c>
      <c r="I136" t="s">
        <v>155</v>
      </c>
      <c r="J136">
        <v>121120075</v>
      </c>
      <c r="K136">
        <v>20220104</v>
      </c>
      <c r="L136" t="s">
        <v>572</v>
      </c>
      <c r="M136">
        <v>0</v>
      </c>
      <c r="N136">
        <v>3.5</v>
      </c>
      <c r="O136" t="s">
        <v>23</v>
      </c>
      <c r="P136">
        <v>20220327</v>
      </c>
      <c r="Q136">
        <v>20220104</v>
      </c>
    </row>
    <row r="137" spans="1:17" x14ac:dyDescent="0.25">
      <c r="A137" t="s">
        <v>548</v>
      </c>
      <c r="B137" t="s">
        <v>429</v>
      </c>
      <c r="C137">
        <v>4</v>
      </c>
      <c r="D137">
        <v>20220104</v>
      </c>
      <c r="E137">
        <f t="shared" si="2"/>
        <v>1</v>
      </c>
      <c r="F137">
        <v>411100</v>
      </c>
      <c r="G137" t="s">
        <v>18</v>
      </c>
      <c r="H137" t="s">
        <v>237</v>
      </c>
      <c r="I137" t="s">
        <v>238</v>
      </c>
      <c r="J137">
        <v>334005</v>
      </c>
      <c r="K137">
        <v>20220104</v>
      </c>
      <c r="L137" t="s">
        <v>573</v>
      </c>
      <c r="M137">
        <v>0</v>
      </c>
      <c r="N137">
        <v>1.5</v>
      </c>
      <c r="O137" t="s">
        <v>19</v>
      </c>
      <c r="P137" t="s">
        <v>20</v>
      </c>
      <c r="Q137">
        <v>20220104</v>
      </c>
    </row>
    <row r="138" spans="1:17" x14ac:dyDescent="0.25">
      <c r="A138" t="s">
        <v>548</v>
      </c>
      <c r="B138" t="s">
        <v>429</v>
      </c>
      <c r="C138">
        <v>4</v>
      </c>
      <c r="D138">
        <v>20220104</v>
      </c>
      <c r="E138">
        <f t="shared" si="2"/>
        <v>1</v>
      </c>
      <c r="F138">
        <v>411100</v>
      </c>
      <c r="G138" t="s">
        <v>18</v>
      </c>
      <c r="H138" t="s">
        <v>241</v>
      </c>
      <c r="I138" t="s">
        <v>242</v>
      </c>
      <c r="J138">
        <v>121120086</v>
      </c>
      <c r="K138">
        <v>20220104</v>
      </c>
      <c r="L138" t="s">
        <v>574</v>
      </c>
      <c r="M138">
        <v>0</v>
      </c>
      <c r="N138">
        <v>3.5</v>
      </c>
      <c r="O138" t="s">
        <v>22</v>
      </c>
      <c r="P138">
        <v>20220327</v>
      </c>
      <c r="Q138">
        <v>20220104</v>
      </c>
    </row>
    <row r="139" spans="1:17" x14ac:dyDescent="0.25">
      <c r="A139" t="s">
        <v>548</v>
      </c>
      <c r="B139" t="s">
        <v>429</v>
      </c>
      <c r="C139">
        <v>4</v>
      </c>
      <c r="D139">
        <v>20220104</v>
      </c>
      <c r="E139">
        <f t="shared" si="2"/>
        <v>1</v>
      </c>
      <c r="F139">
        <v>411100</v>
      </c>
      <c r="G139" t="s">
        <v>18</v>
      </c>
      <c r="H139" t="s">
        <v>85</v>
      </c>
      <c r="I139" t="s">
        <v>86</v>
      </c>
      <c r="J139">
        <v>121120070</v>
      </c>
      <c r="K139">
        <v>20220104</v>
      </c>
      <c r="L139" t="s">
        <v>575</v>
      </c>
      <c r="M139">
        <v>0</v>
      </c>
      <c r="N139">
        <v>3.5</v>
      </c>
      <c r="O139" t="s">
        <v>23</v>
      </c>
      <c r="P139">
        <v>20220327</v>
      </c>
      <c r="Q139">
        <v>20220104</v>
      </c>
    </row>
    <row r="140" spans="1:17" x14ac:dyDescent="0.25">
      <c r="A140" t="s">
        <v>548</v>
      </c>
      <c r="B140" t="s">
        <v>429</v>
      </c>
      <c r="C140">
        <v>4</v>
      </c>
      <c r="D140">
        <v>20220104</v>
      </c>
      <c r="E140">
        <f t="shared" si="2"/>
        <v>1</v>
      </c>
      <c r="F140">
        <v>411100</v>
      </c>
      <c r="G140" t="s">
        <v>18</v>
      </c>
      <c r="H140" t="s">
        <v>101</v>
      </c>
      <c r="I140" t="s">
        <v>102</v>
      </c>
      <c r="J140">
        <v>121120083</v>
      </c>
      <c r="K140">
        <v>20220104</v>
      </c>
      <c r="L140" t="s">
        <v>576</v>
      </c>
      <c r="M140">
        <v>0</v>
      </c>
      <c r="N140">
        <v>3.5</v>
      </c>
      <c r="O140" t="s">
        <v>22</v>
      </c>
      <c r="P140">
        <v>20220327</v>
      </c>
      <c r="Q140">
        <v>20220104</v>
      </c>
    </row>
    <row r="141" spans="1:17" x14ac:dyDescent="0.25">
      <c r="A141" t="s">
        <v>548</v>
      </c>
      <c r="B141" t="s">
        <v>429</v>
      </c>
      <c r="C141">
        <v>4</v>
      </c>
      <c r="D141">
        <v>20220104</v>
      </c>
      <c r="E141">
        <f t="shared" si="2"/>
        <v>1</v>
      </c>
      <c r="F141">
        <v>411100</v>
      </c>
      <c r="G141" t="s">
        <v>18</v>
      </c>
      <c r="H141" t="s">
        <v>344</v>
      </c>
      <c r="I141" t="s">
        <v>345</v>
      </c>
      <c r="J141">
        <v>121120082</v>
      </c>
      <c r="K141">
        <v>20220104</v>
      </c>
      <c r="L141" t="s">
        <v>577</v>
      </c>
      <c r="M141">
        <v>0</v>
      </c>
      <c r="N141">
        <v>3.5</v>
      </c>
      <c r="O141" t="s">
        <v>23</v>
      </c>
      <c r="P141">
        <v>20220327</v>
      </c>
      <c r="Q141">
        <v>20220104</v>
      </c>
    </row>
    <row r="142" spans="1:17" x14ac:dyDescent="0.25">
      <c r="A142" t="s">
        <v>548</v>
      </c>
      <c r="B142" t="s">
        <v>429</v>
      </c>
      <c r="C142">
        <v>4</v>
      </c>
      <c r="D142">
        <v>20220104</v>
      </c>
      <c r="E142">
        <f t="shared" si="2"/>
        <v>1</v>
      </c>
      <c r="F142">
        <v>411100</v>
      </c>
      <c r="G142" t="s">
        <v>18</v>
      </c>
      <c r="H142" t="s">
        <v>81</v>
      </c>
      <c r="I142" t="s">
        <v>82</v>
      </c>
      <c r="J142">
        <v>121120046</v>
      </c>
      <c r="K142">
        <v>20220104</v>
      </c>
      <c r="L142" t="s">
        <v>578</v>
      </c>
      <c r="M142">
        <v>0</v>
      </c>
      <c r="N142">
        <v>2</v>
      </c>
      <c r="O142" t="s">
        <v>23</v>
      </c>
      <c r="P142">
        <v>20220327</v>
      </c>
      <c r="Q142">
        <v>20220104</v>
      </c>
    </row>
    <row r="143" spans="1:17" x14ac:dyDescent="0.25">
      <c r="A143" t="s">
        <v>548</v>
      </c>
      <c r="B143" t="s">
        <v>429</v>
      </c>
      <c r="C143">
        <v>4</v>
      </c>
      <c r="D143">
        <v>20220104</v>
      </c>
      <c r="E143">
        <f t="shared" si="2"/>
        <v>1</v>
      </c>
      <c r="F143">
        <v>411100</v>
      </c>
      <c r="G143" t="s">
        <v>18</v>
      </c>
      <c r="H143" t="s">
        <v>105</v>
      </c>
      <c r="I143" t="s">
        <v>106</v>
      </c>
      <c r="J143">
        <v>121120084</v>
      </c>
      <c r="K143">
        <v>20220104</v>
      </c>
      <c r="L143" t="s">
        <v>579</v>
      </c>
      <c r="M143">
        <v>0</v>
      </c>
      <c r="N143">
        <v>2</v>
      </c>
      <c r="O143" t="s">
        <v>23</v>
      </c>
      <c r="P143">
        <v>20220327</v>
      </c>
      <c r="Q143">
        <v>20220104</v>
      </c>
    </row>
    <row r="144" spans="1:17" x14ac:dyDescent="0.25">
      <c r="A144" t="s">
        <v>548</v>
      </c>
      <c r="B144" t="s">
        <v>429</v>
      </c>
      <c r="C144">
        <v>4</v>
      </c>
      <c r="D144">
        <v>20220104</v>
      </c>
      <c r="E144">
        <f t="shared" si="2"/>
        <v>1</v>
      </c>
      <c r="F144">
        <v>411100</v>
      </c>
      <c r="G144" t="s">
        <v>18</v>
      </c>
      <c r="H144" t="s">
        <v>105</v>
      </c>
      <c r="I144" t="s">
        <v>106</v>
      </c>
      <c r="J144">
        <v>121120084</v>
      </c>
      <c r="K144">
        <v>20220104</v>
      </c>
      <c r="L144" t="s">
        <v>580</v>
      </c>
      <c r="M144">
        <v>0</v>
      </c>
      <c r="N144">
        <v>2</v>
      </c>
      <c r="O144" t="s">
        <v>23</v>
      </c>
      <c r="P144">
        <v>20220327</v>
      </c>
      <c r="Q144">
        <v>20220104</v>
      </c>
    </row>
    <row r="145" spans="1:17" x14ac:dyDescent="0.25">
      <c r="A145" t="s">
        <v>548</v>
      </c>
      <c r="B145" t="s">
        <v>429</v>
      </c>
      <c r="C145">
        <v>4</v>
      </c>
      <c r="D145">
        <v>20220104</v>
      </c>
      <c r="E145">
        <f t="shared" si="2"/>
        <v>1</v>
      </c>
      <c r="F145">
        <v>411100</v>
      </c>
      <c r="G145" t="s">
        <v>18</v>
      </c>
      <c r="H145" t="s">
        <v>105</v>
      </c>
      <c r="I145" t="s">
        <v>106</v>
      </c>
      <c r="J145">
        <v>121120084</v>
      </c>
      <c r="K145">
        <v>20220104</v>
      </c>
      <c r="L145" t="s">
        <v>581</v>
      </c>
      <c r="M145">
        <v>0</v>
      </c>
      <c r="N145">
        <v>2</v>
      </c>
      <c r="O145" t="s">
        <v>23</v>
      </c>
      <c r="P145">
        <v>20220327</v>
      </c>
      <c r="Q145">
        <v>20220104</v>
      </c>
    </row>
    <row r="146" spans="1:17" x14ac:dyDescent="0.25">
      <c r="A146" t="s">
        <v>548</v>
      </c>
      <c r="B146" t="s">
        <v>429</v>
      </c>
      <c r="C146">
        <v>4</v>
      </c>
      <c r="D146">
        <v>20220104</v>
      </c>
      <c r="E146">
        <f t="shared" si="2"/>
        <v>1</v>
      </c>
      <c r="F146">
        <v>411100</v>
      </c>
      <c r="G146" t="s">
        <v>18</v>
      </c>
      <c r="H146" t="s">
        <v>263</v>
      </c>
      <c r="I146" t="s">
        <v>264</v>
      </c>
      <c r="J146">
        <v>121120077</v>
      </c>
      <c r="K146">
        <v>20220104</v>
      </c>
      <c r="L146" t="s">
        <v>582</v>
      </c>
      <c r="M146">
        <v>0</v>
      </c>
      <c r="N146">
        <v>2</v>
      </c>
      <c r="O146" t="s">
        <v>23</v>
      </c>
      <c r="P146">
        <v>20220327</v>
      </c>
      <c r="Q146">
        <v>20220104</v>
      </c>
    </row>
    <row r="147" spans="1:17" x14ac:dyDescent="0.25">
      <c r="A147" t="s">
        <v>548</v>
      </c>
      <c r="B147" t="s">
        <v>429</v>
      </c>
      <c r="C147">
        <v>4</v>
      </c>
      <c r="D147">
        <v>20220104</v>
      </c>
      <c r="E147">
        <f t="shared" si="2"/>
        <v>1</v>
      </c>
      <c r="F147">
        <v>531105</v>
      </c>
      <c r="G147" t="s">
        <v>429</v>
      </c>
      <c r="H147" t="s">
        <v>401</v>
      </c>
      <c r="I147" t="s">
        <v>402</v>
      </c>
      <c r="J147">
        <v>334015</v>
      </c>
      <c r="K147">
        <v>20220104</v>
      </c>
      <c r="L147" t="s">
        <v>565</v>
      </c>
      <c r="M147">
        <v>35.5</v>
      </c>
      <c r="N147">
        <v>0</v>
      </c>
      <c r="O147" t="s">
        <v>19</v>
      </c>
      <c r="P147" t="s">
        <v>20</v>
      </c>
      <c r="Q147">
        <v>20220104</v>
      </c>
    </row>
    <row r="148" spans="1:17" x14ac:dyDescent="0.25">
      <c r="A148" t="s">
        <v>548</v>
      </c>
      <c r="B148" t="s">
        <v>429</v>
      </c>
      <c r="C148">
        <v>4</v>
      </c>
      <c r="D148">
        <v>20220106</v>
      </c>
      <c r="E148">
        <f t="shared" si="2"/>
        <v>1</v>
      </c>
      <c r="F148">
        <v>411100</v>
      </c>
      <c r="G148" t="s">
        <v>18</v>
      </c>
      <c r="H148" t="s">
        <v>583</v>
      </c>
      <c r="I148" t="s">
        <v>584</v>
      </c>
      <c r="J148">
        <v>334016</v>
      </c>
      <c r="K148">
        <v>20220106</v>
      </c>
      <c r="L148" t="s">
        <v>585</v>
      </c>
      <c r="M148">
        <v>0</v>
      </c>
      <c r="N148">
        <v>8.6999999999999993</v>
      </c>
      <c r="O148" t="s">
        <v>22</v>
      </c>
      <c r="P148">
        <v>20220327</v>
      </c>
      <c r="Q148">
        <v>20220106</v>
      </c>
    </row>
    <row r="149" spans="1:17" x14ac:dyDescent="0.25">
      <c r="A149" t="s">
        <v>548</v>
      </c>
      <c r="B149" t="s">
        <v>429</v>
      </c>
      <c r="C149">
        <v>4</v>
      </c>
      <c r="D149">
        <v>20220106</v>
      </c>
      <c r="E149">
        <f t="shared" si="2"/>
        <v>1</v>
      </c>
      <c r="F149">
        <v>531105</v>
      </c>
      <c r="G149" t="s">
        <v>429</v>
      </c>
      <c r="H149" t="s">
        <v>401</v>
      </c>
      <c r="I149" t="s">
        <v>402</v>
      </c>
      <c r="J149">
        <v>334017</v>
      </c>
      <c r="K149">
        <v>20220106</v>
      </c>
      <c r="L149" t="s">
        <v>565</v>
      </c>
      <c r="M149">
        <v>8.6999999999999993</v>
      </c>
      <c r="N149">
        <v>0</v>
      </c>
      <c r="O149" t="s">
        <v>19</v>
      </c>
      <c r="P149" t="s">
        <v>20</v>
      </c>
      <c r="Q149">
        <v>20220106</v>
      </c>
    </row>
    <row r="150" spans="1:17" x14ac:dyDescent="0.25">
      <c r="A150" t="s">
        <v>548</v>
      </c>
      <c r="B150" t="s">
        <v>429</v>
      </c>
      <c r="C150">
        <v>4</v>
      </c>
      <c r="D150">
        <v>20220106</v>
      </c>
      <c r="E150">
        <f t="shared" si="2"/>
        <v>1</v>
      </c>
      <c r="F150">
        <v>411010</v>
      </c>
      <c r="G150" t="s">
        <v>87</v>
      </c>
      <c r="H150" t="s">
        <v>363</v>
      </c>
      <c r="I150" t="s">
        <v>364</v>
      </c>
      <c r="J150">
        <v>334120</v>
      </c>
      <c r="K150">
        <v>20220106</v>
      </c>
      <c r="L150" t="s">
        <v>586</v>
      </c>
      <c r="M150">
        <v>0</v>
      </c>
      <c r="N150">
        <v>118.97</v>
      </c>
      <c r="O150" t="s">
        <v>22</v>
      </c>
      <c r="P150">
        <v>20220327</v>
      </c>
      <c r="Q150">
        <v>20220106</v>
      </c>
    </row>
    <row r="151" spans="1:17" x14ac:dyDescent="0.25">
      <c r="A151" t="s">
        <v>548</v>
      </c>
      <c r="B151" t="s">
        <v>429</v>
      </c>
      <c r="C151">
        <v>4</v>
      </c>
      <c r="D151">
        <v>20220106</v>
      </c>
      <c r="E151">
        <f t="shared" si="2"/>
        <v>1</v>
      </c>
      <c r="F151">
        <v>531105</v>
      </c>
      <c r="G151" t="s">
        <v>429</v>
      </c>
      <c r="H151" t="s">
        <v>401</v>
      </c>
      <c r="I151" t="s">
        <v>402</v>
      </c>
      <c r="J151">
        <v>334121</v>
      </c>
      <c r="K151">
        <v>20220106</v>
      </c>
      <c r="L151" t="s">
        <v>565</v>
      </c>
      <c r="M151">
        <v>118.97</v>
      </c>
      <c r="N151">
        <v>0</v>
      </c>
      <c r="O151" t="s">
        <v>19</v>
      </c>
      <c r="P151" t="s">
        <v>20</v>
      </c>
      <c r="Q151">
        <v>20220106</v>
      </c>
    </row>
    <row r="152" spans="1:17" x14ac:dyDescent="0.25">
      <c r="A152" t="s">
        <v>548</v>
      </c>
      <c r="B152" t="s">
        <v>429</v>
      </c>
      <c r="C152">
        <v>4</v>
      </c>
      <c r="D152">
        <v>20220107</v>
      </c>
      <c r="E152">
        <f t="shared" si="2"/>
        <v>1</v>
      </c>
      <c r="F152">
        <v>411020</v>
      </c>
      <c r="G152" t="s">
        <v>30</v>
      </c>
      <c r="H152" t="s">
        <v>309</v>
      </c>
      <c r="I152" t="s">
        <v>310</v>
      </c>
      <c r="J152">
        <v>321100003</v>
      </c>
      <c r="K152">
        <v>20220107</v>
      </c>
      <c r="L152" t="s">
        <v>587</v>
      </c>
      <c r="M152">
        <v>0</v>
      </c>
      <c r="N152">
        <v>83.26</v>
      </c>
      <c r="O152" t="s">
        <v>23</v>
      </c>
      <c r="P152">
        <v>20220327</v>
      </c>
      <c r="Q152">
        <v>20220107</v>
      </c>
    </row>
    <row r="153" spans="1:17" x14ac:dyDescent="0.25">
      <c r="A153" t="s">
        <v>548</v>
      </c>
      <c r="B153" t="s">
        <v>429</v>
      </c>
      <c r="C153">
        <v>4</v>
      </c>
      <c r="D153">
        <v>20220107</v>
      </c>
      <c r="E153">
        <f t="shared" si="2"/>
        <v>1</v>
      </c>
      <c r="F153">
        <v>411020</v>
      </c>
      <c r="G153" t="s">
        <v>30</v>
      </c>
      <c r="H153" t="s">
        <v>309</v>
      </c>
      <c r="I153" t="s">
        <v>310</v>
      </c>
      <c r="J153">
        <v>321100003</v>
      </c>
      <c r="K153">
        <v>20220107</v>
      </c>
      <c r="L153" t="s">
        <v>588</v>
      </c>
      <c r="M153">
        <v>0</v>
      </c>
      <c r="N153">
        <v>16.739999999999998</v>
      </c>
      <c r="O153" t="s">
        <v>23</v>
      </c>
      <c r="P153">
        <v>20220327</v>
      </c>
      <c r="Q153">
        <v>20220107</v>
      </c>
    </row>
    <row r="154" spans="1:17" x14ac:dyDescent="0.25">
      <c r="A154" t="s">
        <v>548</v>
      </c>
      <c r="B154" t="s">
        <v>429</v>
      </c>
      <c r="C154">
        <v>4</v>
      </c>
      <c r="D154">
        <v>20220107</v>
      </c>
      <c r="E154">
        <f t="shared" si="2"/>
        <v>1</v>
      </c>
      <c r="F154">
        <v>531105</v>
      </c>
      <c r="G154" t="s">
        <v>429</v>
      </c>
      <c r="H154" t="s">
        <v>401</v>
      </c>
      <c r="I154" t="s">
        <v>402</v>
      </c>
      <c r="J154">
        <v>333929</v>
      </c>
      <c r="K154">
        <v>20220107</v>
      </c>
      <c r="L154" t="s">
        <v>565</v>
      </c>
      <c r="M154">
        <v>100</v>
      </c>
      <c r="N154">
        <v>0</v>
      </c>
      <c r="O154" t="s">
        <v>19</v>
      </c>
      <c r="P154" t="s">
        <v>20</v>
      </c>
      <c r="Q154">
        <v>20220107</v>
      </c>
    </row>
    <row r="155" spans="1:17" x14ac:dyDescent="0.25">
      <c r="A155" t="s">
        <v>548</v>
      </c>
      <c r="B155" t="s">
        <v>429</v>
      </c>
      <c r="C155">
        <v>4</v>
      </c>
      <c r="D155">
        <v>20220107</v>
      </c>
      <c r="E155">
        <f t="shared" si="2"/>
        <v>1</v>
      </c>
      <c r="F155">
        <v>411010</v>
      </c>
      <c r="G155" t="s">
        <v>87</v>
      </c>
      <c r="H155" t="s">
        <v>365</v>
      </c>
      <c r="I155" t="s">
        <v>366</v>
      </c>
      <c r="J155">
        <v>334122</v>
      </c>
      <c r="K155">
        <v>20220107</v>
      </c>
      <c r="L155" t="s">
        <v>589</v>
      </c>
      <c r="M155">
        <v>0</v>
      </c>
      <c r="N155">
        <v>150</v>
      </c>
      <c r="O155" t="s">
        <v>23</v>
      </c>
      <c r="P155">
        <v>20220327</v>
      </c>
      <c r="Q155">
        <v>20220107</v>
      </c>
    </row>
    <row r="156" spans="1:17" x14ac:dyDescent="0.25">
      <c r="A156" t="s">
        <v>548</v>
      </c>
      <c r="B156" t="s">
        <v>429</v>
      </c>
      <c r="C156">
        <v>4</v>
      </c>
      <c r="D156">
        <v>20220107</v>
      </c>
      <c r="E156">
        <f t="shared" si="2"/>
        <v>1</v>
      </c>
      <c r="F156">
        <v>411020</v>
      </c>
      <c r="G156" t="s">
        <v>30</v>
      </c>
      <c r="H156" t="s">
        <v>324</v>
      </c>
      <c r="I156" t="s">
        <v>325</v>
      </c>
      <c r="J156">
        <v>334123</v>
      </c>
      <c r="K156">
        <v>20220107</v>
      </c>
      <c r="L156" t="s">
        <v>590</v>
      </c>
      <c r="M156">
        <v>0</v>
      </c>
      <c r="N156">
        <v>10</v>
      </c>
      <c r="O156" t="s">
        <v>22</v>
      </c>
      <c r="P156">
        <v>20220327</v>
      </c>
      <c r="Q156">
        <v>20220107</v>
      </c>
    </row>
    <row r="157" spans="1:17" x14ac:dyDescent="0.25">
      <c r="A157" t="s">
        <v>548</v>
      </c>
      <c r="B157" t="s">
        <v>429</v>
      </c>
      <c r="C157">
        <v>4</v>
      </c>
      <c r="D157">
        <v>20220107</v>
      </c>
      <c r="E157">
        <f t="shared" si="2"/>
        <v>1</v>
      </c>
      <c r="F157">
        <v>411010</v>
      </c>
      <c r="G157" t="s">
        <v>87</v>
      </c>
      <c r="H157" t="s">
        <v>328</v>
      </c>
      <c r="I157" t="s">
        <v>329</v>
      </c>
      <c r="J157">
        <v>334124</v>
      </c>
      <c r="K157">
        <v>20220107</v>
      </c>
      <c r="L157" t="s">
        <v>591</v>
      </c>
      <c r="M157">
        <v>0</v>
      </c>
      <c r="N157">
        <v>162.28</v>
      </c>
      <c r="O157" t="s">
        <v>22</v>
      </c>
      <c r="P157">
        <v>20220327</v>
      </c>
      <c r="Q157">
        <v>20220107</v>
      </c>
    </row>
    <row r="158" spans="1:17" x14ac:dyDescent="0.25">
      <c r="A158" t="s">
        <v>548</v>
      </c>
      <c r="B158" t="s">
        <v>429</v>
      </c>
      <c r="C158">
        <v>4</v>
      </c>
      <c r="D158">
        <v>20220107</v>
      </c>
      <c r="E158">
        <f t="shared" si="2"/>
        <v>1</v>
      </c>
      <c r="F158">
        <v>531105</v>
      </c>
      <c r="G158" t="s">
        <v>429</v>
      </c>
      <c r="H158" t="s">
        <v>401</v>
      </c>
      <c r="I158" t="s">
        <v>402</v>
      </c>
      <c r="J158">
        <v>334125</v>
      </c>
      <c r="K158">
        <v>20220107</v>
      </c>
      <c r="L158" t="s">
        <v>565</v>
      </c>
      <c r="M158">
        <v>322.27999999999997</v>
      </c>
      <c r="N158">
        <v>0</v>
      </c>
      <c r="O158" t="s">
        <v>19</v>
      </c>
      <c r="P158" t="s">
        <v>20</v>
      </c>
      <c r="Q158">
        <v>20220107</v>
      </c>
    </row>
    <row r="159" spans="1:17" x14ac:dyDescent="0.25">
      <c r="A159" t="s">
        <v>548</v>
      </c>
      <c r="B159" t="s">
        <v>429</v>
      </c>
      <c r="C159">
        <v>4</v>
      </c>
      <c r="D159">
        <v>20220110</v>
      </c>
      <c r="E159">
        <f t="shared" si="2"/>
        <v>1</v>
      </c>
      <c r="F159">
        <v>411100</v>
      </c>
      <c r="G159" t="s">
        <v>18</v>
      </c>
      <c r="H159" t="s">
        <v>592</v>
      </c>
      <c r="I159" t="s">
        <v>593</v>
      </c>
      <c r="J159">
        <v>121120109</v>
      </c>
      <c r="K159">
        <v>20220110</v>
      </c>
      <c r="L159" t="s">
        <v>594</v>
      </c>
      <c r="M159">
        <v>0</v>
      </c>
      <c r="N159">
        <v>45.85</v>
      </c>
      <c r="O159" t="s">
        <v>19</v>
      </c>
      <c r="P159" t="s">
        <v>20</v>
      </c>
      <c r="Q159">
        <v>20220110</v>
      </c>
    </row>
    <row r="160" spans="1:17" x14ac:dyDescent="0.25">
      <c r="A160" t="s">
        <v>548</v>
      </c>
      <c r="B160" t="s">
        <v>429</v>
      </c>
      <c r="C160">
        <v>4</v>
      </c>
      <c r="D160">
        <v>20220110</v>
      </c>
      <c r="E160">
        <f t="shared" si="2"/>
        <v>1</v>
      </c>
      <c r="F160">
        <v>411100</v>
      </c>
      <c r="G160" t="s">
        <v>18</v>
      </c>
      <c r="H160" t="s">
        <v>397</v>
      </c>
      <c r="I160" t="s">
        <v>398</v>
      </c>
      <c r="J160">
        <v>334019</v>
      </c>
      <c r="K160">
        <v>20220110</v>
      </c>
      <c r="L160" t="s">
        <v>595</v>
      </c>
      <c r="M160">
        <v>0</v>
      </c>
      <c r="N160">
        <v>13</v>
      </c>
      <c r="O160" t="s">
        <v>22</v>
      </c>
      <c r="P160">
        <v>20220327</v>
      </c>
      <c r="Q160">
        <v>20220110</v>
      </c>
    </row>
    <row r="161" spans="1:17" x14ac:dyDescent="0.25">
      <c r="A161" t="s">
        <v>548</v>
      </c>
      <c r="B161" t="s">
        <v>429</v>
      </c>
      <c r="C161">
        <v>4</v>
      </c>
      <c r="D161">
        <v>20220110</v>
      </c>
      <c r="E161">
        <f t="shared" si="2"/>
        <v>1</v>
      </c>
      <c r="F161">
        <v>531105</v>
      </c>
      <c r="G161" t="s">
        <v>429</v>
      </c>
      <c r="H161" t="s">
        <v>401</v>
      </c>
      <c r="I161" t="s">
        <v>402</v>
      </c>
      <c r="J161">
        <v>334020</v>
      </c>
      <c r="K161">
        <v>20220110</v>
      </c>
      <c r="L161" t="s">
        <v>565</v>
      </c>
      <c r="M161">
        <v>58.85</v>
      </c>
      <c r="N161">
        <v>0</v>
      </c>
      <c r="O161" t="s">
        <v>19</v>
      </c>
      <c r="P161" t="s">
        <v>20</v>
      </c>
      <c r="Q161">
        <v>20220110</v>
      </c>
    </row>
    <row r="162" spans="1:17" x14ac:dyDescent="0.25">
      <c r="A162" t="s">
        <v>548</v>
      </c>
      <c r="B162" t="s">
        <v>429</v>
      </c>
      <c r="C162">
        <v>4</v>
      </c>
      <c r="D162">
        <v>20220111</v>
      </c>
      <c r="E162">
        <f t="shared" si="2"/>
        <v>1</v>
      </c>
      <c r="F162">
        <v>411100</v>
      </c>
      <c r="G162" t="s">
        <v>18</v>
      </c>
      <c r="H162" t="s">
        <v>596</v>
      </c>
      <c r="I162" t="s">
        <v>597</v>
      </c>
      <c r="J162">
        <v>334021</v>
      </c>
      <c r="K162">
        <v>20220111</v>
      </c>
      <c r="L162" t="s">
        <v>598</v>
      </c>
      <c r="M162">
        <v>0</v>
      </c>
      <c r="N162">
        <v>10</v>
      </c>
      <c r="O162" t="s">
        <v>22</v>
      </c>
      <c r="P162">
        <v>20220327</v>
      </c>
      <c r="Q162">
        <v>20220111</v>
      </c>
    </row>
    <row r="163" spans="1:17" x14ac:dyDescent="0.25">
      <c r="A163" t="s">
        <v>548</v>
      </c>
      <c r="B163" t="s">
        <v>429</v>
      </c>
      <c r="C163">
        <v>4</v>
      </c>
      <c r="D163">
        <v>20220111</v>
      </c>
      <c r="E163">
        <f t="shared" si="2"/>
        <v>1</v>
      </c>
      <c r="F163">
        <v>411100</v>
      </c>
      <c r="G163" t="s">
        <v>18</v>
      </c>
      <c r="H163" t="s">
        <v>599</v>
      </c>
      <c r="I163" t="s">
        <v>600</v>
      </c>
      <c r="J163">
        <v>334022</v>
      </c>
      <c r="K163">
        <v>20220111</v>
      </c>
      <c r="L163" t="s">
        <v>601</v>
      </c>
      <c r="M163">
        <v>0</v>
      </c>
      <c r="N163">
        <v>10</v>
      </c>
      <c r="O163" t="s">
        <v>22</v>
      </c>
      <c r="P163">
        <v>20220327</v>
      </c>
      <c r="Q163">
        <v>20220111</v>
      </c>
    </row>
    <row r="164" spans="1:17" x14ac:dyDescent="0.25">
      <c r="A164" t="s">
        <v>548</v>
      </c>
      <c r="B164" t="s">
        <v>429</v>
      </c>
      <c r="C164">
        <v>4</v>
      </c>
      <c r="D164">
        <v>20220111</v>
      </c>
      <c r="E164">
        <f t="shared" si="2"/>
        <v>1</v>
      </c>
      <c r="F164">
        <v>411100</v>
      </c>
      <c r="G164" t="s">
        <v>18</v>
      </c>
      <c r="H164" t="s">
        <v>348</v>
      </c>
      <c r="I164" t="s">
        <v>349</v>
      </c>
      <c r="J164">
        <v>121110179</v>
      </c>
      <c r="K164">
        <v>20220111</v>
      </c>
      <c r="L164" t="s">
        <v>602</v>
      </c>
      <c r="M164">
        <v>0</v>
      </c>
      <c r="N164">
        <v>74.5</v>
      </c>
      <c r="O164" t="s">
        <v>23</v>
      </c>
      <c r="P164">
        <v>20220327</v>
      </c>
      <c r="Q164">
        <v>20220111</v>
      </c>
    </row>
    <row r="165" spans="1:17" x14ac:dyDescent="0.25">
      <c r="A165" t="s">
        <v>548</v>
      </c>
      <c r="B165" t="s">
        <v>429</v>
      </c>
      <c r="C165">
        <v>4</v>
      </c>
      <c r="D165">
        <v>20220111</v>
      </c>
      <c r="E165">
        <f t="shared" si="2"/>
        <v>1</v>
      </c>
      <c r="F165">
        <v>531105</v>
      </c>
      <c r="G165" t="s">
        <v>429</v>
      </c>
      <c r="H165" t="s">
        <v>401</v>
      </c>
      <c r="I165" t="s">
        <v>402</v>
      </c>
      <c r="J165">
        <v>334024</v>
      </c>
      <c r="K165">
        <v>20220111</v>
      </c>
      <c r="L165" t="s">
        <v>565</v>
      </c>
      <c r="M165">
        <v>94.5</v>
      </c>
      <c r="N165">
        <v>0</v>
      </c>
      <c r="O165" t="s">
        <v>19</v>
      </c>
      <c r="P165" t="s">
        <v>20</v>
      </c>
      <c r="Q165">
        <v>20220111</v>
      </c>
    </row>
    <row r="166" spans="1:17" x14ac:dyDescent="0.25">
      <c r="A166" t="s">
        <v>548</v>
      </c>
      <c r="B166" t="s">
        <v>429</v>
      </c>
      <c r="C166">
        <v>4</v>
      </c>
      <c r="D166">
        <v>20220111</v>
      </c>
      <c r="E166">
        <f t="shared" si="2"/>
        <v>1</v>
      </c>
      <c r="F166">
        <v>411000</v>
      </c>
      <c r="G166" t="s">
        <v>21</v>
      </c>
      <c r="H166" t="s">
        <v>271</v>
      </c>
      <c r="I166" t="s">
        <v>272</v>
      </c>
      <c r="J166">
        <v>334126</v>
      </c>
      <c r="K166">
        <v>20220111</v>
      </c>
      <c r="L166" t="s">
        <v>603</v>
      </c>
      <c r="M166">
        <v>0</v>
      </c>
      <c r="N166">
        <v>29.7</v>
      </c>
      <c r="O166" t="s">
        <v>22</v>
      </c>
      <c r="P166">
        <v>20220327</v>
      </c>
      <c r="Q166">
        <v>20220111</v>
      </c>
    </row>
    <row r="167" spans="1:17" x14ac:dyDescent="0.25">
      <c r="A167" t="s">
        <v>548</v>
      </c>
      <c r="B167" t="s">
        <v>429</v>
      </c>
      <c r="C167">
        <v>4</v>
      </c>
      <c r="D167">
        <v>20220111</v>
      </c>
      <c r="E167">
        <f t="shared" si="2"/>
        <v>1</v>
      </c>
      <c r="F167">
        <v>531105</v>
      </c>
      <c r="G167" t="s">
        <v>429</v>
      </c>
      <c r="H167" t="s">
        <v>401</v>
      </c>
      <c r="I167" t="s">
        <v>402</v>
      </c>
      <c r="J167">
        <v>334127</v>
      </c>
      <c r="K167">
        <v>20220111</v>
      </c>
      <c r="L167" t="s">
        <v>565</v>
      </c>
      <c r="M167">
        <v>29.7</v>
      </c>
      <c r="N167">
        <v>0</v>
      </c>
      <c r="O167" t="s">
        <v>19</v>
      </c>
      <c r="P167" t="s">
        <v>20</v>
      </c>
      <c r="Q167">
        <v>20220111</v>
      </c>
    </row>
    <row r="168" spans="1:17" x14ac:dyDescent="0.25">
      <c r="A168" t="s">
        <v>548</v>
      </c>
      <c r="B168" t="s">
        <v>429</v>
      </c>
      <c r="C168">
        <v>4</v>
      </c>
      <c r="D168">
        <v>20220112</v>
      </c>
      <c r="E168">
        <f t="shared" si="2"/>
        <v>1</v>
      </c>
      <c r="F168">
        <v>411020</v>
      </c>
      <c r="G168" t="s">
        <v>30</v>
      </c>
      <c r="H168" t="s">
        <v>371</v>
      </c>
      <c r="I168" t="s">
        <v>372</v>
      </c>
      <c r="J168">
        <v>321120016</v>
      </c>
      <c r="K168">
        <v>20220112</v>
      </c>
      <c r="L168" t="s">
        <v>604</v>
      </c>
      <c r="M168">
        <v>0</v>
      </c>
      <c r="N168">
        <v>143.97</v>
      </c>
      <c r="O168" t="s">
        <v>23</v>
      </c>
      <c r="P168">
        <v>20220327</v>
      </c>
      <c r="Q168">
        <v>20220112</v>
      </c>
    </row>
    <row r="169" spans="1:17" x14ac:dyDescent="0.25">
      <c r="A169" t="s">
        <v>548</v>
      </c>
      <c r="B169" t="s">
        <v>429</v>
      </c>
      <c r="C169">
        <v>4</v>
      </c>
      <c r="D169">
        <v>20220112</v>
      </c>
      <c r="E169">
        <f t="shared" si="2"/>
        <v>1</v>
      </c>
      <c r="F169">
        <v>411020</v>
      </c>
      <c r="G169" t="s">
        <v>30</v>
      </c>
      <c r="H169" t="s">
        <v>371</v>
      </c>
      <c r="I169" t="s">
        <v>372</v>
      </c>
      <c r="J169">
        <v>321120016</v>
      </c>
      <c r="K169">
        <v>20220112</v>
      </c>
      <c r="L169" t="s">
        <v>605</v>
      </c>
      <c r="M169">
        <v>0</v>
      </c>
      <c r="N169">
        <v>6.03</v>
      </c>
      <c r="O169" t="s">
        <v>23</v>
      </c>
      <c r="P169">
        <v>20220327</v>
      </c>
      <c r="Q169">
        <v>20220112</v>
      </c>
    </row>
    <row r="170" spans="1:17" x14ac:dyDescent="0.25">
      <c r="A170" t="s">
        <v>548</v>
      </c>
      <c r="B170" t="s">
        <v>429</v>
      </c>
      <c r="C170">
        <v>4</v>
      </c>
      <c r="D170">
        <v>20220112</v>
      </c>
      <c r="E170">
        <f t="shared" si="2"/>
        <v>1</v>
      </c>
      <c r="F170">
        <v>411020</v>
      </c>
      <c r="G170" t="s">
        <v>30</v>
      </c>
      <c r="H170" t="s">
        <v>385</v>
      </c>
      <c r="I170" t="s">
        <v>386</v>
      </c>
      <c r="J170">
        <v>321120018</v>
      </c>
      <c r="K170">
        <v>20220112</v>
      </c>
      <c r="L170" t="s">
        <v>606</v>
      </c>
      <c r="M170">
        <v>0</v>
      </c>
      <c r="N170">
        <v>16.13</v>
      </c>
      <c r="O170" t="s">
        <v>23</v>
      </c>
      <c r="P170">
        <v>20220126</v>
      </c>
      <c r="Q170">
        <v>20220112</v>
      </c>
    </row>
    <row r="171" spans="1:17" x14ac:dyDescent="0.25">
      <c r="A171" t="s">
        <v>548</v>
      </c>
      <c r="B171" t="s">
        <v>429</v>
      </c>
      <c r="C171">
        <v>4</v>
      </c>
      <c r="D171">
        <v>20220112</v>
      </c>
      <c r="E171">
        <f t="shared" si="2"/>
        <v>1</v>
      </c>
      <c r="F171">
        <v>411020</v>
      </c>
      <c r="G171" t="s">
        <v>30</v>
      </c>
      <c r="H171" t="s">
        <v>385</v>
      </c>
      <c r="I171" t="s">
        <v>386</v>
      </c>
      <c r="J171">
        <v>321120018</v>
      </c>
      <c r="K171">
        <v>20220112</v>
      </c>
      <c r="L171" t="s">
        <v>607</v>
      </c>
      <c r="M171">
        <v>0</v>
      </c>
      <c r="N171">
        <v>3.87</v>
      </c>
      <c r="O171" t="s">
        <v>23</v>
      </c>
      <c r="P171">
        <v>20220327</v>
      </c>
      <c r="Q171">
        <v>20220112</v>
      </c>
    </row>
    <row r="172" spans="1:17" x14ac:dyDescent="0.25">
      <c r="A172" t="s">
        <v>548</v>
      </c>
      <c r="B172" t="s">
        <v>429</v>
      </c>
      <c r="C172">
        <v>4</v>
      </c>
      <c r="D172">
        <v>20220112</v>
      </c>
      <c r="E172">
        <f t="shared" si="2"/>
        <v>1</v>
      </c>
      <c r="F172">
        <v>411020</v>
      </c>
      <c r="G172" t="s">
        <v>30</v>
      </c>
      <c r="H172" t="s">
        <v>332</v>
      </c>
      <c r="I172" t="s">
        <v>333</v>
      </c>
      <c r="J172">
        <v>321120008</v>
      </c>
      <c r="K172">
        <v>20220112</v>
      </c>
      <c r="L172" t="s">
        <v>608</v>
      </c>
      <c r="M172">
        <v>0</v>
      </c>
      <c r="N172">
        <v>34.33</v>
      </c>
      <c r="O172" t="s">
        <v>23</v>
      </c>
      <c r="P172">
        <v>20220327</v>
      </c>
      <c r="Q172">
        <v>20220112</v>
      </c>
    </row>
    <row r="173" spans="1:17" x14ac:dyDescent="0.25">
      <c r="A173" t="s">
        <v>548</v>
      </c>
      <c r="B173" t="s">
        <v>429</v>
      </c>
      <c r="C173">
        <v>4</v>
      </c>
      <c r="D173">
        <v>20220112</v>
      </c>
      <c r="E173">
        <f t="shared" si="2"/>
        <v>1</v>
      </c>
      <c r="F173">
        <v>411020</v>
      </c>
      <c r="G173" t="s">
        <v>30</v>
      </c>
      <c r="H173" t="s">
        <v>332</v>
      </c>
      <c r="I173" t="s">
        <v>333</v>
      </c>
      <c r="J173">
        <v>321120008</v>
      </c>
      <c r="K173">
        <v>20220112</v>
      </c>
      <c r="L173" t="s">
        <v>609</v>
      </c>
      <c r="M173">
        <v>0</v>
      </c>
      <c r="N173">
        <v>7.0000000000000007E-2</v>
      </c>
      <c r="O173" t="s">
        <v>23</v>
      </c>
      <c r="P173">
        <v>20220327</v>
      </c>
      <c r="Q173">
        <v>20220112</v>
      </c>
    </row>
    <row r="174" spans="1:17" x14ac:dyDescent="0.25">
      <c r="A174" t="s">
        <v>548</v>
      </c>
      <c r="B174" t="s">
        <v>429</v>
      </c>
      <c r="C174">
        <v>4</v>
      </c>
      <c r="D174">
        <v>20220112</v>
      </c>
      <c r="E174">
        <f t="shared" si="2"/>
        <v>1</v>
      </c>
      <c r="F174">
        <v>411020</v>
      </c>
      <c r="G174" t="s">
        <v>30</v>
      </c>
      <c r="H174" t="s">
        <v>324</v>
      </c>
      <c r="I174" t="s">
        <v>325</v>
      </c>
      <c r="J174">
        <v>321120004</v>
      </c>
      <c r="K174">
        <v>20220112</v>
      </c>
      <c r="L174" t="s">
        <v>610</v>
      </c>
      <c r="M174">
        <v>0</v>
      </c>
      <c r="N174">
        <v>92.59</v>
      </c>
      <c r="O174" t="s">
        <v>23</v>
      </c>
      <c r="P174">
        <v>20220327</v>
      </c>
      <c r="Q174">
        <v>20220112</v>
      </c>
    </row>
    <row r="175" spans="1:17" x14ac:dyDescent="0.25">
      <c r="A175" t="s">
        <v>548</v>
      </c>
      <c r="B175" t="s">
        <v>429</v>
      </c>
      <c r="C175">
        <v>4</v>
      </c>
      <c r="D175">
        <v>20220112</v>
      </c>
      <c r="E175">
        <f t="shared" si="2"/>
        <v>1</v>
      </c>
      <c r="F175">
        <v>411020</v>
      </c>
      <c r="G175" t="s">
        <v>30</v>
      </c>
      <c r="H175" t="s">
        <v>324</v>
      </c>
      <c r="I175" t="s">
        <v>325</v>
      </c>
      <c r="J175">
        <v>321120004</v>
      </c>
      <c r="K175">
        <v>20220112</v>
      </c>
      <c r="L175" t="s">
        <v>611</v>
      </c>
      <c r="M175">
        <v>0</v>
      </c>
      <c r="N175">
        <v>0.01</v>
      </c>
      <c r="O175" t="s">
        <v>23</v>
      </c>
      <c r="P175">
        <v>20230218</v>
      </c>
      <c r="Q175">
        <v>20220112</v>
      </c>
    </row>
    <row r="176" spans="1:17" x14ac:dyDescent="0.25">
      <c r="A176" t="s">
        <v>548</v>
      </c>
      <c r="B176" t="s">
        <v>429</v>
      </c>
      <c r="C176">
        <v>4</v>
      </c>
      <c r="D176">
        <v>20220112</v>
      </c>
      <c r="E176">
        <f t="shared" si="2"/>
        <v>1</v>
      </c>
      <c r="F176">
        <v>411020</v>
      </c>
      <c r="G176" t="s">
        <v>30</v>
      </c>
      <c r="H176" t="s">
        <v>273</v>
      </c>
      <c r="I176" t="s">
        <v>274</v>
      </c>
      <c r="J176">
        <v>321090023</v>
      </c>
      <c r="K176">
        <v>20220112</v>
      </c>
      <c r="L176" t="s">
        <v>612</v>
      </c>
      <c r="M176">
        <v>0</v>
      </c>
      <c r="N176">
        <v>19.489999999999998</v>
      </c>
      <c r="O176" t="s">
        <v>23</v>
      </c>
      <c r="P176">
        <v>20220327</v>
      </c>
      <c r="Q176">
        <v>20220112</v>
      </c>
    </row>
    <row r="177" spans="1:17" x14ac:dyDescent="0.25">
      <c r="A177" t="s">
        <v>548</v>
      </c>
      <c r="B177" t="s">
        <v>429</v>
      </c>
      <c r="C177">
        <v>4</v>
      </c>
      <c r="D177">
        <v>20220112</v>
      </c>
      <c r="E177">
        <f t="shared" si="2"/>
        <v>1</v>
      </c>
      <c r="F177">
        <v>411020</v>
      </c>
      <c r="G177" t="s">
        <v>30</v>
      </c>
      <c r="H177" t="s">
        <v>273</v>
      </c>
      <c r="I177" t="s">
        <v>274</v>
      </c>
      <c r="J177">
        <v>321090023</v>
      </c>
      <c r="K177">
        <v>20220112</v>
      </c>
      <c r="L177" t="s">
        <v>613</v>
      </c>
      <c r="M177">
        <v>0</v>
      </c>
      <c r="N177">
        <v>0.01</v>
      </c>
      <c r="O177" t="s">
        <v>19</v>
      </c>
      <c r="P177" t="s">
        <v>20</v>
      </c>
      <c r="Q177">
        <v>20220112</v>
      </c>
    </row>
    <row r="178" spans="1:17" x14ac:dyDescent="0.25">
      <c r="A178" t="s">
        <v>548</v>
      </c>
      <c r="B178" t="s">
        <v>429</v>
      </c>
      <c r="C178">
        <v>4</v>
      </c>
      <c r="D178">
        <v>20220112</v>
      </c>
      <c r="E178">
        <f t="shared" si="2"/>
        <v>1</v>
      </c>
      <c r="F178">
        <v>411020</v>
      </c>
      <c r="G178" t="s">
        <v>30</v>
      </c>
      <c r="H178" t="s">
        <v>285</v>
      </c>
      <c r="I178" t="s">
        <v>286</v>
      </c>
      <c r="J178">
        <v>321100004</v>
      </c>
      <c r="K178">
        <v>20220112</v>
      </c>
      <c r="L178" t="s">
        <v>614</v>
      </c>
      <c r="M178">
        <v>0</v>
      </c>
      <c r="N178">
        <v>50</v>
      </c>
      <c r="O178" t="s">
        <v>19</v>
      </c>
      <c r="P178" t="s">
        <v>20</v>
      </c>
      <c r="Q178">
        <v>20220112</v>
      </c>
    </row>
    <row r="179" spans="1:17" x14ac:dyDescent="0.25">
      <c r="A179" t="s">
        <v>548</v>
      </c>
      <c r="B179" t="s">
        <v>429</v>
      </c>
      <c r="C179">
        <v>4</v>
      </c>
      <c r="D179">
        <v>20220112</v>
      </c>
      <c r="E179">
        <f t="shared" si="2"/>
        <v>1</v>
      </c>
      <c r="F179">
        <v>411020</v>
      </c>
      <c r="G179" t="s">
        <v>30</v>
      </c>
      <c r="H179" t="s">
        <v>307</v>
      </c>
      <c r="I179" t="s">
        <v>308</v>
      </c>
      <c r="J179">
        <v>321090020</v>
      </c>
      <c r="K179">
        <v>20220112</v>
      </c>
      <c r="L179" t="s">
        <v>615</v>
      </c>
      <c r="M179">
        <v>0</v>
      </c>
      <c r="N179">
        <v>48.35</v>
      </c>
      <c r="O179" t="s">
        <v>23</v>
      </c>
      <c r="P179">
        <v>20220327</v>
      </c>
      <c r="Q179">
        <v>20220112</v>
      </c>
    </row>
    <row r="180" spans="1:17" x14ac:dyDescent="0.25">
      <c r="A180" t="s">
        <v>548</v>
      </c>
      <c r="B180" t="s">
        <v>429</v>
      </c>
      <c r="C180">
        <v>4</v>
      </c>
      <c r="D180">
        <v>20220112</v>
      </c>
      <c r="E180">
        <f t="shared" si="2"/>
        <v>1</v>
      </c>
      <c r="F180">
        <v>411020</v>
      </c>
      <c r="G180" t="s">
        <v>30</v>
      </c>
      <c r="H180" t="s">
        <v>369</v>
      </c>
      <c r="I180" t="s">
        <v>370</v>
      </c>
      <c r="J180">
        <v>321110011</v>
      </c>
      <c r="K180">
        <v>20220112</v>
      </c>
      <c r="L180" t="s">
        <v>616</v>
      </c>
      <c r="M180">
        <v>0</v>
      </c>
      <c r="N180">
        <v>56.1</v>
      </c>
      <c r="O180" t="s">
        <v>23</v>
      </c>
      <c r="P180">
        <v>20220327</v>
      </c>
      <c r="Q180">
        <v>20220112</v>
      </c>
    </row>
    <row r="181" spans="1:17" x14ac:dyDescent="0.25">
      <c r="A181" t="s">
        <v>548</v>
      </c>
      <c r="B181" t="s">
        <v>429</v>
      </c>
      <c r="C181">
        <v>4</v>
      </c>
      <c r="D181">
        <v>20220112</v>
      </c>
      <c r="E181">
        <f t="shared" si="2"/>
        <v>1</v>
      </c>
      <c r="F181">
        <v>411100</v>
      </c>
      <c r="G181" t="s">
        <v>18</v>
      </c>
      <c r="H181" t="s">
        <v>198</v>
      </c>
      <c r="I181" t="s">
        <v>199</v>
      </c>
      <c r="J181">
        <v>321120014</v>
      </c>
      <c r="K181">
        <v>20220112</v>
      </c>
      <c r="L181" t="s">
        <v>617</v>
      </c>
      <c r="M181">
        <v>0</v>
      </c>
      <c r="N181">
        <v>46.97</v>
      </c>
      <c r="O181" t="s">
        <v>23</v>
      </c>
      <c r="P181">
        <v>20220327</v>
      </c>
      <c r="Q181">
        <v>20220112</v>
      </c>
    </row>
    <row r="182" spans="1:17" x14ac:dyDescent="0.25">
      <c r="A182" t="s">
        <v>548</v>
      </c>
      <c r="B182" t="s">
        <v>429</v>
      </c>
      <c r="C182">
        <v>4</v>
      </c>
      <c r="D182">
        <v>20220112</v>
      </c>
      <c r="E182">
        <f t="shared" si="2"/>
        <v>1</v>
      </c>
      <c r="F182">
        <v>411100</v>
      </c>
      <c r="G182" t="s">
        <v>18</v>
      </c>
      <c r="H182" t="s">
        <v>198</v>
      </c>
      <c r="I182" t="s">
        <v>199</v>
      </c>
      <c r="J182">
        <v>321120014</v>
      </c>
      <c r="K182">
        <v>20220112</v>
      </c>
      <c r="L182" t="s">
        <v>618</v>
      </c>
      <c r="M182">
        <v>0</v>
      </c>
      <c r="N182">
        <v>0.03</v>
      </c>
      <c r="O182" t="s">
        <v>23</v>
      </c>
      <c r="P182">
        <v>20220327</v>
      </c>
      <c r="Q182">
        <v>20220112</v>
      </c>
    </row>
    <row r="183" spans="1:17" x14ac:dyDescent="0.25">
      <c r="A183" t="s">
        <v>548</v>
      </c>
      <c r="B183" t="s">
        <v>429</v>
      </c>
      <c r="C183">
        <v>4</v>
      </c>
      <c r="D183">
        <v>20220112</v>
      </c>
      <c r="E183">
        <f t="shared" si="2"/>
        <v>1</v>
      </c>
      <c r="F183">
        <v>531105</v>
      </c>
      <c r="G183" t="s">
        <v>429</v>
      </c>
      <c r="H183" t="s">
        <v>401</v>
      </c>
      <c r="I183" t="s">
        <v>402</v>
      </c>
      <c r="J183">
        <v>333945</v>
      </c>
      <c r="K183">
        <v>20220112</v>
      </c>
      <c r="L183" t="s">
        <v>565</v>
      </c>
      <c r="M183">
        <v>517.95000000000005</v>
      </c>
      <c r="N183">
        <v>0</v>
      </c>
      <c r="O183" t="s">
        <v>19</v>
      </c>
      <c r="P183" t="s">
        <v>20</v>
      </c>
      <c r="Q183">
        <v>20220112</v>
      </c>
    </row>
    <row r="184" spans="1:17" x14ac:dyDescent="0.25">
      <c r="A184" t="s">
        <v>548</v>
      </c>
      <c r="B184" t="s">
        <v>429</v>
      </c>
      <c r="C184">
        <v>4</v>
      </c>
      <c r="D184">
        <v>20220112</v>
      </c>
      <c r="E184">
        <f t="shared" si="2"/>
        <v>1</v>
      </c>
      <c r="F184">
        <v>411100</v>
      </c>
      <c r="G184" t="s">
        <v>18</v>
      </c>
      <c r="H184" t="s">
        <v>31</v>
      </c>
      <c r="I184" t="s">
        <v>32</v>
      </c>
      <c r="J184">
        <v>121100071</v>
      </c>
      <c r="K184">
        <v>20220112</v>
      </c>
      <c r="L184" t="s">
        <v>619</v>
      </c>
      <c r="M184">
        <v>0</v>
      </c>
      <c r="N184">
        <v>210</v>
      </c>
      <c r="O184" t="s">
        <v>19</v>
      </c>
      <c r="P184" t="s">
        <v>20</v>
      </c>
      <c r="Q184">
        <v>20220112</v>
      </c>
    </row>
    <row r="185" spans="1:17" x14ac:dyDescent="0.25">
      <c r="A185" t="s">
        <v>548</v>
      </c>
      <c r="B185" t="s">
        <v>429</v>
      </c>
      <c r="C185">
        <v>4</v>
      </c>
      <c r="D185">
        <v>20220112</v>
      </c>
      <c r="E185">
        <f t="shared" si="2"/>
        <v>1</v>
      </c>
      <c r="F185">
        <v>531105</v>
      </c>
      <c r="G185" t="s">
        <v>429</v>
      </c>
      <c r="H185" t="s">
        <v>401</v>
      </c>
      <c r="I185" t="s">
        <v>402</v>
      </c>
      <c r="J185">
        <v>334026</v>
      </c>
      <c r="K185">
        <v>20220112</v>
      </c>
      <c r="L185" t="s">
        <v>565</v>
      </c>
      <c r="M185">
        <v>210</v>
      </c>
      <c r="N185">
        <v>0</v>
      </c>
      <c r="O185" t="s">
        <v>19</v>
      </c>
      <c r="P185" t="s">
        <v>20</v>
      </c>
      <c r="Q185">
        <v>20220112</v>
      </c>
    </row>
    <row r="186" spans="1:17" x14ac:dyDescent="0.25">
      <c r="A186" t="s">
        <v>548</v>
      </c>
      <c r="B186" t="s">
        <v>429</v>
      </c>
      <c r="C186">
        <v>4</v>
      </c>
      <c r="D186">
        <v>20220112</v>
      </c>
      <c r="E186">
        <f t="shared" si="2"/>
        <v>1</v>
      </c>
      <c r="F186">
        <v>411100</v>
      </c>
      <c r="G186" t="s">
        <v>18</v>
      </c>
      <c r="H186" t="s">
        <v>77</v>
      </c>
      <c r="I186" t="s">
        <v>78</v>
      </c>
      <c r="J186">
        <v>334128</v>
      </c>
      <c r="K186">
        <v>20220112</v>
      </c>
      <c r="L186" t="s">
        <v>620</v>
      </c>
      <c r="M186">
        <v>0</v>
      </c>
      <c r="N186">
        <v>53.21</v>
      </c>
      <c r="O186" t="s">
        <v>23</v>
      </c>
      <c r="P186">
        <v>20220327</v>
      </c>
      <c r="Q186">
        <v>20220112</v>
      </c>
    </row>
    <row r="187" spans="1:17" x14ac:dyDescent="0.25">
      <c r="A187" t="s">
        <v>548</v>
      </c>
      <c r="B187" t="s">
        <v>429</v>
      </c>
      <c r="C187">
        <v>4</v>
      </c>
      <c r="D187">
        <v>20220112</v>
      </c>
      <c r="E187">
        <f t="shared" si="2"/>
        <v>1</v>
      </c>
      <c r="F187">
        <v>531105</v>
      </c>
      <c r="G187" t="s">
        <v>429</v>
      </c>
      <c r="H187" t="s">
        <v>401</v>
      </c>
      <c r="I187" t="s">
        <v>402</v>
      </c>
      <c r="J187">
        <v>334129</v>
      </c>
      <c r="K187">
        <v>20220112</v>
      </c>
      <c r="L187" t="s">
        <v>565</v>
      </c>
      <c r="M187">
        <v>53.21</v>
      </c>
      <c r="N187">
        <v>0</v>
      </c>
      <c r="O187" t="s">
        <v>19</v>
      </c>
      <c r="P187" t="s">
        <v>20</v>
      </c>
      <c r="Q187">
        <v>20220112</v>
      </c>
    </row>
    <row r="188" spans="1:17" x14ac:dyDescent="0.25">
      <c r="A188" t="s">
        <v>548</v>
      </c>
      <c r="B188" t="s">
        <v>429</v>
      </c>
      <c r="C188">
        <v>4</v>
      </c>
      <c r="D188">
        <v>20220113</v>
      </c>
      <c r="E188">
        <f t="shared" si="2"/>
        <v>1</v>
      </c>
      <c r="F188">
        <v>531105</v>
      </c>
      <c r="G188" t="s">
        <v>429</v>
      </c>
      <c r="H188" t="s">
        <v>401</v>
      </c>
      <c r="I188" t="s">
        <v>402</v>
      </c>
      <c r="J188" t="s">
        <v>621</v>
      </c>
      <c r="K188">
        <v>20220113</v>
      </c>
      <c r="L188" t="s">
        <v>622</v>
      </c>
      <c r="M188">
        <v>6.8</v>
      </c>
      <c r="N188">
        <v>0</v>
      </c>
      <c r="O188" t="s">
        <v>19</v>
      </c>
      <c r="P188" t="s">
        <v>20</v>
      </c>
      <c r="Q188">
        <v>20220113</v>
      </c>
    </row>
    <row r="189" spans="1:17" x14ac:dyDescent="0.25">
      <c r="A189" t="s">
        <v>548</v>
      </c>
      <c r="B189" t="s">
        <v>429</v>
      </c>
      <c r="C189">
        <v>4</v>
      </c>
      <c r="D189">
        <v>20220113</v>
      </c>
      <c r="E189">
        <f t="shared" si="2"/>
        <v>1</v>
      </c>
      <c r="F189">
        <v>467100</v>
      </c>
      <c r="G189" t="s">
        <v>160</v>
      </c>
      <c r="H189" t="s">
        <v>183</v>
      </c>
      <c r="I189" t="s">
        <v>184</v>
      </c>
      <c r="J189" t="s">
        <v>621</v>
      </c>
      <c r="K189">
        <v>20220113</v>
      </c>
      <c r="L189" t="s">
        <v>623</v>
      </c>
      <c r="M189">
        <v>0</v>
      </c>
      <c r="N189">
        <v>6.8</v>
      </c>
      <c r="O189" t="s">
        <v>23</v>
      </c>
      <c r="P189">
        <v>20220114</v>
      </c>
      <c r="Q189">
        <v>20220113</v>
      </c>
    </row>
    <row r="190" spans="1:17" x14ac:dyDescent="0.25">
      <c r="A190" t="s">
        <v>548</v>
      </c>
      <c r="B190" t="s">
        <v>429</v>
      </c>
      <c r="C190">
        <v>4</v>
      </c>
      <c r="D190">
        <v>20220113</v>
      </c>
      <c r="E190">
        <f t="shared" si="2"/>
        <v>1</v>
      </c>
      <c r="F190">
        <v>580000</v>
      </c>
      <c r="G190" t="s">
        <v>532</v>
      </c>
      <c r="H190" t="s">
        <v>401</v>
      </c>
      <c r="I190" t="s">
        <v>402</v>
      </c>
      <c r="J190" t="s">
        <v>624</v>
      </c>
      <c r="K190">
        <v>20220113</v>
      </c>
      <c r="L190" t="s">
        <v>625</v>
      </c>
      <c r="M190">
        <v>1600</v>
      </c>
      <c r="N190">
        <v>0</v>
      </c>
      <c r="O190" t="s">
        <v>22</v>
      </c>
      <c r="P190">
        <v>20220113</v>
      </c>
      <c r="Q190">
        <v>20220113</v>
      </c>
    </row>
    <row r="191" spans="1:17" x14ac:dyDescent="0.25">
      <c r="A191" t="s">
        <v>548</v>
      </c>
      <c r="B191" t="s">
        <v>429</v>
      </c>
      <c r="C191">
        <v>4</v>
      </c>
      <c r="D191">
        <v>20220113</v>
      </c>
      <c r="E191">
        <f t="shared" si="2"/>
        <v>1</v>
      </c>
      <c r="F191">
        <v>531105</v>
      </c>
      <c r="G191" t="s">
        <v>429</v>
      </c>
      <c r="H191" t="s">
        <v>401</v>
      </c>
      <c r="I191" t="s">
        <v>402</v>
      </c>
      <c r="J191" t="s">
        <v>624</v>
      </c>
      <c r="K191">
        <v>20220113</v>
      </c>
      <c r="L191" t="s">
        <v>625</v>
      </c>
      <c r="M191">
        <v>0</v>
      </c>
      <c r="N191">
        <v>1600</v>
      </c>
      <c r="O191" t="s">
        <v>19</v>
      </c>
      <c r="P191" t="s">
        <v>20</v>
      </c>
      <c r="Q191">
        <v>20220113</v>
      </c>
    </row>
    <row r="192" spans="1:17" x14ac:dyDescent="0.25">
      <c r="A192" t="s">
        <v>548</v>
      </c>
      <c r="B192" t="s">
        <v>429</v>
      </c>
      <c r="C192">
        <v>4</v>
      </c>
      <c r="D192">
        <v>20220114</v>
      </c>
      <c r="E192">
        <f t="shared" si="2"/>
        <v>1</v>
      </c>
      <c r="F192">
        <v>467100</v>
      </c>
      <c r="G192" t="s">
        <v>160</v>
      </c>
      <c r="H192" t="s">
        <v>626</v>
      </c>
      <c r="I192" t="s">
        <v>627</v>
      </c>
      <c r="J192" t="s">
        <v>628</v>
      </c>
      <c r="K192">
        <v>20220114</v>
      </c>
      <c r="L192" t="s">
        <v>629</v>
      </c>
      <c r="M192">
        <v>21</v>
      </c>
      <c r="N192">
        <v>0</v>
      </c>
      <c r="O192" t="s">
        <v>23</v>
      </c>
      <c r="P192">
        <v>20220212</v>
      </c>
      <c r="Q192">
        <v>20220114</v>
      </c>
    </row>
    <row r="193" spans="1:17" x14ac:dyDescent="0.25">
      <c r="A193" t="s">
        <v>548</v>
      </c>
      <c r="B193" t="s">
        <v>429</v>
      </c>
      <c r="C193">
        <v>4</v>
      </c>
      <c r="D193">
        <v>20220114</v>
      </c>
      <c r="E193">
        <f t="shared" si="2"/>
        <v>1</v>
      </c>
      <c r="F193">
        <v>531105</v>
      </c>
      <c r="G193" t="s">
        <v>429</v>
      </c>
      <c r="H193" t="s">
        <v>401</v>
      </c>
      <c r="I193" t="s">
        <v>402</v>
      </c>
      <c r="J193" t="s">
        <v>628</v>
      </c>
      <c r="K193">
        <v>20220114</v>
      </c>
      <c r="L193" t="s">
        <v>630</v>
      </c>
      <c r="M193">
        <v>0</v>
      </c>
      <c r="N193">
        <v>21</v>
      </c>
      <c r="O193" t="s">
        <v>19</v>
      </c>
      <c r="P193" t="s">
        <v>20</v>
      </c>
      <c r="Q193">
        <v>20220114</v>
      </c>
    </row>
    <row r="194" spans="1:17" x14ac:dyDescent="0.25">
      <c r="A194" t="s">
        <v>548</v>
      </c>
      <c r="B194" t="s">
        <v>429</v>
      </c>
      <c r="C194">
        <v>4</v>
      </c>
      <c r="D194">
        <v>20220114</v>
      </c>
      <c r="E194">
        <f t="shared" si="2"/>
        <v>1</v>
      </c>
      <c r="F194">
        <v>467100</v>
      </c>
      <c r="G194" t="s">
        <v>160</v>
      </c>
      <c r="H194" t="s">
        <v>631</v>
      </c>
      <c r="I194" t="s">
        <v>632</v>
      </c>
      <c r="J194" t="s">
        <v>633</v>
      </c>
      <c r="K194">
        <v>20220114</v>
      </c>
      <c r="L194" t="s">
        <v>634</v>
      </c>
      <c r="M194">
        <v>6.8</v>
      </c>
      <c r="N194">
        <v>0</v>
      </c>
      <c r="O194" t="s">
        <v>23</v>
      </c>
      <c r="P194">
        <v>20220427</v>
      </c>
      <c r="Q194">
        <v>20220114</v>
      </c>
    </row>
    <row r="195" spans="1:17" x14ac:dyDescent="0.25">
      <c r="A195" t="s">
        <v>548</v>
      </c>
      <c r="B195" t="s">
        <v>429</v>
      </c>
      <c r="C195">
        <v>4</v>
      </c>
      <c r="D195">
        <v>20220114</v>
      </c>
      <c r="E195">
        <f t="shared" ref="E195:E258" si="3">VALUE(MID(D195,5,2))</f>
        <v>1</v>
      </c>
      <c r="F195">
        <v>531105</v>
      </c>
      <c r="G195" t="s">
        <v>429</v>
      </c>
      <c r="H195" t="s">
        <v>401</v>
      </c>
      <c r="I195" t="s">
        <v>402</v>
      </c>
      <c r="J195" t="s">
        <v>633</v>
      </c>
      <c r="K195">
        <v>20220114</v>
      </c>
      <c r="L195" t="s">
        <v>634</v>
      </c>
      <c r="M195">
        <v>0</v>
      </c>
      <c r="N195">
        <v>6.8</v>
      </c>
      <c r="O195" t="s">
        <v>19</v>
      </c>
      <c r="P195" t="s">
        <v>20</v>
      </c>
      <c r="Q195">
        <v>20220114</v>
      </c>
    </row>
    <row r="196" spans="1:17" x14ac:dyDescent="0.25">
      <c r="A196" t="s">
        <v>548</v>
      </c>
      <c r="B196" t="s">
        <v>429</v>
      </c>
      <c r="C196">
        <v>4</v>
      </c>
      <c r="D196">
        <v>20220114</v>
      </c>
      <c r="E196">
        <f t="shared" si="3"/>
        <v>1</v>
      </c>
      <c r="F196">
        <v>411100</v>
      </c>
      <c r="G196" t="s">
        <v>18</v>
      </c>
      <c r="H196" t="s">
        <v>635</v>
      </c>
      <c r="I196" t="s">
        <v>636</v>
      </c>
      <c r="J196">
        <v>334321</v>
      </c>
      <c r="K196">
        <v>20220114</v>
      </c>
      <c r="L196" t="s">
        <v>637</v>
      </c>
      <c r="M196">
        <v>0</v>
      </c>
      <c r="N196">
        <v>22</v>
      </c>
      <c r="O196" t="s">
        <v>22</v>
      </c>
      <c r="P196">
        <v>20230218</v>
      </c>
      <c r="Q196">
        <v>20220114</v>
      </c>
    </row>
    <row r="197" spans="1:17" x14ac:dyDescent="0.25">
      <c r="A197" t="s">
        <v>548</v>
      </c>
      <c r="B197" t="s">
        <v>429</v>
      </c>
      <c r="C197">
        <v>4</v>
      </c>
      <c r="D197">
        <v>20220114</v>
      </c>
      <c r="E197">
        <f t="shared" si="3"/>
        <v>1</v>
      </c>
      <c r="F197">
        <v>411100</v>
      </c>
      <c r="G197" t="s">
        <v>18</v>
      </c>
      <c r="H197" t="s">
        <v>638</v>
      </c>
      <c r="I197" t="s">
        <v>639</v>
      </c>
      <c r="J197">
        <v>334322</v>
      </c>
      <c r="K197">
        <v>20220114</v>
      </c>
      <c r="L197" t="s">
        <v>640</v>
      </c>
      <c r="M197">
        <v>0</v>
      </c>
      <c r="N197">
        <v>28.4</v>
      </c>
      <c r="O197" t="s">
        <v>22</v>
      </c>
      <c r="P197">
        <v>20220327</v>
      </c>
      <c r="Q197">
        <v>20220114</v>
      </c>
    </row>
    <row r="198" spans="1:17" x14ac:dyDescent="0.25">
      <c r="A198" t="s">
        <v>548</v>
      </c>
      <c r="B198" t="s">
        <v>429</v>
      </c>
      <c r="C198">
        <v>4</v>
      </c>
      <c r="D198">
        <v>20220114</v>
      </c>
      <c r="E198">
        <f t="shared" si="3"/>
        <v>1</v>
      </c>
      <c r="F198">
        <v>531105</v>
      </c>
      <c r="G198" t="s">
        <v>429</v>
      </c>
      <c r="H198" t="s">
        <v>401</v>
      </c>
      <c r="I198" t="s">
        <v>402</v>
      </c>
      <c r="J198">
        <v>334323</v>
      </c>
      <c r="K198">
        <v>20220114</v>
      </c>
      <c r="L198" t="s">
        <v>565</v>
      </c>
      <c r="M198">
        <v>50.4</v>
      </c>
      <c r="N198">
        <v>0</v>
      </c>
      <c r="O198" t="s">
        <v>19</v>
      </c>
      <c r="P198" t="s">
        <v>20</v>
      </c>
      <c r="Q198">
        <v>20220114</v>
      </c>
    </row>
    <row r="199" spans="1:17" x14ac:dyDescent="0.25">
      <c r="A199" t="s">
        <v>548</v>
      </c>
      <c r="B199" t="s">
        <v>429</v>
      </c>
      <c r="C199">
        <v>4</v>
      </c>
      <c r="D199">
        <v>20220118</v>
      </c>
      <c r="E199">
        <f t="shared" si="3"/>
        <v>1</v>
      </c>
      <c r="F199">
        <v>411100</v>
      </c>
      <c r="G199" t="s">
        <v>18</v>
      </c>
      <c r="H199" t="s">
        <v>641</v>
      </c>
      <c r="I199" t="s">
        <v>642</v>
      </c>
      <c r="J199">
        <v>334324</v>
      </c>
      <c r="K199">
        <v>20220118</v>
      </c>
      <c r="L199" t="s">
        <v>643</v>
      </c>
      <c r="M199">
        <v>0</v>
      </c>
      <c r="N199">
        <v>10</v>
      </c>
      <c r="O199" t="s">
        <v>22</v>
      </c>
      <c r="P199">
        <v>20220327</v>
      </c>
      <c r="Q199">
        <v>20220118</v>
      </c>
    </row>
    <row r="200" spans="1:17" x14ac:dyDescent="0.25">
      <c r="A200" t="s">
        <v>548</v>
      </c>
      <c r="B200" t="s">
        <v>429</v>
      </c>
      <c r="C200">
        <v>4</v>
      </c>
      <c r="D200">
        <v>20220118</v>
      </c>
      <c r="E200">
        <f t="shared" si="3"/>
        <v>1</v>
      </c>
      <c r="F200">
        <v>411100</v>
      </c>
      <c r="G200" t="s">
        <v>18</v>
      </c>
      <c r="H200" t="s">
        <v>334</v>
      </c>
      <c r="I200" t="s">
        <v>335</v>
      </c>
      <c r="J200">
        <v>121110200</v>
      </c>
      <c r="K200">
        <v>20220118</v>
      </c>
      <c r="L200" t="s">
        <v>644</v>
      </c>
      <c r="M200">
        <v>0</v>
      </c>
      <c r="N200">
        <v>142.19999999999999</v>
      </c>
      <c r="O200" t="s">
        <v>22</v>
      </c>
      <c r="P200">
        <v>20220327</v>
      </c>
      <c r="Q200">
        <v>20220118</v>
      </c>
    </row>
    <row r="201" spans="1:17" x14ac:dyDescent="0.25">
      <c r="A201" t="s">
        <v>548</v>
      </c>
      <c r="B201" t="s">
        <v>429</v>
      </c>
      <c r="C201">
        <v>4</v>
      </c>
      <c r="D201">
        <v>20220118</v>
      </c>
      <c r="E201">
        <f t="shared" si="3"/>
        <v>1</v>
      </c>
      <c r="F201">
        <v>531105</v>
      </c>
      <c r="G201" t="s">
        <v>429</v>
      </c>
      <c r="H201" t="s">
        <v>401</v>
      </c>
      <c r="I201" t="s">
        <v>402</v>
      </c>
      <c r="J201">
        <v>334326</v>
      </c>
      <c r="K201">
        <v>20220118</v>
      </c>
      <c r="L201" t="s">
        <v>565</v>
      </c>
      <c r="M201">
        <v>152.19999999999999</v>
      </c>
      <c r="N201">
        <v>0</v>
      </c>
      <c r="O201" t="s">
        <v>19</v>
      </c>
      <c r="P201" t="s">
        <v>20</v>
      </c>
      <c r="Q201">
        <v>20220118</v>
      </c>
    </row>
    <row r="202" spans="1:17" x14ac:dyDescent="0.25">
      <c r="A202" t="s">
        <v>548</v>
      </c>
      <c r="B202" t="s">
        <v>429</v>
      </c>
      <c r="C202">
        <v>4</v>
      </c>
      <c r="D202">
        <v>20220118</v>
      </c>
      <c r="E202">
        <f t="shared" si="3"/>
        <v>1</v>
      </c>
      <c r="F202">
        <v>411010</v>
      </c>
      <c r="G202" t="s">
        <v>87</v>
      </c>
      <c r="H202" t="s">
        <v>360</v>
      </c>
      <c r="I202" t="s">
        <v>361</v>
      </c>
      <c r="J202">
        <v>334335</v>
      </c>
      <c r="K202">
        <v>20220118</v>
      </c>
      <c r="L202" t="s">
        <v>645</v>
      </c>
      <c r="M202">
        <v>0</v>
      </c>
      <c r="N202">
        <v>45</v>
      </c>
      <c r="O202" t="s">
        <v>19</v>
      </c>
      <c r="P202" t="s">
        <v>20</v>
      </c>
      <c r="Q202">
        <v>20220118</v>
      </c>
    </row>
    <row r="203" spans="1:17" x14ac:dyDescent="0.25">
      <c r="A203" t="s">
        <v>548</v>
      </c>
      <c r="B203" t="s">
        <v>429</v>
      </c>
      <c r="C203">
        <v>4</v>
      </c>
      <c r="D203">
        <v>20220118</v>
      </c>
      <c r="E203">
        <f t="shared" si="3"/>
        <v>1</v>
      </c>
      <c r="F203">
        <v>411010</v>
      </c>
      <c r="G203" t="s">
        <v>87</v>
      </c>
      <c r="H203" t="s">
        <v>379</v>
      </c>
      <c r="I203" t="s">
        <v>380</v>
      </c>
      <c r="J203">
        <v>334336</v>
      </c>
      <c r="K203">
        <v>20220118</v>
      </c>
      <c r="L203" t="s">
        <v>646</v>
      </c>
      <c r="M203">
        <v>0</v>
      </c>
      <c r="N203">
        <v>13.81</v>
      </c>
      <c r="O203" t="s">
        <v>22</v>
      </c>
      <c r="P203">
        <v>20220327</v>
      </c>
      <c r="Q203">
        <v>20220118</v>
      </c>
    </row>
    <row r="204" spans="1:17" x14ac:dyDescent="0.25">
      <c r="A204" t="s">
        <v>548</v>
      </c>
      <c r="B204" t="s">
        <v>429</v>
      </c>
      <c r="C204">
        <v>4</v>
      </c>
      <c r="D204">
        <v>20220118</v>
      </c>
      <c r="E204">
        <f t="shared" si="3"/>
        <v>1</v>
      </c>
      <c r="F204">
        <v>531105</v>
      </c>
      <c r="G204" t="s">
        <v>429</v>
      </c>
      <c r="H204" t="s">
        <v>401</v>
      </c>
      <c r="I204" t="s">
        <v>402</v>
      </c>
      <c r="J204">
        <v>334337</v>
      </c>
      <c r="K204">
        <v>20220118</v>
      </c>
      <c r="L204" t="s">
        <v>565</v>
      </c>
      <c r="M204">
        <v>58.81</v>
      </c>
      <c r="N204">
        <v>0</v>
      </c>
      <c r="O204" t="s">
        <v>19</v>
      </c>
      <c r="P204" t="s">
        <v>20</v>
      </c>
      <c r="Q204">
        <v>20220118</v>
      </c>
    </row>
    <row r="205" spans="1:17" x14ac:dyDescent="0.25">
      <c r="A205" t="s">
        <v>548</v>
      </c>
      <c r="B205" t="s">
        <v>429</v>
      </c>
      <c r="C205">
        <v>4</v>
      </c>
      <c r="D205">
        <v>20220119</v>
      </c>
      <c r="E205">
        <f t="shared" si="3"/>
        <v>1</v>
      </c>
      <c r="F205">
        <v>411100</v>
      </c>
      <c r="G205" t="s">
        <v>18</v>
      </c>
      <c r="H205" t="s">
        <v>237</v>
      </c>
      <c r="I205" t="s">
        <v>238</v>
      </c>
      <c r="J205">
        <v>334327</v>
      </c>
      <c r="K205">
        <v>20220119</v>
      </c>
      <c r="L205" t="s">
        <v>647</v>
      </c>
      <c r="M205">
        <v>0</v>
      </c>
      <c r="N205">
        <v>24.32</v>
      </c>
      <c r="O205" t="s">
        <v>19</v>
      </c>
      <c r="P205" t="s">
        <v>20</v>
      </c>
      <c r="Q205">
        <v>20220119</v>
      </c>
    </row>
    <row r="206" spans="1:17" x14ac:dyDescent="0.25">
      <c r="A206" t="s">
        <v>548</v>
      </c>
      <c r="B206" t="s">
        <v>429</v>
      </c>
      <c r="C206">
        <v>4</v>
      </c>
      <c r="D206">
        <v>20220119</v>
      </c>
      <c r="E206">
        <f t="shared" si="3"/>
        <v>1</v>
      </c>
      <c r="F206">
        <v>531105</v>
      </c>
      <c r="G206" t="s">
        <v>429</v>
      </c>
      <c r="H206" t="s">
        <v>401</v>
      </c>
      <c r="I206" t="s">
        <v>402</v>
      </c>
      <c r="J206">
        <v>334328</v>
      </c>
      <c r="K206">
        <v>20220119</v>
      </c>
      <c r="L206" t="s">
        <v>565</v>
      </c>
      <c r="M206">
        <v>24.32</v>
      </c>
      <c r="N206">
        <v>0</v>
      </c>
      <c r="O206" t="s">
        <v>19</v>
      </c>
      <c r="P206" t="s">
        <v>20</v>
      </c>
      <c r="Q206">
        <v>20220119</v>
      </c>
    </row>
    <row r="207" spans="1:17" x14ac:dyDescent="0.25">
      <c r="A207" t="s">
        <v>548</v>
      </c>
      <c r="B207" t="s">
        <v>429</v>
      </c>
      <c r="C207">
        <v>4</v>
      </c>
      <c r="D207">
        <v>20220119</v>
      </c>
      <c r="E207">
        <f t="shared" si="3"/>
        <v>1</v>
      </c>
      <c r="F207">
        <v>411100</v>
      </c>
      <c r="G207" t="s">
        <v>18</v>
      </c>
      <c r="H207" t="s">
        <v>320</v>
      </c>
      <c r="I207" t="s">
        <v>321</v>
      </c>
      <c r="J207">
        <v>334471</v>
      </c>
      <c r="K207">
        <v>20220119</v>
      </c>
      <c r="L207" t="s">
        <v>648</v>
      </c>
      <c r="M207">
        <v>0</v>
      </c>
      <c r="N207">
        <v>13.6</v>
      </c>
      <c r="O207" t="s">
        <v>22</v>
      </c>
      <c r="P207">
        <v>20220327</v>
      </c>
      <c r="Q207">
        <v>20220119</v>
      </c>
    </row>
    <row r="208" spans="1:17" x14ac:dyDescent="0.25">
      <c r="A208" t="s">
        <v>548</v>
      </c>
      <c r="B208" t="s">
        <v>429</v>
      </c>
      <c r="C208">
        <v>4</v>
      </c>
      <c r="D208">
        <v>20220119</v>
      </c>
      <c r="E208">
        <f t="shared" si="3"/>
        <v>1</v>
      </c>
      <c r="F208">
        <v>531105</v>
      </c>
      <c r="G208" t="s">
        <v>429</v>
      </c>
      <c r="H208" t="s">
        <v>401</v>
      </c>
      <c r="I208" t="s">
        <v>402</v>
      </c>
      <c r="J208">
        <v>334472</v>
      </c>
      <c r="K208">
        <v>20220119</v>
      </c>
      <c r="L208" t="s">
        <v>565</v>
      </c>
      <c r="M208">
        <v>13.6</v>
      </c>
      <c r="N208">
        <v>0</v>
      </c>
      <c r="O208" t="s">
        <v>19</v>
      </c>
      <c r="P208" t="s">
        <v>20</v>
      </c>
      <c r="Q208">
        <v>20220119</v>
      </c>
    </row>
    <row r="209" spans="1:17" x14ac:dyDescent="0.25">
      <c r="A209" t="s">
        <v>548</v>
      </c>
      <c r="B209" t="s">
        <v>429</v>
      </c>
      <c r="C209">
        <v>4</v>
      </c>
      <c r="D209">
        <v>20220120</v>
      </c>
      <c r="E209">
        <f t="shared" si="3"/>
        <v>1</v>
      </c>
      <c r="F209">
        <v>411100</v>
      </c>
      <c r="G209" t="s">
        <v>18</v>
      </c>
      <c r="H209" t="s">
        <v>81</v>
      </c>
      <c r="I209" t="s">
        <v>82</v>
      </c>
      <c r="J209">
        <v>334473</v>
      </c>
      <c r="K209">
        <v>20220120</v>
      </c>
      <c r="L209" t="s">
        <v>649</v>
      </c>
      <c r="M209">
        <v>0</v>
      </c>
      <c r="N209">
        <v>4</v>
      </c>
      <c r="O209" t="s">
        <v>19</v>
      </c>
      <c r="P209" t="s">
        <v>20</v>
      </c>
      <c r="Q209">
        <v>20220120</v>
      </c>
    </row>
    <row r="210" spans="1:17" x14ac:dyDescent="0.25">
      <c r="A210" t="s">
        <v>548</v>
      </c>
      <c r="B210" t="s">
        <v>429</v>
      </c>
      <c r="C210">
        <v>4</v>
      </c>
      <c r="D210">
        <v>20220120</v>
      </c>
      <c r="E210">
        <f t="shared" si="3"/>
        <v>1</v>
      </c>
      <c r="F210">
        <v>411100</v>
      </c>
      <c r="G210" t="s">
        <v>18</v>
      </c>
      <c r="H210" t="s">
        <v>154</v>
      </c>
      <c r="I210" t="s">
        <v>155</v>
      </c>
      <c r="J210">
        <v>334474</v>
      </c>
      <c r="K210">
        <v>20220120</v>
      </c>
      <c r="L210" t="s">
        <v>650</v>
      </c>
      <c r="M210">
        <v>0</v>
      </c>
      <c r="N210">
        <v>4</v>
      </c>
      <c r="O210" t="s">
        <v>22</v>
      </c>
      <c r="P210">
        <v>20230218</v>
      </c>
      <c r="Q210">
        <v>20220120</v>
      </c>
    </row>
    <row r="211" spans="1:17" x14ac:dyDescent="0.25">
      <c r="A211" t="s">
        <v>548</v>
      </c>
      <c r="B211" t="s">
        <v>429</v>
      </c>
      <c r="C211">
        <v>4</v>
      </c>
      <c r="D211">
        <v>20220120</v>
      </c>
      <c r="E211">
        <f t="shared" si="3"/>
        <v>1</v>
      </c>
      <c r="F211">
        <v>411100</v>
      </c>
      <c r="G211" t="s">
        <v>18</v>
      </c>
      <c r="H211" t="s">
        <v>237</v>
      </c>
      <c r="I211" t="s">
        <v>238</v>
      </c>
      <c r="J211">
        <v>334475</v>
      </c>
      <c r="K211">
        <v>20220120</v>
      </c>
      <c r="L211" t="s">
        <v>651</v>
      </c>
      <c r="M211">
        <v>0</v>
      </c>
      <c r="N211">
        <v>4</v>
      </c>
      <c r="O211" t="s">
        <v>19</v>
      </c>
      <c r="P211" t="s">
        <v>20</v>
      </c>
      <c r="Q211">
        <v>20220120</v>
      </c>
    </row>
    <row r="212" spans="1:17" x14ac:dyDescent="0.25">
      <c r="A212" t="s">
        <v>548</v>
      </c>
      <c r="B212" t="s">
        <v>429</v>
      </c>
      <c r="C212">
        <v>4</v>
      </c>
      <c r="D212">
        <v>20220120</v>
      </c>
      <c r="E212">
        <f t="shared" si="3"/>
        <v>1</v>
      </c>
      <c r="F212">
        <v>411100</v>
      </c>
      <c r="G212" t="s">
        <v>18</v>
      </c>
      <c r="H212" t="s">
        <v>85</v>
      </c>
      <c r="I212" t="s">
        <v>86</v>
      </c>
      <c r="J212">
        <v>334476</v>
      </c>
      <c r="K212">
        <v>20220120</v>
      </c>
      <c r="L212" t="s">
        <v>652</v>
      </c>
      <c r="M212">
        <v>0</v>
      </c>
      <c r="N212">
        <v>4</v>
      </c>
      <c r="O212" t="s">
        <v>23</v>
      </c>
      <c r="P212">
        <v>20220327</v>
      </c>
      <c r="Q212">
        <v>20220120</v>
      </c>
    </row>
    <row r="213" spans="1:17" x14ac:dyDescent="0.25">
      <c r="A213" t="s">
        <v>548</v>
      </c>
      <c r="B213" t="s">
        <v>429</v>
      </c>
      <c r="C213">
        <v>4</v>
      </c>
      <c r="D213">
        <v>20220120</v>
      </c>
      <c r="E213">
        <f t="shared" si="3"/>
        <v>1</v>
      </c>
      <c r="F213">
        <v>411100</v>
      </c>
      <c r="G213" t="s">
        <v>18</v>
      </c>
      <c r="H213" t="s">
        <v>259</v>
      </c>
      <c r="I213" t="s">
        <v>260</v>
      </c>
      <c r="J213">
        <v>334477</v>
      </c>
      <c r="K213">
        <v>20220120</v>
      </c>
      <c r="L213" t="s">
        <v>653</v>
      </c>
      <c r="M213">
        <v>0</v>
      </c>
      <c r="N213">
        <v>4</v>
      </c>
      <c r="O213" t="s">
        <v>19</v>
      </c>
      <c r="P213" t="s">
        <v>20</v>
      </c>
      <c r="Q213">
        <v>20220120</v>
      </c>
    </row>
    <row r="214" spans="1:17" x14ac:dyDescent="0.25">
      <c r="A214" t="s">
        <v>548</v>
      </c>
      <c r="B214" t="s">
        <v>429</v>
      </c>
      <c r="C214">
        <v>4</v>
      </c>
      <c r="D214">
        <v>20220120</v>
      </c>
      <c r="E214">
        <f t="shared" si="3"/>
        <v>1</v>
      </c>
      <c r="F214">
        <v>411100</v>
      </c>
      <c r="G214" t="s">
        <v>18</v>
      </c>
      <c r="H214" t="s">
        <v>187</v>
      </c>
      <c r="I214" t="s">
        <v>188</v>
      </c>
      <c r="J214">
        <v>334478</v>
      </c>
      <c r="K214">
        <v>20220120</v>
      </c>
      <c r="L214" t="s">
        <v>654</v>
      </c>
      <c r="M214">
        <v>0</v>
      </c>
      <c r="N214">
        <v>4</v>
      </c>
      <c r="O214" t="s">
        <v>22</v>
      </c>
      <c r="P214">
        <v>20230218</v>
      </c>
      <c r="Q214">
        <v>20220120</v>
      </c>
    </row>
    <row r="215" spans="1:17" x14ac:dyDescent="0.25">
      <c r="A215" t="s">
        <v>548</v>
      </c>
      <c r="B215" t="s">
        <v>429</v>
      </c>
      <c r="C215">
        <v>4</v>
      </c>
      <c r="D215">
        <v>20220120</v>
      </c>
      <c r="E215">
        <f t="shared" si="3"/>
        <v>1</v>
      </c>
      <c r="F215">
        <v>411100</v>
      </c>
      <c r="G215" t="s">
        <v>18</v>
      </c>
      <c r="H215" t="s">
        <v>187</v>
      </c>
      <c r="I215" t="s">
        <v>188</v>
      </c>
      <c r="J215">
        <v>334479</v>
      </c>
      <c r="K215">
        <v>20220120</v>
      </c>
      <c r="L215" t="s">
        <v>655</v>
      </c>
      <c r="M215">
        <v>0</v>
      </c>
      <c r="N215">
        <v>4</v>
      </c>
      <c r="O215" t="s">
        <v>22</v>
      </c>
      <c r="P215">
        <v>20230218</v>
      </c>
      <c r="Q215">
        <v>20220120</v>
      </c>
    </row>
    <row r="216" spans="1:17" x14ac:dyDescent="0.25">
      <c r="A216" t="s">
        <v>548</v>
      </c>
      <c r="B216" t="s">
        <v>429</v>
      </c>
      <c r="C216">
        <v>4</v>
      </c>
      <c r="D216">
        <v>20220120</v>
      </c>
      <c r="E216">
        <f t="shared" si="3"/>
        <v>1</v>
      </c>
      <c r="F216">
        <v>411100</v>
      </c>
      <c r="G216" t="s">
        <v>18</v>
      </c>
      <c r="H216" t="s">
        <v>263</v>
      </c>
      <c r="I216" t="s">
        <v>264</v>
      </c>
      <c r="J216">
        <v>334480</v>
      </c>
      <c r="K216">
        <v>20220120</v>
      </c>
      <c r="L216" t="s">
        <v>656</v>
      </c>
      <c r="M216">
        <v>0</v>
      </c>
      <c r="N216">
        <v>4</v>
      </c>
      <c r="O216" t="s">
        <v>19</v>
      </c>
      <c r="P216" t="s">
        <v>20</v>
      </c>
      <c r="Q216">
        <v>20220120</v>
      </c>
    </row>
    <row r="217" spans="1:17" x14ac:dyDescent="0.25">
      <c r="A217" t="s">
        <v>548</v>
      </c>
      <c r="B217" t="s">
        <v>429</v>
      </c>
      <c r="C217">
        <v>4</v>
      </c>
      <c r="D217">
        <v>20220120</v>
      </c>
      <c r="E217">
        <f t="shared" si="3"/>
        <v>1</v>
      </c>
      <c r="F217">
        <v>411100</v>
      </c>
      <c r="G217" t="s">
        <v>18</v>
      </c>
      <c r="H217" t="s">
        <v>657</v>
      </c>
      <c r="I217" t="s">
        <v>658</v>
      </c>
      <c r="J217">
        <v>334481</v>
      </c>
      <c r="K217">
        <v>20220120</v>
      </c>
      <c r="L217" t="s">
        <v>659</v>
      </c>
      <c r="M217">
        <v>0</v>
      </c>
      <c r="N217">
        <v>4</v>
      </c>
      <c r="O217" t="s">
        <v>19</v>
      </c>
      <c r="P217" t="s">
        <v>20</v>
      </c>
      <c r="Q217">
        <v>20220120</v>
      </c>
    </row>
    <row r="218" spans="1:17" x14ac:dyDescent="0.25">
      <c r="A218" t="s">
        <v>548</v>
      </c>
      <c r="B218" t="s">
        <v>429</v>
      </c>
      <c r="C218">
        <v>4</v>
      </c>
      <c r="D218">
        <v>20220120</v>
      </c>
      <c r="E218">
        <f t="shared" si="3"/>
        <v>1</v>
      </c>
      <c r="F218">
        <v>411100</v>
      </c>
      <c r="G218" t="s">
        <v>18</v>
      </c>
      <c r="H218" t="s">
        <v>660</v>
      </c>
      <c r="I218" t="s">
        <v>661</v>
      </c>
      <c r="J218">
        <v>334482</v>
      </c>
      <c r="K218">
        <v>20220120</v>
      </c>
      <c r="L218" t="s">
        <v>662</v>
      </c>
      <c r="M218">
        <v>0</v>
      </c>
      <c r="N218">
        <v>4</v>
      </c>
      <c r="O218" t="s">
        <v>19</v>
      </c>
      <c r="P218" t="s">
        <v>20</v>
      </c>
      <c r="Q218">
        <v>20220120</v>
      </c>
    </row>
    <row r="219" spans="1:17" x14ac:dyDescent="0.25">
      <c r="A219" t="s">
        <v>548</v>
      </c>
      <c r="B219" t="s">
        <v>429</v>
      </c>
      <c r="C219">
        <v>4</v>
      </c>
      <c r="D219">
        <v>20220120</v>
      </c>
      <c r="E219">
        <f t="shared" si="3"/>
        <v>1</v>
      </c>
      <c r="F219">
        <v>411100</v>
      </c>
      <c r="G219" t="s">
        <v>18</v>
      </c>
      <c r="H219" t="s">
        <v>217</v>
      </c>
      <c r="I219" t="s">
        <v>218</v>
      </c>
      <c r="J219">
        <v>334483</v>
      </c>
      <c r="K219">
        <v>20220120</v>
      </c>
      <c r="L219" t="s">
        <v>663</v>
      </c>
      <c r="M219">
        <v>0</v>
      </c>
      <c r="N219">
        <v>4</v>
      </c>
      <c r="O219" t="s">
        <v>19</v>
      </c>
      <c r="P219" t="s">
        <v>20</v>
      </c>
      <c r="Q219">
        <v>20220120</v>
      </c>
    </row>
    <row r="220" spans="1:17" x14ac:dyDescent="0.25">
      <c r="A220" t="s">
        <v>548</v>
      </c>
      <c r="B220" t="s">
        <v>429</v>
      </c>
      <c r="C220">
        <v>4</v>
      </c>
      <c r="D220">
        <v>20220120</v>
      </c>
      <c r="E220">
        <f t="shared" si="3"/>
        <v>1</v>
      </c>
      <c r="F220">
        <v>531105</v>
      </c>
      <c r="G220" t="s">
        <v>429</v>
      </c>
      <c r="H220" t="s">
        <v>401</v>
      </c>
      <c r="I220" t="s">
        <v>402</v>
      </c>
      <c r="J220">
        <v>334484</v>
      </c>
      <c r="K220">
        <v>20220120</v>
      </c>
      <c r="L220" t="s">
        <v>565</v>
      </c>
      <c r="M220">
        <v>44</v>
      </c>
      <c r="N220">
        <v>0</v>
      </c>
      <c r="O220" t="s">
        <v>19</v>
      </c>
      <c r="P220" t="s">
        <v>20</v>
      </c>
      <c r="Q220">
        <v>20220120</v>
      </c>
    </row>
    <row r="221" spans="1:17" x14ac:dyDescent="0.25">
      <c r="A221" t="s">
        <v>548</v>
      </c>
      <c r="B221" t="s">
        <v>429</v>
      </c>
      <c r="C221">
        <v>4</v>
      </c>
      <c r="D221">
        <v>20220121</v>
      </c>
      <c r="E221">
        <f t="shared" si="3"/>
        <v>1</v>
      </c>
      <c r="F221">
        <v>467100</v>
      </c>
      <c r="G221" t="s">
        <v>160</v>
      </c>
      <c r="H221" t="s">
        <v>219</v>
      </c>
      <c r="I221" t="s">
        <v>220</v>
      </c>
      <c r="J221" t="s">
        <v>664</v>
      </c>
      <c r="K221">
        <v>20220121</v>
      </c>
      <c r="L221" t="s">
        <v>665</v>
      </c>
      <c r="M221">
        <v>30</v>
      </c>
      <c r="N221">
        <v>0</v>
      </c>
      <c r="O221" t="s">
        <v>23</v>
      </c>
      <c r="P221">
        <v>20220217</v>
      </c>
      <c r="Q221">
        <v>20220121</v>
      </c>
    </row>
    <row r="222" spans="1:17" x14ac:dyDescent="0.25">
      <c r="A222" t="s">
        <v>548</v>
      </c>
      <c r="B222" t="s">
        <v>429</v>
      </c>
      <c r="C222">
        <v>4</v>
      </c>
      <c r="D222">
        <v>20220121</v>
      </c>
      <c r="E222">
        <f t="shared" si="3"/>
        <v>1</v>
      </c>
      <c r="F222">
        <v>531105</v>
      </c>
      <c r="G222" t="s">
        <v>429</v>
      </c>
      <c r="H222" t="s">
        <v>401</v>
      </c>
      <c r="I222" t="s">
        <v>402</v>
      </c>
      <c r="J222" t="s">
        <v>664</v>
      </c>
      <c r="K222">
        <v>20220121</v>
      </c>
      <c r="L222" t="s">
        <v>665</v>
      </c>
      <c r="M222">
        <v>0</v>
      </c>
      <c r="N222">
        <v>30</v>
      </c>
      <c r="O222" t="s">
        <v>19</v>
      </c>
      <c r="P222" t="s">
        <v>20</v>
      </c>
      <c r="Q222">
        <v>20220121</v>
      </c>
    </row>
    <row r="223" spans="1:17" x14ac:dyDescent="0.25">
      <c r="A223" t="s">
        <v>548</v>
      </c>
      <c r="B223" t="s">
        <v>429</v>
      </c>
      <c r="C223">
        <v>4</v>
      </c>
      <c r="D223">
        <v>20220121</v>
      </c>
      <c r="E223">
        <f t="shared" si="3"/>
        <v>1</v>
      </c>
      <c r="F223">
        <v>467100</v>
      </c>
      <c r="G223" t="s">
        <v>160</v>
      </c>
      <c r="H223" t="s">
        <v>219</v>
      </c>
      <c r="I223" t="s">
        <v>220</v>
      </c>
      <c r="J223" t="s">
        <v>666</v>
      </c>
      <c r="K223">
        <v>20220121</v>
      </c>
      <c r="L223" t="s">
        <v>667</v>
      </c>
      <c r="M223">
        <v>2.4500000000000002</v>
      </c>
      <c r="N223">
        <v>0</v>
      </c>
      <c r="O223" t="s">
        <v>23</v>
      </c>
      <c r="P223">
        <v>20220217</v>
      </c>
      <c r="Q223">
        <v>20220121</v>
      </c>
    </row>
    <row r="224" spans="1:17" x14ac:dyDescent="0.25">
      <c r="A224" t="s">
        <v>548</v>
      </c>
      <c r="B224" t="s">
        <v>429</v>
      </c>
      <c r="C224">
        <v>4</v>
      </c>
      <c r="D224">
        <v>20220121</v>
      </c>
      <c r="E224">
        <f t="shared" si="3"/>
        <v>1</v>
      </c>
      <c r="F224">
        <v>531105</v>
      </c>
      <c r="G224" t="s">
        <v>429</v>
      </c>
      <c r="H224" t="s">
        <v>401</v>
      </c>
      <c r="I224" t="s">
        <v>402</v>
      </c>
      <c r="J224" t="s">
        <v>666</v>
      </c>
      <c r="K224">
        <v>20220121</v>
      </c>
      <c r="L224" t="s">
        <v>667</v>
      </c>
      <c r="M224">
        <v>0</v>
      </c>
      <c r="N224">
        <v>2.4500000000000002</v>
      </c>
      <c r="O224" t="s">
        <v>19</v>
      </c>
      <c r="P224" t="s">
        <v>20</v>
      </c>
      <c r="Q224">
        <v>20220121</v>
      </c>
    </row>
    <row r="225" spans="1:17" x14ac:dyDescent="0.25">
      <c r="A225" t="s">
        <v>548</v>
      </c>
      <c r="B225" t="s">
        <v>429</v>
      </c>
      <c r="C225">
        <v>4</v>
      </c>
      <c r="D225">
        <v>20220121</v>
      </c>
      <c r="E225">
        <f t="shared" si="3"/>
        <v>1</v>
      </c>
      <c r="F225">
        <v>467100</v>
      </c>
      <c r="G225" t="s">
        <v>160</v>
      </c>
      <c r="H225" t="s">
        <v>668</v>
      </c>
      <c r="I225" t="s">
        <v>669</v>
      </c>
      <c r="J225" t="s">
        <v>670</v>
      </c>
      <c r="K225">
        <v>20220121</v>
      </c>
      <c r="L225" t="s">
        <v>671</v>
      </c>
      <c r="M225">
        <v>23.97</v>
      </c>
      <c r="N225">
        <v>0</v>
      </c>
      <c r="O225" t="s">
        <v>23</v>
      </c>
      <c r="P225">
        <v>20220212</v>
      </c>
      <c r="Q225">
        <v>20220121</v>
      </c>
    </row>
    <row r="226" spans="1:17" x14ac:dyDescent="0.25">
      <c r="A226" t="s">
        <v>548</v>
      </c>
      <c r="B226" t="s">
        <v>429</v>
      </c>
      <c r="C226">
        <v>4</v>
      </c>
      <c r="D226">
        <v>20220121</v>
      </c>
      <c r="E226">
        <f t="shared" si="3"/>
        <v>1</v>
      </c>
      <c r="F226">
        <v>531105</v>
      </c>
      <c r="G226" t="s">
        <v>429</v>
      </c>
      <c r="H226" t="s">
        <v>401</v>
      </c>
      <c r="I226" t="s">
        <v>402</v>
      </c>
      <c r="J226" t="s">
        <v>670</v>
      </c>
      <c r="K226">
        <v>20220121</v>
      </c>
      <c r="L226" t="s">
        <v>671</v>
      </c>
      <c r="M226">
        <v>0</v>
      </c>
      <c r="N226">
        <v>23.97</v>
      </c>
      <c r="O226" t="s">
        <v>19</v>
      </c>
      <c r="P226" t="s">
        <v>20</v>
      </c>
      <c r="Q226">
        <v>20220121</v>
      </c>
    </row>
    <row r="227" spans="1:17" x14ac:dyDescent="0.25">
      <c r="A227" t="s">
        <v>548</v>
      </c>
      <c r="B227" t="s">
        <v>429</v>
      </c>
      <c r="C227">
        <v>4</v>
      </c>
      <c r="D227">
        <v>20220124</v>
      </c>
      <c r="E227">
        <f t="shared" si="3"/>
        <v>1</v>
      </c>
      <c r="F227">
        <v>411100</v>
      </c>
      <c r="G227" t="s">
        <v>18</v>
      </c>
      <c r="H227" t="s">
        <v>352</v>
      </c>
      <c r="I227" t="s">
        <v>353</v>
      </c>
      <c r="J227">
        <v>334464</v>
      </c>
      <c r="K227">
        <v>20220124</v>
      </c>
      <c r="L227" t="s">
        <v>672</v>
      </c>
      <c r="M227">
        <v>0</v>
      </c>
      <c r="N227">
        <v>45</v>
      </c>
      <c r="O227" t="s">
        <v>19</v>
      </c>
      <c r="P227" t="s">
        <v>20</v>
      </c>
      <c r="Q227">
        <v>20220124</v>
      </c>
    </row>
    <row r="228" spans="1:17" x14ac:dyDescent="0.25">
      <c r="A228" t="s">
        <v>548</v>
      </c>
      <c r="B228" t="s">
        <v>429</v>
      </c>
      <c r="C228">
        <v>4</v>
      </c>
      <c r="D228">
        <v>20220124</v>
      </c>
      <c r="E228">
        <f t="shared" si="3"/>
        <v>1</v>
      </c>
      <c r="F228">
        <v>411100</v>
      </c>
      <c r="G228" t="s">
        <v>18</v>
      </c>
      <c r="H228" t="s">
        <v>233</v>
      </c>
      <c r="I228" t="s">
        <v>234</v>
      </c>
      <c r="J228">
        <v>334465</v>
      </c>
      <c r="K228">
        <v>20220124</v>
      </c>
      <c r="L228" t="s">
        <v>673</v>
      </c>
      <c r="M228">
        <v>0</v>
      </c>
      <c r="N228">
        <v>28.82</v>
      </c>
      <c r="O228" t="s">
        <v>22</v>
      </c>
      <c r="P228">
        <v>20220327</v>
      </c>
      <c r="Q228">
        <v>20220124</v>
      </c>
    </row>
    <row r="229" spans="1:17" x14ac:dyDescent="0.25">
      <c r="A229" t="s">
        <v>548</v>
      </c>
      <c r="B229" t="s">
        <v>429</v>
      </c>
      <c r="C229">
        <v>4</v>
      </c>
      <c r="D229">
        <v>20220124</v>
      </c>
      <c r="E229">
        <f t="shared" si="3"/>
        <v>1</v>
      </c>
      <c r="F229">
        <v>531105</v>
      </c>
      <c r="G229" t="s">
        <v>429</v>
      </c>
      <c r="H229" t="s">
        <v>401</v>
      </c>
      <c r="I229" t="s">
        <v>402</v>
      </c>
      <c r="J229">
        <v>334466</v>
      </c>
      <c r="K229">
        <v>20220124</v>
      </c>
      <c r="L229" t="s">
        <v>565</v>
      </c>
      <c r="M229">
        <v>73.819999999999993</v>
      </c>
      <c r="N229">
        <v>0</v>
      </c>
      <c r="O229" t="s">
        <v>19</v>
      </c>
      <c r="P229" t="s">
        <v>20</v>
      </c>
      <c r="Q229">
        <v>20220124</v>
      </c>
    </row>
    <row r="230" spans="1:17" x14ac:dyDescent="0.25">
      <c r="A230" t="s">
        <v>548</v>
      </c>
      <c r="B230" t="s">
        <v>429</v>
      </c>
      <c r="C230">
        <v>4</v>
      </c>
      <c r="D230">
        <v>20220124</v>
      </c>
      <c r="E230">
        <f t="shared" si="3"/>
        <v>1</v>
      </c>
      <c r="F230">
        <v>411100</v>
      </c>
      <c r="G230" t="s">
        <v>18</v>
      </c>
      <c r="H230" t="s">
        <v>674</v>
      </c>
      <c r="I230" t="s">
        <v>675</v>
      </c>
      <c r="J230">
        <v>334485</v>
      </c>
      <c r="K230">
        <v>20220124</v>
      </c>
      <c r="L230" t="s">
        <v>676</v>
      </c>
      <c r="M230">
        <v>0</v>
      </c>
      <c r="N230">
        <v>78.7</v>
      </c>
      <c r="O230" t="s">
        <v>22</v>
      </c>
      <c r="P230">
        <v>20230218</v>
      </c>
      <c r="Q230">
        <v>20220124</v>
      </c>
    </row>
    <row r="231" spans="1:17" x14ac:dyDescent="0.25">
      <c r="A231" t="s">
        <v>548</v>
      </c>
      <c r="B231" t="s">
        <v>429</v>
      </c>
      <c r="C231">
        <v>4</v>
      </c>
      <c r="D231">
        <v>20220124</v>
      </c>
      <c r="E231">
        <f t="shared" si="3"/>
        <v>1</v>
      </c>
      <c r="F231">
        <v>411100</v>
      </c>
      <c r="G231" t="s">
        <v>18</v>
      </c>
      <c r="H231" t="s">
        <v>237</v>
      </c>
      <c r="I231" t="s">
        <v>238</v>
      </c>
      <c r="J231">
        <v>334486</v>
      </c>
      <c r="K231">
        <v>20220124</v>
      </c>
      <c r="L231" t="s">
        <v>677</v>
      </c>
      <c r="M231">
        <v>0</v>
      </c>
      <c r="N231">
        <v>1.3</v>
      </c>
      <c r="O231" t="s">
        <v>19</v>
      </c>
      <c r="P231" t="s">
        <v>20</v>
      </c>
      <c r="Q231">
        <v>20220124</v>
      </c>
    </row>
    <row r="232" spans="1:17" x14ac:dyDescent="0.25">
      <c r="A232" t="s">
        <v>548</v>
      </c>
      <c r="B232" t="s">
        <v>429</v>
      </c>
      <c r="C232">
        <v>4</v>
      </c>
      <c r="D232">
        <v>20220124</v>
      </c>
      <c r="E232">
        <f t="shared" si="3"/>
        <v>1</v>
      </c>
      <c r="F232">
        <v>411010</v>
      </c>
      <c r="G232" t="s">
        <v>87</v>
      </c>
      <c r="H232" t="s">
        <v>678</v>
      </c>
      <c r="I232" t="s">
        <v>679</v>
      </c>
      <c r="J232">
        <v>334487</v>
      </c>
      <c r="K232">
        <v>20220124</v>
      </c>
      <c r="L232" t="s">
        <v>680</v>
      </c>
      <c r="M232">
        <v>0</v>
      </c>
      <c r="N232">
        <v>47.22</v>
      </c>
      <c r="O232" t="s">
        <v>22</v>
      </c>
      <c r="P232">
        <v>20230218</v>
      </c>
      <c r="Q232">
        <v>20220124</v>
      </c>
    </row>
    <row r="233" spans="1:17" x14ac:dyDescent="0.25">
      <c r="A233" t="s">
        <v>548</v>
      </c>
      <c r="B233" t="s">
        <v>429</v>
      </c>
      <c r="C233">
        <v>4</v>
      </c>
      <c r="D233">
        <v>20220124</v>
      </c>
      <c r="E233">
        <f t="shared" si="3"/>
        <v>1</v>
      </c>
      <c r="F233">
        <v>411100</v>
      </c>
      <c r="G233" t="s">
        <v>18</v>
      </c>
      <c r="H233" t="s">
        <v>291</v>
      </c>
      <c r="I233" t="s">
        <v>292</v>
      </c>
      <c r="J233">
        <v>334488</v>
      </c>
      <c r="K233">
        <v>20220124</v>
      </c>
      <c r="L233" t="s">
        <v>681</v>
      </c>
      <c r="M233">
        <v>0</v>
      </c>
      <c r="N233">
        <v>164.4</v>
      </c>
      <c r="O233" t="s">
        <v>19</v>
      </c>
      <c r="P233" t="s">
        <v>20</v>
      </c>
      <c r="Q233">
        <v>20220124</v>
      </c>
    </row>
    <row r="234" spans="1:17" x14ac:dyDescent="0.25">
      <c r="A234" t="s">
        <v>548</v>
      </c>
      <c r="B234" t="s">
        <v>429</v>
      </c>
      <c r="C234">
        <v>4</v>
      </c>
      <c r="D234">
        <v>20220124</v>
      </c>
      <c r="E234">
        <f t="shared" si="3"/>
        <v>1</v>
      </c>
      <c r="F234">
        <v>411100</v>
      </c>
      <c r="G234" t="s">
        <v>18</v>
      </c>
      <c r="H234" t="s">
        <v>291</v>
      </c>
      <c r="I234" t="s">
        <v>292</v>
      </c>
      <c r="J234">
        <v>334489</v>
      </c>
      <c r="K234">
        <v>20220124</v>
      </c>
      <c r="L234" t="s">
        <v>682</v>
      </c>
      <c r="M234">
        <v>0</v>
      </c>
      <c r="N234">
        <v>5.6</v>
      </c>
      <c r="O234" t="s">
        <v>19</v>
      </c>
      <c r="P234" t="s">
        <v>20</v>
      </c>
      <c r="Q234">
        <v>20220124</v>
      </c>
    </row>
    <row r="235" spans="1:17" x14ac:dyDescent="0.25">
      <c r="A235" t="s">
        <v>548</v>
      </c>
      <c r="B235" t="s">
        <v>429</v>
      </c>
      <c r="C235">
        <v>4</v>
      </c>
      <c r="D235">
        <v>20220124</v>
      </c>
      <c r="E235">
        <f t="shared" si="3"/>
        <v>1</v>
      </c>
      <c r="F235">
        <v>411100</v>
      </c>
      <c r="G235" t="s">
        <v>18</v>
      </c>
      <c r="H235" t="s">
        <v>320</v>
      </c>
      <c r="I235" t="s">
        <v>321</v>
      </c>
      <c r="J235">
        <v>334490</v>
      </c>
      <c r="K235">
        <v>20220124</v>
      </c>
      <c r="L235" t="s">
        <v>683</v>
      </c>
      <c r="M235">
        <v>0</v>
      </c>
      <c r="N235">
        <v>48.7</v>
      </c>
      <c r="O235" t="s">
        <v>19</v>
      </c>
      <c r="P235" t="s">
        <v>20</v>
      </c>
      <c r="Q235">
        <v>20220124</v>
      </c>
    </row>
    <row r="236" spans="1:17" x14ac:dyDescent="0.25">
      <c r="A236" t="s">
        <v>548</v>
      </c>
      <c r="B236" t="s">
        <v>429</v>
      </c>
      <c r="C236">
        <v>4</v>
      </c>
      <c r="D236">
        <v>20220124</v>
      </c>
      <c r="E236">
        <f t="shared" si="3"/>
        <v>1</v>
      </c>
      <c r="F236">
        <v>411100</v>
      </c>
      <c r="G236" t="s">
        <v>18</v>
      </c>
      <c r="H236" t="s">
        <v>352</v>
      </c>
      <c r="I236" t="s">
        <v>353</v>
      </c>
      <c r="J236">
        <v>334491</v>
      </c>
      <c r="K236">
        <v>20220124</v>
      </c>
      <c r="L236" t="s">
        <v>684</v>
      </c>
      <c r="M236">
        <v>0</v>
      </c>
      <c r="N236">
        <v>7.8</v>
      </c>
      <c r="O236" t="s">
        <v>19</v>
      </c>
      <c r="P236" t="s">
        <v>20</v>
      </c>
      <c r="Q236">
        <v>20220124</v>
      </c>
    </row>
    <row r="237" spans="1:17" x14ac:dyDescent="0.25">
      <c r="A237" t="s">
        <v>548</v>
      </c>
      <c r="B237" t="s">
        <v>429</v>
      </c>
      <c r="C237">
        <v>4</v>
      </c>
      <c r="D237">
        <v>20220124</v>
      </c>
      <c r="E237">
        <f t="shared" si="3"/>
        <v>1</v>
      </c>
      <c r="F237">
        <v>531105</v>
      </c>
      <c r="G237" t="s">
        <v>429</v>
      </c>
      <c r="H237" t="s">
        <v>401</v>
      </c>
      <c r="I237" t="s">
        <v>402</v>
      </c>
      <c r="J237">
        <v>334492</v>
      </c>
      <c r="K237">
        <v>20220124</v>
      </c>
      <c r="L237" t="s">
        <v>565</v>
      </c>
      <c r="M237">
        <v>353.72</v>
      </c>
      <c r="N237">
        <v>0</v>
      </c>
      <c r="O237" t="s">
        <v>19</v>
      </c>
      <c r="P237" t="s">
        <v>20</v>
      </c>
      <c r="Q237">
        <v>20220124</v>
      </c>
    </row>
    <row r="238" spans="1:17" x14ac:dyDescent="0.25">
      <c r="A238" t="s">
        <v>548</v>
      </c>
      <c r="B238" t="s">
        <v>429</v>
      </c>
      <c r="C238">
        <v>4</v>
      </c>
      <c r="D238">
        <v>20220125</v>
      </c>
      <c r="E238">
        <f t="shared" si="3"/>
        <v>1</v>
      </c>
      <c r="F238">
        <v>411100</v>
      </c>
      <c r="G238" t="s">
        <v>18</v>
      </c>
      <c r="H238" t="s">
        <v>311</v>
      </c>
      <c r="I238" t="s">
        <v>312</v>
      </c>
      <c r="J238">
        <v>121100115</v>
      </c>
      <c r="K238">
        <v>20220125</v>
      </c>
      <c r="L238" t="s">
        <v>685</v>
      </c>
      <c r="M238">
        <v>0</v>
      </c>
      <c r="N238">
        <v>70</v>
      </c>
      <c r="O238" t="s">
        <v>19</v>
      </c>
      <c r="P238" t="s">
        <v>20</v>
      </c>
      <c r="Q238">
        <v>20220125</v>
      </c>
    </row>
    <row r="239" spans="1:17" x14ac:dyDescent="0.25">
      <c r="A239" t="s">
        <v>548</v>
      </c>
      <c r="B239" t="s">
        <v>429</v>
      </c>
      <c r="C239">
        <v>4</v>
      </c>
      <c r="D239">
        <v>20220125</v>
      </c>
      <c r="E239">
        <f t="shared" si="3"/>
        <v>1</v>
      </c>
      <c r="F239">
        <v>411100</v>
      </c>
      <c r="G239" t="s">
        <v>18</v>
      </c>
      <c r="H239" t="s">
        <v>354</v>
      </c>
      <c r="I239" t="s">
        <v>355</v>
      </c>
      <c r="J239">
        <v>121120017</v>
      </c>
      <c r="K239">
        <v>20220125</v>
      </c>
      <c r="L239" t="s">
        <v>686</v>
      </c>
      <c r="M239">
        <v>0</v>
      </c>
      <c r="N239">
        <v>38.4</v>
      </c>
      <c r="O239" t="s">
        <v>23</v>
      </c>
      <c r="P239">
        <v>20220327</v>
      </c>
      <c r="Q239">
        <v>20220125</v>
      </c>
    </row>
    <row r="240" spans="1:17" x14ac:dyDescent="0.25">
      <c r="A240" t="s">
        <v>548</v>
      </c>
      <c r="B240" t="s">
        <v>429</v>
      </c>
      <c r="C240">
        <v>4</v>
      </c>
      <c r="D240">
        <v>20220125</v>
      </c>
      <c r="E240">
        <f t="shared" si="3"/>
        <v>1</v>
      </c>
      <c r="F240">
        <v>411000</v>
      </c>
      <c r="G240" t="s">
        <v>21</v>
      </c>
      <c r="H240" t="s">
        <v>271</v>
      </c>
      <c r="I240" t="s">
        <v>272</v>
      </c>
      <c r="J240">
        <v>334495</v>
      </c>
      <c r="K240">
        <v>20220125</v>
      </c>
      <c r="L240" t="s">
        <v>687</v>
      </c>
      <c r="M240">
        <v>0</v>
      </c>
      <c r="N240">
        <v>57.4</v>
      </c>
      <c r="O240" t="s">
        <v>19</v>
      </c>
      <c r="P240" t="s">
        <v>20</v>
      </c>
      <c r="Q240">
        <v>20220125</v>
      </c>
    </row>
    <row r="241" spans="1:17" x14ac:dyDescent="0.25">
      <c r="A241" t="s">
        <v>548</v>
      </c>
      <c r="B241" t="s">
        <v>429</v>
      </c>
      <c r="C241">
        <v>4</v>
      </c>
      <c r="D241">
        <v>20220125</v>
      </c>
      <c r="E241">
        <f t="shared" si="3"/>
        <v>1</v>
      </c>
      <c r="F241">
        <v>411100</v>
      </c>
      <c r="G241" t="s">
        <v>18</v>
      </c>
      <c r="H241" t="s">
        <v>688</v>
      </c>
      <c r="I241" t="s">
        <v>689</v>
      </c>
      <c r="J241">
        <v>334496</v>
      </c>
      <c r="K241">
        <v>20220125</v>
      </c>
      <c r="L241" t="s">
        <v>690</v>
      </c>
      <c r="M241">
        <v>0</v>
      </c>
      <c r="N241">
        <v>10</v>
      </c>
      <c r="O241" t="s">
        <v>22</v>
      </c>
      <c r="P241">
        <v>20220327</v>
      </c>
      <c r="Q241">
        <v>20220125</v>
      </c>
    </row>
    <row r="242" spans="1:17" x14ac:dyDescent="0.25">
      <c r="A242" t="s">
        <v>548</v>
      </c>
      <c r="B242" t="s">
        <v>429</v>
      </c>
      <c r="C242">
        <v>4</v>
      </c>
      <c r="D242">
        <v>20220125</v>
      </c>
      <c r="E242">
        <f t="shared" si="3"/>
        <v>1</v>
      </c>
      <c r="F242">
        <v>411100</v>
      </c>
      <c r="G242" t="s">
        <v>18</v>
      </c>
      <c r="H242" t="s">
        <v>233</v>
      </c>
      <c r="I242" t="s">
        <v>234</v>
      </c>
      <c r="J242">
        <v>334497</v>
      </c>
      <c r="K242">
        <v>20220125</v>
      </c>
      <c r="L242" t="s">
        <v>691</v>
      </c>
      <c r="M242">
        <v>0</v>
      </c>
      <c r="N242">
        <v>62.96</v>
      </c>
      <c r="O242" t="s">
        <v>22</v>
      </c>
      <c r="P242">
        <v>20230218</v>
      </c>
      <c r="Q242">
        <v>20220125</v>
      </c>
    </row>
    <row r="243" spans="1:17" x14ac:dyDescent="0.25">
      <c r="A243" t="s">
        <v>548</v>
      </c>
      <c r="B243" t="s">
        <v>429</v>
      </c>
      <c r="C243">
        <v>4</v>
      </c>
      <c r="D243">
        <v>20220125</v>
      </c>
      <c r="E243">
        <f t="shared" si="3"/>
        <v>1</v>
      </c>
      <c r="F243">
        <v>531105</v>
      </c>
      <c r="G243" t="s">
        <v>429</v>
      </c>
      <c r="H243" t="s">
        <v>401</v>
      </c>
      <c r="I243" t="s">
        <v>402</v>
      </c>
      <c r="J243">
        <v>334498</v>
      </c>
      <c r="K243">
        <v>20220125</v>
      </c>
      <c r="L243" t="s">
        <v>565</v>
      </c>
      <c r="M243">
        <v>238.76</v>
      </c>
      <c r="N243">
        <v>0</v>
      </c>
      <c r="O243" t="s">
        <v>19</v>
      </c>
      <c r="P243" t="s">
        <v>20</v>
      </c>
      <c r="Q243">
        <v>20220125</v>
      </c>
    </row>
    <row r="244" spans="1:17" x14ac:dyDescent="0.25">
      <c r="A244" t="s">
        <v>548</v>
      </c>
      <c r="B244" t="s">
        <v>429</v>
      </c>
      <c r="C244">
        <v>4</v>
      </c>
      <c r="D244">
        <v>20220126</v>
      </c>
      <c r="E244">
        <f t="shared" si="3"/>
        <v>1</v>
      </c>
      <c r="F244">
        <v>467100</v>
      </c>
      <c r="G244" t="s">
        <v>160</v>
      </c>
      <c r="H244" t="s">
        <v>219</v>
      </c>
      <c r="I244" t="s">
        <v>220</v>
      </c>
      <c r="J244" t="s">
        <v>692</v>
      </c>
      <c r="K244">
        <v>20220126</v>
      </c>
      <c r="L244" t="s">
        <v>693</v>
      </c>
      <c r="M244">
        <v>0</v>
      </c>
      <c r="N244">
        <v>6</v>
      </c>
      <c r="O244" t="s">
        <v>19</v>
      </c>
      <c r="P244" t="s">
        <v>20</v>
      </c>
      <c r="Q244">
        <v>20220126</v>
      </c>
    </row>
    <row r="245" spans="1:17" x14ac:dyDescent="0.25">
      <c r="A245" t="s">
        <v>548</v>
      </c>
      <c r="B245" t="s">
        <v>429</v>
      </c>
      <c r="C245">
        <v>4</v>
      </c>
      <c r="D245">
        <v>20220126</v>
      </c>
      <c r="E245">
        <f t="shared" si="3"/>
        <v>1</v>
      </c>
      <c r="F245">
        <v>531105</v>
      </c>
      <c r="G245" t="s">
        <v>429</v>
      </c>
      <c r="H245" t="s">
        <v>401</v>
      </c>
      <c r="I245" t="s">
        <v>402</v>
      </c>
      <c r="J245" t="s">
        <v>692</v>
      </c>
      <c r="K245">
        <v>20220126</v>
      </c>
      <c r="L245" t="s">
        <v>693</v>
      </c>
      <c r="M245">
        <v>6</v>
      </c>
      <c r="N245">
        <v>0</v>
      </c>
      <c r="O245" t="s">
        <v>19</v>
      </c>
      <c r="P245" t="s">
        <v>20</v>
      </c>
      <c r="Q245">
        <v>20220126</v>
      </c>
    </row>
    <row r="246" spans="1:17" x14ac:dyDescent="0.25">
      <c r="A246" t="s">
        <v>548</v>
      </c>
      <c r="B246" t="s">
        <v>429</v>
      </c>
      <c r="C246">
        <v>4</v>
      </c>
      <c r="D246">
        <v>20220126</v>
      </c>
      <c r="E246">
        <f t="shared" si="3"/>
        <v>1</v>
      </c>
      <c r="F246">
        <v>411100</v>
      </c>
      <c r="G246" t="s">
        <v>18</v>
      </c>
      <c r="H246" t="s">
        <v>694</v>
      </c>
      <c r="I246" t="s">
        <v>695</v>
      </c>
      <c r="J246">
        <v>334499</v>
      </c>
      <c r="K246">
        <v>20220126</v>
      </c>
      <c r="L246" t="s">
        <v>696</v>
      </c>
      <c r="M246">
        <v>0</v>
      </c>
      <c r="N246">
        <v>167.4</v>
      </c>
      <c r="O246" t="s">
        <v>19</v>
      </c>
      <c r="P246" t="s">
        <v>20</v>
      </c>
      <c r="Q246">
        <v>20220126</v>
      </c>
    </row>
    <row r="247" spans="1:17" x14ac:dyDescent="0.25">
      <c r="A247" t="s">
        <v>548</v>
      </c>
      <c r="B247" t="s">
        <v>429</v>
      </c>
      <c r="C247">
        <v>4</v>
      </c>
      <c r="D247">
        <v>20220126</v>
      </c>
      <c r="E247">
        <f t="shared" si="3"/>
        <v>1</v>
      </c>
      <c r="F247">
        <v>411100</v>
      </c>
      <c r="G247" t="s">
        <v>18</v>
      </c>
      <c r="H247" t="s">
        <v>373</v>
      </c>
      <c r="I247" t="s">
        <v>374</v>
      </c>
      <c r="J247">
        <v>121120043</v>
      </c>
      <c r="K247">
        <v>20220126</v>
      </c>
      <c r="L247" t="s">
        <v>697</v>
      </c>
      <c r="M247">
        <v>0</v>
      </c>
      <c r="N247">
        <v>12.2</v>
      </c>
      <c r="O247" t="s">
        <v>22</v>
      </c>
      <c r="P247">
        <v>20220327</v>
      </c>
      <c r="Q247">
        <v>20220126</v>
      </c>
    </row>
    <row r="248" spans="1:17" x14ac:dyDescent="0.25">
      <c r="A248" t="s">
        <v>548</v>
      </c>
      <c r="B248" t="s">
        <v>429</v>
      </c>
      <c r="C248">
        <v>4</v>
      </c>
      <c r="D248">
        <v>20220126</v>
      </c>
      <c r="E248">
        <f t="shared" si="3"/>
        <v>1</v>
      </c>
      <c r="F248">
        <v>411100</v>
      </c>
      <c r="G248" t="s">
        <v>18</v>
      </c>
      <c r="H248" t="s">
        <v>698</v>
      </c>
      <c r="I248" t="s">
        <v>699</v>
      </c>
      <c r="J248">
        <v>334501</v>
      </c>
      <c r="K248">
        <v>20220126</v>
      </c>
      <c r="L248" t="s">
        <v>700</v>
      </c>
      <c r="M248">
        <v>0</v>
      </c>
      <c r="N248">
        <v>28.7</v>
      </c>
      <c r="O248" t="s">
        <v>23</v>
      </c>
      <c r="P248">
        <v>20230228</v>
      </c>
      <c r="Q248">
        <v>20220126</v>
      </c>
    </row>
    <row r="249" spans="1:17" x14ac:dyDescent="0.25">
      <c r="A249" t="s">
        <v>548</v>
      </c>
      <c r="B249" t="s">
        <v>429</v>
      </c>
      <c r="C249">
        <v>4</v>
      </c>
      <c r="D249">
        <v>20220126</v>
      </c>
      <c r="E249">
        <f t="shared" si="3"/>
        <v>1</v>
      </c>
      <c r="F249">
        <v>411100</v>
      </c>
      <c r="G249" t="s">
        <v>18</v>
      </c>
      <c r="H249" t="s">
        <v>305</v>
      </c>
      <c r="I249" t="s">
        <v>306</v>
      </c>
      <c r="J249">
        <v>334502</v>
      </c>
      <c r="K249">
        <v>20220126</v>
      </c>
      <c r="L249" t="s">
        <v>701</v>
      </c>
      <c r="M249">
        <v>0</v>
      </c>
      <c r="N249">
        <v>20.7</v>
      </c>
      <c r="O249" t="s">
        <v>23</v>
      </c>
      <c r="P249">
        <v>20230329</v>
      </c>
      <c r="Q249">
        <v>20220126</v>
      </c>
    </row>
    <row r="250" spans="1:17" x14ac:dyDescent="0.25">
      <c r="A250" t="s">
        <v>548</v>
      </c>
      <c r="B250" t="s">
        <v>429</v>
      </c>
      <c r="C250">
        <v>4</v>
      </c>
      <c r="D250">
        <v>20220126</v>
      </c>
      <c r="E250">
        <f t="shared" si="3"/>
        <v>1</v>
      </c>
      <c r="F250">
        <v>531105</v>
      </c>
      <c r="G250" t="s">
        <v>429</v>
      </c>
      <c r="H250" t="s">
        <v>401</v>
      </c>
      <c r="I250" t="s">
        <v>402</v>
      </c>
      <c r="J250">
        <v>334503</v>
      </c>
      <c r="K250">
        <v>20220126</v>
      </c>
      <c r="L250" t="s">
        <v>565</v>
      </c>
      <c r="M250">
        <v>229</v>
      </c>
      <c r="N250">
        <v>0</v>
      </c>
      <c r="O250" t="s">
        <v>19</v>
      </c>
      <c r="P250" t="s">
        <v>20</v>
      </c>
      <c r="Q250">
        <v>20220126</v>
      </c>
    </row>
    <row r="251" spans="1:17" x14ac:dyDescent="0.25">
      <c r="A251" t="s">
        <v>548</v>
      </c>
      <c r="B251" t="s">
        <v>429</v>
      </c>
      <c r="C251">
        <v>4</v>
      </c>
      <c r="D251">
        <v>20220127</v>
      </c>
      <c r="E251">
        <f t="shared" si="3"/>
        <v>1</v>
      </c>
      <c r="F251">
        <v>411100</v>
      </c>
      <c r="G251" t="s">
        <v>18</v>
      </c>
      <c r="H251" t="s">
        <v>24</v>
      </c>
      <c r="I251" t="s">
        <v>25</v>
      </c>
      <c r="J251">
        <v>321120009</v>
      </c>
      <c r="K251">
        <v>20220127</v>
      </c>
      <c r="L251" t="s">
        <v>702</v>
      </c>
      <c r="M251">
        <v>0</v>
      </c>
      <c r="N251">
        <v>57.11</v>
      </c>
      <c r="O251" t="s">
        <v>22</v>
      </c>
      <c r="P251">
        <v>20220327</v>
      </c>
      <c r="Q251">
        <v>20220127</v>
      </c>
    </row>
    <row r="252" spans="1:17" x14ac:dyDescent="0.25">
      <c r="A252" t="s">
        <v>548</v>
      </c>
      <c r="B252" t="s">
        <v>429</v>
      </c>
      <c r="C252">
        <v>4</v>
      </c>
      <c r="D252">
        <v>20220127</v>
      </c>
      <c r="E252">
        <f t="shared" si="3"/>
        <v>1</v>
      </c>
      <c r="F252">
        <v>531105</v>
      </c>
      <c r="G252" t="s">
        <v>429</v>
      </c>
      <c r="H252" t="s">
        <v>401</v>
      </c>
      <c r="I252" t="s">
        <v>402</v>
      </c>
      <c r="J252">
        <v>334470</v>
      </c>
      <c r="K252">
        <v>20220127</v>
      </c>
      <c r="L252" t="s">
        <v>565</v>
      </c>
      <c r="M252">
        <v>57.11</v>
      </c>
      <c r="N252">
        <v>0</v>
      </c>
      <c r="O252" t="s">
        <v>19</v>
      </c>
      <c r="P252" t="s">
        <v>20</v>
      </c>
      <c r="Q252">
        <v>20220127</v>
      </c>
    </row>
    <row r="253" spans="1:17" x14ac:dyDescent="0.25">
      <c r="A253" t="s">
        <v>548</v>
      </c>
      <c r="B253" t="s">
        <v>429</v>
      </c>
      <c r="C253">
        <v>4</v>
      </c>
      <c r="D253">
        <v>20220127</v>
      </c>
      <c r="E253">
        <f t="shared" si="3"/>
        <v>1</v>
      </c>
      <c r="F253">
        <v>411100</v>
      </c>
      <c r="G253" t="s">
        <v>18</v>
      </c>
      <c r="H253" t="s">
        <v>24</v>
      </c>
      <c r="I253" t="s">
        <v>25</v>
      </c>
      <c r="J253">
        <v>334504</v>
      </c>
      <c r="K253">
        <v>20220127</v>
      </c>
      <c r="L253" t="s">
        <v>703</v>
      </c>
      <c r="M253">
        <v>0</v>
      </c>
      <c r="N253">
        <v>70</v>
      </c>
      <c r="O253" t="s">
        <v>19</v>
      </c>
      <c r="P253" t="s">
        <v>20</v>
      </c>
      <c r="Q253">
        <v>20220127</v>
      </c>
    </row>
    <row r="254" spans="1:17" x14ac:dyDescent="0.25">
      <c r="A254" t="s">
        <v>548</v>
      </c>
      <c r="B254" t="s">
        <v>429</v>
      </c>
      <c r="C254">
        <v>4</v>
      </c>
      <c r="D254">
        <v>20220127</v>
      </c>
      <c r="E254">
        <f t="shared" si="3"/>
        <v>1</v>
      </c>
      <c r="F254">
        <v>531105</v>
      </c>
      <c r="G254" t="s">
        <v>429</v>
      </c>
      <c r="H254" t="s">
        <v>401</v>
      </c>
      <c r="I254" t="s">
        <v>402</v>
      </c>
      <c r="J254">
        <v>334505</v>
      </c>
      <c r="K254">
        <v>20220127</v>
      </c>
      <c r="L254" t="s">
        <v>565</v>
      </c>
      <c r="M254">
        <v>70</v>
      </c>
      <c r="N254">
        <v>0</v>
      </c>
      <c r="O254" t="s">
        <v>19</v>
      </c>
      <c r="P254" t="s">
        <v>20</v>
      </c>
      <c r="Q254">
        <v>20220127</v>
      </c>
    </row>
    <row r="255" spans="1:17" x14ac:dyDescent="0.25">
      <c r="A255" t="s">
        <v>548</v>
      </c>
      <c r="B255" t="s">
        <v>429</v>
      </c>
      <c r="C255">
        <v>4</v>
      </c>
      <c r="D255">
        <v>20220127</v>
      </c>
      <c r="E255">
        <f t="shared" si="3"/>
        <v>1</v>
      </c>
      <c r="F255">
        <v>467100</v>
      </c>
      <c r="G255" t="s">
        <v>160</v>
      </c>
      <c r="H255" t="s">
        <v>219</v>
      </c>
      <c r="I255" t="s">
        <v>220</v>
      </c>
      <c r="J255" t="s">
        <v>704</v>
      </c>
      <c r="K255">
        <v>20220127</v>
      </c>
      <c r="L255" t="s">
        <v>705</v>
      </c>
      <c r="M255">
        <v>10</v>
      </c>
      <c r="N255">
        <v>0</v>
      </c>
      <c r="O255" t="s">
        <v>23</v>
      </c>
      <c r="P255">
        <v>20220207</v>
      </c>
      <c r="Q255">
        <v>20220127</v>
      </c>
    </row>
    <row r="256" spans="1:17" x14ac:dyDescent="0.25">
      <c r="A256" t="s">
        <v>548</v>
      </c>
      <c r="B256" t="s">
        <v>429</v>
      </c>
      <c r="C256">
        <v>4</v>
      </c>
      <c r="D256">
        <v>20220127</v>
      </c>
      <c r="E256">
        <f t="shared" si="3"/>
        <v>1</v>
      </c>
      <c r="F256">
        <v>531105</v>
      </c>
      <c r="G256" t="s">
        <v>429</v>
      </c>
      <c r="H256" t="s">
        <v>401</v>
      </c>
      <c r="I256" t="s">
        <v>402</v>
      </c>
      <c r="J256" t="s">
        <v>704</v>
      </c>
      <c r="K256">
        <v>20220127</v>
      </c>
      <c r="L256" t="s">
        <v>705</v>
      </c>
      <c r="M256">
        <v>0</v>
      </c>
      <c r="N256">
        <v>10</v>
      </c>
      <c r="O256" t="s">
        <v>19</v>
      </c>
      <c r="P256" t="s">
        <v>20</v>
      </c>
      <c r="Q256">
        <v>20220127</v>
      </c>
    </row>
    <row r="257" spans="1:17" x14ac:dyDescent="0.25">
      <c r="A257" t="s">
        <v>548</v>
      </c>
      <c r="B257" t="s">
        <v>429</v>
      </c>
      <c r="C257">
        <v>4</v>
      </c>
      <c r="D257">
        <v>20220127</v>
      </c>
      <c r="E257">
        <f t="shared" si="3"/>
        <v>1</v>
      </c>
      <c r="F257">
        <v>411100</v>
      </c>
      <c r="G257" t="s">
        <v>18</v>
      </c>
      <c r="H257" t="s">
        <v>150</v>
      </c>
      <c r="I257" t="s">
        <v>151</v>
      </c>
      <c r="J257">
        <v>334839</v>
      </c>
      <c r="K257">
        <v>20220127</v>
      </c>
      <c r="L257" t="s">
        <v>706</v>
      </c>
      <c r="M257">
        <v>0</v>
      </c>
      <c r="N257">
        <v>65.77</v>
      </c>
      <c r="O257" t="s">
        <v>19</v>
      </c>
      <c r="P257" t="s">
        <v>20</v>
      </c>
      <c r="Q257">
        <v>20220127</v>
      </c>
    </row>
    <row r="258" spans="1:17" x14ac:dyDescent="0.25">
      <c r="A258" t="s">
        <v>548</v>
      </c>
      <c r="B258" t="s">
        <v>429</v>
      </c>
      <c r="C258">
        <v>4</v>
      </c>
      <c r="D258">
        <v>20220127</v>
      </c>
      <c r="E258">
        <f t="shared" si="3"/>
        <v>1</v>
      </c>
      <c r="F258">
        <v>531105</v>
      </c>
      <c r="G258" t="s">
        <v>429</v>
      </c>
      <c r="H258" t="s">
        <v>401</v>
      </c>
      <c r="I258" t="s">
        <v>402</v>
      </c>
      <c r="J258">
        <v>334840</v>
      </c>
      <c r="K258">
        <v>20220127</v>
      </c>
      <c r="L258" t="s">
        <v>565</v>
      </c>
      <c r="M258">
        <v>65.77</v>
      </c>
      <c r="N258">
        <v>0</v>
      </c>
      <c r="O258" t="s">
        <v>19</v>
      </c>
      <c r="P258" t="s">
        <v>20</v>
      </c>
      <c r="Q258">
        <v>20220127</v>
      </c>
    </row>
    <row r="259" spans="1:17" x14ac:dyDescent="0.25">
      <c r="A259" t="s">
        <v>548</v>
      </c>
      <c r="B259" t="s">
        <v>429</v>
      </c>
      <c r="C259">
        <v>4</v>
      </c>
      <c r="D259">
        <v>20220128</v>
      </c>
      <c r="E259">
        <f t="shared" ref="E259:E322" si="4">VALUE(MID(D259,5,2))</f>
        <v>1</v>
      </c>
      <c r="F259">
        <v>467100</v>
      </c>
      <c r="G259" t="s">
        <v>160</v>
      </c>
      <c r="H259" t="s">
        <v>219</v>
      </c>
      <c r="I259" t="s">
        <v>220</v>
      </c>
      <c r="J259" t="s">
        <v>707</v>
      </c>
      <c r="K259">
        <v>20220128</v>
      </c>
      <c r="L259" t="s">
        <v>708</v>
      </c>
      <c r="M259">
        <v>0</v>
      </c>
      <c r="N259">
        <v>5.9</v>
      </c>
      <c r="O259" t="s">
        <v>23</v>
      </c>
      <c r="P259">
        <v>20220207</v>
      </c>
      <c r="Q259">
        <v>20220128</v>
      </c>
    </row>
    <row r="260" spans="1:17" x14ac:dyDescent="0.25">
      <c r="A260" t="s">
        <v>548</v>
      </c>
      <c r="B260" t="s">
        <v>429</v>
      </c>
      <c r="C260">
        <v>4</v>
      </c>
      <c r="D260">
        <v>20220128</v>
      </c>
      <c r="E260">
        <f t="shared" si="4"/>
        <v>1</v>
      </c>
      <c r="F260">
        <v>531105</v>
      </c>
      <c r="G260" t="s">
        <v>429</v>
      </c>
      <c r="H260" t="s">
        <v>401</v>
      </c>
      <c r="I260" t="s">
        <v>402</v>
      </c>
      <c r="J260" t="s">
        <v>707</v>
      </c>
      <c r="K260">
        <v>20220128</v>
      </c>
      <c r="L260" t="s">
        <v>708</v>
      </c>
      <c r="M260">
        <v>5.9</v>
      </c>
      <c r="N260">
        <v>0</v>
      </c>
      <c r="O260" t="s">
        <v>19</v>
      </c>
      <c r="P260" t="s">
        <v>20</v>
      </c>
      <c r="Q260">
        <v>20220128</v>
      </c>
    </row>
    <row r="261" spans="1:17" x14ac:dyDescent="0.25">
      <c r="A261" t="s">
        <v>548</v>
      </c>
      <c r="B261" t="s">
        <v>429</v>
      </c>
      <c r="C261">
        <v>4</v>
      </c>
      <c r="D261">
        <v>20220128</v>
      </c>
      <c r="E261">
        <f t="shared" si="4"/>
        <v>1</v>
      </c>
      <c r="F261">
        <v>411100</v>
      </c>
      <c r="G261" t="s">
        <v>18</v>
      </c>
      <c r="H261" t="s">
        <v>130</v>
      </c>
      <c r="I261" t="s">
        <v>131</v>
      </c>
      <c r="J261">
        <v>334841</v>
      </c>
      <c r="K261">
        <v>20220128</v>
      </c>
      <c r="L261" t="s">
        <v>709</v>
      </c>
      <c r="M261">
        <v>0</v>
      </c>
      <c r="N261">
        <v>96.81</v>
      </c>
      <c r="O261" t="s">
        <v>22</v>
      </c>
      <c r="P261">
        <v>20220327</v>
      </c>
      <c r="Q261">
        <v>20220128</v>
      </c>
    </row>
    <row r="262" spans="1:17" x14ac:dyDescent="0.25">
      <c r="A262" t="s">
        <v>548</v>
      </c>
      <c r="B262" t="s">
        <v>429</v>
      </c>
      <c r="C262">
        <v>4</v>
      </c>
      <c r="D262">
        <v>20220128</v>
      </c>
      <c r="E262">
        <f t="shared" si="4"/>
        <v>1</v>
      </c>
      <c r="F262">
        <v>411100</v>
      </c>
      <c r="G262" t="s">
        <v>18</v>
      </c>
      <c r="H262" t="s">
        <v>710</v>
      </c>
      <c r="I262" t="s">
        <v>711</v>
      </c>
      <c r="J262">
        <v>334842</v>
      </c>
      <c r="K262">
        <v>20220128</v>
      </c>
      <c r="L262" t="s">
        <v>712</v>
      </c>
      <c r="M262">
        <v>0</v>
      </c>
      <c r="N262">
        <v>148.30000000000001</v>
      </c>
      <c r="O262" t="s">
        <v>19</v>
      </c>
      <c r="P262" t="s">
        <v>20</v>
      </c>
      <c r="Q262">
        <v>20220128</v>
      </c>
    </row>
    <row r="263" spans="1:17" x14ac:dyDescent="0.25">
      <c r="A263" t="s">
        <v>548</v>
      </c>
      <c r="B263" t="s">
        <v>429</v>
      </c>
      <c r="C263">
        <v>4</v>
      </c>
      <c r="D263">
        <v>20220128</v>
      </c>
      <c r="E263">
        <f t="shared" si="4"/>
        <v>1</v>
      </c>
      <c r="F263">
        <v>531105</v>
      </c>
      <c r="G263" t="s">
        <v>429</v>
      </c>
      <c r="H263" t="s">
        <v>401</v>
      </c>
      <c r="I263" t="s">
        <v>402</v>
      </c>
      <c r="J263">
        <v>334843</v>
      </c>
      <c r="K263">
        <v>20220128</v>
      </c>
      <c r="L263" t="s">
        <v>565</v>
      </c>
      <c r="M263">
        <v>245.11</v>
      </c>
      <c r="N263">
        <v>0</v>
      </c>
      <c r="O263" t="s">
        <v>19</v>
      </c>
      <c r="P263" t="s">
        <v>20</v>
      </c>
      <c r="Q263">
        <v>20220128</v>
      </c>
    </row>
    <row r="264" spans="1:17" x14ac:dyDescent="0.25">
      <c r="A264" t="s">
        <v>548</v>
      </c>
      <c r="B264" t="s">
        <v>429</v>
      </c>
      <c r="C264">
        <v>4</v>
      </c>
      <c r="D264">
        <v>20220131</v>
      </c>
      <c r="E264">
        <f t="shared" si="4"/>
        <v>1</v>
      </c>
      <c r="F264">
        <v>467100</v>
      </c>
      <c r="G264" t="s">
        <v>160</v>
      </c>
      <c r="H264" t="s">
        <v>490</v>
      </c>
      <c r="I264" t="s">
        <v>491</v>
      </c>
      <c r="J264" t="s">
        <v>713</v>
      </c>
      <c r="K264">
        <v>20220131</v>
      </c>
      <c r="L264" t="s">
        <v>714</v>
      </c>
      <c r="M264">
        <v>50.25</v>
      </c>
      <c r="N264">
        <v>0</v>
      </c>
      <c r="O264" t="s">
        <v>23</v>
      </c>
      <c r="P264">
        <v>20220207</v>
      </c>
      <c r="Q264">
        <v>20220131</v>
      </c>
    </row>
    <row r="265" spans="1:17" x14ac:dyDescent="0.25">
      <c r="A265" t="s">
        <v>548</v>
      </c>
      <c r="B265" t="s">
        <v>429</v>
      </c>
      <c r="C265">
        <v>4</v>
      </c>
      <c r="D265">
        <v>20220131</v>
      </c>
      <c r="E265">
        <f t="shared" si="4"/>
        <v>1</v>
      </c>
      <c r="F265">
        <v>531105</v>
      </c>
      <c r="G265" t="s">
        <v>429</v>
      </c>
      <c r="H265" t="s">
        <v>401</v>
      </c>
      <c r="I265" t="s">
        <v>402</v>
      </c>
      <c r="J265" t="s">
        <v>713</v>
      </c>
      <c r="K265">
        <v>20220131</v>
      </c>
      <c r="L265" t="s">
        <v>714</v>
      </c>
      <c r="M265">
        <v>0</v>
      </c>
      <c r="N265">
        <v>50.25</v>
      </c>
      <c r="O265" t="s">
        <v>19</v>
      </c>
      <c r="P265" t="s">
        <v>20</v>
      </c>
      <c r="Q265">
        <v>20220131</v>
      </c>
    </row>
    <row r="266" spans="1:17" x14ac:dyDescent="0.25">
      <c r="A266" t="s">
        <v>715</v>
      </c>
      <c r="B266" t="s">
        <v>432</v>
      </c>
      <c r="C266">
        <v>5</v>
      </c>
      <c r="D266">
        <v>20220103</v>
      </c>
      <c r="E266">
        <f t="shared" si="4"/>
        <v>1</v>
      </c>
      <c r="F266">
        <v>401000</v>
      </c>
      <c r="G266" t="s">
        <v>41</v>
      </c>
      <c r="H266" t="s">
        <v>52</v>
      </c>
      <c r="I266" t="s">
        <v>53</v>
      </c>
      <c r="J266" t="s">
        <v>716</v>
      </c>
      <c r="K266">
        <v>20220103</v>
      </c>
      <c r="L266" t="s">
        <v>717</v>
      </c>
      <c r="M266">
        <v>126.34</v>
      </c>
      <c r="N266">
        <v>0</v>
      </c>
      <c r="O266" t="s">
        <v>23</v>
      </c>
      <c r="P266">
        <v>20220321</v>
      </c>
      <c r="Q266">
        <v>20220103</v>
      </c>
    </row>
    <row r="267" spans="1:17" x14ac:dyDescent="0.25">
      <c r="A267" t="s">
        <v>715</v>
      </c>
      <c r="B267" t="s">
        <v>432</v>
      </c>
      <c r="C267">
        <v>5</v>
      </c>
      <c r="D267">
        <v>20220103</v>
      </c>
      <c r="E267">
        <f t="shared" si="4"/>
        <v>1</v>
      </c>
      <c r="F267">
        <v>512200</v>
      </c>
      <c r="G267" t="s">
        <v>432</v>
      </c>
      <c r="H267" t="s">
        <v>401</v>
      </c>
      <c r="I267" t="s">
        <v>402</v>
      </c>
      <c r="J267" t="s">
        <v>716</v>
      </c>
      <c r="K267">
        <v>20220103</v>
      </c>
      <c r="L267" t="s">
        <v>717</v>
      </c>
      <c r="M267">
        <v>0</v>
      </c>
      <c r="N267">
        <v>126.34</v>
      </c>
      <c r="O267" t="s">
        <v>19</v>
      </c>
      <c r="P267" t="s">
        <v>20</v>
      </c>
      <c r="Q267">
        <v>20220103</v>
      </c>
    </row>
    <row r="268" spans="1:17" x14ac:dyDescent="0.25">
      <c r="A268" t="s">
        <v>715</v>
      </c>
      <c r="B268" t="s">
        <v>432</v>
      </c>
      <c r="C268">
        <v>5</v>
      </c>
      <c r="D268">
        <v>20220103</v>
      </c>
      <c r="E268">
        <f t="shared" si="4"/>
        <v>1</v>
      </c>
      <c r="F268">
        <v>401000</v>
      </c>
      <c r="G268" t="s">
        <v>41</v>
      </c>
      <c r="H268" t="s">
        <v>52</v>
      </c>
      <c r="I268" t="s">
        <v>53</v>
      </c>
      <c r="J268" t="s">
        <v>718</v>
      </c>
      <c r="K268">
        <v>20220103</v>
      </c>
      <c r="L268" t="s">
        <v>719</v>
      </c>
      <c r="M268">
        <v>332.41</v>
      </c>
      <c r="N268">
        <v>0</v>
      </c>
      <c r="O268" t="s">
        <v>23</v>
      </c>
      <c r="P268">
        <v>20220321</v>
      </c>
      <c r="Q268">
        <v>20220103</v>
      </c>
    </row>
    <row r="269" spans="1:17" x14ac:dyDescent="0.25">
      <c r="A269" t="s">
        <v>715</v>
      </c>
      <c r="B269" t="s">
        <v>432</v>
      </c>
      <c r="C269">
        <v>5</v>
      </c>
      <c r="D269">
        <v>20220103</v>
      </c>
      <c r="E269">
        <f t="shared" si="4"/>
        <v>1</v>
      </c>
      <c r="F269">
        <v>512200</v>
      </c>
      <c r="G269" t="s">
        <v>432</v>
      </c>
      <c r="H269" t="s">
        <v>401</v>
      </c>
      <c r="I269" t="s">
        <v>402</v>
      </c>
      <c r="J269" t="s">
        <v>718</v>
      </c>
      <c r="K269">
        <v>20220103</v>
      </c>
      <c r="L269" t="s">
        <v>719</v>
      </c>
      <c r="M269">
        <v>0</v>
      </c>
      <c r="N269">
        <v>332.41</v>
      </c>
      <c r="O269" t="s">
        <v>19</v>
      </c>
      <c r="P269" t="s">
        <v>20</v>
      </c>
      <c r="Q269">
        <v>20220103</v>
      </c>
    </row>
    <row r="270" spans="1:17" x14ac:dyDescent="0.25">
      <c r="A270" t="s">
        <v>715</v>
      </c>
      <c r="B270" t="s">
        <v>432</v>
      </c>
      <c r="C270">
        <v>5</v>
      </c>
      <c r="D270">
        <v>20220103</v>
      </c>
      <c r="E270">
        <f t="shared" si="4"/>
        <v>1</v>
      </c>
      <c r="F270">
        <v>401000</v>
      </c>
      <c r="G270" t="s">
        <v>41</v>
      </c>
      <c r="H270" t="s">
        <v>52</v>
      </c>
      <c r="I270" t="s">
        <v>53</v>
      </c>
      <c r="J270" t="s">
        <v>720</v>
      </c>
      <c r="K270">
        <v>20220103</v>
      </c>
      <c r="L270" t="s">
        <v>721</v>
      </c>
      <c r="M270">
        <v>62.4</v>
      </c>
      <c r="N270">
        <v>0</v>
      </c>
      <c r="O270" t="s">
        <v>23</v>
      </c>
      <c r="P270">
        <v>20220321</v>
      </c>
      <c r="Q270">
        <v>20220103</v>
      </c>
    </row>
    <row r="271" spans="1:17" x14ac:dyDescent="0.25">
      <c r="A271" t="s">
        <v>715</v>
      </c>
      <c r="B271" t="s">
        <v>432</v>
      </c>
      <c r="C271">
        <v>5</v>
      </c>
      <c r="D271">
        <v>20220103</v>
      </c>
      <c r="E271">
        <f t="shared" si="4"/>
        <v>1</v>
      </c>
      <c r="F271">
        <v>512200</v>
      </c>
      <c r="G271" t="s">
        <v>432</v>
      </c>
      <c r="H271" t="s">
        <v>401</v>
      </c>
      <c r="I271" t="s">
        <v>402</v>
      </c>
      <c r="J271" t="s">
        <v>720</v>
      </c>
      <c r="K271">
        <v>20220103</v>
      </c>
      <c r="L271" t="s">
        <v>721</v>
      </c>
      <c r="M271">
        <v>0</v>
      </c>
      <c r="N271">
        <v>62.4</v>
      </c>
      <c r="O271" t="s">
        <v>19</v>
      </c>
      <c r="P271" t="s">
        <v>20</v>
      </c>
      <c r="Q271">
        <v>20220103</v>
      </c>
    </row>
    <row r="272" spans="1:17" x14ac:dyDescent="0.25">
      <c r="A272" t="s">
        <v>715</v>
      </c>
      <c r="B272" t="s">
        <v>432</v>
      </c>
      <c r="C272">
        <v>5</v>
      </c>
      <c r="D272">
        <v>20220106</v>
      </c>
      <c r="E272">
        <f t="shared" si="4"/>
        <v>1</v>
      </c>
      <c r="F272">
        <v>627400</v>
      </c>
      <c r="G272" t="s">
        <v>722</v>
      </c>
      <c r="H272" t="s">
        <v>401</v>
      </c>
      <c r="I272" t="s">
        <v>402</v>
      </c>
      <c r="J272" t="s">
        <v>723</v>
      </c>
      <c r="K272">
        <v>20220106</v>
      </c>
      <c r="L272" t="s">
        <v>724</v>
      </c>
      <c r="M272">
        <v>3.75</v>
      </c>
      <c r="N272">
        <v>0</v>
      </c>
      <c r="O272" t="s">
        <v>19</v>
      </c>
      <c r="P272" t="s">
        <v>20</v>
      </c>
      <c r="Q272">
        <v>20220106</v>
      </c>
    </row>
    <row r="273" spans="1:17" x14ac:dyDescent="0.25">
      <c r="A273" t="s">
        <v>715</v>
      </c>
      <c r="B273" t="s">
        <v>432</v>
      </c>
      <c r="C273">
        <v>5</v>
      </c>
      <c r="D273">
        <v>20220106</v>
      </c>
      <c r="E273">
        <f t="shared" si="4"/>
        <v>1</v>
      </c>
      <c r="F273">
        <v>512200</v>
      </c>
      <c r="G273" t="s">
        <v>432</v>
      </c>
      <c r="H273" t="s">
        <v>401</v>
      </c>
      <c r="I273" t="s">
        <v>402</v>
      </c>
      <c r="J273" t="s">
        <v>723</v>
      </c>
      <c r="K273">
        <v>20220106</v>
      </c>
      <c r="L273" t="s">
        <v>724</v>
      </c>
      <c r="M273">
        <v>0</v>
      </c>
      <c r="N273">
        <v>3.75</v>
      </c>
      <c r="O273" t="s">
        <v>19</v>
      </c>
      <c r="P273" t="s">
        <v>20</v>
      </c>
      <c r="Q273">
        <v>20220106</v>
      </c>
    </row>
    <row r="274" spans="1:17" x14ac:dyDescent="0.25">
      <c r="A274" t="s">
        <v>715</v>
      </c>
      <c r="B274" t="s">
        <v>432</v>
      </c>
      <c r="C274">
        <v>5</v>
      </c>
      <c r="D274">
        <v>20220106</v>
      </c>
      <c r="E274">
        <f t="shared" si="4"/>
        <v>1</v>
      </c>
      <c r="F274">
        <v>627400</v>
      </c>
      <c r="G274" t="s">
        <v>722</v>
      </c>
      <c r="H274" t="s">
        <v>401</v>
      </c>
      <c r="I274" t="s">
        <v>402</v>
      </c>
      <c r="J274" t="s">
        <v>725</v>
      </c>
      <c r="K274">
        <v>20220106</v>
      </c>
      <c r="L274" t="s">
        <v>724</v>
      </c>
      <c r="M274">
        <v>5.25</v>
      </c>
      <c r="N274">
        <v>0</v>
      </c>
      <c r="O274" t="s">
        <v>19</v>
      </c>
      <c r="P274" t="s">
        <v>20</v>
      </c>
      <c r="Q274">
        <v>20220106</v>
      </c>
    </row>
    <row r="275" spans="1:17" x14ac:dyDescent="0.25">
      <c r="A275" t="s">
        <v>715</v>
      </c>
      <c r="B275" t="s">
        <v>432</v>
      </c>
      <c r="C275">
        <v>5</v>
      </c>
      <c r="D275">
        <v>20220106</v>
      </c>
      <c r="E275">
        <f t="shared" si="4"/>
        <v>1</v>
      </c>
      <c r="F275">
        <v>512200</v>
      </c>
      <c r="G275" t="s">
        <v>432</v>
      </c>
      <c r="H275" t="s">
        <v>401</v>
      </c>
      <c r="I275" t="s">
        <v>402</v>
      </c>
      <c r="J275" t="s">
        <v>725</v>
      </c>
      <c r="K275">
        <v>20220106</v>
      </c>
      <c r="L275" t="s">
        <v>724</v>
      </c>
      <c r="M275">
        <v>0</v>
      </c>
      <c r="N275">
        <v>5.25</v>
      </c>
      <c r="O275" t="s">
        <v>19</v>
      </c>
      <c r="P275" t="s">
        <v>20</v>
      </c>
      <c r="Q275">
        <v>20220106</v>
      </c>
    </row>
    <row r="276" spans="1:17" x14ac:dyDescent="0.25">
      <c r="A276" t="s">
        <v>715</v>
      </c>
      <c r="B276" t="s">
        <v>432</v>
      </c>
      <c r="C276">
        <v>5</v>
      </c>
      <c r="D276">
        <v>20220106</v>
      </c>
      <c r="E276">
        <f t="shared" si="4"/>
        <v>1</v>
      </c>
      <c r="F276">
        <v>401000</v>
      </c>
      <c r="G276" t="s">
        <v>41</v>
      </c>
      <c r="H276" t="s">
        <v>181</v>
      </c>
      <c r="I276" t="s">
        <v>182</v>
      </c>
      <c r="J276" t="s">
        <v>726</v>
      </c>
      <c r="K276">
        <v>20220106</v>
      </c>
      <c r="L276" t="s">
        <v>727</v>
      </c>
      <c r="M276">
        <v>221.31</v>
      </c>
      <c r="N276">
        <v>0</v>
      </c>
      <c r="O276" t="s">
        <v>23</v>
      </c>
      <c r="P276">
        <v>20220323</v>
      </c>
      <c r="Q276">
        <v>20220106</v>
      </c>
    </row>
    <row r="277" spans="1:17" x14ac:dyDescent="0.25">
      <c r="A277" t="s">
        <v>715</v>
      </c>
      <c r="B277" t="s">
        <v>432</v>
      </c>
      <c r="C277">
        <v>5</v>
      </c>
      <c r="D277">
        <v>20220106</v>
      </c>
      <c r="E277">
        <f t="shared" si="4"/>
        <v>1</v>
      </c>
      <c r="F277">
        <v>512200</v>
      </c>
      <c r="G277" t="s">
        <v>432</v>
      </c>
      <c r="H277" t="s">
        <v>401</v>
      </c>
      <c r="I277" t="s">
        <v>402</v>
      </c>
      <c r="J277" t="s">
        <v>726</v>
      </c>
      <c r="K277">
        <v>20220106</v>
      </c>
      <c r="L277" t="s">
        <v>727</v>
      </c>
      <c r="M277">
        <v>0</v>
      </c>
      <c r="N277">
        <v>221.31</v>
      </c>
      <c r="O277" t="s">
        <v>19</v>
      </c>
      <c r="P277" t="s">
        <v>20</v>
      </c>
      <c r="Q277">
        <v>20220106</v>
      </c>
    </row>
    <row r="278" spans="1:17" x14ac:dyDescent="0.25">
      <c r="A278" t="s">
        <v>715</v>
      </c>
      <c r="B278" t="s">
        <v>432</v>
      </c>
      <c r="C278">
        <v>5</v>
      </c>
      <c r="D278">
        <v>20220110</v>
      </c>
      <c r="E278">
        <f t="shared" si="4"/>
        <v>1</v>
      </c>
      <c r="F278">
        <v>627000</v>
      </c>
      <c r="G278" t="s">
        <v>480</v>
      </c>
      <c r="H278" t="s">
        <v>401</v>
      </c>
      <c r="I278" t="s">
        <v>402</v>
      </c>
      <c r="J278" t="s">
        <v>728</v>
      </c>
      <c r="K278">
        <v>20220110</v>
      </c>
      <c r="L278" t="s">
        <v>482</v>
      </c>
      <c r="M278">
        <v>15.78</v>
      </c>
      <c r="N278">
        <v>0</v>
      </c>
      <c r="O278" t="s">
        <v>19</v>
      </c>
      <c r="P278" t="s">
        <v>20</v>
      </c>
      <c r="Q278">
        <v>20220110</v>
      </c>
    </row>
    <row r="279" spans="1:17" x14ac:dyDescent="0.25">
      <c r="A279" t="s">
        <v>715</v>
      </c>
      <c r="B279" t="s">
        <v>432</v>
      </c>
      <c r="C279">
        <v>5</v>
      </c>
      <c r="D279">
        <v>20220110</v>
      </c>
      <c r="E279">
        <f t="shared" si="4"/>
        <v>1</v>
      </c>
      <c r="F279">
        <v>512200</v>
      </c>
      <c r="G279" t="s">
        <v>432</v>
      </c>
      <c r="H279" t="s">
        <v>401</v>
      </c>
      <c r="I279" t="s">
        <v>402</v>
      </c>
      <c r="J279" t="s">
        <v>728</v>
      </c>
      <c r="K279">
        <v>20220110</v>
      </c>
      <c r="L279" t="s">
        <v>482</v>
      </c>
      <c r="M279">
        <v>0</v>
      </c>
      <c r="N279">
        <v>15.78</v>
      </c>
      <c r="O279" t="s">
        <v>19</v>
      </c>
      <c r="P279" t="s">
        <v>20</v>
      </c>
      <c r="Q279">
        <v>20220110</v>
      </c>
    </row>
    <row r="280" spans="1:17" x14ac:dyDescent="0.25">
      <c r="A280" t="s">
        <v>715</v>
      </c>
      <c r="B280" t="s">
        <v>432</v>
      </c>
      <c r="C280">
        <v>5</v>
      </c>
      <c r="D280">
        <v>20220112</v>
      </c>
      <c r="E280">
        <f t="shared" si="4"/>
        <v>1</v>
      </c>
      <c r="F280">
        <v>627500</v>
      </c>
      <c r="G280" t="s">
        <v>729</v>
      </c>
      <c r="H280" t="s">
        <v>401</v>
      </c>
      <c r="I280" t="s">
        <v>402</v>
      </c>
      <c r="J280" t="s">
        <v>730</v>
      </c>
      <c r="K280">
        <v>20220112</v>
      </c>
      <c r="L280" t="s">
        <v>731</v>
      </c>
      <c r="M280">
        <v>41.86</v>
      </c>
      <c r="N280">
        <v>0</v>
      </c>
      <c r="O280" t="s">
        <v>19</v>
      </c>
      <c r="P280" t="s">
        <v>20</v>
      </c>
      <c r="Q280">
        <v>20220112</v>
      </c>
    </row>
    <row r="281" spans="1:17" x14ac:dyDescent="0.25">
      <c r="A281" t="s">
        <v>715</v>
      </c>
      <c r="B281" t="s">
        <v>432</v>
      </c>
      <c r="C281">
        <v>5</v>
      </c>
      <c r="D281">
        <v>20220112</v>
      </c>
      <c r="E281">
        <f t="shared" si="4"/>
        <v>1</v>
      </c>
      <c r="F281">
        <v>512200</v>
      </c>
      <c r="G281" t="s">
        <v>432</v>
      </c>
      <c r="H281" t="s">
        <v>401</v>
      </c>
      <c r="I281" t="s">
        <v>402</v>
      </c>
      <c r="J281" t="s">
        <v>730</v>
      </c>
      <c r="K281">
        <v>20220112</v>
      </c>
      <c r="L281" t="s">
        <v>731</v>
      </c>
      <c r="M281">
        <v>0</v>
      </c>
      <c r="N281">
        <v>41.86</v>
      </c>
      <c r="O281" t="s">
        <v>19</v>
      </c>
      <c r="P281" t="s">
        <v>20</v>
      </c>
      <c r="Q281">
        <v>20220112</v>
      </c>
    </row>
    <row r="282" spans="1:17" x14ac:dyDescent="0.25">
      <c r="A282" t="s">
        <v>715</v>
      </c>
      <c r="B282" t="s">
        <v>432</v>
      </c>
      <c r="C282">
        <v>5</v>
      </c>
      <c r="D282">
        <v>20220112</v>
      </c>
      <c r="E282">
        <f t="shared" si="4"/>
        <v>1</v>
      </c>
      <c r="F282">
        <v>401000</v>
      </c>
      <c r="G282" t="s">
        <v>41</v>
      </c>
      <c r="H282" t="s">
        <v>119</v>
      </c>
      <c r="I282" t="s">
        <v>120</v>
      </c>
      <c r="J282" t="s">
        <v>732</v>
      </c>
      <c r="K282">
        <v>20220112</v>
      </c>
      <c r="L282" t="s">
        <v>733</v>
      </c>
      <c r="M282">
        <v>117</v>
      </c>
      <c r="N282">
        <v>0</v>
      </c>
      <c r="O282" t="s">
        <v>23</v>
      </c>
      <c r="P282">
        <v>20220321</v>
      </c>
      <c r="Q282">
        <v>20220112</v>
      </c>
    </row>
    <row r="283" spans="1:17" x14ac:dyDescent="0.25">
      <c r="A283" t="s">
        <v>715</v>
      </c>
      <c r="B283" t="s">
        <v>432</v>
      </c>
      <c r="C283">
        <v>5</v>
      </c>
      <c r="D283">
        <v>20220112</v>
      </c>
      <c r="E283">
        <f t="shared" si="4"/>
        <v>1</v>
      </c>
      <c r="F283">
        <v>512200</v>
      </c>
      <c r="G283" t="s">
        <v>432</v>
      </c>
      <c r="H283" t="s">
        <v>401</v>
      </c>
      <c r="I283" t="s">
        <v>402</v>
      </c>
      <c r="J283" t="s">
        <v>732</v>
      </c>
      <c r="K283">
        <v>20220112</v>
      </c>
      <c r="L283" t="s">
        <v>733</v>
      </c>
      <c r="M283">
        <v>0</v>
      </c>
      <c r="N283">
        <v>117</v>
      </c>
      <c r="O283" t="s">
        <v>19</v>
      </c>
      <c r="P283" t="s">
        <v>20</v>
      </c>
      <c r="Q283">
        <v>20220112</v>
      </c>
    </row>
    <row r="284" spans="1:17" x14ac:dyDescent="0.25">
      <c r="A284" t="s">
        <v>715</v>
      </c>
      <c r="B284" t="s">
        <v>432</v>
      </c>
      <c r="C284">
        <v>5</v>
      </c>
      <c r="D284">
        <v>20220112</v>
      </c>
      <c r="E284">
        <f t="shared" si="4"/>
        <v>1</v>
      </c>
      <c r="F284">
        <v>401000</v>
      </c>
      <c r="G284" t="s">
        <v>41</v>
      </c>
      <c r="H284" t="s">
        <v>734</v>
      </c>
      <c r="I284" t="s">
        <v>735</v>
      </c>
      <c r="J284" t="s">
        <v>736</v>
      </c>
      <c r="K284">
        <v>20220112</v>
      </c>
      <c r="L284" t="s">
        <v>737</v>
      </c>
      <c r="M284">
        <v>2271</v>
      </c>
      <c r="N284">
        <v>0</v>
      </c>
      <c r="O284" t="s">
        <v>23</v>
      </c>
      <c r="P284">
        <v>20220704</v>
      </c>
      <c r="Q284">
        <v>20220112</v>
      </c>
    </row>
    <row r="285" spans="1:17" x14ac:dyDescent="0.25">
      <c r="A285" t="s">
        <v>715</v>
      </c>
      <c r="B285" t="s">
        <v>432</v>
      </c>
      <c r="C285">
        <v>5</v>
      </c>
      <c r="D285">
        <v>20220112</v>
      </c>
      <c r="E285">
        <f t="shared" si="4"/>
        <v>1</v>
      </c>
      <c r="F285">
        <v>512200</v>
      </c>
      <c r="G285" t="s">
        <v>432</v>
      </c>
      <c r="H285" t="s">
        <v>401</v>
      </c>
      <c r="I285" t="s">
        <v>402</v>
      </c>
      <c r="J285" t="s">
        <v>736</v>
      </c>
      <c r="K285">
        <v>20220112</v>
      </c>
      <c r="L285" t="s">
        <v>737</v>
      </c>
      <c r="M285">
        <v>0</v>
      </c>
      <c r="N285">
        <v>2271</v>
      </c>
      <c r="O285" t="s">
        <v>19</v>
      </c>
      <c r="P285" t="s">
        <v>20</v>
      </c>
      <c r="Q285">
        <v>20220112</v>
      </c>
    </row>
    <row r="286" spans="1:17" x14ac:dyDescent="0.25">
      <c r="A286" t="s">
        <v>715</v>
      </c>
      <c r="B286" t="s">
        <v>432</v>
      </c>
      <c r="C286">
        <v>5</v>
      </c>
      <c r="D286">
        <v>20220113</v>
      </c>
      <c r="E286">
        <f t="shared" si="4"/>
        <v>1</v>
      </c>
      <c r="F286">
        <v>512200</v>
      </c>
      <c r="G286" t="s">
        <v>432</v>
      </c>
      <c r="H286" t="s">
        <v>401</v>
      </c>
      <c r="I286" t="s">
        <v>402</v>
      </c>
      <c r="J286" t="s">
        <v>738</v>
      </c>
      <c r="K286">
        <v>20220113</v>
      </c>
      <c r="L286" t="s">
        <v>739</v>
      </c>
      <c r="M286">
        <v>1467.68</v>
      </c>
      <c r="N286">
        <v>0</v>
      </c>
      <c r="O286" t="s">
        <v>19</v>
      </c>
      <c r="P286" t="s">
        <v>20</v>
      </c>
      <c r="Q286">
        <v>20220113</v>
      </c>
    </row>
    <row r="287" spans="1:17" x14ac:dyDescent="0.25">
      <c r="A287" t="s">
        <v>715</v>
      </c>
      <c r="B287" t="s">
        <v>432</v>
      </c>
      <c r="C287">
        <v>5</v>
      </c>
      <c r="D287">
        <v>20220113</v>
      </c>
      <c r="E287">
        <f t="shared" si="4"/>
        <v>1</v>
      </c>
      <c r="F287">
        <v>511000</v>
      </c>
      <c r="G287" t="s">
        <v>431</v>
      </c>
      <c r="H287" t="s">
        <v>401</v>
      </c>
      <c r="I287" t="s">
        <v>402</v>
      </c>
      <c r="J287" t="s">
        <v>738</v>
      </c>
      <c r="K287">
        <v>20220113</v>
      </c>
      <c r="L287" t="s">
        <v>739</v>
      </c>
      <c r="M287">
        <v>0</v>
      </c>
      <c r="N287">
        <v>1467.68</v>
      </c>
      <c r="O287" t="s">
        <v>23</v>
      </c>
      <c r="P287">
        <v>20220517</v>
      </c>
      <c r="Q287">
        <v>20220113</v>
      </c>
    </row>
    <row r="288" spans="1:17" x14ac:dyDescent="0.25">
      <c r="A288" t="s">
        <v>715</v>
      </c>
      <c r="B288" t="s">
        <v>432</v>
      </c>
      <c r="C288">
        <v>5</v>
      </c>
      <c r="D288">
        <v>20220113</v>
      </c>
      <c r="E288">
        <f t="shared" si="4"/>
        <v>1</v>
      </c>
      <c r="F288">
        <v>512200</v>
      </c>
      <c r="G288" t="s">
        <v>432</v>
      </c>
      <c r="H288" t="s">
        <v>401</v>
      </c>
      <c r="I288" t="s">
        <v>402</v>
      </c>
      <c r="J288" t="s">
        <v>740</v>
      </c>
      <c r="K288">
        <v>20220113</v>
      </c>
      <c r="L288" t="s">
        <v>741</v>
      </c>
      <c r="M288">
        <v>1800.99</v>
      </c>
      <c r="N288">
        <v>0</v>
      </c>
      <c r="O288" t="s">
        <v>19</v>
      </c>
      <c r="P288" t="s">
        <v>20</v>
      </c>
      <c r="Q288">
        <v>20220113</v>
      </c>
    </row>
    <row r="289" spans="1:17" x14ac:dyDescent="0.25">
      <c r="A289" t="s">
        <v>715</v>
      </c>
      <c r="B289" t="s">
        <v>432</v>
      </c>
      <c r="C289">
        <v>5</v>
      </c>
      <c r="D289">
        <v>20220113</v>
      </c>
      <c r="E289">
        <f t="shared" si="4"/>
        <v>1</v>
      </c>
      <c r="F289">
        <v>511000</v>
      </c>
      <c r="G289" t="s">
        <v>431</v>
      </c>
      <c r="H289" t="s">
        <v>401</v>
      </c>
      <c r="I289" t="s">
        <v>402</v>
      </c>
      <c r="J289" t="s">
        <v>740</v>
      </c>
      <c r="K289">
        <v>20220113</v>
      </c>
      <c r="L289" t="s">
        <v>741</v>
      </c>
      <c r="M289">
        <v>0</v>
      </c>
      <c r="N289">
        <v>1800.99</v>
      </c>
      <c r="O289" t="s">
        <v>23</v>
      </c>
      <c r="P289">
        <v>20220517</v>
      </c>
      <c r="Q289">
        <v>20220113</v>
      </c>
    </row>
    <row r="290" spans="1:17" x14ac:dyDescent="0.25">
      <c r="A290" t="s">
        <v>715</v>
      </c>
      <c r="B290" t="s">
        <v>432</v>
      </c>
      <c r="C290">
        <v>5</v>
      </c>
      <c r="D290">
        <v>20220113</v>
      </c>
      <c r="E290">
        <f t="shared" si="4"/>
        <v>1</v>
      </c>
      <c r="F290">
        <v>512200</v>
      </c>
      <c r="G290" t="s">
        <v>432</v>
      </c>
      <c r="H290" t="s">
        <v>401</v>
      </c>
      <c r="I290" t="s">
        <v>402</v>
      </c>
      <c r="J290" t="s">
        <v>624</v>
      </c>
      <c r="K290">
        <v>20220113</v>
      </c>
      <c r="L290" t="s">
        <v>625</v>
      </c>
      <c r="M290">
        <v>1600</v>
      </c>
      <c r="N290">
        <v>0</v>
      </c>
      <c r="O290" t="s">
        <v>19</v>
      </c>
      <c r="P290" t="s">
        <v>20</v>
      </c>
      <c r="Q290">
        <v>20220113</v>
      </c>
    </row>
    <row r="291" spans="1:17" x14ac:dyDescent="0.25">
      <c r="A291" t="s">
        <v>715</v>
      </c>
      <c r="B291" t="s">
        <v>432</v>
      </c>
      <c r="C291">
        <v>5</v>
      </c>
      <c r="D291">
        <v>20220113</v>
      </c>
      <c r="E291">
        <f t="shared" si="4"/>
        <v>1</v>
      </c>
      <c r="F291">
        <v>580000</v>
      </c>
      <c r="G291" t="s">
        <v>532</v>
      </c>
      <c r="H291" t="s">
        <v>401</v>
      </c>
      <c r="I291" t="s">
        <v>402</v>
      </c>
      <c r="J291" t="s">
        <v>624</v>
      </c>
      <c r="K291">
        <v>20220113</v>
      </c>
      <c r="L291" t="s">
        <v>625</v>
      </c>
      <c r="M291">
        <v>0</v>
      </c>
      <c r="N291">
        <v>1600</v>
      </c>
      <c r="O291" t="s">
        <v>22</v>
      </c>
      <c r="P291">
        <v>20220113</v>
      </c>
      <c r="Q291">
        <v>20220113</v>
      </c>
    </row>
    <row r="292" spans="1:17" x14ac:dyDescent="0.25">
      <c r="A292" t="s">
        <v>715</v>
      </c>
      <c r="B292" t="s">
        <v>432</v>
      </c>
      <c r="C292">
        <v>5</v>
      </c>
      <c r="D292">
        <v>20220113</v>
      </c>
      <c r="E292">
        <f t="shared" si="4"/>
        <v>1</v>
      </c>
      <c r="F292">
        <v>411000</v>
      </c>
      <c r="G292" t="s">
        <v>21</v>
      </c>
      <c r="H292" t="s">
        <v>742</v>
      </c>
      <c r="I292" t="s">
        <v>743</v>
      </c>
      <c r="J292" t="s">
        <v>744</v>
      </c>
      <c r="K292">
        <v>20220113</v>
      </c>
      <c r="L292" t="s">
        <v>745</v>
      </c>
      <c r="M292">
        <v>0</v>
      </c>
      <c r="N292">
        <v>120</v>
      </c>
      <c r="O292" t="s">
        <v>22</v>
      </c>
      <c r="P292">
        <v>20230218</v>
      </c>
      <c r="Q292">
        <v>20220113</v>
      </c>
    </row>
    <row r="293" spans="1:17" x14ac:dyDescent="0.25">
      <c r="A293" t="s">
        <v>715</v>
      </c>
      <c r="B293" t="s">
        <v>432</v>
      </c>
      <c r="C293">
        <v>5</v>
      </c>
      <c r="D293">
        <v>20220113</v>
      </c>
      <c r="E293">
        <f t="shared" si="4"/>
        <v>1</v>
      </c>
      <c r="F293">
        <v>512200</v>
      </c>
      <c r="G293" t="s">
        <v>432</v>
      </c>
      <c r="H293" t="s">
        <v>401</v>
      </c>
      <c r="I293" t="s">
        <v>402</v>
      </c>
      <c r="J293" t="s">
        <v>744</v>
      </c>
      <c r="K293">
        <v>20220113</v>
      </c>
      <c r="L293" t="s">
        <v>745</v>
      </c>
      <c r="M293">
        <v>120</v>
      </c>
      <c r="N293">
        <v>0</v>
      </c>
      <c r="O293" t="s">
        <v>19</v>
      </c>
      <c r="P293" t="s">
        <v>20</v>
      </c>
      <c r="Q293">
        <v>20220113</v>
      </c>
    </row>
    <row r="294" spans="1:17" x14ac:dyDescent="0.25">
      <c r="A294" t="s">
        <v>715</v>
      </c>
      <c r="B294" t="s">
        <v>432</v>
      </c>
      <c r="C294">
        <v>5</v>
      </c>
      <c r="D294">
        <v>20220114</v>
      </c>
      <c r="E294">
        <f t="shared" si="4"/>
        <v>1</v>
      </c>
      <c r="F294">
        <v>627500</v>
      </c>
      <c r="G294" t="s">
        <v>729</v>
      </c>
      <c r="H294" t="s">
        <v>401</v>
      </c>
      <c r="I294" t="s">
        <v>402</v>
      </c>
      <c r="J294" t="s">
        <v>746</v>
      </c>
      <c r="K294">
        <v>20220114</v>
      </c>
      <c r="L294" t="s">
        <v>731</v>
      </c>
      <c r="M294">
        <v>22.15</v>
      </c>
      <c r="N294">
        <v>0</v>
      </c>
      <c r="O294" t="s">
        <v>19</v>
      </c>
      <c r="P294" t="s">
        <v>20</v>
      </c>
      <c r="Q294">
        <v>20220114</v>
      </c>
    </row>
    <row r="295" spans="1:17" x14ac:dyDescent="0.25">
      <c r="A295" t="s">
        <v>715</v>
      </c>
      <c r="B295" t="s">
        <v>432</v>
      </c>
      <c r="C295">
        <v>5</v>
      </c>
      <c r="D295">
        <v>20220114</v>
      </c>
      <c r="E295">
        <f t="shared" si="4"/>
        <v>1</v>
      </c>
      <c r="F295">
        <v>512200</v>
      </c>
      <c r="G295" t="s">
        <v>432</v>
      </c>
      <c r="H295" t="s">
        <v>401</v>
      </c>
      <c r="I295" t="s">
        <v>402</v>
      </c>
      <c r="J295" t="s">
        <v>746</v>
      </c>
      <c r="K295">
        <v>20220114</v>
      </c>
      <c r="L295" t="s">
        <v>731</v>
      </c>
      <c r="M295">
        <v>0</v>
      </c>
      <c r="N295">
        <v>22.15</v>
      </c>
      <c r="O295" t="s">
        <v>19</v>
      </c>
      <c r="P295" t="s">
        <v>20</v>
      </c>
      <c r="Q295">
        <v>20220114</v>
      </c>
    </row>
    <row r="296" spans="1:17" x14ac:dyDescent="0.25">
      <c r="A296" t="s">
        <v>715</v>
      </c>
      <c r="B296" t="s">
        <v>432</v>
      </c>
      <c r="C296">
        <v>5</v>
      </c>
      <c r="D296">
        <v>20220118</v>
      </c>
      <c r="E296">
        <f t="shared" si="4"/>
        <v>1</v>
      </c>
      <c r="F296">
        <v>401000</v>
      </c>
      <c r="G296" t="s">
        <v>41</v>
      </c>
      <c r="H296" t="s">
        <v>52</v>
      </c>
      <c r="I296" t="s">
        <v>53</v>
      </c>
      <c r="J296" t="s">
        <v>747</v>
      </c>
      <c r="K296">
        <v>20220118</v>
      </c>
      <c r="L296" t="s">
        <v>748</v>
      </c>
      <c r="M296">
        <v>66</v>
      </c>
      <c r="N296">
        <v>0</v>
      </c>
      <c r="O296" t="s">
        <v>23</v>
      </c>
      <c r="P296">
        <v>20220321</v>
      </c>
      <c r="Q296">
        <v>20220118</v>
      </c>
    </row>
    <row r="297" spans="1:17" x14ac:dyDescent="0.25">
      <c r="A297" t="s">
        <v>715</v>
      </c>
      <c r="B297" t="s">
        <v>432</v>
      </c>
      <c r="C297">
        <v>5</v>
      </c>
      <c r="D297">
        <v>20220118</v>
      </c>
      <c r="E297">
        <f t="shared" si="4"/>
        <v>1</v>
      </c>
      <c r="F297">
        <v>512200</v>
      </c>
      <c r="G297" t="s">
        <v>432</v>
      </c>
      <c r="H297" t="s">
        <v>401</v>
      </c>
      <c r="I297" t="s">
        <v>402</v>
      </c>
      <c r="J297" t="s">
        <v>747</v>
      </c>
      <c r="K297">
        <v>20220118</v>
      </c>
      <c r="L297" t="s">
        <v>748</v>
      </c>
      <c r="M297">
        <v>0</v>
      </c>
      <c r="N297">
        <v>66</v>
      </c>
      <c r="O297" t="s">
        <v>19</v>
      </c>
      <c r="P297" t="s">
        <v>20</v>
      </c>
      <c r="Q297">
        <v>20220118</v>
      </c>
    </row>
    <row r="298" spans="1:17" x14ac:dyDescent="0.25">
      <c r="A298" t="s">
        <v>715</v>
      </c>
      <c r="B298" t="s">
        <v>432</v>
      </c>
      <c r="C298">
        <v>5</v>
      </c>
      <c r="D298">
        <v>20220118</v>
      </c>
      <c r="E298">
        <f t="shared" si="4"/>
        <v>1</v>
      </c>
      <c r="F298">
        <v>791400</v>
      </c>
      <c r="G298" t="s">
        <v>749</v>
      </c>
      <c r="H298" t="s">
        <v>401</v>
      </c>
      <c r="I298" t="s">
        <v>402</v>
      </c>
      <c r="J298" t="s">
        <v>750</v>
      </c>
      <c r="K298">
        <v>20220118</v>
      </c>
      <c r="L298" t="s">
        <v>751</v>
      </c>
      <c r="M298">
        <v>0</v>
      </c>
      <c r="N298">
        <v>963.27</v>
      </c>
      <c r="O298" t="s">
        <v>19</v>
      </c>
      <c r="P298" t="s">
        <v>20</v>
      </c>
      <c r="Q298">
        <v>20220118</v>
      </c>
    </row>
    <row r="299" spans="1:17" x14ac:dyDescent="0.25">
      <c r="A299" t="s">
        <v>715</v>
      </c>
      <c r="B299" t="s">
        <v>432</v>
      </c>
      <c r="C299">
        <v>5</v>
      </c>
      <c r="D299">
        <v>20220118</v>
      </c>
      <c r="E299">
        <f t="shared" si="4"/>
        <v>1</v>
      </c>
      <c r="F299">
        <v>512200</v>
      </c>
      <c r="G299" t="s">
        <v>432</v>
      </c>
      <c r="H299" t="s">
        <v>401</v>
      </c>
      <c r="I299" t="s">
        <v>402</v>
      </c>
      <c r="J299" t="s">
        <v>750</v>
      </c>
      <c r="K299">
        <v>20220118</v>
      </c>
      <c r="L299" t="s">
        <v>751</v>
      </c>
      <c r="M299">
        <v>963.27</v>
      </c>
      <c r="N299">
        <v>0</v>
      </c>
      <c r="O299" t="s">
        <v>19</v>
      </c>
      <c r="P299" t="s">
        <v>20</v>
      </c>
      <c r="Q299">
        <v>20220118</v>
      </c>
    </row>
    <row r="300" spans="1:17" x14ac:dyDescent="0.25">
      <c r="A300" t="s">
        <v>715</v>
      </c>
      <c r="B300" t="s">
        <v>432</v>
      </c>
      <c r="C300">
        <v>5</v>
      </c>
      <c r="D300">
        <v>20220118</v>
      </c>
      <c r="E300">
        <f t="shared" si="4"/>
        <v>1</v>
      </c>
      <c r="F300">
        <v>401000</v>
      </c>
      <c r="G300" t="s">
        <v>41</v>
      </c>
      <c r="H300" t="s">
        <v>123</v>
      </c>
      <c r="I300" t="s">
        <v>124</v>
      </c>
      <c r="J300" t="s">
        <v>752</v>
      </c>
      <c r="K300">
        <v>20220118</v>
      </c>
      <c r="L300" t="s">
        <v>753</v>
      </c>
      <c r="M300">
        <v>95.8</v>
      </c>
      <c r="N300">
        <v>0</v>
      </c>
      <c r="O300" t="s">
        <v>23</v>
      </c>
      <c r="P300">
        <v>20220321</v>
      </c>
      <c r="Q300">
        <v>20220118</v>
      </c>
    </row>
    <row r="301" spans="1:17" x14ac:dyDescent="0.25">
      <c r="A301" t="s">
        <v>715</v>
      </c>
      <c r="B301" t="s">
        <v>432</v>
      </c>
      <c r="C301">
        <v>5</v>
      </c>
      <c r="D301">
        <v>20220118</v>
      </c>
      <c r="E301">
        <f t="shared" si="4"/>
        <v>1</v>
      </c>
      <c r="F301">
        <v>512200</v>
      </c>
      <c r="G301" t="s">
        <v>432</v>
      </c>
      <c r="H301" t="s">
        <v>401</v>
      </c>
      <c r="I301" t="s">
        <v>402</v>
      </c>
      <c r="J301" t="s">
        <v>752</v>
      </c>
      <c r="K301">
        <v>20220118</v>
      </c>
      <c r="L301" t="s">
        <v>753</v>
      </c>
      <c r="M301">
        <v>0</v>
      </c>
      <c r="N301">
        <v>95.8</v>
      </c>
      <c r="O301" t="s">
        <v>19</v>
      </c>
      <c r="P301" t="s">
        <v>20</v>
      </c>
      <c r="Q301">
        <v>20220118</v>
      </c>
    </row>
    <row r="302" spans="1:17" x14ac:dyDescent="0.25">
      <c r="A302" t="s">
        <v>715</v>
      </c>
      <c r="B302" t="s">
        <v>432</v>
      </c>
      <c r="C302">
        <v>5</v>
      </c>
      <c r="D302">
        <v>20220118</v>
      </c>
      <c r="E302">
        <f t="shared" si="4"/>
        <v>1</v>
      </c>
      <c r="F302">
        <v>401000</v>
      </c>
      <c r="G302" t="s">
        <v>41</v>
      </c>
      <c r="H302" t="s">
        <v>140</v>
      </c>
      <c r="I302" t="s">
        <v>141</v>
      </c>
      <c r="J302" t="s">
        <v>754</v>
      </c>
      <c r="K302">
        <v>20220118</v>
      </c>
      <c r="L302" t="s">
        <v>755</v>
      </c>
      <c r="M302">
        <v>140.6</v>
      </c>
      <c r="N302">
        <v>0</v>
      </c>
      <c r="O302" t="s">
        <v>23</v>
      </c>
      <c r="P302">
        <v>20220321</v>
      </c>
      <c r="Q302">
        <v>20220118</v>
      </c>
    </row>
    <row r="303" spans="1:17" x14ac:dyDescent="0.25">
      <c r="A303" t="s">
        <v>715</v>
      </c>
      <c r="B303" t="s">
        <v>432</v>
      </c>
      <c r="C303">
        <v>5</v>
      </c>
      <c r="D303">
        <v>20220118</v>
      </c>
      <c r="E303">
        <f t="shared" si="4"/>
        <v>1</v>
      </c>
      <c r="F303">
        <v>512200</v>
      </c>
      <c r="G303" t="s">
        <v>432</v>
      </c>
      <c r="H303" t="s">
        <v>401</v>
      </c>
      <c r="I303" t="s">
        <v>402</v>
      </c>
      <c r="J303" t="s">
        <v>754</v>
      </c>
      <c r="K303">
        <v>20220118</v>
      </c>
      <c r="L303" t="s">
        <v>755</v>
      </c>
      <c r="M303">
        <v>0</v>
      </c>
      <c r="N303">
        <v>140.6</v>
      </c>
      <c r="O303" t="s">
        <v>19</v>
      </c>
      <c r="P303" t="s">
        <v>20</v>
      </c>
      <c r="Q303">
        <v>20220118</v>
      </c>
    </row>
    <row r="304" spans="1:17" x14ac:dyDescent="0.25">
      <c r="A304" t="s">
        <v>715</v>
      </c>
      <c r="B304" t="s">
        <v>432</v>
      </c>
      <c r="C304">
        <v>5</v>
      </c>
      <c r="D304">
        <v>20220119</v>
      </c>
      <c r="E304">
        <f t="shared" si="4"/>
        <v>1</v>
      </c>
      <c r="F304">
        <v>512200</v>
      </c>
      <c r="G304" t="s">
        <v>432</v>
      </c>
      <c r="H304" t="s">
        <v>401</v>
      </c>
      <c r="I304" t="s">
        <v>402</v>
      </c>
      <c r="J304" t="s">
        <v>756</v>
      </c>
      <c r="K304">
        <v>20220119</v>
      </c>
      <c r="L304" t="s">
        <v>757</v>
      </c>
      <c r="M304">
        <v>1539.46</v>
      </c>
      <c r="N304">
        <v>0</v>
      </c>
      <c r="O304" t="s">
        <v>19</v>
      </c>
      <c r="P304" t="s">
        <v>20</v>
      </c>
      <c r="Q304">
        <v>20220119</v>
      </c>
    </row>
    <row r="305" spans="1:17" x14ac:dyDescent="0.25">
      <c r="A305" t="s">
        <v>715</v>
      </c>
      <c r="B305" t="s">
        <v>432</v>
      </c>
      <c r="C305">
        <v>5</v>
      </c>
      <c r="D305">
        <v>20220119</v>
      </c>
      <c r="E305">
        <f t="shared" si="4"/>
        <v>1</v>
      </c>
      <c r="F305">
        <v>511000</v>
      </c>
      <c r="G305" t="s">
        <v>431</v>
      </c>
      <c r="H305" t="s">
        <v>401</v>
      </c>
      <c r="I305" t="s">
        <v>402</v>
      </c>
      <c r="J305" t="s">
        <v>756</v>
      </c>
      <c r="K305">
        <v>20220119</v>
      </c>
      <c r="L305" t="s">
        <v>757</v>
      </c>
      <c r="M305">
        <v>0</v>
      </c>
      <c r="N305">
        <v>1539.46</v>
      </c>
      <c r="O305" t="s">
        <v>23</v>
      </c>
      <c r="P305">
        <v>20220517</v>
      </c>
      <c r="Q305">
        <v>20220119</v>
      </c>
    </row>
    <row r="306" spans="1:17" x14ac:dyDescent="0.25">
      <c r="A306" t="s">
        <v>715</v>
      </c>
      <c r="B306" t="s">
        <v>432</v>
      </c>
      <c r="C306">
        <v>5</v>
      </c>
      <c r="D306">
        <v>20220119</v>
      </c>
      <c r="E306">
        <f t="shared" si="4"/>
        <v>1</v>
      </c>
      <c r="F306">
        <v>401000</v>
      </c>
      <c r="G306" t="s">
        <v>41</v>
      </c>
      <c r="H306" t="s">
        <v>97</v>
      </c>
      <c r="I306" t="s">
        <v>98</v>
      </c>
      <c r="J306" t="s">
        <v>758</v>
      </c>
      <c r="K306">
        <v>20220119</v>
      </c>
      <c r="L306" t="s">
        <v>759</v>
      </c>
      <c r="M306">
        <v>179.36</v>
      </c>
      <c r="N306">
        <v>0</v>
      </c>
      <c r="O306" t="s">
        <v>19</v>
      </c>
      <c r="P306" t="s">
        <v>20</v>
      </c>
      <c r="Q306">
        <v>20220119</v>
      </c>
    </row>
    <row r="307" spans="1:17" x14ac:dyDescent="0.25">
      <c r="A307" t="s">
        <v>715</v>
      </c>
      <c r="B307" t="s">
        <v>432</v>
      </c>
      <c r="C307">
        <v>5</v>
      </c>
      <c r="D307">
        <v>20220119</v>
      </c>
      <c r="E307">
        <f t="shared" si="4"/>
        <v>1</v>
      </c>
      <c r="F307">
        <v>512200</v>
      </c>
      <c r="G307" t="s">
        <v>432</v>
      </c>
      <c r="H307" t="s">
        <v>401</v>
      </c>
      <c r="I307" t="s">
        <v>402</v>
      </c>
      <c r="J307" t="s">
        <v>758</v>
      </c>
      <c r="K307">
        <v>20220119</v>
      </c>
      <c r="L307" t="s">
        <v>759</v>
      </c>
      <c r="M307">
        <v>0</v>
      </c>
      <c r="N307">
        <v>179.36</v>
      </c>
      <c r="O307" t="s">
        <v>19</v>
      </c>
      <c r="P307" t="s">
        <v>20</v>
      </c>
      <c r="Q307">
        <v>20220119</v>
      </c>
    </row>
    <row r="308" spans="1:17" x14ac:dyDescent="0.25">
      <c r="A308" t="s">
        <v>715</v>
      </c>
      <c r="B308" t="s">
        <v>432</v>
      </c>
      <c r="C308">
        <v>5</v>
      </c>
      <c r="D308">
        <v>20220124</v>
      </c>
      <c r="E308">
        <f t="shared" si="4"/>
        <v>1</v>
      </c>
      <c r="F308">
        <v>401000</v>
      </c>
      <c r="G308" t="s">
        <v>41</v>
      </c>
      <c r="H308" t="s">
        <v>760</v>
      </c>
      <c r="I308" t="s">
        <v>761</v>
      </c>
      <c r="J308" t="s">
        <v>762</v>
      </c>
      <c r="K308">
        <v>20220124</v>
      </c>
      <c r="L308" t="s">
        <v>763</v>
      </c>
      <c r="M308">
        <v>154</v>
      </c>
      <c r="N308">
        <v>0</v>
      </c>
      <c r="O308" t="s">
        <v>23</v>
      </c>
      <c r="P308">
        <v>20220630</v>
      </c>
      <c r="Q308">
        <v>20220124</v>
      </c>
    </row>
    <row r="309" spans="1:17" x14ac:dyDescent="0.25">
      <c r="A309" t="s">
        <v>715</v>
      </c>
      <c r="B309" t="s">
        <v>432</v>
      </c>
      <c r="C309">
        <v>5</v>
      </c>
      <c r="D309">
        <v>20220124</v>
      </c>
      <c r="E309">
        <f t="shared" si="4"/>
        <v>1</v>
      </c>
      <c r="F309">
        <v>512200</v>
      </c>
      <c r="G309" t="s">
        <v>432</v>
      </c>
      <c r="H309" t="s">
        <v>401</v>
      </c>
      <c r="I309" t="s">
        <v>402</v>
      </c>
      <c r="J309" t="s">
        <v>762</v>
      </c>
      <c r="K309">
        <v>20220124</v>
      </c>
      <c r="L309" t="s">
        <v>763</v>
      </c>
      <c r="M309">
        <v>0</v>
      </c>
      <c r="N309">
        <v>154</v>
      </c>
      <c r="O309" t="s">
        <v>19</v>
      </c>
      <c r="P309" t="s">
        <v>20</v>
      </c>
      <c r="Q309">
        <v>20220124</v>
      </c>
    </row>
    <row r="310" spans="1:17" x14ac:dyDescent="0.25">
      <c r="A310" t="s">
        <v>715</v>
      </c>
      <c r="B310" t="s">
        <v>432</v>
      </c>
      <c r="C310">
        <v>5</v>
      </c>
      <c r="D310">
        <v>20220125</v>
      </c>
      <c r="E310">
        <f t="shared" si="4"/>
        <v>1</v>
      </c>
      <c r="F310">
        <v>401000</v>
      </c>
      <c r="G310" t="s">
        <v>41</v>
      </c>
      <c r="H310" t="s">
        <v>764</v>
      </c>
      <c r="I310" t="s">
        <v>765</v>
      </c>
      <c r="J310" t="s">
        <v>766</v>
      </c>
      <c r="K310">
        <v>20220125</v>
      </c>
      <c r="L310" t="s">
        <v>767</v>
      </c>
      <c r="M310">
        <v>70</v>
      </c>
      <c r="N310">
        <v>0</v>
      </c>
      <c r="O310" t="s">
        <v>23</v>
      </c>
      <c r="P310">
        <v>20220309</v>
      </c>
      <c r="Q310">
        <v>20220125</v>
      </c>
    </row>
    <row r="311" spans="1:17" x14ac:dyDescent="0.25">
      <c r="A311" t="s">
        <v>715</v>
      </c>
      <c r="B311" t="s">
        <v>432</v>
      </c>
      <c r="C311">
        <v>5</v>
      </c>
      <c r="D311">
        <v>20220125</v>
      </c>
      <c r="E311">
        <f t="shared" si="4"/>
        <v>1</v>
      </c>
      <c r="F311">
        <v>512200</v>
      </c>
      <c r="G311" t="s">
        <v>432</v>
      </c>
      <c r="H311" t="s">
        <v>401</v>
      </c>
      <c r="I311" t="s">
        <v>402</v>
      </c>
      <c r="J311" t="s">
        <v>766</v>
      </c>
      <c r="K311">
        <v>20220125</v>
      </c>
      <c r="L311" t="s">
        <v>767</v>
      </c>
      <c r="M311">
        <v>0</v>
      </c>
      <c r="N311">
        <v>70</v>
      </c>
      <c r="O311" t="s">
        <v>19</v>
      </c>
      <c r="P311" t="s">
        <v>20</v>
      </c>
      <c r="Q311">
        <v>20220125</v>
      </c>
    </row>
    <row r="312" spans="1:17" x14ac:dyDescent="0.25">
      <c r="A312" t="s">
        <v>715</v>
      </c>
      <c r="B312" t="s">
        <v>432</v>
      </c>
      <c r="C312">
        <v>5</v>
      </c>
      <c r="D312">
        <v>20220126</v>
      </c>
      <c r="E312">
        <f t="shared" si="4"/>
        <v>1</v>
      </c>
      <c r="F312">
        <v>401000</v>
      </c>
      <c r="G312" t="s">
        <v>41</v>
      </c>
      <c r="H312" t="s">
        <v>470</v>
      </c>
      <c r="I312" t="s">
        <v>471</v>
      </c>
      <c r="J312" t="s">
        <v>768</v>
      </c>
      <c r="K312">
        <v>20220126</v>
      </c>
      <c r="L312" t="s">
        <v>769</v>
      </c>
      <c r="M312">
        <v>77.97</v>
      </c>
      <c r="N312">
        <v>0</v>
      </c>
      <c r="O312" t="s">
        <v>23</v>
      </c>
      <c r="P312">
        <v>20220321</v>
      </c>
      <c r="Q312">
        <v>20220126</v>
      </c>
    </row>
    <row r="313" spans="1:17" x14ac:dyDescent="0.25">
      <c r="A313" t="s">
        <v>715</v>
      </c>
      <c r="B313" t="s">
        <v>432</v>
      </c>
      <c r="C313">
        <v>5</v>
      </c>
      <c r="D313">
        <v>20220126</v>
      </c>
      <c r="E313">
        <f t="shared" si="4"/>
        <v>1</v>
      </c>
      <c r="F313">
        <v>512200</v>
      </c>
      <c r="G313" t="s">
        <v>432</v>
      </c>
      <c r="H313" t="s">
        <v>401</v>
      </c>
      <c r="I313" t="s">
        <v>402</v>
      </c>
      <c r="J313" t="s">
        <v>768</v>
      </c>
      <c r="K313">
        <v>20220126</v>
      </c>
      <c r="L313" t="s">
        <v>769</v>
      </c>
      <c r="M313">
        <v>0</v>
      </c>
      <c r="N313">
        <v>77.97</v>
      </c>
      <c r="O313" t="s">
        <v>19</v>
      </c>
      <c r="P313" t="s">
        <v>20</v>
      </c>
      <c r="Q313">
        <v>20220126</v>
      </c>
    </row>
    <row r="314" spans="1:17" x14ac:dyDescent="0.25">
      <c r="A314" t="s">
        <v>715</v>
      </c>
      <c r="B314" t="s">
        <v>432</v>
      </c>
      <c r="C314">
        <v>5</v>
      </c>
      <c r="D314">
        <v>20220126</v>
      </c>
      <c r="E314">
        <f t="shared" si="4"/>
        <v>1</v>
      </c>
      <c r="F314">
        <v>401000</v>
      </c>
      <c r="G314" t="s">
        <v>41</v>
      </c>
      <c r="H314" t="s">
        <v>464</v>
      </c>
      <c r="I314" t="s">
        <v>465</v>
      </c>
      <c r="J314" t="s">
        <v>770</v>
      </c>
      <c r="K314">
        <v>20220126</v>
      </c>
      <c r="L314" t="s">
        <v>771</v>
      </c>
      <c r="M314">
        <v>67.66</v>
      </c>
      <c r="N314">
        <v>0</v>
      </c>
      <c r="O314" t="s">
        <v>23</v>
      </c>
      <c r="P314">
        <v>20220427</v>
      </c>
      <c r="Q314">
        <v>20220126</v>
      </c>
    </row>
    <row r="315" spans="1:17" x14ac:dyDescent="0.25">
      <c r="A315" t="s">
        <v>715</v>
      </c>
      <c r="B315" t="s">
        <v>432</v>
      </c>
      <c r="C315">
        <v>5</v>
      </c>
      <c r="D315">
        <v>20220126</v>
      </c>
      <c r="E315">
        <f t="shared" si="4"/>
        <v>1</v>
      </c>
      <c r="F315">
        <v>512200</v>
      </c>
      <c r="G315" t="s">
        <v>432</v>
      </c>
      <c r="H315" t="s">
        <v>401</v>
      </c>
      <c r="I315" t="s">
        <v>402</v>
      </c>
      <c r="J315" t="s">
        <v>770</v>
      </c>
      <c r="K315">
        <v>20220126</v>
      </c>
      <c r="L315" t="s">
        <v>771</v>
      </c>
      <c r="M315">
        <v>0</v>
      </c>
      <c r="N315">
        <v>67.66</v>
      </c>
      <c r="O315" t="s">
        <v>19</v>
      </c>
      <c r="P315" t="s">
        <v>20</v>
      </c>
      <c r="Q315">
        <v>20220126</v>
      </c>
    </row>
    <row r="316" spans="1:17" x14ac:dyDescent="0.25">
      <c r="A316" t="s">
        <v>715</v>
      </c>
      <c r="B316" t="s">
        <v>432</v>
      </c>
      <c r="C316">
        <v>5</v>
      </c>
      <c r="D316">
        <v>20220127</v>
      </c>
      <c r="E316">
        <f t="shared" si="4"/>
        <v>1</v>
      </c>
      <c r="F316">
        <v>512200</v>
      </c>
      <c r="G316" t="s">
        <v>432</v>
      </c>
      <c r="H316" t="s">
        <v>401</v>
      </c>
      <c r="I316" t="s">
        <v>402</v>
      </c>
      <c r="J316" t="s">
        <v>772</v>
      </c>
      <c r="K316">
        <v>20220127</v>
      </c>
      <c r="L316" t="s">
        <v>773</v>
      </c>
      <c r="M316">
        <v>2743.75</v>
      </c>
      <c r="N316">
        <v>0</v>
      </c>
      <c r="O316" t="s">
        <v>19</v>
      </c>
      <c r="P316" t="s">
        <v>20</v>
      </c>
      <c r="Q316">
        <v>20220127</v>
      </c>
    </row>
    <row r="317" spans="1:17" x14ac:dyDescent="0.25">
      <c r="A317" t="s">
        <v>715</v>
      </c>
      <c r="B317" t="s">
        <v>432</v>
      </c>
      <c r="C317">
        <v>5</v>
      </c>
      <c r="D317">
        <v>20220127</v>
      </c>
      <c r="E317">
        <f t="shared" si="4"/>
        <v>1</v>
      </c>
      <c r="F317">
        <v>511000</v>
      </c>
      <c r="G317" t="s">
        <v>431</v>
      </c>
      <c r="H317" t="s">
        <v>401</v>
      </c>
      <c r="I317" t="s">
        <v>402</v>
      </c>
      <c r="J317" t="s">
        <v>772</v>
      </c>
      <c r="K317">
        <v>20220127</v>
      </c>
      <c r="L317" t="s">
        <v>773</v>
      </c>
      <c r="M317">
        <v>0</v>
      </c>
      <c r="N317">
        <v>2743.75</v>
      </c>
      <c r="O317" t="s">
        <v>23</v>
      </c>
      <c r="P317">
        <v>20221017</v>
      </c>
      <c r="Q317">
        <v>20220127</v>
      </c>
    </row>
    <row r="318" spans="1:17" x14ac:dyDescent="0.25">
      <c r="A318" t="s">
        <v>715</v>
      </c>
      <c r="B318" t="s">
        <v>432</v>
      </c>
      <c r="C318">
        <v>5</v>
      </c>
      <c r="D318">
        <v>20220127</v>
      </c>
      <c r="E318">
        <f t="shared" si="4"/>
        <v>1</v>
      </c>
      <c r="F318">
        <v>580000</v>
      </c>
      <c r="G318" t="s">
        <v>532</v>
      </c>
      <c r="H318" t="s">
        <v>401</v>
      </c>
      <c r="I318" t="s">
        <v>402</v>
      </c>
      <c r="J318" t="s">
        <v>774</v>
      </c>
      <c r="K318">
        <v>20220127</v>
      </c>
      <c r="L318" t="s">
        <v>775</v>
      </c>
      <c r="M318">
        <v>0</v>
      </c>
      <c r="N318">
        <v>80</v>
      </c>
      <c r="O318" t="s">
        <v>23</v>
      </c>
      <c r="P318">
        <v>20220919</v>
      </c>
      <c r="Q318">
        <v>20220127</v>
      </c>
    </row>
    <row r="319" spans="1:17" x14ac:dyDescent="0.25">
      <c r="A319" t="s">
        <v>715</v>
      </c>
      <c r="B319" t="s">
        <v>432</v>
      </c>
      <c r="C319">
        <v>5</v>
      </c>
      <c r="D319">
        <v>20220127</v>
      </c>
      <c r="E319">
        <f t="shared" si="4"/>
        <v>1</v>
      </c>
      <c r="F319">
        <v>512200</v>
      </c>
      <c r="G319" t="s">
        <v>432</v>
      </c>
      <c r="H319" t="s">
        <v>401</v>
      </c>
      <c r="I319" t="s">
        <v>402</v>
      </c>
      <c r="J319" t="s">
        <v>774</v>
      </c>
      <c r="K319">
        <v>20220127</v>
      </c>
      <c r="L319" t="s">
        <v>775</v>
      </c>
      <c r="M319">
        <v>80</v>
      </c>
      <c r="N319">
        <v>0</v>
      </c>
      <c r="O319" t="s">
        <v>19</v>
      </c>
      <c r="P319" t="s">
        <v>20</v>
      </c>
      <c r="Q319">
        <v>20220127</v>
      </c>
    </row>
    <row r="320" spans="1:17" x14ac:dyDescent="0.25">
      <c r="A320" t="s">
        <v>715</v>
      </c>
      <c r="B320" t="s">
        <v>432</v>
      </c>
      <c r="C320">
        <v>5</v>
      </c>
      <c r="D320">
        <v>20220127</v>
      </c>
      <c r="E320">
        <f t="shared" si="4"/>
        <v>1</v>
      </c>
      <c r="F320">
        <v>401000</v>
      </c>
      <c r="G320" t="s">
        <v>41</v>
      </c>
      <c r="H320" t="s">
        <v>181</v>
      </c>
      <c r="I320" t="s">
        <v>182</v>
      </c>
      <c r="J320" t="s">
        <v>776</v>
      </c>
      <c r="K320">
        <v>20220127</v>
      </c>
      <c r="L320" t="s">
        <v>777</v>
      </c>
      <c r="M320">
        <v>45.94</v>
      </c>
      <c r="N320">
        <v>0</v>
      </c>
      <c r="O320" t="s">
        <v>23</v>
      </c>
      <c r="P320">
        <v>20220323</v>
      </c>
      <c r="Q320">
        <v>20220127</v>
      </c>
    </row>
    <row r="321" spans="1:17" x14ac:dyDescent="0.25">
      <c r="A321" t="s">
        <v>715</v>
      </c>
      <c r="B321" t="s">
        <v>432</v>
      </c>
      <c r="C321">
        <v>5</v>
      </c>
      <c r="D321">
        <v>20220127</v>
      </c>
      <c r="E321">
        <f t="shared" si="4"/>
        <v>1</v>
      </c>
      <c r="F321">
        <v>512200</v>
      </c>
      <c r="G321" t="s">
        <v>432</v>
      </c>
      <c r="H321" t="s">
        <v>401</v>
      </c>
      <c r="I321" t="s">
        <v>402</v>
      </c>
      <c r="J321" t="s">
        <v>776</v>
      </c>
      <c r="K321">
        <v>20220127</v>
      </c>
      <c r="L321" t="s">
        <v>777</v>
      </c>
      <c r="M321">
        <v>0</v>
      </c>
      <c r="N321">
        <v>45.94</v>
      </c>
      <c r="O321" t="s">
        <v>19</v>
      </c>
      <c r="P321" t="s">
        <v>20</v>
      </c>
      <c r="Q321">
        <v>20220127</v>
      </c>
    </row>
    <row r="322" spans="1:17" x14ac:dyDescent="0.25">
      <c r="A322" t="s">
        <v>715</v>
      </c>
      <c r="B322" t="s">
        <v>432</v>
      </c>
      <c r="C322">
        <v>5</v>
      </c>
      <c r="D322">
        <v>20220128</v>
      </c>
      <c r="E322">
        <f t="shared" si="4"/>
        <v>1</v>
      </c>
      <c r="F322">
        <v>401000</v>
      </c>
      <c r="G322" t="s">
        <v>41</v>
      </c>
      <c r="H322" t="s">
        <v>764</v>
      </c>
      <c r="I322" t="s">
        <v>765</v>
      </c>
      <c r="J322" t="s">
        <v>778</v>
      </c>
      <c r="K322">
        <v>20220128</v>
      </c>
      <c r="L322" t="s">
        <v>779</v>
      </c>
      <c r="M322">
        <v>173.09</v>
      </c>
      <c r="N322">
        <v>0</v>
      </c>
      <c r="O322" t="s">
        <v>23</v>
      </c>
      <c r="P322">
        <v>20220610</v>
      </c>
      <c r="Q322">
        <v>20220128</v>
      </c>
    </row>
    <row r="323" spans="1:17" x14ac:dyDescent="0.25">
      <c r="A323" t="s">
        <v>715</v>
      </c>
      <c r="B323" t="s">
        <v>432</v>
      </c>
      <c r="C323">
        <v>5</v>
      </c>
      <c r="D323">
        <v>20220128</v>
      </c>
      <c r="E323">
        <f t="shared" ref="E323:E386" si="5">VALUE(MID(D323,5,2))</f>
        <v>1</v>
      </c>
      <c r="F323">
        <v>512200</v>
      </c>
      <c r="G323" t="s">
        <v>432</v>
      </c>
      <c r="H323" t="s">
        <v>401</v>
      </c>
      <c r="I323" t="s">
        <v>402</v>
      </c>
      <c r="J323" t="s">
        <v>778</v>
      </c>
      <c r="K323">
        <v>20220128</v>
      </c>
      <c r="L323" t="s">
        <v>779</v>
      </c>
      <c r="M323">
        <v>0</v>
      </c>
      <c r="N323">
        <v>173.09</v>
      </c>
      <c r="O323" t="s">
        <v>19</v>
      </c>
      <c r="P323" t="s">
        <v>20</v>
      </c>
      <c r="Q323">
        <v>20220128</v>
      </c>
    </row>
    <row r="324" spans="1:17" x14ac:dyDescent="0.25">
      <c r="A324" t="s">
        <v>715</v>
      </c>
      <c r="B324" t="s">
        <v>432</v>
      </c>
      <c r="C324">
        <v>5</v>
      </c>
      <c r="D324">
        <v>20220131</v>
      </c>
      <c r="E324">
        <f t="shared" si="5"/>
        <v>1</v>
      </c>
      <c r="F324">
        <v>401000</v>
      </c>
      <c r="G324" t="s">
        <v>41</v>
      </c>
      <c r="H324" t="s">
        <v>52</v>
      </c>
      <c r="I324" t="s">
        <v>53</v>
      </c>
      <c r="J324" t="s">
        <v>780</v>
      </c>
      <c r="K324">
        <v>20220131</v>
      </c>
      <c r="L324" t="s">
        <v>781</v>
      </c>
      <c r="M324">
        <v>326.14999999999998</v>
      </c>
      <c r="N324">
        <v>0</v>
      </c>
      <c r="O324" t="s">
        <v>23</v>
      </c>
      <c r="P324">
        <v>20220321</v>
      </c>
      <c r="Q324">
        <v>20220131</v>
      </c>
    </row>
    <row r="325" spans="1:17" x14ac:dyDescent="0.25">
      <c r="A325" t="s">
        <v>715</v>
      </c>
      <c r="B325" t="s">
        <v>432</v>
      </c>
      <c r="C325">
        <v>5</v>
      </c>
      <c r="D325">
        <v>20220131</v>
      </c>
      <c r="E325">
        <f t="shared" si="5"/>
        <v>1</v>
      </c>
      <c r="F325">
        <v>512200</v>
      </c>
      <c r="G325" t="s">
        <v>432</v>
      </c>
      <c r="H325" t="s">
        <v>401</v>
      </c>
      <c r="I325" t="s">
        <v>402</v>
      </c>
      <c r="J325" t="s">
        <v>780</v>
      </c>
      <c r="K325">
        <v>20220131</v>
      </c>
      <c r="L325" t="s">
        <v>781</v>
      </c>
      <c r="M325">
        <v>0</v>
      </c>
      <c r="N325">
        <v>326.14999999999998</v>
      </c>
      <c r="O325" t="s">
        <v>19</v>
      </c>
      <c r="P325" t="s">
        <v>20</v>
      </c>
      <c r="Q325">
        <v>20220131</v>
      </c>
    </row>
    <row r="326" spans="1:17" x14ac:dyDescent="0.25">
      <c r="A326" t="s">
        <v>715</v>
      </c>
      <c r="B326" t="s">
        <v>432</v>
      </c>
      <c r="C326">
        <v>5</v>
      </c>
      <c r="D326">
        <v>20220131</v>
      </c>
      <c r="E326">
        <f t="shared" si="5"/>
        <v>1</v>
      </c>
      <c r="F326">
        <v>401000</v>
      </c>
      <c r="G326" t="s">
        <v>41</v>
      </c>
      <c r="H326" t="s">
        <v>52</v>
      </c>
      <c r="I326" t="s">
        <v>53</v>
      </c>
      <c r="J326" t="s">
        <v>782</v>
      </c>
      <c r="K326">
        <v>20220131</v>
      </c>
      <c r="L326" t="s">
        <v>783</v>
      </c>
      <c r="M326">
        <v>29</v>
      </c>
      <c r="N326">
        <v>0</v>
      </c>
      <c r="O326" t="s">
        <v>23</v>
      </c>
      <c r="P326">
        <v>20220321</v>
      </c>
      <c r="Q326">
        <v>20220131</v>
      </c>
    </row>
    <row r="327" spans="1:17" x14ac:dyDescent="0.25">
      <c r="A327" t="s">
        <v>715</v>
      </c>
      <c r="B327" t="s">
        <v>432</v>
      </c>
      <c r="C327">
        <v>5</v>
      </c>
      <c r="D327">
        <v>20220131</v>
      </c>
      <c r="E327">
        <f t="shared" si="5"/>
        <v>1</v>
      </c>
      <c r="F327">
        <v>512200</v>
      </c>
      <c r="G327" t="s">
        <v>432</v>
      </c>
      <c r="H327" t="s">
        <v>401</v>
      </c>
      <c r="I327" t="s">
        <v>402</v>
      </c>
      <c r="J327" t="s">
        <v>782</v>
      </c>
      <c r="K327">
        <v>20220131</v>
      </c>
      <c r="L327" t="s">
        <v>783</v>
      </c>
      <c r="M327">
        <v>0</v>
      </c>
      <c r="N327">
        <v>29</v>
      </c>
      <c r="O327" t="s">
        <v>19</v>
      </c>
      <c r="P327" t="s">
        <v>20</v>
      </c>
      <c r="Q327">
        <v>20220131</v>
      </c>
    </row>
    <row r="328" spans="1:17" x14ac:dyDescent="0.25">
      <c r="A328" t="s">
        <v>715</v>
      </c>
      <c r="B328" t="s">
        <v>432</v>
      </c>
      <c r="C328">
        <v>5</v>
      </c>
      <c r="D328">
        <v>20220131</v>
      </c>
      <c r="E328">
        <f t="shared" si="5"/>
        <v>1</v>
      </c>
      <c r="F328">
        <v>401000</v>
      </c>
      <c r="G328" t="s">
        <v>41</v>
      </c>
      <c r="H328" t="s">
        <v>52</v>
      </c>
      <c r="I328" t="s">
        <v>53</v>
      </c>
      <c r="J328" t="s">
        <v>784</v>
      </c>
      <c r="K328">
        <v>20220131</v>
      </c>
      <c r="L328" t="s">
        <v>785</v>
      </c>
      <c r="M328">
        <v>65.760000000000005</v>
      </c>
      <c r="N328">
        <v>0</v>
      </c>
      <c r="O328" t="s">
        <v>23</v>
      </c>
      <c r="P328">
        <v>20220321</v>
      </c>
      <c r="Q328">
        <v>20220131</v>
      </c>
    </row>
    <row r="329" spans="1:17" x14ac:dyDescent="0.25">
      <c r="A329" t="s">
        <v>715</v>
      </c>
      <c r="B329" t="s">
        <v>432</v>
      </c>
      <c r="C329">
        <v>5</v>
      </c>
      <c r="D329">
        <v>20220131</v>
      </c>
      <c r="E329">
        <f t="shared" si="5"/>
        <v>1</v>
      </c>
      <c r="F329">
        <v>512200</v>
      </c>
      <c r="G329" t="s">
        <v>432</v>
      </c>
      <c r="H329" t="s">
        <v>401</v>
      </c>
      <c r="I329" t="s">
        <v>402</v>
      </c>
      <c r="J329" t="s">
        <v>784</v>
      </c>
      <c r="K329">
        <v>20220131</v>
      </c>
      <c r="L329" t="s">
        <v>785</v>
      </c>
      <c r="M329">
        <v>0</v>
      </c>
      <c r="N329">
        <v>65.760000000000005</v>
      </c>
      <c r="O329" t="s">
        <v>19</v>
      </c>
      <c r="P329" t="s">
        <v>20</v>
      </c>
      <c r="Q329">
        <v>20220131</v>
      </c>
    </row>
    <row r="330" spans="1:17" x14ac:dyDescent="0.25">
      <c r="A330" t="s">
        <v>476</v>
      </c>
      <c r="B330" t="s">
        <v>477</v>
      </c>
      <c r="C330">
        <v>20</v>
      </c>
      <c r="D330">
        <v>20220202</v>
      </c>
      <c r="E330">
        <f t="shared" si="5"/>
        <v>2</v>
      </c>
      <c r="F330">
        <v>468200</v>
      </c>
      <c r="G330" t="s">
        <v>421</v>
      </c>
      <c r="H330" t="s">
        <v>401</v>
      </c>
      <c r="I330" t="s">
        <v>402</v>
      </c>
      <c r="J330" t="s">
        <v>866</v>
      </c>
      <c r="K330">
        <v>20220202</v>
      </c>
      <c r="L330" t="s">
        <v>422</v>
      </c>
      <c r="M330">
        <v>0</v>
      </c>
      <c r="N330">
        <v>299.86</v>
      </c>
      <c r="O330" t="s">
        <v>23</v>
      </c>
      <c r="P330">
        <v>20220914</v>
      </c>
      <c r="Q330">
        <v>20220202</v>
      </c>
    </row>
    <row r="331" spans="1:17" x14ac:dyDescent="0.25">
      <c r="A331" t="s">
        <v>476</v>
      </c>
      <c r="B331" t="s">
        <v>477</v>
      </c>
      <c r="C331">
        <v>20</v>
      </c>
      <c r="D331">
        <v>20220202</v>
      </c>
      <c r="E331">
        <f t="shared" si="5"/>
        <v>2</v>
      </c>
      <c r="F331">
        <v>512000</v>
      </c>
      <c r="G331" t="s">
        <v>428</v>
      </c>
      <c r="H331" t="s">
        <v>401</v>
      </c>
      <c r="I331" t="s">
        <v>402</v>
      </c>
      <c r="J331" t="s">
        <v>866</v>
      </c>
      <c r="K331">
        <v>20220202</v>
      </c>
      <c r="L331" t="s">
        <v>422</v>
      </c>
      <c r="M331">
        <v>299.86</v>
      </c>
      <c r="N331">
        <v>0</v>
      </c>
      <c r="O331" t="s">
        <v>19</v>
      </c>
      <c r="P331" t="s">
        <v>20</v>
      </c>
      <c r="Q331">
        <v>20220202</v>
      </c>
    </row>
    <row r="332" spans="1:17" x14ac:dyDescent="0.25">
      <c r="A332" t="s">
        <v>476</v>
      </c>
      <c r="B332" t="s">
        <v>477</v>
      </c>
      <c r="C332">
        <v>20</v>
      </c>
      <c r="D332">
        <v>20220203</v>
      </c>
      <c r="E332">
        <f t="shared" si="5"/>
        <v>2</v>
      </c>
      <c r="F332">
        <v>468725</v>
      </c>
      <c r="G332" t="s">
        <v>424</v>
      </c>
      <c r="H332" t="s">
        <v>401</v>
      </c>
      <c r="I332" t="s">
        <v>402</v>
      </c>
      <c r="J332" t="s">
        <v>867</v>
      </c>
      <c r="K332">
        <v>20220203</v>
      </c>
      <c r="L332" t="s">
        <v>868</v>
      </c>
      <c r="M332">
        <v>0</v>
      </c>
      <c r="N332">
        <v>1333.32</v>
      </c>
      <c r="O332" t="s">
        <v>23</v>
      </c>
      <c r="P332">
        <v>20230105</v>
      </c>
      <c r="Q332">
        <v>20220203</v>
      </c>
    </row>
    <row r="333" spans="1:17" x14ac:dyDescent="0.25">
      <c r="A333" t="s">
        <v>476</v>
      </c>
      <c r="B333" t="s">
        <v>477</v>
      </c>
      <c r="C333">
        <v>20</v>
      </c>
      <c r="D333">
        <v>20220203</v>
      </c>
      <c r="E333">
        <f t="shared" si="5"/>
        <v>2</v>
      </c>
      <c r="F333">
        <v>512000</v>
      </c>
      <c r="G333" t="s">
        <v>428</v>
      </c>
      <c r="H333" t="s">
        <v>401</v>
      </c>
      <c r="I333" t="s">
        <v>402</v>
      </c>
      <c r="J333" t="s">
        <v>867</v>
      </c>
      <c r="K333">
        <v>20220203</v>
      </c>
      <c r="L333" t="s">
        <v>868</v>
      </c>
      <c r="M333">
        <v>1333.32</v>
      </c>
      <c r="N333">
        <v>0</v>
      </c>
      <c r="O333" t="s">
        <v>19</v>
      </c>
      <c r="P333" t="s">
        <v>20</v>
      </c>
      <c r="Q333">
        <v>20220203</v>
      </c>
    </row>
    <row r="334" spans="1:17" x14ac:dyDescent="0.25">
      <c r="A334" t="s">
        <v>476</v>
      </c>
      <c r="B334" t="s">
        <v>477</v>
      </c>
      <c r="C334">
        <v>20</v>
      </c>
      <c r="D334">
        <v>20220203</v>
      </c>
      <c r="E334">
        <f t="shared" si="5"/>
        <v>2</v>
      </c>
      <c r="F334">
        <v>627000</v>
      </c>
      <c r="G334" t="s">
        <v>480</v>
      </c>
      <c r="H334" t="s">
        <v>401</v>
      </c>
      <c r="I334" t="s">
        <v>402</v>
      </c>
      <c r="J334" t="s">
        <v>869</v>
      </c>
      <c r="K334">
        <v>20220203</v>
      </c>
      <c r="L334" t="s">
        <v>482</v>
      </c>
      <c r="M334">
        <v>49</v>
      </c>
      <c r="N334">
        <v>0</v>
      </c>
      <c r="O334" t="s">
        <v>19</v>
      </c>
      <c r="P334" t="s">
        <v>20</v>
      </c>
      <c r="Q334">
        <v>20220203</v>
      </c>
    </row>
    <row r="335" spans="1:17" x14ac:dyDescent="0.25">
      <c r="A335" t="s">
        <v>476</v>
      </c>
      <c r="B335" t="s">
        <v>477</v>
      </c>
      <c r="C335">
        <v>20</v>
      </c>
      <c r="D335">
        <v>20220203</v>
      </c>
      <c r="E335">
        <f t="shared" si="5"/>
        <v>2</v>
      </c>
      <c r="F335">
        <v>512000</v>
      </c>
      <c r="G335" t="s">
        <v>428</v>
      </c>
      <c r="H335" t="s">
        <v>401</v>
      </c>
      <c r="I335" t="s">
        <v>402</v>
      </c>
      <c r="J335" t="s">
        <v>869</v>
      </c>
      <c r="K335">
        <v>20220203</v>
      </c>
      <c r="L335" t="s">
        <v>482</v>
      </c>
      <c r="M335">
        <v>0</v>
      </c>
      <c r="N335">
        <v>49</v>
      </c>
      <c r="O335" t="s">
        <v>19</v>
      </c>
      <c r="P335" t="s">
        <v>20</v>
      </c>
      <c r="Q335">
        <v>20220203</v>
      </c>
    </row>
    <row r="336" spans="1:17" x14ac:dyDescent="0.25">
      <c r="A336" t="s">
        <v>476</v>
      </c>
      <c r="B336" t="s">
        <v>477</v>
      </c>
      <c r="C336">
        <v>20</v>
      </c>
      <c r="D336">
        <v>20220203</v>
      </c>
      <c r="E336">
        <f t="shared" si="5"/>
        <v>2</v>
      </c>
      <c r="F336">
        <v>627000</v>
      </c>
      <c r="G336" t="s">
        <v>480</v>
      </c>
      <c r="H336" t="s">
        <v>401</v>
      </c>
      <c r="I336" t="s">
        <v>402</v>
      </c>
      <c r="J336" t="s">
        <v>870</v>
      </c>
      <c r="K336">
        <v>20220203</v>
      </c>
      <c r="L336" t="s">
        <v>482</v>
      </c>
      <c r="M336">
        <v>13.26</v>
      </c>
      <c r="N336">
        <v>0</v>
      </c>
      <c r="O336" t="s">
        <v>19</v>
      </c>
      <c r="P336" t="s">
        <v>20</v>
      </c>
      <c r="Q336">
        <v>20220203</v>
      </c>
    </row>
    <row r="337" spans="1:17" x14ac:dyDescent="0.25">
      <c r="A337" t="s">
        <v>476</v>
      </c>
      <c r="B337" t="s">
        <v>477</v>
      </c>
      <c r="C337">
        <v>20</v>
      </c>
      <c r="D337">
        <v>20220203</v>
      </c>
      <c r="E337">
        <f t="shared" si="5"/>
        <v>2</v>
      </c>
      <c r="F337">
        <v>512000</v>
      </c>
      <c r="G337" t="s">
        <v>428</v>
      </c>
      <c r="H337" t="s">
        <v>401</v>
      </c>
      <c r="I337" t="s">
        <v>402</v>
      </c>
      <c r="J337" t="s">
        <v>870</v>
      </c>
      <c r="K337">
        <v>20220203</v>
      </c>
      <c r="L337" t="s">
        <v>482</v>
      </c>
      <c r="M337">
        <v>0</v>
      </c>
      <c r="N337">
        <v>13.26</v>
      </c>
      <c r="O337" t="s">
        <v>19</v>
      </c>
      <c r="P337" t="s">
        <v>20</v>
      </c>
      <c r="Q337">
        <v>20220203</v>
      </c>
    </row>
    <row r="338" spans="1:17" x14ac:dyDescent="0.25">
      <c r="A338" t="s">
        <v>476</v>
      </c>
      <c r="B338" t="s">
        <v>477</v>
      </c>
      <c r="C338">
        <v>20</v>
      </c>
      <c r="D338">
        <v>20220203</v>
      </c>
      <c r="E338">
        <f t="shared" si="5"/>
        <v>2</v>
      </c>
      <c r="F338">
        <v>468200</v>
      </c>
      <c r="G338" t="s">
        <v>421</v>
      </c>
      <c r="H338" t="s">
        <v>401</v>
      </c>
      <c r="I338" t="s">
        <v>402</v>
      </c>
      <c r="J338" t="s">
        <v>871</v>
      </c>
      <c r="K338">
        <v>20220203</v>
      </c>
      <c r="L338" t="s">
        <v>422</v>
      </c>
      <c r="M338">
        <v>0</v>
      </c>
      <c r="N338">
        <v>232.7</v>
      </c>
      <c r="O338" t="s">
        <v>23</v>
      </c>
      <c r="P338">
        <v>20220914</v>
      </c>
      <c r="Q338">
        <v>20220203</v>
      </c>
    </row>
    <row r="339" spans="1:17" x14ac:dyDescent="0.25">
      <c r="A339" t="s">
        <v>476</v>
      </c>
      <c r="B339" t="s">
        <v>477</v>
      </c>
      <c r="C339">
        <v>20</v>
      </c>
      <c r="D339">
        <v>20220203</v>
      </c>
      <c r="E339">
        <f t="shared" si="5"/>
        <v>2</v>
      </c>
      <c r="F339">
        <v>512000</v>
      </c>
      <c r="G339" t="s">
        <v>428</v>
      </c>
      <c r="H339" t="s">
        <v>401</v>
      </c>
      <c r="I339" t="s">
        <v>402</v>
      </c>
      <c r="J339" t="s">
        <v>871</v>
      </c>
      <c r="K339">
        <v>20220203</v>
      </c>
      <c r="L339" t="s">
        <v>422</v>
      </c>
      <c r="M339">
        <v>232.7</v>
      </c>
      <c r="N339">
        <v>0</v>
      </c>
      <c r="O339" t="s">
        <v>19</v>
      </c>
      <c r="P339" t="s">
        <v>20</v>
      </c>
      <c r="Q339">
        <v>20220203</v>
      </c>
    </row>
    <row r="340" spans="1:17" x14ac:dyDescent="0.25">
      <c r="A340" t="s">
        <v>476</v>
      </c>
      <c r="B340" t="s">
        <v>477</v>
      </c>
      <c r="C340">
        <v>20</v>
      </c>
      <c r="D340">
        <v>20220203</v>
      </c>
      <c r="E340">
        <f t="shared" si="5"/>
        <v>2</v>
      </c>
      <c r="F340">
        <v>401000</v>
      </c>
      <c r="G340" t="s">
        <v>41</v>
      </c>
      <c r="H340" t="s">
        <v>225</v>
      </c>
      <c r="I340" t="s">
        <v>226</v>
      </c>
      <c r="J340" t="s">
        <v>872</v>
      </c>
      <c r="K340">
        <v>20220203</v>
      </c>
      <c r="L340" t="s">
        <v>488</v>
      </c>
      <c r="M340">
        <v>475.4</v>
      </c>
      <c r="N340">
        <v>0</v>
      </c>
      <c r="O340" t="s">
        <v>23</v>
      </c>
      <c r="P340">
        <v>20220510</v>
      </c>
      <c r="Q340">
        <v>20220203</v>
      </c>
    </row>
    <row r="341" spans="1:17" x14ac:dyDescent="0.25">
      <c r="A341" t="s">
        <v>476</v>
      </c>
      <c r="B341" t="s">
        <v>477</v>
      </c>
      <c r="C341">
        <v>20</v>
      </c>
      <c r="D341">
        <v>20220203</v>
      </c>
      <c r="E341">
        <f t="shared" si="5"/>
        <v>2</v>
      </c>
      <c r="F341">
        <v>512000</v>
      </c>
      <c r="G341" t="s">
        <v>428</v>
      </c>
      <c r="H341" t="s">
        <v>401</v>
      </c>
      <c r="I341" t="s">
        <v>402</v>
      </c>
      <c r="J341" t="s">
        <v>872</v>
      </c>
      <c r="K341">
        <v>20220203</v>
      </c>
      <c r="L341" t="s">
        <v>488</v>
      </c>
      <c r="M341">
        <v>0</v>
      </c>
      <c r="N341">
        <v>475.4</v>
      </c>
      <c r="O341" t="s">
        <v>19</v>
      </c>
      <c r="P341" t="s">
        <v>20</v>
      </c>
      <c r="Q341">
        <v>20220203</v>
      </c>
    </row>
    <row r="342" spans="1:17" x14ac:dyDescent="0.25">
      <c r="A342" t="s">
        <v>476</v>
      </c>
      <c r="B342" t="s">
        <v>477</v>
      </c>
      <c r="C342">
        <v>20</v>
      </c>
      <c r="D342">
        <v>20220203</v>
      </c>
      <c r="E342">
        <f t="shared" si="5"/>
        <v>2</v>
      </c>
      <c r="F342">
        <v>411000</v>
      </c>
      <c r="G342" t="s">
        <v>21</v>
      </c>
      <c r="H342" t="s">
        <v>144</v>
      </c>
      <c r="I342" t="s">
        <v>145</v>
      </c>
      <c r="J342" t="s">
        <v>873</v>
      </c>
      <c r="K342">
        <v>20220203</v>
      </c>
      <c r="L342" t="s">
        <v>874</v>
      </c>
      <c r="M342">
        <v>0</v>
      </c>
      <c r="N342">
        <v>512.5</v>
      </c>
      <c r="O342" t="s">
        <v>23</v>
      </c>
      <c r="P342">
        <v>20220502</v>
      </c>
      <c r="Q342">
        <v>20220203</v>
      </c>
    </row>
    <row r="343" spans="1:17" x14ac:dyDescent="0.25">
      <c r="A343" t="s">
        <v>476</v>
      </c>
      <c r="B343" t="s">
        <v>477</v>
      </c>
      <c r="C343">
        <v>20</v>
      </c>
      <c r="D343">
        <v>20220203</v>
      </c>
      <c r="E343">
        <f t="shared" si="5"/>
        <v>2</v>
      </c>
      <c r="F343">
        <v>512000</v>
      </c>
      <c r="G343" t="s">
        <v>428</v>
      </c>
      <c r="H343" t="s">
        <v>401</v>
      </c>
      <c r="I343" t="s">
        <v>402</v>
      </c>
      <c r="J343" t="s">
        <v>873</v>
      </c>
      <c r="K343">
        <v>20220203</v>
      </c>
      <c r="L343" t="s">
        <v>874</v>
      </c>
      <c r="M343">
        <v>512.5</v>
      </c>
      <c r="N343">
        <v>0</v>
      </c>
      <c r="O343" t="s">
        <v>19</v>
      </c>
      <c r="P343" t="s">
        <v>20</v>
      </c>
      <c r="Q343">
        <v>20220203</v>
      </c>
    </row>
    <row r="344" spans="1:17" x14ac:dyDescent="0.25">
      <c r="A344" t="s">
        <v>476</v>
      </c>
      <c r="B344" t="s">
        <v>477</v>
      </c>
      <c r="C344">
        <v>20</v>
      </c>
      <c r="D344">
        <v>20220207</v>
      </c>
      <c r="E344">
        <f t="shared" si="5"/>
        <v>2</v>
      </c>
      <c r="F344">
        <v>401000</v>
      </c>
      <c r="G344" t="s">
        <v>41</v>
      </c>
      <c r="H344" t="s">
        <v>834</v>
      </c>
      <c r="I344" t="s">
        <v>835</v>
      </c>
      <c r="J344" t="s">
        <v>875</v>
      </c>
      <c r="K344">
        <v>20220207</v>
      </c>
      <c r="L344" t="s">
        <v>127</v>
      </c>
      <c r="M344">
        <v>3135</v>
      </c>
      <c r="N344">
        <v>0</v>
      </c>
      <c r="O344" t="s">
        <v>23</v>
      </c>
      <c r="P344">
        <v>20220217</v>
      </c>
      <c r="Q344">
        <v>20220207</v>
      </c>
    </row>
    <row r="345" spans="1:17" x14ac:dyDescent="0.25">
      <c r="A345" t="s">
        <v>476</v>
      </c>
      <c r="B345" t="s">
        <v>477</v>
      </c>
      <c r="C345">
        <v>20</v>
      </c>
      <c r="D345">
        <v>20220207</v>
      </c>
      <c r="E345">
        <f t="shared" si="5"/>
        <v>2</v>
      </c>
      <c r="F345">
        <v>512000</v>
      </c>
      <c r="G345" t="s">
        <v>428</v>
      </c>
      <c r="H345" t="s">
        <v>401</v>
      </c>
      <c r="I345" t="s">
        <v>402</v>
      </c>
      <c r="J345" t="s">
        <v>875</v>
      </c>
      <c r="K345">
        <v>20220207</v>
      </c>
      <c r="L345" t="s">
        <v>127</v>
      </c>
      <c r="M345">
        <v>0</v>
      </c>
      <c r="N345">
        <v>3135</v>
      </c>
      <c r="O345" t="s">
        <v>19</v>
      </c>
      <c r="P345" t="s">
        <v>20</v>
      </c>
      <c r="Q345">
        <v>20220207</v>
      </c>
    </row>
    <row r="346" spans="1:17" x14ac:dyDescent="0.25">
      <c r="A346" t="s">
        <v>476</v>
      </c>
      <c r="B346" t="s">
        <v>477</v>
      </c>
      <c r="C346">
        <v>20</v>
      </c>
      <c r="D346">
        <v>20220207</v>
      </c>
      <c r="E346">
        <f t="shared" si="5"/>
        <v>2</v>
      </c>
      <c r="F346">
        <v>401000</v>
      </c>
      <c r="G346" t="s">
        <v>41</v>
      </c>
      <c r="H346" t="s">
        <v>445</v>
      </c>
      <c r="I346" t="s">
        <v>446</v>
      </c>
      <c r="J346" t="s">
        <v>876</v>
      </c>
      <c r="K346">
        <v>20220207</v>
      </c>
      <c r="L346" t="s">
        <v>163</v>
      </c>
      <c r="M346">
        <v>5446.68</v>
      </c>
      <c r="N346">
        <v>0</v>
      </c>
      <c r="O346" t="s">
        <v>22</v>
      </c>
      <c r="P346">
        <v>20220207</v>
      </c>
      <c r="Q346">
        <v>20220207</v>
      </c>
    </row>
    <row r="347" spans="1:17" x14ac:dyDescent="0.25">
      <c r="A347" t="s">
        <v>476</v>
      </c>
      <c r="B347" t="s">
        <v>477</v>
      </c>
      <c r="C347">
        <v>20</v>
      </c>
      <c r="D347">
        <v>20220207</v>
      </c>
      <c r="E347">
        <f t="shared" si="5"/>
        <v>2</v>
      </c>
      <c r="F347">
        <v>401000</v>
      </c>
      <c r="G347" t="s">
        <v>41</v>
      </c>
      <c r="H347" t="s">
        <v>46</v>
      </c>
      <c r="I347" t="s">
        <v>47</v>
      </c>
      <c r="J347" t="s">
        <v>876</v>
      </c>
      <c r="K347">
        <v>20220207</v>
      </c>
      <c r="L347" t="s">
        <v>163</v>
      </c>
      <c r="M347">
        <v>230</v>
      </c>
      <c r="N347">
        <v>0</v>
      </c>
      <c r="O347" t="s">
        <v>22</v>
      </c>
      <c r="P347">
        <v>20220207</v>
      </c>
      <c r="Q347">
        <v>20220207</v>
      </c>
    </row>
    <row r="348" spans="1:17" x14ac:dyDescent="0.25">
      <c r="A348" t="s">
        <v>476</v>
      </c>
      <c r="B348" t="s">
        <v>477</v>
      </c>
      <c r="C348">
        <v>20</v>
      </c>
      <c r="D348">
        <v>20220207</v>
      </c>
      <c r="E348">
        <f t="shared" si="5"/>
        <v>2</v>
      </c>
      <c r="F348">
        <v>401000</v>
      </c>
      <c r="G348" t="s">
        <v>41</v>
      </c>
      <c r="H348" t="s">
        <v>48</v>
      </c>
      <c r="I348" t="s">
        <v>49</v>
      </c>
      <c r="J348" t="s">
        <v>876</v>
      </c>
      <c r="K348">
        <v>20220207</v>
      </c>
      <c r="L348" t="s">
        <v>163</v>
      </c>
      <c r="M348">
        <v>2592.9</v>
      </c>
      <c r="N348">
        <v>0</v>
      </c>
      <c r="O348" t="s">
        <v>22</v>
      </c>
      <c r="P348">
        <v>20220207</v>
      </c>
      <c r="Q348">
        <v>20220207</v>
      </c>
    </row>
    <row r="349" spans="1:17" x14ac:dyDescent="0.25">
      <c r="A349" t="s">
        <v>476</v>
      </c>
      <c r="B349" t="s">
        <v>477</v>
      </c>
      <c r="C349">
        <v>20</v>
      </c>
      <c r="D349">
        <v>20220207</v>
      </c>
      <c r="E349">
        <f t="shared" si="5"/>
        <v>2</v>
      </c>
      <c r="F349">
        <v>401000</v>
      </c>
      <c r="G349" t="s">
        <v>41</v>
      </c>
      <c r="H349" t="s">
        <v>454</v>
      </c>
      <c r="I349" t="s">
        <v>455</v>
      </c>
      <c r="J349" t="s">
        <v>876</v>
      </c>
      <c r="K349">
        <v>20220207</v>
      </c>
      <c r="L349" t="s">
        <v>163</v>
      </c>
      <c r="M349">
        <v>148.97999999999999</v>
      </c>
      <c r="N349">
        <v>0</v>
      </c>
      <c r="O349" t="s">
        <v>22</v>
      </c>
      <c r="P349">
        <v>20220207</v>
      </c>
      <c r="Q349">
        <v>20220207</v>
      </c>
    </row>
    <row r="350" spans="1:17" x14ac:dyDescent="0.25">
      <c r="A350" t="s">
        <v>476</v>
      </c>
      <c r="B350" t="s">
        <v>477</v>
      </c>
      <c r="C350">
        <v>20</v>
      </c>
      <c r="D350">
        <v>20220207</v>
      </c>
      <c r="E350">
        <f t="shared" si="5"/>
        <v>2</v>
      </c>
      <c r="F350">
        <v>401000</v>
      </c>
      <c r="G350" t="s">
        <v>41</v>
      </c>
      <c r="H350" t="s">
        <v>134</v>
      </c>
      <c r="I350" t="s">
        <v>135</v>
      </c>
      <c r="J350" t="s">
        <v>876</v>
      </c>
      <c r="K350">
        <v>20220207</v>
      </c>
      <c r="L350" t="s">
        <v>163</v>
      </c>
      <c r="M350">
        <v>254.12</v>
      </c>
      <c r="N350">
        <v>0</v>
      </c>
      <c r="O350" t="s">
        <v>22</v>
      </c>
      <c r="P350">
        <v>20220207</v>
      </c>
      <c r="Q350">
        <v>20220207</v>
      </c>
    </row>
    <row r="351" spans="1:17" x14ac:dyDescent="0.25">
      <c r="A351" t="s">
        <v>476</v>
      </c>
      <c r="B351" t="s">
        <v>477</v>
      </c>
      <c r="C351">
        <v>20</v>
      </c>
      <c r="D351">
        <v>20220207</v>
      </c>
      <c r="E351">
        <f t="shared" si="5"/>
        <v>2</v>
      </c>
      <c r="F351">
        <v>401000</v>
      </c>
      <c r="G351" t="s">
        <v>41</v>
      </c>
      <c r="H351" t="s">
        <v>460</v>
      </c>
      <c r="I351" t="s">
        <v>461</v>
      </c>
      <c r="J351" t="s">
        <v>876</v>
      </c>
      <c r="K351">
        <v>20220207</v>
      </c>
      <c r="L351" t="s">
        <v>163</v>
      </c>
      <c r="M351">
        <v>2050</v>
      </c>
      <c r="N351">
        <v>0</v>
      </c>
      <c r="O351" t="s">
        <v>22</v>
      </c>
      <c r="P351">
        <v>20220207</v>
      </c>
      <c r="Q351">
        <v>20220207</v>
      </c>
    </row>
    <row r="352" spans="1:17" x14ac:dyDescent="0.25">
      <c r="A352" t="s">
        <v>476</v>
      </c>
      <c r="B352" t="s">
        <v>477</v>
      </c>
      <c r="C352">
        <v>20</v>
      </c>
      <c r="D352">
        <v>20220207</v>
      </c>
      <c r="E352">
        <f t="shared" si="5"/>
        <v>2</v>
      </c>
      <c r="F352">
        <v>401000</v>
      </c>
      <c r="G352" t="s">
        <v>41</v>
      </c>
      <c r="H352" t="s">
        <v>437</v>
      </c>
      <c r="I352" t="s">
        <v>438</v>
      </c>
      <c r="J352" t="s">
        <v>876</v>
      </c>
      <c r="K352">
        <v>20220207</v>
      </c>
      <c r="L352" t="s">
        <v>163</v>
      </c>
      <c r="M352">
        <v>9215.0300000000007</v>
      </c>
      <c r="N352">
        <v>0</v>
      </c>
      <c r="O352" t="s">
        <v>22</v>
      </c>
      <c r="P352">
        <v>20220207</v>
      </c>
      <c r="Q352">
        <v>20220207</v>
      </c>
    </row>
    <row r="353" spans="1:17" x14ac:dyDescent="0.25">
      <c r="A353" t="s">
        <v>476</v>
      </c>
      <c r="B353" t="s">
        <v>477</v>
      </c>
      <c r="C353">
        <v>20</v>
      </c>
      <c r="D353">
        <v>20220207</v>
      </c>
      <c r="E353">
        <f t="shared" si="5"/>
        <v>2</v>
      </c>
      <c r="F353">
        <v>401000</v>
      </c>
      <c r="G353" t="s">
        <v>41</v>
      </c>
      <c r="H353" t="s">
        <v>177</v>
      </c>
      <c r="I353" t="s">
        <v>178</v>
      </c>
      <c r="J353" t="s">
        <v>876</v>
      </c>
      <c r="K353">
        <v>20220207</v>
      </c>
      <c r="L353" t="s">
        <v>163</v>
      </c>
      <c r="M353">
        <v>332.5</v>
      </c>
      <c r="N353">
        <v>0</v>
      </c>
      <c r="O353" t="s">
        <v>22</v>
      </c>
      <c r="P353">
        <v>20220207</v>
      </c>
      <c r="Q353">
        <v>20220207</v>
      </c>
    </row>
    <row r="354" spans="1:17" x14ac:dyDescent="0.25">
      <c r="A354" t="s">
        <v>476</v>
      </c>
      <c r="B354" t="s">
        <v>477</v>
      </c>
      <c r="C354">
        <v>20</v>
      </c>
      <c r="D354">
        <v>20220207</v>
      </c>
      <c r="E354">
        <f t="shared" si="5"/>
        <v>2</v>
      </c>
      <c r="F354">
        <v>401000</v>
      </c>
      <c r="G354" t="s">
        <v>41</v>
      </c>
      <c r="H354" t="s">
        <v>452</v>
      </c>
      <c r="I354" t="s">
        <v>453</v>
      </c>
      <c r="J354" t="s">
        <v>876</v>
      </c>
      <c r="K354">
        <v>20220207</v>
      </c>
      <c r="L354" t="s">
        <v>163</v>
      </c>
      <c r="M354">
        <v>110</v>
      </c>
      <c r="N354">
        <v>0</v>
      </c>
      <c r="O354" t="s">
        <v>22</v>
      </c>
      <c r="P354">
        <v>20220207</v>
      </c>
      <c r="Q354">
        <v>20220207</v>
      </c>
    </row>
    <row r="355" spans="1:17" x14ac:dyDescent="0.25">
      <c r="A355" t="s">
        <v>476</v>
      </c>
      <c r="B355" t="s">
        <v>477</v>
      </c>
      <c r="C355">
        <v>20</v>
      </c>
      <c r="D355">
        <v>20220207</v>
      </c>
      <c r="E355">
        <f t="shared" si="5"/>
        <v>2</v>
      </c>
      <c r="F355">
        <v>401000</v>
      </c>
      <c r="G355" t="s">
        <v>41</v>
      </c>
      <c r="H355" t="s">
        <v>472</v>
      </c>
      <c r="I355" t="s">
        <v>473</v>
      </c>
      <c r="J355" t="s">
        <v>876</v>
      </c>
      <c r="K355">
        <v>20220207</v>
      </c>
      <c r="L355" t="s">
        <v>163</v>
      </c>
      <c r="M355">
        <v>280</v>
      </c>
      <c r="N355">
        <v>0</v>
      </c>
      <c r="O355" t="s">
        <v>22</v>
      </c>
      <c r="P355">
        <v>20220207</v>
      </c>
      <c r="Q355">
        <v>20220207</v>
      </c>
    </row>
    <row r="356" spans="1:17" x14ac:dyDescent="0.25">
      <c r="A356" t="s">
        <v>476</v>
      </c>
      <c r="B356" t="s">
        <v>477</v>
      </c>
      <c r="C356">
        <v>20</v>
      </c>
      <c r="D356">
        <v>20220207</v>
      </c>
      <c r="E356">
        <f t="shared" si="5"/>
        <v>2</v>
      </c>
      <c r="F356">
        <v>401000</v>
      </c>
      <c r="G356" t="s">
        <v>41</v>
      </c>
      <c r="H356" t="s">
        <v>825</v>
      </c>
      <c r="I356" t="s">
        <v>826</v>
      </c>
      <c r="J356" t="s">
        <v>876</v>
      </c>
      <c r="K356">
        <v>20220207</v>
      </c>
      <c r="L356" t="s">
        <v>163</v>
      </c>
      <c r="M356">
        <v>250</v>
      </c>
      <c r="N356">
        <v>0</v>
      </c>
      <c r="O356" t="s">
        <v>22</v>
      </c>
      <c r="P356">
        <v>20220207</v>
      </c>
      <c r="Q356">
        <v>20220207</v>
      </c>
    </row>
    <row r="357" spans="1:17" x14ac:dyDescent="0.25">
      <c r="A357" t="s">
        <v>476</v>
      </c>
      <c r="B357" t="s">
        <v>477</v>
      </c>
      <c r="C357">
        <v>20</v>
      </c>
      <c r="D357">
        <v>20220207</v>
      </c>
      <c r="E357">
        <f t="shared" si="5"/>
        <v>2</v>
      </c>
      <c r="F357">
        <v>401000</v>
      </c>
      <c r="G357" t="s">
        <v>41</v>
      </c>
      <c r="H357" t="s">
        <v>862</v>
      </c>
      <c r="I357" t="s">
        <v>863</v>
      </c>
      <c r="J357" t="s">
        <v>876</v>
      </c>
      <c r="K357">
        <v>20220207</v>
      </c>
      <c r="L357" t="s">
        <v>163</v>
      </c>
      <c r="M357">
        <v>85</v>
      </c>
      <c r="N357">
        <v>0</v>
      </c>
      <c r="O357" t="s">
        <v>22</v>
      </c>
      <c r="P357">
        <v>20220207</v>
      </c>
      <c r="Q357">
        <v>20220207</v>
      </c>
    </row>
    <row r="358" spans="1:17" x14ac:dyDescent="0.25">
      <c r="A358" t="s">
        <v>476</v>
      </c>
      <c r="B358" t="s">
        <v>477</v>
      </c>
      <c r="C358">
        <v>20</v>
      </c>
      <c r="D358">
        <v>20220207</v>
      </c>
      <c r="E358">
        <f t="shared" si="5"/>
        <v>2</v>
      </c>
      <c r="F358">
        <v>401000</v>
      </c>
      <c r="G358" t="s">
        <v>41</v>
      </c>
      <c r="H358" t="s">
        <v>830</v>
      </c>
      <c r="I358" t="s">
        <v>831</v>
      </c>
      <c r="J358" t="s">
        <v>876</v>
      </c>
      <c r="K358">
        <v>20220207</v>
      </c>
      <c r="L358" t="s">
        <v>163</v>
      </c>
      <c r="M358">
        <v>240</v>
      </c>
      <c r="N358">
        <v>0</v>
      </c>
      <c r="O358" t="s">
        <v>22</v>
      </c>
      <c r="P358">
        <v>20220207</v>
      </c>
      <c r="Q358">
        <v>20220207</v>
      </c>
    </row>
    <row r="359" spans="1:17" x14ac:dyDescent="0.25">
      <c r="A359" t="s">
        <v>476</v>
      </c>
      <c r="B359" t="s">
        <v>477</v>
      </c>
      <c r="C359">
        <v>20</v>
      </c>
      <c r="D359">
        <v>20220207</v>
      </c>
      <c r="E359">
        <f t="shared" si="5"/>
        <v>2</v>
      </c>
      <c r="F359">
        <v>512000</v>
      </c>
      <c r="G359" t="s">
        <v>428</v>
      </c>
      <c r="H359" t="s">
        <v>401</v>
      </c>
      <c r="I359" t="s">
        <v>402</v>
      </c>
      <c r="J359" t="s">
        <v>876</v>
      </c>
      <c r="K359">
        <v>20220207</v>
      </c>
      <c r="L359" t="s">
        <v>163</v>
      </c>
      <c r="M359">
        <v>0</v>
      </c>
      <c r="N359">
        <v>21235.21</v>
      </c>
      <c r="O359" t="s">
        <v>19</v>
      </c>
      <c r="P359" t="s">
        <v>20</v>
      </c>
      <c r="Q359">
        <v>20220207</v>
      </c>
    </row>
    <row r="360" spans="1:17" x14ac:dyDescent="0.25">
      <c r="A360" t="s">
        <v>476</v>
      </c>
      <c r="B360" t="s">
        <v>477</v>
      </c>
      <c r="C360">
        <v>20</v>
      </c>
      <c r="D360">
        <v>20220208</v>
      </c>
      <c r="E360">
        <f t="shared" si="5"/>
        <v>2</v>
      </c>
      <c r="F360">
        <v>468200</v>
      </c>
      <c r="G360" t="s">
        <v>421</v>
      </c>
      <c r="H360" t="s">
        <v>401</v>
      </c>
      <c r="I360" t="s">
        <v>402</v>
      </c>
      <c r="J360" t="s">
        <v>877</v>
      </c>
      <c r="K360">
        <v>20220208</v>
      </c>
      <c r="L360" t="s">
        <v>422</v>
      </c>
      <c r="M360">
        <v>0</v>
      </c>
      <c r="N360">
        <v>48.65</v>
      </c>
      <c r="O360" t="s">
        <v>19</v>
      </c>
      <c r="P360" t="s">
        <v>20</v>
      </c>
      <c r="Q360">
        <v>20220208</v>
      </c>
    </row>
    <row r="361" spans="1:17" x14ac:dyDescent="0.25">
      <c r="A361" t="s">
        <v>476</v>
      </c>
      <c r="B361" t="s">
        <v>477</v>
      </c>
      <c r="C361">
        <v>20</v>
      </c>
      <c r="D361">
        <v>20220208</v>
      </c>
      <c r="E361">
        <f t="shared" si="5"/>
        <v>2</v>
      </c>
      <c r="F361">
        <v>512000</v>
      </c>
      <c r="G361" t="s">
        <v>428</v>
      </c>
      <c r="H361" t="s">
        <v>401</v>
      </c>
      <c r="I361" t="s">
        <v>402</v>
      </c>
      <c r="J361" t="s">
        <v>877</v>
      </c>
      <c r="K361">
        <v>20220208</v>
      </c>
      <c r="L361" t="s">
        <v>422</v>
      </c>
      <c r="M361">
        <v>48.65</v>
      </c>
      <c r="N361">
        <v>0</v>
      </c>
      <c r="O361" t="s">
        <v>19</v>
      </c>
      <c r="P361" t="s">
        <v>20</v>
      </c>
      <c r="Q361">
        <v>20220208</v>
      </c>
    </row>
    <row r="362" spans="1:17" x14ac:dyDescent="0.25">
      <c r="A362" t="s">
        <v>476</v>
      </c>
      <c r="B362" t="s">
        <v>477</v>
      </c>
      <c r="C362">
        <v>20</v>
      </c>
      <c r="D362">
        <v>20220208</v>
      </c>
      <c r="E362">
        <f t="shared" si="5"/>
        <v>2</v>
      </c>
      <c r="F362">
        <v>580000</v>
      </c>
      <c r="G362" t="s">
        <v>532</v>
      </c>
      <c r="H362" t="s">
        <v>401</v>
      </c>
      <c r="I362" t="s">
        <v>402</v>
      </c>
      <c r="J362" t="s">
        <v>878</v>
      </c>
      <c r="K362">
        <v>20220208</v>
      </c>
      <c r="L362" t="s">
        <v>879</v>
      </c>
      <c r="M362">
        <v>0</v>
      </c>
      <c r="N362">
        <v>50000</v>
      </c>
      <c r="O362" t="s">
        <v>23</v>
      </c>
      <c r="P362">
        <v>20220919</v>
      </c>
      <c r="Q362">
        <v>20220208</v>
      </c>
    </row>
    <row r="363" spans="1:17" x14ac:dyDescent="0.25">
      <c r="A363" t="s">
        <v>476</v>
      </c>
      <c r="B363" t="s">
        <v>477</v>
      </c>
      <c r="C363">
        <v>20</v>
      </c>
      <c r="D363">
        <v>20220208</v>
      </c>
      <c r="E363">
        <f t="shared" si="5"/>
        <v>2</v>
      </c>
      <c r="F363">
        <v>512000</v>
      </c>
      <c r="G363" t="s">
        <v>428</v>
      </c>
      <c r="H363" t="s">
        <v>401</v>
      </c>
      <c r="I363" t="s">
        <v>402</v>
      </c>
      <c r="J363" t="s">
        <v>878</v>
      </c>
      <c r="K363">
        <v>20220208</v>
      </c>
      <c r="L363" t="s">
        <v>879</v>
      </c>
      <c r="M363">
        <v>50000</v>
      </c>
      <c r="N363">
        <v>0</v>
      </c>
      <c r="O363" t="s">
        <v>19</v>
      </c>
      <c r="P363" t="s">
        <v>20</v>
      </c>
      <c r="Q363">
        <v>20220208</v>
      </c>
    </row>
    <row r="364" spans="1:17" x14ac:dyDescent="0.25">
      <c r="A364" t="s">
        <v>476</v>
      </c>
      <c r="B364" t="s">
        <v>477</v>
      </c>
      <c r="C364">
        <v>20</v>
      </c>
      <c r="D364">
        <v>20220209</v>
      </c>
      <c r="E364">
        <f t="shared" si="5"/>
        <v>2</v>
      </c>
      <c r="F364">
        <v>468200</v>
      </c>
      <c r="G364" t="s">
        <v>421</v>
      </c>
      <c r="H364" t="s">
        <v>401</v>
      </c>
      <c r="I364" t="s">
        <v>402</v>
      </c>
      <c r="J364" t="s">
        <v>880</v>
      </c>
      <c r="K364">
        <v>20220209</v>
      </c>
      <c r="L364" t="s">
        <v>422</v>
      </c>
      <c r="M364">
        <v>0</v>
      </c>
      <c r="N364">
        <v>111.36</v>
      </c>
      <c r="O364" t="s">
        <v>23</v>
      </c>
      <c r="P364">
        <v>20221005</v>
      </c>
      <c r="Q364">
        <v>20220209</v>
      </c>
    </row>
    <row r="365" spans="1:17" x14ac:dyDescent="0.25">
      <c r="A365" t="s">
        <v>476</v>
      </c>
      <c r="B365" t="s">
        <v>477</v>
      </c>
      <c r="C365">
        <v>20</v>
      </c>
      <c r="D365">
        <v>20220209</v>
      </c>
      <c r="E365">
        <f t="shared" si="5"/>
        <v>2</v>
      </c>
      <c r="F365">
        <v>512000</v>
      </c>
      <c r="G365" t="s">
        <v>428</v>
      </c>
      <c r="H365" t="s">
        <v>401</v>
      </c>
      <c r="I365" t="s">
        <v>402</v>
      </c>
      <c r="J365" t="s">
        <v>880</v>
      </c>
      <c r="K365">
        <v>20220209</v>
      </c>
      <c r="L365" t="s">
        <v>422</v>
      </c>
      <c r="M365">
        <v>111.36</v>
      </c>
      <c r="N365">
        <v>0</v>
      </c>
      <c r="O365" t="s">
        <v>19</v>
      </c>
      <c r="P365" t="s">
        <v>20</v>
      </c>
      <c r="Q365">
        <v>20220209</v>
      </c>
    </row>
    <row r="366" spans="1:17" x14ac:dyDescent="0.25">
      <c r="A366" t="s">
        <v>476</v>
      </c>
      <c r="B366" t="s">
        <v>477</v>
      </c>
      <c r="C366">
        <v>20</v>
      </c>
      <c r="D366">
        <v>20220209</v>
      </c>
      <c r="E366">
        <f t="shared" si="5"/>
        <v>2</v>
      </c>
      <c r="F366">
        <v>468200</v>
      </c>
      <c r="G366" t="s">
        <v>421</v>
      </c>
      <c r="H366" t="s">
        <v>401</v>
      </c>
      <c r="I366" t="s">
        <v>402</v>
      </c>
      <c r="J366" t="s">
        <v>881</v>
      </c>
      <c r="K366">
        <v>20220209</v>
      </c>
      <c r="L366" t="s">
        <v>422</v>
      </c>
      <c r="M366">
        <v>0</v>
      </c>
      <c r="N366">
        <v>93.38</v>
      </c>
      <c r="O366" t="s">
        <v>19</v>
      </c>
      <c r="P366" t="s">
        <v>20</v>
      </c>
      <c r="Q366">
        <v>20220209</v>
      </c>
    </row>
    <row r="367" spans="1:17" x14ac:dyDescent="0.25">
      <c r="A367" t="s">
        <v>476</v>
      </c>
      <c r="B367" t="s">
        <v>477</v>
      </c>
      <c r="C367">
        <v>20</v>
      </c>
      <c r="D367">
        <v>20220209</v>
      </c>
      <c r="E367">
        <f t="shared" si="5"/>
        <v>2</v>
      </c>
      <c r="F367">
        <v>512000</v>
      </c>
      <c r="G367" t="s">
        <v>428</v>
      </c>
      <c r="H367" t="s">
        <v>401</v>
      </c>
      <c r="I367" t="s">
        <v>402</v>
      </c>
      <c r="J367" t="s">
        <v>881</v>
      </c>
      <c r="K367">
        <v>20220209</v>
      </c>
      <c r="L367" t="s">
        <v>422</v>
      </c>
      <c r="M367">
        <v>93.38</v>
      </c>
      <c r="N367">
        <v>0</v>
      </c>
      <c r="O367" t="s">
        <v>19</v>
      </c>
      <c r="P367" t="s">
        <v>20</v>
      </c>
      <c r="Q367">
        <v>20220209</v>
      </c>
    </row>
    <row r="368" spans="1:17" x14ac:dyDescent="0.25">
      <c r="A368" t="s">
        <v>476</v>
      </c>
      <c r="B368" t="s">
        <v>477</v>
      </c>
      <c r="C368">
        <v>20</v>
      </c>
      <c r="D368">
        <v>20220210</v>
      </c>
      <c r="E368">
        <f t="shared" si="5"/>
        <v>2</v>
      </c>
      <c r="F368">
        <v>467100</v>
      </c>
      <c r="G368" t="s">
        <v>160</v>
      </c>
      <c r="H368" t="s">
        <v>185</v>
      </c>
      <c r="I368" t="s">
        <v>186</v>
      </c>
      <c r="J368" t="s">
        <v>882</v>
      </c>
      <c r="K368">
        <v>20220210</v>
      </c>
      <c r="L368" t="s">
        <v>127</v>
      </c>
      <c r="M368">
        <v>500</v>
      </c>
      <c r="N368">
        <v>0</v>
      </c>
      <c r="O368" t="s">
        <v>23</v>
      </c>
      <c r="P368">
        <v>20220221</v>
      </c>
      <c r="Q368">
        <v>20220210</v>
      </c>
    </row>
    <row r="369" spans="1:17" x14ac:dyDescent="0.25">
      <c r="A369" t="s">
        <v>476</v>
      </c>
      <c r="B369" t="s">
        <v>477</v>
      </c>
      <c r="C369">
        <v>20</v>
      </c>
      <c r="D369">
        <v>20220210</v>
      </c>
      <c r="E369">
        <f t="shared" si="5"/>
        <v>2</v>
      </c>
      <c r="F369">
        <v>467100</v>
      </c>
      <c r="G369" t="s">
        <v>160</v>
      </c>
      <c r="H369" t="s">
        <v>164</v>
      </c>
      <c r="I369" t="s">
        <v>165</v>
      </c>
      <c r="J369" t="s">
        <v>882</v>
      </c>
      <c r="K369">
        <v>20220210</v>
      </c>
      <c r="L369" t="s">
        <v>127</v>
      </c>
      <c r="M369">
        <v>500</v>
      </c>
      <c r="N369">
        <v>0</v>
      </c>
      <c r="O369" t="s">
        <v>23</v>
      </c>
      <c r="P369">
        <v>20220221</v>
      </c>
      <c r="Q369">
        <v>20220210</v>
      </c>
    </row>
    <row r="370" spans="1:17" x14ac:dyDescent="0.25">
      <c r="A370" t="s">
        <v>476</v>
      </c>
      <c r="B370" t="s">
        <v>477</v>
      </c>
      <c r="C370">
        <v>20</v>
      </c>
      <c r="D370">
        <v>20220210</v>
      </c>
      <c r="E370">
        <f t="shared" si="5"/>
        <v>2</v>
      </c>
      <c r="F370">
        <v>512000</v>
      </c>
      <c r="G370" t="s">
        <v>428</v>
      </c>
      <c r="H370" t="s">
        <v>401</v>
      </c>
      <c r="I370" t="s">
        <v>402</v>
      </c>
      <c r="J370" t="s">
        <v>882</v>
      </c>
      <c r="K370">
        <v>20220210</v>
      </c>
      <c r="L370" t="s">
        <v>127</v>
      </c>
      <c r="M370">
        <v>0</v>
      </c>
      <c r="N370">
        <v>1000</v>
      </c>
      <c r="O370" t="s">
        <v>19</v>
      </c>
      <c r="P370" t="s">
        <v>20</v>
      </c>
      <c r="Q370">
        <v>20220210</v>
      </c>
    </row>
    <row r="371" spans="1:17" x14ac:dyDescent="0.25">
      <c r="A371" t="s">
        <v>476</v>
      </c>
      <c r="B371" t="s">
        <v>477</v>
      </c>
      <c r="C371">
        <v>20</v>
      </c>
      <c r="D371">
        <v>20220210</v>
      </c>
      <c r="E371">
        <f t="shared" si="5"/>
        <v>2</v>
      </c>
      <c r="F371">
        <v>468200</v>
      </c>
      <c r="G371" t="s">
        <v>421</v>
      </c>
      <c r="H371" t="s">
        <v>401</v>
      </c>
      <c r="I371" t="s">
        <v>402</v>
      </c>
      <c r="J371" t="s">
        <v>883</v>
      </c>
      <c r="K371">
        <v>20220210</v>
      </c>
      <c r="L371" t="s">
        <v>422</v>
      </c>
      <c r="M371">
        <v>0</v>
      </c>
      <c r="N371">
        <v>187.56</v>
      </c>
      <c r="O371" t="s">
        <v>23</v>
      </c>
      <c r="P371">
        <v>20221005</v>
      </c>
      <c r="Q371">
        <v>20220210</v>
      </c>
    </row>
    <row r="372" spans="1:17" x14ac:dyDescent="0.25">
      <c r="A372" t="s">
        <v>476</v>
      </c>
      <c r="B372" t="s">
        <v>477</v>
      </c>
      <c r="C372">
        <v>20</v>
      </c>
      <c r="D372">
        <v>20220210</v>
      </c>
      <c r="E372">
        <f t="shared" si="5"/>
        <v>2</v>
      </c>
      <c r="F372">
        <v>512000</v>
      </c>
      <c r="G372" t="s">
        <v>428</v>
      </c>
      <c r="H372" t="s">
        <v>401</v>
      </c>
      <c r="I372" t="s">
        <v>402</v>
      </c>
      <c r="J372" t="s">
        <v>883</v>
      </c>
      <c r="K372">
        <v>20220210</v>
      </c>
      <c r="L372" t="s">
        <v>422</v>
      </c>
      <c r="M372">
        <v>187.56</v>
      </c>
      <c r="N372">
        <v>0</v>
      </c>
      <c r="O372" t="s">
        <v>19</v>
      </c>
      <c r="P372" t="s">
        <v>20</v>
      </c>
      <c r="Q372">
        <v>20220210</v>
      </c>
    </row>
    <row r="373" spans="1:17" x14ac:dyDescent="0.25">
      <c r="A373" t="s">
        <v>476</v>
      </c>
      <c r="B373" t="s">
        <v>477</v>
      </c>
      <c r="C373">
        <v>20</v>
      </c>
      <c r="D373">
        <v>20220211</v>
      </c>
      <c r="E373">
        <f t="shared" si="5"/>
        <v>2</v>
      </c>
      <c r="F373">
        <v>401000</v>
      </c>
      <c r="G373" t="s">
        <v>41</v>
      </c>
      <c r="H373" t="s">
        <v>71</v>
      </c>
      <c r="I373" t="s">
        <v>72</v>
      </c>
      <c r="J373" t="s">
        <v>884</v>
      </c>
      <c r="K373">
        <v>20220211</v>
      </c>
      <c r="L373" t="s">
        <v>163</v>
      </c>
      <c r="M373">
        <v>880</v>
      </c>
      <c r="N373">
        <v>0</v>
      </c>
      <c r="O373" t="s">
        <v>22</v>
      </c>
      <c r="P373">
        <v>20220211</v>
      </c>
      <c r="Q373">
        <v>20220211</v>
      </c>
    </row>
    <row r="374" spans="1:17" x14ac:dyDescent="0.25">
      <c r="A374" t="s">
        <v>476</v>
      </c>
      <c r="B374" t="s">
        <v>477</v>
      </c>
      <c r="C374">
        <v>20</v>
      </c>
      <c r="D374">
        <v>20220211</v>
      </c>
      <c r="E374">
        <f t="shared" si="5"/>
        <v>2</v>
      </c>
      <c r="F374">
        <v>401000</v>
      </c>
      <c r="G374" t="s">
        <v>41</v>
      </c>
      <c r="H374" t="s">
        <v>75</v>
      </c>
      <c r="I374" t="s">
        <v>76</v>
      </c>
      <c r="J374" t="s">
        <v>884</v>
      </c>
      <c r="K374">
        <v>20220211</v>
      </c>
      <c r="L374" t="s">
        <v>163</v>
      </c>
      <c r="M374">
        <v>615.21</v>
      </c>
      <c r="N374">
        <v>0</v>
      </c>
      <c r="O374" t="s">
        <v>22</v>
      </c>
      <c r="P374">
        <v>20220211</v>
      </c>
      <c r="Q374">
        <v>20220211</v>
      </c>
    </row>
    <row r="375" spans="1:17" x14ac:dyDescent="0.25">
      <c r="A375" t="s">
        <v>476</v>
      </c>
      <c r="B375" t="s">
        <v>477</v>
      </c>
      <c r="C375">
        <v>20</v>
      </c>
      <c r="D375">
        <v>20220211</v>
      </c>
      <c r="E375">
        <f t="shared" si="5"/>
        <v>2</v>
      </c>
      <c r="F375">
        <v>512000</v>
      </c>
      <c r="G375" t="s">
        <v>428</v>
      </c>
      <c r="H375" t="s">
        <v>401</v>
      </c>
      <c r="I375" t="s">
        <v>402</v>
      </c>
      <c r="J375" t="s">
        <v>884</v>
      </c>
      <c r="K375">
        <v>20220211</v>
      </c>
      <c r="L375" t="s">
        <v>163</v>
      </c>
      <c r="M375">
        <v>0</v>
      </c>
      <c r="N375">
        <v>1495.21</v>
      </c>
      <c r="O375" t="s">
        <v>19</v>
      </c>
      <c r="P375" t="s">
        <v>20</v>
      </c>
      <c r="Q375">
        <v>20220211</v>
      </c>
    </row>
    <row r="376" spans="1:17" x14ac:dyDescent="0.25">
      <c r="A376" t="s">
        <v>476</v>
      </c>
      <c r="B376" t="s">
        <v>477</v>
      </c>
      <c r="C376">
        <v>20</v>
      </c>
      <c r="D376">
        <v>20220211</v>
      </c>
      <c r="E376">
        <f t="shared" si="5"/>
        <v>2</v>
      </c>
      <c r="F376">
        <v>468740</v>
      </c>
      <c r="G376" t="s">
        <v>426</v>
      </c>
      <c r="H376" t="s">
        <v>401</v>
      </c>
      <c r="I376" t="s">
        <v>402</v>
      </c>
      <c r="J376" t="s">
        <v>885</v>
      </c>
      <c r="K376">
        <v>20220211</v>
      </c>
      <c r="L376" t="s">
        <v>886</v>
      </c>
      <c r="M376">
        <v>0</v>
      </c>
      <c r="N376">
        <v>465.3</v>
      </c>
      <c r="O376" t="s">
        <v>23</v>
      </c>
      <c r="P376">
        <v>20221005</v>
      </c>
      <c r="Q376">
        <v>20220211</v>
      </c>
    </row>
    <row r="377" spans="1:17" x14ac:dyDescent="0.25">
      <c r="A377" t="s">
        <v>476</v>
      </c>
      <c r="B377" t="s">
        <v>477</v>
      </c>
      <c r="C377">
        <v>20</v>
      </c>
      <c r="D377">
        <v>20220211</v>
      </c>
      <c r="E377">
        <f t="shared" si="5"/>
        <v>2</v>
      </c>
      <c r="F377">
        <v>512000</v>
      </c>
      <c r="G377" t="s">
        <v>428</v>
      </c>
      <c r="H377" t="s">
        <v>401</v>
      </c>
      <c r="I377" t="s">
        <v>402</v>
      </c>
      <c r="J377" t="s">
        <v>885</v>
      </c>
      <c r="K377">
        <v>20220211</v>
      </c>
      <c r="L377" t="s">
        <v>886</v>
      </c>
      <c r="M377">
        <v>465.3</v>
      </c>
      <c r="N377">
        <v>0</v>
      </c>
      <c r="O377" t="s">
        <v>19</v>
      </c>
      <c r="P377" t="s">
        <v>20</v>
      </c>
      <c r="Q377">
        <v>20220211</v>
      </c>
    </row>
    <row r="378" spans="1:17" x14ac:dyDescent="0.25">
      <c r="A378" t="s">
        <v>476</v>
      </c>
      <c r="B378" t="s">
        <v>477</v>
      </c>
      <c r="C378">
        <v>20</v>
      </c>
      <c r="D378">
        <v>20220211</v>
      </c>
      <c r="E378">
        <f t="shared" si="5"/>
        <v>2</v>
      </c>
      <c r="F378">
        <v>468200</v>
      </c>
      <c r="G378" t="s">
        <v>421</v>
      </c>
      <c r="H378" t="s">
        <v>401</v>
      </c>
      <c r="I378" t="s">
        <v>402</v>
      </c>
      <c r="J378" t="s">
        <v>887</v>
      </c>
      <c r="K378">
        <v>20220211</v>
      </c>
      <c r="L378" t="s">
        <v>422</v>
      </c>
      <c r="M378">
        <v>0</v>
      </c>
      <c r="N378">
        <v>125.04</v>
      </c>
      <c r="O378" t="s">
        <v>23</v>
      </c>
      <c r="P378">
        <v>20221005</v>
      </c>
      <c r="Q378">
        <v>20220211</v>
      </c>
    </row>
    <row r="379" spans="1:17" x14ac:dyDescent="0.25">
      <c r="A379" t="s">
        <v>476</v>
      </c>
      <c r="B379" t="s">
        <v>477</v>
      </c>
      <c r="C379">
        <v>20</v>
      </c>
      <c r="D379">
        <v>20220211</v>
      </c>
      <c r="E379">
        <f t="shared" si="5"/>
        <v>2</v>
      </c>
      <c r="F379">
        <v>512000</v>
      </c>
      <c r="G379" t="s">
        <v>428</v>
      </c>
      <c r="H379" t="s">
        <v>401</v>
      </c>
      <c r="I379" t="s">
        <v>402</v>
      </c>
      <c r="J379" t="s">
        <v>887</v>
      </c>
      <c r="K379">
        <v>20220211</v>
      </c>
      <c r="L379" t="s">
        <v>422</v>
      </c>
      <c r="M379">
        <v>125.04</v>
      </c>
      <c r="N379">
        <v>0</v>
      </c>
      <c r="O379" t="s">
        <v>19</v>
      </c>
      <c r="P379" t="s">
        <v>20</v>
      </c>
      <c r="Q379">
        <v>20220211</v>
      </c>
    </row>
    <row r="380" spans="1:17" x14ac:dyDescent="0.25">
      <c r="A380" t="s">
        <v>476</v>
      </c>
      <c r="B380" t="s">
        <v>477</v>
      </c>
      <c r="C380">
        <v>20</v>
      </c>
      <c r="D380">
        <v>20220211</v>
      </c>
      <c r="E380">
        <f t="shared" si="5"/>
        <v>2</v>
      </c>
      <c r="F380">
        <v>708220</v>
      </c>
      <c r="G380" t="s">
        <v>814</v>
      </c>
      <c r="H380" t="s">
        <v>401</v>
      </c>
      <c r="I380" t="s">
        <v>402</v>
      </c>
      <c r="J380" t="s">
        <v>888</v>
      </c>
      <c r="K380">
        <v>20220211</v>
      </c>
      <c r="L380" t="s">
        <v>889</v>
      </c>
      <c r="M380">
        <v>0</v>
      </c>
      <c r="N380">
        <v>28.5</v>
      </c>
      <c r="O380" t="s">
        <v>19</v>
      </c>
      <c r="P380" t="s">
        <v>20</v>
      </c>
      <c r="Q380">
        <v>20220211</v>
      </c>
    </row>
    <row r="381" spans="1:17" x14ac:dyDescent="0.25">
      <c r="A381" t="s">
        <v>476</v>
      </c>
      <c r="B381" t="s">
        <v>477</v>
      </c>
      <c r="C381">
        <v>20</v>
      </c>
      <c r="D381">
        <v>20220211</v>
      </c>
      <c r="E381">
        <f t="shared" si="5"/>
        <v>2</v>
      </c>
      <c r="F381">
        <v>512000</v>
      </c>
      <c r="G381" t="s">
        <v>428</v>
      </c>
      <c r="H381" t="s">
        <v>401</v>
      </c>
      <c r="I381" t="s">
        <v>402</v>
      </c>
      <c r="J381" t="s">
        <v>888</v>
      </c>
      <c r="K381">
        <v>20220211</v>
      </c>
      <c r="L381" t="s">
        <v>889</v>
      </c>
      <c r="M381">
        <v>28.5</v>
      </c>
      <c r="N381">
        <v>0</v>
      </c>
      <c r="O381" t="s">
        <v>19</v>
      </c>
      <c r="P381" t="s">
        <v>20</v>
      </c>
      <c r="Q381">
        <v>20220211</v>
      </c>
    </row>
    <row r="382" spans="1:17" x14ac:dyDescent="0.25">
      <c r="A382" t="s">
        <v>476</v>
      </c>
      <c r="B382" t="s">
        <v>477</v>
      </c>
      <c r="C382">
        <v>20</v>
      </c>
      <c r="D382">
        <v>20220214</v>
      </c>
      <c r="E382">
        <f t="shared" si="5"/>
        <v>2</v>
      </c>
      <c r="F382">
        <v>437000</v>
      </c>
      <c r="G382" t="s">
        <v>430</v>
      </c>
      <c r="H382" t="s">
        <v>401</v>
      </c>
      <c r="I382" t="s">
        <v>402</v>
      </c>
      <c r="J382" t="s">
        <v>890</v>
      </c>
      <c r="K382">
        <v>20220214</v>
      </c>
      <c r="L382" t="s">
        <v>497</v>
      </c>
      <c r="M382">
        <v>1481.58</v>
      </c>
      <c r="N382">
        <v>0</v>
      </c>
      <c r="O382" t="s">
        <v>19</v>
      </c>
      <c r="P382" t="s">
        <v>20</v>
      </c>
      <c r="Q382">
        <v>20220214</v>
      </c>
    </row>
    <row r="383" spans="1:17" x14ac:dyDescent="0.25">
      <c r="A383" t="s">
        <v>476</v>
      </c>
      <c r="B383" t="s">
        <v>477</v>
      </c>
      <c r="C383">
        <v>20</v>
      </c>
      <c r="D383">
        <v>20220214</v>
      </c>
      <c r="E383">
        <f t="shared" si="5"/>
        <v>2</v>
      </c>
      <c r="F383">
        <v>512000</v>
      </c>
      <c r="G383" t="s">
        <v>428</v>
      </c>
      <c r="H383" t="s">
        <v>401</v>
      </c>
      <c r="I383" t="s">
        <v>402</v>
      </c>
      <c r="J383" t="s">
        <v>890</v>
      </c>
      <c r="K383">
        <v>20220214</v>
      </c>
      <c r="L383" t="s">
        <v>497</v>
      </c>
      <c r="M383">
        <v>0</v>
      </c>
      <c r="N383">
        <v>1481.58</v>
      </c>
      <c r="O383" t="s">
        <v>19</v>
      </c>
      <c r="P383" t="s">
        <v>20</v>
      </c>
      <c r="Q383">
        <v>20220214</v>
      </c>
    </row>
    <row r="384" spans="1:17" x14ac:dyDescent="0.25">
      <c r="A384" t="s">
        <v>476</v>
      </c>
      <c r="B384" t="s">
        <v>477</v>
      </c>
      <c r="C384">
        <v>20</v>
      </c>
      <c r="D384">
        <v>20220214</v>
      </c>
      <c r="E384">
        <f t="shared" si="5"/>
        <v>2</v>
      </c>
      <c r="F384">
        <v>468200</v>
      </c>
      <c r="G384" t="s">
        <v>421</v>
      </c>
      <c r="H384" t="s">
        <v>401</v>
      </c>
      <c r="I384" t="s">
        <v>402</v>
      </c>
      <c r="J384" t="s">
        <v>891</v>
      </c>
      <c r="K384">
        <v>20220214</v>
      </c>
      <c r="L384" t="s">
        <v>422</v>
      </c>
      <c r="M384">
        <v>0</v>
      </c>
      <c r="N384">
        <v>577.08000000000004</v>
      </c>
      <c r="O384" t="s">
        <v>23</v>
      </c>
      <c r="P384">
        <v>20221005</v>
      </c>
      <c r="Q384">
        <v>20220214</v>
      </c>
    </row>
    <row r="385" spans="1:17" x14ac:dyDescent="0.25">
      <c r="A385" t="s">
        <v>476</v>
      </c>
      <c r="B385" t="s">
        <v>477</v>
      </c>
      <c r="C385">
        <v>20</v>
      </c>
      <c r="D385">
        <v>20220214</v>
      </c>
      <c r="E385">
        <f t="shared" si="5"/>
        <v>2</v>
      </c>
      <c r="F385">
        <v>512000</v>
      </c>
      <c r="G385" t="s">
        <v>428</v>
      </c>
      <c r="H385" t="s">
        <v>401</v>
      </c>
      <c r="I385" t="s">
        <v>402</v>
      </c>
      <c r="J385" t="s">
        <v>891</v>
      </c>
      <c r="K385">
        <v>20220214</v>
      </c>
      <c r="L385" t="s">
        <v>422</v>
      </c>
      <c r="M385">
        <v>577.08000000000004</v>
      </c>
      <c r="N385">
        <v>0</v>
      </c>
      <c r="O385" t="s">
        <v>19</v>
      </c>
      <c r="P385" t="s">
        <v>20</v>
      </c>
      <c r="Q385">
        <v>20220214</v>
      </c>
    </row>
    <row r="386" spans="1:17" x14ac:dyDescent="0.25">
      <c r="A386" t="s">
        <v>476</v>
      </c>
      <c r="B386" t="s">
        <v>477</v>
      </c>
      <c r="C386">
        <v>20</v>
      </c>
      <c r="D386">
        <v>20220214</v>
      </c>
      <c r="E386">
        <f t="shared" si="5"/>
        <v>2</v>
      </c>
      <c r="F386">
        <v>468725</v>
      </c>
      <c r="G386" t="s">
        <v>424</v>
      </c>
      <c r="H386" t="s">
        <v>401</v>
      </c>
      <c r="I386" t="s">
        <v>402</v>
      </c>
      <c r="J386" t="s">
        <v>892</v>
      </c>
      <c r="K386">
        <v>20220214</v>
      </c>
      <c r="L386" t="s">
        <v>893</v>
      </c>
      <c r="M386">
        <v>0</v>
      </c>
      <c r="N386">
        <v>92</v>
      </c>
      <c r="O386" t="s">
        <v>23</v>
      </c>
      <c r="P386">
        <v>20230105</v>
      </c>
      <c r="Q386">
        <v>20220214</v>
      </c>
    </row>
    <row r="387" spans="1:17" x14ac:dyDescent="0.25">
      <c r="A387" t="s">
        <v>476</v>
      </c>
      <c r="B387" t="s">
        <v>477</v>
      </c>
      <c r="C387">
        <v>20</v>
      </c>
      <c r="D387">
        <v>20220214</v>
      </c>
      <c r="E387">
        <f t="shared" ref="E387:E450" si="6">VALUE(MID(D387,5,2))</f>
        <v>2</v>
      </c>
      <c r="F387">
        <v>512000</v>
      </c>
      <c r="G387" t="s">
        <v>428</v>
      </c>
      <c r="H387" t="s">
        <v>401</v>
      </c>
      <c r="I387" t="s">
        <v>402</v>
      </c>
      <c r="J387" t="s">
        <v>892</v>
      </c>
      <c r="K387">
        <v>20220214</v>
      </c>
      <c r="L387" t="s">
        <v>893</v>
      </c>
      <c r="M387">
        <v>92</v>
      </c>
      <c r="N387">
        <v>0</v>
      </c>
      <c r="O387" t="s">
        <v>19</v>
      </c>
      <c r="P387" t="s">
        <v>20</v>
      </c>
      <c r="Q387">
        <v>20220214</v>
      </c>
    </row>
    <row r="388" spans="1:17" x14ac:dyDescent="0.25">
      <c r="A388" t="s">
        <v>476</v>
      </c>
      <c r="B388" t="s">
        <v>477</v>
      </c>
      <c r="C388">
        <v>20</v>
      </c>
      <c r="D388">
        <v>20220216</v>
      </c>
      <c r="E388">
        <f t="shared" si="6"/>
        <v>2</v>
      </c>
      <c r="F388">
        <v>401000</v>
      </c>
      <c r="G388" t="s">
        <v>41</v>
      </c>
      <c r="H388" t="s">
        <v>58</v>
      </c>
      <c r="I388" t="s">
        <v>59</v>
      </c>
      <c r="J388" t="s">
        <v>894</v>
      </c>
      <c r="K388">
        <v>20220216</v>
      </c>
      <c r="L388" t="s">
        <v>163</v>
      </c>
      <c r="M388">
        <v>187.9</v>
      </c>
      <c r="N388">
        <v>0</v>
      </c>
      <c r="O388" t="s">
        <v>23</v>
      </c>
      <c r="P388">
        <v>20220217</v>
      </c>
      <c r="Q388">
        <v>20220216</v>
      </c>
    </row>
    <row r="389" spans="1:17" x14ac:dyDescent="0.25">
      <c r="A389" t="s">
        <v>476</v>
      </c>
      <c r="B389" t="s">
        <v>477</v>
      </c>
      <c r="C389">
        <v>20</v>
      </c>
      <c r="D389">
        <v>20220216</v>
      </c>
      <c r="E389">
        <f t="shared" si="6"/>
        <v>2</v>
      </c>
      <c r="F389">
        <v>401000</v>
      </c>
      <c r="G389" t="s">
        <v>41</v>
      </c>
      <c r="H389" t="s">
        <v>166</v>
      </c>
      <c r="I389" t="s">
        <v>167</v>
      </c>
      <c r="J389" t="s">
        <v>894</v>
      </c>
      <c r="K389">
        <v>20220216</v>
      </c>
      <c r="L389" t="s">
        <v>163</v>
      </c>
      <c r="M389">
        <v>441.5</v>
      </c>
      <c r="N389">
        <v>0</v>
      </c>
      <c r="O389" t="s">
        <v>23</v>
      </c>
      <c r="P389">
        <v>20220217</v>
      </c>
      <c r="Q389">
        <v>20220216</v>
      </c>
    </row>
    <row r="390" spans="1:17" x14ac:dyDescent="0.25">
      <c r="A390" t="s">
        <v>476</v>
      </c>
      <c r="B390" t="s">
        <v>477</v>
      </c>
      <c r="C390">
        <v>20</v>
      </c>
      <c r="D390">
        <v>20220216</v>
      </c>
      <c r="E390">
        <f t="shared" si="6"/>
        <v>2</v>
      </c>
      <c r="F390">
        <v>401000</v>
      </c>
      <c r="G390" t="s">
        <v>41</v>
      </c>
      <c r="H390" t="s">
        <v>303</v>
      </c>
      <c r="I390" t="s">
        <v>304</v>
      </c>
      <c r="J390" t="s">
        <v>894</v>
      </c>
      <c r="K390">
        <v>20220216</v>
      </c>
      <c r="L390" t="s">
        <v>163</v>
      </c>
      <c r="M390">
        <v>520</v>
      </c>
      <c r="N390">
        <v>0</v>
      </c>
      <c r="O390" t="s">
        <v>23</v>
      </c>
      <c r="P390">
        <v>20220217</v>
      </c>
      <c r="Q390">
        <v>20220216</v>
      </c>
    </row>
    <row r="391" spans="1:17" x14ac:dyDescent="0.25">
      <c r="A391" t="s">
        <v>476</v>
      </c>
      <c r="B391" t="s">
        <v>477</v>
      </c>
      <c r="C391">
        <v>20</v>
      </c>
      <c r="D391">
        <v>20220216</v>
      </c>
      <c r="E391">
        <f t="shared" si="6"/>
        <v>2</v>
      </c>
      <c r="F391">
        <v>401000</v>
      </c>
      <c r="G391" t="s">
        <v>41</v>
      </c>
      <c r="H391" t="s">
        <v>466</v>
      </c>
      <c r="I391" t="s">
        <v>467</v>
      </c>
      <c r="J391" t="s">
        <v>894</v>
      </c>
      <c r="K391">
        <v>20220216</v>
      </c>
      <c r="L391" t="s">
        <v>163</v>
      </c>
      <c r="M391">
        <v>432</v>
      </c>
      <c r="N391">
        <v>0</v>
      </c>
      <c r="O391" t="s">
        <v>23</v>
      </c>
      <c r="P391">
        <v>20220217</v>
      </c>
      <c r="Q391">
        <v>20220216</v>
      </c>
    </row>
    <row r="392" spans="1:17" x14ac:dyDescent="0.25">
      <c r="A392" t="s">
        <v>476</v>
      </c>
      <c r="B392" t="s">
        <v>477</v>
      </c>
      <c r="C392">
        <v>20</v>
      </c>
      <c r="D392">
        <v>20220216</v>
      </c>
      <c r="E392">
        <f t="shared" si="6"/>
        <v>2</v>
      </c>
      <c r="F392">
        <v>401000</v>
      </c>
      <c r="G392" t="s">
        <v>41</v>
      </c>
      <c r="H392" t="s">
        <v>827</v>
      </c>
      <c r="I392" t="s">
        <v>828</v>
      </c>
      <c r="J392" t="s">
        <v>894</v>
      </c>
      <c r="K392">
        <v>20220216</v>
      </c>
      <c r="L392" t="s">
        <v>163</v>
      </c>
      <c r="M392">
        <v>307.5</v>
      </c>
      <c r="N392">
        <v>0</v>
      </c>
      <c r="O392" t="s">
        <v>23</v>
      </c>
      <c r="P392">
        <v>20220321</v>
      </c>
      <c r="Q392">
        <v>20220216</v>
      </c>
    </row>
    <row r="393" spans="1:17" x14ac:dyDescent="0.25">
      <c r="A393" t="s">
        <v>476</v>
      </c>
      <c r="B393" t="s">
        <v>477</v>
      </c>
      <c r="C393">
        <v>20</v>
      </c>
      <c r="D393">
        <v>20220216</v>
      </c>
      <c r="E393">
        <f t="shared" si="6"/>
        <v>2</v>
      </c>
      <c r="F393">
        <v>512000</v>
      </c>
      <c r="G393" t="s">
        <v>428</v>
      </c>
      <c r="H393" t="s">
        <v>401</v>
      </c>
      <c r="I393" t="s">
        <v>402</v>
      </c>
      <c r="J393" t="s">
        <v>894</v>
      </c>
      <c r="K393">
        <v>20220216</v>
      </c>
      <c r="L393" t="s">
        <v>163</v>
      </c>
      <c r="M393">
        <v>0</v>
      </c>
      <c r="N393">
        <v>1888.9</v>
      </c>
      <c r="O393" t="s">
        <v>19</v>
      </c>
      <c r="P393" t="s">
        <v>20</v>
      </c>
      <c r="Q393">
        <v>20220216</v>
      </c>
    </row>
    <row r="394" spans="1:17" x14ac:dyDescent="0.25">
      <c r="A394" t="s">
        <v>476</v>
      </c>
      <c r="B394" t="s">
        <v>477</v>
      </c>
      <c r="C394">
        <v>20</v>
      </c>
      <c r="D394">
        <v>20220216</v>
      </c>
      <c r="E394">
        <f t="shared" si="6"/>
        <v>2</v>
      </c>
      <c r="F394">
        <v>467100</v>
      </c>
      <c r="G394" t="s">
        <v>160</v>
      </c>
      <c r="H394" t="s">
        <v>517</v>
      </c>
      <c r="I394" t="s">
        <v>518</v>
      </c>
      <c r="J394" t="s">
        <v>895</v>
      </c>
      <c r="K394">
        <v>20220216</v>
      </c>
      <c r="L394" t="s">
        <v>127</v>
      </c>
      <c r="M394">
        <v>100</v>
      </c>
      <c r="N394">
        <v>0</v>
      </c>
      <c r="O394" t="s">
        <v>23</v>
      </c>
      <c r="P394">
        <v>20220221</v>
      </c>
      <c r="Q394">
        <v>20220216</v>
      </c>
    </row>
    <row r="395" spans="1:17" x14ac:dyDescent="0.25">
      <c r="A395" t="s">
        <v>476</v>
      </c>
      <c r="B395" t="s">
        <v>477</v>
      </c>
      <c r="C395">
        <v>20</v>
      </c>
      <c r="D395">
        <v>20220216</v>
      </c>
      <c r="E395">
        <f t="shared" si="6"/>
        <v>2</v>
      </c>
      <c r="F395">
        <v>467100</v>
      </c>
      <c r="G395" t="s">
        <v>160</v>
      </c>
      <c r="H395" t="s">
        <v>316</v>
      </c>
      <c r="I395" t="s">
        <v>317</v>
      </c>
      <c r="J395" t="s">
        <v>895</v>
      </c>
      <c r="K395">
        <v>20220216</v>
      </c>
      <c r="L395" t="s">
        <v>127</v>
      </c>
      <c r="M395">
        <v>280</v>
      </c>
      <c r="N395">
        <v>0</v>
      </c>
      <c r="O395" t="s">
        <v>23</v>
      </c>
      <c r="P395">
        <v>20220221</v>
      </c>
      <c r="Q395">
        <v>20220216</v>
      </c>
    </row>
    <row r="396" spans="1:17" x14ac:dyDescent="0.25">
      <c r="A396" t="s">
        <v>476</v>
      </c>
      <c r="B396" t="s">
        <v>477</v>
      </c>
      <c r="C396">
        <v>20</v>
      </c>
      <c r="D396">
        <v>20220216</v>
      </c>
      <c r="E396">
        <f t="shared" si="6"/>
        <v>2</v>
      </c>
      <c r="F396">
        <v>512000</v>
      </c>
      <c r="G396" t="s">
        <v>428</v>
      </c>
      <c r="H396" t="s">
        <v>401</v>
      </c>
      <c r="I396" t="s">
        <v>402</v>
      </c>
      <c r="J396" t="s">
        <v>895</v>
      </c>
      <c r="K396">
        <v>20220216</v>
      </c>
      <c r="L396" t="s">
        <v>127</v>
      </c>
      <c r="M396">
        <v>0</v>
      </c>
      <c r="N396">
        <v>380</v>
      </c>
      <c r="O396" t="s">
        <v>19</v>
      </c>
      <c r="P396" t="s">
        <v>20</v>
      </c>
      <c r="Q396">
        <v>20220216</v>
      </c>
    </row>
    <row r="397" spans="1:17" x14ac:dyDescent="0.25">
      <c r="A397" t="s">
        <v>476</v>
      </c>
      <c r="B397" t="s">
        <v>477</v>
      </c>
      <c r="C397">
        <v>20</v>
      </c>
      <c r="D397">
        <v>20220216</v>
      </c>
      <c r="E397">
        <f t="shared" si="6"/>
        <v>2</v>
      </c>
      <c r="F397">
        <v>431000</v>
      </c>
      <c r="G397" t="s">
        <v>408</v>
      </c>
      <c r="H397" t="s">
        <v>401</v>
      </c>
      <c r="I397" t="s">
        <v>402</v>
      </c>
      <c r="J397" t="s">
        <v>896</v>
      </c>
      <c r="K397">
        <v>20220216</v>
      </c>
      <c r="L397" t="s">
        <v>409</v>
      </c>
      <c r="M397">
        <v>26901</v>
      </c>
      <c r="N397">
        <v>0</v>
      </c>
      <c r="O397" t="s">
        <v>23</v>
      </c>
      <c r="P397">
        <v>20230218</v>
      </c>
      <c r="Q397">
        <v>20220216</v>
      </c>
    </row>
    <row r="398" spans="1:17" x14ac:dyDescent="0.25">
      <c r="A398" t="s">
        <v>476</v>
      </c>
      <c r="B398" t="s">
        <v>477</v>
      </c>
      <c r="C398">
        <v>20</v>
      </c>
      <c r="D398">
        <v>20220216</v>
      </c>
      <c r="E398">
        <f t="shared" si="6"/>
        <v>2</v>
      </c>
      <c r="F398">
        <v>512000</v>
      </c>
      <c r="G398" t="s">
        <v>428</v>
      </c>
      <c r="H398" t="s">
        <v>401</v>
      </c>
      <c r="I398" t="s">
        <v>402</v>
      </c>
      <c r="J398" t="s">
        <v>896</v>
      </c>
      <c r="K398">
        <v>20220216</v>
      </c>
      <c r="L398" t="s">
        <v>409</v>
      </c>
      <c r="M398">
        <v>0</v>
      </c>
      <c r="N398">
        <v>26901</v>
      </c>
      <c r="O398" t="s">
        <v>19</v>
      </c>
      <c r="P398" t="s">
        <v>20</v>
      </c>
      <c r="Q398">
        <v>20220216</v>
      </c>
    </row>
    <row r="399" spans="1:17" x14ac:dyDescent="0.25">
      <c r="A399" t="s">
        <v>476</v>
      </c>
      <c r="B399" t="s">
        <v>477</v>
      </c>
      <c r="C399">
        <v>20</v>
      </c>
      <c r="D399">
        <v>20220216</v>
      </c>
      <c r="E399">
        <f t="shared" si="6"/>
        <v>2</v>
      </c>
      <c r="F399">
        <v>447000</v>
      </c>
      <c r="G399" t="s">
        <v>419</v>
      </c>
      <c r="H399" t="s">
        <v>401</v>
      </c>
      <c r="I399" t="s">
        <v>402</v>
      </c>
      <c r="J399" t="s">
        <v>897</v>
      </c>
      <c r="K399">
        <v>20220216</v>
      </c>
      <c r="L399" t="s">
        <v>898</v>
      </c>
      <c r="M399">
        <v>7639</v>
      </c>
      <c r="N399">
        <v>0</v>
      </c>
      <c r="O399" t="s">
        <v>23</v>
      </c>
      <c r="P399">
        <v>20230120</v>
      </c>
      <c r="Q399">
        <v>20220216</v>
      </c>
    </row>
    <row r="400" spans="1:17" x14ac:dyDescent="0.25">
      <c r="A400" t="s">
        <v>476</v>
      </c>
      <c r="B400" t="s">
        <v>477</v>
      </c>
      <c r="C400">
        <v>20</v>
      </c>
      <c r="D400">
        <v>20220216</v>
      </c>
      <c r="E400">
        <f t="shared" si="6"/>
        <v>2</v>
      </c>
      <c r="F400">
        <v>512000</v>
      </c>
      <c r="G400" t="s">
        <v>428</v>
      </c>
      <c r="H400" t="s">
        <v>401</v>
      </c>
      <c r="I400" t="s">
        <v>402</v>
      </c>
      <c r="J400" t="s">
        <v>897</v>
      </c>
      <c r="K400">
        <v>20220216</v>
      </c>
      <c r="L400" t="s">
        <v>898</v>
      </c>
      <c r="M400">
        <v>0</v>
      </c>
      <c r="N400">
        <v>7639</v>
      </c>
      <c r="O400" t="s">
        <v>19</v>
      </c>
      <c r="P400" t="s">
        <v>20</v>
      </c>
      <c r="Q400">
        <v>20220216</v>
      </c>
    </row>
    <row r="401" spans="1:17" x14ac:dyDescent="0.25">
      <c r="A401" t="s">
        <v>476</v>
      </c>
      <c r="B401" t="s">
        <v>477</v>
      </c>
      <c r="C401">
        <v>20</v>
      </c>
      <c r="D401">
        <v>20220216</v>
      </c>
      <c r="E401">
        <f t="shared" si="6"/>
        <v>2</v>
      </c>
      <c r="F401">
        <v>468200</v>
      </c>
      <c r="G401" t="s">
        <v>421</v>
      </c>
      <c r="H401" t="s">
        <v>401</v>
      </c>
      <c r="I401" t="s">
        <v>402</v>
      </c>
      <c r="J401" t="s">
        <v>899</v>
      </c>
      <c r="K401">
        <v>20220216</v>
      </c>
      <c r="L401" t="s">
        <v>422</v>
      </c>
      <c r="M401">
        <v>0</v>
      </c>
      <c r="N401">
        <v>114.9</v>
      </c>
      <c r="O401" t="s">
        <v>23</v>
      </c>
      <c r="P401">
        <v>20221005</v>
      </c>
      <c r="Q401">
        <v>20220216</v>
      </c>
    </row>
    <row r="402" spans="1:17" x14ac:dyDescent="0.25">
      <c r="A402" t="s">
        <v>476</v>
      </c>
      <c r="B402" t="s">
        <v>477</v>
      </c>
      <c r="C402">
        <v>20</v>
      </c>
      <c r="D402">
        <v>20220216</v>
      </c>
      <c r="E402">
        <f t="shared" si="6"/>
        <v>2</v>
      </c>
      <c r="F402">
        <v>512000</v>
      </c>
      <c r="G402" t="s">
        <v>428</v>
      </c>
      <c r="H402" t="s">
        <v>401</v>
      </c>
      <c r="I402" t="s">
        <v>402</v>
      </c>
      <c r="J402" t="s">
        <v>899</v>
      </c>
      <c r="K402">
        <v>20220216</v>
      </c>
      <c r="L402" t="s">
        <v>422</v>
      </c>
      <c r="M402">
        <v>114.9</v>
      </c>
      <c r="N402">
        <v>0</v>
      </c>
      <c r="O402" t="s">
        <v>19</v>
      </c>
      <c r="P402" t="s">
        <v>20</v>
      </c>
      <c r="Q402">
        <v>20220216</v>
      </c>
    </row>
    <row r="403" spans="1:17" x14ac:dyDescent="0.25">
      <c r="A403" t="s">
        <v>476</v>
      </c>
      <c r="B403" t="s">
        <v>477</v>
      </c>
      <c r="C403">
        <v>20</v>
      </c>
      <c r="D403">
        <v>20220216</v>
      </c>
      <c r="E403">
        <f t="shared" si="6"/>
        <v>2</v>
      </c>
      <c r="F403">
        <v>468725</v>
      </c>
      <c r="G403" t="s">
        <v>424</v>
      </c>
      <c r="H403" t="s">
        <v>401</v>
      </c>
      <c r="I403" t="s">
        <v>402</v>
      </c>
      <c r="J403" t="s">
        <v>900</v>
      </c>
      <c r="K403">
        <v>20220216</v>
      </c>
      <c r="L403" t="s">
        <v>901</v>
      </c>
      <c r="M403">
        <v>0</v>
      </c>
      <c r="N403">
        <v>3333.3</v>
      </c>
      <c r="O403" t="s">
        <v>23</v>
      </c>
      <c r="P403">
        <v>20230105</v>
      </c>
      <c r="Q403">
        <v>20220216</v>
      </c>
    </row>
    <row r="404" spans="1:17" x14ac:dyDescent="0.25">
      <c r="A404" t="s">
        <v>476</v>
      </c>
      <c r="B404" t="s">
        <v>477</v>
      </c>
      <c r="C404">
        <v>20</v>
      </c>
      <c r="D404">
        <v>20220216</v>
      </c>
      <c r="E404">
        <f t="shared" si="6"/>
        <v>2</v>
      </c>
      <c r="F404">
        <v>512000</v>
      </c>
      <c r="G404" t="s">
        <v>428</v>
      </c>
      <c r="H404" t="s">
        <v>401</v>
      </c>
      <c r="I404" t="s">
        <v>402</v>
      </c>
      <c r="J404" t="s">
        <v>900</v>
      </c>
      <c r="K404">
        <v>20220216</v>
      </c>
      <c r="L404" t="s">
        <v>901</v>
      </c>
      <c r="M404">
        <v>3333.3</v>
      </c>
      <c r="N404">
        <v>0</v>
      </c>
      <c r="O404" t="s">
        <v>19</v>
      </c>
      <c r="P404" t="s">
        <v>20</v>
      </c>
      <c r="Q404">
        <v>20220216</v>
      </c>
    </row>
    <row r="405" spans="1:17" x14ac:dyDescent="0.25">
      <c r="A405" t="s">
        <v>476</v>
      </c>
      <c r="B405" t="s">
        <v>477</v>
      </c>
      <c r="C405">
        <v>20</v>
      </c>
      <c r="D405">
        <v>20220217</v>
      </c>
      <c r="E405">
        <f t="shared" si="6"/>
        <v>2</v>
      </c>
      <c r="F405">
        <v>468200</v>
      </c>
      <c r="G405" t="s">
        <v>421</v>
      </c>
      <c r="H405" t="s">
        <v>401</v>
      </c>
      <c r="I405" t="s">
        <v>402</v>
      </c>
      <c r="J405" t="s">
        <v>902</v>
      </c>
      <c r="K405">
        <v>20220217</v>
      </c>
      <c r="L405" t="s">
        <v>422</v>
      </c>
      <c r="M405">
        <v>0</v>
      </c>
      <c r="N405">
        <v>178.03</v>
      </c>
      <c r="O405" t="s">
        <v>23</v>
      </c>
      <c r="P405">
        <v>20221005</v>
      </c>
      <c r="Q405">
        <v>20220217</v>
      </c>
    </row>
    <row r="406" spans="1:17" x14ac:dyDescent="0.25">
      <c r="A406" t="s">
        <v>476</v>
      </c>
      <c r="B406" t="s">
        <v>477</v>
      </c>
      <c r="C406">
        <v>20</v>
      </c>
      <c r="D406">
        <v>20220217</v>
      </c>
      <c r="E406">
        <f t="shared" si="6"/>
        <v>2</v>
      </c>
      <c r="F406">
        <v>512000</v>
      </c>
      <c r="G406" t="s">
        <v>428</v>
      </c>
      <c r="H406" t="s">
        <v>401</v>
      </c>
      <c r="I406" t="s">
        <v>402</v>
      </c>
      <c r="J406" t="s">
        <v>902</v>
      </c>
      <c r="K406">
        <v>20220217</v>
      </c>
      <c r="L406" t="s">
        <v>422</v>
      </c>
      <c r="M406">
        <v>178.03</v>
      </c>
      <c r="N406">
        <v>0</v>
      </c>
      <c r="O406" t="s">
        <v>19</v>
      </c>
      <c r="P406" t="s">
        <v>20</v>
      </c>
      <c r="Q406">
        <v>20220217</v>
      </c>
    </row>
    <row r="407" spans="1:17" x14ac:dyDescent="0.25">
      <c r="A407" t="s">
        <v>476</v>
      </c>
      <c r="B407" t="s">
        <v>477</v>
      </c>
      <c r="C407">
        <v>20</v>
      </c>
      <c r="D407">
        <v>20220218</v>
      </c>
      <c r="E407">
        <f t="shared" si="6"/>
        <v>2</v>
      </c>
      <c r="F407">
        <v>468200</v>
      </c>
      <c r="G407" t="s">
        <v>421</v>
      </c>
      <c r="H407" t="s">
        <v>401</v>
      </c>
      <c r="I407" t="s">
        <v>402</v>
      </c>
      <c r="J407" t="s">
        <v>903</v>
      </c>
      <c r="K407">
        <v>20220218</v>
      </c>
      <c r="L407" t="s">
        <v>422</v>
      </c>
      <c r="M407">
        <v>0</v>
      </c>
      <c r="N407">
        <v>39.72</v>
      </c>
      <c r="O407" t="s">
        <v>23</v>
      </c>
      <c r="P407">
        <v>20221005</v>
      </c>
      <c r="Q407">
        <v>20220218</v>
      </c>
    </row>
    <row r="408" spans="1:17" x14ac:dyDescent="0.25">
      <c r="A408" t="s">
        <v>476</v>
      </c>
      <c r="B408" t="s">
        <v>477</v>
      </c>
      <c r="C408">
        <v>20</v>
      </c>
      <c r="D408">
        <v>20220218</v>
      </c>
      <c r="E408">
        <f t="shared" si="6"/>
        <v>2</v>
      </c>
      <c r="F408">
        <v>512000</v>
      </c>
      <c r="G408" t="s">
        <v>428</v>
      </c>
      <c r="H408" t="s">
        <v>401</v>
      </c>
      <c r="I408" t="s">
        <v>402</v>
      </c>
      <c r="J408" t="s">
        <v>903</v>
      </c>
      <c r="K408">
        <v>20220218</v>
      </c>
      <c r="L408" t="s">
        <v>422</v>
      </c>
      <c r="M408">
        <v>39.72</v>
      </c>
      <c r="N408">
        <v>0</v>
      </c>
      <c r="O408" t="s">
        <v>19</v>
      </c>
      <c r="P408" t="s">
        <v>20</v>
      </c>
      <c r="Q408">
        <v>20220218</v>
      </c>
    </row>
    <row r="409" spans="1:17" x14ac:dyDescent="0.25">
      <c r="A409" t="s">
        <v>476</v>
      </c>
      <c r="B409" t="s">
        <v>477</v>
      </c>
      <c r="C409">
        <v>20</v>
      </c>
      <c r="D409">
        <v>20220221</v>
      </c>
      <c r="E409">
        <f t="shared" si="6"/>
        <v>2</v>
      </c>
      <c r="F409">
        <v>401000</v>
      </c>
      <c r="G409" t="s">
        <v>41</v>
      </c>
      <c r="H409" t="s">
        <v>42</v>
      </c>
      <c r="I409" t="s">
        <v>43</v>
      </c>
      <c r="J409" t="s">
        <v>904</v>
      </c>
      <c r="K409">
        <v>20220221</v>
      </c>
      <c r="L409" t="s">
        <v>163</v>
      </c>
      <c r="M409">
        <v>1053.55</v>
      </c>
      <c r="N409">
        <v>0</v>
      </c>
      <c r="O409" t="s">
        <v>22</v>
      </c>
      <c r="P409">
        <v>20220221</v>
      </c>
      <c r="Q409">
        <v>20220221</v>
      </c>
    </row>
    <row r="410" spans="1:17" x14ac:dyDescent="0.25">
      <c r="A410" t="s">
        <v>476</v>
      </c>
      <c r="B410" t="s">
        <v>477</v>
      </c>
      <c r="C410">
        <v>20</v>
      </c>
      <c r="D410">
        <v>20220221</v>
      </c>
      <c r="E410">
        <f t="shared" si="6"/>
        <v>2</v>
      </c>
      <c r="F410">
        <v>401000</v>
      </c>
      <c r="G410" t="s">
        <v>41</v>
      </c>
      <c r="H410" t="s">
        <v>46</v>
      </c>
      <c r="I410" t="s">
        <v>47</v>
      </c>
      <c r="J410" t="s">
        <v>904</v>
      </c>
      <c r="K410">
        <v>20220221</v>
      </c>
      <c r="L410" t="s">
        <v>163</v>
      </c>
      <c r="M410">
        <v>975</v>
      </c>
      <c r="N410">
        <v>0</v>
      </c>
      <c r="O410" t="s">
        <v>22</v>
      </c>
      <c r="P410">
        <v>20220221</v>
      </c>
      <c r="Q410">
        <v>20220221</v>
      </c>
    </row>
    <row r="411" spans="1:17" x14ac:dyDescent="0.25">
      <c r="A411" t="s">
        <v>476</v>
      </c>
      <c r="B411" t="s">
        <v>477</v>
      </c>
      <c r="C411">
        <v>20</v>
      </c>
      <c r="D411">
        <v>20220221</v>
      </c>
      <c r="E411">
        <f t="shared" si="6"/>
        <v>2</v>
      </c>
      <c r="F411">
        <v>401000</v>
      </c>
      <c r="G411" t="s">
        <v>41</v>
      </c>
      <c r="H411" t="s">
        <v>462</v>
      </c>
      <c r="I411" t="s">
        <v>463</v>
      </c>
      <c r="J411" t="s">
        <v>904</v>
      </c>
      <c r="K411">
        <v>20220221</v>
      </c>
      <c r="L411" t="s">
        <v>163</v>
      </c>
      <c r="M411">
        <v>329.17</v>
      </c>
      <c r="N411">
        <v>0</v>
      </c>
      <c r="O411" t="s">
        <v>22</v>
      </c>
      <c r="P411">
        <v>20220221</v>
      </c>
      <c r="Q411">
        <v>20220221</v>
      </c>
    </row>
    <row r="412" spans="1:17" x14ac:dyDescent="0.25">
      <c r="A412" t="s">
        <v>476</v>
      </c>
      <c r="B412" t="s">
        <v>477</v>
      </c>
      <c r="C412">
        <v>20</v>
      </c>
      <c r="D412">
        <v>20220221</v>
      </c>
      <c r="E412">
        <f t="shared" si="6"/>
        <v>2</v>
      </c>
      <c r="F412">
        <v>401000</v>
      </c>
      <c r="G412" t="s">
        <v>41</v>
      </c>
      <c r="H412" t="s">
        <v>99</v>
      </c>
      <c r="I412" t="s">
        <v>100</v>
      </c>
      <c r="J412" t="s">
        <v>904</v>
      </c>
      <c r="K412">
        <v>20220221</v>
      </c>
      <c r="L412" t="s">
        <v>163</v>
      </c>
      <c r="M412">
        <v>2465.89</v>
      </c>
      <c r="N412">
        <v>0</v>
      </c>
      <c r="O412" t="s">
        <v>22</v>
      </c>
      <c r="P412">
        <v>20220221</v>
      </c>
      <c r="Q412">
        <v>20220221</v>
      </c>
    </row>
    <row r="413" spans="1:17" x14ac:dyDescent="0.25">
      <c r="A413" t="s">
        <v>476</v>
      </c>
      <c r="B413" t="s">
        <v>477</v>
      </c>
      <c r="C413">
        <v>20</v>
      </c>
      <c r="D413">
        <v>20220221</v>
      </c>
      <c r="E413">
        <f t="shared" si="6"/>
        <v>2</v>
      </c>
      <c r="F413">
        <v>401000</v>
      </c>
      <c r="G413" t="s">
        <v>41</v>
      </c>
      <c r="H413" t="s">
        <v>468</v>
      </c>
      <c r="I413" t="s">
        <v>469</v>
      </c>
      <c r="J413" t="s">
        <v>904</v>
      </c>
      <c r="K413">
        <v>20220221</v>
      </c>
      <c r="L413" t="s">
        <v>163</v>
      </c>
      <c r="M413">
        <v>85</v>
      </c>
      <c r="N413">
        <v>0</v>
      </c>
      <c r="O413" t="s">
        <v>22</v>
      </c>
      <c r="P413">
        <v>20220221</v>
      </c>
      <c r="Q413">
        <v>20220221</v>
      </c>
    </row>
    <row r="414" spans="1:17" x14ac:dyDescent="0.25">
      <c r="A414" t="s">
        <v>476</v>
      </c>
      <c r="B414" t="s">
        <v>477</v>
      </c>
      <c r="C414">
        <v>20</v>
      </c>
      <c r="D414">
        <v>20220221</v>
      </c>
      <c r="E414">
        <f t="shared" si="6"/>
        <v>2</v>
      </c>
      <c r="F414">
        <v>401000</v>
      </c>
      <c r="G414" t="s">
        <v>41</v>
      </c>
      <c r="H414" t="s">
        <v>474</v>
      </c>
      <c r="I414" t="s">
        <v>475</v>
      </c>
      <c r="J414" t="s">
        <v>904</v>
      </c>
      <c r="K414">
        <v>20220221</v>
      </c>
      <c r="L414" t="s">
        <v>163</v>
      </c>
      <c r="M414">
        <v>320</v>
      </c>
      <c r="N414">
        <v>0</v>
      </c>
      <c r="O414" t="s">
        <v>22</v>
      </c>
      <c r="P414">
        <v>20220221</v>
      </c>
      <c r="Q414">
        <v>20220221</v>
      </c>
    </row>
    <row r="415" spans="1:17" x14ac:dyDescent="0.25">
      <c r="A415" t="s">
        <v>476</v>
      </c>
      <c r="B415" t="s">
        <v>477</v>
      </c>
      <c r="C415">
        <v>20</v>
      </c>
      <c r="D415">
        <v>20220221</v>
      </c>
      <c r="E415">
        <f t="shared" si="6"/>
        <v>2</v>
      </c>
      <c r="F415">
        <v>401000</v>
      </c>
      <c r="G415" t="s">
        <v>41</v>
      </c>
      <c r="H415" t="s">
        <v>456</v>
      </c>
      <c r="I415" t="s">
        <v>457</v>
      </c>
      <c r="J415" t="s">
        <v>904</v>
      </c>
      <c r="K415">
        <v>20220221</v>
      </c>
      <c r="L415" t="s">
        <v>163</v>
      </c>
      <c r="M415">
        <v>210</v>
      </c>
      <c r="N415">
        <v>0</v>
      </c>
      <c r="O415" t="s">
        <v>22</v>
      </c>
      <c r="P415">
        <v>20220221</v>
      </c>
      <c r="Q415">
        <v>20220221</v>
      </c>
    </row>
    <row r="416" spans="1:17" x14ac:dyDescent="0.25">
      <c r="A416" t="s">
        <v>476</v>
      </c>
      <c r="B416" t="s">
        <v>477</v>
      </c>
      <c r="C416">
        <v>20</v>
      </c>
      <c r="D416">
        <v>20220221</v>
      </c>
      <c r="E416">
        <f t="shared" si="6"/>
        <v>2</v>
      </c>
      <c r="F416">
        <v>401000</v>
      </c>
      <c r="G416" t="s">
        <v>41</v>
      </c>
      <c r="H416" t="s">
        <v>838</v>
      </c>
      <c r="I416" t="s">
        <v>839</v>
      </c>
      <c r="J416" t="s">
        <v>904</v>
      </c>
      <c r="K416">
        <v>20220221</v>
      </c>
      <c r="L416" t="s">
        <v>163</v>
      </c>
      <c r="M416">
        <v>384</v>
      </c>
      <c r="N416">
        <v>0</v>
      </c>
      <c r="O416" t="s">
        <v>22</v>
      </c>
      <c r="P416">
        <v>20220221</v>
      </c>
      <c r="Q416">
        <v>20220221</v>
      </c>
    </row>
    <row r="417" spans="1:17" x14ac:dyDescent="0.25">
      <c r="A417" t="s">
        <v>476</v>
      </c>
      <c r="B417" t="s">
        <v>477</v>
      </c>
      <c r="C417">
        <v>20</v>
      </c>
      <c r="D417">
        <v>20220221</v>
      </c>
      <c r="E417">
        <f t="shared" si="6"/>
        <v>2</v>
      </c>
      <c r="F417">
        <v>512000</v>
      </c>
      <c r="G417" t="s">
        <v>428</v>
      </c>
      <c r="H417" t="s">
        <v>401</v>
      </c>
      <c r="I417" t="s">
        <v>402</v>
      </c>
      <c r="J417" t="s">
        <v>904</v>
      </c>
      <c r="K417">
        <v>20220221</v>
      </c>
      <c r="L417" t="s">
        <v>163</v>
      </c>
      <c r="M417">
        <v>0</v>
      </c>
      <c r="N417">
        <v>5822.61</v>
      </c>
      <c r="O417" t="s">
        <v>19</v>
      </c>
      <c r="P417" t="s">
        <v>20</v>
      </c>
      <c r="Q417">
        <v>20220221</v>
      </c>
    </row>
    <row r="418" spans="1:17" x14ac:dyDescent="0.25">
      <c r="A418" t="s">
        <v>476</v>
      </c>
      <c r="B418" t="s">
        <v>477</v>
      </c>
      <c r="C418">
        <v>20</v>
      </c>
      <c r="D418">
        <v>20220221</v>
      </c>
      <c r="E418">
        <f t="shared" si="6"/>
        <v>2</v>
      </c>
      <c r="F418">
        <v>427003</v>
      </c>
      <c r="G418" t="s">
        <v>905</v>
      </c>
      <c r="H418" t="s">
        <v>401</v>
      </c>
      <c r="I418" t="s">
        <v>402</v>
      </c>
      <c r="J418" t="s">
        <v>906</v>
      </c>
      <c r="K418">
        <v>20220221</v>
      </c>
      <c r="L418" t="s">
        <v>907</v>
      </c>
      <c r="M418">
        <v>195</v>
      </c>
      <c r="N418">
        <v>0</v>
      </c>
      <c r="O418" t="s">
        <v>23</v>
      </c>
      <c r="P418">
        <v>20220221</v>
      </c>
      <c r="Q418">
        <v>20220221</v>
      </c>
    </row>
    <row r="419" spans="1:17" x14ac:dyDescent="0.25">
      <c r="A419" t="s">
        <v>476</v>
      </c>
      <c r="B419" t="s">
        <v>477</v>
      </c>
      <c r="C419">
        <v>20</v>
      </c>
      <c r="D419">
        <v>20220221</v>
      </c>
      <c r="E419">
        <f t="shared" si="6"/>
        <v>2</v>
      </c>
      <c r="F419">
        <v>427004</v>
      </c>
      <c r="G419" t="s">
        <v>908</v>
      </c>
      <c r="H419" t="s">
        <v>401</v>
      </c>
      <c r="I419" t="s">
        <v>402</v>
      </c>
      <c r="J419" t="s">
        <v>906</v>
      </c>
      <c r="K419">
        <v>20220221</v>
      </c>
      <c r="L419" t="s">
        <v>909</v>
      </c>
      <c r="M419">
        <v>300</v>
      </c>
      <c r="N419">
        <v>0</v>
      </c>
      <c r="O419" t="s">
        <v>23</v>
      </c>
      <c r="P419">
        <v>20220221</v>
      </c>
      <c r="Q419">
        <v>20220221</v>
      </c>
    </row>
    <row r="420" spans="1:17" x14ac:dyDescent="0.25">
      <c r="A420" t="s">
        <v>476</v>
      </c>
      <c r="B420" t="s">
        <v>477</v>
      </c>
      <c r="C420">
        <v>20</v>
      </c>
      <c r="D420">
        <v>20220221</v>
      </c>
      <c r="E420">
        <f t="shared" si="6"/>
        <v>2</v>
      </c>
      <c r="F420">
        <v>427004</v>
      </c>
      <c r="G420" t="s">
        <v>908</v>
      </c>
      <c r="H420" t="s">
        <v>401</v>
      </c>
      <c r="I420" t="s">
        <v>402</v>
      </c>
      <c r="J420" t="s">
        <v>906</v>
      </c>
      <c r="K420">
        <v>20220221</v>
      </c>
      <c r="L420" t="s">
        <v>909</v>
      </c>
      <c r="M420">
        <v>150</v>
      </c>
      <c r="N420">
        <v>0</v>
      </c>
      <c r="O420" t="s">
        <v>23</v>
      </c>
      <c r="P420">
        <v>20220221</v>
      </c>
      <c r="Q420">
        <v>20220221</v>
      </c>
    </row>
    <row r="421" spans="1:17" x14ac:dyDescent="0.25">
      <c r="A421" t="s">
        <v>476</v>
      </c>
      <c r="B421" t="s">
        <v>477</v>
      </c>
      <c r="C421">
        <v>20</v>
      </c>
      <c r="D421">
        <v>20220221</v>
      </c>
      <c r="E421">
        <f t="shared" si="6"/>
        <v>2</v>
      </c>
      <c r="F421">
        <v>427004</v>
      </c>
      <c r="G421" t="s">
        <v>908</v>
      </c>
      <c r="H421" t="s">
        <v>401</v>
      </c>
      <c r="I421" t="s">
        <v>402</v>
      </c>
      <c r="J421" t="s">
        <v>906</v>
      </c>
      <c r="K421">
        <v>20220221</v>
      </c>
      <c r="L421" t="s">
        <v>909</v>
      </c>
      <c r="M421">
        <v>150</v>
      </c>
      <c r="N421">
        <v>0</v>
      </c>
      <c r="O421" t="s">
        <v>23</v>
      </c>
      <c r="P421">
        <v>20220221</v>
      </c>
      <c r="Q421">
        <v>20220221</v>
      </c>
    </row>
    <row r="422" spans="1:17" x14ac:dyDescent="0.25">
      <c r="A422" t="s">
        <v>476</v>
      </c>
      <c r="B422" t="s">
        <v>477</v>
      </c>
      <c r="C422">
        <v>20</v>
      </c>
      <c r="D422">
        <v>20220221</v>
      </c>
      <c r="E422">
        <f t="shared" si="6"/>
        <v>2</v>
      </c>
      <c r="F422">
        <v>427005</v>
      </c>
      <c r="G422" t="s">
        <v>910</v>
      </c>
      <c r="H422" t="s">
        <v>401</v>
      </c>
      <c r="I422" t="s">
        <v>402</v>
      </c>
      <c r="J422" t="s">
        <v>906</v>
      </c>
      <c r="K422">
        <v>20220221</v>
      </c>
      <c r="L422" t="s">
        <v>911</v>
      </c>
      <c r="M422">
        <v>52</v>
      </c>
      <c r="N422">
        <v>0</v>
      </c>
      <c r="O422" t="s">
        <v>23</v>
      </c>
      <c r="P422">
        <v>20220221</v>
      </c>
      <c r="Q422">
        <v>20220221</v>
      </c>
    </row>
    <row r="423" spans="1:17" x14ac:dyDescent="0.25">
      <c r="A423" t="s">
        <v>476</v>
      </c>
      <c r="B423" t="s">
        <v>477</v>
      </c>
      <c r="C423">
        <v>20</v>
      </c>
      <c r="D423">
        <v>20220221</v>
      </c>
      <c r="E423">
        <f t="shared" si="6"/>
        <v>2</v>
      </c>
      <c r="F423">
        <v>437100</v>
      </c>
      <c r="G423" t="s">
        <v>436</v>
      </c>
      <c r="H423" t="s">
        <v>401</v>
      </c>
      <c r="I423" t="s">
        <v>402</v>
      </c>
      <c r="J423" t="s">
        <v>906</v>
      </c>
      <c r="K423">
        <v>20220221</v>
      </c>
      <c r="L423" t="s">
        <v>912</v>
      </c>
      <c r="M423">
        <v>736.8</v>
      </c>
      <c r="N423">
        <v>0</v>
      </c>
      <c r="O423" t="s">
        <v>23</v>
      </c>
      <c r="P423">
        <v>20220225</v>
      </c>
      <c r="Q423">
        <v>20220221</v>
      </c>
    </row>
    <row r="424" spans="1:17" x14ac:dyDescent="0.25">
      <c r="A424" t="s">
        <v>476</v>
      </c>
      <c r="B424" t="s">
        <v>477</v>
      </c>
      <c r="C424">
        <v>20</v>
      </c>
      <c r="D424">
        <v>20220221</v>
      </c>
      <c r="E424">
        <f t="shared" si="6"/>
        <v>2</v>
      </c>
      <c r="F424">
        <v>512000</v>
      </c>
      <c r="G424" t="s">
        <v>428</v>
      </c>
      <c r="H424" t="s">
        <v>401</v>
      </c>
      <c r="I424" t="s">
        <v>402</v>
      </c>
      <c r="J424" t="s">
        <v>906</v>
      </c>
      <c r="K424">
        <v>20220221</v>
      </c>
      <c r="L424" t="s">
        <v>127</v>
      </c>
      <c r="M424">
        <v>0</v>
      </c>
      <c r="N424">
        <v>1583.8</v>
      </c>
      <c r="O424" t="s">
        <v>19</v>
      </c>
      <c r="P424" t="s">
        <v>20</v>
      </c>
      <c r="Q424">
        <v>20220221</v>
      </c>
    </row>
    <row r="425" spans="1:17" x14ac:dyDescent="0.25">
      <c r="A425" t="s">
        <v>476</v>
      </c>
      <c r="B425" t="s">
        <v>477</v>
      </c>
      <c r="C425">
        <v>20</v>
      </c>
      <c r="D425">
        <v>20220221</v>
      </c>
      <c r="E425">
        <f t="shared" si="6"/>
        <v>2</v>
      </c>
      <c r="F425">
        <v>468740</v>
      </c>
      <c r="G425" t="s">
        <v>426</v>
      </c>
      <c r="H425" t="s">
        <v>401</v>
      </c>
      <c r="I425" t="s">
        <v>402</v>
      </c>
      <c r="J425" t="s">
        <v>913</v>
      </c>
      <c r="K425">
        <v>20220221</v>
      </c>
      <c r="L425" t="s">
        <v>914</v>
      </c>
      <c r="M425">
        <v>0</v>
      </c>
      <c r="N425">
        <v>171780</v>
      </c>
      <c r="O425" t="s">
        <v>23</v>
      </c>
      <c r="P425">
        <v>20221028</v>
      </c>
      <c r="Q425">
        <v>20220221</v>
      </c>
    </row>
    <row r="426" spans="1:17" x14ac:dyDescent="0.25">
      <c r="A426" t="s">
        <v>476</v>
      </c>
      <c r="B426" t="s">
        <v>477</v>
      </c>
      <c r="C426">
        <v>20</v>
      </c>
      <c r="D426">
        <v>20220221</v>
      </c>
      <c r="E426">
        <f t="shared" si="6"/>
        <v>2</v>
      </c>
      <c r="F426">
        <v>512000</v>
      </c>
      <c r="G426" t="s">
        <v>428</v>
      </c>
      <c r="H426" t="s">
        <v>401</v>
      </c>
      <c r="I426" t="s">
        <v>402</v>
      </c>
      <c r="J426" t="s">
        <v>913</v>
      </c>
      <c r="K426">
        <v>20220221</v>
      </c>
      <c r="L426" t="s">
        <v>914</v>
      </c>
      <c r="M426">
        <v>171780</v>
      </c>
      <c r="N426">
        <v>0</v>
      </c>
      <c r="O426" t="s">
        <v>19</v>
      </c>
      <c r="P426" t="s">
        <v>20</v>
      </c>
      <c r="Q426">
        <v>20220221</v>
      </c>
    </row>
    <row r="427" spans="1:17" x14ac:dyDescent="0.25">
      <c r="A427" t="s">
        <v>476</v>
      </c>
      <c r="B427" t="s">
        <v>477</v>
      </c>
      <c r="C427">
        <v>20</v>
      </c>
      <c r="D427">
        <v>20220223</v>
      </c>
      <c r="E427">
        <f t="shared" si="6"/>
        <v>2</v>
      </c>
      <c r="F427">
        <v>447000</v>
      </c>
      <c r="G427" t="s">
        <v>419</v>
      </c>
      <c r="H427" t="s">
        <v>401</v>
      </c>
      <c r="I427" t="s">
        <v>402</v>
      </c>
      <c r="J427" t="s">
        <v>915</v>
      </c>
      <c r="K427">
        <v>20220223</v>
      </c>
      <c r="L427" t="s">
        <v>916</v>
      </c>
      <c r="M427">
        <v>0</v>
      </c>
      <c r="N427">
        <v>3442</v>
      </c>
      <c r="O427" t="s">
        <v>23</v>
      </c>
      <c r="P427">
        <v>20230120</v>
      </c>
      <c r="Q427">
        <v>20220223</v>
      </c>
    </row>
    <row r="428" spans="1:17" x14ac:dyDescent="0.25">
      <c r="A428" t="s">
        <v>476</v>
      </c>
      <c r="B428" t="s">
        <v>477</v>
      </c>
      <c r="C428">
        <v>20</v>
      </c>
      <c r="D428">
        <v>20220223</v>
      </c>
      <c r="E428">
        <f t="shared" si="6"/>
        <v>2</v>
      </c>
      <c r="F428">
        <v>512000</v>
      </c>
      <c r="G428" t="s">
        <v>428</v>
      </c>
      <c r="H428" t="s">
        <v>401</v>
      </c>
      <c r="I428" t="s">
        <v>402</v>
      </c>
      <c r="J428" t="s">
        <v>915</v>
      </c>
      <c r="K428">
        <v>20220223</v>
      </c>
      <c r="L428" t="s">
        <v>916</v>
      </c>
      <c r="M428">
        <v>3442</v>
      </c>
      <c r="N428">
        <v>0</v>
      </c>
      <c r="O428" t="s">
        <v>19</v>
      </c>
      <c r="P428" t="s">
        <v>20</v>
      </c>
      <c r="Q428">
        <v>20220223</v>
      </c>
    </row>
    <row r="429" spans="1:17" x14ac:dyDescent="0.25">
      <c r="A429" t="s">
        <v>476</v>
      </c>
      <c r="B429" t="s">
        <v>477</v>
      </c>
      <c r="C429">
        <v>20</v>
      </c>
      <c r="D429">
        <v>20220223</v>
      </c>
      <c r="E429">
        <f t="shared" si="6"/>
        <v>2</v>
      </c>
      <c r="F429">
        <v>442100</v>
      </c>
      <c r="G429" t="s">
        <v>435</v>
      </c>
      <c r="H429" t="s">
        <v>401</v>
      </c>
      <c r="I429" t="s">
        <v>402</v>
      </c>
      <c r="J429" t="s">
        <v>917</v>
      </c>
      <c r="K429">
        <v>20220223</v>
      </c>
      <c r="L429" t="s">
        <v>918</v>
      </c>
      <c r="M429">
        <v>1307</v>
      </c>
      <c r="N429">
        <v>0</v>
      </c>
      <c r="O429" t="s">
        <v>23</v>
      </c>
      <c r="P429">
        <v>20230117</v>
      </c>
      <c r="Q429">
        <v>20220223</v>
      </c>
    </row>
    <row r="430" spans="1:17" x14ac:dyDescent="0.25">
      <c r="A430" t="s">
        <v>476</v>
      </c>
      <c r="B430" t="s">
        <v>477</v>
      </c>
      <c r="C430">
        <v>20</v>
      </c>
      <c r="D430">
        <v>20220223</v>
      </c>
      <c r="E430">
        <f t="shared" si="6"/>
        <v>2</v>
      </c>
      <c r="F430">
        <v>512000</v>
      </c>
      <c r="G430" t="s">
        <v>428</v>
      </c>
      <c r="H430" t="s">
        <v>401</v>
      </c>
      <c r="I430" t="s">
        <v>402</v>
      </c>
      <c r="J430" t="s">
        <v>917</v>
      </c>
      <c r="K430">
        <v>20220223</v>
      </c>
      <c r="L430" t="s">
        <v>918</v>
      </c>
      <c r="M430">
        <v>0</v>
      </c>
      <c r="N430">
        <v>1307</v>
      </c>
      <c r="O430" t="s">
        <v>19</v>
      </c>
      <c r="P430" t="s">
        <v>20</v>
      </c>
      <c r="Q430">
        <v>20220223</v>
      </c>
    </row>
    <row r="431" spans="1:17" x14ac:dyDescent="0.25">
      <c r="A431" t="s">
        <v>476</v>
      </c>
      <c r="B431" t="s">
        <v>477</v>
      </c>
      <c r="C431">
        <v>20</v>
      </c>
      <c r="D431">
        <v>20220225</v>
      </c>
      <c r="E431">
        <f t="shared" si="6"/>
        <v>2</v>
      </c>
      <c r="F431">
        <v>433000</v>
      </c>
      <c r="G431" t="s">
        <v>410</v>
      </c>
      <c r="H431" t="s">
        <v>401</v>
      </c>
      <c r="I431" t="s">
        <v>402</v>
      </c>
      <c r="J431" t="s">
        <v>919</v>
      </c>
      <c r="K431">
        <v>20220225</v>
      </c>
      <c r="L431" t="s">
        <v>530</v>
      </c>
      <c r="M431">
        <v>5092.45</v>
      </c>
      <c r="N431">
        <v>0</v>
      </c>
      <c r="O431" t="s">
        <v>23</v>
      </c>
      <c r="P431">
        <v>20221005</v>
      </c>
      <c r="Q431">
        <v>20220225</v>
      </c>
    </row>
    <row r="432" spans="1:17" x14ac:dyDescent="0.25">
      <c r="A432" t="s">
        <v>476</v>
      </c>
      <c r="B432" t="s">
        <v>477</v>
      </c>
      <c r="C432">
        <v>20</v>
      </c>
      <c r="D432">
        <v>20220225</v>
      </c>
      <c r="E432">
        <f t="shared" si="6"/>
        <v>2</v>
      </c>
      <c r="F432">
        <v>512000</v>
      </c>
      <c r="G432" t="s">
        <v>428</v>
      </c>
      <c r="H432" t="s">
        <v>401</v>
      </c>
      <c r="I432" t="s">
        <v>402</v>
      </c>
      <c r="J432" t="s">
        <v>919</v>
      </c>
      <c r="K432">
        <v>20220225</v>
      </c>
      <c r="L432" t="s">
        <v>530</v>
      </c>
      <c r="M432">
        <v>0</v>
      </c>
      <c r="N432">
        <v>5092.45</v>
      </c>
      <c r="O432" t="s">
        <v>19</v>
      </c>
      <c r="P432" t="s">
        <v>20</v>
      </c>
      <c r="Q432">
        <v>20220225</v>
      </c>
    </row>
    <row r="433" spans="1:17" x14ac:dyDescent="0.25">
      <c r="A433" t="s">
        <v>476</v>
      </c>
      <c r="B433" t="s">
        <v>477</v>
      </c>
      <c r="C433">
        <v>20</v>
      </c>
      <c r="D433">
        <v>20220225</v>
      </c>
      <c r="E433">
        <f t="shared" si="6"/>
        <v>2</v>
      </c>
      <c r="F433">
        <v>433100</v>
      </c>
      <c r="G433" t="s">
        <v>411</v>
      </c>
      <c r="H433" t="s">
        <v>401</v>
      </c>
      <c r="I433" t="s">
        <v>402</v>
      </c>
      <c r="J433" t="s">
        <v>920</v>
      </c>
      <c r="K433">
        <v>20220225</v>
      </c>
      <c r="L433" t="s">
        <v>534</v>
      </c>
      <c r="M433">
        <v>1246.29</v>
      </c>
      <c r="N433">
        <v>0</v>
      </c>
      <c r="O433" t="s">
        <v>23</v>
      </c>
      <c r="P433">
        <v>20221005</v>
      </c>
      <c r="Q433">
        <v>20220225</v>
      </c>
    </row>
    <row r="434" spans="1:17" x14ac:dyDescent="0.25">
      <c r="A434" t="s">
        <v>476</v>
      </c>
      <c r="B434" t="s">
        <v>477</v>
      </c>
      <c r="C434">
        <v>20</v>
      </c>
      <c r="D434">
        <v>20220225</v>
      </c>
      <c r="E434">
        <f t="shared" si="6"/>
        <v>2</v>
      </c>
      <c r="F434">
        <v>512000</v>
      </c>
      <c r="G434" t="s">
        <v>428</v>
      </c>
      <c r="H434" t="s">
        <v>401</v>
      </c>
      <c r="I434" t="s">
        <v>402</v>
      </c>
      <c r="J434" t="s">
        <v>920</v>
      </c>
      <c r="K434">
        <v>20220225</v>
      </c>
      <c r="L434" t="s">
        <v>534</v>
      </c>
      <c r="M434">
        <v>0</v>
      </c>
      <c r="N434">
        <v>1246.29</v>
      </c>
      <c r="O434" t="s">
        <v>19</v>
      </c>
      <c r="P434" t="s">
        <v>20</v>
      </c>
      <c r="Q434">
        <v>20220225</v>
      </c>
    </row>
    <row r="435" spans="1:17" x14ac:dyDescent="0.25">
      <c r="A435" t="s">
        <v>476</v>
      </c>
      <c r="B435" t="s">
        <v>477</v>
      </c>
      <c r="C435">
        <v>20</v>
      </c>
      <c r="D435">
        <v>20220228</v>
      </c>
      <c r="E435">
        <f t="shared" si="6"/>
        <v>2</v>
      </c>
      <c r="F435">
        <v>421000</v>
      </c>
      <c r="G435" t="s">
        <v>403</v>
      </c>
      <c r="H435" t="s">
        <v>401</v>
      </c>
      <c r="I435" t="s">
        <v>402</v>
      </c>
      <c r="J435" t="s">
        <v>921</v>
      </c>
      <c r="K435">
        <v>20220228</v>
      </c>
      <c r="L435" t="s">
        <v>922</v>
      </c>
      <c r="M435">
        <v>61636.56</v>
      </c>
      <c r="N435">
        <v>0</v>
      </c>
      <c r="O435" t="s">
        <v>23</v>
      </c>
      <c r="P435">
        <v>20220630</v>
      </c>
      <c r="Q435">
        <v>20220228</v>
      </c>
    </row>
    <row r="436" spans="1:17" x14ac:dyDescent="0.25">
      <c r="A436" t="s">
        <v>476</v>
      </c>
      <c r="B436" t="s">
        <v>477</v>
      </c>
      <c r="C436">
        <v>20</v>
      </c>
      <c r="D436">
        <v>20220228</v>
      </c>
      <c r="E436">
        <f t="shared" si="6"/>
        <v>2</v>
      </c>
      <c r="F436">
        <v>512000</v>
      </c>
      <c r="G436" t="s">
        <v>428</v>
      </c>
      <c r="H436" t="s">
        <v>401</v>
      </c>
      <c r="I436" t="s">
        <v>402</v>
      </c>
      <c r="J436" t="s">
        <v>921</v>
      </c>
      <c r="K436">
        <v>20220228</v>
      </c>
      <c r="L436" t="s">
        <v>922</v>
      </c>
      <c r="M436">
        <v>0</v>
      </c>
      <c r="N436">
        <v>61636.56</v>
      </c>
      <c r="O436" t="s">
        <v>19</v>
      </c>
      <c r="P436" t="s">
        <v>20</v>
      </c>
      <c r="Q436">
        <v>20220228</v>
      </c>
    </row>
    <row r="437" spans="1:17" x14ac:dyDescent="0.25">
      <c r="A437" t="s">
        <v>476</v>
      </c>
      <c r="B437" t="s">
        <v>477</v>
      </c>
      <c r="C437">
        <v>20</v>
      </c>
      <c r="D437">
        <v>20220228</v>
      </c>
      <c r="E437">
        <f t="shared" si="6"/>
        <v>2</v>
      </c>
      <c r="F437">
        <v>401000</v>
      </c>
      <c r="G437" t="s">
        <v>41</v>
      </c>
      <c r="H437" t="s">
        <v>458</v>
      </c>
      <c r="I437" t="s">
        <v>459</v>
      </c>
      <c r="J437" t="s">
        <v>923</v>
      </c>
      <c r="K437">
        <v>20220228</v>
      </c>
      <c r="L437" t="s">
        <v>546</v>
      </c>
      <c r="M437">
        <v>660</v>
      </c>
      <c r="N437">
        <v>0</v>
      </c>
      <c r="O437" t="s">
        <v>23</v>
      </c>
      <c r="P437">
        <v>20221005</v>
      </c>
      <c r="Q437">
        <v>20220228</v>
      </c>
    </row>
    <row r="438" spans="1:17" x14ac:dyDescent="0.25">
      <c r="A438" t="s">
        <v>476</v>
      </c>
      <c r="B438" t="s">
        <v>477</v>
      </c>
      <c r="C438">
        <v>20</v>
      </c>
      <c r="D438">
        <v>20220228</v>
      </c>
      <c r="E438">
        <f t="shared" si="6"/>
        <v>2</v>
      </c>
      <c r="F438">
        <v>512000</v>
      </c>
      <c r="G438" t="s">
        <v>428</v>
      </c>
      <c r="H438" t="s">
        <v>401</v>
      </c>
      <c r="I438" t="s">
        <v>402</v>
      </c>
      <c r="J438" t="s">
        <v>923</v>
      </c>
      <c r="K438">
        <v>20220228</v>
      </c>
      <c r="L438" t="s">
        <v>546</v>
      </c>
      <c r="M438">
        <v>0</v>
      </c>
      <c r="N438">
        <v>660</v>
      </c>
      <c r="O438" t="s">
        <v>19</v>
      </c>
      <c r="P438" t="s">
        <v>20</v>
      </c>
      <c r="Q438">
        <v>20220228</v>
      </c>
    </row>
    <row r="439" spans="1:17" x14ac:dyDescent="0.25">
      <c r="A439" t="s">
        <v>476</v>
      </c>
      <c r="B439" t="s">
        <v>477</v>
      </c>
      <c r="C439">
        <v>20</v>
      </c>
      <c r="D439">
        <v>20220228</v>
      </c>
      <c r="E439">
        <f t="shared" si="6"/>
        <v>2</v>
      </c>
      <c r="F439">
        <v>468200</v>
      </c>
      <c r="G439" t="s">
        <v>421</v>
      </c>
      <c r="H439" t="s">
        <v>401</v>
      </c>
      <c r="I439" t="s">
        <v>402</v>
      </c>
      <c r="J439" t="s">
        <v>924</v>
      </c>
      <c r="K439">
        <v>20220228</v>
      </c>
      <c r="L439" t="s">
        <v>422</v>
      </c>
      <c r="M439">
        <v>0</v>
      </c>
      <c r="N439">
        <v>577.08000000000004</v>
      </c>
      <c r="O439" t="s">
        <v>23</v>
      </c>
      <c r="P439">
        <v>20221005</v>
      </c>
      <c r="Q439">
        <v>20220228</v>
      </c>
    </row>
    <row r="440" spans="1:17" x14ac:dyDescent="0.25">
      <c r="A440" t="s">
        <v>476</v>
      </c>
      <c r="B440" t="s">
        <v>477</v>
      </c>
      <c r="C440">
        <v>20</v>
      </c>
      <c r="D440">
        <v>20220228</v>
      </c>
      <c r="E440">
        <f t="shared" si="6"/>
        <v>2</v>
      </c>
      <c r="F440">
        <v>512000</v>
      </c>
      <c r="G440" t="s">
        <v>428</v>
      </c>
      <c r="H440" t="s">
        <v>401</v>
      </c>
      <c r="I440" t="s">
        <v>402</v>
      </c>
      <c r="J440" t="s">
        <v>924</v>
      </c>
      <c r="K440">
        <v>20220228</v>
      </c>
      <c r="L440" t="s">
        <v>422</v>
      </c>
      <c r="M440">
        <v>577.08000000000004</v>
      </c>
      <c r="N440">
        <v>0</v>
      </c>
      <c r="O440" t="s">
        <v>19</v>
      </c>
      <c r="P440" t="s">
        <v>20</v>
      </c>
      <c r="Q440">
        <v>20220228</v>
      </c>
    </row>
    <row r="441" spans="1:17" x14ac:dyDescent="0.25">
      <c r="A441" t="s">
        <v>548</v>
      </c>
      <c r="B441" t="s">
        <v>429</v>
      </c>
      <c r="C441">
        <v>21</v>
      </c>
      <c r="D441">
        <v>20220201</v>
      </c>
      <c r="E441">
        <f t="shared" si="6"/>
        <v>2</v>
      </c>
      <c r="F441">
        <v>411100</v>
      </c>
      <c r="G441" t="s">
        <v>18</v>
      </c>
      <c r="H441" t="s">
        <v>925</v>
      </c>
      <c r="I441" t="s">
        <v>926</v>
      </c>
      <c r="J441">
        <v>334844</v>
      </c>
      <c r="K441">
        <v>20220201</v>
      </c>
      <c r="L441" t="s">
        <v>927</v>
      </c>
      <c r="M441">
        <v>0</v>
      </c>
      <c r="N441">
        <v>13</v>
      </c>
      <c r="O441" t="s">
        <v>22</v>
      </c>
      <c r="P441">
        <v>20230218</v>
      </c>
      <c r="Q441">
        <v>20220201</v>
      </c>
    </row>
    <row r="442" spans="1:17" x14ac:dyDescent="0.25">
      <c r="A442" t="s">
        <v>548</v>
      </c>
      <c r="B442" t="s">
        <v>429</v>
      </c>
      <c r="C442">
        <v>21</v>
      </c>
      <c r="D442">
        <v>20220201</v>
      </c>
      <c r="E442">
        <f t="shared" si="6"/>
        <v>2</v>
      </c>
      <c r="F442">
        <v>411100</v>
      </c>
      <c r="G442" t="s">
        <v>18</v>
      </c>
      <c r="H442" t="s">
        <v>928</v>
      </c>
      <c r="I442" t="s">
        <v>929</v>
      </c>
      <c r="J442">
        <v>122020003</v>
      </c>
      <c r="K442">
        <v>20220201</v>
      </c>
      <c r="L442" t="s">
        <v>930</v>
      </c>
      <c r="M442">
        <v>0</v>
      </c>
      <c r="N442">
        <v>35.22</v>
      </c>
      <c r="O442" t="s">
        <v>22</v>
      </c>
      <c r="P442">
        <v>20220327</v>
      </c>
      <c r="Q442">
        <v>20220201</v>
      </c>
    </row>
    <row r="443" spans="1:17" x14ac:dyDescent="0.25">
      <c r="A443" t="s">
        <v>548</v>
      </c>
      <c r="B443" t="s">
        <v>429</v>
      </c>
      <c r="C443">
        <v>21</v>
      </c>
      <c r="D443">
        <v>20220201</v>
      </c>
      <c r="E443">
        <f t="shared" si="6"/>
        <v>2</v>
      </c>
      <c r="F443">
        <v>411020</v>
      </c>
      <c r="G443" t="s">
        <v>30</v>
      </c>
      <c r="H443" t="s">
        <v>931</v>
      </c>
      <c r="I443" t="s">
        <v>932</v>
      </c>
      <c r="J443">
        <v>334846</v>
      </c>
      <c r="K443">
        <v>20220201</v>
      </c>
      <c r="L443" t="s">
        <v>933</v>
      </c>
      <c r="M443">
        <v>0</v>
      </c>
      <c r="N443">
        <v>69.5</v>
      </c>
      <c r="O443" t="s">
        <v>22</v>
      </c>
      <c r="P443">
        <v>20230218</v>
      </c>
      <c r="Q443">
        <v>20220201</v>
      </c>
    </row>
    <row r="444" spans="1:17" x14ac:dyDescent="0.25">
      <c r="A444" t="s">
        <v>548</v>
      </c>
      <c r="B444" t="s">
        <v>429</v>
      </c>
      <c r="C444">
        <v>21</v>
      </c>
      <c r="D444">
        <v>20220201</v>
      </c>
      <c r="E444">
        <f t="shared" si="6"/>
        <v>2</v>
      </c>
      <c r="F444">
        <v>531105</v>
      </c>
      <c r="G444" t="s">
        <v>429</v>
      </c>
      <c r="H444" t="s">
        <v>401</v>
      </c>
      <c r="I444" t="s">
        <v>402</v>
      </c>
      <c r="J444">
        <v>334847</v>
      </c>
      <c r="K444">
        <v>20220201</v>
      </c>
      <c r="L444" t="s">
        <v>565</v>
      </c>
      <c r="M444">
        <v>117.72</v>
      </c>
      <c r="N444">
        <v>0</v>
      </c>
      <c r="O444" t="s">
        <v>19</v>
      </c>
      <c r="P444" t="s">
        <v>20</v>
      </c>
      <c r="Q444">
        <v>20220201</v>
      </c>
    </row>
    <row r="445" spans="1:17" x14ac:dyDescent="0.25">
      <c r="A445" t="s">
        <v>548</v>
      </c>
      <c r="B445" t="s">
        <v>429</v>
      </c>
      <c r="C445">
        <v>21</v>
      </c>
      <c r="D445">
        <v>20220202</v>
      </c>
      <c r="E445">
        <f t="shared" si="6"/>
        <v>2</v>
      </c>
      <c r="F445">
        <v>411100</v>
      </c>
      <c r="G445" t="s">
        <v>18</v>
      </c>
      <c r="H445" t="s">
        <v>293</v>
      </c>
      <c r="I445" t="s">
        <v>294</v>
      </c>
      <c r="J445">
        <v>121100093</v>
      </c>
      <c r="K445">
        <v>20220202</v>
      </c>
      <c r="L445" t="s">
        <v>934</v>
      </c>
      <c r="M445">
        <v>0</v>
      </c>
      <c r="N445">
        <v>150</v>
      </c>
      <c r="O445" t="s">
        <v>19</v>
      </c>
      <c r="P445" t="s">
        <v>20</v>
      </c>
      <c r="Q445">
        <v>20220202</v>
      </c>
    </row>
    <row r="446" spans="1:17" x14ac:dyDescent="0.25">
      <c r="A446" t="s">
        <v>548</v>
      </c>
      <c r="B446" t="s">
        <v>429</v>
      </c>
      <c r="C446">
        <v>21</v>
      </c>
      <c r="D446">
        <v>20220202</v>
      </c>
      <c r="E446">
        <f t="shared" si="6"/>
        <v>2</v>
      </c>
      <c r="F446">
        <v>411100</v>
      </c>
      <c r="G446" t="s">
        <v>18</v>
      </c>
      <c r="H446" t="s">
        <v>194</v>
      </c>
      <c r="I446" t="s">
        <v>195</v>
      </c>
      <c r="J446">
        <v>121110198</v>
      </c>
      <c r="K446">
        <v>20220202</v>
      </c>
      <c r="L446" t="s">
        <v>935</v>
      </c>
      <c r="M446">
        <v>0</v>
      </c>
      <c r="N446">
        <v>100</v>
      </c>
      <c r="O446" t="s">
        <v>23</v>
      </c>
      <c r="P446">
        <v>20230329</v>
      </c>
      <c r="Q446">
        <v>20220202</v>
      </c>
    </row>
    <row r="447" spans="1:17" x14ac:dyDescent="0.25">
      <c r="A447" t="s">
        <v>548</v>
      </c>
      <c r="B447" t="s">
        <v>429</v>
      </c>
      <c r="C447">
        <v>21</v>
      </c>
      <c r="D447">
        <v>20220202</v>
      </c>
      <c r="E447">
        <f t="shared" si="6"/>
        <v>2</v>
      </c>
      <c r="F447">
        <v>411100</v>
      </c>
      <c r="G447" t="s">
        <v>18</v>
      </c>
      <c r="H447" t="s">
        <v>821</v>
      </c>
      <c r="I447" t="s">
        <v>822</v>
      </c>
      <c r="J447">
        <v>122010051</v>
      </c>
      <c r="K447">
        <v>20220202</v>
      </c>
      <c r="L447" t="s">
        <v>936</v>
      </c>
      <c r="M447">
        <v>0</v>
      </c>
      <c r="N447">
        <v>43.5</v>
      </c>
      <c r="O447" t="s">
        <v>23</v>
      </c>
      <c r="P447">
        <v>20220327</v>
      </c>
      <c r="Q447">
        <v>20220202</v>
      </c>
    </row>
    <row r="448" spans="1:17" x14ac:dyDescent="0.25">
      <c r="A448" t="s">
        <v>548</v>
      </c>
      <c r="B448" t="s">
        <v>429</v>
      </c>
      <c r="C448">
        <v>21</v>
      </c>
      <c r="D448">
        <v>20220202</v>
      </c>
      <c r="E448">
        <f t="shared" si="6"/>
        <v>2</v>
      </c>
      <c r="F448">
        <v>531105</v>
      </c>
      <c r="G448" t="s">
        <v>429</v>
      </c>
      <c r="H448" t="s">
        <v>401</v>
      </c>
      <c r="I448" t="s">
        <v>402</v>
      </c>
      <c r="J448">
        <v>335142</v>
      </c>
      <c r="K448">
        <v>20220202</v>
      </c>
      <c r="L448" t="s">
        <v>565</v>
      </c>
      <c r="M448">
        <v>293.5</v>
      </c>
      <c r="N448">
        <v>0</v>
      </c>
      <c r="O448" t="s">
        <v>19</v>
      </c>
      <c r="P448" t="s">
        <v>20</v>
      </c>
      <c r="Q448">
        <v>20220202</v>
      </c>
    </row>
    <row r="449" spans="1:17" x14ac:dyDescent="0.25">
      <c r="A449" t="s">
        <v>548</v>
      </c>
      <c r="B449" t="s">
        <v>429</v>
      </c>
      <c r="C449">
        <v>21</v>
      </c>
      <c r="D449">
        <v>20220202</v>
      </c>
      <c r="E449">
        <f t="shared" si="6"/>
        <v>2</v>
      </c>
      <c r="F449">
        <v>411100</v>
      </c>
      <c r="G449" t="s">
        <v>18</v>
      </c>
      <c r="H449" t="s">
        <v>247</v>
      </c>
      <c r="I449" t="s">
        <v>248</v>
      </c>
      <c r="J449">
        <v>321120005</v>
      </c>
      <c r="K449">
        <v>20220202</v>
      </c>
      <c r="L449" t="s">
        <v>937</v>
      </c>
      <c r="M449">
        <v>0</v>
      </c>
      <c r="N449">
        <v>20</v>
      </c>
      <c r="O449" t="s">
        <v>19</v>
      </c>
      <c r="P449" t="s">
        <v>20</v>
      </c>
      <c r="Q449">
        <v>20220202</v>
      </c>
    </row>
    <row r="450" spans="1:17" x14ac:dyDescent="0.25">
      <c r="A450" t="s">
        <v>548</v>
      </c>
      <c r="B450" t="s">
        <v>429</v>
      </c>
      <c r="C450">
        <v>21</v>
      </c>
      <c r="D450">
        <v>20220202</v>
      </c>
      <c r="E450">
        <f t="shared" si="6"/>
        <v>2</v>
      </c>
      <c r="F450">
        <v>411100</v>
      </c>
      <c r="G450" t="s">
        <v>18</v>
      </c>
      <c r="H450" t="s">
        <v>175</v>
      </c>
      <c r="I450" t="s">
        <v>176</v>
      </c>
      <c r="J450">
        <v>321120012</v>
      </c>
      <c r="K450">
        <v>20220202</v>
      </c>
      <c r="L450" t="s">
        <v>938</v>
      </c>
      <c r="M450">
        <v>0</v>
      </c>
      <c r="N450">
        <v>2</v>
      </c>
      <c r="O450" t="s">
        <v>19</v>
      </c>
      <c r="P450" t="s">
        <v>20</v>
      </c>
      <c r="Q450">
        <v>20220202</v>
      </c>
    </row>
    <row r="451" spans="1:17" x14ac:dyDescent="0.25">
      <c r="A451" t="s">
        <v>548</v>
      </c>
      <c r="B451" t="s">
        <v>429</v>
      </c>
      <c r="C451">
        <v>21</v>
      </c>
      <c r="D451">
        <v>20220202</v>
      </c>
      <c r="E451">
        <f t="shared" ref="E451:E514" si="7">VALUE(MID(D451,5,2))</f>
        <v>2</v>
      </c>
      <c r="F451">
        <v>411100</v>
      </c>
      <c r="G451" t="s">
        <v>18</v>
      </c>
      <c r="H451" t="s">
        <v>192</v>
      </c>
      <c r="I451" t="s">
        <v>193</v>
      </c>
      <c r="J451">
        <v>321120006</v>
      </c>
      <c r="K451">
        <v>20220202</v>
      </c>
      <c r="L451" t="s">
        <v>939</v>
      </c>
      <c r="M451">
        <v>0</v>
      </c>
      <c r="N451">
        <v>35</v>
      </c>
      <c r="O451" t="s">
        <v>23</v>
      </c>
      <c r="P451">
        <v>20230218</v>
      </c>
      <c r="Q451">
        <v>20220202</v>
      </c>
    </row>
    <row r="452" spans="1:17" x14ac:dyDescent="0.25">
      <c r="A452" t="s">
        <v>548</v>
      </c>
      <c r="B452" t="s">
        <v>429</v>
      </c>
      <c r="C452">
        <v>21</v>
      </c>
      <c r="D452">
        <v>20220202</v>
      </c>
      <c r="E452">
        <f t="shared" si="7"/>
        <v>2</v>
      </c>
      <c r="F452">
        <v>531105</v>
      </c>
      <c r="G452" t="s">
        <v>429</v>
      </c>
      <c r="H452" t="s">
        <v>401</v>
      </c>
      <c r="I452" t="s">
        <v>402</v>
      </c>
      <c r="J452">
        <v>335256</v>
      </c>
      <c r="K452">
        <v>20220202</v>
      </c>
      <c r="L452" t="s">
        <v>565</v>
      </c>
      <c r="M452">
        <v>57</v>
      </c>
      <c r="N452">
        <v>0</v>
      </c>
      <c r="O452" t="s">
        <v>19</v>
      </c>
      <c r="P452" t="s">
        <v>20</v>
      </c>
      <c r="Q452">
        <v>20220202</v>
      </c>
    </row>
    <row r="453" spans="1:17" x14ac:dyDescent="0.25">
      <c r="A453" t="s">
        <v>548</v>
      </c>
      <c r="B453" t="s">
        <v>429</v>
      </c>
      <c r="C453">
        <v>21</v>
      </c>
      <c r="D453">
        <v>20220204</v>
      </c>
      <c r="E453">
        <f t="shared" si="7"/>
        <v>2</v>
      </c>
      <c r="F453">
        <v>411100</v>
      </c>
      <c r="G453" t="s">
        <v>18</v>
      </c>
      <c r="H453" t="s">
        <v>267</v>
      </c>
      <c r="I453" t="s">
        <v>268</v>
      </c>
      <c r="J453">
        <v>335143</v>
      </c>
      <c r="K453">
        <v>20220204</v>
      </c>
      <c r="L453" t="s">
        <v>940</v>
      </c>
      <c r="M453">
        <v>0</v>
      </c>
      <c r="N453">
        <v>32.96</v>
      </c>
      <c r="O453" t="s">
        <v>23</v>
      </c>
      <c r="P453">
        <v>20220524</v>
      </c>
      <c r="Q453">
        <v>20220204</v>
      </c>
    </row>
    <row r="454" spans="1:17" x14ac:dyDescent="0.25">
      <c r="A454" t="s">
        <v>548</v>
      </c>
      <c r="B454" t="s">
        <v>429</v>
      </c>
      <c r="C454">
        <v>21</v>
      </c>
      <c r="D454">
        <v>20220204</v>
      </c>
      <c r="E454">
        <f t="shared" si="7"/>
        <v>2</v>
      </c>
      <c r="F454">
        <v>411100</v>
      </c>
      <c r="G454" t="s">
        <v>18</v>
      </c>
      <c r="H454" t="s">
        <v>941</v>
      </c>
      <c r="I454" t="s">
        <v>942</v>
      </c>
      <c r="J454">
        <v>335144</v>
      </c>
      <c r="K454">
        <v>20220204</v>
      </c>
      <c r="L454" t="s">
        <v>943</v>
      </c>
      <c r="M454">
        <v>0</v>
      </c>
      <c r="N454">
        <v>8.61</v>
      </c>
      <c r="O454" t="s">
        <v>19</v>
      </c>
      <c r="P454" t="s">
        <v>20</v>
      </c>
      <c r="Q454">
        <v>20220204</v>
      </c>
    </row>
    <row r="455" spans="1:17" x14ac:dyDescent="0.25">
      <c r="A455" t="s">
        <v>548</v>
      </c>
      <c r="B455" t="s">
        <v>429</v>
      </c>
      <c r="C455">
        <v>21</v>
      </c>
      <c r="D455">
        <v>20220204</v>
      </c>
      <c r="E455">
        <f t="shared" si="7"/>
        <v>2</v>
      </c>
      <c r="F455">
        <v>411100</v>
      </c>
      <c r="G455" t="s">
        <v>18</v>
      </c>
      <c r="H455" t="s">
        <v>944</v>
      </c>
      <c r="I455" t="s">
        <v>945</v>
      </c>
      <c r="J455">
        <v>335145</v>
      </c>
      <c r="K455">
        <v>20220204</v>
      </c>
      <c r="L455" t="s">
        <v>946</v>
      </c>
      <c r="M455">
        <v>0</v>
      </c>
      <c r="N455">
        <v>39.35</v>
      </c>
      <c r="O455" t="s">
        <v>22</v>
      </c>
      <c r="P455">
        <v>20230218</v>
      </c>
      <c r="Q455">
        <v>20220204</v>
      </c>
    </row>
    <row r="456" spans="1:17" x14ac:dyDescent="0.25">
      <c r="A456" t="s">
        <v>548</v>
      </c>
      <c r="B456" t="s">
        <v>429</v>
      </c>
      <c r="C456">
        <v>21</v>
      </c>
      <c r="D456">
        <v>20220204</v>
      </c>
      <c r="E456">
        <f t="shared" si="7"/>
        <v>2</v>
      </c>
      <c r="F456">
        <v>411100</v>
      </c>
      <c r="G456" t="s">
        <v>18</v>
      </c>
      <c r="H456" t="s">
        <v>947</v>
      </c>
      <c r="I456" t="s">
        <v>948</v>
      </c>
      <c r="J456">
        <v>335146</v>
      </c>
      <c r="K456">
        <v>20220204</v>
      </c>
      <c r="L456" t="s">
        <v>949</v>
      </c>
      <c r="M456">
        <v>0</v>
      </c>
      <c r="N456">
        <v>67.38</v>
      </c>
      <c r="O456" t="s">
        <v>22</v>
      </c>
      <c r="P456">
        <v>20230218</v>
      </c>
      <c r="Q456">
        <v>20220204</v>
      </c>
    </row>
    <row r="457" spans="1:17" x14ac:dyDescent="0.25">
      <c r="A457" t="s">
        <v>548</v>
      </c>
      <c r="B457" t="s">
        <v>429</v>
      </c>
      <c r="C457">
        <v>21</v>
      </c>
      <c r="D457">
        <v>20220204</v>
      </c>
      <c r="E457">
        <f t="shared" si="7"/>
        <v>2</v>
      </c>
      <c r="F457">
        <v>531105</v>
      </c>
      <c r="G457" t="s">
        <v>429</v>
      </c>
      <c r="H457" t="s">
        <v>401</v>
      </c>
      <c r="I457" t="s">
        <v>402</v>
      </c>
      <c r="J457">
        <v>335147</v>
      </c>
      <c r="K457">
        <v>20220204</v>
      </c>
      <c r="L457" t="s">
        <v>565</v>
      </c>
      <c r="M457">
        <v>148.30000000000001</v>
      </c>
      <c r="N457">
        <v>0</v>
      </c>
      <c r="O457" t="s">
        <v>19</v>
      </c>
      <c r="P457" t="s">
        <v>20</v>
      </c>
      <c r="Q457">
        <v>20220204</v>
      </c>
    </row>
    <row r="458" spans="1:17" x14ac:dyDescent="0.25">
      <c r="A458" t="s">
        <v>548</v>
      </c>
      <c r="B458" t="s">
        <v>429</v>
      </c>
      <c r="C458">
        <v>21</v>
      </c>
      <c r="D458">
        <v>20220207</v>
      </c>
      <c r="E458">
        <f t="shared" si="7"/>
        <v>2</v>
      </c>
      <c r="F458">
        <v>467100</v>
      </c>
      <c r="G458" t="s">
        <v>160</v>
      </c>
      <c r="H458" t="s">
        <v>219</v>
      </c>
      <c r="I458" t="s">
        <v>220</v>
      </c>
      <c r="J458" t="s">
        <v>950</v>
      </c>
      <c r="K458">
        <v>20220207</v>
      </c>
      <c r="L458" t="s">
        <v>951</v>
      </c>
      <c r="M458">
        <v>100</v>
      </c>
      <c r="N458">
        <v>0</v>
      </c>
      <c r="O458" t="s">
        <v>23</v>
      </c>
      <c r="P458">
        <v>20220427</v>
      </c>
      <c r="Q458">
        <v>20220207</v>
      </c>
    </row>
    <row r="459" spans="1:17" x14ac:dyDescent="0.25">
      <c r="A459" t="s">
        <v>548</v>
      </c>
      <c r="B459" t="s">
        <v>429</v>
      </c>
      <c r="C459">
        <v>21</v>
      </c>
      <c r="D459">
        <v>20220207</v>
      </c>
      <c r="E459">
        <f t="shared" si="7"/>
        <v>2</v>
      </c>
      <c r="F459">
        <v>531105</v>
      </c>
      <c r="G459" t="s">
        <v>429</v>
      </c>
      <c r="H459" t="s">
        <v>401</v>
      </c>
      <c r="I459" t="s">
        <v>402</v>
      </c>
      <c r="J459" t="s">
        <v>950</v>
      </c>
      <c r="K459">
        <v>20220207</v>
      </c>
      <c r="L459" t="s">
        <v>951</v>
      </c>
      <c r="M459">
        <v>0</v>
      </c>
      <c r="N459">
        <v>100</v>
      </c>
      <c r="O459" t="s">
        <v>19</v>
      </c>
      <c r="P459" t="s">
        <v>20</v>
      </c>
      <c r="Q459">
        <v>20220207</v>
      </c>
    </row>
    <row r="460" spans="1:17" x14ac:dyDescent="0.25">
      <c r="A460" t="s">
        <v>548</v>
      </c>
      <c r="B460" t="s">
        <v>429</v>
      </c>
      <c r="C460">
        <v>21</v>
      </c>
      <c r="D460">
        <v>20220207</v>
      </c>
      <c r="E460">
        <f t="shared" si="7"/>
        <v>2</v>
      </c>
      <c r="F460">
        <v>411100</v>
      </c>
      <c r="G460" t="s">
        <v>18</v>
      </c>
      <c r="H460" t="s">
        <v>592</v>
      </c>
      <c r="I460" t="s">
        <v>593</v>
      </c>
      <c r="J460">
        <v>122010029</v>
      </c>
      <c r="K460">
        <v>20220207</v>
      </c>
      <c r="L460" t="s">
        <v>952</v>
      </c>
      <c r="M460">
        <v>0</v>
      </c>
      <c r="N460">
        <v>300</v>
      </c>
      <c r="O460" t="s">
        <v>19</v>
      </c>
      <c r="P460" t="s">
        <v>20</v>
      </c>
      <c r="Q460">
        <v>20220207</v>
      </c>
    </row>
    <row r="461" spans="1:17" x14ac:dyDescent="0.25">
      <c r="A461" t="s">
        <v>548</v>
      </c>
      <c r="B461" t="s">
        <v>429</v>
      </c>
      <c r="C461">
        <v>21</v>
      </c>
      <c r="D461">
        <v>20220207</v>
      </c>
      <c r="E461">
        <f t="shared" si="7"/>
        <v>2</v>
      </c>
      <c r="F461">
        <v>411100</v>
      </c>
      <c r="G461" t="s">
        <v>18</v>
      </c>
      <c r="H461" t="s">
        <v>175</v>
      </c>
      <c r="I461" t="s">
        <v>176</v>
      </c>
      <c r="J461">
        <v>335149</v>
      </c>
      <c r="K461">
        <v>20220207</v>
      </c>
      <c r="L461" t="s">
        <v>953</v>
      </c>
      <c r="M461">
        <v>0</v>
      </c>
      <c r="N461">
        <v>89.84</v>
      </c>
      <c r="O461" t="s">
        <v>19</v>
      </c>
      <c r="P461" t="s">
        <v>20</v>
      </c>
      <c r="Q461">
        <v>20220207</v>
      </c>
    </row>
    <row r="462" spans="1:17" x14ac:dyDescent="0.25">
      <c r="A462" t="s">
        <v>548</v>
      </c>
      <c r="B462" t="s">
        <v>429</v>
      </c>
      <c r="C462">
        <v>21</v>
      </c>
      <c r="D462">
        <v>20220207</v>
      </c>
      <c r="E462">
        <f t="shared" si="7"/>
        <v>2</v>
      </c>
      <c r="F462">
        <v>411100</v>
      </c>
      <c r="G462" t="s">
        <v>18</v>
      </c>
      <c r="H462" t="s">
        <v>352</v>
      </c>
      <c r="I462" t="s">
        <v>353</v>
      </c>
      <c r="J462">
        <v>335150</v>
      </c>
      <c r="K462">
        <v>20220207</v>
      </c>
      <c r="L462" t="s">
        <v>954</v>
      </c>
      <c r="M462">
        <v>0</v>
      </c>
      <c r="N462">
        <v>19.2</v>
      </c>
      <c r="O462" t="s">
        <v>22</v>
      </c>
      <c r="P462">
        <v>20220327</v>
      </c>
      <c r="Q462">
        <v>20220207</v>
      </c>
    </row>
    <row r="463" spans="1:17" x14ac:dyDescent="0.25">
      <c r="A463" t="s">
        <v>548</v>
      </c>
      <c r="B463" t="s">
        <v>429</v>
      </c>
      <c r="C463">
        <v>21</v>
      </c>
      <c r="D463">
        <v>20220207</v>
      </c>
      <c r="E463">
        <f t="shared" si="7"/>
        <v>2</v>
      </c>
      <c r="F463">
        <v>411100</v>
      </c>
      <c r="G463" t="s">
        <v>18</v>
      </c>
      <c r="H463" t="s">
        <v>187</v>
      </c>
      <c r="I463" t="s">
        <v>188</v>
      </c>
      <c r="J463">
        <v>335151</v>
      </c>
      <c r="K463">
        <v>20220207</v>
      </c>
      <c r="L463" t="s">
        <v>955</v>
      </c>
      <c r="M463">
        <v>0</v>
      </c>
      <c r="N463">
        <v>7</v>
      </c>
      <c r="O463" t="s">
        <v>22</v>
      </c>
      <c r="P463">
        <v>20230218</v>
      </c>
      <c r="Q463">
        <v>20220207</v>
      </c>
    </row>
    <row r="464" spans="1:17" x14ac:dyDescent="0.25">
      <c r="A464" t="s">
        <v>548</v>
      </c>
      <c r="B464" t="s">
        <v>429</v>
      </c>
      <c r="C464">
        <v>21</v>
      </c>
      <c r="D464">
        <v>20220207</v>
      </c>
      <c r="E464">
        <f t="shared" si="7"/>
        <v>2</v>
      </c>
      <c r="F464">
        <v>411100</v>
      </c>
      <c r="G464" t="s">
        <v>18</v>
      </c>
      <c r="H464" t="s">
        <v>187</v>
      </c>
      <c r="I464" t="s">
        <v>188</v>
      </c>
      <c r="J464">
        <v>335152</v>
      </c>
      <c r="K464">
        <v>20220207</v>
      </c>
      <c r="L464" t="s">
        <v>956</v>
      </c>
      <c r="M464">
        <v>0</v>
      </c>
      <c r="N464">
        <v>7</v>
      </c>
      <c r="O464" t="s">
        <v>22</v>
      </c>
      <c r="P464">
        <v>20230218</v>
      </c>
      <c r="Q464">
        <v>20220207</v>
      </c>
    </row>
    <row r="465" spans="1:17" x14ac:dyDescent="0.25">
      <c r="A465" t="s">
        <v>548</v>
      </c>
      <c r="B465" t="s">
        <v>429</v>
      </c>
      <c r="C465">
        <v>21</v>
      </c>
      <c r="D465">
        <v>20220207</v>
      </c>
      <c r="E465">
        <f t="shared" si="7"/>
        <v>2</v>
      </c>
      <c r="F465">
        <v>411100</v>
      </c>
      <c r="G465" t="s">
        <v>18</v>
      </c>
      <c r="H465" t="s">
        <v>154</v>
      </c>
      <c r="I465" t="s">
        <v>155</v>
      </c>
      <c r="J465">
        <v>335153</v>
      </c>
      <c r="K465">
        <v>20220207</v>
      </c>
      <c r="L465" t="s">
        <v>957</v>
      </c>
      <c r="M465">
        <v>0</v>
      </c>
      <c r="N465">
        <v>7</v>
      </c>
      <c r="O465" t="s">
        <v>19</v>
      </c>
      <c r="P465" t="s">
        <v>20</v>
      </c>
      <c r="Q465">
        <v>20220207</v>
      </c>
    </row>
    <row r="466" spans="1:17" x14ac:dyDescent="0.25">
      <c r="A466" t="s">
        <v>548</v>
      </c>
      <c r="B466" t="s">
        <v>429</v>
      </c>
      <c r="C466">
        <v>21</v>
      </c>
      <c r="D466">
        <v>20220207</v>
      </c>
      <c r="E466">
        <f t="shared" si="7"/>
        <v>2</v>
      </c>
      <c r="F466">
        <v>411100</v>
      </c>
      <c r="G466" t="s">
        <v>18</v>
      </c>
      <c r="H466" t="s">
        <v>154</v>
      </c>
      <c r="I466" t="s">
        <v>155</v>
      </c>
      <c r="J466">
        <v>335154</v>
      </c>
      <c r="K466">
        <v>20220207</v>
      </c>
      <c r="L466" t="s">
        <v>958</v>
      </c>
      <c r="M466">
        <v>0</v>
      </c>
      <c r="N466">
        <v>7</v>
      </c>
      <c r="O466" t="s">
        <v>19</v>
      </c>
      <c r="P466" t="s">
        <v>20</v>
      </c>
      <c r="Q466">
        <v>20220207</v>
      </c>
    </row>
    <row r="467" spans="1:17" x14ac:dyDescent="0.25">
      <c r="A467" t="s">
        <v>548</v>
      </c>
      <c r="B467" t="s">
        <v>429</v>
      </c>
      <c r="C467">
        <v>21</v>
      </c>
      <c r="D467">
        <v>20220207</v>
      </c>
      <c r="E467">
        <f t="shared" si="7"/>
        <v>2</v>
      </c>
      <c r="F467">
        <v>411100</v>
      </c>
      <c r="G467" t="s">
        <v>18</v>
      </c>
      <c r="H467" t="s">
        <v>237</v>
      </c>
      <c r="I467" t="s">
        <v>238</v>
      </c>
      <c r="J467">
        <v>335155</v>
      </c>
      <c r="K467">
        <v>20220207</v>
      </c>
      <c r="L467" t="s">
        <v>959</v>
      </c>
      <c r="M467">
        <v>0</v>
      </c>
      <c r="N467">
        <v>7</v>
      </c>
      <c r="O467" t="s">
        <v>19</v>
      </c>
      <c r="P467" t="s">
        <v>20</v>
      </c>
      <c r="Q467">
        <v>20220207</v>
      </c>
    </row>
    <row r="468" spans="1:17" x14ac:dyDescent="0.25">
      <c r="A468" t="s">
        <v>548</v>
      </c>
      <c r="B468" t="s">
        <v>429</v>
      </c>
      <c r="C468">
        <v>21</v>
      </c>
      <c r="D468">
        <v>20220207</v>
      </c>
      <c r="E468">
        <f t="shared" si="7"/>
        <v>2</v>
      </c>
      <c r="F468">
        <v>411100</v>
      </c>
      <c r="G468" t="s">
        <v>18</v>
      </c>
      <c r="H468" t="s">
        <v>660</v>
      </c>
      <c r="I468" t="s">
        <v>661</v>
      </c>
      <c r="J468">
        <v>335156</v>
      </c>
      <c r="K468">
        <v>20220207</v>
      </c>
      <c r="L468" t="s">
        <v>960</v>
      </c>
      <c r="M468">
        <v>0</v>
      </c>
      <c r="N468">
        <v>7</v>
      </c>
      <c r="O468" t="s">
        <v>19</v>
      </c>
      <c r="P468" t="s">
        <v>20</v>
      </c>
      <c r="Q468">
        <v>20220207</v>
      </c>
    </row>
    <row r="469" spans="1:17" x14ac:dyDescent="0.25">
      <c r="A469" t="s">
        <v>548</v>
      </c>
      <c r="B469" t="s">
        <v>429</v>
      </c>
      <c r="C469">
        <v>21</v>
      </c>
      <c r="D469">
        <v>20220207</v>
      </c>
      <c r="E469">
        <f t="shared" si="7"/>
        <v>2</v>
      </c>
      <c r="F469">
        <v>411100</v>
      </c>
      <c r="G469" t="s">
        <v>18</v>
      </c>
      <c r="H469" t="s">
        <v>259</v>
      </c>
      <c r="I469" t="s">
        <v>260</v>
      </c>
      <c r="J469">
        <v>335157</v>
      </c>
      <c r="K469">
        <v>20220207</v>
      </c>
      <c r="L469" t="s">
        <v>961</v>
      </c>
      <c r="M469">
        <v>0</v>
      </c>
      <c r="N469">
        <v>7</v>
      </c>
      <c r="O469" t="s">
        <v>23</v>
      </c>
      <c r="P469">
        <v>20230213</v>
      </c>
      <c r="Q469">
        <v>20220207</v>
      </c>
    </row>
    <row r="470" spans="1:17" x14ac:dyDescent="0.25">
      <c r="A470" t="s">
        <v>548</v>
      </c>
      <c r="B470" t="s">
        <v>429</v>
      </c>
      <c r="C470">
        <v>21</v>
      </c>
      <c r="D470">
        <v>20220207</v>
      </c>
      <c r="E470">
        <f t="shared" si="7"/>
        <v>2</v>
      </c>
      <c r="F470">
        <v>411100</v>
      </c>
      <c r="G470" t="s">
        <v>18</v>
      </c>
      <c r="H470" t="s">
        <v>217</v>
      </c>
      <c r="I470" t="s">
        <v>218</v>
      </c>
      <c r="J470">
        <v>335158</v>
      </c>
      <c r="K470">
        <v>20220207</v>
      </c>
      <c r="L470" t="s">
        <v>962</v>
      </c>
      <c r="M470">
        <v>0</v>
      </c>
      <c r="N470">
        <v>7</v>
      </c>
      <c r="O470" t="s">
        <v>19</v>
      </c>
      <c r="P470" t="s">
        <v>20</v>
      </c>
      <c r="Q470">
        <v>20220207</v>
      </c>
    </row>
    <row r="471" spans="1:17" x14ac:dyDescent="0.25">
      <c r="A471" t="s">
        <v>548</v>
      </c>
      <c r="B471" t="s">
        <v>429</v>
      </c>
      <c r="C471">
        <v>21</v>
      </c>
      <c r="D471">
        <v>20220207</v>
      </c>
      <c r="E471">
        <f t="shared" si="7"/>
        <v>2</v>
      </c>
      <c r="F471">
        <v>411100</v>
      </c>
      <c r="G471" t="s">
        <v>18</v>
      </c>
      <c r="H471" t="s">
        <v>263</v>
      </c>
      <c r="I471" t="s">
        <v>264</v>
      </c>
      <c r="J471">
        <v>335159</v>
      </c>
      <c r="K471">
        <v>20220207</v>
      </c>
      <c r="L471" t="s">
        <v>963</v>
      </c>
      <c r="M471">
        <v>0</v>
      </c>
      <c r="N471">
        <v>7</v>
      </c>
      <c r="O471" t="s">
        <v>19</v>
      </c>
      <c r="P471" t="s">
        <v>20</v>
      </c>
      <c r="Q471">
        <v>20220207</v>
      </c>
    </row>
    <row r="472" spans="1:17" x14ac:dyDescent="0.25">
      <c r="A472" t="s">
        <v>548</v>
      </c>
      <c r="B472" t="s">
        <v>429</v>
      </c>
      <c r="C472">
        <v>21</v>
      </c>
      <c r="D472">
        <v>20220207</v>
      </c>
      <c r="E472">
        <f t="shared" si="7"/>
        <v>2</v>
      </c>
      <c r="F472">
        <v>531105</v>
      </c>
      <c r="G472" t="s">
        <v>429</v>
      </c>
      <c r="H472" t="s">
        <v>401</v>
      </c>
      <c r="I472" t="s">
        <v>402</v>
      </c>
      <c r="J472">
        <v>335160</v>
      </c>
      <c r="K472">
        <v>20220207</v>
      </c>
      <c r="L472" t="s">
        <v>565</v>
      </c>
      <c r="M472">
        <v>472.04</v>
      </c>
      <c r="N472">
        <v>0</v>
      </c>
      <c r="O472" t="s">
        <v>19</v>
      </c>
      <c r="P472" t="s">
        <v>20</v>
      </c>
      <c r="Q472">
        <v>20220207</v>
      </c>
    </row>
    <row r="473" spans="1:17" x14ac:dyDescent="0.25">
      <c r="A473" t="s">
        <v>548</v>
      </c>
      <c r="B473" t="s">
        <v>429</v>
      </c>
      <c r="C473">
        <v>21</v>
      </c>
      <c r="D473">
        <v>20220207</v>
      </c>
      <c r="E473">
        <f t="shared" si="7"/>
        <v>2</v>
      </c>
      <c r="F473">
        <v>411100</v>
      </c>
      <c r="G473" t="s">
        <v>18</v>
      </c>
      <c r="H473" t="s">
        <v>352</v>
      </c>
      <c r="I473" t="s">
        <v>353</v>
      </c>
      <c r="J473">
        <v>335285</v>
      </c>
      <c r="K473">
        <v>20220207</v>
      </c>
      <c r="L473" t="s">
        <v>964</v>
      </c>
      <c r="M473">
        <v>0</v>
      </c>
      <c r="N473">
        <v>2.54</v>
      </c>
      <c r="O473" t="s">
        <v>19</v>
      </c>
      <c r="P473" t="s">
        <v>20</v>
      </c>
      <c r="Q473">
        <v>20220207</v>
      </c>
    </row>
    <row r="474" spans="1:17" x14ac:dyDescent="0.25">
      <c r="A474" t="s">
        <v>548</v>
      </c>
      <c r="B474" t="s">
        <v>429</v>
      </c>
      <c r="C474">
        <v>21</v>
      </c>
      <c r="D474">
        <v>20220207</v>
      </c>
      <c r="E474">
        <f t="shared" si="7"/>
        <v>2</v>
      </c>
      <c r="F474">
        <v>531105</v>
      </c>
      <c r="G474" t="s">
        <v>429</v>
      </c>
      <c r="H474" t="s">
        <v>401</v>
      </c>
      <c r="I474" t="s">
        <v>402</v>
      </c>
      <c r="J474">
        <v>335286</v>
      </c>
      <c r="K474">
        <v>20220207</v>
      </c>
      <c r="L474" t="s">
        <v>565</v>
      </c>
      <c r="M474">
        <v>2.54</v>
      </c>
      <c r="N474">
        <v>0</v>
      </c>
      <c r="O474" t="s">
        <v>19</v>
      </c>
      <c r="P474" t="s">
        <v>20</v>
      </c>
      <c r="Q474">
        <v>20220207</v>
      </c>
    </row>
    <row r="475" spans="1:17" x14ac:dyDescent="0.25">
      <c r="A475" t="s">
        <v>548</v>
      </c>
      <c r="B475" t="s">
        <v>429</v>
      </c>
      <c r="C475">
        <v>21</v>
      </c>
      <c r="D475">
        <v>20220208</v>
      </c>
      <c r="E475">
        <f t="shared" si="7"/>
        <v>2</v>
      </c>
      <c r="F475">
        <v>467100</v>
      </c>
      <c r="G475" t="s">
        <v>160</v>
      </c>
      <c r="H475" t="s">
        <v>316</v>
      </c>
      <c r="I475" t="s">
        <v>317</v>
      </c>
      <c r="J475" t="s">
        <v>965</v>
      </c>
      <c r="K475">
        <v>20220208</v>
      </c>
      <c r="L475" t="s">
        <v>966</v>
      </c>
      <c r="M475">
        <v>30</v>
      </c>
      <c r="N475">
        <v>0</v>
      </c>
      <c r="O475" t="s">
        <v>23</v>
      </c>
      <c r="P475">
        <v>20220321</v>
      </c>
      <c r="Q475">
        <v>20220208</v>
      </c>
    </row>
    <row r="476" spans="1:17" x14ac:dyDescent="0.25">
      <c r="A476" t="s">
        <v>548</v>
      </c>
      <c r="B476" t="s">
        <v>429</v>
      </c>
      <c r="C476">
        <v>21</v>
      </c>
      <c r="D476">
        <v>20220208</v>
      </c>
      <c r="E476">
        <f t="shared" si="7"/>
        <v>2</v>
      </c>
      <c r="F476">
        <v>531105</v>
      </c>
      <c r="G476" t="s">
        <v>429</v>
      </c>
      <c r="H476" t="s">
        <v>401</v>
      </c>
      <c r="I476" t="s">
        <v>402</v>
      </c>
      <c r="J476" t="s">
        <v>965</v>
      </c>
      <c r="K476">
        <v>20220208</v>
      </c>
      <c r="L476" t="s">
        <v>966</v>
      </c>
      <c r="M476">
        <v>0</v>
      </c>
      <c r="N476">
        <v>30</v>
      </c>
      <c r="O476" t="s">
        <v>19</v>
      </c>
      <c r="P476" t="s">
        <v>20</v>
      </c>
      <c r="Q476">
        <v>20220208</v>
      </c>
    </row>
    <row r="477" spans="1:17" x14ac:dyDescent="0.25">
      <c r="A477" t="s">
        <v>548</v>
      </c>
      <c r="B477" t="s">
        <v>429</v>
      </c>
      <c r="C477">
        <v>21</v>
      </c>
      <c r="D477">
        <v>20220208</v>
      </c>
      <c r="E477">
        <f t="shared" si="7"/>
        <v>2</v>
      </c>
      <c r="F477">
        <v>467100</v>
      </c>
      <c r="G477" t="s">
        <v>160</v>
      </c>
      <c r="H477" t="s">
        <v>316</v>
      </c>
      <c r="I477" t="s">
        <v>317</v>
      </c>
      <c r="J477" t="s">
        <v>967</v>
      </c>
      <c r="K477">
        <v>20220208</v>
      </c>
      <c r="L477" t="s">
        <v>968</v>
      </c>
      <c r="M477">
        <v>38.520000000000003</v>
      </c>
      <c r="N477">
        <v>0</v>
      </c>
      <c r="O477" t="s">
        <v>23</v>
      </c>
      <c r="P477">
        <v>20220801</v>
      </c>
      <c r="Q477">
        <v>20220208</v>
      </c>
    </row>
    <row r="478" spans="1:17" x14ac:dyDescent="0.25">
      <c r="A478" t="s">
        <v>548</v>
      </c>
      <c r="B478" t="s">
        <v>429</v>
      </c>
      <c r="C478">
        <v>21</v>
      </c>
      <c r="D478">
        <v>20220208</v>
      </c>
      <c r="E478">
        <f t="shared" si="7"/>
        <v>2</v>
      </c>
      <c r="F478">
        <v>531105</v>
      </c>
      <c r="G478" t="s">
        <v>429</v>
      </c>
      <c r="H478" t="s">
        <v>401</v>
      </c>
      <c r="I478" t="s">
        <v>402</v>
      </c>
      <c r="J478" t="s">
        <v>967</v>
      </c>
      <c r="K478">
        <v>20220208</v>
      </c>
      <c r="L478" t="s">
        <v>968</v>
      </c>
      <c r="M478">
        <v>0</v>
      </c>
      <c r="N478">
        <v>38.520000000000003</v>
      </c>
      <c r="O478" t="s">
        <v>19</v>
      </c>
      <c r="P478" t="s">
        <v>20</v>
      </c>
      <c r="Q478">
        <v>20220208</v>
      </c>
    </row>
    <row r="479" spans="1:17" x14ac:dyDescent="0.25">
      <c r="A479" t="s">
        <v>548</v>
      </c>
      <c r="B479" t="s">
        <v>429</v>
      </c>
      <c r="C479">
        <v>21</v>
      </c>
      <c r="D479">
        <v>20220208</v>
      </c>
      <c r="E479">
        <f t="shared" si="7"/>
        <v>2</v>
      </c>
      <c r="F479">
        <v>467100</v>
      </c>
      <c r="G479" t="s">
        <v>160</v>
      </c>
      <c r="H479" t="s">
        <v>219</v>
      </c>
      <c r="I479" t="s">
        <v>220</v>
      </c>
      <c r="J479" t="s">
        <v>969</v>
      </c>
      <c r="K479">
        <v>20220208</v>
      </c>
      <c r="L479" t="s">
        <v>693</v>
      </c>
      <c r="M479">
        <v>0</v>
      </c>
      <c r="N479">
        <v>21.64</v>
      </c>
      <c r="O479" t="s">
        <v>23</v>
      </c>
      <c r="P479">
        <v>20220427</v>
      </c>
      <c r="Q479">
        <v>20220208</v>
      </c>
    </row>
    <row r="480" spans="1:17" x14ac:dyDescent="0.25">
      <c r="A480" t="s">
        <v>548</v>
      </c>
      <c r="B480" t="s">
        <v>429</v>
      </c>
      <c r="C480">
        <v>21</v>
      </c>
      <c r="D480">
        <v>20220208</v>
      </c>
      <c r="E480">
        <f t="shared" si="7"/>
        <v>2</v>
      </c>
      <c r="F480">
        <v>531105</v>
      </c>
      <c r="G480" t="s">
        <v>429</v>
      </c>
      <c r="H480" t="s">
        <v>401</v>
      </c>
      <c r="I480" t="s">
        <v>402</v>
      </c>
      <c r="J480" t="s">
        <v>969</v>
      </c>
      <c r="K480">
        <v>20220208</v>
      </c>
      <c r="L480" t="s">
        <v>693</v>
      </c>
      <c r="M480">
        <v>21.64</v>
      </c>
      <c r="N480">
        <v>0</v>
      </c>
      <c r="O480" t="s">
        <v>19</v>
      </c>
      <c r="P480" t="s">
        <v>20</v>
      </c>
      <c r="Q480">
        <v>20220208</v>
      </c>
    </row>
    <row r="481" spans="1:17" x14ac:dyDescent="0.25">
      <c r="A481" t="s">
        <v>548</v>
      </c>
      <c r="B481" t="s">
        <v>429</v>
      </c>
      <c r="C481">
        <v>21</v>
      </c>
      <c r="D481">
        <v>20220208</v>
      </c>
      <c r="E481">
        <f t="shared" si="7"/>
        <v>2</v>
      </c>
      <c r="F481">
        <v>411100</v>
      </c>
      <c r="G481" t="s">
        <v>18</v>
      </c>
      <c r="H481" t="s">
        <v>198</v>
      </c>
      <c r="I481" t="s">
        <v>199</v>
      </c>
      <c r="J481">
        <v>322010014</v>
      </c>
      <c r="K481">
        <v>20220208</v>
      </c>
      <c r="L481" t="s">
        <v>970</v>
      </c>
      <c r="M481">
        <v>0</v>
      </c>
      <c r="N481">
        <v>65.28</v>
      </c>
      <c r="O481" t="s">
        <v>23</v>
      </c>
      <c r="P481">
        <v>20220327</v>
      </c>
      <c r="Q481">
        <v>20220208</v>
      </c>
    </row>
    <row r="482" spans="1:17" x14ac:dyDescent="0.25">
      <c r="A482" t="s">
        <v>548</v>
      </c>
      <c r="B482" t="s">
        <v>429</v>
      </c>
      <c r="C482">
        <v>21</v>
      </c>
      <c r="D482">
        <v>20220208</v>
      </c>
      <c r="E482">
        <f t="shared" si="7"/>
        <v>2</v>
      </c>
      <c r="F482">
        <v>411100</v>
      </c>
      <c r="G482" t="s">
        <v>18</v>
      </c>
      <c r="H482" t="s">
        <v>198</v>
      </c>
      <c r="I482" t="s">
        <v>199</v>
      </c>
      <c r="J482">
        <v>322010014</v>
      </c>
      <c r="K482">
        <v>20220208</v>
      </c>
      <c r="L482" t="s">
        <v>971</v>
      </c>
      <c r="M482">
        <v>0</v>
      </c>
      <c r="N482">
        <v>0.22</v>
      </c>
      <c r="O482" t="s">
        <v>23</v>
      </c>
      <c r="P482">
        <v>20220327</v>
      </c>
      <c r="Q482">
        <v>20220208</v>
      </c>
    </row>
    <row r="483" spans="1:17" x14ac:dyDescent="0.25">
      <c r="A483" t="s">
        <v>548</v>
      </c>
      <c r="B483" t="s">
        <v>429</v>
      </c>
      <c r="C483">
        <v>21</v>
      </c>
      <c r="D483">
        <v>20220208</v>
      </c>
      <c r="E483">
        <f t="shared" si="7"/>
        <v>2</v>
      </c>
      <c r="F483">
        <v>411020</v>
      </c>
      <c r="G483" t="s">
        <v>30</v>
      </c>
      <c r="H483" t="s">
        <v>371</v>
      </c>
      <c r="I483" t="s">
        <v>372</v>
      </c>
      <c r="J483">
        <v>322010016</v>
      </c>
      <c r="K483">
        <v>20220208</v>
      </c>
      <c r="L483" t="s">
        <v>972</v>
      </c>
      <c r="M483">
        <v>0</v>
      </c>
      <c r="N483">
        <v>84.06</v>
      </c>
      <c r="O483" t="s">
        <v>23</v>
      </c>
      <c r="P483">
        <v>20220327</v>
      </c>
      <c r="Q483">
        <v>20220208</v>
      </c>
    </row>
    <row r="484" spans="1:17" x14ac:dyDescent="0.25">
      <c r="A484" t="s">
        <v>548</v>
      </c>
      <c r="B484" t="s">
        <v>429</v>
      </c>
      <c r="C484">
        <v>21</v>
      </c>
      <c r="D484">
        <v>20220208</v>
      </c>
      <c r="E484">
        <f t="shared" si="7"/>
        <v>2</v>
      </c>
      <c r="F484">
        <v>411020</v>
      </c>
      <c r="G484" t="s">
        <v>30</v>
      </c>
      <c r="H484" t="s">
        <v>371</v>
      </c>
      <c r="I484" t="s">
        <v>372</v>
      </c>
      <c r="J484">
        <v>322010016</v>
      </c>
      <c r="K484">
        <v>20220208</v>
      </c>
      <c r="L484" t="s">
        <v>973</v>
      </c>
      <c r="M484">
        <v>0</v>
      </c>
      <c r="N484">
        <v>5.94</v>
      </c>
      <c r="O484" t="s">
        <v>23</v>
      </c>
      <c r="P484">
        <v>20220327</v>
      </c>
      <c r="Q484">
        <v>20220208</v>
      </c>
    </row>
    <row r="485" spans="1:17" x14ac:dyDescent="0.25">
      <c r="A485" t="s">
        <v>548</v>
      </c>
      <c r="B485" t="s">
        <v>429</v>
      </c>
      <c r="C485">
        <v>21</v>
      </c>
      <c r="D485">
        <v>20220208</v>
      </c>
      <c r="E485">
        <f t="shared" si="7"/>
        <v>2</v>
      </c>
      <c r="F485">
        <v>411020</v>
      </c>
      <c r="G485" t="s">
        <v>30</v>
      </c>
      <c r="H485" t="s">
        <v>369</v>
      </c>
      <c r="I485" t="s">
        <v>370</v>
      </c>
      <c r="J485">
        <v>322010011</v>
      </c>
      <c r="K485">
        <v>20220208</v>
      </c>
      <c r="L485" t="s">
        <v>974</v>
      </c>
      <c r="M485">
        <v>0</v>
      </c>
      <c r="N485">
        <v>57.72</v>
      </c>
      <c r="O485" t="s">
        <v>22</v>
      </c>
      <c r="P485">
        <v>20220327</v>
      </c>
      <c r="Q485">
        <v>20220208</v>
      </c>
    </row>
    <row r="486" spans="1:17" x14ac:dyDescent="0.25">
      <c r="A486" t="s">
        <v>548</v>
      </c>
      <c r="B486" t="s">
        <v>429</v>
      </c>
      <c r="C486">
        <v>21</v>
      </c>
      <c r="D486">
        <v>20220208</v>
      </c>
      <c r="E486">
        <f t="shared" si="7"/>
        <v>2</v>
      </c>
      <c r="F486">
        <v>411020</v>
      </c>
      <c r="G486" t="s">
        <v>30</v>
      </c>
      <c r="H486" t="s">
        <v>369</v>
      </c>
      <c r="I486" t="s">
        <v>370</v>
      </c>
      <c r="J486">
        <v>322010011</v>
      </c>
      <c r="K486">
        <v>20220208</v>
      </c>
      <c r="L486" t="s">
        <v>975</v>
      </c>
      <c r="M486">
        <v>0</v>
      </c>
      <c r="N486">
        <v>0.28000000000000003</v>
      </c>
      <c r="O486" t="s">
        <v>23</v>
      </c>
      <c r="P486">
        <v>20220327</v>
      </c>
      <c r="Q486">
        <v>20220208</v>
      </c>
    </row>
    <row r="487" spans="1:17" x14ac:dyDescent="0.25">
      <c r="A487" t="s">
        <v>548</v>
      </c>
      <c r="B487" t="s">
        <v>429</v>
      </c>
      <c r="C487">
        <v>21</v>
      </c>
      <c r="D487">
        <v>20220208</v>
      </c>
      <c r="E487">
        <f t="shared" si="7"/>
        <v>2</v>
      </c>
      <c r="F487">
        <v>411020</v>
      </c>
      <c r="G487" t="s">
        <v>30</v>
      </c>
      <c r="H487" t="s">
        <v>338</v>
      </c>
      <c r="I487" t="s">
        <v>339</v>
      </c>
      <c r="J487">
        <v>322010023</v>
      </c>
      <c r="K487">
        <v>20220208</v>
      </c>
      <c r="L487" t="s">
        <v>976</v>
      </c>
      <c r="M487">
        <v>0</v>
      </c>
      <c r="N487">
        <v>35.6</v>
      </c>
      <c r="O487" t="s">
        <v>22</v>
      </c>
      <c r="P487">
        <v>20220327</v>
      </c>
      <c r="Q487">
        <v>20220208</v>
      </c>
    </row>
    <row r="488" spans="1:17" x14ac:dyDescent="0.25">
      <c r="A488" t="s">
        <v>548</v>
      </c>
      <c r="B488" t="s">
        <v>429</v>
      </c>
      <c r="C488">
        <v>21</v>
      </c>
      <c r="D488">
        <v>20220208</v>
      </c>
      <c r="E488">
        <f t="shared" si="7"/>
        <v>2</v>
      </c>
      <c r="F488">
        <v>411020</v>
      </c>
      <c r="G488" t="s">
        <v>30</v>
      </c>
      <c r="H488" t="s">
        <v>338</v>
      </c>
      <c r="I488" t="s">
        <v>339</v>
      </c>
      <c r="J488">
        <v>322010023</v>
      </c>
      <c r="K488">
        <v>20220208</v>
      </c>
      <c r="L488" t="s">
        <v>977</v>
      </c>
      <c r="M488">
        <v>0</v>
      </c>
      <c r="N488">
        <v>0.1</v>
      </c>
      <c r="O488" t="s">
        <v>23</v>
      </c>
      <c r="P488">
        <v>20220327</v>
      </c>
      <c r="Q488">
        <v>20220208</v>
      </c>
    </row>
    <row r="489" spans="1:17" x14ac:dyDescent="0.25">
      <c r="A489" t="s">
        <v>548</v>
      </c>
      <c r="B489" t="s">
        <v>429</v>
      </c>
      <c r="C489">
        <v>21</v>
      </c>
      <c r="D489">
        <v>20220208</v>
      </c>
      <c r="E489">
        <f t="shared" si="7"/>
        <v>2</v>
      </c>
      <c r="F489">
        <v>411020</v>
      </c>
      <c r="G489" t="s">
        <v>30</v>
      </c>
      <c r="H489" t="s">
        <v>338</v>
      </c>
      <c r="I489" t="s">
        <v>339</v>
      </c>
      <c r="J489">
        <v>321120023</v>
      </c>
      <c r="K489">
        <v>20220208</v>
      </c>
      <c r="L489" t="s">
        <v>978</v>
      </c>
      <c r="M489">
        <v>0</v>
      </c>
      <c r="N489">
        <v>50.36</v>
      </c>
      <c r="O489" t="s">
        <v>23</v>
      </c>
      <c r="P489">
        <v>20220327</v>
      </c>
      <c r="Q489">
        <v>20220208</v>
      </c>
    </row>
    <row r="490" spans="1:17" x14ac:dyDescent="0.25">
      <c r="A490" t="s">
        <v>548</v>
      </c>
      <c r="B490" t="s">
        <v>429</v>
      </c>
      <c r="C490">
        <v>21</v>
      </c>
      <c r="D490">
        <v>20220208</v>
      </c>
      <c r="E490">
        <f t="shared" si="7"/>
        <v>2</v>
      </c>
      <c r="F490">
        <v>411020</v>
      </c>
      <c r="G490" t="s">
        <v>30</v>
      </c>
      <c r="H490" t="s">
        <v>285</v>
      </c>
      <c r="I490" t="s">
        <v>286</v>
      </c>
      <c r="J490">
        <v>321110004</v>
      </c>
      <c r="K490">
        <v>20220208</v>
      </c>
      <c r="L490" t="s">
        <v>979</v>
      </c>
      <c r="M490">
        <v>0</v>
      </c>
      <c r="N490">
        <v>70</v>
      </c>
      <c r="O490" t="s">
        <v>19</v>
      </c>
      <c r="P490" t="s">
        <v>20</v>
      </c>
      <c r="Q490">
        <v>20220208</v>
      </c>
    </row>
    <row r="491" spans="1:17" x14ac:dyDescent="0.25">
      <c r="A491" t="s">
        <v>548</v>
      </c>
      <c r="B491" t="s">
        <v>429</v>
      </c>
      <c r="C491">
        <v>21</v>
      </c>
      <c r="D491">
        <v>20220208</v>
      </c>
      <c r="E491">
        <f t="shared" si="7"/>
        <v>2</v>
      </c>
      <c r="F491">
        <v>531105</v>
      </c>
      <c r="G491" t="s">
        <v>429</v>
      </c>
      <c r="H491" t="s">
        <v>401</v>
      </c>
      <c r="I491" t="s">
        <v>402</v>
      </c>
      <c r="J491">
        <v>335267</v>
      </c>
      <c r="K491">
        <v>20220208</v>
      </c>
      <c r="L491" t="s">
        <v>565</v>
      </c>
      <c r="M491">
        <v>369.56</v>
      </c>
      <c r="N491">
        <v>0</v>
      </c>
      <c r="O491" t="s">
        <v>19</v>
      </c>
      <c r="P491" t="s">
        <v>20</v>
      </c>
      <c r="Q491">
        <v>20220208</v>
      </c>
    </row>
    <row r="492" spans="1:17" x14ac:dyDescent="0.25">
      <c r="A492" t="s">
        <v>548</v>
      </c>
      <c r="B492" t="s">
        <v>429</v>
      </c>
      <c r="C492">
        <v>21</v>
      </c>
      <c r="D492">
        <v>20220209</v>
      </c>
      <c r="E492">
        <f t="shared" si="7"/>
        <v>2</v>
      </c>
      <c r="F492">
        <v>411100</v>
      </c>
      <c r="G492" t="s">
        <v>18</v>
      </c>
      <c r="H492" t="s">
        <v>334</v>
      </c>
      <c r="I492" t="s">
        <v>335</v>
      </c>
      <c r="J492">
        <v>335291</v>
      </c>
      <c r="K492">
        <v>20220209</v>
      </c>
      <c r="L492" t="s">
        <v>980</v>
      </c>
      <c r="M492">
        <v>0</v>
      </c>
      <c r="N492">
        <v>31.6</v>
      </c>
      <c r="O492" t="s">
        <v>22</v>
      </c>
      <c r="P492">
        <v>20220327</v>
      </c>
      <c r="Q492">
        <v>20220209</v>
      </c>
    </row>
    <row r="493" spans="1:17" x14ac:dyDescent="0.25">
      <c r="A493" t="s">
        <v>548</v>
      </c>
      <c r="B493" t="s">
        <v>429</v>
      </c>
      <c r="C493">
        <v>21</v>
      </c>
      <c r="D493">
        <v>20220209</v>
      </c>
      <c r="E493">
        <f t="shared" si="7"/>
        <v>2</v>
      </c>
      <c r="F493">
        <v>531105</v>
      </c>
      <c r="G493" t="s">
        <v>429</v>
      </c>
      <c r="H493" t="s">
        <v>401</v>
      </c>
      <c r="I493" t="s">
        <v>402</v>
      </c>
      <c r="J493">
        <v>335292</v>
      </c>
      <c r="K493">
        <v>20220209</v>
      </c>
      <c r="L493" t="s">
        <v>565</v>
      </c>
      <c r="M493">
        <v>31.6</v>
      </c>
      <c r="N493">
        <v>0</v>
      </c>
      <c r="O493" t="s">
        <v>19</v>
      </c>
      <c r="P493" t="s">
        <v>20</v>
      </c>
      <c r="Q493">
        <v>20220209</v>
      </c>
    </row>
    <row r="494" spans="1:17" x14ac:dyDescent="0.25">
      <c r="A494" t="s">
        <v>548</v>
      </c>
      <c r="B494" t="s">
        <v>429</v>
      </c>
      <c r="C494">
        <v>21</v>
      </c>
      <c r="D494">
        <v>20220209</v>
      </c>
      <c r="E494">
        <f t="shared" si="7"/>
        <v>2</v>
      </c>
      <c r="F494">
        <v>580000</v>
      </c>
      <c r="G494" t="s">
        <v>532</v>
      </c>
      <c r="H494" t="s">
        <v>401</v>
      </c>
      <c r="I494" t="s">
        <v>402</v>
      </c>
      <c r="J494" t="s">
        <v>981</v>
      </c>
      <c r="K494">
        <v>20220209</v>
      </c>
      <c r="L494" t="s">
        <v>625</v>
      </c>
      <c r="M494">
        <v>3000</v>
      </c>
      <c r="N494">
        <v>0</v>
      </c>
      <c r="O494" t="s">
        <v>22</v>
      </c>
      <c r="P494">
        <v>20220209</v>
      </c>
      <c r="Q494">
        <v>20220209</v>
      </c>
    </row>
    <row r="495" spans="1:17" x14ac:dyDescent="0.25">
      <c r="A495" t="s">
        <v>548</v>
      </c>
      <c r="B495" t="s">
        <v>429</v>
      </c>
      <c r="C495">
        <v>21</v>
      </c>
      <c r="D495">
        <v>20220209</v>
      </c>
      <c r="E495">
        <f t="shared" si="7"/>
        <v>2</v>
      </c>
      <c r="F495">
        <v>531105</v>
      </c>
      <c r="G495" t="s">
        <v>429</v>
      </c>
      <c r="H495" t="s">
        <v>401</v>
      </c>
      <c r="I495" t="s">
        <v>402</v>
      </c>
      <c r="J495" t="s">
        <v>981</v>
      </c>
      <c r="K495">
        <v>20220209</v>
      </c>
      <c r="L495" t="s">
        <v>625</v>
      </c>
      <c r="M495">
        <v>0</v>
      </c>
      <c r="N495">
        <v>3000</v>
      </c>
      <c r="O495" t="s">
        <v>19</v>
      </c>
      <c r="P495" t="s">
        <v>20</v>
      </c>
      <c r="Q495">
        <v>20220209</v>
      </c>
    </row>
    <row r="496" spans="1:17" x14ac:dyDescent="0.25">
      <c r="A496" t="s">
        <v>548</v>
      </c>
      <c r="B496" t="s">
        <v>429</v>
      </c>
      <c r="C496">
        <v>21</v>
      </c>
      <c r="D496">
        <v>20220209</v>
      </c>
      <c r="E496">
        <f t="shared" si="7"/>
        <v>2</v>
      </c>
      <c r="F496">
        <v>411100</v>
      </c>
      <c r="G496" t="s">
        <v>18</v>
      </c>
      <c r="H496" t="s">
        <v>305</v>
      </c>
      <c r="I496" t="s">
        <v>306</v>
      </c>
      <c r="J496">
        <v>335368</v>
      </c>
      <c r="K496">
        <v>20220209</v>
      </c>
      <c r="L496" t="s">
        <v>982</v>
      </c>
      <c r="M496">
        <v>0</v>
      </c>
      <c r="N496">
        <v>14.2</v>
      </c>
      <c r="O496" t="s">
        <v>22</v>
      </c>
      <c r="P496">
        <v>20220327</v>
      </c>
      <c r="Q496">
        <v>20220209</v>
      </c>
    </row>
    <row r="497" spans="1:17" x14ac:dyDescent="0.25">
      <c r="A497" t="s">
        <v>548</v>
      </c>
      <c r="B497" t="s">
        <v>429</v>
      </c>
      <c r="C497">
        <v>21</v>
      </c>
      <c r="D497">
        <v>20220209</v>
      </c>
      <c r="E497">
        <f t="shared" si="7"/>
        <v>2</v>
      </c>
      <c r="F497">
        <v>411020</v>
      </c>
      <c r="G497" t="s">
        <v>30</v>
      </c>
      <c r="H497" t="s">
        <v>796</v>
      </c>
      <c r="I497" t="s">
        <v>797</v>
      </c>
      <c r="J497">
        <v>122010040</v>
      </c>
      <c r="K497">
        <v>20220209</v>
      </c>
      <c r="L497" t="s">
        <v>983</v>
      </c>
      <c r="M497">
        <v>0</v>
      </c>
      <c r="N497">
        <v>7.1</v>
      </c>
      <c r="O497" t="s">
        <v>23</v>
      </c>
      <c r="P497">
        <v>20230329</v>
      </c>
      <c r="Q497">
        <v>20220209</v>
      </c>
    </row>
    <row r="498" spans="1:17" x14ac:dyDescent="0.25">
      <c r="A498" t="s">
        <v>548</v>
      </c>
      <c r="B498" t="s">
        <v>429</v>
      </c>
      <c r="C498">
        <v>21</v>
      </c>
      <c r="D498">
        <v>20220209</v>
      </c>
      <c r="E498">
        <f t="shared" si="7"/>
        <v>2</v>
      </c>
      <c r="F498">
        <v>531105</v>
      </c>
      <c r="G498" t="s">
        <v>429</v>
      </c>
      <c r="H498" t="s">
        <v>401</v>
      </c>
      <c r="I498" t="s">
        <v>402</v>
      </c>
      <c r="J498">
        <v>335370</v>
      </c>
      <c r="K498">
        <v>20220209</v>
      </c>
      <c r="L498" t="s">
        <v>565</v>
      </c>
      <c r="M498">
        <v>21.3</v>
      </c>
      <c r="N498">
        <v>0</v>
      </c>
      <c r="O498" t="s">
        <v>19</v>
      </c>
      <c r="P498" t="s">
        <v>20</v>
      </c>
      <c r="Q498">
        <v>20220209</v>
      </c>
    </row>
    <row r="499" spans="1:17" x14ac:dyDescent="0.25">
      <c r="A499" t="s">
        <v>548</v>
      </c>
      <c r="B499" t="s">
        <v>429</v>
      </c>
      <c r="C499">
        <v>21</v>
      </c>
      <c r="D499">
        <v>20220209</v>
      </c>
      <c r="E499">
        <f t="shared" si="7"/>
        <v>2</v>
      </c>
      <c r="F499">
        <v>411020</v>
      </c>
      <c r="G499" t="s">
        <v>30</v>
      </c>
      <c r="H499" t="s">
        <v>324</v>
      </c>
      <c r="I499" t="s">
        <v>325</v>
      </c>
      <c r="J499">
        <v>322010004</v>
      </c>
      <c r="K499">
        <v>20220209</v>
      </c>
      <c r="L499" t="s">
        <v>984</v>
      </c>
      <c r="M499">
        <v>0</v>
      </c>
      <c r="N499">
        <v>213</v>
      </c>
      <c r="O499" t="s">
        <v>23</v>
      </c>
      <c r="P499">
        <v>20230218</v>
      </c>
      <c r="Q499">
        <v>20220209</v>
      </c>
    </row>
    <row r="500" spans="1:17" x14ac:dyDescent="0.25">
      <c r="A500" t="s">
        <v>548</v>
      </c>
      <c r="B500" t="s">
        <v>429</v>
      </c>
      <c r="C500">
        <v>21</v>
      </c>
      <c r="D500">
        <v>20220209</v>
      </c>
      <c r="E500">
        <f t="shared" si="7"/>
        <v>2</v>
      </c>
      <c r="F500">
        <v>411020</v>
      </c>
      <c r="G500" t="s">
        <v>30</v>
      </c>
      <c r="H500" t="s">
        <v>332</v>
      </c>
      <c r="I500" t="s">
        <v>333</v>
      </c>
      <c r="J500">
        <v>322010008</v>
      </c>
      <c r="K500">
        <v>20220209</v>
      </c>
      <c r="L500" t="s">
        <v>985</v>
      </c>
      <c r="M500">
        <v>0</v>
      </c>
      <c r="N500">
        <v>51.9</v>
      </c>
      <c r="O500" t="s">
        <v>23</v>
      </c>
      <c r="P500">
        <v>20220327</v>
      </c>
      <c r="Q500">
        <v>20220209</v>
      </c>
    </row>
    <row r="501" spans="1:17" x14ac:dyDescent="0.25">
      <c r="A501" t="s">
        <v>548</v>
      </c>
      <c r="B501" t="s">
        <v>429</v>
      </c>
      <c r="C501">
        <v>21</v>
      </c>
      <c r="D501">
        <v>20220209</v>
      </c>
      <c r="E501">
        <f t="shared" si="7"/>
        <v>2</v>
      </c>
      <c r="F501">
        <v>411020</v>
      </c>
      <c r="G501" t="s">
        <v>30</v>
      </c>
      <c r="H501" t="s">
        <v>385</v>
      </c>
      <c r="I501" t="s">
        <v>386</v>
      </c>
      <c r="J501">
        <v>322010018</v>
      </c>
      <c r="K501">
        <v>20220209</v>
      </c>
      <c r="L501" t="s">
        <v>986</v>
      </c>
      <c r="M501">
        <v>0</v>
      </c>
      <c r="N501">
        <v>18.53</v>
      </c>
      <c r="O501" t="s">
        <v>23</v>
      </c>
      <c r="P501">
        <v>20220327</v>
      </c>
      <c r="Q501">
        <v>20220209</v>
      </c>
    </row>
    <row r="502" spans="1:17" x14ac:dyDescent="0.25">
      <c r="A502" t="s">
        <v>548</v>
      </c>
      <c r="B502" t="s">
        <v>429</v>
      </c>
      <c r="C502">
        <v>21</v>
      </c>
      <c r="D502">
        <v>20220209</v>
      </c>
      <c r="E502">
        <f t="shared" si="7"/>
        <v>2</v>
      </c>
      <c r="F502">
        <v>411020</v>
      </c>
      <c r="G502" t="s">
        <v>30</v>
      </c>
      <c r="H502" t="s">
        <v>385</v>
      </c>
      <c r="I502" t="s">
        <v>386</v>
      </c>
      <c r="J502">
        <v>322010018</v>
      </c>
      <c r="K502">
        <v>20220209</v>
      </c>
      <c r="L502" t="s">
        <v>987</v>
      </c>
      <c r="M502">
        <v>0</v>
      </c>
      <c r="N502">
        <v>1.47</v>
      </c>
      <c r="O502" t="s">
        <v>23</v>
      </c>
      <c r="P502">
        <v>20220327</v>
      </c>
      <c r="Q502">
        <v>20220209</v>
      </c>
    </row>
    <row r="503" spans="1:17" x14ac:dyDescent="0.25">
      <c r="A503" t="s">
        <v>548</v>
      </c>
      <c r="B503" t="s">
        <v>429</v>
      </c>
      <c r="C503">
        <v>21</v>
      </c>
      <c r="D503">
        <v>20220209</v>
      </c>
      <c r="E503">
        <f t="shared" si="7"/>
        <v>2</v>
      </c>
      <c r="F503">
        <v>531105</v>
      </c>
      <c r="G503" t="s">
        <v>429</v>
      </c>
      <c r="H503" t="s">
        <v>401</v>
      </c>
      <c r="I503" t="s">
        <v>402</v>
      </c>
      <c r="J503">
        <v>335439</v>
      </c>
      <c r="K503">
        <v>20220209</v>
      </c>
      <c r="L503" t="s">
        <v>565</v>
      </c>
      <c r="M503">
        <v>284.89999999999998</v>
      </c>
      <c r="N503">
        <v>0</v>
      </c>
      <c r="O503" t="s">
        <v>19</v>
      </c>
      <c r="P503" t="s">
        <v>20</v>
      </c>
      <c r="Q503">
        <v>20220209</v>
      </c>
    </row>
    <row r="504" spans="1:17" x14ac:dyDescent="0.25">
      <c r="A504" t="s">
        <v>548</v>
      </c>
      <c r="B504" t="s">
        <v>429</v>
      </c>
      <c r="C504">
        <v>21</v>
      </c>
      <c r="D504">
        <v>20220210</v>
      </c>
      <c r="E504">
        <f t="shared" si="7"/>
        <v>2</v>
      </c>
      <c r="F504">
        <v>467100</v>
      </c>
      <c r="G504" t="s">
        <v>160</v>
      </c>
      <c r="H504" t="s">
        <v>172</v>
      </c>
      <c r="I504" t="s">
        <v>173</v>
      </c>
      <c r="J504" t="s">
        <v>988</v>
      </c>
      <c r="K504">
        <v>20220210</v>
      </c>
      <c r="L504" t="s">
        <v>989</v>
      </c>
      <c r="M504">
        <v>300</v>
      </c>
      <c r="N504">
        <v>0</v>
      </c>
      <c r="O504" t="s">
        <v>23</v>
      </c>
      <c r="P504">
        <v>20220422</v>
      </c>
      <c r="Q504">
        <v>20220210</v>
      </c>
    </row>
    <row r="505" spans="1:17" x14ac:dyDescent="0.25">
      <c r="A505" t="s">
        <v>548</v>
      </c>
      <c r="B505" t="s">
        <v>429</v>
      </c>
      <c r="C505">
        <v>21</v>
      </c>
      <c r="D505">
        <v>20220210</v>
      </c>
      <c r="E505">
        <f t="shared" si="7"/>
        <v>2</v>
      </c>
      <c r="F505">
        <v>531105</v>
      </c>
      <c r="G505" t="s">
        <v>429</v>
      </c>
      <c r="H505" t="s">
        <v>401</v>
      </c>
      <c r="I505" t="s">
        <v>402</v>
      </c>
      <c r="J505" t="s">
        <v>988</v>
      </c>
      <c r="K505">
        <v>20220210</v>
      </c>
      <c r="L505" t="s">
        <v>989</v>
      </c>
      <c r="M505">
        <v>0</v>
      </c>
      <c r="N505">
        <v>300</v>
      </c>
      <c r="O505" t="s">
        <v>19</v>
      </c>
      <c r="P505" t="s">
        <v>20</v>
      </c>
      <c r="Q505">
        <v>20220210</v>
      </c>
    </row>
    <row r="506" spans="1:17" x14ac:dyDescent="0.25">
      <c r="A506" t="s">
        <v>548</v>
      </c>
      <c r="B506" t="s">
        <v>429</v>
      </c>
      <c r="C506">
        <v>21</v>
      </c>
      <c r="D506">
        <v>20220210</v>
      </c>
      <c r="E506">
        <f t="shared" si="7"/>
        <v>2</v>
      </c>
      <c r="F506">
        <v>411100</v>
      </c>
      <c r="G506" t="s">
        <v>18</v>
      </c>
      <c r="H506" t="s">
        <v>638</v>
      </c>
      <c r="I506" t="s">
        <v>639</v>
      </c>
      <c r="J506">
        <v>335371</v>
      </c>
      <c r="K506">
        <v>20220210</v>
      </c>
      <c r="L506" t="s">
        <v>990</v>
      </c>
      <c r="M506">
        <v>0</v>
      </c>
      <c r="N506">
        <v>14.2</v>
      </c>
      <c r="O506" t="s">
        <v>22</v>
      </c>
      <c r="P506">
        <v>20220327</v>
      </c>
      <c r="Q506">
        <v>20220210</v>
      </c>
    </row>
    <row r="507" spans="1:17" x14ac:dyDescent="0.25">
      <c r="A507" t="s">
        <v>548</v>
      </c>
      <c r="B507" t="s">
        <v>429</v>
      </c>
      <c r="C507">
        <v>21</v>
      </c>
      <c r="D507">
        <v>20220210</v>
      </c>
      <c r="E507">
        <f t="shared" si="7"/>
        <v>2</v>
      </c>
      <c r="F507">
        <v>531105</v>
      </c>
      <c r="G507" t="s">
        <v>429</v>
      </c>
      <c r="H507" t="s">
        <v>401</v>
      </c>
      <c r="I507" t="s">
        <v>402</v>
      </c>
      <c r="J507">
        <v>335372</v>
      </c>
      <c r="K507">
        <v>20220210</v>
      </c>
      <c r="L507" t="s">
        <v>565</v>
      </c>
      <c r="M507">
        <v>14.2</v>
      </c>
      <c r="N507">
        <v>0</v>
      </c>
      <c r="O507" t="s">
        <v>19</v>
      </c>
      <c r="P507" t="s">
        <v>20</v>
      </c>
      <c r="Q507">
        <v>20220210</v>
      </c>
    </row>
    <row r="508" spans="1:17" x14ac:dyDescent="0.25">
      <c r="A508" t="s">
        <v>548</v>
      </c>
      <c r="B508" t="s">
        <v>429</v>
      </c>
      <c r="C508">
        <v>21</v>
      </c>
      <c r="D508">
        <v>20220210</v>
      </c>
      <c r="E508">
        <f t="shared" si="7"/>
        <v>2</v>
      </c>
      <c r="F508">
        <v>411000</v>
      </c>
      <c r="G508" t="s">
        <v>21</v>
      </c>
      <c r="H508" t="s">
        <v>271</v>
      </c>
      <c r="I508" t="s">
        <v>272</v>
      </c>
      <c r="J508">
        <v>335412</v>
      </c>
      <c r="K508">
        <v>20220210</v>
      </c>
      <c r="L508" t="s">
        <v>991</v>
      </c>
      <c r="M508">
        <v>0</v>
      </c>
      <c r="N508">
        <v>45.16</v>
      </c>
      <c r="O508" t="s">
        <v>22</v>
      </c>
      <c r="P508">
        <v>20220327</v>
      </c>
      <c r="Q508">
        <v>20220210</v>
      </c>
    </row>
    <row r="509" spans="1:17" x14ac:dyDescent="0.25">
      <c r="A509" t="s">
        <v>548</v>
      </c>
      <c r="B509" t="s">
        <v>429</v>
      </c>
      <c r="C509">
        <v>21</v>
      </c>
      <c r="D509">
        <v>20220210</v>
      </c>
      <c r="E509">
        <f t="shared" si="7"/>
        <v>2</v>
      </c>
      <c r="F509">
        <v>531105</v>
      </c>
      <c r="G509" t="s">
        <v>429</v>
      </c>
      <c r="H509" t="s">
        <v>401</v>
      </c>
      <c r="I509" t="s">
        <v>402</v>
      </c>
      <c r="J509">
        <v>335413</v>
      </c>
      <c r="K509">
        <v>20220210</v>
      </c>
      <c r="L509" t="s">
        <v>565</v>
      </c>
      <c r="M509">
        <v>45.16</v>
      </c>
      <c r="N509">
        <v>0</v>
      </c>
      <c r="O509" t="s">
        <v>19</v>
      </c>
      <c r="P509" t="s">
        <v>20</v>
      </c>
      <c r="Q509">
        <v>20220210</v>
      </c>
    </row>
    <row r="510" spans="1:17" x14ac:dyDescent="0.25">
      <c r="A510" t="s">
        <v>548</v>
      </c>
      <c r="B510" t="s">
        <v>429</v>
      </c>
      <c r="C510">
        <v>21</v>
      </c>
      <c r="D510">
        <v>20220211</v>
      </c>
      <c r="E510">
        <f t="shared" si="7"/>
        <v>2</v>
      </c>
      <c r="F510">
        <v>411100</v>
      </c>
      <c r="G510" t="s">
        <v>18</v>
      </c>
      <c r="H510" t="s">
        <v>592</v>
      </c>
      <c r="I510" t="s">
        <v>593</v>
      </c>
      <c r="J510">
        <v>335373</v>
      </c>
      <c r="K510">
        <v>20220211</v>
      </c>
      <c r="L510" t="s">
        <v>992</v>
      </c>
      <c r="M510">
        <v>0</v>
      </c>
      <c r="N510">
        <v>61.5</v>
      </c>
      <c r="O510" t="s">
        <v>19</v>
      </c>
      <c r="P510" t="s">
        <v>20</v>
      </c>
      <c r="Q510">
        <v>20220211</v>
      </c>
    </row>
    <row r="511" spans="1:17" x14ac:dyDescent="0.25">
      <c r="A511" t="s">
        <v>548</v>
      </c>
      <c r="B511" t="s">
        <v>429</v>
      </c>
      <c r="C511">
        <v>21</v>
      </c>
      <c r="D511">
        <v>20220211</v>
      </c>
      <c r="E511">
        <f t="shared" si="7"/>
        <v>2</v>
      </c>
      <c r="F511">
        <v>411010</v>
      </c>
      <c r="G511" t="s">
        <v>87</v>
      </c>
      <c r="H511" t="s">
        <v>93</v>
      </c>
      <c r="I511" t="s">
        <v>94</v>
      </c>
      <c r="J511">
        <v>121110188</v>
      </c>
      <c r="K511">
        <v>20220211</v>
      </c>
      <c r="L511" t="s">
        <v>993</v>
      </c>
      <c r="M511">
        <v>0</v>
      </c>
      <c r="N511">
        <v>200</v>
      </c>
      <c r="O511" t="s">
        <v>19</v>
      </c>
      <c r="P511" t="s">
        <v>20</v>
      </c>
      <c r="Q511">
        <v>20220211</v>
      </c>
    </row>
    <row r="512" spans="1:17" x14ac:dyDescent="0.25">
      <c r="A512" t="s">
        <v>548</v>
      </c>
      <c r="B512" t="s">
        <v>429</v>
      </c>
      <c r="C512">
        <v>21</v>
      </c>
      <c r="D512">
        <v>20220211</v>
      </c>
      <c r="E512">
        <f t="shared" si="7"/>
        <v>2</v>
      </c>
      <c r="F512">
        <v>531105</v>
      </c>
      <c r="G512" t="s">
        <v>429</v>
      </c>
      <c r="H512" t="s">
        <v>401</v>
      </c>
      <c r="I512" t="s">
        <v>402</v>
      </c>
      <c r="J512">
        <v>335375</v>
      </c>
      <c r="K512">
        <v>20220211</v>
      </c>
      <c r="L512" t="s">
        <v>565</v>
      </c>
      <c r="M512">
        <v>261.5</v>
      </c>
      <c r="N512">
        <v>0</v>
      </c>
      <c r="O512" t="s">
        <v>19</v>
      </c>
      <c r="P512" t="s">
        <v>20</v>
      </c>
      <c r="Q512">
        <v>20220211</v>
      </c>
    </row>
    <row r="513" spans="1:17" x14ac:dyDescent="0.25">
      <c r="A513" t="s">
        <v>548</v>
      </c>
      <c r="B513" t="s">
        <v>429</v>
      </c>
      <c r="C513">
        <v>21</v>
      </c>
      <c r="D513">
        <v>20220214</v>
      </c>
      <c r="E513">
        <f t="shared" si="7"/>
        <v>2</v>
      </c>
      <c r="F513">
        <v>467100</v>
      </c>
      <c r="G513" t="s">
        <v>160</v>
      </c>
      <c r="H513" t="s">
        <v>183</v>
      </c>
      <c r="I513" t="s">
        <v>184</v>
      </c>
      <c r="J513" t="s">
        <v>994</v>
      </c>
      <c r="K513">
        <v>20220214</v>
      </c>
      <c r="L513" t="s">
        <v>995</v>
      </c>
      <c r="M513">
        <v>120</v>
      </c>
      <c r="N513">
        <v>0</v>
      </c>
      <c r="O513" t="s">
        <v>23</v>
      </c>
      <c r="P513">
        <v>20220311</v>
      </c>
      <c r="Q513">
        <v>20220214</v>
      </c>
    </row>
    <row r="514" spans="1:17" x14ac:dyDescent="0.25">
      <c r="A514" t="s">
        <v>548</v>
      </c>
      <c r="B514" t="s">
        <v>429</v>
      </c>
      <c r="C514">
        <v>21</v>
      </c>
      <c r="D514">
        <v>20220214</v>
      </c>
      <c r="E514">
        <f t="shared" si="7"/>
        <v>2</v>
      </c>
      <c r="F514">
        <v>531105</v>
      </c>
      <c r="G514" t="s">
        <v>429</v>
      </c>
      <c r="H514" t="s">
        <v>401</v>
      </c>
      <c r="I514" t="s">
        <v>402</v>
      </c>
      <c r="J514" t="s">
        <v>994</v>
      </c>
      <c r="K514">
        <v>20220214</v>
      </c>
      <c r="L514" t="s">
        <v>995</v>
      </c>
      <c r="M514">
        <v>0</v>
      </c>
      <c r="N514">
        <v>120</v>
      </c>
      <c r="O514" t="s">
        <v>19</v>
      </c>
      <c r="P514" t="s">
        <v>20</v>
      </c>
      <c r="Q514">
        <v>20220214</v>
      </c>
    </row>
    <row r="515" spans="1:17" x14ac:dyDescent="0.25">
      <c r="A515" t="s">
        <v>548</v>
      </c>
      <c r="B515" t="s">
        <v>429</v>
      </c>
      <c r="C515">
        <v>21</v>
      </c>
      <c r="D515">
        <v>20220214</v>
      </c>
      <c r="E515">
        <f t="shared" ref="E515:E578" si="8">VALUE(MID(D515,5,2))</f>
        <v>2</v>
      </c>
      <c r="F515">
        <v>411100</v>
      </c>
      <c r="G515" t="s">
        <v>18</v>
      </c>
      <c r="H515" t="s">
        <v>320</v>
      </c>
      <c r="I515" t="s">
        <v>321</v>
      </c>
      <c r="J515">
        <v>335376</v>
      </c>
      <c r="K515">
        <v>20220214</v>
      </c>
      <c r="L515" t="s">
        <v>996</v>
      </c>
      <c r="M515">
        <v>0</v>
      </c>
      <c r="N515">
        <v>6.8</v>
      </c>
      <c r="O515" t="s">
        <v>22</v>
      </c>
      <c r="P515">
        <v>20220327</v>
      </c>
      <c r="Q515">
        <v>20220214</v>
      </c>
    </row>
    <row r="516" spans="1:17" x14ac:dyDescent="0.25">
      <c r="A516" t="s">
        <v>548</v>
      </c>
      <c r="B516" t="s">
        <v>429</v>
      </c>
      <c r="C516">
        <v>21</v>
      </c>
      <c r="D516">
        <v>20220214</v>
      </c>
      <c r="E516">
        <f t="shared" si="8"/>
        <v>2</v>
      </c>
      <c r="F516">
        <v>411100</v>
      </c>
      <c r="G516" t="s">
        <v>18</v>
      </c>
      <c r="H516" t="s">
        <v>997</v>
      </c>
      <c r="I516" t="s">
        <v>998</v>
      </c>
      <c r="J516">
        <v>121090078</v>
      </c>
      <c r="K516">
        <v>20220214</v>
      </c>
      <c r="L516" t="s">
        <v>999</v>
      </c>
      <c r="M516">
        <v>0</v>
      </c>
      <c r="N516">
        <v>2</v>
      </c>
      <c r="O516" t="s">
        <v>22</v>
      </c>
      <c r="P516">
        <v>20230218</v>
      </c>
      <c r="Q516">
        <v>20220214</v>
      </c>
    </row>
    <row r="517" spans="1:17" x14ac:dyDescent="0.25">
      <c r="A517" t="s">
        <v>548</v>
      </c>
      <c r="B517" t="s">
        <v>429</v>
      </c>
      <c r="C517">
        <v>21</v>
      </c>
      <c r="D517">
        <v>20220214</v>
      </c>
      <c r="E517">
        <f t="shared" si="8"/>
        <v>2</v>
      </c>
      <c r="F517">
        <v>411100</v>
      </c>
      <c r="G517" t="s">
        <v>18</v>
      </c>
      <c r="H517" t="s">
        <v>1000</v>
      </c>
      <c r="I517" t="s">
        <v>1001</v>
      </c>
      <c r="J517">
        <v>335378</v>
      </c>
      <c r="K517">
        <v>20220214</v>
      </c>
      <c r="L517" t="s">
        <v>1002</v>
      </c>
      <c r="M517">
        <v>0</v>
      </c>
      <c r="N517">
        <v>2</v>
      </c>
      <c r="O517" t="s">
        <v>19</v>
      </c>
      <c r="P517" t="s">
        <v>20</v>
      </c>
      <c r="Q517">
        <v>20220214</v>
      </c>
    </row>
    <row r="518" spans="1:17" x14ac:dyDescent="0.25">
      <c r="A518" t="s">
        <v>548</v>
      </c>
      <c r="B518" t="s">
        <v>429</v>
      </c>
      <c r="C518">
        <v>21</v>
      </c>
      <c r="D518">
        <v>20220214</v>
      </c>
      <c r="E518">
        <f t="shared" si="8"/>
        <v>2</v>
      </c>
      <c r="F518">
        <v>411100</v>
      </c>
      <c r="G518" t="s">
        <v>18</v>
      </c>
      <c r="H518" t="s">
        <v>1003</v>
      </c>
      <c r="I518" t="s">
        <v>1004</v>
      </c>
      <c r="J518">
        <v>335379</v>
      </c>
      <c r="K518">
        <v>20220214</v>
      </c>
      <c r="L518" t="s">
        <v>1005</v>
      </c>
      <c r="M518">
        <v>0</v>
      </c>
      <c r="N518">
        <v>2</v>
      </c>
      <c r="O518" t="s">
        <v>22</v>
      </c>
      <c r="P518">
        <v>20230218</v>
      </c>
      <c r="Q518">
        <v>20220214</v>
      </c>
    </row>
    <row r="519" spans="1:17" x14ac:dyDescent="0.25">
      <c r="A519" t="s">
        <v>548</v>
      </c>
      <c r="B519" t="s">
        <v>429</v>
      </c>
      <c r="C519">
        <v>21</v>
      </c>
      <c r="D519">
        <v>20220214</v>
      </c>
      <c r="E519">
        <f t="shared" si="8"/>
        <v>2</v>
      </c>
      <c r="F519">
        <v>411100</v>
      </c>
      <c r="G519" t="s">
        <v>18</v>
      </c>
      <c r="H519" t="s">
        <v>1006</v>
      </c>
      <c r="I519" t="s">
        <v>1007</v>
      </c>
      <c r="J519">
        <v>121090147</v>
      </c>
      <c r="K519">
        <v>20220214</v>
      </c>
      <c r="L519" t="s">
        <v>1008</v>
      </c>
      <c r="M519">
        <v>0</v>
      </c>
      <c r="N519">
        <v>2</v>
      </c>
      <c r="O519" t="s">
        <v>22</v>
      </c>
      <c r="P519">
        <v>20230218</v>
      </c>
      <c r="Q519">
        <v>20220214</v>
      </c>
    </row>
    <row r="520" spans="1:17" x14ac:dyDescent="0.25">
      <c r="A520" t="s">
        <v>548</v>
      </c>
      <c r="B520" t="s">
        <v>429</v>
      </c>
      <c r="C520">
        <v>21</v>
      </c>
      <c r="D520">
        <v>20220214</v>
      </c>
      <c r="E520">
        <f t="shared" si="8"/>
        <v>2</v>
      </c>
      <c r="F520">
        <v>411100</v>
      </c>
      <c r="G520" t="s">
        <v>18</v>
      </c>
      <c r="H520" t="s">
        <v>1009</v>
      </c>
      <c r="I520" t="s">
        <v>1010</v>
      </c>
      <c r="J520">
        <v>335381</v>
      </c>
      <c r="K520">
        <v>20220214</v>
      </c>
      <c r="L520" t="s">
        <v>1011</v>
      </c>
      <c r="M520">
        <v>0</v>
      </c>
      <c r="N520">
        <v>13</v>
      </c>
      <c r="O520" t="s">
        <v>22</v>
      </c>
      <c r="P520">
        <v>20230218</v>
      </c>
      <c r="Q520">
        <v>20220214</v>
      </c>
    </row>
    <row r="521" spans="1:17" x14ac:dyDescent="0.25">
      <c r="A521" t="s">
        <v>548</v>
      </c>
      <c r="B521" t="s">
        <v>429</v>
      </c>
      <c r="C521">
        <v>21</v>
      </c>
      <c r="D521">
        <v>20220214</v>
      </c>
      <c r="E521">
        <f t="shared" si="8"/>
        <v>2</v>
      </c>
      <c r="F521">
        <v>531105</v>
      </c>
      <c r="G521" t="s">
        <v>429</v>
      </c>
      <c r="H521" t="s">
        <v>401</v>
      </c>
      <c r="I521" t="s">
        <v>402</v>
      </c>
      <c r="J521">
        <v>335382</v>
      </c>
      <c r="K521">
        <v>20220214</v>
      </c>
      <c r="L521" t="s">
        <v>565</v>
      </c>
      <c r="M521">
        <v>27.8</v>
      </c>
      <c r="N521">
        <v>0</v>
      </c>
      <c r="O521" t="s">
        <v>19</v>
      </c>
      <c r="P521" t="s">
        <v>20</v>
      </c>
      <c r="Q521">
        <v>20220214</v>
      </c>
    </row>
    <row r="522" spans="1:17" x14ac:dyDescent="0.25">
      <c r="A522" t="s">
        <v>548</v>
      </c>
      <c r="B522" t="s">
        <v>429</v>
      </c>
      <c r="C522">
        <v>21</v>
      </c>
      <c r="D522">
        <v>20220214</v>
      </c>
      <c r="E522">
        <f t="shared" si="8"/>
        <v>2</v>
      </c>
      <c r="F522">
        <v>411010</v>
      </c>
      <c r="G522" t="s">
        <v>87</v>
      </c>
      <c r="H522" t="s">
        <v>363</v>
      </c>
      <c r="I522" t="s">
        <v>364</v>
      </c>
      <c r="J522">
        <v>335414</v>
      </c>
      <c r="K522">
        <v>20220214</v>
      </c>
      <c r="L522" t="s">
        <v>1012</v>
      </c>
      <c r="M522">
        <v>0</v>
      </c>
      <c r="N522">
        <v>91.2</v>
      </c>
      <c r="O522" t="s">
        <v>22</v>
      </c>
      <c r="P522">
        <v>20220327</v>
      </c>
      <c r="Q522">
        <v>20220214</v>
      </c>
    </row>
    <row r="523" spans="1:17" x14ac:dyDescent="0.25">
      <c r="A523" t="s">
        <v>548</v>
      </c>
      <c r="B523" t="s">
        <v>429</v>
      </c>
      <c r="C523">
        <v>21</v>
      </c>
      <c r="D523">
        <v>20220214</v>
      </c>
      <c r="E523">
        <f t="shared" si="8"/>
        <v>2</v>
      </c>
      <c r="F523">
        <v>411100</v>
      </c>
      <c r="G523" t="s">
        <v>18</v>
      </c>
      <c r="H523" t="s">
        <v>136</v>
      </c>
      <c r="I523" t="s">
        <v>137</v>
      </c>
      <c r="J523">
        <v>335415</v>
      </c>
      <c r="K523">
        <v>20220214</v>
      </c>
      <c r="L523" t="s">
        <v>1013</v>
      </c>
      <c r="M523">
        <v>0</v>
      </c>
      <c r="N523">
        <v>103</v>
      </c>
      <c r="O523" t="s">
        <v>22</v>
      </c>
      <c r="P523">
        <v>20230218</v>
      </c>
      <c r="Q523">
        <v>20220214</v>
      </c>
    </row>
    <row r="524" spans="1:17" x14ac:dyDescent="0.25">
      <c r="A524" t="s">
        <v>548</v>
      </c>
      <c r="B524" t="s">
        <v>429</v>
      </c>
      <c r="C524">
        <v>21</v>
      </c>
      <c r="D524">
        <v>20220214</v>
      </c>
      <c r="E524">
        <f t="shared" si="8"/>
        <v>2</v>
      </c>
      <c r="F524">
        <v>531105</v>
      </c>
      <c r="G524" t="s">
        <v>429</v>
      </c>
      <c r="H524" t="s">
        <v>401</v>
      </c>
      <c r="I524" t="s">
        <v>402</v>
      </c>
      <c r="J524">
        <v>335416</v>
      </c>
      <c r="K524">
        <v>20220214</v>
      </c>
      <c r="L524" t="s">
        <v>565</v>
      </c>
      <c r="M524">
        <v>194.2</v>
      </c>
      <c r="N524">
        <v>0</v>
      </c>
      <c r="O524" t="s">
        <v>19</v>
      </c>
      <c r="P524" t="s">
        <v>20</v>
      </c>
      <c r="Q524">
        <v>20220214</v>
      </c>
    </row>
    <row r="525" spans="1:17" x14ac:dyDescent="0.25">
      <c r="A525" t="s">
        <v>548</v>
      </c>
      <c r="B525" t="s">
        <v>429</v>
      </c>
      <c r="C525">
        <v>21</v>
      </c>
      <c r="D525">
        <v>20220215</v>
      </c>
      <c r="E525">
        <f t="shared" si="8"/>
        <v>2</v>
      </c>
      <c r="F525">
        <v>467100</v>
      </c>
      <c r="G525" t="s">
        <v>160</v>
      </c>
      <c r="H525" t="s">
        <v>1014</v>
      </c>
      <c r="I525" t="s">
        <v>1015</v>
      </c>
      <c r="J525" t="s">
        <v>1016</v>
      </c>
      <c r="K525">
        <v>20220215</v>
      </c>
      <c r="L525" t="s">
        <v>1017</v>
      </c>
      <c r="M525">
        <v>200</v>
      </c>
      <c r="N525">
        <v>0</v>
      </c>
      <c r="O525" t="s">
        <v>23</v>
      </c>
      <c r="P525">
        <v>20220217</v>
      </c>
      <c r="Q525">
        <v>20220215</v>
      </c>
    </row>
    <row r="526" spans="1:17" x14ac:dyDescent="0.25">
      <c r="A526" t="s">
        <v>548</v>
      </c>
      <c r="B526" t="s">
        <v>429</v>
      </c>
      <c r="C526">
        <v>21</v>
      </c>
      <c r="D526">
        <v>20220215</v>
      </c>
      <c r="E526">
        <f t="shared" si="8"/>
        <v>2</v>
      </c>
      <c r="F526">
        <v>531105</v>
      </c>
      <c r="G526" t="s">
        <v>429</v>
      </c>
      <c r="H526" t="s">
        <v>401</v>
      </c>
      <c r="I526" t="s">
        <v>402</v>
      </c>
      <c r="J526" t="s">
        <v>1016</v>
      </c>
      <c r="K526">
        <v>20220215</v>
      </c>
      <c r="L526" t="s">
        <v>1017</v>
      </c>
      <c r="M526">
        <v>0</v>
      </c>
      <c r="N526">
        <v>200</v>
      </c>
      <c r="O526" t="s">
        <v>19</v>
      </c>
      <c r="P526" t="s">
        <v>20</v>
      </c>
      <c r="Q526">
        <v>20220215</v>
      </c>
    </row>
    <row r="527" spans="1:17" x14ac:dyDescent="0.25">
      <c r="A527" t="s">
        <v>548</v>
      </c>
      <c r="B527" t="s">
        <v>429</v>
      </c>
      <c r="C527">
        <v>21</v>
      </c>
      <c r="D527">
        <v>20220215</v>
      </c>
      <c r="E527">
        <f t="shared" si="8"/>
        <v>2</v>
      </c>
      <c r="F527">
        <v>411100</v>
      </c>
      <c r="G527" t="s">
        <v>18</v>
      </c>
      <c r="H527" t="s">
        <v>77</v>
      </c>
      <c r="I527" t="s">
        <v>78</v>
      </c>
      <c r="J527">
        <v>335383</v>
      </c>
      <c r="K527">
        <v>20220215</v>
      </c>
      <c r="L527" t="s">
        <v>1018</v>
      </c>
      <c r="M527">
        <v>0</v>
      </c>
      <c r="N527">
        <v>15.74</v>
      </c>
      <c r="O527" t="s">
        <v>19</v>
      </c>
      <c r="P527" t="s">
        <v>20</v>
      </c>
      <c r="Q527">
        <v>20220215</v>
      </c>
    </row>
    <row r="528" spans="1:17" x14ac:dyDescent="0.25">
      <c r="A528" t="s">
        <v>548</v>
      </c>
      <c r="B528" t="s">
        <v>429</v>
      </c>
      <c r="C528">
        <v>21</v>
      </c>
      <c r="D528">
        <v>20220215</v>
      </c>
      <c r="E528">
        <f t="shared" si="8"/>
        <v>2</v>
      </c>
      <c r="F528">
        <v>531105</v>
      </c>
      <c r="G528" t="s">
        <v>429</v>
      </c>
      <c r="H528" t="s">
        <v>401</v>
      </c>
      <c r="I528" t="s">
        <v>402</v>
      </c>
      <c r="J528">
        <v>335384</v>
      </c>
      <c r="K528">
        <v>20220215</v>
      </c>
      <c r="L528" t="s">
        <v>565</v>
      </c>
      <c r="M528">
        <v>15.74</v>
      </c>
      <c r="N528">
        <v>0</v>
      </c>
      <c r="O528" t="s">
        <v>19</v>
      </c>
      <c r="P528" t="s">
        <v>20</v>
      </c>
      <c r="Q528">
        <v>20220215</v>
      </c>
    </row>
    <row r="529" spans="1:17" x14ac:dyDescent="0.25">
      <c r="A529" t="s">
        <v>548</v>
      </c>
      <c r="B529" t="s">
        <v>429</v>
      </c>
      <c r="C529">
        <v>21</v>
      </c>
      <c r="D529">
        <v>20220215</v>
      </c>
      <c r="E529">
        <f t="shared" si="8"/>
        <v>2</v>
      </c>
      <c r="F529">
        <v>411100</v>
      </c>
      <c r="G529" t="s">
        <v>18</v>
      </c>
      <c r="H529" t="s">
        <v>77</v>
      </c>
      <c r="I529" t="s">
        <v>78</v>
      </c>
      <c r="J529">
        <v>335417</v>
      </c>
      <c r="K529">
        <v>20220215</v>
      </c>
      <c r="L529" t="s">
        <v>1019</v>
      </c>
      <c r="M529">
        <v>0</v>
      </c>
      <c r="N529">
        <v>91.02</v>
      </c>
      <c r="O529" t="s">
        <v>22</v>
      </c>
      <c r="P529">
        <v>20220327</v>
      </c>
      <c r="Q529">
        <v>20220215</v>
      </c>
    </row>
    <row r="530" spans="1:17" x14ac:dyDescent="0.25">
      <c r="A530" t="s">
        <v>548</v>
      </c>
      <c r="B530" t="s">
        <v>429</v>
      </c>
      <c r="C530">
        <v>21</v>
      </c>
      <c r="D530">
        <v>20220215</v>
      </c>
      <c r="E530">
        <f t="shared" si="8"/>
        <v>2</v>
      </c>
      <c r="F530">
        <v>531105</v>
      </c>
      <c r="G530" t="s">
        <v>429</v>
      </c>
      <c r="H530" t="s">
        <v>401</v>
      </c>
      <c r="I530" t="s">
        <v>402</v>
      </c>
      <c r="J530">
        <v>335418</v>
      </c>
      <c r="K530">
        <v>20220215</v>
      </c>
      <c r="L530" t="s">
        <v>565</v>
      </c>
      <c r="M530">
        <v>91.02</v>
      </c>
      <c r="N530">
        <v>0</v>
      </c>
      <c r="O530" t="s">
        <v>19</v>
      </c>
      <c r="P530" t="s">
        <v>20</v>
      </c>
      <c r="Q530">
        <v>20220215</v>
      </c>
    </row>
    <row r="531" spans="1:17" x14ac:dyDescent="0.25">
      <c r="A531" t="s">
        <v>548</v>
      </c>
      <c r="B531" t="s">
        <v>429</v>
      </c>
      <c r="C531">
        <v>21</v>
      </c>
      <c r="D531">
        <v>20220215</v>
      </c>
      <c r="E531">
        <f t="shared" si="8"/>
        <v>2</v>
      </c>
      <c r="F531">
        <v>411020</v>
      </c>
      <c r="G531" t="s">
        <v>30</v>
      </c>
      <c r="H531" t="s">
        <v>399</v>
      </c>
      <c r="I531" t="s">
        <v>400</v>
      </c>
      <c r="J531">
        <v>321120020</v>
      </c>
      <c r="K531">
        <v>20220215</v>
      </c>
      <c r="L531" t="s">
        <v>1020</v>
      </c>
      <c r="M531">
        <v>0</v>
      </c>
      <c r="N531">
        <v>28.49</v>
      </c>
      <c r="O531" t="s">
        <v>23</v>
      </c>
      <c r="P531">
        <v>20220327</v>
      </c>
      <c r="Q531">
        <v>20220215</v>
      </c>
    </row>
    <row r="532" spans="1:17" x14ac:dyDescent="0.25">
      <c r="A532" t="s">
        <v>548</v>
      </c>
      <c r="B532" t="s">
        <v>429</v>
      </c>
      <c r="C532">
        <v>21</v>
      </c>
      <c r="D532">
        <v>20220215</v>
      </c>
      <c r="E532">
        <f t="shared" si="8"/>
        <v>2</v>
      </c>
      <c r="F532">
        <v>411020</v>
      </c>
      <c r="G532" t="s">
        <v>30</v>
      </c>
      <c r="H532" t="s">
        <v>399</v>
      </c>
      <c r="I532" t="s">
        <v>400</v>
      </c>
      <c r="J532">
        <v>321120020</v>
      </c>
      <c r="K532">
        <v>20220215</v>
      </c>
      <c r="L532" t="s">
        <v>1021</v>
      </c>
      <c r="M532">
        <v>0</v>
      </c>
      <c r="N532">
        <v>11.51</v>
      </c>
      <c r="O532" t="s">
        <v>19</v>
      </c>
      <c r="P532" t="s">
        <v>20</v>
      </c>
      <c r="Q532">
        <v>20220215</v>
      </c>
    </row>
    <row r="533" spans="1:17" x14ac:dyDescent="0.25">
      <c r="A533" t="s">
        <v>548</v>
      </c>
      <c r="B533" t="s">
        <v>429</v>
      </c>
      <c r="C533">
        <v>21</v>
      </c>
      <c r="D533">
        <v>20220215</v>
      </c>
      <c r="E533">
        <f t="shared" si="8"/>
        <v>2</v>
      </c>
      <c r="F533">
        <v>411020</v>
      </c>
      <c r="G533" t="s">
        <v>30</v>
      </c>
      <c r="H533" t="s">
        <v>318</v>
      </c>
      <c r="I533" t="s">
        <v>319</v>
      </c>
      <c r="J533">
        <v>321110016</v>
      </c>
      <c r="K533">
        <v>20220215</v>
      </c>
      <c r="L533" t="s">
        <v>1022</v>
      </c>
      <c r="M533">
        <v>0</v>
      </c>
      <c r="N533">
        <v>100</v>
      </c>
      <c r="O533" t="s">
        <v>22</v>
      </c>
      <c r="P533">
        <v>20230218</v>
      </c>
      <c r="Q533">
        <v>20220215</v>
      </c>
    </row>
    <row r="534" spans="1:17" x14ac:dyDescent="0.25">
      <c r="A534" t="s">
        <v>548</v>
      </c>
      <c r="B534" t="s">
        <v>429</v>
      </c>
      <c r="C534">
        <v>21</v>
      </c>
      <c r="D534">
        <v>20220215</v>
      </c>
      <c r="E534">
        <f t="shared" si="8"/>
        <v>2</v>
      </c>
      <c r="F534">
        <v>531105</v>
      </c>
      <c r="G534" t="s">
        <v>429</v>
      </c>
      <c r="H534" t="s">
        <v>401</v>
      </c>
      <c r="I534" t="s">
        <v>402</v>
      </c>
      <c r="J534">
        <v>335443</v>
      </c>
      <c r="K534">
        <v>20220215</v>
      </c>
      <c r="L534" t="s">
        <v>565</v>
      </c>
      <c r="M534">
        <v>140</v>
      </c>
      <c r="N534">
        <v>0</v>
      </c>
      <c r="O534" t="s">
        <v>19</v>
      </c>
      <c r="P534" t="s">
        <v>20</v>
      </c>
      <c r="Q534">
        <v>20220215</v>
      </c>
    </row>
    <row r="535" spans="1:17" x14ac:dyDescent="0.25">
      <c r="A535" t="s">
        <v>548</v>
      </c>
      <c r="B535" t="s">
        <v>429</v>
      </c>
      <c r="C535">
        <v>21</v>
      </c>
      <c r="D535">
        <v>20220216</v>
      </c>
      <c r="E535">
        <f t="shared" si="8"/>
        <v>2</v>
      </c>
      <c r="F535">
        <v>411100</v>
      </c>
      <c r="G535" t="s">
        <v>18</v>
      </c>
      <c r="H535" t="s">
        <v>237</v>
      </c>
      <c r="I535" t="s">
        <v>238</v>
      </c>
      <c r="J535">
        <v>335385</v>
      </c>
      <c r="K535">
        <v>20220216</v>
      </c>
      <c r="L535" t="s">
        <v>1023</v>
      </c>
      <c r="M535">
        <v>0</v>
      </c>
      <c r="N535">
        <v>3.5</v>
      </c>
      <c r="O535" t="s">
        <v>19</v>
      </c>
      <c r="P535" t="s">
        <v>20</v>
      </c>
      <c r="Q535">
        <v>20220216</v>
      </c>
    </row>
    <row r="536" spans="1:17" x14ac:dyDescent="0.25">
      <c r="A536" t="s">
        <v>548</v>
      </c>
      <c r="B536" t="s">
        <v>429</v>
      </c>
      <c r="C536">
        <v>21</v>
      </c>
      <c r="D536">
        <v>20220216</v>
      </c>
      <c r="E536">
        <f t="shared" si="8"/>
        <v>2</v>
      </c>
      <c r="F536">
        <v>411100</v>
      </c>
      <c r="G536" t="s">
        <v>18</v>
      </c>
      <c r="H536" t="s">
        <v>237</v>
      </c>
      <c r="I536" t="s">
        <v>238</v>
      </c>
      <c r="J536">
        <v>335386</v>
      </c>
      <c r="K536">
        <v>20220216</v>
      </c>
      <c r="L536" t="s">
        <v>1024</v>
      </c>
      <c r="M536">
        <v>0</v>
      </c>
      <c r="N536">
        <v>3.5</v>
      </c>
      <c r="O536" t="s">
        <v>19</v>
      </c>
      <c r="P536" t="s">
        <v>20</v>
      </c>
      <c r="Q536">
        <v>20220216</v>
      </c>
    </row>
    <row r="537" spans="1:17" x14ac:dyDescent="0.25">
      <c r="A537" t="s">
        <v>548</v>
      </c>
      <c r="B537" t="s">
        <v>429</v>
      </c>
      <c r="C537">
        <v>21</v>
      </c>
      <c r="D537">
        <v>20220216</v>
      </c>
      <c r="E537">
        <f t="shared" si="8"/>
        <v>2</v>
      </c>
      <c r="F537">
        <v>411100</v>
      </c>
      <c r="G537" t="s">
        <v>18</v>
      </c>
      <c r="H537" t="s">
        <v>154</v>
      </c>
      <c r="I537" t="s">
        <v>155</v>
      </c>
      <c r="J537">
        <v>335387</v>
      </c>
      <c r="K537">
        <v>20220216</v>
      </c>
      <c r="L537" t="s">
        <v>1025</v>
      </c>
      <c r="M537">
        <v>0</v>
      </c>
      <c r="N537">
        <v>1.5</v>
      </c>
      <c r="O537" t="s">
        <v>19</v>
      </c>
      <c r="P537" t="s">
        <v>20</v>
      </c>
      <c r="Q537">
        <v>20220216</v>
      </c>
    </row>
    <row r="538" spans="1:17" x14ac:dyDescent="0.25">
      <c r="A538" t="s">
        <v>548</v>
      </c>
      <c r="B538" t="s">
        <v>429</v>
      </c>
      <c r="C538">
        <v>21</v>
      </c>
      <c r="D538">
        <v>20220216</v>
      </c>
      <c r="E538">
        <f t="shared" si="8"/>
        <v>2</v>
      </c>
      <c r="F538">
        <v>411100</v>
      </c>
      <c r="G538" t="s">
        <v>18</v>
      </c>
      <c r="H538" t="s">
        <v>81</v>
      </c>
      <c r="I538" t="s">
        <v>82</v>
      </c>
      <c r="J538">
        <v>335388</v>
      </c>
      <c r="K538">
        <v>20220216</v>
      </c>
      <c r="L538" t="s">
        <v>1026</v>
      </c>
      <c r="M538">
        <v>0</v>
      </c>
      <c r="N538">
        <v>1.5</v>
      </c>
      <c r="O538" t="s">
        <v>19</v>
      </c>
      <c r="P538" t="s">
        <v>20</v>
      </c>
      <c r="Q538">
        <v>20220216</v>
      </c>
    </row>
    <row r="539" spans="1:17" x14ac:dyDescent="0.25">
      <c r="A539" t="s">
        <v>548</v>
      </c>
      <c r="B539" t="s">
        <v>429</v>
      </c>
      <c r="C539">
        <v>21</v>
      </c>
      <c r="D539">
        <v>20220216</v>
      </c>
      <c r="E539">
        <f t="shared" si="8"/>
        <v>2</v>
      </c>
      <c r="F539">
        <v>411100</v>
      </c>
      <c r="G539" t="s">
        <v>18</v>
      </c>
      <c r="H539" t="s">
        <v>259</v>
      </c>
      <c r="I539" t="s">
        <v>260</v>
      </c>
      <c r="J539">
        <v>335389</v>
      </c>
      <c r="K539">
        <v>20220216</v>
      </c>
      <c r="L539" t="s">
        <v>1027</v>
      </c>
      <c r="M539">
        <v>0</v>
      </c>
      <c r="N539">
        <v>3.5</v>
      </c>
      <c r="O539" t="s">
        <v>23</v>
      </c>
      <c r="P539">
        <v>20230213</v>
      </c>
      <c r="Q539">
        <v>20220216</v>
      </c>
    </row>
    <row r="540" spans="1:17" x14ac:dyDescent="0.25">
      <c r="A540" t="s">
        <v>548</v>
      </c>
      <c r="B540" t="s">
        <v>429</v>
      </c>
      <c r="C540">
        <v>21</v>
      </c>
      <c r="D540">
        <v>20220216</v>
      </c>
      <c r="E540">
        <f t="shared" si="8"/>
        <v>2</v>
      </c>
      <c r="F540">
        <v>411100</v>
      </c>
      <c r="G540" t="s">
        <v>18</v>
      </c>
      <c r="H540" t="s">
        <v>73</v>
      </c>
      <c r="I540" t="s">
        <v>74</v>
      </c>
      <c r="J540">
        <v>335390</v>
      </c>
      <c r="K540">
        <v>20220216</v>
      </c>
      <c r="L540" t="s">
        <v>1028</v>
      </c>
      <c r="M540">
        <v>0</v>
      </c>
      <c r="N540">
        <v>3.5</v>
      </c>
      <c r="O540" t="s">
        <v>19</v>
      </c>
      <c r="P540" t="s">
        <v>20</v>
      </c>
      <c r="Q540">
        <v>20220216</v>
      </c>
    </row>
    <row r="541" spans="1:17" x14ac:dyDescent="0.25">
      <c r="A541" t="s">
        <v>548</v>
      </c>
      <c r="B541" t="s">
        <v>429</v>
      </c>
      <c r="C541">
        <v>21</v>
      </c>
      <c r="D541">
        <v>20220216</v>
      </c>
      <c r="E541">
        <f t="shared" si="8"/>
        <v>2</v>
      </c>
      <c r="F541">
        <v>411100</v>
      </c>
      <c r="G541" t="s">
        <v>18</v>
      </c>
      <c r="H541" t="s">
        <v>1029</v>
      </c>
      <c r="I541" t="s">
        <v>1030</v>
      </c>
      <c r="J541">
        <v>335391</v>
      </c>
      <c r="K541">
        <v>20220216</v>
      </c>
      <c r="L541" t="s">
        <v>1031</v>
      </c>
      <c r="M541">
        <v>0</v>
      </c>
      <c r="N541">
        <v>3.5</v>
      </c>
      <c r="O541" t="s">
        <v>19</v>
      </c>
      <c r="P541" t="s">
        <v>20</v>
      </c>
      <c r="Q541">
        <v>20220216</v>
      </c>
    </row>
    <row r="542" spans="1:17" x14ac:dyDescent="0.25">
      <c r="A542" t="s">
        <v>548</v>
      </c>
      <c r="B542" t="s">
        <v>429</v>
      </c>
      <c r="C542">
        <v>21</v>
      </c>
      <c r="D542">
        <v>20220216</v>
      </c>
      <c r="E542">
        <f t="shared" si="8"/>
        <v>2</v>
      </c>
      <c r="F542">
        <v>411100</v>
      </c>
      <c r="G542" t="s">
        <v>18</v>
      </c>
      <c r="H542" t="s">
        <v>1029</v>
      </c>
      <c r="I542" t="s">
        <v>1030</v>
      </c>
      <c r="J542">
        <v>335392</v>
      </c>
      <c r="K542">
        <v>20220216</v>
      </c>
      <c r="L542" t="s">
        <v>1032</v>
      </c>
      <c r="M542">
        <v>0</v>
      </c>
      <c r="N542">
        <v>3.5</v>
      </c>
      <c r="O542" t="s">
        <v>19</v>
      </c>
      <c r="P542" t="s">
        <v>20</v>
      </c>
      <c r="Q542">
        <v>20220216</v>
      </c>
    </row>
    <row r="543" spans="1:17" x14ac:dyDescent="0.25">
      <c r="A543" t="s">
        <v>548</v>
      </c>
      <c r="B543" t="s">
        <v>429</v>
      </c>
      <c r="C543">
        <v>21</v>
      </c>
      <c r="D543">
        <v>20220216</v>
      </c>
      <c r="E543">
        <f t="shared" si="8"/>
        <v>2</v>
      </c>
      <c r="F543">
        <v>411100</v>
      </c>
      <c r="G543" t="s">
        <v>18</v>
      </c>
      <c r="H543" t="s">
        <v>1033</v>
      </c>
      <c r="I543" t="s">
        <v>1034</v>
      </c>
      <c r="J543">
        <v>335393</v>
      </c>
      <c r="K543">
        <v>20220216</v>
      </c>
      <c r="L543" t="s">
        <v>1035</v>
      </c>
      <c r="M543">
        <v>0</v>
      </c>
      <c r="N543">
        <v>1.5</v>
      </c>
      <c r="O543" t="s">
        <v>22</v>
      </c>
      <c r="P543">
        <v>20230218</v>
      </c>
      <c r="Q543">
        <v>20220216</v>
      </c>
    </row>
    <row r="544" spans="1:17" x14ac:dyDescent="0.25">
      <c r="A544" t="s">
        <v>548</v>
      </c>
      <c r="B544" t="s">
        <v>429</v>
      </c>
      <c r="C544">
        <v>21</v>
      </c>
      <c r="D544">
        <v>20220216</v>
      </c>
      <c r="E544">
        <f t="shared" si="8"/>
        <v>2</v>
      </c>
      <c r="F544">
        <v>411100</v>
      </c>
      <c r="G544" t="s">
        <v>18</v>
      </c>
      <c r="H544" t="s">
        <v>73</v>
      </c>
      <c r="I544" t="s">
        <v>74</v>
      </c>
      <c r="J544">
        <v>335394</v>
      </c>
      <c r="K544">
        <v>20220216</v>
      </c>
      <c r="L544" t="s">
        <v>1036</v>
      </c>
      <c r="M544">
        <v>0</v>
      </c>
      <c r="N544">
        <v>1.5</v>
      </c>
      <c r="O544" t="s">
        <v>19</v>
      </c>
      <c r="P544" t="s">
        <v>20</v>
      </c>
      <c r="Q544">
        <v>20220216</v>
      </c>
    </row>
    <row r="545" spans="1:17" x14ac:dyDescent="0.25">
      <c r="A545" t="s">
        <v>548</v>
      </c>
      <c r="B545" t="s">
        <v>429</v>
      </c>
      <c r="C545">
        <v>21</v>
      </c>
      <c r="D545">
        <v>20220216</v>
      </c>
      <c r="E545">
        <f t="shared" si="8"/>
        <v>2</v>
      </c>
      <c r="F545">
        <v>411100</v>
      </c>
      <c r="G545" t="s">
        <v>18</v>
      </c>
      <c r="H545" t="s">
        <v>1037</v>
      </c>
      <c r="I545" t="s">
        <v>1038</v>
      </c>
      <c r="J545">
        <v>335395</v>
      </c>
      <c r="K545">
        <v>20220216</v>
      </c>
      <c r="L545" t="s">
        <v>1039</v>
      </c>
      <c r="M545">
        <v>0</v>
      </c>
      <c r="N545">
        <v>1.5</v>
      </c>
      <c r="O545" t="s">
        <v>22</v>
      </c>
      <c r="P545">
        <v>20230218</v>
      </c>
      <c r="Q545">
        <v>20220216</v>
      </c>
    </row>
    <row r="546" spans="1:17" x14ac:dyDescent="0.25">
      <c r="A546" t="s">
        <v>548</v>
      </c>
      <c r="B546" t="s">
        <v>429</v>
      </c>
      <c r="C546">
        <v>21</v>
      </c>
      <c r="D546">
        <v>20220216</v>
      </c>
      <c r="E546">
        <f t="shared" si="8"/>
        <v>2</v>
      </c>
      <c r="F546">
        <v>411100</v>
      </c>
      <c r="G546" t="s">
        <v>18</v>
      </c>
      <c r="H546" t="s">
        <v>154</v>
      </c>
      <c r="I546" t="s">
        <v>155</v>
      </c>
      <c r="J546">
        <v>335396</v>
      </c>
      <c r="K546">
        <v>20220216</v>
      </c>
      <c r="L546" t="s">
        <v>1040</v>
      </c>
      <c r="M546">
        <v>0</v>
      </c>
      <c r="N546">
        <v>2</v>
      </c>
      <c r="O546" t="s">
        <v>19</v>
      </c>
      <c r="P546" t="s">
        <v>20</v>
      </c>
      <c r="Q546">
        <v>20220216</v>
      </c>
    </row>
    <row r="547" spans="1:17" x14ac:dyDescent="0.25">
      <c r="A547" t="s">
        <v>548</v>
      </c>
      <c r="B547" t="s">
        <v>429</v>
      </c>
      <c r="C547">
        <v>21</v>
      </c>
      <c r="D547">
        <v>20220216</v>
      </c>
      <c r="E547">
        <f t="shared" si="8"/>
        <v>2</v>
      </c>
      <c r="F547">
        <v>411100</v>
      </c>
      <c r="G547" t="s">
        <v>18</v>
      </c>
      <c r="H547" t="s">
        <v>77</v>
      </c>
      <c r="I547" t="s">
        <v>78</v>
      </c>
      <c r="J547">
        <v>335397</v>
      </c>
      <c r="K547">
        <v>20220216</v>
      </c>
      <c r="L547" t="s">
        <v>1041</v>
      </c>
      <c r="M547">
        <v>0</v>
      </c>
      <c r="N547">
        <v>2</v>
      </c>
      <c r="O547" t="s">
        <v>19</v>
      </c>
      <c r="P547" t="s">
        <v>20</v>
      </c>
      <c r="Q547">
        <v>20220216</v>
      </c>
    </row>
    <row r="548" spans="1:17" x14ac:dyDescent="0.25">
      <c r="A548" t="s">
        <v>548</v>
      </c>
      <c r="B548" t="s">
        <v>429</v>
      </c>
      <c r="C548">
        <v>21</v>
      </c>
      <c r="D548">
        <v>20220216</v>
      </c>
      <c r="E548">
        <f t="shared" si="8"/>
        <v>2</v>
      </c>
      <c r="F548">
        <v>411100</v>
      </c>
      <c r="G548" t="s">
        <v>18</v>
      </c>
      <c r="H548" t="s">
        <v>277</v>
      </c>
      <c r="I548" t="s">
        <v>278</v>
      </c>
      <c r="J548">
        <v>335398</v>
      </c>
      <c r="K548">
        <v>20220216</v>
      </c>
      <c r="L548" t="s">
        <v>1042</v>
      </c>
      <c r="M548">
        <v>0</v>
      </c>
      <c r="N548">
        <v>2</v>
      </c>
      <c r="O548" t="s">
        <v>19</v>
      </c>
      <c r="P548" t="s">
        <v>20</v>
      </c>
      <c r="Q548">
        <v>20220216</v>
      </c>
    </row>
    <row r="549" spans="1:17" x14ac:dyDescent="0.25">
      <c r="A549" t="s">
        <v>548</v>
      </c>
      <c r="B549" t="s">
        <v>429</v>
      </c>
      <c r="C549">
        <v>21</v>
      </c>
      <c r="D549">
        <v>20220216</v>
      </c>
      <c r="E549">
        <f t="shared" si="8"/>
        <v>2</v>
      </c>
      <c r="F549">
        <v>411100</v>
      </c>
      <c r="G549" t="s">
        <v>18</v>
      </c>
      <c r="H549" t="s">
        <v>1043</v>
      </c>
      <c r="I549" t="s">
        <v>1044</v>
      </c>
      <c r="J549">
        <v>335399</v>
      </c>
      <c r="K549">
        <v>20220216</v>
      </c>
      <c r="L549" t="s">
        <v>1045</v>
      </c>
      <c r="M549">
        <v>0</v>
      </c>
      <c r="N549">
        <v>2</v>
      </c>
      <c r="O549" t="s">
        <v>23</v>
      </c>
      <c r="P549">
        <v>20230329</v>
      </c>
      <c r="Q549">
        <v>20220216</v>
      </c>
    </row>
    <row r="550" spans="1:17" x14ac:dyDescent="0.25">
      <c r="A550" t="s">
        <v>548</v>
      </c>
      <c r="B550" t="s">
        <v>429</v>
      </c>
      <c r="C550">
        <v>21</v>
      </c>
      <c r="D550">
        <v>20220216</v>
      </c>
      <c r="E550">
        <f t="shared" si="8"/>
        <v>2</v>
      </c>
      <c r="F550">
        <v>411100</v>
      </c>
      <c r="G550" t="s">
        <v>18</v>
      </c>
      <c r="H550" t="s">
        <v>73</v>
      </c>
      <c r="I550" t="s">
        <v>74</v>
      </c>
      <c r="J550">
        <v>335400</v>
      </c>
      <c r="K550">
        <v>20220216</v>
      </c>
      <c r="L550" t="s">
        <v>1046</v>
      </c>
      <c r="M550">
        <v>0</v>
      </c>
      <c r="N550">
        <v>2</v>
      </c>
      <c r="O550" t="s">
        <v>19</v>
      </c>
      <c r="P550" t="s">
        <v>20</v>
      </c>
      <c r="Q550">
        <v>20220216</v>
      </c>
    </row>
    <row r="551" spans="1:17" x14ac:dyDescent="0.25">
      <c r="A551" t="s">
        <v>548</v>
      </c>
      <c r="B551" t="s">
        <v>429</v>
      </c>
      <c r="C551">
        <v>21</v>
      </c>
      <c r="D551">
        <v>20220216</v>
      </c>
      <c r="E551">
        <f t="shared" si="8"/>
        <v>2</v>
      </c>
      <c r="F551">
        <v>411100</v>
      </c>
      <c r="G551" t="s">
        <v>18</v>
      </c>
      <c r="H551" t="s">
        <v>1037</v>
      </c>
      <c r="I551" t="s">
        <v>1038</v>
      </c>
      <c r="J551">
        <v>335401</v>
      </c>
      <c r="K551">
        <v>20220216</v>
      </c>
      <c r="L551" t="s">
        <v>1047</v>
      </c>
      <c r="M551">
        <v>0</v>
      </c>
      <c r="N551">
        <v>2</v>
      </c>
      <c r="O551" t="s">
        <v>22</v>
      </c>
      <c r="P551">
        <v>20230218</v>
      </c>
      <c r="Q551">
        <v>20220216</v>
      </c>
    </row>
    <row r="552" spans="1:17" x14ac:dyDescent="0.25">
      <c r="A552" t="s">
        <v>548</v>
      </c>
      <c r="B552" t="s">
        <v>429</v>
      </c>
      <c r="C552">
        <v>21</v>
      </c>
      <c r="D552">
        <v>20220216</v>
      </c>
      <c r="E552">
        <f t="shared" si="8"/>
        <v>2</v>
      </c>
      <c r="F552">
        <v>411100</v>
      </c>
      <c r="G552" t="s">
        <v>18</v>
      </c>
      <c r="H552" t="s">
        <v>259</v>
      </c>
      <c r="I552" t="s">
        <v>260</v>
      </c>
      <c r="J552">
        <v>335402</v>
      </c>
      <c r="K552">
        <v>20220216</v>
      </c>
      <c r="L552" t="s">
        <v>1048</v>
      </c>
      <c r="M552">
        <v>0</v>
      </c>
      <c r="N552">
        <v>2</v>
      </c>
      <c r="O552" t="s">
        <v>23</v>
      </c>
      <c r="P552">
        <v>20230213</v>
      </c>
      <c r="Q552">
        <v>20220216</v>
      </c>
    </row>
    <row r="553" spans="1:17" x14ac:dyDescent="0.25">
      <c r="A553" t="s">
        <v>548</v>
      </c>
      <c r="B553" t="s">
        <v>429</v>
      </c>
      <c r="C553">
        <v>21</v>
      </c>
      <c r="D553">
        <v>20220216</v>
      </c>
      <c r="E553">
        <f t="shared" si="8"/>
        <v>2</v>
      </c>
      <c r="F553">
        <v>411100</v>
      </c>
      <c r="G553" t="s">
        <v>18</v>
      </c>
      <c r="H553" t="s">
        <v>77</v>
      </c>
      <c r="I553" t="s">
        <v>78</v>
      </c>
      <c r="J553">
        <v>335403</v>
      </c>
      <c r="K553">
        <v>20220216</v>
      </c>
      <c r="L553" t="s">
        <v>1049</v>
      </c>
      <c r="M553">
        <v>0</v>
      </c>
      <c r="N553">
        <v>2</v>
      </c>
      <c r="O553" t="s">
        <v>19</v>
      </c>
      <c r="P553" t="s">
        <v>20</v>
      </c>
      <c r="Q553">
        <v>20220216</v>
      </c>
    </row>
    <row r="554" spans="1:17" x14ac:dyDescent="0.25">
      <c r="A554" t="s">
        <v>548</v>
      </c>
      <c r="B554" t="s">
        <v>429</v>
      </c>
      <c r="C554">
        <v>21</v>
      </c>
      <c r="D554">
        <v>20220216</v>
      </c>
      <c r="E554">
        <f t="shared" si="8"/>
        <v>2</v>
      </c>
      <c r="F554">
        <v>411100</v>
      </c>
      <c r="G554" t="s">
        <v>18</v>
      </c>
      <c r="H554" t="s">
        <v>1050</v>
      </c>
      <c r="I554" t="s">
        <v>1051</v>
      </c>
      <c r="J554">
        <v>335404</v>
      </c>
      <c r="K554">
        <v>20220216</v>
      </c>
      <c r="L554" t="s">
        <v>1052</v>
      </c>
      <c r="M554">
        <v>0</v>
      </c>
      <c r="N554">
        <v>2</v>
      </c>
      <c r="O554" t="s">
        <v>22</v>
      </c>
      <c r="P554">
        <v>20230218</v>
      </c>
      <c r="Q554">
        <v>20220216</v>
      </c>
    </row>
    <row r="555" spans="1:17" x14ac:dyDescent="0.25">
      <c r="A555" t="s">
        <v>548</v>
      </c>
      <c r="B555" t="s">
        <v>429</v>
      </c>
      <c r="C555">
        <v>21</v>
      </c>
      <c r="D555">
        <v>20220216</v>
      </c>
      <c r="E555">
        <f t="shared" si="8"/>
        <v>2</v>
      </c>
      <c r="F555">
        <v>411100</v>
      </c>
      <c r="G555" t="s">
        <v>18</v>
      </c>
      <c r="H555" t="s">
        <v>1053</v>
      </c>
      <c r="I555" t="s">
        <v>1054</v>
      </c>
      <c r="J555">
        <v>335405</v>
      </c>
      <c r="K555">
        <v>20220216</v>
      </c>
      <c r="L555" t="s">
        <v>1055</v>
      </c>
      <c r="M555">
        <v>0</v>
      </c>
      <c r="N555">
        <v>2</v>
      </c>
      <c r="O555" t="s">
        <v>19</v>
      </c>
      <c r="P555" t="s">
        <v>20</v>
      </c>
      <c r="Q555">
        <v>20220216</v>
      </c>
    </row>
    <row r="556" spans="1:17" x14ac:dyDescent="0.25">
      <c r="A556" t="s">
        <v>548</v>
      </c>
      <c r="B556" t="s">
        <v>429</v>
      </c>
      <c r="C556">
        <v>21</v>
      </c>
      <c r="D556">
        <v>20220216</v>
      </c>
      <c r="E556">
        <f t="shared" si="8"/>
        <v>2</v>
      </c>
      <c r="F556">
        <v>411100</v>
      </c>
      <c r="G556" t="s">
        <v>18</v>
      </c>
      <c r="H556" t="s">
        <v>1053</v>
      </c>
      <c r="I556" t="s">
        <v>1054</v>
      </c>
      <c r="J556">
        <v>335406</v>
      </c>
      <c r="K556">
        <v>20220216</v>
      </c>
      <c r="L556" t="s">
        <v>1056</v>
      </c>
      <c r="M556">
        <v>0</v>
      </c>
      <c r="N556">
        <v>2</v>
      </c>
      <c r="O556" t="s">
        <v>19</v>
      </c>
      <c r="P556" t="s">
        <v>20</v>
      </c>
      <c r="Q556">
        <v>20220216</v>
      </c>
    </row>
    <row r="557" spans="1:17" x14ac:dyDescent="0.25">
      <c r="A557" t="s">
        <v>548</v>
      </c>
      <c r="B557" t="s">
        <v>429</v>
      </c>
      <c r="C557">
        <v>21</v>
      </c>
      <c r="D557">
        <v>20220216</v>
      </c>
      <c r="E557">
        <f t="shared" si="8"/>
        <v>2</v>
      </c>
      <c r="F557">
        <v>531105</v>
      </c>
      <c r="G557" t="s">
        <v>429</v>
      </c>
      <c r="H557" t="s">
        <v>401</v>
      </c>
      <c r="I557" t="s">
        <v>402</v>
      </c>
      <c r="J557">
        <v>335407</v>
      </c>
      <c r="K557">
        <v>20220216</v>
      </c>
      <c r="L557" t="s">
        <v>565</v>
      </c>
      <c r="M557">
        <v>50.5</v>
      </c>
      <c r="N557">
        <v>0</v>
      </c>
      <c r="O557" t="s">
        <v>19</v>
      </c>
      <c r="P557" t="s">
        <v>20</v>
      </c>
      <c r="Q557">
        <v>20220216</v>
      </c>
    </row>
    <row r="558" spans="1:17" x14ac:dyDescent="0.25">
      <c r="A558" t="s">
        <v>548</v>
      </c>
      <c r="B558" t="s">
        <v>429</v>
      </c>
      <c r="C558">
        <v>21</v>
      </c>
      <c r="D558">
        <v>20220217</v>
      </c>
      <c r="E558">
        <f t="shared" si="8"/>
        <v>2</v>
      </c>
      <c r="F558">
        <v>467100</v>
      </c>
      <c r="G558" t="s">
        <v>160</v>
      </c>
      <c r="H558" t="s">
        <v>1014</v>
      </c>
      <c r="I558" t="s">
        <v>1015</v>
      </c>
      <c r="J558" t="s">
        <v>1057</v>
      </c>
      <c r="K558">
        <v>20220217</v>
      </c>
      <c r="L558" t="s">
        <v>1058</v>
      </c>
      <c r="M558">
        <v>0</v>
      </c>
      <c r="N558">
        <v>107</v>
      </c>
      <c r="O558" t="s">
        <v>23</v>
      </c>
      <c r="P558">
        <v>20220217</v>
      </c>
      <c r="Q558">
        <v>20220217</v>
      </c>
    </row>
    <row r="559" spans="1:17" x14ac:dyDescent="0.25">
      <c r="A559" t="s">
        <v>548</v>
      </c>
      <c r="B559" t="s">
        <v>429</v>
      </c>
      <c r="C559">
        <v>21</v>
      </c>
      <c r="D559">
        <v>20220217</v>
      </c>
      <c r="E559">
        <f t="shared" si="8"/>
        <v>2</v>
      </c>
      <c r="F559">
        <v>531105</v>
      </c>
      <c r="G559" t="s">
        <v>429</v>
      </c>
      <c r="H559" t="s">
        <v>401</v>
      </c>
      <c r="I559" t="s">
        <v>402</v>
      </c>
      <c r="J559" t="s">
        <v>1057</v>
      </c>
      <c r="K559">
        <v>20220217</v>
      </c>
      <c r="L559" t="s">
        <v>1058</v>
      </c>
      <c r="M559">
        <v>107</v>
      </c>
      <c r="N559">
        <v>0</v>
      </c>
      <c r="O559" t="s">
        <v>19</v>
      </c>
      <c r="P559" t="s">
        <v>20</v>
      </c>
      <c r="Q559">
        <v>20220217</v>
      </c>
    </row>
    <row r="560" spans="1:17" x14ac:dyDescent="0.25">
      <c r="A560" t="s">
        <v>548</v>
      </c>
      <c r="B560" t="s">
        <v>429</v>
      </c>
      <c r="C560">
        <v>21</v>
      </c>
      <c r="D560">
        <v>20220217</v>
      </c>
      <c r="E560">
        <f t="shared" si="8"/>
        <v>2</v>
      </c>
      <c r="F560">
        <v>411100</v>
      </c>
      <c r="G560" t="s">
        <v>18</v>
      </c>
      <c r="H560" t="s">
        <v>259</v>
      </c>
      <c r="I560" t="s">
        <v>260</v>
      </c>
      <c r="J560">
        <v>335640</v>
      </c>
      <c r="K560">
        <v>20220217</v>
      </c>
      <c r="L560" t="s">
        <v>1059</v>
      </c>
      <c r="M560">
        <v>0</v>
      </c>
      <c r="N560">
        <v>8</v>
      </c>
      <c r="O560" t="s">
        <v>23</v>
      </c>
      <c r="P560">
        <v>20230213</v>
      </c>
      <c r="Q560">
        <v>20220217</v>
      </c>
    </row>
    <row r="561" spans="1:17" x14ac:dyDescent="0.25">
      <c r="A561" t="s">
        <v>548</v>
      </c>
      <c r="B561" t="s">
        <v>429</v>
      </c>
      <c r="C561">
        <v>21</v>
      </c>
      <c r="D561">
        <v>20220217</v>
      </c>
      <c r="E561">
        <f t="shared" si="8"/>
        <v>2</v>
      </c>
      <c r="F561">
        <v>411100</v>
      </c>
      <c r="G561" t="s">
        <v>18</v>
      </c>
      <c r="H561" t="s">
        <v>259</v>
      </c>
      <c r="I561" t="s">
        <v>260</v>
      </c>
      <c r="J561">
        <v>335641</v>
      </c>
      <c r="K561">
        <v>20220217</v>
      </c>
      <c r="L561" t="s">
        <v>1060</v>
      </c>
      <c r="M561">
        <v>0</v>
      </c>
      <c r="N561">
        <v>8</v>
      </c>
      <c r="O561" t="s">
        <v>23</v>
      </c>
      <c r="P561">
        <v>20230213</v>
      </c>
      <c r="Q561">
        <v>20220217</v>
      </c>
    </row>
    <row r="562" spans="1:17" x14ac:dyDescent="0.25">
      <c r="A562" t="s">
        <v>548</v>
      </c>
      <c r="B562" t="s">
        <v>429</v>
      </c>
      <c r="C562">
        <v>21</v>
      </c>
      <c r="D562">
        <v>20220217</v>
      </c>
      <c r="E562">
        <f t="shared" si="8"/>
        <v>2</v>
      </c>
      <c r="F562">
        <v>411100</v>
      </c>
      <c r="G562" t="s">
        <v>18</v>
      </c>
      <c r="H562" t="s">
        <v>81</v>
      </c>
      <c r="I562" t="s">
        <v>82</v>
      </c>
      <c r="J562">
        <v>335642</v>
      </c>
      <c r="K562">
        <v>20220217</v>
      </c>
      <c r="L562" t="s">
        <v>1061</v>
      </c>
      <c r="M562">
        <v>0</v>
      </c>
      <c r="N562">
        <v>8</v>
      </c>
      <c r="O562" t="s">
        <v>19</v>
      </c>
      <c r="P562" t="s">
        <v>20</v>
      </c>
      <c r="Q562">
        <v>20220217</v>
      </c>
    </row>
    <row r="563" spans="1:17" x14ac:dyDescent="0.25">
      <c r="A563" t="s">
        <v>548</v>
      </c>
      <c r="B563" t="s">
        <v>429</v>
      </c>
      <c r="C563">
        <v>21</v>
      </c>
      <c r="D563">
        <v>20220217</v>
      </c>
      <c r="E563">
        <f t="shared" si="8"/>
        <v>2</v>
      </c>
      <c r="F563">
        <v>411100</v>
      </c>
      <c r="G563" t="s">
        <v>18</v>
      </c>
      <c r="H563" t="s">
        <v>1062</v>
      </c>
      <c r="I563" t="s">
        <v>1063</v>
      </c>
      <c r="J563">
        <v>335643</v>
      </c>
      <c r="K563">
        <v>20220217</v>
      </c>
      <c r="L563" t="s">
        <v>1064</v>
      </c>
      <c r="M563">
        <v>0</v>
      </c>
      <c r="N563">
        <v>8</v>
      </c>
      <c r="O563" t="s">
        <v>22</v>
      </c>
      <c r="P563">
        <v>20230218</v>
      </c>
      <c r="Q563">
        <v>20220217</v>
      </c>
    </row>
    <row r="564" spans="1:17" x14ac:dyDescent="0.25">
      <c r="A564" t="s">
        <v>548</v>
      </c>
      <c r="B564" t="s">
        <v>429</v>
      </c>
      <c r="C564">
        <v>21</v>
      </c>
      <c r="D564">
        <v>20220217</v>
      </c>
      <c r="E564">
        <f t="shared" si="8"/>
        <v>2</v>
      </c>
      <c r="F564">
        <v>411100</v>
      </c>
      <c r="G564" t="s">
        <v>18</v>
      </c>
      <c r="H564" t="s">
        <v>1037</v>
      </c>
      <c r="I564" t="s">
        <v>1038</v>
      </c>
      <c r="J564">
        <v>335644</v>
      </c>
      <c r="K564">
        <v>20220217</v>
      </c>
      <c r="L564" t="s">
        <v>1065</v>
      </c>
      <c r="M564">
        <v>0</v>
      </c>
      <c r="N564">
        <v>8</v>
      </c>
      <c r="O564" t="s">
        <v>22</v>
      </c>
      <c r="P564">
        <v>20230218</v>
      </c>
      <c r="Q564">
        <v>20220217</v>
      </c>
    </row>
    <row r="565" spans="1:17" x14ac:dyDescent="0.25">
      <c r="A565" t="s">
        <v>548</v>
      </c>
      <c r="B565" t="s">
        <v>429</v>
      </c>
      <c r="C565">
        <v>21</v>
      </c>
      <c r="D565">
        <v>20220217</v>
      </c>
      <c r="E565">
        <f t="shared" si="8"/>
        <v>2</v>
      </c>
      <c r="F565">
        <v>411100</v>
      </c>
      <c r="G565" t="s">
        <v>18</v>
      </c>
      <c r="H565" t="s">
        <v>154</v>
      </c>
      <c r="I565" t="s">
        <v>155</v>
      </c>
      <c r="J565">
        <v>335645</v>
      </c>
      <c r="K565">
        <v>20220217</v>
      </c>
      <c r="L565" t="s">
        <v>1066</v>
      </c>
      <c r="M565">
        <v>0</v>
      </c>
      <c r="N565">
        <v>8</v>
      </c>
      <c r="O565" t="s">
        <v>19</v>
      </c>
      <c r="P565" t="s">
        <v>20</v>
      </c>
      <c r="Q565">
        <v>20220217</v>
      </c>
    </row>
    <row r="566" spans="1:17" x14ac:dyDescent="0.25">
      <c r="A566" t="s">
        <v>548</v>
      </c>
      <c r="B566" t="s">
        <v>429</v>
      </c>
      <c r="C566">
        <v>21</v>
      </c>
      <c r="D566">
        <v>20220217</v>
      </c>
      <c r="E566">
        <f t="shared" si="8"/>
        <v>2</v>
      </c>
      <c r="F566">
        <v>411100</v>
      </c>
      <c r="G566" t="s">
        <v>18</v>
      </c>
      <c r="H566" t="s">
        <v>73</v>
      </c>
      <c r="I566" t="s">
        <v>74</v>
      </c>
      <c r="J566">
        <v>335646</v>
      </c>
      <c r="K566">
        <v>20220217</v>
      </c>
      <c r="L566" t="s">
        <v>1067</v>
      </c>
      <c r="M566">
        <v>0</v>
      </c>
      <c r="N566">
        <v>8</v>
      </c>
      <c r="O566" t="s">
        <v>19</v>
      </c>
      <c r="P566" t="s">
        <v>20</v>
      </c>
      <c r="Q566">
        <v>20220217</v>
      </c>
    </row>
    <row r="567" spans="1:17" x14ac:dyDescent="0.25">
      <c r="A567" t="s">
        <v>548</v>
      </c>
      <c r="B567" t="s">
        <v>429</v>
      </c>
      <c r="C567">
        <v>21</v>
      </c>
      <c r="D567">
        <v>20220217</v>
      </c>
      <c r="E567">
        <f t="shared" si="8"/>
        <v>2</v>
      </c>
      <c r="F567">
        <v>411100</v>
      </c>
      <c r="G567" t="s">
        <v>18</v>
      </c>
      <c r="H567" t="s">
        <v>73</v>
      </c>
      <c r="I567" t="s">
        <v>74</v>
      </c>
      <c r="J567">
        <v>335647</v>
      </c>
      <c r="K567">
        <v>20220217</v>
      </c>
      <c r="L567" t="s">
        <v>1068</v>
      </c>
      <c r="M567">
        <v>0</v>
      </c>
      <c r="N567">
        <v>8</v>
      </c>
      <c r="O567" t="s">
        <v>19</v>
      </c>
      <c r="P567" t="s">
        <v>20</v>
      </c>
      <c r="Q567">
        <v>20220217</v>
      </c>
    </row>
    <row r="568" spans="1:17" x14ac:dyDescent="0.25">
      <c r="A568" t="s">
        <v>548</v>
      </c>
      <c r="B568" t="s">
        <v>429</v>
      </c>
      <c r="C568">
        <v>21</v>
      </c>
      <c r="D568">
        <v>20220217</v>
      </c>
      <c r="E568">
        <f t="shared" si="8"/>
        <v>2</v>
      </c>
      <c r="F568">
        <v>411100</v>
      </c>
      <c r="G568" t="s">
        <v>18</v>
      </c>
      <c r="H568" t="s">
        <v>237</v>
      </c>
      <c r="I568" t="s">
        <v>238</v>
      </c>
      <c r="J568">
        <v>335648</v>
      </c>
      <c r="K568">
        <v>20220217</v>
      </c>
      <c r="L568" t="s">
        <v>1069</v>
      </c>
      <c r="M568">
        <v>0</v>
      </c>
      <c r="N568">
        <v>8</v>
      </c>
      <c r="O568" t="s">
        <v>19</v>
      </c>
      <c r="P568" t="s">
        <v>20</v>
      </c>
      <c r="Q568">
        <v>20220217</v>
      </c>
    </row>
    <row r="569" spans="1:17" x14ac:dyDescent="0.25">
      <c r="A569" t="s">
        <v>548</v>
      </c>
      <c r="B569" t="s">
        <v>429</v>
      </c>
      <c r="C569">
        <v>21</v>
      </c>
      <c r="D569">
        <v>20220217</v>
      </c>
      <c r="E569">
        <f t="shared" si="8"/>
        <v>2</v>
      </c>
      <c r="F569">
        <v>411100</v>
      </c>
      <c r="G569" t="s">
        <v>18</v>
      </c>
      <c r="H569" t="s">
        <v>1033</v>
      </c>
      <c r="I569" t="s">
        <v>1034</v>
      </c>
      <c r="J569">
        <v>335649</v>
      </c>
      <c r="K569">
        <v>20220217</v>
      </c>
      <c r="L569" t="s">
        <v>1070</v>
      </c>
      <c r="M569">
        <v>0</v>
      </c>
      <c r="N569">
        <v>8</v>
      </c>
      <c r="O569" t="s">
        <v>19</v>
      </c>
      <c r="P569" t="s">
        <v>20</v>
      </c>
      <c r="Q569">
        <v>20220217</v>
      </c>
    </row>
    <row r="570" spans="1:17" x14ac:dyDescent="0.25">
      <c r="A570" t="s">
        <v>548</v>
      </c>
      <c r="B570" t="s">
        <v>429</v>
      </c>
      <c r="C570">
        <v>21</v>
      </c>
      <c r="D570">
        <v>20220217</v>
      </c>
      <c r="E570">
        <f t="shared" si="8"/>
        <v>2</v>
      </c>
      <c r="F570">
        <v>531105</v>
      </c>
      <c r="G570" t="s">
        <v>429</v>
      </c>
      <c r="H570" t="s">
        <v>401</v>
      </c>
      <c r="I570" t="s">
        <v>402</v>
      </c>
      <c r="J570">
        <v>335650</v>
      </c>
      <c r="K570">
        <v>20220217</v>
      </c>
      <c r="L570" t="s">
        <v>565</v>
      </c>
      <c r="M570">
        <v>80</v>
      </c>
      <c r="N570">
        <v>0</v>
      </c>
      <c r="O570" t="s">
        <v>19</v>
      </c>
      <c r="P570" t="s">
        <v>20</v>
      </c>
      <c r="Q570">
        <v>20220217</v>
      </c>
    </row>
    <row r="571" spans="1:17" x14ac:dyDescent="0.25">
      <c r="A571" t="s">
        <v>548</v>
      </c>
      <c r="B571" t="s">
        <v>429</v>
      </c>
      <c r="C571">
        <v>21</v>
      </c>
      <c r="D571">
        <v>20220218</v>
      </c>
      <c r="E571">
        <f t="shared" si="8"/>
        <v>2</v>
      </c>
      <c r="F571">
        <v>411100</v>
      </c>
      <c r="G571" t="s">
        <v>18</v>
      </c>
      <c r="H571" t="s">
        <v>251</v>
      </c>
      <c r="I571" t="s">
        <v>252</v>
      </c>
      <c r="J571">
        <v>335651</v>
      </c>
      <c r="K571">
        <v>20220218</v>
      </c>
      <c r="L571" t="s">
        <v>1071</v>
      </c>
      <c r="M571">
        <v>0</v>
      </c>
      <c r="N571">
        <v>8</v>
      </c>
      <c r="O571" t="s">
        <v>22</v>
      </c>
      <c r="P571">
        <v>20230218</v>
      </c>
      <c r="Q571">
        <v>20220218</v>
      </c>
    </row>
    <row r="572" spans="1:17" x14ac:dyDescent="0.25">
      <c r="A572" t="s">
        <v>548</v>
      </c>
      <c r="B572" t="s">
        <v>429</v>
      </c>
      <c r="C572">
        <v>21</v>
      </c>
      <c r="D572">
        <v>20220218</v>
      </c>
      <c r="E572">
        <f t="shared" si="8"/>
        <v>2</v>
      </c>
      <c r="F572">
        <v>411100</v>
      </c>
      <c r="G572" t="s">
        <v>18</v>
      </c>
      <c r="H572" t="s">
        <v>77</v>
      </c>
      <c r="I572" t="s">
        <v>78</v>
      </c>
      <c r="J572">
        <v>335652</v>
      </c>
      <c r="K572">
        <v>20220218</v>
      </c>
      <c r="L572" t="s">
        <v>1072</v>
      </c>
      <c r="M572">
        <v>0</v>
      </c>
      <c r="N572">
        <v>8</v>
      </c>
      <c r="O572" t="s">
        <v>19</v>
      </c>
      <c r="P572" t="s">
        <v>20</v>
      </c>
      <c r="Q572">
        <v>20220218</v>
      </c>
    </row>
    <row r="573" spans="1:17" x14ac:dyDescent="0.25">
      <c r="A573" t="s">
        <v>548</v>
      </c>
      <c r="B573" t="s">
        <v>429</v>
      </c>
      <c r="C573">
        <v>21</v>
      </c>
      <c r="D573">
        <v>20220218</v>
      </c>
      <c r="E573">
        <f t="shared" si="8"/>
        <v>2</v>
      </c>
      <c r="F573">
        <v>411100</v>
      </c>
      <c r="G573" t="s">
        <v>18</v>
      </c>
      <c r="H573" t="s">
        <v>77</v>
      </c>
      <c r="I573" t="s">
        <v>78</v>
      </c>
      <c r="J573">
        <v>335653</v>
      </c>
      <c r="K573">
        <v>20220218</v>
      </c>
      <c r="L573" t="s">
        <v>1073</v>
      </c>
      <c r="M573">
        <v>0</v>
      </c>
      <c r="N573">
        <v>8</v>
      </c>
      <c r="O573" t="s">
        <v>19</v>
      </c>
      <c r="P573" t="s">
        <v>20</v>
      </c>
      <c r="Q573">
        <v>20220218</v>
      </c>
    </row>
    <row r="574" spans="1:17" x14ac:dyDescent="0.25">
      <c r="A574" t="s">
        <v>548</v>
      </c>
      <c r="B574" t="s">
        <v>429</v>
      </c>
      <c r="C574">
        <v>21</v>
      </c>
      <c r="D574">
        <v>20220218</v>
      </c>
      <c r="E574">
        <f t="shared" si="8"/>
        <v>2</v>
      </c>
      <c r="F574">
        <v>411100</v>
      </c>
      <c r="G574" t="s">
        <v>18</v>
      </c>
      <c r="H574" t="s">
        <v>77</v>
      </c>
      <c r="I574" t="s">
        <v>78</v>
      </c>
      <c r="J574">
        <v>335654</v>
      </c>
      <c r="K574">
        <v>20220218</v>
      </c>
      <c r="L574" t="s">
        <v>1074</v>
      </c>
      <c r="M574">
        <v>0</v>
      </c>
      <c r="N574">
        <v>8</v>
      </c>
      <c r="O574" t="s">
        <v>19</v>
      </c>
      <c r="P574" t="s">
        <v>20</v>
      </c>
      <c r="Q574">
        <v>20220218</v>
      </c>
    </row>
    <row r="575" spans="1:17" x14ac:dyDescent="0.25">
      <c r="A575" t="s">
        <v>548</v>
      </c>
      <c r="B575" t="s">
        <v>429</v>
      </c>
      <c r="C575">
        <v>21</v>
      </c>
      <c r="D575">
        <v>20220218</v>
      </c>
      <c r="E575">
        <f t="shared" si="8"/>
        <v>2</v>
      </c>
      <c r="F575">
        <v>411100</v>
      </c>
      <c r="G575" t="s">
        <v>18</v>
      </c>
      <c r="H575" t="s">
        <v>105</v>
      </c>
      <c r="I575" t="s">
        <v>106</v>
      </c>
      <c r="J575">
        <v>335655</v>
      </c>
      <c r="K575">
        <v>20220218</v>
      </c>
      <c r="L575" t="s">
        <v>1075</v>
      </c>
      <c r="M575">
        <v>0</v>
      </c>
      <c r="N575">
        <v>8</v>
      </c>
      <c r="O575" t="s">
        <v>19</v>
      </c>
      <c r="P575" t="s">
        <v>20</v>
      </c>
      <c r="Q575">
        <v>20220218</v>
      </c>
    </row>
    <row r="576" spans="1:17" x14ac:dyDescent="0.25">
      <c r="A576" t="s">
        <v>548</v>
      </c>
      <c r="B576" t="s">
        <v>429</v>
      </c>
      <c r="C576">
        <v>21</v>
      </c>
      <c r="D576">
        <v>20220218</v>
      </c>
      <c r="E576">
        <f t="shared" si="8"/>
        <v>2</v>
      </c>
      <c r="F576">
        <v>411100</v>
      </c>
      <c r="G576" t="s">
        <v>18</v>
      </c>
      <c r="H576" t="s">
        <v>105</v>
      </c>
      <c r="I576" t="s">
        <v>106</v>
      </c>
      <c r="J576">
        <v>335656</v>
      </c>
      <c r="K576">
        <v>20220218</v>
      </c>
      <c r="L576" t="s">
        <v>1076</v>
      </c>
      <c r="M576">
        <v>0</v>
      </c>
      <c r="N576">
        <v>8</v>
      </c>
      <c r="O576" t="s">
        <v>19</v>
      </c>
      <c r="P576" t="s">
        <v>20</v>
      </c>
      <c r="Q576">
        <v>20220218</v>
      </c>
    </row>
    <row r="577" spans="1:17" x14ac:dyDescent="0.25">
      <c r="A577" t="s">
        <v>548</v>
      </c>
      <c r="B577" t="s">
        <v>429</v>
      </c>
      <c r="C577">
        <v>21</v>
      </c>
      <c r="D577">
        <v>20220218</v>
      </c>
      <c r="E577">
        <f t="shared" si="8"/>
        <v>2</v>
      </c>
      <c r="F577">
        <v>411100</v>
      </c>
      <c r="G577" t="s">
        <v>18</v>
      </c>
      <c r="H577" t="s">
        <v>105</v>
      </c>
      <c r="I577" t="s">
        <v>106</v>
      </c>
      <c r="J577">
        <v>335657</v>
      </c>
      <c r="K577">
        <v>20220218</v>
      </c>
      <c r="L577" t="s">
        <v>1077</v>
      </c>
      <c r="M577">
        <v>0</v>
      </c>
      <c r="N577">
        <v>8</v>
      </c>
      <c r="O577" t="s">
        <v>19</v>
      </c>
      <c r="P577" t="s">
        <v>20</v>
      </c>
      <c r="Q577">
        <v>20220218</v>
      </c>
    </row>
    <row r="578" spans="1:17" x14ac:dyDescent="0.25">
      <c r="A578" t="s">
        <v>548</v>
      </c>
      <c r="B578" t="s">
        <v>429</v>
      </c>
      <c r="C578">
        <v>21</v>
      </c>
      <c r="D578">
        <v>20220218</v>
      </c>
      <c r="E578">
        <f t="shared" si="8"/>
        <v>2</v>
      </c>
      <c r="F578">
        <v>411100</v>
      </c>
      <c r="G578" t="s">
        <v>18</v>
      </c>
      <c r="H578" t="s">
        <v>1050</v>
      </c>
      <c r="I578" t="s">
        <v>1051</v>
      </c>
      <c r="J578">
        <v>335658</v>
      </c>
      <c r="K578">
        <v>20220218</v>
      </c>
      <c r="L578" t="s">
        <v>1078</v>
      </c>
      <c r="M578">
        <v>0</v>
      </c>
      <c r="N578">
        <v>8</v>
      </c>
      <c r="O578" t="s">
        <v>22</v>
      </c>
      <c r="P578">
        <v>20230218</v>
      </c>
      <c r="Q578">
        <v>20220218</v>
      </c>
    </row>
    <row r="579" spans="1:17" x14ac:dyDescent="0.25">
      <c r="A579" t="s">
        <v>548</v>
      </c>
      <c r="B579" t="s">
        <v>429</v>
      </c>
      <c r="C579">
        <v>21</v>
      </c>
      <c r="D579">
        <v>20220218</v>
      </c>
      <c r="E579">
        <f t="shared" ref="E579:E642" si="9">VALUE(MID(D579,5,2))</f>
        <v>2</v>
      </c>
      <c r="F579">
        <v>411100</v>
      </c>
      <c r="G579" t="s">
        <v>18</v>
      </c>
      <c r="H579" t="s">
        <v>1053</v>
      </c>
      <c r="I579" t="s">
        <v>1054</v>
      </c>
      <c r="J579">
        <v>335659</v>
      </c>
      <c r="K579">
        <v>20220218</v>
      </c>
      <c r="L579" t="s">
        <v>1079</v>
      </c>
      <c r="M579">
        <v>0</v>
      </c>
      <c r="N579">
        <v>8</v>
      </c>
      <c r="O579" t="s">
        <v>19</v>
      </c>
      <c r="P579" t="s">
        <v>20</v>
      </c>
      <c r="Q579">
        <v>20220218</v>
      </c>
    </row>
    <row r="580" spans="1:17" x14ac:dyDescent="0.25">
      <c r="A580" t="s">
        <v>548</v>
      </c>
      <c r="B580" t="s">
        <v>429</v>
      </c>
      <c r="C580">
        <v>21</v>
      </c>
      <c r="D580">
        <v>20220218</v>
      </c>
      <c r="E580">
        <f t="shared" si="9"/>
        <v>2</v>
      </c>
      <c r="F580">
        <v>411100</v>
      </c>
      <c r="G580" t="s">
        <v>18</v>
      </c>
      <c r="H580" t="s">
        <v>1053</v>
      </c>
      <c r="I580" t="s">
        <v>1054</v>
      </c>
      <c r="J580">
        <v>335660</v>
      </c>
      <c r="K580">
        <v>20220218</v>
      </c>
      <c r="L580" t="s">
        <v>1080</v>
      </c>
      <c r="M580">
        <v>0</v>
      </c>
      <c r="N580">
        <v>8</v>
      </c>
      <c r="O580" t="s">
        <v>19</v>
      </c>
      <c r="P580" t="s">
        <v>20</v>
      </c>
      <c r="Q580">
        <v>20220218</v>
      </c>
    </row>
    <row r="581" spans="1:17" x14ac:dyDescent="0.25">
      <c r="A581" t="s">
        <v>548</v>
      </c>
      <c r="B581" t="s">
        <v>429</v>
      </c>
      <c r="C581">
        <v>21</v>
      </c>
      <c r="D581">
        <v>20220218</v>
      </c>
      <c r="E581">
        <f t="shared" si="9"/>
        <v>2</v>
      </c>
      <c r="F581">
        <v>411100</v>
      </c>
      <c r="G581" t="s">
        <v>18</v>
      </c>
      <c r="H581" t="s">
        <v>85</v>
      </c>
      <c r="I581" t="s">
        <v>86</v>
      </c>
      <c r="J581">
        <v>335661</v>
      </c>
      <c r="K581">
        <v>20220218</v>
      </c>
      <c r="L581" t="s">
        <v>1081</v>
      </c>
      <c r="M581">
        <v>0</v>
      </c>
      <c r="N581">
        <v>8</v>
      </c>
      <c r="O581" t="s">
        <v>19</v>
      </c>
      <c r="P581" t="s">
        <v>20</v>
      </c>
      <c r="Q581">
        <v>20220218</v>
      </c>
    </row>
    <row r="582" spans="1:17" x14ac:dyDescent="0.25">
      <c r="A582" t="s">
        <v>548</v>
      </c>
      <c r="B582" t="s">
        <v>429</v>
      </c>
      <c r="C582">
        <v>21</v>
      </c>
      <c r="D582">
        <v>20220218</v>
      </c>
      <c r="E582">
        <f t="shared" si="9"/>
        <v>2</v>
      </c>
      <c r="F582">
        <v>411100</v>
      </c>
      <c r="G582" t="s">
        <v>18</v>
      </c>
      <c r="H582" t="s">
        <v>154</v>
      </c>
      <c r="I582" t="s">
        <v>155</v>
      </c>
      <c r="J582">
        <v>335662</v>
      </c>
      <c r="K582">
        <v>20220218</v>
      </c>
      <c r="L582" t="s">
        <v>1082</v>
      </c>
      <c r="M582">
        <v>0</v>
      </c>
      <c r="N582">
        <v>1.5</v>
      </c>
      <c r="O582" t="s">
        <v>19</v>
      </c>
      <c r="P582" t="s">
        <v>20</v>
      </c>
      <c r="Q582">
        <v>20220218</v>
      </c>
    </row>
    <row r="583" spans="1:17" x14ac:dyDescent="0.25">
      <c r="A583" t="s">
        <v>548</v>
      </c>
      <c r="B583" t="s">
        <v>429</v>
      </c>
      <c r="C583">
        <v>21</v>
      </c>
      <c r="D583">
        <v>20220218</v>
      </c>
      <c r="E583">
        <f t="shared" si="9"/>
        <v>2</v>
      </c>
      <c r="F583">
        <v>411100</v>
      </c>
      <c r="G583" t="s">
        <v>18</v>
      </c>
      <c r="H583" t="s">
        <v>85</v>
      </c>
      <c r="I583" t="s">
        <v>86</v>
      </c>
      <c r="J583">
        <v>335663</v>
      </c>
      <c r="K583">
        <v>20220218</v>
      </c>
      <c r="L583" t="s">
        <v>1083</v>
      </c>
      <c r="M583">
        <v>0</v>
      </c>
      <c r="N583">
        <v>1.5</v>
      </c>
      <c r="O583" t="s">
        <v>23</v>
      </c>
      <c r="P583">
        <v>20220327</v>
      </c>
      <c r="Q583">
        <v>20220218</v>
      </c>
    </row>
    <row r="584" spans="1:17" x14ac:dyDescent="0.25">
      <c r="A584" t="s">
        <v>548</v>
      </c>
      <c r="B584" t="s">
        <v>429</v>
      </c>
      <c r="C584">
        <v>21</v>
      </c>
      <c r="D584">
        <v>20220218</v>
      </c>
      <c r="E584">
        <f t="shared" si="9"/>
        <v>2</v>
      </c>
      <c r="F584">
        <v>411100</v>
      </c>
      <c r="G584" t="s">
        <v>18</v>
      </c>
      <c r="H584" t="s">
        <v>81</v>
      </c>
      <c r="I584" t="s">
        <v>82</v>
      </c>
      <c r="J584">
        <v>335664</v>
      </c>
      <c r="K584">
        <v>20220218</v>
      </c>
      <c r="L584" t="s">
        <v>1084</v>
      </c>
      <c r="M584">
        <v>0</v>
      </c>
      <c r="N584">
        <v>1.5</v>
      </c>
      <c r="O584" t="s">
        <v>19</v>
      </c>
      <c r="P584" t="s">
        <v>20</v>
      </c>
      <c r="Q584">
        <v>20220218</v>
      </c>
    </row>
    <row r="585" spans="1:17" x14ac:dyDescent="0.25">
      <c r="A585" t="s">
        <v>548</v>
      </c>
      <c r="B585" t="s">
        <v>429</v>
      </c>
      <c r="C585">
        <v>21</v>
      </c>
      <c r="D585">
        <v>20220218</v>
      </c>
      <c r="E585">
        <f t="shared" si="9"/>
        <v>2</v>
      </c>
      <c r="F585">
        <v>411100</v>
      </c>
      <c r="G585" t="s">
        <v>18</v>
      </c>
      <c r="H585" t="s">
        <v>1037</v>
      </c>
      <c r="I585" t="s">
        <v>1038</v>
      </c>
      <c r="J585">
        <v>335665</v>
      </c>
      <c r="K585">
        <v>20220218</v>
      </c>
      <c r="L585" t="s">
        <v>1085</v>
      </c>
      <c r="M585">
        <v>0</v>
      </c>
      <c r="N585">
        <v>1.5</v>
      </c>
      <c r="O585" t="s">
        <v>22</v>
      </c>
      <c r="P585">
        <v>20230218</v>
      </c>
      <c r="Q585">
        <v>20220218</v>
      </c>
    </row>
    <row r="586" spans="1:17" x14ac:dyDescent="0.25">
      <c r="A586" t="s">
        <v>548</v>
      </c>
      <c r="B586" t="s">
        <v>429</v>
      </c>
      <c r="C586">
        <v>21</v>
      </c>
      <c r="D586">
        <v>20220218</v>
      </c>
      <c r="E586">
        <f t="shared" si="9"/>
        <v>2</v>
      </c>
      <c r="F586">
        <v>531105</v>
      </c>
      <c r="G586" t="s">
        <v>429</v>
      </c>
      <c r="H586" t="s">
        <v>401</v>
      </c>
      <c r="I586" t="s">
        <v>402</v>
      </c>
      <c r="J586">
        <v>335666</v>
      </c>
      <c r="K586">
        <v>20220218</v>
      </c>
      <c r="L586" t="s">
        <v>565</v>
      </c>
      <c r="M586">
        <v>94</v>
      </c>
      <c r="N586">
        <v>0</v>
      </c>
      <c r="O586" t="s">
        <v>19</v>
      </c>
      <c r="P586" t="s">
        <v>20</v>
      </c>
      <c r="Q586">
        <v>20220218</v>
      </c>
    </row>
    <row r="587" spans="1:17" x14ac:dyDescent="0.25">
      <c r="A587" t="s">
        <v>548</v>
      </c>
      <c r="B587" t="s">
        <v>429</v>
      </c>
      <c r="C587">
        <v>21</v>
      </c>
      <c r="D587">
        <v>20220218</v>
      </c>
      <c r="E587">
        <f t="shared" si="9"/>
        <v>2</v>
      </c>
      <c r="F587">
        <v>411010</v>
      </c>
      <c r="G587" t="s">
        <v>87</v>
      </c>
      <c r="H587" t="s">
        <v>328</v>
      </c>
      <c r="I587" t="s">
        <v>329</v>
      </c>
      <c r="J587">
        <v>335771</v>
      </c>
      <c r="K587">
        <v>20220218</v>
      </c>
      <c r="L587" t="s">
        <v>1086</v>
      </c>
      <c r="M587">
        <v>0</v>
      </c>
      <c r="N587">
        <v>550.53</v>
      </c>
      <c r="O587" t="s">
        <v>22</v>
      </c>
      <c r="P587">
        <v>20230218</v>
      </c>
      <c r="Q587">
        <v>20220218</v>
      </c>
    </row>
    <row r="588" spans="1:17" x14ac:dyDescent="0.25">
      <c r="A588" t="s">
        <v>548</v>
      </c>
      <c r="B588" t="s">
        <v>429</v>
      </c>
      <c r="C588">
        <v>21</v>
      </c>
      <c r="D588">
        <v>20220218</v>
      </c>
      <c r="E588">
        <f t="shared" si="9"/>
        <v>2</v>
      </c>
      <c r="F588">
        <v>411100</v>
      </c>
      <c r="G588" t="s">
        <v>18</v>
      </c>
      <c r="H588" t="s">
        <v>233</v>
      </c>
      <c r="I588" t="s">
        <v>234</v>
      </c>
      <c r="J588">
        <v>335772</v>
      </c>
      <c r="K588">
        <v>20220218</v>
      </c>
      <c r="L588" t="s">
        <v>1087</v>
      </c>
      <c r="M588">
        <v>0</v>
      </c>
      <c r="N588">
        <v>35.619999999999997</v>
      </c>
      <c r="O588" t="s">
        <v>22</v>
      </c>
      <c r="P588">
        <v>20220327</v>
      </c>
      <c r="Q588">
        <v>20220218</v>
      </c>
    </row>
    <row r="589" spans="1:17" x14ac:dyDescent="0.25">
      <c r="A589" t="s">
        <v>548</v>
      </c>
      <c r="B589" t="s">
        <v>429</v>
      </c>
      <c r="C589">
        <v>21</v>
      </c>
      <c r="D589">
        <v>20220218</v>
      </c>
      <c r="E589">
        <f t="shared" si="9"/>
        <v>2</v>
      </c>
      <c r="F589">
        <v>411010</v>
      </c>
      <c r="G589" t="s">
        <v>87</v>
      </c>
      <c r="H589" t="s">
        <v>379</v>
      </c>
      <c r="I589" t="s">
        <v>380</v>
      </c>
      <c r="J589">
        <v>335773</v>
      </c>
      <c r="K589">
        <v>20220218</v>
      </c>
      <c r="L589" t="s">
        <v>1088</v>
      </c>
      <c r="M589">
        <v>0</v>
      </c>
      <c r="N589">
        <v>12.65</v>
      </c>
      <c r="O589" t="s">
        <v>22</v>
      </c>
      <c r="P589">
        <v>20220327</v>
      </c>
      <c r="Q589">
        <v>20220218</v>
      </c>
    </row>
    <row r="590" spans="1:17" x14ac:dyDescent="0.25">
      <c r="A590" t="s">
        <v>548</v>
      </c>
      <c r="B590" t="s">
        <v>429</v>
      </c>
      <c r="C590">
        <v>21</v>
      </c>
      <c r="D590">
        <v>20220218</v>
      </c>
      <c r="E590">
        <f t="shared" si="9"/>
        <v>2</v>
      </c>
      <c r="F590">
        <v>531105</v>
      </c>
      <c r="G590" t="s">
        <v>429</v>
      </c>
      <c r="H590" t="s">
        <v>401</v>
      </c>
      <c r="I590" t="s">
        <v>402</v>
      </c>
      <c r="J590">
        <v>335774</v>
      </c>
      <c r="K590">
        <v>20220218</v>
      </c>
      <c r="L590" t="s">
        <v>565</v>
      </c>
      <c r="M590">
        <v>598.79999999999995</v>
      </c>
      <c r="N590">
        <v>0</v>
      </c>
      <c r="O590" t="s">
        <v>19</v>
      </c>
      <c r="P590" t="s">
        <v>20</v>
      </c>
      <c r="Q590">
        <v>20220218</v>
      </c>
    </row>
    <row r="591" spans="1:17" x14ac:dyDescent="0.25">
      <c r="A591" t="s">
        <v>548</v>
      </c>
      <c r="B591" t="s">
        <v>429</v>
      </c>
      <c r="C591">
        <v>21</v>
      </c>
      <c r="D591">
        <v>20220221</v>
      </c>
      <c r="E591">
        <f t="shared" si="9"/>
        <v>2</v>
      </c>
      <c r="F591">
        <v>411100</v>
      </c>
      <c r="G591" t="s">
        <v>18</v>
      </c>
      <c r="H591" t="s">
        <v>928</v>
      </c>
      <c r="I591" t="s">
        <v>929</v>
      </c>
      <c r="J591">
        <v>122020005</v>
      </c>
      <c r="K591">
        <v>20220221</v>
      </c>
      <c r="L591" t="s">
        <v>1089</v>
      </c>
      <c r="M591">
        <v>0</v>
      </c>
      <c r="N591">
        <v>17.61</v>
      </c>
      <c r="O591" t="s">
        <v>19</v>
      </c>
      <c r="P591" t="s">
        <v>20</v>
      </c>
      <c r="Q591">
        <v>20220221</v>
      </c>
    </row>
    <row r="592" spans="1:17" x14ac:dyDescent="0.25">
      <c r="A592" t="s">
        <v>548</v>
      </c>
      <c r="B592" t="s">
        <v>429</v>
      </c>
      <c r="C592">
        <v>21</v>
      </c>
      <c r="D592">
        <v>20220221</v>
      </c>
      <c r="E592">
        <f t="shared" si="9"/>
        <v>2</v>
      </c>
      <c r="F592">
        <v>411100</v>
      </c>
      <c r="G592" t="s">
        <v>18</v>
      </c>
      <c r="H592" t="s">
        <v>237</v>
      </c>
      <c r="I592" t="s">
        <v>238</v>
      </c>
      <c r="J592">
        <v>335668</v>
      </c>
      <c r="K592">
        <v>20220221</v>
      </c>
      <c r="L592" t="s">
        <v>1090</v>
      </c>
      <c r="M592">
        <v>0</v>
      </c>
      <c r="N592">
        <v>2</v>
      </c>
      <c r="O592" t="s">
        <v>19</v>
      </c>
      <c r="P592" t="s">
        <v>20</v>
      </c>
      <c r="Q592">
        <v>20220221</v>
      </c>
    </row>
    <row r="593" spans="1:17" x14ac:dyDescent="0.25">
      <c r="A593" t="s">
        <v>548</v>
      </c>
      <c r="B593" t="s">
        <v>429</v>
      </c>
      <c r="C593">
        <v>21</v>
      </c>
      <c r="D593">
        <v>20220221</v>
      </c>
      <c r="E593">
        <f t="shared" si="9"/>
        <v>2</v>
      </c>
      <c r="F593">
        <v>411100</v>
      </c>
      <c r="G593" t="s">
        <v>18</v>
      </c>
      <c r="H593" t="s">
        <v>237</v>
      </c>
      <c r="I593" t="s">
        <v>238</v>
      </c>
      <c r="J593">
        <v>335669</v>
      </c>
      <c r="K593">
        <v>20220221</v>
      </c>
      <c r="L593" t="s">
        <v>1091</v>
      </c>
      <c r="M593">
        <v>0</v>
      </c>
      <c r="N593">
        <v>2</v>
      </c>
      <c r="O593" t="s">
        <v>19</v>
      </c>
      <c r="P593" t="s">
        <v>20</v>
      </c>
      <c r="Q593">
        <v>20220221</v>
      </c>
    </row>
    <row r="594" spans="1:17" x14ac:dyDescent="0.25">
      <c r="A594" t="s">
        <v>548</v>
      </c>
      <c r="B594" t="s">
        <v>429</v>
      </c>
      <c r="C594">
        <v>21</v>
      </c>
      <c r="D594">
        <v>20220221</v>
      </c>
      <c r="E594">
        <f t="shared" si="9"/>
        <v>2</v>
      </c>
      <c r="F594">
        <v>411100</v>
      </c>
      <c r="G594" t="s">
        <v>18</v>
      </c>
      <c r="H594" t="s">
        <v>154</v>
      </c>
      <c r="I594" t="s">
        <v>155</v>
      </c>
      <c r="J594">
        <v>335670</v>
      </c>
      <c r="K594">
        <v>20220221</v>
      </c>
      <c r="L594" t="s">
        <v>1092</v>
      </c>
      <c r="M594">
        <v>0</v>
      </c>
      <c r="N594">
        <v>2</v>
      </c>
      <c r="O594" t="s">
        <v>19</v>
      </c>
      <c r="P594" t="s">
        <v>20</v>
      </c>
      <c r="Q594">
        <v>20220221</v>
      </c>
    </row>
    <row r="595" spans="1:17" x14ac:dyDescent="0.25">
      <c r="A595" t="s">
        <v>548</v>
      </c>
      <c r="B595" t="s">
        <v>429</v>
      </c>
      <c r="C595">
        <v>21</v>
      </c>
      <c r="D595">
        <v>20220221</v>
      </c>
      <c r="E595">
        <f t="shared" si="9"/>
        <v>2</v>
      </c>
      <c r="F595">
        <v>411100</v>
      </c>
      <c r="G595" t="s">
        <v>18</v>
      </c>
      <c r="H595" t="s">
        <v>105</v>
      </c>
      <c r="I595" t="s">
        <v>106</v>
      </c>
      <c r="J595">
        <v>335671</v>
      </c>
      <c r="K595">
        <v>20220221</v>
      </c>
      <c r="L595" t="s">
        <v>1093</v>
      </c>
      <c r="M595">
        <v>0</v>
      </c>
      <c r="N595">
        <v>10</v>
      </c>
      <c r="O595" t="s">
        <v>19</v>
      </c>
      <c r="P595" t="s">
        <v>20</v>
      </c>
      <c r="Q595">
        <v>20220221</v>
      </c>
    </row>
    <row r="596" spans="1:17" x14ac:dyDescent="0.25">
      <c r="A596" t="s">
        <v>548</v>
      </c>
      <c r="B596" t="s">
        <v>429</v>
      </c>
      <c r="C596">
        <v>21</v>
      </c>
      <c r="D596">
        <v>20220221</v>
      </c>
      <c r="E596">
        <f t="shared" si="9"/>
        <v>2</v>
      </c>
      <c r="F596">
        <v>411100</v>
      </c>
      <c r="G596" t="s">
        <v>18</v>
      </c>
      <c r="H596" t="s">
        <v>81</v>
      </c>
      <c r="I596" t="s">
        <v>82</v>
      </c>
      <c r="J596">
        <v>335672</v>
      </c>
      <c r="K596">
        <v>20220221</v>
      </c>
      <c r="L596" t="s">
        <v>1094</v>
      </c>
      <c r="M596">
        <v>0</v>
      </c>
      <c r="N596">
        <v>2</v>
      </c>
      <c r="O596" t="s">
        <v>19</v>
      </c>
      <c r="P596" t="s">
        <v>20</v>
      </c>
      <c r="Q596">
        <v>20220221</v>
      </c>
    </row>
    <row r="597" spans="1:17" x14ac:dyDescent="0.25">
      <c r="A597" t="s">
        <v>548</v>
      </c>
      <c r="B597" t="s">
        <v>429</v>
      </c>
      <c r="C597">
        <v>21</v>
      </c>
      <c r="D597">
        <v>20220221</v>
      </c>
      <c r="E597">
        <f t="shared" si="9"/>
        <v>2</v>
      </c>
      <c r="F597">
        <v>411100</v>
      </c>
      <c r="G597" t="s">
        <v>18</v>
      </c>
      <c r="H597" t="s">
        <v>660</v>
      </c>
      <c r="I597" t="s">
        <v>661</v>
      </c>
      <c r="J597">
        <v>335673</v>
      </c>
      <c r="K597">
        <v>20220221</v>
      </c>
      <c r="L597" t="s">
        <v>1095</v>
      </c>
      <c r="M597">
        <v>0</v>
      </c>
      <c r="N597">
        <v>4</v>
      </c>
      <c r="O597" t="s">
        <v>19</v>
      </c>
      <c r="P597" t="s">
        <v>20</v>
      </c>
      <c r="Q597">
        <v>20220221</v>
      </c>
    </row>
    <row r="598" spans="1:17" x14ac:dyDescent="0.25">
      <c r="A598" t="s">
        <v>548</v>
      </c>
      <c r="B598" t="s">
        <v>429</v>
      </c>
      <c r="C598">
        <v>21</v>
      </c>
      <c r="D598">
        <v>20220221</v>
      </c>
      <c r="E598">
        <f t="shared" si="9"/>
        <v>2</v>
      </c>
      <c r="F598">
        <v>411100</v>
      </c>
      <c r="G598" t="s">
        <v>18</v>
      </c>
      <c r="H598" t="s">
        <v>85</v>
      </c>
      <c r="I598" t="s">
        <v>86</v>
      </c>
      <c r="J598">
        <v>335674</v>
      </c>
      <c r="K598">
        <v>20220221</v>
      </c>
      <c r="L598" t="s">
        <v>1096</v>
      </c>
      <c r="M598">
        <v>0</v>
      </c>
      <c r="N598">
        <v>2</v>
      </c>
      <c r="O598" t="s">
        <v>22</v>
      </c>
      <c r="P598">
        <v>20230218</v>
      </c>
      <c r="Q598">
        <v>20220221</v>
      </c>
    </row>
    <row r="599" spans="1:17" x14ac:dyDescent="0.25">
      <c r="A599" t="s">
        <v>548</v>
      </c>
      <c r="B599" t="s">
        <v>429</v>
      </c>
      <c r="C599">
        <v>21</v>
      </c>
      <c r="D599">
        <v>20220221</v>
      </c>
      <c r="E599">
        <f t="shared" si="9"/>
        <v>2</v>
      </c>
      <c r="F599">
        <v>411100</v>
      </c>
      <c r="G599" t="s">
        <v>18</v>
      </c>
      <c r="H599" t="s">
        <v>73</v>
      </c>
      <c r="I599" t="s">
        <v>74</v>
      </c>
      <c r="J599">
        <v>335675</v>
      </c>
      <c r="K599">
        <v>20220221</v>
      </c>
      <c r="L599" t="s">
        <v>1097</v>
      </c>
      <c r="M599">
        <v>0</v>
      </c>
      <c r="N599">
        <v>2</v>
      </c>
      <c r="O599" t="s">
        <v>19</v>
      </c>
      <c r="P599" t="s">
        <v>20</v>
      </c>
      <c r="Q599">
        <v>20220221</v>
      </c>
    </row>
    <row r="600" spans="1:17" x14ac:dyDescent="0.25">
      <c r="A600" t="s">
        <v>548</v>
      </c>
      <c r="B600" t="s">
        <v>429</v>
      </c>
      <c r="C600">
        <v>21</v>
      </c>
      <c r="D600">
        <v>20220221</v>
      </c>
      <c r="E600">
        <f t="shared" si="9"/>
        <v>2</v>
      </c>
      <c r="F600">
        <v>411100</v>
      </c>
      <c r="G600" t="s">
        <v>18</v>
      </c>
      <c r="H600" t="s">
        <v>73</v>
      </c>
      <c r="I600" t="s">
        <v>74</v>
      </c>
      <c r="J600">
        <v>335676</v>
      </c>
      <c r="K600">
        <v>20220221</v>
      </c>
      <c r="L600" t="s">
        <v>1098</v>
      </c>
      <c r="M600">
        <v>0</v>
      </c>
      <c r="N600">
        <v>2</v>
      </c>
      <c r="O600" t="s">
        <v>19</v>
      </c>
      <c r="P600" t="s">
        <v>20</v>
      </c>
      <c r="Q600">
        <v>20220221</v>
      </c>
    </row>
    <row r="601" spans="1:17" x14ac:dyDescent="0.25">
      <c r="A601" t="s">
        <v>548</v>
      </c>
      <c r="B601" t="s">
        <v>429</v>
      </c>
      <c r="C601">
        <v>21</v>
      </c>
      <c r="D601">
        <v>20220221</v>
      </c>
      <c r="E601">
        <f t="shared" si="9"/>
        <v>2</v>
      </c>
      <c r="F601">
        <v>411100</v>
      </c>
      <c r="G601" t="s">
        <v>18</v>
      </c>
      <c r="H601" t="s">
        <v>1037</v>
      </c>
      <c r="I601" t="s">
        <v>1038</v>
      </c>
      <c r="J601">
        <v>335677</v>
      </c>
      <c r="K601">
        <v>20220221</v>
      </c>
      <c r="L601" t="s">
        <v>1099</v>
      </c>
      <c r="M601">
        <v>0</v>
      </c>
      <c r="N601">
        <v>4</v>
      </c>
      <c r="O601" t="s">
        <v>22</v>
      </c>
      <c r="P601">
        <v>20230218</v>
      </c>
      <c r="Q601">
        <v>20220221</v>
      </c>
    </row>
    <row r="602" spans="1:17" x14ac:dyDescent="0.25">
      <c r="A602" t="s">
        <v>548</v>
      </c>
      <c r="B602" t="s">
        <v>429</v>
      </c>
      <c r="C602">
        <v>21</v>
      </c>
      <c r="D602">
        <v>20220221</v>
      </c>
      <c r="E602">
        <f t="shared" si="9"/>
        <v>2</v>
      </c>
      <c r="F602">
        <v>411100</v>
      </c>
      <c r="G602" t="s">
        <v>18</v>
      </c>
      <c r="H602" t="s">
        <v>1062</v>
      </c>
      <c r="I602" t="s">
        <v>1063</v>
      </c>
      <c r="J602">
        <v>335678</v>
      </c>
      <c r="K602">
        <v>20220221</v>
      </c>
      <c r="L602" t="s">
        <v>1100</v>
      </c>
      <c r="M602">
        <v>0</v>
      </c>
      <c r="N602">
        <v>4</v>
      </c>
      <c r="O602" t="s">
        <v>22</v>
      </c>
      <c r="P602">
        <v>20230218</v>
      </c>
      <c r="Q602">
        <v>20220221</v>
      </c>
    </row>
    <row r="603" spans="1:17" x14ac:dyDescent="0.25">
      <c r="A603" t="s">
        <v>548</v>
      </c>
      <c r="B603" t="s">
        <v>429</v>
      </c>
      <c r="C603">
        <v>21</v>
      </c>
      <c r="D603">
        <v>20220221</v>
      </c>
      <c r="E603">
        <f t="shared" si="9"/>
        <v>2</v>
      </c>
      <c r="F603">
        <v>411100</v>
      </c>
      <c r="G603" t="s">
        <v>18</v>
      </c>
      <c r="H603" t="s">
        <v>259</v>
      </c>
      <c r="I603" t="s">
        <v>260</v>
      </c>
      <c r="J603">
        <v>335679</v>
      </c>
      <c r="K603">
        <v>20220221</v>
      </c>
      <c r="L603" t="s">
        <v>1101</v>
      </c>
      <c r="M603">
        <v>0</v>
      </c>
      <c r="N603">
        <v>2</v>
      </c>
      <c r="O603" t="s">
        <v>23</v>
      </c>
      <c r="P603">
        <v>20230213</v>
      </c>
      <c r="Q603">
        <v>20220221</v>
      </c>
    </row>
    <row r="604" spans="1:17" x14ac:dyDescent="0.25">
      <c r="A604" t="s">
        <v>548</v>
      </c>
      <c r="B604" t="s">
        <v>429</v>
      </c>
      <c r="C604">
        <v>21</v>
      </c>
      <c r="D604">
        <v>20220221</v>
      </c>
      <c r="E604">
        <f t="shared" si="9"/>
        <v>2</v>
      </c>
      <c r="F604">
        <v>411100</v>
      </c>
      <c r="G604" t="s">
        <v>18</v>
      </c>
      <c r="H604" t="s">
        <v>1053</v>
      </c>
      <c r="I604" t="s">
        <v>1054</v>
      </c>
      <c r="J604">
        <v>335680</v>
      </c>
      <c r="K604">
        <v>20220221</v>
      </c>
      <c r="L604" t="s">
        <v>1102</v>
      </c>
      <c r="M604">
        <v>0</v>
      </c>
      <c r="N604">
        <v>4</v>
      </c>
      <c r="O604" t="s">
        <v>19</v>
      </c>
      <c r="P604" t="s">
        <v>20</v>
      </c>
      <c r="Q604">
        <v>20220221</v>
      </c>
    </row>
    <row r="605" spans="1:17" x14ac:dyDescent="0.25">
      <c r="A605" t="s">
        <v>548</v>
      </c>
      <c r="B605" t="s">
        <v>429</v>
      </c>
      <c r="C605">
        <v>21</v>
      </c>
      <c r="D605">
        <v>20220221</v>
      </c>
      <c r="E605">
        <f t="shared" si="9"/>
        <v>2</v>
      </c>
      <c r="F605">
        <v>411100</v>
      </c>
      <c r="G605" t="s">
        <v>18</v>
      </c>
      <c r="H605" t="s">
        <v>1050</v>
      </c>
      <c r="I605" t="s">
        <v>1051</v>
      </c>
      <c r="J605">
        <v>335681</v>
      </c>
      <c r="K605">
        <v>20220221</v>
      </c>
      <c r="L605" t="s">
        <v>1103</v>
      </c>
      <c r="M605">
        <v>0</v>
      </c>
      <c r="N605">
        <v>2</v>
      </c>
      <c r="O605" t="s">
        <v>22</v>
      </c>
      <c r="P605">
        <v>20230218</v>
      </c>
      <c r="Q605">
        <v>20220221</v>
      </c>
    </row>
    <row r="606" spans="1:17" x14ac:dyDescent="0.25">
      <c r="A606" t="s">
        <v>548</v>
      </c>
      <c r="B606" t="s">
        <v>429</v>
      </c>
      <c r="C606">
        <v>21</v>
      </c>
      <c r="D606">
        <v>20220221</v>
      </c>
      <c r="E606">
        <f t="shared" si="9"/>
        <v>2</v>
      </c>
      <c r="F606">
        <v>411100</v>
      </c>
      <c r="G606" t="s">
        <v>18</v>
      </c>
      <c r="H606" t="s">
        <v>217</v>
      </c>
      <c r="I606" t="s">
        <v>218</v>
      </c>
      <c r="J606">
        <v>335682</v>
      </c>
      <c r="K606">
        <v>20220221</v>
      </c>
      <c r="L606" t="s">
        <v>1104</v>
      </c>
      <c r="M606">
        <v>0</v>
      </c>
      <c r="N606">
        <v>2</v>
      </c>
      <c r="O606" t="s">
        <v>19</v>
      </c>
      <c r="P606" t="s">
        <v>20</v>
      </c>
      <c r="Q606">
        <v>20220221</v>
      </c>
    </row>
    <row r="607" spans="1:17" x14ac:dyDescent="0.25">
      <c r="A607" t="s">
        <v>548</v>
      </c>
      <c r="B607" t="s">
        <v>429</v>
      </c>
      <c r="C607">
        <v>21</v>
      </c>
      <c r="D607">
        <v>20220221</v>
      </c>
      <c r="E607">
        <f t="shared" si="9"/>
        <v>2</v>
      </c>
      <c r="F607">
        <v>411100</v>
      </c>
      <c r="G607" t="s">
        <v>18</v>
      </c>
      <c r="H607" t="s">
        <v>277</v>
      </c>
      <c r="I607" t="s">
        <v>278</v>
      </c>
      <c r="J607">
        <v>335683</v>
      </c>
      <c r="K607">
        <v>20220221</v>
      </c>
      <c r="L607" t="s">
        <v>1105</v>
      </c>
      <c r="M607">
        <v>0</v>
      </c>
      <c r="N607">
        <v>6.5</v>
      </c>
      <c r="O607" t="s">
        <v>19</v>
      </c>
      <c r="P607" t="s">
        <v>20</v>
      </c>
      <c r="Q607">
        <v>20220221</v>
      </c>
    </row>
    <row r="608" spans="1:17" x14ac:dyDescent="0.25">
      <c r="A608" t="s">
        <v>548</v>
      </c>
      <c r="B608" t="s">
        <v>429</v>
      </c>
      <c r="C608">
        <v>21</v>
      </c>
      <c r="D608">
        <v>20220221</v>
      </c>
      <c r="E608">
        <f t="shared" si="9"/>
        <v>2</v>
      </c>
      <c r="F608">
        <v>411100</v>
      </c>
      <c r="G608" t="s">
        <v>18</v>
      </c>
      <c r="H608" t="s">
        <v>1043</v>
      </c>
      <c r="I608" t="s">
        <v>1044</v>
      </c>
      <c r="J608">
        <v>335684</v>
      </c>
      <c r="K608">
        <v>20220221</v>
      </c>
      <c r="L608" t="s">
        <v>1106</v>
      </c>
      <c r="M608">
        <v>0</v>
      </c>
      <c r="N608">
        <v>6.5</v>
      </c>
      <c r="O608" t="s">
        <v>23</v>
      </c>
      <c r="P608">
        <v>20230329</v>
      </c>
      <c r="Q608">
        <v>20220221</v>
      </c>
    </row>
    <row r="609" spans="1:17" x14ac:dyDescent="0.25">
      <c r="A609" t="s">
        <v>548</v>
      </c>
      <c r="B609" t="s">
        <v>429</v>
      </c>
      <c r="C609">
        <v>21</v>
      </c>
      <c r="D609">
        <v>20220221</v>
      </c>
      <c r="E609">
        <f t="shared" si="9"/>
        <v>2</v>
      </c>
      <c r="F609">
        <v>411100</v>
      </c>
      <c r="G609" t="s">
        <v>18</v>
      </c>
      <c r="H609" t="s">
        <v>1037</v>
      </c>
      <c r="I609" t="s">
        <v>1038</v>
      </c>
      <c r="J609">
        <v>335685</v>
      </c>
      <c r="K609">
        <v>20220221</v>
      </c>
      <c r="L609" t="s">
        <v>1107</v>
      </c>
      <c r="M609">
        <v>0</v>
      </c>
      <c r="N609">
        <v>6.5</v>
      </c>
      <c r="O609" t="s">
        <v>22</v>
      </c>
      <c r="P609">
        <v>20230218</v>
      </c>
      <c r="Q609">
        <v>20220221</v>
      </c>
    </row>
    <row r="610" spans="1:17" x14ac:dyDescent="0.25">
      <c r="A610" t="s">
        <v>548</v>
      </c>
      <c r="B610" t="s">
        <v>429</v>
      </c>
      <c r="C610">
        <v>21</v>
      </c>
      <c r="D610">
        <v>20220221</v>
      </c>
      <c r="E610">
        <f t="shared" si="9"/>
        <v>2</v>
      </c>
      <c r="F610">
        <v>411100</v>
      </c>
      <c r="G610" t="s">
        <v>18</v>
      </c>
      <c r="H610" t="s">
        <v>344</v>
      </c>
      <c r="I610" t="s">
        <v>345</v>
      </c>
      <c r="J610">
        <v>335686</v>
      </c>
      <c r="K610">
        <v>20220221</v>
      </c>
      <c r="L610" t="s">
        <v>1108</v>
      </c>
      <c r="M610">
        <v>0</v>
      </c>
      <c r="N610">
        <v>1.5</v>
      </c>
      <c r="O610" t="s">
        <v>19</v>
      </c>
      <c r="P610" t="s">
        <v>20</v>
      </c>
      <c r="Q610">
        <v>20220221</v>
      </c>
    </row>
    <row r="611" spans="1:17" x14ac:dyDescent="0.25">
      <c r="A611" t="s">
        <v>548</v>
      </c>
      <c r="B611" t="s">
        <v>429</v>
      </c>
      <c r="C611">
        <v>21</v>
      </c>
      <c r="D611">
        <v>20220221</v>
      </c>
      <c r="E611">
        <f t="shared" si="9"/>
        <v>2</v>
      </c>
      <c r="F611">
        <v>411100</v>
      </c>
      <c r="G611" t="s">
        <v>18</v>
      </c>
      <c r="H611" t="s">
        <v>73</v>
      </c>
      <c r="I611" t="s">
        <v>74</v>
      </c>
      <c r="J611">
        <v>335687</v>
      </c>
      <c r="K611">
        <v>20220221</v>
      </c>
      <c r="L611" t="s">
        <v>1109</v>
      </c>
      <c r="M611">
        <v>0</v>
      </c>
      <c r="N611">
        <v>6.5</v>
      </c>
      <c r="O611" t="s">
        <v>19</v>
      </c>
      <c r="P611" t="s">
        <v>20</v>
      </c>
      <c r="Q611">
        <v>20220221</v>
      </c>
    </row>
    <row r="612" spans="1:17" x14ac:dyDescent="0.25">
      <c r="A612" t="s">
        <v>548</v>
      </c>
      <c r="B612" t="s">
        <v>429</v>
      </c>
      <c r="C612">
        <v>21</v>
      </c>
      <c r="D612">
        <v>20220221</v>
      </c>
      <c r="E612">
        <f t="shared" si="9"/>
        <v>2</v>
      </c>
      <c r="F612">
        <v>411100</v>
      </c>
      <c r="G612" t="s">
        <v>18</v>
      </c>
      <c r="H612" t="s">
        <v>73</v>
      </c>
      <c r="I612" t="s">
        <v>74</v>
      </c>
      <c r="J612">
        <v>335688</v>
      </c>
      <c r="K612">
        <v>20220221</v>
      </c>
      <c r="L612" t="s">
        <v>1110</v>
      </c>
      <c r="M612">
        <v>0</v>
      </c>
      <c r="N612">
        <v>6.5</v>
      </c>
      <c r="O612" t="s">
        <v>19</v>
      </c>
      <c r="P612" t="s">
        <v>20</v>
      </c>
      <c r="Q612">
        <v>20220221</v>
      </c>
    </row>
    <row r="613" spans="1:17" x14ac:dyDescent="0.25">
      <c r="A613" t="s">
        <v>548</v>
      </c>
      <c r="B613" t="s">
        <v>429</v>
      </c>
      <c r="C613">
        <v>21</v>
      </c>
      <c r="D613">
        <v>20220221</v>
      </c>
      <c r="E613">
        <f t="shared" si="9"/>
        <v>2</v>
      </c>
      <c r="F613">
        <v>411100</v>
      </c>
      <c r="G613" t="s">
        <v>18</v>
      </c>
      <c r="H613" t="s">
        <v>237</v>
      </c>
      <c r="I613" t="s">
        <v>238</v>
      </c>
      <c r="J613">
        <v>335689</v>
      </c>
      <c r="K613">
        <v>20220221</v>
      </c>
      <c r="L613" t="s">
        <v>1111</v>
      </c>
      <c r="M613">
        <v>0</v>
      </c>
      <c r="N613">
        <v>6.5</v>
      </c>
      <c r="O613" t="s">
        <v>19</v>
      </c>
      <c r="P613" t="s">
        <v>20</v>
      </c>
      <c r="Q613">
        <v>20220221</v>
      </c>
    </row>
    <row r="614" spans="1:17" x14ac:dyDescent="0.25">
      <c r="A614" t="s">
        <v>548</v>
      </c>
      <c r="B614" t="s">
        <v>429</v>
      </c>
      <c r="C614">
        <v>21</v>
      </c>
      <c r="D614">
        <v>20220221</v>
      </c>
      <c r="E614">
        <f t="shared" si="9"/>
        <v>2</v>
      </c>
      <c r="F614">
        <v>411100</v>
      </c>
      <c r="G614" t="s">
        <v>18</v>
      </c>
      <c r="H614" t="s">
        <v>237</v>
      </c>
      <c r="I614" t="s">
        <v>238</v>
      </c>
      <c r="J614">
        <v>335690</v>
      </c>
      <c r="K614">
        <v>20220221</v>
      </c>
      <c r="L614" t="s">
        <v>1112</v>
      </c>
      <c r="M614">
        <v>0</v>
      </c>
      <c r="N614">
        <v>1.5</v>
      </c>
      <c r="O614" t="s">
        <v>19</v>
      </c>
      <c r="P614" t="s">
        <v>20</v>
      </c>
      <c r="Q614">
        <v>20220221</v>
      </c>
    </row>
    <row r="615" spans="1:17" x14ac:dyDescent="0.25">
      <c r="A615" t="s">
        <v>548</v>
      </c>
      <c r="B615" t="s">
        <v>429</v>
      </c>
      <c r="C615">
        <v>21</v>
      </c>
      <c r="D615">
        <v>20220221</v>
      </c>
      <c r="E615">
        <f t="shared" si="9"/>
        <v>2</v>
      </c>
      <c r="F615">
        <v>411100</v>
      </c>
      <c r="G615" t="s">
        <v>18</v>
      </c>
      <c r="H615" t="s">
        <v>154</v>
      </c>
      <c r="I615" t="s">
        <v>155</v>
      </c>
      <c r="J615">
        <v>335691</v>
      </c>
      <c r="K615">
        <v>20220221</v>
      </c>
      <c r="L615" t="s">
        <v>1113</v>
      </c>
      <c r="M615">
        <v>0</v>
      </c>
      <c r="N615">
        <v>6.5</v>
      </c>
      <c r="O615" t="s">
        <v>19</v>
      </c>
      <c r="P615" t="s">
        <v>20</v>
      </c>
      <c r="Q615">
        <v>20220221</v>
      </c>
    </row>
    <row r="616" spans="1:17" x14ac:dyDescent="0.25">
      <c r="A616" t="s">
        <v>548</v>
      </c>
      <c r="B616" t="s">
        <v>429</v>
      </c>
      <c r="C616">
        <v>21</v>
      </c>
      <c r="D616">
        <v>20220221</v>
      </c>
      <c r="E616">
        <f t="shared" si="9"/>
        <v>2</v>
      </c>
      <c r="F616">
        <v>411100</v>
      </c>
      <c r="G616" t="s">
        <v>18</v>
      </c>
      <c r="H616" t="s">
        <v>1033</v>
      </c>
      <c r="I616" t="s">
        <v>1034</v>
      </c>
      <c r="J616">
        <v>335692</v>
      </c>
      <c r="K616">
        <v>20220221</v>
      </c>
      <c r="L616" t="s">
        <v>1114</v>
      </c>
      <c r="M616">
        <v>0</v>
      </c>
      <c r="N616">
        <v>5</v>
      </c>
      <c r="O616" t="s">
        <v>19</v>
      </c>
      <c r="P616" t="s">
        <v>20</v>
      </c>
      <c r="Q616">
        <v>20220221</v>
      </c>
    </row>
    <row r="617" spans="1:17" x14ac:dyDescent="0.25">
      <c r="A617" t="s">
        <v>548</v>
      </c>
      <c r="B617" t="s">
        <v>429</v>
      </c>
      <c r="C617">
        <v>21</v>
      </c>
      <c r="D617">
        <v>20220221</v>
      </c>
      <c r="E617">
        <f t="shared" si="9"/>
        <v>2</v>
      </c>
      <c r="F617">
        <v>411100</v>
      </c>
      <c r="G617" t="s">
        <v>18</v>
      </c>
      <c r="H617" t="s">
        <v>344</v>
      </c>
      <c r="I617" t="s">
        <v>345</v>
      </c>
      <c r="J617">
        <v>335693</v>
      </c>
      <c r="K617">
        <v>20220221</v>
      </c>
      <c r="L617" t="s">
        <v>1115</v>
      </c>
      <c r="M617">
        <v>0</v>
      </c>
      <c r="N617">
        <v>5</v>
      </c>
      <c r="O617" t="s">
        <v>19</v>
      </c>
      <c r="P617" t="s">
        <v>20</v>
      </c>
      <c r="Q617">
        <v>20220221</v>
      </c>
    </row>
    <row r="618" spans="1:17" x14ac:dyDescent="0.25">
      <c r="A618" t="s">
        <v>548</v>
      </c>
      <c r="B618" t="s">
        <v>429</v>
      </c>
      <c r="C618">
        <v>21</v>
      </c>
      <c r="D618">
        <v>20220221</v>
      </c>
      <c r="E618">
        <f t="shared" si="9"/>
        <v>2</v>
      </c>
      <c r="F618">
        <v>411100</v>
      </c>
      <c r="G618" t="s">
        <v>18</v>
      </c>
      <c r="H618" t="s">
        <v>1062</v>
      </c>
      <c r="I618" t="s">
        <v>1063</v>
      </c>
      <c r="J618">
        <v>335694</v>
      </c>
      <c r="K618">
        <v>20220221</v>
      </c>
      <c r="L618" t="s">
        <v>1116</v>
      </c>
      <c r="M618">
        <v>0</v>
      </c>
      <c r="N618">
        <v>5</v>
      </c>
      <c r="O618" t="s">
        <v>22</v>
      </c>
      <c r="P618">
        <v>20230218</v>
      </c>
      <c r="Q618">
        <v>20220221</v>
      </c>
    </row>
    <row r="619" spans="1:17" x14ac:dyDescent="0.25">
      <c r="A619" t="s">
        <v>548</v>
      </c>
      <c r="B619" t="s">
        <v>429</v>
      </c>
      <c r="C619">
        <v>21</v>
      </c>
      <c r="D619">
        <v>20220221</v>
      </c>
      <c r="E619">
        <f t="shared" si="9"/>
        <v>2</v>
      </c>
      <c r="F619">
        <v>411100</v>
      </c>
      <c r="G619" t="s">
        <v>18</v>
      </c>
      <c r="H619" t="s">
        <v>77</v>
      </c>
      <c r="I619" t="s">
        <v>78</v>
      </c>
      <c r="J619">
        <v>335695</v>
      </c>
      <c r="K619">
        <v>20220221</v>
      </c>
      <c r="L619" t="s">
        <v>1117</v>
      </c>
      <c r="M619">
        <v>0</v>
      </c>
      <c r="N619">
        <v>15</v>
      </c>
      <c r="O619" t="s">
        <v>19</v>
      </c>
      <c r="P619" t="s">
        <v>20</v>
      </c>
      <c r="Q619">
        <v>20220221</v>
      </c>
    </row>
    <row r="620" spans="1:17" x14ac:dyDescent="0.25">
      <c r="A620" t="s">
        <v>548</v>
      </c>
      <c r="B620" t="s">
        <v>429</v>
      </c>
      <c r="C620">
        <v>21</v>
      </c>
      <c r="D620">
        <v>20220221</v>
      </c>
      <c r="E620">
        <f t="shared" si="9"/>
        <v>2</v>
      </c>
      <c r="F620">
        <v>411100</v>
      </c>
      <c r="G620" t="s">
        <v>18</v>
      </c>
      <c r="H620" t="s">
        <v>81</v>
      </c>
      <c r="I620" t="s">
        <v>82</v>
      </c>
      <c r="J620">
        <v>335696</v>
      </c>
      <c r="K620">
        <v>20220221</v>
      </c>
      <c r="L620" t="s">
        <v>1118</v>
      </c>
      <c r="M620">
        <v>0</v>
      </c>
      <c r="N620">
        <v>5</v>
      </c>
      <c r="O620" t="s">
        <v>19</v>
      </c>
      <c r="P620" t="s">
        <v>20</v>
      </c>
      <c r="Q620">
        <v>20220221</v>
      </c>
    </row>
    <row r="621" spans="1:17" x14ac:dyDescent="0.25">
      <c r="A621" t="s">
        <v>548</v>
      </c>
      <c r="B621" t="s">
        <v>429</v>
      </c>
      <c r="C621">
        <v>21</v>
      </c>
      <c r="D621">
        <v>20220221</v>
      </c>
      <c r="E621">
        <f t="shared" si="9"/>
        <v>2</v>
      </c>
      <c r="F621">
        <v>411100</v>
      </c>
      <c r="G621" t="s">
        <v>18</v>
      </c>
      <c r="H621" t="s">
        <v>105</v>
      </c>
      <c r="I621" t="s">
        <v>106</v>
      </c>
      <c r="J621">
        <v>335697</v>
      </c>
      <c r="K621">
        <v>20220221</v>
      </c>
      <c r="L621" t="s">
        <v>1119</v>
      </c>
      <c r="M621">
        <v>0</v>
      </c>
      <c r="N621">
        <v>15</v>
      </c>
      <c r="O621" t="s">
        <v>19</v>
      </c>
      <c r="P621" t="s">
        <v>20</v>
      </c>
      <c r="Q621">
        <v>20220221</v>
      </c>
    </row>
    <row r="622" spans="1:17" x14ac:dyDescent="0.25">
      <c r="A622" t="s">
        <v>548</v>
      </c>
      <c r="B622" t="s">
        <v>429</v>
      </c>
      <c r="C622">
        <v>21</v>
      </c>
      <c r="D622">
        <v>20220221</v>
      </c>
      <c r="E622">
        <f t="shared" si="9"/>
        <v>2</v>
      </c>
      <c r="F622">
        <v>411100</v>
      </c>
      <c r="G622" t="s">
        <v>18</v>
      </c>
      <c r="H622" t="s">
        <v>85</v>
      </c>
      <c r="I622" t="s">
        <v>86</v>
      </c>
      <c r="J622">
        <v>335698</v>
      </c>
      <c r="K622">
        <v>20220221</v>
      </c>
      <c r="L622" t="s">
        <v>1120</v>
      </c>
      <c r="M622">
        <v>0</v>
      </c>
      <c r="N622">
        <v>5</v>
      </c>
      <c r="O622" t="s">
        <v>19</v>
      </c>
      <c r="P622" t="s">
        <v>20</v>
      </c>
      <c r="Q622">
        <v>20220221</v>
      </c>
    </row>
    <row r="623" spans="1:17" x14ac:dyDescent="0.25">
      <c r="A623" t="s">
        <v>548</v>
      </c>
      <c r="B623" t="s">
        <v>429</v>
      </c>
      <c r="C623">
        <v>21</v>
      </c>
      <c r="D623">
        <v>20220221</v>
      </c>
      <c r="E623">
        <f t="shared" si="9"/>
        <v>2</v>
      </c>
      <c r="F623">
        <v>411100</v>
      </c>
      <c r="G623" t="s">
        <v>18</v>
      </c>
      <c r="H623" t="s">
        <v>660</v>
      </c>
      <c r="I623" t="s">
        <v>661</v>
      </c>
      <c r="J623">
        <v>335699</v>
      </c>
      <c r="K623">
        <v>20220221</v>
      </c>
      <c r="L623" t="s">
        <v>1121</v>
      </c>
      <c r="M623">
        <v>0</v>
      </c>
      <c r="N623">
        <v>5</v>
      </c>
      <c r="O623" t="s">
        <v>19</v>
      </c>
      <c r="P623" t="s">
        <v>20</v>
      </c>
      <c r="Q623">
        <v>20220221</v>
      </c>
    </row>
    <row r="624" spans="1:17" x14ac:dyDescent="0.25">
      <c r="A624" t="s">
        <v>548</v>
      </c>
      <c r="B624" t="s">
        <v>429</v>
      </c>
      <c r="C624">
        <v>21</v>
      </c>
      <c r="D624">
        <v>20220221</v>
      </c>
      <c r="E624">
        <f t="shared" si="9"/>
        <v>2</v>
      </c>
      <c r="F624">
        <v>411100</v>
      </c>
      <c r="G624" t="s">
        <v>18</v>
      </c>
      <c r="H624" t="s">
        <v>657</v>
      </c>
      <c r="I624" t="s">
        <v>658</v>
      </c>
      <c r="J624">
        <v>335700</v>
      </c>
      <c r="K624">
        <v>20220221</v>
      </c>
      <c r="L624" t="s">
        <v>1122</v>
      </c>
      <c r="M624">
        <v>0</v>
      </c>
      <c r="N624">
        <v>5</v>
      </c>
      <c r="O624" t="s">
        <v>19</v>
      </c>
      <c r="P624" t="s">
        <v>20</v>
      </c>
      <c r="Q624">
        <v>20220221</v>
      </c>
    </row>
    <row r="625" spans="1:17" x14ac:dyDescent="0.25">
      <c r="A625" t="s">
        <v>548</v>
      </c>
      <c r="B625" t="s">
        <v>429</v>
      </c>
      <c r="C625">
        <v>21</v>
      </c>
      <c r="D625">
        <v>20220221</v>
      </c>
      <c r="E625">
        <f t="shared" si="9"/>
        <v>2</v>
      </c>
      <c r="F625">
        <v>411100</v>
      </c>
      <c r="G625" t="s">
        <v>18</v>
      </c>
      <c r="H625" t="s">
        <v>1050</v>
      </c>
      <c r="I625" t="s">
        <v>1051</v>
      </c>
      <c r="J625">
        <v>335701</v>
      </c>
      <c r="K625">
        <v>20220221</v>
      </c>
      <c r="L625" t="s">
        <v>1123</v>
      </c>
      <c r="M625">
        <v>0</v>
      </c>
      <c r="N625">
        <v>5</v>
      </c>
      <c r="O625" t="s">
        <v>22</v>
      </c>
      <c r="P625">
        <v>20230218</v>
      </c>
      <c r="Q625">
        <v>20220221</v>
      </c>
    </row>
    <row r="626" spans="1:17" x14ac:dyDescent="0.25">
      <c r="A626" t="s">
        <v>548</v>
      </c>
      <c r="B626" t="s">
        <v>429</v>
      </c>
      <c r="C626">
        <v>21</v>
      </c>
      <c r="D626">
        <v>20220221</v>
      </c>
      <c r="E626">
        <f t="shared" si="9"/>
        <v>2</v>
      </c>
      <c r="F626">
        <v>411100</v>
      </c>
      <c r="G626" t="s">
        <v>18</v>
      </c>
      <c r="H626" t="s">
        <v>1053</v>
      </c>
      <c r="I626" t="s">
        <v>1054</v>
      </c>
      <c r="J626">
        <v>335702</v>
      </c>
      <c r="K626">
        <v>20220221</v>
      </c>
      <c r="L626" t="s">
        <v>1124</v>
      </c>
      <c r="M626">
        <v>0</v>
      </c>
      <c r="N626">
        <v>5</v>
      </c>
      <c r="O626" t="s">
        <v>19</v>
      </c>
      <c r="P626" t="s">
        <v>20</v>
      </c>
      <c r="Q626">
        <v>20220221</v>
      </c>
    </row>
    <row r="627" spans="1:17" x14ac:dyDescent="0.25">
      <c r="A627" t="s">
        <v>548</v>
      </c>
      <c r="B627" t="s">
        <v>429</v>
      </c>
      <c r="C627">
        <v>21</v>
      </c>
      <c r="D627">
        <v>20220221</v>
      </c>
      <c r="E627">
        <f t="shared" si="9"/>
        <v>2</v>
      </c>
      <c r="F627">
        <v>411100</v>
      </c>
      <c r="G627" t="s">
        <v>18</v>
      </c>
      <c r="H627" t="s">
        <v>1053</v>
      </c>
      <c r="I627" t="s">
        <v>1054</v>
      </c>
      <c r="J627">
        <v>335703</v>
      </c>
      <c r="K627">
        <v>20220221</v>
      </c>
      <c r="L627" t="s">
        <v>1125</v>
      </c>
      <c r="M627">
        <v>0</v>
      </c>
      <c r="N627">
        <v>5</v>
      </c>
      <c r="O627" t="s">
        <v>19</v>
      </c>
      <c r="P627" t="s">
        <v>20</v>
      </c>
      <c r="Q627">
        <v>20220221</v>
      </c>
    </row>
    <row r="628" spans="1:17" x14ac:dyDescent="0.25">
      <c r="A628" t="s">
        <v>548</v>
      </c>
      <c r="B628" t="s">
        <v>429</v>
      </c>
      <c r="C628">
        <v>21</v>
      </c>
      <c r="D628">
        <v>20220221</v>
      </c>
      <c r="E628">
        <f t="shared" si="9"/>
        <v>2</v>
      </c>
      <c r="F628">
        <v>411100</v>
      </c>
      <c r="G628" t="s">
        <v>18</v>
      </c>
      <c r="H628" t="s">
        <v>154</v>
      </c>
      <c r="I628" t="s">
        <v>155</v>
      </c>
      <c r="J628">
        <v>335704</v>
      </c>
      <c r="K628">
        <v>20220221</v>
      </c>
      <c r="L628" t="s">
        <v>1126</v>
      </c>
      <c r="M628">
        <v>0</v>
      </c>
      <c r="N628">
        <v>2</v>
      </c>
      <c r="O628" t="s">
        <v>19</v>
      </c>
      <c r="P628" t="s">
        <v>20</v>
      </c>
      <c r="Q628">
        <v>20220221</v>
      </c>
    </row>
    <row r="629" spans="1:17" x14ac:dyDescent="0.25">
      <c r="A629" t="s">
        <v>548</v>
      </c>
      <c r="B629" t="s">
        <v>429</v>
      </c>
      <c r="C629">
        <v>21</v>
      </c>
      <c r="D629">
        <v>20220221</v>
      </c>
      <c r="E629">
        <f t="shared" si="9"/>
        <v>2</v>
      </c>
      <c r="F629">
        <v>411100</v>
      </c>
      <c r="G629" t="s">
        <v>18</v>
      </c>
      <c r="H629" t="s">
        <v>1037</v>
      </c>
      <c r="I629" t="s">
        <v>1038</v>
      </c>
      <c r="J629">
        <v>335705</v>
      </c>
      <c r="K629">
        <v>20220221</v>
      </c>
      <c r="L629" t="s">
        <v>1127</v>
      </c>
      <c r="M629">
        <v>0</v>
      </c>
      <c r="N629">
        <v>3.5</v>
      </c>
      <c r="O629" t="s">
        <v>22</v>
      </c>
      <c r="P629">
        <v>20230218</v>
      </c>
      <c r="Q629">
        <v>20220221</v>
      </c>
    </row>
    <row r="630" spans="1:17" x14ac:dyDescent="0.25">
      <c r="A630" t="s">
        <v>548</v>
      </c>
      <c r="B630" t="s">
        <v>429</v>
      </c>
      <c r="C630">
        <v>21</v>
      </c>
      <c r="D630">
        <v>20220221</v>
      </c>
      <c r="E630">
        <f t="shared" si="9"/>
        <v>2</v>
      </c>
      <c r="F630">
        <v>411100</v>
      </c>
      <c r="G630" t="s">
        <v>18</v>
      </c>
      <c r="H630" t="s">
        <v>344</v>
      </c>
      <c r="I630" t="s">
        <v>345</v>
      </c>
      <c r="J630">
        <v>335706</v>
      </c>
      <c r="K630">
        <v>20220221</v>
      </c>
      <c r="L630" t="s">
        <v>1128</v>
      </c>
      <c r="M630">
        <v>0</v>
      </c>
      <c r="N630">
        <v>3.5</v>
      </c>
      <c r="O630" t="s">
        <v>22</v>
      </c>
      <c r="P630">
        <v>20230218</v>
      </c>
      <c r="Q630">
        <v>20220221</v>
      </c>
    </row>
    <row r="631" spans="1:17" x14ac:dyDescent="0.25">
      <c r="A631" t="s">
        <v>548</v>
      </c>
      <c r="B631" t="s">
        <v>429</v>
      </c>
      <c r="C631">
        <v>21</v>
      </c>
      <c r="D631">
        <v>20220221</v>
      </c>
      <c r="E631">
        <f t="shared" si="9"/>
        <v>2</v>
      </c>
      <c r="F631">
        <v>411100</v>
      </c>
      <c r="G631" t="s">
        <v>18</v>
      </c>
      <c r="H631" t="s">
        <v>73</v>
      </c>
      <c r="I631" t="s">
        <v>74</v>
      </c>
      <c r="J631">
        <v>335707</v>
      </c>
      <c r="K631">
        <v>20220221</v>
      </c>
      <c r="L631" t="s">
        <v>1129</v>
      </c>
      <c r="M631">
        <v>0</v>
      </c>
      <c r="N631">
        <v>7</v>
      </c>
      <c r="O631" t="s">
        <v>19</v>
      </c>
      <c r="P631" t="s">
        <v>20</v>
      </c>
      <c r="Q631">
        <v>20220221</v>
      </c>
    </row>
    <row r="632" spans="1:17" x14ac:dyDescent="0.25">
      <c r="A632" t="s">
        <v>548</v>
      </c>
      <c r="B632" t="s">
        <v>429</v>
      </c>
      <c r="C632">
        <v>21</v>
      </c>
      <c r="D632">
        <v>20220221</v>
      </c>
      <c r="E632">
        <f t="shared" si="9"/>
        <v>2</v>
      </c>
      <c r="F632">
        <v>411100</v>
      </c>
      <c r="G632" t="s">
        <v>18</v>
      </c>
      <c r="H632" t="s">
        <v>263</v>
      </c>
      <c r="I632" t="s">
        <v>264</v>
      </c>
      <c r="J632">
        <v>335708</v>
      </c>
      <c r="K632">
        <v>20220221</v>
      </c>
      <c r="L632" t="s">
        <v>1130</v>
      </c>
      <c r="M632">
        <v>0</v>
      </c>
      <c r="N632">
        <v>1.5</v>
      </c>
      <c r="O632" t="s">
        <v>19</v>
      </c>
      <c r="P632" t="s">
        <v>20</v>
      </c>
      <c r="Q632">
        <v>20220221</v>
      </c>
    </row>
    <row r="633" spans="1:17" x14ac:dyDescent="0.25">
      <c r="A633" t="s">
        <v>548</v>
      </c>
      <c r="B633" t="s">
        <v>429</v>
      </c>
      <c r="C633">
        <v>21</v>
      </c>
      <c r="D633">
        <v>20220221</v>
      </c>
      <c r="E633">
        <f t="shared" si="9"/>
        <v>2</v>
      </c>
      <c r="F633">
        <v>411100</v>
      </c>
      <c r="G633" t="s">
        <v>18</v>
      </c>
      <c r="H633" t="s">
        <v>1033</v>
      </c>
      <c r="I633" t="s">
        <v>1034</v>
      </c>
      <c r="J633">
        <v>335709</v>
      </c>
      <c r="K633">
        <v>20220221</v>
      </c>
      <c r="L633" t="s">
        <v>1131</v>
      </c>
      <c r="M633">
        <v>0</v>
      </c>
      <c r="N633">
        <v>2</v>
      </c>
      <c r="O633" t="s">
        <v>22</v>
      </c>
      <c r="P633">
        <v>20230218</v>
      </c>
      <c r="Q633">
        <v>20220221</v>
      </c>
    </row>
    <row r="634" spans="1:17" x14ac:dyDescent="0.25">
      <c r="A634" t="s">
        <v>548</v>
      </c>
      <c r="B634" t="s">
        <v>429</v>
      </c>
      <c r="C634">
        <v>21</v>
      </c>
      <c r="D634">
        <v>20220221</v>
      </c>
      <c r="E634">
        <f t="shared" si="9"/>
        <v>2</v>
      </c>
      <c r="F634">
        <v>411100</v>
      </c>
      <c r="G634" t="s">
        <v>18</v>
      </c>
      <c r="H634" t="s">
        <v>77</v>
      </c>
      <c r="I634" t="s">
        <v>78</v>
      </c>
      <c r="J634">
        <v>335710</v>
      </c>
      <c r="K634">
        <v>20220221</v>
      </c>
      <c r="L634" t="s">
        <v>1132</v>
      </c>
      <c r="M634">
        <v>0</v>
      </c>
      <c r="N634">
        <v>6</v>
      </c>
      <c r="O634" t="s">
        <v>19</v>
      </c>
      <c r="P634" t="s">
        <v>20</v>
      </c>
      <c r="Q634">
        <v>20220221</v>
      </c>
    </row>
    <row r="635" spans="1:17" x14ac:dyDescent="0.25">
      <c r="A635" t="s">
        <v>548</v>
      </c>
      <c r="B635" t="s">
        <v>429</v>
      </c>
      <c r="C635">
        <v>21</v>
      </c>
      <c r="D635">
        <v>20220221</v>
      </c>
      <c r="E635">
        <f t="shared" si="9"/>
        <v>2</v>
      </c>
      <c r="F635">
        <v>411100</v>
      </c>
      <c r="G635" t="s">
        <v>18</v>
      </c>
      <c r="H635" t="s">
        <v>1053</v>
      </c>
      <c r="I635" t="s">
        <v>1054</v>
      </c>
      <c r="J635">
        <v>335711</v>
      </c>
      <c r="K635">
        <v>20220221</v>
      </c>
      <c r="L635" t="s">
        <v>1133</v>
      </c>
      <c r="M635">
        <v>0</v>
      </c>
      <c r="N635">
        <v>4</v>
      </c>
      <c r="O635" t="s">
        <v>19</v>
      </c>
      <c r="P635" t="s">
        <v>20</v>
      </c>
      <c r="Q635">
        <v>20220221</v>
      </c>
    </row>
    <row r="636" spans="1:17" x14ac:dyDescent="0.25">
      <c r="A636" t="s">
        <v>548</v>
      </c>
      <c r="B636" t="s">
        <v>429</v>
      </c>
      <c r="C636">
        <v>21</v>
      </c>
      <c r="D636">
        <v>20220221</v>
      </c>
      <c r="E636">
        <f t="shared" si="9"/>
        <v>2</v>
      </c>
      <c r="F636">
        <v>411100</v>
      </c>
      <c r="G636" t="s">
        <v>18</v>
      </c>
      <c r="H636" t="s">
        <v>1050</v>
      </c>
      <c r="I636" t="s">
        <v>1051</v>
      </c>
      <c r="J636">
        <v>335712</v>
      </c>
      <c r="K636">
        <v>20220221</v>
      </c>
      <c r="L636" t="s">
        <v>1134</v>
      </c>
      <c r="M636">
        <v>0</v>
      </c>
      <c r="N636">
        <v>2</v>
      </c>
      <c r="O636" t="s">
        <v>22</v>
      </c>
      <c r="P636">
        <v>20230218</v>
      </c>
      <c r="Q636">
        <v>20220221</v>
      </c>
    </row>
    <row r="637" spans="1:17" x14ac:dyDescent="0.25">
      <c r="A637" t="s">
        <v>548</v>
      </c>
      <c r="B637" t="s">
        <v>429</v>
      </c>
      <c r="C637">
        <v>21</v>
      </c>
      <c r="D637">
        <v>20220221</v>
      </c>
      <c r="E637">
        <f t="shared" si="9"/>
        <v>2</v>
      </c>
      <c r="F637">
        <v>411100</v>
      </c>
      <c r="G637" t="s">
        <v>18</v>
      </c>
      <c r="H637" t="s">
        <v>237</v>
      </c>
      <c r="I637" t="s">
        <v>238</v>
      </c>
      <c r="J637">
        <v>335713</v>
      </c>
      <c r="K637">
        <v>20220221</v>
      </c>
      <c r="L637" t="s">
        <v>1135</v>
      </c>
      <c r="M637">
        <v>0</v>
      </c>
      <c r="N637">
        <v>2</v>
      </c>
      <c r="O637" t="s">
        <v>19</v>
      </c>
      <c r="P637" t="s">
        <v>20</v>
      </c>
      <c r="Q637">
        <v>20220221</v>
      </c>
    </row>
    <row r="638" spans="1:17" x14ac:dyDescent="0.25">
      <c r="A638" t="s">
        <v>548</v>
      </c>
      <c r="B638" t="s">
        <v>429</v>
      </c>
      <c r="C638">
        <v>21</v>
      </c>
      <c r="D638">
        <v>20220221</v>
      </c>
      <c r="E638">
        <f t="shared" si="9"/>
        <v>2</v>
      </c>
      <c r="F638">
        <v>411100</v>
      </c>
      <c r="G638" t="s">
        <v>18</v>
      </c>
      <c r="H638" t="s">
        <v>81</v>
      </c>
      <c r="I638" t="s">
        <v>82</v>
      </c>
      <c r="J638">
        <v>335714</v>
      </c>
      <c r="K638">
        <v>20220221</v>
      </c>
      <c r="L638" t="s">
        <v>1136</v>
      </c>
      <c r="M638">
        <v>0</v>
      </c>
      <c r="N638">
        <v>2</v>
      </c>
      <c r="O638" t="s">
        <v>19</v>
      </c>
      <c r="P638" t="s">
        <v>20</v>
      </c>
      <c r="Q638">
        <v>20220221</v>
      </c>
    </row>
    <row r="639" spans="1:17" x14ac:dyDescent="0.25">
      <c r="A639" t="s">
        <v>548</v>
      </c>
      <c r="B639" t="s">
        <v>429</v>
      </c>
      <c r="C639">
        <v>21</v>
      </c>
      <c r="D639">
        <v>20220221</v>
      </c>
      <c r="E639">
        <f t="shared" si="9"/>
        <v>2</v>
      </c>
      <c r="F639">
        <v>411100</v>
      </c>
      <c r="G639" t="s">
        <v>18</v>
      </c>
      <c r="H639" t="s">
        <v>660</v>
      </c>
      <c r="I639" t="s">
        <v>661</v>
      </c>
      <c r="J639">
        <v>335715</v>
      </c>
      <c r="K639">
        <v>20220221</v>
      </c>
      <c r="L639" t="s">
        <v>1137</v>
      </c>
      <c r="M639">
        <v>0</v>
      </c>
      <c r="N639">
        <v>2</v>
      </c>
      <c r="O639" t="s">
        <v>22</v>
      </c>
      <c r="P639">
        <v>20230218</v>
      </c>
      <c r="Q639">
        <v>20220221</v>
      </c>
    </row>
    <row r="640" spans="1:17" x14ac:dyDescent="0.25">
      <c r="A640" t="s">
        <v>548</v>
      </c>
      <c r="B640" t="s">
        <v>429</v>
      </c>
      <c r="C640">
        <v>21</v>
      </c>
      <c r="D640">
        <v>20220221</v>
      </c>
      <c r="E640">
        <f t="shared" si="9"/>
        <v>2</v>
      </c>
      <c r="F640">
        <v>411100</v>
      </c>
      <c r="G640" t="s">
        <v>18</v>
      </c>
      <c r="H640" t="s">
        <v>657</v>
      </c>
      <c r="I640" t="s">
        <v>658</v>
      </c>
      <c r="J640">
        <v>335716</v>
      </c>
      <c r="K640">
        <v>20220221</v>
      </c>
      <c r="L640" t="s">
        <v>1138</v>
      </c>
      <c r="M640">
        <v>0</v>
      </c>
      <c r="N640">
        <v>2</v>
      </c>
      <c r="O640" t="s">
        <v>22</v>
      </c>
      <c r="P640">
        <v>20230218</v>
      </c>
      <c r="Q640">
        <v>20220221</v>
      </c>
    </row>
    <row r="641" spans="1:17" x14ac:dyDescent="0.25">
      <c r="A641" t="s">
        <v>548</v>
      </c>
      <c r="B641" t="s">
        <v>429</v>
      </c>
      <c r="C641">
        <v>21</v>
      </c>
      <c r="D641">
        <v>20220221</v>
      </c>
      <c r="E641">
        <f t="shared" si="9"/>
        <v>2</v>
      </c>
      <c r="F641">
        <v>411100</v>
      </c>
      <c r="G641" t="s">
        <v>18</v>
      </c>
      <c r="H641" t="s">
        <v>105</v>
      </c>
      <c r="I641" t="s">
        <v>106</v>
      </c>
      <c r="J641">
        <v>335717</v>
      </c>
      <c r="K641">
        <v>20220221</v>
      </c>
      <c r="L641" t="s">
        <v>1139</v>
      </c>
      <c r="M641">
        <v>0</v>
      </c>
      <c r="N641">
        <v>4</v>
      </c>
      <c r="O641" t="s">
        <v>22</v>
      </c>
      <c r="P641">
        <v>20230218</v>
      </c>
      <c r="Q641">
        <v>20220221</v>
      </c>
    </row>
    <row r="642" spans="1:17" x14ac:dyDescent="0.25">
      <c r="A642" t="s">
        <v>548</v>
      </c>
      <c r="B642" t="s">
        <v>429</v>
      </c>
      <c r="C642">
        <v>21</v>
      </c>
      <c r="D642">
        <v>20220221</v>
      </c>
      <c r="E642">
        <f t="shared" si="9"/>
        <v>2</v>
      </c>
      <c r="F642">
        <v>411100</v>
      </c>
      <c r="G642" t="s">
        <v>18</v>
      </c>
      <c r="H642" t="s">
        <v>85</v>
      </c>
      <c r="I642" t="s">
        <v>86</v>
      </c>
      <c r="J642">
        <v>335718</v>
      </c>
      <c r="K642">
        <v>20220221</v>
      </c>
      <c r="L642" t="s">
        <v>1140</v>
      </c>
      <c r="M642">
        <v>0</v>
      </c>
      <c r="N642">
        <v>2</v>
      </c>
      <c r="O642" t="s">
        <v>19</v>
      </c>
      <c r="P642" t="s">
        <v>20</v>
      </c>
      <c r="Q642">
        <v>20220221</v>
      </c>
    </row>
    <row r="643" spans="1:17" x14ac:dyDescent="0.25">
      <c r="A643" t="s">
        <v>548</v>
      </c>
      <c r="B643" t="s">
        <v>429</v>
      </c>
      <c r="C643">
        <v>21</v>
      </c>
      <c r="D643">
        <v>20220221</v>
      </c>
      <c r="E643">
        <f t="shared" ref="E643:E706" si="10">VALUE(MID(D643,5,2))</f>
        <v>2</v>
      </c>
      <c r="F643">
        <v>411100</v>
      </c>
      <c r="G643" t="s">
        <v>18</v>
      </c>
      <c r="H643" t="s">
        <v>1062</v>
      </c>
      <c r="I643" t="s">
        <v>1063</v>
      </c>
      <c r="J643">
        <v>335719</v>
      </c>
      <c r="K643">
        <v>20220221</v>
      </c>
      <c r="L643" t="s">
        <v>1141</v>
      </c>
      <c r="M643">
        <v>0</v>
      </c>
      <c r="N643">
        <v>2</v>
      </c>
      <c r="O643" t="s">
        <v>22</v>
      </c>
      <c r="P643">
        <v>20230218</v>
      </c>
      <c r="Q643">
        <v>20220221</v>
      </c>
    </row>
    <row r="644" spans="1:17" x14ac:dyDescent="0.25">
      <c r="A644" t="s">
        <v>548</v>
      </c>
      <c r="B644" t="s">
        <v>429</v>
      </c>
      <c r="C644">
        <v>21</v>
      </c>
      <c r="D644">
        <v>20220221</v>
      </c>
      <c r="E644">
        <f t="shared" si="10"/>
        <v>2</v>
      </c>
      <c r="F644">
        <v>411100</v>
      </c>
      <c r="G644" t="s">
        <v>18</v>
      </c>
      <c r="H644" t="s">
        <v>217</v>
      </c>
      <c r="I644" t="s">
        <v>218</v>
      </c>
      <c r="J644">
        <v>335720</v>
      </c>
      <c r="K644">
        <v>20220221</v>
      </c>
      <c r="L644" t="s">
        <v>1142</v>
      </c>
      <c r="M644">
        <v>0</v>
      </c>
      <c r="N644">
        <v>2</v>
      </c>
      <c r="O644" t="s">
        <v>19</v>
      </c>
      <c r="P644" t="s">
        <v>20</v>
      </c>
      <c r="Q644">
        <v>20220221</v>
      </c>
    </row>
    <row r="645" spans="1:17" x14ac:dyDescent="0.25">
      <c r="A645" t="s">
        <v>548</v>
      </c>
      <c r="B645" t="s">
        <v>429</v>
      </c>
      <c r="C645">
        <v>21</v>
      </c>
      <c r="D645">
        <v>20220221</v>
      </c>
      <c r="E645">
        <f t="shared" si="10"/>
        <v>2</v>
      </c>
      <c r="F645">
        <v>411100</v>
      </c>
      <c r="G645" t="s">
        <v>18</v>
      </c>
      <c r="H645" t="s">
        <v>105</v>
      </c>
      <c r="I645" t="s">
        <v>106</v>
      </c>
      <c r="J645">
        <v>335721</v>
      </c>
      <c r="K645">
        <v>20220221</v>
      </c>
      <c r="L645" t="s">
        <v>1143</v>
      </c>
      <c r="M645">
        <v>0</v>
      </c>
      <c r="N645">
        <v>2</v>
      </c>
      <c r="O645" t="s">
        <v>19</v>
      </c>
      <c r="P645" t="s">
        <v>20</v>
      </c>
      <c r="Q645">
        <v>20220221</v>
      </c>
    </row>
    <row r="646" spans="1:17" x14ac:dyDescent="0.25">
      <c r="A646" t="s">
        <v>548</v>
      </c>
      <c r="B646" t="s">
        <v>429</v>
      </c>
      <c r="C646">
        <v>21</v>
      </c>
      <c r="D646">
        <v>20220221</v>
      </c>
      <c r="E646">
        <f t="shared" si="10"/>
        <v>2</v>
      </c>
      <c r="F646">
        <v>411100</v>
      </c>
      <c r="G646" t="s">
        <v>18</v>
      </c>
      <c r="H646" t="s">
        <v>660</v>
      </c>
      <c r="I646" t="s">
        <v>661</v>
      </c>
      <c r="J646">
        <v>335722</v>
      </c>
      <c r="K646">
        <v>20220221</v>
      </c>
      <c r="L646" t="s">
        <v>1144</v>
      </c>
      <c r="M646">
        <v>0</v>
      </c>
      <c r="N646">
        <v>1.5</v>
      </c>
      <c r="O646" t="s">
        <v>19</v>
      </c>
      <c r="P646" t="s">
        <v>20</v>
      </c>
      <c r="Q646">
        <v>20220221</v>
      </c>
    </row>
    <row r="647" spans="1:17" x14ac:dyDescent="0.25">
      <c r="A647" t="s">
        <v>548</v>
      </c>
      <c r="B647" t="s">
        <v>429</v>
      </c>
      <c r="C647">
        <v>21</v>
      </c>
      <c r="D647">
        <v>20220221</v>
      </c>
      <c r="E647">
        <f t="shared" si="10"/>
        <v>2</v>
      </c>
      <c r="F647">
        <v>411100</v>
      </c>
      <c r="G647" t="s">
        <v>18</v>
      </c>
      <c r="H647" t="s">
        <v>89</v>
      </c>
      <c r="I647" t="s">
        <v>90</v>
      </c>
      <c r="J647">
        <v>335723</v>
      </c>
      <c r="K647">
        <v>20220221</v>
      </c>
      <c r="L647" t="s">
        <v>1145</v>
      </c>
      <c r="M647">
        <v>0</v>
      </c>
      <c r="N647">
        <v>112.3</v>
      </c>
      <c r="O647" t="s">
        <v>22</v>
      </c>
      <c r="P647">
        <v>20230218</v>
      </c>
      <c r="Q647">
        <v>20220221</v>
      </c>
    </row>
    <row r="648" spans="1:17" x14ac:dyDescent="0.25">
      <c r="A648" t="s">
        <v>548</v>
      </c>
      <c r="B648" t="s">
        <v>429</v>
      </c>
      <c r="C648">
        <v>21</v>
      </c>
      <c r="D648">
        <v>20220221</v>
      </c>
      <c r="E648">
        <f t="shared" si="10"/>
        <v>2</v>
      </c>
      <c r="F648">
        <v>411100</v>
      </c>
      <c r="G648" t="s">
        <v>18</v>
      </c>
      <c r="H648" t="s">
        <v>823</v>
      </c>
      <c r="I648" t="s">
        <v>824</v>
      </c>
      <c r="J648">
        <v>122010062</v>
      </c>
      <c r="K648">
        <v>20220221</v>
      </c>
      <c r="L648" t="s">
        <v>1146</v>
      </c>
      <c r="M648">
        <v>0</v>
      </c>
      <c r="N648">
        <v>39.35</v>
      </c>
      <c r="O648" t="s">
        <v>23</v>
      </c>
      <c r="P648">
        <v>20230329</v>
      </c>
      <c r="Q648">
        <v>20220221</v>
      </c>
    </row>
    <row r="649" spans="1:17" x14ac:dyDescent="0.25">
      <c r="A649" t="s">
        <v>548</v>
      </c>
      <c r="B649" t="s">
        <v>429</v>
      </c>
      <c r="C649">
        <v>21</v>
      </c>
      <c r="D649">
        <v>20220221</v>
      </c>
      <c r="E649">
        <f t="shared" si="10"/>
        <v>2</v>
      </c>
      <c r="F649">
        <v>411100</v>
      </c>
      <c r="G649" t="s">
        <v>18</v>
      </c>
      <c r="H649" t="s">
        <v>823</v>
      </c>
      <c r="I649" t="s">
        <v>824</v>
      </c>
      <c r="J649">
        <v>122010062</v>
      </c>
      <c r="K649">
        <v>20220221</v>
      </c>
      <c r="L649" t="s">
        <v>1147</v>
      </c>
      <c r="M649">
        <v>0</v>
      </c>
      <c r="N649">
        <v>0.65</v>
      </c>
      <c r="O649" t="s">
        <v>22</v>
      </c>
      <c r="P649">
        <v>20230218</v>
      </c>
      <c r="Q649">
        <v>20220221</v>
      </c>
    </row>
    <row r="650" spans="1:17" x14ac:dyDescent="0.25">
      <c r="A650" t="s">
        <v>548</v>
      </c>
      <c r="B650" t="s">
        <v>429</v>
      </c>
      <c r="C650">
        <v>21</v>
      </c>
      <c r="D650">
        <v>20220221</v>
      </c>
      <c r="E650">
        <f t="shared" si="10"/>
        <v>2</v>
      </c>
      <c r="F650">
        <v>531105</v>
      </c>
      <c r="G650" t="s">
        <v>429</v>
      </c>
      <c r="H650" t="s">
        <v>401</v>
      </c>
      <c r="I650" t="s">
        <v>402</v>
      </c>
      <c r="J650">
        <v>335726</v>
      </c>
      <c r="K650">
        <v>20220221</v>
      </c>
      <c r="L650" t="s">
        <v>565</v>
      </c>
      <c r="M650">
        <v>397.41</v>
      </c>
      <c r="N650">
        <v>0</v>
      </c>
      <c r="O650" t="s">
        <v>19</v>
      </c>
      <c r="P650" t="s">
        <v>20</v>
      </c>
      <c r="Q650">
        <v>20220221</v>
      </c>
    </row>
    <row r="651" spans="1:17" x14ac:dyDescent="0.25">
      <c r="A651" t="s">
        <v>548</v>
      </c>
      <c r="B651" t="s">
        <v>429</v>
      </c>
      <c r="C651">
        <v>21</v>
      </c>
      <c r="D651">
        <v>20220222</v>
      </c>
      <c r="E651">
        <f t="shared" si="10"/>
        <v>2</v>
      </c>
      <c r="F651">
        <v>467100</v>
      </c>
      <c r="G651" t="s">
        <v>160</v>
      </c>
      <c r="H651" t="s">
        <v>183</v>
      </c>
      <c r="I651" t="s">
        <v>184</v>
      </c>
      <c r="J651" t="s">
        <v>1148</v>
      </c>
      <c r="K651">
        <v>20220222</v>
      </c>
      <c r="L651" t="s">
        <v>1149</v>
      </c>
      <c r="M651">
        <v>18.5</v>
      </c>
      <c r="N651">
        <v>0</v>
      </c>
      <c r="O651" t="s">
        <v>23</v>
      </c>
      <c r="P651">
        <v>20220311</v>
      </c>
      <c r="Q651">
        <v>20220222</v>
      </c>
    </row>
    <row r="652" spans="1:17" x14ac:dyDescent="0.25">
      <c r="A652" t="s">
        <v>548</v>
      </c>
      <c r="B652" t="s">
        <v>429</v>
      </c>
      <c r="C652">
        <v>21</v>
      </c>
      <c r="D652">
        <v>20220222</v>
      </c>
      <c r="E652">
        <f t="shared" si="10"/>
        <v>2</v>
      </c>
      <c r="F652">
        <v>531105</v>
      </c>
      <c r="G652" t="s">
        <v>429</v>
      </c>
      <c r="H652" t="s">
        <v>401</v>
      </c>
      <c r="I652" t="s">
        <v>402</v>
      </c>
      <c r="J652" t="s">
        <v>1148</v>
      </c>
      <c r="K652">
        <v>20220222</v>
      </c>
      <c r="L652" t="s">
        <v>1149</v>
      </c>
      <c r="M652">
        <v>0</v>
      </c>
      <c r="N652">
        <v>18.5</v>
      </c>
      <c r="O652" t="s">
        <v>19</v>
      </c>
      <c r="P652" t="s">
        <v>20</v>
      </c>
      <c r="Q652">
        <v>20220222</v>
      </c>
    </row>
    <row r="653" spans="1:17" x14ac:dyDescent="0.25">
      <c r="A653" t="s">
        <v>548</v>
      </c>
      <c r="B653" t="s">
        <v>429</v>
      </c>
      <c r="C653">
        <v>21</v>
      </c>
      <c r="D653">
        <v>20220222</v>
      </c>
      <c r="E653">
        <f t="shared" si="10"/>
        <v>2</v>
      </c>
      <c r="F653">
        <v>467100</v>
      </c>
      <c r="G653" t="s">
        <v>160</v>
      </c>
      <c r="H653" t="s">
        <v>183</v>
      </c>
      <c r="I653" t="s">
        <v>184</v>
      </c>
      <c r="J653" t="s">
        <v>1150</v>
      </c>
      <c r="K653">
        <v>20220222</v>
      </c>
      <c r="L653" t="s">
        <v>1151</v>
      </c>
      <c r="M653">
        <v>19.98</v>
      </c>
      <c r="N653">
        <v>0</v>
      </c>
      <c r="O653" t="s">
        <v>23</v>
      </c>
      <c r="P653">
        <v>20220325</v>
      </c>
      <c r="Q653">
        <v>20220222</v>
      </c>
    </row>
    <row r="654" spans="1:17" x14ac:dyDescent="0.25">
      <c r="A654" t="s">
        <v>548</v>
      </c>
      <c r="B654" t="s">
        <v>429</v>
      </c>
      <c r="C654">
        <v>21</v>
      </c>
      <c r="D654">
        <v>20220222</v>
      </c>
      <c r="E654">
        <f t="shared" si="10"/>
        <v>2</v>
      </c>
      <c r="F654">
        <v>531105</v>
      </c>
      <c r="G654" t="s">
        <v>429</v>
      </c>
      <c r="H654" t="s">
        <v>401</v>
      </c>
      <c r="I654" t="s">
        <v>402</v>
      </c>
      <c r="J654" t="s">
        <v>1150</v>
      </c>
      <c r="K654">
        <v>20220222</v>
      </c>
      <c r="L654" t="s">
        <v>1151</v>
      </c>
      <c r="M654">
        <v>0</v>
      </c>
      <c r="N654">
        <v>19.98</v>
      </c>
      <c r="O654" t="s">
        <v>19</v>
      </c>
      <c r="P654" t="s">
        <v>20</v>
      </c>
      <c r="Q654">
        <v>20220222</v>
      </c>
    </row>
    <row r="655" spans="1:17" x14ac:dyDescent="0.25">
      <c r="A655" t="s">
        <v>548</v>
      </c>
      <c r="B655" t="s">
        <v>429</v>
      </c>
      <c r="C655">
        <v>21</v>
      </c>
      <c r="D655">
        <v>20220222</v>
      </c>
      <c r="E655">
        <f t="shared" si="10"/>
        <v>2</v>
      </c>
      <c r="F655">
        <v>411100</v>
      </c>
      <c r="G655" t="s">
        <v>18</v>
      </c>
      <c r="H655" t="s">
        <v>787</v>
      </c>
      <c r="I655" t="s">
        <v>788</v>
      </c>
      <c r="J655">
        <v>335727</v>
      </c>
      <c r="K655">
        <v>20220222</v>
      </c>
      <c r="L655" t="s">
        <v>1152</v>
      </c>
      <c r="M655">
        <v>0</v>
      </c>
      <c r="N655">
        <v>28.4</v>
      </c>
      <c r="O655" t="s">
        <v>22</v>
      </c>
      <c r="P655">
        <v>20220327</v>
      </c>
      <c r="Q655">
        <v>20220222</v>
      </c>
    </row>
    <row r="656" spans="1:17" x14ac:dyDescent="0.25">
      <c r="A656" t="s">
        <v>548</v>
      </c>
      <c r="B656" t="s">
        <v>429</v>
      </c>
      <c r="C656">
        <v>21</v>
      </c>
      <c r="D656">
        <v>20220222</v>
      </c>
      <c r="E656">
        <f t="shared" si="10"/>
        <v>2</v>
      </c>
      <c r="F656">
        <v>411100</v>
      </c>
      <c r="G656" t="s">
        <v>18</v>
      </c>
      <c r="H656" t="s">
        <v>81</v>
      </c>
      <c r="I656" t="s">
        <v>82</v>
      </c>
      <c r="J656">
        <v>335728</v>
      </c>
      <c r="K656">
        <v>20220222</v>
      </c>
      <c r="L656" t="s">
        <v>1153</v>
      </c>
      <c r="M656">
        <v>0</v>
      </c>
      <c r="N656">
        <v>12</v>
      </c>
      <c r="O656" t="s">
        <v>19</v>
      </c>
      <c r="P656" t="s">
        <v>20</v>
      </c>
      <c r="Q656">
        <v>20220222</v>
      </c>
    </row>
    <row r="657" spans="1:17" x14ac:dyDescent="0.25">
      <c r="A657" t="s">
        <v>548</v>
      </c>
      <c r="B657" t="s">
        <v>429</v>
      </c>
      <c r="C657">
        <v>21</v>
      </c>
      <c r="D657">
        <v>20220222</v>
      </c>
      <c r="E657">
        <f t="shared" si="10"/>
        <v>2</v>
      </c>
      <c r="F657">
        <v>411100</v>
      </c>
      <c r="G657" t="s">
        <v>18</v>
      </c>
      <c r="H657" t="s">
        <v>105</v>
      </c>
      <c r="I657" t="s">
        <v>106</v>
      </c>
      <c r="J657">
        <v>335729</v>
      </c>
      <c r="K657">
        <v>20220222</v>
      </c>
      <c r="L657" t="s">
        <v>1154</v>
      </c>
      <c r="M657">
        <v>0</v>
      </c>
      <c r="N657">
        <v>36</v>
      </c>
      <c r="O657" t="s">
        <v>22</v>
      </c>
      <c r="P657">
        <v>20220327</v>
      </c>
      <c r="Q657">
        <v>20220222</v>
      </c>
    </row>
    <row r="658" spans="1:17" x14ac:dyDescent="0.25">
      <c r="A658" t="s">
        <v>548</v>
      </c>
      <c r="B658" t="s">
        <v>429</v>
      </c>
      <c r="C658">
        <v>21</v>
      </c>
      <c r="D658">
        <v>20220222</v>
      </c>
      <c r="E658">
        <f t="shared" si="10"/>
        <v>2</v>
      </c>
      <c r="F658">
        <v>411100</v>
      </c>
      <c r="G658" t="s">
        <v>18</v>
      </c>
      <c r="H658" t="s">
        <v>263</v>
      </c>
      <c r="I658" t="s">
        <v>264</v>
      </c>
      <c r="J658">
        <v>335730</v>
      </c>
      <c r="K658">
        <v>20220222</v>
      </c>
      <c r="L658" t="s">
        <v>1155</v>
      </c>
      <c r="M658">
        <v>0</v>
      </c>
      <c r="N658">
        <v>12</v>
      </c>
      <c r="O658" t="s">
        <v>19</v>
      </c>
      <c r="P658" t="s">
        <v>20</v>
      </c>
      <c r="Q658">
        <v>20220222</v>
      </c>
    </row>
    <row r="659" spans="1:17" x14ac:dyDescent="0.25">
      <c r="A659" t="s">
        <v>548</v>
      </c>
      <c r="B659" t="s">
        <v>429</v>
      </c>
      <c r="C659">
        <v>21</v>
      </c>
      <c r="D659">
        <v>20220222</v>
      </c>
      <c r="E659">
        <f t="shared" si="10"/>
        <v>2</v>
      </c>
      <c r="F659">
        <v>411100</v>
      </c>
      <c r="G659" t="s">
        <v>18</v>
      </c>
      <c r="H659" t="s">
        <v>154</v>
      </c>
      <c r="I659" t="s">
        <v>155</v>
      </c>
      <c r="J659">
        <v>335731</v>
      </c>
      <c r="K659">
        <v>20220222</v>
      </c>
      <c r="L659" t="s">
        <v>1156</v>
      </c>
      <c r="M659">
        <v>0</v>
      </c>
      <c r="N659">
        <v>12</v>
      </c>
      <c r="O659" t="s">
        <v>19</v>
      </c>
      <c r="P659" t="s">
        <v>20</v>
      </c>
      <c r="Q659">
        <v>20220222</v>
      </c>
    </row>
    <row r="660" spans="1:17" x14ac:dyDescent="0.25">
      <c r="A660" t="s">
        <v>548</v>
      </c>
      <c r="B660" t="s">
        <v>429</v>
      </c>
      <c r="C660">
        <v>21</v>
      </c>
      <c r="D660">
        <v>20220222</v>
      </c>
      <c r="E660">
        <f t="shared" si="10"/>
        <v>2</v>
      </c>
      <c r="F660">
        <v>411100</v>
      </c>
      <c r="G660" t="s">
        <v>18</v>
      </c>
      <c r="H660" t="s">
        <v>217</v>
      </c>
      <c r="I660" t="s">
        <v>218</v>
      </c>
      <c r="J660">
        <v>335732</v>
      </c>
      <c r="K660">
        <v>20220222</v>
      </c>
      <c r="L660" t="s">
        <v>1157</v>
      </c>
      <c r="M660">
        <v>0</v>
      </c>
      <c r="N660">
        <v>12</v>
      </c>
      <c r="O660" t="s">
        <v>19</v>
      </c>
      <c r="P660" t="s">
        <v>20</v>
      </c>
      <c r="Q660">
        <v>20220222</v>
      </c>
    </row>
    <row r="661" spans="1:17" x14ac:dyDescent="0.25">
      <c r="A661" t="s">
        <v>548</v>
      </c>
      <c r="B661" t="s">
        <v>429</v>
      </c>
      <c r="C661">
        <v>21</v>
      </c>
      <c r="D661">
        <v>20220222</v>
      </c>
      <c r="E661">
        <f t="shared" si="10"/>
        <v>2</v>
      </c>
      <c r="F661">
        <v>411100</v>
      </c>
      <c r="G661" t="s">
        <v>18</v>
      </c>
      <c r="H661" t="s">
        <v>660</v>
      </c>
      <c r="I661" t="s">
        <v>661</v>
      </c>
      <c r="J661">
        <v>335733</v>
      </c>
      <c r="K661">
        <v>20220222</v>
      </c>
      <c r="L661" t="s">
        <v>1158</v>
      </c>
      <c r="M661">
        <v>0</v>
      </c>
      <c r="N661">
        <v>12</v>
      </c>
      <c r="O661" t="s">
        <v>19</v>
      </c>
      <c r="P661" t="s">
        <v>20</v>
      </c>
      <c r="Q661">
        <v>20220222</v>
      </c>
    </row>
    <row r="662" spans="1:17" x14ac:dyDescent="0.25">
      <c r="A662" t="s">
        <v>548</v>
      </c>
      <c r="B662" t="s">
        <v>429</v>
      </c>
      <c r="C662">
        <v>21</v>
      </c>
      <c r="D662">
        <v>20220222</v>
      </c>
      <c r="E662">
        <f t="shared" si="10"/>
        <v>2</v>
      </c>
      <c r="F662">
        <v>411100</v>
      </c>
      <c r="G662" t="s">
        <v>18</v>
      </c>
      <c r="H662" t="s">
        <v>77</v>
      </c>
      <c r="I662" t="s">
        <v>78</v>
      </c>
      <c r="J662">
        <v>335734</v>
      </c>
      <c r="K662">
        <v>20220222</v>
      </c>
      <c r="L662" t="s">
        <v>1159</v>
      </c>
      <c r="M662">
        <v>0</v>
      </c>
      <c r="N662">
        <v>12</v>
      </c>
      <c r="O662" t="s">
        <v>19</v>
      </c>
      <c r="P662" t="s">
        <v>20</v>
      </c>
      <c r="Q662">
        <v>20220222</v>
      </c>
    </row>
    <row r="663" spans="1:17" x14ac:dyDescent="0.25">
      <c r="A663" t="s">
        <v>548</v>
      </c>
      <c r="B663" t="s">
        <v>429</v>
      </c>
      <c r="C663">
        <v>21</v>
      </c>
      <c r="D663">
        <v>20220222</v>
      </c>
      <c r="E663">
        <f t="shared" si="10"/>
        <v>2</v>
      </c>
      <c r="F663">
        <v>411100</v>
      </c>
      <c r="G663" t="s">
        <v>18</v>
      </c>
      <c r="H663" t="s">
        <v>77</v>
      </c>
      <c r="I663" t="s">
        <v>78</v>
      </c>
      <c r="J663">
        <v>335735</v>
      </c>
      <c r="K663">
        <v>20220222</v>
      </c>
      <c r="L663" t="s">
        <v>1160</v>
      </c>
      <c r="M663">
        <v>0</v>
      </c>
      <c r="N663">
        <v>24</v>
      </c>
      <c r="O663" t="s">
        <v>19</v>
      </c>
      <c r="P663" t="s">
        <v>20</v>
      </c>
      <c r="Q663">
        <v>20220222</v>
      </c>
    </row>
    <row r="664" spans="1:17" x14ac:dyDescent="0.25">
      <c r="A664" t="s">
        <v>548</v>
      </c>
      <c r="B664" t="s">
        <v>429</v>
      </c>
      <c r="C664">
        <v>21</v>
      </c>
      <c r="D664">
        <v>20220222</v>
      </c>
      <c r="E664">
        <f t="shared" si="10"/>
        <v>2</v>
      </c>
      <c r="F664">
        <v>411100</v>
      </c>
      <c r="G664" t="s">
        <v>18</v>
      </c>
      <c r="H664" t="s">
        <v>344</v>
      </c>
      <c r="I664" t="s">
        <v>345</v>
      </c>
      <c r="J664">
        <v>335736</v>
      </c>
      <c r="K664">
        <v>20220222</v>
      </c>
      <c r="L664" t="s">
        <v>1161</v>
      </c>
      <c r="M664">
        <v>0</v>
      </c>
      <c r="N664">
        <v>12</v>
      </c>
      <c r="O664" t="s">
        <v>19</v>
      </c>
      <c r="P664" t="s">
        <v>20</v>
      </c>
      <c r="Q664">
        <v>20220222</v>
      </c>
    </row>
    <row r="665" spans="1:17" x14ac:dyDescent="0.25">
      <c r="A665" t="s">
        <v>548</v>
      </c>
      <c r="B665" t="s">
        <v>429</v>
      </c>
      <c r="C665">
        <v>21</v>
      </c>
      <c r="D665">
        <v>20220222</v>
      </c>
      <c r="E665">
        <f t="shared" si="10"/>
        <v>2</v>
      </c>
      <c r="F665">
        <v>411100</v>
      </c>
      <c r="G665" t="s">
        <v>18</v>
      </c>
      <c r="H665" t="s">
        <v>1062</v>
      </c>
      <c r="I665" t="s">
        <v>1063</v>
      </c>
      <c r="J665">
        <v>335737</v>
      </c>
      <c r="K665">
        <v>20220222</v>
      </c>
      <c r="L665" t="s">
        <v>1162</v>
      </c>
      <c r="M665">
        <v>0</v>
      </c>
      <c r="N665">
        <v>12</v>
      </c>
      <c r="O665" t="s">
        <v>22</v>
      </c>
      <c r="P665">
        <v>20230218</v>
      </c>
      <c r="Q665">
        <v>20220222</v>
      </c>
    </row>
    <row r="666" spans="1:17" x14ac:dyDescent="0.25">
      <c r="A666" t="s">
        <v>548</v>
      </c>
      <c r="B666" t="s">
        <v>429</v>
      </c>
      <c r="C666">
        <v>21</v>
      </c>
      <c r="D666">
        <v>20220222</v>
      </c>
      <c r="E666">
        <f t="shared" si="10"/>
        <v>2</v>
      </c>
      <c r="F666">
        <v>411100</v>
      </c>
      <c r="G666" t="s">
        <v>18</v>
      </c>
      <c r="H666" t="s">
        <v>1033</v>
      </c>
      <c r="I666" t="s">
        <v>1034</v>
      </c>
      <c r="J666">
        <v>335738</v>
      </c>
      <c r="K666">
        <v>20220222</v>
      </c>
      <c r="L666" t="s">
        <v>1163</v>
      </c>
      <c r="M666">
        <v>0</v>
      </c>
      <c r="N666">
        <v>12</v>
      </c>
      <c r="O666" t="s">
        <v>19</v>
      </c>
      <c r="P666" t="s">
        <v>20</v>
      </c>
      <c r="Q666">
        <v>20220222</v>
      </c>
    </row>
    <row r="667" spans="1:17" x14ac:dyDescent="0.25">
      <c r="A667" t="s">
        <v>548</v>
      </c>
      <c r="B667" t="s">
        <v>429</v>
      </c>
      <c r="C667">
        <v>21</v>
      </c>
      <c r="D667">
        <v>20220222</v>
      </c>
      <c r="E667">
        <f t="shared" si="10"/>
        <v>2</v>
      </c>
      <c r="F667">
        <v>411100</v>
      </c>
      <c r="G667" t="s">
        <v>18</v>
      </c>
      <c r="H667" t="s">
        <v>1037</v>
      </c>
      <c r="I667" t="s">
        <v>1038</v>
      </c>
      <c r="J667">
        <v>335739</v>
      </c>
      <c r="K667">
        <v>20220222</v>
      </c>
      <c r="L667" t="s">
        <v>1164</v>
      </c>
      <c r="M667">
        <v>0</v>
      </c>
      <c r="N667">
        <v>12</v>
      </c>
      <c r="O667" t="s">
        <v>22</v>
      </c>
      <c r="P667">
        <v>20230218</v>
      </c>
      <c r="Q667">
        <v>20220222</v>
      </c>
    </row>
    <row r="668" spans="1:17" x14ac:dyDescent="0.25">
      <c r="A668" t="s">
        <v>548</v>
      </c>
      <c r="B668" t="s">
        <v>429</v>
      </c>
      <c r="C668">
        <v>21</v>
      </c>
      <c r="D668">
        <v>20220222</v>
      </c>
      <c r="E668">
        <f t="shared" si="10"/>
        <v>2</v>
      </c>
      <c r="F668">
        <v>411100</v>
      </c>
      <c r="G668" t="s">
        <v>18</v>
      </c>
      <c r="H668" t="s">
        <v>657</v>
      </c>
      <c r="I668" t="s">
        <v>658</v>
      </c>
      <c r="J668">
        <v>335740</v>
      </c>
      <c r="K668">
        <v>20220222</v>
      </c>
      <c r="L668" t="s">
        <v>1165</v>
      </c>
      <c r="M668">
        <v>0</v>
      </c>
      <c r="N668">
        <v>12</v>
      </c>
      <c r="O668" t="s">
        <v>19</v>
      </c>
      <c r="P668" t="s">
        <v>20</v>
      </c>
      <c r="Q668">
        <v>20220222</v>
      </c>
    </row>
    <row r="669" spans="1:17" x14ac:dyDescent="0.25">
      <c r="A669" t="s">
        <v>548</v>
      </c>
      <c r="B669" t="s">
        <v>429</v>
      </c>
      <c r="C669">
        <v>21</v>
      </c>
      <c r="D669">
        <v>20220222</v>
      </c>
      <c r="E669">
        <f t="shared" si="10"/>
        <v>2</v>
      </c>
      <c r="F669">
        <v>411100</v>
      </c>
      <c r="G669" t="s">
        <v>18</v>
      </c>
      <c r="H669" t="s">
        <v>85</v>
      </c>
      <c r="I669" t="s">
        <v>86</v>
      </c>
      <c r="J669">
        <v>335741</v>
      </c>
      <c r="K669">
        <v>20220222</v>
      </c>
      <c r="L669" t="s">
        <v>1166</v>
      </c>
      <c r="M669">
        <v>0</v>
      </c>
      <c r="N669">
        <v>12</v>
      </c>
      <c r="O669" t="s">
        <v>19</v>
      </c>
      <c r="P669" t="s">
        <v>20</v>
      </c>
      <c r="Q669">
        <v>20220222</v>
      </c>
    </row>
    <row r="670" spans="1:17" x14ac:dyDescent="0.25">
      <c r="A670" t="s">
        <v>548</v>
      </c>
      <c r="B670" t="s">
        <v>429</v>
      </c>
      <c r="C670">
        <v>21</v>
      </c>
      <c r="D670">
        <v>20220222</v>
      </c>
      <c r="E670">
        <f t="shared" si="10"/>
        <v>2</v>
      </c>
      <c r="F670">
        <v>411100</v>
      </c>
      <c r="G670" t="s">
        <v>18</v>
      </c>
      <c r="H670" t="s">
        <v>1053</v>
      </c>
      <c r="I670" t="s">
        <v>1054</v>
      </c>
      <c r="J670">
        <v>335742</v>
      </c>
      <c r="K670">
        <v>20220222</v>
      </c>
      <c r="L670" t="s">
        <v>1167</v>
      </c>
      <c r="M670">
        <v>0</v>
      </c>
      <c r="N670">
        <v>24</v>
      </c>
      <c r="O670" t="s">
        <v>19</v>
      </c>
      <c r="P670" t="s">
        <v>20</v>
      </c>
      <c r="Q670">
        <v>20220222</v>
      </c>
    </row>
    <row r="671" spans="1:17" x14ac:dyDescent="0.25">
      <c r="A671" t="s">
        <v>548</v>
      </c>
      <c r="B671" t="s">
        <v>429</v>
      </c>
      <c r="C671">
        <v>21</v>
      </c>
      <c r="D671">
        <v>20220222</v>
      </c>
      <c r="E671">
        <f t="shared" si="10"/>
        <v>2</v>
      </c>
      <c r="F671">
        <v>411100</v>
      </c>
      <c r="G671" t="s">
        <v>18</v>
      </c>
      <c r="H671" t="s">
        <v>1050</v>
      </c>
      <c r="I671" t="s">
        <v>1051</v>
      </c>
      <c r="J671">
        <v>335743</v>
      </c>
      <c r="K671">
        <v>20220222</v>
      </c>
      <c r="L671" t="s">
        <v>1168</v>
      </c>
      <c r="M671">
        <v>0</v>
      </c>
      <c r="N671">
        <v>12</v>
      </c>
      <c r="O671" t="s">
        <v>22</v>
      </c>
      <c r="P671">
        <v>20230218</v>
      </c>
      <c r="Q671">
        <v>20220222</v>
      </c>
    </row>
    <row r="672" spans="1:17" x14ac:dyDescent="0.25">
      <c r="A672" t="s">
        <v>548</v>
      </c>
      <c r="B672" t="s">
        <v>429</v>
      </c>
      <c r="C672">
        <v>21</v>
      </c>
      <c r="D672">
        <v>20220222</v>
      </c>
      <c r="E672">
        <f t="shared" si="10"/>
        <v>2</v>
      </c>
      <c r="F672">
        <v>411100</v>
      </c>
      <c r="G672" t="s">
        <v>18</v>
      </c>
      <c r="H672" t="s">
        <v>154</v>
      </c>
      <c r="I672" t="s">
        <v>155</v>
      </c>
      <c r="J672">
        <v>335744</v>
      </c>
      <c r="K672">
        <v>20220222</v>
      </c>
      <c r="L672" t="s">
        <v>1169</v>
      </c>
      <c r="M672">
        <v>0</v>
      </c>
      <c r="N672">
        <v>12</v>
      </c>
      <c r="O672" t="s">
        <v>19</v>
      </c>
      <c r="P672" t="s">
        <v>20</v>
      </c>
      <c r="Q672">
        <v>20220222</v>
      </c>
    </row>
    <row r="673" spans="1:17" x14ac:dyDescent="0.25">
      <c r="A673" t="s">
        <v>548</v>
      </c>
      <c r="B673" t="s">
        <v>429</v>
      </c>
      <c r="C673">
        <v>21</v>
      </c>
      <c r="D673">
        <v>20220222</v>
      </c>
      <c r="E673">
        <f t="shared" si="10"/>
        <v>2</v>
      </c>
      <c r="F673">
        <v>411100</v>
      </c>
      <c r="G673" t="s">
        <v>18</v>
      </c>
      <c r="H673" t="s">
        <v>77</v>
      </c>
      <c r="I673" t="s">
        <v>78</v>
      </c>
      <c r="J673">
        <v>335745</v>
      </c>
      <c r="K673">
        <v>20220222</v>
      </c>
      <c r="L673" t="s">
        <v>1170</v>
      </c>
      <c r="M673">
        <v>0</v>
      </c>
      <c r="N673">
        <v>23.61</v>
      </c>
      <c r="O673" t="s">
        <v>22</v>
      </c>
      <c r="P673">
        <v>20230218</v>
      </c>
      <c r="Q673">
        <v>20220222</v>
      </c>
    </row>
    <row r="674" spans="1:17" x14ac:dyDescent="0.25">
      <c r="A674" t="s">
        <v>548</v>
      </c>
      <c r="B674" t="s">
        <v>429</v>
      </c>
      <c r="C674">
        <v>21</v>
      </c>
      <c r="D674">
        <v>20220222</v>
      </c>
      <c r="E674">
        <f t="shared" si="10"/>
        <v>2</v>
      </c>
      <c r="F674">
        <v>531105</v>
      </c>
      <c r="G674" t="s">
        <v>429</v>
      </c>
      <c r="H674" t="s">
        <v>401</v>
      </c>
      <c r="I674" t="s">
        <v>402</v>
      </c>
      <c r="J674">
        <v>335746</v>
      </c>
      <c r="K674">
        <v>20220222</v>
      </c>
      <c r="L674" t="s">
        <v>565</v>
      </c>
      <c r="M674">
        <v>304.01</v>
      </c>
      <c r="N674">
        <v>0</v>
      </c>
      <c r="O674" t="s">
        <v>19</v>
      </c>
      <c r="P674" t="s">
        <v>20</v>
      </c>
      <c r="Q674">
        <v>20220222</v>
      </c>
    </row>
    <row r="675" spans="1:17" x14ac:dyDescent="0.25">
      <c r="A675" t="s">
        <v>548</v>
      </c>
      <c r="B675" t="s">
        <v>429</v>
      </c>
      <c r="C675">
        <v>21</v>
      </c>
      <c r="D675">
        <v>20220223</v>
      </c>
      <c r="E675">
        <f t="shared" si="10"/>
        <v>2</v>
      </c>
      <c r="F675">
        <v>411100</v>
      </c>
      <c r="G675" t="s">
        <v>18</v>
      </c>
      <c r="H675" t="s">
        <v>344</v>
      </c>
      <c r="I675" t="s">
        <v>345</v>
      </c>
      <c r="J675">
        <v>335747</v>
      </c>
      <c r="K675">
        <v>20220223</v>
      </c>
      <c r="L675" t="s">
        <v>1171</v>
      </c>
      <c r="M675">
        <v>0</v>
      </c>
      <c r="N675">
        <v>8</v>
      </c>
      <c r="O675" t="s">
        <v>19</v>
      </c>
      <c r="P675" t="s">
        <v>20</v>
      </c>
      <c r="Q675">
        <v>20220223</v>
      </c>
    </row>
    <row r="676" spans="1:17" x14ac:dyDescent="0.25">
      <c r="A676" t="s">
        <v>548</v>
      </c>
      <c r="B676" t="s">
        <v>429</v>
      </c>
      <c r="C676">
        <v>21</v>
      </c>
      <c r="D676">
        <v>20220223</v>
      </c>
      <c r="E676">
        <f t="shared" si="10"/>
        <v>2</v>
      </c>
      <c r="F676">
        <v>411100</v>
      </c>
      <c r="G676" t="s">
        <v>18</v>
      </c>
      <c r="H676" t="s">
        <v>1172</v>
      </c>
      <c r="I676" t="s">
        <v>1173</v>
      </c>
      <c r="J676">
        <v>335748</v>
      </c>
      <c r="K676">
        <v>20220223</v>
      </c>
      <c r="L676" t="s">
        <v>1174</v>
      </c>
      <c r="M676">
        <v>0</v>
      </c>
      <c r="N676">
        <v>7</v>
      </c>
      <c r="O676" t="s">
        <v>19</v>
      </c>
      <c r="P676" t="s">
        <v>20</v>
      </c>
      <c r="Q676">
        <v>20220223</v>
      </c>
    </row>
    <row r="677" spans="1:17" x14ac:dyDescent="0.25">
      <c r="A677" t="s">
        <v>548</v>
      </c>
      <c r="B677" t="s">
        <v>429</v>
      </c>
      <c r="C677">
        <v>21</v>
      </c>
      <c r="D677">
        <v>20220223</v>
      </c>
      <c r="E677">
        <f t="shared" si="10"/>
        <v>2</v>
      </c>
      <c r="F677">
        <v>411100</v>
      </c>
      <c r="G677" t="s">
        <v>18</v>
      </c>
      <c r="H677" t="s">
        <v>1062</v>
      </c>
      <c r="I677" t="s">
        <v>1063</v>
      </c>
      <c r="J677">
        <v>335749</v>
      </c>
      <c r="K677">
        <v>20220223</v>
      </c>
      <c r="L677" t="s">
        <v>1175</v>
      </c>
      <c r="M677">
        <v>0</v>
      </c>
      <c r="N677">
        <v>11.5</v>
      </c>
      <c r="O677" t="s">
        <v>22</v>
      </c>
      <c r="P677">
        <v>20230218</v>
      </c>
      <c r="Q677">
        <v>20220223</v>
      </c>
    </row>
    <row r="678" spans="1:17" x14ac:dyDescent="0.25">
      <c r="A678" t="s">
        <v>548</v>
      </c>
      <c r="B678" t="s">
        <v>429</v>
      </c>
      <c r="C678">
        <v>21</v>
      </c>
      <c r="D678">
        <v>20220223</v>
      </c>
      <c r="E678">
        <f t="shared" si="10"/>
        <v>2</v>
      </c>
      <c r="F678">
        <v>411100</v>
      </c>
      <c r="G678" t="s">
        <v>18</v>
      </c>
      <c r="H678" t="s">
        <v>1062</v>
      </c>
      <c r="I678" t="s">
        <v>1063</v>
      </c>
      <c r="J678">
        <v>335750</v>
      </c>
      <c r="K678">
        <v>20220223</v>
      </c>
      <c r="L678" t="s">
        <v>1176</v>
      </c>
      <c r="M678">
        <v>0</v>
      </c>
      <c r="N678">
        <v>2</v>
      </c>
      <c r="O678" t="s">
        <v>22</v>
      </c>
      <c r="P678">
        <v>20230218</v>
      </c>
      <c r="Q678">
        <v>20220223</v>
      </c>
    </row>
    <row r="679" spans="1:17" x14ac:dyDescent="0.25">
      <c r="A679" t="s">
        <v>548</v>
      </c>
      <c r="B679" t="s">
        <v>429</v>
      </c>
      <c r="C679">
        <v>21</v>
      </c>
      <c r="D679">
        <v>20220223</v>
      </c>
      <c r="E679">
        <f t="shared" si="10"/>
        <v>2</v>
      </c>
      <c r="F679">
        <v>411100</v>
      </c>
      <c r="G679" t="s">
        <v>18</v>
      </c>
      <c r="H679" t="s">
        <v>1062</v>
      </c>
      <c r="I679" t="s">
        <v>1063</v>
      </c>
      <c r="J679">
        <v>335751</v>
      </c>
      <c r="K679">
        <v>20220223</v>
      </c>
      <c r="L679" t="s">
        <v>1177</v>
      </c>
      <c r="M679">
        <v>0</v>
      </c>
      <c r="N679">
        <v>2</v>
      </c>
      <c r="O679" t="s">
        <v>22</v>
      </c>
      <c r="P679">
        <v>20230218</v>
      </c>
      <c r="Q679">
        <v>20220223</v>
      </c>
    </row>
    <row r="680" spans="1:17" x14ac:dyDescent="0.25">
      <c r="A680" t="s">
        <v>548</v>
      </c>
      <c r="B680" t="s">
        <v>429</v>
      </c>
      <c r="C680">
        <v>21</v>
      </c>
      <c r="D680">
        <v>20220223</v>
      </c>
      <c r="E680">
        <f t="shared" si="10"/>
        <v>2</v>
      </c>
      <c r="F680">
        <v>411100</v>
      </c>
      <c r="G680" t="s">
        <v>18</v>
      </c>
      <c r="H680" t="s">
        <v>1178</v>
      </c>
      <c r="I680" t="s">
        <v>1179</v>
      </c>
      <c r="J680">
        <v>335752</v>
      </c>
      <c r="K680">
        <v>20220223</v>
      </c>
      <c r="L680" t="s">
        <v>1180</v>
      </c>
      <c r="M680">
        <v>0</v>
      </c>
      <c r="N680">
        <v>2</v>
      </c>
      <c r="O680" t="s">
        <v>22</v>
      </c>
      <c r="P680">
        <v>20230218</v>
      </c>
      <c r="Q680">
        <v>20220223</v>
      </c>
    </row>
    <row r="681" spans="1:17" x14ac:dyDescent="0.25">
      <c r="A681" t="s">
        <v>548</v>
      </c>
      <c r="B681" t="s">
        <v>429</v>
      </c>
      <c r="C681">
        <v>21</v>
      </c>
      <c r="D681">
        <v>20220223</v>
      </c>
      <c r="E681">
        <f t="shared" si="10"/>
        <v>2</v>
      </c>
      <c r="F681">
        <v>411100</v>
      </c>
      <c r="G681" t="s">
        <v>18</v>
      </c>
      <c r="H681" t="s">
        <v>1178</v>
      </c>
      <c r="I681" t="s">
        <v>1179</v>
      </c>
      <c r="J681">
        <v>335753</v>
      </c>
      <c r="K681">
        <v>20220223</v>
      </c>
      <c r="L681" t="s">
        <v>1181</v>
      </c>
      <c r="M681">
        <v>0</v>
      </c>
      <c r="N681">
        <v>6.5</v>
      </c>
      <c r="O681" t="s">
        <v>22</v>
      </c>
      <c r="P681">
        <v>20230218</v>
      </c>
      <c r="Q681">
        <v>20220223</v>
      </c>
    </row>
    <row r="682" spans="1:17" x14ac:dyDescent="0.25">
      <c r="A682" t="s">
        <v>548</v>
      </c>
      <c r="B682" t="s">
        <v>429</v>
      </c>
      <c r="C682">
        <v>21</v>
      </c>
      <c r="D682">
        <v>20220223</v>
      </c>
      <c r="E682">
        <f t="shared" si="10"/>
        <v>2</v>
      </c>
      <c r="F682">
        <v>411100</v>
      </c>
      <c r="G682" t="s">
        <v>18</v>
      </c>
      <c r="H682" t="s">
        <v>1172</v>
      </c>
      <c r="I682" t="s">
        <v>1173</v>
      </c>
      <c r="J682">
        <v>335754</v>
      </c>
      <c r="K682">
        <v>20220223</v>
      </c>
      <c r="L682" t="s">
        <v>1182</v>
      </c>
      <c r="M682">
        <v>0</v>
      </c>
      <c r="N682">
        <v>13</v>
      </c>
      <c r="O682" t="s">
        <v>19</v>
      </c>
      <c r="P682" t="s">
        <v>20</v>
      </c>
      <c r="Q682">
        <v>20220223</v>
      </c>
    </row>
    <row r="683" spans="1:17" x14ac:dyDescent="0.25">
      <c r="A683" t="s">
        <v>548</v>
      </c>
      <c r="B683" t="s">
        <v>429</v>
      </c>
      <c r="C683">
        <v>21</v>
      </c>
      <c r="D683">
        <v>20220223</v>
      </c>
      <c r="E683">
        <f t="shared" si="10"/>
        <v>2</v>
      </c>
      <c r="F683">
        <v>411100</v>
      </c>
      <c r="G683" t="s">
        <v>18</v>
      </c>
      <c r="H683" t="s">
        <v>1062</v>
      </c>
      <c r="I683" t="s">
        <v>1063</v>
      </c>
      <c r="J683">
        <v>335755</v>
      </c>
      <c r="K683">
        <v>20220223</v>
      </c>
      <c r="L683" t="s">
        <v>1183</v>
      </c>
      <c r="M683">
        <v>0</v>
      </c>
      <c r="N683">
        <v>5</v>
      </c>
      <c r="O683" t="s">
        <v>22</v>
      </c>
      <c r="P683">
        <v>20230218</v>
      </c>
      <c r="Q683">
        <v>20220223</v>
      </c>
    </row>
    <row r="684" spans="1:17" x14ac:dyDescent="0.25">
      <c r="A684" t="s">
        <v>548</v>
      </c>
      <c r="B684" t="s">
        <v>429</v>
      </c>
      <c r="C684">
        <v>21</v>
      </c>
      <c r="D684">
        <v>20220223</v>
      </c>
      <c r="E684">
        <f t="shared" si="10"/>
        <v>2</v>
      </c>
      <c r="F684">
        <v>411100</v>
      </c>
      <c r="G684" t="s">
        <v>18</v>
      </c>
      <c r="H684" t="s">
        <v>660</v>
      </c>
      <c r="I684" t="s">
        <v>661</v>
      </c>
      <c r="J684">
        <v>335756</v>
      </c>
      <c r="K684">
        <v>20220223</v>
      </c>
      <c r="L684" t="s">
        <v>1184</v>
      </c>
      <c r="M684">
        <v>0</v>
      </c>
      <c r="N684">
        <v>1.5</v>
      </c>
      <c r="O684" t="s">
        <v>19</v>
      </c>
      <c r="P684" t="s">
        <v>20</v>
      </c>
      <c r="Q684">
        <v>20220223</v>
      </c>
    </row>
    <row r="685" spans="1:17" x14ac:dyDescent="0.25">
      <c r="A685" t="s">
        <v>548</v>
      </c>
      <c r="B685" t="s">
        <v>429</v>
      </c>
      <c r="C685">
        <v>21</v>
      </c>
      <c r="D685">
        <v>20220223</v>
      </c>
      <c r="E685">
        <f t="shared" si="10"/>
        <v>2</v>
      </c>
      <c r="F685">
        <v>411100</v>
      </c>
      <c r="G685" t="s">
        <v>18</v>
      </c>
      <c r="H685" t="s">
        <v>1037</v>
      </c>
      <c r="I685" t="s">
        <v>1038</v>
      </c>
      <c r="J685">
        <v>335757</v>
      </c>
      <c r="K685">
        <v>20220223</v>
      </c>
      <c r="L685" t="s">
        <v>1185</v>
      </c>
      <c r="M685">
        <v>0</v>
      </c>
      <c r="N685">
        <v>3.5</v>
      </c>
      <c r="O685" t="s">
        <v>22</v>
      </c>
      <c r="P685">
        <v>20230218</v>
      </c>
      <c r="Q685">
        <v>20220223</v>
      </c>
    </row>
    <row r="686" spans="1:17" x14ac:dyDescent="0.25">
      <c r="A686" t="s">
        <v>548</v>
      </c>
      <c r="B686" t="s">
        <v>429</v>
      </c>
      <c r="C686">
        <v>21</v>
      </c>
      <c r="D686">
        <v>20220223</v>
      </c>
      <c r="E686">
        <f t="shared" si="10"/>
        <v>2</v>
      </c>
      <c r="F686">
        <v>411100</v>
      </c>
      <c r="G686" t="s">
        <v>18</v>
      </c>
      <c r="H686" t="s">
        <v>1053</v>
      </c>
      <c r="I686" t="s">
        <v>1054</v>
      </c>
      <c r="J686">
        <v>335758</v>
      </c>
      <c r="K686">
        <v>20220223</v>
      </c>
      <c r="L686" t="s">
        <v>1186</v>
      </c>
      <c r="M686">
        <v>0</v>
      </c>
      <c r="N686">
        <v>4</v>
      </c>
      <c r="O686" t="s">
        <v>19</v>
      </c>
      <c r="P686" t="s">
        <v>20</v>
      </c>
      <c r="Q686">
        <v>20220223</v>
      </c>
    </row>
    <row r="687" spans="1:17" x14ac:dyDescent="0.25">
      <c r="A687" t="s">
        <v>548</v>
      </c>
      <c r="B687" t="s">
        <v>429</v>
      </c>
      <c r="C687">
        <v>21</v>
      </c>
      <c r="D687">
        <v>20220223</v>
      </c>
      <c r="E687">
        <f t="shared" si="10"/>
        <v>2</v>
      </c>
      <c r="F687">
        <v>411100</v>
      </c>
      <c r="G687" t="s">
        <v>18</v>
      </c>
      <c r="H687" t="s">
        <v>154</v>
      </c>
      <c r="I687" t="s">
        <v>155</v>
      </c>
      <c r="J687">
        <v>335759</v>
      </c>
      <c r="K687">
        <v>20220223</v>
      </c>
      <c r="L687" t="s">
        <v>1187</v>
      </c>
      <c r="M687">
        <v>0</v>
      </c>
      <c r="N687">
        <v>7</v>
      </c>
      <c r="O687" t="s">
        <v>19</v>
      </c>
      <c r="P687" t="s">
        <v>20</v>
      </c>
      <c r="Q687">
        <v>20220223</v>
      </c>
    </row>
    <row r="688" spans="1:17" x14ac:dyDescent="0.25">
      <c r="A688" t="s">
        <v>548</v>
      </c>
      <c r="B688" t="s">
        <v>429</v>
      </c>
      <c r="C688">
        <v>21</v>
      </c>
      <c r="D688">
        <v>20220223</v>
      </c>
      <c r="E688">
        <f t="shared" si="10"/>
        <v>2</v>
      </c>
      <c r="F688">
        <v>411100</v>
      </c>
      <c r="G688" t="s">
        <v>18</v>
      </c>
      <c r="H688" t="s">
        <v>657</v>
      </c>
      <c r="I688" t="s">
        <v>658</v>
      </c>
      <c r="J688">
        <v>335760</v>
      </c>
      <c r="K688">
        <v>20220223</v>
      </c>
      <c r="L688" t="s">
        <v>1188</v>
      </c>
      <c r="M688">
        <v>0</v>
      </c>
      <c r="N688">
        <v>3.5</v>
      </c>
      <c r="O688" t="s">
        <v>22</v>
      </c>
      <c r="P688">
        <v>20230218</v>
      </c>
      <c r="Q688">
        <v>20220223</v>
      </c>
    </row>
    <row r="689" spans="1:17" x14ac:dyDescent="0.25">
      <c r="A689" t="s">
        <v>548</v>
      </c>
      <c r="B689" t="s">
        <v>429</v>
      </c>
      <c r="C689">
        <v>21</v>
      </c>
      <c r="D689">
        <v>20220223</v>
      </c>
      <c r="E689">
        <f t="shared" si="10"/>
        <v>2</v>
      </c>
      <c r="F689">
        <v>411100</v>
      </c>
      <c r="G689" t="s">
        <v>18</v>
      </c>
      <c r="H689" t="s">
        <v>263</v>
      </c>
      <c r="I689" t="s">
        <v>264</v>
      </c>
      <c r="J689">
        <v>335761</v>
      </c>
      <c r="K689">
        <v>20220223</v>
      </c>
      <c r="L689" t="s">
        <v>1189</v>
      </c>
      <c r="M689">
        <v>0</v>
      </c>
      <c r="N689">
        <v>2</v>
      </c>
      <c r="O689" t="s">
        <v>19</v>
      </c>
      <c r="P689" t="s">
        <v>20</v>
      </c>
      <c r="Q689">
        <v>20220223</v>
      </c>
    </row>
    <row r="690" spans="1:17" x14ac:dyDescent="0.25">
      <c r="A690" t="s">
        <v>548</v>
      </c>
      <c r="B690" t="s">
        <v>429</v>
      </c>
      <c r="C690">
        <v>21</v>
      </c>
      <c r="D690">
        <v>20220223</v>
      </c>
      <c r="E690">
        <f t="shared" si="10"/>
        <v>2</v>
      </c>
      <c r="F690">
        <v>411100</v>
      </c>
      <c r="G690" t="s">
        <v>18</v>
      </c>
      <c r="H690" t="s">
        <v>105</v>
      </c>
      <c r="I690" t="s">
        <v>106</v>
      </c>
      <c r="J690">
        <v>335762</v>
      </c>
      <c r="K690">
        <v>20220223</v>
      </c>
      <c r="L690" t="s">
        <v>1190</v>
      </c>
      <c r="M690">
        <v>0</v>
      </c>
      <c r="N690">
        <v>4</v>
      </c>
      <c r="O690" t="s">
        <v>19</v>
      </c>
      <c r="P690" t="s">
        <v>20</v>
      </c>
      <c r="Q690">
        <v>20220223</v>
      </c>
    </row>
    <row r="691" spans="1:17" x14ac:dyDescent="0.25">
      <c r="A691" t="s">
        <v>548</v>
      </c>
      <c r="B691" t="s">
        <v>429</v>
      </c>
      <c r="C691">
        <v>21</v>
      </c>
      <c r="D691">
        <v>20220223</v>
      </c>
      <c r="E691">
        <f t="shared" si="10"/>
        <v>2</v>
      </c>
      <c r="F691">
        <v>411100</v>
      </c>
      <c r="G691" t="s">
        <v>18</v>
      </c>
      <c r="H691" t="s">
        <v>1062</v>
      </c>
      <c r="I691" t="s">
        <v>1063</v>
      </c>
      <c r="J691">
        <v>335763</v>
      </c>
      <c r="K691">
        <v>20220223</v>
      </c>
      <c r="L691" t="s">
        <v>1191</v>
      </c>
      <c r="M691">
        <v>0</v>
      </c>
      <c r="N691">
        <v>4</v>
      </c>
      <c r="O691" t="s">
        <v>22</v>
      </c>
      <c r="P691">
        <v>20230218</v>
      </c>
      <c r="Q691">
        <v>20220223</v>
      </c>
    </row>
    <row r="692" spans="1:17" x14ac:dyDescent="0.25">
      <c r="A692" t="s">
        <v>548</v>
      </c>
      <c r="B692" t="s">
        <v>429</v>
      </c>
      <c r="C692">
        <v>21</v>
      </c>
      <c r="D692">
        <v>20220223</v>
      </c>
      <c r="E692">
        <f t="shared" si="10"/>
        <v>2</v>
      </c>
      <c r="F692">
        <v>411100</v>
      </c>
      <c r="G692" t="s">
        <v>18</v>
      </c>
      <c r="H692" t="s">
        <v>81</v>
      </c>
      <c r="I692" t="s">
        <v>82</v>
      </c>
      <c r="J692">
        <v>335764</v>
      </c>
      <c r="K692">
        <v>20220223</v>
      </c>
      <c r="L692" t="s">
        <v>1192</v>
      </c>
      <c r="M692">
        <v>0</v>
      </c>
      <c r="N692">
        <v>1.5</v>
      </c>
      <c r="O692" t="s">
        <v>19</v>
      </c>
      <c r="P692" t="s">
        <v>20</v>
      </c>
      <c r="Q692">
        <v>20220223</v>
      </c>
    </row>
    <row r="693" spans="1:17" x14ac:dyDescent="0.25">
      <c r="A693" t="s">
        <v>548</v>
      </c>
      <c r="B693" t="s">
        <v>429</v>
      </c>
      <c r="C693">
        <v>21</v>
      </c>
      <c r="D693">
        <v>20220223</v>
      </c>
      <c r="E693">
        <f t="shared" si="10"/>
        <v>2</v>
      </c>
      <c r="F693">
        <v>411100</v>
      </c>
      <c r="G693" t="s">
        <v>18</v>
      </c>
      <c r="H693" t="s">
        <v>217</v>
      </c>
      <c r="I693" t="s">
        <v>218</v>
      </c>
      <c r="J693">
        <v>335765</v>
      </c>
      <c r="K693">
        <v>20220223</v>
      </c>
      <c r="L693" t="s">
        <v>1193</v>
      </c>
      <c r="M693">
        <v>0</v>
      </c>
      <c r="N693">
        <v>1.5</v>
      </c>
      <c r="O693" t="s">
        <v>19</v>
      </c>
      <c r="P693" t="s">
        <v>20</v>
      </c>
      <c r="Q693">
        <v>20220223</v>
      </c>
    </row>
    <row r="694" spans="1:17" x14ac:dyDescent="0.25">
      <c r="A694" t="s">
        <v>548</v>
      </c>
      <c r="B694" t="s">
        <v>429</v>
      </c>
      <c r="C694">
        <v>21</v>
      </c>
      <c r="D694">
        <v>20220223</v>
      </c>
      <c r="E694">
        <f t="shared" si="10"/>
        <v>2</v>
      </c>
      <c r="F694">
        <v>531105</v>
      </c>
      <c r="G694" t="s">
        <v>429</v>
      </c>
      <c r="H694" t="s">
        <v>401</v>
      </c>
      <c r="I694" t="s">
        <v>402</v>
      </c>
      <c r="J694">
        <v>335766</v>
      </c>
      <c r="K694">
        <v>20220223</v>
      </c>
      <c r="L694" t="s">
        <v>565</v>
      </c>
      <c r="M694">
        <v>89.5</v>
      </c>
      <c r="N694">
        <v>0</v>
      </c>
      <c r="O694" t="s">
        <v>19</v>
      </c>
      <c r="P694" t="s">
        <v>20</v>
      </c>
      <c r="Q694">
        <v>20220223</v>
      </c>
    </row>
    <row r="695" spans="1:17" x14ac:dyDescent="0.25">
      <c r="A695" t="s">
        <v>548</v>
      </c>
      <c r="B695" t="s">
        <v>429</v>
      </c>
      <c r="C695">
        <v>21</v>
      </c>
      <c r="D695">
        <v>20220224</v>
      </c>
      <c r="E695">
        <f t="shared" si="10"/>
        <v>2</v>
      </c>
      <c r="F695">
        <v>467100</v>
      </c>
      <c r="G695" t="s">
        <v>160</v>
      </c>
      <c r="H695" t="s">
        <v>170</v>
      </c>
      <c r="I695" t="s">
        <v>171</v>
      </c>
      <c r="J695" t="s">
        <v>1194</v>
      </c>
      <c r="K695">
        <v>20220224</v>
      </c>
      <c r="L695" t="s">
        <v>1195</v>
      </c>
      <c r="M695">
        <v>1.8</v>
      </c>
      <c r="N695">
        <v>0</v>
      </c>
      <c r="O695" t="s">
        <v>23</v>
      </c>
      <c r="P695">
        <v>20220321</v>
      </c>
      <c r="Q695">
        <v>20220224</v>
      </c>
    </row>
    <row r="696" spans="1:17" x14ac:dyDescent="0.25">
      <c r="A696" t="s">
        <v>548</v>
      </c>
      <c r="B696" t="s">
        <v>429</v>
      </c>
      <c r="C696">
        <v>21</v>
      </c>
      <c r="D696">
        <v>20220224</v>
      </c>
      <c r="E696">
        <f t="shared" si="10"/>
        <v>2</v>
      </c>
      <c r="F696">
        <v>531105</v>
      </c>
      <c r="G696" t="s">
        <v>429</v>
      </c>
      <c r="H696" t="s">
        <v>401</v>
      </c>
      <c r="I696" t="s">
        <v>402</v>
      </c>
      <c r="J696" t="s">
        <v>1194</v>
      </c>
      <c r="K696">
        <v>20220224</v>
      </c>
      <c r="L696" t="s">
        <v>1195</v>
      </c>
      <c r="M696">
        <v>0</v>
      </c>
      <c r="N696">
        <v>1.8</v>
      </c>
      <c r="O696" t="s">
        <v>19</v>
      </c>
      <c r="P696" t="s">
        <v>20</v>
      </c>
      <c r="Q696">
        <v>20220224</v>
      </c>
    </row>
    <row r="697" spans="1:17" x14ac:dyDescent="0.25">
      <c r="A697" t="s">
        <v>548</v>
      </c>
      <c r="B697" t="s">
        <v>429</v>
      </c>
      <c r="C697">
        <v>21</v>
      </c>
      <c r="D697">
        <v>20220224</v>
      </c>
      <c r="E697">
        <f t="shared" si="10"/>
        <v>2</v>
      </c>
      <c r="F697">
        <v>411100</v>
      </c>
      <c r="G697" t="s">
        <v>18</v>
      </c>
      <c r="H697" t="s">
        <v>105</v>
      </c>
      <c r="I697" t="s">
        <v>106</v>
      </c>
      <c r="J697">
        <v>336252</v>
      </c>
      <c r="K697">
        <v>20220224</v>
      </c>
      <c r="L697" t="s">
        <v>1196</v>
      </c>
      <c r="M697">
        <v>0</v>
      </c>
      <c r="N697">
        <v>24</v>
      </c>
      <c r="O697" t="s">
        <v>19</v>
      </c>
      <c r="P697" t="s">
        <v>20</v>
      </c>
      <c r="Q697">
        <v>20220224</v>
      </c>
    </row>
    <row r="698" spans="1:17" x14ac:dyDescent="0.25">
      <c r="A698" t="s">
        <v>548</v>
      </c>
      <c r="B698" t="s">
        <v>429</v>
      </c>
      <c r="C698">
        <v>21</v>
      </c>
      <c r="D698">
        <v>20220224</v>
      </c>
      <c r="E698">
        <f t="shared" si="10"/>
        <v>2</v>
      </c>
      <c r="F698">
        <v>411100</v>
      </c>
      <c r="G698" t="s">
        <v>18</v>
      </c>
      <c r="H698" t="s">
        <v>194</v>
      </c>
      <c r="I698" t="s">
        <v>195</v>
      </c>
      <c r="J698">
        <v>336253</v>
      </c>
      <c r="K698">
        <v>20220224</v>
      </c>
      <c r="L698" t="s">
        <v>1197</v>
      </c>
      <c r="M698">
        <v>0</v>
      </c>
      <c r="N698">
        <v>14.2</v>
      </c>
      <c r="O698" t="s">
        <v>22</v>
      </c>
      <c r="P698">
        <v>20220327</v>
      </c>
      <c r="Q698">
        <v>20220224</v>
      </c>
    </row>
    <row r="699" spans="1:17" x14ac:dyDescent="0.25">
      <c r="A699" t="s">
        <v>548</v>
      </c>
      <c r="B699" t="s">
        <v>429</v>
      </c>
      <c r="C699">
        <v>21</v>
      </c>
      <c r="D699">
        <v>20220224</v>
      </c>
      <c r="E699">
        <f t="shared" si="10"/>
        <v>2</v>
      </c>
      <c r="F699">
        <v>531105</v>
      </c>
      <c r="G699" t="s">
        <v>429</v>
      </c>
      <c r="H699" t="s">
        <v>401</v>
      </c>
      <c r="I699" t="s">
        <v>402</v>
      </c>
      <c r="J699">
        <v>336254</v>
      </c>
      <c r="K699">
        <v>20220224</v>
      </c>
      <c r="L699" t="s">
        <v>565</v>
      </c>
      <c r="M699">
        <v>38.200000000000003</v>
      </c>
      <c r="N699">
        <v>0</v>
      </c>
      <c r="O699" t="s">
        <v>19</v>
      </c>
      <c r="P699" t="s">
        <v>20</v>
      </c>
      <c r="Q699">
        <v>20220224</v>
      </c>
    </row>
    <row r="700" spans="1:17" x14ac:dyDescent="0.25">
      <c r="A700" t="s">
        <v>548</v>
      </c>
      <c r="B700" t="s">
        <v>429</v>
      </c>
      <c r="C700">
        <v>21</v>
      </c>
      <c r="D700">
        <v>20220224</v>
      </c>
      <c r="E700">
        <f t="shared" si="10"/>
        <v>2</v>
      </c>
      <c r="F700">
        <v>411100</v>
      </c>
      <c r="G700" t="s">
        <v>18</v>
      </c>
      <c r="H700" t="s">
        <v>105</v>
      </c>
      <c r="I700" t="s">
        <v>106</v>
      </c>
      <c r="J700">
        <v>336302</v>
      </c>
      <c r="K700">
        <v>20220224</v>
      </c>
      <c r="L700" t="s">
        <v>1198</v>
      </c>
      <c r="M700">
        <v>36</v>
      </c>
      <c r="N700">
        <v>0</v>
      </c>
      <c r="O700" t="s">
        <v>22</v>
      </c>
      <c r="P700">
        <v>20220327</v>
      </c>
      <c r="Q700">
        <v>20220224</v>
      </c>
    </row>
    <row r="701" spans="1:17" x14ac:dyDescent="0.25">
      <c r="A701" t="s">
        <v>548</v>
      </c>
      <c r="B701" t="s">
        <v>429</v>
      </c>
      <c r="C701">
        <v>21</v>
      </c>
      <c r="D701">
        <v>20220224</v>
      </c>
      <c r="E701">
        <f t="shared" si="10"/>
        <v>2</v>
      </c>
      <c r="F701">
        <v>531105</v>
      </c>
      <c r="G701" t="s">
        <v>429</v>
      </c>
      <c r="H701" t="s">
        <v>401</v>
      </c>
      <c r="I701" t="s">
        <v>402</v>
      </c>
      <c r="J701">
        <v>336303</v>
      </c>
      <c r="K701">
        <v>20220224</v>
      </c>
      <c r="L701" t="s">
        <v>565</v>
      </c>
      <c r="M701">
        <v>0</v>
      </c>
      <c r="N701">
        <v>36</v>
      </c>
      <c r="O701" t="s">
        <v>19</v>
      </c>
      <c r="P701" t="s">
        <v>20</v>
      </c>
      <c r="Q701">
        <v>20220224</v>
      </c>
    </row>
    <row r="702" spans="1:17" x14ac:dyDescent="0.25">
      <c r="A702" t="s">
        <v>548</v>
      </c>
      <c r="B702" t="s">
        <v>429</v>
      </c>
      <c r="C702">
        <v>21</v>
      </c>
      <c r="D702">
        <v>20220225</v>
      </c>
      <c r="E702">
        <f t="shared" si="10"/>
        <v>2</v>
      </c>
      <c r="F702">
        <v>467100</v>
      </c>
      <c r="G702" t="s">
        <v>160</v>
      </c>
      <c r="H702" t="s">
        <v>183</v>
      </c>
      <c r="I702" t="s">
        <v>184</v>
      </c>
      <c r="J702" t="s">
        <v>1199</v>
      </c>
      <c r="K702">
        <v>20220225</v>
      </c>
      <c r="L702" t="s">
        <v>1200</v>
      </c>
      <c r="M702">
        <v>300</v>
      </c>
      <c r="N702">
        <v>0</v>
      </c>
      <c r="O702" t="s">
        <v>23</v>
      </c>
      <c r="P702">
        <v>20220325</v>
      </c>
      <c r="Q702">
        <v>20220225</v>
      </c>
    </row>
    <row r="703" spans="1:17" x14ac:dyDescent="0.25">
      <c r="A703" t="s">
        <v>548</v>
      </c>
      <c r="B703" t="s">
        <v>429</v>
      </c>
      <c r="C703">
        <v>21</v>
      </c>
      <c r="D703">
        <v>20220225</v>
      </c>
      <c r="E703">
        <f t="shared" si="10"/>
        <v>2</v>
      </c>
      <c r="F703">
        <v>531105</v>
      </c>
      <c r="G703" t="s">
        <v>429</v>
      </c>
      <c r="H703" t="s">
        <v>401</v>
      </c>
      <c r="I703" t="s">
        <v>402</v>
      </c>
      <c r="J703" t="s">
        <v>1199</v>
      </c>
      <c r="K703">
        <v>20220225</v>
      </c>
      <c r="L703" t="s">
        <v>1200</v>
      </c>
      <c r="M703">
        <v>0</v>
      </c>
      <c r="N703">
        <v>300</v>
      </c>
      <c r="O703" t="s">
        <v>19</v>
      </c>
      <c r="P703" t="s">
        <v>20</v>
      </c>
      <c r="Q703">
        <v>20220225</v>
      </c>
    </row>
    <row r="704" spans="1:17" x14ac:dyDescent="0.25">
      <c r="A704" t="s">
        <v>548</v>
      </c>
      <c r="B704" t="s">
        <v>429</v>
      </c>
      <c r="C704">
        <v>21</v>
      </c>
      <c r="D704">
        <v>20220225</v>
      </c>
      <c r="E704">
        <f t="shared" si="10"/>
        <v>2</v>
      </c>
      <c r="F704">
        <v>467100</v>
      </c>
      <c r="G704" t="s">
        <v>160</v>
      </c>
      <c r="H704" t="s">
        <v>1201</v>
      </c>
      <c r="I704" t="s">
        <v>1202</v>
      </c>
      <c r="J704" t="s">
        <v>1203</v>
      </c>
      <c r="K704">
        <v>20220225</v>
      </c>
      <c r="L704" t="s">
        <v>1204</v>
      </c>
      <c r="M704">
        <v>160</v>
      </c>
      <c r="N704">
        <v>0</v>
      </c>
      <c r="O704" t="s">
        <v>23</v>
      </c>
      <c r="P704">
        <v>20220321</v>
      </c>
      <c r="Q704">
        <v>20220225</v>
      </c>
    </row>
    <row r="705" spans="1:17" x14ac:dyDescent="0.25">
      <c r="A705" t="s">
        <v>548</v>
      </c>
      <c r="B705" t="s">
        <v>429</v>
      </c>
      <c r="C705">
        <v>21</v>
      </c>
      <c r="D705">
        <v>20220225</v>
      </c>
      <c r="E705">
        <f t="shared" si="10"/>
        <v>2</v>
      </c>
      <c r="F705">
        <v>531105</v>
      </c>
      <c r="G705" t="s">
        <v>429</v>
      </c>
      <c r="H705" t="s">
        <v>401</v>
      </c>
      <c r="I705" t="s">
        <v>402</v>
      </c>
      <c r="J705" t="s">
        <v>1203</v>
      </c>
      <c r="K705">
        <v>20220225</v>
      </c>
      <c r="L705" t="s">
        <v>1204</v>
      </c>
      <c r="M705">
        <v>0</v>
      </c>
      <c r="N705">
        <v>160</v>
      </c>
      <c r="O705" t="s">
        <v>19</v>
      </c>
      <c r="P705" t="s">
        <v>20</v>
      </c>
      <c r="Q705">
        <v>20220225</v>
      </c>
    </row>
    <row r="706" spans="1:17" x14ac:dyDescent="0.25">
      <c r="A706" t="s">
        <v>548</v>
      </c>
      <c r="B706" t="s">
        <v>429</v>
      </c>
      <c r="C706">
        <v>21</v>
      </c>
      <c r="D706">
        <v>20220225</v>
      </c>
      <c r="E706">
        <f t="shared" si="10"/>
        <v>2</v>
      </c>
      <c r="F706">
        <v>467100</v>
      </c>
      <c r="G706" t="s">
        <v>160</v>
      </c>
      <c r="H706" t="s">
        <v>1201</v>
      </c>
      <c r="I706" t="s">
        <v>1202</v>
      </c>
      <c r="J706" t="s">
        <v>1205</v>
      </c>
      <c r="K706">
        <v>20220225</v>
      </c>
      <c r="L706" t="s">
        <v>1206</v>
      </c>
      <c r="M706">
        <v>0</v>
      </c>
      <c r="N706">
        <v>40</v>
      </c>
      <c r="O706" t="s">
        <v>23</v>
      </c>
      <c r="P706">
        <v>20220321</v>
      </c>
      <c r="Q706">
        <v>20220225</v>
      </c>
    </row>
    <row r="707" spans="1:17" x14ac:dyDescent="0.25">
      <c r="A707" t="s">
        <v>548</v>
      </c>
      <c r="B707" t="s">
        <v>429</v>
      </c>
      <c r="C707">
        <v>21</v>
      </c>
      <c r="D707">
        <v>20220225</v>
      </c>
      <c r="E707">
        <f t="shared" ref="E707:E770" si="11">VALUE(MID(D707,5,2))</f>
        <v>2</v>
      </c>
      <c r="F707">
        <v>531105</v>
      </c>
      <c r="G707" t="s">
        <v>429</v>
      </c>
      <c r="H707" t="s">
        <v>401</v>
      </c>
      <c r="I707" t="s">
        <v>402</v>
      </c>
      <c r="J707" t="s">
        <v>1205</v>
      </c>
      <c r="K707">
        <v>20220225</v>
      </c>
      <c r="L707" t="s">
        <v>1206</v>
      </c>
      <c r="M707">
        <v>40</v>
      </c>
      <c r="N707">
        <v>0</v>
      </c>
      <c r="O707" t="s">
        <v>19</v>
      </c>
      <c r="P707" t="s">
        <v>20</v>
      </c>
      <c r="Q707">
        <v>20220225</v>
      </c>
    </row>
    <row r="708" spans="1:17" x14ac:dyDescent="0.25">
      <c r="A708" t="s">
        <v>548</v>
      </c>
      <c r="B708" t="s">
        <v>429</v>
      </c>
      <c r="C708">
        <v>21</v>
      </c>
      <c r="D708">
        <v>20220228</v>
      </c>
      <c r="E708">
        <f t="shared" si="11"/>
        <v>2</v>
      </c>
      <c r="F708">
        <v>467100</v>
      </c>
      <c r="G708" t="s">
        <v>160</v>
      </c>
      <c r="H708" t="s">
        <v>1201</v>
      </c>
      <c r="I708" t="s">
        <v>1202</v>
      </c>
      <c r="J708" t="s">
        <v>1207</v>
      </c>
      <c r="K708">
        <v>20220228</v>
      </c>
      <c r="L708" t="s">
        <v>1208</v>
      </c>
      <c r="M708">
        <v>50.25</v>
      </c>
      <c r="N708">
        <v>0</v>
      </c>
      <c r="O708" t="s">
        <v>23</v>
      </c>
      <c r="P708">
        <v>20220321</v>
      </c>
      <c r="Q708">
        <v>20220228</v>
      </c>
    </row>
    <row r="709" spans="1:17" x14ac:dyDescent="0.25">
      <c r="A709" t="s">
        <v>548</v>
      </c>
      <c r="B709" t="s">
        <v>429</v>
      </c>
      <c r="C709">
        <v>21</v>
      </c>
      <c r="D709">
        <v>20220228</v>
      </c>
      <c r="E709">
        <f t="shared" si="11"/>
        <v>2</v>
      </c>
      <c r="F709">
        <v>531105</v>
      </c>
      <c r="G709" t="s">
        <v>429</v>
      </c>
      <c r="H709" t="s">
        <v>401</v>
      </c>
      <c r="I709" t="s">
        <v>402</v>
      </c>
      <c r="J709" t="s">
        <v>1207</v>
      </c>
      <c r="K709">
        <v>20220228</v>
      </c>
      <c r="L709" t="s">
        <v>1208</v>
      </c>
      <c r="M709">
        <v>0</v>
      </c>
      <c r="N709">
        <v>50.25</v>
      </c>
      <c r="O709" t="s">
        <v>19</v>
      </c>
      <c r="P709" t="s">
        <v>20</v>
      </c>
      <c r="Q709">
        <v>20220228</v>
      </c>
    </row>
    <row r="710" spans="1:17" x14ac:dyDescent="0.25">
      <c r="A710" t="s">
        <v>548</v>
      </c>
      <c r="B710" t="s">
        <v>429</v>
      </c>
      <c r="C710">
        <v>21</v>
      </c>
      <c r="D710">
        <v>20220228</v>
      </c>
      <c r="E710">
        <f t="shared" si="11"/>
        <v>2</v>
      </c>
      <c r="F710">
        <v>467100</v>
      </c>
      <c r="G710" t="s">
        <v>160</v>
      </c>
      <c r="H710" t="s">
        <v>316</v>
      </c>
      <c r="I710" t="s">
        <v>317</v>
      </c>
      <c r="J710" t="s">
        <v>1209</v>
      </c>
      <c r="K710">
        <v>20220228</v>
      </c>
      <c r="L710" t="s">
        <v>1210</v>
      </c>
      <c r="M710">
        <v>0</v>
      </c>
      <c r="N710">
        <v>30</v>
      </c>
      <c r="O710" t="s">
        <v>23</v>
      </c>
      <c r="P710">
        <v>20220321</v>
      </c>
      <c r="Q710">
        <v>20220228</v>
      </c>
    </row>
    <row r="711" spans="1:17" x14ac:dyDescent="0.25">
      <c r="A711" t="s">
        <v>548</v>
      </c>
      <c r="B711" t="s">
        <v>429</v>
      </c>
      <c r="C711">
        <v>21</v>
      </c>
      <c r="D711">
        <v>20220228</v>
      </c>
      <c r="E711">
        <f t="shared" si="11"/>
        <v>2</v>
      </c>
      <c r="F711">
        <v>531105</v>
      </c>
      <c r="G711" t="s">
        <v>429</v>
      </c>
      <c r="H711" t="s">
        <v>401</v>
      </c>
      <c r="I711" t="s">
        <v>402</v>
      </c>
      <c r="J711" t="s">
        <v>1209</v>
      </c>
      <c r="K711">
        <v>20220228</v>
      </c>
      <c r="L711" t="s">
        <v>1210</v>
      </c>
      <c r="M711">
        <v>30</v>
      </c>
      <c r="N711">
        <v>0</v>
      </c>
      <c r="O711" t="s">
        <v>19</v>
      </c>
      <c r="P711" t="s">
        <v>20</v>
      </c>
      <c r="Q711">
        <v>20220228</v>
      </c>
    </row>
    <row r="712" spans="1:17" x14ac:dyDescent="0.25">
      <c r="A712" t="s">
        <v>548</v>
      </c>
      <c r="B712" t="s">
        <v>429</v>
      </c>
      <c r="C712">
        <v>21</v>
      </c>
      <c r="D712">
        <v>20220228</v>
      </c>
      <c r="E712">
        <f t="shared" si="11"/>
        <v>2</v>
      </c>
      <c r="F712">
        <v>411100</v>
      </c>
      <c r="G712" t="s">
        <v>18</v>
      </c>
      <c r="H712" t="s">
        <v>352</v>
      </c>
      <c r="I712" t="s">
        <v>353</v>
      </c>
      <c r="J712">
        <v>336255</v>
      </c>
      <c r="K712">
        <v>20220228</v>
      </c>
      <c r="L712" t="s">
        <v>1211</v>
      </c>
      <c r="M712">
        <v>0</v>
      </c>
      <c r="N712">
        <v>45</v>
      </c>
      <c r="O712" t="s">
        <v>19</v>
      </c>
      <c r="P712" t="s">
        <v>20</v>
      </c>
      <c r="Q712">
        <v>20220228</v>
      </c>
    </row>
    <row r="713" spans="1:17" x14ac:dyDescent="0.25">
      <c r="A713" t="s">
        <v>548</v>
      </c>
      <c r="B713" t="s">
        <v>429</v>
      </c>
      <c r="C713">
        <v>21</v>
      </c>
      <c r="D713">
        <v>20220228</v>
      </c>
      <c r="E713">
        <f t="shared" si="11"/>
        <v>2</v>
      </c>
      <c r="F713">
        <v>411100</v>
      </c>
      <c r="G713" t="s">
        <v>18</v>
      </c>
      <c r="H713" t="s">
        <v>73</v>
      </c>
      <c r="I713" t="s">
        <v>74</v>
      </c>
      <c r="J713">
        <v>336256</v>
      </c>
      <c r="K713">
        <v>20220228</v>
      </c>
      <c r="L713" t="s">
        <v>1212</v>
      </c>
      <c r="M713">
        <v>0</v>
      </c>
      <c r="N713">
        <v>4</v>
      </c>
      <c r="O713" t="s">
        <v>19</v>
      </c>
      <c r="P713" t="s">
        <v>20</v>
      </c>
      <c r="Q713">
        <v>20220228</v>
      </c>
    </row>
    <row r="714" spans="1:17" x14ac:dyDescent="0.25">
      <c r="A714" t="s">
        <v>548</v>
      </c>
      <c r="B714" t="s">
        <v>429</v>
      </c>
      <c r="C714">
        <v>21</v>
      </c>
      <c r="D714">
        <v>20220228</v>
      </c>
      <c r="E714">
        <f t="shared" si="11"/>
        <v>2</v>
      </c>
      <c r="F714">
        <v>411100</v>
      </c>
      <c r="G714" t="s">
        <v>18</v>
      </c>
      <c r="H714" t="s">
        <v>85</v>
      </c>
      <c r="I714" t="s">
        <v>86</v>
      </c>
      <c r="J714">
        <v>336257</v>
      </c>
      <c r="K714">
        <v>20220228</v>
      </c>
      <c r="L714" t="s">
        <v>1213</v>
      </c>
      <c r="M714">
        <v>0</v>
      </c>
      <c r="N714">
        <v>2</v>
      </c>
      <c r="O714" t="s">
        <v>19</v>
      </c>
      <c r="P714" t="s">
        <v>20</v>
      </c>
      <c r="Q714">
        <v>20220228</v>
      </c>
    </row>
    <row r="715" spans="1:17" x14ac:dyDescent="0.25">
      <c r="A715" t="s">
        <v>548</v>
      </c>
      <c r="B715" t="s">
        <v>429</v>
      </c>
      <c r="C715">
        <v>21</v>
      </c>
      <c r="D715">
        <v>20220228</v>
      </c>
      <c r="E715">
        <f t="shared" si="11"/>
        <v>2</v>
      </c>
      <c r="F715">
        <v>411100</v>
      </c>
      <c r="G715" t="s">
        <v>18</v>
      </c>
      <c r="H715" t="s">
        <v>1037</v>
      </c>
      <c r="I715" t="s">
        <v>1038</v>
      </c>
      <c r="J715">
        <v>336258</v>
      </c>
      <c r="K715">
        <v>20220228</v>
      </c>
      <c r="L715" t="s">
        <v>1214</v>
      </c>
      <c r="M715">
        <v>0</v>
      </c>
      <c r="N715">
        <v>2</v>
      </c>
      <c r="O715" t="s">
        <v>22</v>
      </c>
      <c r="P715">
        <v>20230218</v>
      </c>
      <c r="Q715">
        <v>20220228</v>
      </c>
    </row>
    <row r="716" spans="1:17" x14ac:dyDescent="0.25">
      <c r="A716" t="s">
        <v>548</v>
      </c>
      <c r="B716" t="s">
        <v>429</v>
      </c>
      <c r="C716">
        <v>21</v>
      </c>
      <c r="D716">
        <v>20220228</v>
      </c>
      <c r="E716">
        <f t="shared" si="11"/>
        <v>2</v>
      </c>
      <c r="F716">
        <v>411100</v>
      </c>
      <c r="G716" t="s">
        <v>18</v>
      </c>
      <c r="H716" t="s">
        <v>1037</v>
      </c>
      <c r="I716" t="s">
        <v>1038</v>
      </c>
      <c r="J716">
        <v>336259</v>
      </c>
      <c r="K716">
        <v>20220228</v>
      </c>
      <c r="L716" t="s">
        <v>1215</v>
      </c>
      <c r="M716">
        <v>0</v>
      </c>
      <c r="N716">
        <v>3.5</v>
      </c>
      <c r="O716" t="s">
        <v>22</v>
      </c>
      <c r="P716">
        <v>20230218</v>
      </c>
      <c r="Q716">
        <v>20220228</v>
      </c>
    </row>
    <row r="717" spans="1:17" x14ac:dyDescent="0.25">
      <c r="A717" t="s">
        <v>548</v>
      </c>
      <c r="B717" t="s">
        <v>429</v>
      </c>
      <c r="C717">
        <v>21</v>
      </c>
      <c r="D717">
        <v>20220228</v>
      </c>
      <c r="E717">
        <f t="shared" si="11"/>
        <v>2</v>
      </c>
      <c r="F717">
        <v>411100</v>
      </c>
      <c r="G717" t="s">
        <v>18</v>
      </c>
      <c r="H717" t="s">
        <v>85</v>
      </c>
      <c r="I717" t="s">
        <v>86</v>
      </c>
      <c r="J717">
        <v>336260</v>
      </c>
      <c r="K717">
        <v>20220228</v>
      </c>
      <c r="L717" t="s">
        <v>1216</v>
      </c>
      <c r="M717">
        <v>0</v>
      </c>
      <c r="N717">
        <v>1.5</v>
      </c>
      <c r="O717" t="s">
        <v>19</v>
      </c>
      <c r="P717" t="s">
        <v>20</v>
      </c>
      <c r="Q717">
        <v>20220228</v>
      </c>
    </row>
    <row r="718" spans="1:17" x14ac:dyDescent="0.25">
      <c r="A718" t="s">
        <v>548</v>
      </c>
      <c r="B718" t="s">
        <v>429</v>
      </c>
      <c r="C718">
        <v>21</v>
      </c>
      <c r="D718">
        <v>20220228</v>
      </c>
      <c r="E718">
        <f t="shared" si="11"/>
        <v>2</v>
      </c>
      <c r="F718">
        <v>411100</v>
      </c>
      <c r="G718" t="s">
        <v>18</v>
      </c>
      <c r="H718" t="s">
        <v>154</v>
      </c>
      <c r="I718" t="s">
        <v>155</v>
      </c>
      <c r="J718">
        <v>336261</v>
      </c>
      <c r="K718">
        <v>20220228</v>
      </c>
      <c r="L718" t="s">
        <v>1217</v>
      </c>
      <c r="M718">
        <v>0</v>
      </c>
      <c r="N718">
        <v>7</v>
      </c>
      <c r="O718" t="s">
        <v>19</v>
      </c>
      <c r="P718" t="s">
        <v>20</v>
      </c>
      <c r="Q718">
        <v>20220228</v>
      </c>
    </row>
    <row r="719" spans="1:17" x14ac:dyDescent="0.25">
      <c r="A719" t="s">
        <v>548</v>
      </c>
      <c r="B719" t="s">
        <v>429</v>
      </c>
      <c r="C719">
        <v>21</v>
      </c>
      <c r="D719">
        <v>20220228</v>
      </c>
      <c r="E719">
        <f t="shared" si="11"/>
        <v>2</v>
      </c>
      <c r="F719">
        <v>411100</v>
      </c>
      <c r="G719" t="s">
        <v>18</v>
      </c>
      <c r="H719" t="s">
        <v>73</v>
      </c>
      <c r="I719" t="s">
        <v>74</v>
      </c>
      <c r="J719">
        <v>336262</v>
      </c>
      <c r="K719">
        <v>20220228</v>
      </c>
      <c r="L719" t="s">
        <v>1218</v>
      </c>
      <c r="M719">
        <v>0</v>
      </c>
      <c r="N719">
        <v>1.5</v>
      </c>
      <c r="O719" t="s">
        <v>19</v>
      </c>
      <c r="P719" t="s">
        <v>20</v>
      </c>
      <c r="Q719">
        <v>20220228</v>
      </c>
    </row>
    <row r="720" spans="1:17" x14ac:dyDescent="0.25">
      <c r="A720" t="s">
        <v>548</v>
      </c>
      <c r="B720" t="s">
        <v>429</v>
      </c>
      <c r="C720">
        <v>21</v>
      </c>
      <c r="D720">
        <v>20220228</v>
      </c>
      <c r="E720">
        <f t="shared" si="11"/>
        <v>2</v>
      </c>
      <c r="F720">
        <v>411100</v>
      </c>
      <c r="G720" t="s">
        <v>18</v>
      </c>
      <c r="H720" t="s">
        <v>73</v>
      </c>
      <c r="I720" t="s">
        <v>74</v>
      </c>
      <c r="J720">
        <v>336263</v>
      </c>
      <c r="K720">
        <v>20220228</v>
      </c>
      <c r="L720" t="s">
        <v>1219</v>
      </c>
      <c r="M720">
        <v>0</v>
      </c>
      <c r="N720">
        <v>4</v>
      </c>
      <c r="O720" t="s">
        <v>19</v>
      </c>
      <c r="P720" t="s">
        <v>20</v>
      </c>
      <c r="Q720">
        <v>20220228</v>
      </c>
    </row>
    <row r="721" spans="1:17" x14ac:dyDescent="0.25">
      <c r="A721" t="s">
        <v>548</v>
      </c>
      <c r="B721" t="s">
        <v>429</v>
      </c>
      <c r="C721">
        <v>21</v>
      </c>
      <c r="D721">
        <v>20220228</v>
      </c>
      <c r="E721">
        <f t="shared" si="11"/>
        <v>2</v>
      </c>
      <c r="F721">
        <v>411100</v>
      </c>
      <c r="G721" t="s">
        <v>18</v>
      </c>
      <c r="H721" t="s">
        <v>1172</v>
      </c>
      <c r="I721" t="s">
        <v>1173</v>
      </c>
      <c r="J721">
        <v>336264</v>
      </c>
      <c r="K721">
        <v>20220228</v>
      </c>
      <c r="L721" t="s">
        <v>1220</v>
      </c>
      <c r="M721">
        <v>0</v>
      </c>
      <c r="N721">
        <v>4</v>
      </c>
      <c r="O721" t="s">
        <v>19</v>
      </c>
      <c r="P721" t="s">
        <v>20</v>
      </c>
      <c r="Q721">
        <v>20220228</v>
      </c>
    </row>
    <row r="722" spans="1:17" x14ac:dyDescent="0.25">
      <c r="A722" t="s">
        <v>548</v>
      </c>
      <c r="B722" t="s">
        <v>429</v>
      </c>
      <c r="C722">
        <v>21</v>
      </c>
      <c r="D722">
        <v>20220228</v>
      </c>
      <c r="E722">
        <f t="shared" si="11"/>
        <v>2</v>
      </c>
      <c r="F722">
        <v>411100</v>
      </c>
      <c r="G722" t="s">
        <v>18</v>
      </c>
      <c r="H722" t="s">
        <v>344</v>
      </c>
      <c r="I722" t="s">
        <v>345</v>
      </c>
      <c r="J722">
        <v>336265</v>
      </c>
      <c r="K722">
        <v>20220228</v>
      </c>
      <c r="L722" t="s">
        <v>1221</v>
      </c>
      <c r="M722">
        <v>0</v>
      </c>
      <c r="N722">
        <v>3.5</v>
      </c>
      <c r="O722" t="s">
        <v>22</v>
      </c>
      <c r="P722">
        <v>20230218</v>
      </c>
      <c r="Q722">
        <v>20220228</v>
      </c>
    </row>
    <row r="723" spans="1:17" x14ac:dyDescent="0.25">
      <c r="A723" t="s">
        <v>548</v>
      </c>
      <c r="B723" t="s">
        <v>429</v>
      </c>
      <c r="C723">
        <v>21</v>
      </c>
      <c r="D723">
        <v>20220228</v>
      </c>
      <c r="E723">
        <f t="shared" si="11"/>
        <v>2</v>
      </c>
      <c r="F723">
        <v>411100</v>
      </c>
      <c r="G723" t="s">
        <v>18</v>
      </c>
      <c r="H723" t="s">
        <v>1062</v>
      </c>
      <c r="I723" t="s">
        <v>1063</v>
      </c>
      <c r="J723">
        <v>336266</v>
      </c>
      <c r="K723">
        <v>20220228</v>
      </c>
      <c r="L723" t="s">
        <v>1222</v>
      </c>
      <c r="M723">
        <v>0</v>
      </c>
      <c r="N723">
        <v>2</v>
      </c>
      <c r="O723" t="s">
        <v>22</v>
      </c>
      <c r="P723">
        <v>20230218</v>
      </c>
      <c r="Q723">
        <v>20220228</v>
      </c>
    </row>
    <row r="724" spans="1:17" x14ac:dyDescent="0.25">
      <c r="A724" t="s">
        <v>548</v>
      </c>
      <c r="B724" t="s">
        <v>429</v>
      </c>
      <c r="C724">
        <v>21</v>
      </c>
      <c r="D724">
        <v>20220228</v>
      </c>
      <c r="E724">
        <f t="shared" si="11"/>
        <v>2</v>
      </c>
      <c r="F724">
        <v>411100</v>
      </c>
      <c r="G724" t="s">
        <v>18</v>
      </c>
      <c r="H724" t="s">
        <v>660</v>
      </c>
      <c r="I724" t="s">
        <v>661</v>
      </c>
      <c r="J724">
        <v>336267</v>
      </c>
      <c r="K724">
        <v>20220228</v>
      </c>
      <c r="L724" t="s">
        <v>1223</v>
      </c>
      <c r="M724">
        <v>0</v>
      </c>
      <c r="N724">
        <v>2</v>
      </c>
      <c r="O724" t="s">
        <v>19</v>
      </c>
      <c r="P724" t="s">
        <v>20</v>
      </c>
      <c r="Q724">
        <v>20220228</v>
      </c>
    </row>
    <row r="725" spans="1:17" x14ac:dyDescent="0.25">
      <c r="A725" t="s">
        <v>548</v>
      </c>
      <c r="B725" t="s">
        <v>429</v>
      </c>
      <c r="C725">
        <v>21</v>
      </c>
      <c r="D725">
        <v>20220228</v>
      </c>
      <c r="E725">
        <f t="shared" si="11"/>
        <v>2</v>
      </c>
      <c r="F725">
        <v>411100</v>
      </c>
      <c r="G725" t="s">
        <v>18</v>
      </c>
      <c r="H725" t="s">
        <v>81</v>
      </c>
      <c r="I725" t="s">
        <v>82</v>
      </c>
      <c r="J725">
        <v>336268</v>
      </c>
      <c r="K725">
        <v>20220228</v>
      </c>
      <c r="L725" t="s">
        <v>1224</v>
      </c>
      <c r="M725">
        <v>0</v>
      </c>
      <c r="N725">
        <v>2</v>
      </c>
      <c r="O725" t="s">
        <v>19</v>
      </c>
      <c r="P725" t="s">
        <v>20</v>
      </c>
      <c r="Q725">
        <v>20220228</v>
      </c>
    </row>
    <row r="726" spans="1:17" x14ac:dyDescent="0.25">
      <c r="A726" t="s">
        <v>548</v>
      </c>
      <c r="B726" t="s">
        <v>429</v>
      </c>
      <c r="C726">
        <v>21</v>
      </c>
      <c r="D726">
        <v>20220228</v>
      </c>
      <c r="E726">
        <f t="shared" si="11"/>
        <v>2</v>
      </c>
      <c r="F726">
        <v>411100</v>
      </c>
      <c r="G726" t="s">
        <v>18</v>
      </c>
      <c r="H726" t="s">
        <v>105</v>
      </c>
      <c r="I726" t="s">
        <v>106</v>
      </c>
      <c r="J726">
        <v>336269</v>
      </c>
      <c r="K726">
        <v>20220228</v>
      </c>
      <c r="L726" t="s">
        <v>1225</v>
      </c>
      <c r="M726">
        <v>0</v>
      </c>
      <c r="N726">
        <v>2</v>
      </c>
      <c r="O726" t="s">
        <v>19</v>
      </c>
      <c r="P726" t="s">
        <v>20</v>
      </c>
      <c r="Q726">
        <v>20220228</v>
      </c>
    </row>
    <row r="727" spans="1:17" x14ac:dyDescent="0.25">
      <c r="A727" t="s">
        <v>548</v>
      </c>
      <c r="B727" t="s">
        <v>429</v>
      </c>
      <c r="C727">
        <v>21</v>
      </c>
      <c r="D727">
        <v>20220228</v>
      </c>
      <c r="E727">
        <f t="shared" si="11"/>
        <v>2</v>
      </c>
      <c r="F727">
        <v>411100</v>
      </c>
      <c r="G727" t="s">
        <v>18</v>
      </c>
      <c r="H727" t="s">
        <v>105</v>
      </c>
      <c r="I727" t="s">
        <v>106</v>
      </c>
      <c r="J727">
        <v>336270</v>
      </c>
      <c r="K727">
        <v>20220228</v>
      </c>
      <c r="L727" t="s">
        <v>1226</v>
      </c>
      <c r="M727">
        <v>0</v>
      </c>
      <c r="N727">
        <v>2</v>
      </c>
      <c r="O727" t="s">
        <v>19</v>
      </c>
      <c r="P727" t="s">
        <v>20</v>
      </c>
      <c r="Q727">
        <v>20220228</v>
      </c>
    </row>
    <row r="728" spans="1:17" x14ac:dyDescent="0.25">
      <c r="A728" t="s">
        <v>548</v>
      </c>
      <c r="B728" t="s">
        <v>429</v>
      </c>
      <c r="C728">
        <v>21</v>
      </c>
      <c r="D728">
        <v>20220228</v>
      </c>
      <c r="E728">
        <f t="shared" si="11"/>
        <v>2</v>
      </c>
      <c r="F728">
        <v>411100</v>
      </c>
      <c r="G728" t="s">
        <v>18</v>
      </c>
      <c r="H728" t="s">
        <v>217</v>
      </c>
      <c r="I728" t="s">
        <v>218</v>
      </c>
      <c r="J728">
        <v>336271</v>
      </c>
      <c r="K728">
        <v>20220228</v>
      </c>
      <c r="L728" t="s">
        <v>1227</v>
      </c>
      <c r="M728">
        <v>0</v>
      </c>
      <c r="N728">
        <v>2</v>
      </c>
      <c r="O728" t="s">
        <v>19</v>
      </c>
      <c r="P728" t="s">
        <v>20</v>
      </c>
      <c r="Q728">
        <v>20220228</v>
      </c>
    </row>
    <row r="729" spans="1:17" x14ac:dyDescent="0.25">
      <c r="A729" t="s">
        <v>548</v>
      </c>
      <c r="B729" t="s">
        <v>429</v>
      </c>
      <c r="C729">
        <v>21</v>
      </c>
      <c r="D729">
        <v>20220228</v>
      </c>
      <c r="E729">
        <f t="shared" si="11"/>
        <v>2</v>
      </c>
      <c r="F729">
        <v>411100</v>
      </c>
      <c r="G729" t="s">
        <v>18</v>
      </c>
      <c r="H729" t="s">
        <v>657</v>
      </c>
      <c r="I729" t="s">
        <v>658</v>
      </c>
      <c r="J729">
        <v>336272</v>
      </c>
      <c r="K729">
        <v>20220228</v>
      </c>
      <c r="L729" t="s">
        <v>1228</v>
      </c>
      <c r="M729">
        <v>0</v>
      </c>
      <c r="N729">
        <v>2</v>
      </c>
      <c r="O729" t="s">
        <v>19</v>
      </c>
      <c r="P729" t="s">
        <v>20</v>
      </c>
      <c r="Q729">
        <v>20220228</v>
      </c>
    </row>
    <row r="730" spans="1:17" x14ac:dyDescent="0.25">
      <c r="A730" t="s">
        <v>548</v>
      </c>
      <c r="B730" t="s">
        <v>429</v>
      </c>
      <c r="C730">
        <v>21</v>
      </c>
      <c r="D730">
        <v>20220228</v>
      </c>
      <c r="E730">
        <f t="shared" si="11"/>
        <v>2</v>
      </c>
      <c r="F730">
        <v>411100</v>
      </c>
      <c r="G730" t="s">
        <v>18</v>
      </c>
      <c r="H730" t="s">
        <v>73</v>
      </c>
      <c r="I730" t="s">
        <v>74</v>
      </c>
      <c r="J730">
        <v>336273</v>
      </c>
      <c r="K730">
        <v>20220228</v>
      </c>
      <c r="L730" t="s">
        <v>1229</v>
      </c>
      <c r="M730">
        <v>0</v>
      </c>
      <c r="N730">
        <v>7</v>
      </c>
      <c r="O730" t="s">
        <v>19</v>
      </c>
      <c r="P730" t="s">
        <v>20</v>
      </c>
      <c r="Q730">
        <v>20220228</v>
      </c>
    </row>
    <row r="731" spans="1:17" x14ac:dyDescent="0.25">
      <c r="A731" t="s">
        <v>548</v>
      </c>
      <c r="B731" t="s">
        <v>429</v>
      </c>
      <c r="C731">
        <v>21</v>
      </c>
      <c r="D731">
        <v>20220228</v>
      </c>
      <c r="E731">
        <f t="shared" si="11"/>
        <v>2</v>
      </c>
      <c r="F731">
        <v>411100</v>
      </c>
      <c r="G731" t="s">
        <v>18</v>
      </c>
      <c r="H731" t="s">
        <v>1172</v>
      </c>
      <c r="I731" t="s">
        <v>1173</v>
      </c>
      <c r="J731">
        <v>336274</v>
      </c>
      <c r="K731">
        <v>20220228</v>
      </c>
      <c r="L731" t="s">
        <v>1230</v>
      </c>
      <c r="M731">
        <v>0</v>
      </c>
      <c r="N731">
        <v>5.5</v>
      </c>
      <c r="O731" t="s">
        <v>22</v>
      </c>
      <c r="P731">
        <v>20230218</v>
      </c>
      <c r="Q731">
        <v>20220228</v>
      </c>
    </row>
    <row r="732" spans="1:17" x14ac:dyDescent="0.25">
      <c r="A732" t="s">
        <v>548</v>
      </c>
      <c r="B732" t="s">
        <v>429</v>
      </c>
      <c r="C732">
        <v>21</v>
      </c>
      <c r="D732">
        <v>20220228</v>
      </c>
      <c r="E732">
        <f t="shared" si="11"/>
        <v>2</v>
      </c>
      <c r="F732">
        <v>411100</v>
      </c>
      <c r="G732" t="s">
        <v>18</v>
      </c>
      <c r="H732" t="s">
        <v>1033</v>
      </c>
      <c r="I732" t="s">
        <v>1034</v>
      </c>
      <c r="J732">
        <v>336275</v>
      </c>
      <c r="K732">
        <v>20220228</v>
      </c>
      <c r="L732" t="s">
        <v>1231</v>
      </c>
      <c r="M732">
        <v>0</v>
      </c>
      <c r="N732">
        <v>2</v>
      </c>
      <c r="O732" t="s">
        <v>22</v>
      </c>
      <c r="P732">
        <v>20230218</v>
      </c>
      <c r="Q732">
        <v>20220228</v>
      </c>
    </row>
    <row r="733" spans="1:17" x14ac:dyDescent="0.25">
      <c r="A733" t="s">
        <v>548</v>
      </c>
      <c r="B733" t="s">
        <v>429</v>
      </c>
      <c r="C733">
        <v>21</v>
      </c>
      <c r="D733">
        <v>20220228</v>
      </c>
      <c r="E733">
        <f t="shared" si="11"/>
        <v>2</v>
      </c>
      <c r="F733">
        <v>411100</v>
      </c>
      <c r="G733" t="s">
        <v>18</v>
      </c>
      <c r="H733" t="s">
        <v>85</v>
      </c>
      <c r="I733" t="s">
        <v>86</v>
      </c>
      <c r="J733">
        <v>336276</v>
      </c>
      <c r="K733">
        <v>20220228</v>
      </c>
      <c r="L733" t="s">
        <v>1232</v>
      </c>
      <c r="M733">
        <v>0</v>
      </c>
      <c r="N733">
        <v>2</v>
      </c>
      <c r="O733" t="s">
        <v>19</v>
      </c>
      <c r="P733" t="s">
        <v>20</v>
      </c>
      <c r="Q733">
        <v>20220228</v>
      </c>
    </row>
    <row r="734" spans="1:17" x14ac:dyDescent="0.25">
      <c r="A734" t="s">
        <v>548</v>
      </c>
      <c r="B734" t="s">
        <v>429</v>
      </c>
      <c r="C734">
        <v>21</v>
      </c>
      <c r="D734">
        <v>20220228</v>
      </c>
      <c r="E734">
        <f t="shared" si="11"/>
        <v>2</v>
      </c>
      <c r="F734">
        <v>411100</v>
      </c>
      <c r="G734" t="s">
        <v>18</v>
      </c>
      <c r="H734" t="s">
        <v>660</v>
      </c>
      <c r="I734" t="s">
        <v>661</v>
      </c>
      <c r="J734">
        <v>336277</v>
      </c>
      <c r="K734">
        <v>20220228</v>
      </c>
      <c r="L734" t="s">
        <v>1233</v>
      </c>
      <c r="M734">
        <v>0</v>
      </c>
      <c r="N734">
        <v>2</v>
      </c>
      <c r="O734" t="s">
        <v>19</v>
      </c>
      <c r="P734" t="s">
        <v>20</v>
      </c>
      <c r="Q734">
        <v>20220228</v>
      </c>
    </row>
    <row r="735" spans="1:17" x14ac:dyDescent="0.25">
      <c r="A735" t="s">
        <v>548</v>
      </c>
      <c r="B735" t="s">
        <v>429</v>
      </c>
      <c r="C735">
        <v>21</v>
      </c>
      <c r="D735">
        <v>20220228</v>
      </c>
      <c r="E735">
        <f t="shared" si="11"/>
        <v>2</v>
      </c>
      <c r="F735">
        <v>411100</v>
      </c>
      <c r="G735" t="s">
        <v>18</v>
      </c>
      <c r="H735" t="s">
        <v>81</v>
      </c>
      <c r="I735" t="s">
        <v>82</v>
      </c>
      <c r="J735">
        <v>336278</v>
      </c>
      <c r="K735">
        <v>20220228</v>
      </c>
      <c r="L735" t="s">
        <v>1234</v>
      </c>
      <c r="M735">
        <v>0</v>
      </c>
      <c r="N735">
        <v>2</v>
      </c>
      <c r="O735" t="s">
        <v>19</v>
      </c>
      <c r="P735" t="s">
        <v>20</v>
      </c>
      <c r="Q735">
        <v>20220228</v>
      </c>
    </row>
    <row r="736" spans="1:17" x14ac:dyDescent="0.25">
      <c r="A736" t="s">
        <v>548</v>
      </c>
      <c r="B736" t="s">
        <v>429</v>
      </c>
      <c r="C736">
        <v>21</v>
      </c>
      <c r="D736">
        <v>20220228</v>
      </c>
      <c r="E736">
        <f t="shared" si="11"/>
        <v>2</v>
      </c>
      <c r="F736">
        <v>411100</v>
      </c>
      <c r="G736" t="s">
        <v>18</v>
      </c>
      <c r="H736" t="s">
        <v>344</v>
      </c>
      <c r="I736" t="s">
        <v>345</v>
      </c>
      <c r="J736">
        <v>336279</v>
      </c>
      <c r="K736">
        <v>20220228</v>
      </c>
      <c r="L736" t="s">
        <v>1235</v>
      </c>
      <c r="M736">
        <v>0</v>
      </c>
      <c r="N736">
        <v>2</v>
      </c>
      <c r="O736" t="s">
        <v>19</v>
      </c>
      <c r="P736" t="s">
        <v>20</v>
      </c>
      <c r="Q736">
        <v>20220228</v>
      </c>
    </row>
    <row r="737" spans="1:17" x14ac:dyDescent="0.25">
      <c r="A737" t="s">
        <v>548</v>
      </c>
      <c r="B737" t="s">
        <v>429</v>
      </c>
      <c r="C737">
        <v>21</v>
      </c>
      <c r="D737">
        <v>20220228</v>
      </c>
      <c r="E737">
        <f t="shared" si="11"/>
        <v>2</v>
      </c>
      <c r="F737">
        <v>411100</v>
      </c>
      <c r="G737" t="s">
        <v>18</v>
      </c>
      <c r="H737" t="s">
        <v>105</v>
      </c>
      <c r="I737" t="s">
        <v>106</v>
      </c>
      <c r="J737">
        <v>336280</v>
      </c>
      <c r="K737">
        <v>20220228</v>
      </c>
      <c r="L737" t="s">
        <v>1236</v>
      </c>
      <c r="M737">
        <v>0</v>
      </c>
      <c r="N737">
        <v>6</v>
      </c>
      <c r="O737" t="s">
        <v>22</v>
      </c>
      <c r="P737">
        <v>20230218</v>
      </c>
      <c r="Q737">
        <v>20220228</v>
      </c>
    </row>
    <row r="738" spans="1:17" x14ac:dyDescent="0.25">
      <c r="A738" t="s">
        <v>548</v>
      </c>
      <c r="B738" t="s">
        <v>429</v>
      </c>
      <c r="C738">
        <v>21</v>
      </c>
      <c r="D738">
        <v>20220228</v>
      </c>
      <c r="E738">
        <f t="shared" si="11"/>
        <v>2</v>
      </c>
      <c r="F738">
        <v>411100</v>
      </c>
      <c r="G738" t="s">
        <v>18</v>
      </c>
      <c r="H738" t="s">
        <v>154</v>
      </c>
      <c r="I738" t="s">
        <v>155</v>
      </c>
      <c r="J738">
        <v>336281</v>
      </c>
      <c r="K738">
        <v>20220228</v>
      </c>
      <c r="L738" t="s">
        <v>1237</v>
      </c>
      <c r="M738">
        <v>0</v>
      </c>
      <c r="N738">
        <v>3</v>
      </c>
      <c r="O738" t="s">
        <v>19</v>
      </c>
      <c r="P738" t="s">
        <v>20</v>
      </c>
      <c r="Q738">
        <v>20220228</v>
      </c>
    </row>
    <row r="739" spans="1:17" x14ac:dyDescent="0.25">
      <c r="A739" t="s">
        <v>548</v>
      </c>
      <c r="B739" t="s">
        <v>429</v>
      </c>
      <c r="C739">
        <v>21</v>
      </c>
      <c r="D739">
        <v>20220228</v>
      </c>
      <c r="E739">
        <f t="shared" si="11"/>
        <v>2</v>
      </c>
      <c r="F739">
        <v>531105</v>
      </c>
      <c r="G739" t="s">
        <v>429</v>
      </c>
      <c r="H739" t="s">
        <v>401</v>
      </c>
      <c r="I739" t="s">
        <v>402</v>
      </c>
      <c r="J739">
        <v>336282</v>
      </c>
      <c r="K739">
        <v>20220228</v>
      </c>
      <c r="L739" t="s">
        <v>565</v>
      </c>
      <c r="M739">
        <v>123.5</v>
      </c>
      <c r="N739">
        <v>0</v>
      </c>
      <c r="O739" t="s">
        <v>19</v>
      </c>
      <c r="P739" t="s">
        <v>20</v>
      </c>
      <c r="Q739">
        <v>20220228</v>
      </c>
    </row>
    <row r="740" spans="1:17" x14ac:dyDescent="0.25">
      <c r="A740" t="s">
        <v>548</v>
      </c>
      <c r="B740" t="s">
        <v>429</v>
      </c>
      <c r="C740">
        <v>21</v>
      </c>
      <c r="D740">
        <v>20220228</v>
      </c>
      <c r="E740">
        <f t="shared" si="11"/>
        <v>2</v>
      </c>
      <c r="F740">
        <v>411100</v>
      </c>
      <c r="G740" t="s">
        <v>18</v>
      </c>
      <c r="H740" t="s">
        <v>352</v>
      </c>
      <c r="I740" t="s">
        <v>353</v>
      </c>
      <c r="J740">
        <v>221110022</v>
      </c>
      <c r="K740">
        <v>20220228</v>
      </c>
      <c r="L740" t="s">
        <v>1238</v>
      </c>
      <c r="M740">
        <v>0</v>
      </c>
      <c r="N740">
        <v>59.17</v>
      </c>
      <c r="O740" t="s">
        <v>22</v>
      </c>
      <c r="P740">
        <v>20220327</v>
      </c>
      <c r="Q740">
        <v>20220228</v>
      </c>
    </row>
    <row r="741" spans="1:17" x14ac:dyDescent="0.25">
      <c r="A741" t="s">
        <v>548</v>
      </c>
      <c r="B741" t="s">
        <v>429</v>
      </c>
      <c r="C741">
        <v>21</v>
      </c>
      <c r="D741">
        <v>20220228</v>
      </c>
      <c r="E741">
        <f t="shared" si="11"/>
        <v>2</v>
      </c>
      <c r="F741">
        <v>531105</v>
      </c>
      <c r="G741" t="s">
        <v>429</v>
      </c>
      <c r="H741" t="s">
        <v>401</v>
      </c>
      <c r="I741" t="s">
        <v>402</v>
      </c>
      <c r="J741">
        <v>336318</v>
      </c>
      <c r="K741">
        <v>20220228</v>
      </c>
      <c r="L741" t="s">
        <v>565</v>
      </c>
      <c r="M741">
        <v>59.17</v>
      </c>
      <c r="N741">
        <v>0</v>
      </c>
      <c r="O741" t="s">
        <v>19</v>
      </c>
      <c r="P741" t="s">
        <v>20</v>
      </c>
      <c r="Q741">
        <v>20220228</v>
      </c>
    </row>
    <row r="742" spans="1:17" x14ac:dyDescent="0.25">
      <c r="A742" t="s">
        <v>715</v>
      </c>
      <c r="B742" t="s">
        <v>432</v>
      </c>
      <c r="C742">
        <v>22</v>
      </c>
      <c r="D742">
        <v>20220201</v>
      </c>
      <c r="E742">
        <f t="shared" si="11"/>
        <v>2</v>
      </c>
      <c r="F742">
        <v>512200</v>
      </c>
      <c r="G742" t="s">
        <v>432</v>
      </c>
      <c r="H742" t="s">
        <v>401</v>
      </c>
      <c r="I742" t="s">
        <v>402</v>
      </c>
      <c r="J742" t="s">
        <v>1239</v>
      </c>
      <c r="K742">
        <v>20220201</v>
      </c>
      <c r="L742" t="s">
        <v>1240</v>
      </c>
      <c r="M742">
        <v>1011.59</v>
      </c>
      <c r="N742">
        <v>0</v>
      </c>
      <c r="O742" t="s">
        <v>19</v>
      </c>
      <c r="P742" t="s">
        <v>20</v>
      </c>
      <c r="Q742">
        <v>20220201</v>
      </c>
    </row>
    <row r="743" spans="1:17" x14ac:dyDescent="0.25">
      <c r="A743" t="s">
        <v>715</v>
      </c>
      <c r="B743" t="s">
        <v>432</v>
      </c>
      <c r="C743">
        <v>22</v>
      </c>
      <c r="D743">
        <v>20220201</v>
      </c>
      <c r="E743">
        <f t="shared" si="11"/>
        <v>2</v>
      </c>
      <c r="F743">
        <v>511000</v>
      </c>
      <c r="G743" t="s">
        <v>431</v>
      </c>
      <c r="H743" t="s">
        <v>401</v>
      </c>
      <c r="I743" t="s">
        <v>402</v>
      </c>
      <c r="J743" t="s">
        <v>1239</v>
      </c>
      <c r="K743">
        <v>20220201</v>
      </c>
      <c r="L743" t="s">
        <v>1240</v>
      </c>
      <c r="M743">
        <v>0</v>
      </c>
      <c r="N743">
        <v>1011.59</v>
      </c>
      <c r="O743" t="s">
        <v>23</v>
      </c>
      <c r="P743">
        <v>20220517</v>
      </c>
      <c r="Q743">
        <v>20220201</v>
      </c>
    </row>
    <row r="744" spans="1:17" x14ac:dyDescent="0.25">
      <c r="A744" t="s">
        <v>715</v>
      </c>
      <c r="B744" t="s">
        <v>432</v>
      </c>
      <c r="C744">
        <v>22</v>
      </c>
      <c r="D744">
        <v>20220202</v>
      </c>
      <c r="E744">
        <f t="shared" si="11"/>
        <v>2</v>
      </c>
      <c r="F744">
        <v>401000</v>
      </c>
      <c r="G744" t="s">
        <v>41</v>
      </c>
      <c r="H744" t="s">
        <v>189</v>
      </c>
      <c r="I744" t="s">
        <v>190</v>
      </c>
      <c r="J744" t="s">
        <v>1241</v>
      </c>
      <c r="K744">
        <v>20220202</v>
      </c>
      <c r="L744" t="s">
        <v>191</v>
      </c>
      <c r="M744">
        <v>550.53</v>
      </c>
      <c r="N744">
        <v>0</v>
      </c>
      <c r="O744" t="s">
        <v>23</v>
      </c>
      <c r="P744">
        <v>20220421</v>
      </c>
      <c r="Q744">
        <v>20220202</v>
      </c>
    </row>
    <row r="745" spans="1:17" x14ac:dyDescent="0.25">
      <c r="A745" t="s">
        <v>715</v>
      </c>
      <c r="B745" t="s">
        <v>432</v>
      </c>
      <c r="C745">
        <v>22</v>
      </c>
      <c r="D745">
        <v>20220202</v>
      </c>
      <c r="E745">
        <f t="shared" si="11"/>
        <v>2</v>
      </c>
      <c r="F745">
        <v>512200</v>
      </c>
      <c r="G745" t="s">
        <v>432</v>
      </c>
      <c r="H745" t="s">
        <v>401</v>
      </c>
      <c r="I745" t="s">
        <v>402</v>
      </c>
      <c r="J745" t="s">
        <v>1241</v>
      </c>
      <c r="K745">
        <v>20220202</v>
      </c>
      <c r="L745" t="s">
        <v>191</v>
      </c>
      <c r="M745">
        <v>0</v>
      </c>
      <c r="N745">
        <v>550.53</v>
      </c>
      <c r="O745" t="s">
        <v>19</v>
      </c>
      <c r="P745" t="s">
        <v>20</v>
      </c>
      <c r="Q745">
        <v>20220202</v>
      </c>
    </row>
    <row r="746" spans="1:17" x14ac:dyDescent="0.25">
      <c r="A746" t="s">
        <v>715</v>
      </c>
      <c r="B746" t="s">
        <v>432</v>
      </c>
      <c r="C746">
        <v>22</v>
      </c>
      <c r="D746">
        <v>20220202</v>
      </c>
      <c r="E746">
        <f t="shared" si="11"/>
        <v>2</v>
      </c>
      <c r="F746">
        <v>401000</v>
      </c>
      <c r="G746" t="s">
        <v>41</v>
      </c>
      <c r="H746" t="s">
        <v>189</v>
      </c>
      <c r="I746" t="s">
        <v>190</v>
      </c>
      <c r="J746" t="s">
        <v>1242</v>
      </c>
      <c r="K746">
        <v>20220202</v>
      </c>
      <c r="L746" t="s">
        <v>191</v>
      </c>
      <c r="M746">
        <v>3116.07</v>
      </c>
      <c r="N746">
        <v>0</v>
      </c>
      <c r="O746" t="s">
        <v>23</v>
      </c>
      <c r="P746">
        <v>20220421</v>
      </c>
      <c r="Q746">
        <v>20220202</v>
      </c>
    </row>
    <row r="747" spans="1:17" x14ac:dyDescent="0.25">
      <c r="A747" t="s">
        <v>715</v>
      </c>
      <c r="B747" t="s">
        <v>432</v>
      </c>
      <c r="C747">
        <v>22</v>
      </c>
      <c r="D747">
        <v>20220202</v>
      </c>
      <c r="E747">
        <f t="shared" si="11"/>
        <v>2</v>
      </c>
      <c r="F747">
        <v>512200</v>
      </c>
      <c r="G747" t="s">
        <v>432</v>
      </c>
      <c r="H747" t="s">
        <v>401</v>
      </c>
      <c r="I747" t="s">
        <v>402</v>
      </c>
      <c r="J747" t="s">
        <v>1242</v>
      </c>
      <c r="K747">
        <v>20220202</v>
      </c>
      <c r="L747" t="s">
        <v>191</v>
      </c>
      <c r="M747">
        <v>0</v>
      </c>
      <c r="N747">
        <v>3116.07</v>
      </c>
      <c r="O747" t="s">
        <v>19</v>
      </c>
      <c r="P747" t="s">
        <v>20</v>
      </c>
      <c r="Q747">
        <v>20220202</v>
      </c>
    </row>
    <row r="748" spans="1:17" x14ac:dyDescent="0.25">
      <c r="A748" t="s">
        <v>715</v>
      </c>
      <c r="B748" t="s">
        <v>432</v>
      </c>
      <c r="C748">
        <v>22</v>
      </c>
      <c r="D748">
        <v>20220202</v>
      </c>
      <c r="E748">
        <f t="shared" si="11"/>
        <v>2</v>
      </c>
      <c r="F748">
        <v>401000</v>
      </c>
      <c r="G748" t="s">
        <v>41</v>
      </c>
      <c r="H748" t="s">
        <v>764</v>
      </c>
      <c r="I748" t="s">
        <v>765</v>
      </c>
      <c r="J748" t="s">
        <v>1243</v>
      </c>
      <c r="K748">
        <v>20220202</v>
      </c>
      <c r="L748" t="s">
        <v>1244</v>
      </c>
      <c r="M748">
        <v>145.91</v>
      </c>
      <c r="N748">
        <v>0</v>
      </c>
      <c r="O748" t="s">
        <v>23</v>
      </c>
      <c r="P748">
        <v>20220610</v>
      </c>
      <c r="Q748">
        <v>20220202</v>
      </c>
    </row>
    <row r="749" spans="1:17" x14ac:dyDescent="0.25">
      <c r="A749" t="s">
        <v>715</v>
      </c>
      <c r="B749" t="s">
        <v>432</v>
      </c>
      <c r="C749">
        <v>22</v>
      </c>
      <c r="D749">
        <v>20220202</v>
      </c>
      <c r="E749">
        <f t="shared" si="11"/>
        <v>2</v>
      </c>
      <c r="F749">
        <v>512200</v>
      </c>
      <c r="G749" t="s">
        <v>432</v>
      </c>
      <c r="H749" t="s">
        <v>401</v>
      </c>
      <c r="I749" t="s">
        <v>402</v>
      </c>
      <c r="J749" t="s">
        <v>1243</v>
      </c>
      <c r="K749">
        <v>20220202</v>
      </c>
      <c r="L749" t="s">
        <v>1244</v>
      </c>
      <c r="M749">
        <v>0</v>
      </c>
      <c r="N749">
        <v>145.91</v>
      </c>
      <c r="O749" t="s">
        <v>19</v>
      </c>
      <c r="P749" t="s">
        <v>20</v>
      </c>
      <c r="Q749">
        <v>20220202</v>
      </c>
    </row>
    <row r="750" spans="1:17" x14ac:dyDescent="0.25">
      <c r="A750" t="s">
        <v>715</v>
      </c>
      <c r="B750" t="s">
        <v>432</v>
      </c>
      <c r="C750">
        <v>22</v>
      </c>
      <c r="D750">
        <v>20220203</v>
      </c>
      <c r="E750">
        <f t="shared" si="11"/>
        <v>2</v>
      </c>
      <c r="F750">
        <v>602120</v>
      </c>
      <c r="G750" t="s">
        <v>447</v>
      </c>
      <c r="H750" t="s">
        <v>401</v>
      </c>
      <c r="I750" t="s">
        <v>402</v>
      </c>
      <c r="J750" t="s">
        <v>1245</v>
      </c>
      <c r="K750">
        <v>20220203</v>
      </c>
      <c r="L750" t="s">
        <v>1246</v>
      </c>
      <c r="M750">
        <v>1.99</v>
      </c>
      <c r="N750">
        <v>0</v>
      </c>
      <c r="O750" t="s">
        <v>19</v>
      </c>
      <c r="P750" t="s">
        <v>20</v>
      </c>
      <c r="Q750">
        <v>20220203</v>
      </c>
    </row>
    <row r="751" spans="1:17" x14ac:dyDescent="0.25">
      <c r="A751" t="s">
        <v>715</v>
      </c>
      <c r="B751" t="s">
        <v>432</v>
      </c>
      <c r="C751">
        <v>22</v>
      </c>
      <c r="D751">
        <v>20220203</v>
      </c>
      <c r="E751">
        <f t="shared" si="11"/>
        <v>2</v>
      </c>
      <c r="F751">
        <v>512200</v>
      </c>
      <c r="G751" t="s">
        <v>432</v>
      </c>
      <c r="H751" t="s">
        <v>401</v>
      </c>
      <c r="I751" t="s">
        <v>402</v>
      </c>
      <c r="J751" t="s">
        <v>1245</v>
      </c>
      <c r="K751">
        <v>20220203</v>
      </c>
      <c r="L751" t="s">
        <v>1246</v>
      </c>
      <c r="M751">
        <v>0</v>
      </c>
      <c r="N751">
        <v>1.99</v>
      </c>
      <c r="O751" t="s">
        <v>19</v>
      </c>
      <c r="P751" t="s">
        <v>20</v>
      </c>
      <c r="Q751">
        <v>20220203</v>
      </c>
    </row>
    <row r="752" spans="1:17" x14ac:dyDescent="0.25">
      <c r="A752" t="s">
        <v>715</v>
      </c>
      <c r="B752" t="s">
        <v>432</v>
      </c>
      <c r="C752">
        <v>22</v>
      </c>
      <c r="D752">
        <v>20220207</v>
      </c>
      <c r="E752">
        <f t="shared" si="11"/>
        <v>2</v>
      </c>
      <c r="F752">
        <v>401000</v>
      </c>
      <c r="G752" t="s">
        <v>41</v>
      </c>
      <c r="H752" t="s">
        <v>52</v>
      </c>
      <c r="I752" t="s">
        <v>53</v>
      </c>
      <c r="J752" t="s">
        <v>1247</v>
      </c>
      <c r="K752">
        <v>20220207</v>
      </c>
      <c r="L752" t="s">
        <v>1248</v>
      </c>
      <c r="M752">
        <v>62.4</v>
      </c>
      <c r="N752">
        <v>0</v>
      </c>
      <c r="O752" t="s">
        <v>23</v>
      </c>
      <c r="P752">
        <v>20220510</v>
      </c>
      <c r="Q752">
        <v>20220207</v>
      </c>
    </row>
    <row r="753" spans="1:17" x14ac:dyDescent="0.25">
      <c r="A753" t="s">
        <v>715</v>
      </c>
      <c r="B753" t="s">
        <v>432</v>
      </c>
      <c r="C753">
        <v>22</v>
      </c>
      <c r="D753">
        <v>20220207</v>
      </c>
      <c r="E753">
        <f t="shared" si="11"/>
        <v>2</v>
      </c>
      <c r="F753">
        <v>512200</v>
      </c>
      <c r="G753" t="s">
        <v>432</v>
      </c>
      <c r="H753" t="s">
        <v>401</v>
      </c>
      <c r="I753" t="s">
        <v>402</v>
      </c>
      <c r="J753" t="s">
        <v>1247</v>
      </c>
      <c r="K753">
        <v>20220207</v>
      </c>
      <c r="L753" t="s">
        <v>1248</v>
      </c>
      <c r="M753">
        <v>0</v>
      </c>
      <c r="N753">
        <v>62.4</v>
      </c>
      <c r="O753" t="s">
        <v>19</v>
      </c>
      <c r="P753" t="s">
        <v>20</v>
      </c>
      <c r="Q753">
        <v>20220207</v>
      </c>
    </row>
    <row r="754" spans="1:17" x14ac:dyDescent="0.25">
      <c r="A754" t="s">
        <v>715</v>
      </c>
      <c r="B754" t="s">
        <v>432</v>
      </c>
      <c r="C754">
        <v>22</v>
      </c>
      <c r="D754">
        <v>20220207</v>
      </c>
      <c r="E754">
        <f t="shared" si="11"/>
        <v>2</v>
      </c>
      <c r="F754">
        <v>401000</v>
      </c>
      <c r="G754" t="s">
        <v>41</v>
      </c>
      <c r="H754" t="s">
        <v>52</v>
      </c>
      <c r="I754" t="s">
        <v>53</v>
      </c>
      <c r="J754" t="s">
        <v>1249</v>
      </c>
      <c r="K754">
        <v>20220207</v>
      </c>
      <c r="L754" t="s">
        <v>1250</v>
      </c>
      <c r="M754">
        <v>57.24</v>
      </c>
      <c r="N754">
        <v>0</v>
      </c>
      <c r="O754" t="s">
        <v>23</v>
      </c>
      <c r="P754">
        <v>20220510</v>
      </c>
      <c r="Q754">
        <v>20220207</v>
      </c>
    </row>
    <row r="755" spans="1:17" x14ac:dyDescent="0.25">
      <c r="A755" t="s">
        <v>715</v>
      </c>
      <c r="B755" t="s">
        <v>432</v>
      </c>
      <c r="C755">
        <v>22</v>
      </c>
      <c r="D755">
        <v>20220207</v>
      </c>
      <c r="E755">
        <f t="shared" si="11"/>
        <v>2</v>
      </c>
      <c r="F755">
        <v>512200</v>
      </c>
      <c r="G755" t="s">
        <v>432</v>
      </c>
      <c r="H755" t="s">
        <v>401</v>
      </c>
      <c r="I755" t="s">
        <v>402</v>
      </c>
      <c r="J755" t="s">
        <v>1249</v>
      </c>
      <c r="K755">
        <v>20220207</v>
      </c>
      <c r="L755" t="s">
        <v>1250</v>
      </c>
      <c r="M755">
        <v>0</v>
      </c>
      <c r="N755">
        <v>57.24</v>
      </c>
      <c r="O755" t="s">
        <v>19</v>
      </c>
      <c r="P755" t="s">
        <v>20</v>
      </c>
      <c r="Q755">
        <v>20220207</v>
      </c>
    </row>
    <row r="756" spans="1:17" x14ac:dyDescent="0.25">
      <c r="A756" t="s">
        <v>715</v>
      </c>
      <c r="B756" t="s">
        <v>432</v>
      </c>
      <c r="C756">
        <v>22</v>
      </c>
      <c r="D756">
        <v>20220208</v>
      </c>
      <c r="E756">
        <f t="shared" si="11"/>
        <v>2</v>
      </c>
      <c r="F756">
        <v>580000</v>
      </c>
      <c r="G756" t="s">
        <v>532</v>
      </c>
      <c r="H756" t="s">
        <v>401</v>
      </c>
      <c r="I756" t="s">
        <v>402</v>
      </c>
      <c r="J756" t="s">
        <v>1251</v>
      </c>
      <c r="K756">
        <v>20220208</v>
      </c>
      <c r="L756" t="s">
        <v>879</v>
      </c>
      <c r="M756">
        <v>50000</v>
      </c>
      <c r="N756">
        <v>0</v>
      </c>
      <c r="O756" t="s">
        <v>23</v>
      </c>
      <c r="P756">
        <v>20220919</v>
      </c>
      <c r="Q756">
        <v>20220208</v>
      </c>
    </row>
    <row r="757" spans="1:17" x14ac:dyDescent="0.25">
      <c r="A757" t="s">
        <v>715</v>
      </c>
      <c r="B757" t="s">
        <v>432</v>
      </c>
      <c r="C757">
        <v>22</v>
      </c>
      <c r="D757">
        <v>20220208</v>
      </c>
      <c r="E757">
        <f t="shared" si="11"/>
        <v>2</v>
      </c>
      <c r="F757">
        <v>512200</v>
      </c>
      <c r="G757" t="s">
        <v>432</v>
      </c>
      <c r="H757" t="s">
        <v>401</v>
      </c>
      <c r="I757" t="s">
        <v>402</v>
      </c>
      <c r="J757" t="s">
        <v>1251</v>
      </c>
      <c r="K757">
        <v>20220208</v>
      </c>
      <c r="L757" t="s">
        <v>879</v>
      </c>
      <c r="M757">
        <v>0</v>
      </c>
      <c r="N757">
        <v>50000</v>
      </c>
      <c r="O757" t="s">
        <v>19</v>
      </c>
      <c r="P757" t="s">
        <v>20</v>
      </c>
      <c r="Q757">
        <v>20220208</v>
      </c>
    </row>
    <row r="758" spans="1:17" x14ac:dyDescent="0.25">
      <c r="A758" t="s">
        <v>715</v>
      </c>
      <c r="B758" t="s">
        <v>432</v>
      </c>
      <c r="C758">
        <v>22</v>
      </c>
      <c r="D758">
        <v>20220209</v>
      </c>
      <c r="E758">
        <f t="shared" si="11"/>
        <v>2</v>
      </c>
      <c r="F758">
        <v>512200</v>
      </c>
      <c r="G758" t="s">
        <v>432</v>
      </c>
      <c r="H758" t="s">
        <v>401</v>
      </c>
      <c r="I758" t="s">
        <v>402</v>
      </c>
      <c r="J758" t="s">
        <v>1252</v>
      </c>
      <c r="K758">
        <v>20220209</v>
      </c>
      <c r="L758" t="s">
        <v>1253</v>
      </c>
      <c r="M758">
        <v>4299.93</v>
      </c>
      <c r="N758">
        <v>0</v>
      </c>
      <c r="O758" t="s">
        <v>19</v>
      </c>
      <c r="P758" t="s">
        <v>20</v>
      </c>
      <c r="Q758">
        <v>20220209</v>
      </c>
    </row>
    <row r="759" spans="1:17" x14ac:dyDescent="0.25">
      <c r="A759" t="s">
        <v>715</v>
      </c>
      <c r="B759" t="s">
        <v>432</v>
      </c>
      <c r="C759">
        <v>22</v>
      </c>
      <c r="D759">
        <v>20220209</v>
      </c>
      <c r="E759">
        <f t="shared" si="11"/>
        <v>2</v>
      </c>
      <c r="F759">
        <v>511000</v>
      </c>
      <c r="G759" t="s">
        <v>431</v>
      </c>
      <c r="H759" t="s">
        <v>401</v>
      </c>
      <c r="I759" t="s">
        <v>402</v>
      </c>
      <c r="J759" t="s">
        <v>1252</v>
      </c>
      <c r="K759">
        <v>20220209</v>
      </c>
      <c r="L759" t="s">
        <v>1253</v>
      </c>
      <c r="M759">
        <v>0</v>
      </c>
      <c r="N759">
        <v>4299.93</v>
      </c>
      <c r="O759" t="s">
        <v>23</v>
      </c>
      <c r="P759">
        <v>20220517</v>
      </c>
      <c r="Q759">
        <v>20220209</v>
      </c>
    </row>
    <row r="760" spans="1:17" x14ac:dyDescent="0.25">
      <c r="A760" t="s">
        <v>715</v>
      </c>
      <c r="B760" t="s">
        <v>432</v>
      </c>
      <c r="C760">
        <v>22</v>
      </c>
      <c r="D760">
        <v>20220209</v>
      </c>
      <c r="E760">
        <f t="shared" si="11"/>
        <v>2</v>
      </c>
      <c r="F760">
        <v>512200</v>
      </c>
      <c r="G760" t="s">
        <v>432</v>
      </c>
      <c r="H760" t="s">
        <v>401</v>
      </c>
      <c r="I760" t="s">
        <v>402</v>
      </c>
      <c r="J760" t="s">
        <v>981</v>
      </c>
      <c r="K760">
        <v>20220209</v>
      </c>
      <c r="L760" t="s">
        <v>625</v>
      </c>
      <c r="M760">
        <v>3000</v>
      </c>
      <c r="N760">
        <v>0</v>
      </c>
      <c r="O760" t="s">
        <v>19</v>
      </c>
      <c r="P760" t="s">
        <v>20</v>
      </c>
      <c r="Q760">
        <v>20220209</v>
      </c>
    </row>
    <row r="761" spans="1:17" x14ac:dyDescent="0.25">
      <c r="A761" t="s">
        <v>715</v>
      </c>
      <c r="B761" t="s">
        <v>432</v>
      </c>
      <c r="C761">
        <v>22</v>
      </c>
      <c r="D761">
        <v>20220209</v>
      </c>
      <c r="E761">
        <f t="shared" si="11"/>
        <v>2</v>
      </c>
      <c r="F761">
        <v>580000</v>
      </c>
      <c r="G761" t="s">
        <v>532</v>
      </c>
      <c r="H761" t="s">
        <v>401</v>
      </c>
      <c r="I761" t="s">
        <v>402</v>
      </c>
      <c r="J761" t="s">
        <v>981</v>
      </c>
      <c r="K761">
        <v>20220209</v>
      </c>
      <c r="L761" t="s">
        <v>625</v>
      </c>
      <c r="M761">
        <v>0</v>
      </c>
      <c r="N761">
        <v>3000</v>
      </c>
      <c r="O761" t="s">
        <v>22</v>
      </c>
      <c r="P761">
        <v>20220209</v>
      </c>
      <c r="Q761">
        <v>20220209</v>
      </c>
    </row>
    <row r="762" spans="1:17" x14ac:dyDescent="0.25">
      <c r="A762" t="s">
        <v>715</v>
      </c>
      <c r="B762" t="s">
        <v>432</v>
      </c>
      <c r="C762">
        <v>22</v>
      </c>
      <c r="D762">
        <v>20220210</v>
      </c>
      <c r="E762">
        <f t="shared" si="11"/>
        <v>2</v>
      </c>
      <c r="F762">
        <v>627000</v>
      </c>
      <c r="G762" t="s">
        <v>480</v>
      </c>
      <c r="H762" t="s">
        <v>401</v>
      </c>
      <c r="I762" t="s">
        <v>402</v>
      </c>
      <c r="J762" t="s">
        <v>1254</v>
      </c>
      <c r="K762">
        <v>20220210</v>
      </c>
      <c r="L762" t="s">
        <v>1255</v>
      </c>
      <c r="M762">
        <v>38.03</v>
      </c>
      <c r="N762">
        <v>0</v>
      </c>
      <c r="O762" t="s">
        <v>19</v>
      </c>
      <c r="P762" t="s">
        <v>20</v>
      </c>
      <c r="Q762">
        <v>20220210</v>
      </c>
    </row>
    <row r="763" spans="1:17" x14ac:dyDescent="0.25">
      <c r="A763" t="s">
        <v>715</v>
      </c>
      <c r="B763" t="s">
        <v>432</v>
      </c>
      <c r="C763">
        <v>22</v>
      </c>
      <c r="D763">
        <v>20220210</v>
      </c>
      <c r="E763">
        <f t="shared" si="11"/>
        <v>2</v>
      </c>
      <c r="F763">
        <v>512200</v>
      </c>
      <c r="G763" t="s">
        <v>432</v>
      </c>
      <c r="H763" t="s">
        <v>401</v>
      </c>
      <c r="I763" t="s">
        <v>402</v>
      </c>
      <c r="J763" t="s">
        <v>1254</v>
      </c>
      <c r="K763">
        <v>20220210</v>
      </c>
      <c r="L763" t="s">
        <v>1255</v>
      </c>
      <c r="M763">
        <v>0</v>
      </c>
      <c r="N763">
        <v>38.03</v>
      </c>
      <c r="O763" t="s">
        <v>19</v>
      </c>
      <c r="P763" t="s">
        <v>20</v>
      </c>
      <c r="Q763">
        <v>20220210</v>
      </c>
    </row>
    <row r="764" spans="1:17" x14ac:dyDescent="0.25">
      <c r="A764" t="s">
        <v>715</v>
      </c>
      <c r="B764" t="s">
        <v>432</v>
      </c>
      <c r="C764">
        <v>22</v>
      </c>
      <c r="D764">
        <v>20220211</v>
      </c>
      <c r="E764">
        <f t="shared" si="11"/>
        <v>2</v>
      </c>
      <c r="F764">
        <v>401000</v>
      </c>
      <c r="G764" t="s">
        <v>41</v>
      </c>
      <c r="H764" t="s">
        <v>97</v>
      </c>
      <c r="I764" t="s">
        <v>98</v>
      </c>
      <c r="J764" t="s">
        <v>1256</v>
      </c>
      <c r="K764">
        <v>20220211</v>
      </c>
      <c r="L764" t="s">
        <v>1257</v>
      </c>
      <c r="M764">
        <v>44.09</v>
      </c>
      <c r="N764">
        <v>0</v>
      </c>
      <c r="O764" t="s">
        <v>23</v>
      </c>
      <c r="P764">
        <v>20220704</v>
      </c>
      <c r="Q764">
        <v>20220211</v>
      </c>
    </row>
    <row r="765" spans="1:17" x14ac:dyDescent="0.25">
      <c r="A765" t="s">
        <v>715</v>
      </c>
      <c r="B765" t="s">
        <v>432</v>
      </c>
      <c r="C765">
        <v>22</v>
      </c>
      <c r="D765">
        <v>20220211</v>
      </c>
      <c r="E765">
        <f t="shared" si="11"/>
        <v>2</v>
      </c>
      <c r="F765">
        <v>512200</v>
      </c>
      <c r="G765" t="s">
        <v>432</v>
      </c>
      <c r="H765" t="s">
        <v>401</v>
      </c>
      <c r="I765" t="s">
        <v>402</v>
      </c>
      <c r="J765" t="s">
        <v>1256</v>
      </c>
      <c r="K765">
        <v>20220211</v>
      </c>
      <c r="L765" t="s">
        <v>1257</v>
      </c>
      <c r="M765">
        <v>0</v>
      </c>
      <c r="N765">
        <v>44.09</v>
      </c>
      <c r="O765" t="s">
        <v>19</v>
      </c>
      <c r="P765" t="s">
        <v>20</v>
      </c>
      <c r="Q765">
        <v>20220211</v>
      </c>
    </row>
    <row r="766" spans="1:17" x14ac:dyDescent="0.25">
      <c r="A766" t="s">
        <v>715</v>
      </c>
      <c r="B766" t="s">
        <v>432</v>
      </c>
      <c r="C766">
        <v>22</v>
      </c>
      <c r="D766">
        <v>20220211</v>
      </c>
      <c r="E766">
        <f t="shared" si="11"/>
        <v>2</v>
      </c>
      <c r="F766">
        <v>401000</v>
      </c>
      <c r="G766" t="s">
        <v>41</v>
      </c>
      <c r="H766" t="s">
        <v>97</v>
      </c>
      <c r="I766" t="s">
        <v>98</v>
      </c>
      <c r="J766" t="s">
        <v>1258</v>
      </c>
      <c r="K766">
        <v>20220211</v>
      </c>
      <c r="L766" t="s">
        <v>1257</v>
      </c>
      <c r="M766">
        <v>66.31</v>
      </c>
      <c r="N766">
        <v>0</v>
      </c>
      <c r="O766" t="s">
        <v>23</v>
      </c>
      <c r="P766">
        <v>20220704</v>
      </c>
      <c r="Q766">
        <v>20220211</v>
      </c>
    </row>
    <row r="767" spans="1:17" x14ac:dyDescent="0.25">
      <c r="A767" t="s">
        <v>715</v>
      </c>
      <c r="B767" t="s">
        <v>432</v>
      </c>
      <c r="C767">
        <v>22</v>
      </c>
      <c r="D767">
        <v>20220211</v>
      </c>
      <c r="E767">
        <f t="shared" si="11"/>
        <v>2</v>
      </c>
      <c r="F767">
        <v>512200</v>
      </c>
      <c r="G767" t="s">
        <v>432</v>
      </c>
      <c r="H767" t="s">
        <v>401</v>
      </c>
      <c r="I767" t="s">
        <v>402</v>
      </c>
      <c r="J767" t="s">
        <v>1258</v>
      </c>
      <c r="K767">
        <v>20220211</v>
      </c>
      <c r="L767" t="s">
        <v>1257</v>
      </c>
      <c r="M767">
        <v>0</v>
      </c>
      <c r="N767">
        <v>66.31</v>
      </c>
      <c r="O767" t="s">
        <v>19</v>
      </c>
      <c r="P767" t="s">
        <v>20</v>
      </c>
      <c r="Q767">
        <v>20220211</v>
      </c>
    </row>
    <row r="768" spans="1:17" x14ac:dyDescent="0.25">
      <c r="A768" t="s">
        <v>715</v>
      </c>
      <c r="B768" t="s">
        <v>432</v>
      </c>
      <c r="C768">
        <v>22</v>
      </c>
      <c r="D768">
        <v>20220211</v>
      </c>
      <c r="E768">
        <f t="shared" si="11"/>
        <v>2</v>
      </c>
      <c r="F768">
        <v>401000</v>
      </c>
      <c r="G768" t="s">
        <v>41</v>
      </c>
      <c r="H768" t="s">
        <v>832</v>
      </c>
      <c r="I768" t="s">
        <v>833</v>
      </c>
      <c r="J768" t="s">
        <v>1259</v>
      </c>
      <c r="K768">
        <v>20220211</v>
      </c>
      <c r="L768" t="s">
        <v>1260</v>
      </c>
      <c r="M768">
        <v>163.87</v>
      </c>
      <c r="N768">
        <v>0</v>
      </c>
      <c r="O768" t="s">
        <v>23</v>
      </c>
      <c r="P768">
        <v>20220421</v>
      </c>
      <c r="Q768">
        <v>20220211</v>
      </c>
    </row>
    <row r="769" spans="1:17" x14ac:dyDescent="0.25">
      <c r="A769" t="s">
        <v>715</v>
      </c>
      <c r="B769" t="s">
        <v>432</v>
      </c>
      <c r="C769">
        <v>22</v>
      </c>
      <c r="D769">
        <v>20220211</v>
      </c>
      <c r="E769">
        <f t="shared" si="11"/>
        <v>2</v>
      </c>
      <c r="F769">
        <v>512200</v>
      </c>
      <c r="G769" t="s">
        <v>432</v>
      </c>
      <c r="H769" t="s">
        <v>401</v>
      </c>
      <c r="I769" t="s">
        <v>402</v>
      </c>
      <c r="J769" t="s">
        <v>1259</v>
      </c>
      <c r="K769">
        <v>20220211</v>
      </c>
      <c r="L769" t="s">
        <v>1260</v>
      </c>
      <c r="M769">
        <v>0</v>
      </c>
      <c r="N769">
        <v>163.87</v>
      </c>
      <c r="O769" t="s">
        <v>19</v>
      </c>
      <c r="P769" t="s">
        <v>20</v>
      </c>
      <c r="Q769">
        <v>20220211</v>
      </c>
    </row>
    <row r="770" spans="1:17" x14ac:dyDescent="0.25">
      <c r="A770" t="s">
        <v>715</v>
      </c>
      <c r="B770" t="s">
        <v>432</v>
      </c>
      <c r="C770">
        <v>22</v>
      </c>
      <c r="D770">
        <v>20220211</v>
      </c>
      <c r="E770">
        <f t="shared" si="11"/>
        <v>2</v>
      </c>
      <c r="F770">
        <v>401000</v>
      </c>
      <c r="G770" t="s">
        <v>41</v>
      </c>
      <c r="H770" t="s">
        <v>181</v>
      </c>
      <c r="I770" t="s">
        <v>182</v>
      </c>
      <c r="J770" t="s">
        <v>1261</v>
      </c>
      <c r="K770">
        <v>20220211</v>
      </c>
      <c r="L770" t="s">
        <v>777</v>
      </c>
      <c r="M770">
        <v>109.62</v>
      </c>
      <c r="N770">
        <v>0</v>
      </c>
      <c r="O770" t="s">
        <v>23</v>
      </c>
      <c r="P770">
        <v>20220422</v>
      </c>
      <c r="Q770">
        <v>20220211</v>
      </c>
    </row>
    <row r="771" spans="1:17" x14ac:dyDescent="0.25">
      <c r="A771" t="s">
        <v>715</v>
      </c>
      <c r="B771" t="s">
        <v>432</v>
      </c>
      <c r="C771">
        <v>22</v>
      </c>
      <c r="D771">
        <v>20220211</v>
      </c>
      <c r="E771">
        <f t="shared" ref="E771:E834" si="12">VALUE(MID(D771,5,2))</f>
        <v>2</v>
      </c>
      <c r="F771">
        <v>512200</v>
      </c>
      <c r="G771" t="s">
        <v>432</v>
      </c>
      <c r="H771" t="s">
        <v>401</v>
      </c>
      <c r="I771" t="s">
        <v>402</v>
      </c>
      <c r="J771" t="s">
        <v>1261</v>
      </c>
      <c r="K771">
        <v>20220211</v>
      </c>
      <c r="L771" t="s">
        <v>777</v>
      </c>
      <c r="M771">
        <v>0</v>
      </c>
      <c r="N771">
        <v>109.62</v>
      </c>
      <c r="O771" t="s">
        <v>19</v>
      </c>
      <c r="P771" t="s">
        <v>20</v>
      </c>
      <c r="Q771">
        <v>20220211</v>
      </c>
    </row>
    <row r="772" spans="1:17" x14ac:dyDescent="0.25">
      <c r="A772" t="s">
        <v>715</v>
      </c>
      <c r="B772" t="s">
        <v>432</v>
      </c>
      <c r="C772">
        <v>22</v>
      </c>
      <c r="D772">
        <v>20220214</v>
      </c>
      <c r="E772">
        <f t="shared" si="12"/>
        <v>2</v>
      </c>
      <c r="F772">
        <v>401000</v>
      </c>
      <c r="G772" t="s">
        <v>41</v>
      </c>
      <c r="H772" t="s">
        <v>119</v>
      </c>
      <c r="I772" t="s">
        <v>120</v>
      </c>
      <c r="J772" t="s">
        <v>1262</v>
      </c>
      <c r="K772">
        <v>20220214</v>
      </c>
      <c r="L772" t="s">
        <v>1263</v>
      </c>
      <c r="M772">
        <v>189</v>
      </c>
      <c r="N772">
        <v>0</v>
      </c>
      <c r="O772" t="s">
        <v>23</v>
      </c>
      <c r="P772">
        <v>20220421</v>
      </c>
      <c r="Q772">
        <v>20220214</v>
      </c>
    </row>
    <row r="773" spans="1:17" x14ac:dyDescent="0.25">
      <c r="A773" t="s">
        <v>715</v>
      </c>
      <c r="B773" t="s">
        <v>432</v>
      </c>
      <c r="C773">
        <v>22</v>
      </c>
      <c r="D773">
        <v>20220214</v>
      </c>
      <c r="E773">
        <f t="shared" si="12"/>
        <v>2</v>
      </c>
      <c r="F773">
        <v>512200</v>
      </c>
      <c r="G773" t="s">
        <v>432</v>
      </c>
      <c r="H773" t="s">
        <v>401</v>
      </c>
      <c r="I773" t="s">
        <v>402</v>
      </c>
      <c r="J773" t="s">
        <v>1262</v>
      </c>
      <c r="K773">
        <v>20220214</v>
      </c>
      <c r="L773" t="s">
        <v>1263</v>
      </c>
      <c r="M773">
        <v>0</v>
      </c>
      <c r="N773">
        <v>189</v>
      </c>
      <c r="O773" t="s">
        <v>19</v>
      </c>
      <c r="P773" t="s">
        <v>20</v>
      </c>
      <c r="Q773">
        <v>20220214</v>
      </c>
    </row>
    <row r="774" spans="1:17" x14ac:dyDescent="0.25">
      <c r="A774" t="s">
        <v>715</v>
      </c>
      <c r="B774" t="s">
        <v>432</v>
      </c>
      <c r="C774">
        <v>22</v>
      </c>
      <c r="D774">
        <v>20220215</v>
      </c>
      <c r="E774">
        <f t="shared" si="12"/>
        <v>2</v>
      </c>
      <c r="F774">
        <v>512200</v>
      </c>
      <c r="G774" t="s">
        <v>432</v>
      </c>
      <c r="H774" t="s">
        <v>401</v>
      </c>
      <c r="I774" t="s">
        <v>402</v>
      </c>
      <c r="J774" t="s">
        <v>1264</v>
      </c>
      <c r="K774">
        <v>20220215</v>
      </c>
      <c r="L774" t="s">
        <v>1265</v>
      </c>
      <c r="M774">
        <v>200</v>
      </c>
      <c r="N774">
        <v>0</v>
      </c>
      <c r="O774" t="s">
        <v>19</v>
      </c>
      <c r="P774" t="s">
        <v>20</v>
      </c>
      <c r="Q774">
        <v>20220215</v>
      </c>
    </row>
    <row r="775" spans="1:17" x14ac:dyDescent="0.25">
      <c r="A775" t="s">
        <v>715</v>
      </c>
      <c r="B775" t="s">
        <v>432</v>
      </c>
      <c r="C775">
        <v>22</v>
      </c>
      <c r="D775">
        <v>20220215</v>
      </c>
      <c r="E775">
        <f t="shared" si="12"/>
        <v>2</v>
      </c>
      <c r="F775">
        <v>511001</v>
      </c>
      <c r="G775" t="s">
        <v>434</v>
      </c>
      <c r="H775" t="s">
        <v>401</v>
      </c>
      <c r="I775" t="s">
        <v>402</v>
      </c>
      <c r="J775" t="s">
        <v>1264</v>
      </c>
      <c r="K775">
        <v>20220215</v>
      </c>
      <c r="L775" t="s">
        <v>1265</v>
      </c>
      <c r="M775">
        <v>0</v>
      </c>
      <c r="N775">
        <v>200</v>
      </c>
      <c r="O775" t="s">
        <v>23</v>
      </c>
      <c r="P775">
        <v>20220327</v>
      </c>
      <c r="Q775">
        <v>20220215</v>
      </c>
    </row>
    <row r="776" spans="1:17" x14ac:dyDescent="0.25">
      <c r="A776" t="s">
        <v>715</v>
      </c>
      <c r="B776" t="s">
        <v>432</v>
      </c>
      <c r="C776">
        <v>22</v>
      </c>
      <c r="D776">
        <v>20220215</v>
      </c>
      <c r="E776">
        <f t="shared" si="12"/>
        <v>2</v>
      </c>
      <c r="F776">
        <v>401000</v>
      </c>
      <c r="G776" t="s">
        <v>41</v>
      </c>
      <c r="H776" t="s">
        <v>97</v>
      </c>
      <c r="I776" t="s">
        <v>98</v>
      </c>
      <c r="J776" t="s">
        <v>1266</v>
      </c>
      <c r="K776">
        <v>20220215</v>
      </c>
      <c r="L776" t="s">
        <v>1257</v>
      </c>
      <c r="M776">
        <v>18.46</v>
      </c>
      <c r="N776">
        <v>0</v>
      </c>
      <c r="O776" t="s">
        <v>19</v>
      </c>
      <c r="P776" t="s">
        <v>20</v>
      </c>
      <c r="Q776">
        <v>20220215</v>
      </c>
    </row>
    <row r="777" spans="1:17" x14ac:dyDescent="0.25">
      <c r="A777" t="s">
        <v>715</v>
      </c>
      <c r="B777" t="s">
        <v>432</v>
      </c>
      <c r="C777">
        <v>22</v>
      </c>
      <c r="D777">
        <v>20220215</v>
      </c>
      <c r="E777">
        <f t="shared" si="12"/>
        <v>2</v>
      </c>
      <c r="F777">
        <v>511001</v>
      </c>
      <c r="G777" t="s">
        <v>434</v>
      </c>
      <c r="H777" t="s">
        <v>401</v>
      </c>
      <c r="I777" t="s">
        <v>402</v>
      </c>
      <c r="J777" t="s">
        <v>1267</v>
      </c>
      <c r="K777">
        <v>20220215</v>
      </c>
      <c r="L777" t="s">
        <v>1268</v>
      </c>
      <c r="M777">
        <v>200</v>
      </c>
      <c r="N777">
        <v>0</v>
      </c>
      <c r="O777" t="s">
        <v>23</v>
      </c>
      <c r="P777">
        <v>20230120</v>
      </c>
      <c r="Q777">
        <v>20220215</v>
      </c>
    </row>
    <row r="778" spans="1:17" x14ac:dyDescent="0.25">
      <c r="A778" t="s">
        <v>715</v>
      </c>
      <c r="B778" t="s">
        <v>432</v>
      </c>
      <c r="C778">
        <v>22</v>
      </c>
      <c r="D778">
        <v>20220215</v>
      </c>
      <c r="E778">
        <f t="shared" si="12"/>
        <v>2</v>
      </c>
      <c r="F778">
        <v>512200</v>
      </c>
      <c r="G778" t="s">
        <v>432</v>
      </c>
      <c r="H778" t="s">
        <v>401</v>
      </c>
      <c r="I778" t="s">
        <v>402</v>
      </c>
      <c r="J778" t="s">
        <v>1266</v>
      </c>
      <c r="K778">
        <v>20220215</v>
      </c>
      <c r="L778" t="s">
        <v>1268</v>
      </c>
      <c r="M778">
        <v>0</v>
      </c>
      <c r="N778">
        <v>200</v>
      </c>
      <c r="O778" t="s">
        <v>19</v>
      </c>
      <c r="P778" t="s">
        <v>20</v>
      </c>
      <c r="Q778">
        <v>20220215</v>
      </c>
    </row>
    <row r="779" spans="1:17" x14ac:dyDescent="0.25">
      <c r="A779" t="s">
        <v>715</v>
      </c>
      <c r="B779" t="s">
        <v>432</v>
      </c>
      <c r="C779">
        <v>22</v>
      </c>
      <c r="D779">
        <v>20220215</v>
      </c>
      <c r="E779">
        <f t="shared" si="12"/>
        <v>2</v>
      </c>
      <c r="F779">
        <v>512200</v>
      </c>
      <c r="G779" t="s">
        <v>432</v>
      </c>
      <c r="H779" t="s">
        <v>401</v>
      </c>
      <c r="I779" t="s">
        <v>402</v>
      </c>
      <c r="J779" t="s">
        <v>1266</v>
      </c>
      <c r="K779">
        <v>20220215</v>
      </c>
      <c r="L779" t="s">
        <v>1257</v>
      </c>
      <c r="M779">
        <v>0</v>
      </c>
      <c r="N779">
        <v>18.46</v>
      </c>
      <c r="O779" t="s">
        <v>19</v>
      </c>
      <c r="P779" t="s">
        <v>20</v>
      </c>
      <c r="Q779">
        <v>20220215</v>
      </c>
    </row>
    <row r="780" spans="1:17" x14ac:dyDescent="0.25">
      <c r="A780" t="s">
        <v>715</v>
      </c>
      <c r="B780" t="s">
        <v>432</v>
      </c>
      <c r="C780">
        <v>22</v>
      </c>
      <c r="D780">
        <v>20220216</v>
      </c>
      <c r="E780">
        <f t="shared" si="12"/>
        <v>2</v>
      </c>
      <c r="F780">
        <v>512200</v>
      </c>
      <c r="G780" t="s">
        <v>432</v>
      </c>
      <c r="H780" t="s">
        <v>401</v>
      </c>
      <c r="I780" t="s">
        <v>402</v>
      </c>
      <c r="J780" t="s">
        <v>1269</v>
      </c>
      <c r="K780">
        <v>20220216</v>
      </c>
      <c r="L780" t="s">
        <v>1270</v>
      </c>
      <c r="M780">
        <v>7788.41</v>
      </c>
      <c r="N780">
        <v>0</v>
      </c>
      <c r="O780" t="s">
        <v>19</v>
      </c>
      <c r="P780" t="s">
        <v>20</v>
      </c>
      <c r="Q780">
        <v>20220216</v>
      </c>
    </row>
    <row r="781" spans="1:17" x14ac:dyDescent="0.25">
      <c r="A781" t="s">
        <v>715</v>
      </c>
      <c r="B781" t="s">
        <v>432</v>
      </c>
      <c r="C781">
        <v>22</v>
      </c>
      <c r="D781">
        <v>20220216</v>
      </c>
      <c r="E781">
        <f t="shared" si="12"/>
        <v>2</v>
      </c>
      <c r="F781">
        <v>511000</v>
      </c>
      <c r="G781" t="s">
        <v>431</v>
      </c>
      <c r="H781" t="s">
        <v>401</v>
      </c>
      <c r="I781" t="s">
        <v>402</v>
      </c>
      <c r="J781" t="s">
        <v>1269</v>
      </c>
      <c r="K781">
        <v>20220216</v>
      </c>
      <c r="L781" t="s">
        <v>1270</v>
      </c>
      <c r="M781">
        <v>0</v>
      </c>
      <c r="N781">
        <v>7788.41</v>
      </c>
      <c r="O781" t="s">
        <v>23</v>
      </c>
      <c r="P781">
        <v>20220517</v>
      </c>
      <c r="Q781">
        <v>20220216</v>
      </c>
    </row>
    <row r="782" spans="1:17" x14ac:dyDescent="0.25">
      <c r="A782" t="s">
        <v>715</v>
      </c>
      <c r="B782" t="s">
        <v>432</v>
      </c>
      <c r="C782">
        <v>22</v>
      </c>
      <c r="D782">
        <v>20220216</v>
      </c>
      <c r="E782">
        <f t="shared" si="12"/>
        <v>2</v>
      </c>
      <c r="F782">
        <v>401000</v>
      </c>
      <c r="G782" t="s">
        <v>41</v>
      </c>
      <c r="H782" t="s">
        <v>852</v>
      </c>
      <c r="I782" t="s">
        <v>853</v>
      </c>
      <c r="J782" t="s">
        <v>1271</v>
      </c>
      <c r="K782">
        <v>20220216</v>
      </c>
      <c r="L782" t="s">
        <v>1272</v>
      </c>
      <c r="M782">
        <v>525</v>
      </c>
      <c r="N782">
        <v>0</v>
      </c>
      <c r="O782" t="s">
        <v>23</v>
      </c>
      <c r="P782">
        <v>20220421</v>
      </c>
      <c r="Q782">
        <v>20220216</v>
      </c>
    </row>
    <row r="783" spans="1:17" x14ac:dyDescent="0.25">
      <c r="A783" t="s">
        <v>715</v>
      </c>
      <c r="B783" t="s">
        <v>432</v>
      </c>
      <c r="C783">
        <v>22</v>
      </c>
      <c r="D783">
        <v>20220216</v>
      </c>
      <c r="E783">
        <f t="shared" si="12"/>
        <v>2</v>
      </c>
      <c r="F783">
        <v>512200</v>
      </c>
      <c r="G783" t="s">
        <v>432</v>
      </c>
      <c r="H783" t="s">
        <v>401</v>
      </c>
      <c r="I783" t="s">
        <v>402</v>
      </c>
      <c r="J783" t="s">
        <v>1271</v>
      </c>
      <c r="K783">
        <v>20220216</v>
      </c>
      <c r="L783" t="s">
        <v>1272</v>
      </c>
      <c r="M783">
        <v>0</v>
      </c>
      <c r="N783">
        <v>525</v>
      </c>
      <c r="O783" t="s">
        <v>19</v>
      </c>
      <c r="P783" t="s">
        <v>20</v>
      </c>
      <c r="Q783">
        <v>20220216</v>
      </c>
    </row>
    <row r="784" spans="1:17" x14ac:dyDescent="0.25">
      <c r="A784" t="s">
        <v>715</v>
      </c>
      <c r="B784" t="s">
        <v>432</v>
      </c>
      <c r="C784">
        <v>22</v>
      </c>
      <c r="D784">
        <v>20220217</v>
      </c>
      <c r="E784">
        <f t="shared" si="12"/>
        <v>2</v>
      </c>
      <c r="F784">
        <v>401000</v>
      </c>
      <c r="G784" t="s">
        <v>41</v>
      </c>
      <c r="H784" t="s">
        <v>840</v>
      </c>
      <c r="I784" t="s">
        <v>841</v>
      </c>
      <c r="J784" t="s">
        <v>1273</v>
      </c>
      <c r="K784">
        <v>20220217</v>
      </c>
      <c r="L784" t="s">
        <v>1274</v>
      </c>
      <c r="M784">
        <v>345.18</v>
      </c>
      <c r="N784">
        <v>0</v>
      </c>
      <c r="O784" t="s">
        <v>23</v>
      </c>
      <c r="P784">
        <v>20220421</v>
      </c>
      <c r="Q784">
        <v>20220217</v>
      </c>
    </row>
    <row r="785" spans="1:17" x14ac:dyDescent="0.25">
      <c r="A785" t="s">
        <v>715</v>
      </c>
      <c r="B785" t="s">
        <v>432</v>
      </c>
      <c r="C785">
        <v>22</v>
      </c>
      <c r="D785">
        <v>20220217</v>
      </c>
      <c r="E785">
        <f t="shared" si="12"/>
        <v>2</v>
      </c>
      <c r="F785">
        <v>512200</v>
      </c>
      <c r="G785" t="s">
        <v>432</v>
      </c>
      <c r="H785" t="s">
        <v>401</v>
      </c>
      <c r="I785" t="s">
        <v>402</v>
      </c>
      <c r="J785" t="s">
        <v>1273</v>
      </c>
      <c r="K785">
        <v>20220217</v>
      </c>
      <c r="L785" t="s">
        <v>1274</v>
      </c>
      <c r="M785">
        <v>0</v>
      </c>
      <c r="N785">
        <v>345.18</v>
      </c>
      <c r="O785" t="s">
        <v>19</v>
      </c>
      <c r="P785" t="s">
        <v>20</v>
      </c>
      <c r="Q785">
        <v>20220217</v>
      </c>
    </row>
    <row r="786" spans="1:17" x14ac:dyDescent="0.25">
      <c r="A786" t="s">
        <v>715</v>
      </c>
      <c r="B786" t="s">
        <v>432</v>
      </c>
      <c r="C786">
        <v>22</v>
      </c>
      <c r="D786">
        <v>20220218</v>
      </c>
      <c r="E786">
        <f t="shared" si="12"/>
        <v>2</v>
      </c>
      <c r="F786">
        <v>401000</v>
      </c>
      <c r="G786" t="s">
        <v>41</v>
      </c>
      <c r="H786" t="s">
        <v>840</v>
      </c>
      <c r="I786" t="s">
        <v>841</v>
      </c>
      <c r="J786" t="s">
        <v>1275</v>
      </c>
      <c r="K786">
        <v>20220218</v>
      </c>
      <c r="L786" t="s">
        <v>1274</v>
      </c>
      <c r="M786">
        <v>306.83</v>
      </c>
      <c r="N786">
        <v>0</v>
      </c>
      <c r="O786" t="s">
        <v>23</v>
      </c>
      <c r="P786">
        <v>20220421</v>
      </c>
      <c r="Q786">
        <v>20220218</v>
      </c>
    </row>
    <row r="787" spans="1:17" x14ac:dyDescent="0.25">
      <c r="A787" t="s">
        <v>715</v>
      </c>
      <c r="B787" t="s">
        <v>432</v>
      </c>
      <c r="C787">
        <v>22</v>
      </c>
      <c r="D787">
        <v>20220218</v>
      </c>
      <c r="E787">
        <f t="shared" si="12"/>
        <v>2</v>
      </c>
      <c r="F787">
        <v>512200</v>
      </c>
      <c r="G787" t="s">
        <v>432</v>
      </c>
      <c r="H787" t="s">
        <v>401</v>
      </c>
      <c r="I787" t="s">
        <v>402</v>
      </c>
      <c r="J787" t="s">
        <v>1275</v>
      </c>
      <c r="K787">
        <v>20220218</v>
      </c>
      <c r="L787" t="s">
        <v>1274</v>
      </c>
      <c r="M787">
        <v>0</v>
      </c>
      <c r="N787">
        <v>306.83</v>
      </c>
      <c r="O787" t="s">
        <v>19</v>
      </c>
      <c r="P787" t="s">
        <v>20</v>
      </c>
      <c r="Q787">
        <v>20220218</v>
      </c>
    </row>
    <row r="788" spans="1:17" x14ac:dyDescent="0.25">
      <c r="A788" t="s">
        <v>715</v>
      </c>
      <c r="B788" t="s">
        <v>432</v>
      </c>
      <c r="C788">
        <v>22</v>
      </c>
      <c r="D788">
        <v>20220218</v>
      </c>
      <c r="E788">
        <f t="shared" si="12"/>
        <v>2</v>
      </c>
      <c r="F788">
        <v>401000</v>
      </c>
      <c r="G788" t="s">
        <v>41</v>
      </c>
      <c r="H788" t="s">
        <v>123</v>
      </c>
      <c r="I788" t="s">
        <v>124</v>
      </c>
      <c r="J788" t="s">
        <v>1276</v>
      </c>
      <c r="K788">
        <v>20220218</v>
      </c>
      <c r="L788" t="s">
        <v>1277</v>
      </c>
      <c r="M788">
        <v>333</v>
      </c>
      <c r="N788">
        <v>0</v>
      </c>
      <c r="O788" t="s">
        <v>23</v>
      </c>
      <c r="P788">
        <v>20220421</v>
      </c>
      <c r="Q788">
        <v>20220218</v>
      </c>
    </row>
    <row r="789" spans="1:17" x14ac:dyDescent="0.25">
      <c r="A789" t="s">
        <v>715</v>
      </c>
      <c r="B789" t="s">
        <v>432</v>
      </c>
      <c r="C789">
        <v>22</v>
      </c>
      <c r="D789">
        <v>20220218</v>
      </c>
      <c r="E789">
        <f t="shared" si="12"/>
        <v>2</v>
      </c>
      <c r="F789">
        <v>512200</v>
      </c>
      <c r="G789" t="s">
        <v>432</v>
      </c>
      <c r="H789" t="s">
        <v>401</v>
      </c>
      <c r="I789" t="s">
        <v>402</v>
      </c>
      <c r="J789" t="s">
        <v>1276</v>
      </c>
      <c r="K789">
        <v>20220218</v>
      </c>
      <c r="L789" t="s">
        <v>1277</v>
      </c>
      <c r="M789">
        <v>0</v>
      </c>
      <c r="N789">
        <v>333</v>
      </c>
      <c r="O789" t="s">
        <v>19</v>
      </c>
      <c r="P789" t="s">
        <v>20</v>
      </c>
      <c r="Q789">
        <v>20220218</v>
      </c>
    </row>
    <row r="790" spans="1:17" x14ac:dyDescent="0.25">
      <c r="A790" t="s">
        <v>715</v>
      </c>
      <c r="B790" t="s">
        <v>432</v>
      </c>
      <c r="C790">
        <v>22</v>
      </c>
      <c r="D790">
        <v>20220221</v>
      </c>
      <c r="E790">
        <f t="shared" si="12"/>
        <v>2</v>
      </c>
      <c r="F790">
        <v>401000</v>
      </c>
      <c r="G790" t="s">
        <v>41</v>
      </c>
      <c r="H790" t="s">
        <v>52</v>
      </c>
      <c r="I790" t="s">
        <v>53</v>
      </c>
      <c r="J790" t="s">
        <v>1278</v>
      </c>
      <c r="K790">
        <v>20220221</v>
      </c>
      <c r="L790" t="s">
        <v>1279</v>
      </c>
      <c r="M790">
        <v>66</v>
      </c>
      <c r="N790">
        <v>0</v>
      </c>
      <c r="O790" t="s">
        <v>23</v>
      </c>
      <c r="P790">
        <v>20220919</v>
      </c>
      <c r="Q790">
        <v>20220221</v>
      </c>
    </row>
    <row r="791" spans="1:17" x14ac:dyDescent="0.25">
      <c r="A791" t="s">
        <v>715</v>
      </c>
      <c r="B791" t="s">
        <v>432</v>
      </c>
      <c r="C791">
        <v>22</v>
      </c>
      <c r="D791">
        <v>20220221</v>
      </c>
      <c r="E791">
        <f t="shared" si="12"/>
        <v>2</v>
      </c>
      <c r="F791">
        <v>512200</v>
      </c>
      <c r="G791" t="s">
        <v>432</v>
      </c>
      <c r="H791" t="s">
        <v>401</v>
      </c>
      <c r="I791" t="s">
        <v>402</v>
      </c>
      <c r="J791" t="s">
        <v>1278</v>
      </c>
      <c r="K791">
        <v>20220221</v>
      </c>
      <c r="L791" t="s">
        <v>1279</v>
      </c>
      <c r="M791">
        <v>0</v>
      </c>
      <c r="N791">
        <v>66</v>
      </c>
      <c r="O791" t="s">
        <v>19</v>
      </c>
      <c r="P791" t="s">
        <v>20</v>
      </c>
      <c r="Q791">
        <v>20220221</v>
      </c>
    </row>
    <row r="792" spans="1:17" x14ac:dyDescent="0.25">
      <c r="A792" t="s">
        <v>715</v>
      </c>
      <c r="B792" t="s">
        <v>432</v>
      </c>
      <c r="C792">
        <v>22</v>
      </c>
      <c r="D792">
        <v>20220221</v>
      </c>
      <c r="E792">
        <f t="shared" si="12"/>
        <v>2</v>
      </c>
      <c r="F792">
        <v>401000</v>
      </c>
      <c r="G792" t="s">
        <v>41</v>
      </c>
      <c r="H792" t="s">
        <v>850</v>
      </c>
      <c r="I792" t="s">
        <v>851</v>
      </c>
      <c r="J792" t="s">
        <v>1280</v>
      </c>
      <c r="K792">
        <v>20220221</v>
      </c>
      <c r="L792" t="s">
        <v>1281</v>
      </c>
      <c r="M792">
        <v>546</v>
      </c>
      <c r="N792">
        <v>0</v>
      </c>
      <c r="O792" t="s">
        <v>23</v>
      </c>
      <c r="P792">
        <v>20220421</v>
      </c>
      <c r="Q792">
        <v>20220221</v>
      </c>
    </row>
    <row r="793" spans="1:17" x14ac:dyDescent="0.25">
      <c r="A793" t="s">
        <v>715</v>
      </c>
      <c r="B793" t="s">
        <v>432</v>
      </c>
      <c r="C793">
        <v>22</v>
      </c>
      <c r="D793">
        <v>20220221</v>
      </c>
      <c r="E793">
        <f t="shared" si="12"/>
        <v>2</v>
      </c>
      <c r="F793">
        <v>512200</v>
      </c>
      <c r="G793" t="s">
        <v>432</v>
      </c>
      <c r="H793" t="s">
        <v>401</v>
      </c>
      <c r="I793" t="s">
        <v>402</v>
      </c>
      <c r="J793" t="s">
        <v>1280</v>
      </c>
      <c r="K793">
        <v>20220221</v>
      </c>
      <c r="L793" t="s">
        <v>1281</v>
      </c>
      <c r="M793">
        <v>0</v>
      </c>
      <c r="N793">
        <v>546</v>
      </c>
      <c r="O793" t="s">
        <v>19</v>
      </c>
      <c r="P793" t="s">
        <v>20</v>
      </c>
      <c r="Q793">
        <v>20220221</v>
      </c>
    </row>
    <row r="794" spans="1:17" x14ac:dyDescent="0.25">
      <c r="A794" t="s">
        <v>715</v>
      </c>
      <c r="B794" t="s">
        <v>432</v>
      </c>
      <c r="C794">
        <v>22</v>
      </c>
      <c r="D794">
        <v>20220221</v>
      </c>
      <c r="E794">
        <f t="shared" si="12"/>
        <v>2</v>
      </c>
      <c r="F794">
        <v>401000</v>
      </c>
      <c r="G794" t="s">
        <v>41</v>
      </c>
      <c r="H794" t="s">
        <v>448</v>
      </c>
      <c r="I794" t="s">
        <v>449</v>
      </c>
      <c r="J794" t="s">
        <v>1282</v>
      </c>
      <c r="K794">
        <v>20220221</v>
      </c>
      <c r="L794" t="s">
        <v>1283</v>
      </c>
      <c r="M794">
        <v>1351.28</v>
      </c>
      <c r="N794">
        <v>0</v>
      </c>
      <c r="O794" t="s">
        <v>23</v>
      </c>
      <c r="P794">
        <v>20220427</v>
      </c>
      <c r="Q794">
        <v>20220221</v>
      </c>
    </row>
    <row r="795" spans="1:17" x14ac:dyDescent="0.25">
      <c r="A795" t="s">
        <v>715</v>
      </c>
      <c r="B795" t="s">
        <v>432</v>
      </c>
      <c r="C795">
        <v>22</v>
      </c>
      <c r="D795">
        <v>20220221</v>
      </c>
      <c r="E795">
        <f t="shared" si="12"/>
        <v>2</v>
      </c>
      <c r="F795">
        <v>512200</v>
      </c>
      <c r="G795" t="s">
        <v>432</v>
      </c>
      <c r="H795" t="s">
        <v>401</v>
      </c>
      <c r="I795" t="s">
        <v>402</v>
      </c>
      <c r="J795" t="s">
        <v>1282</v>
      </c>
      <c r="K795">
        <v>20220221</v>
      </c>
      <c r="L795" t="s">
        <v>1283</v>
      </c>
      <c r="M795">
        <v>0</v>
      </c>
      <c r="N795">
        <v>1351.28</v>
      </c>
      <c r="O795" t="s">
        <v>19</v>
      </c>
      <c r="P795" t="s">
        <v>20</v>
      </c>
      <c r="Q795">
        <v>20220221</v>
      </c>
    </row>
    <row r="796" spans="1:17" x14ac:dyDescent="0.25">
      <c r="A796" t="s">
        <v>715</v>
      </c>
      <c r="B796" t="s">
        <v>432</v>
      </c>
      <c r="C796">
        <v>22</v>
      </c>
      <c r="D796">
        <v>20220225</v>
      </c>
      <c r="E796">
        <f t="shared" si="12"/>
        <v>2</v>
      </c>
      <c r="F796">
        <v>468736</v>
      </c>
      <c r="G796" t="s">
        <v>1284</v>
      </c>
      <c r="H796" t="s">
        <v>401</v>
      </c>
      <c r="I796" t="s">
        <v>402</v>
      </c>
      <c r="J796" t="s">
        <v>1285</v>
      </c>
      <c r="K796">
        <v>20220225</v>
      </c>
      <c r="L796" t="s">
        <v>1286</v>
      </c>
      <c r="M796">
        <v>0</v>
      </c>
      <c r="N796">
        <v>31.57</v>
      </c>
      <c r="O796" t="s">
        <v>19</v>
      </c>
      <c r="P796" t="s">
        <v>20</v>
      </c>
      <c r="Q796">
        <v>20220225</v>
      </c>
    </row>
    <row r="797" spans="1:17" x14ac:dyDescent="0.25">
      <c r="A797" t="s">
        <v>715</v>
      </c>
      <c r="B797" t="s">
        <v>432</v>
      </c>
      <c r="C797">
        <v>22</v>
      </c>
      <c r="D797">
        <v>20220225</v>
      </c>
      <c r="E797">
        <f t="shared" si="12"/>
        <v>2</v>
      </c>
      <c r="F797">
        <v>512200</v>
      </c>
      <c r="G797" t="s">
        <v>432</v>
      </c>
      <c r="H797" t="s">
        <v>401</v>
      </c>
      <c r="I797" t="s">
        <v>402</v>
      </c>
      <c r="J797" t="s">
        <v>1285</v>
      </c>
      <c r="K797">
        <v>20220225</v>
      </c>
      <c r="L797" t="s">
        <v>1286</v>
      </c>
      <c r="M797">
        <v>31.57</v>
      </c>
      <c r="N797">
        <v>0</v>
      </c>
      <c r="O797" t="s">
        <v>19</v>
      </c>
      <c r="P797" t="s">
        <v>20</v>
      </c>
      <c r="Q797">
        <v>20220225</v>
      </c>
    </row>
    <row r="798" spans="1:17" x14ac:dyDescent="0.25">
      <c r="A798" t="s">
        <v>715</v>
      </c>
      <c r="B798" t="s">
        <v>432</v>
      </c>
      <c r="C798">
        <v>22</v>
      </c>
      <c r="D798">
        <v>20220225</v>
      </c>
      <c r="E798">
        <f t="shared" si="12"/>
        <v>2</v>
      </c>
      <c r="F798">
        <v>401000</v>
      </c>
      <c r="G798" t="s">
        <v>41</v>
      </c>
      <c r="H798" t="s">
        <v>52</v>
      </c>
      <c r="I798" t="s">
        <v>53</v>
      </c>
      <c r="J798" t="s">
        <v>1287</v>
      </c>
      <c r="K798">
        <v>20220225</v>
      </c>
      <c r="L798" t="s">
        <v>1288</v>
      </c>
      <c r="M798">
        <v>29</v>
      </c>
      <c r="N798">
        <v>0</v>
      </c>
      <c r="O798" t="s">
        <v>23</v>
      </c>
      <c r="P798">
        <v>20220510</v>
      </c>
      <c r="Q798">
        <v>20220225</v>
      </c>
    </row>
    <row r="799" spans="1:17" x14ac:dyDescent="0.25">
      <c r="A799" t="s">
        <v>715</v>
      </c>
      <c r="B799" t="s">
        <v>432</v>
      </c>
      <c r="C799">
        <v>22</v>
      </c>
      <c r="D799">
        <v>20220225</v>
      </c>
      <c r="E799">
        <f t="shared" si="12"/>
        <v>2</v>
      </c>
      <c r="F799">
        <v>512200</v>
      </c>
      <c r="G799" t="s">
        <v>432</v>
      </c>
      <c r="H799" t="s">
        <v>401</v>
      </c>
      <c r="I799" t="s">
        <v>402</v>
      </c>
      <c r="J799" t="s">
        <v>1287</v>
      </c>
      <c r="K799">
        <v>20220225</v>
      </c>
      <c r="L799" t="s">
        <v>1288</v>
      </c>
      <c r="M799">
        <v>0</v>
      </c>
      <c r="N799">
        <v>29</v>
      </c>
      <c r="O799" t="s">
        <v>19</v>
      </c>
      <c r="P799" t="s">
        <v>20</v>
      </c>
      <c r="Q799">
        <v>20220225</v>
      </c>
    </row>
    <row r="800" spans="1:17" x14ac:dyDescent="0.25">
      <c r="A800" t="s">
        <v>715</v>
      </c>
      <c r="B800" t="s">
        <v>432</v>
      </c>
      <c r="C800">
        <v>22</v>
      </c>
      <c r="D800">
        <v>20220225</v>
      </c>
      <c r="E800">
        <f t="shared" si="12"/>
        <v>2</v>
      </c>
      <c r="F800">
        <v>401000</v>
      </c>
      <c r="G800" t="s">
        <v>41</v>
      </c>
      <c r="H800" t="s">
        <v>844</v>
      </c>
      <c r="I800" t="s">
        <v>845</v>
      </c>
      <c r="J800" t="s">
        <v>1289</v>
      </c>
      <c r="K800">
        <v>20220225</v>
      </c>
      <c r="L800" t="s">
        <v>1290</v>
      </c>
      <c r="M800">
        <v>376</v>
      </c>
      <c r="N800">
        <v>0</v>
      </c>
      <c r="O800" t="s">
        <v>23</v>
      </c>
      <c r="P800">
        <v>20220421</v>
      </c>
      <c r="Q800">
        <v>20220225</v>
      </c>
    </row>
    <row r="801" spans="1:17" x14ac:dyDescent="0.25">
      <c r="A801" t="s">
        <v>715</v>
      </c>
      <c r="B801" t="s">
        <v>432</v>
      </c>
      <c r="C801">
        <v>22</v>
      </c>
      <c r="D801">
        <v>20220225</v>
      </c>
      <c r="E801">
        <f t="shared" si="12"/>
        <v>2</v>
      </c>
      <c r="F801">
        <v>512200</v>
      </c>
      <c r="G801" t="s">
        <v>432</v>
      </c>
      <c r="H801" t="s">
        <v>401</v>
      </c>
      <c r="I801" t="s">
        <v>402</v>
      </c>
      <c r="J801" t="s">
        <v>1289</v>
      </c>
      <c r="K801">
        <v>20220225</v>
      </c>
      <c r="L801" t="s">
        <v>1290</v>
      </c>
      <c r="M801">
        <v>0</v>
      </c>
      <c r="N801">
        <v>376</v>
      </c>
      <c r="O801" t="s">
        <v>19</v>
      </c>
      <c r="P801" t="s">
        <v>20</v>
      </c>
      <c r="Q801">
        <v>20220225</v>
      </c>
    </row>
    <row r="802" spans="1:17" x14ac:dyDescent="0.25">
      <c r="A802" t="s">
        <v>715</v>
      </c>
      <c r="B802" t="s">
        <v>432</v>
      </c>
      <c r="C802">
        <v>22</v>
      </c>
      <c r="D802">
        <v>20220225</v>
      </c>
      <c r="E802">
        <f t="shared" si="12"/>
        <v>2</v>
      </c>
      <c r="F802">
        <v>401000</v>
      </c>
      <c r="G802" t="s">
        <v>41</v>
      </c>
      <c r="H802" t="s">
        <v>846</v>
      </c>
      <c r="I802" t="s">
        <v>847</v>
      </c>
      <c r="J802" t="s">
        <v>1291</v>
      </c>
      <c r="K802">
        <v>20220225</v>
      </c>
      <c r="L802" t="s">
        <v>1292</v>
      </c>
      <c r="M802">
        <v>89.9</v>
      </c>
      <c r="N802">
        <v>0</v>
      </c>
      <c r="O802" t="s">
        <v>23</v>
      </c>
      <c r="P802">
        <v>20220421</v>
      </c>
      <c r="Q802">
        <v>20220225</v>
      </c>
    </row>
    <row r="803" spans="1:17" x14ac:dyDescent="0.25">
      <c r="A803" t="s">
        <v>715</v>
      </c>
      <c r="B803" t="s">
        <v>432</v>
      </c>
      <c r="C803">
        <v>22</v>
      </c>
      <c r="D803">
        <v>20220225</v>
      </c>
      <c r="E803">
        <f t="shared" si="12"/>
        <v>2</v>
      </c>
      <c r="F803">
        <v>512200</v>
      </c>
      <c r="G803" t="s">
        <v>432</v>
      </c>
      <c r="H803" t="s">
        <v>401</v>
      </c>
      <c r="I803" t="s">
        <v>402</v>
      </c>
      <c r="J803" t="s">
        <v>1291</v>
      </c>
      <c r="K803">
        <v>20220225</v>
      </c>
      <c r="L803" t="s">
        <v>1292</v>
      </c>
      <c r="M803">
        <v>0</v>
      </c>
      <c r="N803">
        <v>89.9</v>
      </c>
      <c r="O803" t="s">
        <v>19</v>
      </c>
      <c r="P803" t="s">
        <v>20</v>
      </c>
      <c r="Q803">
        <v>20220225</v>
      </c>
    </row>
    <row r="804" spans="1:17" x14ac:dyDescent="0.25">
      <c r="A804" t="s">
        <v>476</v>
      </c>
      <c r="B804" t="s">
        <v>477</v>
      </c>
      <c r="C804">
        <v>37</v>
      </c>
      <c r="D804">
        <v>20220302</v>
      </c>
      <c r="E804">
        <f t="shared" si="12"/>
        <v>3</v>
      </c>
      <c r="F804">
        <v>401000</v>
      </c>
      <c r="G804" t="s">
        <v>41</v>
      </c>
      <c r="H804" t="s">
        <v>450</v>
      </c>
      <c r="I804" t="s">
        <v>451</v>
      </c>
      <c r="J804" t="s">
        <v>1327</v>
      </c>
      <c r="K804">
        <v>20220302</v>
      </c>
      <c r="L804" t="s">
        <v>163</v>
      </c>
      <c r="M804">
        <v>112.2</v>
      </c>
      <c r="N804">
        <v>0</v>
      </c>
      <c r="O804" t="s">
        <v>22</v>
      </c>
      <c r="P804">
        <v>20220302</v>
      </c>
      <c r="Q804">
        <v>20220302</v>
      </c>
    </row>
    <row r="805" spans="1:17" x14ac:dyDescent="0.25">
      <c r="A805" t="s">
        <v>476</v>
      </c>
      <c r="B805" t="s">
        <v>477</v>
      </c>
      <c r="C805">
        <v>37</v>
      </c>
      <c r="D805">
        <v>20220302</v>
      </c>
      <c r="E805">
        <f t="shared" si="12"/>
        <v>3</v>
      </c>
      <c r="F805">
        <v>401000</v>
      </c>
      <c r="G805" t="s">
        <v>41</v>
      </c>
      <c r="H805" t="s">
        <v>75</v>
      </c>
      <c r="I805" t="s">
        <v>76</v>
      </c>
      <c r="J805" t="s">
        <v>1327</v>
      </c>
      <c r="K805">
        <v>20220302</v>
      </c>
      <c r="L805" t="s">
        <v>163</v>
      </c>
      <c r="M805">
        <v>1267.48</v>
      </c>
      <c r="N805">
        <v>0</v>
      </c>
      <c r="O805" t="s">
        <v>22</v>
      </c>
      <c r="P805">
        <v>20220302</v>
      </c>
      <c r="Q805">
        <v>20220302</v>
      </c>
    </row>
    <row r="806" spans="1:17" x14ac:dyDescent="0.25">
      <c r="A806" t="s">
        <v>476</v>
      </c>
      <c r="B806" t="s">
        <v>477</v>
      </c>
      <c r="C806">
        <v>37</v>
      </c>
      <c r="D806">
        <v>20220302</v>
      </c>
      <c r="E806">
        <f t="shared" si="12"/>
        <v>3</v>
      </c>
      <c r="F806">
        <v>401000</v>
      </c>
      <c r="G806" t="s">
        <v>41</v>
      </c>
      <c r="H806" t="s">
        <v>472</v>
      </c>
      <c r="I806" t="s">
        <v>473</v>
      </c>
      <c r="J806" t="s">
        <v>1327</v>
      </c>
      <c r="K806">
        <v>20220302</v>
      </c>
      <c r="L806" t="s">
        <v>163</v>
      </c>
      <c r="M806">
        <v>140</v>
      </c>
      <c r="N806">
        <v>0</v>
      </c>
      <c r="O806" t="s">
        <v>22</v>
      </c>
      <c r="P806">
        <v>20220302</v>
      </c>
      <c r="Q806">
        <v>20220302</v>
      </c>
    </row>
    <row r="807" spans="1:17" x14ac:dyDescent="0.25">
      <c r="A807" t="s">
        <v>476</v>
      </c>
      <c r="B807" t="s">
        <v>477</v>
      </c>
      <c r="C807">
        <v>37</v>
      </c>
      <c r="D807">
        <v>20220302</v>
      </c>
      <c r="E807">
        <f t="shared" si="12"/>
        <v>3</v>
      </c>
      <c r="F807">
        <v>401000</v>
      </c>
      <c r="G807" t="s">
        <v>41</v>
      </c>
      <c r="H807" t="s">
        <v>466</v>
      </c>
      <c r="I807" t="s">
        <v>467</v>
      </c>
      <c r="J807" t="s">
        <v>1327</v>
      </c>
      <c r="K807">
        <v>20220302</v>
      </c>
      <c r="L807" t="s">
        <v>163</v>
      </c>
      <c r="M807">
        <v>432</v>
      </c>
      <c r="N807">
        <v>0</v>
      </c>
      <c r="O807" t="s">
        <v>22</v>
      </c>
      <c r="P807">
        <v>20220302</v>
      </c>
      <c r="Q807">
        <v>20220302</v>
      </c>
    </row>
    <row r="808" spans="1:17" x14ac:dyDescent="0.25">
      <c r="A808" t="s">
        <v>476</v>
      </c>
      <c r="B808" t="s">
        <v>477</v>
      </c>
      <c r="C808">
        <v>37</v>
      </c>
      <c r="D808">
        <v>20220302</v>
      </c>
      <c r="E808">
        <f t="shared" si="12"/>
        <v>3</v>
      </c>
      <c r="F808">
        <v>401000</v>
      </c>
      <c r="G808" t="s">
        <v>41</v>
      </c>
      <c r="H808" t="s">
        <v>827</v>
      </c>
      <c r="I808" t="s">
        <v>828</v>
      </c>
      <c r="J808" t="s">
        <v>1327</v>
      </c>
      <c r="K808">
        <v>20220302</v>
      </c>
      <c r="L808" t="s">
        <v>163</v>
      </c>
      <c r="M808">
        <v>123</v>
      </c>
      <c r="N808">
        <v>0</v>
      </c>
      <c r="O808" t="s">
        <v>22</v>
      </c>
      <c r="P808">
        <v>20220302</v>
      </c>
      <c r="Q808">
        <v>20220302</v>
      </c>
    </row>
    <row r="809" spans="1:17" x14ac:dyDescent="0.25">
      <c r="A809" t="s">
        <v>476</v>
      </c>
      <c r="B809" t="s">
        <v>477</v>
      </c>
      <c r="C809">
        <v>37</v>
      </c>
      <c r="D809">
        <v>20220302</v>
      </c>
      <c r="E809">
        <f t="shared" si="12"/>
        <v>3</v>
      </c>
      <c r="F809">
        <v>401000</v>
      </c>
      <c r="G809" t="s">
        <v>41</v>
      </c>
      <c r="H809" t="s">
        <v>830</v>
      </c>
      <c r="I809" t="s">
        <v>831</v>
      </c>
      <c r="J809" t="s">
        <v>1327</v>
      </c>
      <c r="K809">
        <v>20220302</v>
      </c>
      <c r="L809" t="s">
        <v>163</v>
      </c>
      <c r="M809">
        <v>120</v>
      </c>
      <c r="N809">
        <v>0</v>
      </c>
      <c r="O809" t="s">
        <v>22</v>
      </c>
      <c r="P809">
        <v>20220302</v>
      </c>
      <c r="Q809">
        <v>20220302</v>
      </c>
    </row>
    <row r="810" spans="1:17" x14ac:dyDescent="0.25">
      <c r="A810" t="s">
        <v>476</v>
      </c>
      <c r="B810" t="s">
        <v>477</v>
      </c>
      <c r="C810">
        <v>37</v>
      </c>
      <c r="D810">
        <v>20220302</v>
      </c>
      <c r="E810">
        <f t="shared" si="12"/>
        <v>3</v>
      </c>
      <c r="F810">
        <v>467100</v>
      </c>
      <c r="G810" t="s">
        <v>160</v>
      </c>
      <c r="H810" t="s">
        <v>1305</v>
      </c>
      <c r="I810" t="s">
        <v>1306</v>
      </c>
      <c r="J810" t="s">
        <v>1327</v>
      </c>
      <c r="K810">
        <v>20220302</v>
      </c>
      <c r="L810" t="s">
        <v>163</v>
      </c>
      <c r="M810">
        <v>86.94</v>
      </c>
      <c r="N810">
        <v>0</v>
      </c>
      <c r="O810" t="s">
        <v>22</v>
      </c>
      <c r="P810">
        <v>20220302</v>
      </c>
      <c r="Q810">
        <v>20220302</v>
      </c>
    </row>
    <row r="811" spans="1:17" x14ac:dyDescent="0.25">
      <c r="A811" t="s">
        <v>476</v>
      </c>
      <c r="B811" t="s">
        <v>477</v>
      </c>
      <c r="C811">
        <v>37</v>
      </c>
      <c r="D811">
        <v>20220302</v>
      </c>
      <c r="E811">
        <f t="shared" si="12"/>
        <v>3</v>
      </c>
      <c r="F811">
        <v>512000</v>
      </c>
      <c r="G811" t="s">
        <v>428</v>
      </c>
      <c r="H811" t="s">
        <v>401</v>
      </c>
      <c r="I811" t="s">
        <v>402</v>
      </c>
      <c r="J811" t="s">
        <v>1327</v>
      </c>
      <c r="K811">
        <v>20220302</v>
      </c>
      <c r="L811" t="s">
        <v>163</v>
      </c>
      <c r="M811">
        <v>0</v>
      </c>
      <c r="N811">
        <v>2281.62</v>
      </c>
      <c r="O811" t="s">
        <v>19</v>
      </c>
      <c r="P811" t="s">
        <v>20</v>
      </c>
      <c r="Q811">
        <v>20220302</v>
      </c>
    </row>
    <row r="812" spans="1:17" x14ac:dyDescent="0.25">
      <c r="A812" t="s">
        <v>476</v>
      </c>
      <c r="B812" t="s">
        <v>477</v>
      </c>
      <c r="C812">
        <v>37</v>
      </c>
      <c r="D812">
        <v>20220302</v>
      </c>
      <c r="E812">
        <f t="shared" si="12"/>
        <v>3</v>
      </c>
      <c r="F812">
        <v>627000</v>
      </c>
      <c r="G812" t="s">
        <v>480</v>
      </c>
      <c r="H812" t="s">
        <v>401</v>
      </c>
      <c r="I812" t="s">
        <v>402</v>
      </c>
      <c r="J812" t="s">
        <v>1328</v>
      </c>
      <c r="K812">
        <v>20220302</v>
      </c>
      <c r="L812" t="s">
        <v>1329</v>
      </c>
      <c r="M812">
        <v>156</v>
      </c>
      <c r="N812">
        <v>0</v>
      </c>
      <c r="O812" t="s">
        <v>19</v>
      </c>
      <c r="P812" t="s">
        <v>20</v>
      </c>
      <c r="Q812">
        <v>20220302</v>
      </c>
    </row>
    <row r="813" spans="1:17" x14ac:dyDescent="0.25">
      <c r="A813" t="s">
        <v>476</v>
      </c>
      <c r="B813" t="s">
        <v>477</v>
      </c>
      <c r="C813">
        <v>37</v>
      </c>
      <c r="D813">
        <v>20220302</v>
      </c>
      <c r="E813">
        <f t="shared" si="12"/>
        <v>3</v>
      </c>
      <c r="F813">
        <v>512000</v>
      </c>
      <c r="G813" t="s">
        <v>428</v>
      </c>
      <c r="H813" t="s">
        <v>401</v>
      </c>
      <c r="I813" t="s">
        <v>402</v>
      </c>
      <c r="J813" t="s">
        <v>1328</v>
      </c>
      <c r="K813">
        <v>20220302</v>
      </c>
      <c r="L813" t="s">
        <v>1329</v>
      </c>
      <c r="M813">
        <v>0</v>
      </c>
      <c r="N813">
        <v>156</v>
      </c>
      <c r="O813" t="s">
        <v>19</v>
      </c>
      <c r="P813" t="s">
        <v>20</v>
      </c>
      <c r="Q813">
        <v>20220302</v>
      </c>
    </row>
    <row r="814" spans="1:17" x14ac:dyDescent="0.25">
      <c r="A814" t="s">
        <v>476</v>
      </c>
      <c r="B814" t="s">
        <v>477</v>
      </c>
      <c r="C814">
        <v>37</v>
      </c>
      <c r="D814">
        <v>20220303</v>
      </c>
      <c r="E814">
        <f t="shared" si="12"/>
        <v>3</v>
      </c>
      <c r="F814">
        <v>468740</v>
      </c>
      <c r="G814" t="s">
        <v>426</v>
      </c>
      <c r="H814" t="s">
        <v>401</v>
      </c>
      <c r="I814" t="s">
        <v>402</v>
      </c>
      <c r="J814" t="s">
        <v>1330</v>
      </c>
      <c r="K814">
        <v>20220303</v>
      </c>
      <c r="L814" t="s">
        <v>1331</v>
      </c>
      <c r="M814">
        <v>0</v>
      </c>
      <c r="N814">
        <v>51041</v>
      </c>
      <c r="O814" t="s">
        <v>23</v>
      </c>
      <c r="P814">
        <v>20230221</v>
      </c>
      <c r="Q814">
        <v>20220303</v>
      </c>
    </row>
    <row r="815" spans="1:17" x14ac:dyDescent="0.25">
      <c r="A815" t="s">
        <v>476</v>
      </c>
      <c r="B815" t="s">
        <v>477</v>
      </c>
      <c r="C815">
        <v>37</v>
      </c>
      <c r="D815">
        <v>20220303</v>
      </c>
      <c r="E815">
        <f t="shared" si="12"/>
        <v>3</v>
      </c>
      <c r="F815">
        <v>512000</v>
      </c>
      <c r="G815" t="s">
        <v>428</v>
      </c>
      <c r="H815" t="s">
        <v>401</v>
      </c>
      <c r="I815" t="s">
        <v>402</v>
      </c>
      <c r="J815" t="s">
        <v>1330</v>
      </c>
      <c r="K815">
        <v>20220303</v>
      </c>
      <c r="L815" t="s">
        <v>1331</v>
      </c>
      <c r="M815">
        <v>51041</v>
      </c>
      <c r="N815">
        <v>0</v>
      </c>
      <c r="O815" t="s">
        <v>19</v>
      </c>
      <c r="P815" t="s">
        <v>20</v>
      </c>
      <c r="Q815">
        <v>20220303</v>
      </c>
    </row>
    <row r="816" spans="1:17" x14ac:dyDescent="0.25">
      <c r="A816" t="s">
        <v>476</v>
      </c>
      <c r="B816" t="s">
        <v>477</v>
      </c>
      <c r="C816">
        <v>37</v>
      </c>
      <c r="D816">
        <v>20220303</v>
      </c>
      <c r="E816">
        <f t="shared" si="12"/>
        <v>3</v>
      </c>
      <c r="F816">
        <v>627000</v>
      </c>
      <c r="G816" t="s">
        <v>480</v>
      </c>
      <c r="H816" t="s">
        <v>401</v>
      </c>
      <c r="I816" t="s">
        <v>402</v>
      </c>
      <c r="J816" t="s">
        <v>1332</v>
      </c>
      <c r="K816">
        <v>20220303</v>
      </c>
      <c r="L816" t="s">
        <v>482</v>
      </c>
      <c r="M816">
        <v>49</v>
      </c>
      <c r="N816">
        <v>0</v>
      </c>
      <c r="O816" t="s">
        <v>19</v>
      </c>
      <c r="P816" t="s">
        <v>20</v>
      </c>
      <c r="Q816">
        <v>20220303</v>
      </c>
    </row>
    <row r="817" spans="1:17" x14ac:dyDescent="0.25">
      <c r="A817" t="s">
        <v>476</v>
      </c>
      <c r="B817" t="s">
        <v>477</v>
      </c>
      <c r="C817">
        <v>37</v>
      </c>
      <c r="D817">
        <v>20220303</v>
      </c>
      <c r="E817">
        <f t="shared" si="12"/>
        <v>3</v>
      </c>
      <c r="F817">
        <v>512000</v>
      </c>
      <c r="G817" t="s">
        <v>428</v>
      </c>
      <c r="H817" t="s">
        <v>401</v>
      </c>
      <c r="I817" t="s">
        <v>402</v>
      </c>
      <c r="J817" t="s">
        <v>1332</v>
      </c>
      <c r="K817">
        <v>20220303</v>
      </c>
      <c r="L817" t="s">
        <v>482</v>
      </c>
      <c r="M817">
        <v>0</v>
      </c>
      <c r="N817">
        <v>49</v>
      </c>
      <c r="O817" t="s">
        <v>19</v>
      </c>
      <c r="P817" t="s">
        <v>20</v>
      </c>
      <c r="Q817">
        <v>20220303</v>
      </c>
    </row>
    <row r="818" spans="1:17" x14ac:dyDescent="0.25">
      <c r="A818" t="s">
        <v>476</v>
      </c>
      <c r="B818" t="s">
        <v>477</v>
      </c>
      <c r="C818">
        <v>37</v>
      </c>
      <c r="D818">
        <v>20220303</v>
      </c>
      <c r="E818">
        <f t="shared" si="12"/>
        <v>3</v>
      </c>
      <c r="F818">
        <v>627000</v>
      </c>
      <c r="G818" t="s">
        <v>480</v>
      </c>
      <c r="H818" t="s">
        <v>401</v>
      </c>
      <c r="I818" t="s">
        <v>402</v>
      </c>
      <c r="J818" t="s">
        <v>1333</v>
      </c>
      <c r="K818">
        <v>20220303</v>
      </c>
      <c r="L818" t="s">
        <v>482</v>
      </c>
      <c r="M818">
        <v>12.61</v>
      </c>
      <c r="N818">
        <v>0</v>
      </c>
      <c r="O818" t="s">
        <v>19</v>
      </c>
      <c r="P818" t="s">
        <v>20</v>
      </c>
      <c r="Q818">
        <v>20220303</v>
      </c>
    </row>
    <row r="819" spans="1:17" x14ac:dyDescent="0.25">
      <c r="A819" t="s">
        <v>476</v>
      </c>
      <c r="B819" t="s">
        <v>477</v>
      </c>
      <c r="C819">
        <v>37</v>
      </c>
      <c r="D819">
        <v>20220303</v>
      </c>
      <c r="E819">
        <f t="shared" si="12"/>
        <v>3</v>
      </c>
      <c r="F819">
        <v>512000</v>
      </c>
      <c r="G819" t="s">
        <v>428</v>
      </c>
      <c r="H819" t="s">
        <v>401</v>
      </c>
      <c r="I819" t="s">
        <v>402</v>
      </c>
      <c r="J819" t="s">
        <v>1333</v>
      </c>
      <c r="K819">
        <v>20220303</v>
      </c>
      <c r="L819" t="s">
        <v>482</v>
      </c>
      <c r="M819">
        <v>0</v>
      </c>
      <c r="N819">
        <v>12.61</v>
      </c>
      <c r="O819" t="s">
        <v>19</v>
      </c>
      <c r="P819" t="s">
        <v>20</v>
      </c>
      <c r="Q819">
        <v>20220303</v>
      </c>
    </row>
    <row r="820" spans="1:17" x14ac:dyDescent="0.25">
      <c r="A820" t="s">
        <v>476</v>
      </c>
      <c r="B820" t="s">
        <v>477</v>
      </c>
      <c r="C820">
        <v>37</v>
      </c>
      <c r="D820">
        <v>20220304</v>
      </c>
      <c r="E820">
        <f t="shared" si="12"/>
        <v>3</v>
      </c>
      <c r="F820">
        <v>401000</v>
      </c>
      <c r="G820" t="s">
        <v>41</v>
      </c>
      <c r="H820" t="s">
        <v>67</v>
      </c>
      <c r="I820" t="s">
        <v>68</v>
      </c>
      <c r="J820" t="s">
        <v>1334</v>
      </c>
      <c r="K820">
        <v>20220304</v>
      </c>
      <c r="L820" t="s">
        <v>163</v>
      </c>
      <c r="M820">
        <v>599.64</v>
      </c>
      <c r="N820">
        <v>0</v>
      </c>
      <c r="O820" t="s">
        <v>22</v>
      </c>
      <c r="P820">
        <v>20220304</v>
      </c>
      <c r="Q820">
        <v>20220304</v>
      </c>
    </row>
    <row r="821" spans="1:17" x14ac:dyDescent="0.25">
      <c r="A821" t="s">
        <v>476</v>
      </c>
      <c r="B821" t="s">
        <v>477</v>
      </c>
      <c r="C821">
        <v>37</v>
      </c>
      <c r="D821">
        <v>20220304</v>
      </c>
      <c r="E821">
        <f t="shared" si="12"/>
        <v>3</v>
      </c>
      <c r="F821">
        <v>467100</v>
      </c>
      <c r="G821" t="s">
        <v>160</v>
      </c>
      <c r="H821" t="s">
        <v>1307</v>
      </c>
      <c r="I821" t="s">
        <v>1308</v>
      </c>
      <c r="J821" t="s">
        <v>1334</v>
      </c>
      <c r="K821">
        <v>20220304</v>
      </c>
      <c r="L821" t="s">
        <v>163</v>
      </c>
      <c r="M821">
        <v>16.399999999999999</v>
      </c>
      <c r="N821">
        <v>0</v>
      </c>
      <c r="O821" t="s">
        <v>22</v>
      </c>
      <c r="P821">
        <v>20220304</v>
      </c>
      <c r="Q821">
        <v>20220304</v>
      </c>
    </row>
    <row r="822" spans="1:17" x14ac:dyDescent="0.25">
      <c r="A822" t="s">
        <v>476</v>
      </c>
      <c r="B822" t="s">
        <v>477</v>
      </c>
      <c r="C822">
        <v>37</v>
      </c>
      <c r="D822">
        <v>20220304</v>
      </c>
      <c r="E822">
        <f t="shared" si="12"/>
        <v>3</v>
      </c>
      <c r="F822">
        <v>467100</v>
      </c>
      <c r="G822" t="s">
        <v>160</v>
      </c>
      <c r="H822" t="s">
        <v>219</v>
      </c>
      <c r="I822" t="s">
        <v>220</v>
      </c>
      <c r="J822" t="s">
        <v>1334</v>
      </c>
      <c r="K822">
        <v>20220304</v>
      </c>
      <c r="L822" t="s">
        <v>163</v>
      </c>
      <c r="M822">
        <v>59.4</v>
      </c>
      <c r="N822">
        <v>0</v>
      </c>
      <c r="O822" t="s">
        <v>22</v>
      </c>
      <c r="P822">
        <v>20220304</v>
      </c>
      <c r="Q822">
        <v>20220304</v>
      </c>
    </row>
    <row r="823" spans="1:17" x14ac:dyDescent="0.25">
      <c r="A823" t="s">
        <v>476</v>
      </c>
      <c r="B823" t="s">
        <v>477</v>
      </c>
      <c r="C823">
        <v>37</v>
      </c>
      <c r="D823">
        <v>20220304</v>
      </c>
      <c r="E823">
        <f t="shared" si="12"/>
        <v>3</v>
      </c>
      <c r="F823">
        <v>401000</v>
      </c>
      <c r="G823" t="s">
        <v>41</v>
      </c>
      <c r="H823" t="s">
        <v>303</v>
      </c>
      <c r="I823" t="s">
        <v>304</v>
      </c>
      <c r="J823" t="s">
        <v>1334</v>
      </c>
      <c r="K823">
        <v>20220304</v>
      </c>
      <c r="L823" t="s">
        <v>163</v>
      </c>
      <c r="M823">
        <v>360</v>
      </c>
      <c r="N823">
        <v>0</v>
      </c>
      <c r="O823" t="s">
        <v>22</v>
      </c>
      <c r="P823">
        <v>20220304</v>
      </c>
      <c r="Q823">
        <v>20220304</v>
      </c>
    </row>
    <row r="824" spans="1:17" x14ac:dyDescent="0.25">
      <c r="A824" t="s">
        <v>476</v>
      </c>
      <c r="B824" t="s">
        <v>477</v>
      </c>
      <c r="C824">
        <v>37</v>
      </c>
      <c r="D824">
        <v>20220304</v>
      </c>
      <c r="E824">
        <f t="shared" si="12"/>
        <v>3</v>
      </c>
      <c r="F824">
        <v>401000</v>
      </c>
      <c r="G824" t="s">
        <v>41</v>
      </c>
      <c r="H824" t="s">
        <v>395</v>
      </c>
      <c r="I824" t="s">
        <v>396</v>
      </c>
      <c r="J824" t="s">
        <v>1334</v>
      </c>
      <c r="K824">
        <v>20220304</v>
      </c>
      <c r="L824" t="s">
        <v>163</v>
      </c>
      <c r="M824">
        <v>137.18</v>
      </c>
      <c r="N824">
        <v>0</v>
      </c>
      <c r="O824" t="s">
        <v>22</v>
      </c>
      <c r="P824">
        <v>20220304</v>
      </c>
      <c r="Q824">
        <v>20220304</v>
      </c>
    </row>
    <row r="825" spans="1:17" x14ac:dyDescent="0.25">
      <c r="A825" t="s">
        <v>476</v>
      </c>
      <c r="B825" t="s">
        <v>477</v>
      </c>
      <c r="C825">
        <v>37</v>
      </c>
      <c r="D825">
        <v>20220304</v>
      </c>
      <c r="E825">
        <f t="shared" si="12"/>
        <v>3</v>
      </c>
      <c r="F825">
        <v>401000</v>
      </c>
      <c r="G825" t="s">
        <v>41</v>
      </c>
      <c r="H825" t="s">
        <v>856</v>
      </c>
      <c r="I825" t="s">
        <v>857</v>
      </c>
      <c r="J825" t="s">
        <v>1334</v>
      </c>
      <c r="K825">
        <v>20220304</v>
      </c>
      <c r="L825" t="s">
        <v>163</v>
      </c>
      <c r="M825">
        <v>636</v>
      </c>
      <c r="N825">
        <v>0</v>
      </c>
      <c r="O825" t="s">
        <v>22</v>
      </c>
      <c r="P825">
        <v>20220304</v>
      </c>
      <c r="Q825">
        <v>20220304</v>
      </c>
    </row>
    <row r="826" spans="1:17" x14ac:dyDescent="0.25">
      <c r="A826" t="s">
        <v>476</v>
      </c>
      <c r="B826" t="s">
        <v>477</v>
      </c>
      <c r="C826">
        <v>37</v>
      </c>
      <c r="D826">
        <v>20220304</v>
      </c>
      <c r="E826">
        <f t="shared" si="12"/>
        <v>3</v>
      </c>
      <c r="F826">
        <v>512000</v>
      </c>
      <c r="G826" t="s">
        <v>428</v>
      </c>
      <c r="H826" t="s">
        <v>401</v>
      </c>
      <c r="I826" t="s">
        <v>402</v>
      </c>
      <c r="J826" t="s">
        <v>1334</v>
      </c>
      <c r="K826">
        <v>20220304</v>
      </c>
      <c r="L826" t="s">
        <v>163</v>
      </c>
      <c r="M826">
        <v>0</v>
      </c>
      <c r="N826">
        <v>1808.62</v>
      </c>
      <c r="O826" t="s">
        <v>19</v>
      </c>
      <c r="P826" t="s">
        <v>20</v>
      </c>
      <c r="Q826">
        <v>20220304</v>
      </c>
    </row>
    <row r="827" spans="1:17" x14ac:dyDescent="0.25">
      <c r="A827" t="s">
        <v>476</v>
      </c>
      <c r="B827" t="s">
        <v>477</v>
      </c>
      <c r="C827">
        <v>37</v>
      </c>
      <c r="D827">
        <v>20220304</v>
      </c>
      <c r="E827">
        <f t="shared" si="12"/>
        <v>3</v>
      </c>
      <c r="F827">
        <v>401000</v>
      </c>
      <c r="G827" t="s">
        <v>41</v>
      </c>
      <c r="H827" t="s">
        <v>1335</v>
      </c>
      <c r="I827" t="s">
        <v>1336</v>
      </c>
      <c r="J827" t="s">
        <v>1337</v>
      </c>
      <c r="K827">
        <v>20220304</v>
      </c>
      <c r="L827" t="s">
        <v>127</v>
      </c>
      <c r="M827">
        <v>148.80000000000001</v>
      </c>
      <c r="N827">
        <v>0</v>
      </c>
      <c r="O827" t="s">
        <v>23</v>
      </c>
      <c r="P827">
        <v>20220525</v>
      </c>
      <c r="Q827">
        <v>20220304</v>
      </c>
    </row>
    <row r="828" spans="1:17" x14ac:dyDescent="0.25">
      <c r="A828" t="s">
        <v>476</v>
      </c>
      <c r="B828" t="s">
        <v>477</v>
      </c>
      <c r="C828">
        <v>37</v>
      </c>
      <c r="D828">
        <v>20220304</v>
      </c>
      <c r="E828">
        <f t="shared" si="12"/>
        <v>3</v>
      </c>
      <c r="F828">
        <v>512000</v>
      </c>
      <c r="G828" t="s">
        <v>428</v>
      </c>
      <c r="H828" t="s">
        <v>401</v>
      </c>
      <c r="I828" t="s">
        <v>402</v>
      </c>
      <c r="J828" t="s">
        <v>1337</v>
      </c>
      <c r="K828">
        <v>20220304</v>
      </c>
      <c r="L828" t="s">
        <v>127</v>
      </c>
      <c r="M828">
        <v>0</v>
      </c>
      <c r="N828">
        <v>148.80000000000001</v>
      </c>
      <c r="O828" t="s">
        <v>19</v>
      </c>
      <c r="P828" t="s">
        <v>20</v>
      </c>
      <c r="Q828">
        <v>20220304</v>
      </c>
    </row>
    <row r="829" spans="1:17" x14ac:dyDescent="0.25">
      <c r="A829" t="s">
        <v>476</v>
      </c>
      <c r="B829" t="s">
        <v>477</v>
      </c>
      <c r="C829">
        <v>37</v>
      </c>
      <c r="D829">
        <v>20220307</v>
      </c>
      <c r="E829">
        <f t="shared" si="12"/>
        <v>3</v>
      </c>
      <c r="F829">
        <v>421000</v>
      </c>
      <c r="G829" t="s">
        <v>403</v>
      </c>
      <c r="H829" t="s">
        <v>401</v>
      </c>
      <c r="I829" t="s">
        <v>402</v>
      </c>
      <c r="J829" t="s">
        <v>1338</v>
      </c>
      <c r="K829">
        <v>20220307</v>
      </c>
      <c r="L829" t="s">
        <v>1339</v>
      </c>
      <c r="M829">
        <v>10592.98</v>
      </c>
      <c r="N829">
        <v>0</v>
      </c>
      <c r="O829" t="s">
        <v>23</v>
      </c>
      <c r="P829">
        <v>20220630</v>
      </c>
      <c r="Q829">
        <v>20220307</v>
      </c>
    </row>
    <row r="830" spans="1:17" x14ac:dyDescent="0.25">
      <c r="A830" t="s">
        <v>476</v>
      </c>
      <c r="B830" t="s">
        <v>477</v>
      </c>
      <c r="C830">
        <v>37</v>
      </c>
      <c r="D830">
        <v>20220307</v>
      </c>
      <c r="E830">
        <f t="shared" si="12"/>
        <v>3</v>
      </c>
      <c r="F830">
        <v>512000</v>
      </c>
      <c r="G830" t="s">
        <v>428</v>
      </c>
      <c r="H830" t="s">
        <v>401</v>
      </c>
      <c r="I830" t="s">
        <v>402</v>
      </c>
      <c r="J830" t="s">
        <v>1338</v>
      </c>
      <c r="K830">
        <v>20220307</v>
      </c>
      <c r="L830" t="s">
        <v>1339</v>
      </c>
      <c r="M830">
        <v>0</v>
      </c>
      <c r="N830">
        <v>10592.98</v>
      </c>
      <c r="O830" t="s">
        <v>19</v>
      </c>
      <c r="P830" t="s">
        <v>20</v>
      </c>
      <c r="Q830">
        <v>20220307</v>
      </c>
    </row>
    <row r="831" spans="1:17" x14ac:dyDescent="0.25">
      <c r="A831" t="s">
        <v>476</v>
      </c>
      <c r="B831" t="s">
        <v>477</v>
      </c>
      <c r="C831">
        <v>37</v>
      </c>
      <c r="D831">
        <v>20220307</v>
      </c>
      <c r="E831">
        <f t="shared" si="12"/>
        <v>3</v>
      </c>
      <c r="F831">
        <v>401000</v>
      </c>
      <c r="G831" t="s">
        <v>41</v>
      </c>
      <c r="H831" t="s">
        <v>225</v>
      </c>
      <c r="I831" t="s">
        <v>226</v>
      </c>
      <c r="J831" t="s">
        <v>1340</v>
      </c>
      <c r="K831">
        <v>20220307</v>
      </c>
      <c r="L831" t="s">
        <v>488</v>
      </c>
      <c r="M831">
        <v>475.4</v>
      </c>
      <c r="N831">
        <v>0</v>
      </c>
      <c r="O831" t="s">
        <v>23</v>
      </c>
      <c r="P831">
        <v>20220630</v>
      </c>
      <c r="Q831">
        <v>20220307</v>
      </c>
    </row>
    <row r="832" spans="1:17" x14ac:dyDescent="0.25">
      <c r="A832" t="s">
        <v>476</v>
      </c>
      <c r="B832" t="s">
        <v>477</v>
      </c>
      <c r="C832">
        <v>37</v>
      </c>
      <c r="D832">
        <v>20220307</v>
      </c>
      <c r="E832">
        <f t="shared" si="12"/>
        <v>3</v>
      </c>
      <c r="F832">
        <v>512000</v>
      </c>
      <c r="G832" t="s">
        <v>428</v>
      </c>
      <c r="H832" t="s">
        <v>401</v>
      </c>
      <c r="I832" t="s">
        <v>402</v>
      </c>
      <c r="J832" t="s">
        <v>1340</v>
      </c>
      <c r="K832">
        <v>20220307</v>
      </c>
      <c r="L832" t="s">
        <v>488</v>
      </c>
      <c r="M832">
        <v>0</v>
      </c>
      <c r="N832">
        <v>475.4</v>
      </c>
      <c r="O832" t="s">
        <v>19</v>
      </c>
      <c r="P832" t="s">
        <v>20</v>
      </c>
      <c r="Q832">
        <v>20220307</v>
      </c>
    </row>
    <row r="833" spans="1:17" x14ac:dyDescent="0.25">
      <c r="A833" t="s">
        <v>476</v>
      </c>
      <c r="B833" t="s">
        <v>477</v>
      </c>
      <c r="C833">
        <v>37</v>
      </c>
      <c r="D833">
        <v>20220308</v>
      </c>
      <c r="E833">
        <f t="shared" si="12"/>
        <v>3</v>
      </c>
      <c r="F833">
        <v>468725</v>
      </c>
      <c r="G833" t="s">
        <v>424</v>
      </c>
      <c r="H833" t="s">
        <v>401</v>
      </c>
      <c r="I833" t="s">
        <v>402</v>
      </c>
      <c r="J833" t="s">
        <v>1341</v>
      </c>
      <c r="K833">
        <v>20220308</v>
      </c>
      <c r="L833" t="s">
        <v>901</v>
      </c>
      <c r="M833">
        <v>0</v>
      </c>
      <c r="N833">
        <v>1999.98</v>
      </c>
      <c r="O833" t="s">
        <v>23</v>
      </c>
      <c r="P833">
        <v>20230105</v>
      </c>
      <c r="Q833">
        <v>20220308</v>
      </c>
    </row>
    <row r="834" spans="1:17" x14ac:dyDescent="0.25">
      <c r="A834" t="s">
        <v>476</v>
      </c>
      <c r="B834" t="s">
        <v>477</v>
      </c>
      <c r="C834">
        <v>37</v>
      </c>
      <c r="D834">
        <v>20220308</v>
      </c>
      <c r="E834">
        <f t="shared" si="12"/>
        <v>3</v>
      </c>
      <c r="F834">
        <v>512000</v>
      </c>
      <c r="G834" t="s">
        <v>428</v>
      </c>
      <c r="H834" t="s">
        <v>401</v>
      </c>
      <c r="I834" t="s">
        <v>402</v>
      </c>
      <c r="J834" t="s">
        <v>1341</v>
      </c>
      <c r="K834">
        <v>20220308</v>
      </c>
      <c r="L834" t="s">
        <v>901</v>
      </c>
      <c r="M834">
        <v>1999.98</v>
      </c>
      <c r="N834">
        <v>0</v>
      </c>
      <c r="O834" t="s">
        <v>19</v>
      </c>
      <c r="P834" t="s">
        <v>20</v>
      </c>
      <c r="Q834">
        <v>20220308</v>
      </c>
    </row>
    <row r="835" spans="1:17" x14ac:dyDescent="0.25">
      <c r="A835" t="s">
        <v>476</v>
      </c>
      <c r="B835" t="s">
        <v>477</v>
      </c>
      <c r="C835">
        <v>37</v>
      </c>
      <c r="D835">
        <v>20220309</v>
      </c>
      <c r="E835">
        <f t="shared" ref="E835:E898" si="13">VALUE(MID(D835,5,2))</f>
        <v>3</v>
      </c>
      <c r="F835">
        <v>468740</v>
      </c>
      <c r="G835" t="s">
        <v>426</v>
      </c>
      <c r="H835" t="s">
        <v>401</v>
      </c>
      <c r="I835" t="s">
        <v>402</v>
      </c>
      <c r="J835" t="s">
        <v>1342</v>
      </c>
      <c r="K835">
        <v>20220309</v>
      </c>
      <c r="L835" t="s">
        <v>1343</v>
      </c>
      <c r="M835">
        <v>0</v>
      </c>
      <c r="N835">
        <v>67755</v>
      </c>
      <c r="O835" t="s">
        <v>23</v>
      </c>
      <c r="P835">
        <v>20230221</v>
      </c>
      <c r="Q835">
        <v>20220309</v>
      </c>
    </row>
    <row r="836" spans="1:17" x14ac:dyDescent="0.25">
      <c r="A836" t="s">
        <v>476</v>
      </c>
      <c r="B836" t="s">
        <v>477</v>
      </c>
      <c r="C836">
        <v>37</v>
      </c>
      <c r="D836">
        <v>20220309</v>
      </c>
      <c r="E836">
        <f t="shared" si="13"/>
        <v>3</v>
      </c>
      <c r="F836">
        <v>512000</v>
      </c>
      <c r="G836" t="s">
        <v>428</v>
      </c>
      <c r="H836" t="s">
        <v>401</v>
      </c>
      <c r="I836" t="s">
        <v>402</v>
      </c>
      <c r="J836" t="s">
        <v>1342</v>
      </c>
      <c r="K836">
        <v>20220309</v>
      </c>
      <c r="L836" t="s">
        <v>1343</v>
      </c>
      <c r="M836">
        <v>67755</v>
      </c>
      <c r="N836">
        <v>0</v>
      </c>
      <c r="O836" t="s">
        <v>19</v>
      </c>
      <c r="P836" t="s">
        <v>20</v>
      </c>
      <c r="Q836">
        <v>20220309</v>
      </c>
    </row>
    <row r="837" spans="1:17" x14ac:dyDescent="0.25">
      <c r="A837" t="s">
        <v>476</v>
      </c>
      <c r="B837" t="s">
        <v>477</v>
      </c>
      <c r="C837">
        <v>37</v>
      </c>
      <c r="D837">
        <v>20220309</v>
      </c>
      <c r="E837">
        <f t="shared" si="13"/>
        <v>3</v>
      </c>
      <c r="F837">
        <v>791100</v>
      </c>
      <c r="G837" t="s">
        <v>806</v>
      </c>
      <c r="H837" t="s">
        <v>401</v>
      </c>
      <c r="I837" t="s">
        <v>402</v>
      </c>
      <c r="J837" t="s">
        <v>1344</v>
      </c>
      <c r="K837">
        <v>20220309</v>
      </c>
      <c r="L837" t="s">
        <v>1345</v>
      </c>
      <c r="M837">
        <v>0</v>
      </c>
      <c r="N837">
        <v>1200</v>
      </c>
      <c r="O837" t="s">
        <v>19</v>
      </c>
      <c r="P837" t="s">
        <v>20</v>
      </c>
      <c r="Q837">
        <v>20220309</v>
      </c>
    </row>
    <row r="838" spans="1:17" x14ac:dyDescent="0.25">
      <c r="A838" t="s">
        <v>476</v>
      </c>
      <c r="B838" t="s">
        <v>477</v>
      </c>
      <c r="C838">
        <v>37</v>
      </c>
      <c r="D838">
        <v>20220309</v>
      </c>
      <c r="E838">
        <f t="shared" si="13"/>
        <v>3</v>
      </c>
      <c r="F838">
        <v>512000</v>
      </c>
      <c r="G838" t="s">
        <v>428</v>
      </c>
      <c r="H838" t="s">
        <v>401</v>
      </c>
      <c r="I838" t="s">
        <v>402</v>
      </c>
      <c r="J838" t="s">
        <v>1344</v>
      </c>
      <c r="K838">
        <v>20220309</v>
      </c>
      <c r="L838" t="s">
        <v>1345</v>
      </c>
      <c r="M838">
        <v>1200</v>
      </c>
      <c r="N838">
        <v>0</v>
      </c>
      <c r="O838" t="s">
        <v>19</v>
      </c>
      <c r="P838" t="s">
        <v>20</v>
      </c>
      <c r="Q838">
        <v>20220309</v>
      </c>
    </row>
    <row r="839" spans="1:17" x14ac:dyDescent="0.25">
      <c r="A839" t="s">
        <v>476</v>
      </c>
      <c r="B839" t="s">
        <v>477</v>
      </c>
      <c r="C839">
        <v>37</v>
      </c>
      <c r="D839">
        <v>20220311</v>
      </c>
      <c r="E839">
        <f t="shared" si="13"/>
        <v>3</v>
      </c>
      <c r="F839">
        <v>401000</v>
      </c>
      <c r="G839" t="s">
        <v>41</v>
      </c>
      <c r="H839" t="s">
        <v>46</v>
      </c>
      <c r="I839" t="s">
        <v>47</v>
      </c>
      <c r="J839" t="s">
        <v>1346</v>
      </c>
      <c r="K839">
        <v>20220311</v>
      </c>
      <c r="L839" t="s">
        <v>163</v>
      </c>
      <c r="M839">
        <v>1400</v>
      </c>
      <c r="N839">
        <v>0</v>
      </c>
      <c r="O839" t="s">
        <v>23</v>
      </c>
      <c r="P839">
        <v>20220321</v>
      </c>
      <c r="Q839">
        <v>20220311</v>
      </c>
    </row>
    <row r="840" spans="1:17" x14ac:dyDescent="0.25">
      <c r="A840" t="s">
        <v>476</v>
      </c>
      <c r="B840" t="s">
        <v>477</v>
      </c>
      <c r="C840">
        <v>37</v>
      </c>
      <c r="D840">
        <v>20220311</v>
      </c>
      <c r="E840">
        <f t="shared" si="13"/>
        <v>3</v>
      </c>
      <c r="F840">
        <v>401000</v>
      </c>
      <c r="G840" t="s">
        <v>41</v>
      </c>
      <c r="H840" t="s">
        <v>462</v>
      </c>
      <c r="I840" t="s">
        <v>463</v>
      </c>
      <c r="J840" t="s">
        <v>1346</v>
      </c>
      <c r="K840">
        <v>20220311</v>
      </c>
      <c r="L840" t="s">
        <v>163</v>
      </c>
      <c r="M840">
        <v>1183.57</v>
      </c>
      <c r="N840">
        <v>0</v>
      </c>
      <c r="O840" t="s">
        <v>23</v>
      </c>
      <c r="P840">
        <v>20220321</v>
      </c>
      <c r="Q840">
        <v>20220311</v>
      </c>
    </row>
    <row r="841" spans="1:17" x14ac:dyDescent="0.25">
      <c r="A841" t="s">
        <v>476</v>
      </c>
      <c r="B841" t="s">
        <v>477</v>
      </c>
      <c r="C841">
        <v>37</v>
      </c>
      <c r="D841">
        <v>20220311</v>
      </c>
      <c r="E841">
        <f t="shared" si="13"/>
        <v>3</v>
      </c>
      <c r="F841">
        <v>401000</v>
      </c>
      <c r="G841" t="s">
        <v>41</v>
      </c>
      <c r="H841" t="s">
        <v>842</v>
      </c>
      <c r="I841" t="s">
        <v>843</v>
      </c>
      <c r="J841" t="s">
        <v>1346</v>
      </c>
      <c r="K841">
        <v>20220311</v>
      </c>
      <c r="L841" t="s">
        <v>163</v>
      </c>
      <c r="M841">
        <v>383</v>
      </c>
      <c r="N841">
        <v>0</v>
      </c>
      <c r="O841" t="s">
        <v>23</v>
      </c>
      <c r="P841">
        <v>20220321</v>
      </c>
      <c r="Q841">
        <v>20220311</v>
      </c>
    </row>
    <row r="842" spans="1:17" x14ac:dyDescent="0.25">
      <c r="A842" t="s">
        <v>476</v>
      </c>
      <c r="B842" t="s">
        <v>477</v>
      </c>
      <c r="C842">
        <v>37</v>
      </c>
      <c r="D842">
        <v>20220311</v>
      </c>
      <c r="E842">
        <f t="shared" si="13"/>
        <v>3</v>
      </c>
      <c r="F842">
        <v>401000</v>
      </c>
      <c r="G842" t="s">
        <v>41</v>
      </c>
      <c r="H842" t="s">
        <v>97</v>
      </c>
      <c r="I842" t="s">
        <v>98</v>
      </c>
      <c r="J842" t="s">
        <v>1346</v>
      </c>
      <c r="K842">
        <v>20220311</v>
      </c>
      <c r="L842" t="s">
        <v>163</v>
      </c>
      <c r="M842">
        <v>18.46</v>
      </c>
      <c r="N842">
        <v>0</v>
      </c>
      <c r="O842" t="s">
        <v>23</v>
      </c>
      <c r="P842">
        <v>20220321</v>
      </c>
      <c r="Q842">
        <v>20220311</v>
      </c>
    </row>
    <row r="843" spans="1:17" x14ac:dyDescent="0.25">
      <c r="A843" t="s">
        <v>476</v>
      </c>
      <c r="B843" t="s">
        <v>477</v>
      </c>
      <c r="C843">
        <v>37</v>
      </c>
      <c r="D843">
        <v>20220311</v>
      </c>
      <c r="E843">
        <f t="shared" si="13"/>
        <v>3</v>
      </c>
      <c r="F843">
        <v>401000</v>
      </c>
      <c r="G843" t="s">
        <v>41</v>
      </c>
      <c r="H843" t="s">
        <v>535</v>
      </c>
      <c r="I843" t="s">
        <v>536</v>
      </c>
      <c r="J843" t="s">
        <v>1346</v>
      </c>
      <c r="K843">
        <v>20220311</v>
      </c>
      <c r="L843" t="s">
        <v>163</v>
      </c>
      <c r="M843">
        <v>109</v>
      </c>
      <c r="N843">
        <v>0</v>
      </c>
      <c r="O843" t="s">
        <v>23</v>
      </c>
      <c r="P843">
        <v>20220327</v>
      </c>
      <c r="Q843">
        <v>20220311</v>
      </c>
    </row>
    <row r="844" spans="1:17" x14ac:dyDescent="0.25">
      <c r="A844" t="s">
        <v>476</v>
      </c>
      <c r="B844" t="s">
        <v>477</v>
      </c>
      <c r="C844">
        <v>37</v>
      </c>
      <c r="D844">
        <v>20220311</v>
      </c>
      <c r="E844">
        <f t="shared" si="13"/>
        <v>3</v>
      </c>
      <c r="F844">
        <v>401000</v>
      </c>
      <c r="G844" t="s">
        <v>41</v>
      </c>
      <c r="H844" t="s">
        <v>166</v>
      </c>
      <c r="I844" t="s">
        <v>167</v>
      </c>
      <c r="J844" t="s">
        <v>1346</v>
      </c>
      <c r="K844">
        <v>20220311</v>
      </c>
      <c r="L844" t="s">
        <v>163</v>
      </c>
      <c r="M844">
        <v>462</v>
      </c>
      <c r="N844">
        <v>0</v>
      </c>
      <c r="O844" t="s">
        <v>23</v>
      </c>
      <c r="P844">
        <v>20220321</v>
      </c>
      <c r="Q844">
        <v>20220311</v>
      </c>
    </row>
    <row r="845" spans="1:17" x14ac:dyDescent="0.25">
      <c r="A845" t="s">
        <v>476</v>
      </c>
      <c r="B845" t="s">
        <v>477</v>
      </c>
      <c r="C845">
        <v>37</v>
      </c>
      <c r="D845">
        <v>20220311</v>
      </c>
      <c r="E845">
        <f t="shared" si="13"/>
        <v>3</v>
      </c>
      <c r="F845">
        <v>401000</v>
      </c>
      <c r="G845" t="s">
        <v>41</v>
      </c>
      <c r="H845" t="s">
        <v>177</v>
      </c>
      <c r="I845" t="s">
        <v>178</v>
      </c>
      <c r="J845" t="s">
        <v>1346</v>
      </c>
      <c r="K845">
        <v>20220311</v>
      </c>
      <c r="L845" t="s">
        <v>163</v>
      </c>
      <c r="M845">
        <v>52.5</v>
      </c>
      <c r="N845">
        <v>0</v>
      </c>
      <c r="O845" t="s">
        <v>23</v>
      </c>
      <c r="P845">
        <v>20220321</v>
      </c>
      <c r="Q845">
        <v>20220311</v>
      </c>
    </row>
    <row r="846" spans="1:17" x14ac:dyDescent="0.25">
      <c r="A846" t="s">
        <v>476</v>
      </c>
      <c r="B846" t="s">
        <v>477</v>
      </c>
      <c r="C846">
        <v>37</v>
      </c>
      <c r="D846">
        <v>20220311</v>
      </c>
      <c r="E846">
        <f t="shared" si="13"/>
        <v>3</v>
      </c>
      <c r="F846">
        <v>401000</v>
      </c>
      <c r="G846" t="s">
        <v>41</v>
      </c>
      <c r="H846" t="s">
        <v>864</v>
      </c>
      <c r="I846" t="s">
        <v>865</v>
      </c>
      <c r="J846" t="s">
        <v>1346</v>
      </c>
      <c r="K846">
        <v>20220311</v>
      </c>
      <c r="L846" t="s">
        <v>163</v>
      </c>
      <c r="M846">
        <v>1011</v>
      </c>
      <c r="N846">
        <v>0</v>
      </c>
      <c r="O846" t="s">
        <v>23</v>
      </c>
      <c r="P846">
        <v>20220327</v>
      </c>
      <c r="Q846">
        <v>20220311</v>
      </c>
    </row>
    <row r="847" spans="1:17" x14ac:dyDescent="0.25">
      <c r="A847" t="s">
        <v>476</v>
      </c>
      <c r="B847" t="s">
        <v>477</v>
      </c>
      <c r="C847">
        <v>37</v>
      </c>
      <c r="D847">
        <v>20220311</v>
      </c>
      <c r="E847">
        <f t="shared" si="13"/>
        <v>3</v>
      </c>
      <c r="F847">
        <v>401000</v>
      </c>
      <c r="G847" t="s">
        <v>41</v>
      </c>
      <c r="H847" t="s">
        <v>474</v>
      </c>
      <c r="I847" t="s">
        <v>475</v>
      </c>
      <c r="J847" t="s">
        <v>1346</v>
      </c>
      <c r="K847">
        <v>20220311</v>
      </c>
      <c r="L847" t="s">
        <v>163</v>
      </c>
      <c r="M847">
        <v>320</v>
      </c>
      <c r="N847">
        <v>0</v>
      </c>
      <c r="O847" t="s">
        <v>23</v>
      </c>
      <c r="P847">
        <v>20220321</v>
      </c>
      <c r="Q847">
        <v>20220311</v>
      </c>
    </row>
    <row r="848" spans="1:17" x14ac:dyDescent="0.25">
      <c r="A848" t="s">
        <v>476</v>
      </c>
      <c r="B848" t="s">
        <v>477</v>
      </c>
      <c r="C848">
        <v>37</v>
      </c>
      <c r="D848">
        <v>20220311</v>
      </c>
      <c r="E848">
        <f t="shared" si="13"/>
        <v>3</v>
      </c>
      <c r="F848">
        <v>467100</v>
      </c>
      <c r="G848" t="s">
        <v>160</v>
      </c>
      <c r="H848" t="s">
        <v>316</v>
      </c>
      <c r="I848" t="s">
        <v>317</v>
      </c>
      <c r="J848" t="s">
        <v>1346</v>
      </c>
      <c r="K848">
        <v>20220311</v>
      </c>
      <c r="L848" t="s">
        <v>163</v>
      </c>
      <c r="M848">
        <v>23.75</v>
      </c>
      <c r="N848">
        <v>0</v>
      </c>
      <c r="O848" t="s">
        <v>23</v>
      </c>
      <c r="P848">
        <v>20220321</v>
      </c>
      <c r="Q848">
        <v>20220311</v>
      </c>
    </row>
    <row r="849" spans="1:17" x14ac:dyDescent="0.25">
      <c r="A849" t="s">
        <v>476</v>
      </c>
      <c r="B849" t="s">
        <v>477</v>
      </c>
      <c r="C849">
        <v>37</v>
      </c>
      <c r="D849">
        <v>20220311</v>
      </c>
      <c r="E849">
        <f t="shared" si="13"/>
        <v>3</v>
      </c>
      <c r="F849">
        <v>401000</v>
      </c>
      <c r="G849" t="s">
        <v>41</v>
      </c>
      <c r="H849" t="s">
        <v>1309</v>
      </c>
      <c r="I849" t="s">
        <v>1310</v>
      </c>
      <c r="J849" t="s">
        <v>1346</v>
      </c>
      <c r="K849">
        <v>20220311</v>
      </c>
      <c r="L849" t="s">
        <v>163</v>
      </c>
      <c r="M849">
        <v>3250</v>
      </c>
      <c r="N849">
        <v>0</v>
      </c>
      <c r="O849" t="s">
        <v>23</v>
      </c>
      <c r="P849">
        <v>20220321</v>
      </c>
      <c r="Q849">
        <v>20220311</v>
      </c>
    </row>
    <row r="850" spans="1:17" x14ac:dyDescent="0.25">
      <c r="A850" t="s">
        <v>476</v>
      </c>
      <c r="B850" t="s">
        <v>477</v>
      </c>
      <c r="C850">
        <v>37</v>
      </c>
      <c r="D850">
        <v>20220311</v>
      </c>
      <c r="E850">
        <f t="shared" si="13"/>
        <v>3</v>
      </c>
      <c r="F850">
        <v>512000</v>
      </c>
      <c r="G850" t="s">
        <v>428</v>
      </c>
      <c r="H850" t="s">
        <v>401</v>
      </c>
      <c r="I850" t="s">
        <v>402</v>
      </c>
      <c r="J850" t="s">
        <v>1346</v>
      </c>
      <c r="K850">
        <v>20220311</v>
      </c>
      <c r="L850" t="s">
        <v>163</v>
      </c>
      <c r="M850">
        <v>0</v>
      </c>
      <c r="N850">
        <v>8213.2800000000007</v>
      </c>
      <c r="O850" t="s">
        <v>19</v>
      </c>
      <c r="P850" t="s">
        <v>20</v>
      </c>
      <c r="Q850">
        <v>20220311</v>
      </c>
    </row>
    <row r="851" spans="1:17" x14ac:dyDescent="0.25">
      <c r="A851" t="s">
        <v>476</v>
      </c>
      <c r="B851" t="s">
        <v>477</v>
      </c>
      <c r="C851">
        <v>37</v>
      </c>
      <c r="D851">
        <v>20220311</v>
      </c>
      <c r="E851">
        <f t="shared" si="13"/>
        <v>3</v>
      </c>
      <c r="F851">
        <v>448100</v>
      </c>
      <c r="G851" t="s">
        <v>420</v>
      </c>
      <c r="H851" t="s">
        <v>401</v>
      </c>
      <c r="I851" t="s">
        <v>402</v>
      </c>
      <c r="J851" t="s">
        <v>1347</v>
      </c>
      <c r="K851">
        <v>20220311</v>
      </c>
      <c r="L851" t="s">
        <v>127</v>
      </c>
      <c r="M851">
        <v>15907</v>
      </c>
      <c r="N851">
        <v>0</v>
      </c>
      <c r="O851" t="s">
        <v>23</v>
      </c>
      <c r="P851">
        <v>20230218</v>
      </c>
      <c r="Q851">
        <v>20220311</v>
      </c>
    </row>
    <row r="852" spans="1:17" x14ac:dyDescent="0.25">
      <c r="A852" t="s">
        <v>476</v>
      </c>
      <c r="B852" t="s">
        <v>477</v>
      </c>
      <c r="C852">
        <v>37</v>
      </c>
      <c r="D852">
        <v>20220311</v>
      </c>
      <c r="E852">
        <f t="shared" si="13"/>
        <v>3</v>
      </c>
      <c r="F852">
        <v>467100</v>
      </c>
      <c r="G852" t="s">
        <v>160</v>
      </c>
      <c r="H852" t="s">
        <v>517</v>
      </c>
      <c r="I852" t="s">
        <v>518</v>
      </c>
      <c r="J852" t="s">
        <v>1347</v>
      </c>
      <c r="K852">
        <v>20220311</v>
      </c>
      <c r="L852" t="s">
        <v>127</v>
      </c>
      <c r="M852">
        <v>100</v>
      </c>
      <c r="N852">
        <v>0</v>
      </c>
      <c r="O852" t="s">
        <v>23</v>
      </c>
      <c r="P852">
        <v>20220419</v>
      </c>
      <c r="Q852">
        <v>20220311</v>
      </c>
    </row>
    <row r="853" spans="1:17" x14ac:dyDescent="0.25">
      <c r="A853" t="s">
        <v>476</v>
      </c>
      <c r="B853" t="s">
        <v>477</v>
      </c>
      <c r="C853">
        <v>37</v>
      </c>
      <c r="D853">
        <v>20220311</v>
      </c>
      <c r="E853">
        <f t="shared" si="13"/>
        <v>3</v>
      </c>
      <c r="F853">
        <v>467100</v>
      </c>
      <c r="G853" t="s">
        <v>160</v>
      </c>
      <c r="H853" t="s">
        <v>172</v>
      </c>
      <c r="I853" t="s">
        <v>173</v>
      </c>
      <c r="J853" t="s">
        <v>1347</v>
      </c>
      <c r="K853">
        <v>20220311</v>
      </c>
      <c r="L853" t="s">
        <v>127</v>
      </c>
      <c r="M853">
        <v>400</v>
      </c>
      <c r="N853">
        <v>0</v>
      </c>
      <c r="O853" t="s">
        <v>23</v>
      </c>
      <c r="P853">
        <v>20220419</v>
      </c>
      <c r="Q853">
        <v>20220311</v>
      </c>
    </row>
    <row r="854" spans="1:17" x14ac:dyDescent="0.25">
      <c r="A854" t="s">
        <v>476</v>
      </c>
      <c r="B854" t="s">
        <v>477</v>
      </c>
      <c r="C854">
        <v>37</v>
      </c>
      <c r="D854">
        <v>20220311</v>
      </c>
      <c r="E854">
        <f t="shared" si="13"/>
        <v>3</v>
      </c>
      <c r="F854">
        <v>512000</v>
      </c>
      <c r="G854" t="s">
        <v>428</v>
      </c>
      <c r="H854" t="s">
        <v>401</v>
      </c>
      <c r="I854" t="s">
        <v>402</v>
      </c>
      <c r="J854" t="s">
        <v>1347</v>
      </c>
      <c r="K854">
        <v>20220311</v>
      </c>
      <c r="L854" t="s">
        <v>127</v>
      </c>
      <c r="M854">
        <v>0</v>
      </c>
      <c r="N854">
        <v>16407</v>
      </c>
      <c r="O854" t="s">
        <v>19</v>
      </c>
      <c r="P854" t="s">
        <v>20</v>
      </c>
      <c r="Q854">
        <v>20220311</v>
      </c>
    </row>
    <row r="855" spans="1:17" x14ac:dyDescent="0.25">
      <c r="A855" t="s">
        <v>476</v>
      </c>
      <c r="B855" t="s">
        <v>477</v>
      </c>
      <c r="C855">
        <v>37</v>
      </c>
      <c r="D855">
        <v>20220314</v>
      </c>
      <c r="E855">
        <f t="shared" si="13"/>
        <v>3</v>
      </c>
      <c r="F855">
        <v>437000</v>
      </c>
      <c r="G855" t="s">
        <v>430</v>
      </c>
      <c r="H855" t="s">
        <v>401</v>
      </c>
      <c r="I855" t="s">
        <v>402</v>
      </c>
      <c r="J855" t="s">
        <v>1348</v>
      </c>
      <c r="K855">
        <v>20220314</v>
      </c>
      <c r="L855" t="s">
        <v>1349</v>
      </c>
      <c r="M855">
        <v>1589.22</v>
      </c>
      <c r="N855">
        <v>0</v>
      </c>
      <c r="O855" t="s">
        <v>19</v>
      </c>
      <c r="P855" t="s">
        <v>20</v>
      </c>
      <c r="Q855">
        <v>20220314</v>
      </c>
    </row>
    <row r="856" spans="1:17" x14ac:dyDescent="0.25">
      <c r="A856" t="s">
        <v>476</v>
      </c>
      <c r="B856" t="s">
        <v>477</v>
      </c>
      <c r="C856">
        <v>37</v>
      </c>
      <c r="D856">
        <v>20220314</v>
      </c>
      <c r="E856">
        <f t="shared" si="13"/>
        <v>3</v>
      </c>
      <c r="F856">
        <v>512000</v>
      </c>
      <c r="G856" t="s">
        <v>428</v>
      </c>
      <c r="H856" t="s">
        <v>401</v>
      </c>
      <c r="I856" t="s">
        <v>402</v>
      </c>
      <c r="J856" t="s">
        <v>1348</v>
      </c>
      <c r="K856">
        <v>20220314</v>
      </c>
      <c r="L856" t="s">
        <v>1349</v>
      </c>
      <c r="M856">
        <v>0</v>
      </c>
      <c r="N856">
        <v>1589.22</v>
      </c>
      <c r="O856" t="s">
        <v>19</v>
      </c>
      <c r="P856" t="s">
        <v>20</v>
      </c>
      <c r="Q856">
        <v>20220314</v>
      </c>
    </row>
    <row r="857" spans="1:17" x14ac:dyDescent="0.25">
      <c r="A857" t="s">
        <v>476</v>
      </c>
      <c r="B857" t="s">
        <v>477</v>
      </c>
      <c r="C857">
        <v>37</v>
      </c>
      <c r="D857">
        <v>20220314</v>
      </c>
      <c r="E857">
        <f t="shared" si="13"/>
        <v>3</v>
      </c>
      <c r="F857">
        <v>468200</v>
      </c>
      <c r="G857" t="s">
        <v>421</v>
      </c>
      <c r="H857" t="s">
        <v>401</v>
      </c>
      <c r="I857" t="s">
        <v>402</v>
      </c>
      <c r="J857" t="s">
        <v>1350</v>
      </c>
      <c r="K857">
        <v>20220314</v>
      </c>
      <c r="L857" t="s">
        <v>422</v>
      </c>
      <c r="M857">
        <v>0</v>
      </c>
      <c r="N857">
        <v>577.08000000000004</v>
      </c>
      <c r="O857" t="s">
        <v>23</v>
      </c>
      <c r="P857">
        <v>20221005</v>
      </c>
      <c r="Q857">
        <v>20220314</v>
      </c>
    </row>
    <row r="858" spans="1:17" x14ac:dyDescent="0.25">
      <c r="A858" t="s">
        <v>476</v>
      </c>
      <c r="B858" t="s">
        <v>477</v>
      </c>
      <c r="C858">
        <v>37</v>
      </c>
      <c r="D858">
        <v>20220314</v>
      </c>
      <c r="E858">
        <f t="shared" si="13"/>
        <v>3</v>
      </c>
      <c r="F858">
        <v>512000</v>
      </c>
      <c r="G858" t="s">
        <v>428</v>
      </c>
      <c r="H858" t="s">
        <v>401</v>
      </c>
      <c r="I858" t="s">
        <v>402</v>
      </c>
      <c r="J858" t="s">
        <v>1350</v>
      </c>
      <c r="K858">
        <v>20220314</v>
      </c>
      <c r="L858" t="s">
        <v>422</v>
      </c>
      <c r="M858">
        <v>577.08000000000004</v>
      </c>
      <c r="N858">
        <v>0</v>
      </c>
      <c r="O858" t="s">
        <v>19</v>
      </c>
      <c r="P858" t="s">
        <v>20</v>
      </c>
      <c r="Q858">
        <v>20220314</v>
      </c>
    </row>
    <row r="859" spans="1:17" x14ac:dyDescent="0.25">
      <c r="A859" t="s">
        <v>476</v>
      </c>
      <c r="B859" t="s">
        <v>477</v>
      </c>
      <c r="C859">
        <v>37</v>
      </c>
      <c r="D859">
        <v>20220315</v>
      </c>
      <c r="E859">
        <f t="shared" si="13"/>
        <v>3</v>
      </c>
      <c r="F859">
        <v>468710</v>
      </c>
      <c r="G859" t="s">
        <v>423</v>
      </c>
      <c r="H859" t="s">
        <v>401</v>
      </c>
      <c r="I859" t="s">
        <v>402</v>
      </c>
      <c r="J859" t="s">
        <v>1351</v>
      </c>
      <c r="K859">
        <v>20220315</v>
      </c>
      <c r="L859" t="s">
        <v>1352</v>
      </c>
      <c r="M859">
        <v>0</v>
      </c>
      <c r="N859">
        <v>6000</v>
      </c>
      <c r="O859" t="s">
        <v>23</v>
      </c>
      <c r="P859">
        <v>20220718</v>
      </c>
      <c r="Q859">
        <v>20220315</v>
      </c>
    </row>
    <row r="860" spans="1:17" x14ac:dyDescent="0.25">
      <c r="A860" t="s">
        <v>476</v>
      </c>
      <c r="B860" t="s">
        <v>477</v>
      </c>
      <c r="C860">
        <v>37</v>
      </c>
      <c r="D860">
        <v>20220315</v>
      </c>
      <c r="E860">
        <f t="shared" si="13"/>
        <v>3</v>
      </c>
      <c r="F860">
        <v>512000</v>
      </c>
      <c r="G860" t="s">
        <v>428</v>
      </c>
      <c r="H860" t="s">
        <v>401</v>
      </c>
      <c r="I860" t="s">
        <v>402</v>
      </c>
      <c r="J860" t="s">
        <v>1351</v>
      </c>
      <c r="K860">
        <v>20220315</v>
      </c>
      <c r="L860" t="s">
        <v>1352</v>
      </c>
      <c r="M860">
        <v>6000</v>
      </c>
      <c r="N860">
        <v>0</v>
      </c>
      <c r="O860" t="s">
        <v>19</v>
      </c>
      <c r="P860" t="s">
        <v>20</v>
      </c>
      <c r="Q860">
        <v>20220315</v>
      </c>
    </row>
    <row r="861" spans="1:17" x14ac:dyDescent="0.25">
      <c r="A861" t="s">
        <v>476</v>
      </c>
      <c r="B861" t="s">
        <v>477</v>
      </c>
      <c r="C861">
        <v>37</v>
      </c>
      <c r="D861">
        <v>20220315</v>
      </c>
      <c r="E861">
        <f t="shared" si="13"/>
        <v>3</v>
      </c>
      <c r="F861">
        <v>468710</v>
      </c>
      <c r="G861" t="s">
        <v>423</v>
      </c>
      <c r="H861" t="s">
        <v>401</v>
      </c>
      <c r="I861" t="s">
        <v>402</v>
      </c>
      <c r="J861" t="s">
        <v>1353</v>
      </c>
      <c r="K861">
        <v>20220315</v>
      </c>
      <c r="L861" t="s">
        <v>1354</v>
      </c>
      <c r="M861">
        <v>0</v>
      </c>
      <c r="N861">
        <v>3780</v>
      </c>
      <c r="O861" t="s">
        <v>23</v>
      </c>
      <c r="P861">
        <v>20220718</v>
      </c>
      <c r="Q861">
        <v>20220315</v>
      </c>
    </row>
    <row r="862" spans="1:17" x14ac:dyDescent="0.25">
      <c r="A862" t="s">
        <v>476</v>
      </c>
      <c r="B862" t="s">
        <v>477</v>
      </c>
      <c r="C862">
        <v>37</v>
      </c>
      <c r="D862">
        <v>20220315</v>
      </c>
      <c r="E862">
        <f t="shared" si="13"/>
        <v>3</v>
      </c>
      <c r="F862">
        <v>512000</v>
      </c>
      <c r="G862" t="s">
        <v>428</v>
      </c>
      <c r="H862" t="s">
        <v>401</v>
      </c>
      <c r="I862" t="s">
        <v>402</v>
      </c>
      <c r="J862" t="s">
        <v>1353</v>
      </c>
      <c r="K862">
        <v>20220315</v>
      </c>
      <c r="L862" t="s">
        <v>1354</v>
      </c>
      <c r="M862">
        <v>3780</v>
      </c>
      <c r="N862">
        <v>0</v>
      </c>
      <c r="O862" t="s">
        <v>19</v>
      </c>
      <c r="P862" t="s">
        <v>20</v>
      </c>
      <c r="Q862">
        <v>20220315</v>
      </c>
    </row>
    <row r="863" spans="1:17" x14ac:dyDescent="0.25">
      <c r="A863" t="s">
        <v>476</v>
      </c>
      <c r="B863" t="s">
        <v>477</v>
      </c>
      <c r="C863">
        <v>37</v>
      </c>
      <c r="D863">
        <v>20220316</v>
      </c>
      <c r="E863">
        <f t="shared" si="13"/>
        <v>3</v>
      </c>
      <c r="F863">
        <v>431000</v>
      </c>
      <c r="G863" t="s">
        <v>408</v>
      </c>
      <c r="H863" t="s">
        <v>401</v>
      </c>
      <c r="I863" t="s">
        <v>402</v>
      </c>
      <c r="J863" t="s">
        <v>1355</v>
      </c>
      <c r="K863">
        <v>20220316</v>
      </c>
      <c r="L863" t="s">
        <v>409</v>
      </c>
      <c r="M863">
        <v>30881</v>
      </c>
      <c r="N863">
        <v>0</v>
      </c>
      <c r="O863" t="s">
        <v>23</v>
      </c>
      <c r="P863">
        <v>20230218</v>
      </c>
      <c r="Q863">
        <v>20220316</v>
      </c>
    </row>
    <row r="864" spans="1:17" x14ac:dyDescent="0.25">
      <c r="A864" t="s">
        <v>476</v>
      </c>
      <c r="B864" t="s">
        <v>477</v>
      </c>
      <c r="C864">
        <v>37</v>
      </c>
      <c r="D864">
        <v>20220316</v>
      </c>
      <c r="E864">
        <f t="shared" si="13"/>
        <v>3</v>
      </c>
      <c r="F864">
        <v>512000</v>
      </c>
      <c r="G864" t="s">
        <v>428</v>
      </c>
      <c r="H864" t="s">
        <v>401</v>
      </c>
      <c r="I864" t="s">
        <v>402</v>
      </c>
      <c r="J864" t="s">
        <v>1355</v>
      </c>
      <c r="K864">
        <v>20220316</v>
      </c>
      <c r="L864" t="s">
        <v>409</v>
      </c>
      <c r="M864">
        <v>0</v>
      </c>
      <c r="N864">
        <v>30881</v>
      </c>
      <c r="O864" t="s">
        <v>19</v>
      </c>
      <c r="P864" t="s">
        <v>20</v>
      </c>
      <c r="Q864">
        <v>20220316</v>
      </c>
    </row>
    <row r="865" spans="1:17" x14ac:dyDescent="0.25">
      <c r="A865" t="s">
        <v>476</v>
      </c>
      <c r="B865" t="s">
        <v>477</v>
      </c>
      <c r="C865">
        <v>37</v>
      </c>
      <c r="D865">
        <v>20220316</v>
      </c>
      <c r="E865">
        <f t="shared" si="13"/>
        <v>3</v>
      </c>
      <c r="F865">
        <v>445051</v>
      </c>
      <c r="G865" t="s">
        <v>417</v>
      </c>
      <c r="H865" t="s">
        <v>401</v>
      </c>
      <c r="I865" t="s">
        <v>402</v>
      </c>
      <c r="J865" t="s">
        <v>1356</v>
      </c>
      <c r="K865">
        <v>20220316</v>
      </c>
      <c r="L865" t="s">
        <v>1357</v>
      </c>
      <c r="M865">
        <v>0</v>
      </c>
      <c r="N865">
        <v>10656.9</v>
      </c>
      <c r="O865" t="s">
        <v>19</v>
      </c>
      <c r="P865" t="s">
        <v>20</v>
      </c>
      <c r="Q865">
        <v>20220316</v>
      </c>
    </row>
    <row r="866" spans="1:17" x14ac:dyDescent="0.25">
      <c r="A866" t="s">
        <v>476</v>
      </c>
      <c r="B866" t="s">
        <v>477</v>
      </c>
      <c r="C866">
        <v>37</v>
      </c>
      <c r="D866">
        <v>20220316</v>
      </c>
      <c r="E866">
        <f t="shared" si="13"/>
        <v>3</v>
      </c>
      <c r="F866">
        <v>512000</v>
      </c>
      <c r="G866" t="s">
        <v>428</v>
      </c>
      <c r="H866" t="s">
        <v>401</v>
      </c>
      <c r="I866" t="s">
        <v>402</v>
      </c>
      <c r="J866" t="s">
        <v>1356</v>
      </c>
      <c r="K866">
        <v>20220316</v>
      </c>
      <c r="L866" t="s">
        <v>1357</v>
      </c>
      <c r="M866">
        <v>10656.9</v>
      </c>
      <c r="N866">
        <v>0</v>
      </c>
      <c r="O866" t="s">
        <v>19</v>
      </c>
      <c r="P866" t="s">
        <v>20</v>
      </c>
      <c r="Q866">
        <v>20220316</v>
      </c>
    </row>
    <row r="867" spans="1:17" x14ac:dyDescent="0.25">
      <c r="A867" t="s">
        <v>476</v>
      </c>
      <c r="B867" t="s">
        <v>477</v>
      </c>
      <c r="C867">
        <v>37</v>
      </c>
      <c r="D867">
        <v>20220316</v>
      </c>
      <c r="E867">
        <f t="shared" si="13"/>
        <v>3</v>
      </c>
      <c r="F867">
        <v>445051</v>
      </c>
      <c r="G867" t="s">
        <v>417</v>
      </c>
      <c r="H867" t="s">
        <v>401</v>
      </c>
      <c r="I867" t="s">
        <v>402</v>
      </c>
      <c r="J867" t="s">
        <v>1358</v>
      </c>
      <c r="K867">
        <v>20220316</v>
      </c>
      <c r="L867" t="s">
        <v>1359</v>
      </c>
      <c r="M867">
        <v>0</v>
      </c>
      <c r="N867">
        <v>10656.9</v>
      </c>
      <c r="O867" t="s">
        <v>19</v>
      </c>
      <c r="P867" t="s">
        <v>20</v>
      </c>
      <c r="Q867">
        <v>20220316</v>
      </c>
    </row>
    <row r="868" spans="1:17" x14ac:dyDescent="0.25">
      <c r="A868" t="s">
        <v>476</v>
      </c>
      <c r="B868" t="s">
        <v>477</v>
      </c>
      <c r="C868">
        <v>37</v>
      </c>
      <c r="D868">
        <v>20220316</v>
      </c>
      <c r="E868">
        <f t="shared" si="13"/>
        <v>3</v>
      </c>
      <c r="F868">
        <v>512000</v>
      </c>
      <c r="G868" t="s">
        <v>428</v>
      </c>
      <c r="H868" t="s">
        <v>401</v>
      </c>
      <c r="I868" t="s">
        <v>402</v>
      </c>
      <c r="J868" t="s">
        <v>1358</v>
      </c>
      <c r="K868">
        <v>20220316</v>
      </c>
      <c r="L868" t="s">
        <v>1359</v>
      </c>
      <c r="M868">
        <v>10656.9</v>
      </c>
      <c r="N868">
        <v>0</v>
      </c>
      <c r="O868" t="s">
        <v>19</v>
      </c>
      <c r="P868" t="s">
        <v>20</v>
      </c>
      <c r="Q868">
        <v>20220316</v>
      </c>
    </row>
    <row r="869" spans="1:17" x14ac:dyDescent="0.25">
      <c r="A869" t="s">
        <v>476</v>
      </c>
      <c r="B869" t="s">
        <v>477</v>
      </c>
      <c r="C869">
        <v>37</v>
      </c>
      <c r="D869">
        <v>20220318</v>
      </c>
      <c r="E869">
        <f t="shared" si="13"/>
        <v>3</v>
      </c>
      <c r="F869">
        <v>791100</v>
      </c>
      <c r="G869" t="s">
        <v>806</v>
      </c>
      <c r="H869" t="s">
        <v>401</v>
      </c>
      <c r="I869" t="s">
        <v>402</v>
      </c>
      <c r="J869" t="s">
        <v>1360</v>
      </c>
      <c r="K869">
        <v>20220318</v>
      </c>
      <c r="L869" t="s">
        <v>1345</v>
      </c>
      <c r="M869">
        <v>0</v>
      </c>
      <c r="N869">
        <v>2184</v>
      </c>
      <c r="O869" t="s">
        <v>19</v>
      </c>
      <c r="P869" t="s">
        <v>20</v>
      </c>
      <c r="Q869">
        <v>20220318</v>
      </c>
    </row>
    <row r="870" spans="1:17" x14ac:dyDescent="0.25">
      <c r="A870" t="s">
        <v>476</v>
      </c>
      <c r="B870" t="s">
        <v>477</v>
      </c>
      <c r="C870">
        <v>37</v>
      </c>
      <c r="D870">
        <v>20220318</v>
      </c>
      <c r="E870">
        <f t="shared" si="13"/>
        <v>3</v>
      </c>
      <c r="F870">
        <v>512000</v>
      </c>
      <c r="G870" t="s">
        <v>428</v>
      </c>
      <c r="H870" t="s">
        <v>401</v>
      </c>
      <c r="I870" t="s">
        <v>402</v>
      </c>
      <c r="J870" t="s">
        <v>1360</v>
      </c>
      <c r="K870">
        <v>20220318</v>
      </c>
      <c r="L870" t="s">
        <v>1345</v>
      </c>
      <c r="M870">
        <v>2184</v>
      </c>
      <c r="N870">
        <v>0</v>
      </c>
      <c r="O870" t="s">
        <v>19</v>
      </c>
      <c r="P870" t="s">
        <v>20</v>
      </c>
      <c r="Q870">
        <v>20220318</v>
      </c>
    </row>
    <row r="871" spans="1:17" x14ac:dyDescent="0.25">
      <c r="A871" t="s">
        <v>476</v>
      </c>
      <c r="B871" t="s">
        <v>477</v>
      </c>
      <c r="C871">
        <v>37</v>
      </c>
      <c r="D871">
        <v>20220319</v>
      </c>
      <c r="E871">
        <f t="shared" si="13"/>
        <v>3</v>
      </c>
      <c r="F871">
        <v>422000</v>
      </c>
      <c r="G871" t="s">
        <v>405</v>
      </c>
      <c r="H871" t="s">
        <v>401</v>
      </c>
      <c r="I871" t="s">
        <v>402</v>
      </c>
      <c r="J871" t="s">
        <v>1361</v>
      </c>
      <c r="K871">
        <v>20220319</v>
      </c>
      <c r="L871" t="s">
        <v>127</v>
      </c>
      <c r="M871">
        <v>5583.86</v>
      </c>
      <c r="N871">
        <v>0</v>
      </c>
      <c r="O871" t="s">
        <v>23</v>
      </c>
      <c r="P871">
        <v>20220319</v>
      </c>
      <c r="Q871">
        <v>20220319</v>
      </c>
    </row>
    <row r="872" spans="1:17" x14ac:dyDescent="0.25">
      <c r="A872" t="s">
        <v>476</v>
      </c>
      <c r="B872" t="s">
        <v>477</v>
      </c>
      <c r="C872">
        <v>37</v>
      </c>
      <c r="D872">
        <v>20220319</v>
      </c>
      <c r="E872">
        <f t="shared" si="13"/>
        <v>3</v>
      </c>
      <c r="F872">
        <v>512000</v>
      </c>
      <c r="G872" t="s">
        <v>428</v>
      </c>
      <c r="H872" t="s">
        <v>401</v>
      </c>
      <c r="I872" t="s">
        <v>402</v>
      </c>
      <c r="J872" t="s">
        <v>1361</v>
      </c>
      <c r="K872">
        <v>20220319</v>
      </c>
      <c r="L872" t="s">
        <v>127</v>
      </c>
      <c r="M872">
        <v>0</v>
      </c>
      <c r="N872">
        <v>5583.86</v>
      </c>
      <c r="O872" t="s">
        <v>19</v>
      </c>
      <c r="P872" t="s">
        <v>20</v>
      </c>
      <c r="Q872">
        <v>20220319</v>
      </c>
    </row>
    <row r="873" spans="1:17" x14ac:dyDescent="0.25">
      <c r="A873" t="s">
        <v>476</v>
      </c>
      <c r="B873" t="s">
        <v>477</v>
      </c>
      <c r="C873">
        <v>37</v>
      </c>
      <c r="D873">
        <v>20220321</v>
      </c>
      <c r="E873">
        <f t="shared" si="13"/>
        <v>3</v>
      </c>
      <c r="F873">
        <v>467100</v>
      </c>
      <c r="G873" t="s">
        <v>160</v>
      </c>
      <c r="H873" t="s">
        <v>185</v>
      </c>
      <c r="I873" t="s">
        <v>186</v>
      </c>
      <c r="J873" t="s">
        <v>1362</v>
      </c>
      <c r="K873">
        <v>20220321</v>
      </c>
      <c r="L873" t="s">
        <v>127</v>
      </c>
      <c r="M873">
        <v>700</v>
      </c>
      <c r="N873">
        <v>0</v>
      </c>
      <c r="O873" t="s">
        <v>23</v>
      </c>
      <c r="P873">
        <v>20220419</v>
      </c>
      <c r="Q873">
        <v>20220321</v>
      </c>
    </row>
    <row r="874" spans="1:17" x14ac:dyDescent="0.25">
      <c r="A874" t="s">
        <v>476</v>
      </c>
      <c r="B874" t="s">
        <v>477</v>
      </c>
      <c r="C874">
        <v>37</v>
      </c>
      <c r="D874">
        <v>20220321</v>
      </c>
      <c r="E874">
        <f t="shared" si="13"/>
        <v>3</v>
      </c>
      <c r="F874">
        <v>512000</v>
      </c>
      <c r="G874" t="s">
        <v>428</v>
      </c>
      <c r="H874" t="s">
        <v>401</v>
      </c>
      <c r="I874" t="s">
        <v>402</v>
      </c>
      <c r="J874" t="s">
        <v>1362</v>
      </c>
      <c r="K874">
        <v>20220321</v>
      </c>
      <c r="L874" t="s">
        <v>127</v>
      </c>
      <c r="M874">
        <v>0</v>
      </c>
      <c r="N874">
        <v>700</v>
      </c>
      <c r="O874" t="s">
        <v>19</v>
      </c>
      <c r="P874" t="s">
        <v>20</v>
      </c>
      <c r="Q874">
        <v>20220321</v>
      </c>
    </row>
    <row r="875" spans="1:17" x14ac:dyDescent="0.25">
      <c r="A875" t="s">
        <v>476</v>
      </c>
      <c r="B875" t="s">
        <v>477</v>
      </c>
      <c r="C875">
        <v>37</v>
      </c>
      <c r="D875">
        <v>20220321</v>
      </c>
      <c r="E875">
        <f t="shared" si="13"/>
        <v>3</v>
      </c>
      <c r="F875">
        <v>468725</v>
      </c>
      <c r="G875" t="s">
        <v>424</v>
      </c>
      <c r="H875" t="s">
        <v>401</v>
      </c>
      <c r="I875" t="s">
        <v>402</v>
      </c>
      <c r="J875" t="s">
        <v>1363</v>
      </c>
      <c r="K875">
        <v>20220321</v>
      </c>
      <c r="L875" t="s">
        <v>1364</v>
      </c>
      <c r="M875">
        <v>0</v>
      </c>
      <c r="N875">
        <v>503.83</v>
      </c>
      <c r="O875" t="s">
        <v>23</v>
      </c>
      <c r="P875">
        <v>20230105</v>
      </c>
      <c r="Q875">
        <v>20220321</v>
      </c>
    </row>
    <row r="876" spans="1:17" x14ac:dyDescent="0.25">
      <c r="A876" t="s">
        <v>476</v>
      </c>
      <c r="B876" t="s">
        <v>477</v>
      </c>
      <c r="C876">
        <v>37</v>
      </c>
      <c r="D876">
        <v>20220321</v>
      </c>
      <c r="E876">
        <f t="shared" si="13"/>
        <v>3</v>
      </c>
      <c r="F876">
        <v>512000</v>
      </c>
      <c r="G876" t="s">
        <v>428</v>
      </c>
      <c r="H876" t="s">
        <v>401</v>
      </c>
      <c r="I876" t="s">
        <v>402</v>
      </c>
      <c r="J876" t="s">
        <v>1363</v>
      </c>
      <c r="K876">
        <v>20220321</v>
      </c>
      <c r="L876" t="s">
        <v>1364</v>
      </c>
      <c r="M876">
        <v>503.83</v>
      </c>
      <c r="N876">
        <v>0</v>
      </c>
      <c r="O876" t="s">
        <v>19</v>
      </c>
      <c r="P876" t="s">
        <v>20</v>
      </c>
      <c r="Q876">
        <v>20220321</v>
      </c>
    </row>
    <row r="877" spans="1:17" x14ac:dyDescent="0.25">
      <c r="A877" t="s">
        <v>476</v>
      </c>
      <c r="B877" t="s">
        <v>477</v>
      </c>
      <c r="C877">
        <v>37</v>
      </c>
      <c r="D877">
        <v>20220323</v>
      </c>
      <c r="E877">
        <f t="shared" si="13"/>
        <v>3</v>
      </c>
      <c r="F877">
        <v>442100</v>
      </c>
      <c r="G877" t="s">
        <v>435</v>
      </c>
      <c r="H877" t="s">
        <v>401</v>
      </c>
      <c r="I877" t="s">
        <v>402</v>
      </c>
      <c r="J877" t="s">
        <v>1365</v>
      </c>
      <c r="K877">
        <v>20220323</v>
      </c>
      <c r="L877" t="s">
        <v>1366</v>
      </c>
      <c r="M877">
        <v>1483</v>
      </c>
      <c r="N877">
        <v>0</v>
      </c>
      <c r="O877" t="s">
        <v>23</v>
      </c>
      <c r="P877">
        <v>20221005</v>
      </c>
      <c r="Q877">
        <v>20220323</v>
      </c>
    </row>
    <row r="878" spans="1:17" x14ac:dyDescent="0.25">
      <c r="A878" t="s">
        <v>476</v>
      </c>
      <c r="B878" t="s">
        <v>477</v>
      </c>
      <c r="C878">
        <v>37</v>
      </c>
      <c r="D878">
        <v>20220323</v>
      </c>
      <c r="E878">
        <f t="shared" si="13"/>
        <v>3</v>
      </c>
      <c r="F878">
        <v>512000</v>
      </c>
      <c r="G878" t="s">
        <v>428</v>
      </c>
      <c r="H878" t="s">
        <v>401</v>
      </c>
      <c r="I878" t="s">
        <v>402</v>
      </c>
      <c r="J878" t="s">
        <v>1365</v>
      </c>
      <c r="K878">
        <v>20220323</v>
      </c>
      <c r="L878" t="s">
        <v>1366</v>
      </c>
      <c r="M878">
        <v>0</v>
      </c>
      <c r="N878">
        <v>1483</v>
      </c>
      <c r="O878" t="s">
        <v>19</v>
      </c>
      <c r="P878" t="s">
        <v>20</v>
      </c>
      <c r="Q878">
        <v>20220323</v>
      </c>
    </row>
    <row r="879" spans="1:17" x14ac:dyDescent="0.25">
      <c r="A879" t="s">
        <v>476</v>
      </c>
      <c r="B879" t="s">
        <v>477</v>
      </c>
      <c r="C879">
        <v>37</v>
      </c>
      <c r="D879">
        <v>20220325</v>
      </c>
      <c r="E879">
        <f t="shared" si="13"/>
        <v>3</v>
      </c>
      <c r="F879">
        <v>401000</v>
      </c>
      <c r="G879" t="s">
        <v>41</v>
      </c>
      <c r="H879" t="s">
        <v>42</v>
      </c>
      <c r="I879" t="s">
        <v>43</v>
      </c>
      <c r="J879" t="s">
        <v>1367</v>
      </c>
      <c r="K879">
        <v>20220325</v>
      </c>
      <c r="L879" t="s">
        <v>163</v>
      </c>
      <c r="M879">
        <v>3586.5</v>
      </c>
      <c r="N879">
        <v>0</v>
      </c>
      <c r="O879" t="s">
        <v>23</v>
      </c>
      <c r="P879">
        <v>20220704</v>
      </c>
      <c r="Q879">
        <v>20220325</v>
      </c>
    </row>
    <row r="880" spans="1:17" x14ac:dyDescent="0.25">
      <c r="A880" t="s">
        <v>476</v>
      </c>
      <c r="B880" t="s">
        <v>477</v>
      </c>
      <c r="C880">
        <v>37</v>
      </c>
      <c r="D880">
        <v>20220325</v>
      </c>
      <c r="E880">
        <f t="shared" si="13"/>
        <v>3</v>
      </c>
      <c r="F880">
        <v>401000</v>
      </c>
      <c r="G880" t="s">
        <v>41</v>
      </c>
      <c r="H880" t="s">
        <v>462</v>
      </c>
      <c r="I880" t="s">
        <v>463</v>
      </c>
      <c r="J880" t="s">
        <v>1367</v>
      </c>
      <c r="K880">
        <v>20220325</v>
      </c>
      <c r="L880" t="s">
        <v>163</v>
      </c>
      <c r="M880">
        <v>378.79</v>
      </c>
      <c r="N880">
        <v>0</v>
      </c>
      <c r="O880" t="s">
        <v>22</v>
      </c>
      <c r="P880">
        <v>20220325</v>
      </c>
      <c r="Q880">
        <v>20220325</v>
      </c>
    </row>
    <row r="881" spans="1:17" x14ac:dyDescent="0.25">
      <c r="A881" t="s">
        <v>476</v>
      </c>
      <c r="B881" t="s">
        <v>477</v>
      </c>
      <c r="C881">
        <v>37</v>
      </c>
      <c r="D881">
        <v>20220325</v>
      </c>
      <c r="E881">
        <f t="shared" si="13"/>
        <v>3</v>
      </c>
      <c r="F881">
        <v>401000</v>
      </c>
      <c r="G881" t="s">
        <v>41</v>
      </c>
      <c r="H881" t="s">
        <v>58</v>
      </c>
      <c r="I881" t="s">
        <v>59</v>
      </c>
      <c r="J881" t="s">
        <v>1367</v>
      </c>
      <c r="K881">
        <v>20220325</v>
      </c>
      <c r="L881" t="s">
        <v>163</v>
      </c>
      <c r="M881">
        <v>307.33999999999997</v>
      </c>
      <c r="N881">
        <v>0</v>
      </c>
      <c r="O881" t="s">
        <v>22</v>
      </c>
      <c r="P881">
        <v>20220325</v>
      </c>
      <c r="Q881">
        <v>20220325</v>
      </c>
    </row>
    <row r="882" spans="1:17" x14ac:dyDescent="0.25">
      <c r="A882" t="s">
        <v>476</v>
      </c>
      <c r="B882" t="s">
        <v>477</v>
      </c>
      <c r="C882">
        <v>37</v>
      </c>
      <c r="D882">
        <v>20220325</v>
      </c>
      <c r="E882">
        <f t="shared" si="13"/>
        <v>3</v>
      </c>
      <c r="F882">
        <v>401000</v>
      </c>
      <c r="G882" t="s">
        <v>41</v>
      </c>
      <c r="H882" t="s">
        <v>71</v>
      </c>
      <c r="I882" t="s">
        <v>72</v>
      </c>
      <c r="J882" t="s">
        <v>1367</v>
      </c>
      <c r="K882">
        <v>20220325</v>
      </c>
      <c r="L882" t="s">
        <v>163</v>
      </c>
      <c r="M882">
        <v>722.6</v>
      </c>
      <c r="N882">
        <v>0</v>
      </c>
      <c r="O882" t="s">
        <v>22</v>
      </c>
      <c r="P882">
        <v>20220325</v>
      </c>
      <c r="Q882">
        <v>20220325</v>
      </c>
    </row>
    <row r="883" spans="1:17" x14ac:dyDescent="0.25">
      <c r="A883" t="s">
        <v>476</v>
      </c>
      <c r="B883" t="s">
        <v>477</v>
      </c>
      <c r="C883">
        <v>37</v>
      </c>
      <c r="D883">
        <v>20220325</v>
      </c>
      <c r="E883">
        <f t="shared" si="13"/>
        <v>3</v>
      </c>
      <c r="F883">
        <v>401000</v>
      </c>
      <c r="G883" t="s">
        <v>41</v>
      </c>
      <c r="H883" t="s">
        <v>75</v>
      </c>
      <c r="I883" t="s">
        <v>76</v>
      </c>
      <c r="J883" t="s">
        <v>1367</v>
      </c>
      <c r="K883">
        <v>20220325</v>
      </c>
      <c r="L883" t="s">
        <v>163</v>
      </c>
      <c r="M883">
        <v>188.57</v>
      </c>
      <c r="N883">
        <v>0</v>
      </c>
      <c r="O883" t="s">
        <v>22</v>
      </c>
      <c r="P883">
        <v>20220325</v>
      </c>
      <c r="Q883">
        <v>20220325</v>
      </c>
    </row>
    <row r="884" spans="1:17" x14ac:dyDescent="0.25">
      <c r="A884" t="s">
        <v>476</v>
      </c>
      <c r="B884" t="s">
        <v>477</v>
      </c>
      <c r="C884">
        <v>37</v>
      </c>
      <c r="D884">
        <v>20220325</v>
      </c>
      <c r="E884">
        <f t="shared" si="13"/>
        <v>3</v>
      </c>
      <c r="F884">
        <v>401000</v>
      </c>
      <c r="G884" t="s">
        <v>41</v>
      </c>
      <c r="H884" t="s">
        <v>860</v>
      </c>
      <c r="I884" t="s">
        <v>861</v>
      </c>
      <c r="J884" t="s">
        <v>1367</v>
      </c>
      <c r="K884">
        <v>20220325</v>
      </c>
      <c r="L884" t="s">
        <v>163</v>
      </c>
      <c r="M884">
        <v>38</v>
      </c>
      <c r="N884">
        <v>0</v>
      </c>
      <c r="O884" t="s">
        <v>22</v>
      </c>
      <c r="P884">
        <v>20220325</v>
      </c>
      <c r="Q884">
        <v>20220325</v>
      </c>
    </row>
    <row r="885" spans="1:17" x14ac:dyDescent="0.25">
      <c r="A885" t="s">
        <v>476</v>
      </c>
      <c r="B885" t="s">
        <v>477</v>
      </c>
      <c r="C885">
        <v>37</v>
      </c>
      <c r="D885">
        <v>20220325</v>
      </c>
      <c r="E885">
        <f t="shared" si="13"/>
        <v>3</v>
      </c>
      <c r="F885">
        <v>401000</v>
      </c>
      <c r="G885" t="s">
        <v>41</v>
      </c>
      <c r="H885" t="s">
        <v>181</v>
      </c>
      <c r="I885" t="s">
        <v>182</v>
      </c>
      <c r="J885" t="s">
        <v>1367</v>
      </c>
      <c r="K885">
        <v>20220325</v>
      </c>
      <c r="L885" t="s">
        <v>163</v>
      </c>
      <c r="M885">
        <v>109.62</v>
      </c>
      <c r="N885">
        <v>0</v>
      </c>
      <c r="O885" t="s">
        <v>23</v>
      </c>
      <c r="P885">
        <v>20220422</v>
      </c>
      <c r="Q885">
        <v>20220325</v>
      </c>
    </row>
    <row r="886" spans="1:17" x14ac:dyDescent="0.25">
      <c r="A886" t="s">
        <v>476</v>
      </c>
      <c r="B886" t="s">
        <v>477</v>
      </c>
      <c r="C886">
        <v>37</v>
      </c>
      <c r="D886">
        <v>20220325</v>
      </c>
      <c r="E886">
        <f t="shared" si="13"/>
        <v>3</v>
      </c>
      <c r="F886">
        <v>512000</v>
      </c>
      <c r="G886" t="s">
        <v>428</v>
      </c>
      <c r="H886" t="s">
        <v>401</v>
      </c>
      <c r="I886" t="s">
        <v>402</v>
      </c>
      <c r="J886" t="s">
        <v>1367</v>
      </c>
      <c r="K886">
        <v>20220325</v>
      </c>
      <c r="L886" t="s">
        <v>163</v>
      </c>
      <c r="M886">
        <v>0</v>
      </c>
      <c r="N886">
        <v>5331.42</v>
      </c>
      <c r="O886" t="s">
        <v>19</v>
      </c>
      <c r="P886" t="s">
        <v>20</v>
      </c>
      <c r="Q886">
        <v>20220325</v>
      </c>
    </row>
    <row r="887" spans="1:17" x14ac:dyDescent="0.25">
      <c r="A887" t="s">
        <v>476</v>
      </c>
      <c r="B887" t="s">
        <v>477</v>
      </c>
      <c r="C887">
        <v>37</v>
      </c>
      <c r="D887">
        <v>20220325</v>
      </c>
      <c r="E887">
        <f t="shared" si="13"/>
        <v>3</v>
      </c>
      <c r="F887">
        <v>401000</v>
      </c>
      <c r="G887" t="s">
        <v>41</v>
      </c>
      <c r="H887" t="s">
        <v>1321</v>
      </c>
      <c r="I887" t="s">
        <v>1322</v>
      </c>
      <c r="J887" t="s">
        <v>1368</v>
      </c>
      <c r="K887">
        <v>20220325</v>
      </c>
      <c r="L887" t="s">
        <v>127</v>
      </c>
      <c r="M887">
        <v>66</v>
      </c>
      <c r="N887">
        <v>0</v>
      </c>
      <c r="O887" t="s">
        <v>23</v>
      </c>
      <c r="P887">
        <v>20220427</v>
      </c>
      <c r="Q887">
        <v>20220325</v>
      </c>
    </row>
    <row r="888" spans="1:17" x14ac:dyDescent="0.25">
      <c r="A888" t="s">
        <v>476</v>
      </c>
      <c r="B888" t="s">
        <v>477</v>
      </c>
      <c r="C888">
        <v>37</v>
      </c>
      <c r="D888">
        <v>20220325</v>
      </c>
      <c r="E888">
        <f t="shared" si="13"/>
        <v>3</v>
      </c>
      <c r="F888">
        <v>411100</v>
      </c>
      <c r="G888" t="s">
        <v>18</v>
      </c>
      <c r="H888" t="s">
        <v>819</v>
      </c>
      <c r="I888" t="s">
        <v>820</v>
      </c>
      <c r="J888" t="s">
        <v>1368</v>
      </c>
      <c r="K888">
        <v>20220325</v>
      </c>
      <c r="L888" t="s">
        <v>127</v>
      </c>
      <c r="M888">
        <v>145.54</v>
      </c>
      <c r="N888">
        <v>0</v>
      </c>
      <c r="O888" t="s">
        <v>19</v>
      </c>
      <c r="P888" t="s">
        <v>20</v>
      </c>
      <c r="Q888">
        <v>20220325</v>
      </c>
    </row>
    <row r="889" spans="1:17" x14ac:dyDescent="0.25">
      <c r="A889" t="s">
        <v>476</v>
      </c>
      <c r="B889" t="s">
        <v>477</v>
      </c>
      <c r="C889">
        <v>37</v>
      </c>
      <c r="D889">
        <v>20220325</v>
      </c>
      <c r="E889">
        <f t="shared" si="13"/>
        <v>3</v>
      </c>
      <c r="F889">
        <v>437100</v>
      </c>
      <c r="G889" t="s">
        <v>436</v>
      </c>
      <c r="H889" t="s">
        <v>401</v>
      </c>
      <c r="I889" t="s">
        <v>402</v>
      </c>
      <c r="J889" t="s">
        <v>1368</v>
      </c>
      <c r="K889">
        <v>20220325</v>
      </c>
      <c r="L889" t="s">
        <v>127</v>
      </c>
      <c r="M889">
        <v>736.8</v>
      </c>
      <c r="N889">
        <v>0</v>
      </c>
      <c r="O889" t="s">
        <v>23</v>
      </c>
      <c r="P889">
        <v>20220327</v>
      </c>
      <c r="Q889">
        <v>20220325</v>
      </c>
    </row>
    <row r="890" spans="1:17" x14ac:dyDescent="0.25">
      <c r="A890" t="s">
        <v>476</v>
      </c>
      <c r="B890" t="s">
        <v>477</v>
      </c>
      <c r="C890">
        <v>37</v>
      </c>
      <c r="D890">
        <v>20220325</v>
      </c>
      <c r="E890">
        <f t="shared" si="13"/>
        <v>3</v>
      </c>
      <c r="F890">
        <v>512000</v>
      </c>
      <c r="G890" t="s">
        <v>428</v>
      </c>
      <c r="H890" t="s">
        <v>401</v>
      </c>
      <c r="I890" t="s">
        <v>402</v>
      </c>
      <c r="J890" t="s">
        <v>1368</v>
      </c>
      <c r="K890">
        <v>20220325</v>
      </c>
      <c r="L890" t="s">
        <v>127</v>
      </c>
      <c r="M890">
        <v>0</v>
      </c>
      <c r="N890">
        <v>948.34</v>
      </c>
      <c r="O890" t="s">
        <v>19</v>
      </c>
      <c r="P890" t="s">
        <v>20</v>
      </c>
      <c r="Q890">
        <v>20220325</v>
      </c>
    </row>
    <row r="891" spans="1:17" x14ac:dyDescent="0.25">
      <c r="A891" t="s">
        <v>476</v>
      </c>
      <c r="B891" t="s">
        <v>477</v>
      </c>
      <c r="C891">
        <v>37</v>
      </c>
      <c r="D891">
        <v>20220325</v>
      </c>
      <c r="E891">
        <f t="shared" si="13"/>
        <v>3</v>
      </c>
      <c r="F891">
        <v>433100</v>
      </c>
      <c r="G891" t="s">
        <v>411</v>
      </c>
      <c r="H891" t="s">
        <v>401</v>
      </c>
      <c r="I891" t="s">
        <v>402</v>
      </c>
      <c r="J891" t="s">
        <v>1369</v>
      </c>
      <c r="K891">
        <v>20220325</v>
      </c>
      <c r="L891" t="s">
        <v>534</v>
      </c>
      <c r="M891">
        <v>1390.27</v>
      </c>
      <c r="N891">
        <v>0</v>
      </c>
      <c r="O891" t="s">
        <v>23</v>
      </c>
      <c r="P891">
        <v>20221005</v>
      </c>
      <c r="Q891">
        <v>20220325</v>
      </c>
    </row>
    <row r="892" spans="1:17" x14ac:dyDescent="0.25">
      <c r="A892" t="s">
        <v>476</v>
      </c>
      <c r="B892" t="s">
        <v>477</v>
      </c>
      <c r="C892">
        <v>37</v>
      </c>
      <c r="D892">
        <v>20220325</v>
      </c>
      <c r="E892">
        <f t="shared" si="13"/>
        <v>3</v>
      </c>
      <c r="F892">
        <v>512000</v>
      </c>
      <c r="G892" t="s">
        <v>428</v>
      </c>
      <c r="H892" t="s">
        <v>401</v>
      </c>
      <c r="I892" t="s">
        <v>402</v>
      </c>
      <c r="J892" t="s">
        <v>1369</v>
      </c>
      <c r="K892">
        <v>20220325</v>
      </c>
      <c r="L892" t="s">
        <v>534</v>
      </c>
      <c r="M892">
        <v>0</v>
      </c>
      <c r="N892">
        <v>1390.27</v>
      </c>
      <c r="O892" t="s">
        <v>19</v>
      </c>
      <c r="P892" t="s">
        <v>20</v>
      </c>
      <c r="Q892">
        <v>20220325</v>
      </c>
    </row>
    <row r="893" spans="1:17" x14ac:dyDescent="0.25">
      <c r="A893" t="s">
        <v>476</v>
      </c>
      <c r="B893" t="s">
        <v>477</v>
      </c>
      <c r="C893">
        <v>37</v>
      </c>
      <c r="D893">
        <v>20220325</v>
      </c>
      <c r="E893">
        <f t="shared" si="13"/>
        <v>3</v>
      </c>
      <c r="F893">
        <v>433000</v>
      </c>
      <c r="G893" t="s">
        <v>410</v>
      </c>
      <c r="H893" t="s">
        <v>401</v>
      </c>
      <c r="I893" t="s">
        <v>402</v>
      </c>
      <c r="J893" t="s">
        <v>1370</v>
      </c>
      <c r="K893">
        <v>20220325</v>
      </c>
      <c r="L893" t="s">
        <v>1371</v>
      </c>
      <c r="M893">
        <v>7272.22</v>
      </c>
      <c r="N893">
        <v>0</v>
      </c>
      <c r="O893" t="s">
        <v>23</v>
      </c>
      <c r="P893">
        <v>20221005</v>
      </c>
      <c r="Q893">
        <v>20220325</v>
      </c>
    </row>
    <row r="894" spans="1:17" x14ac:dyDescent="0.25">
      <c r="A894" t="s">
        <v>476</v>
      </c>
      <c r="B894" t="s">
        <v>477</v>
      </c>
      <c r="C894">
        <v>37</v>
      </c>
      <c r="D894">
        <v>20220325</v>
      </c>
      <c r="E894">
        <f t="shared" si="13"/>
        <v>3</v>
      </c>
      <c r="F894">
        <v>512000</v>
      </c>
      <c r="G894" t="s">
        <v>428</v>
      </c>
      <c r="H894" t="s">
        <v>401</v>
      </c>
      <c r="I894" t="s">
        <v>402</v>
      </c>
      <c r="J894" t="s">
        <v>1370</v>
      </c>
      <c r="K894">
        <v>20220325</v>
      </c>
      <c r="L894" t="s">
        <v>1371</v>
      </c>
      <c r="M894">
        <v>0</v>
      </c>
      <c r="N894">
        <v>7272.22</v>
      </c>
      <c r="O894" t="s">
        <v>19</v>
      </c>
      <c r="P894" t="s">
        <v>20</v>
      </c>
      <c r="Q894">
        <v>20220325</v>
      </c>
    </row>
    <row r="895" spans="1:17" x14ac:dyDescent="0.25">
      <c r="A895" t="s">
        <v>476</v>
      </c>
      <c r="B895" t="s">
        <v>477</v>
      </c>
      <c r="C895">
        <v>37</v>
      </c>
      <c r="D895">
        <v>20220325</v>
      </c>
      <c r="E895">
        <f t="shared" si="13"/>
        <v>3</v>
      </c>
      <c r="F895">
        <v>468735</v>
      </c>
      <c r="G895" t="s">
        <v>425</v>
      </c>
      <c r="H895" t="s">
        <v>401</v>
      </c>
      <c r="I895" t="s">
        <v>402</v>
      </c>
      <c r="J895" t="s">
        <v>1372</v>
      </c>
      <c r="K895">
        <v>20220325</v>
      </c>
      <c r="L895" t="s">
        <v>1373</v>
      </c>
      <c r="M895">
        <v>0</v>
      </c>
      <c r="N895">
        <v>24.3</v>
      </c>
      <c r="O895" t="s">
        <v>23</v>
      </c>
      <c r="P895">
        <v>20221005</v>
      </c>
      <c r="Q895">
        <v>20220325</v>
      </c>
    </row>
    <row r="896" spans="1:17" x14ac:dyDescent="0.25">
      <c r="A896" t="s">
        <v>476</v>
      </c>
      <c r="B896" t="s">
        <v>477</v>
      </c>
      <c r="C896">
        <v>37</v>
      </c>
      <c r="D896">
        <v>20220325</v>
      </c>
      <c r="E896">
        <f t="shared" si="13"/>
        <v>3</v>
      </c>
      <c r="F896">
        <v>512000</v>
      </c>
      <c r="G896" t="s">
        <v>428</v>
      </c>
      <c r="H896" t="s">
        <v>401</v>
      </c>
      <c r="I896" t="s">
        <v>402</v>
      </c>
      <c r="J896" t="s">
        <v>1372</v>
      </c>
      <c r="K896">
        <v>20220325</v>
      </c>
      <c r="L896" t="s">
        <v>1373</v>
      </c>
      <c r="M896">
        <v>24.3</v>
      </c>
      <c r="N896">
        <v>0</v>
      </c>
      <c r="O896" t="s">
        <v>19</v>
      </c>
      <c r="P896" t="s">
        <v>20</v>
      </c>
      <c r="Q896">
        <v>20220325</v>
      </c>
    </row>
    <row r="897" spans="1:17" x14ac:dyDescent="0.25">
      <c r="A897" t="s">
        <v>476</v>
      </c>
      <c r="B897" t="s">
        <v>477</v>
      </c>
      <c r="C897">
        <v>37</v>
      </c>
      <c r="D897">
        <v>20220325</v>
      </c>
      <c r="E897">
        <f t="shared" si="13"/>
        <v>3</v>
      </c>
      <c r="F897">
        <v>468740</v>
      </c>
      <c r="G897" t="s">
        <v>426</v>
      </c>
      <c r="H897" t="s">
        <v>401</v>
      </c>
      <c r="I897" t="s">
        <v>402</v>
      </c>
      <c r="J897" t="s">
        <v>1374</v>
      </c>
      <c r="K897">
        <v>20220325</v>
      </c>
      <c r="L897" t="s">
        <v>1375</v>
      </c>
      <c r="M897">
        <v>0</v>
      </c>
      <c r="N897">
        <v>4500</v>
      </c>
      <c r="O897" t="s">
        <v>23</v>
      </c>
      <c r="P897">
        <v>20221005</v>
      </c>
      <c r="Q897">
        <v>20220325</v>
      </c>
    </row>
    <row r="898" spans="1:17" x14ac:dyDescent="0.25">
      <c r="A898" t="s">
        <v>476</v>
      </c>
      <c r="B898" t="s">
        <v>477</v>
      </c>
      <c r="C898">
        <v>37</v>
      </c>
      <c r="D898">
        <v>20220325</v>
      </c>
      <c r="E898">
        <f t="shared" si="13"/>
        <v>3</v>
      </c>
      <c r="F898">
        <v>512000</v>
      </c>
      <c r="G898" t="s">
        <v>428</v>
      </c>
      <c r="H898" t="s">
        <v>401</v>
      </c>
      <c r="I898" t="s">
        <v>402</v>
      </c>
      <c r="J898" t="s">
        <v>1374</v>
      </c>
      <c r="K898">
        <v>20220325</v>
      </c>
      <c r="L898" t="s">
        <v>1375</v>
      </c>
      <c r="M898">
        <v>4500</v>
      </c>
      <c r="N898">
        <v>0</v>
      </c>
      <c r="O898" t="s">
        <v>19</v>
      </c>
      <c r="P898" t="s">
        <v>20</v>
      </c>
      <c r="Q898">
        <v>20220325</v>
      </c>
    </row>
    <row r="899" spans="1:17" x14ac:dyDescent="0.25">
      <c r="A899" t="s">
        <v>476</v>
      </c>
      <c r="B899" t="s">
        <v>477</v>
      </c>
      <c r="C899">
        <v>37</v>
      </c>
      <c r="D899">
        <v>20220328</v>
      </c>
      <c r="E899">
        <f t="shared" ref="E899:E962" si="14">VALUE(MID(D899,5,2))</f>
        <v>3</v>
      </c>
      <c r="F899">
        <v>421000</v>
      </c>
      <c r="G899" t="s">
        <v>403</v>
      </c>
      <c r="H899" t="s">
        <v>401</v>
      </c>
      <c r="I899" t="s">
        <v>402</v>
      </c>
      <c r="J899" t="s">
        <v>1376</v>
      </c>
      <c r="K899">
        <v>20220328</v>
      </c>
      <c r="L899" t="s">
        <v>1377</v>
      </c>
      <c r="M899">
        <v>55949.72</v>
      </c>
      <c r="N899">
        <v>0</v>
      </c>
      <c r="O899" t="s">
        <v>23</v>
      </c>
      <c r="P899">
        <v>20220708</v>
      </c>
      <c r="Q899">
        <v>20220328</v>
      </c>
    </row>
    <row r="900" spans="1:17" x14ac:dyDescent="0.25">
      <c r="A900" t="s">
        <v>476</v>
      </c>
      <c r="B900" t="s">
        <v>477</v>
      </c>
      <c r="C900">
        <v>37</v>
      </c>
      <c r="D900">
        <v>20220328</v>
      </c>
      <c r="E900">
        <f t="shared" si="14"/>
        <v>3</v>
      </c>
      <c r="F900">
        <v>401000</v>
      </c>
      <c r="G900" t="s">
        <v>41</v>
      </c>
      <c r="H900" t="s">
        <v>458</v>
      </c>
      <c r="I900" t="s">
        <v>459</v>
      </c>
      <c r="J900" t="s">
        <v>1376</v>
      </c>
      <c r="K900">
        <v>20220328</v>
      </c>
      <c r="L900" t="s">
        <v>1378</v>
      </c>
      <c r="M900">
        <v>669.6</v>
      </c>
      <c r="N900">
        <v>0</v>
      </c>
      <c r="O900" t="s">
        <v>23</v>
      </c>
      <c r="P900">
        <v>20221005</v>
      </c>
      <c r="Q900">
        <v>20220328</v>
      </c>
    </row>
    <row r="901" spans="1:17" x14ac:dyDescent="0.25">
      <c r="A901" t="s">
        <v>476</v>
      </c>
      <c r="B901" t="s">
        <v>477</v>
      </c>
      <c r="C901">
        <v>37</v>
      </c>
      <c r="D901">
        <v>20220328</v>
      </c>
      <c r="E901">
        <f t="shared" si="14"/>
        <v>3</v>
      </c>
      <c r="F901">
        <v>512000</v>
      </c>
      <c r="G901" t="s">
        <v>428</v>
      </c>
      <c r="H901" t="s">
        <v>401</v>
      </c>
      <c r="I901" t="s">
        <v>402</v>
      </c>
      <c r="J901" t="s">
        <v>1376</v>
      </c>
      <c r="K901">
        <v>20220328</v>
      </c>
      <c r="L901" t="s">
        <v>1377</v>
      </c>
      <c r="M901">
        <v>0</v>
      </c>
      <c r="N901">
        <v>55949.72</v>
      </c>
      <c r="O901" t="s">
        <v>19</v>
      </c>
      <c r="P901" t="s">
        <v>20</v>
      </c>
      <c r="Q901">
        <v>20220328</v>
      </c>
    </row>
    <row r="902" spans="1:17" x14ac:dyDescent="0.25">
      <c r="A902" t="s">
        <v>476</v>
      </c>
      <c r="B902" t="s">
        <v>477</v>
      </c>
      <c r="C902">
        <v>37</v>
      </c>
      <c r="D902">
        <v>20220328</v>
      </c>
      <c r="E902">
        <f t="shared" si="14"/>
        <v>3</v>
      </c>
      <c r="F902">
        <v>512000</v>
      </c>
      <c r="G902" t="s">
        <v>428</v>
      </c>
      <c r="H902" t="s">
        <v>401</v>
      </c>
      <c r="I902" t="s">
        <v>402</v>
      </c>
      <c r="J902" t="s">
        <v>1376</v>
      </c>
      <c r="K902">
        <v>20220328</v>
      </c>
      <c r="L902" t="s">
        <v>1378</v>
      </c>
      <c r="M902">
        <v>0</v>
      </c>
      <c r="N902">
        <v>669.6</v>
      </c>
      <c r="O902" t="s">
        <v>19</v>
      </c>
      <c r="P902" t="s">
        <v>20</v>
      </c>
      <c r="Q902">
        <v>20220328</v>
      </c>
    </row>
    <row r="903" spans="1:17" x14ac:dyDescent="0.25">
      <c r="A903" t="s">
        <v>476</v>
      </c>
      <c r="B903" t="s">
        <v>477</v>
      </c>
      <c r="C903">
        <v>37</v>
      </c>
      <c r="D903">
        <v>20220328</v>
      </c>
      <c r="E903">
        <f t="shared" si="14"/>
        <v>3</v>
      </c>
      <c r="F903">
        <v>468200</v>
      </c>
      <c r="G903" t="s">
        <v>421</v>
      </c>
      <c r="H903" t="s">
        <v>401</v>
      </c>
      <c r="I903" t="s">
        <v>402</v>
      </c>
      <c r="J903" t="s">
        <v>1379</v>
      </c>
      <c r="K903">
        <v>20220328</v>
      </c>
      <c r="L903" t="s">
        <v>422</v>
      </c>
      <c r="M903">
        <v>0</v>
      </c>
      <c r="N903">
        <v>453.42</v>
      </c>
      <c r="O903" t="s">
        <v>19</v>
      </c>
      <c r="P903" t="s">
        <v>20</v>
      </c>
      <c r="Q903">
        <v>20220328</v>
      </c>
    </row>
    <row r="904" spans="1:17" x14ac:dyDescent="0.25">
      <c r="A904" t="s">
        <v>476</v>
      </c>
      <c r="B904" t="s">
        <v>477</v>
      </c>
      <c r="C904">
        <v>37</v>
      </c>
      <c r="D904">
        <v>20220328</v>
      </c>
      <c r="E904">
        <f t="shared" si="14"/>
        <v>3</v>
      </c>
      <c r="F904">
        <v>512000</v>
      </c>
      <c r="G904" t="s">
        <v>428</v>
      </c>
      <c r="H904" t="s">
        <v>401</v>
      </c>
      <c r="I904" t="s">
        <v>402</v>
      </c>
      <c r="J904" t="s">
        <v>1379</v>
      </c>
      <c r="K904">
        <v>20220328</v>
      </c>
      <c r="L904" t="s">
        <v>422</v>
      </c>
      <c r="M904">
        <v>453.42</v>
      </c>
      <c r="N904">
        <v>0</v>
      </c>
      <c r="O904" t="s">
        <v>19</v>
      </c>
      <c r="P904" t="s">
        <v>20</v>
      </c>
      <c r="Q904">
        <v>20220328</v>
      </c>
    </row>
    <row r="905" spans="1:17" x14ac:dyDescent="0.25">
      <c r="A905" t="s">
        <v>476</v>
      </c>
      <c r="B905" t="s">
        <v>477</v>
      </c>
      <c r="C905">
        <v>37</v>
      </c>
      <c r="D905">
        <v>20220328</v>
      </c>
      <c r="E905">
        <f t="shared" si="14"/>
        <v>3</v>
      </c>
      <c r="F905">
        <v>445050</v>
      </c>
      <c r="G905" t="s">
        <v>416</v>
      </c>
      <c r="H905" t="s">
        <v>401</v>
      </c>
      <c r="I905" t="s">
        <v>402</v>
      </c>
      <c r="J905" t="s">
        <v>1380</v>
      </c>
      <c r="K905">
        <v>20220328</v>
      </c>
      <c r="L905" t="s">
        <v>1381</v>
      </c>
      <c r="M905">
        <v>0</v>
      </c>
      <c r="N905">
        <v>15926.61</v>
      </c>
      <c r="O905" t="s">
        <v>19</v>
      </c>
      <c r="P905" t="s">
        <v>20</v>
      </c>
      <c r="Q905">
        <v>20220328</v>
      </c>
    </row>
    <row r="906" spans="1:17" x14ac:dyDescent="0.25">
      <c r="A906" t="s">
        <v>476</v>
      </c>
      <c r="B906" t="s">
        <v>477</v>
      </c>
      <c r="C906">
        <v>37</v>
      </c>
      <c r="D906">
        <v>20220328</v>
      </c>
      <c r="E906">
        <f t="shared" si="14"/>
        <v>3</v>
      </c>
      <c r="F906">
        <v>512000</v>
      </c>
      <c r="G906" t="s">
        <v>428</v>
      </c>
      <c r="H906" t="s">
        <v>401</v>
      </c>
      <c r="I906" t="s">
        <v>402</v>
      </c>
      <c r="J906" t="s">
        <v>1380</v>
      </c>
      <c r="K906">
        <v>20220328</v>
      </c>
      <c r="L906" t="s">
        <v>1381</v>
      </c>
      <c r="M906">
        <v>15926.61</v>
      </c>
      <c r="N906">
        <v>0</v>
      </c>
      <c r="O906" t="s">
        <v>19</v>
      </c>
      <c r="P906" t="s">
        <v>20</v>
      </c>
      <c r="Q906">
        <v>20220328</v>
      </c>
    </row>
    <row r="907" spans="1:17" x14ac:dyDescent="0.25">
      <c r="A907" t="s">
        <v>476</v>
      </c>
      <c r="B907" t="s">
        <v>477</v>
      </c>
      <c r="C907">
        <v>37</v>
      </c>
      <c r="D907">
        <v>20220328</v>
      </c>
      <c r="E907">
        <f t="shared" si="14"/>
        <v>3</v>
      </c>
      <c r="F907">
        <v>445050</v>
      </c>
      <c r="G907" t="s">
        <v>416</v>
      </c>
      <c r="H907" t="s">
        <v>401</v>
      </c>
      <c r="I907" t="s">
        <v>402</v>
      </c>
      <c r="J907" t="s">
        <v>1382</v>
      </c>
      <c r="K907">
        <v>20220328</v>
      </c>
      <c r="L907" t="s">
        <v>1383</v>
      </c>
      <c r="M907">
        <v>0</v>
      </c>
      <c r="N907">
        <v>15926.61</v>
      </c>
      <c r="O907" t="s">
        <v>19</v>
      </c>
      <c r="P907" t="s">
        <v>20</v>
      </c>
      <c r="Q907">
        <v>20220328</v>
      </c>
    </row>
    <row r="908" spans="1:17" x14ac:dyDescent="0.25">
      <c r="A908" t="s">
        <v>476</v>
      </c>
      <c r="B908" t="s">
        <v>477</v>
      </c>
      <c r="C908">
        <v>37</v>
      </c>
      <c r="D908">
        <v>20220328</v>
      </c>
      <c r="E908">
        <f t="shared" si="14"/>
        <v>3</v>
      </c>
      <c r="F908">
        <v>512000</v>
      </c>
      <c r="G908" t="s">
        <v>428</v>
      </c>
      <c r="H908" t="s">
        <v>401</v>
      </c>
      <c r="I908" t="s">
        <v>402</v>
      </c>
      <c r="J908" t="s">
        <v>1382</v>
      </c>
      <c r="K908">
        <v>20220328</v>
      </c>
      <c r="L908" t="s">
        <v>1383</v>
      </c>
      <c r="M908">
        <v>15926.61</v>
      </c>
      <c r="N908">
        <v>0</v>
      </c>
      <c r="O908" t="s">
        <v>19</v>
      </c>
      <c r="P908" t="s">
        <v>20</v>
      </c>
      <c r="Q908">
        <v>20220328</v>
      </c>
    </row>
    <row r="909" spans="1:17" x14ac:dyDescent="0.25">
      <c r="A909" t="s">
        <v>548</v>
      </c>
      <c r="B909" t="s">
        <v>429</v>
      </c>
      <c r="C909">
        <v>38</v>
      </c>
      <c r="D909">
        <v>20220301</v>
      </c>
      <c r="E909">
        <f t="shared" si="14"/>
        <v>3</v>
      </c>
      <c r="F909">
        <v>411100</v>
      </c>
      <c r="G909" t="s">
        <v>18</v>
      </c>
      <c r="H909" t="s">
        <v>142</v>
      </c>
      <c r="I909" t="s">
        <v>143</v>
      </c>
      <c r="J909">
        <v>336283</v>
      </c>
      <c r="K909">
        <v>20220301</v>
      </c>
      <c r="L909" t="s">
        <v>1384</v>
      </c>
      <c r="M909">
        <v>0</v>
      </c>
      <c r="N909">
        <v>10</v>
      </c>
      <c r="O909" t="s">
        <v>22</v>
      </c>
      <c r="P909">
        <v>20230218</v>
      </c>
      <c r="Q909">
        <v>20220301</v>
      </c>
    </row>
    <row r="910" spans="1:17" x14ac:dyDescent="0.25">
      <c r="A910" t="s">
        <v>548</v>
      </c>
      <c r="B910" t="s">
        <v>429</v>
      </c>
      <c r="C910">
        <v>38</v>
      </c>
      <c r="D910">
        <v>20220301</v>
      </c>
      <c r="E910">
        <f t="shared" si="14"/>
        <v>3</v>
      </c>
      <c r="F910">
        <v>411100</v>
      </c>
      <c r="G910" t="s">
        <v>18</v>
      </c>
      <c r="H910" t="s">
        <v>111</v>
      </c>
      <c r="I910" t="s">
        <v>112</v>
      </c>
      <c r="J910">
        <v>336284</v>
      </c>
      <c r="K910">
        <v>20220301</v>
      </c>
      <c r="L910" t="s">
        <v>1385</v>
      </c>
      <c r="M910">
        <v>0</v>
      </c>
      <c r="N910">
        <v>15</v>
      </c>
      <c r="O910" t="s">
        <v>19</v>
      </c>
      <c r="P910" t="s">
        <v>20</v>
      </c>
      <c r="Q910">
        <v>20220301</v>
      </c>
    </row>
    <row r="911" spans="1:17" x14ac:dyDescent="0.25">
      <c r="A911" t="s">
        <v>548</v>
      </c>
      <c r="B911" t="s">
        <v>429</v>
      </c>
      <c r="C911">
        <v>38</v>
      </c>
      <c r="D911">
        <v>20220301</v>
      </c>
      <c r="E911">
        <f t="shared" si="14"/>
        <v>3</v>
      </c>
      <c r="F911">
        <v>411100</v>
      </c>
      <c r="G911" t="s">
        <v>18</v>
      </c>
      <c r="H911" t="s">
        <v>115</v>
      </c>
      <c r="I911" t="s">
        <v>116</v>
      </c>
      <c r="J911">
        <v>336285</v>
      </c>
      <c r="K911">
        <v>20220301</v>
      </c>
      <c r="L911" t="s">
        <v>1386</v>
      </c>
      <c r="M911">
        <v>0</v>
      </c>
      <c r="N911">
        <v>15</v>
      </c>
      <c r="O911" t="s">
        <v>19</v>
      </c>
      <c r="P911" t="s">
        <v>20</v>
      </c>
      <c r="Q911">
        <v>20220301</v>
      </c>
    </row>
    <row r="912" spans="1:17" x14ac:dyDescent="0.25">
      <c r="A912" t="s">
        <v>548</v>
      </c>
      <c r="B912" t="s">
        <v>429</v>
      </c>
      <c r="C912">
        <v>38</v>
      </c>
      <c r="D912">
        <v>20220301</v>
      </c>
      <c r="E912">
        <f t="shared" si="14"/>
        <v>3</v>
      </c>
      <c r="F912">
        <v>411100</v>
      </c>
      <c r="G912" t="s">
        <v>18</v>
      </c>
      <c r="H912" t="s">
        <v>103</v>
      </c>
      <c r="I912" t="s">
        <v>104</v>
      </c>
      <c r="J912">
        <v>336286</v>
      </c>
      <c r="K912">
        <v>20220301</v>
      </c>
      <c r="L912" t="s">
        <v>1387</v>
      </c>
      <c r="M912">
        <v>0</v>
      </c>
      <c r="N912">
        <v>15</v>
      </c>
      <c r="O912" t="s">
        <v>19</v>
      </c>
      <c r="P912" t="s">
        <v>20</v>
      </c>
      <c r="Q912">
        <v>20220301</v>
      </c>
    </row>
    <row r="913" spans="1:17" x14ac:dyDescent="0.25">
      <c r="A913" t="s">
        <v>548</v>
      </c>
      <c r="B913" t="s">
        <v>429</v>
      </c>
      <c r="C913">
        <v>38</v>
      </c>
      <c r="D913">
        <v>20220301</v>
      </c>
      <c r="E913">
        <f t="shared" si="14"/>
        <v>3</v>
      </c>
      <c r="F913">
        <v>411100</v>
      </c>
      <c r="G913" t="s">
        <v>18</v>
      </c>
      <c r="H913" t="s">
        <v>113</v>
      </c>
      <c r="I913" t="s">
        <v>114</v>
      </c>
      <c r="J913">
        <v>336287</v>
      </c>
      <c r="K913">
        <v>20220301</v>
      </c>
      <c r="L913" t="s">
        <v>1388</v>
      </c>
      <c r="M913">
        <v>0</v>
      </c>
      <c r="N913">
        <v>15</v>
      </c>
      <c r="O913" t="s">
        <v>19</v>
      </c>
      <c r="P913" t="s">
        <v>20</v>
      </c>
      <c r="Q913">
        <v>20220301</v>
      </c>
    </row>
    <row r="914" spans="1:17" x14ac:dyDescent="0.25">
      <c r="A914" t="s">
        <v>548</v>
      </c>
      <c r="B914" t="s">
        <v>429</v>
      </c>
      <c r="C914">
        <v>38</v>
      </c>
      <c r="D914">
        <v>20220301</v>
      </c>
      <c r="E914">
        <f t="shared" si="14"/>
        <v>3</v>
      </c>
      <c r="F914">
        <v>411100</v>
      </c>
      <c r="G914" t="s">
        <v>18</v>
      </c>
      <c r="H914" t="s">
        <v>26</v>
      </c>
      <c r="I914" t="s">
        <v>27</v>
      </c>
      <c r="J914">
        <v>336288</v>
      </c>
      <c r="K914">
        <v>20220301</v>
      </c>
      <c r="L914" t="s">
        <v>1389</v>
      </c>
      <c r="M914">
        <v>0</v>
      </c>
      <c r="N914">
        <v>10</v>
      </c>
      <c r="O914" t="s">
        <v>22</v>
      </c>
      <c r="P914">
        <v>20230218</v>
      </c>
      <c r="Q914">
        <v>20220301</v>
      </c>
    </row>
    <row r="915" spans="1:17" x14ac:dyDescent="0.25">
      <c r="A915" t="s">
        <v>548</v>
      </c>
      <c r="B915" t="s">
        <v>429</v>
      </c>
      <c r="C915">
        <v>38</v>
      </c>
      <c r="D915">
        <v>20220301</v>
      </c>
      <c r="E915">
        <f t="shared" si="14"/>
        <v>3</v>
      </c>
      <c r="F915">
        <v>411100</v>
      </c>
      <c r="G915" t="s">
        <v>18</v>
      </c>
      <c r="H915" t="s">
        <v>117</v>
      </c>
      <c r="I915" t="s">
        <v>118</v>
      </c>
      <c r="J915">
        <v>336289</v>
      </c>
      <c r="K915">
        <v>20220301</v>
      </c>
      <c r="L915" t="s">
        <v>1390</v>
      </c>
      <c r="M915">
        <v>0</v>
      </c>
      <c r="N915">
        <v>10</v>
      </c>
      <c r="O915" t="s">
        <v>22</v>
      </c>
      <c r="P915">
        <v>20220327</v>
      </c>
      <c r="Q915">
        <v>20220301</v>
      </c>
    </row>
    <row r="916" spans="1:17" x14ac:dyDescent="0.25">
      <c r="A916" t="s">
        <v>548</v>
      </c>
      <c r="B916" t="s">
        <v>429</v>
      </c>
      <c r="C916">
        <v>38</v>
      </c>
      <c r="D916">
        <v>20220301</v>
      </c>
      <c r="E916">
        <f t="shared" si="14"/>
        <v>3</v>
      </c>
      <c r="F916">
        <v>411100</v>
      </c>
      <c r="G916" t="s">
        <v>18</v>
      </c>
      <c r="H916" t="s">
        <v>117</v>
      </c>
      <c r="I916" t="s">
        <v>118</v>
      </c>
      <c r="J916">
        <v>336290</v>
      </c>
      <c r="K916">
        <v>20220301</v>
      </c>
      <c r="L916" t="s">
        <v>1391</v>
      </c>
      <c r="M916">
        <v>0</v>
      </c>
      <c r="N916">
        <v>10</v>
      </c>
      <c r="O916" t="s">
        <v>22</v>
      </c>
      <c r="P916">
        <v>20230218</v>
      </c>
      <c r="Q916">
        <v>20220301</v>
      </c>
    </row>
    <row r="917" spans="1:17" x14ac:dyDescent="0.25">
      <c r="A917" t="s">
        <v>548</v>
      </c>
      <c r="B917" t="s">
        <v>429</v>
      </c>
      <c r="C917">
        <v>38</v>
      </c>
      <c r="D917">
        <v>20220301</v>
      </c>
      <c r="E917">
        <f t="shared" si="14"/>
        <v>3</v>
      </c>
      <c r="F917">
        <v>411100</v>
      </c>
      <c r="G917" t="s">
        <v>18</v>
      </c>
      <c r="H917" t="s">
        <v>121</v>
      </c>
      <c r="I917" t="s">
        <v>122</v>
      </c>
      <c r="J917">
        <v>336291</v>
      </c>
      <c r="K917">
        <v>20220301</v>
      </c>
      <c r="L917" t="s">
        <v>1392</v>
      </c>
      <c r="M917">
        <v>0</v>
      </c>
      <c r="N917">
        <v>10</v>
      </c>
      <c r="O917" t="s">
        <v>22</v>
      </c>
      <c r="P917">
        <v>20220327</v>
      </c>
      <c r="Q917">
        <v>20220301</v>
      </c>
    </row>
    <row r="918" spans="1:17" x14ac:dyDescent="0.25">
      <c r="A918" t="s">
        <v>548</v>
      </c>
      <c r="B918" t="s">
        <v>429</v>
      </c>
      <c r="C918">
        <v>38</v>
      </c>
      <c r="D918">
        <v>20220301</v>
      </c>
      <c r="E918">
        <f t="shared" si="14"/>
        <v>3</v>
      </c>
      <c r="F918">
        <v>411100</v>
      </c>
      <c r="G918" t="s">
        <v>18</v>
      </c>
      <c r="H918" t="s">
        <v>61</v>
      </c>
      <c r="I918" t="s">
        <v>62</v>
      </c>
      <c r="J918">
        <v>336292</v>
      </c>
      <c r="K918">
        <v>20220301</v>
      </c>
      <c r="L918" t="s">
        <v>1393</v>
      </c>
      <c r="M918">
        <v>0</v>
      </c>
      <c r="N918">
        <v>10</v>
      </c>
      <c r="O918" t="s">
        <v>22</v>
      </c>
      <c r="P918">
        <v>20220327</v>
      </c>
      <c r="Q918">
        <v>20220301</v>
      </c>
    </row>
    <row r="919" spans="1:17" x14ac:dyDescent="0.25">
      <c r="A919" t="s">
        <v>548</v>
      </c>
      <c r="B919" t="s">
        <v>429</v>
      </c>
      <c r="C919">
        <v>38</v>
      </c>
      <c r="D919">
        <v>20220301</v>
      </c>
      <c r="E919">
        <f t="shared" si="14"/>
        <v>3</v>
      </c>
      <c r="F919">
        <v>411100</v>
      </c>
      <c r="G919" t="s">
        <v>18</v>
      </c>
      <c r="H919" t="s">
        <v>249</v>
      </c>
      <c r="I919" t="s">
        <v>250</v>
      </c>
      <c r="J919">
        <v>336293</v>
      </c>
      <c r="K919">
        <v>20220301</v>
      </c>
      <c r="L919" t="s">
        <v>1394</v>
      </c>
      <c r="M919">
        <v>0</v>
      </c>
      <c r="N919">
        <v>5</v>
      </c>
      <c r="O919" t="s">
        <v>22</v>
      </c>
      <c r="P919">
        <v>20220327</v>
      </c>
      <c r="Q919">
        <v>20220301</v>
      </c>
    </row>
    <row r="920" spans="1:17" x14ac:dyDescent="0.25">
      <c r="A920" t="s">
        <v>548</v>
      </c>
      <c r="B920" t="s">
        <v>429</v>
      </c>
      <c r="C920">
        <v>38</v>
      </c>
      <c r="D920">
        <v>20220301</v>
      </c>
      <c r="E920">
        <f t="shared" si="14"/>
        <v>3</v>
      </c>
      <c r="F920">
        <v>411000</v>
      </c>
      <c r="G920" t="s">
        <v>21</v>
      </c>
      <c r="H920" t="s">
        <v>287</v>
      </c>
      <c r="I920" t="s">
        <v>288</v>
      </c>
      <c r="J920">
        <v>336294</v>
      </c>
      <c r="K920">
        <v>20220301</v>
      </c>
      <c r="L920" t="s">
        <v>1395</v>
      </c>
      <c r="M920">
        <v>0</v>
      </c>
      <c r="N920">
        <v>5</v>
      </c>
      <c r="O920" t="s">
        <v>22</v>
      </c>
      <c r="P920">
        <v>20220327</v>
      </c>
      <c r="Q920">
        <v>20220301</v>
      </c>
    </row>
    <row r="921" spans="1:17" x14ac:dyDescent="0.25">
      <c r="A921" t="s">
        <v>548</v>
      </c>
      <c r="B921" t="s">
        <v>429</v>
      </c>
      <c r="C921">
        <v>38</v>
      </c>
      <c r="D921">
        <v>20220301</v>
      </c>
      <c r="E921">
        <f t="shared" si="14"/>
        <v>3</v>
      </c>
      <c r="F921">
        <v>411100</v>
      </c>
      <c r="G921" t="s">
        <v>18</v>
      </c>
      <c r="H921" t="s">
        <v>1037</v>
      </c>
      <c r="I921" t="s">
        <v>1038</v>
      </c>
      <c r="J921">
        <v>336295</v>
      </c>
      <c r="K921">
        <v>20220301</v>
      </c>
      <c r="L921" t="s">
        <v>1396</v>
      </c>
      <c r="M921">
        <v>0</v>
      </c>
      <c r="N921">
        <v>1.5</v>
      </c>
      <c r="O921" t="s">
        <v>22</v>
      </c>
      <c r="P921">
        <v>20230218</v>
      </c>
      <c r="Q921">
        <v>20220301</v>
      </c>
    </row>
    <row r="922" spans="1:17" x14ac:dyDescent="0.25">
      <c r="A922" t="s">
        <v>548</v>
      </c>
      <c r="B922" t="s">
        <v>429</v>
      </c>
      <c r="C922">
        <v>38</v>
      </c>
      <c r="D922">
        <v>20220301</v>
      </c>
      <c r="E922">
        <f t="shared" si="14"/>
        <v>3</v>
      </c>
      <c r="F922">
        <v>531105</v>
      </c>
      <c r="G922" t="s">
        <v>429</v>
      </c>
      <c r="H922" t="s">
        <v>401</v>
      </c>
      <c r="I922" t="s">
        <v>402</v>
      </c>
      <c r="J922">
        <v>336296</v>
      </c>
      <c r="K922">
        <v>20220301</v>
      </c>
      <c r="L922" t="s">
        <v>565</v>
      </c>
      <c r="M922">
        <v>131.5</v>
      </c>
      <c r="N922">
        <v>0</v>
      </c>
      <c r="O922" t="s">
        <v>19</v>
      </c>
      <c r="P922" t="s">
        <v>20</v>
      </c>
      <c r="Q922">
        <v>20220301</v>
      </c>
    </row>
    <row r="923" spans="1:17" x14ac:dyDescent="0.25">
      <c r="A923" t="s">
        <v>548</v>
      </c>
      <c r="B923" t="s">
        <v>429</v>
      </c>
      <c r="C923">
        <v>38</v>
      </c>
      <c r="D923">
        <v>20220302</v>
      </c>
      <c r="E923">
        <f t="shared" si="14"/>
        <v>3</v>
      </c>
      <c r="F923">
        <v>467100</v>
      </c>
      <c r="G923" t="s">
        <v>160</v>
      </c>
      <c r="H923" t="s">
        <v>1201</v>
      </c>
      <c r="I923" t="s">
        <v>1202</v>
      </c>
      <c r="J923" t="s">
        <v>1397</v>
      </c>
      <c r="K923">
        <v>20220302</v>
      </c>
      <c r="L923" t="s">
        <v>1398</v>
      </c>
      <c r="M923">
        <v>61.96</v>
      </c>
      <c r="N923">
        <v>0</v>
      </c>
      <c r="O923" t="s">
        <v>23</v>
      </c>
      <c r="P923">
        <v>20220325</v>
      </c>
      <c r="Q923">
        <v>20220302</v>
      </c>
    </row>
    <row r="924" spans="1:17" x14ac:dyDescent="0.25">
      <c r="A924" t="s">
        <v>548</v>
      </c>
      <c r="B924" t="s">
        <v>429</v>
      </c>
      <c r="C924">
        <v>38</v>
      </c>
      <c r="D924">
        <v>20220302</v>
      </c>
      <c r="E924">
        <f t="shared" si="14"/>
        <v>3</v>
      </c>
      <c r="F924">
        <v>531105</v>
      </c>
      <c r="G924" t="s">
        <v>429</v>
      </c>
      <c r="H924" t="s">
        <v>401</v>
      </c>
      <c r="I924" t="s">
        <v>402</v>
      </c>
      <c r="J924" t="s">
        <v>1397</v>
      </c>
      <c r="K924">
        <v>20220302</v>
      </c>
      <c r="L924" t="s">
        <v>1398</v>
      </c>
      <c r="M924">
        <v>0</v>
      </c>
      <c r="N924">
        <v>61.96</v>
      </c>
      <c r="O924" t="s">
        <v>19</v>
      </c>
      <c r="P924" t="s">
        <v>20</v>
      </c>
      <c r="Q924">
        <v>20220302</v>
      </c>
    </row>
    <row r="925" spans="1:17" x14ac:dyDescent="0.25">
      <c r="A925" t="s">
        <v>548</v>
      </c>
      <c r="B925" t="s">
        <v>429</v>
      </c>
      <c r="C925">
        <v>38</v>
      </c>
      <c r="D925">
        <v>20220302</v>
      </c>
      <c r="E925">
        <f t="shared" si="14"/>
        <v>3</v>
      </c>
      <c r="F925">
        <v>467100</v>
      </c>
      <c r="G925" t="s">
        <v>160</v>
      </c>
      <c r="H925" t="s">
        <v>1201</v>
      </c>
      <c r="I925" t="s">
        <v>1202</v>
      </c>
      <c r="J925" t="s">
        <v>1399</v>
      </c>
      <c r="K925">
        <v>20220302</v>
      </c>
      <c r="L925" t="s">
        <v>1400</v>
      </c>
      <c r="M925">
        <v>15.9</v>
      </c>
      <c r="N925">
        <v>0</v>
      </c>
      <c r="O925" t="s">
        <v>23</v>
      </c>
      <c r="P925">
        <v>20220325</v>
      </c>
      <c r="Q925">
        <v>20220302</v>
      </c>
    </row>
    <row r="926" spans="1:17" x14ac:dyDescent="0.25">
      <c r="A926" t="s">
        <v>548</v>
      </c>
      <c r="B926" t="s">
        <v>429</v>
      </c>
      <c r="C926">
        <v>38</v>
      </c>
      <c r="D926">
        <v>20220302</v>
      </c>
      <c r="E926">
        <f t="shared" si="14"/>
        <v>3</v>
      </c>
      <c r="F926">
        <v>531105</v>
      </c>
      <c r="G926" t="s">
        <v>429</v>
      </c>
      <c r="H926" t="s">
        <v>401</v>
      </c>
      <c r="I926" t="s">
        <v>402</v>
      </c>
      <c r="J926" t="s">
        <v>1399</v>
      </c>
      <c r="K926">
        <v>20220302</v>
      </c>
      <c r="L926" t="s">
        <v>1400</v>
      </c>
      <c r="M926">
        <v>0</v>
      </c>
      <c r="N926">
        <v>15.9</v>
      </c>
      <c r="O926" t="s">
        <v>19</v>
      </c>
      <c r="P926" t="s">
        <v>20</v>
      </c>
      <c r="Q926">
        <v>20220302</v>
      </c>
    </row>
    <row r="927" spans="1:17" x14ac:dyDescent="0.25">
      <c r="A927" t="s">
        <v>548</v>
      </c>
      <c r="B927" t="s">
        <v>429</v>
      </c>
      <c r="C927">
        <v>38</v>
      </c>
      <c r="D927">
        <v>20220302</v>
      </c>
      <c r="E927">
        <f t="shared" si="14"/>
        <v>3</v>
      </c>
      <c r="F927">
        <v>467100</v>
      </c>
      <c r="G927" t="s">
        <v>160</v>
      </c>
      <c r="H927" t="s">
        <v>1201</v>
      </c>
      <c r="I927" t="s">
        <v>1202</v>
      </c>
      <c r="J927" t="s">
        <v>1401</v>
      </c>
      <c r="K927">
        <v>20220302</v>
      </c>
      <c r="L927" t="s">
        <v>1402</v>
      </c>
      <c r="M927">
        <v>5.59</v>
      </c>
      <c r="N927">
        <v>0</v>
      </c>
      <c r="O927" t="s">
        <v>23</v>
      </c>
      <c r="P927">
        <v>20220325</v>
      </c>
      <c r="Q927">
        <v>20220302</v>
      </c>
    </row>
    <row r="928" spans="1:17" x14ac:dyDescent="0.25">
      <c r="A928" t="s">
        <v>548</v>
      </c>
      <c r="B928" t="s">
        <v>429</v>
      </c>
      <c r="C928">
        <v>38</v>
      </c>
      <c r="D928">
        <v>20220302</v>
      </c>
      <c r="E928">
        <f t="shared" si="14"/>
        <v>3</v>
      </c>
      <c r="F928">
        <v>531105</v>
      </c>
      <c r="G928" t="s">
        <v>429</v>
      </c>
      <c r="H928" t="s">
        <v>401</v>
      </c>
      <c r="I928" t="s">
        <v>402</v>
      </c>
      <c r="J928" t="s">
        <v>1401</v>
      </c>
      <c r="K928">
        <v>20220302</v>
      </c>
      <c r="L928" t="s">
        <v>1402</v>
      </c>
      <c r="M928">
        <v>0</v>
      </c>
      <c r="N928">
        <v>5.59</v>
      </c>
      <c r="O928" t="s">
        <v>19</v>
      </c>
      <c r="P928" t="s">
        <v>20</v>
      </c>
      <c r="Q928">
        <v>20220302</v>
      </c>
    </row>
    <row r="929" spans="1:17" x14ac:dyDescent="0.25">
      <c r="A929" t="s">
        <v>548</v>
      </c>
      <c r="B929" t="s">
        <v>429</v>
      </c>
      <c r="C929">
        <v>38</v>
      </c>
      <c r="D929">
        <v>20220302</v>
      </c>
      <c r="E929">
        <f t="shared" si="14"/>
        <v>3</v>
      </c>
      <c r="F929">
        <v>411100</v>
      </c>
      <c r="G929" t="s">
        <v>18</v>
      </c>
      <c r="H929" t="s">
        <v>352</v>
      </c>
      <c r="I929" t="s">
        <v>353</v>
      </c>
      <c r="J929">
        <v>336297</v>
      </c>
      <c r="K929">
        <v>20220302</v>
      </c>
      <c r="L929" t="s">
        <v>1403</v>
      </c>
      <c r="M929">
        <v>0</v>
      </c>
      <c r="N929">
        <v>3</v>
      </c>
      <c r="O929" t="s">
        <v>19</v>
      </c>
      <c r="P929" t="s">
        <v>20</v>
      </c>
      <c r="Q929">
        <v>20220302</v>
      </c>
    </row>
    <row r="930" spans="1:17" x14ac:dyDescent="0.25">
      <c r="A930" t="s">
        <v>548</v>
      </c>
      <c r="B930" t="s">
        <v>429</v>
      </c>
      <c r="C930">
        <v>38</v>
      </c>
      <c r="D930">
        <v>20220302</v>
      </c>
      <c r="E930">
        <f t="shared" si="14"/>
        <v>3</v>
      </c>
      <c r="F930">
        <v>411100</v>
      </c>
      <c r="G930" t="s">
        <v>18</v>
      </c>
      <c r="H930" t="s">
        <v>821</v>
      </c>
      <c r="I930" t="s">
        <v>822</v>
      </c>
      <c r="J930">
        <v>336298</v>
      </c>
      <c r="K930">
        <v>20220302</v>
      </c>
      <c r="L930" t="s">
        <v>1404</v>
      </c>
      <c r="M930">
        <v>0</v>
      </c>
      <c r="N930">
        <v>43.5</v>
      </c>
      <c r="O930" t="s">
        <v>22</v>
      </c>
      <c r="P930">
        <v>20230218</v>
      </c>
      <c r="Q930">
        <v>20220302</v>
      </c>
    </row>
    <row r="931" spans="1:17" x14ac:dyDescent="0.25">
      <c r="A931" t="s">
        <v>548</v>
      </c>
      <c r="B931" t="s">
        <v>429</v>
      </c>
      <c r="C931">
        <v>38</v>
      </c>
      <c r="D931">
        <v>20220302</v>
      </c>
      <c r="E931">
        <f t="shared" si="14"/>
        <v>3</v>
      </c>
      <c r="F931">
        <v>531105</v>
      </c>
      <c r="G931" t="s">
        <v>429</v>
      </c>
      <c r="H931" t="s">
        <v>401</v>
      </c>
      <c r="I931" t="s">
        <v>402</v>
      </c>
      <c r="J931">
        <v>336299</v>
      </c>
      <c r="K931">
        <v>20220302</v>
      </c>
      <c r="L931" t="s">
        <v>565</v>
      </c>
      <c r="M931">
        <v>46.5</v>
      </c>
      <c r="N931">
        <v>0</v>
      </c>
      <c r="O931" t="s">
        <v>19</v>
      </c>
      <c r="P931" t="s">
        <v>20</v>
      </c>
      <c r="Q931">
        <v>20220302</v>
      </c>
    </row>
    <row r="932" spans="1:17" x14ac:dyDescent="0.25">
      <c r="A932" t="s">
        <v>548</v>
      </c>
      <c r="B932" t="s">
        <v>429</v>
      </c>
      <c r="C932">
        <v>38</v>
      </c>
      <c r="D932">
        <v>20220302</v>
      </c>
      <c r="E932">
        <f t="shared" si="14"/>
        <v>3</v>
      </c>
      <c r="F932">
        <v>411000</v>
      </c>
      <c r="G932" t="s">
        <v>21</v>
      </c>
      <c r="H932" t="s">
        <v>271</v>
      </c>
      <c r="I932" t="s">
        <v>272</v>
      </c>
      <c r="J932">
        <v>336319</v>
      </c>
      <c r="K932">
        <v>20220302</v>
      </c>
      <c r="L932" t="s">
        <v>1405</v>
      </c>
      <c r="M932">
        <v>0</v>
      </c>
      <c r="N932">
        <v>26.12</v>
      </c>
      <c r="O932" t="s">
        <v>22</v>
      </c>
      <c r="P932">
        <v>20230218</v>
      </c>
      <c r="Q932">
        <v>20220302</v>
      </c>
    </row>
    <row r="933" spans="1:17" x14ac:dyDescent="0.25">
      <c r="A933" t="s">
        <v>548</v>
      </c>
      <c r="B933" t="s">
        <v>429</v>
      </c>
      <c r="C933">
        <v>38</v>
      </c>
      <c r="D933">
        <v>20220302</v>
      </c>
      <c r="E933">
        <f t="shared" si="14"/>
        <v>3</v>
      </c>
      <c r="F933">
        <v>411000</v>
      </c>
      <c r="G933" t="s">
        <v>21</v>
      </c>
      <c r="H933" t="s">
        <v>271</v>
      </c>
      <c r="I933" t="s">
        <v>272</v>
      </c>
      <c r="J933">
        <v>336320</v>
      </c>
      <c r="K933">
        <v>20220302</v>
      </c>
      <c r="L933" t="s">
        <v>1406</v>
      </c>
      <c r="M933">
        <v>0</v>
      </c>
      <c r="N933">
        <v>0.03</v>
      </c>
      <c r="O933" t="s">
        <v>19</v>
      </c>
      <c r="P933" t="s">
        <v>20</v>
      </c>
      <c r="Q933">
        <v>20220302</v>
      </c>
    </row>
    <row r="934" spans="1:17" x14ac:dyDescent="0.25">
      <c r="A934" t="s">
        <v>548</v>
      </c>
      <c r="B934" t="s">
        <v>429</v>
      </c>
      <c r="C934">
        <v>38</v>
      </c>
      <c r="D934">
        <v>20220302</v>
      </c>
      <c r="E934">
        <f t="shared" si="14"/>
        <v>3</v>
      </c>
      <c r="F934">
        <v>531105</v>
      </c>
      <c r="G934" t="s">
        <v>429</v>
      </c>
      <c r="H934" t="s">
        <v>401</v>
      </c>
      <c r="I934" t="s">
        <v>402</v>
      </c>
      <c r="J934">
        <v>336321</v>
      </c>
      <c r="K934">
        <v>20220302</v>
      </c>
      <c r="L934" t="s">
        <v>565</v>
      </c>
      <c r="M934">
        <v>26.15</v>
      </c>
      <c r="N934">
        <v>0</v>
      </c>
      <c r="O934" t="s">
        <v>19</v>
      </c>
      <c r="P934" t="s">
        <v>20</v>
      </c>
      <c r="Q934">
        <v>20220302</v>
      </c>
    </row>
    <row r="935" spans="1:17" x14ac:dyDescent="0.25">
      <c r="A935" t="s">
        <v>548</v>
      </c>
      <c r="B935" t="s">
        <v>429</v>
      </c>
      <c r="C935">
        <v>38</v>
      </c>
      <c r="D935">
        <v>20220303</v>
      </c>
      <c r="E935">
        <f t="shared" si="14"/>
        <v>3</v>
      </c>
      <c r="F935">
        <v>411100</v>
      </c>
      <c r="G935" t="s">
        <v>18</v>
      </c>
      <c r="H935" t="s">
        <v>1407</v>
      </c>
      <c r="I935" t="s">
        <v>1408</v>
      </c>
      <c r="J935">
        <v>336300</v>
      </c>
      <c r="K935">
        <v>20220303</v>
      </c>
      <c r="L935" t="s">
        <v>1409</v>
      </c>
      <c r="M935">
        <v>0</v>
      </c>
      <c r="N935">
        <v>10</v>
      </c>
      <c r="O935" t="s">
        <v>22</v>
      </c>
      <c r="P935">
        <v>20230218</v>
      </c>
      <c r="Q935">
        <v>20220303</v>
      </c>
    </row>
    <row r="936" spans="1:17" x14ac:dyDescent="0.25">
      <c r="A936" t="s">
        <v>548</v>
      </c>
      <c r="B936" t="s">
        <v>429</v>
      </c>
      <c r="C936">
        <v>38</v>
      </c>
      <c r="D936">
        <v>20220303</v>
      </c>
      <c r="E936">
        <f t="shared" si="14"/>
        <v>3</v>
      </c>
      <c r="F936">
        <v>531105</v>
      </c>
      <c r="G936" t="s">
        <v>429</v>
      </c>
      <c r="H936" t="s">
        <v>401</v>
      </c>
      <c r="I936" t="s">
        <v>402</v>
      </c>
      <c r="J936">
        <v>336301</v>
      </c>
      <c r="K936">
        <v>20220303</v>
      </c>
      <c r="L936" t="s">
        <v>565</v>
      </c>
      <c r="M936">
        <v>10</v>
      </c>
      <c r="N936">
        <v>0</v>
      </c>
      <c r="O936" t="s">
        <v>19</v>
      </c>
      <c r="P936" t="s">
        <v>20</v>
      </c>
      <c r="Q936">
        <v>20220303</v>
      </c>
    </row>
    <row r="937" spans="1:17" x14ac:dyDescent="0.25">
      <c r="A937" t="s">
        <v>548</v>
      </c>
      <c r="B937" t="s">
        <v>429</v>
      </c>
      <c r="C937">
        <v>38</v>
      </c>
      <c r="D937">
        <v>20220303</v>
      </c>
      <c r="E937">
        <f t="shared" si="14"/>
        <v>3</v>
      </c>
      <c r="F937">
        <v>411010</v>
      </c>
      <c r="G937" t="s">
        <v>87</v>
      </c>
      <c r="H937" t="s">
        <v>363</v>
      </c>
      <c r="I937" t="s">
        <v>364</v>
      </c>
      <c r="J937">
        <v>336322</v>
      </c>
      <c r="K937">
        <v>20220303</v>
      </c>
      <c r="L937" t="s">
        <v>1410</v>
      </c>
      <c r="M937">
        <v>0</v>
      </c>
      <c r="N937">
        <v>82.35</v>
      </c>
      <c r="O937" t="s">
        <v>22</v>
      </c>
      <c r="P937">
        <v>20230218</v>
      </c>
      <c r="Q937">
        <v>20220303</v>
      </c>
    </row>
    <row r="938" spans="1:17" x14ac:dyDescent="0.25">
      <c r="A938" t="s">
        <v>548</v>
      </c>
      <c r="B938" t="s">
        <v>429</v>
      </c>
      <c r="C938">
        <v>38</v>
      </c>
      <c r="D938">
        <v>20220303</v>
      </c>
      <c r="E938">
        <f t="shared" si="14"/>
        <v>3</v>
      </c>
      <c r="F938">
        <v>531105</v>
      </c>
      <c r="G938" t="s">
        <v>429</v>
      </c>
      <c r="H938" t="s">
        <v>401</v>
      </c>
      <c r="I938" t="s">
        <v>402</v>
      </c>
      <c r="J938">
        <v>336323</v>
      </c>
      <c r="K938">
        <v>20220303</v>
      </c>
      <c r="L938" t="s">
        <v>565</v>
      </c>
      <c r="M938">
        <v>82.35</v>
      </c>
      <c r="N938">
        <v>0</v>
      </c>
      <c r="O938" t="s">
        <v>19</v>
      </c>
      <c r="P938" t="s">
        <v>20</v>
      </c>
      <c r="Q938">
        <v>20220303</v>
      </c>
    </row>
    <row r="939" spans="1:17" x14ac:dyDescent="0.25">
      <c r="A939" t="s">
        <v>548</v>
      </c>
      <c r="B939" t="s">
        <v>429</v>
      </c>
      <c r="C939">
        <v>38</v>
      </c>
      <c r="D939">
        <v>20220303</v>
      </c>
      <c r="E939">
        <f t="shared" si="14"/>
        <v>3</v>
      </c>
      <c r="F939">
        <v>411100</v>
      </c>
      <c r="G939" t="s">
        <v>18</v>
      </c>
      <c r="H939" t="s">
        <v>356</v>
      </c>
      <c r="I939" t="s">
        <v>357</v>
      </c>
      <c r="J939">
        <v>121120012</v>
      </c>
      <c r="K939">
        <v>20220303</v>
      </c>
      <c r="L939" t="s">
        <v>1411</v>
      </c>
      <c r="M939">
        <v>0</v>
      </c>
      <c r="N939">
        <v>74.150000000000006</v>
      </c>
      <c r="O939" t="s">
        <v>19</v>
      </c>
      <c r="P939" t="s">
        <v>20</v>
      </c>
      <c r="Q939">
        <v>20220303</v>
      </c>
    </row>
    <row r="940" spans="1:17" x14ac:dyDescent="0.25">
      <c r="A940" t="s">
        <v>548</v>
      </c>
      <c r="B940" t="s">
        <v>429</v>
      </c>
      <c r="C940">
        <v>38</v>
      </c>
      <c r="D940">
        <v>20220303</v>
      </c>
      <c r="E940">
        <f t="shared" si="14"/>
        <v>3</v>
      </c>
      <c r="F940">
        <v>411100</v>
      </c>
      <c r="G940" t="s">
        <v>18</v>
      </c>
      <c r="H940" t="s">
        <v>356</v>
      </c>
      <c r="I940" t="s">
        <v>357</v>
      </c>
      <c r="J940">
        <v>121120012</v>
      </c>
      <c r="K940">
        <v>20220303</v>
      </c>
      <c r="L940" t="s">
        <v>1412</v>
      </c>
      <c r="M940">
        <v>0</v>
      </c>
      <c r="N940">
        <v>4.05</v>
      </c>
      <c r="O940" t="s">
        <v>19</v>
      </c>
      <c r="P940" t="s">
        <v>20</v>
      </c>
      <c r="Q940">
        <v>20220303</v>
      </c>
    </row>
    <row r="941" spans="1:17" x14ac:dyDescent="0.25">
      <c r="A941" t="s">
        <v>548</v>
      </c>
      <c r="B941" t="s">
        <v>429</v>
      </c>
      <c r="C941">
        <v>38</v>
      </c>
      <c r="D941">
        <v>20220303</v>
      </c>
      <c r="E941">
        <f t="shared" si="14"/>
        <v>3</v>
      </c>
      <c r="F941">
        <v>531105</v>
      </c>
      <c r="G941" t="s">
        <v>429</v>
      </c>
      <c r="H941" t="s">
        <v>401</v>
      </c>
      <c r="I941" t="s">
        <v>402</v>
      </c>
      <c r="J941">
        <v>336374</v>
      </c>
      <c r="K941">
        <v>20220303</v>
      </c>
      <c r="L941" t="s">
        <v>565</v>
      </c>
      <c r="M941">
        <v>78.2</v>
      </c>
      <c r="N941">
        <v>0</v>
      </c>
      <c r="O941" t="s">
        <v>19</v>
      </c>
      <c r="P941" t="s">
        <v>20</v>
      </c>
      <c r="Q941">
        <v>20220303</v>
      </c>
    </row>
    <row r="942" spans="1:17" x14ac:dyDescent="0.25">
      <c r="A942" t="s">
        <v>548</v>
      </c>
      <c r="B942" t="s">
        <v>429</v>
      </c>
      <c r="C942">
        <v>38</v>
      </c>
      <c r="D942">
        <v>20220304</v>
      </c>
      <c r="E942">
        <f t="shared" si="14"/>
        <v>3</v>
      </c>
      <c r="F942">
        <v>411100</v>
      </c>
      <c r="G942" t="s">
        <v>18</v>
      </c>
      <c r="H942" t="s">
        <v>28</v>
      </c>
      <c r="I942" t="s">
        <v>29</v>
      </c>
      <c r="J942">
        <v>322010010</v>
      </c>
      <c r="K942">
        <v>20220304</v>
      </c>
      <c r="L942" t="s">
        <v>1413</v>
      </c>
      <c r="M942">
        <v>0</v>
      </c>
      <c r="N942">
        <v>35.159999999999997</v>
      </c>
      <c r="O942" t="s">
        <v>19</v>
      </c>
      <c r="P942" t="s">
        <v>20</v>
      </c>
      <c r="Q942">
        <v>20220304</v>
      </c>
    </row>
    <row r="943" spans="1:17" x14ac:dyDescent="0.25">
      <c r="A943" t="s">
        <v>548</v>
      </c>
      <c r="B943" t="s">
        <v>429</v>
      </c>
      <c r="C943">
        <v>38</v>
      </c>
      <c r="D943">
        <v>20220304</v>
      </c>
      <c r="E943">
        <f t="shared" si="14"/>
        <v>3</v>
      </c>
      <c r="F943">
        <v>411100</v>
      </c>
      <c r="G943" t="s">
        <v>18</v>
      </c>
      <c r="H943" t="s">
        <v>28</v>
      </c>
      <c r="I943" t="s">
        <v>29</v>
      </c>
      <c r="J943">
        <v>322010010</v>
      </c>
      <c r="K943">
        <v>20220304</v>
      </c>
      <c r="L943" t="s">
        <v>1414</v>
      </c>
      <c r="M943">
        <v>0</v>
      </c>
      <c r="N943">
        <v>4.84</v>
      </c>
      <c r="O943" t="s">
        <v>19</v>
      </c>
      <c r="P943" t="s">
        <v>20</v>
      </c>
      <c r="Q943">
        <v>20220304</v>
      </c>
    </row>
    <row r="944" spans="1:17" x14ac:dyDescent="0.25">
      <c r="A944" t="s">
        <v>548</v>
      </c>
      <c r="B944" t="s">
        <v>429</v>
      </c>
      <c r="C944">
        <v>38</v>
      </c>
      <c r="D944">
        <v>20220304</v>
      </c>
      <c r="E944">
        <f t="shared" si="14"/>
        <v>3</v>
      </c>
      <c r="F944">
        <v>531105</v>
      </c>
      <c r="G944" t="s">
        <v>429</v>
      </c>
      <c r="H944" t="s">
        <v>401</v>
      </c>
      <c r="I944" t="s">
        <v>402</v>
      </c>
      <c r="J944">
        <v>336710</v>
      </c>
      <c r="K944">
        <v>20220304</v>
      </c>
      <c r="L944" t="s">
        <v>565</v>
      </c>
      <c r="M944">
        <v>40</v>
      </c>
      <c r="N944">
        <v>0</v>
      </c>
      <c r="O944" t="s">
        <v>19</v>
      </c>
      <c r="P944" t="s">
        <v>20</v>
      </c>
      <c r="Q944">
        <v>20220304</v>
      </c>
    </row>
    <row r="945" spans="1:17" x14ac:dyDescent="0.25">
      <c r="A945" t="s">
        <v>548</v>
      </c>
      <c r="B945" t="s">
        <v>429</v>
      </c>
      <c r="C945">
        <v>38</v>
      </c>
      <c r="D945">
        <v>20220308</v>
      </c>
      <c r="E945">
        <f t="shared" si="14"/>
        <v>3</v>
      </c>
      <c r="F945">
        <v>467100</v>
      </c>
      <c r="G945" t="s">
        <v>160</v>
      </c>
      <c r="H945" t="s">
        <v>183</v>
      </c>
      <c r="I945" t="s">
        <v>184</v>
      </c>
      <c r="J945" t="s">
        <v>1415</v>
      </c>
      <c r="K945">
        <v>20220308</v>
      </c>
      <c r="L945" t="s">
        <v>1416</v>
      </c>
      <c r="M945">
        <v>0</v>
      </c>
      <c r="N945">
        <v>57.81</v>
      </c>
      <c r="O945" t="s">
        <v>23</v>
      </c>
      <c r="P945">
        <v>20220325</v>
      </c>
      <c r="Q945">
        <v>20220308</v>
      </c>
    </row>
    <row r="946" spans="1:17" x14ac:dyDescent="0.25">
      <c r="A946" t="s">
        <v>548</v>
      </c>
      <c r="B946" t="s">
        <v>429</v>
      </c>
      <c r="C946">
        <v>38</v>
      </c>
      <c r="D946">
        <v>20220308</v>
      </c>
      <c r="E946">
        <f t="shared" si="14"/>
        <v>3</v>
      </c>
      <c r="F946">
        <v>531105</v>
      </c>
      <c r="G946" t="s">
        <v>429</v>
      </c>
      <c r="H946" t="s">
        <v>401</v>
      </c>
      <c r="I946" t="s">
        <v>402</v>
      </c>
      <c r="J946" t="s">
        <v>1415</v>
      </c>
      <c r="K946">
        <v>20220308</v>
      </c>
      <c r="L946" t="s">
        <v>1416</v>
      </c>
      <c r="M946">
        <v>57.81</v>
      </c>
      <c r="N946">
        <v>0</v>
      </c>
      <c r="O946" t="s">
        <v>19</v>
      </c>
      <c r="P946" t="s">
        <v>20</v>
      </c>
      <c r="Q946">
        <v>20220308</v>
      </c>
    </row>
    <row r="947" spans="1:17" x14ac:dyDescent="0.25">
      <c r="A947" t="s">
        <v>548</v>
      </c>
      <c r="B947" t="s">
        <v>429</v>
      </c>
      <c r="C947">
        <v>38</v>
      </c>
      <c r="D947">
        <v>20220308</v>
      </c>
      <c r="E947">
        <f t="shared" si="14"/>
        <v>3</v>
      </c>
      <c r="F947">
        <v>411100</v>
      </c>
      <c r="G947" t="s">
        <v>18</v>
      </c>
      <c r="H947" t="s">
        <v>1417</v>
      </c>
      <c r="I947" t="s">
        <v>1418</v>
      </c>
      <c r="J947">
        <v>121090166</v>
      </c>
      <c r="K947">
        <v>20220308</v>
      </c>
      <c r="L947" t="s">
        <v>1419</v>
      </c>
      <c r="M947">
        <v>0</v>
      </c>
      <c r="N947">
        <v>2</v>
      </c>
      <c r="O947" t="s">
        <v>22</v>
      </c>
      <c r="P947">
        <v>20230218</v>
      </c>
      <c r="Q947">
        <v>20220308</v>
      </c>
    </row>
    <row r="948" spans="1:17" x14ac:dyDescent="0.25">
      <c r="A948" t="s">
        <v>548</v>
      </c>
      <c r="B948" t="s">
        <v>429</v>
      </c>
      <c r="C948">
        <v>38</v>
      </c>
      <c r="D948">
        <v>20220308</v>
      </c>
      <c r="E948">
        <f t="shared" si="14"/>
        <v>3</v>
      </c>
      <c r="F948">
        <v>411100</v>
      </c>
      <c r="G948" t="s">
        <v>18</v>
      </c>
      <c r="H948" t="s">
        <v>997</v>
      </c>
      <c r="I948" t="s">
        <v>998</v>
      </c>
      <c r="J948">
        <v>121090078</v>
      </c>
      <c r="K948">
        <v>20220308</v>
      </c>
      <c r="L948" t="s">
        <v>1420</v>
      </c>
      <c r="M948">
        <v>0</v>
      </c>
      <c r="N948">
        <v>2</v>
      </c>
      <c r="O948" t="s">
        <v>19</v>
      </c>
      <c r="P948" t="s">
        <v>20</v>
      </c>
      <c r="Q948">
        <v>20220308</v>
      </c>
    </row>
    <row r="949" spans="1:17" x14ac:dyDescent="0.25">
      <c r="A949" t="s">
        <v>548</v>
      </c>
      <c r="B949" t="s">
        <v>429</v>
      </c>
      <c r="C949">
        <v>38</v>
      </c>
      <c r="D949">
        <v>20220308</v>
      </c>
      <c r="E949">
        <f t="shared" si="14"/>
        <v>3</v>
      </c>
      <c r="F949">
        <v>411100</v>
      </c>
      <c r="G949" t="s">
        <v>18</v>
      </c>
      <c r="H949" t="s">
        <v>1421</v>
      </c>
      <c r="I949" t="s">
        <v>1422</v>
      </c>
      <c r="J949">
        <v>121090140</v>
      </c>
      <c r="K949">
        <v>20220308</v>
      </c>
      <c r="L949" t="s">
        <v>1423</v>
      </c>
      <c r="M949">
        <v>0</v>
      </c>
      <c r="N949">
        <v>2</v>
      </c>
      <c r="O949" t="s">
        <v>22</v>
      </c>
      <c r="P949">
        <v>20230218</v>
      </c>
      <c r="Q949">
        <v>20220308</v>
      </c>
    </row>
    <row r="950" spans="1:17" x14ac:dyDescent="0.25">
      <c r="A950" t="s">
        <v>548</v>
      </c>
      <c r="B950" t="s">
        <v>429</v>
      </c>
      <c r="C950">
        <v>38</v>
      </c>
      <c r="D950">
        <v>20220308</v>
      </c>
      <c r="E950">
        <f t="shared" si="14"/>
        <v>3</v>
      </c>
      <c r="F950">
        <v>411100</v>
      </c>
      <c r="G950" t="s">
        <v>18</v>
      </c>
      <c r="H950" t="s">
        <v>1006</v>
      </c>
      <c r="I950" t="s">
        <v>1007</v>
      </c>
      <c r="J950">
        <v>121090147</v>
      </c>
      <c r="K950">
        <v>20220308</v>
      </c>
      <c r="L950" t="s">
        <v>1424</v>
      </c>
      <c r="M950">
        <v>0</v>
      </c>
      <c r="N950">
        <v>2</v>
      </c>
      <c r="O950" t="s">
        <v>19</v>
      </c>
      <c r="P950" t="s">
        <v>20</v>
      </c>
      <c r="Q950">
        <v>20220308</v>
      </c>
    </row>
    <row r="951" spans="1:17" x14ac:dyDescent="0.25">
      <c r="A951" t="s">
        <v>548</v>
      </c>
      <c r="B951" t="s">
        <v>429</v>
      </c>
      <c r="C951">
        <v>38</v>
      </c>
      <c r="D951">
        <v>20220308</v>
      </c>
      <c r="E951">
        <f t="shared" si="14"/>
        <v>3</v>
      </c>
      <c r="F951">
        <v>411100</v>
      </c>
      <c r="G951" t="s">
        <v>18</v>
      </c>
      <c r="H951" t="s">
        <v>243</v>
      </c>
      <c r="I951" t="s">
        <v>244</v>
      </c>
      <c r="J951">
        <v>121090224</v>
      </c>
      <c r="K951">
        <v>20220308</v>
      </c>
      <c r="L951" t="s">
        <v>1425</v>
      </c>
      <c r="M951">
        <v>0</v>
      </c>
      <c r="N951">
        <v>2</v>
      </c>
      <c r="O951" t="s">
        <v>22</v>
      </c>
      <c r="P951">
        <v>20230218</v>
      </c>
      <c r="Q951">
        <v>20220308</v>
      </c>
    </row>
    <row r="952" spans="1:17" x14ac:dyDescent="0.25">
      <c r="A952" t="s">
        <v>548</v>
      </c>
      <c r="B952" t="s">
        <v>429</v>
      </c>
      <c r="C952">
        <v>38</v>
      </c>
      <c r="D952">
        <v>20220308</v>
      </c>
      <c r="E952">
        <f t="shared" si="14"/>
        <v>3</v>
      </c>
      <c r="F952">
        <v>531105</v>
      </c>
      <c r="G952" t="s">
        <v>429</v>
      </c>
      <c r="H952" t="s">
        <v>401</v>
      </c>
      <c r="I952" t="s">
        <v>402</v>
      </c>
      <c r="J952">
        <v>336677</v>
      </c>
      <c r="K952">
        <v>20220308</v>
      </c>
      <c r="L952" t="s">
        <v>565</v>
      </c>
      <c r="M952">
        <v>10</v>
      </c>
      <c r="N952">
        <v>0</v>
      </c>
      <c r="O952" t="s">
        <v>19</v>
      </c>
      <c r="P952" t="s">
        <v>20</v>
      </c>
      <c r="Q952">
        <v>20220308</v>
      </c>
    </row>
    <row r="953" spans="1:17" x14ac:dyDescent="0.25">
      <c r="A953" t="s">
        <v>548</v>
      </c>
      <c r="B953" t="s">
        <v>429</v>
      </c>
      <c r="C953">
        <v>38</v>
      </c>
      <c r="D953">
        <v>20220308</v>
      </c>
      <c r="E953">
        <f t="shared" si="14"/>
        <v>3</v>
      </c>
      <c r="F953">
        <v>411100</v>
      </c>
      <c r="G953" t="s">
        <v>18</v>
      </c>
      <c r="H953" t="s">
        <v>37</v>
      </c>
      <c r="I953" t="s">
        <v>38</v>
      </c>
      <c r="J953">
        <v>322010015</v>
      </c>
      <c r="K953">
        <v>20220308</v>
      </c>
      <c r="L953" t="s">
        <v>1426</v>
      </c>
      <c r="M953">
        <v>0</v>
      </c>
      <c r="N953">
        <v>66.56</v>
      </c>
      <c r="O953" t="s">
        <v>22</v>
      </c>
      <c r="P953">
        <v>20220327</v>
      </c>
      <c r="Q953">
        <v>20220308</v>
      </c>
    </row>
    <row r="954" spans="1:17" x14ac:dyDescent="0.25">
      <c r="A954" t="s">
        <v>548</v>
      </c>
      <c r="B954" t="s">
        <v>429</v>
      </c>
      <c r="C954">
        <v>38</v>
      </c>
      <c r="D954">
        <v>20220308</v>
      </c>
      <c r="E954">
        <f t="shared" si="14"/>
        <v>3</v>
      </c>
      <c r="F954">
        <v>411020</v>
      </c>
      <c r="G954" t="s">
        <v>30</v>
      </c>
      <c r="H954" t="s">
        <v>324</v>
      </c>
      <c r="I954" t="s">
        <v>325</v>
      </c>
      <c r="J954">
        <v>322010004</v>
      </c>
      <c r="K954">
        <v>20220308</v>
      </c>
      <c r="L954" t="s">
        <v>1427</v>
      </c>
      <c r="M954">
        <v>0</v>
      </c>
      <c r="N954">
        <v>110.78</v>
      </c>
      <c r="O954" t="s">
        <v>23</v>
      </c>
      <c r="P954">
        <v>20230218</v>
      </c>
      <c r="Q954">
        <v>20220308</v>
      </c>
    </row>
    <row r="955" spans="1:17" x14ac:dyDescent="0.25">
      <c r="A955" t="s">
        <v>548</v>
      </c>
      <c r="B955" t="s">
        <v>429</v>
      </c>
      <c r="C955">
        <v>38</v>
      </c>
      <c r="D955">
        <v>20220308</v>
      </c>
      <c r="E955">
        <f t="shared" si="14"/>
        <v>3</v>
      </c>
      <c r="F955">
        <v>411020</v>
      </c>
      <c r="G955" t="s">
        <v>30</v>
      </c>
      <c r="H955" t="s">
        <v>324</v>
      </c>
      <c r="I955" t="s">
        <v>325</v>
      </c>
      <c r="J955">
        <v>322010004</v>
      </c>
      <c r="K955">
        <v>20220308</v>
      </c>
      <c r="L955" t="s">
        <v>1428</v>
      </c>
      <c r="M955">
        <v>0</v>
      </c>
      <c r="N955">
        <v>0.22</v>
      </c>
      <c r="O955" t="s">
        <v>23</v>
      </c>
      <c r="P955">
        <v>20230218</v>
      </c>
      <c r="Q955">
        <v>20220308</v>
      </c>
    </row>
    <row r="956" spans="1:17" x14ac:dyDescent="0.25">
      <c r="A956" t="s">
        <v>548</v>
      </c>
      <c r="B956" t="s">
        <v>429</v>
      </c>
      <c r="C956">
        <v>38</v>
      </c>
      <c r="D956">
        <v>20220308</v>
      </c>
      <c r="E956">
        <f t="shared" si="14"/>
        <v>3</v>
      </c>
      <c r="F956">
        <v>411020</v>
      </c>
      <c r="G956" t="s">
        <v>30</v>
      </c>
      <c r="H956" t="s">
        <v>346</v>
      </c>
      <c r="I956" t="s">
        <v>347</v>
      </c>
      <c r="J956">
        <v>321110020</v>
      </c>
      <c r="K956">
        <v>20220308</v>
      </c>
      <c r="L956" t="s">
        <v>1429</v>
      </c>
      <c r="M956">
        <v>0</v>
      </c>
      <c r="N956">
        <v>150</v>
      </c>
      <c r="O956" t="s">
        <v>19</v>
      </c>
      <c r="P956" t="s">
        <v>20</v>
      </c>
      <c r="Q956">
        <v>20220308</v>
      </c>
    </row>
    <row r="957" spans="1:17" x14ac:dyDescent="0.25">
      <c r="A957" t="s">
        <v>548</v>
      </c>
      <c r="B957" t="s">
        <v>429</v>
      </c>
      <c r="C957">
        <v>38</v>
      </c>
      <c r="D957">
        <v>20220308</v>
      </c>
      <c r="E957">
        <f t="shared" si="14"/>
        <v>3</v>
      </c>
      <c r="F957">
        <v>411020</v>
      </c>
      <c r="G957" t="s">
        <v>30</v>
      </c>
      <c r="H957" t="s">
        <v>369</v>
      </c>
      <c r="I957" t="s">
        <v>370</v>
      </c>
      <c r="J957">
        <v>322020012</v>
      </c>
      <c r="K957">
        <v>20220308</v>
      </c>
      <c r="L957" t="s">
        <v>1430</v>
      </c>
      <c r="M957">
        <v>0</v>
      </c>
      <c r="N957">
        <v>25.6</v>
      </c>
      <c r="O957" t="s">
        <v>23</v>
      </c>
      <c r="P957">
        <v>20220327</v>
      </c>
      <c r="Q957">
        <v>20220308</v>
      </c>
    </row>
    <row r="958" spans="1:17" x14ac:dyDescent="0.25">
      <c r="A958" t="s">
        <v>548</v>
      </c>
      <c r="B958" t="s">
        <v>429</v>
      </c>
      <c r="C958">
        <v>38</v>
      </c>
      <c r="D958">
        <v>20220308</v>
      </c>
      <c r="E958">
        <f t="shared" si="14"/>
        <v>3</v>
      </c>
      <c r="F958">
        <v>411020</v>
      </c>
      <c r="G958" t="s">
        <v>30</v>
      </c>
      <c r="H958" t="s">
        <v>369</v>
      </c>
      <c r="I958" t="s">
        <v>370</v>
      </c>
      <c r="J958">
        <v>322020012</v>
      </c>
      <c r="K958">
        <v>20220308</v>
      </c>
      <c r="L958" t="s">
        <v>1431</v>
      </c>
      <c r="M958">
        <v>0</v>
      </c>
      <c r="N958">
        <v>0.4</v>
      </c>
      <c r="O958" t="s">
        <v>19</v>
      </c>
      <c r="P958" t="s">
        <v>20</v>
      </c>
      <c r="Q958">
        <v>20220308</v>
      </c>
    </row>
    <row r="959" spans="1:17" x14ac:dyDescent="0.25">
      <c r="A959" t="s">
        <v>548</v>
      </c>
      <c r="B959" t="s">
        <v>429</v>
      </c>
      <c r="C959">
        <v>38</v>
      </c>
      <c r="D959">
        <v>20220308</v>
      </c>
      <c r="E959">
        <f t="shared" si="14"/>
        <v>3</v>
      </c>
      <c r="F959">
        <v>411020</v>
      </c>
      <c r="G959" t="s">
        <v>30</v>
      </c>
      <c r="H959" t="s">
        <v>371</v>
      </c>
      <c r="I959" t="s">
        <v>372</v>
      </c>
      <c r="J959">
        <v>322020018</v>
      </c>
      <c r="K959">
        <v>20220308</v>
      </c>
      <c r="L959" t="s">
        <v>1432</v>
      </c>
      <c r="M959">
        <v>0</v>
      </c>
      <c r="N959">
        <v>135.27000000000001</v>
      </c>
      <c r="O959" t="s">
        <v>23</v>
      </c>
      <c r="P959">
        <v>20220327</v>
      </c>
      <c r="Q959">
        <v>20220308</v>
      </c>
    </row>
    <row r="960" spans="1:17" x14ac:dyDescent="0.25">
      <c r="A960" t="s">
        <v>548</v>
      </c>
      <c r="B960" t="s">
        <v>429</v>
      </c>
      <c r="C960">
        <v>38</v>
      </c>
      <c r="D960">
        <v>20220308</v>
      </c>
      <c r="E960">
        <f t="shared" si="14"/>
        <v>3</v>
      </c>
      <c r="F960">
        <v>411020</v>
      </c>
      <c r="G960" t="s">
        <v>30</v>
      </c>
      <c r="H960" t="s">
        <v>371</v>
      </c>
      <c r="I960" t="s">
        <v>372</v>
      </c>
      <c r="J960">
        <v>322020018</v>
      </c>
      <c r="K960">
        <v>20220308</v>
      </c>
      <c r="L960" t="s">
        <v>1433</v>
      </c>
      <c r="M960">
        <v>0</v>
      </c>
      <c r="N960">
        <v>4.7300000000000004</v>
      </c>
      <c r="O960" t="s">
        <v>22</v>
      </c>
      <c r="P960">
        <v>20230218</v>
      </c>
      <c r="Q960">
        <v>20220308</v>
      </c>
    </row>
    <row r="961" spans="1:17" x14ac:dyDescent="0.25">
      <c r="A961" t="s">
        <v>548</v>
      </c>
      <c r="B961" t="s">
        <v>429</v>
      </c>
      <c r="C961">
        <v>38</v>
      </c>
      <c r="D961">
        <v>20220308</v>
      </c>
      <c r="E961">
        <f t="shared" si="14"/>
        <v>3</v>
      </c>
      <c r="F961">
        <v>411100</v>
      </c>
      <c r="G961" t="s">
        <v>18</v>
      </c>
      <c r="H961" t="s">
        <v>198</v>
      </c>
      <c r="I961" t="s">
        <v>199</v>
      </c>
      <c r="J961">
        <v>322020016</v>
      </c>
      <c r="K961">
        <v>20220308</v>
      </c>
      <c r="L961" t="s">
        <v>1434</v>
      </c>
      <c r="M961">
        <v>0</v>
      </c>
      <c r="N961">
        <v>69.709999999999994</v>
      </c>
      <c r="O961" t="s">
        <v>23</v>
      </c>
      <c r="P961">
        <v>20220327</v>
      </c>
      <c r="Q961">
        <v>20220308</v>
      </c>
    </row>
    <row r="962" spans="1:17" x14ac:dyDescent="0.25">
      <c r="A962" t="s">
        <v>548</v>
      </c>
      <c r="B962" t="s">
        <v>429</v>
      </c>
      <c r="C962">
        <v>38</v>
      </c>
      <c r="D962">
        <v>20220308</v>
      </c>
      <c r="E962">
        <f t="shared" si="14"/>
        <v>3</v>
      </c>
      <c r="F962">
        <v>411100</v>
      </c>
      <c r="G962" t="s">
        <v>18</v>
      </c>
      <c r="H962" t="s">
        <v>198</v>
      </c>
      <c r="I962" t="s">
        <v>199</v>
      </c>
      <c r="J962">
        <v>322020016</v>
      </c>
      <c r="K962">
        <v>20220308</v>
      </c>
      <c r="L962" t="s">
        <v>1435</v>
      </c>
      <c r="M962">
        <v>0</v>
      </c>
      <c r="N962">
        <v>0.28999999999999998</v>
      </c>
      <c r="O962" t="s">
        <v>19</v>
      </c>
      <c r="P962" t="s">
        <v>20</v>
      </c>
      <c r="Q962">
        <v>20220308</v>
      </c>
    </row>
    <row r="963" spans="1:17" x14ac:dyDescent="0.25">
      <c r="A963" t="s">
        <v>548</v>
      </c>
      <c r="B963" t="s">
        <v>429</v>
      </c>
      <c r="C963">
        <v>38</v>
      </c>
      <c r="D963">
        <v>20220308</v>
      </c>
      <c r="E963">
        <f t="shared" ref="E963:E1026" si="15">VALUE(MID(D963,5,2))</f>
        <v>3</v>
      </c>
      <c r="F963">
        <v>411020</v>
      </c>
      <c r="G963" t="s">
        <v>30</v>
      </c>
      <c r="H963" t="s">
        <v>309</v>
      </c>
      <c r="I963" t="s">
        <v>310</v>
      </c>
      <c r="J963">
        <v>322010002</v>
      </c>
      <c r="K963">
        <v>20220308</v>
      </c>
      <c r="L963" t="s">
        <v>1436</v>
      </c>
      <c r="M963">
        <v>0</v>
      </c>
      <c r="N963">
        <v>138.54</v>
      </c>
      <c r="O963" t="s">
        <v>23</v>
      </c>
      <c r="P963">
        <v>20220327</v>
      </c>
      <c r="Q963">
        <v>20220308</v>
      </c>
    </row>
    <row r="964" spans="1:17" x14ac:dyDescent="0.25">
      <c r="A964" t="s">
        <v>548</v>
      </c>
      <c r="B964" t="s">
        <v>429</v>
      </c>
      <c r="C964">
        <v>38</v>
      </c>
      <c r="D964">
        <v>20220308</v>
      </c>
      <c r="E964">
        <f t="shared" si="15"/>
        <v>3</v>
      </c>
      <c r="F964">
        <v>411020</v>
      </c>
      <c r="G964" t="s">
        <v>30</v>
      </c>
      <c r="H964" t="s">
        <v>309</v>
      </c>
      <c r="I964" t="s">
        <v>310</v>
      </c>
      <c r="J964">
        <v>322010002</v>
      </c>
      <c r="K964">
        <v>20220308</v>
      </c>
      <c r="L964" t="s">
        <v>1437</v>
      </c>
      <c r="M964">
        <v>0</v>
      </c>
      <c r="N964">
        <v>1.46</v>
      </c>
      <c r="O964" t="s">
        <v>23</v>
      </c>
      <c r="P964">
        <v>20230218</v>
      </c>
      <c r="Q964">
        <v>20220308</v>
      </c>
    </row>
    <row r="965" spans="1:17" x14ac:dyDescent="0.25">
      <c r="A965" t="s">
        <v>548</v>
      </c>
      <c r="B965" t="s">
        <v>429</v>
      </c>
      <c r="C965">
        <v>38</v>
      </c>
      <c r="D965">
        <v>20220308</v>
      </c>
      <c r="E965">
        <f t="shared" si="15"/>
        <v>3</v>
      </c>
      <c r="F965">
        <v>411020</v>
      </c>
      <c r="G965" t="s">
        <v>30</v>
      </c>
      <c r="H965" t="s">
        <v>385</v>
      </c>
      <c r="I965" t="s">
        <v>386</v>
      </c>
      <c r="J965">
        <v>322020020</v>
      </c>
      <c r="K965">
        <v>20220308</v>
      </c>
      <c r="L965" t="s">
        <v>1438</v>
      </c>
      <c r="M965">
        <v>0</v>
      </c>
      <c r="N965">
        <v>29.77</v>
      </c>
      <c r="O965" t="s">
        <v>23</v>
      </c>
      <c r="P965">
        <v>20220327</v>
      </c>
      <c r="Q965">
        <v>20220308</v>
      </c>
    </row>
    <row r="966" spans="1:17" x14ac:dyDescent="0.25">
      <c r="A966" t="s">
        <v>548</v>
      </c>
      <c r="B966" t="s">
        <v>429</v>
      </c>
      <c r="C966">
        <v>38</v>
      </c>
      <c r="D966">
        <v>20220308</v>
      </c>
      <c r="E966">
        <f t="shared" si="15"/>
        <v>3</v>
      </c>
      <c r="F966">
        <v>411020</v>
      </c>
      <c r="G966" t="s">
        <v>30</v>
      </c>
      <c r="H966" t="s">
        <v>385</v>
      </c>
      <c r="I966" t="s">
        <v>386</v>
      </c>
      <c r="J966">
        <v>322020020</v>
      </c>
      <c r="K966">
        <v>20220308</v>
      </c>
      <c r="L966" t="s">
        <v>1439</v>
      </c>
      <c r="M966">
        <v>0</v>
      </c>
      <c r="N966">
        <v>0.23</v>
      </c>
      <c r="O966" t="s">
        <v>19</v>
      </c>
      <c r="P966" t="s">
        <v>20</v>
      </c>
      <c r="Q966">
        <v>20220308</v>
      </c>
    </row>
    <row r="967" spans="1:17" x14ac:dyDescent="0.25">
      <c r="A967" t="s">
        <v>548</v>
      </c>
      <c r="B967" t="s">
        <v>429</v>
      </c>
      <c r="C967">
        <v>38</v>
      </c>
      <c r="D967">
        <v>20220308</v>
      </c>
      <c r="E967">
        <f t="shared" si="15"/>
        <v>3</v>
      </c>
      <c r="F967">
        <v>531105</v>
      </c>
      <c r="G967" t="s">
        <v>429</v>
      </c>
      <c r="H967" t="s">
        <v>401</v>
      </c>
      <c r="I967" t="s">
        <v>402</v>
      </c>
      <c r="J967">
        <v>336725</v>
      </c>
      <c r="K967">
        <v>20220308</v>
      </c>
      <c r="L967" t="s">
        <v>565</v>
      </c>
      <c r="M967">
        <v>733.56</v>
      </c>
      <c r="N967">
        <v>0</v>
      </c>
      <c r="O967" t="s">
        <v>19</v>
      </c>
      <c r="P967" t="s">
        <v>20</v>
      </c>
      <c r="Q967">
        <v>20220308</v>
      </c>
    </row>
    <row r="968" spans="1:17" x14ac:dyDescent="0.25">
      <c r="A968" t="s">
        <v>548</v>
      </c>
      <c r="B968" t="s">
        <v>429</v>
      </c>
      <c r="C968">
        <v>38</v>
      </c>
      <c r="D968">
        <v>20220309</v>
      </c>
      <c r="E968">
        <f t="shared" si="15"/>
        <v>3</v>
      </c>
      <c r="F968">
        <v>580000</v>
      </c>
      <c r="G968" t="s">
        <v>532</v>
      </c>
      <c r="H968" t="s">
        <v>401</v>
      </c>
      <c r="I968" t="s">
        <v>402</v>
      </c>
      <c r="J968" t="s">
        <v>1440</v>
      </c>
      <c r="K968">
        <v>20220309</v>
      </c>
      <c r="L968" t="s">
        <v>625</v>
      </c>
      <c r="M968">
        <v>3000</v>
      </c>
      <c r="N968">
        <v>0</v>
      </c>
      <c r="O968" t="s">
        <v>22</v>
      </c>
      <c r="P968">
        <v>20220309</v>
      </c>
      <c r="Q968">
        <v>20220309</v>
      </c>
    </row>
    <row r="969" spans="1:17" x14ac:dyDescent="0.25">
      <c r="A969" t="s">
        <v>548</v>
      </c>
      <c r="B969" t="s">
        <v>429</v>
      </c>
      <c r="C969">
        <v>38</v>
      </c>
      <c r="D969">
        <v>20220309</v>
      </c>
      <c r="E969">
        <f t="shared" si="15"/>
        <v>3</v>
      </c>
      <c r="F969">
        <v>531105</v>
      </c>
      <c r="G969" t="s">
        <v>429</v>
      </c>
      <c r="H969" t="s">
        <v>401</v>
      </c>
      <c r="I969" t="s">
        <v>402</v>
      </c>
      <c r="J969" t="s">
        <v>1440</v>
      </c>
      <c r="K969">
        <v>20220309</v>
      </c>
      <c r="L969" t="s">
        <v>625</v>
      </c>
      <c r="M969">
        <v>0</v>
      </c>
      <c r="N969">
        <v>3000</v>
      </c>
      <c r="O969" t="s">
        <v>19</v>
      </c>
      <c r="P969" t="s">
        <v>20</v>
      </c>
      <c r="Q969">
        <v>20220309</v>
      </c>
    </row>
    <row r="970" spans="1:17" x14ac:dyDescent="0.25">
      <c r="A970" t="s">
        <v>548</v>
      </c>
      <c r="B970" t="s">
        <v>429</v>
      </c>
      <c r="C970">
        <v>38</v>
      </c>
      <c r="D970">
        <v>20220309</v>
      </c>
      <c r="E970">
        <f t="shared" si="15"/>
        <v>3</v>
      </c>
      <c r="F970">
        <v>411100</v>
      </c>
      <c r="G970" t="s">
        <v>18</v>
      </c>
      <c r="H970" t="s">
        <v>297</v>
      </c>
      <c r="I970" t="s">
        <v>298</v>
      </c>
      <c r="J970">
        <v>122020006</v>
      </c>
      <c r="K970">
        <v>20220309</v>
      </c>
      <c r="L970" t="s">
        <v>1441</v>
      </c>
      <c r="M970">
        <v>0</v>
      </c>
      <c r="N970">
        <v>99.4</v>
      </c>
      <c r="O970" t="s">
        <v>19</v>
      </c>
      <c r="P970" t="s">
        <v>20</v>
      </c>
      <c r="Q970">
        <v>20220309</v>
      </c>
    </row>
    <row r="971" spans="1:17" x14ac:dyDescent="0.25">
      <c r="A971" t="s">
        <v>548</v>
      </c>
      <c r="B971" t="s">
        <v>429</v>
      </c>
      <c r="C971">
        <v>38</v>
      </c>
      <c r="D971">
        <v>20220309</v>
      </c>
      <c r="E971">
        <f t="shared" si="15"/>
        <v>3</v>
      </c>
      <c r="F971">
        <v>531105</v>
      </c>
      <c r="G971" t="s">
        <v>429</v>
      </c>
      <c r="H971" t="s">
        <v>401</v>
      </c>
      <c r="I971" t="s">
        <v>402</v>
      </c>
      <c r="J971">
        <v>336863</v>
      </c>
      <c r="K971">
        <v>20220309</v>
      </c>
      <c r="L971" t="s">
        <v>565</v>
      </c>
      <c r="M971">
        <v>99.4</v>
      </c>
      <c r="N971">
        <v>0</v>
      </c>
      <c r="O971" t="s">
        <v>19</v>
      </c>
      <c r="P971" t="s">
        <v>20</v>
      </c>
      <c r="Q971">
        <v>20220309</v>
      </c>
    </row>
    <row r="972" spans="1:17" x14ac:dyDescent="0.25">
      <c r="A972" t="s">
        <v>548</v>
      </c>
      <c r="B972" t="s">
        <v>429</v>
      </c>
      <c r="C972">
        <v>38</v>
      </c>
      <c r="D972">
        <v>20220310</v>
      </c>
      <c r="E972">
        <f t="shared" si="15"/>
        <v>3</v>
      </c>
      <c r="F972">
        <v>411100</v>
      </c>
      <c r="G972" t="s">
        <v>18</v>
      </c>
      <c r="H972" t="s">
        <v>85</v>
      </c>
      <c r="I972" t="s">
        <v>86</v>
      </c>
      <c r="J972">
        <v>322020001</v>
      </c>
      <c r="K972">
        <v>20220310</v>
      </c>
      <c r="L972" t="s">
        <v>1442</v>
      </c>
      <c r="M972">
        <v>0</v>
      </c>
      <c r="N972">
        <v>64.22</v>
      </c>
      <c r="O972" t="s">
        <v>23</v>
      </c>
      <c r="P972">
        <v>20220327</v>
      </c>
      <c r="Q972">
        <v>20220310</v>
      </c>
    </row>
    <row r="973" spans="1:17" x14ac:dyDescent="0.25">
      <c r="A973" t="s">
        <v>548</v>
      </c>
      <c r="B973" t="s">
        <v>429</v>
      </c>
      <c r="C973">
        <v>38</v>
      </c>
      <c r="D973">
        <v>20220310</v>
      </c>
      <c r="E973">
        <f t="shared" si="15"/>
        <v>3</v>
      </c>
      <c r="F973">
        <v>411100</v>
      </c>
      <c r="G973" t="s">
        <v>18</v>
      </c>
      <c r="H973" t="s">
        <v>85</v>
      </c>
      <c r="I973" t="s">
        <v>86</v>
      </c>
      <c r="J973">
        <v>322020001</v>
      </c>
      <c r="K973">
        <v>20220310</v>
      </c>
      <c r="L973" t="s">
        <v>1443</v>
      </c>
      <c r="M973">
        <v>0</v>
      </c>
      <c r="N973">
        <v>0.78</v>
      </c>
      <c r="O973" t="s">
        <v>23</v>
      </c>
      <c r="P973">
        <v>20230218</v>
      </c>
      <c r="Q973">
        <v>20220310</v>
      </c>
    </row>
    <row r="974" spans="1:17" x14ac:dyDescent="0.25">
      <c r="A974" t="s">
        <v>548</v>
      </c>
      <c r="B974" t="s">
        <v>429</v>
      </c>
      <c r="C974">
        <v>38</v>
      </c>
      <c r="D974">
        <v>20220310</v>
      </c>
      <c r="E974">
        <f t="shared" si="15"/>
        <v>3</v>
      </c>
      <c r="F974">
        <v>411020</v>
      </c>
      <c r="G974" t="s">
        <v>30</v>
      </c>
      <c r="H974" t="s">
        <v>332</v>
      </c>
      <c r="I974" t="s">
        <v>333</v>
      </c>
      <c r="J974">
        <v>322010008</v>
      </c>
      <c r="K974">
        <v>20220310</v>
      </c>
      <c r="L974" t="s">
        <v>1444</v>
      </c>
      <c r="M974">
        <v>0</v>
      </c>
      <c r="N974">
        <v>44.11</v>
      </c>
      <c r="O974" t="s">
        <v>23</v>
      </c>
      <c r="P974">
        <v>20220327</v>
      </c>
      <c r="Q974">
        <v>20220310</v>
      </c>
    </row>
    <row r="975" spans="1:17" x14ac:dyDescent="0.25">
      <c r="A975" t="s">
        <v>548</v>
      </c>
      <c r="B975" t="s">
        <v>429</v>
      </c>
      <c r="C975">
        <v>38</v>
      </c>
      <c r="D975">
        <v>20220310</v>
      </c>
      <c r="E975">
        <f t="shared" si="15"/>
        <v>3</v>
      </c>
      <c r="F975">
        <v>411020</v>
      </c>
      <c r="G975" t="s">
        <v>30</v>
      </c>
      <c r="H975" t="s">
        <v>332</v>
      </c>
      <c r="I975" t="s">
        <v>333</v>
      </c>
      <c r="J975">
        <v>322010008</v>
      </c>
      <c r="K975">
        <v>20220310</v>
      </c>
      <c r="L975" t="s">
        <v>1445</v>
      </c>
      <c r="M975">
        <v>0</v>
      </c>
      <c r="N975">
        <v>0.09</v>
      </c>
      <c r="O975" t="s">
        <v>19</v>
      </c>
      <c r="P975" t="s">
        <v>20</v>
      </c>
      <c r="Q975">
        <v>20220310</v>
      </c>
    </row>
    <row r="976" spans="1:17" x14ac:dyDescent="0.25">
      <c r="A976" t="s">
        <v>548</v>
      </c>
      <c r="B976" t="s">
        <v>429</v>
      </c>
      <c r="C976">
        <v>38</v>
      </c>
      <c r="D976">
        <v>20220310</v>
      </c>
      <c r="E976">
        <f t="shared" si="15"/>
        <v>3</v>
      </c>
      <c r="F976">
        <v>531105</v>
      </c>
      <c r="G976" t="s">
        <v>429</v>
      </c>
      <c r="H976" t="s">
        <v>401</v>
      </c>
      <c r="I976" t="s">
        <v>402</v>
      </c>
      <c r="J976">
        <v>336900</v>
      </c>
      <c r="K976">
        <v>20220310</v>
      </c>
      <c r="L976" t="s">
        <v>565</v>
      </c>
      <c r="M976">
        <v>109.2</v>
      </c>
      <c r="N976">
        <v>0</v>
      </c>
      <c r="O976" t="s">
        <v>19</v>
      </c>
      <c r="P976" t="s">
        <v>20</v>
      </c>
      <c r="Q976">
        <v>20220310</v>
      </c>
    </row>
    <row r="977" spans="1:17" x14ac:dyDescent="0.25">
      <c r="A977" t="s">
        <v>548</v>
      </c>
      <c r="B977" t="s">
        <v>429</v>
      </c>
      <c r="C977">
        <v>38</v>
      </c>
      <c r="D977">
        <v>20220310</v>
      </c>
      <c r="E977">
        <f t="shared" si="15"/>
        <v>3</v>
      </c>
      <c r="F977">
        <v>411010</v>
      </c>
      <c r="G977" t="s">
        <v>87</v>
      </c>
      <c r="H977" t="s">
        <v>365</v>
      </c>
      <c r="I977" t="s">
        <v>366</v>
      </c>
      <c r="J977">
        <v>336951</v>
      </c>
      <c r="K977">
        <v>20220310</v>
      </c>
      <c r="L977" t="s">
        <v>1446</v>
      </c>
      <c r="M977">
        <v>0</v>
      </c>
      <c r="N977">
        <v>200</v>
      </c>
      <c r="O977" t="s">
        <v>19</v>
      </c>
      <c r="P977" t="s">
        <v>20</v>
      </c>
      <c r="Q977">
        <v>20220310</v>
      </c>
    </row>
    <row r="978" spans="1:17" x14ac:dyDescent="0.25">
      <c r="A978" t="s">
        <v>548</v>
      </c>
      <c r="B978" t="s">
        <v>429</v>
      </c>
      <c r="C978">
        <v>38</v>
      </c>
      <c r="D978">
        <v>20220310</v>
      </c>
      <c r="E978">
        <f t="shared" si="15"/>
        <v>3</v>
      </c>
      <c r="F978">
        <v>411100</v>
      </c>
      <c r="G978" t="s">
        <v>18</v>
      </c>
      <c r="H978" t="s">
        <v>77</v>
      </c>
      <c r="I978" t="s">
        <v>78</v>
      </c>
      <c r="J978">
        <v>336952</v>
      </c>
      <c r="K978">
        <v>20220310</v>
      </c>
      <c r="L978" t="s">
        <v>1447</v>
      </c>
      <c r="M978">
        <v>0</v>
      </c>
      <c r="N978">
        <v>75.2</v>
      </c>
      <c r="O978" t="s">
        <v>19</v>
      </c>
      <c r="P978" t="s">
        <v>20</v>
      </c>
      <c r="Q978">
        <v>20220310</v>
      </c>
    </row>
    <row r="979" spans="1:17" x14ac:dyDescent="0.25">
      <c r="A979" t="s">
        <v>548</v>
      </c>
      <c r="B979" t="s">
        <v>429</v>
      </c>
      <c r="C979">
        <v>38</v>
      </c>
      <c r="D979">
        <v>20220310</v>
      </c>
      <c r="E979">
        <f t="shared" si="15"/>
        <v>3</v>
      </c>
      <c r="F979">
        <v>531105</v>
      </c>
      <c r="G979" t="s">
        <v>429</v>
      </c>
      <c r="H979" t="s">
        <v>401</v>
      </c>
      <c r="I979" t="s">
        <v>402</v>
      </c>
      <c r="J979">
        <v>336953</v>
      </c>
      <c r="K979">
        <v>20220310</v>
      </c>
      <c r="L979" t="s">
        <v>565</v>
      </c>
      <c r="M979">
        <v>275.2</v>
      </c>
      <c r="N979">
        <v>0</v>
      </c>
      <c r="O979" t="s">
        <v>19</v>
      </c>
      <c r="P979" t="s">
        <v>20</v>
      </c>
      <c r="Q979">
        <v>20220310</v>
      </c>
    </row>
    <row r="980" spans="1:17" x14ac:dyDescent="0.25">
      <c r="A980" t="s">
        <v>548</v>
      </c>
      <c r="B980" t="s">
        <v>429</v>
      </c>
      <c r="C980">
        <v>38</v>
      </c>
      <c r="D980">
        <v>20220311</v>
      </c>
      <c r="E980">
        <f t="shared" si="15"/>
        <v>3</v>
      </c>
      <c r="F980">
        <v>411100</v>
      </c>
      <c r="G980" t="s">
        <v>18</v>
      </c>
      <c r="H980" t="s">
        <v>592</v>
      </c>
      <c r="I980" t="s">
        <v>593</v>
      </c>
      <c r="J980">
        <v>336864</v>
      </c>
      <c r="K980">
        <v>20220311</v>
      </c>
      <c r="L980" t="s">
        <v>1448</v>
      </c>
      <c r="M980">
        <v>0</v>
      </c>
      <c r="N980">
        <v>100</v>
      </c>
      <c r="O980" t="s">
        <v>19</v>
      </c>
      <c r="P980" t="s">
        <v>20</v>
      </c>
      <c r="Q980">
        <v>20220311</v>
      </c>
    </row>
    <row r="981" spans="1:17" x14ac:dyDescent="0.25">
      <c r="A981" t="s">
        <v>548</v>
      </c>
      <c r="B981" t="s">
        <v>429</v>
      </c>
      <c r="C981">
        <v>38</v>
      </c>
      <c r="D981">
        <v>20220311</v>
      </c>
      <c r="E981">
        <f t="shared" si="15"/>
        <v>3</v>
      </c>
      <c r="F981">
        <v>411100</v>
      </c>
      <c r="G981" t="s">
        <v>18</v>
      </c>
      <c r="H981" t="s">
        <v>787</v>
      </c>
      <c r="I981" t="s">
        <v>788</v>
      </c>
      <c r="J981">
        <v>336865</v>
      </c>
      <c r="K981">
        <v>20220311</v>
      </c>
      <c r="L981" t="s">
        <v>1449</v>
      </c>
      <c r="M981">
        <v>0</v>
      </c>
      <c r="N981">
        <v>64.5</v>
      </c>
      <c r="O981" t="s">
        <v>22</v>
      </c>
      <c r="P981">
        <v>20230218</v>
      </c>
      <c r="Q981">
        <v>20220311</v>
      </c>
    </row>
    <row r="982" spans="1:17" x14ac:dyDescent="0.25">
      <c r="A982" t="s">
        <v>548</v>
      </c>
      <c r="B982" t="s">
        <v>429</v>
      </c>
      <c r="C982">
        <v>38</v>
      </c>
      <c r="D982">
        <v>20220311</v>
      </c>
      <c r="E982">
        <f t="shared" si="15"/>
        <v>3</v>
      </c>
      <c r="F982">
        <v>411100</v>
      </c>
      <c r="G982" t="s">
        <v>18</v>
      </c>
      <c r="H982" t="s">
        <v>787</v>
      </c>
      <c r="I982" t="s">
        <v>788</v>
      </c>
      <c r="J982">
        <v>336866</v>
      </c>
      <c r="K982">
        <v>20220311</v>
      </c>
      <c r="L982" t="s">
        <v>1450</v>
      </c>
      <c r="M982">
        <v>0</v>
      </c>
      <c r="N982">
        <v>6.5</v>
      </c>
      <c r="O982" t="s">
        <v>19</v>
      </c>
      <c r="P982" t="s">
        <v>20</v>
      </c>
      <c r="Q982">
        <v>20220311</v>
      </c>
    </row>
    <row r="983" spans="1:17" x14ac:dyDescent="0.25">
      <c r="A983" t="s">
        <v>548</v>
      </c>
      <c r="B983" t="s">
        <v>429</v>
      </c>
      <c r="C983">
        <v>38</v>
      </c>
      <c r="D983">
        <v>20220311</v>
      </c>
      <c r="E983">
        <f t="shared" si="15"/>
        <v>3</v>
      </c>
      <c r="F983">
        <v>411100</v>
      </c>
      <c r="G983" t="s">
        <v>18</v>
      </c>
      <c r="H983" t="s">
        <v>24</v>
      </c>
      <c r="I983" t="s">
        <v>25</v>
      </c>
      <c r="J983">
        <v>122020020</v>
      </c>
      <c r="K983">
        <v>20220311</v>
      </c>
      <c r="L983" t="s">
        <v>1451</v>
      </c>
      <c r="M983">
        <v>0</v>
      </c>
      <c r="N983">
        <v>52.15</v>
      </c>
      <c r="O983" t="s">
        <v>19</v>
      </c>
      <c r="P983" t="s">
        <v>20</v>
      </c>
      <c r="Q983">
        <v>20220311</v>
      </c>
    </row>
    <row r="984" spans="1:17" x14ac:dyDescent="0.25">
      <c r="A984" t="s">
        <v>548</v>
      </c>
      <c r="B984" t="s">
        <v>429</v>
      </c>
      <c r="C984">
        <v>38</v>
      </c>
      <c r="D984">
        <v>20220311</v>
      </c>
      <c r="E984">
        <f t="shared" si="15"/>
        <v>3</v>
      </c>
      <c r="F984">
        <v>411100</v>
      </c>
      <c r="G984" t="s">
        <v>18</v>
      </c>
      <c r="H984" t="s">
        <v>24</v>
      </c>
      <c r="I984" t="s">
        <v>25</v>
      </c>
      <c r="J984">
        <v>122020020</v>
      </c>
      <c r="K984">
        <v>20220311</v>
      </c>
      <c r="L984" t="s">
        <v>1452</v>
      </c>
      <c r="M984">
        <v>0</v>
      </c>
      <c r="N984">
        <v>7.85</v>
      </c>
      <c r="O984" t="s">
        <v>22</v>
      </c>
      <c r="P984">
        <v>20230218</v>
      </c>
      <c r="Q984">
        <v>20220311</v>
      </c>
    </row>
    <row r="985" spans="1:17" x14ac:dyDescent="0.25">
      <c r="A985" t="s">
        <v>548</v>
      </c>
      <c r="B985" t="s">
        <v>429</v>
      </c>
      <c r="C985">
        <v>38</v>
      </c>
      <c r="D985">
        <v>20220311</v>
      </c>
      <c r="E985">
        <f t="shared" si="15"/>
        <v>3</v>
      </c>
      <c r="F985">
        <v>531105</v>
      </c>
      <c r="G985" t="s">
        <v>429</v>
      </c>
      <c r="H985" t="s">
        <v>401</v>
      </c>
      <c r="I985" t="s">
        <v>402</v>
      </c>
      <c r="J985">
        <v>336869</v>
      </c>
      <c r="K985">
        <v>20220311</v>
      </c>
      <c r="L985" t="s">
        <v>565</v>
      </c>
      <c r="M985">
        <v>231</v>
      </c>
      <c r="N985">
        <v>0</v>
      </c>
      <c r="O985" t="s">
        <v>19</v>
      </c>
      <c r="P985" t="s">
        <v>20</v>
      </c>
      <c r="Q985">
        <v>20220311</v>
      </c>
    </row>
    <row r="986" spans="1:17" x14ac:dyDescent="0.25">
      <c r="A986" t="s">
        <v>548</v>
      </c>
      <c r="B986" t="s">
        <v>429</v>
      </c>
      <c r="C986">
        <v>38</v>
      </c>
      <c r="D986">
        <v>20220314</v>
      </c>
      <c r="E986">
        <f t="shared" si="15"/>
        <v>3</v>
      </c>
      <c r="F986">
        <v>411100</v>
      </c>
      <c r="G986" t="s">
        <v>18</v>
      </c>
      <c r="H986" t="s">
        <v>1453</v>
      </c>
      <c r="I986" t="s">
        <v>1454</v>
      </c>
      <c r="J986">
        <v>336870</v>
      </c>
      <c r="K986">
        <v>20220314</v>
      </c>
      <c r="L986" t="s">
        <v>1455</v>
      </c>
      <c r="M986">
        <v>0</v>
      </c>
      <c r="N986">
        <v>10</v>
      </c>
      <c r="O986" t="s">
        <v>22</v>
      </c>
      <c r="P986">
        <v>20230218</v>
      </c>
      <c r="Q986">
        <v>20220314</v>
      </c>
    </row>
    <row r="987" spans="1:17" x14ac:dyDescent="0.25">
      <c r="A987" t="s">
        <v>548</v>
      </c>
      <c r="B987" t="s">
        <v>429</v>
      </c>
      <c r="C987">
        <v>38</v>
      </c>
      <c r="D987">
        <v>20220314</v>
      </c>
      <c r="E987">
        <f t="shared" si="15"/>
        <v>3</v>
      </c>
      <c r="F987">
        <v>531105</v>
      </c>
      <c r="G987" t="s">
        <v>429</v>
      </c>
      <c r="H987" t="s">
        <v>401</v>
      </c>
      <c r="I987" t="s">
        <v>402</v>
      </c>
      <c r="J987">
        <v>336871</v>
      </c>
      <c r="K987">
        <v>20220314</v>
      </c>
      <c r="L987" t="s">
        <v>565</v>
      </c>
      <c r="M987">
        <v>10</v>
      </c>
      <c r="N987">
        <v>0</v>
      </c>
      <c r="O987" t="s">
        <v>19</v>
      </c>
      <c r="P987" t="s">
        <v>20</v>
      </c>
      <c r="Q987">
        <v>20220314</v>
      </c>
    </row>
    <row r="988" spans="1:17" x14ac:dyDescent="0.25">
      <c r="A988" t="s">
        <v>548</v>
      </c>
      <c r="B988" t="s">
        <v>429</v>
      </c>
      <c r="C988">
        <v>38</v>
      </c>
      <c r="D988">
        <v>20220314</v>
      </c>
      <c r="E988">
        <f t="shared" si="15"/>
        <v>3</v>
      </c>
      <c r="F988">
        <v>411100</v>
      </c>
      <c r="G988" t="s">
        <v>18</v>
      </c>
      <c r="H988" t="s">
        <v>352</v>
      </c>
      <c r="I988" t="s">
        <v>353</v>
      </c>
      <c r="J988">
        <v>336954</v>
      </c>
      <c r="K988">
        <v>20220314</v>
      </c>
      <c r="L988" t="s">
        <v>1456</v>
      </c>
      <c r="M988">
        <v>0</v>
      </c>
      <c r="N988">
        <v>138.47</v>
      </c>
      <c r="O988" t="s">
        <v>22</v>
      </c>
      <c r="P988">
        <v>20230218</v>
      </c>
      <c r="Q988">
        <v>20220314</v>
      </c>
    </row>
    <row r="989" spans="1:17" x14ac:dyDescent="0.25">
      <c r="A989" t="s">
        <v>548</v>
      </c>
      <c r="B989" t="s">
        <v>429</v>
      </c>
      <c r="C989">
        <v>38</v>
      </c>
      <c r="D989">
        <v>20220314</v>
      </c>
      <c r="E989">
        <f t="shared" si="15"/>
        <v>3</v>
      </c>
      <c r="F989">
        <v>411100</v>
      </c>
      <c r="G989" t="s">
        <v>18</v>
      </c>
      <c r="H989" t="s">
        <v>352</v>
      </c>
      <c r="I989" t="s">
        <v>353</v>
      </c>
      <c r="J989">
        <v>336955</v>
      </c>
      <c r="K989">
        <v>20220314</v>
      </c>
      <c r="L989" t="s">
        <v>1457</v>
      </c>
      <c r="M989">
        <v>0</v>
      </c>
      <c r="N989">
        <v>1.53</v>
      </c>
      <c r="O989" t="s">
        <v>19</v>
      </c>
      <c r="P989" t="s">
        <v>20</v>
      </c>
      <c r="Q989">
        <v>20220314</v>
      </c>
    </row>
    <row r="990" spans="1:17" x14ac:dyDescent="0.25">
      <c r="A990" t="s">
        <v>548</v>
      </c>
      <c r="B990" t="s">
        <v>429</v>
      </c>
      <c r="C990">
        <v>38</v>
      </c>
      <c r="D990">
        <v>20220314</v>
      </c>
      <c r="E990">
        <f t="shared" si="15"/>
        <v>3</v>
      </c>
      <c r="F990">
        <v>531105</v>
      </c>
      <c r="G990" t="s">
        <v>429</v>
      </c>
      <c r="H990" t="s">
        <v>401</v>
      </c>
      <c r="I990" t="s">
        <v>402</v>
      </c>
      <c r="J990">
        <v>336956</v>
      </c>
      <c r="K990">
        <v>20220314</v>
      </c>
      <c r="L990" t="s">
        <v>565</v>
      </c>
      <c r="M990">
        <v>140</v>
      </c>
      <c r="N990">
        <v>0</v>
      </c>
      <c r="O990" t="s">
        <v>19</v>
      </c>
      <c r="P990" t="s">
        <v>20</v>
      </c>
      <c r="Q990">
        <v>20220314</v>
      </c>
    </row>
    <row r="991" spans="1:17" x14ac:dyDescent="0.25">
      <c r="A991" t="s">
        <v>548</v>
      </c>
      <c r="B991" t="s">
        <v>429</v>
      </c>
      <c r="C991">
        <v>38</v>
      </c>
      <c r="D991">
        <v>20220315</v>
      </c>
      <c r="E991">
        <f t="shared" si="15"/>
        <v>3</v>
      </c>
      <c r="F991">
        <v>411100</v>
      </c>
      <c r="G991" t="s">
        <v>18</v>
      </c>
      <c r="H991" t="s">
        <v>1458</v>
      </c>
      <c r="I991" t="s">
        <v>1459</v>
      </c>
      <c r="J991">
        <v>338034</v>
      </c>
      <c r="K991">
        <v>20220315</v>
      </c>
      <c r="L991" t="s">
        <v>1460</v>
      </c>
      <c r="M991">
        <v>0</v>
      </c>
      <c r="N991">
        <v>10</v>
      </c>
      <c r="O991" t="s">
        <v>22</v>
      </c>
      <c r="P991">
        <v>20230218</v>
      </c>
      <c r="Q991">
        <v>20220315</v>
      </c>
    </row>
    <row r="992" spans="1:17" x14ac:dyDescent="0.25">
      <c r="A992" t="s">
        <v>548</v>
      </c>
      <c r="B992" t="s">
        <v>429</v>
      </c>
      <c r="C992">
        <v>38</v>
      </c>
      <c r="D992">
        <v>20220315</v>
      </c>
      <c r="E992">
        <f t="shared" si="15"/>
        <v>3</v>
      </c>
      <c r="F992">
        <v>411100</v>
      </c>
      <c r="G992" t="s">
        <v>18</v>
      </c>
      <c r="H992" t="s">
        <v>243</v>
      </c>
      <c r="I992" t="s">
        <v>244</v>
      </c>
      <c r="J992">
        <v>121090224</v>
      </c>
      <c r="K992">
        <v>20220315</v>
      </c>
      <c r="L992" t="s">
        <v>1461</v>
      </c>
      <c r="M992">
        <v>0</v>
      </c>
      <c r="N992">
        <v>2</v>
      </c>
      <c r="O992" t="s">
        <v>22</v>
      </c>
      <c r="P992">
        <v>20230218</v>
      </c>
      <c r="Q992">
        <v>20220315</v>
      </c>
    </row>
    <row r="993" spans="1:17" x14ac:dyDescent="0.25">
      <c r="A993" t="s">
        <v>548</v>
      </c>
      <c r="B993" t="s">
        <v>429</v>
      </c>
      <c r="C993">
        <v>38</v>
      </c>
      <c r="D993">
        <v>20220315</v>
      </c>
      <c r="E993">
        <f t="shared" si="15"/>
        <v>3</v>
      </c>
      <c r="F993">
        <v>411100</v>
      </c>
      <c r="G993" t="s">
        <v>18</v>
      </c>
      <c r="H993" t="s">
        <v>1417</v>
      </c>
      <c r="I993" t="s">
        <v>1418</v>
      </c>
      <c r="J993">
        <v>121090166</v>
      </c>
      <c r="K993">
        <v>20220315</v>
      </c>
      <c r="L993" t="s">
        <v>1462</v>
      </c>
      <c r="M993">
        <v>0</v>
      </c>
      <c r="N993">
        <v>2</v>
      </c>
      <c r="O993" t="s">
        <v>23</v>
      </c>
      <c r="P993">
        <v>20230329</v>
      </c>
      <c r="Q993">
        <v>20220315</v>
      </c>
    </row>
    <row r="994" spans="1:17" x14ac:dyDescent="0.25">
      <c r="A994" t="s">
        <v>548</v>
      </c>
      <c r="B994" t="s">
        <v>429</v>
      </c>
      <c r="C994">
        <v>38</v>
      </c>
      <c r="D994">
        <v>20220315</v>
      </c>
      <c r="E994">
        <f t="shared" si="15"/>
        <v>3</v>
      </c>
      <c r="F994">
        <v>411100</v>
      </c>
      <c r="G994" t="s">
        <v>18</v>
      </c>
      <c r="H994" t="s">
        <v>1421</v>
      </c>
      <c r="I994" t="s">
        <v>1422</v>
      </c>
      <c r="J994">
        <v>121090140</v>
      </c>
      <c r="K994">
        <v>20220315</v>
      </c>
      <c r="L994" t="s">
        <v>1463</v>
      </c>
      <c r="M994">
        <v>0</v>
      </c>
      <c r="N994">
        <v>2</v>
      </c>
      <c r="O994" t="s">
        <v>22</v>
      </c>
      <c r="P994">
        <v>20230218</v>
      </c>
      <c r="Q994">
        <v>20220315</v>
      </c>
    </row>
    <row r="995" spans="1:17" x14ac:dyDescent="0.25">
      <c r="A995" t="s">
        <v>548</v>
      </c>
      <c r="B995" t="s">
        <v>429</v>
      </c>
      <c r="C995">
        <v>38</v>
      </c>
      <c r="D995">
        <v>20220315</v>
      </c>
      <c r="E995">
        <f t="shared" si="15"/>
        <v>3</v>
      </c>
      <c r="F995">
        <v>411100</v>
      </c>
      <c r="G995" t="s">
        <v>18</v>
      </c>
      <c r="H995" t="s">
        <v>997</v>
      </c>
      <c r="I995" t="s">
        <v>998</v>
      </c>
      <c r="J995">
        <v>121090078</v>
      </c>
      <c r="K995">
        <v>20220315</v>
      </c>
      <c r="L995" t="s">
        <v>1464</v>
      </c>
      <c r="M995">
        <v>0</v>
      </c>
      <c r="N995">
        <v>2</v>
      </c>
      <c r="O995" t="s">
        <v>19</v>
      </c>
      <c r="P995" t="s">
        <v>20</v>
      </c>
      <c r="Q995">
        <v>20220315</v>
      </c>
    </row>
    <row r="996" spans="1:17" x14ac:dyDescent="0.25">
      <c r="A996" t="s">
        <v>548</v>
      </c>
      <c r="B996" t="s">
        <v>429</v>
      </c>
      <c r="C996">
        <v>38</v>
      </c>
      <c r="D996">
        <v>20220315</v>
      </c>
      <c r="E996">
        <f t="shared" si="15"/>
        <v>3</v>
      </c>
      <c r="F996">
        <v>411100</v>
      </c>
      <c r="G996" t="s">
        <v>18</v>
      </c>
      <c r="H996" t="s">
        <v>179</v>
      </c>
      <c r="I996" t="s">
        <v>180</v>
      </c>
      <c r="J996">
        <v>121090151</v>
      </c>
      <c r="K996">
        <v>20220315</v>
      </c>
      <c r="L996" t="s">
        <v>1465</v>
      </c>
      <c r="M996">
        <v>0</v>
      </c>
      <c r="N996">
        <v>2</v>
      </c>
      <c r="O996" t="s">
        <v>22</v>
      </c>
      <c r="P996">
        <v>20230218</v>
      </c>
      <c r="Q996">
        <v>20220315</v>
      </c>
    </row>
    <row r="997" spans="1:17" x14ac:dyDescent="0.25">
      <c r="A997" t="s">
        <v>548</v>
      </c>
      <c r="B997" t="s">
        <v>429</v>
      </c>
      <c r="C997">
        <v>38</v>
      </c>
      <c r="D997">
        <v>20220315</v>
      </c>
      <c r="E997">
        <f t="shared" si="15"/>
        <v>3</v>
      </c>
      <c r="F997">
        <v>411100</v>
      </c>
      <c r="G997" t="s">
        <v>18</v>
      </c>
      <c r="H997" t="s">
        <v>1407</v>
      </c>
      <c r="I997" t="s">
        <v>1408</v>
      </c>
      <c r="J997">
        <v>338040</v>
      </c>
      <c r="K997">
        <v>20220315</v>
      </c>
      <c r="L997" t="s">
        <v>1466</v>
      </c>
      <c r="M997">
        <v>0</v>
      </c>
      <c r="N997">
        <v>1</v>
      </c>
      <c r="O997" t="s">
        <v>22</v>
      </c>
      <c r="P997">
        <v>20230218</v>
      </c>
      <c r="Q997">
        <v>20220315</v>
      </c>
    </row>
    <row r="998" spans="1:17" x14ac:dyDescent="0.25">
      <c r="A998" t="s">
        <v>548</v>
      </c>
      <c r="B998" t="s">
        <v>429</v>
      </c>
      <c r="C998">
        <v>38</v>
      </c>
      <c r="D998">
        <v>20220315</v>
      </c>
      <c r="E998">
        <f t="shared" si="15"/>
        <v>3</v>
      </c>
      <c r="F998">
        <v>411100</v>
      </c>
      <c r="G998" t="s">
        <v>18</v>
      </c>
      <c r="H998" t="s">
        <v>61</v>
      </c>
      <c r="I998" t="s">
        <v>62</v>
      </c>
      <c r="J998">
        <v>338041</v>
      </c>
      <c r="K998">
        <v>20220315</v>
      </c>
      <c r="L998" t="s">
        <v>1467</v>
      </c>
      <c r="M998">
        <v>0</v>
      </c>
      <c r="N998">
        <v>5</v>
      </c>
      <c r="O998" t="s">
        <v>22</v>
      </c>
      <c r="P998">
        <v>20220327</v>
      </c>
      <c r="Q998">
        <v>20220315</v>
      </c>
    </row>
    <row r="999" spans="1:17" x14ac:dyDescent="0.25">
      <c r="A999" t="s">
        <v>548</v>
      </c>
      <c r="B999" t="s">
        <v>429</v>
      </c>
      <c r="C999">
        <v>38</v>
      </c>
      <c r="D999">
        <v>20220315</v>
      </c>
      <c r="E999">
        <f t="shared" si="15"/>
        <v>3</v>
      </c>
      <c r="F999">
        <v>411100</v>
      </c>
      <c r="G999" t="s">
        <v>18</v>
      </c>
      <c r="H999" t="s">
        <v>249</v>
      </c>
      <c r="I999" t="s">
        <v>250</v>
      </c>
      <c r="J999">
        <v>338042</v>
      </c>
      <c r="K999">
        <v>20220315</v>
      </c>
      <c r="L999" t="s">
        <v>1468</v>
      </c>
      <c r="M999">
        <v>0</v>
      </c>
      <c r="N999">
        <v>5</v>
      </c>
      <c r="O999" t="s">
        <v>22</v>
      </c>
      <c r="P999">
        <v>20220327</v>
      </c>
      <c r="Q999">
        <v>20220315</v>
      </c>
    </row>
    <row r="1000" spans="1:17" x14ac:dyDescent="0.25">
      <c r="A1000" t="s">
        <v>548</v>
      </c>
      <c r="B1000" t="s">
        <v>429</v>
      </c>
      <c r="C1000">
        <v>38</v>
      </c>
      <c r="D1000">
        <v>20220315</v>
      </c>
      <c r="E1000">
        <f t="shared" si="15"/>
        <v>3</v>
      </c>
      <c r="F1000">
        <v>411100</v>
      </c>
      <c r="G1000" t="s">
        <v>18</v>
      </c>
      <c r="H1000" t="s">
        <v>115</v>
      </c>
      <c r="I1000" t="s">
        <v>116</v>
      </c>
      <c r="J1000">
        <v>338043</v>
      </c>
      <c r="K1000">
        <v>20220315</v>
      </c>
      <c r="L1000" t="s">
        <v>1469</v>
      </c>
      <c r="M1000">
        <v>0</v>
      </c>
      <c r="N1000">
        <v>5</v>
      </c>
      <c r="O1000" t="s">
        <v>22</v>
      </c>
      <c r="P1000">
        <v>20220327</v>
      </c>
      <c r="Q1000">
        <v>20220315</v>
      </c>
    </row>
    <row r="1001" spans="1:17" x14ac:dyDescent="0.25">
      <c r="A1001" t="s">
        <v>548</v>
      </c>
      <c r="B1001" t="s">
        <v>429</v>
      </c>
      <c r="C1001">
        <v>38</v>
      </c>
      <c r="D1001">
        <v>20220315</v>
      </c>
      <c r="E1001">
        <f t="shared" si="15"/>
        <v>3</v>
      </c>
      <c r="F1001">
        <v>411100</v>
      </c>
      <c r="G1001" t="s">
        <v>18</v>
      </c>
      <c r="H1001" t="s">
        <v>103</v>
      </c>
      <c r="I1001" t="s">
        <v>104</v>
      </c>
      <c r="J1001">
        <v>338044</v>
      </c>
      <c r="K1001">
        <v>20220315</v>
      </c>
      <c r="L1001" t="s">
        <v>1470</v>
      </c>
      <c r="M1001">
        <v>0</v>
      </c>
      <c r="N1001">
        <v>5</v>
      </c>
      <c r="O1001" t="s">
        <v>22</v>
      </c>
      <c r="P1001">
        <v>20220327</v>
      </c>
      <c r="Q1001">
        <v>20220315</v>
      </c>
    </row>
    <row r="1002" spans="1:17" x14ac:dyDescent="0.25">
      <c r="A1002" t="s">
        <v>548</v>
      </c>
      <c r="B1002" t="s">
        <v>429</v>
      </c>
      <c r="C1002">
        <v>38</v>
      </c>
      <c r="D1002">
        <v>20220315</v>
      </c>
      <c r="E1002">
        <f t="shared" si="15"/>
        <v>3</v>
      </c>
      <c r="F1002">
        <v>411100</v>
      </c>
      <c r="G1002" t="s">
        <v>18</v>
      </c>
      <c r="H1002" t="s">
        <v>113</v>
      </c>
      <c r="I1002" t="s">
        <v>114</v>
      </c>
      <c r="J1002">
        <v>338045</v>
      </c>
      <c r="K1002">
        <v>20220315</v>
      </c>
      <c r="L1002" t="s">
        <v>1471</v>
      </c>
      <c r="M1002">
        <v>0</v>
      </c>
      <c r="N1002">
        <v>5</v>
      </c>
      <c r="O1002" t="s">
        <v>22</v>
      </c>
      <c r="P1002">
        <v>20220327</v>
      </c>
      <c r="Q1002">
        <v>20220315</v>
      </c>
    </row>
    <row r="1003" spans="1:17" x14ac:dyDescent="0.25">
      <c r="A1003" t="s">
        <v>548</v>
      </c>
      <c r="B1003" t="s">
        <v>429</v>
      </c>
      <c r="C1003">
        <v>38</v>
      </c>
      <c r="D1003">
        <v>20220315</v>
      </c>
      <c r="E1003">
        <f t="shared" si="15"/>
        <v>3</v>
      </c>
      <c r="F1003">
        <v>411100</v>
      </c>
      <c r="G1003" t="s">
        <v>18</v>
      </c>
      <c r="H1003" t="s">
        <v>26</v>
      </c>
      <c r="I1003" t="s">
        <v>27</v>
      </c>
      <c r="J1003">
        <v>338046</v>
      </c>
      <c r="K1003">
        <v>20220315</v>
      </c>
      <c r="L1003" t="s">
        <v>1472</v>
      </c>
      <c r="M1003">
        <v>0</v>
      </c>
      <c r="N1003">
        <v>5</v>
      </c>
      <c r="O1003" t="s">
        <v>22</v>
      </c>
      <c r="P1003">
        <v>20220327</v>
      </c>
      <c r="Q1003">
        <v>20220315</v>
      </c>
    </row>
    <row r="1004" spans="1:17" x14ac:dyDescent="0.25">
      <c r="A1004" t="s">
        <v>548</v>
      </c>
      <c r="B1004" t="s">
        <v>429</v>
      </c>
      <c r="C1004">
        <v>38</v>
      </c>
      <c r="D1004">
        <v>20220315</v>
      </c>
      <c r="E1004">
        <f t="shared" si="15"/>
        <v>3</v>
      </c>
      <c r="F1004">
        <v>411100</v>
      </c>
      <c r="G1004" t="s">
        <v>18</v>
      </c>
      <c r="H1004" t="s">
        <v>63</v>
      </c>
      <c r="I1004" t="s">
        <v>64</v>
      </c>
      <c r="J1004">
        <v>338047</v>
      </c>
      <c r="K1004">
        <v>20220315</v>
      </c>
      <c r="L1004" t="s">
        <v>1473</v>
      </c>
      <c r="M1004">
        <v>0</v>
      </c>
      <c r="N1004">
        <v>5</v>
      </c>
      <c r="O1004" t="s">
        <v>22</v>
      </c>
      <c r="P1004">
        <v>20220327</v>
      </c>
      <c r="Q1004">
        <v>20220315</v>
      </c>
    </row>
    <row r="1005" spans="1:17" x14ac:dyDescent="0.25">
      <c r="A1005" t="s">
        <v>548</v>
      </c>
      <c r="B1005" t="s">
        <v>429</v>
      </c>
      <c r="C1005">
        <v>38</v>
      </c>
      <c r="D1005">
        <v>20220315</v>
      </c>
      <c r="E1005">
        <f t="shared" si="15"/>
        <v>3</v>
      </c>
      <c r="F1005">
        <v>411100</v>
      </c>
      <c r="G1005" t="s">
        <v>18</v>
      </c>
      <c r="H1005" t="s">
        <v>117</v>
      </c>
      <c r="I1005" t="s">
        <v>118</v>
      </c>
      <c r="J1005">
        <v>338048</v>
      </c>
      <c r="K1005">
        <v>20220315</v>
      </c>
      <c r="L1005" t="s">
        <v>1474</v>
      </c>
      <c r="M1005">
        <v>0</v>
      </c>
      <c r="N1005">
        <v>5</v>
      </c>
      <c r="O1005" t="s">
        <v>22</v>
      </c>
      <c r="P1005">
        <v>20220327</v>
      </c>
      <c r="Q1005">
        <v>20220315</v>
      </c>
    </row>
    <row r="1006" spans="1:17" x14ac:dyDescent="0.25">
      <c r="A1006" t="s">
        <v>548</v>
      </c>
      <c r="B1006" t="s">
        <v>429</v>
      </c>
      <c r="C1006">
        <v>38</v>
      </c>
      <c r="D1006">
        <v>20220315</v>
      </c>
      <c r="E1006">
        <f t="shared" si="15"/>
        <v>3</v>
      </c>
      <c r="F1006">
        <v>411100</v>
      </c>
      <c r="G1006" t="s">
        <v>18</v>
      </c>
      <c r="H1006" t="s">
        <v>121</v>
      </c>
      <c r="I1006" t="s">
        <v>122</v>
      </c>
      <c r="J1006">
        <v>338049</v>
      </c>
      <c r="K1006">
        <v>20220315</v>
      </c>
      <c r="L1006" t="s">
        <v>1475</v>
      </c>
      <c r="M1006">
        <v>0</v>
      </c>
      <c r="N1006">
        <v>5</v>
      </c>
      <c r="O1006" t="s">
        <v>22</v>
      </c>
      <c r="P1006">
        <v>20220327</v>
      </c>
      <c r="Q1006">
        <v>20220315</v>
      </c>
    </row>
    <row r="1007" spans="1:17" x14ac:dyDescent="0.25">
      <c r="A1007" t="s">
        <v>548</v>
      </c>
      <c r="B1007" t="s">
        <v>429</v>
      </c>
      <c r="C1007">
        <v>38</v>
      </c>
      <c r="D1007">
        <v>20220315</v>
      </c>
      <c r="E1007">
        <f t="shared" si="15"/>
        <v>3</v>
      </c>
      <c r="F1007">
        <v>411000</v>
      </c>
      <c r="G1007" t="s">
        <v>21</v>
      </c>
      <c r="H1007" t="s">
        <v>287</v>
      </c>
      <c r="I1007" t="s">
        <v>288</v>
      </c>
      <c r="J1007">
        <v>338050</v>
      </c>
      <c r="K1007">
        <v>20220315</v>
      </c>
      <c r="L1007" t="s">
        <v>1476</v>
      </c>
      <c r="M1007">
        <v>0</v>
      </c>
      <c r="N1007">
        <v>5</v>
      </c>
      <c r="O1007" t="s">
        <v>19</v>
      </c>
      <c r="P1007" t="s">
        <v>20</v>
      </c>
      <c r="Q1007">
        <v>20220315</v>
      </c>
    </row>
    <row r="1008" spans="1:17" x14ac:dyDescent="0.25">
      <c r="A1008" t="s">
        <v>548</v>
      </c>
      <c r="B1008" t="s">
        <v>429</v>
      </c>
      <c r="C1008">
        <v>38</v>
      </c>
      <c r="D1008">
        <v>20220315</v>
      </c>
      <c r="E1008">
        <f t="shared" si="15"/>
        <v>3</v>
      </c>
      <c r="F1008">
        <v>531105</v>
      </c>
      <c r="G1008" t="s">
        <v>429</v>
      </c>
      <c r="H1008" t="s">
        <v>401</v>
      </c>
      <c r="I1008" t="s">
        <v>402</v>
      </c>
      <c r="J1008">
        <v>338051</v>
      </c>
      <c r="K1008">
        <v>20220315</v>
      </c>
      <c r="L1008" t="s">
        <v>565</v>
      </c>
      <c r="M1008">
        <v>71</v>
      </c>
      <c r="N1008">
        <v>0</v>
      </c>
      <c r="O1008" t="s">
        <v>19</v>
      </c>
      <c r="P1008" t="s">
        <v>20</v>
      </c>
      <c r="Q1008">
        <v>20220315</v>
      </c>
    </row>
    <row r="1009" spans="1:17" x14ac:dyDescent="0.25">
      <c r="A1009" t="s">
        <v>548</v>
      </c>
      <c r="B1009" t="s">
        <v>429</v>
      </c>
      <c r="C1009">
        <v>38</v>
      </c>
      <c r="D1009">
        <v>20220315</v>
      </c>
      <c r="E1009">
        <f t="shared" si="15"/>
        <v>3</v>
      </c>
      <c r="F1009">
        <v>411100</v>
      </c>
      <c r="G1009" t="s">
        <v>18</v>
      </c>
      <c r="H1009" t="s">
        <v>175</v>
      </c>
      <c r="I1009" t="s">
        <v>176</v>
      </c>
      <c r="J1009">
        <v>322020013</v>
      </c>
      <c r="K1009">
        <v>20220315</v>
      </c>
      <c r="L1009" t="s">
        <v>1477</v>
      </c>
      <c r="M1009">
        <v>0</v>
      </c>
      <c r="N1009">
        <v>39.950000000000003</v>
      </c>
      <c r="O1009" t="s">
        <v>19</v>
      </c>
      <c r="P1009" t="s">
        <v>20</v>
      </c>
      <c r="Q1009">
        <v>20220315</v>
      </c>
    </row>
    <row r="1010" spans="1:17" x14ac:dyDescent="0.25">
      <c r="A1010" t="s">
        <v>548</v>
      </c>
      <c r="B1010" t="s">
        <v>429</v>
      </c>
      <c r="C1010">
        <v>38</v>
      </c>
      <c r="D1010">
        <v>20220315</v>
      </c>
      <c r="E1010">
        <f t="shared" si="15"/>
        <v>3</v>
      </c>
      <c r="F1010">
        <v>411100</v>
      </c>
      <c r="G1010" t="s">
        <v>18</v>
      </c>
      <c r="H1010" t="s">
        <v>175</v>
      </c>
      <c r="I1010" t="s">
        <v>176</v>
      </c>
      <c r="J1010">
        <v>322020013</v>
      </c>
      <c r="K1010">
        <v>20220315</v>
      </c>
      <c r="L1010" t="s">
        <v>1478</v>
      </c>
      <c r="M1010">
        <v>0</v>
      </c>
      <c r="N1010">
        <v>0.05</v>
      </c>
      <c r="O1010" t="s">
        <v>19</v>
      </c>
      <c r="P1010" t="s">
        <v>20</v>
      </c>
      <c r="Q1010">
        <v>20220315</v>
      </c>
    </row>
    <row r="1011" spans="1:17" x14ac:dyDescent="0.25">
      <c r="A1011" t="s">
        <v>548</v>
      </c>
      <c r="B1011" t="s">
        <v>429</v>
      </c>
      <c r="C1011">
        <v>38</v>
      </c>
      <c r="D1011">
        <v>20220315</v>
      </c>
      <c r="E1011">
        <f t="shared" si="15"/>
        <v>3</v>
      </c>
      <c r="F1011">
        <v>411100</v>
      </c>
      <c r="G1011" t="s">
        <v>18</v>
      </c>
      <c r="H1011" t="s">
        <v>247</v>
      </c>
      <c r="I1011" t="s">
        <v>248</v>
      </c>
      <c r="J1011">
        <v>321120005</v>
      </c>
      <c r="K1011">
        <v>20220315</v>
      </c>
      <c r="L1011" t="s">
        <v>1479</v>
      </c>
      <c r="M1011">
        <v>0</v>
      </c>
      <c r="N1011">
        <v>13.62</v>
      </c>
      <c r="O1011" t="s">
        <v>19</v>
      </c>
      <c r="P1011" t="s">
        <v>20</v>
      </c>
      <c r="Q1011">
        <v>20220315</v>
      </c>
    </row>
    <row r="1012" spans="1:17" x14ac:dyDescent="0.25">
      <c r="A1012" t="s">
        <v>548</v>
      </c>
      <c r="B1012" t="s">
        <v>429</v>
      </c>
      <c r="C1012">
        <v>38</v>
      </c>
      <c r="D1012">
        <v>20220315</v>
      </c>
      <c r="E1012">
        <f t="shared" si="15"/>
        <v>3</v>
      </c>
      <c r="F1012">
        <v>411100</v>
      </c>
      <c r="G1012" t="s">
        <v>18</v>
      </c>
      <c r="H1012" t="s">
        <v>247</v>
      </c>
      <c r="I1012" t="s">
        <v>248</v>
      </c>
      <c r="J1012">
        <v>321120005</v>
      </c>
      <c r="K1012">
        <v>20220315</v>
      </c>
      <c r="L1012" t="s">
        <v>1480</v>
      </c>
      <c r="M1012">
        <v>0</v>
      </c>
      <c r="N1012">
        <v>16.38</v>
      </c>
      <c r="O1012" t="s">
        <v>22</v>
      </c>
      <c r="P1012">
        <v>20220327</v>
      </c>
      <c r="Q1012">
        <v>20220315</v>
      </c>
    </row>
    <row r="1013" spans="1:17" x14ac:dyDescent="0.25">
      <c r="A1013" t="s">
        <v>548</v>
      </c>
      <c r="B1013" t="s">
        <v>429</v>
      </c>
      <c r="C1013">
        <v>38</v>
      </c>
      <c r="D1013">
        <v>20220315</v>
      </c>
      <c r="E1013">
        <f t="shared" si="15"/>
        <v>3</v>
      </c>
      <c r="F1013">
        <v>411020</v>
      </c>
      <c r="G1013" t="s">
        <v>30</v>
      </c>
      <c r="H1013" t="s">
        <v>338</v>
      </c>
      <c r="I1013" t="s">
        <v>339</v>
      </c>
      <c r="J1013">
        <v>322020025</v>
      </c>
      <c r="K1013">
        <v>20220315</v>
      </c>
      <c r="L1013" t="s">
        <v>1481</v>
      </c>
      <c r="M1013">
        <v>0</v>
      </c>
      <c r="N1013">
        <v>64.69</v>
      </c>
      <c r="O1013" t="s">
        <v>23</v>
      </c>
      <c r="P1013">
        <v>20220327</v>
      </c>
      <c r="Q1013">
        <v>20220315</v>
      </c>
    </row>
    <row r="1014" spans="1:17" x14ac:dyDescent="0.25">
      <c r="A1014" t="s">
        <v>548</v>
      </c>
      <c r="B1014" t="s">
        <v>429</v>
      </c>
      <c r="C1014">
        <v>38</v>
      </c>
      <c r="D1014">
        <v>20220315</v>
      </c>
      <c r="E1014">
        <f t="shared" si="15"/>
        <v>3</v>
      </c>
      <c r="F1014">
        <v>411020</v>
      </c>
      <c r="G1014" t="s">
        <v>30</v>
      </c>
      <c r="H1014" t="s">
        <v>338</v>
      </c>
      <c r="I1014" t="s">
        <v>339</v>
      </c>
      <c r="J1014">
        <v>322020025</v>
      </c>
      <c r="K1014">
        <v>20220315</v>
      </c>
      <c r="L1014" t="s">
        <v>1482</v>
      </c>
      <c r="M1014">
        <v>0</v>
      </c>
      <c r="N1014">
        <v>0.31</v>
      </c>
      <c r="O1014" t="s">
        <v>22</v>
      </c>
      <c r="P1014">
        <v>20230218</v>
      </c>
      <c r="Q1014">
        <v>20220315</v>
      </c>
    </row>
    <row r="1015" spans="1:17" x14ac:dyDescent="0.25">
      <c r="A1015" t="s">
        <v>548</v>
      </c>
      <c r="B1015" t="s">
        <v>429</v>
      </c>
      <c r="C1015">
        <v>38</v>
      </c>
      <c r="D1015">
        <v>20220315</v>
      </c>
      <c r="E1015">
        <f t="shared" si="15"/>
        <v>3</v>
      </c>
      <c r="F1015">
        <v>531105</v>
      </c>
      <c r="G1015" t="s">
        <v>429</v>
      </c>
      <c r="H1015" t="s">
        <v>401</v>
      </c>
      <c r="I1015" t="s">
        <v>402</v>
      </c>
      <c r="J1015">
        <v>338060</v>
      </c>
      <c r="K1015">
        <v>20220315</v>
      </c>
      <c r="L1015" t="s">
        <v>565</v>
      </c>
      <c r="M1015">
        <v>135</v>
      </c>
      <c r="N1015">
        <v>0</v>
      </c>
      <c r="O1015" t="s">
        <v>19</v>
      </c>
      <c r="P1015" t="s">
        <v>20</v>
      </c>
      <c r="Q1015">
        <v>20220315</v>
      </c>
    </row>
    <row r="1016" spans="1:17" x14ac:dyDescent="0.25">
      <c r="A1016" t="s">
        <v>548</v>
      </c>
      <c r="B1016" t="s">
        <v>429</v>
      </c>
      <c r="C1016">
        <v>38</v>
      </c>
      <c r="D1016">
        <v>20220317</v>
      </c>
      <c r="E1016">
        <f t="shared" si="15"/>
        <v>3</v>
      </c>
      <c r="F1016">
        <v>467100</v>
      </c>
      <c r="G1016" t="s">
        <v>160</v>
      </c>
      <c r="H1016" t="s">
        <v>626</v>
      </c>
      <c r="I1016" t="s">
        <v>627</v>
      </c>
      <c r="J1016" t="s">
        <v>1483</v>
      </c>
      <c r="K1016">
        <v>20220317</v>
      </c>
      <c r="L1016" t="s">
        <v>1484</v>
      </c>
      <c r="M1016">
        <v>31.2</v>
      </c>
      <c r="N1016">
        <v>0</v>
      </c>
      <c r="O1016" t="s">
        <v>23</v>
      </c>
      <c r="P1016">
        <v>20220327</v>
      </c>
      <c r="Q1016">
        <v>20220317</v>
      </c>
    </row>
    <row r="1017" spans="1:17" x14ac:dyDescent="0.25">
      <c r="A1017" t="s">
        <v>548</v>
      </c>
      <c r="B1017" t="s">
        <v>429</v>
      </c>
      <c r="C1017">
        <v>38</v>
      </c>
      <c r="D1017">
        <v>20220317</v>
      </c>
      <c r="E1017">
        <f t="shared" si="15"/>
        <v>3</v>
      </c>
      <c r="F1017">
        <v>531105</v>
      </c>
      <c r="G1017" t="s">
        <v>429</v>
      </c>
      <c r="H1017" t="s">
        <v>401</v>
      </c>
      <c r="I1017" t="s">
        <v>402</v>
      </c>
      <c r="J1017" t="s">
        <v>1483</v>
      </c>
      <c r="K1017">
        <v>20220317</v>
      </c>
      <c r="L1017" t="s">
        <v>1484</v>
      </c>
      <c r="M1017">
        <v>0</v>
      </c>
      <c r="N1017">
        <v>31.2</v>
      </c>
      <c r="O1017" t="s">
        <v>19</v>
      </c>
      <c r="P1017" t="s">
        <v>20</v>
      </c>
      <c r="Q1017">
        <v>20220317</v>
      </c>
    </row>
    <row r="1018" spans="1:17" x14ac:dyDescent="0.25">
      <c r="A1018" t="s">
        <v>548</v>
      </c>
      <c r="B1018" t="s">
        <v>429</v>
      </c>
      <c r="C1018">
        <v>38</v>
      </c>
      <c r="D1018">
        <v>20220317</v>
      </c>
      <c r="E1018">
        <f t="shared" si="15"/>
        <v>3</v>
      </c>
      <c r="F1018">
        <v>467100</v>
      </c>
      <c r="G1018" t="s">
        <v>160</v>
      </c>
      <c r="H1018" t="s">
        <v>219</v>
      </c>
      <c r="I1018" t="s">
        <v>220</v>
      </c>
      <c r="J1018" t="s">
        <v>1485</v>
      </c>
      <c r="K1018">
        <v>20220317</v>
      </c>
      <c r="L1018" t="s">
        <v>1486</v>
      </c>
      <c r="M1018">
        <v>100</v>
      </c>
      <c r="N1018">
        <v>0</v>
      </c>
      <c r="O1018" t="s">
        <v>23</v>
      </c>
      <c r="P1018">
        <v>20220630</v>
      </c>
      <c r="Q1018">
        <v>20220317</v>
      </c>
    </row>
    <row r="1019" spans="1:17" x14ac:dyDescent="0.25">
      <c r="A1019" t="s">
        <v>548</v>
      </c>
      <c r="B1019" t="s">
        <v>429</v>
      </c>
      <c r="C1019">
        <v>38</v>
      </c>
      <c r="D1019">
        <v>20220317</v>
      </c>
      <c r="E1019">
        <f t="shared" si="15"/>
        <v>3</v>
      </c>
      <c r="F1019">
        <v>531105</v>
      </c>
      <c r="G1019" t="s">
        <v>429</v>
      </c>
      <c r="H1019" t="s">
        <v>401</v>
      </c>
      <c r="I1019" t="s">
        <v>402</v>
      </c>
      <c r="J1019" t="s">
        <v>1485</v>
      </c>
      <c r="K1019">
        <v>20220317</v>
      </c>
      <c r="L1019" t="s">
        <v>1486</v>
      </c>
      <c r="M1019">
        <v>0</v>
      </c>
      <c r="N1019">
        <v>100</v>
      </c>
      <c r="O1019" t="s">
        <v>19</v>
      </c>
      <c r="P1019" t="s">
        <v>20</v>
      </c>
      <c r="Q1019">
        <v>20220317</v>
      </c>
    </row>
    <row r="1020" spans="1:17" x14ac:dyDescent="0.25">
      <c r="A1020" t="s">
        <v>548</v>
      </c>
      <c r="B1020" t="s">
        <v>429</v>
      </c>
      <c r="C1020">
        <v>38</v>
      </c>
      <c r="D1020">
        <v>20220317</v>
      </c>
      <c r="E1020">
        <f t="shared" si="15"/>
        <v>3</v>
      </c>
      <c r="F1020">
        <v>411100</v>
      </c>
      <c r="G1020" t="s">
        <v>18</v>
      </c>
      <c r="H1020" t="s">
        <v>1407</v>
      </c>
      <c r="I1020" t="s">
        <v>1408</v>
      </c>
      <c r="J1020">
        <v>338346</v>
      </c>
      <c r="K1020">
        <v>20220317</v>
      </c>
      <c r="L1020" t="s">
        <v>1487</v>
      </c>
      <c r="M1020">
        <v>0</v>
      </c>
      <c r="N1020">
        <v>1</v>
      </c>
      <c r="O1020" t="s">
        <v>22</v>
      </c>
      <c r="P1020">
        <v>20230218</v>
      </c>
      <c r="Q1020">
        <v>20220317</v>
      </c>
    </row>
    <row r="1021" spans="1:17" x14ac:dyDescent="0.25">
      <c r="A1021" t="s">
        <v>548</v>
      </c>
      <c r="B1021" t="s">
        <v>429</v>
      </c>
      <c r="C1021">
        <v>38</v>
      </c>
      <c r="D1021">
        <v>20220317</v>
      </c>
      <c r="E1021">
        <f t="shared" si="15"/>
        <v>3</v>
      </c>
      <c r="F1021">
        <v>411100</v>
      </c>
      <c r="G1021" t="s">
        <v>18</v>
      </c>
      <c r="H1021" t="s">
        <v>817</v>
      </c>
      <c r="I1021" t="s">
        <v>818</v>
      </c>
      <c r="J1021">
        <v>338347</v>
      </c>
      <c r="K1021">
        <v>20220317</v>
      </c>
      <c r="L1021" t="s">
        <v>1488</v>
      </c>
      <c r="M1021">
        <v>0</v>
      </c>
      <c r="N1021">
        <v>3</v>
      </c>
      <c r="O1021" t="s">
        <v>19</v>
      </c>
      <c r="P1021" t="s">
        <v>20</v>
      </c>
      <c r="Q1021">
        <v>20220317</v>
      </c>
    </row>
    <row r="1022" spans="1:17" x14ac:dyDescent="0.25">
      <c r="A1022" t="s">
        <v>548</v>
      </c>
      <c r="B1022" t="s">
        <v>429</v>
      </c>
      <c r="C1022">
        <v>38</v>
      </c>
      <c r="D1022">
        <v>20220317</v>
      </c>
      <c r="E1022">
        <f t="shared" si="15"/>
        <v>3</v>
      </c>
      <c r="F1022">
        <v>411100</v>
      </c>
      <c r="G1022" t="s">
        <v>18</v>
      </c>
      <c r="H1022" t="s">
        <v>235</v>
      </c>
      <c r="I1022" t="s">
        <v>236</v>
      </c>
      <c r="J1022">
        <v>338348</v>
      </c>
      <c r="K1022">
        <v>20220317</v>
      </c>
      <c r="L1022" t="s">
        <v>1489</v>
      </c>
      <c r="M1022">
        <v>0</v>
      </c>
      <c r="N1022">
        <v>9</v>
      </c>
      <c r="O1022" t="s">
        <v>19</v>
      </c>
      <c r="P1022" t="s">
        <v>20</v>
      </c>
      <c r="Q1022">
        <v>20220317</v>
      </c>
    </row>
    <row r="1023" spans="1:17" x14ac:dyDescent="0.25">
      <c r="A1023" t="s">
        <v>548</v>
      </c>
      <c r="B1023" t="s">
        <v>429</v>
      </c>
      <c r="C1023">
        <v>38</v>
      </c>
      <c r="D1023">
        <v>20220317</v>
      </c>
      <c r="E1023">
        <f t="shared" si="15"/>
        <v>3</v>
      </c>
      <c r="F1023">
        <v>411100</v>
      </c>
      <c r="G1023" t="s">
        <v>18</v>
      </c>
      <c r="H1023" t="s">
        <v>259</v>
      </c>
      <c r="I1023" t="s">
        <v>260</v>
      </c>
      <c r="J1023">
        <v>338349</v>
      </c>
      <c r="K1023">
        <v>20220317</v>
      </c>
      <c r="L1023" t="s">
        <v>1490</v>
      </c>
      <c r="M1023">
        <v>0</v>
      </c>
      <c r="N1023">
        <v>9</v>
      </c>
      <c r="O1023" t="s">
        <v>23</v>
      </c>
      <c r="P1023">
        <v>20230213</v>
      </c>
      <c r="Q1023">
        <v>20220317</v>
      </c>
    </row>
    <row r="1024" spans="1:17" x14ac:dyDescent="0.25">
      <c r="A1024" t="s">
        <v>548</v>
      </c>
      <c r="B1024" t="s">
        <v>429</v>
      </c>
      <c r="C1024">
        <v>38</v>
      </c>
      <c r="D1024">
        <v>20220317</v>
      </c>
      <c r="E1024">
        <f t="shared" si="15"/>
        <v>3</v>
      </c>
      <c r="F1024">
        <v>411100</v>
      </c>
      <c r="G1024" t="s">
        <v>18</v>
      </c>
      <c r="H1024" t="s">
        <v>81</v>
      </c>
      <c r="I1024" t="s">
        <v>82</v>
      </c>
      <c r="J1024">
        <v>338350</v>
      </c>
      <c r="K1024">
        <v>20220317</v>
      </c>
      <c r="L1024" t="s">
        <v>1491</v>
      </c>
      <c r="M1024">
        <v>0</v>
      </c>
      <c r="N1024">
        <v>9</v>
      </c>
      <c r="O1024" t="s">
        <v>19</v>
      </c>
      <c r="P1024" t="s">
        <v>20</v>
      </c>
      <c r="Q1024">
        <v>20220317</v>
      </c>
    </row>
    <row r="1025" spans="1:17" x14ac:dyDescent="0.25">
      <c r="A1025" t="s">
        <v>548</v>
      </c>
      <c r="B1025" t="s">
        <v>429</v>
      </c>
      <c r="C1025">
        <v>38</v>
      </c>
      <c r="D1025">
        <v>20220317</v>
      </c>
      <c r="E1025">
        <f t="shared" si="15"/>
        <v>3</v>
      </c>
      <c r="F1025">
        <v>411100</v>
      </c>
      <c r="G1025" t="s">
        <v>18</v>
      </c>
      <c r="H1025" t="s">
        <v>187</v>
      </c>
      <c r="I1025" t="s">
        <v>188</v>
      </c>
      <c r="J1025">
        <v>338351</v>
      </c>
      <c r="K1025">
        <v>20220317</v>
      </c>
      <c r="L1025" t="s">
        <v>1492</v>
      </c>
      <c r="M1025">
        <v>0</v>
      </c>
      <c r="N1025">
        <v>18</v>
      </c>
      <c r="O1025" t="s">
        <v>22</v>
      </c>
      <c r="P1025">
        <v>20230218</v>
      </c>
      <c r="Q1025">
        <v>20220317</v>
      </c>
    </row>
    <row r="1026" spans="1:17" x14ac:dyDescent="0.25">
      <c r="A1026" t="s">
        <v>548</v>
      </c>
      <c r="B1026" t="s">
        <v>429</v>
      </c>
      <c r="C1026">
        <v>38</v>
      </c>
      <c r="D1026">
        <v>20220317</v>
      </c>
      <c r="E1026">
        <f t="shared" si="15"/>
        <v>3</v>
      </c>
      <c r="F1026">
        <v>411100</v>
      </c>
      <c r="G1026" t="s">
        <v>18</v>
      </c>
      <c r="H1026" t="s">
        <v>660</v>
      </c>
      <c r="I1026" t="s">
        <v>661</v>
      </c>
      <c r="J1026">
        <v>121120061</v>
      </c>
      <c r="K1026">
        <v>20220317</v>
      </c>
      <c r="L1026" t="s">
        <v>1493</v>
      </c>
      <c r="M1026">
        <v>0</v>
      </c>
      <c r="N1026">
        <v>11.2</v>
      </c>
      <c r="O1026" t="s">
        <v>19</v>
      </c>
      <c r="P1026" t="s">
        <v>20</v>
      </c>
      <c r="Q1026">
        <v>20220317</v>
      </c>
    </row>
    <row r="1027" spans="1:17" x14ac:dyDescent="0.25">
      <c r="A1027" t="s">
        <v>548</v>
      </c>
      <c r="B1027" t="s">
        <v>429</v>
      </c>
      <c r="C1027">
        <v>38</v>
      </c>
      <c r="D1027">
        <v>20220317</v>
      </c>
      <c r="E1027">
        <f t="shared" ref="E1027:E1090" si="16">VALUE(MID(D1027,5,2))</f>
        <v>3</v>
      </c>
      <c r="F1027">
        <v>411100</v>
      </c>
      <c r="G1027" t="s">
        <v>18</v>
      </c>
      <c r="H1027" t="s">
        <v>657</v>
      </c>
      <c r="I1027" t="s">
        <v>658</v>
      </c>
      <c r="J1027">
        <v>338353</v>
      </c>
      <c r="K1027">
        <v>20220317</v>
      </c>
      <c r="L1027" t="s">
        <v>1494</v>
      </c>
      <c r="M1027">
        <v>0</v>
      </c>
      <c r="N1027">
        <v>9</v>
      </c>
      <c r="O1027" t="s">
        <v>19</v>
      </c>
      <c r="P1027" t="s">
        <v>20</v>
      </c>
      <c r="Q1027">
        <v>20220317</v>
      </c>
    </row>
    <row r="1028" spans="1:17" x14ac:dyDescent="0.25">
      <c r="A1028" t="s">
        <v>548</v>
      </c>
      <c r="B1028" t="s">
        <v>429</v>
      </c>
      <c r="C1028">
        <v>38</v>
      </c>
      <c r="D1028">
        <v>20220317</v>
      </c>
      <c r="E1028">
        <f t="shared" si="16"/>
        <v>3</v>
      </c>
      <c r="F1028">
        <v>411100</v>
      </c>
      <c r="G1028" t="s">
        <v>18</v>
      </c>
      <c r="H1028" t="s">
        <v>105</v>
      </c>
      <c r="I1028" t="s">
        <v>106</v>
      </c>
      <c r="J1028">
        <v>338354</v>
      </c>
      <c r="K1028">
        <v>20220317</v>
      </c>
      <c r="L1028" t="s">
        <v>1495</v>
      </c>
      <c r="M1028">
        <v>0</v>
      </c>
      <c r="N1028">
        <v>9</v>
      </c>
      <c r="O1028" t="s">
        <v>22</v>
      </c>
      <c r="P1028">
        <v>20230218</v>
      </c>
      <c r="Q1028">
        <v>20220317</v>
      </c>
    </row>
    <row r="1029" spans="1:17" x14ac:dyDescent="0.25">
      <c r="A1029" t="s">
        <v>548</v>
      </c>
      <c r="B1029" t="s">
        <v>429</v>
      </c>
      <c r="C1029">
        <v>38</v>
      </c>
      <c r="D1029">
        <v>20220317</v>
      </c>
      <c r="E1029">
        <f t="shared" si="16"/>
        <v>3</v>
      </c>
      <c r="F1029">
        <v>411100</v>
      </c>
      <c r="G1029" t="s">
        <v>18</v>
      </c>
      <c r="H1029" t="s">
        <v>154</v>
      </c>
      <c r="I1029" t="s">
        <v>155</v>
      </c>
      <c r="J1029">
        <v>338355</v>
      </c>
      <c r="K1029">
        <v>20220317</v>
      </c>
      <c r="L1029" t="s">
        <v>1496</v>
      </c>
      <c r="M1029">
        <v>0</v>
      </c>
      <c r="N1029">
        <v>18</v>
      </c>
      <c r="O1029" t="s">
        <v>19</v>
      </c>
      <c r="P1029" t="s">
        <v>20</v>
      </c>
      <c r="Q1029">
        <v>20220317</v>
      </c>
    </row>
    <row r="1030" spans="1:17" x14ac:dyDescent="0.25">
      <c r="A1030" t="s">
        <v>548</v>
      </c>
      <c r="B1030" t="s">
        <v>429</v>
      </c>
      <c r="C1030">
        <v>38</v>
      </c>
      <c r="D1030">
        <v>20220317</v>
      </c>
      <c r="E1030">
        <f t="shared" si="16"/>
        <v>3</v>
      </c>
      <c r="F1030">
        <v>531105</v>
      </c>
      <c r="G1030" t="s">
        <v>429</v>
      </c>
      <c r="H1030" t="s">
        <v>401</v>
      </c>
      <c r="I1030" t="s">
        <v>402</v>
      </c>
      <c r="J1030">
        <v>338356</v>
      </c>
      <c r="K1030">
        <v>20220317</v>
      </c>
      <c r="L1030" t="s">
        <v>565</v>
      </c>
      <c r="M1030">
        <v>96.2</v>
      </c>
      <c r="N1030">
        <v>0</v>
      </c>
      <c r="O1030" t="s">
        <v>19</v>
      </c>
      <c r="P1030" t="s">
        <v>20</v>
      </c>
      <c r="Q1030">
        <v>20220317</v>
      </c>
    </row>
    <row r="1031" spans="1:17" x14ac:dyDescent="0.25">
      <c r="A1031" t="s">
        <v>548</v>
      </c>
      <c r="B1031" t="s">
        <v>429</v>
      </c>
      <c r="C1031">
        <v>38</v>
      </c>
      <c r="D1031">
        <v>20220321</v>
      </c>
      <c r="E1031">
        <f t="shared" si="16"/>
        <v>3</v>
      </c>
      <c r="F1031">
        <v>467100</v>
      </c>
      <c r="G1031" t="s">
        <v>160</v>
      </c>
      <c r="H1031" t="s">
        <v>183</v>
      </c>
      <c r="I1031" t="s">
        <v>184</v>
      </c>
      <c r="J1031" t="s">
        <v>1497</v>
      </c>
      <c r="K1031">
        <v>20220321</v>
      </c>
      <c r="L1031" t="s">
        <v>1498</v>
      </c>
      <c r="M1031">
        <v>13.98</v>
      </c>
      <c r="N1031">
        <v>0</v>
      </c>
      <c r="O1031" t="s">
        <v>23</v>
      </c>
      <c r="P1031">
        <v>20220325</v>
      </c>
      <c r="Q1031">
        <v>20220321</v>
      </c>
    </row>
    <row r="1032" spans="1:17" x14ac:dyDescent="0.25">
      <c r="A1032" t="s">
        <v>548</v>
      </c>
      <c r="B1032" t="s">
        <v>429</v>
      </c>
      <c r="C1032">
        <v>38</v>
      </c>
      <c r="D1032">
        <v>20220321</v>
      </c>
      <c r="E1032">
        <f t="shared" si="16"/>
        <v>3</v>
      </c>
      <c r="F1032">
        <v>531105</v>
      </c>
      <c r="G1032" t="s">
        <v>429</v>
      </c>
      <c r="H1032" t="s">
        <v>401</v>
      </c>
      <c r="I1032" t="s">
        <v>402</v>
      </c>
      <c r="J1032" t="s">
        <v>1497</v>
      </c>
      <c r="K1032">
        <v>20220321</v>
      </c>
      <c r="L1032" t="s">
        <v>1498</v>
      </c>
      <c r="M1032">
        <v>0</v>
      </c>
      <c r="N1032">
        <v>13.98</v>
      </c>
      <c r="O1032" t="s">
        <v>19</v>
      </c>
      <c r="P1032" t="s">
        <v>20</v>
      </c>
      <c r="Q1032">
        <v>20220321</v>
      </c>
    </row>
    <row r="1033" spans="1:17" x14ac:dyDescent="0.25">
      <c r="A1033" t="s">
        <v>548</v>
      </c>
      <c r="B1033" t="s">
        <v>429</v>
      </c>
      <c r="C1033">
        <v>38</v>
      </c>
      <c r="D1033">
        <v>20220321</v>
      </c>
      <c r="E1033">
        <f t="shared" si="16"/>
        <v>3</v>
      </c>
      <c r="F1033">
        <v>411100</v>
      </c>
      <c r="G1033" t="s">
        <v>18</v>
      </c>
      <c r="H1033" t="s">
        <v>229</v>
      </c>
      <c r="I1033" t="s">
        <v>230</v>
      </c>
      <c r="J1033">
        <v>121110038</v>
      </c>
      <c r="K1033">
        <v>20220321</v>
      </c>
      <c r="L1033" t="s">
        <v>1499</v>
      </c>
      <c r="M1033">
        <v>0</v>
      </c>
      <c r="N1033">
        <v>224.76</v>
      </c>
      <c r="O1033" t="s">
        <v>19</v>
      </c>
      <c r="P1033" t="s">
        <v>20</v>
      </c>
      <c r="Q1033">
        <v>20220321</v>
      </c>
    </row>
    <row r="1034" spans="1:17" x14ac:dyDescent="0.25">
      <c r="A1034" t="s">
        <v>548</v>
      </c>
      <c r="B1034" t="s">
        <v>429</v>
      </c>
      <c r="C1034">
        <v>38</v>
      </c>
      <c r="D1034">
        <v>20220321</v>
      </c>
      <c r="E1034">
        <f t="shared" si="16"/>
        <v>3</v>
      </c>
      <c r="F1034">
        <v>411100</v>
      </c>
      <c r="G1034" t="s">
        <v>18</v>
      </c>
      <c r="H1034" t="s">
        <v>229</v>
      </c>
      <c r="I1034" t="s">
        <v>230</v>
      </c>
      <c r="J1034">
        <v>121110038</v>
      </c>
      <c r="K1034">
        <v>20220321</v>
      </c>
      <c r="L1034" t="s">
        <v>1500</v>
      </c>
      <c r="M1034">
        <v>0</v>
      </c>
      <c r="N1034">
        <v>5.24</v>
      </c>
      <c r="O1034" t="s">
        <v>23</v>
      </c>
      <c r="P1034">
        <v>20230404</v>
      </c>
      <c r="Q1034">
        <v>20220321</v>
      </c>
    </row>
    <row r="1035" spans="1:17" x14ac:dyDescent="0.25">
      <c r="A1035" t="s">
        <v>548</v>
      </c>
      <c r="B1035" t="s">
        <v>429</v>
      </c>
      <c r="C1035">
        <v>38</v>
      </c>
      <c r="D1035">
        <v>20220321</v>
      </c>
      <c r="E1035">
        <f t="shared" si="16"/>
        <v>3</v>
      </c>
      <c r="F1035">
        <v>531105</v>
      </c>
      <c r="G1035" t="s">
        <v>429</v>
      </c>
      <c r="H1035" t="s">
        <v>401</v>
      </c>
      <c r="I1035" t="s">
        <v>402</v>
      </c>
      <c r="J1035">
        <v>338359</v>
      </c>
      <c r="K1035">
        <v>20220321</v>
      </c>
      <c r="L1035" t="s">
        <v>565</v>
      </c>
      <c r="M1035">
        <v>230</v>
      </c>
      <c r="N1035">
        <v>0</v>
      </c>
      <c r="O1035" t="s">
        <v>19</v>
      </c>
      <c r="P1035" t="s">
        <v>20</v>
      </c>
      <c r="Q1035">
        <v>20220321</v>
      </c>
    </row>
    <row r="1036" spans="1:17" x14ac:dyDescent="0.25">
      <c r="A1036" t="s">
        <v>548</v>
      </c>
      <c r="B1036" t="s">
        <v>429</v>
      </c>
      <c r="C1036">
        <v>38</v>
      </c>
      <c r="D1036">
        <v>20220321</v>
      </c>
      <c r="E1036">
        <f t="shared" si="16"/>
        <v>3</v>
      </c>
      <c r="F1036">
        <v>411010</v>
      </c>
      <c r="G1036" t="s">
        <v>87</v>
      </c>
      <c r="H1036" t="s">
        <v>328</v>
      </c>
      <c r="I1036" t="s">
        <v>329</v>
      </c>
      <c r="J1036">
        <v>222010013</v>
      </c>
      <c r="K1036">
        <v>20220321</v>
      </c>
      <c r="L1036" t="s">
        <v>1501</v>
      </c>
      <c r="M1036">
        <v>0</v>
      </c>
      <c r="N1036">
        <v>437.16</v>
      </c>
      <c r="O1036" t="s">
        <v>22</v>
      </c>
      <c r="P1036">
        <v>20230218</v>
      </c>
      <c r="Q1036">
        <v>20220321</v>
      </c>
    </row>
    <row r="1037" spans="1:17" x14ac:dyDescent="0.25">
      <c r="A1037" t="s">
        <v>548</v>
      </c>
      <c r="B1037" t="s">
        <v>429</v>
      </c>
      <c r="C1037">
        <v>38</v>
      </c>
      <c r="D1037">
        <v>20220321</v>
      </c>
      <c r="E1037">
        <f t="shared" si="16"/>
        <v>3</v>
      </c>
      <c r="F1037">
        <v>411100</v>
      </c>
      <c r="G1037" t="s">
        <v>18</v>
      </c>
      <c r="H1037" t="s">
        <v>136</v>
      </c>
      <c r="I1037" t="s">
        <v>137</v>
      </c>
      <c r="J1037">
        <v>338370</v>
      </c>
      <c r="K1037">
        <v>20220321</v>
      </c>
      <c r="L1037" t="s">
        <v>1502</v>
      </c>
      <c r="M1037">
        <v>0</v>
      </c>
      <c r="N1037">
        <v>31</v>
      </c>
      <c r="O1037" t="s">
        <v>22</v>
      </c>
      <c r="P1037">
        <v>20230218</v>
      </c>
      <c r="Q1037">
        <v>20220321</v>
      </c>
    </row>
    <row r="1038" spans="1:17" x14ac:dyDescent="0.25">
      <c r="A1038" t="s">
        <v>548</v>
      </c>
      <c r="B1038" t="s">
        <v>429</v>
      </c>
      <c r="C1038">
        <v>38</v>
      </c>
      <c r="D1038">
        <v>20220321</v>
      </c>
      <c r="E1038">
        <f t="shared" si="16"/>
        <v>3</v>
      </c>
      <c r="F1038">
        <v>531105</v>
      </c>
      <c r="G1038" t="s">
        <v>429</v>
      </c>
      <c r="H1038" t="s">
        <v>401</v>
      </c>
      <c r="I1038" t="s">
        <v>402</v>
      </c>
      <c r="J1038">
        <v>338371</v>
      </c>
      <c r="K1038">
        <v>20220321</v>
      </c>
      <c r="L1038" t="s">
        <v>565</v>
      </c>
      <c r="M1038">
        <v>468.16</v>
      </c>
      <c r="N1038">
        <v>0</v>
      </c>
      <c r="O1038" t="s">
        <v>19</v>
      </c>
      <c r="P1038" t="s">
        <v>20</v>
      </c>
      <c r="Q1038">
        <v>20220321</v>
      </c>
    </row>
    <row r="1039" spans="1:17" x14ac:dyDescent="0.25">
      <c r="A1039" t="s">
        <v>548</v>
      </c>
      <c r="B1039" t="s">
        <v>429</v>
      </c>
      <c r="C1039">
        <v>38</v>
      </c>
      <c r="D1039">
        <v>20220322</v>
      </c>
      <c r="E1039">
        <f t="shared" si="16"/>
        <v>3</v>
      </c>
      <c r="F1039">
        <v>411100</v>
      </c>
      <c r="G1039" t="s">
        <v>18</v>
      </c>
      <c r="H1039" t="s">
        <v>1503</v>
      </c>
      <c r="I1039" t="s">
        <v>1504</v>
      </c>
      <c r="J1039">
        <v>338360</v>
      </c>
      <c r="K1039">
        <v>20220322</v>
      </c>
      <c r="L1039" t="s">
        <v>1505</v>
      </c>
      <c r="M1039">
        <v>0</v>
      </c>
      <c r="N1039">
        <v>12</v>
      </c>
      <c r="O1039" t="s">
        <v>22</v>
      </c>
      <c r="P1039">
        <v>20230218</v>
      </c>
      <c r="Q1039">
        <v>20220322</v>
      </c>
    </row>
    <row r="1040" spans="1:17" x14ac:dyDescent="0.25">
      <c r="A1040" t="s">
        <v>548</v>
      </c>
      <c r="B1040" t="s">
        <v>429</v>
      </c>
      <c r="C1040">
        <v>38</v>
      </c>
      <c r="D1040">
        <v>20220322</v>
      </c>
      <c r="E1040">
        <f t="shared" si="16"/>
        <v>3</v>
      </c>
      <c r="F1040">
        <v>411100</v>
      </c>
      <c r="G1040" t="s">
        <v>18</v>
      </c>
      <c r="H1040" t="s">
        <v>1506</v>
      </c>
      <c r="I1040" t="s">
        <v>1507</v>
      </c>
      <c r="J1040">
        <v>338361</v>
      </c>
      <c r="K1040">
        <v>20220322</v>
      </c>
      <c r="L1040" t="s">
        <v>1508</v>
      </c>
      <c r="M1040">
        <v>0</v>
      </c>
      <c r="N1040">
        <v>22</v>
      </c>
      <c r="O1040" t="s">
        <v>22</v>
      </c>
      <c r="P1040">
        <v>20230218</v>
      </c>
      <c r="Q1040">
        <v>20220322</v>
      </c>
    </row>
    <row r="1041" spans="1:17" x14ac:dyDescent="0.25">
      <c r="A1041" t="s">
        <v>548</v>
      </c>
      <c r="B1041" t="s">
        <v>429</v>
      </c>
      <c r="C1041">
        <v>38</v>
      </c>
      <c r="D1041">
        <v>20220322</v>
      </c>
      <c r="E1041">
        <f t="shared" si="16"/>
        <v>3</v>
      </c>
      <c r="F1041">
        <v>531105</v>
      </c>
      <c r="G1041" t="s">
        <v>429</v>
      </c>
      <c r="H1041" t="s">
        <v>401</v>
      </c>
      <c r="I1041" t="s">
        <v>402</v>
      </c>
      <c r="J1041">
        <v>338362</v>
      </c>
      <c r="K1041">
        <v>20220322</v>
      </c>
      <c r="L1041" t="s">
        <v>565</v>
      </c>
      <c r="M1041">
        <v>34</v>
      </c>
      <c r="N1041">
        <v>0</v>
      </c>
      <c r="O1041" t="s">
        <v>19</v>
      </c>
      <c r="P1041" t="s">
        <v>20</v>
      </c>
      <c r="Q1041">
        <v>20220322</v>
      </c>
    </row>
    <row r="1042" spans="1:17" x14ac:dyDescent="0.25">
      <c r="A1042" t="s">
        <v>548</v>
      </c>
      <c r="B1042" t="s">
        <v>429</v>
      </c>
      <c r="C1042">
        <v>38</v>
      </c>
      <c r="D1042">
        <v>20220323</v>
      </c>
      <c r="E1042">
        <f t="shared" si="16"/>
        <v>3</v>
      </c>
      <c r="F1042">
        <v>467100</v>
      </c>
      <c r="G1042" t="s">
        <v>160</v>
      </c>
      <c r="H1042" t="s">
        <v>183</v>
      </c>
      <c r="I1042" t="s">
        <v>184</v>
      </c>
      <c r="J1042" t="s">
        <v>1509</v>
      </c>
      <c r="K1042">
        <v>20220323</v>
      </c>
      <c r="L1042" t="s">
        <v>1510</v>
      </c>
      <c r="M1042">
        <v>50</v>
      </c>
      <c r="N1042">
        <v>0</v>
      </c>
      <c r="O1042" t="s">
        <v>23</v>
      </c>
      <c r="P1042">
        <v>20220427</v>
      </c>
      <c r="Q1042">
        <v>20220323</v>
      </c>
    </row>
    <row r="1043" spans="1:17" x14ac:dyDescent="0.25">
      <c r="A1043" t="s">
        <v>548</v>
      </c>
      <c r="B1043" t="s">
        <v>429</v>
      </c>
      <c r="C1043">
        <v>38</v>
      </c>
      <c r="D1043">
        <v>20220323</v>
      </c>
      <c r="E1043">
        <f t="shared" si="16"/>
        <v>3</v>
      </c>
      <c r="F1043">
        <v>531105</v>
      </c>
      <c r="G1043" t="s">
        <v>429</v>
      </c>
      <c r="H1043" t="s">
        <v>401</v>
      </c>
      <c r="I1043" t="s">
        <v>402</v>
      </c>
      <c r="J1043" t="s">
        <v>1509</v>
      </c>
      <c r="K1043">
        <v>20220323</v>
      </c>
      <c r="L1043" t="s">
        <v>1510</v>
      </c>
      <c r="M1043">
        <v>0</v>
      </c>
      <c r="N1043">
        <v>50</v>
      </c>
      <c r="O1043" t="s">
        <v>19</v>
      </c>
      <c r="P1043" t="s">
        <v>20</v>
      </c>
      <c r="Q1043">
        <v>20220323</v>
      </c>
    </row>
    <row r="1044" spans="1:17" x14ac:dyDescent="0.25">
      <c r="A1044" t="s">
        <v>548</v>
      </c>
      <c r="B1044" t="s">
        <v>429</v>
      </c>
      <c r="C1044">
        <v>38</v>
      </c>
      <c r="D1044">
        <v>20220323</v>
      </c>
      <c r="E1044">
        <f t="shared" si="16"/>
        <v>3</v>
      </c>
      <c r="F1044">
        <v>411020</v>
      </c>
      <c r="G1044" t="s">
        <v>30</v>
      </c>
      <c r="H1044" t="s">
        <v>324</v>
      </c>
      <c r="I1044" t="s">
        <v>325</v>
      </c>
      <c r="J1044">
        <v>222010003</v>
      </c>
      <c r="K1044">
        <v>20220323</v>
      </c>
      <c r="L1044" t="s">
        <v>1511</v>
      </c>
      <c r="M1044">
        <v>0</v>
      </c>
      <c r="N1044">
        <v>5.7</v>
      </c>
      <c r="O1044" t="s">
        <v>23</v>
      </c>
      <c r="P1044">
        <v>20230218</v>
      </c>
      <c r="Q1044">
        <v>20220323</v>
      </c>
    </row>
    <row r="1045" spans="1:17" x14ac:dyDescent="0.25">
      <c r="A1045" t="s">
        <v>548</v>
      </c>
      <c r="B1045" t="s">
        <v>429</v>
      </c>
      <c r="C1045">
        <v>38</v>
      </c>
      <c r="D1045">
        <v>20220323</v>
      </c>
      <c r="E1045">
        <f t="shared" si="16"/>
        <v>3</v>
      </c>
      <c r="F1045">
        <v>531105</v>
      </c>
      <c r="G1045" t="s">
        <v>429</v>
      </c>
      <c r="H1045" t="s">
        <v>401</v>
      </c>
      <c r="I1045" t="s">
        <v>402</v>
      </c>
      <c r="J1045">
        <v>338628</v>
      </c>
      <c r="K1045">
        <v>20220323</v>
      </c>
      <c r="L1045" t="s">
        <v>565</v>
      </c>
      <c r="M1045">
        <v>5.7</v>
      </c>
      <c r="N1045">
        <v>0</v>
      </c>
      <c r="O1045" t="s">
        <v>19</v>
      </c>
      <c r="P1045" t="s">
        <v>20</v>
      </c>
      <c r="Q1045">
        <v>20220323</v>
      </c>
    </row>
    <row r="1046" spans="1:17" x14ac:dyDescent="0.25">
      <c r="A1046" t="s">
        <v>548</v>
      </c>
      <c r="B1046" t="s">
        <v>429</v>
      </c>
      <c r="C1046">
        <v>38</v>
      </c>
      <c r="D1046">
        <v>20220324</v>
      </c>
      <c r="E1046">
        <f t="shared" si="16"/>
        <v>3</v>
      </c>
      <c r="F1046">
        <v>467100</v>
      </c>
      <c r="G1046" t="s">
        <v>160</v>
      </c>
      <c r="H1046" t="s">
        <v>161</v>
      </c>
      <c r="I1046" t="s">
        <v>162</v>
      </c>
      <c r="J1046" t="s">
        <v>1512</v>
      </c>
      <c r="K1046">
        <v>20220324</v>
      </c>
      <c r="L1046" t="s">
        <v>1513</v>
      </c>
      <c r="M1046">
        <v>86.15</v>
      </c>
      <c r="N1046">
        <v>0</v>
      </c>
      <c r="O1046" t="s">
        <v>23</v>
      </c>
      <c r="P1046">
        <v>20220325</v>
      </c>
      <c r="Q1046">
        <v>20220324</v>
      </c>
    </row>
    <row r="1047" spans="1:17" x14ac:dyDescent="0.25">
      <c r="A1047" t="s">
        <v>548</v>
      </c>
      <c r="B1047" t="s">
        <v>429</v>
      </c>
      <c r="C1047">
        <v>38</v>
      </c>
      <c r="D1047">
        <v>20220324</v>
      </c>
      <c r="E1047">
        <f t="shared" si="16"/>
        <v>3</v>
      </c>
      <c r="F1047">
        <v>531105</v>
      </c>
      <c r="G1047" t="s">
        <v>429</v>
      </c>
      <c r="H1047" t="s">
        <v>401</v>
      </c>
      <c r="I1047" t="s">
        <v>402</v>
      </c>
      <c r="J1047" t="s">
        <v>1512</v>
      </c>
      <c r="K1047">
        <v>20220324</v>
      </c>
      <c r="L1047" t="s">
        <v>1513</v>
      </c>
      <c r="M1047">
        <v>0</v>
      </c>
      <c r="N1047">
        <v>86.15</v>
      </c>
      <c r="O1047" t="s">
        <v>19</v>
      </c>
      <c r="P1047" t="s">
        <v>20</v>
      </c>
      <c r="Q1047">
        <v>20220324</v>
      </c>
    </row>
    <row r="1048" spans="1:17" x14ac:dyDescent="0.25">
      <c r="A1048" t="s">
        <v>548</v>
      </c>
      <c r="B1048" t="s">
        <v>429</v>
      </c>
      <c r="C1048">
        <v>38</v>
      </c>
      <c r="D1048">
        <v>20220324</v>
      </c>
      <c r="E1048">
        <f t="shared" si="16"/>
        <v>3</v>
      </c>
      <c r="F1048">
        <v>411100</v>
      </c>
      <c r="G1048" t="s">
        <v>18</v>
      </c>
      <c r="H1048" t="s">
        <v>311</v>
      </c>
      <c r="I1048" t="s">
        <v>312</v>
      </c>
      <c r="J1048">
        <v>338524</v>
      </c>
      <c r="K1048">
        <v>20220324</v>
      </c>
      <c r="L1048" t="s">
        <v>1514</v>
      </c>
      <c r="M1048">
        <v>0</v>
      </c>
      <c r="N1048">
        <v>45.91</v>
      </c>
      <c r="O1048" t="s">
        <v>19</v>
      </c>
      <c r="P1048" t="s">
        <v>20</v>
      </c>
      <c r="Q1048">
        <v>20220324</v>
      </c>
    </row>
    <row r="1049" spans="1:17" x14ac:dyDescent="0.25">
      <c r="A1049" t="s">
        <v>548</v>
      </c>
      <c r="B1049" t="s">
        <v>429</v>
      </c>
      <c r="C1049">
        <v>38</v>
      </c>
      <c r="D1049">
        <v>20220324</v>
      </c>
      <c r="E1049">
        <f t="shared" si="16"/>
        <v>3</v>
      </c>
      <c r="F1049">
        <v>411100</v>
      </c>
      <c r="G1049" t="s">
        <v>18</v>
      </c>
      <c r="H1049" t="s">
        <v>1515</v>
      </c>
      <c r="I1049" t="s">
        <v>1516</v>
      </c>
      <c r="J1049">
        <v>338525</v>
      </c>
      <c r="K1049">
        <v>20220324</v>
      </c>
      <c r="L1049" t="s">
        <v>1517</v>
      </c>
      <c r="M1049">
        <v>0</v>
      </c>
      <c r="N1049">
        <v>34</v>
      </c>
      <c r="O1049" t="s">
        <v>22</v>
      </c>
      <c r="P1049">
        <v>20230218</v>
      </c>
      <c r="Q1049">
        <v>20220324</v>
      </c>
    </row>
    <row r="1050" spans="1:17" x14ac:dyDescent="0.25">
      <c r="A1050" t="s">
        <v>548</v>
      </c>
      <c r="B1050" t="s">
        <v>429</v>
      </c>
      <c r="C1050">
        <v>38</v>
      </c>
      <c r="D1050">
        <v>20220324</v>
      </c>
      <c r="E1050">
        <f t="shared" si="16"/>
        <v>3</v>
      </c>
      <c r="F1050">
        <v>531105</v>
      </c>
      <c r="G1050" t="s">
        <v>429</v>
      </c>
      <c r="H1050" t="s">
        <v>401</v>
      </c>
      <c r="I1050" t="s">
        <v>402</v>
      </c>
      <c r="J1050">
        <v>338526</v>
      </c>
      <c r="K1050">
        <v>20220324</v>
      </c>
      <c r="L1050" t="s">
        <v>565</v>
      </c>
      <c r="M1050">
        <v>79.91</v>
      </c>
      <c r="N1050">
        <v>0</v>
      </c>
      <c r="O1050" t="s">
        <v>19</v>
      </c>
      <c r="P1050" t="s">
        <v>20</v>
      </c>
      <c r="Q1050">
        <v>20220324</v>
      </c>
    </row>
    <row r="1051" spans="1:17" x14ac:dyDescent="0.25">
      <c r="A1051" t="s">
        <v>548</v>
      </c>
      <c r="B1051" t="s">
        <v>429</v>
      </c>
      <c r="C1051">
        <v>38</v>
      </c>
      <c r="D1051">
        <v>20220325</v>
      </c>
      <c r="E1051">
        <f t="shared" si="16"/>
        <v>3</v>
      </c>
      <c r="F1051">
        <v>467100</v>
      </c>
      <c r="G1051" t="s">
        <v>160</v>
      </c>
      <c r="H1051" t="s">
        <v>183</v>
      </c>
      <c r="I1051" t="s">
        <v>184</v>
      </c>
      <c r="J1051" t="s">
        <v>1518</v>
      </c>
      <c r="K1051">
        <v>20220325</v>
      </c>
      <c r="L1051" t="s">
        <v>1519</v>
      </c>
      <c r="M1051">
        <v>0</v>
      </c>
      <c r="N1051">
        <v>3.15</v>
      </c>
      <c r="O1051" t="s">
        <v>23</v>
      </c>
      <c r="P1051">
        <v>20220427</v>
      </c>
      <c r="Q1051">
        <v>20220325</v>
      </c>
    </row>
    <row r="1052" spans="1:17" x14ac:dyDescent="0.25">
      <c r="A1052" t="s">
        <v>548</v>
      </c>
      <c r="B1052" t="s">
        <v>429</v>
      </c>
      <c r="C1052">
        <v>38</v>
      </c>
      <c r="D1052">
        <v>20220325</v>
      </c>
      <c r="E1052">
        <f t="shared" si="16"/>
        <v>3</v>
      </c>
      <c r="F1052">
        <v>531105</v>
      </c>
      <c r="G1052" t="s">
        <v>429</v>
      </c>
      <c r="H1052" t="s">
        <v>401</v>
      </c>
      <c r="I1052" t="s">
        <v>402</v>
      </c>
      <c r="J1052" t="s">
        <v>1518</v>
      </c>
      <c r="K1052">
        <v>20220325</v>
      </c>
      <c r="L1052" t="s">
        <v>1519</v>
      </c>
      <c r="M1052">
        <v>3.15</v>
      </c>
      <c r="N1052">
        <v>0</v>
      </c>
      <c r="O1052" t="s">
        <v>19</v>
      </c>
      <c r="P1052" t="s">
        <v>20</v>
      </c>
      <c r="Q1052">
        <v>20220325</v>
      </c>
    </row>
    <row r="1053" spans="1:17" x14ac:dyDescent="0.25">
      <c r="A1053" t="s">
        <v>548</v>
      </c>
      <c r="B1053" t="s">
        <v>429</v>
      </c>
      <c r="C1053">
        <v>38</v>
      </c>
      <c r="D1053">
        <v>20220325</v>
      </c>
      <c r="E1053">
        <f t="shared" si="16"/>
        <v>3</v>
      </c>
      <c r="F1053">
        <v>467100</v>
      </c>
      <c r="G1053" t="s">
        <v>160</v>
      </c>
      <c r="H1053" t="s">
        <v>316</v>
      </c>
      <c r="I1053" t="s">
        <v>317</v>
      </c>
      <c r="J1053" t="s">
        <v>1520</v>
      </c>
      <c r="K1053">
        <v>20220325</v>
      </c>
      <c r="L1053" t="s">
        <v>1521</v>
      </c>
      <c r="M1053">
        <v>30</v>
      </c>
      <c r="N1053">
        <v>0</v>
      </c>
      <c r="O1053" t="s">
        <v>23</v>
      </c>
      <c r="P1053">
        <v>20220427</v>
      </c>
      <c r="Q1053">
        <v>20220325</v>
      </c>
    </row>
    <row r="1054" spans="1:17" x14ac:dyDescent="0.25">
      <c r="A1054" t="s">
        <v>548</v>
      </c>
      <c r="B1054" t="s">
        <v>429</v>
      </c>
      <c r="C1054">
        <v>38</v>
      </c>
      <c r="D1054">
        <v>20220325</v>
      </c>
      <c r="E1054">
        <f t="shared" si="16"/>
        <v>3</v>
      </c>
      <c r="F1054">
        <v>531105</v>
      </c>
      <c r="G1054" t="s">
        <v>429</v>
      </c>
      <c r="H1054" t="s">
        <v>401</v>
      </c>
      <c r="I1054" t="s">
        <v>402</v>
      </c>
      <c r="J1054" t="s">
        <v>1520</v>
      </c>
      <c r="K1054">
        <v>20220325</v>
      </c>
      <c r="L1054" t="s">
        <v>1521</v>
      </c>
      <c r="M1054">
        <v>0</v>
      </c>
      <c r="N1054">
        <v>30</v>
      </c>
      <c r="O1054" t="s">
        <v>19</v>
      </c>
      <c r="P1054" t="s">
        <v>20</v>
      </c>
      <c r="Q1054">
        <v>20220325</v>
      </c>
    </row>
    <row r="1055" spans="1:17" x14ac:dyDescent="0.25">
      <c r="A1055" t="s">
        <v>548</v>
      </c>
      <c r="B1055" t="s">
        <v>429</v>
      </c>
      <c r="C1055">
        <v>38</v>
      </c>
      <c r="D1055">
        <v>20220325</v>
      </c>
      <c r="E1055">
        <f t="shared" si="16"/>
        <v>3</v>
      </c>
      <c r="F1055">
        <v>467100</v>
      </c>
      <c r="G1055" t="s">
        <v>160</v>
      </c>
      <c r="H1055" t="s">
        <v>1522</v>
      </c>
      <c r="I1055" t="s">
        <v>1523</v>
      </c>
      <c r="J1055" t="s">
        <v>1524</v>
      </c>
      <c r="K1055">
        <v>20220325</v>
      </c>
      <c r="L1055" t="s">
        <v>1525</v>
      </c>
      <c r="M1055">
        <v>18</v>
      </c>
      <c r="N1055">
        <v>0</v>
      </c>
      <c r="O1055" t="s">
        <v>23</v>
      </c>
      <c r="P1055">
        <v>20220427</v>
      </c>
      <c r="Q1055">
        <v>20220325</v>
      </c>
    </row>
    <row r="1056" spans="1:17" x14ac:dyDescent="0.25">
      <c r="A1056" t="s">
        <v>548</v>
      </c>
      <c r="B1056" t="s">
        <v>429</v>
      </c>
      <c r="C1056">
        <v>38</v>
      </c>
      <c r="D1056">
        <v>20220325</v>
      </c>
      <c r="E1056">
        <f t="shared" si="16"/>
        <v>3</v>
      </c>
      <c r="F1056">
        <v>531105</v>
      </c>
      <c r="G1056" t="s">
        <v>429</v>
      </c>
      <c r="H1056" t="s">
        <v>401</v>
      </c>
      <c r="I1056" t="s">
        <v>402</v>
      </c>
      <c r="J1056" t="s">
        <v>1524</v>
      </c>
      <c r="K1056">
        <v>20220325</v>
      </c>
      <c r="L1056" t="s">
        <v>1525</v>
      </c>
      <c r="M1056">
        <v>0</v>
      </c>
      <c r="N1056">
        <v>18</v>
      </c>
      <c r="O1056" t="s">
        <v>19</v>
      </c>
      <c r="P1056" t="s">
        <v>20</v>
      </c>
      <c r="Q1056">
        <v>20220325</v>
      </c>
    </row>
    <row r="1057" spans="1:17" x14ac:dyDescent="0.25">
      <c r="A1057" t="s">
        <v>548</v>
      </c>
      <c r="B1057" t="s">
        <v>429</v>
      </c>
      <c r="C1057">
        <v>38</v>
      </c>
      <c r="D1057">
        <v>20220325</v>
      </c>
      <c r="E1057">
        <f t="shared" si="16"/>
        <v>3</v>
      </c>
      <c r="F1057">
        <v>467100</v>
      </c>
      <c r="G1057" t="s">
        <v>160</v>
      </c>
      <c r="H1057" t="s">
        <v>316</v>
      </c>
      <c r="I1057" t="s">
        <v>317</v>
      </c>
      <c r="J1057" t="s">
        <v>1526</v>
      </c>
      <c r="K1057">
        <v>20220325</v>
      </c>
      <c r="L1057" t="s">
        <v>1527</v>
      </c>
      <c r="M1057">
        <v>0</v>
      </c>
      <c r="N1057">
        <v>14.36</v>
      </c>
      <c r="O1057" t="s">
        <v>23</v>
      </c>
      <c r="P1057">
        <v>20220427</v>
      </c>
      <c r="Q1057">
        <v>20220325</v>
      </c>
    </row>
    <row r="1058" spans="1:17" x14ac:dyDescent="0.25">
      <c r="A1058" t="s">
        <v>548</v>
      </c>
      <c r="B1058" t="s">
        <v>429</v>
      </c>
      <c r="C1058">
        <v>38</v>
      </c>
      <c r="D1058">
        <v>20220325</v>
      </c>
      <c r="E1058">
        <f t="shared" si="16"/>
        <v>3</v>
      </c>
      <c r="F1058">
        <v>531105</v>
      </c>
      <c r="G1058" t="s">
        <v>429</v>
      </c>
      <c r="H1058" t="s">
        <v>401</v>
      </c>
      <c r="I1058" t="s">
        <v>402</v>
      </c>
      <c r="J1058" t="s">
        <v>1526</v>
      </c>
      <c r="K1058">
        <v>20220325</v>
      </c>
      <c r="L1058" t="s">
        <v>1527</v>
      </c>
      <c r="M1058">
        <v>14.36</v>
      </c>
      <c r="N1058">
        <v>0</v>
      </c>
      <c r="O1058" t="s">
        <v>19</v>
      </c>
      <c r="P1058" t="s">
        <v>20</v>
      </c>
      <c r="Q1058">
        <v>20220325</v>
      </c>
    </row>
    <row r="1059" spans="1:17" x14ac:dyDescent="0.25">
      <c r="A1059" t="s">
        <v>548</v>
      </c>
      <c r="B1059" t="s">
        <v>429</v>
      </c>
      <c r="C1059">
        <v>38</v>
      </c>
      <c r="D1059">
        <v>20220325</v>
      </c>
      <c r="E1059">
        <f t="shared" si="16"/>
        <v>3</v>
      </c>
      <c r="F1059">
        <v>411010</v>
      </c>
      <c r="G1059" t="s">
        <v>87</v>
      </c>
      <c r="H1059" t="s">
        <v>379</v>
      </c>
      <c r="I1059" t="s">
        <v>380</v>
      </c>
      <c r="J1059">
        <v>338629</v>
      </c>
      <c r="K1059">
        <v>20220325</v>
      </c>
      <c r="L1059" t="s">
        <v>1528</v>
      </c>
      <c r="M1059">
        <v>0</v>
      </c>
      <c r="N1059">
        <v>14.81</v>
      </c>
      <c r="O1059" t="s">
        <v>22</v>
      </c>
      <c r="P1059">
        <v>20230218</v>
      </c>
      <c r="Q1059">
        <v>20220325</v>
      </c>
    </row>
    <row r="1060" spans="1:17" x14ac:dyDescent="0.25">
      <c r="A1060" t="s">
        <v>548</v>
      </c>
      <c r="B1060" t="s">
        <v>429</v>
      </c>
      <c r="C1060">
        <v>38</v>
      </c>
      <c r="D1060">
        <v>20220325</v>
      </c>
      <c r="E1060">
        <f t="shared" si="16"/>
        <v>3</v>
      </c>
      <c r="F1060">
        <v>531105</v>
      </c>
      <c r="G1060" t="s">
        <v>429</v>
      </c>
      <c r="H1060" t="s">
        <v>401</v>
      </c>
      <c r="I1060" t="s">
        <v>402</v>
      </c>
      <c r="J1060">
        <v>338630</v>
      </c>
      <c r="K1060">
        <v>20220325</v>
      </c>
      <c r="L1060" t="s">
        <v>565</v>
      </c>
      <c r="M1060">
        <v>14.81</v>
      </c>
      <c r="N1060">
        <v>0</v>
      </c>
      <c r="O1060" t="s">
        <v>19</v>
      </c>
      <c r="P1060" t="s">
        <v>20</v>
      </c>
      <c r="Q1060">
        <v>20220325</v>
      </c>
    </row>
    <row r="1061" spans="1:17" x14ac:dyDescent="0.25">
      <c r="A1061" t="s">
        <v>548</v>
      </c>
      <c r="B1061" t="s">
        <v>429</v>
      </c>
      <c r="C1061">
        <v>38</v>
      </c>
      <c r="D1061">
        <v>20220328</v>
      </c>
      <c r="E1061">
        <f t="shared" si="16"/>
        <v>3</v>
      </c>
      <c r="F1061">
        <v>411100</v>
      </c>
      <c r="G1061" t="s">
        <v>18</v>
      </c>
      <c r="H1061" t="s">
        <v>267</v>
      </c>
      <c r="I1061" t="s">
        <v>268</v>
      </c>
      <c r="J1061">
        <v>338527</v>
      </c>
      <c r="K1061">
        <v>20220328</v>
      </c>
      <c r="L1061" t="s">
        <v>1529</v>
      </c>
      <c r="M1061">
        <v>0</v>
      </c>
      <c r="N1061">
        <v>22.96</v>
      </c>
      <c r="O1061" t="s">
        <v>23</v>
      </c>
      <c r="P1061">
        <v>20220524</v>
      </c>
      <c r="Q1061">
        <v>20220328</v>
      </c>
    </row>
    <row r="1062" spans="1:17" x14ac:dyDescent="0.25">
      <c r="A1062" t="s">
        <v>548</v>
      </c>
      <c r="B1062" t="s">
        <v>429</v>
      </c>
      <c r="C1062">
        <v>38</v>
      </c>
      <c r="D1062">
        <v>20220328</v>
      </c>
      <c r="E1062">
        <f t="shared" si="16"/>
        <v>3</v>
      </c>
      <c r="F1062">
        <v>411100</v>
      </c>
      <c r="G1062" t="s">
        <v>18</v>
      </c>
      <c r="H1062" t="s">
        <v>152</v>
      </c>
      <c r="I1062" t="s">
        <v>153</v>
      </c>
      <c r="J1062">
        <v>338528</v>
      </c>
      <c r="K1062">
        <v>20220328</v>
      </c>
      <c r="L1062" t="s">
        <v>1530</v>
      </c>
      <c r="M1062">
        <v>0</v>
      </c>
      <c r="N1062">
        <v>72.900000000000006</v>
      </c>
      <c r="O1062" t="s">
        <v>22</v>
      </c>
      <c r="P1062">
        <v>20230218</v>
      </c>
      <c r="Q1062">
        <v>20220328</v>
      </c>
    </row>
    <row r="1063" spans="1:17" x14ac:dyDescent="0.25">
      <c r="A1063" t="s">
        <v>548</v>
      </c>
      <c r="B1063" t="s">
        <v>429</v>
      </c>
      <c r="C1063">
        <v>38</v>
      </c>
      <c r="D1063">
        <v>20220328</v>
      </c>
      <c r="E1063">
        <f t="shared" si="16"/>
        <v>3</v>
      </c>
      <c r="F1063">
        <v>411100</v>
      </c>
      <c r="G1063" t="s">
        <v>18</v>
      </c>
      <c r="H1063" t="s">
        <v>947</v>
      </c>
      <c r="I1063" t="s">
        <v>948</v>
      </c>
      <c r="J1063">
        <v>338529</v>
      </c>
      <c r="K1063">
        <v>20220328</v>
      </c>
      <c r="L1063" t="s">
        <v>1531</v>
      </c>
      <c r="M1063">
        <v>0</v>
      </c>
      <c r="N1063">
        <v>134.76</v>
      </c>
      <c r="O1063" t="s">
        <v>22</v>
      </c>
      <c r="P1063">
        <v>20230218</v>
      </c>
      <c r="Q1063">
        <v>20220328</v>
      </c>
    </row>
    <row r="1064" spans="1:17" x14ac:dyDescent="0.25">
      <c r="A1064" t="s">
        <v>548</v>
      </c>
      <c r="B1064" t="s">
        <v>429</v>
      </c>
      <c r="C1064">
        <v>38</v>
      </c>
      <c r="D1064">
        <v>20220328</v>
      </c>
      <c r="E1064">
        <f t="shared" si="16"/>
        <v>3</v>
      </c>
      <c r="F1064">
        <v>411100</v>
      </c>
      <c r="G1064" t="s">
        <v>18</v>
      </c>
      <c r="H1064" t="s">
        <v>233</v>
      </c>
      <c r="I1064" t="s">
        <v>234</v>
      </c>
      <c r="J1064">
        <v>338530</v>
      </c>
      <c r="K1064">
        <v>20220328</v>
      </c>
      <c r="L1064" t="s">
        <v>1532</v>
      </c>
      <c r="M1064">
        <v>0</v>
      </c>
      <c r="N1064">
        <v>55.09</v>
      </c>
      <c r="O1064" t="s">
        <v>22</v>
      </c>
      <c r="P1064">
        <v>20230218</v>
      </c>
      <c r="Q1064">
        <v>20220328</v>
      </c>
    </row>
    <row r="1065" spans="1:17" x14ac:dyDescent="0.25">
      <c r="A1065" t="s">
        <v>548</v>
      </c>
      <c r="B1065" t="s">
        <v>429</v>
      </c>
      <c r="C1065">
        <v>38</v>
      </c>
      <c r="D1065">
        <v>20220328</v>
      </c>
      <c r="E1065">
        <f t="shared" si="16"/>
        <v>3</v>
      </c>
      <c r="F1065">
        <v>531105</v>
      </c>
      <c r="G1065" t="s">
        <v>429</v>
      </c>
      <c r="H1065" t="s">
        <v>401</v>
      </c>
      <c r="I1065" t="s">
        <v>402</v>
      </c>
      <c r="J1065">
        <v>338531</v>
      </c>
      <c r="K1065">
        <v>20220328</v>
      </c>
      <c r="L1065" t="s">
        <v>565</v>
      </c>
      <c r="M1065">
        <v>285.70999999999998</v>
      </c>
      <c r="N1065">
        <v>0</v>
      </c>
      <c r="O1065" t="s">
        <v>19</v>
      </c>
      <c r="P1065" t="s">
        <v>20</v>
      </c>
      <c r="Q1065">
        <v>20220328</v>
      </c>
    </row>
    <row r="1066" spans="1:17" x14ac:dyDescent="0.25">
      <c r="A1066" t="s">
        <v>548</v>
      </c>
      <c r="B1066" t="s">
        <v>429</v>
      </c>
      <c r="C1066">
        <v>38</v>
      </c>
      <c r="D1066">
        <v>20220329</v>
      </c>
      <c r="E1066">
        <f t="shared" si="16"/>
        <v>3</v>
      </c>
      <c r="F1066">
        <v>467100</v>
      </c>
      <c r="G1066" t="s">
        <v>160</v>
      </c>
      <c r="H1066" t="s">
        <v>183</v>
      </c>
      <c r="I1066" t="s">
        <v>184</v>
      </c>
      <c r="J1066" t="s">
        <v>1533</v>
      </c>
      <c r="K1066">
        <v>20220329</v>
      </c>
      <c r="L1066" t="s">
        <v>1534</v>
      </c>
      <c r="M1066">
        <v>12.19</v>
      </c>
      <c r="N1066">
        <v>0</v>
      </c>
      <c r="O1066" t="s">
        <v>23</v>
      </c>
      <c r="P1066">
        <v>20220427</v>
      </c>
      <c r="Q1066">
        <v>20220329</v>
      </c>
    </row>
    <row r="1067" spans="1:17" x14ac:dyDescent="0.25">
      <c r="A1067" t="s">
        <v>548</v>
      </c>
      <c r="B1067" t="s">
        <v>429</v>
      </c>
      <c r="C1067">
        <v>38</v>
      </c>
      <c r="D1067">
        <v>20220329</v>
      </c>
      <c r="E1067">
        <f t="shared" si="16"/>
        <v>3</v>
      </c>
      <c r="F1067">
        <v>531105</v>
      </c>
      <c r="G1067" t="s">
        <v>429</v>
      </c>
      <c r="H1067" t="s">
        <v>401</v>
      </c>
      <c r="I1067" t="s">
        <v>402</v>
      </c>
      <c r="J1067" t="s">
        <v>1533</v>
      </c>
      <c r="K1067">
        <v>20220329</v>
      </c>
      <c r="L1067" t="s">
        <v>1534</v>
      </c>
      <c r="M1067">
        <v>0</v>
      </c>
      <c r="N1067">
        <v>12.19</v>
      </c>
      <c r="O1067" t="s">
        <v>19</v>
      </c>
      <c r="P1067" t="s">
        <v>20</v>
      </c>
      <c r="Q1067">
        <v>20220329</v>
      </c>
    </row>
    <row r="1068" spans="1:17" x14ac:dyDescent="0.25">
      <c r="A1068" t="s">
        <v>548</v>
      </c>
      <c r="B1068" t="s">
        <v>429</v>
      </c>
      <c r="C1068">
        <v>38</v>
      </c>
      <c r="D1068">
        <v>20220329</v>
      </c>
      <c r="E1068">
        <f t="shared" si="16"/>
        <v>3</v>
      </c>
      <c r="F1068">
        <v>411100</v>
      </c>
      <c r="G1068" t="s">
        <v>18</v>
      </c>
      <c r="H1068" t="s">
        <v>787</v>
      </c>
      <c r="I1068" t="s">
        <v>788</v>
      </c>
      <c r="J1068">
        <v>338532</v>
      </c>
      <c r="K1068">
        <v>20220329</v>
      </c>
      <c r="L1068" t="s">
        <v>1535</v>
      </c>
      <c r="M1068">
        <v>0</v>
      </c>
      <c r="N1068">
        <v>40</v>
      </c>
      <c r="O1068" t="s">
        <v>19</v>
      </c>
      <c r="P1068" t="s">
        <v>20</v>
      </c>
      <c r="Q1068">
        <v>20220329</v>
      </c>
    </row>
    <row r="1069" spans="1:17" x14ac:dyDescent="0.25">
      <c r="A1069" t="s">
        <v>548</v>
      </c>
      <c r="B1069" t="s">
        <v>429</v>
      </c>
      <c r="C1069">
        <v>38</v>
      </c>
      <c r="D1069">
        <v>20220329</v>
      </c>
      <c r="E1069">
        <f t="shared" si="16"/>
        <v>3</v>
      </c>
      <c r="F1069">
        <v>411100</v>
      </c>
      <c r="G1069" t="s">
        <v>18</v>
      </c>
      <c r="H1069" t="s">
        <v>1536</v>
      </c>
      <c r="I1069" t="s">
        <v>1537</v>
      </c>
      <c r="J1069">
        <v>338533</v>
      </c>
      <c r="K1069">
        <v>20220329</v>
      </c>
      <c r="L1069" t="s">
        <v>1538</v>
      </c>
      <c r="M1069">
        <v>0</v>
      </c>
      <c r="N1069">
        <v>72.959999999999994</v>
      </c>
      <c r="O1069" t="s">
        <v>23</v>
      </c>
      <c r="P1069">
        <v>20230329</v>
      </c>
      <c r="Q1069">
        <v>20220329</v>
      </c>
    </row>
    <row r="1070" spans="1:17" x14ac:dyDescent="0.25">
      <c r="A1070" t="s">
        <v>548</v>
      </c>
      <c r="B1070" t="s">
        <v>429</v>
      </c>
      <c r="C1070">
        <v>38</v>
      </c>
      <c r="D1070">
        <v>20220329</v>
      </c>
      <c r="E1070">
        <f t="shared" si="16"/>
        <v>3</v>
      </c>
      <c r="F1070">
        <v>411100</v>
      </c>
      <c r="G1070" t="s">
        <v>18</v>
      </c>
      <c r="H1070" t="s">
        <v>1539</v>
      </c>
      <c r="I1070" t="s">
        <v>1540</v>
      </c>
      <c r="J1070">
        <v>338534</v>
      </c>
      <c r="K1070">
        <v>20220329</v>
      </c>
      <c r="L1070" t="s">
        <v>1541</v>
      </c>
      <c r="M1070">
        <v>0</v>
      </c>
      <c r="N1070">
        <v>3.24</v>
      </c>
      <c r="O1070" t="s">
        <v>23</v>
      </c>
      <c r="P1070">
        <v>20230329</v>
      </c>
      <c r="Q1070">
        <v>20220329</v>
      </c>
    </row>
    <row r="1071" spans="1:17" x14ac:dyDescent="0.25">
      <c r="A1071" t="s">
        <v>548</v>
      </c>
      <c r="B1071" t="s">
        <v>429</v>
      </c>
      <c r="C1071">
        <v>38</v>
      </c>
      <c r="D1071">
        <v>20220329</v>
      </c>
      <c r="E1071">
        <f t="shared" si="16"/>
        <v>3</v>
      </c>
      <c r="F1071">
        <v>411100</v>
      </c>
      <c r="G1071" t="s">
        <v>18</v>
      </c>
      <c r="H1071" t="s">
        <v>79</v>
      </c>
      <c r="I1071" t="s">
        <v>80</v>
      </c>
      <c r="J1071">
        <v>338535</v>
      </c>
      <c r="K1071">
        <v>20220329</v>
      </c>
      <c r="L1071" t="s">
        <v>1542</v>
      </c>
      <c r="M1071">
        <v>0</v>
      </c>
      <c r="N1071">
        <v>111.07</v>
      </c>
      <c r="O1071" t="s">
        <v>19</v>
      </c>
      <c r="P1071" t="s">
        <v>20</v>
      </c>
      <c r="Q1071">
        <v>20220329</v>
      </c>
    </row>
    <row r="1072" spans="1:17" x14ac:dyDescent="0.25">
      <c r="A1072" t="s">
        <v>548</v>
      </c>
      <c r="B1072" t="s">
        <v>429</v>
      </c>
      <c r="C1072">
        <v>38</v>
      </c>
      <c r="D1072">
        <v>20220329</v>
      </c>
      <c r="E1072">
        <f t="shared" si="16"/>
        <v>3</v>
      </c>
      <c r="F1072">
        <v>411100</v>
      </c>
      <c r="G1072" t="s">
        <v>18</v>
      </c>
      <c r="H1072" t="s">
        <v>156</v>
      </c>
      <c r="I1072" t="s">
        <v>157</v>
      </c>
      <c r="J1072">
        <v>338536</v>
      </c>
      <c r="K1072">
        <v>20220329</v>
      </c>
      <c r="L1072" t="s">
        <v>1543</v>
      </c>
      <c r="M1072">
        <v>0</v>
      </c>
      <c r="N1072">
        <v>89.84</v>
      </c>
      <c r="O1072" t="s">
        <v>22</v>
      </c>
      <c r="P1072">
        <v>20230218</v>
      </c>
      <c r="Q1072">
        <v>20220329</v>
      </c>
    </row>
    <row r="1073" spans="1:17" x14ac:dyDescent="0.25">
      <c r="A1073" t="s">
        <v>548</v>
      </c>
      <c r="B1073" t="s">
        <v>429</v>
      </c>
      <c r="C1073">
        <v>38</v>
      </c>
      <c r="D1073">
        <v>20220329</v>
      </c>
      <c r="E1073">
        <f t="shared" si="16"/>
        <v>3</v>
      </c>
      <c r="F1073">
        <v>411100</v>
      </c>
      <c r="G1073" t="s">
        <v>18</v>
      </c>
      <c r="H1073" t="s">
        <v>156</v>
      </c>
      <c r="I1073" t="s">
        <v>157</v>
      </c>
      <c r="J1073">
        <v>338537</v>
      </c>
      <c r="K1073">
        <v>20220329</v>
      </c>
      <c r="L1073" t="s">
        <v>1544</v>
      </c>
      <c r="M1073">
        <v>0</v>
      </c>
      <c r="N1073">
        <v>0.16</v>
      </c>
      <c r="O1073" t="s">
        <v>22</v>
      </c>
      <c r="P1073">
        <v>20230218</v>
      </c>
      <c r="Q1073">
        <v>20220329</v>
      </c>
    </row>
    <row r="1074" spans="1:17" x14ac:dyDescent="0.25">
      <c r="A1074" t="s">
        <v>548</v>
      </c>
      <c r="B1074" t="s">
        <v>429</v>
      </c>
      <c r="C1074">
        <v>38</v>
      </c>
      <c r="D1074">
        <v>20220329</v>
      </c>
      <c r="E1074">
        <f t="shared" si="16"/>
        <v>3</v>
      </c>
      <c r="F1074">
        <v>531105</v>
      </c>
      <c r="G1074" t="s">
        <v>429</v>
      </c>
      <c r="H1074" t="s">
        <v>401</v>
      </c>
      <c r="I1074" t="s">
        <v>402</v>
      </c>
      <c r="J1074">
        <v>338538</v>
      </c>
      <c r="K1074">
        <v>20220329</v>
      </c>
      <c r="L1074" t="s">
        <v>565</v>
      </c>
      <c r="M1074">
        <v>317.27</v>
      </c>
      <c r="N1074">
        <v>0</v>
      </c>
      <c r="O1074" t="s">
        <v>19</v>
      </c>
      <c r="P1074" t="s">
        <v>20</v>
      </c>
      <c r="Q1074">
        <v>20220329</v>
      </c>
    </row>
    <row r="1075" spans="1:17" x14ac:dyDescent="0.25">
      <c r="A1075" t="s">
        <v>548</v>
      </c>
      <c r="B1075" t="s">
        <v>429</v>
      </c>
      <c r="C1075">
        <v>38</v>
      </c>
      <c r="D1075">
        <v>20220330</v>
      </c>
      <c r="E1075">
        <f t="shared" si="16"/>
        <v>3</v>
      </c>
      <c r="F1075">
        <v>411010</v>
      </c>
      <c r="G1075" t="s">
        <v>87</v>
      </c>
      <c r="H1075" t="s">
        <v>678</v>
      </c>
      <c r="I1075" t="s">
        <v>679</v>
      </c>
      <c r="J1075">
        <v>338539</v>
      </c>
      <c r="K1075">
        <v>20220330</v>
      </c>
      <c r="L1075" t="s">
        <v>1545</v>
      </c>
      <c r="M1075">
        <v>0</v>
      </c>
      <c r="N1075">
        <v>31.48</v>
      </c>
      <c r="O1075" t="s">
        <v>22</v>
      </c>
      <c r="P1075">
        <v>20230218</v>
      </c>
      <c r="Q1075">
        <v>20220330</v>
      </c>
    </row>
    <row r="1076" spans="1:17" x14ac:dyDescent="0.25">
      <c r="A1076" t="s">
        <v>548</v>
      </c>
      <c r="B1076" t="s">
        <v>429</v>
      </c>
      <c r="C1076">
        <v>38</v>
      </c>
      <c r="D1076">
        <v>20220330</v>
      </c>
      <c r="E1076">
        <f t="shared" si="16"/>
        <v>3</v>
      </c>
      <c r="F1076">
        <v>411100</v>
      </c>
      <c r="G1076" t="s">
        <v>18</v>
      </c>
      <c r="H1076" t="s">
        <v>352</v>
      </c>
      <c r="I1076" t="s">
        <v>353</v>
      </c>
      <c r="J1076">
        <v>338540</v>
      </c>
      <c r="K1076">
        <v>20220330</v>
      </c>
      <c r="L1076" t="s">
        <v>1546</v>
      </c>
      <c r="M1076">
        <v>0</v>
      </c>
      <c r="N1076">
        <v>46.62</v>
      </c>
      <c r="O1076" t="s">
        <v>22</v>
      </c>
      <c r="P1076">
        <v>20230218</v>
      </c>
      <c r="Q1076">
        <v>20220330</v>
      </c>
    </row>
    <row r="1077" spans="1:17" x14ac:dyDescent="0.25">
      <c r="A1077" t="s">
        <v>548</v>
      </c>
      <c r="B1077" t="s">
        <v>429</v>
      </c>
      <c r="C1077">
        <v>38</v>
      </c>
      <c r="D1077">
        <v>20220330</v>
      </c>
      <c r="E1077">
        <f t="shared" si="16"/>
        <v>3</v>
      </c>
      <c r="F1077">
        <v>411000</v>
      </c>
      <c r="G1077" t="s">
        <v>21</v>
      </c>
      <c r="H1077" t="s">
        <v>271</v>
      </c>
      <c r="I1077" t="s">
        <v>272</v>
      </c>
      <c r="J1077">
        <v>338541</v>
      </c>
      <c r="K1077">
        <v>20220330</v>
      </c>
      <c r="L1077" t="s">
        <v>1547</v>
      </c>
      <c r="M1077">
        <v>0</v>
      </c>
      <c r="N1077">
        <v>28.7</v>
      </c>
      <c r="O1077" t="s">
        <v>22</v>
      </c>
      <c r="P1077">
        <v>20230218</v>
      </c>
      <c r="Q1077">
        <v>20220330</v>
      </c>
    </row>
    <row r="1078" spans="1:17" x14ac:dyDescent="0.25">
      <c r="A1078" t="s">
        <v>548</v>
      </c>
      <c r="B1078" t="s">
        <v>429</v>
      </c>
      <c r="C1078">
        <v>38</v>
      </c>
      <c r="D1078">
        <v>20220330</v>
      </c>
      <c r="E1078">
        <f t="shared" si="16"/>
        <v>3</v>
      </c>
      <c r="F1078">
        <v>411100</v>
      </c>
      <c r="G1078" t="s">
        <v>18</v>
      </c>
      <c r="H1078" t="s">
        <v>320</v>
      </c>
      <c r="I1078" t="s">
        <v>321</v>
      </c>
      <c r="J1078">
        <v>338542</v>
      </c>
      <c r="K1078">
        <v>20220330</v>
      </c>
      <c r="L1078" t="s">
        <v>1548</v>
      </c>
      <c r="M1078">
        <v>0</v>
      </c>
      <c r="N1078">
        <v>14.48</v>
      </c>
      <c r="O1078" t="s">
        <v>19</v>
      </c>
      <c r="P1078" t="s">
        <v>20</v>
      </c>
      <c r="Q1078">
        <v>20220330</v>
      </c>
    </row>
    <row r="1079" spans="1:17" x14ac:dyDescent="0.25">
      <c r="A1079" t="s">
        <v>548</v>
      </c>
      <c r="B1079" t="s">
        <v>429</v>
      </c>
      <c r="C1079">
        <v>38</v>
      </c>
      <c r="D1079">
        <v>20220330</v>
      </c>
      <c r="E1079">
        <f t="shared" si="16"/>
        <v>3</v>
      </c>
      <c r="F1079">
        <v>411100</v>
      </c>
      <c r="G1079" t="s">
        <v>18</v>
      </c>
      <c r="H1079" t="s">
        <v>320</v>
      </c>
      <c r="I1079" t="s">
        <v>321</v>
      </c>
      <c r="J1079">
        <v>338543</v>
      </c>
      <c r="K1079">
        <v>20220330</v>
      </c>
      <c r="L1079" t="s">
        <v>1549</v>
      </c>
      <c r="M1079">
        <v>0</v>
      </c>
      <c r="N1079">
        <v>40.72</v>
      </c>
      <c r="O1079" t="s">
        <v>22</v>
      </c>
      <c r="P1079">
        <v>20230218</v>
      </c>
      <c r="Q1079">
        <v>20220330</v>
      </c>
    </row>
    <row r="1080" spans="1:17" x14ac:dyDescent="0.25">
      <c r="A1080" t="s">
        <v>548</v>
      </c>
      <c r="B1080" t="s">
        <v>429</v>
      </c>
      <c r="C1080">
        <v>38</v>
      </c>
      <c r="D1080">
        <v>20220330</v>
      </c>
      <c r="E1080">
        <f t="shared" si="16"/>
        <v>3</v>
      </c>
      <c r="F1080">
        <v>411100</v>
      </c>
      <c r="G1080" t="s">
        <v>18</v>
      </c>
      <c r="H1080" t="s">
        <v>305</v>
      </c>
      <c r="I1080" t="s">
        <v>306</v>
      </c>
      <c r="J1080">
        <v>122010050</v>
      </c>
      <c r="K1080">
        <v>20220330</v>
      </c>
      <c r="L1080" t="s">
        <v>1550</v>
      </c>
      <c r="M1080">
        <v>0</v>
      </c>
      <c r="N1080">
        <v>115.86</v>
      </c>
      <c r="O1080" t="s">
        <v>23</v>
      </c>
      <c r="P1080">
        <v>20230329</v>
      </c>
      <c r="Q1080">
        <v>20220330</v>
      </c>
    </row>
    <row r="1081" spans="1:17" x14ac:dyDescent="0.25">
      <c r="A1081" t="s">
        <v>548</v>
      </c>
      <c r="B1081" t="s">
        <v>429</v>
      </c>
      <c r="C1081">
        <v>38</v>
      </c>
      <c r="D1081">
        <v>20220330</v>
      </c>
      <c r="E1081">
        <f t="shared" si="16"/>
        <v>3</v>
      </c>
      <c r="F1081">
        <v>531105</v>
      </c>
      <c r="G1081" t="s">
        <v>429</v>
      </c>
      <c r="H1081" t="s">
        <v>401</v>
      </c>
      <c r="I1081" t="s">
        <v>402</v>
      </c>
      <c r="J1081">
        <v>338545</v>
      </c>
      <c r="K1081">
        <v>20220330</v>
      </c>
      <c r="L1081" t="s">
        <v>565</v>
      </c>
      <c r="M1081">
        <v>277.86</v>
      </c>
      <c r="N1081">
        <v>0</v>
      </c>
      <c r="O1081" t="s">
        <v>19</v>
      </c>
      <c r="P1081" t="s">
        <v>20</v>
      </c>
      <c r="Q1081">
        <v>20220330</v>
      </c>
    </row>
    <row r="1082" spans="1:17" x14ac:dyDescent="0.25">
      <c r="A1082" t="s">
        <v>548</v>
      </c>
      <c r="B1082" t="s">
        <v>429</v>
      </c>
      <c r="C1082">
        <v>38</v>
      </c>
      <c r="D1082">
        <v>20220331</v>
      </c>
      <c r="E1082">
        <f t="shared" si="16"/>
        <v>3</v>
      </c>
      <c r="F1082">
        <v>411100</v>
      </c>
      <c r="G1082" t="s">
        <v>18</v>
      </c>
      <c r="H1082" t="s">
        <v>334</v>
      </c>
      <c r="I1082" t="s">
        <v>335</v>
      </c>
      <c r="J1082">
        <v>338546</v>
      </c>
      <c r="K1082">
        <v>20220331</v>
      </c>
      <c r="L1082" t="s">
        <v>1551</v>
      </c>
      <c r="M1082">
        <v>0</v>
      </c>
      <c r="N1082">
        <v>110.6</v>
      </c>
      <c r="O1082" t="s">
        <v>19</v>
      </c>
      <c r="P1082" t="s">
        <v>20</v>
      </c>
      <c r="Q1082">
        <v>20220331</v>
      </c>
    </row>
    <row r="1083" spans="1:17" x14ac:dyDescent="0.25">
      <c r="A1083" t="s">
        <v>548</v>
      </c>
      <c r="B1083" t="s">
        <v>429</v>
      </c>
      <c r="C1083">
        <v>38</v>
      </c>
      <c r="D1083">
        <v>20220331</v>
      </c>
      <c r="E1083">
        <f t="shared" si="16"/>
        <v>3</v>
      </c>
      <c r="F1083">
        <v>411100</v>
      </c>
      <c r="G1083" t="s">
        <v>18</v>
      </c>
      <c r="H1083" t="s">
        <v>154</v>
      </c>
      <c r="I1083" t="s">
        <v>155</v>
      </c>
      <c r="J1083">
        <v>338547</v>
      </c>
      <c r="K1083">
        <v>20220331</v>
      </c>
      <c r="L1083" t="s">
        <v>1552</v>
      </c>
      <c r="M1083">
        <v>0</v>
      </c>
      <c r="N1083">
        <v>16</v>
      </c>
      <c r="O1083" t="s">
        <v>19</v>
      </c>
      <c r="P1083" t="s">
        <v>20</v>
      </c>
      <c r="Q1083">
        <v>20220331</v>
      </c>
    </row>
    <row r="1084" spans="1:17" x14ac:dyDescent="0.25">
      <c r="A1084" t="s">
        <v>548</v>
      </c>
      <c r="B1084" t="s">
        <v>429</v>
      </c>
      <c r="C1084">
        <v>38</v>
      </c>
      <c r="D1084">
        <v>20220331</v>
      </c>
      <c r="E1084">
        <f t="shared" si="16"/>
        <v>3</v>
      </c>
      <c r="F1084">
        <v>411100</v>
      </c>
      <c r="G1084" t="s">
        <v>18</v>
      </c>
      <c r="H1084" t="s">
        <v>187</v>
      </c>
      <c r="I1084" t="s">
        <v>188</v>
      </c>
      <c r="J1084">
        <v>338548</v>
      </c>
      <c r="K1084">
        <v>20220331</v>
      </c>
      <c r="L1084" t="s">
        <v>1553</v>
      </c>
      <c r="M1084">
        <v>0</v>
      </c>
      <c r="N1084">
        <v>16</v>
      </c>
      <c r="O1084" t="s">
        <v>22</v>
      </c>
      <c r="P1084">
        <v>20230218</v>
      </c>
      <c r="Q1084">
        <v>20220331</v>
      </c>
    </row>
    <row r="1085" spans="1:17" x14ac:dyDescent="0.25">
      <c r="A1085" t="s">
        <v>548</v>
      </c>
      <c r="B1085" t="s">
        <v>429</v>
      </c>
      <c r="C1085">
        <v>38</v>
      </c>
      <c r="D1085">
        <v>20220331</v>
      </c>
      <c r="E1085">
        <f t="shared" si="16"/>
        <v>3</v>
      </c>
      <c r="F1085">
        <v>411100</v>
      </c>
      <c r="G1085" t="s">
        <v>18</v>
      </c>
      <c r="H1085" t="s">
        <v>660</v>
      </c>
      <c r="I1085" t="s">
        <v>661</v>
      </c>
      <c r="J1085">
        <v>338549</v>
      </c>
      <c r="K1085">
        <v>20220331</v>
      </c>
      <c r="L1085" t="s">
        <v>1554</v>
      </c>
      <c r="M1085">
        <v>0</v>
      </c>
      <c r="N1085">
        <v>16</v>
      </c>
      <c r="O1085" t="s">
        <v>19</v>
      </c>
      <c r="P1085" t="s">
        <v>20</v>
      </c>
      <c r="Q1085">
        <v>20220331</v>
      </c>
    </row>
    <row r="1086" spans="1:17" x14ac:dyDescent="0.25">
      <c r="A1086" t="s">
        <v>548</v>
      </c>
      <c r="B1086" t="s">
        <v>429</v>
      </c>
      <c r="C1086">
        <v>38</v>
      </c>
      <c r="D1086">
        <v>20220331</v>
      </c>
      <c r="E1086">
        <f t="shared" si="16"/>
        <v>3</v>
      </c>
      <c r="F1086">
        <v>411100</v>
      </c>
      <c r="G1086" t="s">
        <v>18</v>
      </c>
      <c r="H1086" t="s">
        <v>81</v>
      </c>
      <c r="I1086" t="s">
        <v>82</v>
      </c>
      <c r="J1086">
        <v>338550</v>
      </c>
      <c r="K1086">
        <v>20220331</v>
      </c>
      <c r="L1086" t="s">
        <v>1555</v>
      </c>
      <c r="M1086">
        <v>0</v>
      </c>
      <c r="N1086">
        <v>8</v>
      </c>
      <c r="O1086" t="s">
        <v>19</v>
      </c>
      <c r="P1086" t="s">
        <v>20</v>
      </c>
      <c r="Q1086">
        <v>20220331</v>
      </c>
    </row>
    <row r="1087" spans="1:17" x14ac:dyDescent="0.25">
      <c r="A1087" t="s">
        <v>548</v>
      </c>
      <c r="B1087" t="s">
        <v>429</v>
      </c>
      <c r="C1087">
        <v>38</v>
      </c>
      <c r="D1087">
        <v>20220331</v>
      </c>
      <c r="E1087">
        <f t="shared" si="16"/>
        <v>3</v>
      </c>
      <c r="F1087">
        <v>411100</v>
      </c>
      <c r="G1087" t="s">
        <v>18</v>
      </c>
      <c r="H1087" t="s">
        <v>105</v>
      </c>
      <c r="I1087" t="s">
        <v>106</v>
      </c>
      <c r="J1087">
        <v>338551</v>
      </c>
      <c r="K1087">
        <v>20220331</v>
      </c>
      <c r="L1087" t="s">
        <v>1556</v>
      </c>
      <c r="M1087">
        <v>0</v>
      </c>
      <c r="N1087">
        <v>8</v>
      </c>
      <c r="O1087" t="s">
        <v>19</v>
      </c>
      <c r="P1087" t="s">
        <v>20</v>
      </c>
      <c r="Q1087">
        <v>20220331</v>
      </c>
    </row>
    <row r="1088" spans="1:17" x14ac:dyDescent="0.25">
      <c r="A1088" t="s">
        <v>548</v>
      </c>
      <c r="B1088" t="s">
        <v>429</v>
      </c>
      <c r="C1088">
        <v>38</v>
      </c>
      <c r="D1088">
        <v>20220331</v>
      </c>
      <c r="E1088">
        <f t="shared" si="16"/>
        <v>3</v>
      </c>
      <c r="F1088">
        <v>411100</v>
      </c>
      <c r="G1088" t="s">
        <v>18</v>
      </c>
      <c r="H1088" t="s">
        <v>657</v>
      </c>
      <c r="I1088" t="s">
        <v>658</v>
      </c>
      <c r="J1088">
        <v>338552</v>
      </c>
      <c r="K1088">
        <v>20220331</v>
      </c>
      <c r="L1088" t="s">
        <v>1557</v>
      </c>
      <c r="M1088">
        <v>0</v>
      </c>
      <c r="N1088">
        <v>8</v>
      </c>
      <c r="O1088" t="s">
        <v>19</v>
      </c>
      <c r="P1088" t="s">
        <v>20</v>
      </c>
      <c r="Q1088">
        <v>20220331</v>
      </c>
    </row>
    <row r="1089" spans="1:17" x14ac:dyDescent="0.25">
      <c r="A1089" t="s">
        <v>548</v>
      </c>
      <c r="B1089" t="s">
        <v>429</v>
      </c>
      <c r="C1089">
        <v>38</v>
      </c>
      <c r="D1089">
        <v>20220331</v>
      </c>
      <c r="E1089">
        <f t="shared" si="16"/>
        <v>3</v>
      </c>
      <c r="F1089">
        <v>411100</v>
      </c>
      <c r="G1089" t="s">
        <v>18</v>
      </c>
      <c r="H1089" t="s">
        <v>1558</v>
      </c>
      <c r="I1089" t="s">
        <v>1559</v>
      </c>
      <c r="J1089">
        <v>338553</v>
      </c>
      <c r="K1089">
        <v>20220331</v>
      </c>
      <c r="L1089" t="s">
        <v>1560</v>
      </c>
      <c r="M1089">
        <v>0</v>
      </c>
      <c r="N1089">
        <v>58.6</v>
      </c>
      <c r="O1089" t="s">
        <v>22</v>
      </c>
      <c r="P1089">
        <v>20230218</v>
      </c>
      <c r="Q1089">
        <v>20220331</v>
      </c>
    </row>
    <row r="1090" spans="1:17" x14ac:dyDescent="0.25">
      <c r="A1090" t="s">
        <v>548</v>
      </c>
      <c r="B1090" t="s">
        <v>429</v>
      </c>
      <c r="C1090">
        <v>38</v>
      </c>
      <c r="D1090">
        <v>20220331</v>
      </c>
      <c r="E1090">
        <f t="shared" si="16"/>
        <v>3</v>
      </c>
      <c r="F1090">
        <v>531105</v>
      </c>
      <c r="G1090" t="s">
        <v>429</v>
      </c>
      <c r="H1090" t="s">
        <v>401</v>
      </c>
      <c r="I1090" t="s">
        <v>402</v>
      </c>
      <c r="J1090">
        <v>338554</v>
      </c>
      <c r="K1090">
        <v>20220331</v>
      </c>
      <c r="L1090" t="s">
        <v>565</v>
      </c>
      <c r="M1090">
        <v>241.2</v>
      </c>
      <c r="N1090">
        <v>0</v>
      </c>
      <c r="O1090" t="s">
        <v>19</v>
      </c>
      <c r="P1090" t="s">
        <v>20</v>
      </c>
      <c r="Q1090">
        <v>20220331</v>
      </c>
    </row>
    <row r="1091" spans="1:17" x14ac:dyDescent="0.25">
      <c r="A1091" t="s">
        <v>548</v>
      </c>
      <c r="B1091" t="s">
        <v>429</v>
      </c>
      <c r="C1091">
        <v>38</v>
      </c>
      <c r="D1091">
        <v>20220331</v>
      </c>
      <c r="E1091">
        <f t="shared" ref="E1091:E1154" si="17">VALUE(MID(D1091,5,2))</f>
        <v>3</v>
      </c>
      <c r="F1091">
        <v>411100</v>
      </c>
      <c r="G1091" t="s">
        <v>18</v>
      </c>
      <c r="H1091" t="s">
        <v>194</v>
      </c>
      <c r="I1091" t="s">
        <v>195</v>
      </c>
      <c r="J1091">
        <v>122030044</v>
      </c>
      <c r="K1091">
        <v>20220331</v>
      </c>
      <c r="L1091" t="s">
        <v>1561</v>
      </c>
      <c r="M1091">
        <v>0</v>
      </c>
      <c r="N1091">
        <v>62.43</v>
      </c>
      <c r="O1091" t="s">
        <v>23</v>
      </c>
      <c r="P1091">
        <v>20230329</v>
      </c>
      <c r="Q1091">
        <v>20220331</v>
      </c>
    </row>
    <row r="1092" spans="1:17" x14ac:dyDescent="0.25">
      <c r="A1092" t="s">
        <v>548</v>
      </c>
      <c r="B1092" t="s">
        <v>429</v>
      </c>
      <c r="C1092">
        <v>38</v>
      </c>
      <c r="D1092">
        <v>20220331</v>
      </c>
      <c r="E1092">
        <f t="shared" si="17"/>
        <v>3</v>
      </c>
      <c r="F1092">
        <v>411100</v>
      </c>
      <c r="G1092" t="s">
        <v>18</v>
      </c>
      <c r="H1092" t="s">
        <v>1562</v>
      </c>
      <c r="I1092" t="s">
        <v>1563</v>
      </c>
      <c r="J1092">
        <v>338868</v>
      </c>
      <c r="K1092">
        <v>20220331</v>
      </c>
      <c r="L1092" t="s">
        <v>1564</v>
      </c>
      <c r="M1092">
        <v>0</v>
      </c>
      <c r="N1092">
        <v>15.74</v>
      </c>
      <c r="O1092" t="s">
        <v>22</v>
      </c>
      <c r="P1092">
        <v>20230218</v>
      </c>
      <c r="Q1092">
        <v>20220331</v>
      </c>
    </row>
    <row r="1093" spans="1:17" x14ac:dyDescent="0.25">
      <c r="A1093" t="s">
        <v>548</v>
      </c>
      <c r="B1093" t="s">
        <v>429</v>
      </c>
      <c r="C1093">
        <v>38</v>
      </c>
      <c r="D1093">
        <v>20220331</v>
      </c>
      <c r="E1093">
        <f t="shared" si="17"/>
        <v>3</v>
      </c>
      <c r="F1093">
        <v>531105</v>
      </c>
      <c r="G1093" t="s">
        <v>429</v>
      </c>
      <c r="H1093" t="s">
        <v>401</v>
      </c>
      <c r="I1093" t="s">
        <v>402</v>
      </c>
      <c r="J1093">
        <v>338869</v>
      </c>
      <c r="K1093">
        <v>20220331</v>
      </c>
      <c r="L1093" t="s">
        <v>565</v>
      </c>
      <c r="M1093">
        <v>78.17</v>
      </c>
      <c r="N1093">
        <v>0</v>
      </c>
      <c r="O1093" t="s">
        <v>19</v>
      </c>
      <c r="P1093" t="s">
        <v>20</v>
      </c>
      <c r="Q1093">
        <v>20220331</v>
      </c>
    </row>
    <row r="1094" spans="1:17" x14ac:dyDescent="0.25">
      <c r="A1094" t="s">
        <v>715</v>
      </c>
      <c r="B1094" t="s">
        <v>432</v>
      </c>
      <c r="C1094">
        <v>39</v>
      </c>
      <c r="D1094">
        <v>20220301</v>
      </c>
      <c r="E1094">
        <f t="shared" si="17"/>
        <v>3</v>
      </c>
      <c r="F1094">
        <v>401000</v>
      </c>
      <c r="G1094" t="s">
        <v>41</v>
      </c>
      <c r="H1094" t="s">
        <v>189</v>
      </c>
      <c r="I1094" t="s">
        <v>190</v>
      </c>
      <c r="J1094" t="s">
        <v>1565</v>
      </c>
      <c r="K1094">
        <v>20220301</v>
      </c>
      <c r="L1094" t="s">
        <v>191</v>
      </c>
      <c r="M1094">
        <v>403.75</v>
      </c>
      <c r="N1094">
        <v>0</v>
      </c>
      <c r="O1094" t="s">
        <v>19</v>
      </c>
      <c r="P1094" t="s">
        <v>20</v>
      </c>
      <c r="Q1094">
        <v>20220301</v>
      </c>
    </row>
    <row r="1095" spans="1:17" x14ac:dyDescent="0.25">
      <c r="A1095" t="s">
        <v>715</v>
      </c>
      <c r="B1095" t="s">
        <v>432</v>
      </c>
      <c r="C1095">
        <v>39</v>
      </c>
      <c r="D1095">
        <v>20220301</v>
      </c>
      <c r="E1095">
        <f t="shared" si="17"/>
        <v>3</v>
      </c>
      <c r="F1095">
        <v>512200</v>
      </c>
      <c r="G1095" t="s">
        <v>432</v>
      </c>
      <c r="H1095" t="s">
        <v>401</v>
      </c>
      <c r="I1095" t="s">
        <v>402</v>
      </c>
      <c r="J1095" t="s">
        <v>1565</v>
      </c>
      <c r="K1095">
        <v>20220301</v>
      </c>
      <c r="L1095" t="s">
        <v>191</v>
      </c>
      <c r="M1095">
        <v>0</v>
      </c>
      <c r="N1095">
        <v>403.75</v>
      </c>
      <c r="O1095" t="s">
        <v>19</v>
      </c>
      <c r="P1095" t="s">
        <v>20</v>
      </c>
      <c r="Q1095">
        <v>20220301</v>
      </c>
    </row>
    <row r="1096" spans="1:17" x14ac:dyDescent="0.25">
      <c r="A1096" t="s">
        <v>715</v>
      </c>
      <c r="B1096" t="s">
        <v>432</v>
      </c>
      <c r="C1096">
        <v>39</v>
      </c>
      <c r="D1096">
        <v>20220301</v>
      </c>
      <c r="E1096">
        <f t="shared" si="17"/>
        <v>3</v>
      </c>
      <c r="F1096">
        <v>401000</v>
      </c>
      <c r="G1096" t="s">
        <v>41</v>
      </c>
      <c r="H1096" t="s">
        <v>448</v>
      </c>
      <c r="I1096" t="s">
        <v>449</v>
      </c>
      <c r="J1096" t="s">
        <v>1566</v>
      </c>
      <c r="K1096">
        <v>20220301</v>
      </c>
      <c r="L1096" t="s">
        <v>1283</v>
      </c>
      <c r="M1096">
        <v>24</v>
      </c>
      <c r="N1096">
        <v>0</v>
      </c>
      <c r="O1096" t="s">
        <v>23</v>
      </c>
      <c r="P1096">
        <v>20220704</v>
      </c>
      <c r="Q1096">
        <v>20220301</v>
      </c>
    </row>
    <row r="1097" spans="1:17" x14ac:dyDescent="0.25">
      <c r="A1097" t="s">
        <v>715</v>
      </c>
      <c r="B1097" t="s">
        <v>432</v>
      </c>
      <c r="C1097">
        <v>39</v>
      </c>
      <c r="D1097">
        <v>20220301</v>
      </c>
      <c r="E1097">
        <f t="shared" si="17"/>
        <v>3</v>
      </c>
      <c r="F1097">
        <v>512200</v>
      </c>
      <c r="G1097" t="s">
        <v>432</v>
      </c>
      <c r="H1097" t="s">
        <v>401</v>
      </c>
      <c r="I1097" t="s">
        <v>402</v>
      </c>
      <c r="J1097" t="s">
        <v>1566</v>
      </c>
      <c r="K1097">
        <v>20220301</v>
      </c>
      <c r="L1097" t="s">
        <v>1283</v>
      </c>
      <c r="M1097">
        <v>0</v>
      </c>
      <c r="N1097">
        <v>24</v>
      </c>
      <c r="O1097" t="s">
        <v>19</v>
      </c>
      <c r="P1097" t="s">
        <v>20</v>
      </c>
      <c r="Q1097">
        <v>20220301</v>
      </c>
    </row>
    <row r="1098" spans="1:17" x14ac:dyDescent="0.25">
      <c r="A1098" t="s">
        <v>715</v>
      </c>
      <c r="B1098" t="s">
        <v>432</v>
      </c>
      <c r="C1098">
        <v>39</v>
      </c>
      <c r="D1098">
        <v>20220302</v>
      </c>
      <c r="E1098">
        <f t="shared" si="17"/>
        <v>3</v>
      </c>
      <c r="F1098">
        <v>511001</v>
      </c>
      <c r="G1098" t="s">
        <v>434</v>
      </c>
      <c r="H1098" t="s">
        <v>401</v>
      </c>
      <c r="I1098" t="s">
        <v>402</v>
      </c>
      <c r="J1098" t="s">
        <v>1567</v>
      </c>
      <c r="K1098">
        <v>20220302</v>
      </c>
      <c r="L1098" t="s">
        <v>1568</v>
      </c>
      <c r="M1098">
        <v>0</v>
      </c>
      <c r="N1098">
        <v>200</v>
      </c>
      <c r="O1098" t="s">
        <v>23</v>
      </c>
      <c r="P1098">
        <v>20230120</v>
      </c>
      <c r="Q1098">
        <v>20220302</v>
      </c>
    </row>
    <row r="1099" spans="1:17" x14ac:dyDescent="0.25">
      <c r="A1099" t="s">
        <v>715</v>
      </c>
      <c r="B1099" t="s">
        <v>432</v>
      </c>
      <c r="C1099">
        <v>39</v>
      </c>
      <c r="D1099">
        <v>20220302</v>
      </c>
      <c r="E1099">
        <f t="shared" si="17"/>
        <v>3</v>
      </c>
      <c r="F1099">
        <v>512200</v>
      </c>
      <c r="G1099" t="s">
        <v>432</v>
      </c>
      <c r="H1099" t="s">
        <v>401</v>
      </c>
      <c r="I1099" t="s">
        <v>402</v>
      </c>
      <c r="J1099" t="s">
        <v>1567</v>
      </c>
      <c r="K1099">
        <v>20220302</v>
      </c>
      <c r="L1099" t="s">
        <v>1568</v>
      </c>
      <c r="M1099">
        <v>195</v>
      </c>
      <c r="N1099">
        <v>0</v>
      </c>
      <c r="O1099" t="s">
        <v>19</v>
      </c>
      <c r="P1099" t="s">
        <v>20</v>
      </c>
      <c r="Q1099">
        <v>20220302</v>
      </c>
    </row>
    <row r="1100" spans="1:17" x14ac:dyDescent="0.25">
      <c r="A1100" t="s">
        <v>715</v>
      </c>
      <c r="B1100" t="s">
        <v>432</v>
      </c>
      <c r="C1100">
        <v>39</v>
      </c>
      <c r="D1100">
        <v>20220302</v>
      </c>
      <c r="E1100">
        <f t="shared" si="17"/>
        <v>3</v>
      </c>
      <c r="F1100">
        <v>627400</v>
      </c>
      <c r="G1100" t="s">
        <v>722</v>
      </c>
      <c r="H1100" t="s">
        <v>401</v>
      </c>
      <c r="I1100" t="s">
        <v>402</v>
      </c>
      <c r="J1100" t="s">
        <v>1569</v>
      </c>
      <c r="K1100">
        <v>20220302</v>
      </c>
      <c r="L1100" t="s">
        <v>724</v>
      </c>
      <c r="M1100">
        <v>5</v>
      </c>
      <c r="N1100">
        <v>0</v>
      </c>
      <c r="O1100" t="s">
        <v>19</v>
      </c>
      <c r="P1100" t="s">
        <v>20</v>
      </c>
      <c r="Q1100">
        <v>20220302</v>
      </c>
    </row>
    <row r="1101" spans="1:17" x14ac:dyDescent="0.25">
      <c r="A1101" t="s">
        <v>715</v>
      </c>
      <c r="B1101" t="s">
        <v>432</v>
      </c>
      <c r="C1101">
        <v>39</v>
      </c>
      <c r="D1101">
        <v>20220302</v>
      </c>
      <c r="E1101">
        <f t="shared" si="17"/>
        <v>3</v>
      </c>
      <c r="F1101">
        <v>401000</v>
      </c>
      <c r="G1101" t="s">
        <v>41</v>
      </c>
      <c r="H1101" t="s">
        <v>858</v>
      </c>
      <c r="I1101" t="s">
        <v>859</v>
      </c>
      <c r="J1101" t="s">
        <v>1570</v>
      </c>
      <c r="K1101">
        <v>20220302</v>
      </c>
      <c r="L1101" t="s">
        <v>1571</v>
      </c>
      <c r="M1101">
        <v>69.099999999999994</v>
      </c>
      <c r="N1101">
        <v>0</v>
      </c>
      <c r="O1101" t="s">
        <v>23</v>
      </c>
      <c r="P1101">
        <v>20220704</v>
      </c>
      <c r="Q1101">
        <v>20220302</v>
      </c>
    </row>
    <row r="1102" spans="1:17" x14ac:dyDescent="0.25">
      <c r="A1102" t="s">
        <v>715</v>
      </c>
      <c r="B1102" t="s">
        <v>432</v>
      </c>
      <c r="C1102">
        <v>39</v>
      </c>
      <c r="D1102">
        <v>20220302</v>
      </c>
      <c r="E1102">
        <f t="shared" si="17"/>
        <v>3</v>
      </c>
      <c r="F1102">
        <v>512200</v>
      </c>
      <c r="G1102" t="s">
        <v>432</v>
      </c>
      <c r="H1102" t="s">
        <v>401</v>
      </c>
      <c r="I1102" t="s">
        <v>402</v>
      </c>
      <c r="J1102" t="s">
        <v>1570</v>
      </c>
      <c r="K1102">
        <v>20220302</v>
      </c>
      <c r="L1102" t="s">
        <v>1571</v>
      </c>
      <c r="M1102">
        <v>0</v>
      </c>
      <c r="N1102">
        <v>69.099999999999994</v>
      </c>
      <c r="O1102" t="s">
        <v>19</v>
      </c>
      <c r="P1102" t="s">
        <v>20</v>
      </c>
      <c r="Q1102">
        <v>20220302</v>
      </c>
    </row>
    <row r="1103" spans="1:17" x14ac:dyDescent="0.25">
      <c r="A1103" t="s">
        <v>715</v>
      </c>
      <c r="B1103" t="s">
        <v>432</v>
      </c>
      <c r="C1103">
        <v>39</v>
      </c>
      <c r="D1103">
        <v>20220302</v>
      </c>
      <c r="E1103">
        <f t="shared" si="17"/>
        <v>3</v>
      </c>
      <c r="F1103">
        <v>401000</v>
      </c>
      <c r="G1103" t="s">
        <v>41</v>
      </c>
      <c r="H1103" t="s">
        <v>52</v>
      </c>
      <c r="I1103" t="s">
        <v>53</v>
      </c>
      <c r="J1103" t="s">
        <v>1572</v>
      </c>
      <c r="K1103">
        <v>20220302</v>
      </c>
      <c r="L1103" t="s">
        <v>1573</v>
      </c>
      <c r="M1103">
        <v>65.760000000000005</v>
      </c>
      <c r="N1103">
        <v>0</v>
      </c>
      <c r="O1103" t="s">
        <v>23</v>
      </c>
      <c r="P1103">
        <v>20220704</v>
      </c>
      <c r="Q1103">
        <v>20220302</v>
      </c>
    </row>
    <row r="1104" spans="1:17" x14ac:dyDescent="0.25">
      <c r="A1104" t="s">
        <v>715</v>
      </c>
      <c r="B1104" t="s">
        <v>432</v>
      </c>
      <c r="C1104">
        <v>39</v>
      </c>
      <c r="D1104">
        <v>20220302</v>
      </c>
      <c r="E1104">
        <f t="shared" si="17"/>
        <v>3</v>
      </c>
      <c r="F1104">
        <v>512200</v>
      </c>
      <c r="G1104" t="s">
        <v>432</v>
      </c>
      <c r="H1104" t="s">
        <v>401</v>
      </c>
      <c r="I1104" t="s">
        <v>402</v>
      </c>
      <c r="J1104" t="s">
        <v>1572</v>
      </c>
      <c r="K1104">
        <v>20220302</v>
      </c>
      <c r="L1104" t="s">
        <v>1573</v>
      </c>
      <c r="M1104">
        <v>0</v>
      </c>
      <c r="N1104">
        <v>65.760000000000005</v>
      </c>
      <c r="O1104" t="s">
        <v>19</v>
      </c>
      <c r="P1104" t="s">
        <v>20</v>
      </c>
      <c r="Q1104">
        <v>20220302</v>
      </c>
    </row>
    <row r="1105" spans="1:17" x14ac:dyDescent="0.25">
      <c r="A1105" t="s">
        <v>715</v>
      </c>
      <c r="B1105" t="s">
        <v>432</v>
      </c>
      <c r="C1105">
        <v>39</v>
      </c>
      <c r="D1105">
        <v>20220303</v>
      </c>
      <c r="E1105">
        <f t="shared" si="17"/>
        <v>3</v>
      </c>
      <c r="F1105">
        <v>411100</v>
      </c>
      <c r="G1105" t="s">
        <v>18</v>
      </c>
      <c r="H1105" t="s">
        <v>265</v>
      </c>
      <c r="I1105" t="s">
        <v>266</v>
      </c>
      <c r="J1105" t="s">
        <v>1574</v>
      </c>
      <c r="K1105">
        <v>20220303</v>
      </c>
      <c r="L1105" t="s">
        <v>1575</v>
      </c>
      <c r="M1105">
        <v>46.62</v>
      </c>
      <c r="N1105">
        <v>0</v>
      </c>
      <c r="O1105" t="s">
        <v>23</v>
      </c>
      <c r="P1105">
        <v>20230213</v>
      </c>
      <c r="Q1105">
        <v>20220303</v>
      </c>
    </row>
    <row r="1106" spans="1:17" x14ac:dyDescent="0.25">
      <c r="A1106" t="s">
        <v>715</v>
      </c>
      <c r="B1106" t="s">
        <v>432</v>
      </c>
      <c r="C1106">
        <v>39</v>
      </c>
      <c r="D1106">
        <v>20220303</v>
      </c>
      <c r="E1106">
        <f t="shared" si="17"/>
        <v>3</v>
      </c>
      <c r="F1106">
        <v>512200</v>
      </c>
      <c r="G1106" t="s">
        <v>432</v>
      </c>
      <c r="H1106" t="s">
        <v>401</v>
      </c>
      <c r="I1106" t="s">
        <v>402</v>
      </c>
      <c r="J1106" t="s">
        <v>1574</v>
      </c>
      <c r="K1106">
        <v>20220303</v>
      </c>
      <c r="L1106" t="s">
        <v>1575</v>
      </c>
      <c r="M1106">
        <v>0</v>
      </c>
      <c r="N1106">
        <v>46.62</v>
      </c>
      <c r="O1106" t="s">
        <v>19</v>
      </c>
      <c r="P1106" t="s">
        <v>20</v>
      </c>
      <c r="Q1106">
        <v>20220303</v>
      </c>
    </row>
    <row r="1107" spans="1:17" x14ac:dyDescent="0.25">
      <c r="A1107" t="s">
        <v>715</v>
      </c>
      <c r="B1107" t="s">
        <v>432</v>
      </c>
      <c r="C1107">
        <v>39</v>
      </c>
      <c r="D1107">
        <v>20220307</v>
      </c>
      <c r="E1107">
        <f t="shared" si="17"/>
        <v>3</v>
      </c>
      <c r="F1107">
        <v>401000</v>
      </c>
      <c r="G1107" t="s">
        <v>41</v>
      </c>
      <c r="H1107" t="s">
        <v>846</v>
      </c>
      <c r="I1107" t="s">
        <v>847</v>
      </c>
      <c r="J1107" t="s">
        <v>1576</v>
      </c>
      <c r="K1107">
        <v>20220307</v>
      </c>
      <c r="L1107" t="s">
        <v>1577</v>
      </c>
      <c r="M1107">
        <v>123</v>
      </c>
      <c r="N1107">
        <v>0</v>
      </c>
      <c r="O1107" t="s">
        <v>23</v>
      </c>
      <c r="P1107">
        <v>20220704</v>
      </c>
      <c r="Q1107">
        <v>20220307</v>
      </c>
    </row>
    <row r="1108" spans="1:17" x14ac:dyDescent="0.25">
      <c r="A1108" t="s">
        <v>715</v>
      </c>
      <c r="B1108" t="s">
        <v>432</v>
      </c>
      <c r="C1108">
        <v>39</v>
      </c>
      <c r="D1108">
        <v>20220307</v>
      </c>
      <c r="E1108">
        <f t="shared" si="17"/>
        <v>3</v>
      </c>
      <c r="F1108">
        <v>512200</v>
      </c>
      <c r="G1108" t="s">
        <v>432</v>
      </c>
      <c r="H1108" t="s">
        <v>401</v>
      </c>
      <c r="I1108" t="s">
        <v>402</v>
      </c>
      <c r="J1108" t="s">
        <v>1576</v>
      </c>
      <c r="K1108">
        <v>20220307</v>
      </c>
      <c r="L1108" t="s">
        <v>1577</v>
      </c>
      <c r="M1108">
        <v>0</v>
      </c>
      <c r="N1108">
        <v>123</v>
      </c>
      <c r="O1108" t="s">
        <v>19</v>
      </c>
      <c r="P1108" t="s">
        <v>20</v>
      </c>
      <c r="Q1108">
        <v>20220307</v>
      </c>
    </row>
    <row r="1109" spans="1:17" x14ac:dyDescent="0.25">
      <c r="A1109" t="s">
        <v>715</v>
      </c>
      <c r="B1109" t="s">
        <v>432</v>
      </c>
      <c r="C1109">
        <v>39</v>
      </c>
      <c r="D1109">
        <v>20220307</v>
      </c>
      <c r="E1109">
        <f t="shared" si="17"/>
        <v>3</v>
      </c>
      <c r="F1109">
        <v>401000</v>
      </c>
      <c r="G1109" t="s">
        <v>41</v>
      </c>
      <c r="H1109" t="s">
        <v>52</v>
      </c>
      <c r="I1109" t="s">
        <v>53</v>
      </c>
      <c r="J1109" t="s">
        <v>1578</v>
      </c>
      <c r="K1109">
        <v>20220307</v>
      </c>
      <c r="L1109" t="s">
        <v>1579</v>
      </c>
      <c r="M1109">
        <v>62.4</v>
      </c>
      <c r="N1109">
        <v>0</v>
      </c>
      <c r="O1109" t="s">
        <v>23</v>
      </c>
      <c r="P1109">
        <v>20220919</v>
      </c>
      <c r="Q1109">
        <v>20220307</v>
      </c>
    </row>
    <row r="1110" spans="1:17" x14ac:dyDescent="0.25">
      <c r="A1110" t="s">
        <v>715</v>
      </c>
      <c r="B1110" t="s">
        <v>432</v>
      </c>
      <c r="C1110">
        <v>39</v>
      </c>
      <c r="D1110">
        <v>20220307</v>
      </c>
      <c r="E1110">
        <f t="shared" si="17"/>
        <v>3</v>
      </c>
      <c r="F1110">
        <v>512200</v>
      </c>
      <c r="G1110" t="s">
        <v>432</v>
      </c>
      <c r="H1110" t="s">
        <v>401</v>
      </c>
      <c r="I1110" t="s">
        <v>402</v>
      </c>
      <c r="J1110" t="s">
        <v>1578</v>
      </c>
      <c r="K1110">
        <v>20220307</v>
      </c>
      <c r="L1110" t="s">
        <v>1579</v>
      </c>
      <c r="M1110">
        <v>0</v>
      </c>
      <c r="N1110">
        <v>62.4</v>
      </c>
      <c r="O1110" t="s">
        <v>19</v>
      </c>
      <c r="P1110" t="s">
        <v>20</v>
      </c>
      <c r="Q1110">
        <v>20220307</v>
      </c>
    </row>
    <row r="1111" spans="1:17" x14ac:dyDescent="0.25">
      <c r="A1111" t="s">
        <v>715</v>
      </c>
      <c r="B1111" t="s">
        <v>432</v>
      </c>
      <c r="C1111">
        <v>39</v>
      </c>
      <c r="D1111">
        <v>20220307</v>
      </c>
      <c r="E1111">
        <f t="shared" si="17"/>
        <v>3</v>
      </c>
      <c r="F1111">
        <v>401000</v>
      </c>
      <c r="G1111" t="s">
        <v>41</v>
      </c>
      <c r="H1111" t="s">
        <v>52</v>
      </c>
      <c r="I1111" t="s">
        <v>53</v>
      </c>
      <c r="J1111" t="s">
        <v>1580</v>
      </c>
      <c r="K1111">
        <v>20220307</v>
      </c>
      <c r="L1111" t="s">
        <v>1581</v>
      </c>
      <c r="M1111">
        <v>322.8</v>
      </c>
      <c r="N1111">
        <v>0</v>
      </c>
      <c r="O1111" t="s">
        <v>23</v>
      </c>
      <c r="P1111">
        <v>20220704</v>
      </c>
      <c r="Q1111">
        <v>20220307</v>
      </c>
    </row>
    <row r="1112" spans="1:17" x14ac:dyDescent="0.25">
      <c r="A1112" t="s">
        <v>715</v>
      </c>
      <c r="B1112" t="s">
        <v>432</v>
      </c>
      <c r="C1112">
        <v>39</v>
      </c>
      <c r="D1112">
        <v>20220307</v>
      </c>
      <c r="E1112">
        <f t="shared" si="17"/>
        <v>3</v>
      </c>
      <c r="F1112">
        <v>512200</v>
      </c>
      <c r="G1112" t="s">
        <v>432</v>
      </c>
      <c r="H1112" t="s">
        <v>401</v>
      </c>
      <c r="I1112" t="s">
        <v>402</v>
      </c>
      <c r="J1112" t="s">
        <v>1580</v>
      </c>
      <c r="K1112">
        <v>20220307</v>
      </c>
      <c r="L1112" t="s">
        <v>1581</v>
      </c>
      <c r="M1112">
        <v>0</v>
      </c>
      <c r="N1112">
        <v>322.8</v>
      </c>
      <c r="O1112" t="s">
        <v>19</v>
      </c>
      <c r="P1112" t="s">
        <v>20</v>
      </c>
      <c r="Q1112">
        <v>20220307</v>
      </c>
    </row>
    <row r="1113" spans="1:17" x14ac:dyDescent="0.25">
      <c r="A1113" t="s">
        <v>715</v>
      </c>
      <c r="B1113" t="s">
        <v>432</v>
      </c>
      <c r="C1113">
        <v>39</v>
      </c>
      <c r="D1113">
        <v>20220308</v>
      </c>
      <c r="E1113">
        <f t="shared" si="17"/>
        <v>3</v>
      </c>
      <c r="F1113">
        <v>512200</v>
      </c>
      <c r="G1113" t="s">
        <v>432</v>
      </c>
      <c r="H1113" t="s">
        <v>401</v>
      </c>
      <c r="I1113" t="s">
        <v>402</v>
      </c>
      <c r="J1113" t="s">
        <v>1582</v>
      </c>
      <c r="K1113">
        <v>20220308</v>
      </c>
      <c r="L1113" t="s">
        <v>1583</v>
      </c>
      <c r="M1113">
        <v>4679.08</v>
      </c>
      <c r="N1113">
        <v>0</v>
      </c>
      <c r="O1113" t="s">
        <v>19</v>
      </c>
      <c r="P1113" t="s">
        <v>20</v>
      </c>
      <c r="Q1113">
        <v>20220308</v>
      </c>
    </row>
    <row r="1114" spans="1:17" x14ac:dyDescent="0.25">
      <c r="A1114" t="s">
        <v>715</v>
      </c>
      <c r="B1114" t="s">
        <v>432</v>
      </c>
      <c r="C1114">
        <v>39</v>
      </c>
      <c r="D1114">
        <v>20220308</v>
      </c>
      <c r="E1114">
        <f t="shared" si="17"/>
        <v>3</v>
      </c>
      <c r="F1114">
        <v>511000</v>
      </c>
      <c r="G1114" t="s">
        <v>431</v>
      </c>
      <c r="H1114" t="s">
        <v>401</v>
      </c>
      <c r="I1114" t="s">
        <v>402</v>
      </c>
      <c r="J1114" t="s">
        <v>1582</v>
      </c>
      <c r="K1114">
        <v>20220308</v>
      </c>
      <c r="L1114" t="s">
        <v>1583</v>
      </c>
      <c r="M1114">
        <v>0</v>
      </c>
      <c r="N1114">
        <v>4679.08</v>
      </c>
      <c r="O1114" t="s">
        <v>23</v>
      </c>
      <c r="P1114">
        <v>20221017</v>
      </c>
      <c r="Q1114">
        <v>20220308</v>
      </c>
    </row>
    <row r="1115" spans="1:17" x14ac:dyDescent="0.25">
      <c r="A1115" t="s">
        <v>715</v>
      </c>
      <c r="B1115" t="s">
        <v>432</v>
      </c>
      <c r="C1115">
        <v>39</v>
      </c>
      <c r="D1115">
        <v>20220309</v>
      </c>
      <c r="E1115">
        <f t="shared" si="17"/>
        <v>3</v>
      </c>
      <c r="F1115">
        <v>512200</v>
      </c>
      <c r="G1115" t="s">
        <v>432</v>
      </c>
      <c r="H1115" t="s">
        <v>401</v>
      </c>
      <c r="I1115" t="s">
        <v>402</v>
      </c>
      <c r="J1115" t="s">
        <v>1440</v>
      </c>
      <c r="K1115">
        <v>20220309</v>
      </c>
      <c r="L1115" t="s">
        <v>625</v>
      </c>
      <c r="M1115">
        <v>3000</v>
      </c>
      <c r="N1115">
        <v>0</v>
      </c>
      <c r="O1115" t="s">
        <v>19</v>
      </c>
      <c r="P1115" t="s">
        <v>20</v>
      </c>
      <c r="Q1115">
        <v>20220309</v>
      </c>
    </row>
    <row r="1116" spans="1:17" x14ac:dyDescent="0.25">
      <c r="A1116" t="s">
        <v>715</v>
      </c>
      <c r="B1116" t="s">
        <v>432</v>
      </c>
      <c r="C1116">
        <v>39</v>
      </c>
      <c r="D1116">
        <v>20220309</v>
      </c>
      <c r="E1116">
        <f t="shared" si="17"/>
        <v>3</v>
      </c>
      <c r="F1116">
        <v>580000</v>
      </c>
      <c r="G1116" t="s">
        <v>532</v>
      </c>
      <c r="H1116" t="s">
        <v>401</v>
      </c>
      <c r="I1116" t="s">
        <v>402</v>
      </c>
      <c r="J1116" t="s">
        <v>1440</v>
      </c>
      <c r="K1116">
        <v>20220309</v>
      </c>
      <c r="L1116" t="s">
        <v>625</v>
      </c>
      <c r="M1116">
        <v>0</v>
      </c>
      <c r="N1116">
        <v>3000</v>
      </c>
      <c r="O1116" t="s">
        <v>22</v>
      </c>
      <c r="P1116">
        <v>20220309</v>
      </c>
      <c r="Q1116">
        <v>20220309</v>
      </c>
    </row>
    <row r="1117" spans="1:17" x14ac:dyDescent="0.25">
      <c r="A1117" t="s">
        <v>715</v>
      </c>
      <c r="B1117" t="s">
        <v>432</v>
      </c>
      <c r="C1117">
        <v>39</v>
      </c>
      <c r="D1117">
        <v>20220309</v>
      </c>
      <c r="E1117">
        <f t="shared" si="17"/>
        <v>3</v>
      </c>
      <c r="F1117">
        <v>401000</v>
      </c>
      <c r="G1117" t="s">
        <v>41</v>
      </c>
      <c r="H1117" t="s">
        <v>764</v>
      </c>
      <c r="I1117" t="s">
        <v>765</v>
      </c>
      <c r="J1117" t="s">
        <v>1584</v>
      </c>
      <c r="K1117">
        <v>20220309</v>
      </c>
      <c r="L1117" t="s">
        <v>1585</v>
      </c>
      <c r="M1117">
        <v>40</v>
      </c>
      <c r="N1117">
        <v>0</v>
      </c>
      <c r="O1117" t="s">
        <v>23</v>
      </c>
      <c r="P1117">
        <v>20220309</v>
      </c>
      <c r="Q1117">
        <v>20220309</v>
      </c>
    </row>
    <row r="1118" spans="1:17" x14ac:dyDescent="0.25">
      <c r="A1118" t="s">
        <v>715</v>
      </c>
      <c r="B1118" t="s">
        <v>432</v>
      </c>
      <c r="C1118">
        <v>39</v>
      </c>
      <c r="D1118">
        <v>20220309</v>
      </c>
      <c r="E1118">
        <f t="shared" si="17"/>
        <v>3</v>
      </c>
      <c r="F1118">
        <v>512200</v>
      </c>
      <c r="G1118" t="s">
        <v>432</v>
      </c>
      <c r="H1118" t="s">
        <v>401</v>
      </c>
      <c r="I1118" t="s">
        <v>402</v>
      </c>
      <c r="J1118" t="s">
        <v>1584</v>
      </c>
      <c r="K1118">
        <v>20220309</v>
      </c>
      <c r="L1118" t="s">
        <v>1585</v>
      </c>
      <c r="M1118">
        <v>0</v>
      </c>
      <c r="N1118">
        <v>40</v>
      </c>
      <c r="O1118" t="s">
        <v>19</v>
      </c>
      <c r="P1118" t="s">
        <v>20</v>
      </c>
      <c r="Q1118">
        <v>20220309</v>
      </c>
    </row>
    <row r="1119" spans="1:17" x14ac:dyDescent="0.25">
      <c r="A1119" t="s">
        <v>715</v>
      </c>
      <c r="B1119" t="s">
        <v>432</v>
      </c>
      <c r="C1119">
        <v>39</v>
      </c>
      <c r="D1119">
        <v>20220309</v>
      </c>
      <c r="E1119">
        <f t="shared" si="17"/>
        <v>3</v>
      </c>
      <c r="F1119">
        <v>401000</v>
      </c>
      <c r="G1119" t="s">
        <v>41</v>
      </c>
      <c r="H1119" t="s">
        <v>844</v>
      </c>
      <c r="I1119" t="s">
        <v>845</v>
      </c>
      <c r="J1119" t="s">
        <v>1586</v>
      </c>
      <c r="K1119">
        <v>20220309</v>
      </c>
      <c r="L1119" t="s">
        <v>1587</v>
      </c>
      <c r="M1119">
        <v>368</v>
      </c>
      <c r="N1119">
        <v>0</v>
      </c>
      <c r="O1119" t="s">
        <v>23</v>
      </c>
      <c r="P1119">
        <v>20220704</v>
      </c>
      <c r="Q1119">
        <v>20220309</v>
      </c>
    </row>
    <row r="1120" spans="1:17" x14ac:dyDescent="0.25">
      <c r="A1120" t="s">
        <v>715</v>
      </c>
      <c r="B1120" t="s">
        <v>432</v>
      </c>
      <c r="C1120">
        <v>39</v>
      </c>
      <c r="D1120">
        <v>20220309</v>
      </c>
      <c r="E1120">
        <f t="shared" si="17"/>
        <v>3</v>
      </c>
      <c r="F1120">
        <v>512200</v>
      </c>
      <c r="G1120" t="s">
        <v>432</v>
      </c>
      <c r="H1120" t="s">
        <v>401</v>
      </c>
      <c r="I1120" t="s">
        <v>402</v>
      </c>
      <c r="J1120" t="s">
        <v>1586</v>
      </c>
      <c r="K1120">
        <v>20220309</v>
      </c>
      <c r="L1120" t="s">
        <v>1587</v>
      </c>
      <c r="M1120">
        <v>0</v>
      </c>
      <c r="N1120">
        <v>368</v>
      </c>
      <c r="O1120" t="s">
        <v>19</v>
      </c>
      <c r="P1120" t="s">
        <v>20</v>
      </c>
      <c r="Q1120">
        <v>20220309</v>
      </c>
    </row>
    <row r="1121" spans="1:17" x14ac:dyDescent="0.25">
      <c r="A1121" t="s">
        <v>715</v>
      </c>
      <c r="B1121" t="s">
        <v>432</v>
      </c>
      <c r="C1121">
        <v>39</v>
      </c>
      <c r="D1121">
        <v>20220309</v>
      </c>
      <c r="E1121">
        <f t="shared" si="17"/>
        <v>3</v>
      </c>
      <c r="F1121">
        <v>401000</v>
      </c>
      <c r="G1121" t="s">
        <v>41</v>
      </c>
      <c r="H1121" t="s">
        <v>97</v>
      </c>
      <c r="I1121" t="s">
        <v>98</v>
      </c>
      <c r="J1121" t="s">
        <v>1588</v>
      </c>
      <c r="K1121">
        <v>20220309</v>
      </c>
      <c r="L1121" t="s">
        <v>1589</v>
      </c>
      <c r="M1121">
        <v>173.41</v>
      </c>
      <c r="N1121">
        <v>0</v>
      </c>
      <c r="O1121" t="s">
        <v>23</v>
      </c>
      <c r="P1121">
        <v>20220704</v>
      </c>
      <c r="Q1121">
        <v>20220309</v>
      </c>
    </row>
    <row r="1122" spans="1:17" x14ac:dyDescent="0.25">
      <c r="A1122" t="s">
        <v>715</v>
      </c>
      <c r="B1122" t="s">
        <v>432</v>
      </c>
      <c r="C1122">
        <v>39</v>
      </c>
      <c r="D1122">
        <v>20220309</v>
      </c>
      <c r="E1122">
        <f t="shared" si="17"/>
        <v>3</v>
      </c>
      <c r="F1122">
        <v>512200</v>
      </c>
      <c r="G1122" t="s">
        <v>432</v>
      </c>
      <c r="H1122" t="s">
        <v>401</v>
      </c>
      <c r="I1122" t="s">
        <v>402</v>
      </c>
      <c r="J1122" t="s">
        <v>1588</v>
      </c>
      <c r="K1122">
        <v>20220309</v>
      </c>
      <c r="L1122" t="s">
        <v>1589</v>
      </c>
      <c r="M1122">
        <v>0</v>
      </c>
      <c r="N1122">
        <v>173.41</v>
      </c>
      <c r="O1122" t="s">
        <v>19</v>
      </c>
      <c r="P1122" t="s">
        <v>20</v>
      </c>
      <c r="Q1122">
        <v>20220309</v>
      </c>
    </row>
    <row r="1123" spans="1:17" x14ac:dyDescent="0.25">
      <c r="A1123" t="s">
        <v>715</v>
      </c>
      <c r="B1123" t="s">
        <v>432</v>
      </c>
      <c r="C1123">
        <v>39</v>
      </c>
      <c r="D1123">
        <v>20220310</v>
      </c>
      <c r="E1123">
        <f t="shared" si="17"/>
        <v>3</v>
      </c>
      <c r="F1123">
        <v>627000</v>
      </c>
      <c r="G1123" t="s">
        <v>480</v>
      </c>
      <c r="H1123" t="s">
        <v>401</v>
      </c>
      <c r="I1123" t="s">
        <v>402</v>
      </c>
      <c r="J1123" t="s">
        <v>1590</v>
      </c>
      <c r="K1123">
        <v>20220310</v>
      </c>
      <c r="L1123" t="s">
        <v>482</v>
      </c>
      <c r="M1123">
        <v>19.28</v>
      </c>
      <c r="N1123">
        <v>0</v>
      </c>
      <c r="O1123" t="s">
        <v>19</v>
      </c>
      <c r="P1123" t="s">
        <v>20</v>
      </c>
      <c r="Q1123">
        <v>20220310</v>
      </c>
    </row>
    <row r="1124" spans="1:17" x14ac:dyDescent="0.25">
      <c r="A1124" t="s">
        <v>715</v>
      </c>
      <c r="B1124" t="s">
        <v>432</v>
      </c>
      <c r="C1124">
        <v>39</v>
      </c>
      <c r="D1124">
        <v>20220310</v>
      </c>
      <c r="E1124">
        <f t="shared" si="17"/>
        <v>3</v>
      </c>
      <c r="F1124">
        <v>512200</v>
      </c>
      <c r="G1124" t="s">
        <v>432</v>
      </c>
      <c r="H1124" t="s">
        <v>401</v>
      </c>
      <c r="I1124" t="s">
        <v>402</v>
      </c>
      <c r="J1124" t="s">
        <v>1590</v>
      </c>
      <c r="K1124">
        <v>20220310</v>
      </c>
      <c r="L1124" t="s">
        <v>482</v>
      </c>
      <c r="M1124">
        <v>0</v>
      </c>
      <c r="N1124">
        <v>19.28</v>
      </c>
      <c r="O1124" t="s">
        <v>19</v>
      </c>
      <c r="P1124" t="s">
        <v>20</v>
      </c>
      <c r="Q1124">
        <v>20220310</v>
      </c>
    </row>
    <row r="1125" spans="1:17" x14ac:dyDescent="0.25">
      <c r="A1125" t="s">
        <v>715</v>
      </c>
      <c r="B1125" t="s">
        <v>432</v>
      </c>
      <c r="C1125">
        <v>39</v>
      </c>
      <c r="D1125">
        <v>20220310</v>
      </c>
      <c r="E1125">
        <f t="shared" si="17"/>
        <v>3</v>
      </c>
      <c r="F1125">
        <v>401000</v>
      </c>
      <c r="G1125" t="s">
        <v>41</v>
      </c>
      <c r="H1125" t="s">
        <v>848</v>
      </c>
      <c r="I1125" t="s">
        <v>849</v>
      </c>
      <c r="J1125" t="s">
        <v>1591</v>
      </c>
      <c r="K1125">
        <v>20220310</v>
      </c>
      <c r="L1125" t="s">
        <v>1592</v>
      </c>
      <c r="M1125">
        <v>200</v>
      </c>
      <c r="N1125">
        <v>0</v>
      </c>
      <c r="O1125" t="s">
        <v>23</v>
      </c>
      <c r="P1125">
        <v>20220704</v>
      </c>
      <c r="Q1125">
        <v>20220310</v>
      </c>
    </row>
    <row r="1126" spans="1:17" x14ac:dyDescent="0.25">
      <c r="A1126" t="s">
        <v>715</v>
      </c>
      <c r="B1126" t="s">
        <v>432</v>
      </c>
      <c r="C1126">
        <v>39</v>
      </c>
      <c r="D1126">
        <v>20220310</v>
      </c>
      <c r="E1126">
        <f t="shared" si="17"/>
        <v>3</v>
      </c>
      <c r="F1126">
        <v>512200</v>
      </c>
      <c r="G1126" t="s">
        <v>432</v>
      </c>
      <c r="H1126" t="s">
        <v>401</v>
      </c>
      <c r="I1126" t="s">
        <v>402</v>
      </c>
      <c r="J1126" t="s">
        <v>1591</v>
      </c>
      <c r="K1126">
        <v>20220310</v>
      </c>
      <c r="L1126" t="s">
        <v>1592</v>
      </c>
      <c r="M1126">
        <v>0</v>
      </c>
      <c r="N1126">
        <v>200</v>
      </c>
      <c r="O1126" t="s">
        <v>19</v>
      </c>
      <c r="P1126" t="s">
        <v>20</v>
      </c>
      <c r="Q1126">
        <v>20220310</v>
      </c>
    </row>
    <row r="1127" spans="1:17" x14ac:dyDescent="0.25">
      <c r="A1127" t="s">
        <v>715</v>
      </c>
      <c r="B1127" t="s">
        <v>432</v>
      </c>
      <c r="C1127">
        <v>39</v>
      </c>
      <c r="D1127">
        <v>20220310</v>
      </c>
      <c r="E1127">
        <f t="shared" si="17"/>
        <v>3</v>
      </c>
      <c r="F1127">
        <v>401000</v>
      </c>
      <c r="G1127" t="s">
        <v>41</v>
      </c>
      <c r="H1127" t="s">
        <v>848</v>
      </c>
      <c r="I1127" t="s">
        <v>849</v>
      </c>
      <c r="J1127" t="s">
        <v>1593</v>
      </c>
      <c r="K1127">
        <v>20220310</v>
      </c>
      <c r="L1127" t="s">
        <v>1592</v>
      </c>
      <c r="M1127">
        <v>290</v>
      </c>
      <c r="N1127">
        <v>0</v>
      </c>
      <c r="O1127" t="s">
        <v>23</v>
      </c>
      <c r="P1127">
        <v>20220704</v>
      </c>
      <c r="Q1127">
        <v>20220310</v>
      </c>
    </row>
    <row r="1128" spans="1:17" x14ac:dyDescent="0.25">
      <c r="A1128" t="s">
        <v>715</v>
      </c>
      <c r="B1128" t="s">
        <v>432</v>
      </c>
      <c r="C1128">
        <v>39</v>
      </c>
      <c r="D1128">
        <v>20220310</v>
      </c>
      <c r="E1128">
        <f t="shared" si="17"/>
        <v>3</v>
      </c>
      <c r="F1128">
        <v>512200</v>
      </c>
      <c r="G1128" t="s">
        <v>432</v>
      </c>
      <c r="H1128" t="s">
        <v>401</v>
      </c>
      <c r="I1128" t="s">
        <v>402</v>
      </c>
      <c r="J1128" t="s">
        <v>1593</v>
      </c>
      <c r="K1128">
        <v>20220310</v>
      </c>
      <c r="L1128" t="s">
        <v>1592</v>
      </c>
      <c r="M1128">
        <v>0</v>
      </c>
      <c r="N1128">
        <v>290</v>
      </c>
      <c r="O1128" t="s">
        <v>19</v>
      </c>
      <c r="P1128" t="s">
        <v>20</v>
      </c>
      <c r="Q1128">
        <v>20220310</v>
      </c>
    </row>
    <row r="1129" spans="1:17" x14ac:dyDescent="0.25">
      <c r="A1129" t="s">
        <v>715</v>
      </c>
      <c r="B1129" t="s">
        <v>432</v>
      </c>
      <c r="C1129">
        <v>39</v>
      </c>
      <c r="D1129">
        <v>20220316</v>
      </c>
      <c r="E1129">
        <f t="shared" si="17"/>
        <v>3</v>
      </c>
      <c r="F1129">
        <v>401000</v>
      </c>
      <c r="G1129" t="s">
        <v>41</v>
      </c>
      <c r="H1129" t="s">
        <v>854</v>
      </c>
      <c r="I1129" t="s">
        <v>855</v>
      </c>
      <c r="J1129" t="s">
        <v>1594</v>
      </c>
      <c r="K1129">
        <v>20220316</v>
      </c>
      <c r="L1129" t="s">
        <v>1595</v>
      </c>
      <c r="M1129">
        <v>44</v>
      </c>
      <c r="N1129">
        <v>0</v>
      </c>
      <c r="O1129" t="s">
        <v>23</v>
      </c>
      <c r="P1129">
        <v>20220704</v>
      </c>
      <c r="Q1129">
        <v>20220316</v>
      </c>
    </row>
    <row r="1130" spans="1:17" x14ac:dyDescent="0.25">
      <c r="A1130" t="s">
        <v>715</v>
      </c>
      <c r="B1130" t="s">
        <v>432</v>
      </c>
      <c r="C1130">
        <v>39</v>
      </c>
      <c r="D1130">
        <v>20220316</v>
      </c>
      <c r="E1130">
        <f t="shared" si="17"/>
        <v>3</v>
      </c>
      <c r="F1130">
        <v>512200</v>
      </c>
      <c r="G1130" t="s">
        <v>432</v>
      </c>
      <c r="H1130" t="s">
        <v>401</v>
      </c>
      <c r="I1130" t="s">
        <v>402</v>
      </c>
      <c r="J1130" t="s">
        <v>1594</v>
      </c>
      <c r="K1130">
        <v>20220316</v>
      </c>
      <c r="L1130" t="s">
        <v>1595</v>
      </c>
      <c r="M1130">
        <v>0</v>
      </c>
      <c r="N1130">
        <v>44</v>
      </c>
      <c r="O1130" t="s">
        <v>19</v>
      </c>
      <c r="P1130" t="s">
        <v>20</v>
      </c>
      <c r="Q1130">
        <v>20220316</v>
      </c>
    </row>
    <row r="1131" spans="1:17" x14ac:dyDescent="0.25">
      <c r="A1131" t="s">
        <v>715</v>
      </c>
      <c r="B1131" t="s">
        <v>432</v>
      </c>
      <c r="C1131">
        <v>39</v>
      </c>
      <c r="D1131">
        <v>20220316</v>
      </c>
      <c r="E1131">
        <f t="shared" si="17"/>
        <v>3</v>
      </c>
      <c r="F1131">
        <v>401000</v>
      </c>
      <c r="G1131" t="s">
        <v>41</v>
      </c>
      <c r="H1131" t="s">
        <v>470</v>
      </c>
      <c r="I1131" t="s">
        <v>471</v>
      </c>
      <c r="J1131" t="s">
        <v>1596</v>
      </c>
      <c r="K1131">
        <v>20220316</v>
      </c>
      <c r="L1131" t="s">
        <v>1597</v>
      </c>
      <c r="M1131">
        <v>125.97</v>
      </c>
      <c r="N1131">
        <v>0</v>
      </c>
      <c r="O1131" t="s">
        <v>23</v>
      </c>
      <c r="P1131">
        <v>20220704</v>
      </c>
      <c r="Q1131">
        <v>20220316</v>
      </c>
    </row>
    <row r="1132" spans="1:17" x14ac:dyDescent="0.25">
      <c r="A1132" t="s">
        <v>715</v>
      </c>
      <c r="B1132" t="s">
        <v>432</v>
      </c>
      <c r="C1132">
        <v>39</v>
      </c>
      <c r="D1132">
        <v>20220316</v>
      </c>
      <c r="E1132">
        <f t="shared" si="17"/>
        <v>3</v>
      </c>
      <c r="F1132">
        <v>512200</v>
      </c>
      <c r="G1132" t="s">
        <v>432</v>
      </c>
      <c r="H1132" t="s">
        <v>401</v>
      </c>
      <c r="I1132" t="s">
        <v>402</v>
      </c>
      <c r="J1132" t="s">
        <v>1596</v>
      </c>
      <c r="K1132">
        <v>20220316</v>
      </c>
      <c r="L1132" t="s">
        <v>1597</v>
      </c>
      <c r="M1132">
        <v>0</v>
      </c>
      <c r="N1132">
        <v>125.97</v>
      </c>
      <c r="O1132" t="s">
        <v>19</v>
      </c>
      <c r="P1132" t="s">
        <v>20</v>
      </c>
      <c r="Q1132">
        <v>20220316</v>
      </c>
    </row>
    <row r="1133" spans="1:17" x14ac:dyDescent="0.25">
      <c r="A1133" t="s">
        <v>715</v>
      </c>
      <c r="B1133" t="s">
        <v>432</v>
      </c>
      <c r="C1133">
        <v>39</v>
      </c>
      <c r="D1133">
        <v>20220316</v>
      </c>
      <c r="E1133">
        <f t="shared" si="17"/>
        <v>3</v>
      </c>
      <c r="F1133">
        <v>401000</v>
      </c>
      <c r="G1133" t="s">
        <v>41</v>
      </c>
      <c r="H1133" t="s">
        <v>52</v>
      </c>
      <c r="I1133" t="s">
        <v>53</v>
      </c>
      <c r="J1133" t="s">
        <v>1598</v>
      </c>
      <c r="K1133">
        <v>20220316</v>
      </c>
      <c r="L1133" t="s">
        <v>1599</v>
      </c>
      <c r="M1133">
        <v>66</v>
      </c>
      <c r="N1133">
        <v>0</v>
      </c>
      <c r="O1133" t="s">
        <v>23</v>
      </c>
      <c r="P1133">
        <v>20220919</v>
      </c>
      <c r="Q1133">
        <v>20220316</v>
      </c>
    </row>
    <row r="1134" spans="1:17" x14ac:dyDescent="0.25">
      <c r="A1134" t="s">
        <v>715</v>
      </c>
      <c r="B1134" t="s">
        <v>432</v>
      </c>
      <c r="C1134">
        <v>39</v>
      </c>
      <c r="D1134">
        <v>20220316</v>
      </c>
      <c r="E1134">
        <f t="shared" si="17"/>
        <v>3</v>
      </c>
      <c r="F1134">
        <v>512200</v>
      </c>
      <c r="G1134" t="s">
        <v>432</v>
      </c>
      <c r="H1134" t="s">
        <v>401</v>
      </c>
      <c r="I1134" t="s">
        <v>402</v>
      </c>
      <c r="J1134" t="s">
        <v>1598</v>
      </c>
      <c r="K1134">
        <v>20220316</v>
      </c>
      <c r="L1134" t="s">
        <v>1599</v>
      </c>
      <c r="M1134">
        <v>0</v>
      </c>
      <c r="N1134">
        <v>66</v>
      </c>
      <c r="O1134" t="s">
        <v>19</v>
      </c>
      <c r="P1134" t="s">
        <v>20</v>
      </c>
      <c r="Q1134">
        <v>20220316</v>
      </c>
    </row>
    <row r="1135" spans="1:17" x14ac:dyDescent="0.25">
      <c r="A1135" t="s">
        <v>715</v>
      </c>
      <c r="B1135" t="s">
        <v>432</v>
      </c>
      <c r="C1135">
        <v>39</v>
      </c>
      <c r="D1135">
        <v>20220316</v>
      </c>
      <c r="E1135">
        <f t="shared" si="17"/>
        <v>3</v>
      </c>
      <c r="F1135">
        <v>411000</v>
      </c>
      <c r="G1135" t="s">
        <v>21</v>
      </c>
      <c r="H1135" t="s">
        <v>200</v>
      </c>
      <c r="I1135" t="s">
        <v>201</v>
      </c>
      <c r="J1135" t="s">
        <v>1600</v>
      </c>
      <c r="K1135">
        <v>20220316</v>
      </c>
      <c r="L1135" t="s">
        <v>1601</v>
      </c>
      <c r="M1135">
        <v>0</v>
      </c>
      <c r="N1135">
        <v>845.78</v>
      </c>
      <c r="O1135" t="s">
        <v>23</v>
      </c>
      <c r="P1135">
        <v>20221110</v>
      </c>
      <c r="Q1135">
        <v>20220316</v>
      </c>
    </row>
    <row r="1136" spans="1:17" x14ac:dyDescent="0.25">
      <c r="A1136" t="s">
        <v>715</v>
      </c>
      <c r="B1136" t="s">
        <v>432</v>
      </c>
      <c r="C1136">
        <v>39</v>
      </c>
      <c r="D1136">
        <v>20220316</v>
      </c>
      <c r="E1136">
        <f t="shared" si="17"/>
        <v>3</v>
      </c>
      <c r="F1136">
        <v>512200</v>
      </c>
      <c r="G1136" t="s">
        <v>432</v>
      </c>
      <c r="H1136" t="s">
        <v>401</v>
      </c>
      <c r="I1136" t="s">
        <v>402</v>
      </c>
      <c r="J1136" t="s">
        <v>1600</v>
      </c>
      <c r="K1136">
        <v>20220316</v>
      </c>
      <c r="L1136" t="s">
        <v>1601</v>
      </c>
      <c r="M1136">
        <v>845.78</v>
      </c>
      <c r="N1136">
        <v>0</v>
      </c>
      <c r="O1136" t="s">
        <v>19</v>
      </c>
      <c r="P1136" t="s">
        <v>20</v>
      </c>
      <c r="Q1136">
        <v>20220316</v>
      </c>
    </row>
    <row r="1137" spans="1:17" x14ac:dyDescent="0.25">
      <c r="A1137" t="s">
        <v>715</v>
      </c>
      <c r="B1137" t="s">
        <v>432</v>
      </c>
      <c r="C1137">
        <v>39</v>
      </c>
      <c r="D1137">
        <v>20220316</v>
      </c>
      <c r="E1137">
        <f t="shared" si="17"/>
        <v>3</v>
      </c>
      <c r="F1137">
        <v>401000</v>
      </c>
      <c r="G1137" t="s">
        <v>41</v>
      </c>
      <c r="H1137" t="s">
        <v>1319</v>
      </c>
      <c r="I1137" t="s">
        <v>1320</v>
      </c>
      <c r="J1137" t="s">
        <v>1602</v>
      </c>
      <c r="K1137">
        <v>20220316</v>
      </c>
      <c r="L1137" t="s">
        <v>1603</v>
      </c>
      <c r="M1137">
        <v>204</v>
      </c>
      <c r="N1137">
        <v>0</v>
      </c>
      <c r="O1137" t="s">
        <v>23</v>
      </c>
      <c r="P1137">
        <v>20220704</v>
      </c>
      <c r="Q1137">
        <v>20220316</v>
      </c>
    </row>
    <row r="1138" spans="1:17" x14ac:dyDescent="0.25">
      <c r="A1138" t="s">
        <v>715</v>
      </c>
      <c r="B1138" t="s">
        <v>432</v>
      </c>
      <c r="C1138">
        <v>39</v>
      </c>
      <c r="D1138">
        <v>20220316</v>
      </c>
      <c r="E1138">
        <f t="shared" si="17"/>
        <v>3</v>
      </c>
      <c r="F1138">
        <v>512200</v>
      </c>
      <c r="G1138" t="s">
        <v>432</v>
      </c>
      <c r="H1138" t="s">
        <v>401</v>
      </c>
      <c r="I1138" t="s">
        <v>402</v>
      </c>
      <c r="J1138" t="s">
        <v>1602</v>
      </c>
      <c r="K1138">
        <v>20220316</v>
      </c>
      <c r="L1138" t="s">
        <v>1603</v>
      </c>
      <c r="M1138">
        <v>0</v>
      </c>
      <c r="N1138">
        <v>204</v>
      </c>
      <c r="O1138" t="s">
        <v>19</v>
      </c>
      <c r="P1138" t="s">
        <v>20</v>
      </c>
      <c r="Q1138">
        <v>20220316</v>
      </c>
    </row>
    <row r="1139" spans="1:17" x14ac:dyDescent="0.25">
      <c r="A1139" t="s">
        <v>715</v>
      </c>
      <c r="B1139" t="s">
        <v>432</v>
      </c>
      <c r="C1139">
        <v>39</v>
      </c>
      <c r="D1139">
        <v>20220323</v>
      </c>
      <c r="E1139">
        <f t="shared" si="17"/>
        <v>3</v>
      </c>
      <c r="F1139">
        <v>512200</v>
      </c>
      <c r="G1139" t="s">
        <v>432</v>
      </c>
      <c r="H1139" t="s">
        <v>401</v>
      </c>
      <c r="I1139" t="s">
        <v>402</v>
      </c>
      <c r="J1139" t="s">
        <v>1604</v>
      </c>
      <c r="K1139">
        <v>20220323</v>
      </c>
      <c r="L1139" t="s">
        <v>1605</v>
      </c>
      <c r="M1139">
        <v>2498.96</v>
      </c>
      <c r="N1139">
        <v>0</v>
      </c>
      <c r="O1139" t="s">
        <v>19</v>
      </c>
      <c r="P1139" t="s">
        <v>20</v>
      </c>
      <c r="Q1139">
        <v>20220323</v>
      </c>
    </row>
    <row r="1140" spans="1:17" x14ac:dyDescent="0.25">
      <c r="A1140" t="s">
        <v>715</v>
      </c>
      <c r="B1140" t="s">
        <v>432</v>
      </c>
      <c r="C1140">
        <v>39</v>
      </c>
      <c r="D1140">
        <v>20220323</v>
      </c>
      <c r="E1140">
        <f t="shared" si="17"/>
        <v>3</v>
      </c>
      <c r="F1140">
        <v>511000</v>
      </c>
      <c r="G1140" t="s">
        <v>431</v>
      </c>
      <c r="H1140" t="s">
        <v>401</v>
      </c>
      <c r="I1140" t="s">
        <v>402</v>
      </c>
      <c r="J1140" t="s">
        <v>1604</v>
      </c>
      <c r="K1140">
        <v>20220323</v>
      </c>
      <c r="L1140" t="s">
        <v>1605</v>
      </c>
      <c r="M1140">
        <v>0</v>
      </c>
      <c r="N1140">
        <v>2498.96</v>
      </c>
      <c r="O1140" t="s">
        <v>23</v>
      </c>
      <c r="P1140">
        <v>20221017</v>
      </c>
      <c r="Q1140">
        <v>20220323</v>
      </c>
    </row>
    <row r="1141" spans="1:17" x14ac:dyDescent="0.25">
      <c r="A1141" t="s">
        <v>715</v>
      </c>
      <c r="B1141" t="s">
        <v>432</v>
      </c>
      <c r="C1141">
        <v>39</v>
      </c>
      <c r="D1141">
        <v>20220328</v>
      </c>
      <c r="E1141">
        <f t="shared" si="17"/>
        <v>3</v>
      </c>
      <c r="F1141">
        <v>411100</v>
      </c>
      <c r="G1141" t="s">
        <v>18</v>
      </c>
      <c r="H1141" t="s">
        <v>793</v>
      </c>
      <c r="I1141" t="s">
        <v>794</v>
      </c>
      <c r="J1141">
        <v>338555</v>
      </c>
      <c r="K1141">
        <v>20220328</v>
      </c>
      <c r="L1141" t="s">
        <v>1606</v>
      </c>
      <c r="M1141">
        <v>0</v>
      </c>
      <c r="N1141">
        <v>70.83</v>
      </c>
      <c r="O1141" t="s">
        <v>22</v>
      </c>
      <c r="P1141">
        <v>20230218</v>
      </c>
      <c r="Q1141">
        <v>20220328</v>
      </c>
    </row>
    <row r="1142" spans="1:17" x14ac:dyDescent="0.25">
      <c r="A1142" t="s">
        <v>715</v>
      </c>
      <c r="B1142" t="s">
        <v>432</v>
      </c>
      <c r="C1142">
        <v>39</v>
      </c>
      <c r="D1142">
        <v>20220328</v>
      </c>
      <c r="E1142">
        <f t="shared" si="17"/>
        <v>3</v>
      </c>
      <c r="F1142">
        <v>512200</v>
      </c>
      <c r="G1142" t="s">
        <v>432</v>
      </c>
      <c r="H1142" t="s">
        <v>401</v>
      </c>
      <c r="I1142" t="s">
        <v>402</v>
      </c>
      <c r="J1142">
        <v>338556</v>
      </c>
      <c r="K1142">
        <v>20220328</v>
      </c>
      <c r="L1142" t="s">
        <v>1607</v>
      </c>
      <c r="M1142">
        <v>70.83</v>
      </c>
      <c r="N1142">
        <v>0</v>
      </c>
      <c r="O1142" t="s">
        <v>19</v>
      </c>
      <c r="P1142" t="s">
        <v>20</v>
      </c>
      <c r="Q1142">
        <v>20220328</v>
      </c>
    </row>
    <row r="1143" spans="1:17" x14ac:dyDescent="0.25">
      <c r="A1143" t="s">
        <v>715</v>
      </c>
      <c r="B1143" t="s">
        <v>432</v>
      </c>
      <c r="C1143">
        <v>39</v>
      </c>
      <c r="D1143">
        <v>20220329</v>
      </c>
      <c r="E1143">
        <f t="shared" si="17"/>
        <v>3</v>
      </c>
      <c r="F1143">
        <v>401000</v>
      </c>
      <c r="G1143" t="s">
        <v>41</v>
      </c>
      <c r="H1143" t="s">
        <v>189</v>
      </c>
      <c r="I1143" t="s">
        <v>190</v>
      </c>
      <c r="J1143" t="s">
        <v>1608</v>
      </c>
      <c r="K1143">
        <v>20220329</v>
      </c>
      <c r="L1143" t="s">
        <v>191</v>
      </c>
      <c r="M1143">
        <v>403.75</v>
      </c>
      <c r="N1143">
        <v>0</v>
      </c>
      <c r="O1143" t="s">
        <v>19</v>
      </c>
      <c r="P1143" t="s">
        <v>20</v>
      </c>
      <c r="Q1143">
        <v>20220329</v>
      </c>
    </row>
    <row r="1144" spans="1:17" x14ac:dyDescent="0.25">
      <c r="A1144" t="s">
        <v>715</v>
      </c>
      <c r="B1144" t="s">
        <v>432</v>
      </c>
      <c r="C1144">
        <v>39</v>
      </c>
      <c r="D1144">
        <v>20220329</v>
      </c>
      <c r="E1144">
        <f t="shared" si="17"/>
        <v>3</v>
      </c>
      <c r="F1144">
        <v>512200</v>
      </c>
      <c r="G1144" t="s">
        <v>432</v>
      </c>
      <c r="H1144" t="s">
        <v>401</v>
      </c>
      <c r="I1144" t="s">
        <v>402</v>
      </c>
      <c r="J1144" t="s">
        <v>1608</v>
      </c>
      <c r="K1144">
        <v>20220329</v>
      </c>
      <c r="L1144" t="s">
        <v>191</v>
      </c>
      <c r="M1144">
        <v>0</v>
      </c>
      <c r="N1144">
        <v>403.75</v>
      </c>
      <c r="O1144" t="s">
        <v>19</v>
      </c>
      <c r="P1144" t="s">
        <v>20</v>
      </c>
      <c r="Q1144">
        <v>20220329</v>
      </c>
    </row>
    <row r="1145" spans="1:17" x14ac:dyDescent="0.25">
      <c r="A1145" t="s">
        <v>715</v>
      </c>
      <c r="B1145" t="s">
        <v>432</v>
      </c>
      <c r="C1145">
        <v>39</v>
      </c>
      <c r="D1145">
        <v>20220329</v>
      </c>
      <c r="E1145">
        <f t="shared" si="17"/>
        <v>3</v>
      </c>
      <c r="F1145">
        <v>401000</v>
      </c>
      <c r="G1145" t="s">
        <v>41</v>
      </c>
      <c r="H1145" t="s">
        <v>52</v>
      </c>
      <c r="I1145" t="s">
        <v>53</v>
      </c>
      <c r="J1145" t="s">
        <v>1609</v>
      </c>
      <c r="K1145">
        <v>20220329</v>
      </c>
      <c r="L1145" t="s">
        <v>1610</v>
      </c>
      <c r="M1145">
        <v>29</v>
      </c>
      <c r="N1145">
        <v>0</v>
      </c>
      <c r="O1145" t="s">
        <v>23</v>
      </c>
      <c r="P1145">
        <v>20220919</v>
      </c>
      <c r="Q1145">
        <v>20220329</v>
      </c>
    </row>
    <row r="1146" spans="1:17" x14ac:dyDescent="0.25">
      <c r="A1146" t="s">
        <v>715</v>
      </c>
      <c r="B1146" t="s">
        <v>432</v>
      </c>
      <c r="C1146">
        <v>39</v>
      </c>
      <c r="D1146">
        <v>20220329</v>
      </c>
      <c r="E1146">
        <f t="shared" si="17"/>
        <v>3</v>
      </c>
      <c r="F1146">
        <v>512200</v>
      </c>
      <c r="G1146" t="s">
        <v>432</v>
      </c>
      <c r="H1146" t="s">
        <v>401</v>
      </c>
      <c r="I1146" t="s">
        <v>402</v>
      </c>
      <c r="J1146" t="s">
        <v>1609</v>
      </c>
      <c r="K1146">
        <v>20220329</v>
      </c>
      <c r="L1146" t="s">
        <v>1610</v>
      </c>
      <c r="M1146">
        <v>0</v>
      </c>
      <c r="N1146">
        <v>29</v>
      </c>
      <c r="O1146" t="s">
        <v>19</v>
      </c>
      <c r="P1146" t="s">
        <v>20</v>
      </c>
      <c r="Q1146">
        <v>20220329</v>
      </c>
    </row>
    <row r="1147" spans="1:17" x14ac:dyDescent="0.25">
      <c r="A1147" t="s">
        <v>715</v>
      </c>
      <c r="B1147" t="s">
        <v>432</v>
      </c>
      <c r="C1147">
        <v>39</v>
      </c>
      <c r="D1147">
        <v>20220329</v>
      </c>
      <c r="E1147">
        <f t="shared" si="17"/>
        <v>3</v>
      </c>
      <c r="F1147">
        <v>401000</v>
      </c>
      <c r="G1147" t="s">
        <v>41</v>
      </c>
      <c r="H1147" t="s">
        <v>189</v>
      </c>
      <c r="I1147" t="s">
        <v>190</v>
      </c>
      <c r="J1147" t="s">
        <v>1611</v>
      </c>
      <c r="K1147">
        <v>20220329</v>
      </c>
      <c r="L1147" t="s">
        <v>191</v>
      </c>
      <c r="M1147">
        <v>2984.19</v>
      </c>
      <c r="N1147">
        <v>0</v>
      </c>
      <c r="O1147" t="s">
        <v>23</v>
      </c>
      <c r="P1147">
        <v>20220704</v>
      </c>
      <c r="Q1147">
        <v>20220329</v>
      </c>
    </row>
    <row r="1148" spans="1:17" x14ac:dyDescent="0.25">
      <c r="A1148" t="s">
        <v>715</v>
      </c>
      <c r="B1148" t="s">
        <v>432</v>
      </c>
      <c r="C1148">
        <v>39</v>
      </c>
      <c r="D1148">
        <v>20220329</v>
      </c>
      <c r="E1148">
        <f t="shared" si="17"/>
        <v>3</v>
      </c>
      <c r="F1148">
        <v>512200</v>
      </c>
      <c r="G1148" t="s">
        <v>432</v>
      </c>
      <c r="H1148" t="s">
        <v>401</v>
      </c>
      <c r="I1148" t="s">
        <v>402</v>
      </c>
      <c r="J1148" t="s">
        <v>1611</v>
      </c>
      <c r="K1148">
        <v>20220329</v>
      </c>
      <c r="L1148" t="s">
        <v>191</v>
      </c>
      <c r="M1148">
        <v>0</v>
      </c>
      <c r="N1148">
        <v>2984.19</v>
      </c>
      <c r="O1148" t="s">
        <v>19</v>
      </c>
      <c r="P1148" t="s">
        <v>20</v>
      </c>
      <c r="Q1148">
        <v>20220329</v>
      </c>
    </row>
    <row r="1149" spans="1:17" x14ac:dyDescent="0.25">
      <c r="A1149" t="s">
        <v>715</v>
      </c>
      <c r="B1149" t="s">
        <v>432</v>
      </c>
      <c r="C1149">
        <v>39</v>
      </c>
      <c r="D1149">
        <v>20220329</v>
      </c>
      <c r="E1149">
        <f t="shared" si="17"/>
        <v>3</v>
      </c>
      <c r="F1149">
        <v>401000</v>
      </c>
      <c r="G1149" t="s">
        <v>41</v>
      </c>
      <c r="H1149" t="s">
        <v>1323</v>
      </c>
      <c r="I1149" t="s">
        <v>1324</v>
      </c>
      <c r="J1149" t="s">
        <v>1612</v>
      </c>
      <c r="K1149">
        <v>20220329</v>
      </c>
      <c r="L1149" t="s">
        <v>1613</v>
      </c>
      <c r="M1149">
        <v>769.5</v>
      </c>
      <c r="N1149">
        <v>0</v>
      </c>
      <c r="O1149" t="s">
        <v>23</v>
      </c>
      <c r="P1149">
        <v>20220704</v>
      </c>
      <c r="Q1149">
        <v>20220329</v>
      </c>
    </row>
    <row r="1150" spans="1:17" x14ac:dyDescent="0.25">
      <c r="A1150" t="s">
        <v>715</v>
      </c>
      <c r="B1150" t="s">
        <v>432</v>
      </c>
      <c r="C1150">
        <v>39</v>
      </c>
      <c r="D1150">
        <v>20220329</v>
      </c>
      <c r="E1150">
        <f t="shared" si="17"/>
        <v>3</v>
      </c>
      <c r="F1150">
        <v>512200</v>
      </c>
      <c r="G1150" t="s">
        <v>432</v>
      </c>
      <c r="H1150" t="s">
        <v>401</v>
      </c>
      <c r="I1150" t="s">
        <v>402</v>
      </c>
      <c r="J1150" t="s">
        <v>1612</v>
      </c>
      <c r="K1150">
        <v>20220329</v>
      </c>
      <c r="L1150" t="s">
        <v>1613</v>
      </c>
      <c r="M1150">
        <v>0</v>
      </c>
      <c r="N1150">
        <v>769.5</v>
      </c>
      <c r="O1150" t="s">
        <v>19</v>
      </c>
      <c r="P1150" t="s">
        <v>20</v>
      </c>
      <c r="Q1150">
        <v>20220329</v>
      </c>
    </row>
    <row r="1151" spans="1:17" x14ac:dyDescent="0.25">
      <c r="A1151" t="s">
        <v>715</v>
      </c>
      <c r="B1151" t="s">
        <v>432</v>
      </c>
      <c r="C1151">
        <v>39</v>
      </c>
      <c r="D1151">
        <v>20220331</v>
      </c>
      <c r="E1151">
        <f t="shared" si="17"/>
        <v>3</v>
      </c>
      <c r="F1151">
        <v>512200</v>
      </c>
      <c r="G1151" t="s">
        <v>432</v>
      </c>
      <c r="H1151" t="s">
        <v>401</v>
      </c>
      <c r="I1151" t="s">
        <v>402</v>
      </c>
      <c r="J1151" t="s">
        <v>1614</v>
      </c>
      <c r="K1151">
        <v>20220331</v>
      </c>
      <c r="L1151" t="s">
        <v>1615</v>
      </c>
      <c r="M1151">
        <v>1750.15</v>
      </c>
      <c r="N1151">
        <v>0</v>
      </c>
      <c r="O1151" t="s">
        <v>19</v>
      </c>
      <c r="P1151" t="s">
        <v>20</v>
      </c>
      <c r="Q1151">
        <v>20220331</v>
      </c>
    </row>
    <row r="1152" spans="1:17" x14ac:dyDescent="0.25">
      <c r="A1152" t="s">
        <v>715</v>
      </c>
      <c r="B1152" t="s">
        <v>432</v>
      </c>
      <c r="C1152">
        <v>39</v>
      </c>
      <c r="D1152">
        <v>20220331</v>
      </c>
      <c r="E1152">
        <f t="shared" si="17"/>
        <v>3</v>
      </c>
      <c r="F1152">
        <v>511000</v>
      </c>
      <c r="G1152" t="s">
        <v>431</v>
      </c>
      <c r="H1152" t="s">
        <v>401</v>
      </c>
      <c r="I1152" t="s">
        <v>402</v>
      </c>
      <c r="J1152" t="s">
        <v>1614</v>
      </c>
      <c r="K1152">
        <v>20220331</v>
      </c>
      <c r="L1152" t="s">
        <v>1615</v>
      </c>
      <c r="M1152">
        <v>0</v>
      </c>
      <c r="N1152">
        <v>1750.15</v>
      </c>
      <c r="O1152" t="s">
        <v>23</v>
      </c>
      <c r="P1152">
        <v>20221017</v>
      </c>
      <c r="Q1152">
        <v>20220331</v>
      </c>
    </row>
    <row r="1153" spans="1:17" x14ac:dyDescent="0.25">
      <c r="A1153" t="s">
        <v>476</v>
      </c>
      <c r="B1153" t="s">
        <v>477</v>
      </c>
      <c r="C1153">
        <v>54</v>
      </c>
      <c r="D1153">
        <v>20220401</v>
      </c>
      <c r="E1153">
        <f t="shared" si="17"/>
        <v>4</v>
      </c>
      <c r="F1153">
        <v>401000</v>
      </c>
      <c r="G1153" t="s">
        <v>41</v>
      </c>
      <c r="H1153" t="s">
        <v>75</v>
      </c>
      <c r="I1153" t="s">
        <v>76</v>
      </c>
      <c r="J1153" t="s">
        <v>1663</v>
      </c>
      <c r="K1153">
        <v>20220401</v>
      </c>
      <c r="L1153" t="s">
        <v>163</v>
      </c>
      <c r="M1153">
        <v>1880.32</v>
      </c>
      <c r="N1153">
        <v>0</v>
      </c>
      <c r="O1153" t="s">
        <v>22</v>
      </c>
      <c r="P1153">
        <v>20220401</v>
      </c>
      <c r="Q1153">
        <v>20220401</v>
      </c>
    </row>
    <row r="1154" spans="1:17" x14ac:dyDescent="0.25">
      <c r="A1154" t="s">
        <v>476</v>
      </c>
      <c r="B1154" t="s">
        <v>477</v>
      </c>
      <c r="C1154">
        <v>54</v>
      </c>
      <c r="D1154">
        <v>20220401</v>
      </c>
      <c r="E1154">
        <f t="shared" si="17"/>
        <v>4</v>
      </c>
      <c r="F1154">
        <v>401000</v>
      </c>
      <c r="G1154" t="s">
        <v>41</v>
      </c>
      <c r="H1154" t="s">
        <v>99</v>
      </c>
      <c r="I1154" t="s">
        <v>100</v>
      </c>
      <c r="J1154" t="s">
        <v>1663</v>
      </c>
      <c r="K1154">
        <v>20220401</v>
      </c>
      <c r="L1154" t="s">
        <v>163</v>
      </c>
      <c r="M1154">
        <v>3570.68</v>
      </c>
      <c r="N1154">
        <v>0</v>
      </c>
      <c r="O1154" t="s">
        <v>22</v>
      </c>
      <c r="P1154">
        <v>20220401</v>
      </c>
      <c r="Q1154">
        <v>20220401</v>
      </c>
    </row>
    <row r="1155" spans="1:17" x14ac:dyDescent="0.25">
      <c r="A1155" t="s">
        <v>476</v>
      </c>
      <c r="B1155" t="s">
        <v>477</v>
      </c>
      <c r="C1155">
        <v>54</v>
      </c>
      <c r="D1155">
        <v>20220401</v>
      </c>
      <c r="E1155">
        <f t="shared" ref="E1155:E1218" si="18">VALUE(MID(D1155,5,2))</f>
        <v>4</v>
      </c>
      <c r="F1155">
        <v>401000</v>
      </c>
      <c r="G1155" t="s">
        <v>41</v>
      </c>
      <c r="H1155" t="s">
        <v>1325</v>
      </c>
      <c r="I1155" t="s">
        <v>1326</v>
      </c>
      <c r="J1155" t="s">
        <v>1663</v>
      </c>
      <c r="K1155">
        <v>20220401</v>
      </c>
      <c r="L1155" t="s">
        <v>163</v>
      </c>
      <c r="M1155">
        <v>605</v>
      </c>
      <c r="N1155">
        <v>0</v>
      </c>
      <c r="O1155" t="s">
        <v>22</v>
      </c>
      <c r="P1155">
        <v>20220401</v>
      </c>
      <c r="Q1155">
        <v>20220401</v>
      </c>
    </row>
    <row r="1156" spans="1:17" x14ac:dyDescent="0.25">
      <c r="A1156" t="s">
        <v>476</v>
      </c>
      <c r="B1156" t="s">
        <v>477</v>
      </c>
      <c r="C1156">
        <v>54</v>
      </c>
      <c r="D1156">
        <v>20220401</v>
      </c>
      <c r="E1156">
        <f t="shared" si="18"/>
        <v>4</v>
      </c>
      <c r="F1156">
        <v>401000</v>
      </c>
      <c r="G1156" t="s">
        <v>41</v>
      </c>
      <c r="H1156" t="s">
        <v>474</v>
      </c>
      <c r="I1156" t="s">
        <v>475</v>
      </c>
      <c r="J1156" t="s">
        <v>1663</v>
      </c>
      <c r="K1156">
        <v>20220401</v>
      </c>
      <c r="L1156" t="s">
        <v>163</v>
      </c>
      <c r="M1156">
        <v>320</v>
      </c>
      <c r="N1156">
        <v>0</v>
      </c>
      <c r="O1156" t="s">
        <v>22</v>
      </c>
      <c r="P1156">
        <v>20220401</v>
      </c>
      <c r="Q1156">
        <v>20220401</v>
      </c>
    </row>
    <row r="1157" spans="1:17" x14ac:dyDescent="0.25">
      <c r="A1157" t="s">
        <v>476</v>
      </c>
      <c r="B1157" t="s">
        <v>477</v>
      </c>
      <c r="C1157">
        <v>54</v>
      </c>
      <c r="D1157">
        <v>20220401</v>
      </c>
      <c r="E1157">
        <f t="shared" si="18"/>
        <v>4</v>
      </c>
      <c r="F1157">
        <v>401000</v>
      </c>
      <c r="G1157" t="s">
        <v>41</v>
      </c>
      <c r="H1157" t="s">
        <v>456</v>
      </c>
      <c r="I1157" t="s">
        <v>457</v>
      </c>
      <c r="J1157" t="s">
        <v>1663</v>
      </c>
      <c r="K1157">
        <v>20220401</v>
      </c>
      <c r="L1157" t="s">
        <v>163</v>
      </c>
      <c r="M1157">
        <v>105</v>
      </c>
      <c r="N1157">
        <v>0</v>
      </c>
      <c r="O1157" t="s">
        <v>22</v>
      </c>
      <c r="P1157">
        <v>20220401</v>
      </c>
      <c r="Q1157">
        <v>20220401</v>
      </c>
    </row>
    <row r="1158" spans="1:17" x14ac:dyDescent="0.25">
      <c r="A1158" t="s">
        <v>476</v>
      </c>
      <c r="B1158" t="s">
        <v>477</v>
      </c>
      <c r="C1158">
        <v>54</v>
      </c>
      <c r="D1158">
        <v>20220401</v>
      </c>
      <c r="E1158">
        <f t="shared" si="18"/>
        <v>4</v>
      </c>
      <c r="F1158">
        <v>401000</v>
      </c>
      <c r="G1158" t="s">
        <v>41</v>
      </c>
      <c r="H1158" t="s">
        <v>439</v>
      </c>
      <c r="I1158" t="s">
        <v>145</v>
      </c>
      <c r="J1158" t="s">
        <v>1663</v>
      </c>
      <c r="K1158">
        <v>20220401</v>
      </c>
      <c r="L1158" t="s">
        <v>163</v>
      </c>
      <c r="M1158">
        <v>246.43</v>
      </c>
      <c r="N1158">
        <v>0</v>
      </c>
      <c r="O1158" t="s">
        <v>22</v>
      </c>
      <c r="P1158">
        <v>20220401</v>
      </c>
      <c r="Q1158">
        <v>20220401</v>
      </c>
    </row>
    <row r="1159" spans="1:17" x14ac:dyDescent="0.25">
      <c r="A1159" t="s">
        <v>476</v>
      </c>
      <c r="B1159" t="s">
        <v>477</v>
      </c>
      <c r="C1159">
        <v>54</v>
      </c>
      <c r="D1159">
        <v>20220401</v>
      </c>
      <c r="E1159">
        <f t="shared" si="18"/>
        <v>4</v>
      </c>
      <c r="F1159">
        <v>401000</v>
      </c>
      <c r="G1159" t="s">
        <v>41</v>
      </c>
      <c r="H1159" t="s">
        <v>303</v>
      </c>
      <c r="I1159" t="s">
        <v>304</v>
      </c>
      <c r="J1159" t="s">
        <v>1663</v>
      </c>
      <c r="K1159">
        <v>20220401</v>
      </c>
      <c r="L1159" t="s">
        <v>163</v>
      </c>
      <c r="M1159">
        <v>600</v>
      </c>
      <c r="N1159">
        <v>0</v>
      </c>
      <c r="O1159" t="s">
        <v>22</v>
      </c>
      <c r="P1159">
        <v>20220401</v>
      </c>
      <c r="Q1159">
        <v>20220401</v>
      </c>
    </row>
    <row r="1160" spans="1:17" x14ac:dyDescent="0.25">
      <c r="A1160" t="s">
        <v>476</v>
      </c>
      <c r="B1160" t="s">
        <v>477</v>
      </c>
      <c r="C1160">
        <v>54</v>
      </c>
      <c r="D1160">
        <v>20220401</v>
      </c>
      <c r="E1160">
        <f t="shared" si="18"/>
        <v>4</v>
      </c>
      <c r="F1160">
        <v>401000</v>
      </c>
      <c r="G1160" t="s">
        <v>41</v>
      </c>
      <c r="H1160" t="s">
        <v>466</v>
      </c>
      <c r="I1160" t="s">
        <v>467</v>
      </c>
      <c r="J1160" t="s">
        <v>1663</v>
      </c>
      <c r="K1160">
        <v>20220401</v>
      </c>
      <c r="L1160" t="s">
        <v>163</v>
      </c>
      <c r="M1160">
        <v>864</v>
      </c>
      <c r="N1160">
        <v>0</v>
      </c>
      <c r="O1160" t="s">
        <v>22</v>
      </c>
      <c r="P1160">
        <v>20220401</v>
      </c>
      <c r="Q1160">
        <v>20220401</v>
      </c>
    </row>
    <row r="1161" spans="1:17" x14ac:dyDescent="0.25">
      <c r="A1161" t="s">
        <v>476</v>
      </c>
      <c r="B1161" t="s">
        <v>477</v>
      </c>
      <c r="C1161">
        <v>54</v>
      </c>
      <c r="D1161">
        <v>20220401</v>
      </c>
      <c r="E1161">
        <f t="shared" si="18"/>
        <v>4</v>
      </c>
      <c r="F1161">
        <v>401000</v>
      </c>
      <c r="G1161" t="s">
        <v>41</v>
      </c>
      <c r="H1161" t="s">
        <v>827</v>
      </c>
      <c r="I1161" t="s">
        <v>828</v>
      </c>
      <c r="J1161" t="s">
        <v>1663</v>
      </c>
      <c r="K1161">
        <v>20220401</v>
      </c>
      <c r="L1161" t="s">
        <v>163</v>
      </c>
      <c r="M1161">
        <v>184.5</v>
      </c>
      <c r="N1161">
        <v>0</v>
      </c>
      <c r="O1161" t="s">
        <v>22</v>
      </c>
      <c r="P1161">
        <v>20220401</v>
      </c>
      <c r="Q1161">
        <v>20220401</v>
      </c>
    </row>
    <row r="1162" spans="1:17" x14ac:dyDescent="0.25">
      <c r="A1162" t="s">
        <v>476</v>
      </c>
      <c r="B1162" t="s">
        <v>477</v>
      </c>
      <c r="C1162">
        <v>54</v>
      </c>
      <c r="D1162">
        <v>20220401</v>
      </c>
      <c r="E1162">
        <f t="shared" si="18"/>
        <v>4</v>
      </c>
      <c r="F1162">
        <v>512000</v>
      </c>
      <c r="G1162" t="s">
        <v>428</v>
      </c>
      <c r="H1162" t="s">
        <v>401</v>
      </c>
      <c r="I1162" t="s">
        <v>402</v>
      </c>
      <c r="J1162" t="s">
        <v>1663</v>
      </c>
      <c r="K1162">
        <v>20220401</v>
      </c>
      <c r="L1162" t="s">
        <v>163</v>
      </c>
      <c r="M1162">
        <v>0</v>
      </c>
      <c r="N1162">
        <v>8375.93</v>
      </c>
      <c r="O1162" t="s">
        <v>19</v>
      </c>
      <c r="P1162" t="s">
        <v>20</v>
      </c>
      <c r="Q1162">
        <v>20220401</v>
      </c>
    </row>
    <row r="1163" spans="1:17" x14ac:dyDescent="0.25">
      <c r="A1163" t="s">
        <v>476</v>
      </c>
      <c r="B1163" t="s">
        <v>477</v>
      </c>
      <c r="C1163">
        <v>54</v>
      </c>
      <c r="D1163">
        <v>20220401</v>
      </c>
      <c r="E1163">
        <f t="shared" si="18"/>
        <v>4</v>
      </c>
      <c r="F1163">
        <v>771300</v>
      </c>
      <c r="G1163" t="s">
        <v>1664</v>
      </c>
      <c r="H1163" t="s">
        <v>401</v>
      </c>
      <c r="I1163" t="s">
        <v>402</v>
      </c>
      <c r="J1163" t="s">
        <v>1665</v>
      </c>
      <c r="K1163">
        <v>20220401</v>
      </c>
      <c r="L1163" t="s">
        <v>1666</v>
      </c>
      <c r="M1163">
        <v>0</v>
      </c>
      <c r="N1163">
        <v>648.16999999999996</v>
      </c>
      <c r="O1163" t="s">
        <v>19</v>
      </c>
      <c r="P1163" t="s">
        <v>20</v>
      </c>
      <c r="Q1163">
        <v>20220401</v>
      </c>
    </row>
    <row r="1164" spans="1:17" x14ac:dyDescent="0.25">
      <c r="A1164" t="s">
        <v>476</v>
      </c>
      <c r="B1164" t="s">
        <v>477</v>
      </c>
      <c r="C1164">
        <v>54</v>
      </c>
      <c r="D1164">
        <v>20220401</v>
      </c>
      <c r="E1164">
        <f t="shared" si="18"/>
        <v>4</v>
      </c>
      <c r="F1164">
        <v>512000</v>
      </c>
      <c r="G1164" t="s">
        <v>428</v>
      </c>
      <c r="H1164" t="s">
        <v>401</v>
      </c>
      <c r="I1164" t="s">
        <v>402</v>
      </c>
      <c r="J1164" t="s">
        <v>1665</v>
      </c>
      <c r="K1164">
        <v>20220401</v>
      </c>
      <c r="L1164" t="s">
        <v>1666</v>
      </c>
      <c r="M1164">
        <v>648.16999999999996</v>
      </c>
      <c r="N1164">
        <v>0</v>
      </c>
      <c r="O1164" t="s">
        <v>19</v>
      </c>
      <c r="P1164" t="s">
        <v>20</v>
      </c>
      <c r="Q1164">
        <v>20220401</v>
      </c>
    </row>
    <row r="1165" spans="1:17" x14ac:dyDescent="0.25">
      <c r="A1165" t="s">
        <v>476</v>
      </c>
      <c r="B1165" t="s">
        <v>477</v>
      </c>
      <c r="C1165">
        <v>54</v>
      </c>
      <c r="D1165">
        <v>20220401</v>
      </c>
      <c r="E1165">
        <f t="shared" si="18"/>
        <v>4</v>
      </c>
      <c r="F1165">
        <v>627000</v>
      </c>
      <c r="G1165" t="s">
        <v>480</v>
      </c>
      <c r="H1165" t="s">
        <v>401</v>
      </c>
      <c r="I1165" t="s">
        <v>402</v>
      </c>
      <c r="J1165" t="s">
        <v>1667</v>
      </c>
      <c r="K1165">
        <v>20220401</v>
      </c>
      <c r="L1165" t="s">
        <v>482</v>
      </c>
      <c r="M1165">
        <v>7.5</v>
      </c>
      <c r="N1165">
        <v>0</v>
      </c>
      <c r="O1165" t="s">
        <v>19</v>
      </c>
      <c r="P1165" t="s">
        <v>20</v>
      </c>
      <c r="Q1165">
        <v>20220401</v>
      </c>
    </row>
    <row r="1166" spans="1:17" x14ac:dyDescent="0.25">
      <c r="A1166" t="s">
        <v>476</v>
      </c>
      <c r="B1166" t="s">
        <v>477</v>
      </c>
      <c r="C1166">
        <v>54</v>
      </c>
      <c r="D1166">
        <v>20220401</v>
      </c>
      <c r="E1166">
        <f t="shared" si="18"/>
        <v>4</v>
      </c>
      <c r="F1166">
        <v>512000</v>
      </c>
      <c r="G1166" t="s">
        <v>428</v>
      </c>
      <c r="H1166" t="s">
        <v>401</v>
      </c>
      <c r="I1166" t="s">
        <v>402</v>
      </c>
      <c r="J1166" t="s">
        <v>1667</v>
      </c>
      <c r="K1166">
        <v>20220401</v>
      </c>
      <c r="L1166" t="s">
        <v>482</v>
      </c>
      <c r="M1166">
        <v>0</v>
      </c>
      <c r="N1166">
        <v>7.5</v>
      </c>
      <c r="O1166" t="s">
        <v>19</v>
      </c>
      <c r="P1166" t="s">
        <v>20</v>
      </c>
      <c r="Q1166">
        <v>20220401</v>
      </c>
    </row>
    <row r="1167" spans="1:17" x14ac:dyDescent="0.25">
      <c r="A1167" t="s">
        <v>476</v>
      </c>
      <c r="B1167" t="s">
        <v>477</v>
      </c>
      <c r="C1167">
        <v>54</v>
      </c>
      <c r="D1167">
        <v>20220401</v>
      </c>
      <c r="E1167">
        <f t="shared" si="18"/>
        <v>4</v>
      </c>
      <c r="F1167">
        <v>468200</v>
      </c>
      <c r="G1167" t="s">
        <v>421</v>
      </c>
      <c r="H1167" t="s">
        <v>401</v>
      </c>
      <c r="I1167" t="s">
        <v>402</v>
      </c>
      <c r="J1167" t="s">
        <v>1668</v>
      </c>
      <c r="K1167">
        <v>20220401</v>
      </c>
      <c r="L1167" t="s">
        <v>422</v>
      </c>
      <c r="M1167">
        <v>0</v>
      </c>
      <c r="N1167">
        <v>111.1</v>
      </c>
      <c r="O1167" t="s">
        <v>19</v>
      </c>
      <c r="P1167" t="s">
        <v>20</v>
      </c>
      <c r="Q1167">
        <v>20220401</v>
      </c>
    </row>
    <row r="1168" spans="1:17" x14ac:dyDescent="0.25">
      <c r="A1168" t="s">
        <v>476</v>
      </c>
      <c r="B1168" t="s">
        <v>477</v>
      </c>
      <c r="C1168">
        <v>54</v>
      </c>
      <c r="D1168">
        <v>20220401</v>
      </c>
      <c r="E1168">
        <f t="shared" si="18"/>
        <v>4</v>
      </c>
      <c r="F1168">
        <v>512000</v>
      </c>
      <c r="G1168" t="s">
        <v>428</v>
      </c>
      <c r="H1168" t="s">
        <v>401</v>
      </c>
      <c r="I1168" t="s">
        <v>402</v>
      </c>
      <c r="J1168" t="s">
        <v>1668</v>
      </c>
      <c r="K1168">
        <v>20220401</v>
      </c>
      <c r="L1168" t="s">
        <v>422</v>
      </c>
      <c r="M1168">
        <v>111.1</v>
      </c>
      <c r="N1168">
        <v>0</v>
      </c>
      <c r="O1168" t="s">
        <v>19</v>
      </c>
      <c r="P1168" t="s">
        <v>20</v>
      </c>
      <c r="Q1168">
        <v>20220401</v>
      </c>
    </row>
    <row r="1169" spans="1:17" x14ac:dyDescent="0.25">
      <c r="A1169" t="s">
        <v>476</v>
      </c>
      <c r="B1169" t="s">
        <v>477</v>
      </c>
      <c r="C1169">
        <v>54</v>
      </c>
      <c r="D1169">
        <v>20220401</v>
      </c>
      <c r="E1169">
        <f t="shared" si="18"/>
        <v>4</v>
      </c>
      <c r="F1169">
        <v>627000</v>
      </c>
      <c r="G1169" t="s">
        <v>480</v>
      </c>
      <c r="H1169" t="s">
        <v>401</v>
      </c>
      <c r="I1169" t="s">
        <v>402</v>
      </c>
      <c r="J1169" t="s">
        <v>1669</v>
      </c>
      <c r="K1169">
        <v>20220401</v>
      </c>
      <c r="L1169" t="s">
        <v>482</v>
      </c>
      <c r="M1169">
        <v>50.62</v>
      </c>
      <c r="N1169">
        <v>0</v>
      </c>
      <c r="O1169" t="s">
        <v>19</v>
      </c>
      <c r="P1169" t="s">
        <v>20</v>
      </c>
      <c r="Q1169">
        <v>20220401</v>
      </c>
    </row>
    <row r="1170" spans="1:17" x14ac:dyDescent="0.25">
      <c r="A1170" t="s">
        <v>476</v>
      </c>
      <c r="B1170" t="s">
        <v>477</v>
      </c>
      <c r="C1170">
        <v>54</v>
      </c>
      <c r="D1170">
        <v>20220401</v>
      </c>
      <c r="E1170">
        <f t="shared" si="18"/>
        <v>4</v>
      </c>
      <c r="F1170">
        <v>512000</v>
      </c>
      <c r="G1170" t="s">
        <v>428</v>
      </c>
      <c r="H1170" t="s">
        <v>401</v>
      </c>
      <c r="I1170" t="s">
        <v>402</v>
      </c>
      <c r="J1170" t="s">
        <v>1669</v>
      </c>
      <c r="K1170">
        <v>20220401</v>
      </c>
      <c r="L1170" t="s">
        <v>482</v>
      </c>
      <c r="M1170">
        <v>0</v>
      </c>
      <c r="N1170">
        <v>50.62</v>
      </c>
      <c r="O1170" t="s">
        <v>19</v>
      </c>
      <c r="P1170" t="s">
        <v>20</v>
      </c>
      <c r="Q1170">
        <v>20220401</v>
      </c>
    </row>
    <row r="1171" spans="1:17" x14ac:dyDescent="0.25">
      <c r="A1171" t="s">
        <v>476</v>
      </c>
      <c r="B1171" t="s">
        <v>477</v>
      </c>
      <c r="C1171">
        <v>54</v>
      </c>
      <c r="D1171">
        <v>20220401</v>
      </c>
      <c r="E1171">
        <f t="shared" si="18"/>
        <v>4</v>
      </c>
      <c r="F1171">
        <v>627000</v>
      </c>
      <c r="G1171" t="s">
        <v>480</v>
      </c>
      <c r="H1171" t="s">
        <v>401</v>
      </c>
      <c r="I1171" t="s">
        <v>402</v>
      </c>
      <c r="J1171" t="s">
        <v>1670</v>
      </c>
      <c r="K1171">
        <v>20220401</v>
      </c>
      <c r="L1171" t="s">
        <v>482</v>
      </c>
      <c r="M1171">
        <v>49</v>
      </c>
      <c r="N1171">
        <v>0</v>
      </c>
      <c r="O1171" t="s">
        <v>19</v>
      </c>
      <c r="P1171" t="s">
        <v>20</v>
      </c>
      <c r="Q1171">
        <v>20220401</v>
      </c>
    </row>
    <row r="1172" spans="1:17" x14ac:dyDescent="0.25">
      <c r="A1172" t="s">
        <v>476</v>
      </c>
      <c r="B1172" t="s">
        <v>477</v>
      </c>
      <c r="C1172">
        <v>54</v>
      </c>
      <c r="D1172">
        <v>20220401</v>
      </c>
      <c r="E1172">
        <f t="shared" si="18"/>
        <v>4</v>
      </c>
      <c r="F1172">
        <v>512000</v>
      </c>
      <c r="G1172" t="s">
        <v>428</v>
      </c>
      <c r="H1172" t="s">
        <v>401</v>
      </c>
      <c r="I1172" t="s">
        <v>402</v>
      </c>
      <c r="J1172" t="s">
        <v>1670</v>
      </c>
      <c r="K1172">
        <v>20220401</v>
      </c>
      <c r="L1172" t="s">
        <v>482</v>
      </c>
      <c r="M1172">
        <v>0</v>
      </c>
      <c r="N1172">
        <v>49</v>
      </c>
      <c r="O1172" t="s">
        <v>19</v>
      </c>
      <c r="P1172" t="s">
        <v>20</v>
      </c>
      <c r="Q1172">
        <v>20220401</v>
      </c>
    </row>
    <row r="1173" spans="1:17" x14ac:dyDescent="0.25">
      <c r="A1173" t="s">
        <v>476</v>
      </c>
      <c r="B1173" t="s">
        <v>477</v>
      </c>
      <c r="C1173">
        <v>54</v>
      </c>
      <c r="D1173">
        <v>20220401</v>
      </c>
      <c r="E1173">
        <f t="shared" si="18"/>
        <v>4</v>
      </c>
      <c r="F1173">
        <v>627000</v>
      </c>
      <c r="G1173" t="s">
        <v>480</v>
      </c>
      <c r="H1173" t="s">
        <v>401</v>
      </c>
      <c r="I1173" t="s">
        <v>402</v>
      </c>
      <c r="J1173" t="s">
        <v>1671</v>
      </c>
      <c r="K1173">
        <v>20220401</v>
      </c>
      <c r="L1173" t="s">
        <v>482</v>
      </c>
      <c r="M1173">
        <v>16.25</v>
      </c>
      <c r="N1173">
        <v>0</v>
      </c>
      <c r="O1173" t="s">
        <v>19</v>
      </c>
      <c r="P1173" t="s">
        <v>20</v>
      </c>
      <c r="Q1173">
        <v>20220401</v>
      </c>
    </row>
    <row r="1174" spans="1:17" x14ac:dyDescent="0.25">
      <c r="A1174" t="s">
        <v>476</v>
      </c>
      <c r="B1174" t="s">
        <v>477</v>
      </c>
      <c r="C1174">
        <v>54</v>
      </c>
      <c r="D1174">
        <v>20220401</v>
      </c>
      <c r="E1174">
        <f t="shared" si="18"/>
        <v>4</v>
      </c>
      <c r="F1174">
        <v>512000</v>
      </c>
      <c r="G1174" t="s">
        <v>428</v>
      </c>
      <c r="H1174" t="s">
        <v>401</v>
      </c>
      <c r="I1174" t="s">
        <v>402</v>
      </c>
      <c r="J1174" t="s">
        <v>1671</v>
      </c>
      <c r="K1174">
        <v>20220401</v>
      </c>
      <c r="L1174" t="s">
        <v>482</v>
      </c>
      <c r="M1174">
        <v>0</v>
      </c>
      <c r="N1174">
        <v>16.25</v>
      </c>
      <c r="O1174" t="s">
        <v>19</v>
      </c>
      <c r="P1174" t="s">
        <v>20</v>
      </c>
      <c r="Q1174">
        <v>20220401</v>
      </c>
    </row>
    <row r="1175" spans="1:17" x14ac:dyDescent="0.25">
      <c r="A1175" t="s">
        <v>476</v>
      </c>
      <c r="B1175" t="s">
        <v>477</v>
      </c>
      <c r="C1175">
        <v>54</v>
      </c>
      <c r="D1175">
        <v>20220404</v>
      </c>
      <c r="E1175">
        <f t="shared" si="18"/>
        <v>4</v>
      </c>
      <c r="F1175">
        <v>401000</v>
      </c>
      <c r="G1175" t="s">
        <v>41</v>
      </c>
      <c r="H1175" t="s">
        <v>1335</v>
      </c>
      <c r="I1175" t="s">
        <v>1336</v>
      </c>
      <c r="J1175" t="s">
        <v>1672</v>
      </c>
      <c r="K1175">
        <v>20220404</v>
      </c>
      <c r="L1175" t="s">
        <v>127</v>
      </c>
      <c r="M1175">
        <v>200</v>
      </c>
      <c r="N1175">
        <v>0</v>
      </c>
      <c r="O1175" t="s">
        <v>23</v>
      </c>
      <c r="P1175">
        <v>20220525</v>
      </c>
      <c r="Q1175">
        <v>20220404</v>
      </c>
    </row>
    <row r="1176" spans="1:17" x14ac:dyDescent="0.25">
      <c r="A1176" t="s">
        <v>476</v>
      </c>
      <c r="B1176" t="s">
        <v>477</v>
      </c>
      <c r="C1176">
        <v>54</v>
      </c>
      <c r="D1176">
        <v>20220404</v>
      </c>
      <c r="E1176">
        <f t="shared" si="18"/>
        <v>4</v>
      </c>
      <c r="F1176">
        <v>401000</v>
      </c>
      <c r="G1176" t="s">
        <v>41</v>
      </c>
      <c r="H1176" t="s">
        <v>1645</v>
      </c>
      <c r="I1176" t="s">
        <v>1646</v>
      </c>
      <c r="J1176" t="s">
        <v>1672</v>
      </c>
      <c r="K1176">
        <v>20220404</v>
      </c>
      <c r="L1176" t="s">
        <v>127</v>
      </c>
      <c r="M1176">
        <v>138</v>
      </c>
      <c r="N1176">
        <v>0</v>
      </c>
      <c r="O1176" t="s">
        <v>23</v>
      </c>
      <c r="P1176">
        <v>20220704</v>
      </c>
      <c r="Q1176">
        <v>20220404</v>
      </c>
    </row>
    <row r="1177" spans="1:17" x14ac:dyDescent="0.25">
      <c r="A1177" t="s">
        <v>476</v>
      </c>
      <c r="B1177" t="s">
        <v>477</v>
      </c>
      <c r="C1177">
        <v>54</v>
      </c>
      <c r="D1177">
        <v>20220404</v>
      </c>
      <c r="E1177">
        <f t="shared" si="18"/>
        <v>4</v>
      </c>
      <c r="F1177">
        <v>401000</v>
      </c>
      <c r="G1177" t="s">
        <v>41</v>
      </c>
      <c r="H1177" t="s">
        <v>1673</v>
      </c>
      <c r="I1177" t="s">
        <v>1674</v>
      </c>
      <c r="J1177" t="s">
        <v>1672</v>
      </c>
      <c r="K1177">
        <v>20220404</v>
      </c>
      <c r="L1177" t="s">
        <v>127</v>
      </c>
      <c r="M1177">
        <v>3031</v>
      </c>
      <c r="N1177">
        <v>0</v>
      </c>
      <c r="O1177" t="s">
        <v>23</v>
      </c>
      <c r="P1177">
        <v>20220801</v>
      </c>
      <c r="Q1177">
        <v>20220404</v>
      </c>
    </row>
    <row r="1178" spans="1:17" x14ac:dyDescent="0.25">
      <c r="A1178" t="s">
        <v>476</v>
      </c>
      <c r="B1178" t="s">
        <v>477</v>
      </c>
      <c r="C1178">
        <v>54</v>
      </c>
      <c r="D1178">
        <v>20220404</v>
      </c>
      <c r="E1178">
        <f t="shared" si="18"/>
        <v>4</v>
      </c>
      <c r="F1178">
        <v>512000</v>
      </c>
      <c r="G1178" t="s">
        <v>428</v>
      </c>
      <c r="H1178" t="s">
        <v>401</v>
      </c>
      <c r="I1178" t="s">
        <v>402</v>
      </c>
      <c r="J1178" t="s">
        <v>1672</v>
      </c>
      <c r="K1178">
        <v>20220404</v>
      </c>
      <c r="L1178" t="s">
        <v>127</v>
      </c>
      <c r="M1178">
        <v>0</v>
      </c>
      <c r="N1178">
        <v>3369</v>
      </c>
      <c r="O1178" t="s">
        <v>19</v>
      </c>
      <c r="P1178" t="s">
        <v>20</v>
      </c>
      <c r="Q1178">
        <v>20220404</v>
      </c>
    </row>
    <row r="1179" spans="1:17" x14ac:dyDescent="0.25">
      <c r="A1179" t="s">
        <v>476</v>
      </c>
      <c r="B1179" t="s">
        <v>477</v>
      </c>
      <c r="C1179">
        <v>54</v>
      </c>
      <c r="D1179">
        <v>20220404</v>
      </c>
      <c r="E1179">
        <f t="shared" si="18"/>
        <v>4</v>
      </c>
      <c r="F1179">
        <v>401000</v>
      </c>
      <c r="G1179" t="s">
        <v>41</v>
      </c>
      <c r="H1179" t="s">
        <v>1651</v>
      </c>
      <c r="I1179" t="s">
        <v>1652</v>
      </c>
      <c r="J1179" t="s">
        <v>1675</v>
      </c>
      <c r="K1179">
        <v>20220404</v>
      </c>
      <c r="L1179" t="s">
        <v>127</v>
      </c>
      <c r="M1179">
        <v>400</v>
      </c>
      <c r="N1179">
        <v>0</v>
      </c>
      <c r="O1179" t="s">
        <v>23</v>
      </c>
      <c r="P1179">
        <v>20220510</v>
      </c>
      <c r="Q1179">
        <v>20220404</v>
      </c>
    </row>
    <row r="1180" spans="1:17" x14ac:dyDescent="0.25">
      <c r="A1180" t="s">
        <v>476</v>
      </c>
      <c r="B1180" t="s">
        <v>477</v>
      </c>
      <c r="C1180">
        <v>54</v>
      </c>
      <c r="D1180">
        <v>20220404</v>
      </c>
      <c r="E1180">
        <f t="shared" si="18"/>
        <v>4</v>
      </c>
      <c r="F1180">
        <v>512000</v>
      </c>
      <c r="G1180" t="s">
        <v>428</v>
      </c>
      <c r="H1180" t="s">
        <v>401</v>
      </c>
      <c r="I1180" t="s">
        <v>402</v>
      </c>
      <c r="J1180" t="s">
        <v>1675</v>
      </c>
      <c r="K1180">
        <v>20220404</v>
      </c>
      <c r="L1180" t="s">
        <v>127</v>
      </c>
      <c r="M1180">
        <v>0</v>
      </c>
      <c r="N1180">
        <v>400</v>
      </c>
      <c r="O1180" t="s">
        <v>19</v>
      </c>
      <c r="P1180" t="s">
        <v>20</v>
      </c>
      <c r="Q1180">
        <v>20220404</v>
      </c>
    </row>
    <row r="1181" spans="1:17" x14ac:dyDescent="0.25">
      <c r="A1181" t="s">
        <v>476</v>
      </c>
      <c r="B1181" t="s">
        <v>477</v>
      </c>
      <c r="C1181">
        <v>54</v>
      </c>
      <c r="D1181">
        <v>20220404</v>
      </c>
      <c r="E1181">
        <f t="shared" si="18"/>
        <v>4</v>
      </c>
      <c r="F1181">
        <v>421000</v>
      </c>
      <c r="G1181" t="s">
        <v>403</v>
      </c>
      <c r="H1181" t="s">
        <v>401</v>
      </c>
      <c r="I1181" t="s">
        <v>402</v>
      </c>
      <c r="J1181" t="s">
        <v>1676</v>
      </c>
      <c r="K1181">
        <v>20220404</v>
      </c>
      <c r="L1181" t="s">
        <v>1677</v>
      </c>
      <c r="M1181">
        <v>333.32</v>
      </c>
      <c r="N1181">
        <v>0</v>
      </c>
      <c r="O1181" t="s">
        <v>23</v>
      </c>
      <c r="P1181">
        <v>20220708</v>
      </c>
      <c r="Q1181">
        <v>20220404</v>
      </c>
    </row>
    <row r="1182" spans="1:17" x14ac:dyDescent="0.25">
      <c r="A1182" t="s">
        <v>476</v>
      </c>
      <c r="B1182" t="s">
        <v>477</v>
      </c>
      <c r="C1182">
        <v>54</v>
      </c>
      <c r="D1182">
        <v>20220404</v>
      </c>
      <c r="E1182">
        <f t="shared" si="18"/>
        <v>4</v>
      </c>
      <c r="F1182">
        <v>512000</v>
      </c>
      <c r="G1182" t="s">
        <v>428</v>
      </c>
      <c r="H1182" t="s">
        <v>401</v>
      </c>
      <c r="I1182" t="s">
        <v>402</v>
      </c>
      <c r="J1182" t="s">
        <v>1676</v>
      </c>
      <c r="K1182">
        <v>20220404</v>
      </c>
      <c r="L1182" t="s">
        <v>1677</v>
      </c>
      <c r="M1182">
        <v>0</v>
      </c>
      <c r="N1182">
        <v>333.32</v>
      </c>
      <c r="O1182" t="s">
        <v>19</v>
      </c>
      <c r="P1182" t="s">
        <v>20</v>
      </c>
      <c r="Q1182">
        <v>20220404</v>
      </c>
    </row>
    <row r="1183" spans="1:17" x14ac:dyDescent="0.25">
      <c r="A1183" t="s">
        <v>476</v>
      </c>
      <c r="B1183" t="s">
        <v>477</v>
      </c>
      <c r="C1183">
        <v>54</v>
      </c>
      <c r="D1183">
        <v>20220404</v>
      </c>
      <c r="E1183">
        <f t="shared" si="18"/>
        <v>4</v>
      </c>
      <c r="F1183">
        <v>468200</v>
      </c>
      <c r="G1183" t="s">
        <v>421</v>
      </c>
      <c r="H1183" t="s">
        <v>401</v>
      </c>
      <c r="I1183" t="s">
        <v>402</v>
      </c>
      <c r="J1183" t="s">
        <v>1678</v>
      </c>
      <c r="K1183">
        <v>20220404</v>
      </c>
      <c r="L1183" t="s">
        <v>422</v>
      </c>
      <c r="M1183">
        <v>0</v>
      </c>
      <c r="N1183">
        <v>44.44</v>
      </c>
      <c r="O1183" t="s">
        <v>19</v>
      </c>
      <c r="P1183" t="s">
        <v>20</v>
      </c>
      <c r="Q1183">
        <v>20220404</v>
      </c>
    </row>
    <row r="1184" spans="1:17" x14ac:dyDescent="0.25">
      <c r="A1184" t="s">
        <v>476</v>
      </c>
      <c r="B1184" t="s">
        <v>477</v>
      </c>
      <c r="C1184">
        <v>54</v>
      </c>
      <c r="D1184">
        <v>20220404</v>
      </c>
      <c r="E1184">
        <f t="shared" si="18"/>
        <v>4</v>
      </c>
      <c r="F1184">
        <v>512000</v>
      </c>
      <c r="G1184" t="s">
        <v>428</v>
      </c>
      <c r="H1184" t="s">
        <v>401</v>
      </c>
      <c r="I1184" t="s">
        <v>402</v>
      </c>
      <c r="J1184" t="s">
        <v>1678</v>
      </c>
      <c r="K1184">
        <v>20220404</v>
      </c>
      <c r="L1184" t="s">
        <v>422</v>
      </c>
      <c r="M1184">
        <v>44.44</v>
      </c>
      <c r="N1184">
        <v>0</v>
      </c>
      <c r="O1184" t="s">
        <v>19</v>
      </c>
      <c r="P1184" t="s">
        <v>20</v>
      </c>
      <c r="Q1184">
        <v>20220404</v>
      </c>
    </row>
    <row r="1185" spans="1:17" x14ac:dyDescent="0.25">
      <c r="A1185" t="s">
        <v>476</v>
      </c>
      <c r="B1185" t="s">
        <v>477</v>
      </c>
      <c r="C1185">
        <v>54</v>
      </c>
      <c r="D1185">
        <v>20220405</v>
      </c>
      <c r="E1185">
        <f t="shared" si="18"/>
        <v>4</v>
      </c>
      <c r="F1185">
        <v>421000</v>
      </c>
      <c r="G1185" t="s">
        <v>403</v>
      </c>
      <c r="H1185" t="s">
        <v>401</v>
      </c>
      <c r="I1185" t="s">
        <v>402</v>
      </c>
      <c r="J1185" t="s">
        <v>1679</v>
      </c>
      <c r="K1185">
        <v>20220405</v>
      </c>
      <c r="L1185" t="s">
        <v>1680</v>
      </c>
      <c r="M1185">
        <v>3221.56</v>
      </c>
      <c r="N1185">
        <v>0</v>
      </c>
      <c r="O1185" t="s">
        <v>23</v>
      </c>
      <c r="P1185">
        <v>20220708</v>
      </c>
      <c r="Q1185">
        <v>20220405</v>
      </c>
    </row>
    <row r="1186" spans="1:17" x14ac:dyDescent="0.25">
      <c r="A1186" t="s">
        <v>476</v>
      </c>
      <c r="B1186" t="s">
        <v>477</v>
      </c>
      <c r="C1186">
        <v>54</v>
      </c>
      <c r="D1186">
        <v>20220405</v>
      </c>
      <c r="E1186">
        <f t="shared" si="18"/>
        <v>4</v>
      </c>
      <c r="F1186">
        <v>512000</v>
      </c>
      <c r="G1186" t="s">
        <v>428</v>
      </c>
      <c r="H1186" t="s">
        <v>401</v>
      </c>
      <c r="I1186" t="s">
        <v>402</v>
      </c>
      <c r="J1186" t="s">
        <v>1679</v>
      </c>
      <c r="K1186">
        <v>20220405</v>
      </c>
      <c r="L1186" t="s">
        <v>127</v>
      </c>
      <c r="M1186">
        <v>0</v>
      </c>
      <c r="N1186">
        <v>3221.56</v>
      </c>
      <c r="O1186" t="s">
        <v>19</v>
      </c>
      <c r="P1186" t="s">
        <v>20</v>
      </c>
      <c r="Q1186">
        <v>20220405</v>
      </c>
    </row>
    <row r="1187" spans="1:17" x14ac:dyDescent="0.25">
      <c r="A1187" t="s">
        <v>476</v>
      </c>
      <c r="B1187" t="s">
        <v>477</v>
      </c>
      <c r="C1187">
        <v>54</v>
      </c>
      <c r="D1187">
        <v>20220405</v>
      </c>
      <c r="E1187">
        <f t="shared" si="18"/>
        <v>4</v>
      </c>
      <c r="F1187">
        <v>401000</v>
      </c>
      <c r="G1187" t="s">
        <v>41</v>
      </c>
      <c r="H1187" t="s">
        <v>225</v>
      </c>
      <c r="I1187" t="s">
        <v>226</v>
      </c>
      <c r="J1187" t="s">
        <v>1681</v>
      </c>
      <c r="K1187">
        <v>20220405</v>
      </c>
      <c r="L1187" t="s">
        <v>488</v>
      </c>
      <c r="M1187">
        <v>475.4</v>
      </c>
      <c r="N1187">
        <v>0</v>
      </c>
      <c r="O1187" t="s">
        <v>23</v>
      </c>
      <c r="P1187">
        <v>20221005</v>
      </c>
      <c r="Q1187">
        <v>20220405</v>
      </c>
    </row>
    <row r="1188" spans="1:17" x14ac:dyDescent="0.25">
      <c r="A1188" t="s">
        <v>476</v>
      </c>
      <c r="B1188" t="s">
        <v>477</v>
      </c>
      <c r="C1188">
        <v>54</v>
      </c>
      <c r="D1188">
        <v>20220405</v>
      </c>
      <c r="E1188">
        <f t="shared" si="18"/>
        <v>4</v>
      </c>
      <c r="F1188">
        <v>512000</v>
      </c>
      <c r="G1188" t="s">
        <v>428</v>
      </c>
      <c r="H1188" t="s">
        <v>401</v>
      </c>
      <c r="I1188" t="s">
        <v>402</v>
      </c>
      <c r="J1188" t="s">
        <v>1681</v>
      </c>
      <c r="K1188">
        <v>20220405</v>
      </c>
      <c r="L1188" t="s">
        <v>488</v>
      </c>
      <c r="M1188">
        <v>0</v>
      </c>
      <c r="N1188">
        <v>475.4</v>
      </c>
      <c r="O1188" t="s">
        <v>19</v>
      </c>
      <c r="P1188" t="s">
        <v>20</v>
      </c>
      <c r="Q1188">
        <v>20220405</v>
      </c>
    </row>
    <row r="1189" spans="1:17" x14ac:dyDescent="0.25">
      <c r="A1189" t="s">
        <v>476</v>
      </c>
      <c r="B1189" t="s">
        <v>477</v>
      </c>
      <c r="C1189">
        <v>54</v>
      </c>
      <c r="D1189">
        <v>20220406</v>
      </c>
      <c r="E1189">
        <f t="shared" si="18"/>
        <v>4</v>
      </c>
      <c r="F1189">
        <v>468725</v>
      </c>
      <c r="G1189" t="s">
        <v>424</v>
      </c>
      <c r="H1189" t="s">
        <v>401</v>
      </c>
      <c r="I1189" t="s">
        <v>402</v>
      </c>
      <c r="J1189" t="s">
        <v>1682</v>
      </c>
      <c r="K1189">
        <v>20220406</v>
      </c>
      <c r="L1189" t="s">
        <v>1683</v>
      </c>
      <c r="M1189">
        <v>0</v>
      </c>
      <c r="N1189">
        <v>1333.32</v>
      </c>
      <c r="O1189" t="s">
        <v>23</v>
      </c>
      <c r="P1189">
        <v>20230105</v>
      </c>
      <c r="Q1189">
        <v>20220406</v>
      </c>
    </row>
    <row r="1190" spans="1:17" x14ac:dyDescent="0.25">
      <c r="A1190" t="s">
        <v>476</v>
      </c>
      <c r="B1190" t="s">
        <v>477</v>
      </c>
      <c r="C1190">
        <v>54</v>
      </c>
      <c r="D1190">
        <v>20220406</v>
      </c>
      <c r="E1190">
        <f t="shared" si="18"/>
        <v>4</v>
      </c>
      <c r="F1190">
        <v>512000</v>
      </c>
      <c r="G1190" t="s">
        <v>428</v>
      </c>
      <c r="H1190" t="s">
        <v>401</v>
      </c>
      <c r="I1190" t="s">
        <v>402</v>
      </c>
      <c r="J1190" t="s">
        <v>1682</v>
      </c>
      <c r="K1190">
        <v>20220406</v>
      </c>
      <c r="L1190" t="s">
        <v>1683</v>
      </c>
      <c r="M1190">
        <v>1333.32</v>
      </c>
      <c r="N1190">
        <v>0</v>
      </c>
      <c r="O1190" t="s">
        <v>19</v>
      </c>
      <c r="P1190" t="s">
        <v>20</v>
      </c>
      <c r="Q1190">
        <v>20220406</v>
      </c>
    </row>
    <row r="1191" spans="1:17" x14ac:dyDescent="0.25">
      <c r="A1191" t="s">
        <v>476</v>
      </c>
      <c r="B1191" t="s">
        <v>477</v>
      </c>
      <c r="C1191">
        <v>54</v>
      </c>
      <c r="D1191">
        <v>20220406</v>
      </c>
      <c r="E1191">
        <f t="shared" si="18"/>
        <v>4</v>
      </c>
      <c r="F1191">
        <v>468200</v>
      </c>
      <c r="G1191" t="s">
        <v>421</v>
      </c>
      <c r="H1191" t="s">
        <v>401</v>
      </c>
      <c r="I1191" t="s">
        <v>402</v>
      </c>
      <c r="J1191" t="s">
        <v>1684</v>
      </c>
      <c r="K1191">
        <v>20220406</v>
      </c>
      <c r="L1191" t="s">
        <v>422</v>
      </c>
      <c r="M1191">
        <v>0</v>
      </c>
      <c r="N1191">
        <v>56.88</v>
      </c>
      <c r="O1191" t="s">
        <v>19</v>
      </c>
      <c r="P1191" t="s">
        <v>20</v>
      </c>
      <c r="Q1191">
        <v>20220406</v>
      </c>
    </row>
    <row r="1192" spans="1:17" x14ac:dyDescent="0.25">
      <c r="A1192" t="s">
        <v>476</v>
      </c>
      <c r="B1192" t="s">
        <v>477</v>
      </c>
      <c r="C1192">
        <v>54</v>
      </c>
      <c r="D1192">
        <v>20220406</v>
      </c>
      <c r="E1192">
        <f t="shared" si="18"/>
        <v>4</v>
      </c>
      <c r="F1192">
        <v>512000</v>
      </c>
      <c r="G1192" t="s">
        <v>428</v>
      </c>
      <c r="H1192" t="s">
        <v>401</v>
      </c>
      <c r="I1192" t="s">
        <v>402</v>
      </c>
      <c r="J1192" t="s">
        <v>1684</v>
      </c>
      <c r="K1192">
        <v>20220406</v>
      </c>
      <c r="L1192" t="s">
        <v>422</v>
      </c>
      <c r="M1192">
        <v>56.88</v>
      </c>
      <c r="N1192">
        <v>0</v>
      </c>
      <c r="O1192" t="s">
        <v>19</v>
      </c>
      <c r="P1192" t="s">
        <v>20</v>
      </c>
      <c r="Q1192">
        <v>20220406</v>
      </c>
    </row>
    <row r="1193" spans="1:17" x14ac:dyDescent="0.25">
      <c r="A1193" t="s">
        <v>476</v>
      </c>
      <c r="B1193" t="s">
        <v>477</v>
      </c>
      <c r="C1193">
        <v>54</v>
      </c>
      <c r="D1193">
        <v>20220408</v>
      </c>
      <c r="E1193">
        <f t="shared" si="18"/>
        <v>4</v>
      </c>
      <c r="F1193">
        <v>401000</v>
      </c>
      <c r="G1193" t="s">
        <v>41</v>
      </c>
      <c r="H1193" t="s">
        <v>42</v>
      </c>
      <c r="I1193" t="s">
        <v>43</v>
      </c>
      <c r="J1193" t="s">
        <v>1685</v>
      </c>
      <c r="K1193">
        <v>20220408</v>
      </c>
      <c r="L1193" t="s">
        <v>163</v>
      </c>
      <c r="M1193">
        <v>681.17</v>
      </c>
      <c r="N1193">
        <v>0</v>
      </c>
      <c r="O1193" t="s">
        <v>22</v>
      </c>
      <c r="P1193">
        <v>20220408</v>
      </c>
      <c r="Q1193">
        <v>20220408</v>
      </c>
    </row>
    <row r="1194" spans="1:17" x14ac:dyDescent="0.25">
      <c r="A1194" t="s">
        <v>476</v>
      </c>
      <c r="B1194" t="s">
        <v>477</v>
      </c>
      <c r="C1194">
        <v>54</v>
      </c>
      <c r="D1194">
        <v>20220408</v>
      </c>
      <c r="E1194">
        <f t="shared" si="18"/>
        <v>4</v>
      </c>
      <c r="F1194">
        <v>401000</v>
      </c>
      <c r="G1194" t="s">
        <v>41</v>
      </c>
      <c r="H1194" t="s">
        <v>46</v>
      </c>
      <c r="I1194" t="s">
        <v>47</v>
      </c>
      <c r="J1194" t="s">
        <v>1685</v>
      </c>
      <c r="K1194">
        <v>20220408</v>
      </c>
      <c r="L1194" t="s">
        <v>163</v>
      </c>
      <c r="M1194">
        <v>1243</v>
      </c>
      <c r="N1194">
        <v>0</v>
      </c>
      <c r="O1194" t="s">
        <v>22</v>
      </c>
      <c r="P1194">
        <v>20220408</v>
      </c>
      <c r="Q1194">
        <v>20220408</v>
      </c>
    </row>
    <row r="1195" spans="1:17" x14ac:dyDescent="0.25">
      <c r="A1195" t="s">
        <v>476</v>
      </c>
      <c r="B1195" t="s">
        <v>477</v>
      </c>
      <c r="C1195">
        <v>54</v>
      </c>
      <c r="D1195">
        <v>20220408</v>
      </c>
      <c r="E1195">
        <f t="shared" si="18"/>
        <v>4</v>
      </c>
      <c r="F1195">
        <v>401000</v>
      </c>
      <c r="G1195" t="s">
        <v>41</v>
      </c>
      <c r="H1195" t="s">
        <v>48</v>
      </c>
      <c r="I1195" t="s">
        <v>49</v>
      </c>
      <c r="J1195" t="s">
        <v>1685</v>
      </c>
      <c r="K1195">
        <v>20220408</v>
      </c>
      <c r="L1195" t="s">
        <v>163</v>
      </c>
      <c r="M1195">
        <v>1220.44</v>
      </c>
      <c r="N1195">
        <v>0</v>
      </c>
      <c r="O1195" t="s">
        <v>22</v>
      </c>
      <c r="P1195">
        <v>20220408</v>
      </c>
      <c r="Q1195">
        <v>20220408</v>
      </c>
    </row>
    <row r="1196" spans="1:17" x14ac:dyDescent="0.25">
      <c r="A1196" t="s">
        <v>476</v>
      </c>
      <c r="B1196" t="s">
        <v>477</v>
      </c>
      <c r="C1196">
        <v>54</v>
      </c>
      <c r="D1196">
        <v>20220408</v>
      </c>
      <c r="E1196">
        <f t="shared" si="18"/>
        <v>4</v>
      </c>
      <c r="F1196">
        <v>401000</v>
      </c>
      <c r="G1196" t="s">
        <v>41</v>
      </c>
      <c r="H1196" t="s">
        <v>56</v>
      </c>
      <c r="I1196" t="s">
        <v>57</v>
      </c>
      <c r="J1196" t="s">
        <v>1685</v>
      </c>
      <c r="K1196">
        <v>20220408</v>
      </c>
      <c r="L1196" t="s">
        <v>163</v>
      </c>
      <c r="M1196">
        <v>606.6</v>
      </c>
      <c r="N1196">
        <v>0</v>
      </c>
      <c r="O1196" t="s">
        <v>22</v>
      </c>
      <c r="P1196">
        <v>20220408</v>
      </c>
      <c r="Q1196">
        <v>20220408</v>
      </c>
    </row>
    <row r="1197" spans="1:17" x14ac:dyDescent="0.25">
      <c r="A1197" t="s">
        <v>476</v>
      </c>
      <c r="B1197" t="s">
        <v>477</v>
      </c>
      <c r="C1197">
        <v>54</v>
      </c>
      <c r="D1197">
        <v>20220408</v>
      </c>
      <c r="E1197">
        <f t="shared" si="18"/>
        <v>4</v>
      </c>
      <c r="F1197">
        <v>401000</v>
      </c>
      <c r="G1197" t="s">
        <v>41</v>
      </c>
      <c r="H1197" t="s">
        <v>1313</v>
      </c>
      <c r="I1197" t="s">
        <v>1314</v>
      </c>
      <c r="J1197" t="s">
        <v>1685</v>
      </c>
      <c r="K1197">
        <v>20220408</v>
      </c>
      <c r="L1197" t="s">
        <v>163</v>
      </c>
      <c r="M1197">
        <v>1021.55</v>
      </c>
      <c r="N1197">
        <v>0</v>
      </c>
      <c r="O1197" t="s">
        <v>22</v>
      </c>
      <c r="P1197">
        <v>20220408</v>
      </c>
      <c r="Q1197">
        <v>20220408</v>
      </c>
    </row>
    <row r="1198" spans="1:17" x14ac:dyDescent="0.25">
      <c r="A1198" t="s">
        <v>476</v>
      </c>
      <c r="B1198" t="s">
        <v>477</v>
      </c>
      <c r="C1198">
        <v>54</v>
      </c>
      <c r="D1198">
        <v>20220408</v>
      </c>
      <c r="E1198">
        <f t="shared" si="18"/>
        <v>4</v>
      </c>
      <c r="F1198">
        <v>401000</v>
      </c>
      <c r="G1198" t="s">
        <v>41</v>
      </c>
      <c r="H1198" t="s">
        <v>67</v>
      </c>
      <c r="I1198" t="s">
        <v>68</v>
      </c>
      <c r="J1198" t="s">
        <v>1685</v>
      </c>
      <c r="K1198">
        <v>20220408</v>
      </c>
      <c r="L1198" t="s">
        <v>163</v>
      </c>
      <c r="M1198">
        <v>762.96</v>
      </c>
      <c r="N1198">
        <v>0</v>
      </c>
      <c r="O1198" t="s">
        <v>22</v>
      </c>
      <c r="P1198">
        <v>20220408</v>
      </c>
      <c r="Q1198">
        <v>20220408</v>
      </c>
    </row>
    <row r="1199" spans="1:17" x14ac:dyDescent="0.25">
      <c r="A1199" t="s">
        <v>476</v>
      </c>
      <c r="B1199" t="s">
        <v>477</v>
      </c>
      <c r="C1199">
        <v>54</v>
      </c>
      <c r="D1199">
        <v>20220408</v>
      </c>
      <c r="E1199">
        <f t="shared" si="18"/>
        <v>4</v>
      </c>
      <c r="F1199">
        <v>401000</v>
      </c>
      <c r="G1199" t="s">
        <v>41</v>
      </c>
      <c r="H1199" t="s">
        <v>69</v>
      </c>
      <c r="I1199" t="s">
        <v>70</v>
      </c>
      <c r="J1199" t="s">
        <v>1685</v>
      </c>
      <c r="K1199">
        <v>20220408</v>
      </c>
      <c r="L1199" t="s">
        <v>163</v>
      </c>
      <c r="M1199">
        <v>1428.8</v>
      </c>
      <c r="N1199">
        <v>0</v>
      </c>
      <c r="O1199" t="s">
        <v>22</v>
      </c>
      <c r="P1199">
        <v>20220408</v>
      </c>
      <c r="Q1199">
        <v>20220408</v>
      </c>
    </row>
    <row r="1200" spans="1:17" x14ac:dyDescent="0.25">
      <c r="A1200" t="s">
        <v>476</v>
      </c>
      <c r="B1200" t="s">
        <v>477</v>
      </c>
      <c r="C1200">
        <v>54</v>
      </c>
      <c r="D1200">
        <v>20220408</v>
      </c>
      <c r="E1200">
        <f t="shared" si="18"/>
        <v>4</v>
      </c>
      <c r="F1200">
        <v>467100</v>
      </c>
      <c r="G1200" t="s">
        <v>160</v>
      </c>
      <c r="H1200" t="s">
        <v>164</v>
      </c>
      <c r="I1200" t="s">
        <v>165</v>
      </c>
      <c r="J1200" t="s">
        <v>1685</v>
      </c>
      <c r="K1200">
        <v>20220408</v>
      </c>
      <c r="L1200" t="s">
        <v>163</v>
      </c>
      <c r="M1200">
        <v>149.62</v>
      </c>
      <c r="N1200">
        <v>0</v>
      </c>
      <c r="O1200" t="s">
        <v>22</v>
      </c>
      <c r="P1200">
        <v>20220408</v>
      </c>
      <c r="Q1200">
        <v>20220408</v>
      </c>
    </row>
    <row r="1201" spans="1:17" x14ac:dyDescent="0.25">
      <c r="A1201" t="s">
        <v>476</v>
      </c>
      <c r="B1201" t="s">
        <v>477</v>
      </c>
      <c r="C1201">
        <v>54</v>
      </c>
      <c r="D1201">
        <v>20220408</v>
      </c>
      <c r="E1201">
        <f t="shared" si="18"/>
        <v>4</v>
      </c>
      <c r="F1201">
        <v>467100</v>
      </c>
      <c r="G1201" t="s">
        <v>160</v>
      </c>
      <c r="H1201" t="s">
        <v>183</v>
      </c>
      <c r="I1201" t="s">
        <v>184</v>
      </c>
      <c r="J1201" t="s">
        <v>1685</v>
      </c>
      <c r="K1201">
        <v>20220408</v>
      </c>
      <c r="L1201" t="s">
        <v>163</v>
      </c>
      <c r="M1201">
        <v>47.05</v>
      </c>
      <c r="N1201">
        <v>0</v>
      </c>
      <c r="O1201" t="s">
        <v>22</v>
      </c>
      <c r="P1201">
        <v>20220408</v>
      </c>
      <c r="Q1201">
        <v>20220408</v>
      </c>
    </row>
    <row r="1202" spans="1:17" x14ac:dyDescent="0.25">
      <c r="A1202" t="s">
        <v>476</v>
      </c>
      <c r="B1202" t="s">
        <v>477</v>
      </c>
      <c r="C1202">
        <v>54</v>
      </c>
      <c r="D1202">
        <v>20220408</v>
      </c>
      <c r="E1202">
        <f t="shared" si="18"/>
        <v>4</v>
      </c>
      <c r="F1202">
        <v>467100</v>
      </c>
      <c r="G1202" t="s">
        <v>160</v>
      </c>
      <c r="H1202" t="s">
        <v>185</v>
      </c>
      <c r="I1202" t="s">
        <v>186</v>
      </c>
      <c r="J1202" t="s">
        <v>1685</v>
      </c>
      <c r="K1202">
        <v>20220408</v>
      </c>
      <c r="L1202" t="s">
        <v>163</v>
      </c>
      <c r="M1202">
        <v>31</v>
      </c>
      <c r="N1202">
        <v>0</v>
      </c>
      <c r="O1202" t="s">
        <v>22</v>
      </c>
      <c r="P1202">
        <v>20220408</v>
      </c>
      <c r="Q1202">
        <v>20220408</v>
      </c>
    </row>
    <row r="1203" spans="1:17" x14ac:dyDescent="0.25">
      <c r="A1203" t="s">
        <v>476</v>
      </c>
      <c r="B1203" t="s">
        <v>477</v>
      </c>
      <c r="C1203">
        <v>54</v>
      </c>
      <c r="D1203">
        <v>20220408</v>
      </c>
      <c r="E1203">
        <f t="shared" si="18"/>
        <v>4</v>
      </c>
      <c r="F1203">
        <v>401000</v>
      </c>
      <c r="G1203" t="s">
        <v>41</v>
      </c>
      <c r="H1203" t="s">
        <v>223</v>
      </c>
      <c r="I1203" t="s">
        <v>224</v>
      </c>
      <c r="J1203" t="s">
        <v>1685</v>
      </c>
      <c r="K1203">
        <v>20220408</v>
      </c>
      <c r="L1203" t="s">
        <v>163</v>
      </c>
      <c r="M1203">
        <v>90</v>
      </c>
      <c r="N1203">
        <v>0</v>
      </c>
      <c r="O1203" t="s">
        <v>22</v>
      </c>
      <c r="P1203">
        <v>20220408</v>
      </c>
      <c r="Q1203">
        <v>20220408</v>
      </c>
    </row>
    <row r="1204" spans="1:17" x14ac:dyDescent="0.25">
      <c r="A1204" t="s">
        <v>476</v>
      </c>
      <c r="B1204" t="s">
        <v>477</v>
      </c>
      <c r="C1204">
        <v>54</v>
      </c>
      <c r="D1204">
        <v>20220408</v>
      </c>
      <c r="E1204">
        <f t="shared" si="18"/>
        <v>4</v>
      </c>
      <c r="F1204">
        <v>401000</v>
      </c>
      <c r="G1204" t="s">
        <v>41</v>
      </c>
      <c r="H1204" t="s">
        <v>472</v>
      </c>
      <c r="I1204" t="s">
        <v>473</v>
      </c>
      <c r="J1204" t="s">
        <v>1685</v>
      </c>
      <c r="K1204">
        <v>20220408</v>
      </c>
      <c r="L1204" t="s">
        <v>163</v>
      </c>
      <c r="M1204">
        <v>350</v>
      </c>
      <c r="N1204">
        <v>0</v>
      </c>
      <c r="O1204" t="s">
        <v>22</v>
      </c>
      <c r="P1204">
        <v>20220408</v>
      </c>
      <c r="Q1204">
        <v>20220408</v>
      </c>
    </row>
    <row r="1205" spans="1:17" x14ac:dyDescent="0.25">
      <c r="A1205" t="s">
        <v>476</v>
      </c>
      <c r="B1205" t="s">
        <v>477</v>
      </c>
      <c r="C1205">
        <v>54</v>
      </c>
      <c r="D1205">
        <v>20220408</v>
      </c>
      <c r="E1205">
        <f t="shared" si="18"/>
        <v>4</v>
      </c>
      <c r="F1205">
        <v>467100</v>
      </c>
      <c r="G1205" t="s">
        <v>160</v>
      </c>
      <c r="H1205" t="s">
        <v>1628</v>
      </c>
      <c r="I1205" t="s">
        <v>1629</v>
      </c>
      <c r="J1205" t="s">
        <v>1685</v>
      </c>
      <c r="K1205">
        <v>20220408</v>
      </c>
      <c r="L1205" t="s">
        <v>163</v>
      </c>
      <c r="M1205">
        <v>65.28</v>
      </c>
      <c r="N1205">
        <v>0</v>
      </c>
      <c r="O1205" t="s">
        <v>22</v>
      </c>
      <c r="P1205">
        <v>20220408</v>
      </c>
      <c r="Q1205">
        <v>20220408</v>
      </c>
    </row>
    <row r="1206" spans="1:17" x14ac:dyDescent="0.25">
      <c r="A1206" t="s">
        <v>476</v>
      </c>
      <c r="B1206" t="s">
        <v>477</v>
      </c>
      <c r="C1206">
        <v>54</v>
      </c>
      <c r="D1206">
        <v>20220408</v>
      </c>
      <c r="E1206">
        <f t="shared" si="18"/>
        <v>4</v>
      </c>
      <c r="F1206">
        <v>401000</v>
      </c>
      <c r="G1206" t="s">
        <v>41</v>
      </c>
      <c r="H1206" t="s">
        <v>830</v>
      </c>
      <c r="I1206" t="s">
        <v>831</v>
      </c>
      <c r="J1206" t="s">
        <v>1685</v>
      </c>
      <c r="K1206">
        <v>20220408</v>
      </c>
      <c r="L1206" t="s">
        <v>163</v>
      </c>
      <c r="M1206">
        <v>240</v>
      </c>
      <c r="N1206">
        <v>0</v>
      </c>
      <c r="O1206" t="s">
        <v>22</v>
      </c>
      <c r="P1206">
        <v>20220408</v>
      </c>
      <c r="Q1206">
        <v>20220408</v>
      </c>
    </row>
    <row r="1207" spans="1:17" x14ac:dyDescent="0.25">
      <c r="A1207" t="s">
        <v>476</v>
      </c>
      <c r="B1207" t="s">
        <v>477</v>
      </c>
      <c r="C1207">
        <v>54</v>
      </c>
      <c r="D1207">
        <v>20220408</v>
      </c>
      <c r="E1207">
        <f t="shared" si="18"/>
        <v>4</v>
      </c>
      <c r="F1207">
        <v>401000</v>
      </c>
      <c r="G1207" t="s">
        <v>41</v>
      </c>
      <c r="H1207" t="s">
        <v>1311</v>
      </c>
      <c r="I1207" t="s">
        <v>1312</v>
      </c>
      <c r="J1207" t="s">
        <v>1685</v>
      </c>
      <c r="K1207">
        <v>20220408</v>
      </c>
      <c r="L1207" t="s">
        <v>163</v>
      </c>
      <c r="M1207">
        <v>176</v>
      </c>
      <c r="N1207">
        <v>0</v>
      </c>
      <c r="O1207" t="s">
        <v>22</v>
      </c>
      <c r="P1207">
        <v>20220408</v>
      </c>
      <c r="Q1207">
        <v>20220408</v>
      </c>
    </row>
    <row r="1208" spans="1:17" x14ac:dyDescent="0.25">
      <c r="A1208" t="s">
        <v>476</v>
      </c>
      <c r="B1208" t="s">
        <v>477</v>
      </c>
      <c r="C1208">
        <v>54</v>
      </c>
      <c r="D1208">
        <v>20220408</v>
      </c>
      <c r="E1208">
        <f t="shared" si="18"/>
        <v>4</v>
      </c>
      <c r="F1208">
        <v>401000</v>
      </c>
      <c r="G1208" t="s">
        <v>41</v>
      </c>
      <c r="H1208" t="s">
        <v>1624</v>
      </c>
      <c r="I1208" t="s">
        <v>1625</v>
      </c>
      <c r="J1208" t="s">
        <v>1685</v>
      </c>
      <c r="K1208">
        <v>20220408</v>
      </c>
      <c r="L1208" t="s">
        <v>163</v>
      </c>
      <c r="M1208">
        <v>48.9</v>
      </c>
      <c r="N1208">
        <v>0</v>
      </c>
      <c r="O1208" t="s">
        <v>22</v>
      </c>
      <c r="P1208">
        <v>20220408</v>
      </c>
      <c r="Q1208">
        <v>20220408</v>
      </c>
    </row>
    <row r="1209" spans="1:17" x14ac:dyDescent="0.25">
      <c r="A1209" t="s">
        <v>476</v>
      </c>
      <c r="B1209" t="s">
        <v>477</v>
      </c>
      <c r="C1209">
        <v>54</v>
      </c>
      <c r="D1209">
        <v>20220408</v>
      </c>
      <c r="E1209">
        <f t="shared" si="18"/>
        <v>4</v>
      </c>
      <c r="F1209">
        <v>467100</v>
      </c>
      <c r="G1209" t="s">
        <v>160</v>
      </c>
      <c r="H1209" t="s">
        <v>1626</v>
      </c>
      <c r="I1209" t="s">
        <v>1627</v>
      </c>
      <c r="J1209" t="s">
        <v>1685</v>
      </c>
      <c r="K1209">
        <v>20220408</v>
      </c>
      <c r="L1209" t="s">
        <v>163</v>
      </c>
      <c r="M1209">
        <v>33.5</v>
      </c>
      <c r="N1209">
        <v>0</v>
      </c>
      <c r="O1209" t="s">
        <v>22</v>
      </c>
      <c r="P1209">
        <v>20220408</v>
      </c>
      <c r="Q1209">
        <v>20220408</v>
      </c>
    </row>
    <row r="1210" spans="1:17" x14ac:dyDescent="0.25">
      <c r="A1210" t="s">
        <v>476</v>
      </c>
      <c r="B1210" t="s">
        <v>477</v>
      </c>
      <c r="C1210">
        <v>54</v>
      </c>
      <c r="D1210">
        <v>20220408</v>
      </c>
      <c r="E1210">
        <f t="shared" si="18"/>
        <v>4</v>
      </c>
      <c r="F1210">
        <v>512000</v>
      </c>
      <c r="G1210" t="s">
        <v>428</v>
      </c>
      <c r="H1210" t="s">
        <v>401</v>
      </c>
      <c r="I1210" t="s">
        <v>402</v>
      </c>
      <c r="J1210" t="s">
        <v>1685</v>
      </c>
      <c r="K1210">
        <v>20220408</v>
      </c>
      <c r="L1210" t="s">
        <v>163</v>
      </c>
      <c r="M1210">
        <v>0</v>
      </c>
      <c r="N1210">
        <v>8195.8700000000008</v>
      </c>
      <c r="O1210" t="s">
        <v>19</v>
      </c>
      <c r="P1210" t="s">
        <v>20</v>
      </c>
      <c r="Q1210">
        <v>20220408</v>
      </c>
    </row>
    <row r="1211" spans="1:17" x14ac:dyDescent="0.25">
      <c r="A1211" t="s">
        <v>476</v>
      </c>
      <c r="B1211" t="s">
        <v>477</v>
      </c>
      <c r="C1211">
        <v>54</v>
      </c>
      <c r="D1211">
        <v>20220408</v>
      </c>
      <c r="E1211">
        <f t="shared" si="18"/>
        <v>4</v>
      </c>
      <c r="F1211">
        <v>467100</v>
      </c>
      <c r="G1211" t="s">
        <v>160</v>
      </c>
      <c r="H1211" t="s">
        <v>164</v>
      </c>
      <c r="I1211" t="s">
        <v>165</v>
      </c>
      <c r="J1211" t="s">
        <v>1686</v>
      </c>
      <c r="K1211">
        <v>20220408</v>
      </c>
      <c r="L1211" t="s">
        <v>127</v>
      </c>
      <c r="M1211">
        <v>500</v>
      </c>
      <c r="N1211">
        <v>0</v>
      </c>
      <c r="O1211" t="s">
        <v>23</v>
      </c>
      <c r="P1211">
        <v>20220419</v>
      </c>
      <c r="Q1211">
        <v>20220408</v>
      </c>
    </row>
    <row r="1212" spans="1:17" x14ac:dyDescent="0.25">
      <c r="A1212" t="s">
        <v>476</v>
      </c>
      <c r="B1212" t="s">
        <v>477</v>
      </c>
      <c r="C1212">
        <v>54</v>
      </c>
      <c r="D1212">
        <v>20220408</v>
      </c>
      <c r="E1212">
        <f t="shared" si="18"/>
        <v>4</v>
      </c>
      <c r="F1212">
        <v>401000</v>
      </c>
      <c r="G1212" t="s">
        <v>41</v>
      </c>
      <c r="H1212" t="s">
        <v>1687</v>
      </c>
      <c r="I1212" t="s">
        <v>1688</v>
      </c>
      <c r="J1212" t="s">
        <v>1686</v>
      </c>
      <c r="K1212">
        <v>20220408</v>
      </c>
      <c r="L1212" t="s">
        <v>127</v>
      </c>
      <c r="M1212">
        <v>209.37</v>
      </c>
      <c r="N1212">
        <v>0</v>
      </c>
      <c r="O1212" t="s">
        <v>23</v>
      </c>
      <c r="P1212">
        <v>20220630</v>
      </c>
      <c r="Q1212">
        <v>20220408</v>
      </c>
    </row>
    <row r="1213" spans="1:17" x14ac:dyDescent="0.25">
      <c r="A1213" t="s">
        <v>476</v>
      </c>
      <c r="B1213" t="s">
        <v>477</v>
      </c>
      <c r="C1213">
        <v>54</v>
      </c>
      <c r="D1213">
        <v>20220408</v>
      </c>
      <c r="E1213">
        <f t="shared" si="18"/>
        <v>4</v>
      </c>
      <c r="F1213">
        <v>401000</v>
      </c>
      <c r="G1213" t="s">
        <v>41</v>
      </c>
      <c r="H1213" t="s">
        <v>1635</v>
      </c>
      <c r="I1213" t="s">
        <v>1636</v>
      </c>
      <c r="J1213" t="s">
        <v>1686</v>
      </c>
      <c r="K1213">
        <v>20220408</v>
      </c>
      <c r="L1213" t="s">
        <v>127</v>
      </c>
      <c r="M1213">
        <v>840</v>
      </c>
      <c r="N1213">
        <v>0</v>
      </c>
      <c r="O1213" t="s">
        <v>23</v>
      </c>
      <c r="P1213">
        <v>20221219</v>
      </c>
      <c r="Q1213">
        <v>20220408</v>
      </c>
    </row>
    <row r="1214" spans="1:17" x14ac:dyDescent="0.25">
      <c r="A1214" t="s">
        <v>476</v>
      </c>
      <c r="B1214" t="s">
        <v>477</v>
      </c>
      <c r="C1214">
        <v>54</v>
      </c>
      <c r="D1214">
        <v>20220408</v>
      </c>
      <c r="E1214">
        <f t="shared" si="18"/>
        <v>4</v>
      </c>
      <c r="F1214">
        <v>512000</v>
      </c>
      <c r="G1214" t="s">
        <v>428</v>
      </c>
      <c r="H1214" t="s">
        <v>401</v>
      </c>
      <c r="I1214" t="s">
        <v>402</v>
      </c>
      <c r="J1214" t="s">
        <v>1686</v>
      </c>
      <c r="K1214">
        <v>20220408</v>
      </c>
      <c r="L1214" t="s">
        <v>127</v>
      </c>
      <c r="M1214">
        <v>0</v>
      </c>
      <c r="N1214">
        <v>1549.37</v>
      </c>
      <c r="O1214" t="s">
        <v>19</v>
      </c>
      <c r="P1214" t="s">
        <v>20</v>
      </c>
      <c r="Q1214">
        <v>20220408</v>
      </c>
    </row>
    <row r="1215" spans="1:17" x14ac:dyDescent="0.25">
      <c r="A1215" t="s">
        <v>476</v>
      </c>
      <c r="B1215" t="s">
        <v>477</v>
      </c>
      <c r="C1215">
        <v>54</v>
      </c>
      <c r="D1215">
        <v>20220411</v>
      </c>
      <c r="E1215">
        <f t="shared" si="18"/>
        <v>4</v>
      </c>
      <c r="F1215">
        <v>468200</v>
      </c>
      <c r="G1215" t="s">
        <v>421</v>
      </c>
      <c r="H1215" t="s">
        <v>401</v>
      </c>
      <c r="I1215" t="s">
        <v>402</v>
      </c>
      <c r="J1215" t="s">
        <v>1689</v>
      </c>
      <c r="K1215">
        <v>20220411</v>
      </c>
      <c r="L1215" t="s">
        <v>422</v>
      </c>
      <c r="M1215">
        <v>0</v>
      </c>
      <c r="N1215">
        <v>164.88</v>
      </c>
      <c r="O1215" t="s">
        <v>19</v>
      </c>
      <c r="P1215" t="s">
        <v>20</v>
      </c>
      <c r="Q1215">
        <v>20220411</v>
      </c>
    </row>
    <row r="1216" spans="1:17" x14ac:dyDescent="0.25">
      <c r="A1216" t="s">
        <v>476</v>
      </c>
      <c r="B1216" t="s">
        <v>477</v>
      </c>
      <c r="C1216">
        <v>54</v>
      </c>
      <c r="D1216">
        <v>20220411</v>
      </c>
      <c r="E1216">
        <f t="shared" si="18"/>
        <v>4</v>
      </c>
      <c r="F1216">
        <v>512000</v>
      </c>
      <c r="G1216" t="s">
        <v>428</v>
      </c>
      <c r="H1216" t="s">
        <v>401</v>
      </c>
      <c r="I1216" t="s">
        <v>402</v>
      </c>
      <c r="J1216" t="s">
        <v>1689</v>
      </c>
      <c r="K1216">
        <v>20220411</v>
      </c>
      <c r="L1216" t="s">
        <v>422</v>
      </c>
      <c r="M1216">
        <v>164.88</v>
      </c>
      <c r="N1216">
        <v>0</v>
      </c>
      <c r="O1216" t="s">
        <v>19</v>
      </c>
      <c r="P1216" t="s">
        <v>20</v>
      </c>
      <c r="Q1216">
        <v>20220411</v>
      </c>
    </row>
    <row r="1217" spans="1:17" x14ac:dyDescent="0.25">
      <c r="A1217" t="s">
        <v>476</v>
      </c>
      <c r="B1217" t="s">
        <v>477</v>
      </c>
      <c r="C1217">
        <v>54</v>
      </c>
      <c r="D1217">
        <v>20220412</v>
      </c>
      <c r="E1217">
        <f t="shared" si="18"/>
        <v>4</v>
      </c>
      <c r="F1217">
        <v>467100</v>
      </c>
      <c r="G1217" t="s">
        <v>160</v>
      </c>
      <c r="H1217" t="s">
        <v>185</v>
      </c>
      <c r="I1217" t="s">
        <v>186</v>
      </c>
      <c r="J1217" t="s">
        <v>1690</v>
      </c>
      <c r="K1217">
        <v>20220412</v>
      </c>
      <c r="L1217" t="s">
        <v>127</v>
      </c>
      <c r="M1217">
        <v>500</v>
      </c>
      <c r="N1217">
        <v>0</v>
      </c>
      <c r="O1217" t="s">
        <v>23</v>
      </c>
      <c r="P1217">
        <v>20220419</v>
      </c>
      <c r="Q1217">
        <v>20220412</v>
      </c>
    </row>
    <row r="1218" spans="1:17" x14ac:dyDescent="0.25">
      <c r="A1218" t="s">
        <v>476</v>
      </c>
      <c r="B1218" t="s">
        <v>477</v>
      </c>
      <c r="C1218">
        <v>54</v>
      </c>
      <c r="D1218">
        <v>20220412</v>
      </c>
      <c r="E1218">
        <f t="shared" si="18"/>
        <v>4</v>
      </c>
      <c r="F1218">
        <v>401000</v>
      </c>
      <c r="G1218" t="s">
        <v>41</v>
      </c>
      <c r="H1218" t="s">
        <v>838</v>
      </c>
      <c r="I1218" t="s">
        <v>839</v>
      </c>
      <c r="J1218" t="s">
        <v>1690</v>
      </c>
      <c r="K1218">
        <v>20220412</v>
      </c>
      <c r="L1218" t="s">
        <v>127</v>
      </c>
      <c r="M1218">
        <v>384</v>
      </c>
      <c r="N1218">
        <v>0</v>
      </c>
      <c r="O1218" t="s">
        <v>23</v>
      </c>
      <c r="P1218">
        <v>20220609</v>
      </c>
      <c r="Q1218">
        <v>20220412</v>
      </c>
    </row>
    <row r="1219" spans="1:17" x14ac:dyDescent="0.25">
      <c r="A1219" t="s">
        <v>476</v>
      </c>
      <c r="B1219" t="s">
        <v>477</v>
      </c>
      <c r="C1219">
        <v>54</v>
      </c>
      <c r="D1219">
        <v>20220412</v>
      </c>
      <c r="E1219">
        <f t="shared" ref="E1219:E1282" si="19">VALUE(MID(D1219,5,2))</f>
        <v>4</v>
      </c>
      <c r="F1219">
        <v>512000</v>
      </c>
      <c r="G1219" t="s">
        <v>428</v>
      </c>
      <c r="H1219" t="s">
        <v>401</v>
      </c>
      <c r="I1219" t="s">
        <v>402</v>
      </c>
      <c r="J1219" t="s">
        <v>1690</v>
      </c>
      <c r="K1219">
        <v>20220412</v>
      </c>
      <c r="L1219" t="s">
        <v>127</v>
      </c>
      <c r="M1219">
        <v>0</v>
      </c>
      <c r="N1219">
        <v>884</v>
      </c>
      <c r="O1219" t="s">
        <v>19</v>
      </c>
      <c r="P1219" t="s">
        <v>20</v>
      </c>
      <c r="Q1219">
        <v>20220412</v>
      </c>
    </row>
    <row r="1220" spans="1:17" x14ac:dyDescent="0.25">
      <c r="A1220" t="s">
        <v>476</v>
      </c>
      <c r="B1220" t="s">
        <v>477</v>
      </c>
      <c r="C1220">
        <v>54</v>
      </c>
      <c r="D1220">
        <v>20220412</v>
      </c>
      <c r="E1220">
        <f t="shared" si="19"/>
        <v>4</v>
      </c>
      <c r="F1220">
        <v>437000</v>
      </c>
      <c r="G1220" t="s">
        <v>430</v>
      </c>
      <c r="H1220" t="s">
        <v>401</v>
      </c>
      <c r="I1220" t="s">
        <v>402</v>
      </c>
      <c r="J1220" t="s">
        <v>1691</v>
      </c>
      <c r="K1220">
        <v>20220412</v>
      </c>
      <c r="L1220" t="s">
        <v>497</v>
      </c>
      <c r="M1220">
        <v>1589.22</v>
      </c>
      <c r="N1220">
        <v>0</v>
      </c>
      <c r="O1220" t="s">
        <v>19</v>
      </c>
      <c r="P1220" t="s">
        <v>20</v>
      </c>
      <c r="Q1220">
        <v>20220412</v>
      </c>
    </row>
    <row r="1221" spans="1:17" x14ac:dyDescent="0.25">
      <c r="A1221" t="s">
        <v>476</v>
      </c>
      <c r="B1221" t="s">
        <v>477</v>
      </c>
      <c r="C1221">
        <v>54</v>
      </c>
      <c r="D1221">
        <v>20220412</v>
      </c>
      <c r="E1221">
        <f t="shared" si="19"/>
        <v>4</v>
      </c>
      <c r="F1221">
        <v>512000</v>
      </c>
      <c r="G1221" t="s">
        <v>428</v>
      </c>
      <c r="H1221" t="s">
        <v>401</v>
      </c>
      <c r="I1221" t="s">
        <v>402</v>
      </c>
      <c r="J1221" t="s">
        <v>1691</v>
      </c>
      <c r="K1221">
        <v>20220412</v>
      </c>
      <c r="L1221" t="s">
        <v>497</v>
      </c>
      <c r="M1221">
        <v>0</v>
      </c>
      <c r="N1221">
        <v>1589.22</v>
      </c>
      <c r="O1221" t="s">
        <v>19</v>
      </c>
      <c r="P1221" t="s">
        <v>20</v>
      </c>
      <c r="Q1221">
        <v>20220412</v>
      </c>
    </row>
    <row r="1222" spans="1:17" x14ac:dyDescent="0.25">
      <c r="A1222" t="s">
        <v>476</v>
      </c>
      <c r="B1222" t="s">
        <v>477</v>
      </c>
      <c r="C1222">
        <v>54</v>
      </c>
      <c r="D1222">
        <v>20220415</v>
      </c>
      <c r="E1222">
        <f t="shared" si="19"/>
        <v>4</v>
      </c>
      <c r="F1222">
        <v>467100</v>
      </c>
      <c r="G1222" t="s">
        <v>160</v>
      </c>
      <c r="H1222" t="s">
        <v>172</v>
      </c>
      <c r="I1222" t="s">
        <v>173</v>
      </c>
      <c r="J1222" t="s">
        <v>1692</v>
      </c>
      <c r="K1222">
        <v>20220415</v>
      </c>
      <c r="L1222" t="s">
        <v>127</v>
      </c>
      <c r="M1222">
        <v>122.28</v>
      </c>
      <c r="N1222">
        <v>0</v>
      </c>
      <c r="O1222" t="s">
        <v>23</v>
      </c>
      <c r="P1222">
        <v>20220418</v>
      </c>
      <c r="Q1222">
        <v>20220415</v>
      </c>
    </row>
    <row r="1223" spans="1:17" x14ac:dyDescent="0.25">
      <c r="A1223" t="s">
        <v>476</v>
      </c>
      <c r="B1223" t="s">
        <v>477</v>
      </c>
      <c r="C1223">
        <v>54</v>
      </c>
      <c r="D1223">
        <v>20220415</v>
      </c>
      <c r="E1223">
        <f t="shared" si="19"/>
        <v>4</v>
      </c>
      <c r="F1223">
        <v>401000</v>
      </c>
      <c r="G1223" t="s">
        <v>41</v>
      </c>
      <c r="H1223" t="s">
        <v>393</v>
      </c>
      <c r="I1223" t="s">
        <v>394</v>
      </c>
      <c r="J1223" t="s">
        <v>1692</v>
      </c>
      <c r="K1223">
        <v>20220415</v>
      </c>
      <c r="L1223" t="s">
        <v>127</v>
      </c>
      <c r="M1223">
        <v>100</v>
      </c>
      <c r="N1223">
        <v>0</v>
      </c>
      <c r="O1223" t="s">
        <v>23</v>
      </c>
      <c r="P1223">
        <v>20220831</v>
      </c>
      <c r="Q1223">
        <v>20220415</v>
      </c>
    </row>
    <row r="1224" spans="1:17" x14ac:dyDescent="0.25">
      <c r="A1224" t="s">
        <v>476</v>
      </c>
      <c r="B1224" t="s">
        <v>477</v>
      </c>
      <c r="C1224">
        <v>54</v>
      </c>
      <c r="D1224">
        <v>20220415</v>
      </c>
      <c r="E1224">
        <f t="shared" si="19"/>
        <v>4</v>
      </c>
      <c r="F1224">
        <v>401000</v>
      </c>
      <c r="G1224" t="s">
        <v>41</v>
      </c>
      <c r="H1224" t="s">
        <v>1645</v>
      </c>
      <c r="I1224" t="s">
        <v>1646</v>
      </c>
      <c r="J1224" t="s">
        <v>1692</v>
      </c>
      <c r="K1224">
        <v>20220415</v>
      </c>
      <c r="L1224" t="s">
        <v>127</v>
      </c>
      <c r="M1224">
        <v>153</v>
      </c>
      <c r="N1224">
        <v>0</v>
      </c>
      <c r="O1224" t="s">
        <v>23</v>
      </c>
      <c r="P1224">
        <v>20220704</v>
      </c>
      <c r="Q1224">
        <v>20220415</v>
      </c>
    </row>
    <row r="1225" spans="1:17" x14ac:dyDescent="0.25">
      <c r="A1225" t="s">
        <v>476</v>
      </c>
      <c r="B1225" t="s">
        <v>477</v>
      </c>
      <c r="C1225">
        <v>54</v>
      </c>
      <c r="D1225">
        <v>20220415</v>
      </c>
      <c r="E1225">
        <f t="shared" si="19"/>
        <v>4</v>
      </c>
      <c r="F1225">
        <v>467100</v>
      </c>
      <c r="G1225" t="s">
        <v>160</v>
      </c>
      <c r="H1225" t="s">
        <v>1522</v>
      </c>
      <c r="I1225" t="s">
        <v>1523</v>
      </c>
      <c r="J1225" t="s">
        <v>1692</v>
      </c>
      <c r="K1225">
        <v>20220415</v>
      </c>
      <c r="L1225" t="s">
        <v>127</v>
      </c>
      <c r="M1225">
        <v>154.44999999999999</v>
      </c>
      <c r="N1225">
        <v>0</v>
      </c>
      <c r="O1225" t="s">
        <v>23</v>
      </c>
      <c r="P1225">
        <v>20220426</v>
      </c>
      <c r="Q1225">
        <v>20220415</v>
      </c>
    </row>
    <row r="1226" spans="1:17" x14ac:dyDescent="0.25">
      <c r="A1226" t="s">
        <v>476</v>
      </c>
      <c r="B1226" t="s">
        <v>477</v>
      </c>
      <c r="C1226">
        <v>54</v>
      </c>
      <c r="D1226">
        <v>20220415</v>
      </c>
      <c r="E1226">
        <f t="shared" si="19"/>
        <v>4</v>
      </c>
      <c r="F1226">
        <v>512000</v>
      </c>
      <c r="G1226" t="s">
        <v>428</v>
      </c>
      <c r="H1226" t="s">
        <v>401</v>
      </c>
      <c r="I1226" t="s">
        <v>402</v>
      </c>
      <c r="J1226" t="s">
        <v>1692</v>
      </c>
      <c r="K1226">
        <v>20220415</v>
      </c>
      <c r="L1226" t="s">
        <v>127</v>
      </c>
      <c r="M1226">
        <v>0</v>
      </c>
      <c r="N1226">
        <v>529.73</v>
      </c>
      <c r="O1226" t="s">
        <v>19</v>
      </c>
      <c r="P1226" t="s">
        <v>20</v>
      </c>
      <c r="Q1226">
        <v>20220415</v>
      </c>
    </row>
    <row r="1227" spans="1:17" x14ac:dyDescent="0.25">
      <c r="A1227" t="s">
        <v>476</v>
      </c>
      <c r="B1227" t="s">
        <v>477</v>
      </c>
      <c r="C1227">
        <v>54</v>
      </c>
      <c r="D1227">
        <v>20220418</v>
      </c>
      <c r="E1227">
        <f t="shared" si="19"/>
        <v>4</v>
      </c>
      <c r="F1227">
        <v>401000</v>
      </c>
      <c r="G1227" t="s">
        <v>41</v>
      </c>
      <c r="H1227" t="s">
        <v>450</v>
      </c>
      <c r="I1227" t="s">
        <v>451</v>
      </c>
      <c r="J1227" t="s">
        <v>1693</v>
      </c>
      <c r="K1227">
        <v>20220418</v>
      </c>
      <c r="L1227" t="s">
        <v>163</v>
      </c>
      <c r="M1227">
        <v>117.8</v>
      </c>
      <c r="N1227">
        <v>0</v>
      </c>
      <c r="O1227" t="s">
        <v>22</v>
      </c>
      <c r="P1227">
        <v>20220418</v>
      </c>
      <c r="Q1227">
        <v>20220418</v>
      </c>
    </row>
    <row r="1228" spans="1:17" x14ac:dyDescent="0.25">
      <c r="A1228" t="s">
        <v>476</v>
      </c>
      <c r="B1228" t="s">
        <v>477</v>
      </c>
      <c r="C1228">
        <v>54</v>
      </c>
      <c r="D1228">
        <v>20220418</v>
      </c>
      <c r="E1228">
        <f t="shared" si="19"/>
        <v>4</v>
      </c>
      <c r="F1228">
        <v>401000</v>
      </c>
      <c r="G1228" t="s">
        <v>41</v>
      </c>
      <c r="H1228" t="s">
        <v>54</v>
      </c>
      <c r="I1228" t="s">
        <v>55</v>
      </c>
      <c r="J1228" t="s">
        <v>1693</v>
      </c>
      <c r="K1228">
        <v>20220418</v>
      </c>
      <c r="L1228" t="s">
        <v>163</v>
      </c>
      <c r="M1228">
        <v>458.1</v>
      </c>
      <c r="N1228">
        <v>0</v>
      </c>
      <c r="O1228" t="s">
        <v>22</v>
      </c>
      <c r="P1228">
        <v>20220418</v>
      </c>
      <c r="Q1228">
        <v>20220418</v>
      </c>
    </row>
    <row r="1229" spans="1:17" x14ac:dyDescent="0.25">
      <c r="A1229" t="s">
        <v>476</v>
      </c>
      <c r="B1229" t="s">
        <v>477</v>
      </c>
      <c r="C1229">
        <v>54</v>
      </c>
      <c r="D1229">
        <v>20220418</v>
      </c>
      <c r="E1229">
        <f t="shared" si="19"/>
        <v>4</v>
      </c>
      <c r="F1229">
        <v>401000</v>
      </c>
      <c r="G1229" t="s">
        <v>41</v>
      </c>
      <c r="H1229" t="s">
        <v>69</v>
      </c>
      <c r="I1229" t="s">
        <v>70</v>
      </c>
      <c r="J1229" t="s">
        <v>1693</v>
      </c>
      <c r="K1229">
        <v>20220418</v>
      </c>
      <c r="L1229" t="s">
        <v>163</v>
      </c>
      <c r="M1229">
        <v>1318.6</v>
      </c>
      <c r="N1229">
        <v>0</v>
      </c>
      <c r="O1229" t="s">
        <v>22</v>
      </c>
      <c r="P1229">
        <v>20220418</v>
      </c>
      <c r="Q1229">
        <v>20220418</v>
      </c>
    </row>
    <row r="1230" spans="1:17" x14ac:dyDescent="0.25">
      <c r="A1230" t="s">
        <v>476</v>
      </c>
      <c r="B1230" t="s">
        <v>477</v>
      </c>
      <c r="C1230">
        <v>54</v>
      </c>
      <c r="D1230">
        <v>20220418</v>
      </c>
      <c r="E1230">
        <f t="shared" si="19"/>
        <v>4</v>
      </c>
      <c r="F1230">
        <v>401000</v>
      </c>
      <c r="G1230" t="s">
        <v>41</v>
      </c>
      <c r="H1230" t="s">
        <v>838</v>
      </c>
      <c r="I1230" t="s">
        <v>839</v>
      </c>
      <c r="J1230" t="s">
        <v>1693</v>
      </c>
      <c r="K1230">
        <v>20220418</v>
      </c>
      <c r="L1230" t="s">
        <v>163</v>
      </c>
      <c r="M1230">
        <v>384</v>
      </c>
      <c r="N1230">
        <v>0</v>
      </c>
      <c r="O1230" t="s">
        <v>22</v>
      </c>
      <c r="P1230">
        <v>20220418</v>
      </c>
      <c r="Q1230">
        <v>20220418</v>
      </c>
    </row>
    <row r="1231" spans="1:17" x14ac:dyDescent="0.25">
      <c r="A1231" t="s">
        <v>476</v>
      </c>
      <c r="B1231" t="s">
        <v>477</v>
      </c>
      <c r="C1231">
        <v>54</v>
      </c>
      <c r="D1231">
        <v>20220418</v>
      </c>
      <c r="E1231">
        <f t="shared" si="19"/>
        <v>4</v>
      </c>
      <c r="F1231">
        <v>401000</v>
      </c>
      <c r="G1231" t="s">
        <v>41</v>
      </c>
      <c r="H1231" t="s">
        <v>1637</v>
      </c>
      <c r="I1231" t="s">
        <v>1638</v>
      </c>
      <c r="J1231" t="s">
        <v>1693</v>
      </c>
      <c r="K1231">
        <v>20220418</v>
      </c>
      <c r="L1231" t="s">
        <v>163</v>
      </c>
      <c r="M1231">
        <v>20</v>
      </c>
      <c r="N1231">
        <v>0</v>
      </c>
      <c r="O1231" t="s">
        <v>22</v>
      </c>
      <c r="P1231">
        <v>20220418</v>
      </c>
      <c r="Q1231">
        <v>20220418</v>
      </c>
    </row>
    <row r="1232" spans="1:17" x14ac:dyDescent="0.25">
      <c r="A1232" t="s">
        <v>476</v>
      </c>
      <c r="B1232" t="s">
        <v>477</v>
      </c>
      <c r="C1232">
        <v>54</v>
      </c>
      <c r="D1232">
        <v>20220418</v>
      </c>
      <c r="E1232">
        <f t="shared" si="19"/>
        <v>4</v>
      </c>
      <c r="F1232">
        <v>512000</v>
      </c>
      <c r="G1232" t="s">
        <v>428</v>
      </c>
      <c r="H1232" t="s">
        <v>401</v>
      </c>
      <c r="I1232" t="s">
        <v>402</v>
      </c>
      <c r="J1232" t="s">
        <v>1693</v>
      </c>
      <c r="K1232">
        <v>20220418</v>
      </c>
      <c r="L1232" t="s">
        <v>163</v>
      </c>
      <c r="M1232">
        <v>0</v>
      </c>
      <c r="N1232">
        <v>2298.5</v>
      </c>
      <c r="O1232" t="s">
        <v>19</v>
      </c>
      <c r="P1232" t="s">
        <v>20</v>
      </c>
      <c r="Q1232">
        <v>20220418</v>
      </c>
    </row>
    <row r="1233" spans="1:17" x14ac:dyDescent="0.25">
      <c r="A1233" t="s">
        <v>476</v>
      </c>
      <c r="B1233" t="s">
        <v>477</v>
      </c>
      <c r="C1233">
        <v>54</v>
      </c>
      <c r="D1233">
        <v>20220419</v>
      </c>
      <c r="E1233">
        <f t="shared" si="19"/>
        <v>4</v>
      </c>
      <c r="F1233">
        <v>411000</v>
      </c>
      <c r="G1233" t="s">
        <v>21</v>
      </c>
      <c r="H1233" t="s">
        <v>742</v>
      </c>
      <c r="I1233" t="s">
        <v>743</v>
      </c>
      <c r="J1233" t="s">
        <v>1694</v>
      </c>
      <c r="K1233">
        <v>20220419</v>
      </c>
      <c r="L1233" t="s">
        <v>127</v>
      </c>
      <c r="M1233">
        <v>80</v>
      </c>
      <c r="N1233">
        <v>0</v>
      </c>
      <c r="O1233" t="s">
        <v>22</v>
      </c>
      <c r="P1233">
        <v>20230218</v>
      </c>
      <c r="Q1233">
        <v>20220419</v>
      </c>
    </row>
    <row r="1234" spans="1:17" x14ac:dyDescent="0.25">
      <c r="A1234" t="s">
        <v>476</v>
      </c>
      <c r="B1234" t="s">
        <v>477</v>
      </c>
      <c r="C1234">
        <v>54</v>
      </c>
      <c r="D1234">
        <v>20220419</v>
      </c>
      <c r="E1234">
        <f t="shared" si="19"/>
        <v>4</v>
      </c>
      <c r="F1234">
        <v>512000</v>
      </c>
      <c r="G1234" t="s">
        <v>428</v>
      </c>
      <c r="H1234" t="s">
        <v>401</v>
      </c>
      <c r="I1234" t="s">
        <v>402</v>
      </c>
      <c r="J1234" t="s">
        <v>1694</v>
      </c>
      <c r="K1234">
        <v>20220419</v>
      </c>
      <c r="L1234" t="s">
        <v>127</v>
      </c>
      <c r="M1234">
        <v>0</v>
      </c>
      <c r="N1234">
        <v>80</v>
      </c>
      <c r="O1234" t="s">
        <v>19</v>
      </c>
      <c r="P1234" t="s">
        <v>20</v>
      </c>
      <c r="Q1234">
        <v>20220419</v>
      </c>
    </row>
    <row r="1235" spans="1:17" x14ac:dyDescent="0.25">
      <c r="A1235" t="s">
        <v>476</v>
      </c>
      <c r="B1235" t="s">
        <v>477</v>
      </c>
      <c r="C1235">
        <v>54</v>
      </c>
      <c r="D1235">
        <v>20220419</v>
      </c>
      <c r="E1235">
        <f t="shared" si="19"/>
        <v>4</v>
      </c>
      <c r="F1235">
        <v>645100</v>
      </c>
      <c r="G1235" t="s">
        <v>813</v>
      </c>
      <c r="H1235" t="s">
        <v>401</v>
      </c>
      <c r="I1235" t="s">
        <v>402</v>
      </c>
      <c r="J1235" t="s">
        <v>1695</v>
      </c>
      <c r="K1235">
        <v>20220419</v>
      </c>
      <c r="L1235" t="s">
        <v>1696</v>
      </c>
      <c r="M1235">
        <v>20</v>
      </c>
      <c r="N1235">
        <v>0</v>
      </c>
      <c r="O1235" t="s">
        <v>19</v>
      </c>
      <c r="P1235" t="s">
        <v>20</v>
      </c>
      <c r="Q1235">
        <v>20220419</v>
      </c>
    </row>
    <row r="1236" spans="1:17" x14ac:dyDescent="0.25">
      <c r="A1236" t="s">
        <v>476</v>
      </c>
      <c r="B1236" t="s">
        <v>477</v>
      </c>
      <c r="C1236">
        <v>54</v>
      </c>
      <c r="D1236">
        <v>20220419</v>
      </c>
      <c r="E1236">
        <f t="shared" si="19"/>
        <v>4</v>
      </c>
      <c r="F1236">
        <v>512000</v>
      </c>
      <c r="G1236" t="s">
        <v>428</v>
      </c>
      <c r="H1236" t="s">
        <v>401</v>
      </c>
      <c r="I1236" t="s">
        <v>402</v>
      </c>
      <c r="J1236" t="s">
        <v>1695</v>
      </c>
      <c r="K1236">
        <v>20220419</v>
      </c>
      <c r="L1236" t="s">
        <v>1697</v>
      </c>
      <c r="M1236">
        <v>0</v>
      </c>
      <c r="N1236">
        <v>20</v>
      </c>
      <c r="O1236" t="s">
        <v>19</v>
      </c>
      <c r="P1236" t="s">
        <v>20</v>
      </c>
      <c r="Q1236">
        <v>20220419</v>
      </c>
    </row>
    <row r="1237" spans="1:17" x14ac:dyDescent="0.25">
      <c r="A1237" t="s">
        <v>476</v>
      </c>
      <c r="B1237" t="s">
        <v>477</v>
      </c>
      <c r="C1237">
        <v>54</v>
      </c>
      <c r="D1237">
        <v>20220419</v>
      </c>
      <c r="E1237">
        <f t="shared" si="19"/>
        <v>4</v>
      </c>
      <c r="F1237">
        <v>645100</v>
      </c>
      <c r="G1237" t="s">
        <v>813</v>
      </c>
      <c r="H1237" t="s">
        <v>401</v>
      </c>
      <c r="I1237" t="s">
        <v>402</v>
      </c>
      <c r="J1237" t="s">
        <v>1698</v>
      </c>
      <c r="K1237">
        <v>20220419</v>
      </c>
      <c r="L1237" t="s">
        <v>1699</v>
      </c>
      <c r="M1237">
        <v>19</v>
      </c>
      <c r="N1237">
        <v>0</v>
      </c>
      <c r="O1237" t="s">
        <v>19</v>
      </c>
      <c r="P1237" t="s">
        <v>20</v>
      </c>
      <c r="Q1237">
        <v>20220419</v>
      </c>
    </row>
    <row r="1238" spans="1:17" x14ac:dyDescent="0.25">
      <c r="A1238" t="s">
        <v>476</v>
      </c>
      <c r="B1238" t="s">
        <v>477</v>
      </c>
      <c r="C1238">
        <v>54</v>
      </c>
      <c r="D1238">
        <v>20220419</v>
      </c>
      <c r="E1238">
        <f t="shared" si="19"/>
        <v>4</v>
      </c>
      <c r="F1238">
        <v>512000</v>
      </c>
      <c r="G1238" t="s">
        <v>428</v>
      </c>
      <c r="H1238" t="s">
        <v>401</v>
      </c>
      <c r="I1238" t="s">
        <v>402</v>
      </c>
      <c r="J1238" t="s">
        <v>1698</v>
      </c>
      <c r="K1238">
        <v>20220419</v>
      </c>
      <c r="L1238" t="s">
        <v>1700</v>
      </c>
      <c r="M1238">
        <v>0</v>
      </c>
      <c r="N1238">
        <v>19</v>
      </c>
      <c r="O1238" t="s">
        <v>19</v>
      </c>
      <c r="P1238" t="s">
        <v>20</v>
      </c>
      <c r="Q1238">
        <v>20220419</v>
      </c>
    </row>
    <row r="1239" spans="1:17" x14ac:dyDescent="0.25">
      <c r="A1239" t="s">
        <v>476</v>
      </c>
      <c r="B1239" t="s">
        <v>477</v>
      </c>
      <c r="C1239">
        <v>54</v>
      </c>
      <c r="D1239">
        <v>20220419</v>
      </c>
      <c r="E1239">
        <f t="shared" si="19"/>
        <v>4</v>
      </c>
      <c r="F1239">
        <v>401000</v>
      </c>
      <c r="G1239" t="s">
        <v>41</v>
      </c>
      <c r="H1239" t="s">
        <v>1325</v>
      </c>
      <c r="I1239" t="s">
        <v>1326</v>
      </c>
      <c r="J1239" t="s">
        <v>1701</v>
      </c>
      <c r="K1239">
        <v>20220419</v>
      </c>
      <c r="L1239" t="s">
        <v>1702</v>
      </c>
      <c r="M1239">
        <v>0</v>
      </c>
      <c r="N1239">
        <v>605</v>
      </c>
      <c r="O1239" t="s">
        <v>23</v>
      </c>
      <c r="P1239">
        <v>20220831</v>
      </c>
      <c r="Q1239">
        <v>20220419</v>
      </c>
    </row>
    <row r="1240" spans="1:17" x14ac:dyDescent="0.25">
      <c r="A1240" t="s">
        <v>476</v>
      </c>
      <c r="B1240" t="s">
        <v>477</v>
      </c>
      <c r="C1240">
        <v>54</v>
      </c>
      <c r="D1240">
        <v>20220419</v>
      </c>
      <c r="E1240">
        <f t="shared" si="19"/>
        <v>4</v>
      </c>
      <c r="F1240">
        <v>512000</v>
      </c>
      <c r="G1240" t="s">
        <v>428</v>
      </c>
      <c r="H1240" t="s">
        <v>401</v>
      </c>
      <c r="I1240" t="s">
        <v>402</v>
      </c>
      <c r="J1240" t="s">
        <v>1701</v>
      </c>
      <c r="K1240">
        <v>20220419</v>
      </c>
      <c r="L1240" t="s">
        <v>1702</v>
      </c>
      <c r="M1240">
        <v>605</v>
      </c>
      <c r="N1240">
        <v>0</v>
      </c>
      <c r="O1240" t="s">
        <v>19</v>
      </c>
      <c r="P1240" t="s">
        <v>20</v>
      </c>
      <c r="Q1240">
        <v>20220419</v>
      </c>
    </row>
    <row r="1241" spans="1:17" x14ac:dyDescent="0.25">
      <c r="A1241" t="s">
        <v>476</v>
      </c>
      <c r="B1241" t="s">
        <v>477</v>
      </c>
      <c r="C1241">
        <v>54</v>
      </c>
      <c r="D1241">
        <v>20220420</v>
      </c>
      <c r="E1241">
        <f t="shared" si="19"/>
        <v>4</v>
      </c>
      <c r="F1241">
        <v>431000</v>
      </c>
      <c r="G1241" t="s">
        <v>408</v>
      </c>
      <c r="H1241" t="s">
        <v>401</v>
      </c>
      <c r="I1241" t="s">
        <v>402</v>
      </c>
      <c r="J1241" t="s">
        <v>1703</v>
      </c>
      <c r="K1241">
        <v>20220420</v>
      </c>
      <c r="L1241" t="s">
        <v>1704</v>
      </c>
      <c r="M1241">
        <v>29085</v>
      </c>
      <c r="N1241">
        <v>0</v>
      </c>
      <c r="O1241" t="s">
        <v>23</v>
      </c>
      <c r="P1241">
        <v>20230218</v>
      </c>
      <c r="Q1241">
        <v>20220420</v>
      </c>
    </row>
    <row r="1242" spans="1:17" x14ac:dyDescent="0.25">
      <c r="A1242" t="s">
        <v>476</v>
      </c>
      <c r="B1242" t="s">
        <v>477</v>
      </c>
      <c r="C1242">
        <v>54</v>
      </c>
      <c r="D1242">
        <v>20220420</v>
      </c>
      <c r="E1242">
        <f t="shared" si="19"/>
        <v>4</v>
      </c>
      <c r="F1242">
        <v>512000</v>
      </c>
      <c r="G1242" t="s">
        <v>428</v>
      </c>
      <c r="H1242" t="s">
        <v>401</v>
      </c>
      <c r="I1242" t="s">
        <v>402</v>
      </c>
      <c r="J1242" t="s">
        <v>1703</v>
      </c>
      <c r="K1242">
        <v>20220420</v>
      </c>
      <c r="L1242" t="s">
        <v>1704</v>
      </c>
      <c r="M1242">
        <v>0</v>
      </c>
      <c r="N1242">
        <v>29085</v>
      </c>
      <c r="O1242" t="s">
        <v>19</v>
      </c>
      <c r="P1242" t="s">
        <v>20</v>
      </c>
      <c r="Q1242">
        <v>20220420</v>
      </c>
    </row>
    <row r="1243" spans="1:17" x14ac:dyDescent="0.25">
      <c r="A1243" t="s">
        <v>476</v>
      </c>
      <c r="B1243" t="s">
        <v>477</v>
      </c>
      <c r="C1243">
        <v>54</v>
      </c>
      <c r="D1243">
        <v>20220420</v>
      </c>
      <c r="E1243">
        <f t="shared" si="19"/>
        <v>4</v>
      </c>
      <c r="F1243">
        <v>468740</v>
      </c>
      <c r="G1243" t="s">
        <v>426</v>
      </c>
      <c r="H1243" t="s">
        <v>401</v>
      </c>
      <c r="I1243" t="s">
        <v>402</v>
      </c>
      <c r="J1243" t="s">
        <v>1705</v>
      </c>
      <c r="K1243">
        <v>20220420</v>
      </c>
      <c r="L1243" t="s">
        <v>1706</v>
      </c>
      <c r="M1243">
        <v>0</v>
      </c>
      <c r="N1243">
        <v>7000</v>
      </c>
      <c r="O1243" t="s">
        <v>23</v>
      </c>
      <c r="P1243">
        <v>20221005</v>
      </c>
      <c r="Q1243">
        <v>20220420</v>
      </c>
    </row>
    <row r="1244" spans="1:17" x14ac:dyDescent="0.25">
      <c r="A1244" t="s">
        <v>476</v>
      </c>
      <c r="B1244" t="s">
        <v>477</v>
      </c>
      <c r="C1244">
        <v>54</v>
      </c>
      <c r="D1244">
        <v>20220420</v>
      </c>
      <c r="E1244">
        <f t="shared" si="19"/>
        <v>4</v>
      </c>
      <c r="F1244">
        <v>512000</v>
      </c>
      <c r="G1244" t="s">
        <v>428</v>
      </c>
      <c r="H1244" t="s">
        <v>401</v>
      </c>
      <c r="I1244" t="s">
        <v>402</v>
      </c>
      <c r="J1244" t="s">
        <v>1705</v>
      </c>
      <c r="K1244">
        <v>20220420</v>
      </c>
      <c r="L1244" t="s">
        <v>1706</v>
      </c>
      <c r="M1244">
        <v>7000</v>
      </c>
      <c r="N1244">
        <v>0</v>
      </c>
      <c r="O1244" t="s">
        <v>19</v>
      </c>
      <c r="P1244" t="s">
        <v>20</v>
      </c>
      <c r="Q1244">
        <v>20220420</v>
      </c>
    </row>
    <row r="1245" spans="1:17" x14ac:dyDescent="0.25">
      <c r="A1245" t="s">
        <v>476</v>
      </c>
      <c r="B1245" t="s">
        <v>477</v>
      </c>
      <c r="C1245">
        <v>54</v>
      </c>
      <c r="D1245">
        <v>20220420</v>
      </c>
      <c r="E1245">
        <f t="shared" si="19"/>
        <v>4</v>
      </c>
      <c r="F1245">
        <v>442100</v>
      </c>
      <c r="G1245" t="s">
        <v>435</v>
      </c>
      <c r="H1245" t="s">
        <v>401</v>
      </c>
      <c r="I1245" t="s">
        <v>402</v>
      </c>
      <c r="J1245" t="s">
        <v>1707</v>
      </c>
      <c r="K1245">
        <v>20220420</v>
      </c>
      <c r="L1245" t="s">
        <v>1708</v>
      </c>
      <c r="M1245">
        <v>1147</v>
      </c>
      <c r="N1245">
        <v>0</v>
      </c>
      <c r="O1245" t="s">
        <v>23</v>
      </c>
      <c r="P1245">
        <v>20221005</v>
      </c>
      <c r="Q1245">
        <v>20220420</v>
      </c>
    </row>
    <row r="1246" spans="1:17" x14ac:dyDescent="0.25">
      <c r="A1246" t="s">
        <v>476</v>
      </c>
      <c r="B1246" t="s">
        <v>477</v>
      </c>
      <c r="C1246">
        <v>54</v>
      </c>
      <c r="D1246">
        <v>20220420</v>
      </c>
      <c r="E1246">
        <f t="shared" si="19"/>
        <v>4</v>
      </c>
      <c r="F1246">
        <v>512000</v>
      </c>
      <c r="G1246" t="s">
        <v>428</v>
      </c>
      <c r="H1246" t="s">
        <v>401</v>
      </c>
      <c r="I1246" t="s">
        <v>402</v>
      </c>
      <c r="J1246" t="s">
        <v>1707</v>
      </c>
      <c r="K1246">
        <v>20220420</v>
      </c>
      <c r="L1246" t="s">
        <v>1708</v>
      </c>
      <c r="M1246">
        <v>0</v>
      </c>
      <c r="N1246">
        <v>1147</v>
      </c>
      <c r="O1246" t="s">
        <v>19</v>
      </c>
      <c r="P1246" t="s">
        <v>20</v>
      </c>
      <c r="Q1246">
        <v>20220420</v>
      </c>
    </row>
    <row r="1247" spans="1:17" x14ac:dyDescent="0.25">
      <c r="A1247" t="s">
        <v>476</v>
      </c>
      <c r="B1247" t="s">
        <v>477</v>
      </c>
      <c r="C1247">
        <v>54</v>
      </c>
      <c r="D1247">
        <v>20220420</v>
      </c>
      <c r="E1247">
        <f t="shared" si="19"/>
        <v>4</v>
      </c>
      <c r="F1247">
        <v>468200</v>
      </c>
      <c r="G1247" t="s">
        <v>421</v>
      </c>
      <c r="H1247" t="s">
        <v>401</v>
      </c>
      <c r="I1247" t="s">
        <v>402</v>
      </c>
      <c r="J1247" t="s">
        <v>1709</v>
      </c>
      <c r="K1247">
        <v>20220420</v>
      </c>
      <c r="L1247" t="s">
        <v>422</v>
      </c>
      <c r="M1247">
        <v>0</v>
      </c>
      <c r="N1247">
        <v>44.25</v>
      </c>
      <c r="O1247" t="s">
        <v>19</v>
      </c>
      <c r="P1247" t="s">
        <v>20</v>
      </c>
      <c r="Q1247">
        <v>20220420</v>
      </c>
    </row>
    <row r="1248" spans="1:17" x14ac:dyDescent="0.25">
      <c r="A1248" t="s">
        <v>476</v>
      </c>
      <c r="B1248" t="s">
        <v>477</v>
      </c>
      <c r="C1248">
        <v>54</v>
      </c>
      <c r="D1248">
        <v>20220420</v>
      </c>
      <c r="E1248">
        <f t="shared" si="19"/>
        <v>4</v>
      </c>
      <c r="F1248">
        <v>512000</v>
      </c>
      <c r="G1248" t="s">
        <v>428</v>
      </c>
      <c r="H1248" t="s">
        <v>401</v>
      </c>
      <c r="I1248" t="s">
        <v>402</v>
      </c>
      <c r="J1248" t="s">
        <v>1709</v>
      </c>
      <c r="K1248">
        <v>20220420</v>
      </c>
      <c r="L1248" t="s">
        <v>422</v>
      </c>
      <c r="M1248">
        <v>44.25</v>
      </c>
      <c r="N1248">
        <v>0</v>
      </c>
      <c r="O1248" t="s">
        <v>19</v>
      </c>
      <c r="P1248" t="s">
        <v>20</v>
      </c>
      <c r="Q1248">
        <v>20220420</v>
      </c>
    </row>
    <row r="1249" spans="1:17" x14ac:dyDescent="0.25">
      <c r="A1249" t="s">
        <v>476</v>
      </c>
      <c r="B1249" t="s">
        <v>477</v>
      </c>
      <c r="C1249">
        <v>54</v>
      </c>
      <c r="D1249">
        <v>20220420</v>
      </c>
      <c r="E1249">
        <f t="shared" si="19"/>
        <v>4</v>
      </c>
      <c r="F1249">
        <v>468740</v>
      </c>
      <c r="G1249" t="s">
        <v>426</v>
      </c>
      <c r="H1249" t="s">
        <v>401</v>
      </c>
      <c r="I1249" t="s">
        <v>402</v>
      </c>
      <c r="J1249" t="s">
        <v>1710</v>
      </c>
      <c r="K1249">
        <v>20220420</v>
      </c>
      <c r="L1249" t="s">
        <v>1711</v>
      </c>
      <c r="M1249">
        <v>0</v>
      </c>
      <c r="N1249">
        <v>10000</v>
      </c>
      <c r="O1249" t="s">
        <v>23</v>
      </c>
      <c r="P1249">
        <v>20221005</v>
      </c>
      <c r="Q1249">
        <v>20220420</v>
      </c>
    </row>
    <row r="1250" spans="1:17" x14ac:dyDescent="0.25">
      <c r="A1250" t="s">
        <v>476</v>
      </c>
      <c r="B1250" t="s">
        <v>477</v>
      </c>
      <c r="C1250">
        <v>54</v>
      </c>
      <c r="D1250">
        <v>20220420</v>
      </c>
      <c r="E1250">
        <f t="shared" si="19"/>
        <v>4</v>
      </c>
      <c r="F1250">
        <v>512000</v>
      </c>
      <c r="G1250" t="s">
        <v>428</v>
      </c>
      <c r="H1250" t="s">
        <v>401</v>
      </c>
      <c r="I1250" t="s">
        <v>402</v>
      </c>
      <c r="J1250" t="s">
        <v>1710</v>
      </c>
      <c r="K1250">
        <v>20220420</v>
      </c>
      <c r="L1250" t="s">
        <v>1711</v>
      </c>
      <c r="M1250">
        <v>10000</v>
      </c>
      <c r="N1250">
        <v>0</v>
      </c>
      <c r="O1250" t="s">
        <v>19</v>
      </c>
      <c r="P1250" t="s">
        <v>20</v>
      </c>
      <c r="Q1250">
        <v>20220420</v>
      </c>
    </row>
    <row r="1251" spans="1:17" x14ac:dyDescent="0.25">
      <c r="A1251" t="s">
        <v>476</v>
      </c>
      <c r="B1251" t="s">
        <v>477</v>
      </c>
      <c r="C1251">
        <v>54</v>
      </c>
      <c r="D1251">
        <v>20220422</v>
      </c>
      <c r="E1251">
        <f t="shared" si="19"/>
        <v>4</v>
      </c>
      <c r="F1251">
        <v>401000</v>
      </c>
      <c r="G1251" t="s">
        <v>41</v>
      </c>
      <c r="H1251" t="s">
        <v>1712</v>
      </c>
      <c r="I1251" t="s">
        <v>1713</v>
      </c>
      <c r="J1251" t="s">
        <v>1714</v>
      </c>
      <c r="K1251">
        <v>20220422</v>
      </c>
      <c r="L1251" t="s">
        <v>127</v>
      </c>
      <c r="M1251">
        <v>720.7</v>
      </c>
      <c r="N1251">
        <v>0</v>
      </c>
      <c r="O1251" t="s">
        <v>23</v>
      </c>
      <c r="P1251">
        <v>20221219</v>
      </c>
      <c r="Q1251">
        <v>20220422</v>
      </c>
    </row>
    <row r="1252" spans="1:17" x14ac:dyDescent="0.25">
      <c r="A1252" t="s">
        <v>476</v>
      </c>
      <c r="B1252" t="s">
        <v>477</v>
      </c>
      <c r="C1252">
        <v>54</v>
      </c>
      <c r="D1252">
        <v>20220422</v>
      </c>
      <c r="E1252">
        <f t="shared" si="19"/>
        <v>4</v>
      </c>
      <c r="F1252">
        <v>512000</v>
      </c>
      <c r="G1252" t="s">
        <v>428</v>
      </c>
      <c r="H1252" t="s">
        <v>401</v>
      </c>
      <c r="I1252" t="s">
        <v>402</v>
      </c>
      <c r="J1252" t="s">
        <v>1714</v>
      </c>
      <c r="K1252">
        <v>20220422</v>
      </c>
      <c r="L1252" t="s">
        <v>127</v>
      </c>
      <c r="M1252">
        <v>0</v>
      </c>
      <c r="N1252">
        <v>720.7</v>
      </c>
      <c r="O1252" t="s">
        <v>19</v>
      </c>
      <c r="P1252" t="s">
        <v>20</v>
      </c>
      <c r="Q1252">
        <v>20220422</v>
      </c>
    </row>
    <row r="1253" spans="1:17" x14ac:dyDescent="0.25">
      <c r="A1253" t="s">
        <v>476</v>
      </c>
      <c r="B1253" t="s">
        <v>477</v>
      </c>
      <c r="C1253">
        <v>54</v>
      </c>
      <c r="D1253">
        <v>20220422</v>
      </c>
      <c r="E1253">
        <f t="shared" si="19"/>
        <v>4</v>
      </c>
      <c r="F1253">
        <v>445020</v>
      </c>
      <c r="G1253" t="s">
        <v>414</v>
      </c>
      <c r="H1253" t="s">
        <v>401</v>
      </c>
      <c r="I1253" t="s">
        <v>402</v>
      </c>
      <c r="J1253" t="s">
        <v>1715</v>
      </c>
      <c r="K1253">
        <v>20220422</v>
      </c>
      <c r="L1253" t="s">
        <v>1716</v>
      </c>
      <c r="M1253">
        <v>0</v>
      </c>
      <c r="N1253">
        <v>18666</v>
      </c>
      <c r="O1253" t="s">
        <v>23</v>
      </c>
      <c r="P1253">
        <v>20220918</v>
      </c>
      <c r="Q1253">
        <v>20220422</v>
      </c>
    </row>
    <row r="1254" spans="1:17" x14ac:dyDescent="0.25">
      <c r="A1254" t="s">
        <v>476</v>
      </c>
      <c r="B1254" t="s">
        <v>477</v>
      </c>
      <c r="C1254">
        <v>54</v>
      </c>
      <c r="D1254">
        <v>20220422</v>
      </c>
      <c r="E1254">
        <f t="shared" si="19"/>
        <v>4</v>
      </c>
      <c r="F1254">
        <v>512000</v>
      </c>
      <c r="G1254" t="s">
        <v>428</v>
      </c>
      <c r="H1254" t="s">
        <v>401</v>
      </c>
      <c r="I1254" t="s">
        <v>402</v>
      </c>
      <c r="J1254" t="s">
        <v>1715</v>
      </c>
      <c r="K1254">
        <v>20220422</v>
      </c>
      <c r="L1254" t="s">
        <v>1716</v>
      </c>
      <c r="M1254">
        <v>18666</v>
      </c>
      <c r="N1254">
        <v>0</v>
      </c>
      <c r="O1254" t="s">
        <v>19</v>
      </c>
      <c r="P1254" t="s">
        <v>20</v>
      </c>
      <c r="Q1254">
        <v>20220422</v>
      </c>
    </row>
    <row r="1255" spans="1:17" x14ac:dyDescent="0.25">
      <c r="A1255" t="s">
        <v>476</v>
      </c>
      <c r="B1255" t="s">
        <v>477</v>
      </c>
      <c r="C1255">
        <v>54</v>
      </c>
      <c r="D1255">
        <v>20220422</v>
      </c>
      <c r="E1255">
        <f t="shared" si="19"/>
        <v>4</v>
      </c>
      <c r="F1255">
        <v>468725</v>
      </c>
      <c r="G1255" t="s">
        <v>424</v>
      </c>
      <c r="H1255" t="s">
        <v>401</v>
      </c>
      <c r="I1255" t="s">
        <v>402</v>
      </c>
      <c r="J1255" t="s">
        <v>1717</v>
      </c>
      <c r="K1255">
        <v>20220422</v>
      </c>
      <c r="L1255" t="s">
        <v>1718</v>
      </c>
      <c r="M1255">
        <v>0</v>
      </c>
      <c r="N1255">
        <v>458.03</v>
      </c>
      <c r="O1255" t="s">
        <v>23</v>
      </c>
      <c r="P1255">
        <v>20230105</v>
      </c>
      <c r="Q1255">
        <v>20220422</v>
      </c>
    </row>
    <row r="1256" spans="1:17" x14ac:dyDescent="0.25">
      <c r="A1256" t="s">
        <v>476</v>
      </c>
      <c r="B1256" t="s">
        <v>477</v>
      </c>
      <c r="C1256">
        <v>54</v>
      </c>
      <c r="D1256">
        <v>20220422</v>
      </c>
      <c r="E1256">
        <f t="shared" si="19"/>
        <v>4</v>
      </c>
      <c r="F1256">
        <v>512000</v>
      </c>
      <c r="G1256" t="s">
        <v>428</v>
      </c>
      <c r="H1256" t="s">
        <v>401</v>
      </c>
      <c r="I1256" t="s">
        <v>402</v>
      </c>
      <c r="J1256" t="s">
        <v>1717</v>
      </c>
      <c r="K1256">
        <v>20220422</v>
      </c>
      <c r="L1256" t="s">
        <v>1718</v>
      </c>
      <c r="M1256">
        <v>458.03</v>
      </c>
      <c r="N1256">
        <v>0</v>
      </c>
      <c r="O1256" t="s">
        <v>19</v>
      </c>
      <c r="P1256" t="s">
        <v>20</v>
      </c>
      <c r="Q1256">
        <v>20220422</v>
      </c>
    </row>
    <row r="1257" spans="1:17" x14ac:dyDescent="0.25">
      <c r="A1257" t="s">
        <v>476</v>
      </c>
      <c r="B1257" t="s">
        <v>477</v>
      </c>
      <c r="C1257">
        <v>54</v>
      </c>
      <c r="D1257">
        <v>20220422</v>
      </c>
      <c r="E1257">
        <f t="shared" si="19"/>
        <v>4</v>
      </c>
      <c r="F1257">
        <v>468200</v>
      </c>
      <c r="G1257" t="s">
        <v>421</v>
      </c>
      <c r="H1257" t="s">
        <v>401</v>
      </c>
      <c r="I1257" t="s">
        <v>402</v>
      </c>
      <c r="J1257" t="s">
        <v>1719</v>
      </c>
      <c r="K1257">
        <v>20220422</v>
      </c>
      <c r="L1257" t="s">
        <v>422</v>
      </c>
      <c r="M1257">
        <v>0</v>
      </c>
      <c r="N1257">
        <v>25.49</v>
      </c>
      <c r="O1257" t="s">
        <v>19</v>
      </c>
      <c r="P1257" t="s">
        <v>20</v>
      </c>
      <c r="Q1257">
        <v>20220422</v>
      </c>
    </row>
    <row r="1258" spans="1:17" x14ac:dyDescent="0.25">
      <c r="A1258" t="s">
        <v>476</v>
      </c>
      <c r="B1258" t="s">
        <v>477</v>
      </c>
      <c r="C1258">
        <v>54</v>
      </c>
      <c r="D1258">
        <v>20220422</v>
      </c>
      <c r="E1258">
        <f t="shared" si="19"/>
        <v>4</v>
      </c>
      <c r="F1258">
        <v>512000</v>
      </c>
      <c r="G1258" t="s">
        <v>428</v>
      </c>
      <c r="H1258" t="s">
        <v>401</v>
      </c>
      <c r="I1258" t="s">
        <v>402</v>
      </c>
      <c r="J1258" t="s">
        <v>1719</v>
      </c>
      <c r="K1258">
        <v>20220422</v>
      </c>
      <c r="L1258" t="s">
        <v>422</v>
      </c>
      <c r="M1258">
        <v>25.49</v>
      </c>
      <c r="N1258">
        <v>0</v>
      </c>
      <c r="O1258" t="s">
        <v>19</v>
      </c>
      <c r="P1258" t="s">
        <v>20</v>
      </c>
      <c r="Q1258">
        <v>20220422</v>
      </c>
    </row>
    <row r="1259" spans="1:17" x14ac:dyDescent="0.25">
      <c r="A1259" t="s">
        <v>476</v>
      </c>
      <c r="B1259" t="s">
        <v>477</v>
      </c>
      <c r="C1259">
        <v>54</v>
      </c>
      <c r="D1259">
        <v>20220425</v>
      </c>
      <c r="E1259">
        <f t="shared" si="19"/>
        <v>4</v>
      </c>
      <c r="F1259">
        <v>433100</v>
      </c>
      <c r="G1259" t="s">
        <v>411</v>
      </c>
      <c r="H1259" t="s">
        <v>401</v>
      </c>
      <c r="I1259" t="s">
        <v>402</v>
      </c>
      <c r="J1259" t="s">
        <v>1720</v>
      </c>
      <c r="K1259">
        <v>20220425</v>
      </c>
      <c r="L1259" t="s">
        <v>534</v>
      </c>
      <c r="M1259">
        <v>1327.77</v>
      </c>
      <c r="N1259">
        <v>0</v>
      </c>
      <c r="O1259" t="s">
        <v>23</v>
      </c>
      <c r="P1259">
        <v>20221005</v>
      </c>
      <c r="Q1259">
        <v>20220425</v>
      </c>
    </row>
    <row r="1260" spans="1:17" x14ac:dyDescent="0.25">
      <c r="A1260" t="s">
        <v>476</v>
      </c>
      <c r="B1260" t="s">
        <v>477</v>
      </c>
      <c r="C1260">
        <v>54</v>
      </c>
      <c r="D1260">
        <v>20220425</v>
      </c>
      <c r="E1260">
        <f t="shared" si="19"/>
        <v>4</v>
      </c>
      <c r="F1260">
        <v>512000</v>
      </c>
      <c r="G1260" t="s">
        <v>428</v>
      </c>
      <c r="H1260" t="s">
        <v>401</v>
      </c>
      <c r="I1260" t="s">
        <v>402</v>
      </c>
      <c r="J1260" t="s">
        <v>1720</v>
      </c>
      <c r="K1260">
        <v>20220425</v>
      </c>
      <c r="L1260" t="s">
        <v>534</v>
      </c>
      <c r="M1260">
        <v>0</v>
      </c>
      <c r="N1260">
        <v>1327.77</v>
      </c>
      <c r="O1260" t="s">
        <v>19</v>
      </c>
      <c r="P1260" t="s">
        <v>20</v>
      </c>
      <c r="Q1260">
        <v>20220425</v>
      </c>
    </row>
    <row r="1261" spans="1:17" x14ac:dyDescent="0.25">
      <c r="A1261" t="s">
        <v>476</v>
      </c>
      <c r="B1261" t="s">
        <v>477</v>
      </c>
      <c r="C1261">
        <v>54</v>
      </c>
      <c r="D1261">
        <v>20220425</v>
      </c>
      <c r="E1261">
        <f t="shared" si="19"/>
        <v>4</v>
      </c>
      <c r="F1261">
        <v>433000</v>
      </c>
      <c r="G1261" t="s">
        <v>410</v>
      </c>
      <c r="H1261" t="s">
        <v>401</v>
      </c>
      <c r="I1261" t="s">
        <v>402</v>
      </c>
      <c r="J1261" t="s">
        <v>1721</v>
      </c>
      <c r="K1261">
        <v>20220425</v>
      </c>
      <c r="L1261" t="s">
        <v>1722</v>
      </c>
      <c r="M1261">
        <v>5605.89</v>
      </c>
      <c r="N1261">
        <v>0</v>
      </c>
      <c r="O1261" t="s">
        <v>23</v>
      </c>
      <c r="P1261">
        <v>20221005</v>
      </c>
      <c r="Q1261">
        <v>20220425</v>
      </c>
    </row>
    <row r="1262" spans="1:17" x14ac:dyDescent="0.25">
      <c r="A1262" t="s">
        <v>476</v>
      </c>
      <c r="B1262" t="s">
        <v>477</v>
      </c>
      <c r="C1262">
        <v>54</v>
      </c>
      <c r="D1262">
        <v>20220425</v>
      </c>
      <c r="E1262">
        <f t="shared" si="19"/>
        <v>4</v>
      </c>
      <c r="F1262">
        <v>512000</v>
      </c>
      <c r="G1262" t="s">
        <v>428</v>
      </c>
      <c r="H1262" t="s">
        <v>401</v>
      </c>
      <c r="I1262" t="s">
        <v>402</v>
      </c>
      <c r="J1262" t="s">
        <v>1721</v>
      </c>
      <c r="K1262">
        <v>20220425</v>
      </c>
      <c r="L1262" t="s">
        <v>1722</v>
      </c>
      <c r="M1262">
        <v>0</v>
      </c>
      <c r="N1262">
        <v>5605.89</v>
      </c>
      <c r="O1262" t="s">
        <v>19</v>
      </c>
      <c r="P1262" t="s">
        <v>20</v>
      </c>
      <c r="Q1262">
        <v>20220425</v>
      </c>
    </row>
    <row r="1263" spans="1:17" x14ac:dyDescent="0.25">
      <c r="A1263" t="s">
        <v>476</v>
      </c>
      <c r="B1263" t="s">
        <v>477</v>
      </c>
      <c r="C1263">
        <v>54</v>
      </c>
      <c r="D1263">
        <v>20220425</v>
      </c>
      <c r="E1263">
        <f t="shared" si="19"/>
        <v>4</v>
      </c>
      <c r="F1263">
        <v>468200</v>
      </c>
      <c r="G1263" t="s">
        <v>421</v>
      </c>
      <c r="H1263" t="s">
        <v>401</v>
      </c>
      <c r="I1263" t="s">
        <v>402</v>
      </c>
      <c r="J1263" t="s">
        <v>1723</v>
      </c>
      <c r="K1263">
        <v>20220425</v>
      </c>
      <c r="L1263" t="s">
        <v>422</v>
      </c>
      <c r="M1263">
        <v>0</v>
      </c>
      <c r="N1263">
        <v>1354.49</v>
      </c>
      <c r="O1263" t="s">
        <v>23</v>
      </c>
      <c r="P1263">
        <v>20221005</v>
      </c>
      <c r="Q1263">
        <v>20220425</v>
      </c>
    </row>
    <row r="1264" spans="1:17" x14ac:dyDescent="0.25">
      <c r="A1264" t="s">
        <v>476</v>
      </c>
      <c r="B1264" t="s">
        <v>477</v>
      </c>
      <c r="C1264">
        <v>54</v>
      </c>
      <c r="D1264">
        <v>20220425</v>
      </c>
      <c r="E1264">
        <f t="shared" si="19"/>
        <v>4</v>
      </c>
      <c r="F1264">
        <v>512000</v>
      </c>
      <c r="G1264" t="s">
        <v>428</v>
      </c>
      <c r="H1264" t="s">
        <v>401</v>
      </c>
      <c r="I1264" t="s">
        <v>402</v>
      </c>
      <c r="J1264" t="s">
        <v>1723</v>
      </c>
      <c r="K1264">
        <v>20220425</v>
      </c>
      <c r="L1264" t="s">
        <v>422</v>
      </c>
      <c r="M1264">
        <v>1354.49</v>
      </c>
      <c r="N1264">
        <v>0</v>
      </c>
      <c r="O1264" t="s">
        <v>19</v>
      </c>
      <c r="P1264" t="s">
        <v>20</v>
      </c>
      <c r="Q1264">
        <v>20220425</v>
      </c>
    </row>
    <row r="1265" spans="1:17" x14ac:dyDescent="0.25">
      <c r="A1265" t="s">
        <v>476</v>
      </c>
      <c r="B1265" t="s">
        <v>477</v>
      </c>
      <c r="C1265">
        <v>54</v>
      </c>
      <c r="D1265">
        <v>20220426</v>
      </c>
      <c r="E1265">
        <f t="shared" si="19"/>
        <v>4</v>
      </c>
      <c r="F1265">
        <v>468200</v>
      </c>
      <c r="G1265" t="s">
        <v>421</v>
      </c>
      <c r="H1265" t="s">
        <v>401</v>
      </c>
      <c r="I1265" t="s">
        <v>402</v>
      </c>
      <c r="J1265" t="s">
        <v>1724</v>
      </c>
      <c r="K1265">
        <v>20220426</v>
      </c>
      <c r="L1265" t="s">
        <v>422</v>
      </c>
      <c r="M1265">
        <v>0</v>
      </c>
      <c r="N1265">
        <v>25.86</v>
      </c>
      <c r="O1265" t="s">
        <v>19</v>
      </c>
      <c r="P1265" t="s">
        <v>20</v>
      </c>
      <c r="Q1265">
        <v>20220426</v>
      </c>
    </row>
    <row r="1266" spans="1:17" x14ac:dyDescent="0.25">
      <c r="A1266" t="s">
        <v>476</v>
      </c>
      <c r="B1266" t="s">
        <v>477</v>
      </c>
      <c r="C1266">
        <v>54</v>
      </c>
      <c r="D1266">
        <v>20220426</v>
      </c>
      <c r="E1266">
        <f t="shared" si="19"/>
        <v>4</v>
      </c>
      <c r="F1266">
        <v>512000</v>
      </c>
      <c r="G1266" t="s">
        <v>428</v>
      </c>
      <c r="H1266" t="s">
        <v>401</v>
      </c>
      <c r="I1266" t="s">
        <v>402</v>
      </c>
      <c r="J1266" t="s">
        <v>1724</v>
      </c>
      <c r="K1266">
        <v>20220426</v>
      </c>
      <c r="L1266" t="s">
        <v>422</v>
      </c>
      <c r="M1266">
        <v>25.86</v>
      </c>
      <c r="N1266">
        <v>0</v>
      </c>
      <c r="O1266" t="s">
        <v>19</v>
      </c>
      <c r="P1266" t="s">
        <v>20</v>
      </c>
      <c r="Q1266">
        <v>20220426</v>
      </c>
    </row>
    <row r="1267" spans="1:17" x14ac:dyDescent="0.25">
      <c r="A1267" t="s">
        <v>476</v>
      </c>
      <c r="B1267" t="s">
        <v>477</v>
      </c>
      <c r="C1267">
        <v>54</v>
      </c>
      <c r="D1267">
        <v>20220427</v>
      </c>
      <c r="E1267">
        <f t="shared" si="19"/>
        <v>4</v>
      </c>
      <c r="F1267">
        <v>401000</v>
      </c>
      <c r="G1267" t="s">
        <v>41</v>
      </c>
      <c r="H1267" t="s">
        <v>48</v>
      </c>
      <c r="I1267" t="s">
        <v>49</v>
      </c>
      <c r="J1267" t="s">
        <v>1725</v>
      </c>
      <c r="K1267">
        <v>20220427</v>
      </c>
      <c r="L1267" t="s">
        <v>163</v>
      </c>
      <c r="M1267">
        <v>671.13</v>
      </c>
      <c r="N1267">
        <v>0</v>
      </c>
      <c r="O1267" t="s">
        <v>23</v>
      </c>
      <c r="P1267">
        <v>20220510</v>
      </c>
      <c r="Q1267">
        <v>20220427</v>
      </c>
    </row>
    <row r="1268" spans="1:17" x14ac:dyDescent="0.25">
      <c r="A1268" t="s">
        <v>476</v>
      </c>
      <c r="B1268" t="s">
        <v>477</v>
      </c>
      <c r="C1268">
        <v>54</v>
      </c>
      <c r="D1268">
        <v>20220427</v>
      </c>
      <c r="E1268">
        <f t="shared" si="19"/>
        <v>4</v>
      </c>
      <c r="F1268">
        <v>401000</v>
      </c>
      <c r="G1268" t="s">
        <v>41</v>
      </c>
      <c r="H1268" t="s">
        <v>450</v>
      </c>
      <c r="I1268" t="s">
        <v>451</v>
      </c>
      <c r="J1268" t="s">
        <v>1725</v>
      </c>
      <c r="K1268">
        <v>20220427</v>
      </c>
      <c r="L1268" t="s">
        <v>163</v>
      </c>
      <c r="M1268">
        <v>285.89999999999998</v>
      </c>
      <c r="N1268">
        <v>0</v>
      </c>
      <c r="O1268" t="s">
        <v>23</v>
      </c>
      <c r="P1268">
        <v>20220510</v>
      </c>
      <c r="Q1268">
        <v>20220427</v>
      </c>
    </row>
    <row r="1269" spans="1:17" x14ac:dyDescent="0.25">
      <c r="A1269" t="s">
        <v>476</v>
      </c>
      <c r="B1269" t="s">
        <v>477</v>
      </c>
      <c r="C1269">
        <v>54</v>
      </c>
      <c r="D1269">
        <v>20220427</v>
      </c>
      <c r="E1269">
        <f t="shared" si="19"/>
        <v>4</v>
      </c>
      <c r="F1269">
        <v>401000</v>
      </c>
      <c r="G1269" t="s">
        <v>41</v>
      </c>
      <c r="H1269" t="s">
        <v>58</v>
      </c>
      <c r="I1269" t="s">
        <v>59</v>
      </c>
      <c r="J1269" t="s">
        <v>1725</v>
      </c>
      <c r="K1269">
        <v>20220427</v>
      </c>
      <c r="L1269" t="s">
        <v>163</v>
      </c>
      <c r="M1269">
        <v>12.38</v>
      </c>
      <c r="N1269">
        <v>0</v>
      </c>
      <c r="O1269" t="s">
        <v>23</v>
      </c>
      <c r="P1269">
        <v>20220510</v>
      </c>
      <c r="Q1269">
        <v>20220427</v>
      </c>
    </row>
    <row r="1270" spans="1:17" x14ac:dyDescent="0.25">
      <c r="A1270" t="s">
        <v>476</v>
      </c>
      <c r="B1270" t="s">
        <v>477</v>
      </c>
      <c r="C1270">
        <v>54</v>
      </c>
      <c r="D1270">
        <v>20220427</v>
      </c>
      <c r="E1270">
        <f t="shared" si="19"/>
        <v>4</v>
      </c>
      <c r="F1270">
        <v>401000</v>
      </c>
      <c r="G1270" t="s">
        <v>41</v>
      </c>
      <c r="H1270" t="s">
        <v>71</v>
      </c>
      <c r="I1270" t="s">
        <v>72</v>
      </c>
      <c r="J1270" t="s">
        <v>1725</v>
      </c>
      <c r="K1270">
        <v>20220427</v>
      </c>
      <c r="L1270" t="s">
        <v>163</v>
      </c>
      <c r="M1270">
        <v>950.99</v>
      </c>
      <c r="N1270">
        <v>0</v>
      </c>
      <c r="O1270" t="s">
        <v>23</v>
      </c>
      <c r="P1270">
        <v>20220510</v>
      </c>
      <c r="Q1270">
        <v>20220427</v>
      </c>
    </row>
    <row r="1271" spans="1:17" x14ac:dyDescent="0.25">
      <c r="A1271" t="s">
        <v>476</v>
      </c>
      <c r="B1271" t="s">
        <v>477</v>
      </c>
      <c r="C1271">
        <v>54</v>
      </c>
      <c r="D1271">
        <v>20220427</v>
      </c>
      <c r="E1271">
        <f t="shared" si="19"/>
        <v>4</v>
      </c>
      <c r="F1271">
        <v>401000</v>
      </c>
      <c r="G1271" t="s">
        <v>41</v>
      </c>
      <c r="H1271" t="s">
        <v>75</v>
      </c>
      <c r="I1271" t="s">
        <v>76</v>
      </c>
      <c r="J1271" t="s">
        <v>1725</v>
      </c>
      <c r="K1271">
        <v>20220427</v>
      </c>
      <c r="L1271" t="s">
        <v>163</v>
      </c>
      <c r="M1271">
        <v>840.61</v>
      </c>
      <c r="N1271">
        <v>0</v>
      </c>
      <c r="O1271" t="s">
        <v>23</v>
      </c>
      <c r="P1271">
        <v>20220506</v>
      </c>
      <c r="Q1271">
        <v>20220427</v>
      </c>
    </row>
    <row r="1272" spans="1:17" x14ac:dyDescent="0.25">
      <c r="A1272" t="s">
        <v>476</v>
      </c>
      <c r="B1272" t="s">
        <v>477</v>
      </c>
      <c r="C1272">
        <v>54</v>
      </c>
      <c r="D1272">
        <v>20220427</v>
      </c>
      <c r="E1272">
        <f t="shared" si="19"/>
        <v>4</v>
      </c>
      <c r="F1272">
        <v>401000</v>
      </c>
      <c r="G1272" t="s">
        <v>41</v>
      </c>
      <c r="H1272" t="s">
        <v>125</v>
      </c>
      <c r="I1272" t="s">
        <v>126</v>
      </c>
      <c r="J1272" t="s">
        <v>1725</v>
      </c>
      <c r="K1272">
        <v>20220427</v>
      </c>
      <c r="L1272" t="s">
        <v>163</v>
      </c>
      <c r="M1272">
        <v>300</v>
      </c>
      <c r="N1272">
        <v>0</v>
      </c>
      <c r="O1272" t="s">
        <v>23</v>
      </c>
      <c r="P1272">
        <v>20220509</v>
      </c>
      <c r="Q1272">
        <v>20220427</v>
      </c>
    </row>
    <row r="1273" spans="1:17" x14ac:dyDescent="0.25">
      <c r="A1273" t="s">
        <v>476</v>
      </c>
      <c r="B1273" t="s">
        <v>477</v>
      </c>
      <c r="C1273">
        <v>54</v>
      </c>
      <c r="D1273">
        <v>20220427</v>
      </c>
      <c r="E1273">
        <f t="shared" si="19"/>
        <v>4</v>
      </c>
      <c r="F1273">
        <v>467100</v>
      </c>
      <c r="G1273" t="s">
        <v>160</v>
      </c>
      <c r="H1273" t="s">
        <v>183</v>
      </c>
      <c r="I1273" t="s">
        <v>184</v>
      </c>
      <c r="J1273" t="s">
        <v>1725</v>
      </c>
      <c r="K1273">
        <v>20220427</v>
      </c>
      <c r="L1273" t="s">
        <v>163</v>
      </c>
      <c r="M1273">
        <v>26.31</v>
      </c>
      <c r="N1273">
        <v>0</v>
      </c>
      <c r="O1273" t="s">
        <v>23</v>
      </c>
      <c r="P1273">
        <v>20220510</v>
      </c>
      <c r="Q1273">
        <v>20220427</v>
      </c>
    </row>
    <row r="1274" spans="1:17" x14ac:dyDescent="0.25">
      <c r="A1274" t="s">
        <v>476</v>
      </c>
      <c r="B1274" t="s">
        <v>477</v>
      </c>
      <c r="C1274">
        <v>54</v>
      </c>
      <c r="D1274">
        <v>20220427</v>
      </c>
      <c r="E1274">
        <f t="shared" si="19"/>
        <v>4</v>
      </c>
      <c r="F1274">
        <v>467100</v>
      </c>
      <c r="G1274" t="s">
        <v>160</v>
      </c>
      <c r="H1274" t="s">
        <v>219</v>
      </c>
      <c r="I1274" t="s">
        <v>220</v>
      </c>
      <c r="J1274" t="s">
        <v>1725</v>
      </c>
      <c r="K1274">
        <v>20220427</v>
      </c>
      <c r="L1274" t="s">
        <v>163</v>
      </c>
      <c r="M1274">
        <v>12.8</v>
      </c>
      <c r="N1274">
        <v>0</v>
      </c>
      <c r="O1274" t="s">
        <v>23</v>
      </c>
      <c r="P1274">
        <v>20220609</v>
      </c>
      <c r="Q1274">
        <v>20220427</v>
      </c>
    </row>
    <row r="1275" spans="1:17" x14ac:dyDescent="0.25">
      <c r="A1275" t="s">
        <v>476</v>
      </c>
      <c r="B1275" t="s">
        <v>477</v>
      </c>
      <c r="C1275">
        <v>54</v>
      </c>
      <c r="D1275">
        <v>20220427</v>
      </c>
      <c r="E1275">
        <f t="shared" si="19"/>
        <v>4</v>
      </c>
      <c r="F1275">
        <v>467100</v>
      </c>
      <c r="G1275" t="s">
        <v>160</v>
      </c>
      <c r="H1275" t="s">
        <v>1726</v>
      </c>
      <c r="I1275" t="s">
        <v>1727</v>
      </c>
      <c r="J1275" t="s">
        <v>1725</v>
      </c>
      <c r="K1275">
        <v>20220427</v>
      </c>
      <c r="L1275" t="s">
        <v>163</v>
      </c>
      <c r="M1275">
        <v>25.38</v>
      </c>
      <c r="N1275">
        <v>0</v>
      </c>
      <c r="O1275" t="s">
        <v>23</v>
      </c>
      <c r="P1275">
        <v>20220510</v>
      </c>
      <c r="Q1275">
        <v>20220427</v>
      </c>
    </row>
    <row r="1276" spans="1:17" x14ac:dyDescent="0.25">
      <c r="A1276" t="s">
        <v>476</v>
      </c>
      <c r="B1276" t="s">
        <v>477</v>
      </c>
      <c r="C1276">
        <v>54</v>
      </c>
      <c r="D1276">
        <v>20220427</v>
      </c>
      <c r="E1276">
        <f t="shared" si="19"/>
        <v>4</v>
      </c>
      <c r="F1276">
        <v>512000</v>
      </c>
      <c r="G1276" t="s">
        <v>428</v>
      </c>
      <c r="H1276" t="s">
        <v>401</v>
      </c>
      <c r="I1276" t="s">
        <v>402</v>
      </c>
      <c r="J1276" t="s">
        <v>1725</v>
      </c>
      <c r="K1276">
        <v>20220427</v>
      </c>
      <c r="L1276" t="s">
        <v>163</v>
      </c>
      <c r="M1276">
        <v>0</v>
      </c>
      <c r="N1276">
        <v>3125.5</v>
      </c>
      <c r="O1276" t="s">
        <v>19</v>
      </c>
      <c r="P1276" t="s">
        <v>20</v>
      </c>
      <c r="Q1276">
        <v>20220427</v>
      </c>
    </row>
    <row r="1277" spans="1:17" x14ac:dyDescent="0.25">
      <c r="A1277" t="s">
        <v>476</v>
      </c>
      <c r="B1277" t="s">
        <v>477</v>
      </c>
      <c r="C1277">
        <v>54</v>
      </c>
      <c r="D1277">
        <v>20220428</v>
      </c>
      <c r="E1277">
        <f t="shared" si="19"/>
        <v>4</v>
      </c>
      <c r="F1277">
        <v>421000</v>
      </c>
      <c r="G1277" t="s">
        <v>403</v>
      </c>
      <c r="H1277" t="s">
        <v>401</v>
      </c>
      <c r="I1277" t="s">
        <v>402</v>
      </c>
      <c r="J1277" t="s">
        <v>1728</v>
      </c>
      <c r="K1277">
        <v>20220428</v>
      </c>
      <c r="L1277" t="s">
        <v>1729</v>
      </c>
      <c r="M1277">
        <v>52950.49</v>
      </c>
      <c r="N1277">
        <v>0</v>
      </c>
      <c r="O1277" t="s">
        <v>23</v>
      </c>
      <c r="P1277">
        <v>20220801</v>
      </c>
      <c r="Q1277">
        <v>20220428</v>
      </c>
    </row>
    <row r="1278" spans="1:17" x14ac:dyDescent="0.25">
      <c r="A1278" t="s">
        <v>476</v>
      </c>
      <c r="B1278" t="s">
        <v>477</v>
      </c>
      <c r="C1278">
        <v>54</v>
      </c>
      <c r="D1278">
        <v>20220428</v>
      </c>
      <c r="E1278">
        <f t="shared" si="19"/>
        <v>4</v>
      </c>
      <c r="F1278">
        <v>512000</v>
      </c>
      <c r="G1278" t="s">
        <v>428</v>
      </c>
      <c r="H1278" t="s">
        <v>401</v>
      </c>
      <c r="I1278" t="s">
        <v>402</v>
      </c>
      <c r="J1278" t="s">
        <v>1728</v>
      </c>
      <c r="K1278">
        <v>20220428</v>
      </c>
      <c r="L1278" t="s">
        <v>1729</v>
      </c>
      <c r="M1278">
        <v>0</v>
      </c>
      <c r="N1278">
        <v>52950.49</v>
      </c>
      <c r="O1278" t="s">
        <v>19</v>
      </c>
      <c r="P1278" t="s">
        <v>20</v>
      </c>
      <c r="Q1278">
        <v>20220428</v>
      </c>
    </row>
    <row r="1279" spans="1:17" x14ac:dyDescent="0.25">
      <c r="A1279" t="s">
        <v>476</v>
      </c>
      <c r="B1279" t="s">
        <v>477</v>
      </c>
      <c r="C1279">
        <v>54</v>
      </c>
      <c r="D1279">
        <v>20220428</v>
      </c>
      <c r="E1279">
        <f t="shared" si="19"/>
        <v>4</v>
      </c>
      <c r="F1279">
        <v>468200</v>
      </c>
      <c r="G1279" t="s">
        <v>421</v>
      </c>
      <c r="H1279" t="s">
        <v>401</v>
      </c>
      <c r="I1279" t="s">
        <v>402</v>
      </c>
      <c r="J1279" t="s">
        <v>1730</v>
      </c>
      <c r="K1279">
        <v>20220428</v>
      </c>
      <c r="L1279" t="s">
        <v>422</v>
      </c>
      <c r="M1279">
        <v>0</v>
      </c>
      <c r="N1279">
        <v>51.72</v>
      </c>
      <c r="O1279" t="s">
        <v>19</v>
      </c>
      <c r="P1279" t="s">
        <v>20</v>
      </c>
      <c r="Q1279">
        <v>20220428</v>
      </c>
    </row>
    <row r="1280" spans="1:17" x14ac:dyDescent="0.25">
      <c r="A1280" t="s">
        <v>476</v>
      </c>
      <c r="B1280" t="s">
        <v>477</v>
      </c>
      <c r="C1280">
        <v>54</v>
      </c>
      <c r="D1280">
        <v>20220428</v>
      </c>
      <c r="E1280">
        <f t="shared" si="19"/>
        <v>4</v>
      </c>
      <c r="F1280">
        <v>445057</v>
      </c>
      <c r="G1280" t="s">
        <v>418</v>
      </c>
      <c r="H1280" t="s">
        <v>401</v>
      </c>
      <c r="I1280" t="s">
        <v>402</v>
      </c>
      <c r="J1280" t="s">
        <v>1731</v>
      </c>
      <c r="K1280">
        <v>20220428</v>
      </c>
      <c r="L1280" t="s">
        <v>1732</v>
      </c>
      <c r="M1280">
        <v>0</v>
      </c>
      <c r="N1280">
        <v>6900</v>
      </c>
      <c r="O1280" t="s">
        <v>23</v>
      </c>
      <c r="P1280">
        <v>20221005</v>
      </c>
      <c r="Q1280">
        <v>20220428</v>
      </c>
    </row>
    <row r="1281" spans="1:17" x14ac:dyDescent="0.25">
      <c r="A1281" t="s">
        <v>476</v>
      </c>
      <c r="B1281" t="s">
        <v>477</v>
      </c>
      <c r="C1281">
        <v>54</v>
      </c>
      <c r="D1281">
        <v>20220428</v>
      </c>
      <c r="E1281">
        <f t="shared" si="19"/>
        <v>4</v>
      </c>
      <c r="F1281">
        <v>512000</v>
      </c>
      <c r="G1281" t="s">
        <v>428</v>
      </c>
      <c r="H1281" t="s">
        <v>401</v>
      </c>
      <c r="I1281" t="s">
        <v>402</v>
      </c>
      <c r="J1281" t="s">
        <v>1731</v>
      </c>
      <c r="K1281">
        <v>20220428</v>
      </c>
      <c r="L1281" t="s">
        <v>1732</v>
      </c>
      <c r="M1281">
        <v>6900</v>
      </c>
      <c r="N1281">
        <v>0</v>
      </c>
      <c r="O1281" t="s">
        <v>19</v>
      </c>
      <c r="P1281" t="s">
        <v>20</v>
      </c>
      <c r="Q1281">
        <v>20220428</v>
      </c>
    </row>
    <row r="1282" spans="1:17" x14ac:dyDescent="0.25">
      <c r="A1282" t="s">
        <v>476</v>
      </c>
      <c r="B1282" t="s">
        <v>477</v>
      </c>
      <c r="C1282">
        <v>54</v>
      </c>
      <c r="D1282">
        <v>20220428</v>
      </c>
      <c r="E1282">
        <f t="shared" si="19"/>
        <v>4</v>
      </c>
      <c r="F1282">
        <v>512000</v>
      </c>
      <c r="G1282" t="s">
        <v>428</v>
      </c>
      <c r="H1282" t="s">
        <v>401</v>
      </c>
      <c r="I1282" t="s">
        <v>402</v>
      </c>
      <c r="J1282" t="s">
        <v>1730</v>
      </c>
      <c r="K1282">
        <v>20220428</v>
      </c>
      <c r="L1282" t="s">
        <v>422</v>
      </c>
      <c r="M1282">
        <v>51.72</v>
      </c>
      <c r="N1282">
        <v>0</v>
      </c>
      <c r="O1282" t="s">
        <v>19</v>
      </c>
      <c r="P1282" t="s">
        <v>20</v>
      </c>
      <c r="Q1282">
        <v>20220428</v>
      </c>
    </row>
    <row r="1283" spans="1:17" x14ac:dyDescent="0.25">
      <c r="A1283" t="s">
        <v>476</v>
      </c>
      <c r="B1283" t="s">
        <v>477</v>
      </c>
      <c r="C1283">
        <v>54</v>
      </c>
      <c r="D1283">
        <v>20220429</v>
      </c>
      <c r="E1283">
        <f t="shared" ref="E1283:E1346" si="20">VALUE(MID(D1283,5,2))</f>
        <v>4</v>
      </c>
      <c r="F1283">
        <v>421000</v>
      </c>
      <c r="G1283" t="s">
        <v>403</v>
      </c>
      <c r="H1283" t="s">
        <v>401</v>
      </c>
      <c r="I1283" t="s">
        <v>402</v>
      </c>
      <c r="J1283" t="s">
        <v>1733</v>
      </c>
      <c r="K1283">
        <v>20220429</v>
      </c>
      <c r="L1283" t="s">
        <v>1734</v>
      </c>
      <c r="M1283">
        <v>78.989999999999995</v>
      </c>
      <c r="N1283">
        <v>0</v>
      </c>
      <c r="O1283" t="s">
        <v>23</v>
      </c>
      <c r="P1283">
        <v>20220801</v>
      </c>
      <c r="Q1283">
        <v>20220429</v>
      </c>
    </row>
    <row r="1284" spans="1:17" x14ac:dyDescent="0.25">
      <c r="A1284" t="s">
        <v>476</v>
      </c>
      <c r="B1284" t="s">
        <v>477</v>
      </c>
      <c r="C1284">
        <v>54</v>
      </c>
      <c r="D1284">
        <v>20220429</v>
      </c>
      <c r="E1284">
        <f t="shared" si="20"/>
        <v>4</v>
      </c>
      <c r="F1284">
        <v>512000</v>
      </c>
      <c r="G1284" t="s">
        <v>428</v>
      </c>
      <c r="H1284" t="s">
        <v>401</v>
      </c>
      <c r="I1284" t="s">
        <v>402</v>
      </c>
      <c r="J1284" t="s">
        <v>1733</v>
      </c>
      <c r="K1284">
        <v>20220429</v>
      </c>
      <c r="L1284" t="s">
        <v>127</v>
      </c>
      <c r="M1284">
        <v>0</v>
      </c>
      <c r="N1284">
        <v>78.989999999999995</v>
      </c>
      <c r="O1284" t="s">
        <v>19</v>
      </c>
      <c r="P1284" t="s">
        <v>20</v>
      </c>
      <c r="Q1284">
        <v>20220429</v>
      </c>
    </row>
    <row r="1285" spans="1:17" x14ac:dyDescent="0.25">
      <c r="A1285" t="s">
        <v>548</v>
      </c>
      <c r="B1285" t="s">
        <v>429</v>
      </c>
      <c r="C1285">
        <v>55</v>
      </c>
      <c r="D1285">
        <v>20220401</v>
      </c>
      <c r="E1285">
        <f t="shared" si="20"/>
        <v>4</v>
      </c>
      <c r="F1285">
        <v>411100</v>
      </c>
      <c r="G1285" t="s">
        <v>18</v>
      </c>
      <c r="H1285" t="s">
        <v>944</v>
      </c>
      <c r="I1285" t="s">
        <v>945</v>
      </c>
      <c r="J1285">
        <v>338870</v>
      </c>
      <c r="K1285">
        <v>20220401</v>
      </c>
      <c r="L1285" t="s">
        <v>1735</v>
      </c>
      <c r="M1285">
        <v>0</v>
      </c>
      <c r="N1285">
        <v>70.83</v>
      </c>
      <c r="O1285" t="s">
        <v>22</v>
      </c>
      <c r="P1285">
        <v>20230218</v>
      </c>
      <c r="Q1285">
        <v>20220401</v>
      </c>
    </row>
    <row r="1286" spans="1:17" x14ac:dyDescent="0.25">
      <c r="A1286" t="s">
        <v>548</v>
      </c>
      <c r="B1286" t="s">
        <v>429</v>
      </c>
      <c r="C1286">
        <v>55</v>
      </c>
      <c r="D1286">
        <v>20220401</v>
      </c>
      <c r="E1286">
        <f t="shared" si="20"/>
        <v>4</v>
      </c>
      <c r="F1286">
        <v>411100</v>
      </c>
      <c r="G1286" t="s">
        <v>18</v>
      </c>
      <c r="H1286" t="s">
        <v>823</v>
      </c>
      <c r="I1286" t="s">
        <v>824</v>
      </c>
      <c r="J1286">
        <v>338871</v>
      </c>
      <c r="K1286">
        <v>20220401</v>
      </c>
      <c r="L1286" t="s">
        <v>1736</v>
      </c>
      <c r="M1286">
        <v>0</v>
      </c>
      <c r="N1286">
        <v>24.35</v>
      </c>
      <c r="O1286" t="s">
        <v>22</v>
      </c>
      <c r="P1286">
        <v>20230218</v>
      </c>
      <c r="Q1286">
        <v>20220401</v>
      </c>
    </row>
    <row r="1287" spans="1:17" x14ac:dyDescent="0.25">
      <c r="A1287" t="s">
        <v>548</v>
      </c>
      <c r="B1287" t="s">
        <v>429</v>
      </c>
      <c r="C1287">
        <v>55</v>
      </c>
      <c r="D1287">
        <v>20220401</v>
      </c>
      <c r="E1287">
        <f t="shared" si="20"/>
        <v>4</v>
      </c>
      <c r="F1287">
        <v>531105</v>
      </c>
      <c r="G1287" t="s">
        <v>429</v>
      </c>
      <c r="H1287" t="s">
        <v>401</v>
      </c>
      <c r="I1287" t="s">
        <v>402</v>
      </c>
      <c r="J1287">
        <v>338872</v>
      </c>
      <c r="K1287">
        <v>20220401</v>
      </c>
      <c r="L1287" t="s">
        <v>565</v>
      </c>
      <c r="M1287">
        <v>95.18</v>
      </c>
      <c r="N1287">
        <v>0</v>
      </c>
      <c r="O1287" t="s">
        <v>19</v>
      </c>
      <c r="P1287" t="s">
        <v>20</v>
      </c>
      <c r="Q1287">
        <v>20220401</v>
      </c>
    </row>
    <row r="1288" spans="1:17" x14ac:dyDescent="0.25">
      <c r="A1288" t="s">
        <v>548</v>
      </c>
      <c r="B1288" t="s">
        <v>429</v>
      </c>
      <c r="C1288">
        <v>55</v>
      </c>
      <c r="D1288">
        <v>20220404</v>
      </c>
      <c r="E1288">
        <f t="shared" si="20"/>
        <v>4</v>
      </c>
      <c r="F1288">
        <v>411100</v>
      </c>
      <c r="G1288" t="s">
        <v>18</v>
      </c>
      <c r="H1288" t="s">
        <v>283</v>
      </c>
      <c r="I1288" t="s">
        <v>284</v>
      </c>
      <c r="J1288">
        <v>338873</v>
      </c>
      <c r="K1288">
        <v>20220404</v>
      </c>
      <c r="L1288" t="s">
        <v>1737</v>
      </c>
      <c r="M1288">
        <v>0</v>
      </c>
      <c r="N1288">
        <v>18.61</v>
      </c>
      <c r="O1288" t="s">
        <v>19</v>
      </c>
      <c r="P1288" t="s">
        <v>20</v>
      </c>
      <c r="Q1288">
        <v>20220404</v>
      </c>
    </row>
    <row r="1289" spans="1:17" x14ac:dyDescent="0.25">
      <c r="A1289" t="s">
        <v>548</v>
      </c>
      <c r="B1289" t="s">
        <v>429</v>
      </c>
      <c r="C1289">
        <v>55</v>
      </c>
      <c r="D1289">
        <v>20220404</v>
      </c>
      <c r="E1289">
        <f t="shared" si="20"/>
        <v>4</v>
      </c>
      <c r="F1289">
        <v>411100</v>
      </c>
      <c r="G1289" t="s">
        <v>18</v>
      </c>
      <c r="H1289" t="s">
        <v>1417</v>
      </c>
      <c r="I1289" t="s">
        <v>1418</v>
      </c>
      <c r="J1289">
        <v>121090166</v>
      </c>
      <c r="K1289">
        <v>20220404</v>
      </c>
      <c r="L1289" t="s">
        <v>1738</v>
      </c>
      <c r="M1289">
        <v>0</v>
      </c>
      <c r="N1289">
        <v>2</v>
      </c>
      <c r="O1289" t="s">
        <v>23</v>
      </c>
      <c r="P1289">
        <v>20230329</v>
      </c>
      <c r="Q1289">
        <v>20220404</v>
      </c>
    </row>
    <row r="1290" spans="1:17" x14ac:dyDescent="0.25">
      <c r="A1290" t="s">
        <v>548</v>
      </c>
      <c r="B1290" t="s">
        <v>429</v>
      </c>
      <c r="C1290">
        <v>55</v>
      </c>
      <c r="D1290">
        <v>20220404</v>
      </c>
      <c r="E1290">
        <f t="shared" si="20"/>
        <v>4</v>
      </c>
      <c r="F1290">
        <v>411100</v>
      </c>
      <c r="G1290" t="s">
        <v>18</v>
      </c>
      <c r="H1290" t="s">
        <v>997</v>
      </c>
      <c r="I1290" t="s">
        <v>998</v>
      </c>
      <c r="J1290">
        <v>121090078</v>
      </c>
      <c r="K1290">
        <v>20220404</v>
      </c>
      <c r="L1290" t="s">
        <v>1739</v>
      </c>
      <c r="M1290">
        <v>0</v>
      </c>
      <c r="N1290">
        <v>2</v>
      </c>
      <c r="O1290" t="s">
        <v>19</v>
      </c>
      <c r="P1290" t="s">
        <v>20</v>
      </c>
      <c r="Q1290">
        <v>20220404</v>
      </c>
    </row>
    <row r="1291" spans="1:17" x14ac:dyDescent="0.25">
      <c r="A1291" t="s">
        <v>548</v>
      </c>
      <c r="B1291" t="s">
        <v>429</v>
      </c>
      <c r="C1291">
        <v>55</v>
      </c>
      <c r="D1291">
        <v>20220404</v>
      </c>
      <c r="E1291">
        <f t="shared" si="20"/>
        <v>4</v>
      </c>
      <c r="F1291">
        <v>411100</v>
      </c>
      <c r="G1291" t="s">
        <v>18</v>
      </c>
      <c r="H1291" t="s">
        <v>243</v>
      </c>
      <c r="I1291" t="s">
        <v>244</v>
      </c>
      <c r="J1291">
        <v>121090224</v>
      </c>
      <c r="K1291">
        <v>20220404</v>
      </c>
      <c r="L1291" t="s">
        <v>1740</v>
      </c>
      <c r="M1291">
        <v>0</v>
      </c>
      <c r="N1291">
        <v>2</v>
      </c>
      <c r="O1291" t="s">
        <v>23</v>
      </c>
      <c r="P1291">
        <v>20230329</v>
      </c>
      <c r="Q1291">
        <v>20220404</v>
      </c>
    </row>
    <row r="1292" spans="1:17" x14ac:dyDescent="0.25">
      <c r="A1292" t="s">
        <v>548</v>
      </c>
      <c r="B1292" t="s">
        <v>429</v>
      </c>
      <c r="C1292">
        <v>55</v>
      </c>
      <c r="D1292">
        <v>20220404</v>
      </c>
      <c r="E1292">
        <f t="shared" si="20"/>
        <v>4</v>
      </c>
      <c r="F1292">
        <v>531105</v>
      </c>
      <c r="G1292" t="s">
        <v>429</v>
      </c>
      <c r="H1292" t="s">
        <v>401</v>
      </c>
      <c r="I1292" t="s">
        <v>402</v>
      </c>
      <c r="J1292">
        <v>338877</v>
      </c>
      <c r="K1292">
        <v>20220404</v>
      </c>
      <c r="L1292" t="s">
        <v>565</v>
      </c>
      <c r="M1292">
        <v>24.61</v>
      </c>
      <c r="N1292">
        <v>0</v>
      </c>
      <c r="O1292" t="s">
        <v>19</v>
      </c>
      <c r="P1292" t="s">
        <v>20</v>
      </c>
      <c r="Q1292">
        <v>20220404</v>
      </c>
    </row>
    <row r="1293" spans="1:17" x14ac:dyDescent="0.25">
      <c r="A1293" t="s">
        <v>548</v>
      </c>
      <c r="B1293" t="s">
        <v>429</v>
      </c>
      <c r="C1293">
        <v>55</v>
      </c>
      <c r="D1293">
        <v>20220404</v>
      </c>
      <c r="E1293">
        <f t="shared" si="20"/>
        <v>4</v>
      </c>
      <c r="F1293">
        <v>411100</v>
      </c>
      <c r="G1293" t="s">
        <v>18</v>
      </c>
      <c r="H1293" t="s">
        <v>352</v>
      </c>
      <c r="I1293" t="s">
        <v>353</v>
      </c>
      <c r="J1293">
        <v>338994</v>
      </c>
      <c r="K1293">
        <v>20220404</v>
      </c>
      <c r="L1293" t="s">
        <v>1741</v>
      </c>
      <c r="M1293">
        <v>0</v>
      </c>
      <c r="N1293">
        <v>19.2</v>
      </c>
      <c r="O1293" t="s">
        <v>22</v>
      </c>
      <c r="P1293">
        <v>20230218</v>
      </c>
      <c r="Q1293">
        <v>20220404</v>
      </c>
    </row>
    <row r="1294" spans="1:17" x14ac:dyDescent="0.25">
      <c r="A1294" t="s">
        <v>548</v>
      </c>
      <c r="B1294" t="s">
        <v>429</v>
      </c>
      <c r="C1294">
        <v>55</v>
      </c>
      <c r="D1294">
        <v>20220404</v>
      </c>
      <c r="E1294">
        <f t="shared" si="20"/>
        <v>4</v>
      </c>
      <c r="F1294">
        <v>411100</v>
      </c>
      <c r="G1294" t="s">
        <v>18</v>
      </c>
      <c r="H1294" t="s">
        <v>1742</v>
      </c>
      <c r="I1294" t="s">
        <v>1743</v>
      </c>
      <c r="J1294">
        <v>338995</v>
      </c>
      <c r="K1294">
        <v>20220404</v>
      </c>
      <c r="L1294" t="s">
        <v>1744</v>
      </c>
      <c r="M1294">
        <v>0</v>
      </c>
      <c r="N1294">
        <v>13</v>
      </c>
      <c r="O1294" t="s">
        <v>22</v>
      </c>
      <c r="P1294">
        <v>20230218</v>
      </c>
      <c r="Q1294">
        <v>20220404</v>
      </c>
    </row>
    <row r="1295" spans="1:17" x14ac:dyDescent="0.25">
      <c r="A1295" t="s">
        <v>548</v>
      </c>
      <c r="B1295" t="s">
        <v>429</v>
      </c>
      <c r="C1295">
        <v>55</v>
      </c>
      <c r="D1295">
        <v>20220404</v>
      </c>
      <c r="E1295">
        <f t="shared" si="20"/>
        <v>4</v>
      </c>
      <c r="F1295">
        <v>531105</v>
      </c>
      <c r="G1295" t="s">
        <v>429</v>
      </c>
      <c r="H1295" t="s">
        <v>401</v>
      </c>
      <c r="I1295" t="s">
        <v>402</v>
      </c>
      <c r="J1295">
        <v>338996</v>
      </c>
      <c r="K1295">
        <v>20220404</v>
      </c>
      <c r="L1295" t="s">
        <v>565</v>
      </c>
      <c r="M1295">
        <v>32.200000000000003</v>
      </c>
      <c r="N1295">
        <v>0</v>
      </c>
      <c r="O1295" t="s">
        <v>19</v>
      </c>
      <c r="P1295" t="s">
        <v>20</v>
      </c>
      <c r="Q1295">
        <v>20220404</v>
      </c>
    </row>
    <row r="1296" spans="1:17" x14ac:dyDescent="0.25">
      <c r="A1296" t="s">
        <v>548</v>
      </c>
      <c r="B1296" t="s">
        <v>429</v>
      </c>
      <c r="C1296">
        <v>55</v>
      </c>
      <c r="D1296">
        <v>20220404</v>
      </c>
      <c r="E1296">
        <f t="shared" si="20"/>
        <v>4</v>
      </c>
      <c r="F1296">
        <v>411100</v>
      </c>
      <c r="G1296" t="s">
        <v>18</v>
      </c>
      <c r="H1296" t="s">
        <v>352</v>
      </c>
      <c r="I1296" t="s">
        <v>353</v>
      </c>
      <c r="J1296">
        <v>339010</v>
      </c>
      <c r="K1296">
        <v>20220404</v>
      </c>
      <c r="L1296" t="s">
        <v>1745</v>
      </c>
      <c r="M1296">
        <v>0</v>
      </c>
      <c r="N1296">
        <v>147.01</v>
      </c>
      <c r="O1296" t="s">
        <v>22</v>
      </c>
      <c r="P1296">
        <v>20230218</v>
      </c>
      <c r="Q1296">
        <v>20220404</v>
      </c>
    </row>
    <row r="1297" spans="1:17" x14ac:dyDescent="0.25">
      <c r="A1297" t="s">
        <v>548</v>
      </c>
      <c r="B1297" t="s">
        <v>429</v>
      </c>
      <c r="C1297">
        <v>55</v>
      </c>
      <c r="D1297">
        <v>20220404</v>
      </c>
      <c r="E1297">
        <f t="shared" si="20"/>
        <v>4</v>
      </c>
      <c r="F1297">
        <v>411100</v>
      </c>
      <c r="G1297" t="s">
        <v>18</v>
      </c>
      <c r="H1297" t="s">
        <v>352</v>
      </c>
      <c r="I1297" t="s">
        <v>353</v>
      </c>
      <c r="J1297">
        <v>339011</v>
      </c>
      <c r="K1297">
        <v>20220404</v>
      </c>
      <c r="L1297" t="s">
        <v>1746</v>
      </c>
      <c r="M1297">
        <v>0</v>
      </c>
      <c r="N1297">
        <v>2.99</v>
      </c>
      <c r="O1297" t="s">
        <v>19</v>
      </c>
      <c r="P1297" t="s">
        <v>20</v>
      </c>
      <c r="Q1297">
        <v>20220404</v>
      </c>
    </row>
    <row r="1298" spans="1:17" x14ac:dyDescent="0.25">
      <c r="A1298" t="s">
        <v>548</v>
      </c>
      <c r="B1298" t="s">
        <v>429</v>
      </c>
      <c r="C1298">
        <v>55</v>
      </c>
      <c r="D1298">
        <v>20220404</v>
      </c>
      <c r="E1298">
        <f t="shared" si="20"/>
        <v>4</v>
      </c>
      <c r="F1298">
        <v>531105</v>
      </c>
      <c r="G1298" t="s">
        <v>429</v>
      </c>
      <c r="H1298" t="s">
        <v>401</v>
      </c>
      <c r="I1298" t="s">
        <v>402</v>
      </c>
      <c r="J1298">
        <v>339012</v>
      </c>
      <c r="K1298">
        <v>20220404</v>
      </c>
      <c r="L1298" t="s">
        <v>565</v>
      </c>
      <c r="M1298">
        <v>150</v>
      </c>
      <c r="N1298">
        <v>0</v>
      </c>
      <c r="O1298" t="s">
        <v>19</v>
      </c>
      <c r="P1298" t="s">
        <v>20</v>
      </c>
      <c r="Q1298">
        <v>20220404</v>
      </c>
    </row>
    <row r="1299" spans="1:17" x14ac:dyDescent="0.25">
      <c r="A1299" t="s">
        <v>548</v>
      </c>
      <c r="B1299" t="s">
        <v>429</v>
      </c>
      <c r="C1299">
        <v>55</v>
      </c>
      <c r="D1299">
        <v>20220405</v>
      </c>
      <c r="E1299">
        <f t="shared" si="20"/>
        <v>4</v>
      </c>
      <c r="F1299">
        <v>421000</v>
      </c>
      <c r="G1299" t="s">
        <v>403</v>
      </c>
      <c r="H1299" t="s">
        <v>401</v>
      </c>
      <c r="I1299" t="s">
        <v>402</v>
      </c>
      <c r="J1299" t="s">
        <v>1747</v>
      </c>
      <c r="K1299">
        <v>20220405</v>
      </c>
      <c r="L1299" t="s">
        <v>404</v>
      </c>
      <c r="M1299">
        <v>0</v>
      </c>
      <c r="N1299">
        <v>300</v>
      </c>
      <c r="O1299" t="s">
        <v>23</v>
      </c>
      <c r="P1299">
        <v>20230215</v>
      </c>
      <c r="Q1299">
        <v>20220405</v>
      </c>
    </row>
    <row r="1300" spans="1:17" x14ac:dyDescent="0.25">
      <c r="A1300" t="s">
        <v>548</v>
      </c>
      <c r="B1300" t="s">
        <v>429</v>
      </c>
      <c r="C1300">
        <v>55</v>
      </c>
      <c r="D1300">
        <v>20220405</v>
      </c>
      <c r="E1300">
        <f t="shared" si="20"/>
        <v>4</v>
      </c>
      <c r="F1300">
        <v>531105</v>
      </c>
      <c r="G1300" t="s">
        <v>429</v>
      </c>
      <c r="H1300" t="s">
        <v>401</v>
      </c>
      <c r="I1300" t="s">
        <v>402</v>
      </c>
      <c r="J1300" t="s">
        <v>1747</v>
      </c>
      <c r="K1300">
        <v>20220405</v>
      </c>
      <c r="L1300" t="s">
        <v>404</v>
      </c>
      <c r="M1300">
        <v>300</v>
      </c>
      <c r="N1300">
        <v>0</v>
      </c>
      <c r="O1300" t="s">
        <v>19</v>
      </c>
      <c r="P1300" t="s">
        <v>20</v>
      </c>
      <c r="Q1300">
        <v>20220405</v>
      </c>
    </row>
    <row r="1301" spans="1:17" x14ac:dyDescent="0.25">
      <c r="A1301" t="s">
        <v>548</v>
      </c>
      <c r="B1301" t="s">
        <v>429</v>
      </c>
      <c r="C1301">
        <v>55</v>
      </c>
      <c r="D1301">
        <v>20220405</v>
      </c>
      <c r="E1301">
        <f t="shared" si="20"/>
        <v>4</v>
      </c>
      <c r="F1301">
        <v>467100</v>
      </c>
      <c r="G1301" t="s">
        <v>160</v>
      </c>
      <c r="H1301" t="s">
        <v>1748</v>
      </c>
      <c r="I1301" t="s">
        <v>1749</v>
      </c>
      <c r="J1301" t="s">
        <v>1750</v>
      </c>
      <c r="K1301">
        <v>20220405</v>
      </c>
      <c r="L1301" t="s">
        <v>1751</v>
      </c>
      <c r="M1301">
        <v>70.010000000000005</v>
      </c>
      <c r="N1301">
        <v>0</v>
      </c>
      <c r="O1301" t="s">
        <v>23</v>
      </c>
      <c r="P1301">
        <v>20220427</v>
      </c>
      <c r="Q1301">
        <v>20220405</v>
      </c>
    </row>
    <row r="1302" spans="1:17" x14ac:dyDescent="0.25">
      <c r="A1302" t="s">
        <v>548</v>
      </c>
      <c r="B1302" t="s">
        <v>429</v>
      </c>
      <c r="C1302">
        <v>55</v>
      </c>
      <c r="D1302">
        <v>20220405</v>
      </c>
      <c r="E1302">
        <f t="shared" si="20"/>
        <v>4</v>
      </c>
      <c r="F1302">
        <v>531105</v>
      </c>
      <c r="G1302" t="s">
        <v>429</v>
      </c>
      <c r="H1302" t="s">
        <v>401</v>
      </c>
      <c r="I1302" t="s">
        <v>402</v>
      </c>
      <c r="J1302" t="s">
        <v>1750</v>
      </c>
      <c r="K1302">
        <v>20220405</v>
      </c>
      <c r="L1302" t="s">
        <v>1751</v>
      </c>
      <c r="M1302">
        <v>0</v>
      </c>
      <c r="N1302">
        <v>70.010000000000005</v>
      </c>
      <c r="O1302" t="s">
        <v>19</v>
      </c>
      <c r="P1302" t="s">
        <v>20</v>
      </c>
      <c r="Q1302">
        <v>20220405</v>
      </c>
    </row>
    <row r="1303" spans="1:17" x14ac:dyDescent="0.25">
      <c r="A1303" t="s">
        <v>548</v>
      </c>
      <c r="B1303" t="s">
        <v>429</v>
      </c>
      <c r="C1303">
        <v>55</v>
      </c>
      <c r="D1303">
        <v>20220405</v>
      </c>
      <c r="E1303">
        <f t="shared" si="20"/>
        <v>4</v>
      </c>
      <c r="F1303">
        <v>411100</v>
      </c>
      <c r="G1303" t="s">
        <v>18</v>
      </c>
      <c r="H1303" t="s">
        <v>592</v>
      </c>
      <c r="I1303" t="s">
        <v>593</v>
      </c>
      <c r="J1303">
        <v>122030038</v>
      </c>
      <c r="K1303">
        <v>20220405</v>
      </c>
      <c r="L1303" t="s">
        <v>1752</v>
      </c>
      <c r="M1303">
        <v>0</v>
      </c>
      <c r="N1303">
        <v>151</v>
      </c>
      <c r="O1303" t="s">
        <v>19</v>
      </c>
      <c r="P1303" t="s">
        <v>20</v>
      </c>
      <c r="Q1303">
        <v>20220405</v>
      </c>
    </row>
    <row r="1304" spans="1:17" x14ac:dyDescent="0.25">
      <c r="A1304" t="s">
        <v>548</v>
      </c>
      <c r="B1304" t="s">
        <v>429</v>
      </c>
      <c r="C1304">
        <v>55</v>
      </c>
      <c r="D1304">
        <v>20220405</v>
      </c>
      <c r="E1304">
        <f t="shared" si="20"/>
        <v>4</v>
      </c>
      <c r="F1304">
        <v>411100</v>
      </c>
      <c r="G1304" t="s">
        <v>18</v>
      </c>
      <c r="H1304" t="s">
        <v>694</v>
      </c>
      <c r="I1304" t="s">
        <v>695</v>
      </c>
      <c r="J1304">
        <v>122030027</v>
      </c>
      <c r="K1304">
        <v>20220405</v>
      </c>
      <c r="L1304" t="s">
        <v>1753</v>
      </c>
      <c r="M1304">
        <v>0</v>
      </c>
      <c r="N1304">
        <v>170.22</v>
      </c>
      <c r="O1304" t="s">
        <v>19</v>
      </c>
      <c r="P1304" t="s">
        <v>20</v>
      </c>
      <c r="Q1304">
        <v>20220405</v>
      </c>
    </row>
    <row r="1305" spans="1:17" x14ac:dyDescent="0.25">
      <c r="A1305" t="s">
        <v>548</v>
      </c>
      <c r="B1305" t="s">
        <v>429</v>
      </c>
      <c r="C1305">
        <v>55</v>
      </c>
      <c r="D1305">
        <v>20220405</v>
      </c>
      <c r="E1305">
        <f t="shared" si="20"/>
        <v>4</v>
      </c>
      <c r="F1305">
        <v>531105</v>
      </c>
      <c r="G1305" t="s">
        <v>429</v>
      </c>
      <c r="H1305" t="s">
        <v>401</v>
      </c>
      <c r="I1305" t="s">
        <v>402</v>
      </c>
      <c r="J1305">
        <v>338999</v>
      </c>
      <c r="K1305">
        <v>20220405</v>
      </c>
      <c r="L1305" t="s">
        <v>565</v>
      </c>
      <c r="M1305">
        <v>321.22000000000003</v>
      </c>
      <c r="N1305">
        <v>0</v>
      </c>
      <c r="O1305" t="s">
        <v>19</v>
      </c>
      <c r="P1305" t="s">
        <v>20</v>
      </c>
      <c r="Q1305">
        <v>20220405</v>
      </c>
    </row>
    <row r="1306" spans="1:17" x14ac:dyDescent="0.25">
      <c r="A1306" t="s">
        <v>548</v>
      </c>
      <c r="B1306" t="s">
        <v>429</v>
      </c>
      <c r="C1306">
        <v>55</v>
      </c>
      <c r="D1306">
        <v>20220405</v>
      </c>
      <c r="E1306">
        <f t="shared" si="20"/>
        <v>4</v>
      </c>
      <c r="F1306">
        <v>580000</v>
      </c>
      <c r="G1306" t="s">
        <v>532</v>
      </c>
      <c r="H1306" t="s">
        <v>401</v>
      </c>
      <c r="I1306" t="s">
        <v>402</v>
      </c>
      <c r="J1306" t="s">
        <v>1754</v>
      </c>
      <c r="K1306">
        <v>20220405</v>
      </c>
      <c r="L1306" t="s">
        <v>625</v>
      </c>
      <c r="M1306">
        <v>3200</v>
      </c>
      <c r="N1306">
        <v>0</v>
      </c>
      <c r="O1306" t="s">
        <v>22</v>
      </c>
      <c r="P1306">
        <v>20220405</v>
      </c>
      <c r="Q1306">
        <v>20220405</v>
      </c>
    </row>
    <row r="1307" spans="1:17" x14ac:dyDescent="0.25">
      <c r="A1307" t="s">
        <v>548</v>
      </c>
      <c r="B1307" t="s">
        <v>429</v>
      </c>
      <c r="C1307">
        <v>55</v>
      </c>
      <c r="D1307">
        <v>20220405</v>
      </c>
      <c r="E1307">
        <f t="shared" si="20"/>
        <v>4</v>
      </c>
      <c r="F1307">
        <v>531105</v>
      </c>
      <c r="G1307" t="s">
        <v>429</v>
      </c>
      <c r="H1307" t="s">
        <v>401</v>
      </c>
      <c r="I1307" t="s">
        <v>402</v>
      </c>
      <c r="J1307" t="s">
        <v>1754</v>
      </c>
      <c r="K1307">
        <v>20220405</v>
      </c>
      <c r="L1307" t="s">
        <v>625</v>
      </c>
      <c r="M1307">
        <v>0</v>
      </c>
      <c r="N1307">
        <v>3200</v>
      </c>
      <c r="O1307" t="s">
        <v>19</v>
      </c>
      <c r="P1307" t="s">
        <v>20</v>
      </c>
      <c r="Q1307">
        <v>20220405</v>
      </c>
    </row>
    <row r="1308" spans="1:17" x14ac:dyDescent="0.25">
      <c r="A1308" t="s">
        <v>548</v>
      </c>
      <c r="B1308" t="s">
        <v>429</v>
      </c>
      <c r="C1308">
        <v>55</v>
      </c>
      <c r="D1308">
        <v>20220406</v>
      </c>
      <c r="E1308">
        <f t="shared" si="20"/>
        <v>4</v>
      </c>
      <c r="F1308">
        <v>411100</v>
      </c>
      <c r="G1308" t="s">
        <v>18</v>
      </c>
      <c r="H1308" t="s">
        <v>1755</v>
      </c>
      <c r="I1308" t="s">
        <v>1756</v>
      </c>
      <c r="J1308">
        <v>339124</v>
      </c>
      <c r="K1308">
        <v>20220406</v>
      </c>
      <c r="L1308" t="s">
        <v>1757</v>
      </c>
      <c r="M1308">
        <v>0</v>
      </c>
      <c r="N1308">
        <v>31.48</v>
      </c>
      <c r="O1308" t="s">
        <v>22</v>
      </c>
      <c r="P1308">
        <v>20230218</v>
      </c>
      <c r="Q1308">
        <v>20220406</v>
      </c>
    </row>
    <row r="1309" spans="1:17" x14ac:dyDescent="0.25">
      <c r="A1309" t="s">
        <v>548</v>
      </c>
      <c r="B1309" t="s">
        <v>429</v>
      </c>
      <c r="C1309">
        <v>55</v>
      </c>
      <c r="D1309">
        <v>20220406</v>
      </c>
      <c r="E1309">
        <f t="shared" si="20"/>
        <v>4</v>
      </c>
      <c r="F1309">
        <v>411100</v>
      </c>
      <c r="G1309" t="s">
        <v>18</v>
      </c>
      <c r="H1309" t="s">
        <v>291</v>
      </c>
      <c r="I1309" t="s">
        <v>292</v>
      </c>
      <c r="J1309">
        <v>339125</v>
      </c>
      <c r="K1309">
        <v>20220406</v>
      </c>
      <c r="L1309" t="s">
        <v>1758</v>
      </c>
      <c r="M1309">
        <v>0</v>
      </c>
      <c r="N1309">
        <v>124.32</v>
      </c>
      <c r="O1309" t="s">
        <v>22</v>
      </c>
      <c r="P1309">
        <v>20230218</v>
      </c>
      <c r="Q1309">
        <v>20220406</v>
      </c>
    </row>
    <row r="1310" spans="1:17" x14ac:dyDescent="0.25">
      <c r="A1310" t="s">
        <v>548</v>
      </c>
      <c r="B1310" t="s">
        <v>429</v>
      </c>
      <c r="C1310">
        <v>55</v>
      </c>
      <c r="D1310">
        <v>20220406</v>
      </c>
      <c r="E1310">
        <f t="shared" si="20"/>
        <v>4</v>
      </c>
      <c r="F1310">
        <v>411100</v>
      </c>
      <c r="G1310" t="s">
        <v>18</v>
      </c>
      <c r="H1310" t="s">
        <v>291</v>
      </c>
      <c r="I1310" t="s">
        <v>292</v>
      </c>
      <c r="J1310">
        <v>122020060</v>
      </c>
      <c r="K1310">
        <v>20220406</v>
      </c>
      <c r="L1310" t="s">
        <v>1759</v>
      </c>
      <c r="M1310">
        <v>0</v>
      </c>
      <c r="N1310">
        <v>75.680000000000007</v>
      </c>
      <c r="O1310" t="s">
        <v>19</v>
      </c>
      <c r="P1310" t="s">
        <v>20</v>
      </c>
      <c r="Q1310">
        <v>20220406</v>
      </c>
    </row>
    <row r="1311" spans="1:17" x14ac:dyDescent="0.25">
      <c r="A1311" t="s">
        <v>548</v>
      </c>
      <c r="B1311" t="s">
        <v>429</v>
      </c>
      <c r="C1311">
        <v>55</v>
      </c>
      <c r="D1311">
        <v>20220406</v>
      </c>
      <c r="E1311">
        <f t="shared" si="20"/>
        <v>4</v>
      </c>
      <c r="F1311">
        <v>531105</v>
      </c>
      <c r="G1311" t="s">
        <v>429</v>
      </c>
      <c r="H1311" t="s">
        <v>401</v>
      </c>
      <c r="I1311" t="s">
        <v>402</v>
      </c>
      <c r="J1311">
        <v>339127</v>
      </c>
      <c r="K1311">
        <v>20220406</v>
      </c>
      <c r="L1311" t="s">
        <v>565</v>
      </c>
      <c r="M1311">
        <v>231.48</v>
      </c>
      <c r="N1311">
        <v>0</v>
      </c>
      <c r="O1311" t="s">
        <v>19</v>
      </c>
      <c r="P1311" t="s">
        <v>20</v>
      </c>
      <c r="Q1311">
        <v>20220406</v>
      </c>
    </row>
    <row r="1312" spans="1:17" x14ac:dyDescent="0.25">
      <c r="A1312" t="s">
        <v>548</v>
      </c>
      <c r="B1312" t="s">
        <v>429</v>
      </c>
      <c r="C1312">
        <v>55</v>
      </c>
      <c r="D1312">
        <v>20220406</v>
      </c>
      <c r="E1312">
        <f t="shared" si="20"/>
        <v>4</v>
      </c>
      <c r="F1312">
        <v>411000</v>
      </c>
      <c r="G1312" t="s">
        <v>21</v>
      </c>
      <c r="H1312" t="s">
        <v>271</v>
      </c>
      <c r="I1312" t="s">
        <v>272</v>
      </c>
      <c r="J1312">
        <v>339194</v>
      </c>
      <c r="K1312">
        <v>20220406</v>
      </c>
      <c r="L1312" t="s">
        <v>1760</v>
      </c>
      <c r="M1312">
        <v>0</v>
      </c>
      <c r="N1312">
        <v>49.68</v>
      </c>
      <c r="O1312" t="s">
        <v>22</v>
      </c>
      <c r="P1312">
        <v>20230218</v>
      </c>
      <c r="Q1312">
        <v>20220406</v>
      </c>
    </row>
    <row r="1313" spans="1:17" x14ac:dyDescent="0.25">
      <c r="A1313" t="s">
        <v>548</v>
      </c>
      <c r="B1313" t="s">
        <v>429</v>
      </c>
      <c r="C1313">
        <v>55</v>
      </c>
      <c r="D1313">
        <v>20220406</v>
      </c>
      <c r="E1313">
        <f t="shared" si="20"/>
        <v>4</v>
      </c>
      <c r="F1313">
        <v>411000</v>
      </c>
      <c r="G1313" t="s">
        <v>21</v>
      </c>
      <c r="H1313" t="s">
        <v>271</v>
      </c>
      <c r="I1313" t="s">
        <v>272</v>
      </c>
      <c r="J1313">
        <v>339195</v>
      </c>
      <c r="K1313">
        <v>20220406</v>
      </c>
      <c r="L1313" t="s">
        <v>1761</v>
      </c>
      <c r="M1313">
        <v>0</v>
      </c>
      <c r="N1313">
        <v>0.32</v>
      </c>
      <c r="O1313" t="s">
        <v>19</v>
      </c>
      <c r="P1313" t="s">
        <v>20</v>
      </c>
      <c r="Q1313">
        <v>20220406</v>
      </c>
    </row>
    <row r="1314" spans="1:17" x14ac:dyDescent="0.25">
      <c r="A1314" t="s">
        <v>548</v>
      </c>
      <c r="B1314" t="s">
        <v>429</v>
      </c>
      <c r="C1314">
        <v>55</v>
      </c>
      <c r="D1314">
        <v>20220406</v>
      </c>
      <c r="E1314">
        <f t="shared" si="20"/>
        <v>4</v>
      </c>
      <c r="F1314">
        <v>531105</v>
      </c>
      <c r="G1314" t="s">
        <v>429</v>
      </c>
      <c r="H1314" t="s">
        <v>401</v>
      </c>
      <c r="I1314" t="s">
        <v>402</v>
      </c>
      <c r="J1314">
        <v>339196</v>
      </c>
      <c r="K1314">
        <v>20220406</v>
      </c>
      <c r="L1314" t="s">
        <v>565</v>
      </c>
      <c r="M1314">
        <v>50</v>
      </c>
      <c r="N1314">
        <v>0</v>
      </c>
      <c r="O1314" t="s">
        <v>19</v>
      </c>
      <c r="P1314" t="s">
        <v>20</v>
      </c>
      <c r="Q1314">
        <v>20220406</v>
      </c>
    </row>
    <row r="1315" spans="1:17" x14ac:dyDescent="0.25">
      <c r="A1315" t="s">
        <v>548</v>
      </c>
      <c r="B1315" t="s">
        <v>429</v>
      </c>
      <c r="C1315">
        <v>55</v>
      </c>
      <c r="D1315">
        <v>20220408</v>
      </c>
      <c r="E1315">
        <f t="shared" si="20"/>
        <v>4</v>
      </c>
      <c r="F1315">
        <v>411100</v>
      </c>
      <c r="G1315" t="s">
        <v>18</v>
      </c>
      <c r="H1315" t="s">
        <v>1762</v>
      </c>
      <c r="I1315" t="s">
        <v>1763</v>
      </c>
      <c r="J1315">
        <v>339128</v>
      </c>
      <c r="K1315">
        <v>20220408</v>
      </c>
      <c r="L1315" t="s">
        <v>1764</v>
      </c>
      <c r="M1315">
        <v>0</v>
      </c>
      <c r="N1315">
        <v>88.7</v>
      </c>
      <c r="O1315" t="s">
        <v>19</v>
      </c>
      <c r="P1315" t="s">
        <v>20</v>
      </c>
      <c r="Q1315">
        <v>20220408</v>
      </c>
    </row>
    <row r="1316" spans="1:17" x14ac:dyDescent="0.25">
      <c r="A1316" t="s">
        <v>548</v>
      </c>
      <c r="B1316" t="s">
        <v>429</v>
      </c>
      <c r="C1316">
        <v>55</v>
      </c>
      <c r="D1316">
        <v>20220408</v>
      </c>
      <c r="E1316">
        <f t="shared" si="20"/>
        <v>4</v>
      </c>
      <c r="F1316">
        <v>411100</v>
      </c>
      <c r="G1316" t="s">
        <v>18</v>
      </c>
      <c r="H1316" t="s">
        <v>1765</v>
      </c>
      <c r="I1316" t="s">
        <v>1766</v>
      </c>
      <c r="J1316">
        <v>339129</v>
      </c>
      <c r="K1316">
        <v>20220408</v>
      </c>
      <c r="L1316" t="s">
        <v>1767</v>
      </c>
      <c r="M1316">
        <v>0</v>
      </c>
      <c r="N1316">
        <v>20</v>
      </c>
      <c r="O1316" t="s">
        <v>23</v>
      </c>
      <c r="P1316">
        <v>20230218</v>
      </c>
      <c r="Q1316">
        <v>20220408</v>
      </c>
    </row>
    <row r="1317" spans="1:17" x14ac:dyDescent="0.25">
      <c r="A1317" t="s">
        <v>548</v>
      </c>
      <c r="B1317" t="s">
        <v>429</v>
      </c>
      <c r="C1317">
        <v>55</v>
      </c>
      <c r="D1317">
        <v>20220408</v>
      </c>
      <c r="E1317">
        <f t="shared" si="20"/>
        <v>4</v>
      </c>
      <c r="F1317">
        <v>411010</v>
      </c>
      <c r="G1317" t="s">
        <v>87</v>
      </c>
      <c r="H1317" t="s">
        <v>93</v>
      </c>
      <c r="I1317" t="s">
        <v>94</v>
      </c>
      <c r="J1317">
        <v>122030031</v>
      </c>
      <c r="K1317">
        <v>20220408</v>
      </c>
      <c r="L1317" t="s">
        <v>1768</v>
      </c>
      <c r="M1317">
        <v>0</v>
      </c>
      <c r="N1317">
        <v>100</v>
      </c>
      <c r="O1317" t="s">
        <v>19</v>
      </c>
      <c r="P1317" t="s">
        <v>20</v>
      </c>
      <c r="Q1317">
        <v>20220408</v>
      </c>
    </row>
    <row r="1318" spans="1:17" x14ac:dyDescent="0.25">
      <c r="A1318" t="s">
        <v>548</v>
      </c>
      <c r="B1318" t="s">
        <v>429</v>
      </c>
      <c r="C1318">
        <v>55</v>
      </c>
      <c r="D1318">
        <v>20220408</v>
      </c>
      <c r="E1318">
        <f t="shared" si="20"/>
        <v>4</v>
      </c>
      <c r="F1318">
        <v>411100</v>
      </c>
      <c r="G1318" t="s">
        <v>18</v>
      </c>
      <c r="H1318" t="s">
        <v>1765</v>
      </c>
      <c r="I1318" t="s">
        <v>1766</v>
      </c>
      <c r="J1318">
        <v>339131</v>
      </c>
      <c r="K1318">
        <v>20220408</v>
      </c>
      <c r="L1318" t="s">
        <v>1769</v>
      </c>
      <c r="M1318">
        <v>0</v>
      </c>
      <c r="N1318">
        <v>37.22</v>
      </c>
      <c r="O1318" t="s">
        <v>23</v>
      </c>
      <c r="P1318">
        <v>20230218</v>
      </c>
      <c r="Q1318">
        <v>20220408</v>
      </c>
    </row>
    <row r="1319" spans="1:17" x14ac:dyDescent="0.25">
      <c r="A1319" t="s">
        <v>548</v>
      </c>
      <c r="B1319" t="s">
        <v>429</v>
      </c>
      <c r="C1319">
        <v>55</v>
      </c>
      <c r="D1319">
        <v>20220408</v>
      </c>
      <c r="E1319">
        <f t="shared" si="20"/>
        <v>4</v>
      </c>
      <c r="F1319">
        <v>531105</v>
      </c>
      <c r="G1319" t="s">
        <v>429</v>
      </c>
      <c r="H1319" t="s">
        <v>401</v>
      </c>
      <c r="I1319" t="s">
        <v>402</v>
      </c>
      <c r="J1319">
        <v>339132</v>
      </c>
      <c r="K1319">
        <v>20220408</v>
      </c>
      <c r="L1319" t="s">
        <v>565</v>
      </c>
      <c r="M1319">
        <v>245.92</v>
      </c>
      <c r="N1319">
        <v>0</v>
      </c>
      <c r="O1319" t="s">
        <v>19</v>
      </c>
      <c r="P1319" t="s">
        <v>20</v>
      </c>
      <c r="Q1319">
        <v>20220408</v>
      </c>
    </row>
    <row r="1320" spans="1:17" x14ac:dyDescent="0.25">
      <c r="A1320" t="s">
        <v>548</v>
      </c>
      <c r="B1320" t="s">
        <v>429</v>
      </c>
      <c r="C1320">
        <v>55</v>
      </c>
      <c r="D1320">
        <v>20220411</v>
      </c>
      <c r="E1320">
        <f t="shared" si="20"/>
        <v>4</v>
      </c>
      <c r="F1320">
        <v>467100</v>
      </c>
      <c r="G1320" t="s">
        <v>160</v>
      </c>
      <c r="H1320" t="s">
        <v>1201</v>
      </c>
      <c r="I1320" t="s">
        <v>1202</v>
      </c>
      <c r="J1320" t="s">
        <v>1770</v>
      </c>
      <c r="K1320">
        <v>20220411</v>
      </c>
      <c r="L1320" t="s">
        <v>1771</v>
      </c>
      <c r="M1320">
        <v>58.69</v>
      </c>
      <c r="N1320">
        <v>0</v>
      </c>
      <c r="O1320" t="s">
        <v>23</v>
      </c>
      <c r="P1320">
        <v>20220427</v>
      </c>
      <c r="Q1320">
        <v>20220411</v>
      </c>
    </row>
    <row r="1321" spans="1:17" x14ac:dyDescent="0.25">
      <c r="A1321" t="s">
        <v>548</v>
      </c>
      <c r="B1321" t="s">
        <v>429</v>
      </c>
      <c r="C1321">
        <v>55</v>
      </c>
      <c r="D1321">
        <v>20220411</v>
      </c>
      <c r="E1321">
        <f t="shared" si="20"/>
        <v>4</v>
      </c>
      <c r="F1321">
        <v>531105</v>
      </c>
      <c r="G1321" t="s">
        <v>429</v>
      </c>
      <c r="H1321" t="s">
        <v>401</v>
      </c>
      <c r="I1321" t="s">
        <v>402</v>
      </c>
      <c r="J1321" t="s">
        <v>1770</v>
      </c>
      <c r="K1321">
        <v>20220411</v>
      </c>
      <c r="L1321" t="s">
        <v>1771</v>
      </c>
      <c r="M1321">
        <v>0</v>
      </c>
      <c r="N1321">
        <v>58.69</v>
      </c>
      <c r="O1321" t="s">
        <v>19</v>
      </c>
      <c r="P1321" t="s">
        <v>20</v>
      </c>
      <c r="Q1321">
        <v>20220411</v>
      </c>
    </row>
    <row r="1322" spans="1:17" x14ac:dyDescent="0.25">
      <c r="A1322" t="s">
        <v>548</v>
      </c>
      <c r="B1322" t="s">
        <v>429</v>
      </c>
      <c r="C1322">
        <v>55</v>
      </c>
      <c r="D1322">
        <v>20220411</v>
      </c>
      <c r="E1322">
        <f t="shared" si="20"/>
        <v>4</v>
      </c>
      <c r="F1322">
        <v>467100</v>
      </c>
      <c r="G1322" t="s">
        <v>160</v>
      </c>
      <c r="H1322" t="s">
        <v>172</v>
      </c>
      <c r="I1322" t="s">
        <v>173</v>
      </c>
      <c r="J1322" t="s">
        <v>1772</v>
      </c>
      <c r="K1322">
        <v>20220411</v>
      </c>
      <c r="L1322" t="s">
        <v>174</v>
      </c>
      <c r="M1322">
        <v>50</v>
      </c>
      <c r="N1322">
        <v>0</v>
      </c>
      <c r="O1322" t="s">
        <v>23</v>
      </c>
      <c r="P1322">
        <v>20220801</v>
      </c>
      <c r="Q1322">
        <v>20220411</v>
      </c>
    </row>
    <row r="1323" spans="1:17" x14ac:dyDescent="0.25">
      <c r="A1323" t="s">
        <v>548</v>
      </c>
      <c r="B1323" t="s">
        <v>429</v>
      </c>
      <c r="C1323">
        <v>55</v>
      </c>
      <c r="D1323">
        <v>20220411</v>
      </c>
      <c r="E1323">
        <f t="shared" si="20"/>
        <v>4</v>
      </c>
      <c r="F1323">
        <v>531105</v>
      </c>
      <c r="G1323" t="s">
        <v>429</v>
      </c>
      <c r="H1323" t="s">
        <v>401</v>
      </c>
      <c r="I1323" t="s">
        <v>402</v>
      </c>
      <c r="J1323" t="s">
        <v>1772</v>
      </c>
      <c r="K1323">
        <v>20220411</v>
      </c>
      <c r="L1323" t="s">
        <v>174</v>
      </c>
      <c r="M1323">
        <v>0</v>
      </c>
      <c r="N1323">
        <v>50</v>
      </c>
      <c r="O1323" t="s">
        <v>19</v>
      </c>
      <c r="P1323" t="s">
        <v>20</v>
      </c>
      <c r="Q1323">
        <v>20220411</v>
      </c>
    </row>
    <row r="1324" spans="1:17" x14ac:dyDescent="0.25">
      <c r="A1324" t="s">
        <v>548</v>
      </c>
      <c r="B1324" t="s">
        <v>429</v>
      </c>
      <c r="C1324">
        <v>55</v>
      </c>
      <c r="D1324">
        <v>20220411</v>
      </c>
      <c r="E1324">
        <f t="shared" si="20"/>
        <v>4</v>
      </c>
      <c r="F1324">
        <v>467100</v>
      </c>
      <c r="G1324" t="s">
        <v>160</v>
      </c>
      <c r="H1324" t="s">
        <v>172</v>
      </c>
      <c r="I1324" t="s">
        <v>173</v>
      </c>
      <c r="J1324" t="s">
        <v>1773</v>
      </c>
      <c r="K1324">
        <v>20220411</v>
      </c>
      <c r="L1324" t="s">
        <v>174</v>
      </c>
      <c r="M1324">
        <v>0.28999999999999998</v>
      </c>
      <c r="N1324">
        <v>0</v>
      </c>
      <c r="O1324" t="s">
        <v>23</v>
      </c>
      <c r="P1324">
        <v>20220422</v>
      </c>
      <c r="Q1324">
        <v>20220411</v>
      </c>
    </row>
    <row r="1325" spans="1:17" x14ac:dyDescent="0.25">
      <c r="A1325" t="s">
        <v>548</v>
      </c>
      <c r="B1325" t="s">
        <v>429</v>
      </c>
      <c r="C1325">
        <v>55</v>
      </c>
      <c r="D1325">
        <v>20220411</v>
      </c>
      <c r="E1325">
        <f t="shared" si="20"/>
        <v>4</v>
      </c>
      <c r="F1325">
        <v>531105</v>
      </c>
      <c r="G1325" t="s">
        <v>429</v>
      </c>
      <c r="H1325" t="s">
        <v>401</v>
      </c>
      <c r="I1325" t="s">
        <v>402</v>
      </c>
      <c r="J1325" t="s">
        <v>1773</v>
      </c>
      <c r="K1325">
        <v>20220411</v>
      </c>
      <c r="L1325" t="s">
        <v>174</v>
      </c>
      <c r="M1325">
        <v>0</v>
      </c>
      <c r="N1325">
        <v>0.28999999999999998</v>
      </c>
      <c r="O1325" t="s">
        <v>19</v>
      </c>
      <c r="P1325" t="s">
        <v>20</v>
      </c>
      <c r="Q1325">
        <v>20220411</v>
      </c>
    </row>
    <row r="1326" spans="1:17" x14ac:dyDescent="0.25">
      <c r="A1326" t="s">
        <v>548</v>
      </c>
      <c r="B1326" t="s">
        <v>429</v>
      </c>
      <c r="C1326">
        <v>55</v>
      </c>
      <c r="D1326">
        <v>20220411</v>
      </c>
      <c r="E1326">
        <f t="shared" si="20"/>
        <v>4</v>
      </c>
      <c r="F1326">
        <v>411100</v>
      </c>
      <c r="G1326" t="s">
        <v>18</v>
      </c>
      <c r="H1326" t="s">
        <v>1774</v>
      </c>
      <c r="I1326" t="s">
        <v>1775</v>
      </c>
      <c r="J1326">
        <v>339133</v>
      </c>
      <c r="K1326">
        <v>20220411</v>
      </c>
      <c r="L1326" t="s">
        <v>1776</v>
      </c>
      <c r="M1326">
        <v>0</v>
      </c>
      <c r="N1326">
        <v>12</v>
      </c>
      <c r="O1326" t="s">
        <v>23</v>
      </c>
      <c r="P1326">
        <v>20230329</v>
      </c>
      <c r="Q1326">
        <v>20220411</v>
      </c>
    </row>
    <row r="1327" spans="1:17" x14ac:dyDescent="0.25">
      <c r="A1327" t="s">
        <v>548</v>
      </c>
      <c r="B1327" t="s">
        <v>429</v>
      </c>
      <c r="C1327">
        <v>55</v>
      </c>
      <c r="D1327">
        <v>20220411</v>
      </c>
      <c r="E1327">
        <f t="shared" si="20"/>
        <v>4</v>
      </c>
      <c r="F1327">
        <v>411100</v>
      </c>
      <c r="G1327" t="s">
        <v>18</v>
      </c>
      <c r="H1327" t="s">
        <v>239</v>
      </c>
      <c r="I1327" t="s">
        <v>240</v>
      </c>
      <c r="J1327">
        <v>339134</v>
      </c>
      <c r="K1327">
        <v>20220411</v>
      </c>
      <c r="L1327" t="s">
        <v>1777</v>
      </c>
      <c r="M1327">
        <v>0</v>
      </c>
      <c r="N1327">
        <v>62.16</v>
      </c>
      <c r="O1327" t="s">
        <v>22</v>
      </c>
      <c r="P1327">
        <v>20230218</v>
      </c>
      <c r="Q1327">
        <v>20220411</v>
      </c>
    </row>
    <row r="1328" spans="1:17" x14ac:dyDescent="0.25">
      <c r="A1328" t="s">
        <v>548</v>
      </c>
      <c r="B1328" t="s">
        <v>429</v>
      </c>
      <c r="C1328">
        <v>55</v>
      </c>
      <c r="D1328">
        <v>20220411</v>
      </c>
      <c r="E1328">
        <f t="shared" si="20"/>
        <v>4</v>
      </c>
      <c r="F1328">
        <v>411100</v>
      </c>
      <c r="G1328" t="s">
        <v>18</v>
      </c>
      <c r="H1328" t="s">
        <v>239</v>
      </c>
      <c r="I1328" t="s">
        <v>240</v>
      </c>
      <c r="J1328">
        <v>339135</v>
      </c>
      <c r="K1328">
        <v>20220411</v>
      </c>
      <c r="L1328" t="s">
        <v>1778</v>
      </c>
      <c r="M1328">
        <v>0</v>
      </c>
      <c r="N1328">
        <v>10.039999999999999</v>
      </c>
      <c r="O1328" t="s">
        <v>19</v>
      </c>
      <c r="P1328" t="s">
        <v>20</v>
      </c>
      <c r="Q1328">
        <v>20220411</v>
      </c>
    </row>
    <row r="1329" spans="1:17" x14ac:dyDescent="0.25">
      <c r="A1329" t="s">
        <v>548</v>
      </c>
      <c r="B1329" t="s">
        <v>429</v>
      </c>
      <c r="C1329">
        <v>55</v>
      </c>
      <c r="D1329">
        <v>20220411</v>
      </c>
      <c r="E1329">
        <f t="shared" si="20"/>
        <v>4</v>
      </c>
      <c r="F1329">
        <v>531105</v>
      </c>
      <c r="G1329" t="s">
        <v>429</v>
      </c>
      <c r="H1329" t="s">
        <v>401</v>
      </c>
      <c r="I1329" t="s">
        <v>402</v>
      </c>
      <c r="J1329">
        <v>339136</v>
      </c>
      <c r="K1329">
        <v>20220411</v>
      </c>
      <c r="L1329" t="s">
        <v>565</v>
      </c>
      <c r="M1329">
        <v>84.2</v>
      </c>
      <c r="N1329">
        <v>0</v>
      </c>
      <c r="O1329" t="s">
        <v>19</v>
      </c>
      <c r="P1329" t="s">
        <v>20</v>
      </c>
      <c r="Q1329">
        <v>20220411</v>
      </c>
    </row>
    <row r="1330" spans="1:17" x14ac:dyDescent="0.25">
      <c r="A1330" t="s">
        <v>548</v>
      </c>
      <c r="B1330" t="s">
        <v>429</v>
      </c>
      <c r="C1330">
        <v>55</v>
      </c>
      <c r="D1330">
        <v>20220411</v>
      </c>
      <c r="E1330">
        <f t="shared" si="20"/>
        <v>4</v>
      </c>
      <c r="F1330">
        <v>411010</v>
      </c>
      <c r="G1330" t="s">
        <v>87</v>
      </c>
      <c r="H1330" t="s">
        <v>363</v>
      </c>
      <c r="I1330" t="s">
        <v>364</v>
      </c>
      <c r="J1330">
        <v>339197</v>
      </c>
      <c r="K1330">
        <v>20220411</v>
      </c>
      <c r="L1330" t="s">
        <v>1779</v>
      </c>
      <c r="M1330">
        <v>0</v>
      </c>
      <c r="N1330">
        <v>90.74</v>
      </c>
      <c r="O1330" t="s">
        <v>22</v>
      </c>
      <c r="P1330">
        <v>20230218</v>
      </c>
      <c r="Q1330">
        <v>20220411</v>
      </c>
    </row>
    <row r="1331" spans="1:17" x14ac:dyDescent="0.25">
      <c r="A1331" t="s">
        <v>548</v>
      </c>
      <c r="B1331" t="s">
        <v>429</v>
      </c>
      <c r="C1331">
        <v>55</v>
      </c>
      <c r="D1331">
        <v>20220411</v>
      </c>
      <c r="E1331">
        <f t="shared" si="20"/>
        <v>4</v>
      </c>
      <c r="F1331">
        <v>531105</v>
      </c>
      <c r="G1331" t="s">
        <v>429</v>
      </c>
      <c r="H1331" t="s">
        <v>401</v>
      </c>
      <c r="I1331" t="s">
        <v>402</v>
      </c>
      <c r="J1331">
        <v>339198</v>
      </c>
      <c r="K1331">
        <v>20220411</v>
      </c>
      <c r="L1331" t="s">
        <v>565</v>
      </c>
      <c r="M1331">
        <v>90.74</v>
      </c>
      <c r="N1331">
        <v>0</v>
      </c>
      <c r="O1331" t="s">
        <v>19</v>
      </c>
      <c r="P1331" t="s">
        <v>20</v>
      </c>
      <c r="Q1331">
        <v>20220411</v>
      </c>
    </row>
    <row r="1332" spans="1:17" x14ac:dyDescent="0.25">
      <c r="A1332" t="s">
        <v>548</v>
      </c>
      <c r="B1332" t="s">
        <v>429</v>
      </c>
      <c r="C1332">
        <v>55</v>
      </c>
      <c r="D1332">
        <v>20220411</v>
      </c>
      <c r="E1332">
        <f t="shared" si="20"/>
        <v>4</v>
      </c>
      <c r="F1332">
        <v>411020</v>
      </c>
      <c r="G1332" t="s">
        <v>30</v>
      </c>
      <c r="H1332" t="s">
        <v>307</v>
      </c>
      <c r="I1332" t="s">
        <v>308</v>
      </c>
      <c r="J1332">
        <v>322010021</v>
      </c>
      <c r="K1332">
        <v>20220411</v>
      </c>
      <c r="L1332" t="s">
        <v>1780</v>
      </c>
      <c r="M1332">
        <v>0</v>
      </c>
      <c r="N1332">
        <v>55</v>
      </c>
      <c r="O1332" t="s">
        <v>19</v>
      </c>
      <c r="P1332" t="s">
        <v>20</v>
      </c>
      <c r="Q1332">
        <v>20220411</v>
      </c>
    </row>
    <row r="1333" spans="1:17" x14ac:dyDescent="0.25">
      <c r="A1333" t="s">
        <v>548</v>
      </c>
      <c r="B1333" t="s">
        <v>429</v>
      </c>
      <c r="C1333">
        <v>55</v>
      </c>
      <c r="D1333">
        <v>20220411</v>
      </c>
      <c r="E1333">
        <f t="shared" si="20"/>
        <v>4</v>
      </c>
      <c r="F1333">
        <v>411020</v>
      </c>
      <c r="G1333" t="s">
        <v>30</v>
      </c>
      <c r="H1333" t="s">
        <v>369</v>
      </c>
      <c r="I1333" t="s">
        <v>370</v>
      </c>
      <c r="J1333">
        <v>322030011</v>
      </c>
      <c r="K1333">
        <v>20220411</v>
      </c>
      <c r="L1333" t="s">
        <v>1781</v>
      </c>
      <c r="M1333">
        <v>0</v>
      </c>
      <c r="N1333">
        <v>79.03</v>
      </c>
      <c r="O1333" t="s">
        <v>19</v>
      </c>
      <c r="P1333" t="s">
        <v>20</v>
      </c>
      <c r="Q1333">
        <v>20220411</v>
      </c>
    </row>
    <row r="1334" spans="1:17" x14ac:dyDescent="0.25">
      <c r="A1334" t="s">
        <v>548</v>
      </c>
      <c r="B1334" t="s">
        <v>429</v>
      </c>
      <c r="C1334">
        <v>55</v>
      </c>
      <c r="D1334">
        <v>20220411</v>
      </c>
      <c r="E1334">
        <f t="shared" si="20"/>
        <v>4</v>
      </c>
      <c r="F1334">
        <v>411020</v>
      </c>
      <c r="G1334" t="s">
        <v>30</v>
      </c>
      <c r="H1334" t="s">
        <v>369</v>
      </c>
      <c r="I1334" t="s">
        <v>370</v>
      </c>
      <c r="J1334">
        <v>322030011</v>
      </c>
      <c r="K1334">
        <v>20220411</v>
      </c>
      <c r="L1334" t="s">
        <v>1782</v>
      </c>
      <c r="M1334">
        <v>0</v>
      </c>
      <c r="N1334">
        <v>0.97</v>
      </c>
      <c r="O1334" t="s">
        <v>19</v>
      </c>
      <c r="P1334" t="s">
        <v>20</v>
      </c>
      <c r="Q1334">
        <v>20220411</v>
      </c>
    </row>
    <row r="1335" spans="1:17" x14ac:dyDescent="0.25">
      <c r="A1335" t="s">
        <v>548</v>
      </c>
      <c r="B1335" t="s">
        <v>429</v>
      </c>
      <c r="C1335">
        <v>55</v>
      </c>
      <c r="D1335">
        <v>20220411</v>
      </c>
      <c r="E1335">
        <f t="shared" si="20"/>
        <v>4</v>
      </c>
      <c r="F1335">
        <v>411100</v>
      </c>
      <c r="G1335" t="s">
        <v>18</v>
      </c>
      <c r="H1335" t="s">
        <v>198</v>
      </c>
      <c r="I1335" t="s">
        <v>199</v>
      </c>
      <c r="J1335">
        <v>322030015</v>
      </c>
      <c r="K1335">
        <v>20220411</v>
      </c>
      <c r="L1335" t="s">
        <v>1783</v>
      </c>
      <c r="M1335">
        <v>0</v>
      </c>
      <c r="N1335">
        <v>59.77</v>
      </c>
      <c r="O1335" t="s">
        <v>19</v>
      </c>
      <c r="P1335" t="s">
        <v>20</v>
      </c>
      <c r="Q1335">
        <v>20220411</v>
      </c>
    </row>
    <row r="1336" spans="1:17" x14ac:dyDescent="0.25">
      <c r="A1336" t="s">
        <v>548</v>
      </c>
      <c r="B1336" t="s">
        <v>429</v>
      </c>
      <c r="C1336">
        <v>55</v>
      </c>
      <c r="D1336">
        <v>20220411</v>
      </c>
      <c r="E1336">
        <f t="shared" si="20"/>
        <v>4</v>
      </c>
      <c r="F1336">
        <v>411100</v>
      </c>
      <c r="G1336" t="s">
        <v>18</v>
      </c>
      <c r="H1336" t="s">
        <v>198</v>
      </c>
      <c r="I1336" t="s">
        <v>199</v>
      </c>
      <c r="J1336">
        <v>322030015</v>
      </c>
      <c r="K1336">
        <v>20220411</v>
      </c>
      <c r="L1336" t="s">
        <v>1784</v>
      </c>
      <c r="M1336">
        <v>0</v>
      </c>
      <c r="N1336">
        <v>0.23</v>
      </c>
      <c r="O1336" t="s">
        <v>19</v>
      </c>
      <c r="P1336" t="s">
        <v>20</v>
      </c>
      <c r="Q1336">
        <v>20220411</v>
      </c>
    </row>
    <row r="1337" spans="1:17" x14ac:dyDescent="0.25">
      <c r="A1337" t="s">
        <v>548</v>
      </c>
      <c r="B1337" t="s">
        <v>429</v>
      </c>
      <c r="C1337">
        <v>55</v>
      </c>
      <c r="D1337">
        <v>20220411</v>
      </c>
      <c r="E1337">
        <f t="shared" si="20"/>
        <v>4</v>
      </c>
      <c r="F1337">
        <v>411020</v>
      </c>
      <c r="G1337" t="s">
        <v>30</v>
      </c>
      <c r="H1337" t="s">
        <v>385</v>
      </c>
      <c r="I1337" t="s">
        <v>386</v>
      </c>
      <c r="J1337">
        <v>322030019</v>
      </c>
      <c r="K1337">
        <v>20220411</v>
      </c>
      <c r="L1337" t="s">
        <v>1785</v>
      </c>
      <c r="M1337">
        <v>0</v>
      </c>
      <c r="N1337">
        <v>29.96</v>
      </c>
      <c r="O1337" t="s">
        <v>19</v>
      </c>
      <c r="P1337" t="s">
        <v>20</v>
      </c>
      <c r="Q1337">
        <v>20220411</v>
      </c>
    </row>
    <row r="1338" spans="1:17" x14ac:dyDescent="0.25">
      <c r="A1338" t="s">
        <v>548</v>
      </c>
      <c r="B1338" t="s">
        <v>429</v>
      </c>
      <c r="C1338">
        <v>55</v>
      </c>
      <c r="D1338">
        <v>20220411</v>
      </c>
      <c r="E1338">
        <f t="shared" si="20"/>
        <v>4</v>
      </c>
      <c r="F1338">
        <v>411020</v>
      </c>
      <c r="G1338" t="s">
        <v>30</v>
      </c>
      <c r="H1338" t="s">
        <v>385</v>
      </c>
      <c r="I1338" t="s">
        <v>386</v>
      </c>
      <c r="J1338">
        <v>322030019</v>
      </c>
      <c r="K1338">
        <v>20220411</v>
      </c>
      <c r="L1338" t="s">
        <v>1786</v>
      </c>
      <c r="M1338">
        <v>0</v>
      </c>
      <c r="N1338">
        <v>0.04</v>
      </c>
      <c r="O1338" t="s">
        <v>19</v>
      </c>
      <c r="P1338" t="s">
        <v>20</v>
      </c>
      <c r="Q1338">
        <v>20220411</v>
      </c>
    </row>
    <row r="1339" spans="1:17" x14ac:dyDescent="0.25">
      <c r="A1339" t="s">
        <v>548</v>
      </c>
      <c r="B1339" t="s">
        <v>429</v>
      </c>
      <c r="C1339">
        <v>55</v>
      </c>
      <c r="D1339">
        <v>20220411</v>
      </c>
      <c r="E1339">
        <f t="shared" si="20"/>
        <v>4</v>
      </c>
      <c r="F1339">
        <v>411100</v>
      </c>
      <c r="G1339" t="s">
        <v>18</v>
      </c>
      <c r="H1339" t="s">
        <v>85</v>
      </c>
      <c r="I1339" t="s">
        <v>86</v>
      </c>
      <c r="J1339">
        <v>322030001</v>
      </c>
      <c r="K1339">
        <v>20220411</v>
      </c>
      <c r="L1339" t="s">
        <v>1787</v>
      </c>
      <c r="M1339">
        <v>0</v>
      </c>
      <c r="N1339">
        <v>75.92</v>
      </c>
      <c r="O1339" t="s">
        <v>23</v>
      </c>
      <c r="P1339">
        <v>20230218</v>
      </c>
      <c r="Q1339">
        <v>20220411</v>
      </c>
    </row>
    <row r="1340" spans="1:17" x14ac:dyDescent="0.25">
      <c r="A1340" t="s">
        <v>548</v>
      </c>
      <c r="B1340" t="s">
        <v>429</v>
      </c>
      <c r="C1340">
        <v>55</v>
      </c>
      <c r="D1340">
        <v>20220411</v>
      </c>
      <c r="E1340">
        <f t="shared" si="20"/>
        <v>4</v>
      </c>
      <c r="F1340">
        <v>411100</v>
      </c>
      <c r="G1340" t="s">
        <v>18</v>
      </c>
      <c r="H1340" t="s">
        <v>85</v>
      </c>
      <c r="I1340" t="s">
        <v>86</v>
      </c>
      <c r="J1340">
        <v>322030001</v>
      </c>
      <c r="K1340">
        <v>20220411</v>
      </c>
      <c r="L1340" t="s">
        <v>1788</v>
      </c>
      <c r="M1340">
        <v>0</v>
      </c>
      <c r="N1340">
        <v>4.08</v>
      </c>
      <c r="O1340" t="s">
        <v>23</v>
      </c>
      <c r="P1340">
        <v>20230218</v>
      </c>
      <c r="Q1340">
        <v>20220411</v>
      </c>
    </row>
    <row r="1341" spans="1:17" x14ac:dyDescent="0.25">
      <c r="A1341" t="s">
        <v>548</v>
      </c>
      <c r="B1341" t="s">
        <v>429</v>
      </c>
      <c r="C1341">
        <v>55</v>
      </c>
      <c r="D1341">
        <v>20220411</v>
      </c>
      <c r="E1341">
        <f t="shared" si="20"/>
        <v>4</v>
      </c>
      <c r="F1341">
        <v>531105</v>
      </c>
      <c r="G1341" t="s">
        <v>429</v>
      </c>
      <c r="H1341" t="s">
        <v>401</v>
      </c>
      <c r="I1341" t="s">
        <v>402</v>
      </c>
      <c r="J1341">
        <v>339230</v>
      </c>
      <c r="K1341">
        <v>20220411</v>
      </c>
      <c r="L1341" t="s">
        <v>565</v>
      </c>
      <c r="M1341">
        <v>305</v>
      </c>
      <c r="N1341">
        <v>0</v>
      </c>
      <c r="O1341" t="s">
        <v>19</v>
      </c>
      <c r="P1341" t="s">
        <v>20</v>
      </c>
      <c r="Q1341">
        <v>20220411</v>
      </c>
    </row>
    <row r="1342" spans="1:17" x14ac:dyDescent="0.25">
      <c r="A1342" t="s">
        <v>548</v>
      </c>
      <c r="B1342" t="s">
        <v>429</v>
      </c>
      <c r="C1342">
        <v>55</v>
      </c>
      <c r="D1342">
        <v>20220411</v>
      </c>
      <c r="E1342">
        <f t="shared" si="20"/>
        <v>4</v>
      </c>
      <c r="F1342">
        <v>467100</v>
      </c>
      <c r="G1342" t="s">
        <v>160</v>
      </c>
      <c r="H1342" t="s">
        <v>1014</v>
      </c>
      <c r="I1342" t="s">
        <v>1015</v>
      </c>
      <c r="J1342" t="s">
        <v>1789</v>
      </c>
      <c r="K1342">
        <v>20220411</v>
      </c>
      <c r="L1342" t="s">
        <v>1790</v>
      </c>
      <c r="M1342">
        <v>255</v>
      </c>
      <c r="N1342">
        <v>0</v>
      </c>
      <c r="O1342" t="s">
        <v>23</v>
      </c>
      <c r="P1342">
        <v>20220421</v>
      </c>
      <c r="Q1342">
        <v>20220411</v>
      </c>
    </row>
    <row r="1343" spans="1:17" x14ac:dyDescent="0.25">
      <c r="A1343" t="s">
        <v>548</v>
      </c>
      <c r="B1343" t="s">
        <v>429</v>
      </c>
      <c r="C1343">
        <v>55</v>
      </c>
      <c r="D1343">
        <v>20220411</v>
      </c>
      <c r="E1343">
        <f t="shared" si="20"/>
        <v>4</v>
      </c>
      <c r="F1343">
        <v>531105</v>
      </c>
      <c r="G1343" t="s">
        <v>429</v>
      </c>
      <c r="H1343" t="s">
        <v>401</v>
      </c>
      <c r="I1343" t="s">
        <v>402</v>
      </c>
      <c r="J1343" t="s">
        <v>1789</v>
      </c>
      <c r="K1343">
        <v>20220411</v>
      </c>
      <c r="L1343" t="s">
        <v>1790</v>
      </c>
      <c r="M1343">
        <v>0</v>
      </c>
      <c r="N1343">
        <v>255</v>
      </c>
      <c r="O1343" t="s">
        <v>19</v>
      </c>
      <c r="P1343" t="s">
        <v>20</v>
      </c>
      <c r="Q1343">
        <v>20220411</v>
      </c>
    </row>
    <row r="1344" spans="1:17" x14ac:dyDescent="0.25">
      <c r="A1344" t="s">
        <v>548</v>
      </c>
      <c r="B1344" t="s">
        <v>429</v>
      </c>
      <c r="C1344">
        <v>55</v>
      </c>
      <c r="D1344">
        <v>20220412</v>
      </c>
      <c r="E1344">
        <f t="shared" si="20"/>
        <v>4</v>
      </c>
      <c r="F1344">
        <v>411100</v>
      </c>
      <c r="G1344" t="s">
        <v>18</v>
      </c>
      <c r="H1344" t="s">
        <v>77</v>
      </c>
      <c r="I1344" t="s">
        <v>78</v>
      </c>
      <c r="J1344">
        <v>339137</v>
      </c>
      <c r="K1344">
        <v>20220412</v>
      </c>
      <c r="L1344" t="s">
        <v>1791</v>
      </c>
      <c r="M1344">
        <v>0</v>
      </c>
      <c r="N1344">
        <v>21.5</v>
      </c>
      <c r="O1344" t="s">
        <v>19</v>
      </c>
      <c r="P1344" t="s">
        <v>20</v>
      </c>
      <c r="Q1344">
        <v>20220412</v>
      </c>
    </row>
    <row r="1345" spans="1:17" x14ac:dyDescent="0.25">
      <c r="A1345" t="s">
        <v>548</v>
      </c>
      <c r="B1345" t="s">
        <v>429</v>
      </c>
      <c r="C1345">
        <v>55</v>
      </c>
      <c r="D1345">
        <v>20220412</v>
      </c>
      <c r="E1345">
        <f t="shared" si="20"/>
        <v>4</v>
      </c>
      <c r="F1345">
        <v>531105</v>
      </c>
      <c r="G1345" t="s">
        <v>429</v>
      </c>
      <c r="H1345" t="s">
        <v>401</v>
      </c>
      <c r="I1345" t="s">
        <v>402</v>
      </c>
      <c r="J1345">
        <v>339138</v>
      </c>
      <c r="K1345">
        <v>20220412</v>
      </c>
      <c r="L1345" t="s">
        <v>565</v>
      </c>
      <c r="M1345">
        <v>21.5</v>
      </c>
      <c r="N1345">
        <v>0</v>
      </c>
      <c r="O1345" t="s">
        <v>19</v>
      </c>
      <c r="P1345" t="s">
        <v>20</v>
      </c>
      <c r="Q1345">
        <v>20220412</v>
      </c>
    </row>
    <row r="1346" spans="1:17" x14ac:dyDescent="0.25">
      <c r="A1346" t="s">
        <v>548</v>
      </c>
      <c r="B1346" t="s">
        <v>429</v>
      </c>
      <c r="C1346">
        <v>55</v>
      </c>
      <c r="D1346">
        <v>20220412</v>
      </c>
      <c r="E1346">
        <f t="shared" si="20"/>
        <v>4</v>
      </c>
      <c r="F1346">
        <v>411100</v>
      </c>
      <c r="G1346" t="s">
        <v>18</v>
      </c>
      <c r="H1346" t="s">
        <v>77</v>
      </c>
      <c r="I1346" t="s">
        <v>78</v>
      </c>
      <c r="J1346">
        <v>339199</v>
      </c>
      <c r="K1346">
        <v>20220412</v>
      </c>
      <c r="L1346" t="s">
        <v>1792</v>
      </c>
      <c r="M1346">
        <v>0</v>
      </c>
      <c r="N1346">
        <v>105</v>
      </c>
      <c r="O1346" t="s">
        <v>19</v>
      </c>
      <c r="P1346" t="s">
        <v>20</v>
      </c>
      <c r="Q1346">
        <v>20220412</v>
      </c>
    </row>
    <row r="1347" spans="1:17" x14ac:dyDescent="0.25">
      <c r="A1347" t="s">
        <v>548</v>
      </c>
      <c r="B1347" t="s">
        <v>429</v>
      </c>
      <c r="C1347">
        <v>55</v>
      </c>
      <c r="D1347">
        <v>20220412</v>
      </c>
      <c r="E1347">
        <f t="shared" ref="E1347:E1410" si="21">VALUE(MID(D1347,5,2))</f>
        <v>4</v>
      </c>
      <c r="F1347">
        <v>531105</v>
      </c>
      <c r="G1347" t="s">
        <v>429</v>
      </c>
      <c r="H1347" t="s">
        <v>401</v>
      </c>
      <c r="I1347" t="s">
        <v>402</v>
      </c>
      <c r="J1347">
        <v>339200</v>
      </c>
      <c r="K1347">
        <v>20220412</v>
      </c>
      <c r="L1347" t="s">
        <v>565</v>
      </c>
      <c r="M1347">
        <v>105</v>
      </c>
      <c r="N1347">
        <v>0</v>
      </c>
      <c r="O1347" t="s">
        <v>19</v>
      </c>
      <c r="P1347" t="s">
        <v>20</v>
      </c>
      <c r="Q1347">
        <v>20220412</v>
      </c>
    </row>
    <row r="1348" spans="1:17" x14ac:dyDescent="0.25">
      <c r="A1348" t="s">
        <v>548</v>
      </c>
      <c r="B1348" t="s">
        <v>429</v>
      </c>
      <c r="C1348">
        <v>55</v>
      </c>
      <c r="D1348">
        <v>20220413</v>
      </c>
      <c r="E1348">
        <f t="shared" si="21"/>
        <v>4</v>
      </c>
      <c r="F1348">
        <v>467100</v>
      </c>
      <c r="G1348" t="s">
        <v>160</v>
      </c>
      <c r="H1348" t="s">
        <v>172</v>
      </c>
      <c r="I1348" t="s">
        <v>173</v>
      </c>
      <c r="J1348" t="s">
        <v>1793</v>
      </c>
      <c r="K1348">
        <v>20220413</v>
      </c>
      <c r="L1348" t="s">
        <v>1794</v>
      </c>
      <c r="M1348">
        <v>150</v>
      </c>
      <c r="N1348">
        <v>0</v>
      </c>
      <c r="O1348" t="s">
        <v>23</v>
      </c>
      <c r="P1348">
        <v>20220801</v>
      </c>
      <c r="Q1348">
        <v>20220413</v>
      </c>
    </row>
    <row r="1349" spans="1:17" x14ac:dyDescent="0.25">
      <c r="A1349" t="s">
        <v>548</v>
      </c>
      <c r="B1349" t="s">
        <v>429</v>
      </c>
      <c r="C1349">
        <v>55</v>
      </c>
      <c r="D1349">
        <v>20220413</v>
      </c>
      <c r="E1349">
        <f t="shared" si="21"/>
        <v>4</v>
      </c>
      <c r="F1349">
        <v>531105</v>
      </c>
      <c r="G1349" t="s">
        <v>429</v>
      </c>
      <c r="H1349" t="s">
        <v>401</v>
      </c>
      <c r="I1349" t="s">
        <v>402</v>
      </c>
      <c r="J1349" t="s">
        <v>1793</v>
      </c>
      <c r="K1349">
        <v>20220413</v>
      </c>
      <c r="L1349" t="s">
        <v>1794</v>
      </c>
      <c r="M1349">
        <v>0</v>
      </c>
      <c r="N1349">
        <v>150</v>
      </c>
      <c r="O1349" t="s">
        <v>19</v>
      </c>
      <c r="P1349" t="s">
        <v>20</v>
      </c>
      <c r="Q1349">
        <v>20220413</v>
      </c>
    </row>
    <row r="1350" spans="1:17" x14ac:dyDescent="0.25">
      <c r="A1350" t="s">
        <v>548</v>
      </c>
      <c r="B1350" t="s">
        <v>429</v>
      </c>
      <c r="C1350">
        <v>55</v>
      </c>
      <c r="D1350">
        <v>20220413</v>
      </c>
      <c r="E1350">
        <f t="shared" si="21"/>
        <v>4</v>
      </c>
      <c r="F1350">
        <v>467100</v>
      </c>
      <c r="G1350" t="s">
        <v>160</v>
      </c>
      <c r="H1350" t="s">
        <v>172</v>
      </c>
      <c r="I1350" t="s">
        <v>173</v>
      </c>
      <c r="J1350" t="s">
        <v>1795</v>
      </c>
      <c r="K1350">
        <v>20220413</v>
      </c>
      <c r="L1350" t="s">
        <v>1796</v>
      </c>
      <c r="M1350">
        <v>0</v>
      </c>
      <c r="N1350">
        <v>26.39</v>
      </c>
      <c r="O1350" t="s">
        <v>23</v>
      </c>
      <c r="P1350">
        <v>20220422</v>
      </c>
      <c r="Q1350">
        <v>20220413</v>
      </c>
    </row>
    <row r="1351" spans="1:17" x14ac:dyDescent="0.25">
      <c r="A1351" t="s">
        <v>548</v>
      </c>
      <c r="B1351" t="s">
        <v>429</v>
      </c>
      <c r="C1351">
        <v>55</v>
      </c>
      <c r="D1351">
        <v>20220413</v>
      </c>
      <c r="E1351">
        <f t="shared" si="21"/>
        <v>4</v>
      </c>
      <c r="F1351">
        <v>531105</v>
      </c>
      <c r="G1351" t="s">
        <v>429</v>
      </c>
      <c r="H1351" t="s">
        <v>401</v>
      </c>
      <c r="I1351" t="s">
        <v>402</v>
      </c>
      <c r="J1351" t="s">
        <v>1795</v>
      </c>
      <c r="K1351">
        <v>20220413</v>
      </c>
      <c r="L1351" t="s">
        <v>1796</v>
      </c>
      <c r="M1351">
        <v>26.39</v>
      </c>
      <c r="N1351">
        <v>0</v>
      </c>
      <c r="O1351" t="s">
        <v>19</v>
      </c>
      <c r="P1351" t="s">
        <v>20</v>
      </c>
      <c r="Q1351">
        <v>20220413</v>
      </c>
    </row>
    <row r="1352" spans="1:17" x14ac:dyDescent="0.25">
      <c r="A1352" t="s">
        <v>548</v>
      </c>
      <c r="B1352" t="s">
        <v>429</v>
      </c>
      <c r="C1352">
        <v>55</v>
      </c>
      <c r="D1352">
        <v>20220413</v>
      </c>
      <c r="E1352">
        <f t="shared" si="21"/>
        <v>4</v>
      </c>
      <c r="F1352">
        <v>411100</v>
      </c>
      <c r="G1352" t="s">
        <v>18</v>
      </c>
      <c r="H1352" t="s">
        <v>1417</v>
      </c>
      <c r="I1352" t="s">
        <v>1418</v>
      </c>
      <c r="J1352">
        <v>121090166</v>
      </c>
      <c r="K1352">
        <v>20220413</v>
      </c>
      <c r="L1352" t="s">
        <v>1797</v>
      </c>
      <c r="M1352">
        <v>0</v>
      </c>
      <c r="N1352">
        <v>2</v>
      </c>
      <c r="O1352" t="s">
        <v>23</v>
      </c>
      <c r="P1352">
        <v>20230329</v>
      </c>
      <c r="Q1352">
        <v>20220413</v>
      </c>
    </row>
    <row r="1353" spans="1:17" x14ac:dyDescent="0.25">
      <c r="A1353" t="s">
        <v>548</v>
      </c>
      <c r="B1353" t="s">
        <v>429</v>
      </c>
      <c r="C1353">
        <v>55</v>
      </c>
      <c r="D1353">
        <v>20220413</v>
      </c>
      <c r="E1353">
        <f t="shared" si="21"/>
        <v>4</v>
      </c>
      <c r="F1353">
        <v>411100</v>
      </c>
      <c r="G1353" t="s">
        <v>18</v>
      </c>
      <c r="H1353" t="s">
        <v>997</v>
      </c>
      <c r="I1353" t="s">
        <v>998</v>
      </c>
      <c r="J1353">
        <v>121090078</v>
      </c>
      <c r="K1353">
        <v>20220413</v>
      </c>
      <c r="L1353" t="s">
        <v>1798</v>
      </c>
      <c r="M1353">
        <v>0</v>
      </c>
      <c r="N1353">
        <v>2</v>
      </c>
      <c r="O1353" t="s">
        <v>19</v>
      </c>
      <c r="P1353" t="s">
        <v>20</v>
      </c>
      <c r="Q1353">
        <v>20220413</v>
      </c>
    </row>
    <row r="1354" spans="1:17" x14ac:dyDescent="0.25">
      <c r="A1354" t="s">
        <v>548</v>
      </c>
      <c r="B1354" t="s">
        <v>429</v>
      </c>
      <c r="C1354">
        <v>55</v>
      </c>
      <c r="D1354">
        <v>20220413</v>
      </c>
      <c r="E1354">
        <f t="shared" si="21"/>
        <v>4</v>
      </c>
      <c r="F1354">
        <v>411100</v>
      </c>
      <c r="G1354" t="s">
        <v>18</v>
      </c>
      <c r="H1354" t="s">
        <v>1421</v>
      </c>
      <c r="I1354" t="s">
        <v>1422</v>
      </c>
      <c r="J1354">
        <v>121090140</v>
      </c>
      <c r="K1354">
        <v>20220413</v>
      </c>
      <c r="L1354" t="s">
        <v>1799</v>
      </c>
      <c r="M1354">
        <v>0</v>
      </c>
      <c r="N1354">
        <v>2</v>
      </c>
      <c r="O1354" t="s">
        <v>22</v>
      </c>
      <c r="P1354">
        <v>20230218</v>
      </c>
      <c r="Q1354">
        <v>20220413</v>
      </c>
    </row>
    <row r="1355" spans="1:17" x14ac:dyDescent="0.25">
      <c r="A1355" t="s">
        <v>548</v>
      </c>
      <c r="B1355" t="s">
        <v>429</v>
      </c>
      <c r="C1355">
        <v>55</v>
      </c>
      <c r="D1355">
        <v>20220413</v>
      </c>
      <c r="E1355">
        <f t="shared" si="21"/>
        <v>4</v>
      </c>
      <c r="F1355">
        <v>411100</v>
      </c>
      <c r="G1355" t="s">
        <v>18</v>
      </c>
      <c r="H1355" t="s">
        <v>179</v>
      </c>
      <c r="I1355" t="s">
        <v>180</v>
      </c>
      <c r="J1355">
        <v>121090151</v>
      </c>
      <c r="K1355">
        <v>20220413</v>
      </c>
      <c r="L1355" t="s">
        <v>1800</v>
      </c>
      <c r="M1355">
        <v>0</v>
      </c>
      <c r="N1355">
        <v>2</v>
      </c>
      <c r="O1355" t="s">
        <v>22</v>
      </c>
      <c r="P1355">
        <v>20230218</v>
      </c>
      <c r="Q1355">
        <v>20220413</v>
      </c>
    </row>
    <row r="1356" spans="1:17" x14ac:dyDescent="0.25">
      <c r="A1356" t="s">
        <v>548</v>
      </c>
      <c r="B1356" t="s">
        <v>429</v>
      </c>
      <c r="C1356">
        <v>55</v>
      </c>
      <c r="D1356">
        <v>20220413</v>
      </c>
      <c r="E1356">
        <f t="shared" si="21"/>
        <v>4</v>
      </c>
      <c r="F1356">
        <v>411100</v>
      </c>
      <c r="G1356" t="s">
        <v>18</v>
      </c>
      <c r="H1356" t="s">
        <v>243</v>
      </c>
      <c r="I1356" t="s">
        <v>244</v>
      </c>
      <c r="J1356">
        <v>121090224</v>
      </c>
      <c r="K1356">
        <v>20220413</v>
      </c>
      <c r="L1356" t="s">
        <v>1801</v>
      </c>
      <c r="M1356">
        <v>0</v>
      </c>
      <c r="N1356">
        <v>2</v>
      </c>
      <c r="O1356" t="s">
        <v>23</v>
      </c>
      <c r="P1356">
        <v>20230329</v>
      </c>
      <c r="Q1356">
        <v>20220413</v>
      </c>
    </row>
    <row r="1357" spans="1:17" x14ac:dyDescent="0.25">
      <c r="A1357" t="s">
        <v>548</v>
      </c>
      <c r="B1357" t="s">
        <v>429</v>
      </c>
      <c r="C1357">
        <v>55</v>
      </c>
      <c r="D1357">
        <v>20220413</v>
      </c>
      <c r="E1357">
        <f t="shared" si="21"/>
        <v>4</v>
      </c>
      <c r="F1357">
        <v>531105</v>
      </c>
      <c r="G1357" t="s">
        <v>429</v>
      </c>
      <c r="H1357" t="s">
        <v>401</v>
      </c>
      <c r="I1357" t="s">
        <v>402</v>
      </c>
      <c r="J1357">
        <v>339144</v>
      </c>
      <c r="K1357">
        <v>20220413</v>
      </c>
      <c r="L1357" t="s">
        <v>565</v>
      </c>
      <c r="M1357">
        <v>10</v>
      </c>
      <c r="N1357">
        <v>0</v>
      </c>
      <c r="O1357" t="s">
        <v>19</v>
      </c>
      <c r="P1357" t="s">
        <v>20</v>
      </c>
      <c r="Q1357">
        <v>20220413</v>
      </c>
    </row>
    <row r="1358" spans="1:17" x14ac:dyDescent="0.25">
      <c r="A1358" t="s">
        <v>548</v>
      </c>
      <c r="B1358" t="s">
        <v>429</v>
      </c>
      <c r="C1358">
        <v>55</v>
      </c>
      <c r="D1358">
        <v>20220413</v>
      </c>
      <c r="E1358">
        <f t="shared" si="21"/>
        <v>4</v>
      </c>
      <c r="F1358">
        <v>411010</v>
      </c>
      <c r="G1358" t="s">
        <v>87</v>
      </c>
      <c r="H1358" t="s">
        <v>379</v>
      </c>
      <c r="I1358" t="s">
        <v>380</v>
      </c>
      <c r="J1358">
        <v>339201</v>
      </c>
      <c r="K1358">
        <v>20220413</v>
      </c>
      <c r="L1358" t="s">
        <v>1802</v>
      </c>
      <c r="M1358">
        <v>0</v>
      </c>
      <c r="N1358">
        <v>17.12</v>
      </c>
      <c r="O1358" t="s">
        <v>22</v>
      </c>
      <c r="P1358">
        <v>20230218</v>
      </c>
      <c r="Q1358">
        <v>20220413</v>
      </c>
    </row>
    <row r="1359" spans="1:17" x14ac:dyDescent="0.25">
      <c r="A1359" t="s">
        <v>548</v>
      </c>
      <c r="B1359" t="s">
        <v>429</v>
      </c>
      <c r="C1359">
        <v>55</v>
      </c>
      <c r="D1359">
        <v>20220413</v>
      </c>
      <c r="E1359">
        <f t="shared" si="21"/>
        <v>4</v>
      </c>
      <c r="F1359">
        <v>531105</v>
      </c>
      <c r="G1359" t="s">
        <v>429</v>
      </c>
      <c r="H1359" t="s">
        <v>401</v>
      </c>
      <c r="I1359" t="s">
        <v>402</v>
      </c>
      <c r="J1359">
        <v>339202</v>
      </c>
      <c r="K1359">
        <v>20220413</v>
      </c>
      <c r="L1359" t="s">
        <v>565</v>
      </c>
      <c r="M1359">
        <v>17.12</v>
      </c>
      <c r="N1359">
        <v>0</v>
      </c>
      <c r="O1359" t="s">
        <v>19</v>
      </c>
      <c r="P1359" t="s">
        <v>20</v>
      </c>
      <c r="Q1359">
        <v>20220413</v>
      </c>
    </row>
    <row r="1360" spans="1:17" x14ac:dyDescent="0.25">
      <c r="A1360" t="s">
        <v>548</v>
      </c>
      <c r="B1360" t="s">
        <v>429</v>
      </c>
      <c r="C1360">
        <v>55</v>
      </c>
      <c r="D1360">
        <v>20220413</v>
      </c>
      <c r="E1360">
        <f t="shared" si="21"/>
        <v>4</v>
      </c>
      <c r="F1360">
        <v>411020</v>
      </c>
      <c r="G1360" t="s">
        <v>30</v>
      </c>
      <c r="H1360" t="s">
        <v>318</v>
      </c>
      <c r="I1360" t="s">
        <v>319</v>
      </c>
      <c r="J1360">
        <v>321120017</v>
      </c>
      <c r="K1360">
        <v>20220413</v>
      </c>
      <c r="L1360" t="s">
        <v>1803</v>
      </c>
      <c r="M1360">
        <v>0</v>
      </c>
      <c r="N1360">
        <v>50</v>
      </c>
      <c r="O1360" t="s">
        <v>22</v>
      </c>
      <c r="P1360">
        <v>20230218</v>
      </c>
      <c r="Q1360">
        <v>20220413</v>
      </c>
    </row>
    <row r="1361" spans="1:17" x14ac:dyDescent="0.25">
      <c r="A1361" t="s">
        <v>548</v>
      </c>
      <c r="B1361" t="s">
        <v>429</v>
      </c>
      <c r="C1361">
        <v>55</v>
      </c>
      <c r="D1361">
        <v>20220413</v>
      </c>
      <c r="E1361">
        <f t="shared" si="21"/>
        <v>4</v>
      </c>
      <c r="F1361">
        <v>411020</v>
      </c>
      <c r="G1361" t="s">
        <v>30</v>
      </c>
      <c r="H1361" t="s">
        <v>371</v>
      </c>
      <c r="I1361" t="s">
        <v>372</v>
      </c>
      <c r="J1361">
        <v>322030017</v>
      </c>
      <c r="K1361">
        <v>20220413</v>
      </c>
      <c r="L1361" t="s">
        <v>1804</v>
      </c>
      <c r="M1361">
        <v>0</v>
      </c>
      <c r="N1361">
        <v>145.78</v>
      </c>
      <c r="O1361" t="s">
        <v>22</v>
      </c>
      <c r="P1361">
        <v>20230218</v>
      </c>
      <c r="Q1361">
        <v>20220413</v>
      </c>
    </row>
    <row r="1362" spans="1:17" x14ac:dyDescent="0.25">
      <c r="A1362" t="s">
        <v>548</v>
      </c>
      <c r="B1362" t="s">
        <v>429</v>
      </c>
      <c r="C1362">
        <v>55</v>
      </c>
      <c r="D1362">
        <v>20220413</v>
      </c>
      <c r="E1362">
        <f t="shared" si="21"/>
        <v>4</v>
      </c>
      <c r="F1362">
        <v>411020</v>
      </c>
      <c r="G1362" t="s">
        <v>30</v>
      </c>
      <c r="H1362" t="s">
        <v>371</v>
      </c>
      <c r="I1362" t="s">
        <v>372</v>
      </c>
      <c r="J1362">
        <v>322030017</v>
      </c>
      <c r="K1362">
        <v>20220413</v>
      </c>
      <c r="L1362" t="s">
        <v>1805</v>
      </c>
      <c r="M1362">
        <v>0</v>
      </c>
      <c r="N1362">
        <v>4.22</v>
      </c>
      <c r="O1362" t="s">
        <v>22</v>
      </c>
      <c r="P1362">
        <v>20230218</v>
      </c>
      <c r="Q1362">
        <v>20220413</v>
      </c>
    </row>
    <row r="1363" spans="1:17" x14ac:dyDescent="0.25">
      <c r="A1363" t="s">
        <v>548</v>
      </c>
      <c r="B1363" t="s">
        <v>429</v>
      </c>
      <c r="C1363">
        <v>55</v>
      </c>
      <c r="D1363">
        <v>20220413</v>
      </c>
      <c r="E1363">
        <f t="shared" si="21"/>
        <v>4</v>
      </c>
      <c r="F1363">
        <v>411100</v>
      </c>
      <c r="G1363" t="s">
        <v>18</v>
      </c>
      <c r="H1363" t="s">
        <v>175</v>
      </c>
      <c r="I1363" t="s">
        <v>176</v>
      </c>
      <c r="J1363">
        <v>322030012</v>
      </c>
      <c r="K1363">
        <v>20220413</v>
      </c>
      <c r="L1363" t="s">
        <v>1806</v>
      </c>
      <c r="M1363">
        <v>0</v>
      </c>
      <c r="N1363">
        <v>45.25</v>
      </c>
      <c r="O1363" t="s">
        <v>22</v>
      </c>
      <c r="P1363">
        <v>20230218</v>
      </c>
      <c r="Q1363">
        <v>20220413</v>
      </c>
    </row>
    <row r="1364" spans="1:17" x14ac:dyDescent="0.25">
      <c r="A1364" t="s">
        <v>548</v>
      </c>
      <c r="B1364" t="s">
        <v>429</v>
      </c>
      <c r="C1364">
        <v>55</v>
      </c>
      <c r="D1364">
        <v>20220413</v>
      </c>
      <c r="E1364">
        <f t="shared" si="21"/>
        <v>4</v>
      </c>
      <c r="F1364">
        <v>411100</v>
      </c>
      <c r="G1364" t="s">
        <v>18</v>
      </c>
      <c r="H1364" t="s">
        <v>175</v>
      </c>
      <c r="I1364" t="s">
        <v>176</v>
      </c>
      <c r="J1364">
        <v>322030012</v>
      </c>
      <c r="K1364">
        <v>20220413</v>
      </c>
      <c r="L1364" t="s">
        <v>1807</v>
      </c>
      <c r="M1364">
        <v>0</v>
      </c>
      <c r="N1364">
        <v>0.05</v>
      </c>
      <c r="O1364" t="s">
        <v>22</v>
      </c>
      <c r="P1364">
        <v>20230218</v>
      </c>
      <c r="Q1364">
        <v>20220413</v>
      </c>
    </row>
    <row r="1365" spans="1:17" x14ac:dyDescent="0.25">
      <c r="A1365" t="s">
        <v>548</v>
      </c>
      <c r="B1365" t="s">
        <v>429</v>
      </c>
      <c r="C1365">
        <v>55</v>
      </c>
      <c r="D1365">
        <v>20220413</v>
      </c>
      <c r="E1365">
        <f t="shared" si="21"/>
        <v>4</v>
      </c>
      <c r="F1365">
        <v>411020</v>
      </c>
      <c r="G1365" t="s">
        <v>30</v>
      </c>
      <c r="H1365" t="s">
        <v>338</v>
      </c>
      <c r="I1365" t="s">
        <v>339</v>
      </c>
      <c r="J1365">
        <v>322030024</v>
      </c>
      <c r="K1365">
        <v>20220413</v>
      </c>
      <c r="L1365" t="s">
        <v>1808</v>
      </c>
      <c r="M1365">
        <v>0</v>
      </c>
      <c r="N1365">
        <v>71.62</v>
      </c>
      <c r="O1365" t="s">
        <v>22</v>
      </c>
      <c r="P1365">
        <v>20230218</v>
      </c>
      <c r="Q1365">
        <v>20220413</v>
      </c>
    </row>
    <row r="1366" spans="1:17" x14ac:dyDescent="0.25">
      <c r="A1366" t="s">
        <v>548</v>
      </c>
      <c r="B1366" t="s">
        <v>429</v>
      </c>
      <c r="C1366">
        <v>55</v>
      </c>
      <c r="D1366">
        <v>20220413</v>
      </c>
      <c r="E1366">
        <f t="shared" si="21"/>
        <v>4</v>
      </c>
      <c r="F1366">
        <v>411020</v>
      </c>
      <c r="G1366" t="s">
        <v>30</v>
      </c>
      <c r="H1366" t="s">
        <v>338</v>
      </c>
      <c r="I1366" t="s">
        <v>339</v>
      </c>
      <c r="J1366">
        <v>322030024</v>
      </c>
      <c r="K1366">
        <v>20220413</v>
      </c>
      <c r="L1366" t="s">
        <v>1809</v>
      </c>
      <c r="M1366">
        <v>0</v>
      </c>
      <c r="N1366">
        <v>0.38</v>
      </c>
      <c r="O1366" t="s">
        <v>22</v>
      </c>
      <c r="P1366">
        <v>20230218</v>
      </c>
      <c r="Q1366">
        <v>20220413</v>
      </c>
    </row>
    <row r="1367" spans="1:17" x14ac:dyDescent="0.25">
      <c r="A1367" t="s">
        <v>548</v>
      </c>
      <c r="B1367" t="s">
        <v>429</v>
      </c>
      <c r="C1367">
        <v>55</v>
      </c>
      <c r="D1367">
        <v>20220413</v>
      </c>
      <c r="E1367">
        <f t="shared" si="21"/>
        <v>4</v>
      </c>
      <c r="F1367">
        <v>531105</v>
      </c>
      <c r="G1367" t="s">
        <v>429</v>
      </c>
      <c r="H1367" t="s">
        <v>401</v>
      </c>
      <c r="I1367" t="s">
        <v>402</v>
      </c>
      <c r="J1367">
        <v>339238</v>
      </c>
      <c r="K1367">
        <v>20220413</v>
      </c>
      <c r="L1367" t="s">
        <v>565</v>
      </c>
      <c r="M1367">
        <v>317.3</v>
      </c>
      <c r="N1367">
        <v>0</v>
      </c>
      <c r="O1367" t="s">
        <v>19</v>
      </c>
      <c r="P1367" t="s">
        <v>20</v>
      </c>
      <c r="Q1367">
        <v>20220413</v>
      </c>
    </row>
    <row r="1368" spans="1:17" x14ac:dyDescent="0.25">
      <c r="A1368" t="s">
        <v>548</v>
      </c>
      <c r="B1368" t="s">
        <v>429</v>
      </c>
      <c r="C1368">
        <v>55</v>
      </c>
      <c r="D1368">
        <v>20220413</v>
      </c>
      <c r="E1368">
        <f t="shared" si="21"/>
        <v>4</v>
      </c>
      <c r="F1368">
        <v>467100</v>
      </c>
      <c r="G1368" t="s">
        <v>160</v>
      </c>
      <c r="H1368" t="s">
        <v>668</v>
      </c>
      <c r="I1368" t="s">
        <v>669</v>
      </c>
      <c r="J1368" t="s">
        <v>1810</v>
      </c>
      <c r="K1368">
        <v>20220413</v>
      </c>
      <c r="L1368" t="s">
        <v>1811</v>
      </c>
      <c r="M1368">
        <v>15</v>
      </c>
      <c r="N1368">
        <v>0</v>
      </c>
      <c r="O1368" t="s">
        <v>23</v>
      </c>
      <c r="P1368">
        <v>20220427</v>
      </c>
      <c r="Q1368">
        <v>20220413</v>
      </c>
    </row>
    <row r="1369" spans="1:17" x14ac:dyDescent="0.25">
      <c r="A1369" t="s">
        <v>548</v>
      </c>
      <c r="B1369" t="s">
        <v>429</v>
      </c>
      <c r="C1369">
        <v>55</v>
      </c>
      <c r="D1369">
        <v>20220413</v>
      </c>
      <c r="E1369">
        <f t="shared" si="21"/>
        <v>4</v>
      </c>
      <c r="F1369">
        <v>531105</v>
      </c>
      <c r="G1369" t="s">
        <v>429</v>
      </c>
      <c r="H1369" t="s">
        <v>401</v>
      </c>
      <c r="I1369" t="s">
        <v>402</v>
      </c>
      <c r="J1369" t="s">
        <v>1810</v>
      </c>
      <c r="K1369">
        <v>20220413</v>
      </c>
      <c r="L1369" t="s">
        <v>1811</v>
      </c>
      <c r="M1369">
        <v>0</v>
      </c>
      <c r="N1369">
        <v>15</v>
      </c>
      <c r="O1369" t="s">
        <v>19</v>
      </c>
      <c r="P1369" t="s">
        <v>20</v>
      </c>
      <c r="Q1369">
        <v>20220413</v>
      </c>
    </row>
    <row r="1370" spans="1:17" x14ac:dyDescent="0.25">
      <c r="A1370" t="s">
        <v>548</v>
      </c>
      <c r="B1370" t="s">
        <v>429</v>
      </c>
      <c r="C1370">
        <v>55</v>
      </c>
      <c r="D1370">
        <v>20220414</v>
      </c>
      <c r="E1370">
        <f t="shared" si="21"/>
        <v>4</v>
      </c>
      <c r="F1370">
        <v>467100</v>
      </c>
      <c r="G1370" t="s">
        <v>160</v>
      </c>
      <c r="H1370" t="s">
        <v>219</v>
      </c>
      <c r="I1370" t="s">
        <v>220</v>
      </c>
      <c r="J1370" t="s">
        <v>1812</v>
      </c>
      <c r="K1370">
        <v>20220414</v>
      </c>
      <c r="L1370" t="s">
        <v>1813</v>
      </c>
      <c r="M1370">
        <v>100</v>
      </c>
      <c r="N1370">
        <v>0</v>
      </c>
      <c r="O1370" t="s">
        <v>23</v>
      </c>
      <c r="P1370">
        <v>20220427</v>
      </c>
      <c r="Q1370">
        <v>20220414</v>
      </c>
    </row>
    <row r="1371" spans="1:17" x14ac:dyDescent="0.25">
      <c r="A1371" t="s">
        <v>548</v>
      </c>
      <c r="B1371" t="s">
        <v>429</v>
      </c>
      <c r="C1371">
        <v>55</v>
      </c>
      <c r="D1371">
        <v>20220414</v>
      </c>
      <c r="E1371">
        <f t="shared" si="21"/>
        <v>4</v>
      </c>
      <c r="F1371">
        <v>531105</v>
      </c>
      <c r="G1371" t="s">
        <v>429</v>
      </c>
      <c r="H1371" t="s">
        <v>401</v>
      </c>
      <c r="I1371" t="s">
        <v>402</v>
      </c>
      <c r="J1371" t="s">
        <v>1812</v>
      </c>
      <c r="K1371">
        <v>20220414</v>
      </c>
      <c r="L1371" t="s">
        <v>1813</v>
      </c>
      <c r="M1371">
        <v>0</v>
      </c>
      <c r="N1371">
        <v>100</v>
      </c>
      <c r="O1371" t="s">
        <v>19</v>
      </c>
      <c r="P1371" t="s">
        <v>20</v>
      </c>
      <c r="Q1371">
        <v>20220414</v>
      </c>
    </row>
    <row r="1372" spans="1:17" x14ac:dyDescent="0.25">
      <c r="A1372" t="s">
        <v>548</v>
      </c>
      <c r="B1372" t="s">
        <v>429</v>
      </c>
      <c r="C1372">
        <v>55</v>
      </c>
      <c r="D1372">
        <v>20220414</v>
      </c>
      <c r="E1372">
        <f t="shared" si="21"/>
        <v>4</v>
      </c>
      <c r="F1372">
        <v>467100</v>
      </c>
      <c r="G1372" t="s">
        <v>160</v>
      </c>
      <c r="H1372" t="s">
        <v>316</v>
      </c>
      <c r="I1372" t="s">
        <v>317</v>
      </c>
      <c r="J1372" t="s">
        <v>1814</v>
      </c>
      <c r="K1372">
        <v>20220414</v>
      </c>
      <c r="L1372" t="s">
        <v>1815</v>
      </c>
      <c r="M1372">
        <v>100</v>
      </c>
      <c r="N1372">
        <v>0</v>
      </c>
      <c r="O1372" t="s">
        <v>23</v>
      </c>
      <c r="P1372">
        <v>20220427</v>
      </c>
      <c r="Q1372">
        <v>20220414</v>
      </c>
    </row>
    <row r="1373" spans="1:17" x14ac:dyDescent="0.25">
      <c r="A1373" t="s">
        <v>548</v>
      </c>
      <c r="B1373" t="s">
        <v>429</v>
      </c>
      <c r="C1373">
        <v>55</v>
      </c>
      <c r="D1373">
        <v>20220414</v>
      </c>
      <c r="E1373">
        <f t="shared" si="21"/>
        <v>4</v>
      </c>
      <c r="F1373">
        <v>531105</v>
      </c>
      <c r="G1373" t="s">
        <v>429</v>
      </c>
      <c r="H1373" t="s">
        <v>401</v>
      </c>
      <c r="I1373" t="s">
        <v>402</v>
      </c>
      <c r="J1373" t="s">
        <v>1814</v>
      </c>
      <c r="K1373">
        <v>20220414</v>
      </c>
      <c r="L1373" t="s">
        <v>1815</v>
      </c>
      <c r="M1373">
        <v>0</v>
      </c>
      <c r="N1373">
        <v>100</v>
      </c>
      <c r="O1373" t="s">
        <v>19</v>
      </c>
      <c r="P1373" t="s">
        <v>20</v>
      </c>
      <c r="Q1373">
        <v>20220414</v>
      </c>
    </row>
    <row r="1374" spans="1:17" x14ac:dyDescent="0.25">
      <c r="A1374" t="s">
        <v>548</v>
      </c>
      <c r="B1374" t="s">
        <v>429</v>
      </c>
      <c r="C1374">
        <v>55</v>
      </c>
      <c r="D1374">
        <v>20220414</v>
      </c>
      <c r="E1374">
        <f t="shared" si="21"/>
        <v>4</v>
      </c>
      <c r="F1374">
        <v>467100</v>
      </c>
      <c r="G1374" t="s">
        <v>160</v>
      </c>
      <c r="H1374" t="s">
        <v>219</v>
      </c>
      <c r="I1374" t="s">
        <v>220</v>
      </c>
      <c r="J1374" t="s">
        <v>1816</v>
      </c>
      <c r="K1374">
        <v>20220414</v>
      </c>
      <c r="L1374" t="s">
        <v>222</v>
      </c>
      <c r="M1374">
        <v>150</v>
      </c>
      <c r="N1374">
        <v>0</v>
      </c>
      <c r="O1374" t="s">
        <v>23</v>
      </c>
      <c r="P1374">
        <v>20220427</v>
      </c>
      <c r="Q1374">
        <v>20220414</v>
      </c>
    </row>
    <row r="1375" spans="1:17" x14ac:dyDescent="0.25">
      <c r="A1375" t="s">
        <v>548</v>
      </c>
      <c r="B1375" t="s">
        <v>429</v>
      </c>
      <c r="C1375">
        <v>55</v>
      </c>
      <c r="D1375">
        <v>20220414</v>
      </c>
      <c r="E1375">
        <f t="shared" si="21"/>
        <v>4</v>
      </c>
      <c r="F1375">
        <v>531105</v>
      </c>
      <c r="G1375" t="s">
        <v>429</v>
      </c>
      <c r="H1375" t="s">
        <v>401</v>
      </c>
      <c r="I1375" t="s">
        <v>402</v>
      </c>
      <c r="J1375" t="s">
        <v>1816</v>
      </c>
      <c r="K1375">
        <v>20220414</v>
      </c>
      <c r="L1375" t="s">
        <v>222</v>
      </c>
      <c r="M1375">
        <v>0</v>
      </c>
      <c r="N1375">
        <v>150</v>
      </c>
      <c r="O1375" t="s">
        <v>19</v>
      </c>
      <c r="P1375" t="s">
        <v>20</v>
      </c>
      <c r="Q1375">
        <v>20220414</v>
      </c>
    </row>
    <row r="1376" spans="1:17" x14ac:dyDescent="0.25">
      <c r="A1376" t="s">
        <v>548</v>
      </c>
      <c r="B1376" t="s">
        <v>429</v>
      </c>
      <c r="C1376">
        <v>55</v>
      </c>
      <c r="D1376">
        <v>20220414</v>
      </c>
      <c r="E1376">
        <f t="shared" si="21"/>
        <v>4</v>
      </c>
      <c r="F1376">
        <v>411100</v>
      </c>
      <c r="G1376" t="s">
        <v>18</v>
      </c>
      <c r="H1376" t="s">
        <v>592</v>
      </c>
      <c r="I1376" t="s">
        <v>593</v>
      </c>
      <c r="J1376">
        <v>339378</v>
      </c>
      <c r="K1376">
        <v>20220414</v>
      </c>
      <c r="L1376" t="s">
        <v>1817</v>
      </c>
      <c r="M1376">
        <v>0</v>
      </c>
      <c r="N1376">
        <v>129.94999999999999</v>
      </c>
      <c r="O1376" t="s">
        <v>19</v>
      </c>
      <c r="P1376" t="s">
        <v>20</v>
      </c>
      <c r="Q1376">
        <v>20220414</v>
      </c>
    </row>
    <row r="1377" spans="1:17" x14ac:dyDescent="0.25">
      <c r="A1377" t="s">
        <v>548</v>
      </c>
      <c r="B1377" t="s">
        <v>429</v>
      </c>
      <c r="C1377">
        <v>55</v>
      </c>
      <c r="D1377">
        <v>20220414</v>
      </c>
      <c r="E1377">
        <f t="shared" si="21"/>
        <v>4</v>
      </c>
      <c r="F1377">
        <v>411100</v>
      </c>
      <c r="G1377" t="s">
        <v>18</v>
      </c>
      <c r="H1377" t="s">
        <v>941</v>
      </c>
      <c r="I1377" t="s">
        <v>942</v>
      </c>
      <c r="J1377">
        <v>339379</v>
      </c>
      <c r="K1377">
        <v>20220414</v>
      </c>
      <c r="L1377" t="s">
        <v>1818</v>
      </c>
      <c r="M1377">
        <v>0</v>
      </c>
      <c r="N1377">
        <v>14.35</v>
      </c>
      <c r="O1377" t="s">
        <v>22</v>
      </c>
      <c r="P1377">
        <v>20230218</v>
      </c>
      <c r="Q1377">
        <v>20220414</v>
      </c>
    </row>
    <row r="1378" spans="1:17" x14ac:dyDescent="0.25">
      <c r="A1378" t="s">
        <v>548</v>
      </c>
      <c r="B1378" t="s">
        <v>429</v>
      </c>
      <c r="C1378">
        <v>55</v>
      </c>
      <c r="D1378">
        <v>20220414</v>
      </c>
      <c r="E1378">
        <f t="shared" si="21"/>
        <v>4</v>
      </c>
      <c r="F1378">
        <v>531105</v>
      </c>
      <c r="G1378" t="s">
        <v>429</v>
      </c>
      <c r="H1378" t="s">
        <v>401</v>
      </c>
      <c r="I1378" t="s">
        <v>402</v>
      </c>
      <c r="J1378">
        <v>339380</v>
      </c>
      <c r="K1378">
        <v>20220414</v>
      </c>
      <c r="L1378" t="s">
        <v>565</v>
      </c>
      <c r="M1378">
        <v>144.30000000000001</v>
      </c>
      <c r="N1378">
        <v>0</v>
      </c>
      <c r="O1378" t="s">
        <v>19</v>
      </c>
      <c r="P1378" t="s">
        <v>20</v>
      </c>
      <c r="Q1378">
        <v>20220414</v>
      </c>
    </row>
    <row r="1379" spans="1:17" x14ac:dyDescent="0.25">
      <c r="A1379" t="s">
        <v>548</v>
      </c>
      <c r="B1379" t="s">
        <v>429</v>
      </c>
      <c r="C1379">
        <v>55</v>
      </c>
      <c r="D1379">
        <v>20220414</v>
      </c>
      <c r="E1379">
        <f t="shared" si="21"/>
        <v>4</v>
      </c>
      <c r="F1379">
        <v>411010</v>
      </c>
      <c r="G1379" t="s">
        <v>87</v>
      </c>
      <c r="H1379" t="s">
        <v>328</v>
      </c>
      <c r="I1379" t="s">
        <v>329</v>
      </c>
      <c r="J1379">
        <v>339420</v>
      </c>
      <c r="K1379">
        <v>20220414</v>
      </c>
      <c r="L1379" t="s">
        <v>1819</v>
      </c>
      <c r="M1379">
        <v>0</v>
      </c>
      <c r="N1379">
        <v>500</v>
      </c>
      <c r="O1379" t="s">
        <v>22</v>
      </c>
      <c r="P1379">
        <v>20230218</v>
      </c>
      <c r="Q1379">
        <v>20220414</v>
      </c>
    </row>
    <row r="1380" spans="1:17" x14ac:dyDescent="0.25">
      <c r="A1380" t="s">
        <v>548</v>
      </c>
      <c r="B1380" t="s">
        <v>429</v>
      </c>
      <c r="C1380">
        <v>55</v>
      </c>
      <c r="D1380">
        <v>20220414</v>
      </c>
      <c r="E1380">
        <f t="shared" si="21"/>
        <v>4</v>
      </c>
      <c r="F1380">
        <v>411100</v>
      </c>
      <c r="G1380" t="s">
        <v>18</v>
      </c>
      <c r="H1380" t="s">
        <v>233</v>
      </c>
      <c r="I1380" t="s">
        <v>234</v>
      </c>
      <c r="J1380">
        <v>339421</v>
      </c>
      <c r="K1380">
        <v>20220414</v>
      </c>
      <c r="L1380" t="s">
        <v>1820</v>
      </c>
      <c r="M1380">
        <v>0</v>
      </c>
      <c r="N1380">
        <v>47.77</v>
      </c>
      <c r="O1380" t="s">
        <v>22</v>
      </c>
      <c r="P1380">
        <v>20230218</v>
      </c>
      <c r="Q1380">
        <v>20220414</v>
      </c>
    </row>
    <row r="1381" spans="1:17" x14ac:dyDescent="0.25">
      <c r="A1381" t="s">
        <v>548</v>
      </c>
      <c r="B1381" t="s">
        <v>429</v>
      </c>
      <c r="C1381">
        <v>55</v>
      </c>
      <c r="D1381">
        <v>20220414</v>
      </c>
      <c r="E1381">
        <f t="shared" si="21"/>
        <v>4</v>
      </c>
      <c r="F1381">
        <v>411100</v>
      </c>
      <c r="G1381" t="s">
        <v>18</v>
      </c>
      <c r="H1381" t="s">
        <v>233</v>
      </c>
      <c r="I1381" t="s">
        <v>234</v>
      </c>
      <c r="J1381">
        <v>339422</v>
      </c>
      <c r="K1381">
        <v>20220414</v>
      </c>
      <c r="L1381" t="s">
        <v>1821</v>
      </c>
      <c r="M1381">
        <v>0</v>
      </c>
      <c r="N1381">
        <v>2.23</v>
      </c>
      <c r="O1381" t="s">
        <v>22</v>
      </c>
      <c r="P1381">
        <v>20230218</v>
      </c>
      <c r="Q1381">
        <v>20220414</v>
      </c>
    </row>
    <row r="1382" spans="1:17" x14ac:dyDescent="0.25">
      <c r="A1382" t="s">
        <v>548</v>
      </c>
      <c r="B1382" t="s">
        <v>429</v>
      </c>
      <c r="C1382">
        <v>55</v>
      </c>
      <c r="D1382">
        <v>20220414</v>
      </c>
      <c r="E1382">
        <f t="shared" si="21"/>
        <v>4</v>
      </c>
      <c r="F1382">
        <v>531105</v>
      </c>
      <c r="G1382" t="s">
        <v>429</v>
      </c>
      <c r="H1382" t="s">
        <v>401</v>
      </c>
      <c r="I1382" t="s">
        <v>402</v>
      </c>
      <c r="J1382">
        <v>339423</v>
      </c>
      <c r="K1382">
        <v>20220414</v>
      </c>
      <c r="L1382" t="s">
        <v>565</v>
      </c>
      <c r="M1382">
        <v>550</v>
      </c>
      <c r="N1382">
        <v>0</v>
      </c>
      <c r="O1382" t="s">
        <v>19</v>
      </c>
      <c r="P1382" t="s">
        <v>20</v>
      </c>
      <c r="Q1382">
        <v>20220414</v>
      </c>
    </row>
    <row r="1383" spans="1:17" x14ac:dyDescent="0.25">
      <c r="A1383" t="s">
        <v>548</v>
      </c>
      <c r="B1383" t="s">
        <v>429</v>
      </c>
      <c r="C1383">
        <v>55</v>
      </c>
      <c r="D1383">
        <v>20220419</v>
      </c>
      <c r="E1383">
        <f t="shared" si="21"/>
        <v>4</v>
      </c>
      <c r="F1383">
        <v>467100</v>
      </c>
      <c r="G1383" t="s">
        <v>160</v>
      </c>
      <c r="H1383" t="s">
        <v>316</v>
      </c>
      <c r="I1383" t="s">
        <v>317</v>
      </c>
      <c r="J1383" t="s">
        <v>1822</v>
      </c>
      <c r="K1383">
        <v>20220419</v>
      </c>
      <c r="L1383" t="s">
        <v>1823</v>
      </c>
      <c r="M1383">
        <v>0</v>
      </c>
      <c r="N1383">
        <v>62.62</v>
      </c>
      <c r="O1383" t="s">
        <v>23</v>
      </c>
      <c r="P1383">
        <v>20220427</v>
      </c>
      <c r="Q1383">
        <v>20220419</v>
      </c>
    </row>
    <row r="1384" spans="1:17" x14ac:dyDescent="0.25">
      <c r="A1384" t="s">
        <v>548</v>
      </c>
      <c r="B1384" t="s">
        <v>429</v>
      </c>
      <c r="C1384">
        <v>55</v>
      </c>
      <c r="D1384">
        <v>20220419</v>
      </c>
      <c r="E1384">
        <f t="shared" si="21"/>
        <v>4</v>
      </c>
      <c r="F1384">
        <v>531105</v>
      </c>
      <c r="G1384" t="s">
        <v>429</v>
      </c>
      <c r="H1384" t="s">
        <v>401</v>
      </c>
      <c r="I1384" t="s">
        <v>402</v>
      </c>
      <c r="J1384" t="s">
        <v>1822</v>
      </c>
      <c r="K1384">
        <v>20220419</v>
      </c>
      <c r="L1384" t="s">
        <v>1823</v>
      </c>
      <c r="M1384">
        <v>62.62</v>
      </c>
      <c r="N1384">
        <v>0</v>
      </c>
      <c r="O1384" t="s">
        <v>19</v>
      </c>
      <c r="P1384" t="s">
        <v>20</v>
      </c>
      <c r="Q1384">
        <v>20220419</v>
      </c>
    </row>
    <row r="1385" spans="1:17" x14ac:dyDescent="0.25">
      <c r="A1385" t="s">
        <v>548</v>
      </c>
      <c r="B1385" t="s">
        <v>429</v>
      </c>
      <c r="C1385">
        <v>55</v>
      </c>
      <c r="D1385">
        <v>20220419</v>
      </c>
      <c r="E1385">
        <f t="shared" si="21"/>
        <v>4</v>
      </c>
      <c r="F1385">
        <v>467100</v>
      </c>
      <c r="G1385" t="s">
        <v>160</v>
      </c>
      <c r="H1385" t="s">
        <v>219</v>
      </c>
      <c r="I1385" t="s">
        <v>220</v>
      </c>
      <c r="J1385" t="s">
        <v>1824</v>
      </c>
      <c r="K1385">
        <v>20220419</v>
      </c>
      <c r="L1385" t="s">
        <v>1825</v>
      </c>
      <c r="M1385">
        <v>0</v>
      </c>
      <c r="N1385">
        <v>37.22</v>
      </c>
      <c r="O1385" t="s">
        <v>23</v>
      </c>
      <c r="P1385">
        <v>20220427</v>
      </c>
      <c r="Q1385">
        <v>20220419</v>
      </c>
    </row>
    <row r="1386" spans="1:17" x14ac:dyDescent="0.25">
      <c r="A1386" t="s">
        <v>548</v>
      </c>
      <c r="B1386" t="s">
        <v>429</v>
      </c>
      <c r="C1386">
        <v>55</v>
      </c>
      <c r="D1386">
        <v>20220419</v>
      </c>
      <c r="E1386">
        <f t="shared" si="21"/>
        <v>4</v>
      </c>
      <c r="F1386">
        <v>531105</v>
      </c>
      <c r="G1386" t="s">
        <v>429</v>
      </c>
      <c r="H1386" t="s">
        <v>401</v>
      </c>
      <c r="I1386" t="s">
        <v>402</v>
      </c>
      <c r="J1386" t="s">
        <v>1824</v>
      </c>
      <c r="K1386">
        <v>20220419</v>
      </c>
      <c r="L1386" t="s">
        <v>1825</v>
      </c>
      <c r="M1386">
        <v>37.22</v>
      </c>
      <c r="N1386">
        <v>0</v>
      </c>
      <c r="O1386" t="s">
        <v>19</v>
      </c>
      <c r="P1386" t="s">
        <v>20</v>
      </c>
      <c r="Q1386">
        <v>20220419</v>
      </c>
    </row>
    <row r="1387" spans="1:17" x14ac:dyDescent="0.25">
      <c r="A1387" t="s">
        <v>548</v>
      </c>
      <c r="B1387" t="s">
        <v>429</v>
      </c>
      <c r="C1387">
        <v>55</v>
      </c>
      <c r="D1387">
        <v>20220419</v>
      </c>
      <c r="E1387">
        <f t="shared" si="21"/>
        <v>4</v>
      </c>
      <c r="F1387">
        <v>467100</v>
      </c>
      <c r="G1387" t="s">
        <v>160</v>
      </c>
      <c r="H1387" t="s">
        <v>219</v>
      </c>
      <c r="I1387" t="s">
        <v>220</v>
      </c>
      <c r="J1387" t="s">
        <v>1826</v>
      </c>
      <c r="K1387">
        <v>20220419</v>
      </c>
      <c r="L1387" t="s">
        <v>1827</v>
      </c>
      <c r="M1387">
        <v>0</v>
      </c>
      <c r="N1387">
        <v>11.97</v>
      </c>
      <c r="O1387" t="s">
        <v>23</v>
      </c>
      <c r="P1387">
        <v>20220427</v>
      </c>
      <c r="Q1387">
        <v>20220419</v>
      </c>
    </row>
    <row r="1388" spans="1:17" x14ac:dyDescent="0.25">
      <c r="A1388" t="s">
        <v>548</v>
      </c>
      <c r="B1388" t="s">
        <v>429</v>
      </c>
      <c r="C1388">
        <v>55</v>
      </c>
      <c r="D1388">
        <v>20220419</v>
      </c>
      <c r="E1388">
        <f t="shared" si="21"/>
        <v>4</v>
      </c>
      <c r="F1388">
        <v>531105</v>
      </c>
      <c r="G1388" t="s">
        <v>429</v>
      </c>
      <c r="H1388" t="s">
        <v>401</v>
      </c>
      <c r="I1388" t="s">
        <v>402</v>
      </c>
      <c r="J1388" t="s">
        <v>1826</v>
      </c>
      <c r="K1388">
        <v>20220419</v>
      </c>
      <c r="L1388" t="s">
        <v>1827</v>
      </c>
      <c r="M1388">
        <v>11.97</v>
      </c>
      <c r="N1388">
        <v>0</v>
      </c>
      <c r="O1388" t="s">
        <v>19</v>
      </c>
      <c r="P1388" t="s">
        <v>20</v>
      </c>
      <c r="Q1388">
        <v>20220419</v>
      </c>
    </row>
    <row r="1389" spans="1:17" x14ac:dyDescent="0.25">
      <c r="A1389" t="s">
        <v>548</v>
      </c>
      <c r="B1389" t="s">
        <v>429</v>
      </c>
      <c r="C1389">
        <v>55</v>
      </c>
      <c r="D1389">
        <v>20220419</v>
      </c>
      <c r="E1389">
        <f t="shared" si="21"/>
        <v>4</v>
      </c>
      <c r="F1389">
        <v>467100</v>
      </c>
      <c r="G1389" t="s">
        <v>160</v>
      </c>
      <c r="H1389" t="s">
        <v>183</v>
      </c>
      <c r="I1389" t="s">
        <v>184</v>
      </c>
      <c r="J1389" t="s">
        <v>1828</v>
      </c>
      <c r="K1389">
        <v>20220419</v>
      </c>
      <c r="L1389" t="s">
        <v>1829</v>
      </c>
      <c r="M1389">
        <v>19.989999999999998</v>
      </c>
      <c r="N1389">
        <v>0</v>
      </c>
      <c r="O1389" t="s">
        <v>23</v>
      </c>
      <c r="P1389">
        <v>20220427</v>
      </c>
      <c r="Q1389">
        <v>20220419</v>
      </c>
    </row>
    <row r="1390" spans="1:17" x14ac:dyDescent="0.25">
      <c r="A1390" t="s">
        <v>548</v>
      </c>
      <c r="B1390" t="s">
        <v>429</v>
      </c>
      <c r="C1390">
        <v>55</v>
      </c>
      <c r="D1390">
        <v>20220419</v>
      </c>
      <c r="E1390">
        <f t="shared" si="21"/>
        <v>4</v>
      </c>
      <c r="F1390">
        <v>531105</v>
      </c>
      <c r="G1390" t="s">
        <v>429</v>
      </c>
      <c r="H1390" t="s">
        <v>401</v>
      </c>
      <c r="I1390" t="s">
        <v>402</v>
      </c>
      <c r="J1390" t="s">
        <v>1828</v>
      </c>
      <c r="K1390">
        <v>20220419</v>
      </c>
      <c r="L1390" t="s">
        <v>1829</v>
      </c>
      <c r="M1390">
        <v>0</v>
      </c>
      <c r="N1390">
        <v>19.989999999999998</v>
      </c>
      <c r="O1390" t="s">
        <v>19</v>
      </c>
      <c r="P1390" t="s">
        <v>20</v>
      </c>
      <c r="Q1390">
        <v>20220419</v>
      </c>
    </row>
    <row r="1391" spans="1:17" x14ac:dyDescent="0.25">
      <c r="A1391" t="s">
        <v>548</v>
      </c>
      <c r="B1391" t="s">
        <v>429</v>
      </c>
      <c r="C1391">
        <v>55</v>
      </c>
      <c r="D1391">
        <v>20220419</v>
      </c>
      <c r="E1391">
        <f t="shared" si="21"/>
        <v>4</v>
      </c>
      <c r="F1391">
        <v>467100</v>
      </c>
      <c r="G1391" t="s">
        <v>160</v>
      </c>
      <c r="H1391" t="s">
        <v>183</v>
      </c>
      <c r="I1391" t="s">
        <v>184</v>
      </c>
      <c r="J1391" t="s">
        <v>1830</v>
      </c>
      <c r="K1391">
        <v>20220419</v>
      </c>
      <c r="L1391" t="s">
        <v>1831</v>
      </c>
      <c r="M1391">
        <v>24.82</v>
      </c>
      <c r="N1391">
        <v>0</v>
      </c>
      <c r="O1391" t="s">
        <v>23</v>
      </c>
      <c r="P1391">
        <v>20220510</v>
      </c>
      <c r="Q1391">
        <v>20220419</v>
      </c>
    </row>
    <row r="1392" spans="1:17" x14ac:dyDescent="0.25">
      <c r="A1392" t="s">
        <v>548</v>
      </c>
      <c r="B1392" t="s">
        <v>429</v>
      </c>
      <c r="C1392">
        <v>55</v>
      </c>
      <c r="D1392">
        <v>20220419</v>
      </c>
      <c r="E1392">
        <f t="shared" si="21"/>
        <v>4</v>
      </c>
      <c r="F1392">
        <v>531105</v>
      </c>
      <c r="G1392" t="s">
        <v>429</v>
      </c>
      <c r="H1392" t="s">
        <v>401</v>
      </c>
      <c r="I1392" t="s">
        <v>402</v>
      </c>
      <c r="J1392" t="s">
        <v>1830</v>
      </c>
      <c r="K1392">
        <v>20220419</v>
      </c>
      <c r="L1392" t="s">
        <v>1831</v>
      </c>
      <c r="M1392">
        <v>0</v>
      </c>
      <c r="N1392">
        <v>24.82</v>
      </c>
      <c r="O1392" t="s">
        <v>19</v>
      </c>
      <c r="P1392" t="s">
        <v>20</v>
      </c>
      <c r="Q1392">
        <v>20220419</v>
      </c>
    </row>
    <row r="1393" spans="1:17" x14ac:dyDescent="0.25">
      <c r="A1393" t="s">
        <v>548</v>
      </c>
      <c r="B1393" t="s">
        <v>429</v>
      </c>
      <c r="C1393">
        <v>55</v>
      </c>
      <c r="D1393">
        <v>20220419</v>
      </c>
      <c r="E1393">
        <f t="shared" si="21"/>
        <v>4</v>
      </c>
      <c r="F1393">
        <v>411100</v>
      </c>
      <c r="G1393" t="s">
        <v>18</v>
      </c>
      <c r="H1393" t="s">
        <v>1558</v>
      </c>
      <c r="I1393" t="s">
        <v>1559</v>
      </c>
      <c r="J1393">
        <v>339376</v>
      </c>
      <c r="K1393">
        <v>20220419</v>
      </c>
      <c r="L1393" t="s">
        <v>1832</v>
      </c>
      <c r="M1393">
        <v>58.6</v>
      </c>
      <c r="N1393">
        <v>0</v>
      </c>
      <c r="O1393" t="s">
        <v>22</v>
      </c>
      <c r="P1393">
        <v>20230218</v>
      </c>
      <c r="Q1393">
        <v>20220419</v>
      </c>
    </row>
    <row r="1394" spans="1:17" x14ac:dyDescent="0.25">
      <c r="A1394" t="s">
        <v>548</v>
      </c>
      <c r="B1394" t="s">
        <v>429</v>
      </c>
      <c r="C1394">
        <v>55</v>
      </c>
      <c r="D1394">
        <v>20220419</v>
      </c>
      <c r="E1394">
        <f t="shared" si="21"/>
        <v>4</v>
      </c>
      <c r="F1394">
        <v>531105</v>
      </c>
      <c r="G1394" t="s">
        <v>429</v>
      </c>
      <c r="H1394" t="s">
        <v>401</v>
      </c>
      <c r="I1394" t="s">
        <v>402</v>
      </c>
      <c r="J1394">
        <v>339377</v>
      </c>
      <c r="K1394">
        <v>20220419</v>
      </c>
      <c r="L1394" t="s">
        <v>1832</v>
      </c>
      <c r="M1394">
        <v>0</v>
      </c>
      <c r="N1394">
        <v>58.6</v>
      </c>
      <c r="O1394" t="s">
        <v>19</v>
      </c>
      <c r="P1394" t="s">
        <v>20</v>
      </c>
      <c r="Q1394">
        <v>20220419</v>
      </c>
    </row>
    <row r="1395" spans="1:17" x14ac:dyDescent="0.25">
      <c r="A1395" t="s">
        <v>548</v>
      </c>
      <c r="B1395" t="s">
        <v>429</v>
      </c>
      <c r="C1395">
        <v>55</v>
      </c>
      <c r="D1395">
        <v>20220419</v>
      </c>
      <c r="E1395">
        <f t="shared" si="21"/>
        <v>4</v>
      </c>
      <c r="F1395">
        <v>411100</v>
      </c>
      <c r="G1395" t="s">
        <v>18</v>
      </c>
      <c r="H1395" t="s">
        <v>373</v>
      </c>
      <c r="I1395" t="s">
        <v>374</v>
      </c>
      <c r="J1395">
        <v>122020063</v>
      </c>
      <c r="K1395">
        <v>20220419</v>
      </c>
      <c r="L1395" t="s">
        <v>1833</v>
      </c>
      <c r="M1395">
        <v>0</v>
      </c>
      <c r="N1395">
        <v>50</v>
      </c>
      <c r="O1395" t="s">
        <v>19</v>
      </c>
      <c r="P1395" t="s">
        <v>20</v>
      </c>
      <c r="Q1395">
        <v>20220419</v>
      </c>
    </row>
    <row r="1396" spans="1:17" x14ac:dyDescent="0.25">
      <c r="A1396" t="s">
        <v>548</v>
      </c>
      <c r="B1396" t="s">
        <v>429</v>
      </c>
      <c r="C1396">
        <v>55</v>
      </c>
      <c r="D1396">
        <v>20220419</v>
      </c>
      <c r="E1396">
        <f t="shared" si="21"/>
        <v>4</v>
      </c>
      <c r="F1396">
        <v>531105</v>
      </c>
      <c r="G1396" t="s">
        <v>429</v>
      </c>
      <c r="H1396" t="s">
        <v>401</v>
      </c>
      <c r="I1396" t="s">
        <v>402</v>
      </c>
      <c r="J1396">
        <v>339382</v>
      </c>
      <c r="K1396">
        <v>20220419</v>
      </c>
      <c r="L1396" t="s">
        <v>565</v>
      </c>
      <c r="M1396">
        <v>50</v>
      </c>
      <c r="N1396">
        <v>0</v>
      </c>
      <c r="O1396" t="s">
        <v>19</v>
      </c>
      <c r="P1396" t="s">
        <v>20</v>
      </c>
      <c r="Q1396">
        <v>20220419</v>
      </c>
    </row>
    <row r="1397" spans="1:17" x14ac:dyDescent="0.25">
      <c r="A1397" t="s">
        <v>548</v>
      </c>
      <c r="B1397" t="s">
        <v>429</v>
      </c>
      <c r="C1397">
        <v>55</v>
      </c>
      <c r="D1397">
        <v>20220419</v>
      </c>
      <c r="E1397">
        <f t="shared" si="21"/>
        <v>4</v>
      </c>
      <c r="F1397">
        <v>411020</v>
      </c>
      <c r="G1397" t="s">
        <v>30</v>
      </c>
      <c r="H1397" t="s">
        <v>332</v>
      </c>
      <c r="I1397" t="s">
        <v>333</v>
      </c>
      <c r="J1397">
        <v>322030008</v>
      </c>
      <c r="K1397">
        <v>20220419</v>
      </c>
      <c r="L1397" t="s">
        <v>1834</v>
      </c>
      <c r="M1397">
        <v>0</v>
      </c>
      <c r="N1397">
        <v>64.05</v>
      </c>
      <c r="O1397" t="s">
        <v>19</v>
      </c>
      <c r="P1397" t="s">
        <v>20</v>
      </c>
      <c r="Q1397">
        <v>20220419</v>
      </c>
    </row>
    <row r="1398" spans="1:17" x14ac:dyDescent="0.25">
      <c r="A1398" t="s">
        <v>548</v>
      </c>
      <c r="B1398" t="s">
        <v>429</v>
      </c>
      <c r="C1398">
        <v>55</v>
      </c>
      <c r="D1398">
        <v>20220419</v>
      </c>
      <c r="E1398">
        <f t="shared" si="21"/>
        <v>4</v>
      </c>
      <c r="F1398">
        <v>411020</v>
      </c>
      <c r="G1398" t="s">
        <v>30</v>
      </c>
      <c r="H1398" t="s">
        <v>332</v>
      </c>
      <c r="I1398" t="s">
        <v>333</v>
      </c>
      <c r="J1398">
        <v>322030008</v>
      </c>
      <c r="K1398">
        <v>20220419</v>
      </c>
      <c r="L1398" t="s">
        <v>1835</v>
      </c>
      <c r="M1398">
        <v>0</v>
      </c>
      <c r="N1398">
        <v>0.95</v>
      </c>
      <c r="O1398" t="s">
        <v>19</v>
      </c>
      <c r="P1398" t="s">
        <v>20</v>
      </c>
      <c r="Q1398">
        <v>20220419</v>
      </c>
    </row>
    <row r="1399" spans="1:17" x14ac:dyDescent="0.25">
      <c r="A1399" t="s">
        <v>548</v>
      </c>
      <c r="B1399" t="s">
        <v>429</v>
      </c>
      <c r="C1399">
        <v>55</v>
      </c>
      <c r="D1399">
        <v>20220419</v>
      </c>
      <c r="E1399">
        <f t="shared" si="21"/>
        <v>4</v>
      </c>
      <c r="F1399">
        <v>411020</v>
      </c>
      <c r="G1399" t="s">
        <v>30</v>
      </c>
      <c r="H1399" t="s">
        <v>324</v>
      </c>
      <c r="I1399" t="s">
        <v>325</v>
      </c>
      <c r="J1399">
        <v>322030004</v>
      </c>
      <c r="K1399">
        <v>20220419</v>
      </c>
      <c r="L1399" t="s">
        <v>1836</v>
      </c>
      <c r="M1399">
        <v>0</v>
      </c>
      <c r="N1399">
        <v>3.81</v>
      </c>
      <c r="O1399" t="s">
        <v>23</v>
      </c>
      <c r="P1399">
        <v>20230218</v>
      </c>
      <c r="Q1399">
        <v>20220419</v>
      </c>
    </row>
    <row r="1400" spans="1:17" x14ac:dyDescent="0.25">
      <c r="A1400" t="s">
        <v>548</v>
      </c>
      <c r="B1400" t="s">
        <v>429</v>
      </c>
      <c r="C1400">
        <v>55</v>
      </c>
      <c r="D1400">
        <v>20220419</v>
      </c>
      <c r="E1400">
        <f t="shared" si="21"/>
        <v>4</v>
      </c>
      <c r="F1400">
        <v>411020</v>
      </c>
      <c r="G1400" t="s">
        <v>30</v>
      </c>
      <c r="H1400" t="s">
        <v>324</v>
      </c>
      <c r="I1400" t="s">
        <v>325</v>
      </c>
      <c r="J1400">
        <v>322030004</v>
      </c>
      <c r="K1400">
        <v>20220419</v>
      </c>
      <c r="L1400" t="s">
        <v>1837</v>
      </c>
      <c r="M1400">
        <v>0</v>
      </c>
      <c r="N1400">
        <v>1.19</v>
      </c>
      <c r="O1400" t="s">
        <v>23</v>
      </c>
      <c r="P1400">
        <v>20230218</v>
      </c>
      <c r="Q1400">
        <v>20220419</v>
      </c>
    </row>
    <row r="1401" spans="1:17" x14ac:dyDescent="0.25">
      <c r="A1401" t="s">
        <v>548</v>
      </c>
      <c r="B1401" t="s">
        <v>429</v>
      </c>
      <c r="C1401">
        <v>55</v>
      </c>
      <c r="D1401">
        <v>20220419</v>
      </c>
      <c r="E1401">
        <f t="shared" si="21"/>
        <v>4</v>
      </c>
      <c r="F1401">
        <v>531105</v>
      </c>
      <c r="G1401" t="s">
        <v>429</v>
      </c>
      <c r="H1401" t="s">
        <v>401</v>
      </c>
      <c r="I1401" t="s">
        <v>402</v>
      </c>
      <c r="J1401">
        <v>339417</v>
      </c>
      <c r="K1401">
        <v>20220419</v>
      </c>
      <c r="L1401" t="s">
        <v>565</v>
      </c>
      <c r="M1401">
        <v>70</v>
      </c>
      <c r="N1401">
        <v>0</v>
      </c>
      <c r="O1401" t="s">
        <v>19</v>
      </c>
      <c r="P1401" t="s">
        <v>20</v>
      </c>
      <c r="Q1401">
        <v>20220419</v>
      </c>
    </row>
    <row r="1402" spans="1:17" x14ac:dyDescent="0.25">
      <c r="A1402" t="s">
        <v>548</v>
      </c>
      <c r="B1402" t="s">
        <v>429</v>
      </c>
      <c r="C1402">
        <v>55</v>
      </c>
      <c r="D1402">
        <v>20220420</v>
      </c>
      <c r="E1402">
        <f t="shared" si="21"/>
        <v>4</v>
      </c>
      <c r="F1402">
        <v>411100</v>
      </c>
      <c r="G1402" t="s">
        <v>18</v>
      </c>
      <c r="H1402" t="s">
        <v>344</v>
      </c>
      <c r="I1402" t="s">
        <v>345</v>
      </c>
      <c r="J1402">
        <v>339383</v>
      </c>
      <c r="K1402">
        <v>20220420</v>
      </c>
      <c r="L1402" t="s">
        <v>1838</v>
      </c>
      <c r="M1402">
        <v>0</v>
      </c>
      <c r="N1402">
        <v>3.5</v>
      </c>
      <c r="O1402" t="s">
        <v>19</v>
      </c>
      <c r="P1402" t="s">
        <v>20</v>
      </c>
      <c r="Q1402">
        <v>20220420</v>
      </c>
    </row>
    <row r="1403" spans="1:17" x14ac:dyDescent="0.25">
      <c r="A1403" t="s">
        <v>548</v>
      </c>
      <c r="B1403" t="s">
        <v>429</v>
      </c>
      <c r="C1403">
        <v>55</v>
      </c>
      <c r="D1403">
        <v>20220420</v>
      </c>
      <c r="E1403">
        <f t="shared" si="21"/>
        <v>4</v>
      </c>
      <c r="F1403">
        <v>411100</v>
      </c>
      <c r="G1403" t="s">
        <v>18</v>
      </c>
      <c r="H1403" t="s">
        <v>1033</v>
      </c>
      <c r="I1403" t="s">
        <v>1034</v>
      </c>
      <c r="J1403">
        <v>339384</v>
      </c>
      <c r="K1403">
        <v>20220420</v>
      </c>
      <c r="L1403" t="s">
        <v>1839</v>
      </c>
      <c r="M1403">
        <v>0</v>
      </c>
      <c r="N1403">
        <v>3.5</v>
      </c>
      <c r="O1403" t="s">
        <v>19</v>
      </c>
      <c r="P1403" t="s">
        <v>20</v>
      </c>
      <c r="Q1403">
        <v>20220420</v>
      </c>
    </row>
    <row r="1404" spans="1:17" x14ac:dyDescent="0.25">
      <c r="A1404" t="s">
        <v>548</v>
      </c>
      <c r="B1404" t="s">
        <v>429</v>
      </c>
      <c r="C1404">
        <v>55</v>
      </c>
      <c r="D1404">
        <v>20220420</v>
      </c>
      <c r="E1404">
        <f t="shared" si="21"/>
        <v>4</v>
      </c>
      <c r="F1404">
        <v>411100</v>
      </c>
      <c r="G1404" t="s">
        <v>18</v>
      </c>
      <c r="H1404" t="s">
        <v>1037</v>
      </c>
      <c r="I1404" t="s">
        <v>1038</v>
      </c>
      <c r="J1404">
        <v>339385</v>
      </c>
      <c r="K1404">
        <v>20220420</v>
      </c>
      <c r="L1404" t="s">
        <v>1840</v>
      </c>
      <c r="M1404">
        <v>0</v>
      </c>
      <c r="N1404">
        <v>3.5</v>
      </c>
      <c r="O1404" t="s">
        <v>22</v>
      </c>
      <c r="P1404">
        <v>20230218</v>
      </c>
      <c r="Q1404">
        <v>20220420</v>
      </c>
    </row>
    <row r="1405" spans="1:17" x14ac:dyDescent="0.25">
      <c r="A1405" t="s">
        <v>548</v>
      </c>
      <c r="B1405" t="s">
        <v>429</v>
      </c>
      <c r="C1405">
        <v>55</v>
      </c>
      <c r="D1405">
        <v>20220420</v>
      </c>
      <c r="E1405">
        <f t="shared" si="21"/>
        <v>4</v>
      </c>
      <c r="F1405">
        <v>411100</v>
      </c>
      <c r="G1405" t="s">
        <v>18</v>
      </c>
      <c r="H1405" t="s">
        <v>105</v>
      </c>
      <c r="I1405" t="s">
        <v>106</v>
      </c>
      <c r="J1405">
        <v>339386</v>
      </c>
      <c r="K1405">
        <v>20220420</v>
      </c>
      <c r="L1405" t="s">
        <v>1841</v>
      </c>
      <c r="M1405">
        <v>0</v>
      </c>
      <c r="N1405">
        <v>4</v>
      </c>
      <c r="O1405" t="s">
        <v>19</v>
      </c>
      <c r="P1405" t="s">
        <v>20</v>
      </c>
      <c r="Q1405">
        <v>20220420</v>
      </c>
    </row>
    <row r="1406" spans="1:17" x14ac:dyDescent="0.25">
      <c r="A1406" t="s">
        <v>548</v>
      </c>
      <c r="B1406" t="s">
        <v>429</v>
      </c>
      <c r="C1406">
        <v>55</v>
      </c>
      <c r="D1406">
        <v>20220420</v>
      </c>
      <c r="E1406">
        <f t="shared" si="21"/>
        <v>4</v>
      </c>
      <c r="F1406">
        <v>411100</v>
      </c>
      <c r="G1406" t="s">
        <v>18</v>
      </c>
      <c r="H1406" t="s">
        <v>660</v>
      </c>
      <c r="I1406" t="s">
        <v>661</v>
      </c>
      <c r="J1406">
        <v>339387</v>
      </c>
      <c r="K1406">
        <v>20220420</v>
      </c>
      <c r="L1406" t="s">
        <v>1842</v>
      </c>
      <c r="M1406">
        <v>0</v>
      </c>
      <c r="N1406">
        <v>5</v>
      </c>
      <c r="O1406" t="s">
        <v>19</v>
      </c>
      <c r="P1406" t="s">
        <v>20</v>
      </c>
      <c r="Q1406">
        <v>20220420</v>
      </c>
    </row>
    <row r="1407" spans="1:17" x14ac:dyDescent="0.25">
      <c r="A1407" t="s">
        <v>548</v>
      </c>
      <c r="B1407" t="s">
        <v>429</v>
      </c>
      <c r="C1407">
        <v>55</v>
      </c>
      <c r="D1407">
        <v>20220420</v>
      </c>
      <c r="E1407">
        <f t="shared" si="21"/>
        <v>4</v>
      </c>
      <c r="F1407">
        <v>411100</v>
      </c>
      <c r="G1407" t="s">
        <v>18</v>
      </c>
      <c r="H1407" t="s">
        <v>91</v>
      </c>
      <c r="I1407" t="s">
        <v>92</v>
      </c>
      <c r="J1407">
        <v>339388</v>
      </c>
      <c r="K1407">
        <v>20220420</v>
      </c>
      <c r="L1407" t="s">
        <v>1843</v>
      </c>
      <c r="M1407">
        <v>0</v>
      </c>
      <c r="N1407">
        <v>5</v>
      </c>
      <c r="O1407" t="s">
        <v>19</v>
      </c>
      <c r="P1407" t="s">
        <v>20</v>
      </c>
      <c r="Q1407">
        <v>20220420</v>
      </c>
    </row>
    <row r="1408" spans="1:17" x14ac:dyDescent="0.25">
      <c r="A1408" t="s">
        <v>548</v>
      </c>
      <c r="B1408" t="s">
        <v>429</v>
      </c>
      <c r="C1408">
        <v>55</v>
      </c>
      <c r="D1408">
        <v>20220420</v>
      </c>
      <c r="E1408">
        <f t="shared" si="21"/>
        <v>4</v>
      </c>
      <c r="F1408">
        <v>411100</v>
      </c>
      <c r="G1408" t="s">
        <v>18</v>
      </c>
      <c r="H1408" t="s">
        <v>259</v>
      </c>
      <c r="I1408" t="s">
        <v>260</v>
      </c>
      <c r="J1408">
        <v>339389</v>
      </c>
      <c r="K1408">
        <v>20220420</v>
      </c>
      <c r="L1408" t="s">
        <v>1844</v>
      </c>
      <c r="M1408">
        <v>0</v>
      </c>
      <c r="N1408">
        <v>3.5</v>
      </c>
      <c r="O1408" t="s">
        <v>23</v>
      </c>
      <c r="P1408">
        <v>20230218</v>
      </c>
      <c r="Q1408">
        <v>20220420</v>
      </c>
    </row>
    <row r="1409" spans="1:17" x14ac:dyDescent="0.25">
      <c r="A1409" t="s">
        <v>548</v>
      </c>
      <c r="B1409" t="s">
        <v>429</v>
      </c>
      <c r="C1409">
        <v>55</v>
      </c>
      <c r="D1409">
        <v>20220420</v>
      </c>
      <c r="E1409">
        <f t="shared" si="21"/>
        <v>4</v>
      </c>
      <c r="F1409">
        <v>411100</v>
      </c>
      <c r="G1409" t="s">
        <v>18</v>
      </c>
      <c r="H1409" t="s">
        <v>263</v>
      </c>
      <c r="I1409" t="s">
        <v>264</v>
      </c>
      <c r="J1409">
        <v>339390</v>
      </c>
      <c r="K1409">
        <v>20220420</v>
      </c>
      <c r="L1409" t="s">
        <v>1845</v>
      </c>
      <c r="M1409">
        <v>0</v>
      </c>
      <c r="N1409">
        <v>3.5</v>
      </c>
      <c r="O1409" t="s">
        <v>19</v>
      </c>
      <c r="P1409" t="s">
        <v>20</v>
      </c>
      <c r="Q1409">
        <v>20220420</v>
      </c>
    </row>
    <row r="1410" spans="1:17" x14ac:dyDescent="0.25">
      <c r="A1410" t="s">
        <v>548</v>
      </c>
      <c r="B1410" t="s">
        <v>429</v>
      </c>
      <c r="C1410">
        <v>55</v>
      </c>
      <c r="D1410">
        <v>20220420</v>
      </c>
      <c r="E1410">
        <f t="shared" si="21"/>
        <v>4</v>
      </c>
      <c r="F1410">
        <v>411100</v>
      </c>
      <c r="G1410" t="s">
        <v>18</v>
      </c>
      <c r="H1410" t="s">
        <v>187</v>
      </c>
      <c r="I1410" t="s">
        <v>188</v>
      </c>
      <c r="J1410">
        <v>339391</v>
      </c>
      <c r="K1410">
        <v>20220420</v>
      </c>
      <c r="L1410" t="s">
        <v>1846</v>
      </c>
      <c r="M1410">
        <v>0</v>
      </c>
      <c r="N1410">
        <v>7</v>
      </c>
      <c r="O1410" t="s">
        <v>22</v>
      </c>
      <c r="P1410">
        <v>20230218</v>
      </c>
      <c r="Q1410">
        <v>20220420</v>
      </c>
    </row>
    <row r="1411" spans="1:17" x14ac:dyDescent="0.25">
      <c r="A1411" t="s">
        <v>548</v>
      </c>
      <c r="B1411" t="s">
        <v>429</v>
      </c>
      <c r="C1411">
        <v>55</v>
      </c>
      <c r="D1411">
        <v>20220420</v>
      </c>
      <c r="E1411">
        <f t="shared" ref="E1411:E1474" si="22">VALUE(MID(D1411,5,2))</f>
        <v>4</v>
      </c>
      <c r="F1411">
        <v>411100</v>
      </c>
      <c r="G1411" t="s">
        <v>18</v>
      </c>
      <c r="H1411" t="s">
        <v>237</v>
      </c>
      <c r="I1411" t="s">
        <v>238</v>
      </c>
      <c r="J1411">
        <v>339392</v>
      </c>
      <c r="K1411">
        <v>20220420</v>
      </c>
      <c r="L1411" t="s">
        <v>1847</v>
      </c>
      <c r="M1411">
        <v>0</v>
      </c>
      <c r="N1411">
        <v>3.5</v>
      </c>
      <c r="O1411" t="s">
        <v>19</v>
      </c>
      <c r="P1411" t="s">
        <v>20</v>
      </c>
      <c r="Q1411">
        <v>20220420</v>
      </c>
    </row>
    <row r="1412" spans="1:17" x14ac:dyDescent="0.25">
      <c r="A1412" t="s">
        <v>548</v>
      </c>
      <c r="B1412" t="s">
        <v>429</v>
      </c>
      <c r="C1412">
        <v>55</v>
      </c>
      <c r="D1412">
        <v>20220420</v>
      </c>
      <c r="E1412">
        <f t="shared" si="22"/>
        <v>4</v>
      </c>
      <c r="F1412">
        <v>411100</v>
      </c>
      <c r="G1412" t="s">
        <v>18</v>
      </c>
      <c r="H1412" t="s">
        <v>1848</v>
      </c>
      <c r="I1412" t="s">
        <v>1849</v>
      </c>
      <c r="J1412">
        <v>339393</v>
      </c>
      <c r="K1412">
        <v>20220420</v>
      </c>
      <c r="L1412" t="s">
        <v>1850</v>
      </c>
      <c r="M1412">
        <v>0</v>
      </c>
      <c r="N1412">
        <v>3.5</v>
      </c>
      <c r="O1412" t="s">
        <v>22</v>
      </c>
      <c r="P1412">
        <v>20230218</v>
      </c>
      <c r="Q1412">
        <v>20220420</v>
      </c>
    </row>
    <row r="1413" spans="1:17" x14ac:dyDescent="0.25">
      <c r="A1413" t="s">
        <v>548</v>
      </c>
      <c r="B1413" t="s">
        <v>429</v>
      </c>
      <c r="C1413">
        <v>55</v>
      </c>
      <c r="D1413">
        <v>20220420</v>
      </c>
      <c r="E1413">
        <f t="shared" si="22"/>
        <v>4</v>
      </c>
      <c r="F1413">
        <v>411100</v>
      </c>
      <c r="G1413" t="s">
        <v>18</v>
      </c>
      <c r="H1413" t="s">
        <v>657</v>
      </c>
      <c r="I1413" t="s">
        <v>658</v>
      </c>
      <c r="J1413">
        <v>339394</v>
      </c>
      <c r="K1413">
        <v>20220420</v>
      </c>
      <c r="L1413" t="s">
        <v>1851</v>
      </c>
      <c r="M1413">
        <v>0</v>
      </c>
      <c r="N1413">
        <v>1.5</v>
      </c>
      <c r="O1413" t="s">
        <v>19</v>
      </c>
      <c r="P1413" t="s">
        <v>20</v>
      </c>
      <c r="Q1413">
        <v>20220420</v>
      </c>
    </row>
    <row r="1414" spans="1:17" x14ac:dyDescent="0.25">
      <c r="A1414" t="s">
        <v>548</v>
      </c>
      <c r="B1414" t="s">
        <v>429</v>
      </c>
      <c r="C1414">
        <v>55</v>
      </c>
      <c r="D1414">
        <v>20220420</v>
      </c>
      <c r="E1414">
        <f t="shared" si="22"/>
        <v>4</v>
      </c>
      <c r="F1414">
        <v>411100</v>
      </c>
      <c r="G1414" t="s">
        <v>18</v>
      </c>
      <c r="H1414" t="s">
        <v>65</v>
      </c>
      <c r="I1414" t="s">
        <v>66</v>
      </c>
      <c r="J1414">
        <v>339395</v>
      </c>
      <c r="K1414">
        <v>20220420</v>
      </c>
      <c r="L1414" t="s">
        <v>1852</v>
      </c>
      <c r="M1414">
        <v>0</v>
      </c>
      <c r="N1414">
        <v>1.5</v>
      </c>
      <c r="O1414" t="s">
        <v>19</v>
      </c>
      <c r="P1414" t="s">
        <v>20</v>
      </c>
      <c r="Q1414">
        <v>20220420</v>
      </c>
    </row>
    <row r="1415" spans="1:17" x14ac:dyDescent="0.25">
      <c r="A1415" t="s">
        <v>548</v>
      </c>
      <c r="B1415" t="s">
        <v>429</v>
      </c>
      <c r="C1415">
        <v>55</v>
      </c>
      <c r="D1415">
        <v>20220420</v>
      </c>
      <c r="E1415">
        <f t="shared" si="22"/>
        <v>4</v>
      </c>
      <c r="F1415">
        <v>411100</v>
      </c>
      <c r="G1415" t="s">
        <v>18</v>
      </c>
      <c r="H1415" t="s">
        <v>105</v>
      </c>
      <c r="I1415" t="s">
        <v>106</v>
      </c>
      <c r="J1415">
        <v>339396</v>
      </c>
      <c r="K1415">
        <v>20220420</v>
      </c>
      <c r="L1415" t="s">
        <v>1853</v>
      </c>
      <c r="M1415">
        <v>0</v>
      </c>
      <c r="N1415">
        <v>1.5</v>
      </c>
      <c r="O1415" t="s">
        <v>19</v>
      </c>
      <c r="P1415" t="s">
        <v>20</v>
      </c>
      <c r="Q1415">
        <v>20220420</v>
      </c>
    </row>
    <row r="1416" spans="1:17" x14ac:dyDescent="0.25">
      <c r="A1416" t="s">
        <v>548</v>
      </c>
      <c r="B1416" t="s">
        <v>429</v>
      </c>
      <c r="C1416">
        <v>55</v>
      </c>
      <c r="D1416">
        <v>20220420</v>
      </c>
      <c r="E1416">
        <f t="shared" si="22"/>
        <v>4</v>
      </c>
      <c r="F1416">
        <v>411100</v>
      </c>
      <c r="G1416" t="s">
        <v>18</v>
      </c>
      <c r="H1416" t="s">
        <v>1417</v>
      </c>
      <c r="I1416" t="s">
        <v>1418</v>
      </c>
      <c r="J1416">
        <v>121090166</v>
      </c>
      <c r="K1416">
        <v>20220420</v>
      </c>
      <c r="L1416" t="s">
        <v>1854</v>
      </c>
      <c r="M1416">
        <v>0</v>
      </c>
      <c r="N1416">
        <v>2</v>
      </c>
      <c r="O1416" t="s">
        <v>23</v>
      </c>
      <c r="P1416">
        <v>20230329</v>
      </c>
      <c r="Q1416">
        <v>20220420</v>
      </c>
    </row>
    <row r="1417" spans="1:17" x14ac:dyDescent="0.25">
      <c r="A1417" t="s">
        <v>548</v>
      </c>
      <c r="B1417" t="s">
        <v>429</v>
      </c>
      <c r="C1417">
        <v>55</v>
      </c>
      <c r="D1417">
        <v>20220420</v>
      </c>
      <c r="E1417">
        <f t="shared" si="22"/>
        <v>4</v>
      </c>
      <c r="F1417">
        <v>411100</v>
      </c>
      <c r="G1417" t="s">
        <v>18</v>
      </c>
      <c r="H1417" t="s">
        <v>179</v>
      </c>
      <c r="I1417" t="s">
        <v>180</v>
      </c>
      <c r="J1417">
        <v>121090151</v>
      </c>
      <c r="K1417">
        <v>20220420</v>
      </c>
      <c r="L1417" t="s">
        <v>1855</v>
      </c>
      <c r="M1417">
        <v>0</v>
      </c>
      <c r="N1417">
        <v>2</v>
      </c>
      <c r="O1417" t="s">
        <v>22</v>
      </c>
      <c r="P1417">
        <v>20230218</v>
      </c>
      <c r="Q1417">
        <v>20220420</v>
      </c>
    </row>
    <row r="1418" spans="1:17" x14ac:dyDescent="0.25">
      <c r="A1418" t="s">
        <v>548</v>
      </c>
      <c r="B1418" t="s">
        <v>429</v>
      </c>
      <c r="C1418">
        <v>55</v>
      </c>
      <c r="D1418">
        <v>20220420</v>
      </c>
      <c r="E1418">
        <f t="shared" si="22"/>
        <v>4</v>
      </c>
      <c r="F1418">
        <v>411100</v>
      </c>
      <c r="G1418" t="s">
        <v>18</v>
      </c>
      <c r="H1418" t="s">
        <v>243</v>
      </c>
      <c r="I1418" t="s">
        <v>244</v>
      </c>
      <c r="J1418">
        <v>121090224</v>
      </c>
      <c r="K1418">
        <v>20220420</v>
      </c>
      <c r="L1418" t="s">
        <v>1856</v>
      </c>
      <c r="M1418">
        <v>0</v>
      </c>
      <c r="N1418">
        <v>2</v>
      </c>
      <c r="O1418" t="s">
        <v>23</v>
      </c>
      <c r="P1418">
        <v>20230329</v>
      </c>
      <c r="Q1418">
        <v>20220420</v>
      </c>
    </row>
    <row r="1419" spans="1:17" x14ac:dyDescent="0.25">
      <c r="A1419" t="s">
        <v>548</v>
      </c>
      <c r="B1419" t="s">
        <v>429</v>
      </c>
      <c r="C1419">
        <v>55</v>
      </c>
      <c r="D1419">
        <v>20220420</v>
      </c>
      <c r="E1419">
        <f t="shared" si="22"/>
        <v>4</v>
      </c>
      <c r="F1419">
        <v>531105</v>
      </c>
      <c r="G1419" t="s">
        <v>429</v>
      </c>
      <c r="H1419" t="s">
        <v>401</v>
      </c>
      <c r="I1419" t="s">
        <v>402</v>
      </c>
      <c r="J1419">
        <v>339400</v>
      </c>
      <c r="K1419">
        <v>20220420</v>
      </c>
      <c r="L1419" t="s">
        <v>565</v>
      </c>
      <c r="M1419">
        <v>56</v>
      </c>
      <c r="N1419">
        <v>0</v>
      </c>
      <c r="O1419" t="s">
        <v>19</v>
      </c>
      <c r="P1419" t="s">
        <v>20</v>
      </c>
      <c r="Q1419">
        <v>20220420</v>
      </c>
    </row>
    <row r="1420" spans="1:17" x14ac:dyDescent="0.25">
      <c r="A1420" t="s">
        <v>548</v>
      </c>
      <c r="B1420" t="s">
        <v>429</v>
      </c>
      <c r="C1420">
        <v>55</v>
      </c>
      <c r="D1420">
        <v>20220421</v>
      </c>
      <c r="E1420">
        <f t="shared" si="22"/>
        <v>4</v>
      </c>
      <c r="F1420">
        <v>467100</v>
      </c>
      <c r="G1420" t="s">
        <v>160</v>
      </c>
      <c r="H1420" t="s">
        <v>668</v>
      </c>
      <c r="I1420" t="s">
        <v>669</v>
      </c>
      <c r="J1420" t="s">
        <v>1857</v>
      </c>
      <c r="K1420">
        <v>20220421</v>
      </c>
      <c r="L1420" t="s">
        <v>1858</v>
      </c>
      <c r="M1420">
        <v>15</v>
      </c>
      <c r="N1420">
        <v>0</v>
      </c>
      <c r="O1420" t="s">
        <v>19</v>
      </c>
      <c r="P1420" t="s">
        <v>20</v>
      </c>
      <c r="Q1420">
        <v>20220421</v>
      </c>
    </row>
    <row r="1421" spans="1:17" x14ac:dyDescent="0.25">
      <c r="A1421" t="s">
        <v>548</v>
      </c>
      <c r="B1421" t="s">
        <v>429</v>
      </c>
      <c r="C1421">
        <v>55</v>
      </c>
      <c r="D1421">
        <v>20220421</v>
      </c>
      <c r="E1421">
        <f t="shared" si="22"/>
        <v>4</v>
      </c>
      <c r="F1421">
        <v>531105</v>
      </c>
      <c r="G1421" t="s">
        <v>429</v>
      </c>
      <c r="H1421" t="s">
        <v>401</v>
      </c>
      <c r="I1421" t="s">
        <v>402</v>
      </c>
      <c r="J1421" t="s">
        <v>1857</v>
      </c>
      <c r="K1421">
        <v>20220421</v>
      </c>
      <c r="L1421" t="s">
        <v>1858</v>
      </c>
      <c r="M1421">
        <v>0</v>
      </c>
      <c r="N1421">
        <v>15</v>
      </c>
      <c r="O1421" t="s">
        <v>19</v>
      </c>
      <c r="P1421" t="s">
        <v>20</v>
      </c>
      <c r="Q1421">
        <v>20220421</v>
      </c>
    </row>
    <row r="1422" spans="1:17" x14ac:dyDescent="0.25">
      <c r="A1422" t="s">
        <v>548</v>
      </c>
      <c r="B1422" t="s">
        <v>429</v>
      </c>
      <c r="C1422">
        <v>55</v>
      </c>
      <c r="D1422">
        <v>20220422</v>
      </c>
      <c r="E1422">
        <f t="shared" si="22"/>
        <v>4</v>
      </c>
      <c r="F1422">
        <v>467100</v>
      </c>
      <c r="G1422" t="s">
        <v>160</v>
      </c>
      <c r="H1422" t="s">
        <v>170</v>
      </c>
      <c r="I1422" t="s">
        <v>171</v>
      </c>
      <c r="J1422" t="s">
        <v>1859</v>
      </c>
      <c r="K1422">
        <v>20220422</v>
      </c>
      <c r="L1422" t="s">
        <v>1860</v>
      </c>
      <c r="M1422">
        <v>268.05</v>
      </c>
      <c r="N1422">
        <v>0</v>
      </c>
      <c r="O1422" t="s">
        <v>23</v>
      </c>
      <c r="P1422">
        <v>20220427</v>
      </c>
      <c r="Q1422">
        <v>20220422</v>
      </c>
    </row>
    <row r="1423" spans="1:17" x14ac:dyDescent="0.25">
      <c r="A1423" t="s">
        <v>548</v>
      </c>
      <c r="B1423" t="s">
        <v>429</v>
      </c>
      <c r="C1423">
        <v>55</v>
      </c>
      <c r="D1423">
        <v>20220422</v>
      </c>
      <c r="E1423">
        <f t="shared" si="22"/>
        <v>4</v>
      </c>
      <c r="F1423">
        <v>531105</v>
      </c>
      <c r="G1423" t="s">
        <v>429</v>
      </c>
      <c r="H1423" t="s">
        <v>401</v>
      </c>
      <c r="I1423" t="s">
        <v>402</v>
      </c>
      <c r="J1423" t="s">
        <v>1859</v>
      </c>
      <c r="K1423">
        <v>20220422</v>
      </c>
      <c r="L1423" t="s">
        <v>1860</v>
      </c>
      <c r="M1423">
        <v>0</v>
      </c>
      <c r="N1423">
        <v>268.05</v>
      </c>
      <c r="O1423" t="s">
        <v>19</v>
      </c>
      <c r="P1423" t="s">
        <v>20</v>
      </c>
      <c r="Q1423">
        <v>20220422</v>
      </c>
    </row>
    <row r="1424" spans="1:17" x14ac:dyDescent="0.25">
      <c r="A1424" t="s">
        <v>548</v>
      </c>
      <c r="B1424" t="s">
        <v>429</v>
      </c>
      <c r="C1424">
        <v>55</v>
      </c>
      <c r="D1424">
        <v>20220422</v>
      </c>
      <c r="E1424">
        <f t="shared" si="22"/>
        <v>4</v>
      </c>
      <c r="F1424">
        <v>467100</v>
      </c>
      <c r="G1424" t="s">
        <v>160</v>
      </c>
      <c r="H1424" t="s">
        <v>1201</v>
      </c>
      <c r="I1424" t="s">
        <v>1202</v>
      </c>
      <c r="J1424" t="s">
        <v>1861</v>
      </c>
      <c r="K1424">
        <v>20220422</v>
      </c>
      <c r="L1424" t="s">
        <v>1862</v>
      </c>
      <c r="M1424">
        <v>27.4</v>
      </c>
      <c r="N1424">
        <v>0</v>
      </c>
      <c r="O1424" t="s">
        <v>23</v>
      </c>
      <c r="P1424">
        <v>20220427</v>
      </c>
      <c r="Q1424">
        <v>20220422</v>
      </c>
    </row>
    <row r="1425" spans="1:17" x14ac:dyDescent="0.25">
      <c r="A1425" t="s">
        <v>548</v>
      </c>
      <c r="B1425" t="s">
        <v>429</v>
      </c>
      <c r="C1425">
        <v>55</v>
      </c>
      <c r="D1425">
        <v>20220422</v>
      </c>
      <c r="E1425">
        <f t="shared" si="22"/>
        <v>4</v>
      </c>
      <c r="F1425">
        <v>531105</v>
      </c>
      <c r="G1425" t="s">
        <v>429</v>
      </c>
      <c r="H1425" t="s">
        <v>401</v>
      </c>
      <c r="I1425" t="s">
        <v>402</v>
      </c>
      <c r="J1425" t="s">
        <v>1861</v>
      </c>
      <c r="K1425">
        <v>20220422</v>
      </c>
      <c r="L1425" t="s">
        <v>1862</v>
      </c>
      <c r="M1425">
        <v>0</v>
      </c>
      <c r="N1425">
        <v>27.4</v>
      </c>
      <c r="O1425" t="s">
        <v>19</v>
      </c>
      <c r="P1425" t="s">
        <v>20</v>
      </c>
      <c r="Q1425">
        <v>20220422</v>
      </c>
    </row>
    <row r="1426" spans="1:17" x14ac:dyDescent="0.25">
      <c r="A1426" t="s">
        <v>548</v>
      </c>
      <c r="B1426" t="s">
        <v>429</v>
      </c>
      <c r="C1426">
        <v>55</v>
      </c>
      <c r="D1426">
        <v>20220422</v>
      </c>
      <c r="E1426">
        <f t="shared" si="22"/>
        <v>4</v>
      </c>
      <c r="F1426">
        <v>467100</v>
      </c>
      <c r="G1426" t="s">
        <v>160</v>
      </c>
      <c r="H1426" t="s">
        <v>1201</v>
      </c>
      <c r="I1426" t="s">
        <v>1202</v>
      </c>
      <c r="J1426" t="s">
        <v>1863</v>
      </c>
      <c r="K1426">
        <v>20220422</v>
      </c>
      <c r="L1426" t="s">
        <v>1864</v>
      </c>
      <c r="M1426">
        <v>9.74</v>
      </c>
      <c r="N1426">
        <v>0</v>
      </c>
      <c r="O1426" t="s">
        <v>23</v>
      </c>
      <c r="P1426">
        <v>20220427</v>
      </c>
      <c r="Q1426">
        <v>20220422</v>
      </c>
    </row>
    <row r="1427" spans="1:17" x14ac:dyDescent="0.25">
      <c r="A1427" t="s">
        <v>548</v>
      </c>
      <c r="B1427" t="s">
        <v>429</v>
      </c>
      <c r="C1427">
        <v>55</v>
      </c>
      <c r="D1427">
        <v>20220422</v>
      </c>
      <c r="E1427">
        <f t="shared" si="22"/>
        <v>4</v>
      </c>
      <c r="F1427">
        <v>531105</v>
      </c>
      <c r="G1427" t="s">
        <v>429</v>
      </c>
      <c r="H1427" t="s">
        <v>401</v>
      </c>
      <c r="I1427" t="s">
        <v>402</v>
      </c>
      <c r="J1427" t="s">
        <v>1863</v>
      </c>
      <c r="K1427">
        <v>20220422</v>
      </c>
      <c r="L1427" t="s">
        <v>1864</v>
      </c>
      <c r="M1427">
        <v>0</v>
      </c>
      <c r="N1427">
        <v>9.74</v>
      </c>
      <c r="O1427" t="s">
        <v>19</v>
      </c>
      <c r="P1427" t="s">
        <v>20</v>
      </c>
      <c r="Q1427">
        <v>20220422</v>
      </c>
    </row>
    <row r="1428" spans="1:17" x14ac:dyDescent="0.25">
      <c r="A1428" t="s">
        <v>548</v>
      </c>
      <c r="B1428" t="s">
        <v>429</v>
      </c>
      <c r="C1428">
        <v>55</v>
      </c>
      <c r="D1428">
        <v>20220422</v>
      </c>
      <c r="E1428">
        <f t="shared" si="22"/>
        <v>4</v>
      </c>
      <c r="F1428">
        <v>467100</v>
      </c>
      <c r="G1428" t="s">
        <v>160</v>
      </c>
      <c r="H1428" t="s">
        <v>1201</v>
      </c>
      <c r="I1428" t="s">
        <v>1202</v>
      </c>
      <c r="J1428" t="s">
        <v>1865</v>
      </c>
      <c r="K1428">
        <v>20220422</v>
      </c>
      <c r="L1428" t="s">
        <v>1866</v>
      </c>
      <c r="M1428">
        <v>8.2799999999999994</v>
      </c>
      <c r="N1428">
        <v>0</v>
      </c>
      <c r="O1428" t="s">
        <v>23</v>
      </c>
      <c r="P1428">
        <v>20220427</v>
      </c>
      <c r="Q1428">
        <v>20220422</v>
      </c>
    </row>
    <row r="1429" spans="1:17" x14ac:dyDescent="0.25">
      <c r="A1429" t="s">
        <v>548</v>
      </c>
      <c r="B1429" t="s">
        <v>429</v>
      </c>
      <c r="C1429">
        <v>55</v>
      </c>
      <c r="D1429">
        <v>20220422</v>
      </c>
      <c r="E1429">
        <f t="shared" si="22"/>
        <v>4</v>
      </c>
      <c r="F1429">
        <v>531105</v>
      </c>
      <c r="G1429" t="s">
        <v>429</v>
      </c>
      <c r="H1429" t="s">
        <v>401</v>
      </c>
      <c r="I1429" t="s">
        <v>402</v>
      </c>
      <c r="J1429" t="s">
        <v>1865</v>
      </c>
      <c r="K1429">
        <v>20220422</v>
      </c>
      <c r="L1429" t="s">
        <v>1866</v>
      </c>
      <c r="M1429">
        <v>0</v>
      </c>
      <c r="N1429">
        <v>8.2799999999999994</v>
      </c>
      <c r="O1429" t="s">
        <v>19</v>
      </c>
      <c r="P1429" t="s">
        <v>20</v>
      </c>
      <c r="Q1429">
        <v>20220422</v>
      </c>
    </row>
    <row r="1430" spans="1:17" x14ac:dyDescent="0.25">
      <c r="A1430" t="s">
        <v>548</v>
      </c>
      <c r="B1430" t="s">
        <v>429</v>
      </c>
      <c r="C1430">
        <v>55</v>
      </c>
      <c r="D1430">
        <v>20220422</v>
      </c>
      <c r="E1430">
        <f t="shared" si="22"/>
        <v>4</v>
      </c>
      <c r="F1430">
        <v>411100</v>
      </c>
      <c r="G1430" t="s">
        <v>18</v>
      </c>
      <c r="H1430" t="s">
        <v>85</v>
      </c>
      <c r="I1430" t="s">
        <v>86</v>
      </c>
      <c r="J1430">
        <v>339751</v>
      </c>
      <c r="K1430">
        <v>20220422</v>
      </c>
      <c r="L1430" t="s">
        <v>1867</v>
      </c>
      <c r="M1430">
        <v>0</v>
      </c>
      <c r="N1430">
        <v>12</v>
      </c>
      <c r="O1430" t="s">
        <v>23</v>
      </c>
      <c r="P1430">
        <v>20230218</v>
      </c>
      <c r="Q1430">
        <v>20220422</v>
      </c>
    </row>
    <row r="1431" spans="1:17" x14ac:dyDescent="0.25">
      <c r="A1431" t="s">
        <v>548</v>
      </c>
      <c r="B1431" t="s">
        <v>429</v>
      </c>
      <c r="C1431">
        <v>55</v>
      </c>
      <c r="D1431">
        <v>20220422</v>
      </c>
      <c r="E1431">
        <f t="shared" si="22"/>
        <v>4</v>
      </c>
      <c r="F1431">
        <v>411100</v>
      </c>
      <c r="G1431" t="s">
        <v>18</v>
      </c>
      <c r="H1431" t="s">
        <v>660</v>
      </c>
      <c r="I1431" t="s">
        <v>661</v>
      </c>
      <c r="J1431">
        <v>339752</v>
      </c>
      <c r="K1431">
        <v>20220422</v>
      </c>
      <c r="L1431" t="s">
        <v>1868</v>
      </c>
      <c r="M1431">
        <v>0</v>
      </c>
      <c r="N1431">
        <v>12</v>
      </c>
      <c r="O1431" t="s">
        <v>19</v>
      </c>
      <c r="P1431" t="s">
        <v>20</v>
      </c>
      <c r="Q1431">
        <v>20220422</v>
      </c>
    </row>
    <row r="1432" spans="1:17" x14ac:dyDescent="0.25">
      <c r="A1432" t="s">
        <v>548</v>
      </c>
      <c r="B1432" t="s">
        <v>429</v>
      </c>
      <c r="C1432">
        <v>55</v>
      </c>
      <c r="D1432">
        <v>20220422</v>
      </c>
      <c r="E1432">
        <f t="shared" si="22"/>
        <v>4</v>
      </c>
      <c r="F1432">
        <v>411100</v>
      </c>
      <c r="G1432" t="s">
        <v>18</v>
      </c>
      <c r="H1432" t="s">
        <v>1062</v>
      </c>
      <c r="I1432" t="s">
        <v>1063</v>
      </c>
      <c r="J1432">
        <v>339753</v>
      </c>
      <c r="K1432">
        <v>20220422</v>
      </c>
      <c r="L1432" t="s">
        <v>1869</v>
      </c>
      <c r="M1432">
        <v>0</v>
      </c>
      <c r="N1432">
        <v>12</v>
      </c>
      <c r="O1432" t="s">
        <v>22</v>
      </c>
      <c r="P1432">
        <v>20230218</v>
      </c>
      <c r="Q1432">
        <v>20220422</v>
      </c>
    </row>
    <row r="1433" spans="1:17" x14ac:dyDescent="0.25">
      <c r="A1433" t="s">
        <v>548</v>
      </c>
      <c r="B1433" t="s">
        <v>429</v>
      </c>
      <c r="C1433">
        <v>55</v>
      </c>
      <c r="D1433">
        <v>20220422</v>
      </c>
      <c r="E1433">
        <f t="shared" si="22"/>
        <v>4</v>
      </c>
      <c r="F1433">
        <v>411100</v>
      </c>
      <c r="G1433" t="s">
        <v>18</v>
      </c>
      <c r="H1433" t="s">
        <v>91</v>
      </c>
      <c r="I1433" t="s">
        <v>92</v>
      </c>
      <c r="J1433">
        <v>339754</v>
      </c>
      <c r="K1433">
        <v>20220422</v>
      </c>
      <c r="L1433" t="s">
        <v>1870</v>
      </c>
      <c r="M1433">
        <v>0</v>
      </c>
      <c r="N1433">
        <v>24</v>
      </c>
      <c r="O1433" t="s">
        <v>19</v>
      </c>
      <c r="P1433" t="s">
        <v>20</v>
      </c>
      <c r="Q1433">
        <v>20220422</v>
      </c>
    </row>
    <row r="1434" spans="1:17" x14ac:dyDescent="0.25">
      <c r="A1434" t="s">
        <v>548</v>
      </c>
      <c r="B1434" t="s">
        <v>429</v>
      </c>
      <c r="C1434">
        <v>55</v>
      </c>
      <c r="D1434">
        <v>20220422</v>
      </c>
      <c r="E1434">
        <f t="shared" si="22"/>
        <v>4</v>
      </c>
      <c r="F1434">
        <v>411100</v>
      </c>
      <c r="G1434" t="s">
        <v>18</v>
      </c>
      <c r="H1434" t="s">
        <v>187</v>
      </c>
      <c r="I1434" t="s">
        <v>188</v>
      </c>
      <c r="J1434">
        <v>339755</v>
      </c>
      <c r="K1434">
        <v>20220422</v>
      </c>
      <c r="L1434" t="s">
        <v>1871</v>
      </c>
      <c r="M1434">
        <v>0</v>
      </c>
      <c r="N1434">
        <v>24</v>
      </c>
      <c r="O1434" t="s">
        <v>22</v>
      </c>
      <c r="P1434">
        <v>20230218</v>
      </c>
      <c r="Q1434">
        <v>20220422</v>
      </c>
    </row>
    <row r="1435" spans="1:17" x14ac:dyDescent="0.25">
      <c r="A1435" t="s">
        <v>548</v>
      </c>
      <c r="B1435" t="s">
        <v>429</v>
      </c>
      <c r="C1435">
        <v>55</v>
      </c>
      <c r="D1435">
        <v>20220422</v>
      </c>
      <c r="E1435">
        <f t="shared" si="22"/>
        <v>4</v>
      </c>
      <c r="F1435">
        <v>411100</v>
      </c>
      <c r="G1435" t="s">
        <v>18</v>
      </c>
      <c r="H1435" t="s">
        <v>259</v>
      </c>
      <c r="I1435" t="s">
        <v>260</v>
      </c>
      <c r="J1435">
        <v>339756</v>
      </c>
      <c r="K1435">
        <v>20220422</v>
      </c>
      <c r="L1435" t="s">
        <v>1872</v>
      </c>
      <c r="M1435">
        <v>0</v>
      </c>
      <c r="N1435">
        <v>12</v>
      </c>
      <c r="O1435" t="s">
        <v>23</v>
      </c>
      <c r="P1435">
        <v>20230218</v>
      </c>
      <c r="Q1435">
        <v>20220422</v>
      </c>
    </row>
    <row r="1436" spans="1:17" x14ac:dyDescent="0.25">
      <c r="A1436" t="s">
        <v>548</v>
      </c>
      <c r="B1436" t="s">
        <v>429</v>
      </c>
      <c r="C1436">
        <v>55</v>
      </c>
      <c r="D1436">
        <v>20220422</v>
      </c>
      <c r="E1436">
        <f t="shared" si="22"/>
        <v>4</v>
      </c>
      <c r="F1436">
        <v>411100</v>
      </c>
      <c r="G1436" t="s">
        <v>18</v>
      </c>
      <c r="H1436" t="s">
        <v>259</v>
      </c>
      <c r="I1436" t="s">
        <v>260</v>
      </c>
      <c r="J1436">
        <v>339757</v>
      </c>
      <c r="K1436">
        <v>20220422</v>
      </c>
      <c r="L1436" t="s">
        <v>1873</v>
      </c>
      <c r="M1436">
        <v>0</v>
      </c>
      <c r="N1436">
        <v>12</v>
      </c>
      <c r="O1436" t="s">
        <v>23</v>
      </c>
      <c r="P1436">
        <v>20230218</v>
      </c>
      <c r="Q1436">
        <v>20220422</v>
      </c>
    </row>
    <row r="1437" spans="1:17" x14ac:dyDescent="0.25">
      <c r="A1437" t="s">
        <v>548</v>
      </c>
      <c r="B1437" t="s">
        <v>429</v>
      </c>
      <c r="C1437">
        <v>55</v>
      </c>
      <c r="D1437">
        <v>20220422</v>
      </c>
      <c r="E1437">
        <f t="shared" si="22"/>
        <v>4</v>
      </c>
      <c r="F1437">
        <v>411100</v>
      </c>
      <c r="G1437" t="s">
        <v>18</v>
      </c>
      <c r="H1437" t="s">
        <v>657</v>
      </c>
      <c r="I1437" t="s">
        <v>658</v>
      </c>
      <c r="J1437">
        <v>339758</v>
      </c>
      <c r="K1437">
        <v>20220422</v>
      </c>
      <c r="L1437" t="s">
        <v>1874</v>
      </c>
      <c r="M1437">
        <v>0</v>
      </c>
      <c r="N1437">
        <v>12</v>
      </c>
      <c r="O1437" t="s">
        <v>19</v>
      </c>
      <c r="P1437" t="s">
        <v>20</v>
      </c>
      <c r="Q1437">
        <v>20220422</v>
      </c>
    </row>
    <row r="1438" spans="1:17" x14ac:dyDescent="0.25">
      <c r="A1438" t="s">
        <v>548</v>
      </c>
      <c r="B1438" t="s">
        <v>429</v>
      </c>
      <c r="C1438">
        <v>55</v>
      </c>
      <c r="D1438">
        <v>20220422</v>
      </c>
      <c r="E1438">
        <f t="shared" si="22"/>
        <v>4</v>
      </c>
      <c r="F1438">
        <v>411100</v>
      </c>
      <c r="G1438" t="s">
        <v>18</v>
      </c>
      <c r="H1438" t="s">
        <v>154</v>
      </c>
      <c r="I1438" t="s">
        <v>155</v>
      </c>
      <c r="J1438">
        <v>339759</v>
      </c>
      <c r="K1438">
        <v>20220422</v>
      </c>
      <c r="L1438" t="s">
        <v>1875</v>
      </c>
      <c r="M1438">
        <v>0</v>
      </c>
      <c r="N1438">
        <v>24</v>
      </c>
      <c r="O1438" t="s">
        <v>19</v>
      </c>
      <c r="P1438" t="s">
        <v>20</v>
      </c>
      <c r="Q1438">
        <v>20220422</v>
      </c>
    </row>
    <row r="1439" spans="1:17" x14ac:dyDescent="0.25">
      <c r="A1439" t="s">
        <v>548</v>
      </c>
      <c r="B1439" t="s">
        <v>429</v>
      </c>
      <c r="C1439">
        <v>55</v>
      </c>
      <c r="D1439">
        <v>20220422</v>
      </c>
      <c r="E1439">
        <f t="shared" si="22"/>
        <v>4</v>
      </c>
      <c r="F1439">
        <v>411100</v>
      </c>
      <c r="G1439" t="s">
        <v>18</v>
      </c>
      <c r="H1439" t="s">
        <v>217</v>
      </c>
      <c r="I1439" t="s">
        <v>218</v>
      </c>
      <c r="J1439">
        <v>339760</v>
      </c>
      <c r="K1439">
        <v>20220422</v>
      </c>
      <c r="L1439" t="s">
        <v>1876</v>
      </c>
      <c r="M1439">
        <v>0</v>
      </c>
      <c r="N1439">
        <v>12</v>
      </c>
      <c r="O1439" t="s">
        <v>19</v>
      </c>
      <c r="P1439" t="s">
        <v>20</v>
      </c>
      <c r="Q1439">
        <v>20220422</v>
      </c>
    </row>
    <row r="1440" spans="1:17" x14ac:dyDescent="0.25">
      <c r="A1440" t="s">
        <v>548</v>
      </c>
      <c r="B1440" t="s">
        <v>429</v>
      </c>
      <c r="C1440">
        <v>55</v>
      </c>
      <c r="D1440">
        <v>20220422</v>
      </c>
      <c r="E1440">
        <f t="shared" si="22"/>
        <v>4</v>
      </c>
      <c r="F1440">
        <v>411100</v>
      </c>
      <c r="G1440" t="s">
        <v>18</v>
      </c>
      <c r="H1440" t="s">
        <v>65</v>
      </c>
      <c r="I1440" t="s">
        <v>66</v>
      </c>
      <c r="J1440">
        <v>339761</v>
      </c>
      <c r="K1440">
        <v>20220422</v>
      </c>
      <c r="L1440" t="s">
        <v>1877</v>
      </c>
      <c r="M1440">
        <v>0</v>
      </c>
      <c r="N1440">
        <v>12</v>
      </c>
      <c r="O1440" t="s">
        <v>19</v>
      </c>
      <c r="P1440" t="s">
        <v>20</v>
      </c>
      <c r="Q1440">
        <v>20220422</v>
      </c>
    </row>
    <row r="1441" spans="1:17" x14ac:dyDescent="0.25">
      <c r="A1441" t="s">
        <v>548</v>
      </c>
      <c r="B1441" t="s">
        <v>429</v>
      </c>
      <c r="C1441">
        <v>55</v>
      </c>
      <c r="D1441">
        <v>20220422</v>
      </c>
      <c r="E1441">
        <f t="shared" si="22"/>
        <v>4</v>
      </c>
      <c r="F1441">
        <v>411100</v>
      </c>
      <c r="G1441" t="s">
        <v>18</v>
      </c>
      <c r="H1441" t="s">
        <v>344</v>
      </c>
      <c r="I1441" t="s">
        <v>345</v>
      </c>
      <c r="J1441">
        <v>339762</v>
      </c>
      <c r="K1441">
        <v>20220422</v>
      </c>
      <c r="L1441" t="s">
        <v>1878</v>
      </c>
      <c r="M1441">
        <v>0</v>
      </c>
      <c r="N1441">
        <v>12</v>
      </c>
      <c r="O1441" t="s">
        <v>19</v>
      </c>
      <c r="P1441" t="s">
        <v>20</v>
      </c>
      <c r="Q1441">
        <v>20220422</v>
      </c>
    </row>
    <row r="1442" spans="1:17" x14ac:dyDescent="0.25">
      <c r="A1442" t="s">
        <v>548</v>
      </c>
      <c r="B1442" t="s">
        <v>429</v>
      </c>
      <c r="C1442">
        <v>55</v>
      </c>
      <c r="D1442">
        <v>20220422</v>
      </c>
      <c r="E1442">
        <f t="shared" si="22"/>
        <v>4</v>
      </c>
      <c r="F1442">
        <v>411100</v>
      </c>
      <c r="G1442" t="s">
        <v>18</v>
      </c>
      <c r="H1442" t="s">
        <v>105</v>
      </c>
      <c r="I1442" t="s">
        <v>106</v>
      </c>
      <c r="J1442">
        <v>339763</v>
      </c>
      <c r="K1442">
        <v>20220422</v>
      </c>
      <c r="L1442" t="s">
        <v>1879</v>
      </c>
      <c r="M1442">
        <v>0</v>
      </c>
      <c r="N1442">
        <v>36</v>
      </c>
      <c r="O1442" t="s">
        <v>19</v>
      </c>
      <c r="P1442" t="s">
        <v>20</v>
      </c>
      <c r="Q1442">
        <v>20220422</v>
      </c>
    </row>
    <row r="1443" spans="1:17" x14ac:dyDescent="0.25">
      <c r="A1443" t="s">
        <v>548</v>
      </c>
      <c r="B1443" t="s">
        <v>429</v>
      </c>
      <c r="C1443">
        <v>55</v>
      </c>
      <c r="D1443">
        <v>20220422</v>
      </c>
      <c r="E1443">
        <f t="shared" si="22"/>
        <v>4</v>
      </c>
      <c r="F1443">
        <v>411100</v>
      </c>
      <c r="G1443" t="s">
        <v>18</v>
      </c>
      <c r="H1443" t="s">
        <v>237</v>
      </c>
      <c r="I1443" t="s">
        <v>238</v>
      </c>
      <c r="J1443">
        <v>339764</v>
      </c>
      <c r="K1443">
        <v>20220422</v>
      </c>
      <c r="L1443" t="s">
        <v>1880</v>
      </c>
      <c r="M1443">
        <v>0</v>
      </c>
      <c r="N1443">
        <v>12</v>
      </c>
      <c r="O1443" t="s">
        <v>22</v>
      </c>
      <c r="P1443">
        <v>20230218</v>
      </c>
      <c r="Q1443">
        <v>20220422</v>
      </c>
    </row>
    <row r="1444" spans="1:17" x14ac:dyDescent="0.25">
      <c r="A1444" t="s">
        <v>548</v>
      </c>
      <c r="B1444" t="s">
        <v>429</v>
      </c>
      <c r="C1444">
        <v>55</v>
      </c>
      <c r="D1444">
        <v>20220422</v>
      </c>
      <c r="E1444">
        <f t="shared" si="22"/>
        <v>4</v>
      </c>
      <c r="F1444">
        <v>411100</v>
      </c>
      <c r="G1444" t="s">
        <v>18</v>
      </c>
      <c r="H1444" t="s">
        <v>1037</v>
      </c>
      <c r="I1444" t="s">
        <v>1038</v>
      </c>
      <c r="J1444">
        <v>339765</v>
      </c>
      <c r="K1444">
        <v>20220422</v>
      </c>
      <c r="L1444" t="s">
        <v>1881</v>
      </c>
      <c r="M1444">
        <v>0</v>
      </c>
      <c r="N1444">
        <v>12</v>
      </c>
      <c r="O1444" t="s">
        <v>22</v>
      </c>
      <c r="P1444">
        <v>20230218</v>
      </c>
      <c r="Q1444">
        <v>20220422</v>
      </c>
    </row>
    <row r="1445" spans="1:17" x14ac:dyDescent="0.25">
      <c r="A1445" t="s">
        <v>548</v>
      </c>
      <c r="B1445" t="s">
        <v>429</v>
      </c>
      <c r="C1445">
        <v>55</v>
      </c>
      <c r="D1445">
        <v>20220422</v>
      </c>
      <c r="E1445">
        <f t="shared" si="22"/>
        <v>4</v>
      </c>
      <c r="F1445">
        <v>411100</v>
      </c>
      <c r="G1445" t="s">
        <v>18</v>
      </c>
      <c r="H1445" t="s">
        <v>1033</v>
      </c>
      <c r="I1445" t="s">
        <v>1034</v>
      </c>
      <c r="J1445">
        <v>339766</v>
      </c>
      <c r="K1445">
        <v>20220422</v>
      </c>
      <c r="L1445" t="s">
        <v>1882</v>
      </c>
      <c r="M1445">
        <v>0</v>
      </c>
      <c r="N1445">
        <v>12</v>
      </c>
      <c r="O1445" t="s">
        <v>19</v>
      </c>
      <c r="P1445" t="s">
        <v>20</v>
      </c>
      <c r="Q1445">
        <v>20220422</v>
      </c>
    </row>
    <row r="1446" spans="1:17" x14ac:dyDescent="0.25">
      <c r="A1446" t="s">
        <v>548</v>
      </c>
      <c r="B1446" t="s">
        <v>429</v>
      </c>
      <c r="C1446">
        <v>55</v>
      </c>
      <c r="D1446">
        <v>20220422</v>
      </c>
      <c r="E1446">
        <f t="shared" si="22"/>
        <v>4</v>
      </c>
      <c r="F1446">
        <v>411100</v>
      </c>
      <c r="G1446" t="s">
        <v>18</v>
      </c>
      <c r="H1446" t="s">
        <v>1050</v>
      </c>
      <c r="I1446" t="s">
        <v>1051</v>
      </c>
      <c r="J1446">
        <v>339767</v>
      </c>
      <c r="K1446">
        <v>20220422</v>
      </c>
      <c r="L1446" t="s">
        <v>1883</v>
      </c>
      <c r="M1446">
        <v>0</v>
      </c>
      <c r="N1446">
        <v>12</v>
      </c>
      <c r="O1446" t="s">
        <v>22</v>
      </c>
      <c r="P1446">
        <v>20230218</v>
      </c>
      <c r="Q1446">
        <v>20220422</v>
      </c>
    </row>
    <row r="1447" spans="1:17" x14ac:dyDescent="0.25">
      <c r="A1447" t="s">
        <v>548</v>
      </c>
      <c r="B1447" t="s">
        <v>429</v>
      </c>
      <c r="C1447">
        <v>55</v>
      </c>
      <c r="D1447">
        <v>20220422</v>
      </c>
      <c r="E1447">
        <f t="shared" si="22"/>
        <v>4</v>
      </c>
      <c r="F1447">
        <v>411100</v>
      </c>
      <c r="G1447" t="s">
        <v>18</v>
      </c>
      <c r="H1447" t="s">
        <v>1053</v>
      </c>
      <c r="I1447" t="s">
        <v>1054</v>
      </c>
      <c r="J1447">
        <v>339768</v>
      </c>
      <c r="K1447">
        <v>20220422</v>
      </c>
      <c r="L1447" t="s">
        <v>1884</v>
      </c>
      <c r="M1447">
        <v>0</v>
      </c>
      <c r="N1447">
        <v>24</v>
      </c>
      <c r="O1447" t="s">
        <v>19</v>
      </c>
      <c r="P1447" t="s">
        <v>20</v>
      </c>
      <c r="Q1447">
        <v>20220422</v>
      </c>
    </row>
    <row r="1448" spans="1:17" x14ac:dyDescent="0.25">
      <c r="A1448" t="s">
        <v>548</v>
      </c>
      <c r="B1448" t="s">
        <v>429</v>
      </c>
      <c r="C1448">
        <v>55</v>
      </c>
      <c r="D1448">
        <v>20220422</v>
      </c>
      <c r="E1448">
        <f t="shared" si="22"/>
        <v>4</v>
      </c>
      <c r="F1448">
        <v>411100</v>
      </c>
      <c r="G1448" t="s">
        <v>18</v>
      </c>
      <c r="H1448" t="s">
        <v>263</v>
      </c>
      <c r="I1448" t="s">
        <v>264</v>
      </c>
      <c r="J1448">
        <v>339769</v>
      </c>
      <c r="K1448">
        <v>20220422</v>
      </c>
      <c r="L1448" t="s">
        <v>1885</v>
      </c>
      <c r="M1448">
        <v>0</v>
      </c>
      <c r="N1448">
        <v>12</v>
      </c>
      <c r="O1448" t="s">
        <v>19</v>
      </c>
      <c r="P1448" t="s">
        <v>20</v>
      </c>
      <c r="Q1448">
        <v>20220422</v>
      </c>
    </row>
    <row r="1449" spans="1:17" x14ac:dyDescent="0.25">
      <c r="A1449" t="s">
        <v>548</v>
      </c>
      <c r="B1449" t="s">
        <v>429</v>
      </c>
      <c r="C1449">
        <v>55</v>
      </c>
      <c r="D1449">
        <v>20220422</v>
      </c>
      <c r="E1449">
        <f t="shared" si="22"/>
        <v>4</v>
      </c>
      <c r="F1449">
        <v>411100</v>
      </c>
      <c r="G1449" t="s">
        <v>18</v>
      </c>
      <c r="H1449" t="s">
        <v>1062</v>
      </c>
      <c r="I1449" t="s">
        <v>1063</v>
      </c>
      <c r="J1449">
        <v>339770</v>
      </c>
      <c r="K1449">
        <v>20220422</v>
      </c>
      <c r="L1449" t="s">
        <v>1886</v>
      </c>
      <c r="M1449">
        <v>0</v>
      </c>
      <c r="N1449">
        <v>12</v>
      </c>
      <c r="O1449" t="s">
        <v>22</v>
      </c>
      <c r="P1449">
        <v>20230218</v>
      </c>
      <c r="Q1449">
        <v>20220422</v>
      </c>
    </row>
    <row r="1450" spans="1:17" x14ac:dyDescent="0.25">
      <c r="A1450" t="s">
        <v>548</v>
      </c>
      <c r="B1450" t="s">
        <v>429</v>
      </c>
      <c r="C1450">
        <v>55</v>
      </c>
      <c r="D1450">
        <v>20220422</v>
      </c>
      <c r="E1450">
        <f t="shared" si="22"/>
        <v>4</v>
      </c>
      <c r="F1450">
        <v>531105</v>
      </c>
      <c r="G1450" t="s">
        <v>429</v>
      </c>
      <c r="H1450" t="s">
        <v>401</v>
      </c>
      <c r="I1450" t="s">
        <v>402</v>
      </c>
      <c r="J1450">
        <v>339771</v>
      </c>
      <c r="K1450">
        <v>20220422</v>
      </c>
      <c r="L1450" t="s">
        <v>565</v>
      </c>
      <c r="M1450">
        <v>312</v>
      </c>
      <c r="N1450">
        <v>0</v>
      </c>
      <c r="O1450" t="s">
        <v>19</v>
      </c>
      <c r="P1450" t="s">
        <v>20</v>
      </c>
      <c r="Q1450">
        <v>20220422</v>
      </c>
    </row>
    <row r="1451" spans="1:17" x14ac:dyDescent="0.25">
      <c r="A1451" t="s">
        <v>548</v>
      </c>
      <c r="B1451" t="s">
        <v>429</v>
      </c>
      <c r="C1451">
        <v>55</v>
      </c>
      <c r="D1451">
        <v>20220425</v>
      </c>
      <c r="E1451">
        <f t="shared" si="22"/>
        <v>4</v>
      </c>
      <c r="F1451">
        <v>411100</v>
      </c>
      <c r="G1451" t="s">
        <v>18</v>
      </c>
      <c r="H1451" t="s">
        <v>1037</v>
      </c>
      <c r="I1451" t="s">
        <v>1038</v>
      </c>
      <c r="J1451">
        <v>339772</v>
      </c>
      <c r="K1451">
        <v>20220425</v>
      </c>
      <c r="L1451" t="s">
        <v>1887</v>
      </c>
      <c r="M1451">
        <v>0</v>
      </c>
      <c r="N1451">
        <v>3.5</v>
      </c>
      <c r="O1451" t="s">
        <v>22</v>
      </c>
      <c r="P1451">
        <v>20230218</v>
      </c>
      <c r="Q1451">
        <v>20220425</v>
      </c>
    </row>
    <row r="1452" spans="1:17" x14ac:dyDescent="0.25">
      <c r="A1452" t="s">
        <v>548</v>
      </c>
      <c r="B1452" t="s">
        <v>429</v>
      </c>
      <c r="C1452">
        <v>55</v>
      </c>
      <c r="D1452">
        <v>20220425</v>
      </c>
      <c r="E1452">
        <f t="shared" si="22"/>
        <v>4</v>
      </c>
      <c r="F1452">
        <v>411100</v>
      </c>
      <c r="G1452" t="s">
        <v>18</v>
      </c>
      <c r="H1452" t="s">
        <v>237</v>
      </c>
      <c r="I1452" t="s">
        <v>238</v>
      </c>
      <c r="J1452">
        <v>339773</v>
      </c>
      <c r="K1452">
        <v>20220425</v>
      </c>
      <c r="L1452" t="s">
        <v>1888</v>
      </c>
      <c r="M1452">
        <v>0</v>
      </c>
      <c r="N1452">
        <v>3.5</v>
      </c>
      <c r="O1452" t="s">
        <v>19</v>
      </c>
      <c r="P1452" t="s">
        <v>20</v>
      </c>
      <c r="Q1452">
        <v>20220425</v>
      </c>
    </row>
    <row r="1453" spans="1:17" x14ac:dyDescent="0.25">
      <c r="A1453" t="s">
        <v>548</v>
      </c>
      <c r="B1453" t="s">
        <v>429</v>
      </c>
      <c r="C1453">
        <v>55</v>
      </c>
      <c r="D1453">
        <v>20220425</v>
      </c>
      <c r="E1453">
        <f t="shared" si="22"/>
        <v>4</v>
      </c>
      <c r="F1453">
        <v>411100</v>
      </c>
      <c r="G1453" t="s">
        <v>18</v>
      </c>
      <c r="H1453" t="s">
        <v>344</v>
      </c>
      <c r="I1453" t="s">
        <v>345</v>
      </c>
      <c r="J1453">
        <v>339774</v>
      </c>
      <c r="K1453">
        <v>20220425</v>
      </c>
      <c r="L1453" t="s">
        <v>1889</v>
      </c>
      <c r="M1453">
        <v>0</v>
      </c>
      <c r="N1453">
        <v>3.5</v>
      </c>
      <c r="O1453" t="s">
        <v>19</v>
      </c>
      <c r="P1453" t="s">
        <v>20</v>
      </c>
      <c r="Q1453">
        <v>20220425</v>
      </c>
    </row>
    <row r="1454" spans="1:17" x14ac:dyDescent="0.25">
      <c r="A1454" t="s">
        <v>548</v>
      </c>
      <c r="B1454" t="s">
        <v>429</v>
      </c>
      <c r="C1454">
        <v>55</v>
      </c>
      <c r="D1454">
        <v>20220425</v>
      </c>
      <c r="E1454">
        <f t="shared" si="22"/>
        <v>4</v>
      </c>
      <c r="F1454">
        <v>411100</v>
      </c>
      <c r="G1454" t="s">
        <v>18</v>
      </c>
      <c r="H1454" t="s">
        <v>154</v>
      </c>
      <c r="I1454" t="s">
        <v>155</v>
      </c>
      <c r="J1454">
        <v>339775</v>
      </c>
      <c r="K1454">
        <v>20220425</v>
      </c>
      <c r="L1454" t="s">
        <v>1890</v>
      </c>
      <c r="M1454">
        <v>0</v>
      </c>
      <c r="N1454">
        <v>3.5</v>
      </c>
      <c r="O1454" t="s">
        <v>19</v>
      </c>
      <c r="P1454" t="s">
        <v>20</v>
      </c>
      <c r="Q1454">
        <v>20220425</v>
      </c>
    </row>
    <row r="1455" spans="1:17" x14ac:dyDescent="0.25">
      <c r="A1455" t="s">
        <v>548</v>
      </c>
      <c r="B1455" t="s">
        <v>429</v>
      </c>
      <c r="C1455">
        <v>55</v>
      </c>
      <c r="D1455">
        <v>20220425</v>
      </c>
      <c r="E1455">
        <f t="shared" si="22"/>
        <v>4</v>
      </c>
      <c r="F1455">
        <v>411100</v>
      </c>
      <c r="G1455" t="s">
        <v>18</v>
      </c>
      <c r="H1455" t="s">
        <v>187</v>
      </c>
      <c r="I1455" t="s">
        <v>188</v>
      </c>
      <c r="J1455">
        <v>339776</v>
      </c>
      <c r="K1455">
        <v>20220425</v>
      </c>
      <c r="L1455" t="s">
        <v>1891</v>
      </c>
      <c r="M1455">
        <v>0</v>
      </c>
      <c r="N1455">
        <v>7</v>
      </c>
      <c r="O1455" t="s">
        <v>22</v>
      </c>
      <c r="P1455">
        <v>20230218</v>
      </c>
      <c r="Q1455">
        <v>20220425</v>
      </c>
    </row>
    <row r="1456" spans="1:17" x14ac:dyDescent="0.25">
      <c r="A1456" t="s">
        <v>548</v>
      </c>
      <c r="B1456" t="s">
        <v>429</v>
      </c>
      <c r="C1456">
        <v>55</v>
      </c>
      <c r="D1456">
        <v>20220425</v>
      </c>
      <c r="E1456">
        <f t="shared" si="22"/>
        <v>4</v>
      </c>
      <c r="F1456">
        <v>411100</v>
      </c>
      <c r="G1456" t="s">
        <v>18</v>
      </c>
      <c r="H1456" t="s">
        <v>73</v>
      </c>
      <c r="I1456" t="s">
        <v>74</v>
      </c>
      <c r="J1456">
        <v>339777</v>
      </c>
      <c r="K1456">
        <v>20220425</v>
      </c>
      <c r="L1456" t="s">
        <v>1892</v>
      </c>
      <c r="M1456">
        <v>0</v>
      </c>
      <c r="N1456">
        <v>7</v>
      </c>
      <c r="O1456" t="s">
        <v>19</v>
      </c>
      <c r="P1456" t="s">
        <v>20</v>
      </c>
      <c r="Q1456">
        <v>20220425</v>
      </c>
    </row>
    <row r="1457" spans="1:17" x14ac:dyDescent="0.25">
      <c r="A1457" t="s">
        <v>548</v>
      </c>
      <c r="B1457" t="s">
        <v>429</v>
      </c>
      <c r="C1457">
        <v>55</v>
      </c>
      <c r="D1457">
        <v>20220425</v>
      </c>
      <c r="E1457">
        <f t="shared" si="22"/>
        <v>4</v>
      </c>
      <c r="F1457">
        <v>411100</v>
      </c>
      <c r="G1457" t="s">
        <v>18</v>
      </c>
      <c r="H1457" t="s">
        <v>1172</v>
      </c>
      <c r="I1457" t="s">
        <v>1173</v>
      </c>
      <c r="J1457">
        <v>339778</v>
      </c>
      <c r="K1457">
        <v>20220425</v>
      </c>
      <c r="L1457" t="s">
        <v>1893</v>
      </c>
      <c r="M1457">
        <v>0</v>
      </c>
      <c r="N1457">
        <v>3.5</v>
      </c>
      <c r="O1457" t="s">
        <v>19</v>
      </c>
      <c r="P1457" t="s">
        <v>20</v>
      </c>
      <c r="Q1457">
        <v>20220425</v>
      </c>
    </row>
    <row r="1458" spans="1:17" x14ac:dyDescent="0.25">
      <c r="A1458" t="s">
        <v>548</v>
      </c>
      <c r="B1458" t="s">
        <v>429</v>
      </c>
      <c r="C1458">
        <v>55</v>
      </c>
      <c r="D1458">
        <v>20220425</v>
      </c>
      <c r="E1458">
        <f t="shared" si="22"/>
        <v>4</v>
      </c>
      <c r="F1458">
        <v>411100</v>
      </c>
      <c r="G1458" t="s">
        <v>18</v>
      </c>
      <c r="H1458" t="s">
        <v>259</v>
      </c>
      <c r="I1458" t="s">
        <v>260</v>
      </c>
      <c r="J1458">
        <v>339779</v>
      </c>
      <c r="K1458">
        <v>20220425</v>
      </c>
      <c r="L1458" t="s">
        <v>1894</v>
      </c>
      <c r="M1458">
        <v>0</v>
      </c>
      <c r="N1458">
        <v>2</v>
      </c>
      <c r="O1458" t="s">
        <v>23</v>
      </c>
      <c r="P1458">
        <v>20230218</v>
      </c>
      <c r="Q1458">
        <v>20220425</v>
      </c>
    </row>
    <row r="1459" spans="1:17" x14ac:dyDescent="0.25">
      <c r="A1459" t="s">
        <v>548</v>
      </c>
      <c r="B1459" t="s">
        <v>429</v>
      </c>
      <c r="C1459">
        <v>55</v>
      </c>
      <c r="D1459">
        <v>20220425</v>
      </c>
      <c r="E1459">
        <f t="shared" si="22"/>
        <v>4</v>
      </c>
      <c r="F1459">
        <v>411100</v>
      </c>
      <c r="G1459" t="s">
        <v>18</v>
      </c>
      <c r="H1459" t="s">
        <v>263</v>
      </c>
      <c r="I1459" t="s">
        <v>264</v>
      </c>
      <c r="J1459">
        <v>339780</v>
      </c>
      <c r="K1459">
        <v>20220425</v>
      </c>
      <c r="L1459" t="s">
        <v>1895</v>
      </c>
      <c r="M1459">
        <v>0</v>
      </c>
      <c r="N1459">
        <v>2</v>
      </c>
      <c r="O1459" t="s">
        <v>19</v>
      </c>
      <c r="P1459" t="s">
        <v>20</v>
      </c>
      <c r="Q1459">
        <v>20220425</v>
      </c>
    </row>
    <row r="1460" spans="1:17" x14ac:dyDescent="0.25">
      <c r="A1460" t="s">
        <v>548</v>
      </c>
      <c r="B1460" t="s">
        <v>429</v>
      </c>
      <c r="C1460">
        <v>55</v>
      </c>
      <c r="D1460">
        <v>20220425</v>
      </c>
      <c r="E1460">
        <f t="shared" si="22"/>
        <v>4</v>
      </c>
      <c r="F1460">
        <v>411100</v>
      </c>
      <c r="G1460" t="s">
        <v>18</v>
      </c>
      <c r="H1460" t="s">
        <v>105</v>
      </c>
      <c r="I1460" t="s">
        <v>106</v>
      </c>
      <c r="J1460">
        <v>339781</v>
      </c>
      <c r="K1460">
        <v>20220425</v>
      </c>
      <c r="L1460" t="s">
        <v>1896</v>
      </c>
      <c r="M1460">
        <v>0</v>
      </c>
      <c r="N1460">
        <v>2</v>
      </c>
      <c r="O1460" t="s">
        <v>19</v>
      </c>
      <c r="P1460" t="s">
        <v>20</v>
      </c>
      <c r="Q1460">
        <v>20220425</v>
      </c>
    </row>
    <row r="1461" spans="1:17" x14ac:dyDescent="0.25">
      <c r="A1461" t="s">
        <v>548</v>
      </c>
      <c r="B1461" t="s">
        <v>429</v>
      </c>
      <c r="C1461">
        <v>55</v>
      </c>
      <c r="D1461">
        <v>20220425</v>
      </c>
      <c r="E1461">
        <f t="shared" si="22"/>
        <v>4</v>
      </c>
      <c r="F1461">
        <v>411100</v>
      </c>
      <c r="G1461" t="s">
        <v>18</v>
      </c>
      <c r="H1461" t="s">
        <v>1053</v>
      </c>
      <c r="I1461" t="s">
        <v>1054</v>
      </c>
      <c r="J1461">
        <v>339782</v>
      </c>
      <c r="K1461">
        <v>20220425</v>
      </c>
      <c r="L1461" t="s">
        <v>1897</v>
      </c>
      <c r="M1461">
        <v>0</v>
      </c>
      <c r="N1461">
        <v>4</v>
      </c>
      <c r="O1461" t="s">
        <v>19</v>
      </c>
      <c r="P1461" t="s">
        <v>20</v>
      </c>
      <c r="Q1461">
        <v>20220425</v>
      </c>
    </row>
    <row r="1462" spans="1:17" x14ac:dyDescent="0.25">
      <c r="A1462" t="s">
        <v>548</v>
      </c>
      <c r="B1462" t="s">
        <v>429</v>
      </c>
      <c r="C1462">
        <v>55</v>
      </c>
      <c r="D1462">
        <v>20220425</v>
      </c>
      <c r="E1462">
        <f t="shared" si="22"/>
        <v>4</v>
      </c>
      <c r="F1462">
        <v>411100</v>
      </c>
      <c r="G1462" t="s">
        <v>18</v>
      </c>
      <c r="H1462" t="s">
        <v>1050</v>
      </c>
      <c r="I1462" t="s">
        <v>1051</v>
      </c>
      <c r="J1462">
        <v>339783</v>
      </c>
      <c r="K1462">
        <v>20220425</v>
      </c>
      <c r="L1462" t="s">
        <v>1898</v>
      </c>
      <c r="M1462">
        <v>0</v>
      </c>
      <c r="N1462">
        <v>2</v>
      </c>
      <c r="O1462" t="s">
        <v>22</v>
      </c>
      <c r="P1462">
        <v>20230218</v>
      </c>
      <c r="Q1462">
        <v>20220425</v>
      </c>
    </row>
    <row r="1463" spans="1:17" x14ac:dyDescent="0.25">
      <c r="A1463" t="s">
        <v>548</v>
      </c>
      <c r="B1463" t="s">
        <v>429</v>
      </c>
      <c r="C1463">
        <v>55</v>
      </c>
      <c r="D1463">
        <v>20220425</v>
      </c>
      <c r="E1463">
        <f t="shared" si="22"/>
        <v>4</v>
      </c>
      <c r="F1463">
        <v>411100</v>
      </c>
      <c r="G1463" t="s">
        <v>18</v>
      </c>
      <c r="H1463" t="s">
        <v>660</v>
      </c>
      <c r="I1463" t="s">
        <v>661</v>
      </c>
      <c r="J1463">
        <v>339784</v>
      </c>
      <c r="K1463">
        <v>20220425</v>
      </c>
      <c r="L1463" t="s">
        <v>1899</v>
      </c>
      <c r="M1463">
        <v>0</v>
      </c>
      <c r="N1463">
        <v>2</v>
      </c>
      <c r="O1463" t="s">
        <v>19</v>
      </c>
      <c r="P1463" t="s">
        <v>20</v>
      </c>
      <c r="Q1463">
        <v>20220425</v>
      </c>
    </row>
    <row r="1464" spans="1:17" x14ac:dyDescent="0.25">
      <c r="A1464" t="s">
        <v>548</v>
      </c>
      <c r="B1464" t="s">
        <v>429</v>
      </c>
      <c r="C1464">
        <v>55</v>
      </c>
      <c r="D1464">
        <v>20220425</v>
      </c>
      <c r="E1464">
        <f t="shared" si="22"/>
        <v>4</v>
      </c>
      <c r="F1464">
        <v>411100</v>
      </c>
      <c r="G1464" t="s">
        <v>18</v>
      </c>
      <c r="H1464" t="s">
        <v>660</v>
      </c>
      <c r="I1464" t="s">
        <v>661</v>
      </c>
      <c r="J1464">
        <v>339785</v>
      </c>
      <c r="K1464">
        <v>20220425</v>
      </c>
      <c r="L1464" t="s">
        <v>1900</v>
      </c>
      <c r="M1464">
        <v>0</v>
      </c>
      <c r="N1464">
        <v>2</v>
      </c>
      <c r="O1464" t="s">
        <v>19</v>
      </c>
      <c r="P1464" t="s">
        <v>20</v>
      </c>
      <c r="Q1464">
        <v>20220425</v>
      </c>
    </row>
    <row r="1465" spans="1:17" x14ac:dyDescent="0.25">
      <c r="A1465" t="s">
        <v>548</v>
      </c>
      <c r="B1465" t="s">
        <v>429</v>
      </c>
      <c r="C1465">
        <v>55</v>
      </c>
      <c r="D1465">
        <v>20220425</v>
      </c>
      <c r="E1465">
        <f t="shared" si="22"/>
        <v>4</v>
      </c>
      <c r="F1465">
        <v>411100</v>
      </c>
      <c r="G1465" t="s">
        <v>18</v>
      </c>
      <c r="H1465" t="s">
        <v>81</v>
      </c>
      <c r="I1465" t="s">
        <v>82</v>
      </c>
      <c r="J1465">
        <v>339786</v>
      </c>
      <c r="K1465">
        <v>20220425</v>
      </c>
      <c r="L1465" t="s">
        <v>1901</v>
      </c>
      <c r="M1465">
        <v>0</v>
      </c>
      <c r="N1465">
        <v>14</v>
      </c>
      <c r="O1465" t="s">
        <v>19</v>
      </c>
      <c r="P1465" t="s">
        <v>20</v>
      </c>
      <c r="Q1465">
        <v>20220425</v>
      </c>
    </row>
    <row r="1466" spans="1:17" x14ac:dyDescent="0.25">
      <c r="A1466" t="s">
        <v>548</v>
      </c>
      <c r="B1466" t="s">
        <v>429</v>
      </c>
      <c r="C1466">
        <v>55</v>
      </c>
      <c r="D1466">
        <v>20220425</v>
      </c>
      <c r="E1466">
        <f t="shared" si="22"/>
        <v>4</v>
      </c>
      <c r="F1466">
        <v>411100</v>
      </c>
      <c r="G1466" t="s">
        <v>18</v>
      </c>
      <c r="H1466" t="s">
        <v>1848</v>
      </c>
      <c r="I1466" t="s">
        <v>1849</v>
      </c>
      <c r="J1466">
        <v>339787</v>
      </c>
      <c r="K1466">
        <v>20220425</v>
      </c>
      <c r="L1466" t="s">
        <v>1902</v>
      </c>
      <c r="M1466">
        <v>0</v>
      </c>
      <c r="N1466">
        <v>3.5</v>
      </c>
      <c r="O1466" t="s">
        <v>22</v>
      </c>
      <c r="P1466">
        <v>20230218</v>
      </c>
      <c r="Q1466">
        <v>20220425</v>
      </c>
    </row>
    <row r="1467" spans="1:17" x14ac:dyDescent="0.25">
      <c r="A1467" t="s">
        <v>548</v>
      </c>
      <c r="B1467" t="s">
        <v>429</v>
      </c>
      <c r="C1467">
        <v>55</v>
      </c>
      <c r="D1467">
        <v>20220425</v>
      </c>
      <c r="E1467">
        <f t="shared" si="22"/>
        <v>4</v>
      </c>
      <c r="F1467">
        <v>411100</v>
      </c>
      <c r="G1467" t="s">
        <v>18</v>
      </c>
      <c r="H1467" t="s">
        <v>154</v>
      </c>
      <c r="I1467" t="s">
        <v>155</v>
      </c>
      <c r="J1467">
        <v>339788</v>
      </c>
      <c r="K1467">
        <v>20220425</v>
      </c>
      <c r="L1467" t="s">
        <v>1903</v>
      </c>
      <c r="M1467">
        <v>0</v>
      </c>
      <c r="N1467">
        <v>2</v>
      </c>
      <c r="O1467" t="s">
        <v>19</v>
      </c>
      <c r="P1467" t="s">
        <v>20</v>
      </c>
      <c r="Q1467">
        <v>20220425</v>
      </c>
    </row>
    <row r="1468" spans="1:17" x14ac:dyDescent="0.25">
      <c r="A1468" t="s">
        <v>548</v>
      </c>
      <c r="B1468" t="s">
        <v>429</v>
      </c>
      <c r="C1468">
        <v>55</v>
      </c>
      <c r="D1468">
        <v>20220425</v>
      </c>
      <c r="E1468">
        <f t="shared" si="22"/>
        <v>4</v>
      </c>
      <c r="F1468">
        <v>411100</v>
      </c>
      <c r="G1468" t="s">
        <v>18</v>
      </c>
      <c r="H1468" t="s">
        <v>1050</v>
      </c>
      <c r="I1468" t="s">
        <v>1051</v>
      </c>
      <c r="J1468">
        <v>339789</v>
      </c>
      <c r="K1468">
        <v>20220425</v>
      </c>
      <c r="L1468" t="s">
        <v>1904</v>
      </c>
      <c r="M1468">
        <v>0</v>
      </c>
      <c r="N1468">
        <v>2</v>
      </c>
      <c r="O1468" t="s">
        <v>22</v>
      </c>
      <c r="P1468">
        <v>20230218</v>
      </c>
      <c r="Q1468">
        <v>20220425</v>
      </c>
    </row>
    <row r="1469" spans="1:17" x14ac:dyDescent="0.25">
      <c r="A1469" t="s">
        <v>548</v>
      </c>
      <c r="B1469" t="s">
        <v>429</v>
      </c>
      <c r="C1469">
        <v>55</v>
      </c>
      <c r="D1469">
        <v>20220425</v>
      </c>
      <c r="E1469">
        <f t="shared" si="22"/>
        <v>4</v>
      </c>
      <c r="F1469">
        <v>411100</v>
      </c>
      <c r="G1469" t="s">
        <v>18</v>
      </c>
      <c r="H1469" t="s">
        <v>1053</v>
      </c>
      <c r="I1469" t="s">
        <v>1054</v>
      </c>
      <c r="J1469">
        <v>339790</v>
      </c>
      <c r="K1469">
        <v>20220425</v>
      </c>
      <c r="L1469" t="s">
        <v>1905</v>
      </c>
      <c r="M1469">
        <v>0</v>
      </c>
      <c r="N1469">
        <v>2</v>
      </c>
      <c r="O1469" t="s">
        <v>19</v>
      </c>
      <c r="P1469" t="s">
        <v>20</v>
      </c>
      <c r="Q1469">
        <v>20220425</v>
      </c>
    </row>
    <row r="1470" spans="1:17" x14ac:dyDescent="0.25">
      <c r="A1470" t="s">
        <v>548</v>
      </c>
      <c r="B1470" t="s">
        <v>429</v>
      </c>
      <c r="C1470">
        <v>55</v>
      </c>
      <c r="D1470">
        <v>20220425</v>
      </c>
      <c r="E1470">
        <f t="shared" si="22"/>
        <v>4</v>
      </c>
      <c r="F1470">
        <v>411100</v>
      </c>
      <c r="G1470" t="s">
        <v>18</v>
      </c>
      <c r="H1470" t="s">
        <v>1053</v>
      </c>
      <c r="I1470" t="s">
        <v>1054</v>
      </c>
      <c r="J1470">
        <v>339791</v>
      </c>
      <c r="K1470">
        <v>20220425</v>
      </c>
      <c r="L1470" t="s">
        <v>1906</v>
      </c>
      <c r="M1470">
        <v>0</v>
      </c>
      <c r="N1470">
        <v>2</v>
      </c>
      <c r="O1470" t="s">
        <v>19</v>
      </c>
      <c r="P1470" t="s">
        <v>20</v>
      </c>
      <c r="Q1470">
        <v>20220425</v>
      </c>
    </row>
    <row r="1471" spans="1:17" x14ac:dyDescent="0.25">
      <c r="A1471" t="s">
        <v>548</v>
      </c>
      <c r="B1471" t="s">
        <v>429</v>
      </c>
      <c r="C1471">
        <v>55</v>
      </c>
      <c r="D1471">
        <v>20220425</v>
      </c>
      <c r="E1471">
        <f t="shared" si="22"/>
        <v>4</v>
      </c>
      <c r="F1471">
        <v>411100</v>
      </c>
      <c r="G1471" t="s">
        <v>18</v>
      </c>
      <c r="H1471" t="s">
        <v>187</v>
      </c>
      <c r="I1471" t="s">
        <v>188</v>
      </c>
      <c r="J1471">
        <v>339792</v>
      </c>
      <c r="K1471">
        <v>20220425</v>
      </c>
      <c r="L1471" t="s">
        <v>1907</v>
      </c>
      <c r="M1471">
        <v>0</v>
      </c>
      <c r="N1471">
        <v>2</v>
      </c>
      <c r="O1471" t="s">
        <v>22</v>
      </c>
      <c r="P1471">
        <v>20230218</v>
      </c>
      <c r="Q1471">
        <v>20220425</v>
      </c>
    </row>
    <row r="1472" spans="1:17" x14ac:dyDescent="0.25">
      <c r="A1472" t="s">
        <v>548</v>
      </c>
      <c r="B1472" t="s">
        <v>429</v>
      </c>
      <c r="C1472">
        <v>55</v>
      </c>
      <c r="D1472">
        <v>20220425</v>
      </c>
      <c r="E1472">
        <f t="shared" si="22"/>
        <v>4</v>
      </c>
      <c r="F1472">
        <v>411100</v>
      </c>
      <c r="G1472" t="s">
        <v>18</v>
      </c>
      <c r="H1472" t="s">
        <v>259</v>
      </c>
      <c r="I1472" t="s">
        <v>260</v>
      </c>
      <c r="J1472">
        <v>339793</v>
      </c>
      <c r="K1472">
        <v>20220425</v>
      </c>
      <c r="L1472" t="s">
        <v>1908</v>
      </c>
      <c r="M1472">
        <v>0</v>
      </c>
      <c r="N1472">
        <v>2</v>
      </c>
      <c r="O1472" t="s">
        <v>23</v>
      </c>
      <c r="P1472">
        <v>20230218</v>
      </c>
      <c r="Q1472">
        <v>20220425</v>
      </c>
    </row>
    <row r="1473" spans="1:17" x14ac:dyDescent="0.25">
      <c r="A1473" t="s">
        <v>548</v>
      </c>
      <c r="B1473" t="s">
        <v>429</v>
      </c>
      <c r="C1473">
        <v>55</v>
      </c>
      <c r="D1473">
        <v>20220425</v>
      </c>
      <c r="E1473">
        <f t="shared" si="22"/>
        <v>4</v>
      </c>
      <c r="F1473">
        <v>411100</v>
      </c>
      <c r="G1473" t="s">
        <v>18</v>
      </c>
      <c r="H1473" t="s">
        <v>657</v>
      </c>
      <c r="I1473" t="s">
        <v>658</v>
      </c>
      <c r="J1473">
        <v>339794</v>
      </c>
      <c r="K1473">
        <v>20220425</v>
      </c>
      <c r="L1473" t="s">
        <v>1909</v>
      </c>
      <c r="M1473">
        <v>0</v>
      </c>
      <c r="N1473">
        <v>2</v>
      </c>
      <c r="O1473" t="s">
        <v>19</v>
      </c>
      <c r="P1473" t="s">
        <v>20</v>
      </c>
      <c r="Q1473">
        <v>20220425</v>
      </c>
    </row>
    <row r="1474" spans="1:17" x14ac:dyDescent="0.25">
      <c r="A1474" t="s">
        <v>548</v>
      </c>
      <c r="B1474" t="s">
        <v>429</v>
      </c>
      <c r="C1474">
        <v>55</v>
      </c>
      <c r="D1474">
        <v>20220425</v>
      </c>
      <c r="E1474">
        <f t="shared" si="22"/>
        <v>4</v>
      </c>
      <c r="F1474">
        <v>411100</v>
      </c>
      <c r="G1474" t="s">
        <v>18</v>
      </c>
      <c r="H1474" t="s">
        <v>263</v>
      </c>
      <c r="I1474" t="s">
        <v>264</v>
      </c>
      <c r="J1474">
        <v>339795</v>
      </c>
      <c r="K1474">
        <v>20220425</v>
      </c>
      <c r="L1474" t="s">
        <v>1910</v>
      </c>
      <c r="M1474">
        <v>0</v>
      </c>
      <c r="N1474">
        <v>2</v>
      </c>
      <c r="O1474" t="s">
        <v>19</v>
      </c>
      <c r="P1474" t="s">
        <v>20</v>
      </c>
      <c r="Q1474">
        <v>20220425</v>
      </c>
    </row>
    <row r="1475" spans="1:17" x14ac:dyDescent="0.25">
      <c r="A1475" t="s">
        <v>548</v>
      </c>
      <c r="B1475" t="s">
        <v>429</v>
      </c>
      <c r="C1475">
        <v>55</v>
      </c>
      <c r="D1475">
        <v>20220425</v>
      </c>
      <c r="E1475">
        <f t="shared" ref="E1475:E1538" si="23">VALUE(MID(D1475,5,2))</f>
        <v>4</v>
      </c>
      <c r="F1475">
        <v>411100</v>
      </c>
      <c r="G1475" t="s">
        <v>18</v>
      </c>
      <c r="H1475" t="s">
        <v>1911</v>
      </c>
      <c r="I1475" t="s">
        <v>1912</v>
      </c>
      <c r="J1475">
        <v>339796</v>
      </c>
      <c r="K1475">
        <v>20220425</v>
      </c>
      <c r="L1475" t="s">
        <v>1913</v>
      </c>
      <c r="M1475">
        <v>0</v>
      </c>
      <c r="N1475">
        <v>4</v>
      </c>
      <c r="O1475" t="s">
        <v>19</v>
      </c>
      <c r="P1475" t="s">
        <v>20</v>
      </c>
      <c r="Q1475">
        <v>20220425</v>
      </c>
    </row>
    <row r="1476" spans="1:17" x14ac:dyDescent="0.25">
      <c r="A1476" t="s">
        <v>548</v>
      </c>
      <c r="B1476" t="s">
        <v>429</v>
      </c>
      <c r="C1476">
        <v>55</v>
      </c>
      <c r="D1476">
        <v>20220425</v>
      </c>
      <c r="E1476">
        <f t="shared" si="23"/>
        <v>4</v>
      </c>
      <c r="F1476">
        <v>411100</v>
      </c>
      <c r="G1476" t="s">
        <v>18</v>
      </c>
      <c r="H1476" t="s">
        <v>81</v>
      </c>
      <c r="I1476" t="s">
        <v>82</v>
      </c>
      <c r="J1476">
        <v>339797</v>
      </c>
      <c r="K1476">
        <v>20220425</v>
      </c>
      <c r="L1476" t="s">
        <v>1914</v>
      </c>
      <c r="M1476">
        <v>0</v>
      </c>
      <c r="N1476">
        <v>2</v>
      </c>
      <c r="O1476" t="s">
        <v>19</v>
      </c>
      <c r="P1476" t="s">
        <v>20</v>
      </c>
      <c r="Q1476">
        <v>20220425</v>
      </c>
    </row>
    <row r="1477" spans="1:17" x14ac:dyDescent="0.25">
      <c r="A1477" t="s">
        <v>548</v>
      </c>
      <c r="B1477" t="s">
        <v>429</v>
      </c>
      <c r="C1477">
        <v>55</v>
      </c>
      <c r="D1477">
        <v>20220425</v>
      </c>
      <c r="E1477">
        <f t="shared" si="23"/>
        <v>4</v>
      </c>
      <c r="F1477">
        <v>411100</v>
      </c>
      <c r="G1477" t="s">
        <v>18</v>
      </c>
      <c r="H1477" t="s">
        <v>237</v>
      </c>
      <c r="I1477" t="s">
        <v>238</v>
      </c>
      <c r="J1477">
        <v>339798</v>
      </c>
      <c r="K1477">
        <v>20220425</v>
      </c>
      <c r="L1477" t="s">
        <v>1915</v>
      </c>
      <c r="M1477">
        <v>0</v>
      </c>
      <c r="N1477">
        <v>3.5</v>
      </c>
      <c r="O1477" t="s">
        <v>19</v>
      </c>
      <c r="P1477" t="s">
        <v>20</v>
      </c>
      <c r="Q1477">
        <v>20220425</v>
      </c>
    </row>
    <row r="1478" spans="1:17" x14ac:dyDescent="0.25">
      <c r="A1478" t="s">
        <v>548</v>
      </c>
      <c r="B1478" t="s">
        <v>429</v>
      </c>
      <c r="C1478">
        <v>55</v>
      </c>
      <c r="D1478">
        <v>20220425</v>
      </c>
      <c r="E1478">
        <f t="shared" si="23"/>
        <v>4</v>
      </c>
      <c r="F1478">
        <v>411100</v>
      </c>
      <c r="G1478" t="s">
        <v>18</v>
      </c>
      <c r="H1478" t="s">
        <v>660</v>
      </c>
      <c r="I1478" t="s">
        <v>661</v>
      </c>
      <c r="J1478">
        <v>339799</v>
      </c>
      <c r="K1478">
        <v>20220425</v>
      </c>
      <c r="L1478" t="s">
        <v>1916</v>
      </c>
      <c r="M1478">
        <v>0</v>
      </c>
      <c r="N1478">
        <v>4</v>
      </c>
      <c r="O1478" t="s">
        <v>19</v>
      </c>
      <c r="P1478" t="s">
        <v>20</v>
      </c>
      <c r="Q1478">
        <v>20220425</v>
      </c>
    </row>
    <row r="1479" spans="1:17" x14ac:dyDescent="0.25">
      <c r="A1479" t="s">
        <v>548</v>
      </c>
      <c r="B1479" t="s">
        <v>429</v>
      </c>
      <c r="C1479">
        <v>55</v>
      </c>
      <c r="D1479">
        <v>20220425</v>
      </c>
      <c r="E1479">
        <f t="shared" si="23"/>
        <v>4</v>
      </c>
      <c r="F1479">
        <v>411100</v>
      </c>
      <c r="G1479" t="s">
        <v>18</v>
      </c>
      <c r="H1479" t="s">
        <v>73</v>
      </c>
      <c r="I1479" t="s">
        <v>74</v>
      </c>
      <c r="J1479">
        <v>339800</v>
      </c>
      <c r="K1479">
        <v>20220425</v>
      </c>
      <c r="L1479" t="s">
        <v>1917</v>
      </c>
      <c r="M1479">
        <v>0</v>
      </c>
      <c r="N1479">
        <v>7</v>
      </c>
      <c r="O1479" t="s">
        <v>19</v>
      </c>
      <c r="P1479" t="s">
        <v>20</v>
      </c>
      <c r="Q1479">
        <v>20220425</v>
      </c>
    </row>
    <row r="1480" spans="1:17" x14ac:dyDescent="0.25">
      <c r="A1480" t="s">
        <v>548</v>
      </c>
      <c r="B1480" t="s">
        <v>429</v>
      </c>
      <c r="C1480">
        <v>55</v>
      </c>
      <c r="D1480">
        <v>20220425</v>
      </c>
      <c r="E1480">
        <f t="shared" si="23"/>
        <v>4</v>
      </c>
      <c r="F1480">
        <v>411100</v>
      </c>
      <c r="G1480" t="s">
        <v>18</v>
      </c>
      <c r="H1480" t="s">
        <v>65</v>
      </c>
      <c r="I1480" t="s">
        <v>66</v>
      </c>
      <c r="J1480">
        <v>339801</v>
      </c>
      <c r="K1480">
        <v>20220425</v>
      </c>
      <c r="L1480" t="s">
        <v>1918</v>
      </c>
      <c r="M1480">
        <v>0</v>
      </c>
      <c r="N1480">
        <v>2</v>
      </c>
      <c r="O1480" t="s">
        <v>22</v>
      </c>
      <c r="P1480">
        <v>20230218</v>
      </c>
      <c r="Q1480">
        <v>20220425</v>
      </c>
    </row>
    <row r="1481" spans="1:17" x14ac:dyDescent="0.25">
      <c r="A1481" t="s">
        <v>548</v>
      </c>
      <c r="B1481" t="s">
        <v>429</v>
      </c>
      <c r="C1481">
        <v>55</v>
      </c>
      <c r="D1481">
        <v>20220425</v>
      </c>
      <c r="E1481">
        <f t="shared" si="23"/>
        <v>4</v>
      </c>
      <c r="F1481">
        <v>411100</v>
      </c>
      <c r="G1481" t="s">
        <v>18</v>
      </c>
      <c r="H1481" t="s">
        <v>1848</v>
      </c>
      <c r="I1481" t="s">
        <v>1849</v>
      </c>
      <c r="J1481">
        <v>339802</v>
      </c>
      <c r="K1481">
        <v>20220425</v>
      </c>
      <c r="L1481" t="s">
        <v>1919</v>
      </c>
      <c r="M1481">
        <v>0</v>
      </c>
      <c r="N1481">
        <v>2</v>
      </c>
      <c r="O1481" t="s">
        <v>22</v>
      </c>
      <c r="P1481">
        <v>20230218</v>
      </c>
      <c r="Q1481">
        <v>20220425</v>
      </c>
    </row>
    <row r="1482" spans="1:17" x14ac:dyDescent="0.25">
      <c r="A1482" t="s">
        <v>548</v>
      </c>
      <c r="B1482" t="s">
        <v>429</v>
      </c>
      <c r="C1482">
        <v>55</v>
      </c>
      <c r="D1482">
        <v>20220425</v>
      </c>
      <c r="E1482">
        <f t="shared" si="23"/>
        <v>4</v>
      </c>
      <c r="F1482">
        <v>411100</v>
      </c>
      <c r="G1482" t="s">
        <v>18</v>
      </c>
      <c r="H1482" t="s">
        <v>800</v>
      </c>
      <c r="I1482" t="s">
        <v>801</v>
      </c>
      <c r="J1482">
        <v>339803</v>
      </c>
      <c r="K1482">
        <v>20220425</v>
      </c>
      <c r="L1482" t="s">
        <v>1920</v>
      </c>
      <c r="M1482">
        <v>0</v>
      </c>
      <c r="N1482">
        <v>2</v>
      </c>
      <c r="O1482" t="s">
        <v>19</v>
      </c>
      <c r="P1482" t="s">
        <v>20</v>
      </c>
      <c r="Q1482">
        <v>20220425</v>
      </c>
    </row>
    <row r="1483" spans="1:17" x14ac:dyDescent="0.25">
      <c r="A1483" t="s">
        <v>548</v>
      </c>
      <c r="B1483" t="s">
        <v>429</v>
      </c>
      <c r="C1483">
        <v>55</v>
      </c>
      <c r="D1483">
        <v>20220425</v>
      </c>
      <c r="E1483">
        <f t="shared" si="23"/>
        <v>4</v>
      </c>
      <c r="F1483">
        <v>411100</v>
      </c>
      <c r="G1483" t="s">
        <v>18</v>
      </c>
      <c r="H1483" t="s">
        <v>187</v>
      </c>
      <c r="I1483" t="s">
        <v>188</v>
      </c>
      <c r="J1483">
        <v>339804</v>
      </c>
      <c r="K1483">
        <v>20220425</v>
      </c>
      <c r="L1483" t="s">
        <v>1921</v>
      </c>
      <c r="M1483">
        <v>0</v>
      </c>
      <c r="N1483">
        <v>3.5</v>
      </c>
      <c r="O1483" t="s">
        <v>22</v>
      </c>
      <c r="P1483">
        <v>20230218</v>
      </c>
      <c r="Q1483">
        <v>20220425</v>
      </c>
    </row>
    <row r="1484" spans="1:17" x14ac:dyDescent="0.25">
      <c r="A1484" t="s">
        <v>548</v>
      </c>
      <c r="B1484" t="s">
        <v>429</v>
      </c>
      <c r="C1484">
        <v>55</v>
      </c>
      <c r="D1484">
        <v>20220425</v>
      </c>
      <c r="E1484">
        <f t="shared" si="23"/>
        <v>4</v>
      </c>
      <c r="F1484">
        <v>411100</v>
      </c>
      <c r="G1484" t="s">
        <v>18</v>
      </c>
      <c r="H1484" t="s">
        <v>1062</v>
      </c>
      <c r="I1484" t="s">
        <v>1063</v>
      </c>
      <c r="J1484">
        <v>339805</v>
      </c>
      <c r="K1484">
        <v>20220425</v>
      </c>
      <c r="L1484" t="s">
        <v>1922</v>
      </c>
      <c r="M1484">
        <v>0</v>
      </c>
      <c r="N1484">
        <v>2</v>
      </c>
      <c r="O1484" t="s">
        <v>22</v>
      </c>
      <c r="P1484">
        <v>20230218</v>
      </c>
      <c r="Q1484">
        <v>20220425</v>
      </c>
    </row>
    <row r="1485" spans="1:17" x14ac:dyDescent="0.25">
      <c r="A1485" t="s">
        <v>548</v>
      </c>
      <c r="B1485" t="s">
        <v>429</v>
      </c>
      <c r="C1485">
        <v>55</v>
      </c>
      <c r="D1485">
        <v>20220425</v>
      </c>
      <c r="E1485">
        <f t="shared" si="23"/>
        <v>4</v>
      </c>
      <c r="F1485">
        <v>411100</v>
      </c>
      <c r="G1485" t="s">
        <v>18</v>
      </c>
      <c r="H1485" t="s">
        <v>154</v>
      </c>
      <c r="I1485" t="s">
        <v>155</v>
      </c>
      <c r="J1485">
        <v>339806</v>
      </c>
      <c r="K1485">
        <v>20220425</v>
      </c>
      <c r="L1485" t="s">
        <v>1923</v>
      </c>
      <c r="M1485">
        <v>0</v>
      </c>
      <c r="N1485">
        <v>3.5</v>
      </c>
      <c r="O1485" t="s">
        <v>19</v>
      </c>
      <c r="P1485" t="s">
        <v>20</v>
      </c>
      <c r="Q1485">
        <v>20220425</v>
      </c>
    </row>
    <row r="1486" spans="1:17" x14ac:dyDescent="0.25">
      <c r="A1486" t="s">
        <v>548</v>
      </c>
      <c r="B1486" t="s">
        <v>429</v>
      </c>
      <c r="C1486">
        <v>55</v>
      </c>
      <c r="D1486">
        <v>20220425</v>
      </c>
      <c r="E1486">
        <f t="shared" si="23"/>
        <v>4</v>
      </c>
      <c r="F1486">
        <v>411100</v>
      </c>
      <c r="G1486" t="s">
        <v>18</v>
      </c>
      <c r="H1486" t="s">
        <v>344</v>
      </c>
      <c r="I1486" t="s">
        <v>345</v>
      </c>
      <c r="J1486">
        <v>339807</v>
      </c>
      <c r="K1486">
        <v>20220425</v>
      </c>
      <c r="L1486" t="s">
        <v>1924</v>
      </c>
      <c r="M1486">
        <v>0</v>
      </c>
      <c r="N1486">
        <v>3.5</v>
      </c>
      <c r="O1486" t="s">
        <v>19</v>
      </c>
      <c r="P1486" t="s">
        <v>20</v>
      </c>
      <c r="Q1486">
        <v>20220425</v>
      </c>
    </row>
    <row r="1487" spans="1:17" x14ac:dyDescent="0.25">
      <c r="A1487" t="s">
        <v>548</v>
      </c>
      <c r="B1487" t="s">
        <v>429</v>
      </c>
      <c r="C1487">
        <v>55</v>
      </c>
      <c r="D1487">
        <v>20220425</v>
      </c>
      <c r="E1487">
        <f t="shared" si="23"/>
        <v>4</v>
      </c>
      <c r="F1487">
        <v>411100</v>
      </c>
      <c r="G1487" t="s">
        <v>18</v>
      </c>
      <c r="H1487" t="s">
        <v>1037</v>
      </c>
      <c r="I1487" t="s">
        <v>1038</v>
      </c>
      <c r="J1487">
        <v>339808</v>
      </c>
      <c r="K1487">
        <v>20220425</v>
      </c>
      <c r="L1487" t="s">
        <v>1925</v>
      </c>
      <c r="M1487">
        <v>0</v>
      </c>
      <c r="N1487">
        <v>3.5</v>
      </c>
      <c r="O1487" t="s">
        <v>22</v>
      </c>
      <c r="P1487">
        <v>20230218</v>
      </c>
      <c r="Q1487">
        <v>20220425</v>
      </c>
    </row>
    <row r="1488" spans="1:17" x14ac:dyDescent="0.25">
      <c r="A1488" t="s">
        <v>548</v>
      </c>
      <c r="B1488" t="s">
        <v>429</v>
      </c>
      <c r="C1488">
        <v>55</v>
      </c>
      <c r="D1488">
        <v>20220425</v>
      </c>
      <c r="E1488">
        <f t="shared" si="23"/>
        <v>4</v>
      </c>
      <c r="F1488">
        <v>411100</v>
      </c>
      <c r="G1488" t="s">
        <v>18</v>
      </c>
      <c r="H1488" t="s">
        <v>85</v>
      </c>
      <c r="I1488" t="s">
        <v>86</v>
      </c>
      <c r="J1488">
        <v>339809</v>
      </c>
      <c r="K1488">
        <v>20220425</v>
      </c>
      <c r="L1488" t="s">
        <v>1926</v>
      </c>
      <c r="M1488">
        <v>0</v>
      </c>
      <c r="N1488">
        <v>1.5</v>
      </c>
      <c r="O1488" t="s">
        <v>23</v>
      </c>
      <c r="P1488">
        <v>20230218</v>
      </c>
      <c r="Q1488">
        <v>20220425</v>
      </c>
    </row>
    <row r="1489" spans="1:17" x14ac:dyDescent="0.25">
      <c r="A1489" t="s">
        <v>548</v>
      </c>
      <c r="B1489" t="s">
        <v>429</v>
      </c>
      <c r="C1489">
        <v>55</v>
      </c>
      <c r="D1489">
        <v>20220425</v>
      </c>
      <c r="E1489">
        <f t="shared" si="23"/>
        <v>4</v>
      </c>
      <c r="F1489">
        <v>411100</v>
      </c>
      <c r="G1489" t="s">
        <v>18</v>
      </c>
      <c r="H1489" t="s">
        <v>1911</v>
      </c>
      <c r="I1489" t="s">
        <v>1912</v>
      </c>
      <c r="J1489">
        <v>339810</v>
      </c>
      <c r="K1489">
        <v>20220425</v>
      </c>
      <c r="L1489" t="s">
        <v>1927</v>
      </c>
      <c r="M1489">
        <v>0</v>
      </c>
      <c r="N1489">
        <v>31</v>
      </c>
      <c r="O1489" t="s">
        <v>19</v>
      </c>
      <c r="P1489" t="s">
        <v>20</v>
      </c>
      <c r="Q1489">
        <v>20220425</v>
      </c>
    </row>
    <row r="1490" spans="1:17" x14ac:dyDescent="0.25">
      <c r="A1490" t="s">
        <v>548</v>
      </c>
      <c r="B1490" t="s">
        <v>429</v>
      </c>
      <c r="C1490">
        <v>55</v>
      </c>
      <c r="D1490">
        <v>20220425</v>
      </c>
      <c r="E1490">
        <f t="shared" si="23"/>
        <v>4</v>
      </c>
      <c r="F1490">
        <v>411100</v>
      </c>
      <c r="G1490" t="s">
        <v>18</v>
      </c>
      <c r="H1490" t="s">
        <v>1848</v>
      </c>
      <c r="I1490" t="s">
        <v>1849</v>
      </c>
      <c r="J1490">
        <v>339811</v>
      </c>
      <c r="K1490">
        <v>20220425</v>
      </c>
      <c r="L1490" t="s">
        <v>1928</v>
      </c>
      <c r="M1490">
        <v>0</v>
      </c>
      <c r="N1490">
        <v>12</v>
      </c>
      <c r="O1490" t="s">
        <v>22</v>
      </c>
      <c r="P1490">
        <v>20230218</v>
      </c>
      <c r="Q1490">
        <v>20220425</v>
      </c>
    </row>
    <row r="1491" spans="1:17" x14ac:dyDescent="0.25">
      <c r="A1491" t="s">
        <v>548</v>
      </c>
      <c r="B1491" t="s">
        <v>429</v>
      </c>
      <c r="C1491">
        <v>55</v>
      </c>
      <c r="D1491">
        <v>20220425</v>
      </c>
      <c r="E1491">
        <f t="shared" si="23"/>
        <v>4</v>
      </c>
      <c r="F1491">
        <v>531105</v>
      </c>
      <c r="G1491" t="s">
        <v>429</v>
      </c>
      <c r="H1491" t="s">
        <v>401</v>
      </c>
      <c r="I1491" t="s">
        <v>402</v>
      </c>
      <c r="J1491">
        <v>339812</v>
      </c>
      <c r="K1491">
        <v>20220425</v>
      </c>
      <c r="L1491" t="s">
        <v>565</v>
      </c>
      <c r="M1491">
        <v>168</v>
      </c>
      <c r="N1491">
        <v>0</v>
      </c>
      <c r="O1491" t="s">
        <v>19</v>
      </c>
      <c r="P1491" t="s">
        <v>20</v>
      </c>
      <c r="Q1491">
        <v>20220425</v>
      </c>
    </row>
    <row r="1492" spans="1:17" x14ac:dyDescent="0.25">
      <c r="A1492" t="s">
        <v>548</v>
      </c>
      <c r="B1492" t="s">
        <v>429</v>
      </c>
      <c r="C1492">
        <v>55</v>
      </c>
      <c r="D1492">
        <v>20220426</v>
      </c>
      <c r="E1492">
        <f t="shared" si="23"/>
        <v>4</v>
      </c>
      <c r="F1492">
        <v>411100</v>
      </c>
      <c r="G1492" t="s">
        <v>18</v>
      </c>
      <c r="H1492" t="s">
        <v>1848</v>
      </c>
      <c r="I1492" t="s">
        <v>1849</v>
      </c>
      <c r="J1492">
        <v>339813</v>
      </c>
      <c r="K1492">
        <v>20220426</v>
      </c>
      <c r="L1492" t="s">
        <v>1929</v>
      </c>
      <c r="M1492">
        <v>0</v>
      </c>
      <c r="N1492">
        <v>3.5</v>
      </c>
      <c r="O1492" t="s">
        <v>22</v>
      </c>
      <c r="P1492">
        <v>20230218</v>
      </c>
      <c r="Q1492">
        <v>20220426</v>
      </c>
    </row>
    <row r="1493" spans="1:17" x14ac:dyDescent="0.25">
      <c r="A1493" t="s">
        <v>548</v>
      </c>
      <c r="B1493" t="s">
        <v>429</v>
      </c>
      <c r="C1493">
        <v>55</v>
      </c>
      <c r="D1493">
        <v>20220426</v>
      </c>
      <c r="E1493">
        <f t="shared" si="23"/>
        <v>4</v>
      </c>
      <c r="F1493">
        <v>411100</v>
      </c>
      <c r="G1493" t="s">
        <v>18</v>
      </c>
      <c r="H1493" t="s">
        <v>800</v>
      </c>
      <c r="I1493" t="s">
        <v>801</v>
      </c>
      <c r="J1493">
        <v>339814</v>
      </c>
      <c r="K1493">
        <v>20220426</v>
      </c>
      <c r="L1493" t="s">
        <v>1930</v>
      </c>
      <c r="M1493">
        <v>0</v>
      </c>
      <c r="N1493">
        <v>3.5</v>
      </c>
      <c r="O1493" t="s">
        <v>19</v>
      </c>
      <c r="P1493" t="s">
        <v>20</v>
      </c>
      <c r="Q1493">
        <v>20220426</v>
      </c>
    </row>
    <row r="1494" spans="1:17" x14ac:dyDescent="0.25">
      <c r="A1494" t="s">
        <v>548</v>
      </c>
      <c r="B1494" t="s">
        <v>429</v>
      </c>
      <c r="C1494">
        <v>55</v>
      </c>
      <c r="D1494">
        <v>20220426</v>
      </c>
      <c r="E1494">
        <f t="shared" si="23"/>
        <v>4</v>
      </c>
      <c r="F1494">
        <v>411100</v>
      </c>
      <c r="G1494" t="s">
        <v>18</v>
      </c>
      <c r="H1494" t="s">
        <v>344</v>
      </c>
      <c r="I1494" t="s">
        <v>345</v>
      </c>
      <c r="J1494">
        <v>339815</v>
      </c>
      <c r="K1494">
        <v>20220426</v>
      </c>
      <c r="L1494" t="s">
        <v>1931</v>
      </c>
      <c r="M1494">
        <v>0</v>
      </c>
      <c r="N1494">
        <v>3.5</v>
      </c>
      <c r="O1494" t="s">
        <v>19</v>
      </c>
      <c r="P1494" t="s">
        <v>20</v>
      </c>
      <c r="Q1494">
        <v>20220426</v>
      </c>
    </row>
    <row r="1495" spans="1:17" x14ac:dyDescent="0.25">
      <c r="A1495" t="s">
        <v>548</v>
      </c>
      <c r="B1495" t="s">
        <v>429</v>
      </c>
      <c r="C1495">
        <v>55</v>
      </c>
      <c r="D1495">
        <v>20220426</v>
      </c>
      <c r="E1495">
        <f t="shared" si="23"/>
        <v>4</v>
      </c>
      <c r="F1495">
        <v>411100</v>
      </c>
      <c r="G1495" t="s">
        <v>18</v>
      </c>
      <c r="H1495" t="s">
        <v>1062</v>
      </c>
      <c r="I1495" t="s">
        <v>1063</v>
      </c>
      <c r="J1495">
        <v>339816</v>
      </c>
      <c r="K1495">
        <v>20220426</v>
      </c>
      <c r="L1495" t="s">
        <v>1932</v>
      </c>
      <c r="M1495">
        <v>0</v>
      </c>
      <c r="N1495">
        <v>2</v>
      </c>
      <c r="O1495" t="s">
        <v>22</v>
      </c>
      <c r="P1495">
        <v>20230218</v>
      </c>
      <c r="Q1495">
        <v>20220426</v>
      </c>
    </row>
    <row r="1496" spans="1:17" x14ac:dyDescent="0.25">
      <c r="A1496" t="s">
        <v>548</v>
      </c>
      <c r="B1496" t="s">
        <v>429</v>
      </c>
      <c r="C1496">
        <v>55</v>
      </c>
      <c r="D1496">
        <v>20220426</v>
      </c>
      <c r="E1496">
        <f t="shared" si="23"/>
        <v>4</v>
      </c>
      <c r="F1496">
        <v>411100</v>
      </c>
      <c r="G1496" t="s">
        <v>18</v>
      </c>
      <c r="H1496" t="s">
        <v>65</v>
      </c>
      <c r="I1496" t="s">
        <v>66</v>
      </c>
      <c r="J1496">
        <v>339817</v>
      </c>
      <c r="K1496">
        <v>20220426</v>
      </c>
      <c r="L1496" t="s">
        <v>1933</v>
      </c>
      <c r="M1496">
        <v>0</v>
      </c>
      <c r="N1496">
        <v>2</v>
      </c>
      <c r="O1496" t="s">
        <v>22</v>
      </c>
      <c r="P1496">
        <v>20230218</v>
      </c>
      <c r="Q1496">
        <v>20220426</v>
      </c>
    </row>
    <row r="1497" spans="1:17" x14ac:dyDescent="0.25">
      <c r="A1497" t="s">
        <v>548</v>
      </c>
      <c r="B1497" t="s">
        <v>429</v>
      </c>
      <c r="C1497">
        <v>55</v>
      </c>
      <c r="D1497">
        <v>20220426</v>
      </c>
      <c r="E1497">
        <f t="shared" si="23"/>
        <v>4</v>
      </c>
      <c r="F1497">
        <v>411100</v>
      </c>
      <c r="G1497" t="s">
        <v>18</v>
      </c>
      <c r="H1497" t="s">
        <v>85</v>
      </c>
      <c r="I1497" t="s">
        <v>86</v>
      </c>
      <c r="J1497">
        <v>339818</v>
      </c>
      <c r="K1497">
        <v>20220426</v>
      </c>
      <c r="L1497" t="s">
        <v>1934</v>
      </c>
      <c r="M1497">
        <v>0</v>
      </c>
      <c r="N1497">
        <v>2</v>
      </c>
      <c r="O1497" t="s">
        <v>23</v>
      </c>
      <c r="P1497">
        <v>20230218</v>
      </c>
      <c r="Q1497">
        <v>20220426</v>
      </c>
    </row>
    <row r="1498" spans="1:17" x14ac:dyDescent="0.25">
      <c r="A1498" t="s">
        <v>548</v>
      </c>
      <c r="B1498" t="s">
        <v>429</v>
      </c>
      <c r="C1498">
        <v>55</v>
      </c>
      <c r="D1498">
        <v>20220426</v>
      </c>
      <c r="E1498">
        <f t="shared" si="23"/>
        <v>4</v>
      </c>
      <c r="F1498">
        <v>411100</v>
      </c>
      <c r="G1498" t="s">
        <v>18</v>
      </c>
      <c r="H1498" t="s">
        <v>660</v>
      </c>
      <c r="I1498" t="s">
        <v>661</v>
      </c>
      <c r="J1498">
        <v>339819</v>
      </c>
      <c r="K1498">
        <v>20220426</v>
      </c>
      <c r="L1498" t="s">
        <v>1935</v>
      </c>
      <c r="M1498">
        <v>0</v>
      </c>
      <c r="N1498">
        <v>3.5</v>
      </c>
      <c r="O1498" t="s">
        <v>19</v>
      </c>
      <c r="P1498" t="s">
        <v>20</v>
      </c>
      <c r="Q1498">
        <v>20220426</v>
      </c>
    </row>
    <row r="1499" spans="1:17" x14ac:dyDescent="0.25">
      <c r="A1499" t="s">
        <v>548</v>
      </c>
      <c r="B1499" t="s">
        <v>429</v>
      </c>
      <c r="C1499">
        <v>55</v>
      </c>
      <c r="D1499">
        <v>20220426</v>
      </c>
      <c r="E1499">
        <f t="shared" si="23"/>
        <v>4</v>
      </c>
      <c r="F1499">
        <v>411100</v>
      </c>
      <c r="G1499" t="s">
        <v>18</v>
      </c>
      <c r="H1499" t="s">
        <v>91</v>
      </c>
      <c r="I1499" t="s">
        <v>92</v>
      </c>
      <c r="J1499">
        <v>339820</v>
      </c>
      <c r="K1499">
        <v>20220426</v>
      </c>
      <c r="L1499" t="s">
        <v>1936</v>
      </c>
      <c r="M1499">
        <v>0</v>
      </c>
      <c r="N1499">
        <v>3.5</v>
      </c>
      <c r="O1499" t="s">
        <v>19</v>
      </c>
      <c r="P1499" t="s">
        <v>20</v>
      </c>
      <c r="Q1499">
        <v>20220426</v>
      </c>
    </row>
    <row r="1500" spans="1:17" x14ac:dyDescent="0.25">
      <c r="A1500" t="s">
        <v>548</v>
      </c>
      <c r="B1500" t="s">
        <v>429</v>
      </c>
      <c r="C1500">
        <v>55</v>
      </c>
      <c r="D1500">
        <v>20220426</v>
      </c>
      <c r="E1500">
        <f t="shared" si="23"/>
        <v>4</v>
      </c>
      <c r="F1500">
        <v>411100</v>
      </c>
      <c r="G1500" t="s">
        <v>18</v>
      </c>
      <c r="H1500" t="s">
        <v>154</v>
      </c>
      <c r="I1500" t="s">
        <v>155</v>
      </c>
      <c r="J1500">
        <v>339821</v>
      </c>
      <c r="K1500">
        <v>20220426</v>
      </c>
      <c r="L1500" t="s">
        <v>1937</v>
      </c>
      <c r="M1500">
        <v>0</v>
      </c>
      <c r="N1500">
        <v>7</v>
      </c>
      <c r="O1500" t="s">
        <v>19</v>
      </c>
      <c r="P1500" t="s">
        <v>20</v>
      </c>
      <c r="Q1500">
        <v>20220426</v>
      </c>
    </row>
    <row r="1501" spans="1:17" x14ac:dyDescent="0.25">
      <c r="A1501" t="s">
        <v>548</v>
      </c>
      <c r="B1501" t="s">
        <v>429</v>
      </c>
      <c r="C1501">
        <v>55</v>
      </c>
      <c r="D1501">
        <v>20220426</v>
      </c>
      <c r="E1501">
        <f t="shared" si="23"/>
        <v>4</v>
      </c>
      <c r="F1501">
        <v>411100</v>
      </c>
      <c r="G1501" t="s">
        <v>18</v>
      </c>
      <c r="H1501" t="s">
        <v>1911</v>
      </c>
      <c r="I1501" t="s">
        <v>1912</v>
      </c>
      <c r="J1501">
        <v>339822</v>
      </c>
      <c r="K1501">
        <v>20220426</v>
      </c>
      <c r="L1501" t="s">
        <v>1938</v>
      </c>
      <c r="M1501">
        <v>0</v>
      </c>
      <c r="N1501">
        <v>2</v>
      </c>
      <c r="O1501" t="s">
        <v>22</v>
      </c>
      <c r="P1501">
        <v>20230218</v>
      </c>
      <c r="Q1501">
        <v>20220426</v>
      </c>
    </row>
    <row r="1502" spans="1:17" x14ac:dyDescent="0.25">
      <c r="A1502" t="s">
        <v>548</v>
      </c>
      <c r="B1502" t="s">
        <v>429</v>
      </c>
      <c r="C1502">
        <v>55</v>
      </c>
      <c r="D1502">
        <v>20220426</v>
      </c>
      <c r="E1502">
        <f t="shared" si="23"/>
        <v>4</v>
      </c>
      <c r="F1502">
        <v>411100</v>
      </c>
      <c r="G1502" t="s">
        <v>18</v>
      </c>
      <c r="H1502" t="s">
        <v>237</v>
      </c>
      <c r="I1502" t="s">
        <v>238</v>
      </c>
      <c r="J1502">
        <v>339823</v>
      </c>
      <c r="K1502">
        <v>20220426</v>
      </c>
      <c r="L1502" t="s">
        <v>1939</v>
      </c>
      <c r="M1502">
        <v>0</v>
      </c>
      <c r="N1502">
        <v>1.5</v>
      </c>
      <c r="O1502" t="s">
        <v>19</v>
      </c>
      <c r="P1502" t="s">
        <v>20</v>
      </c>
      <c r="Q1502">
        <v>20220426</v>
      </c>
    </row>
    <row r="1503" spans="1:17" x14ac:dyDescent="0.25">
      <c r="A1503" t="s">
        <v>548</v>
      </c>
      <c r="B1503" t="s">
        <v>429</v>
      </c>
      <c r="C1503">
        <v>55</v>
      </c>
      <c r="D1503">
        <v>20220426</v>
      </c>
      <c r="E1503">
        <f t="shared" si="23"/>
        <v>4</v>
      </c>
      <c r="F1503">
        <v>411100</v>
      </c>
      <c r="G1503" t="s">
        <v>18</v>
      </c>
      <c r="H1503" t="s">
        <v>105</v>
      </c>
      <c r="I1503" t="s">
        <v>106</v>
      </c>
      <c r="J1503">
        <v>339824</v>
      </c>
      <c r="K1503">
        <v>20220426</v>
      </c>
      <c r="L1503" t="s">
        <v>1940</v>
      </c>
      <c r="M1503">
        <v>0</v>
      </c>
      <c r="N1503">
        <v>1.5</v>
      </c>
      <c r="O1503" t="s">
        <v>19</v>
      </c>
      <c r="P1503" t="s">
        <v>20</v>
      </c>
      <c r="Q1503">
        <v>20220426</v>
      </c>
    </row>
    <row r="1504" spans="1:17" x14ac:dyDescent="0.25">
      <c r="A1504" t="s">
        <v>548</v>
      </c>
      <c r="B1504" t="s">
        <v>429</v>
      </c>
      <c r="C1504">
        <v>55</v>
      </c>
      <c r="D1504">
        <v>20220426</v>
      </c>
      <c r="E1504">
        <f t="shared" si="23"/>
        <v>4</v>
      </c>
      <c r="F1504">
        <v>411100</v>
      </c>
      <c r="G1504" t="s">
        <v>18</v>
      </c>
      <c r="H1504" t="s">
        <v>1765</v>
      </c>
      <c r="I1504" t="s">
        <v>1766</v>
      </c>
      <c r="J1504">
        <v>339825</v>
      </c>
      <c r="K1504">
        <v>20220426</v>
      </c>
      <c r="L1504" t="s">
        <v>1941</v>
      </c>
      <c r="M1504">
        <v>0</v>
      </c>
      <c r="N1504">
        <v>7.87</v>
      </c>
      <c r="O1504" t="s">
        <v>23</v>
      </c>
      <c r="P1504">
        <v>20230218</v>
      </c>
      <c r="Q1504">
        <v>20220426</v>
      </c>
    </row>
    <row r="1505" spans="1:17" x14ac:dyDescent="0.25">
      <c r="A1505" t="s">
        <v>548</v>
      </c>
      <c r="B1505" t="s">
        <v>429</v>
      </c>
      <c r="C1505">
        <v>55</v>
      </c>
      <c r="D1505">
        <v>20220426</v>
      </c>
      <c r="E1505">
        <f t="shared" si="23"/>
        <v>4</v>
      </c>
      <c r="F1505">
        <v>411010</v>
      </c>
      <c r="G1505" t="s">
        <v>87</v>
      </c>
      <c r="H1505" t="s">
        <v>678</v>
      </c>
      <c r="I1505" t="s">
        <v>679</v>
      </c>
      <c r="J1505">
        <v>339826</v>
      </c>
      <c r="K1505">
        <v>20220426</v>
      </c>
      <c r="L1505" t="s">
        <v>1942</v>
      </c>
      <c r="M1505">
        <v>0</v>
      </c>
      <c r="N1505">
        <v>6</v>
      </c>
      <c r="O1505" t="s">
        <v>19</v>
      </c>
      <c r="P1505" t="s">
        <v>20</v>
      </c>
      <c r="Q1505">
        <v>20220426</v>
      </c>
    </row>
    <row r="1506" spans="1:17" x14ac:dyDescent="0.25">
      <c r="A1506" t="s">
        <v>548</v>
      </c>
      <c r="B1506" t="s">
        <v>429</v>
      </c>
      <c r="C1506">
        <v>55</v>
      </c>
      <c r="D1506">
        <v>20220426</v>
      </c>
      <c r="E1506">
        <f t="shared" si="23"/>
        <v>4</v>
      </c>
      <c r="F1506">
        <v>411100</v>
      </c>
      <c r="G1506" t="s">
        <v>18</v>
      </c>
      <c r="H1506" t="s">
        <v>277</v>
      </c>
      <c r="I1506" t="s">
        <v>278</v>
      </c>
      <c r="J1506">
        <v>339827</v>
      </c>
      <c r="K1506">
        <v>20220426</v>
      </c>
      <c r="L1506" t="s">
        <v>1943</v>
      </c>
      <c r="M1506">
        <v>0</v>
      </c>
      <c r="N1506">
        <v>9</v>
      </c>
      <c r="O1506" t="s">
        <v>19</v>
      </c>
      <c r="P1506" t="s">
        <v>20</v>
      </c>
      <c r="Q1506">
        <v>20220426</v>
      </c>
    </row>
    <row r="1507" spans="1:17" x14ac:dyDescent="0.25">
      <c r="A1507" t="s">
        <v>548</v>
      </c>
      <c r="B1507" t="s">
        <v>429</v>
      </c>
      <c r="C1507">
        <v>55</v>
      </c>
      <c r="D1507">
        <v>20220426</v>
      </c>
      <c r="E1507">
        <f t="shared" si="23"/>
        <v>4</v>
      </c>
      <c r="F1507">
        <v>411100</v>
      </c>
      <c r="G1507" t="s">
        <v>18</v>
      </c>
      <c r="H1507" t="s">
        <v>247</v>
      </c>
      <c r="I1507" t="s">
        <v>248</v>
      </c>
      <c r="J1507">
        <v>339828</v>
      </c>
      <c r="K1507">
        <v>20220426</v>
      </c>
      <c r="L1507" t="s">
        <v>1944</v>
      </c>
      <c r="M1507">
        <v>0</v>
      </c>
      <c r="N1507">
        <v>18</v>
      </c>
      <c r="O1507" t="s">
        <v>22</v>
      </c>
      <c r="P1507">
        <v>20230218</v>
      </c>
      <c r="Q1507">
        <v>20220426</v>
      </c>
    </row>
    <row r="1508" spans="1:17" x14ac:dyDescent="0.25">
      <c r="A1508" t="s">
        <v>548</v>
      </c>
      <c r="B1508" t="s">
        <v>429</v>
      </c>
      <c r="C1508">
        <v>55</v>
      </c>
      <c r="D1508">
        <v>20220426</v>
      </c>
      <c r="E1508">
        <f t="shared" si="23"/>
        <v>4</v>
      </c>
      <c r="F1508">
        <v>531105</v>
      </c>
      <c r="G1508" t="s">
        <v>429</v>
      </c>
      <c r="H1508" t="s">
        <v>401</v>
      </c>
      <c r="I1508" t="s">
        <v>402</v>
      </c>
      <c r="J1508">
        <v>339829</v>
      </c>
      <c r="K1508">
        <v>20220426</v>
      </c>
      <c r="L1508" t="s">
        <v>565</v>
      </c>
      <c r="M1508">
        <v>76.37</v>
      </c>
      <c r="N1508">
        <v>0</v>
      </c>
      <c r="O1508" t="s">
        <v>19</v>
      </c>
      <c r="P1508" t="s">
        <v>20</v>
      </c>
      <c r="Q1508">
        <v>20220426</v>
      </c>
    </row>
    <row r="1509" spans="1:17" x14ac:dyDescent="0.25">
      <c r="A1509" t="s">
        <v>548</v>
      </c>
      <c r="B1509" t="s">
        <v>429</v>
      </c>
      <c r="C1509">
        <v>55</v>
      </c>
      <c r="D1509">
        <v>20220427</v>
      </c>
      <c r="E1509">
        <f t="shared" si="23"/>
        <v>4</v>
      </c>
      <c r="F1509">
        <v>467100</v>
      </c>
      <c r="G1509" t="s">
        <v>160</v>
      </c>
      <c r="H1509" t="s">
        <v>1201</v>
      </c>
      <c r="I1509" t="s">
        <v>1202</v>
      </c>
      <c r="J1509" t="s">
        <v>1945</v>
      </c>
      <c r="K1509">
        <v>20220427</v>
      </c>
      <c r="L1509" t="s">
        <v>1946</v>
      </c>
      <c r="M1509">
        <v>3.8</v>
      </c>
      <c r="N1509">
        <v>0</v>
      </c>
      <c r="O1509" t="s">
        <v>23</v>
      </c>
      <c r="P1509">
        <v>20220609</v>
      </c>
      <c r="Q1509">
        <v>20220427</v>
      </c>
    </row>
    <row r="1510" spans="1:17" x14ac:dyDescent="0.25">
      <c r="A1510" t="s">
        <v>548</v>
      </c>
      <c r="B1510" t="s">
        <v>429</v>
      </c>
      <c r="C1510">
        <v>55</v>
      </c>
      <c r="D1510">
        <v>20220427</v>
      </c>
      <c r="E1510">
        <f t="shared" si="23"/>
        <v>4</v>
      </c>
      <c r="F1510">
        <v>531105</v>
      </c>
      <c r="G1510" t="s">
        <v>429</v>
      </c>
      <c r="H1510" t="s">
        <v>401</v>
      </c>
      <c r="I1510" t="s">
        <v>402</v>
      </c>
      <c r="J1510" t="s">
        <v>1945</v>
      </c>
      <c r="K1510">
        <v>20220427</v>
      </c>
      <c r="L1510" t="s">
        <v>1946</v>
      </c>
      <c r="M1510">
        <v>0</v>
      </c>
      <c r="N1510">
        <v>3.8</v>
      </c>
      <c r="O1510" t="s">
        <v>19</v>
      </c>
      <c r="P1510" t="s">
        <v>20</v>
      </c>
      <c r="Q1510">
        <v>20220427</v>
      </c>
    </row>
    <row r="1511" spans="1:17" x14ac:dyDescent="0.25">
      <c r="A1511" t="s">
        <v>548</v>
      </c>
      <c r="B1511" t="s">
        <v>429</v>
      </c>
      <c r="C1511">
        <v>55</v>
      </c>
      <c r="D1511">
        <v>20220427</v>
      </c>
      <c r="E1511">
        <f t="shared" si="23"/>
        <v>4</v>
      </c>
      <c r="F1511">
        <v>411100</v>
      </c>
      <c r="G1511" t="s">
        <v>18</v>
      </c>
      <c r="H1511" t="s">
        <v>237</v>
      </c>
      <c r="I1511" t="s">
        <v>238</v>
      </c>
      <c r="J1511">
        <v>339830</v>
      </c>
      <c r="K1511">
        <v>20220427</v>
      </c>
      <c r="L1511" t="s">
        <v>1947</v>
      </c>
      <c r="M1511">
        <v>0</v>
      </c>
      <c r="N1511">
        <v>3.5</v>
      </c>
      <c r="O1511" t="s">
        <v>19</v>
      </c>
      <c r="P1511" t="s">
        <v>20</v>
      </c>
      <c r="Q1511">
        <v>20220427</v>
      </c>
    </row>
    <row r="1512" spans="1:17" x14ac:dyDescent="0.25">
      <c r="A1512" t="s">
        <v>548</v>
      </c>
      <c r="B1512" t="s">
        <v>429</v>
      </c>
      <c r="C1512">
        <v>55</v>
      </c>
      <c r="D1512">
        <v>20220427</v>
      </c>
      <c r="E1512">
        <f t="shared" si="23"/>
        <v>4</v>
      </c>
      <c r="F1512">
        <v>411100</v>
      </c>
      <c r="G1512" t="s">
        <v>18</v>
      </c>
      <c r="H1512" t="s">
        <v>154</v>
      </c>
      <c r="I1512" t="s">
        <v>155</v>
      </c>
      <c r="J1512">
        <v>339831</v>
      </c>
      <c r="K1512">
        <v>20220427</v>
      </c>
      <c r="L1512" t="s">
        <v>1948</v>
      </c>
      <c r="M1512">
        <v>0</v>
      </c>
      <c r="N1512">
        <v>7</v>
      </c>
      <c r="O1512" t="s">
        <v>19</v>
      </c>
      <c r="P1512" t="s">
        <v>20</v>
      </c>
      <c r="Q1512">
        <v>20220427</v>
      </c>
    </row>
    <row r="1513" spans="1:17" x14ac:dyDescent="0.25">
      <c r="A1513" t="s">
        <v>548</v>
      </c>
      <c r="B1513" t="s">
        <v>429</v>
      </c>
      <c r="C1513">
        <v>55</v>
      </c>
      <c r="D1513">
        <v>20220427</v>
      </c>
      <c r="E1513">
        <f t="shared" si="23"/>
        <v>4</v>
      </c>
      <c r="F1513">
        <v>411100</v>
      </c>
      <c r="G1513" t="s">
        <v>18</v>
      </c>
      <c r="H1513" t="s">
        <v>1911</v>
      </c>
      <c r="I1513" t="s">
        <v>1912</v>
      </c>
      <c r="J1513">
        <v>339832</v>
      </c>
      <c r="K1513">
        <v>20220427</v>
      </c>
      <c r="L1513" t="s">
        <v>1949</v>
      </c>
      <c r="M1513">
        <v>0</v>
      </c>
      <c r="N1513">
        <v>3.5</v>
      </c>
      <c r="O1513" t="s">
        <v>19</v>
      </c>
      <c r="P1513" t="s">
        <v>20</v>
      </c>
      <c r="Q1513">
        <v>20220427</v>
      </c>
    </row>
    <row r="1514" spans="1:17" x14ac:dyDescent="0.25">
      <c r="A1514" t="s">
        <v>548</v>
      </c>
      <c r="B1514" t="s">
        <v>429</v>
      </c>
      <c r="C1514">
        <v>55</v>
      </c>
      <c r="D1514">
        <v>20220427</v>
      </c>
      <c r="E1514">
        <f t="shared" si="23"/>
        <v>4</v>
      </c>
      <c r="F1514">
        <v>411100</v>
      </c>
      <c r="G1514" t="s">
        <v>18</v>
      </c>
      <c r="H1514" t="s">
        <v>657</v>
      </c>
      <c r="I1514" t="s">
        <v>658</v>
      </c>
      <c r="J1514">
        <v>339833</v>
      </c>
      <c r="K1514">
        <v>20220427</v>
      </c>
      <c r="L1514" t="s">
        <v>1950</v>
      </c>
      <c r="M1514">
        <v>0</v>
      </c>
      <c r="N1514">
        <v>2</v>
      </c>
      <c r="O1514" t="s">
        <v>19</v>
      </c>
      <c r="P1514" t="s">
        <v>20</v>
      </c>
      <c r="Q1514">
        <v>20220427</v>
      </c>
    </row>
    <row r="1515" spans="1:17" x14ac:dyDescent="0.25">
      <c r="A1515" t="s">
        <v>548</v>
      </c>
      <c r="B1515" t="s">
        <v>429</v>
      </c>
      <c r="C1515">
        <v>55</v>
      </c>
      <c r="D1515">
        <v>20220427</v>
      </c>
      <c r="E1515">
        <f t="shared" si="23"/>
        <v>4</v>
      </c>
      <c r="F1515">
        <v>411100</v>
      </c>
      <c r="G1515" t="s">
        <v>18</v>
      </c>
      <c r="H1515" t="s">
        <v>217</v>
      </c>
      <c r="I1515" t="s">
        <v>218</v>
      </c>
      <c r="J1515">
        <v>339834</v>
      </c>
      <c r="K1515">
        <v>20220427</v>
      </c>
      <c r="L1515" t="s">
        <v>1951</v>
      </c>
      <c r="M1515">
        <v>0</v>
      </c>
      <c r="N1515">
        <v>2</v>
      </c>
      <c r="O1515" t="s">
        <v>19</v>
      </c>
      <c r="P1515" t="s">
        <v>20</v>
      </c>
      <c r="Q1515">
        <v>20220427</v>
      </c>
    </row>
    <row r="1516" spans="1:17" x14ac:dyDescent="0.25">
      <c r="A1516" t="s">
        <v>548</v>
      </c>
      <c r="B1516" t="s">
        <v>429</v>
      </c>
      <c r="C1516">
        <v>55</v>
      </c>
      <c r="D1516">
        <v>20220427</v>
      </c>
      <c r="E1516">
        <f t="shared" si="23"/>
        <v>4</v>
      </c>
      <c r="F1516">
        <v>411100</v>
      </c>
      <c r="G1516" t="s">
        <v>18</v>
      </c>
      <c r="H1516" t="s">
        <v>81</v>
      </c>
      <c r="I1516" t="s">
        <v>82</v>
      </c>
      <c r="J1516">
        <v>339835</v>
      </c>
      <c r="K1516">
        <v>20220427</v>
      </c>
      <c r="L1516" t="s">
        <v>1952</v>
      </c>
      <c r="M1516">
        <v>0</v>
      </c>
      <c r="N1516">
        <v>2</v>
      </c>
      <c r="O1516" t="s">
        <v>19</v>
      </c>
      <c r="P1516" t="s">
        <v>20</v>
      </c>
      <c r="Q1516">
        <v>20220427</v>
      </c>
    </row>
    <row r="1517" spans="1:17" x14ac:dyDescent="0.25">
      <c r="A1517" t="s">
        <v>548</v>
      </c>
      <c r="B1517" t="s">
        <v>429</v>
      </c>
      <c r="C1517">
        <v>55</v>
      </c>
      <c r="D1517">
        <v>20220427</v>
      </c>
      <c r="E1517">
        <f t="shared" si="23"/>
        <v>4</v>
      </c>
      <c r="F1517">
        <v>411100</v>
      </c>
      <c r="G1517" t="s">
        <v>18</v>
      </c>
      <c r="H1517" t="s">
        <v>105</v>
      </c>
      <c r="I1517" t="s">
        <v>106</v>
      </c>
      <c r="J1517">
        <v>339836</v>
      </c>
      <c r="K1517">
        <v>20220427</v>
      </c>
      <c r="L1517" t="s">
        <v>1953</v>
      </c>
      <c r="M1517">
        <v>0</v>
      </c>
      <c r="N1517">
        <v>2</v>
      </c>
      <c r="O1517" t="s">
        <v>19</v>
      </c>
      <c r="P1517" t="s">
        <v>20</v>
      </c>
      <c r="Q1517">
        <v>20220427</v>
      </c>
    </row>
    <row r="1518" spans="1:17" x14ac:dyDescent="0.25">
      <c r="A1518" t="s">
        <v>548</v>
      </c>
      <c r="B1518" t="s">
        <v>429</v>
      </c>
      <c r="C1518">
        <v>55</v>
      </c>
      <c r="D1518">
        <v>20220427</v>
      </c>
      <c r="E1518">
        <f t="shared" si="23"/>
        <v>4</v>
      </c>
      <c r="F1518">
        <v>411100</v>
      </c>
      <c r="G1518" t="s">
        <v>18</v>
      </c>
      <c r="H1518" t="s">
        <v>105</v>
      </c>
      <c r="I1518" t="s">
        <v>106</v>
      </c>
      <c r="J1518">
        <v>339837</v>
      </c>
      <c r="K1518">
        <v>20220427</v>
      </c>
      <c r="L1518" t="s">
        <v>1954</v>
      </c>
      <c r="M1518">
        <v>0</v>
      </c>
      <c r="N1518">
        <v>4</v>
      </c>
      <c r="O1518" t="s">
        <v>19</v>
      </c>
      <c r="P1518" t="s">
        <v>20</v>
      </c>
      <c r="Q1518">
        <v>20220427</v>
      </c>
    </row>
    <row r="1519" spans="1:17" x14ac:dyDescent="0.25">
      <c r="A1519" t="s">
        <v>548</v>
      </c>
      <c r="B1519" t="s">
        <v>429</v>
      </c>
      <c r="C1519">
        <v>55</v>
      </c>
      <c r="D1519">
        <v>20220427</v>
      </c>
      <c r="E1519">
        <f t="shared" si="23"/>
        <v>4</v>
      </c>
      <c r="F1519">
        <v>411100</v>
      </c>
      <c r="G1519" t="s">
        <v>18</v>
      </c>
      <c r="H1519" t="s">
        <v>65</v>
      </c>
      <c r="I1519" t="s">
        <v>66</v>
      </c>
      <c r="J1519">
        <v>339838</v>
      </c>
      <c r="K1519">
        <v>20220427</v>
      </c>
      <c r="L1519" t="s">
        <v>1955</v>
      </c>
      <c r="M1519">
        <v>0</v>
      </c>
      <c r="N1519">
        <v>2</v>
      </c>
      <c r="O1519" t="s">
        <v>22</v>
      </c>
      <c r="P1519">
        <v>20230218</v>
      </c>
      <c r="Q1519">
        <v>20220427</v>
      </c>
    </row>
    <row r="1520" spans="1:17" x14ac:dyDescent="0.25">
      <c r="A1520" t="s">
        <v>548</v>
      </c>
      <c r="B1520" t="s">
        <v>429</v>
      </c>
      <c r="C1520">
        <v>55</v>
      </c>
      <c r="D1520">
        <v>20220427</v>
      </c>
      <c r="E1520">
        <f t="shared" si="23"/>
        <v>4</v>
      </c>
      <c r="F1520">
        <v>411100</v>
      </c>
      <c r="G1520" t="s">
        <v>18</v>
      </c>
      <c r="H1520" t="s">
        <v>85</v>
      </c>
      <c r="I1520" t="s">
        <v>86</v>
      </c>
      <c r="J1520">
        <v>339839</v>
      </c>
      <c r="K1520">
        <v>20220427</v>
      </c>
      <c r="L1520" t="s">
        <v>1956</v>
      </c>
      <c r="M1520">
        <v>0</v>
      </c>
      <c r="N1520">
        <v>2</v>
      </c>
      <c r="O1520" t="s">
        <v>23</v>
      </c>
      <c r="P1520">
        <v>20230218</v>
      </c>
      <c r="Q1520">
        <v>20220427</v>
      </c>
    </row>
    <row r="1521" spans="1:17" x14ac:dyDescent="0.25">
      <c r="A1521" t="s">
        <v>548</v>
      </c>
      <c r="B1521" t="s">
        <v>429</v>
      </c>
      <c r="C1521">
        <v>55</v>
      </c>
      <c r="D1521">
        <v>20220427</v>
      </c>
      <c r="E1521">
        <f t="shared" si="23"/>
        <v>4</v>
      </c>
      <c r="F1521">
        <v>411100</v>
      </c>
      <c r="G1521" t="s">
        <v>18</v>
      </c>
      <c r="H1521" t="s">
        <v>1062</v>
      </c>
      <c r="I1521" t="s">
        <v>1063</v>
      </c>
      <c r="J1521">
        <v>339840</v>
      </c>
      <c r="K1521">
        <v>20220427</v>
      </c>
      <c r="L1521" t="s">
        <v>1957</v>
      </c>
      <c r="M1521">
        <v>0</v>
      </c>
      <c r="N1521">
        <v>4</v>
      </c>
      <c r="O1521" t="s">
        <v>22</v>
      </c>
      <c r="P1521">
        <v>20230218</v>
      </c>
      <c r="Q1521">
        <v>20220427</v>
      </c>
    </row>
    <row r="1522" spans="1:17" x14ac:dyDescent="0.25">
      <c r="A1522" t="s">
        <v>548</v>
      </c>
      <c r="B1522" t="s">
        <v>429</v>
      </c>
      <c r="C1522">
        <v>55</v>
      </c>
      <c r="D1522">
        <v>20220427</v>
      </c>
      <c r="E1522">
        <f t="shared" si="23"/>
        <v>4</v>
      </c>
      <c r="F1522">
        <v>411100</v>
      </c>
      <c r="G1522" t="s">
        <v>18</v>
      </c>
      <c r="H1522" t="s">
        <v>660</v>
      </c>
      <c r="I1522" t="s">
        <v>661</v>
      </c>
      <c r="J1522">
        <v>339841</v>
      </c>
      <c r="K1522">
        <v>20220427</v>
      </c>
      <c r="L1522" t="s">
        <v>1958</v>
      </c>
      <c r="M1522">
        <v>0</v>
      </c>
      <c r="N1522">
        <v>4</v>
      </c>
      <c r="O1522" t="s">
        <v>19</v>
      </c>
      <c r="P1522" t="s">
        <v>20</v>
      </c>
      <c r="Q1522">
        <v>20220427</v>
      </c>
    </row>
    <row r="1523" spans="1:17" x14ac:dyDescent="0.25">
      <c r="A1523" t="s">
        <v>548</v>
      </c>
      <c r="B1523" t="s">
        <v>429</v>
      </c>
      <c r="C1523">
        <v>55</v>
      </c>
      <c r="D1523">
        <v>20220427</v>
      </c>
      <c r="E1523">
        <f t="shared" si="23"/>
        <v>4</v>
      </c>
      <c r="F1523">
        <v>411100</v>
      </c>
      <c r="G1523" t="s">
        <v>18</v>
      </c>
      <c r="H1523" t="s">
        <v>1959</v>
      </c>
      <c r="I1523" t="s">
        <v>1960</v>
      </c>
      <c r="J1523">
        <v>339842</v>
      </c>
      <c r="K1523">
        <v>20220427</v>
      </c>
      <c r="L1523" t="s">
        <v>1961</v>
      </c>
      <c r="M1523">
        <v>0</v>
      </c>
      <c r="N1523">
        <v>1.5</v>
      </c>
      <c r="O1523" t="s">
        <v>19</v>
      </c>
      <c r="P1523" t="s">
        <v>20</v>
      </c>
      <c r="Q1523">
        <v>20220427</v>
      </c>
    </row>
    <row r="1524" spans="1:17" x14ac:dyDescent="0.25">
      <c r="A1524" t="s">
        <v>548</v>
      </c>
      <c r="B1524" t="s">
        <v>429</v>
      </c>
      <c r="C1524">
        <v>55</v>
      </c>
      <c r="D1524">
        <v>20220427</v>
      </c>
      <c r="E1524">
        <f t="shared" si="23"/>
        <v>4</v>
      </c>
      <c r="F1524">
        <v>531105</v>
      </c>
      <c r="G1524" t="s">
        <v>429</v>
      </c>
      <c r="H1524" t="s">
        <v>401</v>
      </c>
      <c r="I1524" t="s">
        <v>402</v>
      </c>
      <c r="J1524">
        <v>339843</v>
      </c>
      <c r="K1524">
        <v>20220427</v>
      </c>
      <c r="L1524" t="s">
        <v>565</v>
      </c>
      <c r="M1524">
        <v>39.5</v>
      </c>
      <c r="N1524">
        <v>0</v>
      </c>
      <c r="O1524" t="s">
        <v>19</v>
      </c>
      <c r="P1524" t="s">
        <v>20</v>
      </c>
      <c r="Q1524">
        <v>20220427</v>
      </c>
    </row>
    <row r="1525" spans="1:17" x14ac:dyDescent="0.25">
      <c r="A1525" t="s">
        <v>548</v>
      </c>
      <c r="B1525" t="s">
        <v>429</v>
      </c>
      <c r="C1525">
        <v>55</v>
      </c>
      <c r="D1525">
        <v>20220428</v>
      </c>
      <c r="E1525">
        <f t="shared" si="23"/>
        <v>4</v>
      </c>
      <c r="F1525">
        <v>467100</v>
      </c>
      <c r="G1525" t="s">
        <v>160</v>
      </c>
      <c r="H1525" t="s">
        <v>1305</v>
      </c>
      <c r="I1525" t="s">
        <v>1306</v>
      </c>
      <c r="J1525" t="s">
        <v>1962</v>
      </c>
      <c r="K1525">
        <v>20220428</v>
      </c>
      <c r="L1525" t="s">
        <v>1963</v>
      </c>
      <c r="M1525">
        <v>20</v>
      </c>
      <c r="N1525">
        <v>0</v>
      </c>
      <c r="O1525" t="s">
        <v>23</v>
      </c>
      <c r="P1525">
        <v>20220525</v>
      </c>
      <c r="Q1525">
        <v>20220428</v>
      </c>
    </row>
    <row r="1526" spans="1:17" x14ac:dyDescent="0.25">
      <c r="A1526" t="s">
        <v>548</v>
      </c>
      <c r="B1526" t="s">
        <v>429</v>
      </c>
      <c r="C1526">
        <v>55</v>
      </c>
      <c r="D1526">
        <v>20220428</v>
      </c>
      <c r="E1526">
        <f t="shared" si="23"/>
        <v>4</v>
      </c>
      <c r="F1526">
        <v>531105</v>
      </c>
      <c r="G1526" t="s">
        <v>429</v>
      </c>
      <c r="H1526" t="s">
        <v>401</v>
      </c>
      <c r="I1526" t="s">
        <v>402</v>
      </c>
      <c r="J1526" t="s">
        <v>1962</v>
      </c>
      <c r="K1526">
        <v>20220428</v>
      </c>
      <c r="L1526" t="s">
        <v>1963</v>
      </c>
      <c r="M1526">
        <v>0</v>
      </c>
      <c r="N1526">
        <v>20</v>
      </c>
      <c r="O1526" t="s">
        <v>19</v>
      </c>
      <c r="P1526" t="s">
        <v>20</v>
      </c>
      <c r="Q1526">
        <v>20220428</v>
      </c>
    </row>
    <row r="1527" spans="1:17" x14ac:dyDescent="0.25">
      <c r="A1527" t="s">
        <v>548</v>
      </c>
      <c r="B1527" t="s">
        <v>429</v>
      </c>
      <c r="C1527">
        <v>55</v>
      </c>
      <c r="D1527">
        <v>20220429</v>
      </c>
      <c r="E1527">
        <f t="shared" si="23"/>
        <v>4</v>
      </c>
      <c r="F1527">
        <v>602110</v>
      </c>
      <c r="G1527" t="s">
        <v>809</v>
      </c>
      <c r="H1527" t="s">
        <v>401</v>
      </c>
      <c r="I1527" t="s">
        <v>402</v>
      </c>
      <c r="J1527" t="s">
        <v>1964</v>
      </c>
      <c r="K1527">
        <v>20220429</v>
      </c>
      <c r="L1527" t="s">
        <v>1965</v>
      </c>
      <c r="M1527">
        <v>2</v>
      </c>
      <c r="N1527">
        <v>0</v>
      </c>
      <c r="O1527" t="s">
        <v>19</v>
      </c>
      <c r="P1527" t="s">
        <v>20</v>
      </c>
      <c r="Q1527">
        <v>20220429</v>
      </c>
    </row>
    <row r="1528" spans="1:17" x14ac:dyDescent="0.25">
      <c r="A1528" t="s">
        <v>548</v>
      </c>
      <c r="B1528" t="s">
        <v>429</v>
      </c>
      <c r="C1528">
        <v>55</v>
      </c>
      <c r="D1528">
        <v>20220429</v>
      </c>
      <c r="E1528">
        <f t="shared" si="23"/>
        <v>4</v>
      </c>
      <c r="F1528">
        <v>531105</v>
      </c>
      <c r="G1528" t="s">
        <v>429</v>
      </c>
      <c r="H1528" t="s">
        <v>401</v>
      </c>
      <c r="I1528" t="s">
        <v>402</v>
      </c>
      <c r="J1528" t="s">
        <v>1964</v>
      </c>
      <c r="K1528">
        <v>20220429</v>
      </c>
      <c r="L1528" t="s">
        <v>1965</v>
      </c>
      <c r="M1528">
        <v>0</v>
      </c>
      <c r="N1528">
        <v>2</v>
      </c>
      <c r="O1528" t="s">
        <v>19</v>
      </c>
      <c r="P1528" t="s">
        <v>20</v>
      </c>
      <c r="Q1528">
        <v>20220429</v>
      </c>
    </row>
    <row r="1529" spans="1:17" x14ac:dyDescent="0.25">
      <c r="A1529" t="s">
        <v>548</v>
      </c>
      <c r="B1529" t="s">
        <v>429</v>
      </c>
      <c r="C1529">
        <v>55</v>
      </c>
      <c r="D1529">
        <v>20220429</v>
      </c>
      <c r="E1529">
        <f t="shared" si="23"/>
        <v>4</v>
      </c>
      <c r="F1529">
        <v>467100</v>
      </c>
      <c r="G1529" t="s">
        <v>160</v>
      </c>
      <c r="H1529" t="s">
        <v>183</v>
      </c>
      <c r="I1529" t="s">
        <v>184</v>
      </c>
      <c r="J1529" t="s">
        <v>1966</v>
      </c>
      <c r="K1529">
        <v>20220429</v>
      </c>
      <c r="L1529" t="s">
        <v>1967</v>
      </c>
      <c r="M1529">
        <v>133.07</v>
      </c>
      <c r="N1529">
        <v>0</v>
      </c>
      <c r="O1529" t="s">
        <v>23</v>
      </c>
      <c r="P1529">
        <v>20220831</v>
      </c>
      <c r="Q1529">
        <v>20220429</v>
      </c>
    </row>
    <row r="1530" spans="1:17" x14ac:dyDescent="0.25">
      <c r="A1530" t="s">
        <v>548</v>
      </c>
      <c r="B1530" t="s">
        <v>429</v>
      </c>
      <c r="C1530">
        <v>55</v>
      </c>
      <c r="D1530">
        <v>20220429</v>
      </c>
      <c r="E1530">
        <f t="shared" si="23"/>
        <v>4</v>
      </c>
      <c r="F1530">
        <v>531105</v>
      </c>
      <c r="G1530" t="s">
        <v>429</v>
      </c>
      <c r="H1530" t="s">
        <v>401</v>
      </c>
      <c r="I1530" t="s">
        <v>402</v>
      </c>
      <c r="J1530" t="s">
        <v>1966</v>
      </c>
      <c r="K1530">
        <v>20220429</v>
      </c>
      <c r="L1530" t="s">
        <v>1967</v>
      </c>
      <c r="M1530">
        <v>0</v>
      </c>
      <c r="N1530">
        <v>133.07</v>
      </c>
      <c r="O1530" t="s">
        <v>19</v>
      </c>
      <c r="P1530" t="s">
        <v>20</v>
      </c>
      <c r="Q1530">
        <v>20220429</v>
      </c>
    </row>
    <row r="1531" spans="1:17" x14ac:dyDescent="0.25">
      <c r="A1531" t="s">
        <v>548</v>
      </c>
      <c r="B1531" t="s">
        <v>429</v>
      </c>
      <c r="C1531">
        <v>55</v>
      </c>
      <c r="D1531">
        <v>20220429</v>
      </c>
      <c r="E1531">
        <f t="shared" si="23"/>
        <v>4</v>
      </c>
      <c r="F1531">
        <v>411100</v>
      </c>
      <c r="G1531" t="s">
        <v>18</v>
      </c>
      <c r="H1531" t="s">
        <v>65</v>
      </c>
      <c r="I1531" t="s">
        <v>66</v>
      </c>
      <c r="J1531">
        <v>339844</v>
      </c>
      <c r="K1531">
        <v>20220429</v>
      </c>
      <c r="L1531" t="s">
        <v>1968</v>
      </c>
      <c r="M1531">
        <v>0</v>
      </c>
      <c r="N1531">
        <v>4</v>
      </c>
      <c r="O1531" t="s">
        <v>19</v>
      </c>
      <c r="P1531" t="s">
        <v>20</v>
      </c>
      <c r="Q1531">
        <v>20220429</v>
      </c>
    </row>
    <row r="1532" spans="1:17" x14ac:dyDescent="0.25">
      <c r="A1532" t="s">
        <v>548</v>
      </c>
      <c r="B1532" t="s">
        <v>429</v>
      </c>
      <c r="C1532">
        <v>55</v>
      </c>
      <c r="D1532">
        <v>20220429</v>
      </c>
      <c r="E1532">
        <f t="shared" si="23"/>
        <v>4</v>
      </c>
      <c r="F1532">
        <v>411100</v>
      </c>
      <c r="G1532" t="s">
        <v>18</v>
      </c>
      <c r="H1532" t="s">
        <v>259</v>
      </c>
      <c r="I1532" t="s">
        <v>260</v>
      </c>
      <c r="J1532">
        <v>339845</v>
      </c>
      <c r="K1532">
        <v>20220429</v>
      </c>
      <c r="L1532" t="s">
        <v>1969</v>
      </c>
      <c r="M1532">
        <v>0</v>
      </c>
      <c r="N1532">
        <v>4</v>
      </c>
      <c r="O1532" t="s">
        <v>23</v>
      </c>
      <c r="P1532">
        <v>20230218</v>
      </c>
      <c r="Q1532">
        <v>20220429</v>
      </c>
    </row>
    <row r="1533" spans="1:17" x14ac:dyDescent="0.25">
      <c r="A1533" t="s">
        <v>548</v>
      </c>
      <c r="B1533" t="s">
        <v>429</v>
      </c>
      <c r="C1533">
        <v>55</v>
      </c>
      <c r="D1533">
        <v>20220429</v>
      </c>
      <c r="E1533">
        <f t="shared" si="23"/>
        <v>4</v>
      </c>
      <c r="F1533">
        <v>411100</v>
      </c>
      <c r="G1533" t="s">
        <v>18</v>
      </c>
      <c r="H1533" t="s">
        <v>1848</v>
      </c>
      <c r="I1533" t="s">
        <v>1849</v>
      </c>
      <c r="J1533">
        <v>339846</v>
      </c>
      <c r="K1533">
        <v>20220429</v>
      </c>
      <c r="L1533" t="s">
        <v>1970</v>
      </c>
      <c r="M1533">
        <v>0</v>
      </c>
      <c r="N1533">
        <v>5.5</v>
      </c>
      <c r="O1533" t="s">
        <v>22</v>
      </c>
      <c r="P1533">
        <v>20230218</v>
      </c>
      <c r="Q1533">
        <v>20220429</v>
      </c>
    </row>
    <row r="1534" spans="1:17" x14ac:dyDescent="0.25">
      <c r="A1534" t="s">
        <v>548</v>
      </c>
      <c r="B1534" t="s">
        <v>429</v>
      </c>
      <c r="C1534">
        <v>55</v>
      </c>
      <c r="D1534">
        <v>20220429</v>
      </c>
      <c r="E1534">
        <f t="shared" si="23"/>
        <v>4</v>
      </c>
      <c r="F1534">
        <v>411100</v>
      </c>
      <c r="G1534" t="s">
        <v>18</v>
      </c>
      <c r="H1534" t="s">
        <v>105</v>
      </c>
      <c r="I1534" t="s">
        <v>106</v>
      </c>
      <c r="J1534">
        <v>339847</v>
      </c>
      <c r="K1534">
        <v>20220429</v>
      </c>
      <c r="L1534" t="s">
        <v>1971</v>
      </c>
      <c r="M1534">
        <v>0</v>
      </c>
      <c r="N1534">
        <v>4</v>
      </c>
      <c r="O1534" t="s">
        <v>19</v>
      </c>
      <c r="P1534" t="s">
        <v>20</v>
      </c>
      <c r="Q1534">
        <v>20220429</v>
      </c>
    </row>
    <row r="1535" spans="1:17" x14ac:dyDescent="0.25">
      <c r="A1535" t="s">
        <v>548</v>
      </c>
      <c r="B1535" t="s">
        <v>429</v>
      </c>
      <c r="C1535">
        <v>55</v>
      </c>
      <c r="D1535">
        <v>20220429</v>
      </c>
      <c r="E1535">
        <f t="shared" si="23"/>
        <v>4</v>
      </c>
      <c r="F1535">
        <v>411100</v>
      </c>
      <c r="G1535" t="s">
        <v>18</v>
      </c>
      <c r="H1535" t="s">
        <v>73</v>
      </c>
      <c r="I1535" t="s">
        <v>74</v>
      </c>
      <c r="J1535">
        <v>339848</v>
      </c>
      <c r="K1535">
        <v>20220429</v>
      </c>
      <c r="L1535" t="s">
        <v>1972</v>
      </c>
      <c r="M1535">
        <v>0</v>
      </c>
      <c r="N1535">
        <v>8</v>
      </c>
      <c r="O1535" t="s">
        <v>19</v>
      </c>
      <c r="P1535" t="s">
        <v>20</v>
      </c>
      <c r="Q1535">
        <v>20220429</v>
      </c>
    </row>
    <row r="1536" spans="1:17" x14ac:dyDescent="0.25">
      <c r="A1536" t="s">
        <v>548</v>
      </c>
      <c r="B1536" t="s">
        <v>429</v>
      </c>
      <c r="C1536">
        <v>55</v>
      </c>
      <c r="D1536">
        <v>20220429</v>
      </c>
      <c r="E1536">
        <f t="shared" si="23"/>
        <v>4</v>
      </c>
      <c r="F1536">
        <v>411100</v>
      </c>
      <c r="G1536" t="s">
        <v>18</v>
      </c>
      <c r="H1536" t="s">
        <v>1172</v>
      </c>
      <c r="I1536" t="s">
        <v>1173</v>
      </c>
      <c r="J1536">
        <v>339849</v>
      </c>
      <c r="K1536">
        <v>20220429</v>
      </c>
      <c r="L1536" t="s">
        <v>1973</v>
      </c>
      <c r="M1536">
        <v>0</v>
      </c>
      <c r="N1536">
        <v>4</v>
      </c>
      <c r="O1536" t="s">
        <v>19</v>
      </c>
      <c r="P1536" t="s">
        <v>20</v>
      </c>
      <c r="Q1536">
        <v>20220429</v>
      </c>
    </row>
    <row r="1537" spans="1:17" x14ac:dyDescent="0.25">
      <c r="A1537" t="s">
        <v>548</v>
      </c>
      <c r="B1537" t="s">
        <v>429</v>
      </c>
      <c r="C1537">
        <v>55</v>
      </c>
      <c r="D1537">
        <v>20220429</v>
      </c>
      <c r="E1537">
        <f t="shared" si="23"/>
        <v>4</v>
      </c>
      <c r="F1537">
        <v>411100</v>
      </c>
      <c r="G1537" t="s">
        <v>18</v>
      </c>
      <c r="H1537" t="s">
        <v>1172</v>
      </c>
      <c r="I1537" t="s">
        <v>1173</v>
      </c>
      <c r="J1537">
        <v>339850</v>
      </c>
      <c r="K1537">
        <v>20220429</v>
      </c>
      <c r="L1537" t="s">
        <v>1974</v>
      </c>
      <c r="M1537">
        <v>0</v>
      </c>
      <c r="N1537">
        <v>4</v>
      </c>
      <c r="O1537" t="s">
        <v>19</v>
      </c>
      <c r="P1537" t="s">
        <v>20</v>
      </c>
      <c r="Q1537">
        <v>20220429</v>
      </c>
    </row>
    <row r="1538" spans="1:17" x14ac:dyDescent="0.25">
      <c r="A1538" t="s">
        <v>548</v>
      </c>
      <c r="B1538" t="s">
        <v>429</v>
      </c>
      <c r="C1538">
        <v>55</v>
      </c>
      <c r="D1538">
        <v>20220429</v>
      </c>
      <c r="E1538">
        <f t="shared" si="23"/>
        <v>4</v>
      </c>
      <c r="F1538">
        <v>411100</v>
      </c>
      <c r="G1538" t="s">
        <v>18</v>
      </c>
      <c r="H1538" t="s">
        <v>187</v>
      </c>
      <c r="I1538" t="s">
        <v>188</v>
      </c>
      <c r="J1538">
        <v>339851</v>
      </c>
      <c r="K1538">
        <v>20220429</v>
      </c>
      <c r="L1538" t="s">
        <v>1975</v>
      </c>
      <c r="M1538">
        <v>0</v>
      </c>
      <c r="N1538">
        <v>8</v>
      </c>
      <c r="O1538" t="s">
        <v>22</v>
      </c>
      <c r="P1538">
        <v>20230218</v>
      </c>
      <c r="Q1538">
        <v>20220429</v>
      </c>
    </row>
    <row r="1539" spans="1:17" x14ac:dyDescent="0.25">
      <c r="A1539" t="s">
        <v>548</v>
      </c>
      <c r="B1539" t="s">
        <v>429</v>
      </c>
      <c r="C1539">
        <v>55</v>
      </c>
      <c r="D1539">
        <v>20220429</v>
      </c>
      <c r="E1539">
        <f t="shared" ref="E1539:E1602" si="24">VALUE(MID(D1539,5,2))</f>
        <v>4</v>
      </c>
      <c r="F1539">
        <v>411100</v>
      </c>
      <c r="G1539" t="s">
        <v>18</v>
      </c>
      <c r="H1539" t="s">
        <v>1959</v>
      </c>
      <c r="I1539" t="s">
        <v>1960</v>
      </c>
      <c r="J1539">
        <v>339852</v>
      </c>
      <c r="K1539">
        <v>20220429</v>
      </c>
      <c r="L1539" t="s">
        <v>1976</v>
      </c>
      <c r="M1539">
        <v>0</v>
      </c>
      <c r="N1539">
        <v>5.5</v>
      </c>
      <c r="O1539" t="s">
        <v>19</v>
      </c>
      <c r="P1539" t="s">
        <v>20</v>
      </c>
      <c r="Q1539">
        <v>20220429</v>
      </c>
    </row>
    <row r="1540" spans="1:17" x14ac:dyDescent="0.25">
      <c r="A1540" t="s">
        <v>548</v>
      </c>
      <c r="B1540" t="s">
        <v>429</v>
      </c>
      <c r="C1540">
        <v>55</v>
      </c>
      <c r="D1540">
        <v>20220429</v>
      </c>
      <c r="E1540">
        <f t="shared" si="24"/>
        <v>4</v>
      </c>
      <c r="F1540">
        <v>411100</v>
      </c>
      <c r="G1540" t="s">
        <v>18</v>
      </c>
      <c r="H1540" t="s">
        <v>1050</v>
      </c>
      <c r="I1540" t="s">
        <v>1051</v>
      </c>
      <c r="J1540">
        <v>339853</v>
      </c>
      <c r="K1540">
        <v>20220429</v>
      </c>
      <c r="L1540" t="s">
        <v>1977</v>
      </c>
      <c r="M1540">
        <v>0</v>
      </c>
      <c r="N1540">
        <v>4</v>
      </c>
      <c r="O1540" t="s">
        <v>22</v>
      </c>
      <c r="P1540">
        <v>20230218</v>
      </c>
      <c r="Q1540">
        <v>20220429</v>
      </c>
    </row>
    <row r="1541" spans="1:17" x14ac:dyDescent="0.25">
      <c r="A1541" t="s">
        <v>548</v>
      </c>
      <c r="B1541" t="s">
        <v>429</v>
      </c>
      <c r="C1541">
        <v>55</v>
      </c>
      <c r="D1541">
        <v>20220429</v>
      </c>
      <c r="E1541">
        <f t="shared" si="24"/>
        <v>4</v>
      </c>
      <c r="F1541">
        <v>411100</v>
      </c>
      <c r="G1541" t="s">
        <v>18</v>
      </c>
      <c r="H1541" t="s">
        <v>1062</v>
      </c>
      <c r="I1541" t="s">
        <v>1063</v>
      </c>
      <c r="J1541">
        <v>339854</v>
      </c>
      <c r="K1541">
        <v>20220429</v>
      </c>
      <c r="L1541" t="s">
        <v>1978</v>
      </c>
      <c r="M1541">
        <v>0</v>
      </c>
      <c r="N1541">
        <v>4</v>
      </c>
      <c r="O1541" t="s">
        <v>22</v>
      </c>
      <c r="P1541">
        <v>20230218</v>
      </c>
      <c r="Q1541">
        <v>20220429</v>
      </c>
    </row>
    <row r="1542" spans="1:17" x14ac:dyDescent="0.25">
      <c r="A1542" t="s">
        <v>548</v>
      </c>
      <c r="B1542" t="s">
        <v>429</v>
      </c>
      <c r="C1542">
        <v>55</v>
      </c>
      <c r="D1542">
        <v>20220429</v>
      </c>
      <c r="E1542">
        <f t="shared" si="24"/>
        <v>4</v>
      </c>
      <c r="F1542">
        <v>411100</v>
      </c>
      <c r="G1542" t="s">
        <v>18</v>
      </c>
      <c r="H1542" t="s">
        <v>800</v>
      </c>
      <c r="I1542" t="s">
        <v>801</v>
      </c>
      <c r="J1542">
        <v>339855</v>
      </c>
      <c r="K1542">
        <v>20220429</v>
      </c>
      <c r="L1542" t="s">
        <v>1979</v>
      </c>
      <c r="M1542">
        <v>0</v>
      </c>
      <c r="N1542">
        <v>3</v>
      </c>
      <c r="O1542" t="s">
        <v>19</v>
      </c>
      <c r="P1542" t="s">
        <v>20</v>
      </c>
      <c r="Q1542">
        <v>20220429</v>
      </c>
    </row>
    <row r="1543" spans="1:17" x14ac:dyDescent="0.25">
      <c r="A1543" t="s">
        <v>548</v>
      </c>
      <c r="B1543" t="s">
        <v>429</v>
      </c>
      <c r="C1543">
        <v>55</v>
      </c>
      <c r="D1543">
        <v>20220429</v>
      </c>
      <c r="E1543">
        <f t="shared" si="24"/>
        <v>4</v>
      </c>
      <c r="F1543">
        <v>411100</v>
      </c>
      <c r="G1543" t="s">
        <v>18</v>
      </c>
      <c r="H1543" t="s">
        <v>237</v>
      </c>
      <c r="I1543" t="s">
        <v>238</v>
      </c>
      <c r="J1543">
        <v>339856</v>
      </c>
      <c r="K1543">
        <v>20220429</v>
      </c>
      <c r="L1543" t="s">
        <v>1980</v>
      </c>
      <c r="M1543">
        <v>0</v>
      </c>
      <c r="N1543">
        <v>1.5</v>
      </c>
      <c r="O1543" t="s">
        <v>19</v>
      </c>
      <c r="P1543" t="s">
        <v>20</v>
      </c>
      <c r="Q1543">
        <v>20220429</v>
      </c>
    </row>
    <row r="1544" spans="1:17" x14ac:dyDescent="0.25">
      <c r="A1544" t="s">
        <v>548</v>
      </c>
      <c r="B1544" t="s">
        <v>429</v>
      </c>
      <c r="C1544">
        <v>55</v>
      </c>
      <c r="D1544">
        <v>20220429</v>
      </c>
      <c r="E1544">
        <f t="shared" si="24"/>
        <v>4</v>
      </c>
      <c r="F1544">
        <v>411100</v>
      </c>
      <c r="G1544" t="s">
        <v>18</v>
      </c>
      <c r="H1544" t="s">
        <v>660</v>
      </c>
      <c r="I1544" t="s">
        <v>661</v>
      </c>
      <c r="J1544">
        <v>339857</v>
      </c>
      <c r="K1544">
        <v>20220429</v>
      </c>
      <c r="L1544" t="s">
        <v>1981</v>
      </c>
      <c r="M1544">
        <v>0</v>
      </c>
      <c r="N1544">
        <v>1.5</v>
      </c>
      <c r="O1544" t="s">
        <v>19</v>
      </c>
      <c r="P1544" t="s">
        <v>20</v>
      </c>
      <c r="Q1544">
        <v>20220429</v>
      </c>
    </row>
    <row r="1545" spans="1:17" x14ac:dyDescent="0.25">
      <c r="A1545" t="s">
        <v>548</v>
      </c>
      <c r="B1545" t="s">
        <v>429</v>
      </c>
      <c r="C1545">
        <v>55</v>
      </c>
      <c r="D1545">
        <v>20220429</v>
      </c>
      <c r="E1545">
        <f t="shared" si="24"/>
        <v>4</v>
      </c>
      <c r="F1545">
        <v>411100</v>
      </c>
      <c r="G1545" t="s">
        <v>18</v>
      </c>
      <c r="H1545" t="s">
        <v>154</v>
      </c>
      <c r="I1545" t="s">
        <v>155</v>
      </c>
      <c r="J1545">
        <v>339858</v>
      </c>
      <c r="K1545">
        <v>20220429</v>
      </c>
      <c r="L1545" t="s">
        <v>1982</v>
      </c>
      <c r="M1545">
        <v>0</v>
      </c>
      <c r="N1545">
        <v>1.5</v>
      </c>
      <c r="O1545" t="s">
        <v>19</v>
      </c>
      <c r="P1545" t="s">
        <v>20</v>
      </c>
      <c r="Q1545">
        <v>20220429</v>
      </c>
    </row>
    <row r="1546" spans="1:17" x14ac:dyDescent="0.25">
      <c r="A1546" t="s">
        <v>548</v>
      </c>
      <c r="B1546" t="s">
        <v>429</v>
      </c>
      <c r="C1546">
        <v>55</v>
      </c>
      <c r="D1546">
        <v>20220429</v>
      </c>
      <c r="E1546">
        <f t="shared" si="24"/>
        <v>4</v>
      </c>
      <c r="F1546">
        <v>411100</v>
      </c>
      <c r="G1546" t="s">
        <v>18</v>
      </c>
      <c r="H1546" t="s">
        <v>344</v>
      </c>
      <c r="I1546" t="s">
        <v>345</v>
      </c>
      <c r="J1546">
        <v>339859</v>
      </c>
      <c r="K1546">
        <v>20220429</v>
      </c>
      <c r="L1546" t="s">
        <v>1983</v>
      </c>
      <c r="M1546">
        <v>0</v>
      </c>
      <c r="N1546">
        <v>1.5</v>
      </c>
      <c r="O1546" t="s">
        <v>19</v>
      </c>
      <c r="P1546" t="s">
        <v>20</v>
      </c>
      <c r="Q1546">
        <v>20220429</v>
      </c>
    </row>
    <row r="1547" spans="1:17" x14ac:dyDescent="0.25">
      <c r="A1547" t="s">
        <v>548</v>
      </c>
      <c r="B1547" t="s">
        <v>429</v>
      </c>
      <c r="C1547">
        <v>55</v>
      </c>
      <c r="D1547">
        <v>20220429</v>
      </c>
      <c r="E1547">
        <f t="shared" si="24"/>
        <v>4</v>
      </c>
      <c r="F1547">
        <v>411100</v>
      </c>
      <c r="G1547" t="s">
        <v>18</v>
      </c>
      <c r="H1547" t="s">
        <v>73</v>
      </c>
      <c r="I1547" t="s">
        <v>74</v>
      </c>
      <c r="J1547">
        <v>339860</v>
      </c>
      <c r="K1547">
        <v>20220429</v>
      </c>
      <c r="L1547" t="s">
        <v>1984</v>
      </c>
      <c r="M1547">
        <v>0</v>
      </c>
      <c r="N1547">
        <v>3</v>
      </c>
      <c r="O1547" t="s">
        <v>19</v>
      </c>
      <c r="P1547" t="s">
        <v>20</v>
      </c>
      <c r="Q1547">
        <v>20220429</v>
      </c>
    </row>
    <row r="1548" spans="1:17" x14ac:dyDescent="0.25">
      <c r="A1548" t="s">
        <v>548</v>
      </c>
      <c r="B1548" t="s">
        <v>429</v>
      </c>
      <c r="C1548">
        <v>55</v>
      </c>
      <c r="D1548">
        <v>20220429</v>
      </c>
      <c r="E1548">
        <f t="shared" si="24"/>
        <v>4</v>
      </c>
      <c r="F1548">
        <v>411100</v>
      </c>
      <c r="G1548" t="s">
        <v>18</v>
      </c>
      <c r="H1548" t="s">
        <v>1172</v>
      </c>
      <c r="I1548" t="s">
        <v>1173</v>
      </c>
      <c r="J1548">
        <v>339861</v>
      </c>
      <c r="K1548">
        <v>20220429</v>
      </c>
      <c r="L1548" t="s">
        <v>1985</v>
      </c>
      <c r="M1548">
        <v>0</v>
      </c>
      <c r="N1548">
        <v>1.5</v>
      </c>
      <c r="O1548" t="s">
        <v>19</v>
      </c>
      <c r="P1548" t="s">
        <v>20</v>
      </c>
      <c r="Q1548">
        <v>20220429</v>
      </c>
    </row>
    <row r="1549" spans="1:17" x14ac:dyDescent="0.25">
      <c r="A1549" t="s">
        <v>548</v>
      </c>
      <c r="B1549" t="s">
        <v>429</v>
      </c>
      <c r="C1549">
        <v>55</v>
      </c>
      <c r="D1549">
        <v>20220429</v>
      </c>
      <c r="E1549">
        <f t="shared" si="24"/>
        <v>4</v>
      </c>
      <c r="F1549">
        <v>411100</v>
      </c>
      <c r="G1549" t="s">
        <v>18</v>
      </c>
      <c r="H1549" t="s">
        <v>1172</v>
      </c>
      <c r="I1549" t="s">
        <v>1173</v>
      </c>
      <c r="J1549">
        <v>339862</v>
      </c>
      <c r="K1549">
        <v>20220429</v>
      </c>
      <c r="L1549" t="s">
        <v>1986</v>
      </c>
      <c r="M1549">
        <v>0</v>
      </c>
      <c r="N1549">
        <v>1.5</v>
      </c>
      <c r="O1549" t="s">
        <v>19</v>
      </c>
      <c r="P1549" t="s">
        <v>20</v>
      </c>
      <c r="Q1549">
        <v>20220429</v>
      </c>
    </row>
    <row r="1550" spans="1:17" x14ac:dyDescent="0.25">
      <c r="A1550" t="s">
        <v>548</v>
      </c>
      <c r="B1550" t="s">
        <v>429</v>
      </c>
      <c r="C1550">
        <v>55</v>
      </c>
      <c r="D1550">
        <v>20220429</v>
      </c>
      <c r="E1550">
        <f t="shared" si="24"/>
        <v>4</v>
      </c>
      <c r="F1550">
        <v>411100</v>
      </c>
      <c r="G1550" t="s">
        <v>18</v>
      </c>
      <c r="H1550" t="s">
        <v>344</v>
      </c>
      <c r="I1550" t="s">
        <v>345</v>
      </c>
      <c r="J1550">
        <v>339863</v>
      </c>
      <c r="K1550">
        <v>20220429</v>
      </c>
      <c r="L1550" t="s">
        <v>1987</v>
      </c>
      <c r="M1550">
        <v>0</v>
      </c>
      <c r="N1550">
        <v>1.5</v>
      </c>
      <c r="O1550" t="s">
        <v>19</v>
      </c>
      <c r="P1550" t="s">
        <v>20</v>
      </c>
      <c r="Q1550">
        <v>20220429</v>
      </c>
    </row>
    <row r="1551" spans="1:17" x14ac:dyDescent="0.25">
      <c r="A1551" t="s">
        <v>548</v>
      </c>
      <c r="B1551" t="s">
        <v>429</v>
      </c>
      <c r="C1551">
        <v>55</v>
      </c>
      <c r="D1551">
        <v>20220429</v>
      </c>
      <c r="E1551">
        <f t="shared" si="24"/>
        <v>4</v>
      </c>
      <c r="F1551">
        <v>411100</v>
      </c>
      <c r="G1551" t="s">
        <v>18</v>
      </c>
      <c r="H1551" t="s">
        <v>237</v>
      </c>
      <c r="I1551" t="s">
        <v>238</v>
      </c>
      <c r="J1551">
        <v>339864</v>
      </c>
      <c r="K1551">
        <v>20220429</v>
      </c>
      <c r="L1551" t="s">
        <v>1988</v>
      </c>
      <c r="M1551">
        <v>0</v>
      </c>
      <c r="N1551">
        <v>1.5</v>
      </c>
      <c r="O1551" t="s">
        <v>19</v>
      </c>
      <c r="P1551" t="s">
        <v>20</v>
      </c>
      <c r="Q1551">
        <v>20220429</v>
      </c>
    </row>
    <row r="1552" spans="1:17" x14ac:dyDescent="0.25">
      <c r="A1552" t="s">
        <v>548</v>
      </c>
      <c r="B1552" t="s">
        <v>429</v>
      </c>
      <c r="C1552">
        <v>55</v>
      </c>
      <c r="D1552">
        <v>20220429</v>
      </c>
      <c r="E1552">
        <f t="shared" si="24"/>
        <v>4</v>
      </c>
      <c r="F1552">
        <v>411100</v>
      </c>
      <c r="G1552" t="s">
        <v>18</v>
      </c>
      <c r="H1552" t="s">
        <v>1911</v>
      </c>
      <c r="I1552" t="s">
        <v>1912</v>
      </c>
      <c r="J1552">
        <v>339865</v>
      </c>
      <c r="K1552">
        <v>20220429</v>
      </c>
      <c r="L1552" t="s">
        <v>1989</v>
      </c>
      <c r="M1552">
        <v>0</v>
      </c>
      <c r="N1552">
        <v>5</v>
      </c>
      <c r="O1552" t="s">
        <v>22</v>
      </c>
      <c r="P1552">
        <v>20230218</v>
      </c>
      <c r="Q1552">
        <v>20220429</v>
      </c>
    </row>
    <row r="1553" spans="1:17" x14ac:dyDescent="0.25">
      <c r="A1553" t="s">
        <v>548</v>
      </c>
      <c r="B1553" t="s">
        <v>429</v>
      </c>
      <c r="C1553">
        <v>55</v>
      </c>
      <c r="D1553">
        <v>20220429</v>
      </c>
      <c r="E1553">
        <f t="shared" si="24"/>
        <v>4</v>
      </c>
      <c r="F1553">
        <v>411100</v>
      </c>
      <c r="G1553" t="s">
        <v>18</v>
      </c>
      <c r="H1553" t="s">
        <v>237</v>
      </c>
      <c r="I1553" t="s">
        <v>238</v>
      </c>
      <c r="J1553">
        <v>339866</v>
      </c>
      <c r="K1553">
        <v>20220429</v>
      </c>
      <c r="L1553" t="s">
        <v>1990</v>
      </c>
      <c r="M1553">
        <v>0</v>
      </c>
      <c r="N1553">
        <v>5</v>
      </c>
      <c r="O1553" t="s">
        <v>19</v>
      </c>
      <c r="P1553" t="s">
        <v>20</v>
      </c>
      <c r="Q1553">
        <v>20220429</v>
      </c>
    </row>
    <row r="1554" spans="1:17" x14ac:dyDescent="0.25">
      <c r="A1554" t="s">
        <v>548</v>
      </c>
      <c r="B1554" t="s">
        <v>429</v>
      </c>
      <c r="C1554">
        <v>55</v>
      </c>
      <c r="D1554">
        <v>20220429</v>
      </c>
      <c r="E1554">
        <f t="shared" si="24"/>
        <v>4</v>
      </c>
      <c r="F1554">
        <v>411100</v>
      </c>
      <c r="G1554" t="s">
        <v>18</v>
      </c>
      <c r="H1554" t="s">
        <v>154</v>
      </c>
      <c r="I1554" t="s">
        <v>155</v>
      </c>
      <c r="J1554">
        <v>339867</v>
      </c>
      <c r="K1554">
        <v>20220429</v>
      </c>
      <c r="L1554" t="s">
        <v>1991</v>
      </c>
      <c r="M1554">
        <v>0</v>
      </c>
      <c r="N1554">
        <v>5</v>
      </c>
      <c r="O1554" t="s">
        <v>19</v>
      </c>
      <c r="P1554" t="s">
        <v>20</v>
      </c>
      <c r="Q1554">
        <v>20220429</v>
      </c>
    </row>
    <row r="1555" spans="1:17" x14ac:dyDescent="0.25">
      <c r="A1555" t="s">
        <v>548</v>
      </c>
      <c r="B1555" t="s">
        <v>429</v>
      </c>
      <c r="C1555">
        <v>55</v>
      </c>
      <c r="D1555">
        <v>20220429</v>
      </c>
      <c r="E1555">
        <f t="shared" si="24"/>
        <v>4</v>
      </c>
      <c r="F1555">
        <v>411100</v>
      </c>
      <c r="G1555" t="s">
        <v>18</v>
      </c>
      <c r="H1555" t="s">
        <v>154</v>
      </c>
      <c r="I1555" t="s">
        <v>155</v>
      </c>
      <c r="J1555">
        <v>339868</v>
      </c>
      <c r="K1555">
        <v>20220429</v>
      </c>
      <c r="L1555" t="s">
        <v>1992</v>
      </c>
      <c r="M1555">
        <v>0</v>
      </c>
      <c r="N1555">
        <v>5</v>
      </c>
      <c r="O1555" t="s">
        <v>19</v>
      </c>
      <c r="P1555" t="s">
        <v>20</v>
      </c>
      <c r="Q1555">
        <v>20220429</v>
      </c>
    </row>
    <row r="1556" spans="1:17" x14ac:dyDescent="0.25">
      <c r="A1556" t="s">
        <v>548</v>
      </c>
      <c r="B1556" t="s">
        <v>429</v>
      </c>
      <c r="C1556">
        <v>55</v>
      </c>
      <c r="D1556">
        <v>20220429</v>
      </c>
      <c r="E1556">
        <f t="shared" si="24"/>
        <v>4</v>
      </c>
      <c r="F1556">
        <v>411100</v>
      </c>
      <c r="G1556" t="s">
        <v>18</v>
      </c>
      <c r="H1556" t="s">
        <v>1959</v>
      </c>
      <c r="I1556" t="s">
        <v>1960</v>
      </c>
      <c r="J1556">
        <v>339869</v>
      </c>
      <c r="K1556">
        <v>20220429</v>
      </c>
      <c r="L1556" t="s">
        <v>1993</v>
      </c>
      <c r="M1556">
        <v>0</v>
      </c>
      <c r="N1556">
        <v>5</v>
      </c>
      <c r="O1556" t="s">
        <v>19</v>
      </c>
      <c r="P1556" t="s">
        <v>20</v>
      </c>
      <c r="Q1556">
        <v>20220429</v>
      </c>
    </row>
    <row r="1557" spans="1:17" x14ac:dyDescent="0.25">
      <c r="A1557" t="s">
        <v>548</v>
      </c>
      <c r="B1557" t="s">
        <v>429</v>
      </c>
      <c r="C1557">
        <v>55</v>
      </c>
      <c r="D1557">
        <v>20220429</v>
      </c>
      <c r="E1557">
        <f t="shared" si="24"/>
        <v>4</v>
      </c>
      <c r="F1557">
        <v>411100</v>
      </c>
      <c r="G1557" t="s">
        <v>18</v>
      </c>
      <c r="H1557" t="s">
        <v>657</v>
      </c>
      <c r="I1557" t="s">
        <v>658</v>
      </c>
      <c r="J1557">
        <v>339870</v>
      </c>
      <c r="K1557">
        <v>20220429</v>
      </c>
      <c r="L1557" t="s">
        <v>1994</v>
      </c>
      <c r="M1557">
        <v>0</v>
      </c>
      <c r="N1557">
        <v>5</v>
      </c>
      <c r="O1557" t="s">
        <v>19</v>
      </c>
      <c r="P1557" t="s">
        <v>20</v>
      </c>
      <c r="Q1557">
        <v>20220429</v>
      </c>
    </row>
    <row r="1558" spans="1:17" x14ac:dyDescent="0.25">
      <c r="A1558" t="s">
        <v>548</v>
      </c>
      <c r="B1558" t="s">
        <v>429</v>
      </c>
      <c r="C1558">
        <v>55</v>
      </c>
      <c r="D1558">
        <v>20220429</v>
      </c>
      <c r="E1558">
        <f t="shared" si="24"/>
        <v>4</v>
      </c>
      <c r="F1558">
        <v>411100</v>
      </c>
      <c r="G1558" t="s">
        <v>18</v>
      </c>
      <c r="H1558" t="s">
        <v>344</v>
      </c>
      <c r="I1558" t="s">
        <v>345</v>
      </c>
      <c r="J1558">
        <v>339871</v>
      </c>
      <c r="K1558">
        <v>20220429</v>
      </c>
      <c r="L1558" t="s">
        <v>1995</v>
      </c>
      <c r="M1558">
        <v>0</v>
      </c>
      <c r="N1558">
        <v>2</v>
      </c>
      <c r="O1558" t="s">
        <v>19</v>
      </c>
      <c r="P1558" t="s">
        <v>20</v>
      </c>
      <c r="Q1558">
        <v>20220429</v>
      </c>
    </row>
    <row r="1559" spans="1:17" x14ac:dyDescent="0.25">
      <c r="A1559" t="s">
        <v>548</v>
      </c>
      <c r="B1559" t="s">
        <v>429</v>
      </c>
      <c r="C1559">
        <v>55</v>
      </c>
      <c r="D1559">
        <v>20220429</v>
      </c>
      <c r="E1559">
        <f t="shared" si="24"/>
        <v>4</v>
      </c>
      <c r="F1559">
        <v>411100</v>
      </c>
      <c r="G1559" t="s">
        <v>18</v>
      </c>
      <c r="H1559" t="s">
        <v>1848</v>
      </c>
      <c r="I1559" t="s">
        <v>1849</v>
      </c>
      <c r="J1559">
        <v>339872</v>
      </c>
      <c r="K1559">
        <v>20220429</v>
      </c>
      <c r="L1559" t="s">
        <v>1996</v>
      </c>
      <c r="M1559">
        <v>0</v>
      </c>
      <c r="N1559">
        <v>2</v>
      </c>
      <c r="O1559" t="s">
        <v>22</v>
      </c>
      <c r="P1559">
        <v>20230218</v>
      </c>
      <c r="Q1559">
        <v>20220429</v>
      </c>
    </row>
    <row r="1560" spans="1:17" x14ac:dyDescent="0.25">
      <c r="A1560" t="s">
        <v>548</v>
      </c>
      <c r="B1560" t="s">
        <v>429</v>
      </c>
      <c r="C1560">
        <v>55</v>
      </c>
      <c r="D1560">
        <v>20220429</v>
      </c>
      <c r="E1560">
        <f t="shared" si="24"/>
        <v>4</v>
      </c>
      <c r="F1560">
        <v>411100</v>
      </c>
      <c r="G1560" t="s">
        <v>18</v>
      </c>
      <c r="H1560" t="s">
        <v>217</v>
      </c>
      <c r="I1560" t="s">
        <v>218</v>
      </c>
      <c r="J1560">
        <v>339873</v>
      </c>
      <c r="K1560">
        <v>20220429</v>
      </c>
      <c r="L1560" t="s">
        <v>1997</v>
      </c>
      <c r="M1560">
        <v>0</v>
      </c>
      <c r="N1560">
        <v>2</v>
      </c>
      <c r="O1560" t="s">
        <v>19</v>
      </c>
      <c r="P1560" t="s">
        <v>20</v>
      </c>
      <c r="Q1560">
        <v>20220429</v>
      </c>
    </row>
    <row r="1561" spans="1:17" x14ac:dyDescent="0.25">
      <c r="A1561" t="s">
        <v>548</v>
      </c>
      <c r="B1561" t="s">
        <v>429</v>
      </c>
      <c r="C1561">
        <v>55</v>
      </c>
      <c r="D1561">
        <v>20220429</v>
      </c>
      <c r="E1561">
        <f t="shared" si="24"/>
        <v>4</v>
      </c>
      <c r="F1561">
        <v>411100</v>
      </c>
      <c r="G1561" t="s">
        <v>18</v>
      </c>
      <c r="H1561" t="s">
        <v>1959</v>
      </c>
      <c r="I1561" t="s">
        <v>1960</v>
      </c>
      <c r="J1561">
        <v>339874</v>
      </c>
      <c r="K1561">
        <v>20220429</v>
      </c>
      <c r="L1561" t="s">
        <v>1998</v>
      </c>
      <c r="M1561">
        <v>0</v>
      </c>
      <c r="N1561">
        <v>1.5</v>
      </c>
      <c r="O1561" t="s">
        <v>19</v>
      </c>
      <c r="P1561" t="s">
        <v>20</v>
      </c>
      <c r="Q1561">
        <v>20220429</v>
      </c>
    </row>
    <row r="1562" spans="1:17" x14ac:dyDescent="0.25">
      <c r="A1562" t="s">
        <v>548</v>
      </c>
      <c r="B1562" t="s">
        <v>429</v>
      </c>
      <c r="C1562">
        <v>55</v>
      </c>
      <c r="D1562">
        <v>20220429</v>
      </c>
      <c r="E1562">
        <f t="shared" si="24"/>
        <v>4</v>
      </c>
      <c r="F1562">
        <v>531105</v>
      </c>
      <c r="G1562" t="s">
        <v>429</v>
      </c>
      <c r="H1562" t="s">
        <v>401</v>
      </c>
      <c r="I1562" t="s">
        <v>402</v>
      </c>
      <c r="J1562">
        <v>339875</v>
      </c>
      <c r="K1562">
        <v>20220429</v>
      </c>
      <c r="L1562" t="s">
        <v>565</v>
      </c>
      <c r="M1562">
        <v>110.5</v>
      </c>
      <c r="N1562">
        <v>0</v>
      </c>
      <c r="O1562" t="s">
        <v>19</v>
      </c>
      <c r="P1562" t="s">
        <v>20</v>
      </c>
      <c r="Q1562">
        <v>20220429</v>
      </c>
    </row>
    <row r="1563" spans="1:17" x14ac:dyDescent="0.25">
      <c r="A1563" t="s">
        <v>548</v>
      </c>
      <c r="B1563" t="s">
        <v>429</v>
      </c>
      <c r="C1563">
        <v>55</v>
      </c>
      <c r="D1563">
        <v>20220429</v>
      </c>
      <c r="E1563">
        <f t="shared" si="24"/>
        <v>4</v>
      </c>
      <c r="F1563">
        <v>411100</v>
      </c>
      <c r="G1563" t="s">
        <v>18</v>
      </c>
      <c r="H1563" t="s">
        <v>192</v>
      </c>
      <c r="I1563" t="s">
        <v>193</v>
      </c>
      <c r="J1563">
        <v>322010006</v>
      </c>
      <c r="K1563">
        <v>20220429</v>
      </c>
      <c r="L1563" t="s">
        <v>1999</v>
      </c>
      <c r="M1563">
        <v>0</v>
      </c>
      <c r="N1563">
        <v>50</v>
      </c>
      <c r="O1563" t="s">
        <v>23</v>
      </c>
      <c r="P1563">
        <v>20230218</v>
      </c>
      <c r="Q1563">
        <v>20220429</v>
      </c>
    </row>
    <row r="1564" spans="1:17" x14ac:dyDescent="0.25">
      <c r="A1564" t="s">
        <v>548</v>
      </c>
      <c r="B1564" t="s">
        <v>429</v>
      </c>
      <c r="C1564">
        <v>55</v>
      </c>
      <c r="D1564">
        <v>20220429</v>
      </c>
      <c r="E1564">
        <f t="shared" si="24"/>
        <v>4</v>
      </c>
      <c r="F1564">
        <v>411020</v>
      </c>
      <c r="G1564" t="s">
        <v>30</v>
      </c>
      <c r="H1564" t="s">
        <v>399</v>
      </c>
      <c r="I1564" t="s">
        <v>400</v>
      </c>
      <c r="J1564">
        <v>322020022</v>
      </c>
      <c r="K1564">
        <v>20220429</v>
      </c>
      <c r="L1564" t="s">
        <v>2000</v>
      </c>
      <c r="M1564">
        <v>0</v>
      </c>
      <c r="N1564">
        <v>27.56</v>
      </c>
      <c r="O1564" t="s">
        <v>19</v>
      </c>
      <c r="P1564" t="s">
        <v>20</v>
      </c>
      <c r="Q1564">
        <v>20220429</v>
      </c>
    </row>
    <row r="1565" spans="1:17" x14ac:dyDescent="0.25">
      <c r="A1565" t="s">
        <v>548</v>
      </c>
      <c r="B1565" t="s">
        <v>429</v>
      </c>
      <c r="C1565">
        <v>55</v>
      </c>
      <c r="D1565">
        <v>20220429</v>
      </c>
      <c r="E1565">
        <f t="shared" si="24"/>
        <v>4</v>
      </c>
      <c r="F1565">
        <v>411020</v>
      </c>
      <c r="G1565" t="s">
        <v>30</v>
      </c>
      <c r="H1565" t="s">
        <v>399</v>
      </c>
      <c r="I1565" t="s">
        <v>400</v>
      </c>
      <c r="J1565">
        <v>322020022</v>
      </c>
      <c r="K1565">
        <v>20220429</v>
      </c>
      <c r="L1565" t="s">
        <v>2001</v>
      </c>
      <c r="M1565">
        <v>0</v>
      </c>
      <c r="N1565">
        <v>2.44</v>
      </c>
      <c r="O1565" t="s">
        <v>19</v>
      </c>
      <c r="P1565" t="s">
        <v>20</v>
      </c>
      <c r="Q1565">
        <v>20220429</v>
      </c>
    </row>
    <row r="1566" spans="1:17" x14ac:dyDescent="0.25">
      <c r="A1566" t="s">
        <v>548</v>
      </c>
      <c r="B1566" t="s">
        <v>429</v>
      </c>
      <c r="C1566">
        <v>55</v>
      </c>
      <c r="D1566">
        <v>20220429</v>
      </c>
      <c r="E1566">
        <f t="shared" si="24"/>
        <v>4</v>
      </c>
      <c r="F1566">
        <v>411020</v>
      </c>
      <c r="G1566" t="s">
        <v>30</v>
      </c>
      <c r="H1566" t="s">
        <v>285</v>
      </c>
      <c r="I1566" t="s">
        <v>286</v>
      </c>
      <c r="J1566">
        <v>321110004</v>
      </c>
      <c r="K1566">
        <v>20220429</v>
      </c>
      <c r="L1566" t="s">
        <v>2002</v>
      </c>
      <c r="M1566">
        <v>0</v>
      </c>
      <c r="N1566">
        <v>46</v>
      </c>
      <c r="O1566" t="s">
        <v>19</v>
      </c>
      <c r="P1566" t="s">
        <v>20</v>
      </c>
      <c r="Q1566">
        <v>20220429</v>
      </c>
    </row>
    <row r="1567" spans="1:17" x14ac:dyDescent="0.25">
      <c r="A1567" t="s">
        <v>548</v>
      </c>
      <c r="B1567" t="s">
        <v>429</v>
      </c>
      <c r="C1567">
        <v>55</v>
      </c>
      <c r="D1567">
        <v>20220429</v>
      </c>
      <c r="E1567">
        <f t="shared" si="24"/>
        <v>4</v>
      </c>
      <c r="F1567">
        <v>531105</v>
      </c>
      <c r="G1567" t="s">
        <v>429</v>
      </c>
      <c r="H1567" t="s">
        <v>401</v>
      </c>
      <c r="I1567" t="s">
        <v>402</v>
      </c>
      <c r="J1567">
        <v>339961</v>
      </c>
      <c r="K1567">
        <v>20220429</v>
      </c>
      <c r="L1567" t="s">
        <v>565</v>
      </c>
      <c r="M1567">
        <v>126</v>
      </c>
      <c r="N1567">
        <v>0</v>
      </c>
      <c r="O1567" t="s">
        <v>19</v>
      </c>
      <c r="P1567" t="s">
        <v>20</v>
      </c>
      <c r="Q1567">
        <v>20220429</v>
      </c>
    </row>
    <row r="1568" spans="1:17" x14ac:dyDescent="0.25">
      <c r="A1568" t="s">
        <v>715</v>
      </c>
      <c r="B1568" t="s">
        <v>432</v>
      </c>
      <c r="C1568">
        <v>56</v>
      </c>
      <c r="D1568">
        <v>20220401</v>
      </c>
      <c r="E1568">
        <f t="shared" si="24"/>
        <v>4</v>
      </c>
      <c r="F1568">
        <v>468736</v>
      </c>
      <c r="G1568" t="s">
        <v>1284</v>
      </c>
      <c r="H1568" t="s">
        <v>401</v>
      </c>
      <c r="I1568" t="s">
        <v>402</v>
      </c>
      <c r="J1568" t="s">
        <v>2003</v>
      </c>
      <c r="K1568">
        <v>20220401</v>
      </c>
      <c r="L1568" t="s">
        <v>1286</v>
      </c>
      <c r="M1568">
        <v>0</v>
      </c>
      <c r="N1568">
        <v>133.41</v>
      </c>
      <c r="O1568" t="s">
        <v>19</v>
      </c>
      <c r="P1568" t="s">
        <v>20</v>
      </c>
      <c r="Q1568">
        <v>20220401</v>
      </c>
    </row>
    <row r="1569" spans="1:17" x14ac:dyDescent="0.25">
      <c r="A1569" t="s">
        <v>715</v>
      </c>
      <c r="B1569" t="s">
        <v>432</v>
      </c>
      <c r="C1569">
        <v>56</v>
      </c>
      <c r="D1569">
        <v>20220401</v>
      </c>
      <c r="E1569">
        <f t="shared" si="24"/>
        <v>4</v>
      </c>
      <c r="F1569">
        <v>512200</v>
      </c>
      <c r="G1569" t="s">
        <v>432</v>
      </c>
      <c r="H1569" t="s">
        <v>401</v>
      </c>
      <c r="I1569" t="s">
        <v>402</v>
      </c>
      <c r="J1569" t="s">
        <v>2003</v>
      </c>
      <c r="K1569">
        <v>20220401</v>
      </c>
      <c r="L1569" t="s">
        <v>1286</v>
      </c>
      <c r="M1569">
        <v>133.41</v>
      </c>
      <c r="N1569">
        <v>0</v>
      </c>
      <c r="O1569" t="s">
        <v>19</v>
      </c>
      <c r="P1569" t="s">
        <v>20</v>
      </c>
      <c r="Q1569">
        <v>20220401</v>
      </c>
    </row>
    <row r="1570" spans="1:17" x14ac:dyDescent="0.25">
      <c r="A1570" t="s">
        <v>715</v>
      </c>
      <c r="B1570" t="s">
        <v>432</v>
      </c>
      <c r="C1570">
        <v>56</v>
      </c>
      <c r="D1570">
        <v>20220404</v>
      </c>
      <c r="E1570">
        <f t="shared" si="24"/>
        <v>4</v>
      </c>
      <c r="F1570">
        <v>401000</v>
      </c>
      <c r="G1570" t="s">
        <v>41</v>
      </c>
      <c r="H1570" t="s">
        <v>52</v>
      </c>
      <c r="I1570" t="s">
        <v>53</v>
      </c>
      <c r="J1570" t="s">
        <v>2004</v>
      </c>
      <c r="K1570">
        <v>20220404</v>
      </c>
      <c r="L1570" t="s">
        <v>2005</v>
      </c>
      <c r="M1570">
        <v>65.760000000000005</v>
      </c>
      <c r="N1570">
        <v>0</v>
      </c>
      <c r="O1570" t="s">
        <v>23</v>
      </c>
      <c r="P1570">
        <v>20220801</v>
      </c>
      <c r="Q1570">
        <v>20220404</v>
      </c>
    </row>
    <row r="1571" spans="1:17" x14ac:dyDescent="0.25">
      <c r="A1571" t="s">
        <v>715</v>
      </c>
      <c r="B1571" t="s">
        <v>432</v>
      </c>
      <c r="C1571">
        <v>56</v>
      </c>
      <c r="D1571">
        <v>20220404</v>
      </c>
      <c r="E1571">
        <f t="shared" si="24"/>
        <v>4</v>
      </c>
      <c r="F1571">
        <v>512200</v>
      </c>
      <c r="G1571" t="s">
        <v>432</v>
      </c>
      <c r="H1571" t="s">
        <v>401</v>
      </c>
      <c r="I1571" t="s">
        <v>402</v>
      </c>
      <c r="J1571" t="s">
        <v>2004</v>
      </c>
      <c r="K1571">
        <v>20220404</v>
      </c>
      <c r="L1571" t="s">
        <v>2005</v>
      </c>
      <c r="M1571">
        <v>0</v>
      </c>
      <c r="N1571">
        <v>65.760000000000005</v>
      </c>
      <c r="O1571" t="s">
        <v>19</v>
      </c>
      <c r="P1571" t="s">
        <v>20</v>
      </c>
      <c r="Q1571">
        <v>20220404</v>
      </c>
    </row>
    <row r="1572" spans="1:17" x14ac:dyDescent="0.25">
      <c r="A1572" t="s">
        <v>715</v>
      </c>
      <c r="B1572" t="s">
        <v>432</v>
      </c>
      <c r="C1572">
        <v>56</v>
      </c>
      <c r="D1572">
        <v>20220404</v>
      </c>
      <c r="E1572">
        <f t="shared" si="24"/>
        <v>4</v>
      </c>
      <c r="F1572">
        <v>401000</v>
      </c>
      <c r="G1572" t="s">
        <v>41</v>
      </c>
      <c r="H1572" t="s">
        <v>52</v>
      </c>
      <c r="I1572" t="s">
        <v>53</v>
      </c>
      <c r="J1572" t="s">
        <v>2006</v>
      </c>
      <c r="K1572">
        <v>20220404</v>
      </c>
      <c r="L1572" t="s">
        <v>2007</v>
      </c>
      <c r="M1572">
        <v>327.12</v>
      </c>
      <c r="N1572">
        <v>0</v>
      </c>
      <c r="O1572" t="s">
        <v>23</v>
      </c>
      <c r="P1572">
        <v>20220801</v>
      </c>
      <c r="Q1572">
        <v>20220404</v>
      </c>
    </row>
    <row r="1573" spans="1:17" x14ac:dyDescent="0.25">
      <c r="A1573" t="s">
        <v>715</v>
      </c>
      <c r="B1573" t="s">
        <v>432</v>
      </c>
      <c r="C1573">
        <v>56</v>
      </c>
      <c r="D1573">
        <v>20220404</v>
      </c>
      <c r="E1573">
        <f t="shared" si="24"/>
        <v>4</v>
      </c>
      <c r="F1573">
        <v>512200</v>
      </c>
      <c r="G1573" t="s">
        <v>432</v>
      </c>
      <c r="H1573" t="s">
        <v>401</v>
      </c>
      <c r="I1573" t="s">
        <v>402</v>
      </c>
      <c r="J1573" t="s">
        <v>2006</v>
      </c>
      <c r="K1573">
        <v>20220404</v>
      </c>
      <c r="L1573" t="s">
        <v>2007</v>
      </c>
      <c r="M1573">
        <v>0</v>
      </c>
      <c r="N1573">
        <v>327.12</v>
      </c>
      <c r="O1573" t="s">
        <v>19</v>
      </c>
      <c r="P1573" t="s">
        <v>20</v>
      </c>
      <c r="Q1573">
        <v>20220404</v>
      </c>
    </row>
    <row r="1574" spans="1:17" x14ac:dyDescent="0.25">
      <c r="A1574" t="s">
        <v>715</v>
      </c>
      <c r="B1574" t="s">
        <v>432</v>
      </c>
      <c r="C1574">
        <v>56</v>
      </c>
      <c r="D1574">
        <v>20220404</v>
      </c>
      <c r="E1574">
        <f t="shared" si="24"/>
        <v>4</v>
      </c>
      <c r="F1574">
        <v>401000</v>
      </c>
      <c r="G1574" t="s">
        <v>41</v>
      </c>
      <c r="H1574" t="s">
        <v>97</v>
      </c>
      <c r="I1574" t="s">
        <v>98</v>
      </c>
      <c r="J1574" t="s">
        <v>2008</v>
      </c>
      <c r="K1574">
        <v>20220404</v>
      </c>
      <c r="L1574" t="s">
        <v>2009</v>
      </c>
      <c r="M1574">
        <v>217.24</v>
      </c>
      <c r="N1574">
        <v>0</v>
      </c>
      <c r="O1574" t="s">
        <v>19</v>
      </c>
      <c r="P1574" t="s">
        <v>20</v>
      </c>
      <c r="Q1574">
        <v>20220404</v>
      </c>
    </row>
    <row r="1575" spans="1:17" x14ac:dyDescent="0.25">
      <c r="A1575" t="s">
        <v>715</v>
      </c>
      <c r="B1575" t="s">
        <v>432</v>
      </c>
      <c r="C1575">
        <v>56</v>
      </c>
      <c r="D1575">
        <v>20220404</v>
      </c>
      <c r="E1575">
        <f t="shared" si="24"/>
        <v>4</v>
      </c>
      <c r="F1575">
        <v>512200</v>
      </c>
      <c r="G1575" t="s">
        <v>432</v>
      </c>
      <c r="H1575" t="s">
        <v>401</v>
      </c>
      <c r="I1575" t="s">
        <v>402</v>
      </c>
      <c r="J1575" t="s">
        <v>2008</v>
      </c>
      <c r="K1575">
        <v>20220404</v>
      </c>
      <c r="L1575" t="s">
        <v>2009</v>
      </c>
      <c r="M1575">
        <v>0</v>
      </c>
      <c r="N1575">
        <v>217.24</v>
      </c>
      <c r="O1575" t="s">
        <v>19</v>
      </c>
      <c r="P1575" t="s">
        <v>20</v>
      </c>
      <c r="Q1575">
        <v>20220404</v>
      </c>
    </row>
    <row r="1576" spans="1:17" x14ac:dyDescent="0.25">
      <c r="A1576" t="s">
        <v>715</v>
      </c>
      <c r="B1576" t="s">
        <v>432</v>
      </c>
      <c r="C1576">
        <v>56</v>
      </c>
      <c r="D1576">
        <v>20220404</v>
      </c>
      <c r="E1576">
        <f t="shared" si="24"/>
        <v>4</v>
      </c>
      <c r="F1576">
        <v>401000</v>
      </c>
      <c r="G1576" t="s">
        <v>41</v>
      </c>
      <c r="H1576" t="s">
        <v>168</v>
      </c>
      <c r="I1576" t="s">
        <v>169</v>
      </c>
      <c r="J1576" t="s">
        <v>2010</v>
      </c>
      <c r="K1576">
        <v>20220404</v>
      </c>
      <c r="L1576" t="s">
        <v>2011</v>
      </c>
      <c r="M1576">
        <v>53.98</v>
      </c>
      <c r="N1576">
        <v>0</v>
      </c>
      <c r="O1576" t="s">
        <v>23</v>
      </c>
      <c r="P1576">
        <v>20220831</v>
      </c>
      <c r="Q1576">
        <v>20220404</v>
      </c>
    </row>
    <row r="1577" spans="1:17" x14ac:dyDescent="0.25">
      <c r="A1577" t="s">
        <v>715</v>
      </c>
      <c r="B1577" t="s">
        <v>432</v>
      </c>
      <c r="C1577">
        <v>56</v>
      </c>
      <c r="D1577">
        <v>20220404</v>
      </c>
      <c r="E1577">
        <f t="shared" si="24"/>
        <v>4</v>
      </c>
      <c r="F1577">
        <v>512200</v>
      </c>
      <c r="G1577" t="s">
        <v>432</v>
      </c>
      <c r="H1577" t="s">
        <v>401</v>
      </c>
      <c r="I1577" t="s">
        <v>402</v>
      </c>
      <c r="J1577" t="s">
        <v>2010</v>
      </c>
      <c r="K1577">
        <v>20220404</v>
      </c>
      <c r="L1577" t="s">
        <v>2011</v>
      </c>
      <c r="M1577">
        <v>0</v>
      </c>
      <c r="N1577">
        <v>53.98</v>
      </c>
      <c r="O1577" t="s">
        <v>19</v>
      </c>
      <c r="P1577" t="s">
        <v>20</v>
      </c>
      <c r="Q1577">
        <v>20220404</v>
      </c>
    </row>
    <row r="1578" spans="1:17" x14ac:dyDescent="0.25">
      <c r="A1578" t="s">
        <v>715</v>
      </c>
      <c r="B1578" t="s">
        <v>432</v>
      </c>
      <c r="C1578">
        <v>56</v>
      </c>
      <c r="D1578">
        <v>20220405</v>
      </c>
      <c r="E1578">
        <f t="shared" si="24"/>
        <v>4</v>
      </c>
      <c r="F1578">
        <v>512200</v>
      </c>
      <c r="G1578" t="s">
        <v>432</v>
      </c>
      <c r="H1578" t="s">
        <v>401</v>
      </c>
      <c r="I1578" t="s">
        <v>402</v>
      </c>
      <c r="J1578" t="s">
        <v>2012</v>
      </c>
      <c r="K1578">
        <v>20220405</v>
      </c>
      <c r="L1578" t="s">
        <v>2013</v>
      </c>
      <c r="M1578">
        <v>2005.63</v>
      </c>
      <c r="N1578">
        <v>0</v>
      </c>
      <c r="O1578" t="s">
        <v>19</v>
      </c>
      <c r="P1578" t="s">
        <v>20</v>
      </c>
      <c r="Q1578">
        <v>20220405</v>
      </c>
    </row>
    <row r="1579" spans="1:17" x14ac:dyDescent="0.25">
      <c r="A1579" t="s">
        <v>715</v>
      </c>
      <c r="B1579" t="s">
        <v>432</v>
      </c>
      <c r="C1579">
        <v>56</v>
      </c>
      <c r="D1579">
        <v>20220405</v>
      </c>
      <c r="E1579">
        <f t="shared" si="24"/>
        <v>4</v>
      </c>
      <c r="F1579">
        <v>511000</v>
      </c>
      <c r="G1579" t="s">
        <v>431</v>
      </c>
      <c r="H1579" t="s">
        <v>401</v>
      </c>
      <c r="I1579" t="s">
        <v>402</v>
      </c>
      <c r="J1579" t="s">
        <v>2012</v>
      </c>
      <c r="K1579">
        <v>20220405</v>
      </c>
      <c r="L1579" t="s">
        <v>2013</v>
      </c>
      <c r="M1579">
        <v>0</v>
      </c>
      <c r="N1579">
        <v>2005.63</v>
      </c>
      <c r="O1579" t="s">
        <v>23</v>
      </c>
      <c r="P1579">
        <v>20220517</v>
      </c>
      <c r="Q1579">
        <v>20220405</v>
      </c>
    </row>
    <row r="1580" spans="1:17" x14ac:dyDescent="0.25">
      <c r="A1580" t="s">
        <v>715</v>
      </c>
      <c r="B1580" t="s">
        <v>432</v>
      </c>
      <c r="C1580">
        <v>56</v>
      </c>
      <c r="D1580">
        <v>20220405</v>
      </c>
      <c r="E1580">
        <f t="shared" si="24"/>
        <v>4</v>
      </c>
      <c r="F1580">
        <v>512200</v>
      </c>
      <c r="G1580" t="s">
        <v>432</v>
      </c>
      <c r="H1580" t="s">
        <v>401</v>
      </c>
      <c r="I1580" t="s">
        <v>402</v>
      </c>
      <c r="J1580" t="s">
        <v>1754</v>
      </c>
      <c r="K1580">
        <v>20220405</v>
      </c>
      <c r="L1580" t="s">
        <v>625</v>
      </c>
      <c r="M1580">
        <v>3200</v>
      </c>
      <c r="N1580">
        <v>0</v>
      </c>
      <c r="O1580" t="s">
        <v>19</v>
      </c>
      <c r="P1580" t="s">
        <v>20</v>
      </c>
      <c r="Q1580">
        <v>20220405</v>
      </c>
    </row>
    <row r="1581" spans="1:17" x14ac:dyDescent="0.25">
      <c r="A1581" t="s">
        <v>715</v>
      </c>
      <c r="B1581" t="s">
        <v>432</v>
      </c>
      <c r="C1581">
        <v>56</v>
      </c>
      <c r="D1581">
        <v>20220405</v>
      </c>
      <c r="E1581">
        <f t="shared" si="24"/>
        <v>4</v>
      </c>
      <c r="F1581">
        <v>580000</v>
      </c>
      <c r="G1581" t="s">
        <v>532</v>
      </c>
      <c r="H1581" t="s">
        <v>401</v>
      </c>
      <c r="I1581" t="s">
        <v>402</v>
      </c>
      <c r="J1581" t="s">
        <v>1754</v>
      </c>
      <c r="K1581">
        <v>20220405</v>
      </c>
      <c r="L1581" t="s">
        <v>625</v>
      </c>
      <c r="M1581">
        <v>0</v>
      </c>
      <c r="N1581">
        <v>3200</v>
      </c>
      <c r="O1581" t="s">
        <v>22</v>
      </c>
      <c r="P1581">
        <v>20220405</v>
      </c>
      <c r="Q1581">
        <v>20220405</v>
      </c>
    </row>
    <row r="1582" spans="1:17" x14ac:dyDescent="0.25">
      <c r="A1582" t="s">
        <v>715</v>
      </c>
      <c r="B1582" t="s">
        <v>432</v>
      </c>
      <c r="C1582">
        <v>56</v>
      </c>
      <c r="D1582">
        <v>20220405</v>
      </c>
      <c r="E1582">
        <f t="shared" si="24"/>
        <v>4</v>
      </c>
      <c r="F1582">
        <v>401000</v>
      </c>
      <c r="G1582" t="s">
        <v>41</v>
      </c>
      <c r="H1582" t="s">
        <v>52</v>
      </c>
      <c r="I1582" t="s">
        <v>53</v>
      </c>
      <c r="J1582" t="s">
        <v>2014</v>
      </c>
      <c r="K1582">
        <v>20220405</v>
      </c>
      <c r="L1582" t="s">
        <v>2015</v>
      </c>
      <c r="M1582">
        <v>57.24</v>
      </c>
      <c r="N1582">
        <v>0</v>
      </c>
      <c r="O1582" t="s">
        <v>23</v>
      </c>
      <c r="P1582">
        <v>20220831</v>
      </c>
      <c r="Q1582">
        <v>20220405</v>
      </c>
    </row>
    <row r="1583" spans="1:17" x14ac:dyDescent="0.25">
      <c r="A1583" t="s">
        <v>715</v>
      </c>
      <c r="B1583" t="s">
        <v>432</v>
      </c>
      <c r="C1583">
        <v>56</v>
      </c>
      <c r="D1583">
        <v>20220405</v>
      </c>
      <c r="E1583">
        <f t="shared" si="24"/>
        <v>4</v>
      </c>
      <c r="F1583">
        <v>512200</v>
      </c>
      <c r="G1583" t="s">
        <v>432</v>
      </c>
      <c r="H1583" t="s">
        <v>401</v>
      </c>
      <c r="I1583" t="s">
        <v>402</v>
      </c>
      <c r="J1583" t="s">
        <v>2014</v>
      </c>
      <c r="K1583">
        <v>20220405</v>
      </c>
      <c r="L1583" t="s">
        <v>2015</v>
      </c>
      <c r="M1583">
        <v>0</v>
      </c>
      <c r="N1583">
        <v>57.24</v>
      </c>
      <c r="O1583" t="s">
        <v>19</v>
      </c>
      <c r="P1583" t="s">
        <v>20</v>
      </c>
      <c r="Q1583">
        <v>20220405</v>
      </c>
    </row>
    <row r="1584" spans="1:17" x14ac:dyDescent="0.25">
      <c r="A1584" t="s">
        <v>715</v>
      </c>
      <c r="B1584" t="s">
        <v>432</v>
      </c>
      <c r="C1584">
        <v>56</v>
      </c>
      <c r="D1584">
        <v>20220405</v>
      </c>
      <c r="E1584">
        <f t="shared" si="24"/>
        <v>4</v>
      </c>
      <c r="F1584">
        <v>401000</v>
      </c>
      <c r="G1584" t="s">
        <v>41</v>
      </c>
      <c r="H1584" t="s">
        <v>52</v>
      </c>
      <c r="I1584" t="s">
        <v>53</v>
      </c>
      <c r="J1584" t="s">
        <v>2016</v>
      </c>
      <c r="K1584">
        <v>20220405</v>
      </c>
      <c r="L1584" t="s">
        <v>2017</v>
      </c>
      <c r="M1584">
        <v>62.4</v>
      </c>
      <c r="N1584">
        <v>0</v>
      </c>
      <c r="O1584" t="s">
        <v>23</v>
      </c>
      <c r="P1584">
        <v>20220919</v>
      </c>
      <c r="Q1584">
        <v>20220405</v>
      </c>
    </row>
    <row r="1585" spans="1:17" x14ac:dyDescent="0.25">
      <c r="A1585" t="s">
        <v>715</v>
      </c>
      <c r="B1585" t="s">
        <v>432</v>
      </c>
      <c r="C1585">
        <v>56</v>
      </c>
      <c r="D1585">
        <v>20220405</v>
      </c>
      <c r="E1585">
        <f t="shared" si="24"/>
        <v>4</v>
      </c>
      <c r="F1585">
        <v>512200</v>
      </c>
      <c r="G1585" t="s">
        <v>432</v>
      </c>
      <c r="H1585" t="s">
        <v>401</v>
      </c>
      <c r="I1585" t="s">
        <v>402</v>
      </c>
      <c r="J1585" t="s">
        <v>2016</v>
      </c>
      <c r="K1585">
        <v>20220405</v>
      </c>
      <c r="L1585" t="s">
        <v>2017</v>
      </c>
      <c r="M1585">
        <v>0</v>
      </c>
      <c r="N1585">
        <v>62.4</v>
      </c>
      <c r="O1585" t="s">
        <v>19</v>
      </c>
      <c r="P1585" t="s">
        <v>20</v>
      </c>
      <c r="Q1585">
        <v>20220405</v>
      </c>
    </row>
    <row r="1586" spans="1:17" x14ac:dyDescent="0.25">
      <c r="A1586" t="s">
        <v>715</v>
      </c>
      <c r="B1586" t="s">
        <v>432</v>
      </c>
      <c r="C1586">
        <v>56</v>
      </c>
      <c r="D1586">
        <v>20220405</v>
      </c>
      <c r="E1586">
        <f t="shared" si="24"/>
        <v>4</v>
      </c>
      <c r="F1586">
        <v>401000</v>
      </c>
      <c r="G1586" t="s">
        <v>41</v>
      </c>
      <c r="H1586" t="s">
        <v>1317</v>
      </c>
      <c r="I1586" t="s">
        <v>1318</v>
      </c>
      <c r="J1586" t="s">
        <v>2018</v>
      </c>
      <c r="K1586">
        <v>20220405</v>
      </c>
      <c r="L1586" t="s">
        <v>2019</v>
      </c>
      <c r="M1586">
        <v>240</v>
      </c>
      <c r="N1586">
        <v>0</v>
      </c>
      <c r="O1586" t="s">
        <v>23</v>
      </c>
      <c r="P1586">
        <v>20220831</v>
      </c>
      <c r="Q1586">
        <v>20220405</v>
      </c>
    </row>
    <row r="1587" spans="1:17" x14ac:dyDescent="0.25">
      <c r="A1587" t="s">
        <v>715</v>
      </c>
      <c r="B1587" t="s">
        <v>432</v>
      </c>
      <c r="C1587">
        <v>56</v>
      </c>
      <c r="D1587">
        <v>20220405</v>
      </c>
      <c r="E1587">
        <f t="shared" si="24"/>
        <v>4</v>
      </c>
      <c r="F1587">
        <v>512200</v>
      </c>
      <c r="G1587" t="s">
        <v>432</v>
      </c>
      <c r="H1587" t="s">
        <v>401</v>
      </c>
      <c r="I1587" t="s">
        <v>402</v>
      </c>
      <c r="J1587" t="s">
        <v>2018</v>
      </c>
      <c r="K1587">
        <v>20220405</v>
      </c>
      <c r="L1587" t="s">
        <v>2019</v>
      </c>
      <c r="M1587">
        <v>0</v>
      </c>
      <c r="N1587">
        <v>240</v>
      </c>
      <c r="O1587" t="s">
        <v>19</v>
      </c>
      <c r="P1587" t="s">
        <v>20</v>
      </c>
      <c r="Q1587">
        <v>20220405</v>
      </c>
    </row>
    <row r="1588" spans="1:17" x14ac:dyDescent="0.25">
      <c r="A1588" t="s">
        <v>715</v>
      </c>
      <c r="B1588" t="s">
        <v>432</v>
      </c>
      <c r="C1588">
        <v>56</v>
      </c>
      <c r="D1588">
        <v>20220407</v>
      </c>
      <c r="E1588">
        <f t="shared" si="24"/>
        <v>4</v>
      </c>
      <c r="F1588">
        <v>401000</v>
      </c>
      <c r="G1588" t="s">
        <v>41</v>
      </c>
      <c r="H1588" t="s">
        <v>1325</v>
      </c>
      <c r="I1588" t="s">
        <v>1326</v>
      </c>
      <c r="J1588" t="s">
        <v>2020</v>
      </c>
      <c r="K1588">
        <v>20220407</v>
      </c>
      <c r="L1588" t="s">
        <v>2021</v>
      </c>
      <c r="M1588">
        <v>605</v>
      </c>
      <c r="N1588">
        <v>0</v>
      </c>
      <c r="O1588" t="s">
        <v>23</v>
      </c>
      <c r="P1588">
        <v>20220831</v>
      </c>
      <c r="Q1588">
        <v>20220407</v>
      </c>
    </row>
    <row r="1589" spans="1:17" x14ac:dyDescent="0.25">
      <c r="A1589" t="s">
        <v>715</v>
      </c>
      <c r="B1589" t="s">
        <v>432</v>
      </c>
      <c r="C1589">
        <v>56</v>
      </c>
      <c r="D1589">
        <v>20220407</v>
      </c>
      <c r="E1589">
        <f t="shared" si="24"/>
        <v>4</v>
      </c>
      <c r="F1589">
        <v>512200</v>
      </c>
      <c r="G1589" t="s">
        <v>432</v>
      </c>
      <c r="H1589" t="s">
        <v>401</v>
      </c>
      <c r="I1589" t="s">
        <v>402</v>
      </c>
      <c r="J1589" t="s">
        <v>2020</v>
      </c>
      <c r="K1589">
        <v>20220407</v>
      </c>
      <c r="L1589" t="s">
        <v>2021</v>
      </c>
      <c r="M1589">
        <v>0</v>
      </c>
      <c r="N1589">
        <v>605</v>
      </c>
      <c r="O1589" t="s">
        <v>19</v>
      </c>
      <c r="P1589" t="s">
        <v>20</v>
      </c>
      <c r="Q1589">
        <v>20220407</v>
      </c>
    </row>
    <row r="1590" spans="1:17" x14ac:dyDescent="0.25">
      <c r="A1590" t="s">
        <v>715</v>
      </c>
      <c r="B1590" t="s">
        <v>432</v>
      </c>
      <c r="C1590">
        <v>56</v>
      </c>
      <c r="D1590">
        <v>20220408</v>
      </c>
      <c r="E1590">
        <f t="shared" si="24"/>
        <v>4</v>
      </c>
      <c r="F1590">
        <v>401000</v>
      </c>
      <c r="G1590" t="s">
        <v>41</v>
      </c>
      <c r="H1590" t="s">
        <v>181</v>
      </c>
      <c r="I1590" t="s">
        <v>182</v>
      </c>
      <c r="J1590" t="s">
        <v>2022</v>
      </c>
      <c r="K1590">
        <v>20220408</v>
      </c>
      <c r="L1590" t="s">
        <v>2023</v>
      </c>
      <c r="M1590">
        <v>284.83</v>
      </c>
      <c r="N1590">
        <v>0</v>
      </c>
      <c r="O1590" t="s">
        <v>23</v>
      </c>
      <c r="P1590">
        <v>20220825</v>
      </c>
      <c r="Q1590">
        <v>20220408</v>
      </c>
    </row>
    <row r="1591" spans="1:17" x14ac:dyDescent="0.25">
      <c r="A1591" t="s">
        <v>715</v>
      </c>
      <c r="B1591" t="s">
        <v>432</v>
      </c>
      <c r="C1591">
        <v>56</v>
      </c>
      <c r="D1591">
        <v>20220408</v>
      </c>
      <c r="E1591">
        <f t="shared" si="24"/>
        <v>4</v>
      </c>
      <c r="F1591">
        <v>512200</v>
      </c>
      <c r="G1591" t="s">
        <v>432</v>
      </c>
      <c r="H1591" t="s">
        <v>401</v>
      </c>
      <c r="I1591" t="s">
        <v>402</v>
      </c>
      <c r="J1591" t="s">
        <v>2022</v>
      </c>
      <c r="K1591">
        <v>20220408</v>
      </c>
      <c r="L1591" t="s">
        <v>2023</v>
      </c>
      <c r="M1591">
        <v>0</v>
      </c>
      <c r="N1591">
        <v>284.83</v>
      </c>
      <c r="O1591" t="s">
        <v>19</v>
      </c>
      <c r="P1591" t="s">
        <v>20</v>
      </c>
      <c r="Q1591">
        <v>20220408</v>
      </c>
    </row>
    <row r="1592" spans="1:17" x14ac:dyDescent="0.25">
      <c r="A1592" t="s">
        <v>715</v>
      </c>
      <c r="B1592" t="s">
        <v>432</v>
      </c>
      <c r="C1592">
        <v>56</v>
      </c>
      <c r="D1592">
        <v>20220411</v>
      </c>
      <c r="E1592">
        <f t="shared" si="24"/>
        <v>4</v>
      </c>
      <c r="F1592">
        <v>627000</v>
      </c>
      <c r="G1592" t="s">
        <v>480</v>
      </c>
      <c r="H1592" t="s">
        <v>401</v>
      </c>
      <c r="I1592" t="s">
        <v>402</v>
      </c>
      <c r="J1592" t="s">
        <v>2024</v>
      </c>
      <c r="K1592">
        <v>20220411</v>
      </c>
      <c r="L1592" t="s">
        <v>1255</v>
      </c>
      <c r="M1592">
        <v>15.78</v>
      </c>
      <c r="N1592">
        <v>0</v>
      </c>
      <c r="O1592" t="s">
        <v>19</v>
      </c>
      <c r="P1592" t="s">
        <v>20</v>
      </c>
      <c r="Q1592">
        <v>20220411</v>
      </c>
    </row>
    <row r="1593" spans="1:17" x14ac:dyDescent="0.25">
      <c r="A1593" t="s">
        <v>715</v>
      </c>
      <c r="B1593" t="s">
        <v>432</v>
      </c>
      <c r="C1593">
        <v>56</v>
      </c>
      <c r="D1593">
        <v>20220411</v>
      </c>
      <c r="E1593">
        <f t="shared" si="24"/>
        <v>4</v>
      </c>
      <c r="F1593">
        <v>512200</v>
      </c>
      <c r="G1593" t="s">
        <v>432</v>
      </c>
      <c r="H1593" t="s">
        <v>401</v>
      </c>
      <c r="I1593" t="s">
        <v>402</v>
      </c>
      <c r="J1593" t="s">
        <v>2024</v>
      </c>
      <c r="K1593">
        <v>20220411</v>
      </c>
      <c r="L1593" t="s">
        <v>1255</v>
      </c>
      <c r="M1593">
        <v>0</v>
      </c>
      <c r="N1593">
        <v>15.78</v>
      </c>
      <c r="O1593" t="s">
        <v>19</v>
      </c>
      <c r="P1593" t="s">
        <v>20</v>
      </c>
      <c r="Q1593">
        <v>20220411</v>
      </c>
    </row>
    <row r="1594" spans="1:17" x14ac:dyDescent="0.25">
      <c r="A1594" t="s">
        <v>715</v>
      </c>
      <c r="B1594" t="s">
        <v>432</v>
      </c>
      <c r="C1594">
        <v>56</v>
      </c>
      <c r="D1594">
        <v>20220413</v>
      </c>
      <c r="E1594">
        <f t="shared" si="24"/>
        <v>4</v>
      </c>
      <c r="F1594">
        <v>512200</v>
      </c>
      <c r="G1594" t="s">
        <v>432</v>
      </c>
      <c r="H1594" t="s">
        <v>401</v>
      </c>
      <c r="I1594" t="s">
        <v>402</v>
      </c>
      <c r="J1594" t="s">
        <v>2025</v>
      </c>
      <c r="K1594">
        <v>20220413</v>
      </c>
      <c r="L1594" t="s">
        <v>2021</v>
      </c>
      <c r="M1594">
        <v>5916.63</v>
      </c>
      <c r="N1594">
        <v>0</v>
      </c>
      <c r="O1594" t="s">
        <v>19</v>
      </c>
      <c r="P1594" t="s">
        <v>20</v>
      </c>
      <c r="Q1594">
        <v>20220413</v>
      </c>
    </row>
    <row r="1595" spans="1:17" x14ac:dyDescent="0.25">
      <c r="A1595" t="s">
        <v>715</v>
      </c>
      <c r="B1595" t="s">
        <v>432</v>
      </c>
      <c r="C1595">
        <v>56</v>
      </c>
      <c r="D1595">
        <v>20220413</v>
      </c>
      <c r="E1595">
        <f t="shared" si="24"/>
        <v>4</v>
      </c>
      <c r="F1595">
        <v>511000</v>
      </c>
      <c r="G1595" t="s">
        <v>431</v>
      </c>
      <c r="H1595" t="s">
        <v>401</v>
      </c>
      <c r="I1595" t="s">
        <v>402</v>
      </c>
      <c r="J1595" t="s">
        <v>2025</v>
      </c>
      <c r="K1595">
        <v>20220413</v>
      </c>
      <c r="L1595" t="s">
        <v>2026</v>
      </c>
      <c r="M1595">
        <v>0</v>
      </c>
      <c r="N1595">
        <v>5916.63</v>
      </c>
      <c r="O1595" t="s">
        <v>23</v>
      </c>
      <c r="P1595">
        <v>20221017</v>
      </c>
      <c r="Q1595">
        <v>20220413</v>
      </c>
    </row>
    <row r="1596" spans="1:17" x14ac:dyDescent="0.25">
      <c r="A1596" t="s">
        <v>715</v>
      </c>
      <c r="B1596" t="s">
        <v>432</v>
      </c>
      <c r="C1596">
        <v>56</v>
      </c>
      <c r="D1596">
        <v>20220414</v>
      </c>
      <c r="E1596">
        <f t="shared" si="24"/>
        <v>4</v>
      </c>
      <c r="F1596">
        <v>401000</v>
      </c>
      <c r="G1596" t="s">
        <v>41</v>
      </c>
      <c r="H1596" t="s">
        <v>181</v>
      </c>
      <c r="I1596" t="s">
        <v>182</v>
      </c>
      <c r="J1596" t="s">
        <v>2027</v>
      </c>
      <c r="K1596">
        <v>20220414</v>
      </c>
      <c r="L1596" t="s">
        <v>2023</v>
      </c>
      <c r="M1596">
        <v>55.76</v>
      </c>
      <c r="N1596">
        <v>0</v>
      </c>
      <c r="O1596" t="s">
        <v>23</v>
      </c>
      <c r="P1596">
        <v>20230324</v>
      </c>
      <c r="Q1596">
        <v>20220414</v>
      </c>
    </row>
    <row r="1597" spans="1:17" x14ac:dyDescent="0.25">
      <c r="A1597" t="s">
        <v>715</v>
      </c>
      <c r="B1597" t="s">
        <v>432</v>
      </c>
      <c r="C1597">
        <v>56</v>
      </c>
      <c r="D1597">
        <v>20220414</v>
      </c>
      <c r="E1597">
        <f t="shared" si="24"/>
        <v>4</v>
      </c>
      <c r="F1597">
        <v>512200</v>
      </c>
      <c r="G1597" t="s">
        <v>432</v>
      </c>
      <c r="H1597" t="s">
        <v>401</v>
      </c>
      <c r="I1597" t="s">
        <v>402</v>
      </c>
      <c r="J1597" t="s">
        <v>2027</v>
      </c>
      <c r="K1597">
        <v>20220414</v>
      </c>
      <c r="L1597" t="s">
        <v>2023</v>
      </c>
      <c r="M1597">
        <v>0</v>
      </c>
      <c r="N1597">
        <v>55.76</v>
      </c>
      <c r="O1597" t="s">
        <v>19</v>
      </c>
      <c r="P1597" t="s">
        <v>20</v>
      </c>
      <c r="Q1597">
        <v>20220414</v>
      </c>
    </row>
    <row r="1598" spans="1:17" x14ac:dyDescent="0.25">
      <c r="A1598" t="s">
        <v>715</v>
      </c>
      <c r="B1598" t="s">
        <v>432</v>
      </c>
      <c r="C1598">
        <v>56</v>
      </c>
      <c r="D1598">
        <v>20220419</v>
      </c>
      <c r="E1598">
        <f t="shared" si="24"/>
        <v>4</v>
      </c>
      <c r="F1598">
        <v>401000</v>
      </c>
      <c r="G1598" t="s">
        <v>41</v>
      </c>
      <c r="H1598" t="s">
        <v>52</v>
      </c>
      <c r="I1598" t="s">
        <v>53</v>
      </c>
      <c r="J1598" t="s">
        <v>2028</v>
      </c>
      <c r="K1598">
        <v>20220419</v>
      </c>
      <c r="L1598" t="s">
        <v>2029</v>
      </c>
      <c r="M1598">
        <v>66</v>
      </c>
      <c r="N1598">
        <v>0</v>
      </c>
      <c r="O1598" t="s">
        <v>23</v>
      </c>
      <c r="P1598">
        <v>20220919</v>
      </c>
      <c r="Q1598">
        <v>20220419</v>
      </c>
    </row>
    <row r="1599" spans="1:17" x14ac:dyDescent="0.25">
      <c r="A1599" t="s">
        <v>715</v>
      </c>
      <c r="B1599" t="s">
        <v>432</v>
      </c>
      <c r="C1599">
        <v>56</v>
      </c>
      <c r="D1599">
        <v>20220419</v>
      </c>
      <c r="E1599">
        <f t="shared" si="24"/>
        <v>4</v>
      </c>
      <c r="F1599">
        <v>512200</v>
      </c>
      <c r="G1599" t="s">
        <v>432</v>
      </c>
      <c r="H1599" t="s">
        <v>401</v>
      </c>
      <c r="I1599" t="s">
        <v>402</v>
      </c>
      <c r="J1599" t="s">
        <v>2028</v>
      </c>
      <c r="K1599">
        <v>20220419</v>
      </c>
      <c r="L1599" t="s">
        <v>2029</v>
      </c>
      <c r="M1599">
        <v>0</v>
      </c>
      <c r="N1599">
        <v>66</v>
      </c>
      <c r="O1599" t="s">
        <v>19</v>
      </c>
      <c r="P1599" t="s">
        <v>20</v>
      </c>
      <c r="Q1599">
        <v>20220419</v>
      </c>
    </row>
    <row r="1600" spans="1:17" x14ac:dyDescent="0.25">
      <c r="A1600" t="s">
        <v>715</v>
      </c>
      <c r="B1600" t="s">
        <v>432</v>
      </c>
      <c r="C1600">
        <v>56</v>
      </c>
      <c r="D1600">
        <v>20220419</v>
      </c>
      <c r="E1600">
        <f t="shared" si="24"/>
        <v>4</v>
      </c>
      <c r="F1600">
        <v>401000</v>
      </c>
      <c r="G1600" t="s">
        <v>41</v>
      </c>
      <c r="H1600" t="s">
        <v>1643</v>
      </c>
      <c r="I1600" t="s">
        <v>1644</v>
      </c>
      <c r="J1600" t="s">
        <v>2030</v>
      </c>
      <c r="K1600">
        <v>20220419</v>
      </c>
      <c r="L1600" t="s">
        <v>2031</v>
      </c>
      <c r="M1600">
        <v>637.6</v>
      </c>
      <c r="N1600">
        <v>0</v>
      </c>
      <c r="O1600" t="s">
        <v>23</v>
      </c>
      <c r="P1600">
        <v>20220831</v>
      </c>
      <c r="Q1600">
        <v>20220419</v>
      </c>
    </row>
    <row r="1601" spans="1:17" x14ac:dyDescent="0.25">
      <c r="A1601" t="s">
        <v>715</v>
      </c>
      <c r="B1601" t="s">
        <v>432</v>
      </c>
      <c r="C1601">
        <v>56</v>
      </c>
      <c r="D1601">
        <v>20220419</v>
      </c>
      <c r="E1601">
        <f t="shared" si="24"/>
        <v>4</v>
      </c>
      <c r="F1601">
        <v>512200</v>
      </c>
      <c r="G1601" t="s">
        <v>432</v>
      </c>
      <c r="H1601" t="s">
        <v>401</v>
      </c>
      <c r="I1601" t="s">
        <v>402</v>
      </c>
      <c r="J1601" t="s">
        <v>2030</v>
      </c>
      <c r="K1601">
        <v>20220419</v>
      </c>
      <c r="L1601" t="s">
        <v>2031</v>
      </c>
      <c r="M1601">
        <v>0</v>
      </c>
      <c r="N1601">
        <v>637.6</v>
      </c>
      <c r="O1601" t="s">
        <v>19</v>
      </c>
      <c r="P1601" t="s">
        <v>20</v>
      </c>
      <c r="Q1601">
        <v>20220419</v>
      </c>
    </row>
    <row r="1602" spans="1:17" x14ac:dyDescent="0.25">
      <c r="A1602" t="s">
        <v>715</v>
      </c>
      <c r="B1602" t="s">
        <v>432</v>
      </c>
      <c r="C1602">
        <v>56</v>
      </c>
      <c r="D1602">
        <v>20220422</v>
      </c>
      <c r="E1602">
        <f t="shared" si="24"/>
        <v>4</v>
      </c>
      <c r="F1602">
        <v>401000</v>
      </c>
      <c r="G1602" t="s">
        <v>41</v>
      </c>
      <c r="H1602" t="s">
        <v>97</v>
      </c>
      <c r="I1602" t="s">
        <v>98</v>
      </c>
      <c r="J1602" t="s">
        <v>2032</v>
      </c>
      <c r="K1602">
        <v>20220422</v>
      </c>
      <c r="L1602" t="s">
        <v>2033</v>
      </c>
      <c r="M1602">
        <v>82.13</v>
      </c>
      <c r="N1602">
        <v>0</v>
      </c>
      <c r="O1602" t="s">
        <v>19</v>
      </c>
      <c r="P1602" t="s">
        <v>20</v>
      </c>
      <c r="Q1602">
        <v>20220422</v>
      </c>
    </row>
    <row r="1603" spans="1:17" x14ac:dyDescent="0.25">
      <c r="A1603" t="s">
        <v>715</v>
      </c>
      <c r="B1603" t="s">
        <v>432</v>
      </c>
      <c r="C1603">
        <v>56</v>
      </c>
      <c r="D1603">
        <v>20220422</v>
      </c>
      <c r="E1603">
        <f t="shared" ref="E1603:E1666" si="25">VALUE(MID(D1603,5,2))</f>
        <v>4</v>
      </c>
      <c r="F1603">
        <v>512200</v>
      </c>
      <c r="G1603" t="s">
        <v>432</v>
      </c>
      <c r="H1603" t="s">
        <v>401</v>
      </c>
      <c r="I1603" t="s">
        <v>402</v>
      </c>
      <c r="J1603" t="s">
        <v>2032</v>
      </c>
      <c r="K1603">
        <v>20220422</v>
      </c>
      <c r="L1603" t="s">
        <v>2033</v>
      </c>
      <c r="M1603">
        <v>0</v>
      </c>
      <c r="N1603">
        <v>82.13</v>
      </c>
      <c r="O1603" t="s">
        <v>19</v>
      </c>
      <c r="P1603" t="s">
        <v>20</v>
      </c>
      <c r="Q1603">
        <v>20220422</v>
      </c>
    </row>
    <row r="1604" spans="1:17" x14ac:dyDescent="0.25">
      <c r="A1604" t="s">
        <v>715</v>
      </c>
      <c r="B1604" t="s">
        <v>432</v>
      </c>
      <c r="C1604">
        <v>56</v>
      </c>
      <c r="D1604">
        <v>20220423</v>
      </c>
      <c r="E1604">
        <f t="shared" si="25"/>
        <v>4</v>
      </c>
      <c r="F1604">
        <v>411010</v>
      </c>
      <c r="G1604" t="s">
        <v>87</v>
      </c>
      <c r="H1604" t="s">
        <v>367</v>
      </c>
      <c r="I1604" t="s">
        <v>368</v>
      </c>
      <c r="J1604">
        <v>341030</v>
      </c>
      <c r="K1604">
        <v>20220423</v>
      </c>
      <c r="L1604" t="s">
        <v>2034</v>
      </c>
      <c r="M1604">
        <v>0</v>
      </c>
      <c r="N1604">
        <v>371.57</v>
      </c>
      <c r="O1604" t="s">
        <v>23</v>
      </c>
      <c r="P1604">
        <v>20221005</v>
      </c>
      <c r="Q1604">
        <v>20220423</v>
      </c>
    </row>
    <row r="1605" spans="1:17" x14ac:dyDescent="0.25">
      <c r="A1605" t="s">
        <v>715</v>
      </c>
      <c r="B1605" t="s">
        <v>432</v>
      </c>
      <c r="C1605">
        <v>56</v>
      </c>
      <c r="D1605">
        <v>20220423</v>
      </c>
      <c r="E1605">
        <f t="shared" si="25"/>
        <v>4</v>
      </c>
      <c r="F1605">
        <v>512200</v>
      </c>
      <c r="G1605" t="s">
        <v>432</v>
      </c>
      <c r="H1605" t="s">
        <v>401</v>
      </c>
      <c r="I1605" t="s">
        <v>402</v>
      </c>
      <c r="J1605">
        <v>341031</v>
      </c>
      <c r="K1605">
        <v>20220423</v>
      </c>
      <c r="L1605" t="s">
        <v>2035</v>
      </c>
      <c r="M1605">
        <v>371.57</v>
      </c>
      <c r="N1605">
        <v>0</v>
      </c>
      <c r="O1605" t="s">
        <v>19</v>
      </c>
      <c r="P1605" t="s">
        <v>20</v>
      </c>
      <c r="Q1605">
        <v>20220423</v>
      </c>
    </row>
    <row r="1606" spans="1:17" x14ac:dyDescent="0.25">
      <c r="A1606" t="s">
        <v>715</v>
      </c>
      <c r="B1606" t="s">
        <v>432</v>
      </c>
      <c r="C1606">
        <v>56</v>
      </c>
      <c r="D1606">
        <v>20220426</v>
      </c>
      <c r="E1606">
        <f t="shared" si="25"/>
        <v>4</v>
      </c>
      <c r="F1606">
        <v>602120</v>
      </c>
      <c r="G1606" t="s">
        <v>447</v>
      </c>
      <c r="H1606" t="s">
        <v>401</v>
      </c>
      <c r="I1606" t="s">
        <v>402</v>
      </c>
      <c r="J1606" t="s">
        <v>2036</v>
      </c>
      <c r="K1606">
        <v>20220426</v>
      </c>
      <c r="L1606" t="s">
        <v>2037</v>
      </c>
      <c r="M1606">
        <v>30.8</v>
      </c>
      <c r="N1606">
        <v>0</v>
      </c>
      <c r="O1606" t="s">
        <v>19</v>
      </c>
      <c r="P1606" t="s">
        <v>20</v>
      </c>
      <c r="Q1606">
        <v>20220426</v>
      </c>
    </row>
    <row r="1607" spans="1:17" x14ac:dyDescent="0.25">
      <c r="A1607" t="s">
        <v>715</v>
      </c>
      <c r="B1607" t="s">
        <v>432</v>
      </c>
      <c r="C1607">
        <v>56</v>
      </c>
      <c r="D1607">
        <v>20220426</v>
      </c>
      <c r="E1607">
        <f t="shared" si="25"/>
        <v>4</v>
      </c>
      <c r="F1607">
        <v>512200</v>
      </c>
      <c r="G1607" t="s">
        <v>432</v>
      </c>
      <c r="H1607" t="s">
        <v>401</v>
      </c>
      <c r="I1607" t="s">
        <v>402</v>
      </c>
      <c r="J1607" t="s">
        <v>2036</v>
      </c>
      <c r="K1607">
        <v>20220426</v>
      </c>
      <c r="L1607" t="s">
        <v>2037</v>
      </c>
      <c r="M1607">
        <v>0</v>
      </c>
      <c r="N1607">
        <v>30.8</v>
      </c>
      <c r="O1607" t="s">
        <v>19</v>
      </c>
      <c r="P1607" t="s">
        <v>20</v>
      </c>
      <c r="Q1607">
        <v>20220426</v>
      </c>
    </row>
    <row r="1608" spans="1:17" x14ac:dyDescent="0.25">
      <c r="A1608" t="s">
        <v>715</v>
      </c>
      <c r="B1608" t="s">
        <v>432</v>
      </c>
      <c r="C1608">
        <v>56</v>
      </c>
      <c r="D1608">
        <v>20220426</v>
      </c>
      <c r="E1608">
        <f t="shared" si="25"/>
        <v>4</v>
      </c>
      <c r="F1608">
        <v>401000</v>
      </c>
      <c r="G1608" t="s">
        <v>41</v>
      </c>
      <c r="H1608" t="s">
        <v>189</v>
      </c>
      <c r="I1608" t="s">
        <v>190</v>
      </c>
      <c r="J1608" t="s">
        <v>2038</v>
      </c>
      <c r="K1608">
        <v>20220426</v>
      </c>
      <c r="L1608" t="s">
        <v>191</v>
      </c>
      <c r="M1608">
        <v>403.75</v>
      </c>
      <c r="N1608">
        <v>0</v>
      </c>
      <c r="O1608" t="s">
        <v>19</v>
      </c>
      <c r="P1608" t="s">
        <v>20</v>
      </c>
      <c r="Q1608">
        <v>20220426</v>
      </c>
    </row>
    <row r="1609" spans="1:17" x14ac:dyDescent="0.25">
      <c r="A1609" t="s">
        <v>715</v>
      </c>
      <c r="B1609" t="s">
        <v>432</v>
      </c>
      <c r="C1609">
        <v>56</v>
      </c>
      <c r="D1609">
        <v>20220426</v>
      </c>
      <c r="E1609">
        <f t="shared" si="25"/>
        <v>4</v>
      </c>
      <c r="F1609">
        <v>512200</v>
      </c>
      <c r="G1609" t="s">
        <v>432</v>
      </c>
      <c r="H1609" t="s">
        <v>401</v>
      </c>
      <c r="I1609" t="s">
        <v>402</v>
      </c>
      <c r="J1609" t="s">
        <v>2038</v>
      </c>
      <c r="K1609">
        <v>20220426</v>
      </c>
      <c r="L1609" t="s">
        <v>191</v>
      </c>
      <c r="M1609">
        <v>0</v>
      </c>
      <c r="N1609">
        <v>403.75</v>
      </c>
      <c r="O1609" t="s">
        <v>19</v>
      </c>
      <c r="P1609" t="s">
        <v>20</v>
      </c>
      <c r="Q1609">
        <v>20220426</v>
      </c>
    </row>
    <row r="1610" spans="1:17" x14ac:dyDescent="0.25">
      <c r="A1610" t="s">
        <v>715</v>
      </c>
      <c r="B1610" t="s">
        <v>432</v>
      </c>
      <c r="C1610">
        <v>57</v>
      </c>
      <c r="D1610">
        <v>20220413</v>
      </c>
      <c r="E1610">
        <f t="shared" si="25"/>
        <v>4</v>
      </c>
      <c r="F1610">
        <v>401000</v>
      </c>
      <c r="G1610" t="s">
        <v>41</v>
      </c>
      <c r="H1610" t="s">
        <v>858</v>
      </c>
      <c r="I1610" t="s">
        <v>859</v>
      </c>
      <c r="J1610" t="s">
        <v>2039</v>
      </c>
      <c r="K1610">
        <v>20220413</v>
      </c>
      <c r="L1610" t="s">
        <v>2040</v>
      </c>
      <c r="M1610">
        <v>53.2</v>
      </c>
      <c r="N1610">
        <v>0</v>
      </c>
      <c r="O1610" t="s">
        <v>23</v>
      </c>
      <c r="P1610">
        <v>20230324</v>
      </c>
      <c r="Q1610">
        <v>20220413</v>
      </c>
    </row>
    <row r="1611" spans="1:17" x14ac:dyDescent="0.25">
      <c r="A1611" t="s">
        <v>715</v>
      </c>
      <c r="B1611" t="s">
        <v>432</v>
      </c>
      <c r="C1611">
        <v>57</v>
      </c>
      <c r="D1611">
        <v>20220413</v>
      </c>
      <c r="E1611">
        <f t="shared" si="25"/>
        <v>4</v>
      </c>
      <c r="F1611">
        <v>512200</v>
      </c>
      <c r="G1611" t="s">
        <v>432</v>
      </c>
      <c r="H1611" t="s">
        <v>401</v>
      </c>
      <c r="I1611" t="s">
        <v>402</v>
      </c>
      <c r="J1611" t="s">
        <v>2039</v>
      </c>
      <c r="K1611">
        <v>20220413</v>
      </c>
      <c r="L1611" t="s">
        <v>2040</v>
      </c>
      <c r="M1611">
        <v>0</v>
      </c>
      <c r="N1611">
        <v>53.2</v>
      </c>
      <c r="O1611" t="s">
        <v>19</v>
      </c>
      <c r="P1611" t="s">
        <v>20</v>
      </c>
      <c r="Q1611">
        <v>20220413</v>
      </c>
    </row>
    <row r="1612" spans="1:17" x14ac:dyDescent="0.25">
      <c r="A1612" t="s">
        <v>476</v>
      </c>
      <c r="B1612" t="s">
        <v>477</v>
      </c>
      <c r="C1612">
        <v>68</v>
      </c>
      <c r="D1612">
        <v>20220502</v>
      </c>
      <c r="E1612">
        <f t="shared" si="25"/>
        <v>5</v>
      </c>
      <c r="F1612">
        <v>411100</v>
      </c>
      <c r="G1612" t="s">
        <v>18</v>
      </c>
      <c r="H1612" t="s">
        <v>1297</v>
      </c>
      <c r="I1612" t="s">
        <v>1298</v>
      </c>
      <c r="J1612" t="s">
        <v>2065</v>
      </c>
      <c r="K1612">
        <v>20220502</v>
      </c>
      <c r="L1612" t="s">
        <v>2066</v>
      </c>
      <c r="M1612">
        <v>35</v>
      </c>
      <c r="N1612">
        <v>0</v>
      </c>
      <c r="O1612" t="s">
        <v>19</v>
      </c>
      <c r="P1612" t="s">
        <v>20</v>
      </c>
      <c r="Q1612">
        <v>20220502</v>
      </c>
    </row>
    <row r="1613" spans="1:17" x14ac:dyDescent="0.25">
      <c r="A1613" t="s">
        <v>476</v>
      </c>
      <c r="B1613" t="s">
        <v>477</v>
      </c>
      <c r="C1613">
        <v>68</v>
      </c>
      <c r="D1613">
        <v>20220502</v>
      </c>
      <c r="E1613">
        <f t="shared" si="25"/>
        <v>5</v>
      </c>
      <c r="F1613">
        <v>512000</v>
      </c>
      <c r="G1613" t="s">
        <v>428</v>
      </c>
      <c r="H1613" t="s">
        <v>401</v>
      </c>
      <c r="I1613" t="s">
        <v>402</v>
      </c>
      <c r="J1613" t="s">
        <v>2065</v>
      </c>
      <c r="K1613">
        <v>20220502</v>
      </c>
      <c r="L1613" t="s">
        <v>127</v>
      </c>
      <c r="M1613">
        <v>0</v>
      </c>
      <c r="N1613">
        <v>35</v>
      </c>
      <c r="O1613" t="s">
        <v>19</v>
      </c>
      <c r="P1613" t="s">
        <v>20</v>
      </c>
      <c r="Q1613">
        <v>20220502</v>
      </c>
    </row>
    <row r="1614" spans="1:17" x14ac:dyDescent="0.25">
      <c r="A1614" t="s">
        <v>476</v>
      </c>
      <c r="B1614" t="s">
        <v>477</v>
      </c>
      <c r="C1614">
        <v>68</v>
      </c>
      <c r="D1614">
        <v>20220502</v>
      </c>
      <c r="E1614">
        <f t="shared" si="25"/>
        <v>5</v>
      </c>
      <c r="F1614">
        <v>445050</v>
      </c>
      <c r="G1614" t="s">
        <v>416</v>
      </c>
      <c r="H1614" t="s">
        <v>401</v>
      </c>
      <c r="I1614" t="s">
        <v>402</v>
      </c>
      <c r="J1614" t="s">
        <v>2067</v>
      </c>
      <c r="K1614">
        <v>20220502</v>
      </c>
      <c r="L1614" t="s">
        <v>2068</v>
      </c>
      <c r="M1614">
        <v>0</v>
      </c>
      <c r="N1614">
        <v>15926.63</v>
      </c>
      <c r="O1614" t="s">
        <v>19</v>
      </c>
      <c r="P1614" t="s">
        <v>20</v>
      </c>
      <c r="Q1614">
        <v>20220502</v>
      </c>
    </row>
    <row r="1615" spans="1:17" x14ac:dyDescent="0.25">
      <c r="A1615" t="s">
        <v>476</v>
      </c>
      <c r="B1615" t="s">
        <v>477</v>
      </c>
      <c r="C1615">
        <v>68</v>
      </c>
      <c r="D1615">
        <v>20220502</v>
      </c>
      <c r="E1615">
        <f t="shared" si="25"/>
        <v>5</v>
      </c>
      <c r="F1615">
        <v>512000</v>
      </c>
      <c r="G1615" t="s">
        <v>428</v>
      </c>
      <c r="H1615" t="s">
        <v>401</v>
      </c>
      <c r="I1615" t="s">
        <v>402</v>
      </c>
      <c r="J1615" t="s">
        <v>2067</v>
      </c>
      <c r="K1615">
        <v>20220502</v>
      </c>
      <c r="L1615" t="s">
        <v>2068</v>
      </c>
      <c r="M1615">
        <v>15926.63</v>
      </c>
      <c r="N1615">
        <v>0</v>
      </c>
      <c r="O1615" t="s">
        <v>19</v>
      </c>
      <c r="P1615" t="s">
        <v>20</v>
      </c>
      <c r="Q1615">
        <v>20220502</v>
      </c>
    </row>
    <row r="1616" spans="1:17" x14ac:dyDescent="0.25">
      <c r="A1616" t="s">
        <v>476</v>
      </c>
      <c r="B1616" t="s">
        <v>477</v>
      </c>
      <c r="C1616">
        <v>68</v>
      </c>
      <c r="D1616">
        <v>20220502</v>
      </c>
      <c r="E1616">
        <f t="shared" si="25"/>
        <v>5</v>
      </c>
      <c r="F1616">
        <v>445050</v>
      </c>
      <c r="G1616" t="s">
        <v>416</v>
      </c>
      <c r="H1616" t="s">
        <v>401</v>
      </c>
      <c r="I1616" t="s">
        <v>402</v>
      </c>
      <c r="J1616" t="s">
        <v>2069</v>
      </c>
      <c r="K1616">
        <v>20220502</v>
      </c>
      <c r="L1616" t="s">
        <v>2070</v>
      </c>
      <c r="M1616">
        <v>0</v>
      </c>
      <c r="N1616">
        <v>15926.63</v>
      </c>
      <c r="O1616" t="s">
        <v>19</v>
      </c>
      <c r="P1616" t="s">
        <v>20</v>
      </c>
      <c r="Q1616">
        <v>20220502</v>
      </c>
    </row>
    <row r="1617" spans="1:17" x14ac:dyDescent="0.25">
      <c r="A1617" t="s">
        <v>476</v>
      </c>
      <c r="B1617" t="s">
        <v>477</v>
      </c>
      <c r="C1617">
        <v>68</v>
      </c>
      <c r="D1617">
        <v>20220502</v>
      </c>
      <c r="E1617">
        <f t="shared" si="25"/>
        <v>5</v>
      </c>
      <c r="F1617">
        <v>512000</v>
      </c>
      <c r="G1617" t="s">
        <v>428</v>
      </c>
      <c r="H1617" t="s">
        <v>401</v>
      </c>
      <c r="I1617" t="s">
        <v>402</v>
      </c>
      <c r="J1617" t="s">
        <v>2069</v>
      </c>
      <c r="K1617">
        <v>20220502</v>
      </c>
      <c r="L1617" t="s">
        <v>2070</v>
      </c>
      <c r="M1617">
        <v>15926.63</v>
      </c>
      <c r="N1617">
        <v>0</v>
      </c>
      <c r="O1617" t="s">
        <v>19</v>
      </c>
      <c r="P1617" t="s">
        <v>20</v>
      </c>
      <c r="Q1617">
        <v>20220502</v>
      </c>
    </row>
    <row r="1618" spans="1:17" x14ac:dyDescent="0.25">
      <c r="A1618" t="s">
        <v>476</v>
      </c>
      <c r="B1618" t="s">
        <v>477</v>
      </c>
      <c r="C1618">
        <v>68</v>
      </c>
      <c r="D1618">
        <v>20220502</v>
      </c>
      <c r="E1618">
        <f t="shared" si="25"/>
        <v>5</v>
      </c>
      <c r="F1618">
        <v>401000</v>
      </c>
      <c r="G1618" t="s">
        <v>41</v>
      </c>
      <c r="H1618" t="s">
        <v>458</v>
      </c>
      <c r="I1618" t="s">
        <v>459</v>
      </c>
      <c r="J1618" t="s">
        <v>2071</v>
      </c>
      <c r="K1618">
        <v>20220502</v>
      </c>
      <c r="L1618" t="s">
        <v>2072</v>
      </c>
      <c r="M1618">
        <v>669.6</v>
      </c>
      <c r="N1618">
        <v>0</v>
      </c>
      <c r="O1618" t="s">
        <v>23</v>
      </c>
      <c r="P1618">
        <v>20221005</v>
      </c>
      <c r="Q1618">
        <v>20220502</v>
      </c>
    </row>
    <row r="1619" spans="1:17" x14ac:dyDescent="0.25">
      <c r="A1619" t="s">
        <v>476</v>
      </c>
      <c r="B1619" t="s">
        <v>477</v>
      </c>
      <c r="C1619">
        <v>68</v>
      </c>
      <c r="D1619">
        <v>20220502</v>
      </c>
      <c r="E1619">
        <f t="shared" si="25"/>
        <v>5</v>
      </c>
      <c r="F1619">
        <v>512000</v>
      </c>
      <c r="G1619" t="s">
        <v>428</v>
      </c>
      <c r="H1619" t="s">
        <v>401</v>
      </c>
      <c r="I1619" t="s">
        <v>402</v>
      </c>
      <c r="J1619" t="s">
        <v>2071</v>
      </c>
      <c r="K1619">
        <v>20220502</v>
      </c>
      <c r="L1619" t="s">
        <v>2072</v>
      </c>
      <c r="M1619">
        <v>0</v>
      </c>
      <c r="N1619">
        <v>669.6</v>
      </c>
      <c r="O1619" t="s">
        <v>19</v>
      </c>
      <c r="P1619" t="s">
        <v>20</v>
      </c>
      <c r="Q1619">
        <v>20220502</v>
      </c>
    </row>
    <row r="1620" spans="1:17" x14ac:dyDescent="0.25">
      <c r="A1620" t="s">
        <v>476</v>
      </c>
      <c r="B1620" t="s">
        <v>477</v>
      </c>
      <c r="C1620">
        <v>68</v>
      </c>
      <c r="D1620">
        <v>20220503</v>
      </c>
      <c r="E1620">
        <f t="shared" si="25"/>
        <v>5</v>
      </c>
      <c r="F1620">
        <v>627000</v>
      </c>
      <c r="G1620" t="s">
        <v>480</v>
      </c>
      <c r="H1620" t="s">
        <v>401</v>
      </c>
      <c r="I1620" t="s">
        <v>402</v>
      </c>
      <c r="J1620" t="s">
        <v>2073</v>
      </c>
      <c r="K1620">
        <v>20220503</v>
      </c>
      <c r="L1620" t="s">
        <v>2074</v>
      </c>
      <c r="M1620">
        <v>29.7</v>
      </c>
      <c r="N1620">
        <v>0</v>
      </c>
      <c r="O1620" t="s">
        <v>19</v>
      </c>
      <c r="P1620" t="s">
        <v>20</v>
      </c>
      <c r="Q1620">
        <v>20220503</v>
      </c>
    </row>
    <row r="1621" spans="1:17" x14ac:dyDescent="0.25">
      <c r="A1621" t="s">
        <v>476</v>
      </c>
      <c r="B1621" t="s">
        <v>477</v>
      </c>
      <c r="C1621">
        <v>68</v>
      </c>
      <c r="D1621">
        <v>20220503</v>
      </c>
      <c r="E1621">
        <f t="shared" si="25"/>
        <v>5</v>
      </c>
      <c r="F1621">
        <v>512000</v>
      </c>
      <c r="G1621" t="s">
        <v>428</v>
      </c>
      <c r="H1621" t="s">
        <v>401</v>
      </c>
      <c r="I1621" t="s">
        <v>402</v>
      </c>
      <c r="J1621" t="s">
        <v>2073</v>
      </c>
      <c r="K1621">
        <v>20220503</v>
      </c>
      <c r="L1621" t="s">
        <v>2074</v>
      </c>
      <c r="M1621">
        <v>0</v>
      </c>
      <c r="N1621">
        <v>29.7</v>
      </c>
      <c r="O1621" t="s">
        <v>19</v>
      </c>
      <c r="P1621" t="s">
        <v>20</v>
      </c>
      <c r="Q1621">
        <v>20220503</v>
      </c>
    </row>
    <row r="1622" spans="1:17" x14ac:dyDescent="0.25">
      <c r="A1622" t="s">
        <v>476</v>
      </c>
      <c r="B1622" t="s">
        <v>477</v>
      </c>
      <c r="C1622">
        <v>68</v>
      </c>
      <c r="D1622">
        <v>20220503</v>
      </c>
      <c r="E1622">
        <f t="shared" si="25"/>
        <v>5</v>
      </c>
      <c r="F1622">
        <v>627000</v>
      </c>
      <c r="G1622" t="s">
        <v>480</v>
      </c>
      <c r="H1622" t="s">
        <v>401</v>
      </c>
      <c r="I1622" t="s">
        <v>402</v>
      </c>
      <c r="J1622" t="s">
        <v>2075</v>
      </c>
      <c r="K1622">
        <v>20220503</v>
      </c>
      <c r="L1622" t="s">
        <v>482</v>
      </c>
      <c r="M1622">
        <v>49</v>
      </c>
      <c r="N1622">
        <v>0</v>
      </c>
      <c r="O1622" t="s">
        <v>19</v>
      </c>
      <c r="P1622" t="s">
        <v>20</v>
      </c>
      <c r="Q1622">
        <v>20220503</v>
      </c>
    </row>
    <row r="1623" spans="1:17" x14ac:dyDescent="0.25">
      <c r="A1623" t="s">
        <v>476</v>
      </c>
      <c r="B1623" t="s">
        <v>477</v>
      </c>
      <c r="C1623">
        <v>68</v>
      </c>
      <c r="D1623">
        <v>20220503</v>
      </c>
      <c r="E1623">
        <f t="shared" si="25"/>
        <v>5</v>
      </c>
      <c r="F1623">
        <v>512000</v>
      </c>
      <c r="G1623" t="s">
        <v>428</v>
      </c>
      <c r="H1623" t="s">
        <v>401</v>
      </c>
      <c r="I1623" t="s">
        <v>402</v>
      </c>
      <c r="J1623" t="s">
        <v>2075</v>
      </c>
      <c r="K1623">
        <v>20220503</v>
      </c>
      <c r="L1623" t="s">
        <v>482</v>
      </c>
      <c r="M1623">
        <v>0</v>
      </c>
      <c r="N1623">
        <v>49</v>
      </c>
      <c r="O1623" t="s">
        <v>19</v>
      </c>
      <c r="P1623" t="s">
        <v>20</v>
      </c>
      <c r="Q1623">
        <v>20220503</v>
      </c>
    </row>
    <row r="1624" spans="1:17" x14ac:dyDescent="0.25">
      <c r="A1624" t="s">
        <v>476</v>
      </c>
      <c r="B1624" t="s">
        <v>477</v>
      </c>
      <c r="C1624">
        <v>68</v>
      </c>
      <c r="D1624">
        <v>20220503</v>
      </c>
      <c r="E1624">
        <f t="shared" si="25"/>
        <v>5</v>
      </c>
      <c r="F1624">
        <v>627000</v>
      </c>
      <c r="G1624" t="s">
        <v>480</v>
      </c>
      <c r="H1624" t="s">
        <v>401</v>
      </c>
      <c r="I1624" t="s">
        <v>402</v>
      </c>
      <c r="J1624" t="s">
        <v>2076</v>
      </c>
      <c r="K1624">
        <v>20220503</v>
      </c>
      <c r="L1624" t="s">
        <v>482</v>
      </c>
      <c r="M1624">
        <v>14.04</v>
      </c>
      <c r="N1624">
        <v>0</v>
      </c>
      <c r="O1624" t="s">
        <v>19</v>
      </c>
      <c r="P1624" t="s">
        <v>20</v>
      </c>
      <c r="Q1624">
        <v>20220503</v>
      </c>
    </row>
    <row r="1625" spans="1:17" x14ac:dyDescent="0.25">
      <c r="A1625" t="s">
        <v>476</v>
      </c>
      <c r="B1625" t="s">
        <v>477</v>
      </c>
      <c r="C1625">
        <v>68</v>
      </c>
      <c r="D1625">
        <v>20220503</v>
      </c>
      <c r="E1625">
        <f t="shared" si="25"/>
        <v>5</v>
      </c>
      <c r="F1625">
        <v>512000</v>
      </c>
      <c r="G1625" t="s">
        <v>428</v>
      </c>
      <c r="H1625" t="s">
        <v>401</v>
      </c>
      <c r="I1625" t="s">
        <v>402</v>
      </c>
      <c r="J1625" t="s">
        <v>2076</v>
      </c>
      <c r="K1625">
        <v>20220503</v>
      </c>
      <c r="L1625" t="s">
        <v>482</v>
      </c>
      <c r="M1625">
        <v>0</v>
      </c>
      <c r="N1625">
        <v>14.04</v>
      </c>
      <c r="O1625" t="s">
        <v>19</v>
      </c>
      <c r="P1625" t="s">
        <v>20</v>
      </c>
      <c r="Q1625">
        <v>20220503</v>
      </c>
    </row>
    <row r="1626" spans="1:17" x14ac:dyDescent="0.25">
      <c r="A1626" t="s">
        <v>476</v>
      </c>
      <c r="B1626" t="s">
        <v>477</v>
      </c>
      <c r="C1626">
        <v>68</v>
      </c>
      <c r="D1626">
        <v>20220503</v>
      </c>
      <c r="E1626">
        <f t="shared" si="25"/>
        <v>5</v>
      </c>
      <c r="F1626">
        <v>421000</v>
      </c>
      <c r="G1626" t="s">
        <v>403</v>
      </c>
      <c r="H1626" t="s">
        <v>401</v>
      </c>
      <c r="I1626" t="s">
        <v>402</v>
      </c>
      <c r="J1626" t="s">
        <v>2077</v>
      </c>
      <c r="K1626">
        <v>20220503</v>
      </c>
      <c r="L1626" t="s">
        <v>1339</v>
      </c>
      <c r="M1626">
        <v>11640.97</v>
      </c>
      <c r="N1626">
        <v>0</v>
      </c>
      <c r="O1626" t="s">
        <v>23</v>
      </c>
      <c r="P1626">
        <v>20220801</v>
      </c>
      <c r="Q1626">
        <v>20220503</v>
      </c>
    </row>
    <row r="1627" spans="1:17" x14ac:dyDescent="0.25">
      <c r="A1627" t="s">
        <v>476</v>
      </c>
      <c r="B1627" t="s">
        <v>477</v>
      </c>
      <c r="C1627">
        <v>68</v>
      </c>
      <c r="D1627">
        <v>20220503</v>
      </c>
      <c r="E1627">
        <f t="shared" si="25"/>
        <v>5</v>
      </c>
      <c r="F1627">
        <v>512000</v>
      </c>
      <c r="G1627" t="s">
        <v>428</v>
      </c>
      <c r="H1627" t="s">
        <v>401</v>
      </c>
      <c r="I1627" t="s">
        <v>402</v>
      </c>
      <c r="J1627" t="s">
        <v>2077</v>
      </c>
      <c r="K1627">
        <v>20220503</v>
      </c>
      <c r="L1627" t="s">
        <v>1339</v>
      </c>
      <c r="M1627">
        <v>0</v>
      </c>
      <c r="N1627">
        <v>11640.97</v>
      </c>
      <c r="O1627" t="s">
        <v>19</v>
      </c>
      <c r="P1627" t="s">
        <v>20</v>
      </c>
      <c r="Q1627">
        <v>20220503</v>
      </c>
    </row>
    <row r="1628" spans="1:17" x14ac:dyDescent="0.25">
      <c r="A1628" t="s">
        <v>476</v>
      </c>
      <c r="B1628" t="s">
        <v>477</v>
      </c>
      <c r="C1628">
        <v>68</v>
      </c>
      <c r="D1628">
        <v>20220503</v>
      </c>
      <c r="E1628">
        <f t="shared" si="25"/>
        <v>5</v>
      </c>
      <c r="F1628">
        <v>421000</v>
      </c>
      <c r="G1628" t="s">
        <v>403</v>
      </c>
      <c r="H1628" t="s">
        <v>401</v>
      </c>
      <c r="I1628" t="s">
        <v>402</v>
      </c>
      <c r="J1628" t="s">
        <v>2078</v>
      </c>
      <c r="K1628">
        <v>20220503</v>
      </c>
      <c r="L1628" t="s">
        <v>2079</v>
      </c>
      <c r="M1628">
        <v>0</v>
      </c>
      <c r="N1628">
        <v>651.91</v>
      </c>
      <c r="O1628" t="s">
        <v>23</v>
      </c>
      <c r="P1628">
        <v>20220801</v>
      </c>
      <c r="Q1628">
        <v>20220503</v>
      </c>
    </row>
    <row r="1629" spans="1:17" x14ac:dyDescent="0.25">
      <c r="A1629" t="s">
        <v>476</v>
      </c>
      <c r="B1629" t="s">
        <v>477</v>
      </c>
      <c r="C1629">
        <v>68</v>
      </c>
      <c r="D1629">
        <v>20220503</v>
      </c>
      <c r="E1629">
        <f t="shared" si="25"/>
        <v>5</v>
      </c>
      <c r="F1629">
        <v>512000</v>
      </c>
      <c r="G1629" t="s">
        <v>428</v>
      </c>
      <c r="H1629" t="s">
        <v>401</v>
      </c>
      <c r="I1629" t="s">
        <v>402</v>
      </c>
      <c r="J1629" t="s">
        <v>2078</v>
      </c>
      <c r="K1629">
        <v>20220503</v>
      </c>
      <c r="L1629" t="s">
        <v>2079</v>
      </c>
      <c r="M1629">
        <v>651.91</v>
      </c>
      <c r="N1629">
        <v>0</v>
      </c>
      <c r="O1629" t="s">
        <v>19</v>
      </c>
      <c r="P1629" t="s">
        <v>20</v>
      </c>
      <c r="Q1629">
        <v>20220503</v>
      </c>
    </row>
    <row r="1630" spans="1:17" x14ac:dyDescent="0.25">
      <c r="A1630" t="s">
        <v>476</v>
      </c>
      <c r="B1630" t="s">
        <v>477</v>
      </c>
      <c r="C1630">
        <v>68</v>
      </c>
      <c r="D1630">
        <v>20220505</v>
      </c>
      <c r="E1630">
        <f t="shared" si="25"/>
        <v>5</v>
      </c>
      <c r="F1630">
        <v>401000</v>
      </c>
      <c r="G1630" t="s">
        <v>41</v>
      </c>
      <c r="H1630" t="s">
        <v>1659</v>
      </c>
      <c r="I1630" t="s">
        <v>1660</v>
      </c>
      <c r="J1630" t="s">
        <v>2080</v>
      </c>
      <c r="K1630">
        <v>20220505</v>
      </c>
      <c r="L1630" t="s">
        <v>127</v>
      </c>
      <c r="M1630">
        <v>200</v>
      </c>
      <c r="N1630">
        <v>0</v>
      </c>
      <c r="O1630" t="s">
        <v>23</v>
      </c>
      <c r="P1630">
        <v>20220525</v>
      </c>
      <c r="Q1630">
        <v>20220505</v>
      </c>
    </row>
    <row r="1631" spans="1:17" x14ac:dyDescent="0.25">
      <c r="A1631" t="s">
        <v>476</v>
      </c>
      <c r="B1631" t="s">
        <v>477</v>
      </c>
      <c r="C1631">
        <v>68</v>
      </c>
      <c r="D1631">
        <v>20220505</v>
      </c>
      <c r="E1631">
        <f t="shared" si="25"/>
        <v>5</v>
      </c>
      <c r="F1631">
        <v>437100</v>
      </c>
      <c r="G1631" t="s">
        <v>436</v>
      </c>
      <c r="H1631" t="s">
        <v>401</v>
      </c>
      <c r="I1631" t="s">
        <v>402</v>
      </c>
      <c r="J1631" t="s">
        <v>2080</v>
      </c>
      <c r="K1631">
        <v>20220505</v>
      </c>
      <c r="L1631" t="s">
        <v>127</v>
      </c>
      <c r="M1631">
        <v>736.8</v>
      </c>
      <c r="N1631">
        <v>0</v>
      </c>
      <c r="O1631" t="s">
        <v>23</v>
      </c>
      <c r="P1631">
        <v>20220608</v>
      </c>
      <c r="Q1631">
        <v>20220505</v>
      </c>
    </row>
    <row r="1632" spans="1:17" x14ac:dyDescent="0.25">
      <c r="A1632" t="s">
        <v>476</v>
      </c>
      <c r="B1632" t="s">
        <v>477</v>
      </c>
      <c r="C1632">
        <v>68</v>
      </c>
      <c r="D1632">
        <v>20220505</v>
      </c>
      <c r="E1632">
        <f t="shared" si="25"/>
        <v>5</v>
      </c>
      <c r="F1632">
        <v>427003</v>
      </c>
      <c r="G1632" t="s">
        <v>905</v>
      </c>
      <c r="H1632" t="s">
        <v>401</v>
      </c>
      <c r="I1632" t="s">
        <v>402</v>
      </c>
      <c r="J1632" t="s">
        <v>2080</v>
      </c>
      <c r="K1632">
        <v>20220505</v>
      </c>
      <c r="L1632" t="s">
        <v>127</v>
      </c>
      <c r="M1632">
        <v>130</v>
      </c>
      <c r="N1632">
        <v>0</v>
      </c>
      <c r="O1632" t="s">
        <v>23</v>
      </c>
      <c r="P1632">
        <v>20220805</v>
      </c>
      <c r="Q1632">
        <v>20220505</v>
      </c>
    </row>
    <row r="1633" spans="1:17" x14ac:dyDescent="0.25">
      <c r="A1633" t="s">
        <v>476</v>
      </c>
      <c r="B1633" t="s">
        <v>477</v>
      </c>
      <c r="C1633">
        <v>68</v>
      </c>
      <c r="D1633">
        <v>20220505</v>
      </c>
      <c r="E1633">
        <f t="shared" si="25"/>
        <v>5</v>
      </c>
      <c r="F1633">
        <v>427004</v>
      </c>
      <c r="G1633" t="s">
        <v>908</v>
      </c>
      <c r="H1633" t="s">
        <v>401</v>
      </c>
      <c r="I1633" t="s">
        <v>402</v>
      </c>
      <c r="J1633" t="s">
        <v>2080</v>
      </c>
      <c r="K1633">
        <v>20220505</v>
      </c>
      <c r="L1633" t="s">
        <v>127</v>
      </c>
      <c r="M1633">
        <v>200</v>
      </c>
      <c r="N1633">
        <v>0</v>
      </c>
      <c r="O1633" t="s">
        <v>23</v>
      </c>
      <c r="P1633">
        <v>20221005</v>
      </c>
      <c r="Q1633">
        <v>20220505</v>
      </c>
    </row>
    <row r="1634" spans="1:17" x14ac:dyDescent="0.25">
      <c r="A1634" t="s">
        <v>476</v>
      </c>
      <c r="B1634" t="s">
        <v>477</v>
      </c>
      <c r="C1634">
        <v>68</v>
      </c>
      <c r="D1634">
        <v>20220505</v>
      </c>
      <c r="E1634">
        <f t="shared" si="25"/>
        <v>5</v>
      </c>
      <c r="F1634">
        <v>427004</v>
      </c>
      <c r="G1634" t="s">
        <v>908</v>
      </c>
      <c r="H1634" t="s">
        <v>401</v>
      </c>
      <c r="I1634" t="s">
        <v>402</v>
      </c>
      <c r="J1634" t="s">
        <v>2080</v>
      </c>
      <c r="K1634">
        <v>20220505</v>
      </c>
      <c r="L1634" t="s">
        <v>127</v>
      </c>
      <c r="M1634">
        <v>100</v>
      </c>
      <c r="N1634">
        <v>0</v>
      </c>
      <c r="O1634" t="s">
        <v>23</v>
      </c>
      <c r="P1634">
        <v>20221005</v>
      </c>
      <c r="Q1634">
        <v>20220505</v>
      </c>
    </row>
    <row r="1635" spans="1:17" x14ac:dyDescent="0.25">
      <c r="A1635" t="s">
        <v>476</v>
      </c>
      <c r="B1635" t="s">
        <v>477</v>
      </c>
      <c r="C1635">
        <v>68</v>
      </c>
      <c r="D1635">
        <v>20220505</v>
      </c>
      <c r="E1635">
        <f t="shared" si="25"/>
        <v>5</v>
      </c>
      <c r="F1635">
        <v>427004</v>
      </c>
      <c r="G1635" t="s">
        <v>908</v>
      </c>
      <c r="H1635" t="s">
        <v>401</v>
      </c>
      <c r="I1635" t="s">
        <v>402</v>
      </c>
      <c r="J1635" t="s">
        <v>2080</v>
      </c>
      <c r="K1635">
        <v>20220505</v>
      </c>
      <c r="L1635" t="s">
        <v>127</v>
      </c>
      <c r="M1635">
        <v>100</v>
      </c>
      <c r="N1635">
        <v>0</v>
      </c>
      <c r="O1635" t="s">
        <v>23</v>
      </c>
      <c r="P1635">
        <v>20221005</v>
      </c>
      <c r="Q1635">
        <v>20220505</v>
      </c>
    </row>
    <row r="1636" spans="1:17" x14ac:dyDescent="0.25">
      <c r="A1636" t="s">
        <v>476</v>
      </c>
      <c r="B1636" t="s">
        <v>477</v>
      </c>
      <c r="C1636">
        <v>68</v>
      </c>
      <c r="D1636">
        <v>20220505</v>
      </c>
      <c r="E1636">
        <f t="shared" si="25"/>
        <v>5</v>
      </c>
      <c r="F1636">
        <v>512000</v>
      </c>
      <c r="G1636" t="s">
        <v>428</v>
      </c>
      <c r="H1636" t="s">
        <v>401</v>
      </c>
      <c r="I1636" t="s">
        <v>402</v>
      </c>
      <c r="J1636" t="s">
        <v>2080</v>
      </c>
      <c r="K1636">
        <v>20220505</v>
      </c>
      <c r="L1636" t="s">
        <v>127</v>
      </c>
      <c r="M1636">
        <v>0</v>
      </c>
      <c r="N1636">
        <v>1466.8</v>
      </c>
      <c r="O1636" t="s">
        <v>19</v>
      </c>
      <c r="P1636" t="s">
        <v>20</v>
      </c>
      <c r="Q1636">
        <v>20220505</v>
      </c>
    </row>
    <row r="1637" spans="1:17" x14ac:dyDescent="0.25">
      <c r="A1637" t="s">
        <v>476</v>
      </c>
      <c r="B1637" t="s">
        <v>477</v>
      </c>
      <c r="C1637">
        <v>68</v>
      </c>
      <c r="D1637">
        <v>20220505</v>
      </c>
      <c r="E1637">
        <f t="shared" si="25"/>
        <v>5</v>
      </c>
      <c r="F1637">
        <v>445020</v>
      </c>
      <c r="G1637" t="s">
        <v>414</v>
      </c>
      <c r="H1637" t="s">
        <v>401</v>
      </c>
      <c r="I1637" t="s">
        <v>402</v>
      </c>
      <c r="J1637" t="s">
        <v>2081</v>
      </c>
      <c r="K1637">
        <v>20220505</v>
      </c>
      <c r="L1637" t="s">
        <v>2082</v>
      </c>
      <c r="M1637">
        <v>0</v>
      </c>
      <c r="N1637">
        <v>52278.63</v>
      </c>
      <c r="O1637" t="s">
        <v>19</v>
      </c>
      <c r="P1637" t="s">
        <v>20</v>
      </c>
      <c r="Q1637">
        <v>20220505</v>
      </c>
    </row>
    <row r="1638" spans="1:17" x14ac:dyDescent="0.25">
      <c r="A1638" t="s">
        <v>476</v>
      </c>
      <c r="B1638" t="s">
        <v>477</v>
      </c>
      <c r="C1638">
        <v>68</v>
      </c>
      <c r="D1638">
        <v>20220505</v>
      </c>
      <c r="E1638">
        <f t="shared" si="25"/>
        <v>5</v>
      </c>
      <c r="F1638">
        <v>512000</v>
      </c>
      <c r="G1638" t="s">
        <v>428</v>
      </c>
      <c r="H1638" t="s">
        <v>401</v>
      </c>
      <c r="I1638" t="s">
        <v>402</v>
      </c>
      <c r="J1638" t="s">
        <v>2081</v>
      </c>
      <c r="K1638">
        <v>20220505</v>
      </c>
      <c r="L1638" t="s">
        <v>2082</v>
      </c>
      <c r="M1638">
        <v>52278.63</v>
      </c>
      <c r="N1638">
        <v>0</v>
      </c>
      <c r="O1638" t="s">
        <v>19</v>
      </c>
      <c r="P1638" t="s">
        <v>20</v>
      </c>
      <c r="Q1638">
        <v>20220505</v>
      </c>
    </row>
    <row r="1639" spans="1:17" x14ac:dyDescent="0.25">
      <c r="A1639" t="s">
        <v>476</v>
      </c>
      <c r="B1639" t="s">
        <v>477</v>
      </c>
      <c r="C1639">
        <v>68</v>
      </c>
      <c r="D1639">
        <v>20220505</v>
      </c>
      <c r="E1639">
        <f t="shared" si="25"/>
        <v>5</v>
      </c>
      <c r="F1639">
        <v>445030</v>
      </c>
      <c r="G1639" t="s">
        <v>415</v>
      </c>
      <c r="H1639" t="s">
        <v>401</v>
      </c>
      <c r="I1639" t="s">
        <v>402</v>
      </c>
      <c r="J1639" t="s">
        <v>2083</v>
      </c>
      <c r="K1639">
        <v>20220505</v>
      </c>
      <c r="L1639" t="s">
        <v>2084</v>
      </c>
      <c r="M1639">
        <v>0</v>
      </c>
      <c r="N1639">
        <v>35683.97</v>
      </c>
      <c r="O1639" t="s">
        <v>19</v>
      </c>
      <c r="P1639" t="s">
        <v>20</v>
      </c>
      <c r="Q1639">
        <v>20220505</v>
      </c>
    </row>
    <row r="1640" spans="1:17" x14ac:dyDescent="0.25">
      <c r="A1640" t="s">
        <v>476</v>
      </c>
      <c r="B1640" t="s">
        <v>477</v>
      </c>
      <c r="C1640">
        <v>68</v>
      </c>
      <c r="D1640">
        <v>20220505</v>
      </c>
      <c r="E1640">
        <f t="shared" si="25"/>
        <v>5</v>
      </c>
      <c r="F1640">
        <v>512000</v>
      </c>
      <c r="G1640" t="s">
        <v>428</v>
      </c>
      <c r="H1640" t="s">
        <v>401</v>
      </c>
      <c r="I1640" t="s">
        <v>402</v>
      </c>
      <c r="J1640" t="s">
        <v>2083</v>
      </c>
      <c r="K1640">
        <v>20220505</v>
      </c>
      <c r="L1640" t="s">
        <v>2084</v>
      </c>
      <c r="M1640">
        <v>35683.97</v>
      </c>
      <c r="N1640">
        <v>0</v>
      </c>
      <c r="O1640" t="s">
        <v>19</v>
      </c>
      <c r="P1640" t="s">
        <v>20</v>
      </c>
      <c r="Q1640">
        <v>20220505</v>
      </c>
    </row>
    <row r="1641" spans="1:17" x14ac:dyDescent="0.25">
      <c r="A1641" t="s">
        <v>476</v>
      </c>
      <c r="B1641" t="s">
        <v>477</v>
      </c>
      <c r="C1641">
        <v>68</v>
      </c>
      <c r="D1641">
        <v>20220505</v>
      </c>
      <c r="E1641">
        <f t="shared" si="25"/>
        <v>5</v>
      </c>
      <c r="F1641">
        <v>445010</v>
      </c>
      <c r="G1641" t="s">
        <v>413</v>
      </c>
      <c r="H1641" t="s">
        <v>401</v>
      </c>
      <c r="I1641" t="s">
        <v>402</v>
      </c>
      <c r="J1641" t="s">
        <v>2085</v>
      </c>
      <c r="K1641">
        <v>20220505</v>
      </c>
      <c r="L1641" t="s">
        <v>2086</v>
      </c>
      <c r="M1641">
        <v>0</v>
      </c>
      <c r="N1641">
        <v>2329.83</v>
      </c>
      <c r="O1641" t="s">
        <v>19</v>
      </c>
      <c r="P1641" t="s">
        <v>20</v>
      </c>
      <c r="Q1641">
        <v>20220505</v>
      </c>
    </row>
    <row r="1642" spans="1:17" x14ac:dyDescent="0.25">
      <c r="A1642" t="s">
        <v>476</v>
      </c>
      <c r="B1642" t="s">
        <v>477</v>
      </c>
      <c r="C1642">
        <v>68</v>
      </c>
      <c r="D1642">
        <v>20220505</v>
      </c>
      <c r="E1642">
        <f t="shared" si="25"/>
        <v>5</v>
      </c>
      <c r="F1642">
        <v>512000</v>
      </c>
      <c r="G1642" t="s">
        <v>428</v>
      </c>
      <c r="H1642" t="s">
        <v>401</v>
      </c>
      <c r="I1642" t="s">
        <v>402</v>
      </c>
      <c r="J1642" t="s">
        <v>2085</v>
      </c>
      <c r="K1642">
        <v>20220505</v>
      </c>
      <c r="L1642" t="s">
        <v>2086</v>
      </c>
      <c r="M1642">
        <v>2329.83</v>
      </c>
      <c r="N1642">
        <v>0</v>
      </c>
      <c r="O1642" t="s">
        <v>19</v>
      </c>
      <c r="P1642" t="s">
        <v>20</v>
      </c>
      <c r="Q1642">
        <v>20220505</v>
      </c>
    </row>
    <row r="1643" spans="1:17" x14ac:dyDescent="0.25">
      <c r="A1643" t="s">
        <v>476</v>
      </c>
      <c r="B1643" t="s">
        <v>477</v>
      </c>
      <c r="C1643">
        <v>68</v>
      </c>
      <c r="D1643">
        <v>20220505</v>
      </c>
      <c r="E1643">
        <f t="shared" si="25"/>
        <v>5</v>
      </c>
      <c r="F1643">
        <v>401000</v>
      </c>
      <c r="G1643" t="s">
        <v>41</v>
      </c>
      <c r="H1643" t="s">
        <v>225</v>
      </c>
      <c r="I1643" t="s">
        <v>226</v>
      </c>
      <c r="J1643" t="s">
        <v>2087</v>
      </c>
      <c r="K1643">
        <v>20220505</v>
      </c>
      <c r="L1643" t="s">
        <v>488</v>
      </c>
      <c r="M1643">
        <v>475.4</v>
      </c>
      <c r="N1643">
        <v>0</v>
      </c>
      <c r="O1643" t="s">
        <v>23</v>
      </c>
      <c r="P1643">
        <v>20221005</v>
      </c>
      <c r="Q1643">
        <v>20220505</v>
      </c>
    </row>
    <row r="1644" spans="1:17" x14ac:dyDescent="0.25">
      <c r="A1644" t="s">
        <v>476</v>
      </c>
      <c r="B1644" t="s">
        <v>477</v>
      </c>
      <c r="C1644">
        <v>68</v>
      </c>
      <c r="D1644">
        <v>20220505</v>
      </c>
      <c r="E1644">
        <f t="shared" si="25"/>
        <v>5</v>
      </c>
      <c r="F1644">
        <v>512000</v>
      </c>
      <c r="G1644" t="s">
        <v>428</v>
      </c>
      <c r="H1644" t="s">
        <v>401</v>
      </c>
      <c r="I1644" t="s">
        <v>402</v>
      </c>
      <c r="J1644" t="s">
        <v>2087</v>
      </c>
      <c r="K1644">
        <v>20220505</v>
      </c>
      <c r="L1644" t="s">
        <v>488</v>
      </c>
      <c r="M1644">
        <v>0</v>
      </c>
      <c r="N1644">
        <v>475.4</v>
      </c>
      <c r="O1644" t="s">
        <v>19</v>
      </c>
      <c r="P1644" t="s">
        <v>20</v>
      </c>
      <c r="Q1644">
        <v>20220505</v>
      </c>
    </row>
    <row r="1645" spans="1:17" x14ac:dyDescent="0.25">
      <c r="A1645" t="s">
        <v>476</v>
      </c>
      <c r="B1645" t="s">
        <v>477</v>
      </c>
      <c r="C1645">
        <v>68</v>
      </c>
      <c r="D1645">
        <v>20220505</v>
      </c>
      <c r="E1645">
        <f t="shared" si="25"/>
        <v>5</v>
      </c>
      <c r="F1645">
        <v>468725</v>
      </c>
      <c r="G1645" t="s">
        <v>424</v>
      </c>
      <c r="H1645" t="s">
        <v>401</v>
      </c>
      <c r="I1645" t="s">
        <v>402</v>
      </c>
      <c r="J1645" t="s">
        <v>2088</v>
      </c>
      <c r="K1645">
        <v>20220505</v>
      </c>
      <c r="L1645" t="s">
        <v>2089</v>
      </c>
      <c r="M1645">
        <v>0</v>
      </c>
      <c r="N1645">
        <v>1333.32</v>
      </c>
      <c r="O1645" t="s">
        <v>23</v>
      </c>
      <c r="P1645">
        <v>20230105</v>
      </c>
      <c r="Q1645">
        <v>20220505</v>
      </c>
    </row>
    <row r="1646" spans="1:17" x14ac:dyDescent="0.25">
      <c r="A1646" t="s">
        <v>476</v>
      </c>
      <c r="B1646" t="s">
        <v>477</v>
      </c>
      <c r="C1646">
        <v>68</v>
      </c>
      <c r="D1646">
        <v>20220505</v>
      </c>
      <c r="E1646">
        <f t="shared" si="25"/>
        <v>5</v>
      </c>
      <c r="F1646">
        <v>512000</v>
      </c>
      <c r="G1646" t="s">
        <v>428</v>
      </c>
      <c r="H1646" t="s">
        <v>401</v>
      </c>
      <c r="I1646" t="s">
        <v>402</v>
      </c>
      <c r="J1646" t="s">
        <v>2088</v>
      </c>
      <c r="K1646">
        <v>20220505</v>
      </c>
      <c r="L1646" t="s">
        <v>2089</v>
      </c>
      <c r="M1646">
        <v>1333.32</v>
      </c>
      <c r="N1646">
        <v>0</v>
      </c>
      <c r="O1646" t="s">
        <v>19</v>
      </c>
      <c r="P1646" t="s">
        <v>20</v>
      </c>
      <c r="Q1646">
        <v>20220505</v>
      </c>
    </row>
    <row r="1647" spans="1:17" x14ac:dyDescent="0.25">
      <c r="A1647" t="s">
        <v>476</v>
      </c>
      <c r="B1647" t="s">
        <v>477</v>
      </c>
      <c r="C1647">
        <v>68</v>
      </c>
      <c r="D1647">
        <v>20220505</v>
      </c>
      <c r="E1647">
        <f t="shared" si="25"/>
        <v>5</v>
      </c>
      <c r="F1647">
        <v>468200</v>
      </c>
      <c r="G1647" t="s">
        <v>421</v>
      </c>
      <c r="H1647" t="s">
        <v>401</v>
      </c>
      <c r="I1647" t="s">
        <v>402</v>
      </c>
      <c r="J1647" t="s">
        <v>2090</v>
      </c>
      <c r="K1647">
        <v>20220505</v>
      </c>
      <c r="L1647" t="s">
        <v>422</v>
      </c>
      <c r="M1647">
        <v>0</v>
      </c>
      <c r="N1647">
        <v>531</v>
      </c>
      <c r="O1647" t="s">
        <v>19</v>
      </c>
      <c r="P1647" t="s">
        <v>20</v>
      </c>
      <c r="Q1647">
        <v>20220505</v>
      </c>
    </row>
    <row r="1648" spans="1:17" x14ac:dyDescent="0.25">
      <c r="A1648" t="s">
        <v>476</v>
      </c>
      <c r="B1648" t="s">
        <v>477</v>
      </c>
      <c r="C1648">
        <v>68</v>
      </c>
      <c r="D1648">
        <v>20220505</v>
      </c>
      <c r="E1648">
        <f t="shared" si="25"/>
        <v>5</v>
      </c>
      <c r="F1648">
        <v>512000</v>
      </c>
      <c r="G1648" t="s">
        <v>428</v>
      </c>
      <c r="H1648" t="s">
        <v>401</v>
      </c>
      <c r="I1648" t="s">
        <v>402</v>
      </c>
      <c r="J1648" t="s">
        <v>2090</v>
      </c>
      <c r="K1648">
        <v>20220505</v>
      </c>
      <c r="L1648" t="s">
        <v>422</v>
      </c>
      <c r="M1648">
        <v>531</v>
      </c>
      <c r="N1648">
        <v>0</v>
      </c>
      <c r="O1648" t="s">
        <v>19</v>
      </c>
      <c r="P1648" t="s">
        <v>20</v>
      </c>
      <c r="Q1648">
        <v>20220505</v>
      </c>
    </row>
    <row r="1649" spans="1:17" x14ac:dyDescent="0.25">
      <c r="A1649" t="s">
        <v>476</v>
      </c>
      <c r="B1649" t="s">
        <v>477</v>
      </c>
      <c r="C1649">
        <v>68</v>
      </c>
      <c r="D1649">
        <v>20220506</v>
      </c>
      <c r="E1649">
        <f t="shared" si="25"/>
        <v>5</v>
      </c>
      <c r="F1649">
        <v>445000</v>
      </c>
      <c r="G1649" t="s">
        <v>412</v>
      </c>
      <c r="H1649" t="s">
        <v>401</v>
      </c>
      <c r="I1649" t="s">
        <v>402</v>
      </c>
      <c r="J1649" t="s">
        <v>2091</v>
      </c>
      <c r="K1649">
        <v>20220506</v>
      </c>
      <c r="L1649" t="s">
        <v>2092</v>
      </c>
      <c r="M1649">
        <v>0</v>
      </c>
      <c r="N1649">
        <v>10692.8</v>
      </c>
      <c r="O1649" t="s">
        <v>19</v>
      </c>
      <c r="P1649" t="s">
        <v>20</v>
      </c>
      <c r="Q1649">
        <v>20220506</v>
      </c>
    </row>
    <row r="1650" spans="1:17" x14ac:dyDescent="0.25">
      <c r="A1650" t="s">
        <v>476</v>
      </c>
      <c r="B1650" t="s">
        <v>477</v>
      </c>
      <c r="C1650">
        <v>68</v>
      </c>
      <c r="D1650">
        <v>20220506</v>
      </c>
      <c r="E1650">
        <f t="shared" si="25"/>
        <v>5</v>
      </c>
      <c r="F1650">
        <v>512000</v>
      </c>
      <c r="G1650" t="s">
        <v>428</v>
      </c>
      <c r="H1650" t="s">
        <v>401</v>
      </c>
      <c r="I1650" t="s">
        <v>402</v>
      </c>
      <c r="J1650" t="s">
        <v>2091</v>
      </c>
      <c r="K1650">
        <v>20220506</v>
      </c>
      <c r="L1650" t="s">
        <v>2092</v>
      </c>
      <c r="M1650">
        <v>10692.8</v>
      </c>
      <c r="N1650">
        <v>0</v>
      </c>
      <c r="O1650" t="s">
        <v>19</v>
      </c>
      <c r="P1650" t="s">
        <v>20</v>
      </c>
      <c r="Q1650">
        <v>20220506</v>
      </c>
    </row>
    <row r="1651" spans="1:17" x14ac:dyDescent="0.25">
      <c r="A1651" t="s">
        <v>476</v>
      </c>
      <c r="B1651" t="s">
        <v>477</v>
      </c>
      <c r="C1651">
        <v>68</v>
      </c>
      <c r="D1651">
        <v>20220511</v>
      </c>
      <c r="E1651">
        <f t="shared" si="25"/>
        <v>5</v>
      </c>
      <c r="F1651">
        <v>467100</v>
      </c>
      <c r="G1651" t="s">
        <v>160</v>
      </c>
      <c r="H1651" t="s">
        <v>164</v>
      </c>
      <c r="I1651" t="s">
        <v>165</v>
      </c>
      <c r="J1651" t="s">
        <v>2093</v>
      </c>
      <c r="K1651">
        <v>20220511</v>
      </c>
      <c r="L1651" t="s">
        <v>127</v>
      </c>
      <c r="M1651">
        <v>400</v>
      </c>
      <c r="N1651">
        <v>0</v>
      </c>
      <c r="O1651" t="s">
        <v>23</v>
      </c>
      <c r="P1651">
        <v>20220609</v>
      </c>
      <c r="Q1651">
        <v>20220511</v>
      </c>
    </row>
    <row r="1652" spans="1:17" x14ac:dyDescent="0.25">
      <c r="A1652" t="s">
        <v>476</v>
      </c>
      <c r="B1652" t="s">
        <v>477</v>
      </c>
      <c r="C1652">
        <v>68</v>
      </c>
      <c r="D1652">
        <v>20220511</v>
      </c>
      <c r="E1652">
        <f t="shared" si="25"/>
        <v>5</v>
      </c>
      <c r="F1652">
        <v>467100</v>
      </c>
      <c r="G1652" t="s">
        <v>160</v>
      </c>
      <c r="H1652" t="s">
        <v>185</v>
      </c>
      <c r="I1652" t="s">
        <v>186</v>
      </c>
      <c r="J1652" t="s">
        <v>2093</v>
      </c>
      <c r="K1652">
        <v>20220511</v>
      </c>
      <c r="L1652" t="s">
        <v>127</v>
      </c>
      <c r="M1652">
        <v>500</v>
      </c>
      <c r="N1652">
        <v>0</v>
      </c>
      <c r="O1652" t="s">
        <v>23</v>
      </c>
      <c r="P1652">
        <v>20220609</v>
      </c>
      <c r="Q1652">
        <v>20220511</v>
      </c>
    </row>
    <row r="1653" spans="1:17" x14ac:dyDescent="0.25">
      <c r="A1653" t="s">
        <v>476</v>
      </c>
      <c r="B1653" t="s">
        <v>477</v>
      </c>
      <c r="C1653">
        <v>68</v>
      </c>
      <c r="D1653">
        <v>20220511</v>
      </c>
      <c r="E1653">
        <f t="shared" si="25"/>
        <v>5</v>
      </c>
      <c r="F1653">
        <v>512000</v>
      </c>
      <c r="G1653" t="s">
        <v>428</v>
      </c>
      <c r="H1653" t="s">
        <v>401</v>
      </c>
      <c r="I1653" t="s">
        <v>402</v>
      </c>
      <c r="J1653" t="s">
        <v>2093</v>
      </c>
      <c r="K1653">
        <v>20220511</v>
      </c>
      <c r="L1653" t="s">
        <v>127</v>
      </c>
      <c r="M1653">
        <v>0</v>
      </c>
      <c r="N1653">
        <v>900</v>
      </c>
      <c r="O1653" t="s">
        <v>19</v>
      </c>
      <c r="P1653" t="s">
        <v>20</v>
      </c>
      <c r="Q1653">
        <v>20220511</v>
      </c>
    </row>
    <row r="1654" spans="1:17" x14ac:dyDescent="0.25">
      <c r="A1654" t="s">
        <v>476</v>
      </c>
      <c r="B1654" t="s">
        <v>477</v>
      </c>
      <c r="C1654">
        <v>68</v>
      </c>
      <c r="D1654">
        <v>20220511</v>
      </c>
      <c r="E1654">
        <f t="shared" si="25"/>
        <v>5</v>
      </c>
      <c r="F1654">
        <v>468200</v>
      </c>
      <c r="G1654" t="s">
        <v>421</v>
      </c>
      <c r="H1654" t="s">
        <v>401</v>
      </c>
      <c r="I1654" t="s">
        <v>402</v>
      </c>
      <c r="J1654" t="s">
        <v>2094</v>
      </c>
      <c r="K1654">
        <v>20220511</v>
      </c>
      <c r="L1654" t="s">
        <v>422</v>
      </c>
      <c r="M1654">
        <v>0</v>
      </c>
      <c r="N1654">
        <v>307.89</v>
      </c>
      <c r="O1654" t="s">
        <v>19</v>
      </c>
      <c r="P1654" t="s">
        <v>20</v>
      </c>
      <c r="Q1654">
        <v>20220511</v>
      </c>
    </row>
    <row r="1655" spans="1:17" x14ac:dyDescent="0.25">
      <c r="A1655" t="s">
        <v>476</v>
      </c>
      <c r="B1655" t="s">
        <v>477</v>
      </c>
      <c r="C1655">
        <v>68</v>
      </c>
      <c r="D1655">
        <v>20220511</v>
      </c>
      <c r="E1655">
        <f t="shared" si="25"/>
        <v>5</v>
      </c>
      <c r="F1655">
        <v>512000</v>
      </c>
      <c r="G1655" t="s">
        <v>428</v>
      </c>
      <c r="H1655" t="s">
        <v>401</v>
      </c>
      <c r="I1655" t="s">
        <v>402</v>
      </c>
      <c r="J1655" t="s">
        <v>2094</v>
      </c>
      <c r="K1655">
        <v>20220511</v>
      </c>
      <c r="L1655" t="s">
        <v>422</v>
      </c>
      <c r="M1655">
        <v>307.89</v>
      </c>
      <c r="N1655">
        <v>0</v>
      </c>
      <c r="O1655" t="s">
        <v>19</v>
      </c>
      <c r="P1655" t="s">
        <v>20</v>
      </c>
      <c r="Q1655">
        <v>20220511</v>
      </c>
    </row>
    <row r="1656" spans="1:17" x14ac:dyDescent="0.25">
      <c r="A1656" t="s">
        <v>476</v>
      </c>
      <c r="B1656" t="s">
        <v>477</v>
      </c>
      <c r="C1656">
        <v>68</v>
      </c>
      <c r="D1656">
        <v>20220511</v>
      </c>
      <c r="E1656">
        <f t="shared" si="25"/>
        <v>5</v>
      </c>
      <c r="F1656">
        <v>437000</v>
      </c>
      <c r="G1656" t="s">
        <v>430</v>
      </c>
      <c r="H1656" t="s">
        <v>401</v>
      </c>
      <c r="I1656" t="s">
        <v>402</v>
      </c>
      <c r="J1656" t="s">
        <v>2095</v>
      </c>
      <c r="K1656">
        <v>20220511</v>
      </c>
      <c r="L1656" t="s">
        <v>1349</v>
      </c>
      <c r="M1656">
        <v>1535.4</v>
      </c>
      <c r="N1656">
        <v>0</v>
      </c>
      <c r="O1656" t="s">
        <v>19</v>
      </c>
      <c r="P1656" t="s">
        <v>20</v>
      </c>
      <c r="Q1656">
        <v>20220511</v>
      </c>
    </row>
    <row r="1657" spans="1:17" x14ac:dyDescent="0.25">
      <c r="A1657" t="s">
        <v>476</v>
      </c>
      <c r="B1657" t="s">
        <v>477</v>
      </c>
      <c r="C1657">
        <v>68</v>
      </c>
      <c r="D1657">
        <v>20220511</v>
      </c>
      <c r="E1657">
        <f t="shared" si="25"/>
        <v>5</v>
      </c>
      <c r="F1657">
        <v>512000</v>
      </c>
      <c r="G1657" t="s">
        <v>428</v>
      </c>
      <c r="H1657" t="s">
        <v>401</v>
      </c>
      <c r="I1657" t="s">
        <v>402</v>
      </c>
      <c r="J1657" t="s">
        <v>2095</v>
      </c>
      <c r="K1657">
        <v>20220511</v>
      </c>
      <c r="L1657" t="s">
        <v>1349</v>
      </c>
      <c r="M1657">
        <v>0</v>
      </c>
      <c r="N1657">
        <v>1535.4</v>
      </c>
      <c r="O1657" t="s">
        <v>19</v>
      </c>
      <c r="P1657" t="s">
        <v>20</v>
      </c>
      <c r="Q1657">
        <v>20220511</v>
      </c>
    </row>
    <row r="1658" spans="1:17" x14ac:dyDescent="0.25">
      <c r="A1658" t="s">
        <v>476</v>
      </c>
      <c r="B1658" t="s">
        <v>477</v>
      </c>
      <c r="C1658">
        <v>68</v>
      </c>
      <c r="D1658">
        <v>20220512</v>
      </c>
      <c r="E1658">
        <f t="shared" si="25"/>
        <v>5</v>
      </c>
      <c r="F1658">
        <v>401000</v>
      </c>
      <c r="G1658" t="s">
        <v>41</v>
      </c>
      <c r="H1658" t="s">
        <v>42</v>
      </c>
      <c r="I1658" t="s">
        <v>43</v>
      </c>
      <c r="J1658" t="s">
        <v>2096</v>
      </c>
      <c r="K1658">
        <v>20220512</v>
      </c>
      <c r="L1658" t="s">
        <v>163</v>
      </c>
      <c r="M1658">
        <v>837.36</v>
      </c>
      <c r="N1658">
        <v>0</v>
      </c>
      <c r="O1658" t="s">
        <v>23</v>
      </c>
      <c r="P1658">
        <v>20220525</v>
      </c>
      <c r="Q1658">
        <v>20220512</v>
      </c>
    </row>
    <row r="1659" spans="1:17" x14ac:dyDescent="0.25">
      <c r="A1659" t="s">
        <v>476</v>
      </c>
      <c r="B1659" t="s">
        <v>477</v>
      </c>
      <c r="C1659">
        <v>68</v>
      </c>
      <c r="D1659">
        <v>20220512</v>
      </c>
      <c r="E1659">
        <f t="shared" si="25"/>
        <v>5</v>
      </c>
      <c r="F1659">
        <v>401000</v>
      </c>
      <c r="G1659" t="s">
        <v>41</v>
      </c>
      <c r="H1659" t="s">
        <v>462</v>
      </c>
      <c r="I1659" t="s">
        <v>463</v>
      </c>
      <c r="J1659" t="s">
        <v>2096</v>
      </c>
      <c r="K1659">
        <v>20220512</v>
      </c>
      <c r="L1659" t="s">
        <v>163</v>
      </c>
      <c r="M1659">
        <v>943.1</v>
      </c>
      <c r="N1659">
        <v>0</v>
      </c>
      <c r="O1659" t="s">
        <v>23</v>
      </c>
      <c r="P1659">
        <v>20220525</v>
      </c>
      <c r="Q1659">
        <v>20220512</v>
      </c>
    </row>
    <row r="1660" spans="1:17" x14ac:dyDescent="0.25">
      <c r="A1660" t="s">
        <v>476</v>
      </c>
      <c r="B1660" t="s">
        <v>477</v>
      </c>
      <c r="C1660">
        <v>68</v>
      </c>
      <c r="D1660">
        <v>20220512</v>
      </c>
      <c r="E1660">
        <f t="shared" si="25"/>
        <v>5</v>
      </c>
      <c r="F1660">
        <v>401000</v>
      </c>
      <c r="G1660" t="s">
        <v>41</v>
      </c>
      <c r="H1660" t="s">
        <v>54</v>
      </c>
      <c r="I1660" t="s">
        <v>55</v>
      </c>
      <c r="J1660" t="s">
        <v>2096</v>
      </c>
      <c r="K1660">
        <v>20220512</v>
      </c>
      <c r="L1660" t="s">
        <v>163</v>
      </c>
      <c r="M1660">
        <v>280.37</v>
      </c>
      <c r="N1660">
        <v>0</v>
      </c>
      <c r="O1660" t="s">
        <v>23</v>
      </c>
      <c r="P1660">
        <v>20220525</v>
      </c>
      <c r="Q1660">
        <v>20220512</v>
      </c>
    </row>
    <row r="1661" spans="1:17" x14ac:dyDescent="0.25">
      <c r="A1661" t="s">
        <v>476</v>
      </c>
      <c r="B1661" t="s">
        <v>477</v>
      </c>
      <c r="C1661">
        <v>68</v>
      </c>
      <c r="D1661">
        <v>20220512</v>
      </c>
      <c r="E1661">
        <f t="shared" si="25"/>
        <v>5</v>
      </c>
      <c r="F1661">
        <v>401000</v>
      </c>
      <c r="G1661" t="s">
        <v>41</v>
      </c>
      <c r="H1661" t="s">
        <v>71</v>
      </c>
      <c r="I1661" t="s">
        <v>72</v>
      </c>
      <c r="J1661" t="s">
        <v>2096</v>
      </c>
      <c r="K1661">
        <v>20220512</v>
      </c>
      <c r="L1661" t="s">
        <v>163</v>
      </c>
      <c r="M1661">
        <v>12.45</v>
      </c>
      <c r="N1661">
        <v>0</v>
      </c>
      <c r="O1661" t="s">
        <v>23</v>
      </c>
      <c r="P1661">
        <v>20220525</v>
      </c>
      <c r="Q1661">
        <v>20220512</v>
      </c>
    </row>
    <row r="1662" spans="1:17" x14ac:dyDescent="0.25">
      <c r="A1662" t="s">
        <v>476</v>
      </c>
      <c r="B1662" t="s">
        <v>477</v>
      </c>
      <c r="C1662">
        <v>68</v>
      </c>
      <c r="D1662">
        <v>20220512</v>
      </c>
      <c r="E1662">
        <f t="shared" si="25"/>
        <v>5</v>
      </c>
      <c r="F1662">
        <v>401000</v>
      </c>
      <c r="G1662" t="s">
        <v>41</v>
      </c>
      <c r="H1662" t="s">
        <v>75</v>
      </c>
      <c r="I1662" t="s">
        <v>76</v>
      </c>
      <c r="J1662" t="s">
        <v>2096</v>
      </c>
      <c r="K1662">
        <v>20220512</v>
      </c>
      <c r="L1662" t="s">
        <v>163</v>
      </c>
      <c r="M1662">
        <v>420</v>
      </c>
      <c r="N1662">
        <v>0</v>
      </c>
      <c r="O1662" t="s">
        <v>23</v>
      </c>
      <c r="P1662">
        <v>20220518</v>
      </c>
      <c r="Q1662">
        <v>20220512</v>
      </c>
    </row>
    <row r="1663" spans="1:17" x14ac:dyDescent="0.25">
      <c r="A1663" t="s">
        <v>476</v>
      </c>
      <c r="B1663" t="s">
        <v>477</v>
      </c>
      <c r="C1663">
        <v>68</v>
      </c>
      <c r="D1663">
        <v>20220512</v>
      </c>
      <c r="E1663">
        <f t="shared" si="25"/>
        <v>5</v>
      </c>
      <c r="F1663">
        <v>401000</v>
      </c>
      <c r="G1663" t="s">
        <v>41</v>
      </c>
      <c r="H1663" t="s">
        <v>97</v>
      </c>
      <c r="I1663" t="s">
        <v>98</v>
      </c>
      <c r="J1663" t="s">
        <v>2096</v>
      </c>
      <c r="K1663">
        <v>20220512</v>
      </c>
      <c r="L1663" t="s">
        <v>163</v>
      </c>
      <c r="M1663">
        <v>282.85000000000002</v>
      </c>
      <c r="N1663">
        <v>0</v>
      </c>
      <c r="O1663" t="s">
        <v>23</v>
      </c>
      <c r="P1663">
        <v>20220525</v>
      </c>
      <c r="Q1663">
        <v>20220512</v>
      </c>
    </row>
    <row r="1664" spans="1:17" x14ac:dyDescent="0.25">
      <c r="A1664" t="s">
        <v>476</v>
      </c>
      <c r="B1664" t="s">
        <v>477</v>
      </c>
      <c r="C1664">
        <v>68</v>
      </c>
      <c r="D1664">
        <v>20220512</v>
      </c>
      <c r="E1664">
        <f t="shared" si="25"/>
        <v>5</v>
      </c>
      <c r="F1664">
        <v>401000</v>
      </c>
      <c r="G1664" t="s">
        <v>41</v>
      </c>
      <c r="H1664" t="s">
        <v>125</v>
      </c>
      <c r="I1664" t="s">
        <v>126</v>
      </c>
      <c r="J1664" t="s">
        <v>2096</v>
      </c>
      <c r="K1664">
        <v>20220512</v>
      </c>
      <c r="L1664" t="s">
        <v>163</v>
      </c>
      <c r="M1664">
        <v>301</v>
      </c>
      <c r="N1664">
        <v>0</v>
      </c>
      <c r="O1664" t="s">
        <v>23</v>
      </c>
      <c r="P1664">
        <v>20220525</v>
      </c>
      <c r="Q1664">
        <v>20220512</v>
      </c>
    </row>
    <row r="1665" spans="1:17" x14ac:dyDescent="0.25">
      <c r="A1665" t="s">
        <v>476</v>
      </c>
      <c r="B1665" t="s">
        <v>477</v>
      </c>
      <c r="C1665">
        <v>68</v>
      </c>
      <c r="D1665">
        <v>20220512</v>
      </c>
      <c r="E1665">
        <f t="shared" si="25"/>
        <v>5</v>
      </c>
      <c r="F1665">
        <v>401000</v>
      </c>
      <c r="G1665" t="s">
        <v>41</v>
      </c>
      <c r="H1665" t="s">
        <v>1653</v>
      </c>
      <c r="I1665" t="s">
        <v>1654</v>
      </c>
      <c r="J1665" t="s">
        <v>2096</v>
      </c>
      <c r="K1665">
        <v>20220512</v>
      </c>
      <c r="L1665" t="s">
        <v>163</v>
      </c>
      <c r="M1665">
        <v>600</v>
      </c>
      <c r="N1665">
        <v>0</v>
      </c>
      <c r="O1665" t="s">
        <v>23</v>
      </c>
      <c r="P1665">
        <v>20220609</v>
      </c>
      <c r="Q1665">
        <v>20220512</v>
      </c>
    </row>
    <row r="1666" spans="1:17" x14ac:dyDescent="0.25">
      <c r="A1666" t="s">
        <v>476</v>
      </c>
      <c r="B1666" t="s">
        <v>477</v>
      </c>
      <c r="C1666">
        <v>68</v>
      </c>
      <c r="D1666">
        <v>20220512</v>
      </c>
      <c r="E1666">
        <f t="shared" si="25"/>
        <v>5</v>
      </c>
      <c r="F1666">
        <v>401000</v>
      </c>
      <c r="G1666" t="s">
        <v>41</v>
      </c>
      <c r="H1666" t="s">
        <v>166</v>
      </c>
      <c r="I1666" t="s">
        <v>167</v>
      </c>
      <c r="J1666" t="s">
        <v>2096</v>
      </c>
      <c r="K1666">
        <v>20220512</v>
      </c>
      <c r="L1666" t="s">
        <v>163</v>
      </c>
      <c r="M1666">
        <v>506</v>
      </c>
      <c r="N1666">
        <v>0</v>
      </c>
      <c r="O1666" t="s">
        <v>23</v>
      </c>
      <c r="P1666">
        <v>20221005</v>
      </c>
      <c r="Q1666">
        <v>20220512</v>
      </c>
    </row>
    <row r="1667" spans="1:17" x14ac:dyDescent="0.25">
      <c r="A1667" t="s">
        <v>476</v>
      </c>
      <c r="B1667" t="s">
        <v>477</v>
      </c>
      <c r="C1667">
        <v>68</v>
      </c>
      <c r="D1667">
        <v>20220512</v>
      </c>
      <c r="E1667">
        <f t="shared" ref="E1667:E1730" si="26">VALUE(MID(D1667,5,2))</f>
        <v>5</v>
      </c>
      <c r="F1667">
        <v>401000</v>
      </c>
      <c r="G1667" t="s">
        <v>41</v>
      </c>
      <c r="H1667" t="s">
        <v>177</v>
      </c>
      <c r="I1667" t="s">
        <v>178</v>
      </c>
      <c r="J1667" t="s">
        <v>2096</v>
      </c>
      <c r="K1667">
        <v>20220512</v>
      </c>
      <c r="L1667" t="s">
        <v>163</v>
      </c>
      <c r="M1667">
        <v>315</v>
      </c>
      <c r="N1667">
        <v>0</v>
      </c>
      <c r="O1667" t="s">
        <v>23</v>
      </c>
      <c r="P1667">
        <v>20220525</v>
      </c>
      <c r="Q1667">
        <v>20220512</v>
      </c>
    </row>
    <row r="1668" spans="1:17" x14ac:dyDescent="0.25">
      <c r="A1668" t="s">
        <v>476</v>
      </c>
      <c r="B1668" t="s">
        <v>477</v>
      </c>
      <c r="C1668">
        <v>68</v>
      </c>
      <c r="D1668">
        <v>20220512</v>
      </c>
      <c r="E1668">
        <f t="shared" si="26"/>
        <v>5</v>
      </c>
      <c r="F1668">
        <v>401000</v>
      </c>
      <c r="G1668" t="s">
        <v>41</v>
      </c>
      <c r="H1668" t="s">
        <v>472</v>
      </c>
      <c r="I1668" t="s">
        <v>473</v>
      </c>
      <c r="J1668" t="s">
        <v>2096</v>
      </c>
      <c r="K1668">
        <v>20220512</v>
      </c>
      <c r="L1668" t="s">
        <v>163</v>
      </c>
      <c r="M1668">
        <v>140</v>
      </c>
      <c r="N1668">
        <v>0</v>
      </c>
      <c r="O1668" t="s">
        <v>23</v>
      </c>
      <c r="P1668">
        <v>20220525</v>
      </c>
      <c r="Q1668">
        <v>20220512</v>
      </c>
    </row>
    <row r="1669" spans="1:17" x14ac:dyDescent="0.25">
      <c r="A1669" t="s">
        <v>476</v>
      </c>
      <c r="B1669" t="s">
        <v>477</v>
      </c>
      <c r="C1669">
        <v>68</v>
      </c>
      <c r="D1669">
        <v>20220512</v>
      </c>
      <c r="E1669">
        <f t="shared" si="26"/>
        <v>5</v>
      </c>
      <c r="F1669">
        <v>401000</v>
      </c>
      <c r="G1669" t="s">
        <v>41</v>
      </c>
      <c r="H1669" t="s">
        <v>1335</v>
      </c>
      <c r="I1669" t="s">
        <v>1336</v>
      </c>
      <c r="J1669" t="s">
        <v>2096</v>
      </c>
      <c r="K1669">
        <v>20220512</v>
      </c>
      <c r="L1669" t="s">
        <v>163</v>
      </c>
      <c r="M1669">
        <v>741.2</v>
      </c>
      <c r="N1669">
        <v>0</v>
      </c>
      <c r="O1669" t="s">
        <v>23</v>
      </c>
      <c r="P1669">
        <v>20220525</v>
      </c>
      <c r="Q1669">
        <v>20220512</v>
      </c>
    </row>
    <row r="1670" spans="1:17" x14ac:dyDescent="0.25">
      <c r="A1670" t="s">
        <v>476</v>
      </c>
      <c r="B1670" t="s">
        <v>477</v>
      </c>
      <c r="C1670">
        <v>68</v>
      </c>
      <c r="D1670">
        <v>20220512</v>
      </c>
      <c r="E1670">
        <f t="shared" si="26"/>
        <v>5</v>
      </c>
      <c r="F1670">
        <v>401000</v>
      </c>
      <c r="G1670" t="s">
        <v>41</v>
      </c>
      <c r="H1670" t="s">
        <v>443</v>
      </c>
      <c r="I1670" t="s">
        <v>444</v>
      </c>
      <c r="J1670" t="s">
        <v>2096</v>
      </c>
      <c r="K1670">
        <v>20220512</v>
      </c>
      <c r="L1670" t="s">
        <v>163</v>
      </c>
      <c r="M1670">
        <v>1650</v>
      </c>
      <c r="N1670">
        <v>0</v>
      </c>
      <c r="O1670" t="s">
        <v>23</v>
      </c>
      <c r="P1670">
        <v>20220525</v>
      </c>
      <c r="Q1670">
        <v>20220512</v>
      </c>
    </row>
    <row r="1671" spans="1:17" x14ac:dyDescent="0.25">
      <c r="A1671" t="s">
        <v>476</v>
      </c>
      <c r="B1671" t="s">
        <v>477</v>
      </c>
      <c r="C1671">
        <v>68</v>
      </c>
      <c r="D1671">
        <v>20220512</v>
      </c>
      <c r="E1671">
        <f t="shared" si="26"/>
        <v>5</v>
      </c>
      <c r="F1671">
        <v>401000</v>
      </c>
      <c r="G1671" t="s">
        <v>41</v>
      </c>
      <c r="H1671" t="s">
        <v>827</v>
      </c>
      <c r="I1671" t="s">
        <v>828</v>
      </c>
      <c r="J1671" t="s">
        <v>2096</v>
      </c>
      <c r="K1671">
        <v>20220512</v>
      </c>
      <c r="L1671" t="s">
        <v>163</v>
      </c>
      <c r="M1671">
        <v>123</v>
      </c>
      <c r="N1671">
        <v>0</v>
      </c>
      <c r="O1671" t="s">
        <v>23</v>
      </c>
      <c r="P1671">
        <v>20220525</v>
      </c>
      <c r="Q1671">
        <v>20220512</v>
      </c>
    </row>
    <row r="1672" spans="1:17" x14ac:dyDescent="0.25">
      <c r="A1672" t="s">
        <v>476</v>
      </c>
      <c r="B1672" t="s">
        <v>477</v>
      </c>
      <c r="C1672">
        <v>68</v>
      </c>
      <c r="D1672">
        <v>20220512</v>
      </c>
      <c r="E1672">
        <f t="shared" si="26"/>
        <v>5</v>
      </c>
      <c r="F1672">
        <v>401000</v>
      </c>
      <c r="G1672" t="s">
        <v>41</v>
      </c>
      <c r="H1672" t="s">
        <v>830</v>
      </c>
      <c r="I1672" t="s">
        <v>831</v>
      </c>
      <c r="J1672" t="s">
        <v>2096</v>
      </c>
      <c r="K1672">
        <v>20220512</v>
      </c>
      <c r="L1672" t="s">
        <v>163</v>
      </c>
      <c r="M1672">
        <v>60</v>
      </c>
      <c r="N1672">
        <v>0</v>
      </c>
      <c r="O1672" t="s">
        <v>23</v>
      </c>
      <c r="P1672">
        <v>20220525</v>
      </c>
      <c r="Q1672">
        <v>20220512</v>
      </c>
    </row>
    <row r="1673" spans="1:17" x14ac:dyDescent="0.25">
      <c r="A1673" t="s">
        <v>476</v>
      </c>
      <c r="B1673" t="s">
        <v>477</v>
      </c>
      <c r="C1673">
        <v>68</v>
      </c>
      <c r="D1673">
        <v>20220512</v>
      </c>
      <c r="E1673">
        <f t="shared" si="26"/>
        <v>5</v>
      </c>
      <c r="F1673">
        <v>401000</v>
      </c>
      <c r="G1673" t="s">
        <v>41</v>
      </c>
      <c r="H1673" t="s">
        <v>2045</v>
      </c>
      <c r="I1673" t="s">
        <v>2046</v>
      </c>
      <c r="J1673" t="s">
        <v>2096</v>
      </c>
      <c r="K1673">
        <v>20220512</v>
      </c>
      <c r="L1673" t="s">
        <v>163</v>
      </c>
      <c r="M1673">
        <v>350</v>
      </c>
      <c r="N1673">
        <v>0</v>
      </c>
      <c r="O1673" t="s">
        <v>23</v>
      </c>
      <c r="P1673">
        <v>20220525</v>
      </c>
      <c r="Q1673">
        <v>20220512</v>
      </c>
    </row>
    <row r="1674" spans="1:17" x14ac:dyDescent="0.25">
      <c r="A1674" t="s">
        <v>476</v>
      </c>
      <c r="B1674" t="s">
        <v>477</v>
      </c>
      <c r="C1674">
        <v>68</v>
      </c>
      <c r="D1674">
        <v>20220512</v>
      </c>
      <c r="E1674">
        <f t="shared" si="26"/>
        <v>5</v>
      </c>
      <c r="F1674">
        <v>512000</v>
      </c>
      <c r="G1674" t="s">
        <v>428</v>
      </c>
      <c r="H1674" t="s">
        <v>401</v>
      </c>
      <c r="I1674" t="s">
        <v>402</v>
      </c>
      <c r="J1674" t="s">
        <v>2096</v>
      </c>
      <c r="K1674">
        <v>20220512</v>
      </c>
      <c r="L1674" t="s">
        <v>163</v>
      </c>
      <c r="M1674">
        <v>0</v>
      </c>
      <c r="N1674">
        <v>7562.33</v>
      </c>
      <c r="O1674" t="s">
        <v>19</v>
      </c>
      <c r="P1674" t="s">
        <v>20</v>
      </c>
      <c r="Q1674">
        <v>20220512</v>
      </c>
    </row>
    <row r="1675" spans="1:17" x14ac:dyDescent="0.25">
      <c r="A1675" t="s">
        <v>476</v>
      </c>
      <c r="B1675" t="s">
        <v>477</v>
      </c>
      <c r="C1675">
        <v>68</v>
      </c>
      <c r="D1675">
        <v>20220513</v>
      </c>
      <c r="E1675">
        <f t="shared" si="26"/>
        <v>5</v>
      </c>
      <c r="F1675">
        <v>468710</v>
      </c>
      <c r="G1675" t="s">
        <v>423</v>
      </c>
      <c r="H1675" t="s">
        <v>401</v>
      </c>
      <c r="I1675" t="s">
        <v>402</v>
      </c>
      <c r="J1675" t="s">
        <v>2097</v>
      </c>
      <c r="K1675">
        <v>20220513</v>
      </c>
      <c r="L1675" t="s">
        <v>2098</v>
      </c>
      <c r="M1675">
        <v>0</v>
      </c>
      <c r="N1675">
        <v>8820</v>
      </c>
      <c r="O1675" t="s">
        <v>19</v>
      </c>
      <c r="P1675" t="s">
        <v>20</v>
      </c>
      <c r="Q1675">
        <v>20220513</v>
      </c>
    </row>
    <row r="1676" spans="1:17" x14ac:dyDescent="0.25">
      <c r="A1676" t="s">
        <v>476</v>
      </c>
      <c r="B1676" t="s">
        <v>477</v>
      </c>
      <c r="C1676">
        <v>68</v>
      </c>
      <c r="D1676">
        <v>20220513</v>
      </c>
      <c r="E1676">
        <f t="shared" si="26"/>
        <v>5</v>
      </c>
      <c r="F1676">
        <v>512000</v>
      </c>
      <c r="G1676" t="s">
        <v>428</v>
      </c>
      <c r="H1676" t="s">
        <v>401</v>
      </c>
      <c r="I1676" t="s">
        <v>402</v>
      </c>
      <c r="J1676" t="s">
        <v>2097</v>
      </c>
      <c r="K1676">
        <v>20220513</v>
      </c>
      <c r="L1676" t="s">
        <v>2098</v>
      </c>
      <c r="M1676">
        <v>8820</v>
      </c>
      <c r="N1676">
        <v>0</v>
      </c>
      <c r="O1676" t="s">
        <v>19</v>
      </c>
      <c r="P1676" t="s">
        <v>20</v>
      </c>
      <c r="Q1676">
        <v>20220513</v>
      </c>
    </row>
    <row r="1677" spans="1:17" x14ac:dyDescent="0.25">
      <c r="A1677" t="s">
        <v>476</v>
      </c>
      <c r="B1677" t="s">
        <v>477</v>
      </c>
      <c r="C1677">
        <v>68</v>
      </c>
      <c r="D1677">
        <v>20220513</v>
      </c>
      <c r="E1677">
        <f t="shared" si="26"/>
        <v>5</v>
      </c>
      <c r="F1677">
        <v>468710</v>
      </c>
      <c r="G1677" t="s">
        <v>423</v>
      </c>
      <c r="H1677" t="s">
        <v>401</v>
      </c>
      <c r="I1677" t="s">
        <v>402</v>
      </c>
      <c r="J1677" t="s">
        <v>2099</v>
      </c>
      <c r="K1677">
        <v>20220513</v>
      </c>
      <c r="L1677" t="s">
        <v>2100</v>
      </c>
      <c r="M1677">
        <v>0</v>
      </c>
      <c r="N1677">
        <v>14000</v>
      </c>
      <c r="O1677" t="s">
        <v>19</v>
      </c>
      <c r="P1677" t="s">
        <v>20</v>
      </c>
      <c r="Q1677">
        <v>20220513</v>
      </c>
    </row>
    <row r="1678" spans="1:17" x14ac:dyDescent="0.25">
      <c r="A1678" t="s">
        <v>476</v>
      </c>
      <c r="B1678" t="s">
        <v>477</v>
      </c>
      <c r="C1678">
        <v>68</v>
      </c>
      <c r="D1678">
        <v>20220513</v>
      </c>
      <c r="E1678">
        <f t="shared" si="26"/>
        <v>5</v>
      </c>
      <c r="F1678">
        <v>512000</v>
      </c>
      <c r="G1678" t="s">
        <v>428</v>
      </c>
      <c r="H1678" t="s">
        <v>401</v>
      </c>
      <c r="I1678" t="s">
        <v>402</v>
      </c>
      <c r="J1678" t="s">
        <v>2099</v>
      </c>
      <c r="K1678">
        <v>20220513</v>
      </c>
      <c r="L1678" t="s">
        <v>2100</v>
      </c>
      <c r="M1678">
        <v>14000</v>
      </c>
      <c r="N1678">
        <v>0</v>
      </c>
      <c r="O1678" t="s">
        <v>19</v>
      </c>
      <c r="P1678" t="s">
        <v>20</v>
      </c>
      <c r="Q1678">
        <v>20220513</v>
      </c>
    </row>
    <row r="1679" spans="1:17" x14ac:dyDescent="0.25">
      <c r="A1679" t="s">
        <v>476</v>
      </c>
      <c r="B1679" t="s">
        <v>477</v>
      </c>
      <c r="C1679">
        <v>68</v>
      </c>
      <c r="D1679">
        <v>20220513</v>
      </c>
      <c r="E1679">
        <f t="shared" si="26"/>
        <v>5</v>
      </c>
      <c r="F1679">
        <v>468200</v>
      </c>
      <c r="G1679" t="s">
        <v>421</v>
      </c>
      <c r="H1679" t="s">
        <v>401</v>
      </c>
      <c r="I1679" t="s">
        <v>402</v>
      </c>
      <c r="J1679" t="s">
        <v>2101</v>
      </c>
      <c r="K1679">
        <v>20220513</v>
      </c>
      <c r="L1679" t="s">
        <v>422</v>
      </c>
      <c r="M1679">
        <v>0</v>
      </c>
      <c r="N1679">
        <v>153.86000000000001</v>
      </c>
      <c r="O1679" t="s">
        <v>19</v>
      </c>
      <c r="P1679" t="s">
        <v>20</v>
      </c>
      <c r="Q1679">
        <v>20220513</v>
      </c>
    </row>
    <row r="1680" spans="1:17" x14ac:dyDescent="0.25">
      <c r="A1680" t="s">
        <v>476</v>
      </c>
      <c r="B1680" t="s">
        <v>477</v>
      </c>
      <c r="C1680">
        <v>68</v>
      </c>
      <c r="D1680">
        <v>20220513</v>
      </c>
      <c r="E1680">
        <f t="shared" si="26"/>
        <v>5</v>
      </c>
      <c r="F1680">
        <v>512000</v>
      </c>
      <c r="G1680" t="s">
        <v>428</v>
      </c>
      <c r="H1680" t="s">
        <v>401</v>
      </c>
      <c r="I1680" t="s">
        <v>402</v>
      </c>
      <c r="J1680" t="s">
        <v>2101</v>
      </c>
      <c r="K1680">
        <v>20220513</v>
      </c>
      <c r="L1680" t="s">
        <v>422</v>
      </c>
      <c r="M1680">
        <v>153.86000000000001</v>
      </c>
      <c r="N1680">
        <v>0</v>
      </c>
      <c r="O1680" t="s">
        <v>19</v>
      </c>
      <c r="P1680" t="s">
        <v>20</v>
      </c>
      <c r="Q1680">
        <v>20220513</v>
      </c>
    </row>
    <row r="1681" spans="1:17" x14ac:dyDescent="0.25">
      <c r="A1681" t="s">
        <v>476</v>
      </c>
      <c r="B1681" t="s">
        <v>477</v>
      </c>
      <c r="C1681">
        <v>68</v>
      </c>
      <c r="D1681">
        <v>20220516</v>
      </c>
      <c r="E1681">
        <f t="shared" si="26"/>
        <v>5</v>
      </c>
      <c r="F1681">
        <v>421000</v>
      </c>
      <c r="G1681" t="s">
        <v>403</v>
      </c>
      <c r="H1681" t="s">
        <v>401</v>
      </c>
      <c r="I1681" t="s">
        <v>402</v>
      </c>
      <c r="J1681" t="s">
        <v>2102</v>
      </c>
      <c r="K1681">
        <v>20220516</v>
      </c>
      <c r="L1681" t="s">
        <v>2103</v>
      </c>
      <c r="M1681">
        <v>651.91</v>
      </c>
      <c r="N1681">
        <v>0</v>
      </c>
      <c r="O1681" t="s">
        <v>23</v>
      </c>
      <c r="P1681">
        <v>20220801</v>
      </c>
      <c r="Q1681">
        <v>20220516</v>
      </c>
    </row>
    <row r="1682" spans="1:17" x14ac:dyDescent="0.25">
      <c r="A1682" t="s">
        <v>476</v>
      </c>
      <c r="B1682" t="s">
        <v>477</v>
      </c>
      <c r="C1682">
        <v>68</v>
      </c>
      <c r="D1682">
        <v>20220516</v>
      </c>
      <c r="E1682">
        <f t="shared" si="26"/>
        <v>5</v>
      </c>
      <c r="F1682">
        <v>512000</v>
      </c>
      <c r="G1682" t="s">
        <v>428</v>
      </c>
      <c r="H1682" t="s">
        <v>401</v>
      </c>
      <c r="I1682" t="s">
        <v>402</v>
      </c>
      <c r="J1682" t="s">
        <v>2102</v>
      </c>
      <c r="K1682">
        <v>20220516</v>
      </c>
      <c r="L1682" t="s">
        <v>127</v>
      </c>
      <c r="M1682">
        <v>0</v>
      </c>
      <c r="N1682">
        <v>651.91</v>
      </c>
      <c r="O1682" t="s">
        <v>19</v>
      </c>
      <c r="P1682" t="s">
        <v>20</v>
      </c>
      <c r="Q1682">
        <v>20220516</v>
      </c>
    </row>
    <row r="1683" spans="1:17" x14ac:dyDescent="0.25">
      <c r="A1683" t="s">
        <v>476</v>
      </c>
      <c r="B1683" t="s">
        <v>477</v>
      </c>
      <c r="C1683">
        <v>68</v>
      </c>
      <c r="D1683">
        <v>20220517</v>
      </c>
      <c r="E1683">
        <f t="shared" si="26"/>
        <v>5</v>
      </c>
      <c r="F1683">
        <v>431000</v>
      </c>
      <c r="G1683" t="s">
        <v>408</v>
      </c>
      <c r="H1683" t="s">
        <v>401</v>
      </c>
      <c r="I1683" t="s">
        <v>402</v>
      </c>
      <c r="J1683" t="s">
        <v>2104</v>
      </c>
      <c r="K1683">
        <v>20220517</v>
      </c>
      <c r="L1683" t="s">
        <v>2105</v>
      </c>
      <c r="M1683">
        <v>26634</v>
      </c>
      <c r="N1683">
        <v>0</v>
      </c>
      <c r="O1683" t="s">
        <v>23</v>
      </c>
      <c r="P1683">
        <v>20230327</v>
      </c>
      <c r="Q1683">
        <v>20220517</v>
      </c>
    </row>
    <row r="1684" spans="1:17" x14ac:dyDescent="0.25">
      <c r="A1684" t="s">
        <v>476</v>
      </c>
      <c r="B1684" t="s">
        <v>477</v>
      </c>
      <c r="C1684">
        <v>68</v>
      </c>
      <c r="D1684">
        <v>20220517</v>
      </c>
      <c r="E1684">
        <f t="shared" si="26"/>
        <v>5</v>
      </c>
      <c r="F1684">
        <v>512000</v>
      </c>
      <c r="G1684" t="s">
        <v>428</v>
      </c>
      <c r="H1684" t="s">
        <v>401</v>
      </c>
      <c r="I1684" t="s">
        <v>402</v>
      </c>
      <c r="J1684" t="s">
        <v>2104</v>
      </c>
      <c r="K1684">
        <v>20220517</v>
      </c>
      <c r="L1684" t="s">
        <v>2105</v>
      </c>
      <c r="M1684">
        <v>0</v>
      </c>
      <c r="N1684">
        <v>27969</v>
      </c>
      <c r="O1684" t="s">
        <v>19</v>
      </c>
      <c r="P1684" t="s">
        <v>20</v>
      </c>
      <c r="Q1684">
        <v>20220517</v>
      </c>
    </row>
    <row r="1685" spans="1:17" x14ac:dyDescent="0.25">
      <c r="A1685" t="s">
        <v>476</v>
      </c>
      <c r="B1685" t="s">
        <v>477</v>
      </c>
      <c r="C1685">
        <v>68</v>
      </c>
      <c r="D1685">
        <v>20220517</v>
      </c>
      <c r="E1685">
        <f t="shared" si="26"/>
        <v>5</v>
      </c>
      <c r="F1685">
        <v>637000</v>
      </c>
      <c r="G1685" t="s">
        <v>808</v>
      </c>
      <c r="H1685" t="s">
        <v>401</v>
      </c>
      <c r="I1685" t="s">
        <v>402</v>
      </c>
      <c r="J1685" t="s">
        <v>2104</v>
      </c>
      <c r="K1685">
        <v>20220517</v>
      </c>
      <c r="L1685" t="s">
        <v>2106</v>
      </c>
      <c r="M1685">
        <v>1335</v>
      </c>
      <c r="N1685">
        <v>0</v>
      </c>
      <c r="O1685" t="s">
        <v>19</v>
      </c>
      <c r="P1685" t="s">
        <v>20</v>
      </c>
      <c r="Q1685">
        <v>20220517</v>
      </c>
    </row>
    <row r="1686" spans="1:17" x14ac:dyDescent="0.25">
      <c r="A1686" t="s">
        <v>476</v>
      </c>
      <c r="B1686" t="s">
        <v>477</v>
      </c>
      <c r="C1686">
        <v>68</v>
      </c>
      <c r="D1686">
        <v>20220517</v>
      </c>
      <c r="E1686">
        <f t="shared" si="26"/>
        <v>5</v>
      </c>
      <c r="F1686">
        <v>447000</v>
      </c>
      <c r="G1686" t="s">
        <v>419</v>
      </c>
      <c r="H1686" t="s">
        <v>401</v>
      </c>
      <c r="I1686" t="s">
        <v>402</v>
      </c>
      <c r="J1686" t="s">
        <v>2107</v>
      </c>
      <c r="K1686">
        <v>20220517</v>
      </c>
      <c r="L1686" t="s">
        <v>898</v>
      </c>
      <c r="M1686">
        <v>3903</v>
      </c>
      <c r="N1686">
        <v>0</v>
      </c>
      <c r="O1686" t="s">
        <v>23</v>
      </c>
      <c r="P1686">
        <v>20221005</v>
      </c>
      <c r="Q1686">
        <v>20220517</v>
      </c>
    </row>
    <row r="1687" spans="1:17" x14ac:dyDescent="0.25">
      <c r="A1687" t="s">
        <v>476</v>
      </c>
      <c r="B1687" t="s">
        <v>477</v>
      </c>
      <c r="C1687">
        <v>68</v>
      </c>
      <c r="D1687">
        <v>20220517</v>
      </c>
      <c r="E1687">
        <f t="shared" si="26"/>
        <v>5</v>
      </c>
      <c r="F1687">
        <v>512000</v>
      </c>
      <c r="G1687" t="s">
        <v>428</v>
      </c>
      <c r="H1687" t="s">
        <v>401</v>
      </c>
      <c r="I1687" t="s">
        <v>402</v>
      </c>
      <c r="J1687" t="s">
        <v>2107</v>
      </c>
      <c r="K1687">
        <v>20220517</v>
      </c>
      <c r="L1687" t="s">
        <v>898</v>
      </c>
      <c r="M1687">
        <v>0</v>
      </c>
      <c r="N1687">
        <v>3903</v>
      </c>
      <c r="O1687" t="s">
        <v>19</v>
      </c>
      <c r="P1687" t="s">
        <v>20</v>
      </c>
      <c r="Q1687">
        <v>20220517</v>
      </c>
    </row>
    <row r="1688" spans="1:17" x14ac:dyDescent="0.25">
      <c r="A1688" t="s">
        <v>476</v>
      </c>
      <c r="B1688" t="s">
        <v>477</v>
      </c>
      <c r="C1688">
        <v>68</v>
      </c>
      <c r="D1688">
        <v>20220517</v>
      </c>
      <c r="E1688">
        <f t="shared" si="26"/>
        <v>5</v>
      </c>
      <c r="F1688">
        <v>468200</v>
      </c>
      <c r="G1688" t="s">
        <v>421</v>
      </c>
      <c r="H1688" t="s">
        <v>401</v>
      </c>
      <c r="I1688" t="s">
        <v>402</v>
      </c>
      <c r="J1688" t="s">
        <v>2108</v>
      </c>
      <c r="K1688">
        <v>20220517</v>
      </c>
      <c r="L1688" t="s">
        <v>422</v>
      </c>
      <c r="M1688">
        <v>0</v>
      </c>
      <c r="N1688">
        <v>5144.2</v>
      </c>
      <c r="O1688" t="s">
        <v>23</v>
      </c>
      <c r="P1688">
        <v>20230407</v>
      </c>
      <c r="Q1688">
        <v>20220517</v>
      </c>
    </row>
    <row r="1689" spans="1:17" x14ac:dyDescent="0.25">
      <c r="A1689" t="s">
        <v>476</v>
      </c>
      <c r="B1689" t="s">
        <v>477</v>
      </c>
      <c r="C1689">
        <v>68</v>
      </c>
      <c r="D1689">
        <v>20220517</v>
      </c>
      <c r="E1689">
        <f t="shared" si="26"/>
        <v>5</v>
      </c>
      <c r="F1689">
        <v>512000</v>
      </c>
      <c r="G1689" t="s">
        <v>428</v>
      </c>
      <c r="H1689" t="s">
        <v>401</v>
      </c>
      <c r="I1689" t="s">
        <v>402</v>
      </c>
      <c r="J1689" t="s">
        <v>2108</v>
      </c>
      <c r="K1689">
        <v>20220517</v>
      </c>
      <c r="L1689" t="s">
        <v>422</v>
      </c>
      <c r="M1689">
        <v>5144.2</v>
      </c>
      <c r="N1689">
        <v>0</v>
      </c>
      <c r="O1689" t="s">
        <v>19</v>
      </c>
      <c r="P1689" t="s">
        <v>20</v>
      </c>
      <c r="Q1689">
        <v>20220517</v>
      </c>
    </row>
    <row r="1690" spans="1:17" x14ac:dyDescent="0.25">
      <c r="A1690" t="s">
        <v>476</v>
      </c>
      <c r="B1690" t="s">
        <v>477</v>
      </c>
      <c r="C1690">
        <v>68</v>
      </c>
      <c r="D1690">
        <v>20220518</v>
      </c>
      <c r="E1690">
        <f t="shared" si="26"/>
        <v>5</v>
      </c>
      <c r="F1690">
        <v>467100</v>
      </c>
      <c r="G1690" t="s">
        <v>160</v>
      </c>
      <c r="H1690" t="s">
        <v>517</v>
      </c>
      <c r="I1690" t="s">
        <v>518</v>
      </c>
      <c r="J1690" t="s">
        <v>2109</v>
      </c>
      <c r="K1690">
        <v>20220518</v>
      </c>
      <c r="L1690" t="s">
        <v>127</v>
      </c>
      <c r="M1690">
        <v>100</v>
      </c>
      <c r="N1690">
        <v>0</v>
      </c>
      <c r="O1690" t="s">
        <v>23</v>
      </c>
      <c r="P1690">
        <v>20220630</v>
      </c>
      <c r="Q1690">
        <v>20220518</v>
      </c>
    </row>
    <row r="1691" spans="1:17" x14ac:dyDescent="0.25">
      <c r="A1691" t="s">
        <v>476</v>
      </c>
      <c r="B1691" t="s">
        <v>477</v>
      </c>
      <c r="C1691">
        <v>68</v>
      </c>
      <c r="D1691">
        <v>20220518</v>
      </c>
      <c r="E1691">
        <f t="shared" si="26"/>
        <v>5</v>
      </c>
      <c r="F1691">
        <v>467100</v>
      </c>
      <c r="G1691" t="s">
        <v>160</v>
      </c>
      <c r="H1691" t="s">
        <v>219</v>
      </c>
      <c r="I1691" t="s">
        <v>220</v>
      </c>
      <c r="J1691" t="s">
        <v>2109</v>
      </c>
      <c r="K1691">
        <v>20220518</v>
      </c>
      <c r="L1691" t="s">
        <v>127</v>
      </c>
      <c r="M1691">
        <v>400</v>
      </c>
      <c r="N1691">
        <v>0</v>
      </c>
      <c r="O1691" t="s">
        <v>23</v>
      </c>
      <c r="P1691">
        <v>20220609</v>
      </c>
      <c r="Q1691">
        <v>20220518</v>
      </c>
    </row>
    <row r="1692" spans="1:17" x14ac:dyDescent="0.25">
      <c r="A1692" t="s">
        <v>476</v>
      </c>
      <c r="B1692" t="s">
        <v>477</v>
      </c>
      <c r="C1692">
        <v>68</v>
      </c>
      <c r="D1692">
        <v>20220518</v>
      </c>
      <c r="E1692">
        <f t="shared" si="26"/>
        <v>5</v>
      </c>
      <c r="F1692">
        <v>467100</v>
      </c>
      <c r="G1692" t="s">
        <v>160</v>
      </c>
      <c r="H1692" t="s">
        <v>316</v>
      </c>
      <c r="I1692" t="s">
        <v>317</v>
      </c>
      <c r="J1692" t="s">
        <v>2109</v>
      </c>
      <c r="K1692">
        <v>20220518</v>
      </c>
      <c r="L1692" t="s">
        <v>127</v>
      </c>
      <c r="M1692">
        <v>350</v>
      </c>
      <c r="N1692">
        <v>0</v>
      </c>
      <c r="O1692" t="s">
        <v>23</v>
      </c>
      <c r="P1692">
        <v>20220609</v>
      </c>
      <c r="Q1692">
        <v>20220518</v>
      </c>
    </row>
    <row r="1693" spans="1:17" x14ac:dyDescent="0.25">
      <c r="A1693" t="s">
        <v>476</v>
      </c>
      <c r="B1693" t="s">
        <v>477</v>
      </c>
      <c r="C1693">
        <v>68</v>
      </c>
      <c r="D1693">
        <v>20220518</v>
      </c>
      <c r="E1693">
        <f t="shared" si="26"/>
        <v>5</v>
      </c>
      <c r="F1693">
        <v>512000</v>
      </c>
      <c r="G1693" t="s">
        <v>428</v>
      </c>
      <c r="H1693" t="s">
        <v>401</v>
      </c>
      <c r="I1693" t="s">
        <v>402</v>
      </c>
      <c r="J1693" t="s">
        <v>2109</v>
      </c>
      <c r="K1693">
        <v>20220518</v>
      </c>
      <c r="L1693" t="s">
        <v>127</v>
      </c>
      <c r="M1693">
        <v>0</v>
      </c>
      <c r="N1693">
        <v>850</v>
      </c>
      <c r="O1693" t="s">
        <v>19</v>
      </c>
      <c r="P1693" t="s">
        <v>20</v>
      </c>
      <c r="Q1693">
        <v>20220518</v>
      </c>
    </row>
    <row r="1694" spans="1:17" x14ac:dyDescent="0.25">
      <c r="A1694" t="s">
        <v>476</v>
      </c>
      <c r="B1694" t="s">
        <v>477</v>
      </c>
      <c r="C1694">
        <v>68</v>
      </c>
      <c r="D1694">
        <v>20220519</v>
      </c>
      <c r="E1694">
        <f t="shared" si="26"/>
        <v>5</v>
      </c>
      <c r="F1694">
        <v>771300</v>
      </c>
      <c r="G1694" t="s">
        <v>1664</v>
      </c>
      <c r="H1694" t="s">
        <v>401</v>
      </c>
      <c r="I1694" t="s">
        <v>402</v>
      </c>
      <c r="J1694" t="s">
        <v>2110</v>
      </c>
      <c r="K1694">
        <v>20220519</v>
      </c>
      <c r="L1694" t="s">
        <v>2111</v>
      </c>
      <c r="M1694">
        <v>0</v>
      </c>
      <c r="N1694">
        <v>1000</v>
      </c>
      <c r="O1694" t="s">
        <v>19</v>
      </c>
      <c r="P1694" t="s">
        <v>20</v>
      </c>
      <c r="Q1694">
        <v>20220519</v>
      </c>
    </row>
    <row r="1695" spans="1:17" x14ac:dyDescent="0.25">
      <c r="A1695" t="s">
        <v>476</v>
      </c>
      <c r="B1695" t="s">
        <v>477</v>
      </c>
      <c r="C1695">
        <v>68</v>
      </c>
      <c r="D1695">
        <v>20220519</v>
      </c>
      <c r="E1695">
        <f t="shared" si="26"/>
        <v>5</v>
      </c>
      <c r="F1695">
        <v>512000</v>
      </c>
      <c r="G1695" t="s">
        <v>428</v>
      </c>
      <c r="H1695" t="s">
        <v>401</v>
      </c>
      <c r="I1695" t="s">
        <v>402</v>
      </c>
      <c r="J1695" t="s">
        <v>2110</v>
      </c>
      <c r="K1695">
        <v>20220519</v>
      </c>
      <c r="L1695" t="s">
        <v>2111</v>
      </c>
      <c r="M1695">
        <v>1000</v>
      </c>
      <c r="N1695">
        <v>0</v>
      </c>
      <c r="O1695" t="s">
        <v>19</v>
      </c>
      <c r="P1695" t="s">
        <v>20</v>
      </c>
      <c r="Q1695">
        <v>20220519</v>
      </c>
    </row>
    <row r="1696" spans="1:17" x14ac:dyDescent="0.25">
      <c r="A1696" t="s">
        <v>476</v>
      </c>
      <c r="B1696" t="s">
        <v>477</v>
      </c>
      <c r="C1696">
        <v>68</v>
      </c>
      <c r="D1696">
        <v>20220519</v>
      </c>
      <c r="E1696">
        <f t="shared" si="26"/>
        <v>5</v>
      </c>
      <c r="F1696">
        <v>468200</v>
      </c>
      <c r="G1696" t="s">
        <v>421</v>
      </c>
      <c r="H1696" t="s">
        <v>401</v>
      </c>
      <c r="I1696" t="s">
        <v>402</v>
      </c>
      <c r="J1696" t="s">
        <v>2112</v>
      </c>
      <c r="K1696">
        <v>20220519</v>
      </c>
      <c r="L1696" t="s">
        <v>422</v>
      </c>
      <c r="M1696">
        <v>0</v>
      </c>
      <c r="N1696">
        <v>90.51</v>
      </c>
      <c r="O1696" t="s">
        <v>23</v>
      </c>
      <c r="P1696">
        <v>20221005</v>
      </c>
      <c r="Q1696">
        <v>20220519</v>
      </c>
    </row>
    <row r="1697" spans="1:17" x14ac:dyDescent="0.25">
      <c r="A1697" t="s">
        <v>476</v>
      </c>
      <c r="B1697" t="s">
        <v>477</v>
      </c>
      <c r="C1697">
        <v>68</v>
      </c>
      <c r="D1697">
        <v>20220519</v>
      </c>
      <c r="E1697">
        <f t="shared" si="26"/>
        <v>5</v>
      </c>
      <c r="F1697">
        <v>512000</v>
      </c>
      <c r="G1697" t="s">
        <v>428</v>
      </c>
      <c r="H1697" t="s">
        <v>401</v>
      </c>
      <c r="I1697" t="s">
        <v>402</v>
      </c>
      <c r="J1697" t="s">
        <v>2112</v>
      </c>
      <c r="K1697">
        <v>20220519</v>
      </c>
      <c r="L1697" t="s">
        <v>422</v>
      </c>
      <c r="M1697">
        <v>90.51</v>
      </c>
      <c r="N1697">
        <v>0</v>
      </c>
      <c r="O1697" t="s">
        <v>19</v>
      </c>
      <c r="P1697" t="s">
        <v>20</v>
      </c>
      <c r="Q1697">
        <v>20220519</v>
      </c>
    </row>
    <row r="1698" spans="1:17" x14ac:dyDescent="0.25">
      <c r="A1698" t="s">
        <v>476</v>
      </c>
      <c r="B1698" t="s">
        <v>477</v>
      </c>
      <c r="C1698">
        <v>68</v>
      </c>
      <c r="D1698">
        <v>20220520</v>
      </c>
      <c r="E1698">
        <f t="shared" si="26"/>
        <v>5</v>
      </c>
      <c r="F1698">
        <v>468725</v>
      </c>
      <c r="G1698" t="s">
        <v>424</v>
      </c>
      <c r="H1698" t="s">
        <v>401</v>
      </c>
      <c r="I1698" t="s">
        <v>402</v>
      </c>
      <c r="J1698" t="s">
        <v>2113</v>
      </c>
      <c r="K1698">
        <v>20220520</v>
      </c>
      <c r="L1698" t="s">
        <v>1364</v>
      </c>
      <c r="M1698">
        <v>0</v>
      </c>
      <c r="N1698">
        <v>470.17</v>
      </c>
      <c r="O1698" t="s">
        <v>23</v>
      </c>
      <c r="P1698">
        <v>20230105</v>
      </c>
      <c r="Q1698">
        <v>20220520</v>
      </c>
    </row>
    <row r="1699" spans="1:17" x14ac:dyDescent="0.25">
      <c r="A1699" t="s">
        <v>476</v>
      </c>
      <c r="B1699" t="s">
        <v>477</v>
      </c>
      <c r="C1699">
        <v>68</v>
      </c>
      <c r="D1699">
        <v>20220520</v>
      </c>
      <c r="E1699">
        <f t="shared" si="26"/>
        <v>5</v>
      </c>
      <c r="F1699">
        <v>512000</v>
      </c>
      <c r="G1699" t="s">
        <v>428</v>
      </c>
      <c r="H1699" t="s">
        <v>401</v>
      </c>
      <c r="I1699" t="s">
        <v>402</v>
      </c>
      <c r="J1699" t="s">
        <v>2113</v>
      </c>
      <c r="K1699">
        <v>20220520</v>
      </c>
      <c r="L1699" t="s">
        <v>1364</v>
      </c>
      <c r="M1699">
        <v>470.17</v>
      </c>
      <c r="N1699">
        <v>0</v>
      </c>
      <c r="O1699" t="s">
        <v>19</v>
      </c>
      <c r="P1699" t="s">
        <v>20</v>
      </c>
      <c r="Q1699">
        <v>20220520</v>
      </c>
    </row>
    <row r="1700" spans="1:17" x14ac:dyDescent="0.25">
      <c r="A1700" t="s">
        <v>476</v>
      </c>
      <c r="B1700" t="s">
        <v>477</v>
      </c>
      <c r="C1700">
        <v>68</v>
      </c>
      <c r="D1700">
        <v>20220520</v>
      </c>
      <c r="E1700">
        <f t="shared" si="26"/>
        <v>5</v>
      </c>
      <c r="F1700">
        <v>791100</v>
      </c>
      <c r="G1700" t="s">
        <v>806</v>
      </c>
      <c r="H1700" t="s">
        <v>401</v>
      </c>
      <c r="I1700" t="s">
        <v>402</v>
      </c>
      <c r="J1700" t="s">
        <v>2114</v>
      </c>
      <c r="K1700">
        <v>20220520</v>
      </c>
      <c r="L1700" t="s">
        <v>1345</v>
      </c>
      <c r="M1700">
        <v>0</v>
      </c>
      <c r="N1700">
        <v>345</v>
      </c>
      <c r="O1700" t="s">
        <v>19</v>
      </c>
      <c r="P1700" t="s">
        <v>20</v>
      </c>
      <c r="Q1700">
        <v>20220520</v>
      </c>
    </row>
    <row r="1701" spans="1:17" x14ac:dyDescent="0.25">
      <c r="A1701" t="s">
        <v>476</v>
      </c>
      <c r="B1701" t="s">
        <v>477</v>
      </c>
      <c r="C1701">
        <v>68</v>
      </c>
      <c r="D1701">
        <v>20220520</v>
      </c>
      <c r="E1701">
        <f t="shared" si="26"/>
        <v>5</v>
      </c>
      <c r="F1701">
        <v>512000</v>
      </c>
      <c r="G1701" t="s">
        <v>428</v>
      </c>
      <c r="H1701" t="s">
        <v>401</v>
      </c>
      <c r="I1701" t="s">
        <v>402</v>
      </c>
      <c r="J1701" t="s">
        <v>2114</v>
      </c>
      <c r="K1701">
        <v>20220520</v>
      </c>
      <c r="L1701" t="s">
        <v>1345</v>
      </c>
      <c r="M1701">
        <v>345</v>
      </c>
      <c r="N1701">
        <v>0</v>
      </c>
      <c r="O1701" t="s">
        <v>19</v>
      </c>
      <c r="P1701" t="s">
        <v>20</v>
      </c>
      <c r="Q1701">
        <v>20220520</v>
      </c>
    </row>
    <row r="1702" spans="1:17" x14ac:dyDescent="0.25">
      <c r="A1702" t="s">
        <v>476</v>
      </c>
      <c r="B1702" t="s">
        <v>477</v>
      </c>
      <c r="C1702">
        <v>68</v>
      </c>
      <c r="D1702">
        <v>20220524</v>
      </c>
      <c r="E1702">
        <f t="shared" si="26"/>
        <v>5</v>
      </c>
      <c r="F1702">
        <v>442100</v>
      </c>
      <c r="G1702" t="s">
        <v>435</v>
      </c>
      <c r="H1702" t="s">
        <v>401</v>
      </c>
      <c r="I1702" t="s">
        <v>402</v>
      </c>
      <c r="J1702" t="s">
        <v>2115</v>
      </c>
      <c r="K1702">
        <v>20220524</v>
      </c>
      <c r="L1702" t="s">
        <v>2116</v>
      </c>
      <c r="M1702">
        <v>1151</v>
      </c>
      <c r="N1702">
        <v>0</v>
      </c>
      <c r="O1702" t="s">
        <v>23</v>
      </c>
      <c r="P1702">
        <v>20221005</v>
      </c>
      <c r="Q1702">
        <v>20220524</v>
      </c>
    </row>
    <row r="1703" spans="1:17" x14ac:dyDescent="0.25">
      <c r="A1703" t="s">
        <v>476</v>
      </c>
      <c r="B1703" t="s">
        <v>477</v>
      </c>
      <c r="C1703">
        <v>68</v>
      </c>
      <c r="D1703">
        <v>20220524</v>
      </c>
      <c r="E1703">
        <f t="shared" si="26"/>
        <v>5</v>
      </c>
      <c r="F1703">
        <v>512000</v>
      </c>
      <c r="G1703" t="s">
        <v>428</v>
      </c>
      <c r="H1703" t="s">
        <v>401</v>
      </c>
      <c r="I1703" t="s">
        <v>402</v>
      </c>
      <c r="J1703" t="s">
        <v>2115</v>
      </c>
      <c r="K1703">
        <v>20220524</v>
      </c>
      <c r="L1703" t="s">
        <v>2116</v>
      </c>
      <c r="M1703">
        <v>0</v>
      </c>
      <c r="N1703">
        <v>1151</v>
      </c>
      <c r="O1703" t="s">
        <v>19</v>
      </c>
      <c r="P1703" t="s">
        <v>20</v>
      </c>
      <c r="Q1703">
        <v>20220524</v>
      </c>
    </row>
    <row r="1704" spans="1:17" x14ac:dyDescent="0.25">
      <c r="A1704" t="s">
        <v>476</v>
      </c>
      <c r="B1704" t="s">
        <v>477</v>
      </c>
      <c r="C1704">
        <v>68</v>
      </c>
      <c r="D1704">
        <v>20220525</v>
      </c>
      <c r="E1704">
        <f t="shared" si="26"/>
        <v>5</v>
      </c>
      <c r="F1704">
        <v>401000</v>
      </c>
      <c r="G1704" t="s">
        <v>41</v>
      </c>
      <c r="H1704" t="s">
        <v>42</v>
      </c>
      <c r="I1704" t="s">
        <v>43</v>
      </c>
      <c r="J1704" t="s">
        <v>2117</v>
      </c>
      <c r="K1704">
        <v>20220525</v>
      </c>
      <c r="L1704" t="s">
        <v>163</v>
      </c>
      <c r="M1704">
        <v>720</v>
      </c>
      <c r="N1704">
        <v>0</v>
      </c>
      <c r="O1704" t="s">
        <v>23</v>
      </c>
      <c r="P1704">
        <v>20220609</v>
      </c>
      <c r="Q1704">
        <v>20220525</v>
      </c>
    </row>
    <row r="1705" spans="1:17" x14ac:dyDescent="0.25">
      <c r="A1705" t="s">
        <v>476</v>
      </c>
      <c r="B1705" t="s">
        <v>477</v>
      </c>
      <c r="C1705">
        <v>68</v>
      </c>
      <c r="D1705">
        <v>20220525</v>
      </c>
      <c r="E1705">
        <f t="shared" si="26"/>
        <v>5</v>
      </c>
      <c r="F1705">
        <v>401000</v>
      </c>
      <c r="G1705" t="s">
        <v>41</v>
      </c>
      <c r="H1705" t="s">
        <v>46</v>
      </c>
      <c r="I1705" t="s">
        <v>47</v>
      </c>
      <c r="J1705" t="s">
        <v>2117</v>
      </c>
      <c r="K1705">
        <v>20220525</v>
      </c>
      <c r="L1705" t="s">
        <v>163</v>
      </c>
      <c r="M1705">
        <v>3142</v>
      </c>
      <c r="N1705">
        <v>0</v>
      </c>
      <c r="O1705" t="s">
        <v>23</v>
      </c>
      <c r="P1705">
        <v>20220609</v>
      </c>
      <c r="Q1705">
        <v>20220525</v>
      </c>
    </row>
    <row r="1706" spans="1:17" x14ac:dyDescent="0.25">
      <c r="A1706" t="s">
        <v>476</v>
      </c>
      <c r="B1706" t="s">
        <v>477</v>
      </c>
      <c r="C1706">
        <v>68</v>
      </c>
      <c r="D1706">
        <v>20220525</v>
      </c>
      <c r="E1706">
        <f t="shared" si="26"/>
        <v>5</v>
      </c>
      <c r="F1706">
        <v>401000</v>
      </c>
      <c r="G1706" t="s">
        <v>41</v>
      </c>
      <c r="H1706" t="s">
        <v>48</v>
      </c>
      <c r="I1706" t="s">
        <v>49</v>
      </c>
      <c r="J1706" t="s">
        <v>2117</v>
      </c>
      <c r="K1706">
        <v>20220525</v>
      </c>
      <c r="L1706" t="s">
        <v>163</v>
      </c>
      <c r="M1706">
        <v>671.13</v>
      </c>
      <c r="N1706">
        <v>0</v>
      </c>
      <c r="O1706" t="s">
        <v>23</v>
      </c>
      <c r="P1706">
        <v>20220609</v>
      </c>
      <c r="Q1706">
        <v>20220525</v>
      </c>
    </row>
    <row r="1707" spans="1:17" x14ac:dyDescent="0.25">
      <c r="A1707" t="s">
        <v>476</v>
      </c>
      <c r="B1707" t="s">
        <v>477</v>
      </c>
      <c r="C1707">
        <v>68</v>
      </c>
      <c r="D1707">
        <v>20220525</v>
      </c>
      <c r="E1707">
        <f t="shared" si="26"/>
        <v>5</v>
      </c>
      <c r="F1707">
        <v>401000</v>
      </c>
      <c r="G1707" t="s">
        <v>41</v>
      </c>
      <c r="H1707" t="s">
        <v>56</v>
      </c>
      <c r="I1707" t="s">
        <v>57</v>
      </c>
      <c r="J1707" t="s">
        <v>2117</v>
      </c>
      <c r="K1707">
        <v>20220525</v>
      </c>
      <c r="L1707" t="s">
        <v>163</v>
      </c>
      <c r="M1707">
        <v>2189.39</v>
      </c>
      <c r="N1707">
        <v>0</v>
      </c>
      <c r="O1707" t="s">
        <v>23</v>
      </c>
      <c r="P1707">
        <v>20220609</v>
      </c>
      <c r="Q1707">
        <v>20220525</v>
      </c>
    </row>
    <row r="1708" spans="1:17" x14ac:dyDescent="0.25">
      <c r="A1708" t="s">
        <v>476</v>
      </c>
      <c r="B1708" t="s">
        <v>477</v>
      </c>
      <c r="C1708">
        <v>68</v>
      </c>
      <c r="D1708">
        <v>20220525</v>
      </c>
      <c r="E1708">
        <f t="shared" si="26"/>
        <v>5</v>
      </c>
      <c r="F1708">
        <v>401000</v>
      </c>
      <c r="G1708" t="s">
        <v>41</v>
      </c>
      <c r="H1708" t="s">
        <v>58</v>
      </c>
      <c r="I1708" t="s">
        <v>59</v>
      </c>
      <c r="J1708" t="s">
        <v>2117</v>
      </c>
      <c r="K1708">
        <v>20220525</v>
      </c>
      <c r="L1708" t="s">
        <v>163</v>
      </c>
      <c r="M1708">
        <v>4.2</v>
      </c>
      <c r="N1708">
        <v>0</v>
      </c>
      <c r="O1708" t="s">
        <v>23</v>
      </c>
      <c r="P1708">
        <v>20220608</v>
      </c>
      <c r="Q1708">
        <v>20220525</v>
      </c>
    </row>
    <row r="1709" spans="1:17" x14ac:dyDescent="0.25">
      <c r="A1709" t="s">
        <v>476</v>
      </c>
      <c r="B1709" t="s">
        <v>477</v>
      </c>
      <c r="C1709">
        <v>68</v>
      </c>
      <c r="D1709">
        <v>20220525</v>
      </c>
      <c r="E1709">
        <f t="shared" si="26"/>
        <v>5</v>
      </c>
      <c r="F1709">
        <v>401000</v>
      </c>
      <c r="G1709" t="s">
        <v>41</v>
      </c>
      <c r="H1709" t="s">
        <v>75</v>
      </c>
      <c r="I1709" t="s">
        <v>76</v>
      </c>
      <c r="J1709" t="s">
        <v>2117</v>
      </c>
      <c r="K1709">
        <v>20220525</v>
      </c>
      <c r="L1709" t="s">
        <v>163</v>
      </c>
      <c r="M1709">
        <v>3915.49</v>
      </c>
      <c r="N1709">
        <v>0</v>
      </c>
      <c r="O1709" t="s">
        <v>23</v>
      </c>
      <c r="P1709">
        <v>20220607</v>
      </c>
      <c r="Q1709">
        <v>20220525</v>
      </c>
    </row>
    <row r="1710" spans="1:17" x14ac:dyDescent="0.25">
      <c r="A1710" t="s">
        <v>476</v>
      </c>
      <c r="B1710" t="s">
        <v>477</v>
      </c>
      <c r="C1710">
        <v>68</v>
      </c>
      <c r="D1710">
        <v>20220525</v>
      </c>
      <c r="E1710">
        <f t="shared" si="26"/>
        <v>5</v>
      </c>
      <c r="F1710">
        <v>401000</v>
      </c>
      <c r="G1710" t="s">
        <v>41</v>
      </c>
      <c r="H1710" t="s">
        <v>1641</v>
      </c>
      <c r="I1710" t="s">
        <v>1642</v>
      </c>
      <c r="J1710" t="s">
        <v>2117</v>
      </c>
      <c r="K1710">
        <v>20220525</v>
      </c>
      <c r="L1710" t="s">
        <v>163</v>
      </c>
      <c r="M1710">
        <v>277.61</v>
      </c>
      <c r="N1710">
        <v>0</v>
      </c>
      <c r="O1710" t="s">
        <v>23</v>
      </c>
      <c r="P1710">
        <v>20220609</v>
      </c>
      <c r="Q1710">
        <v>20220525</v>
      </c>
    </row>
    <row r="1711" spans="1:17" x14ac:dyDescent="0.25">
      <c r="A1711" t="s">
        <v>476</v>
      </c>
      <c r="B1711" t="s">
        <v>477</v>
      </c>
      <c r="C1711">
        <v>68</v>
      </c>
      <c r="D1711">
        <v>20220525</v>
      </c>
      <c r="E1711">
        <f t="shared" si="26"/>
        <v>5</v>
      </c>
      <c r="F1711">
        <v>401000</v>
      </c>
      <c r="G1711" t="s">
        <v>41</v>
      </c>
      <c r="H1711" t="s">
        <v>2049</v>
      </c>
      <c r="I1711" t="s">
        <v>2050</v>
      </c>
      <c r="J1711" t="s">
        <v>2117</v>
      </c>
      <c r="K1711">
        <v>20220525</v>
      </c>
      <c r="L1711" t="s">
        <v>163</v>
      </c>
      <c r="M1711">
        <v>104.13</v>
      </c>
      <c r="N1711">
        <v>0</v>
      </c>
      <c r="O1711" t="s">
        <v>23</v>
      </c>
      <c r="P1711">
        <v>20220609</v>
      </c>
      <c r="Q1711">
        <v>20220525</v>
      </c>
    </row>
    <row r="1712" spans="1:17" x14ac:dyDescent="0.25">
      <c r="A1712" t="s">
        <v>476</v>
      </c>
      <c r="B1712" t="s">
        <v>477</v>
      </c>
      <c r="C1712">
        <v>68</v>
      </c>
      <c r="D1712">
        <v>20220525</v>
      </c>
      <c r="E1712">
        <f t="shared" si="26"/>
        <v>5</v>
      </c>
      <c r="F1712">
        <v>401000</v>
      </c>
      <c r="G1712" t="s">
        <v>41</v>
      </c>
      <c r="H1712" t="s">
        <v>99</v>
      </c>
      <c r="I1712" t="s">
        <v>100</v>
      </c>
      <c r="J1712" t="s">
        <v>2117</v>
      </c>
      <c r="K1712">
        <v>20220525</v>
      </c>
      <c r="L1712" t="s">
        <v>163</v>
      </c>
      <c r="M1712">
        <v>3436.06</v>
      </c>
      <c r="N1712">
        <v>0</v>
      </c>
      <c r="O1712" t="s">
        <v>23</v>
      </c>
      <c r="P1712">
        <v>20220527</v>
      </c>
      <c r="Q1712">
        <v>20220525</v>
      </c>
    </row>
    <row r="1713" spans="1:17" x14ac:dyDescent="0.25">
      <c r="A1713" t="s">
        <v>476</v>
      </c>
      <c r="B1713" t="s">
        <v>477</v>
      </c>
      <c r="C1713">
        <v>68</v>
      </c>
      <c r="D1713">
        <v>20220525</v>
      </c>
      <c r="E1713">
        <f t="shared" si="26"/>
        <v>5</v>
      </c>
      <c r="F1713">
        <v>401000</v>
      </c>
      <c r="G1713" t="s">
        <v>41</v>
      </c>
      <c r="H1713" t="s">
        <v>181</v>
      </c>
      <c r="I1713" t="s">
        <v>182</v>
      </c>
      <c r="J1713" t="s">
        <v>2117</v>
      </c>
      <c r="K1713">
        <v>20220525</v>
      </c>
      <c r="L1713" t="s">
        <v>163</v>
      </c>
      <c r="M1713">
        <v>53.18</v>
      </c>
      <c r="N1713">
        <v>0</v>
      </c>
      <c r="O1713" t="s">
        <v>23</v>
      </c>
      <c r="P1713">
        <v>20220609</v>
      </c>
      <c r="Q1713">
        <v>20220525</v>
      </c>
    </row>
    <row r="1714" spans="1:17" x14ac:dyDescent="0.25">
      <c r="A1714" t="s">
        <v>476</v>
      </c>
      <c r="B1714" t="s">
        <v>477</v>
      </c>
      <c r="C1714">
        <v>68</v>
      </c>
      <c r="D1714">
        <v>20220525</v>
      </c>
      <c r="E1714">
        <f t="shared" si="26"/>
        <v>5</v>
      </c>
      <c r="F1714">
        <v>467100</v>
      </c>
      <c r="G1714" t="s">
        <v>160</v>
      </c>
      <c r="H1714" t="s">
        <v>1522</v>
      </c>
      <c r="I1714" t="s">
        <v>1523</v>
      </c>
      <c r="J1714" t="s">
        <v>2117</v>
      </c>
      <c r="K1714">
        <v>20220525</v>
      </c>
      <c r="L1714" t="s">
        <v>163</v>
      </c>
      <c r="M1714">
        <v>159.69999999999999</v>
      </c>
      <c r="N1714">
        <v>0</v>
      </c>
      <c r="O1714" t="s">
        <v>23</v>
      </c>
      <c r="P1714">
        <v>20220609</v>
      </c>
      <c r="Q1714">
        <v>20220525</v>
      </c>
    </row>
    <row r="1715" spans="1:17" x14ac:dyDescent="0.25">
      <c r="A1715" t="s">
        <v>476</v>
      </c>
      <c r="B1715" t="s">
        <v>477</v>
      </c>
      <c r="C1715">
        <v>68</v>
      </c>
      <c r="D1715">
        <v>20220525</v>
      </c>
      <c r="E1715">
        <f t="shared" si="26"/>
        <v>5</v>
      </c>
      <c r="F1715">
        <v>401000</v>
      </c>
      <c r="G1715" t="s">
        <v>41</v>
      </c>
      <c r="H1715" t="s">
        <v>1651</v>
      </c>
      <c r="I1715" t="s">
        <v>1652</v>
      </c>
      <c r="J1715" t="s">
        <v>2117</v>
      </c>
      <c r="K1715">
        <v>20220525</v>
      </c>
      <c r="L1715" t="s">
        <v>163</v>
      </c>
      <c r="M1715">
        <v>315</v>
      </c>
      <c r="N1715">
        <v>0</v>
      </c>
      <c r="O1715" t="s">
        <v>23</v>
      </c>
      <c r="P1715">
        <v>20220609</v>
      </c>
      <c r="Q1715">
        <v>20220525</v>
      </c>
    </row>
    <row r="1716" spans="1:17" x14ac:dyDescent="0.25">
      <c r="A1716" t="s">
        <v>476</v>
      </c>
      <c r="B1716" t="s">
        <v>477</v>
      </c>
      <c r="C1716">
        <v>68</v>
      </c>
      <c r="D1716">
        <v>20220525</v>
      </c>
      <c r="E1716">
        <f t="shared" si="26"/>
        <v>5</v>
      </c>
      <c r="F1716">
        <v>467100</v>
      </c>
      <c r="G1716" t="s">
        <v>160</v>
      </c>
      <c r="H1716" t="s">
        <v>219</v>
      </c>
      <c r="I1716" t="s">
        <v>220</v>
      </c>
      <c r="J1716" t="s">
        <v>2117</v>
      </c>
      <c r="K1716">
        <v>20220525</v>
      </c>
      <c r="L1716" t="s">
        <v>163</v>
      </c>
      <c r="M1716">
        <v>22.85</v>
      </c>
      <c r="N1716">
        <v>0</v>
      </c>
      <c r="O1716" t="s">
        <v>23</v>
      </c>
      <c r="P1716">
        <v>20220609</v>
      </c>
      <c r="Q1716">
        <v>20220525</v>
      </c>
    </row>
    <row r="1717" spans="1:17" x14ac:dyDescent="0.25">
      <c r="A1717" t="s">
        <v>476</v>
      </c>
      <c r="B1717" t="s">
        <v>477</v>
      </c>
      <c r="C1717">
        <v>68</v>
      </c>
      <c r="D1717">
        <v>20220525</v>
      </c>
      <c r="E1717">
        <f t="shared" si="26"/>
        <v>5</v>
      </c>
      <c r="F1717">
        <v>401000</v>
      </c>
      <c r="G1717" t="s">
        <v>41</v>
      </c>
      <c r="H1717" t="s">
        <v>443</v>
      </c>
      <c r="I1717" t="s">
        <v>444</v>
      </c>
      <c r="J1717" t="s">
        <v>2117</v>
      </c>
      <c r="K1717">
        <v>20220525</v>
      </c>
      <c r="L1717" t="s">
        <v>163</v>
      </c>
      <c r="M1717">
        <v>1200</v>
      </c>
      <c r="N1717">
        <v>0</v>
      </c>
      <c r="O1717" t="s">
        <v>23</v>
      </c>
      <c r="P1717">
        <v>20220609</v>
      </c>
      <c r="Q1717">
        <v>20220525</v>
      </c>
    </row>
    <row r="1718" spans="1:17" x14ac:dyDescent="0.25">
      <c r="A1718" t="s">
        <v>476</v>
      </c>
      <c r="B1718" t="s">
        <v>477</v>
      </c>
      <c r="C1718">
        <v>68</v>
      </c>
      <c r="D1718">
        <v>20220525</v>
      </c>
      <c r="E1718">
        <f t="shared" si="26"/>
        <v>5</v>
      </c>
      <c r="F1718">
        <v>401000</v>
      </c>
      <c r="G1718" t="s">
        <v>41</v>
      </c>
      <c r="H1718" t="s">
        <v>303</v>
      </c>
      <c r="I1718" t="s">
        <v>304</v>
      </c>
      <c r="J1718" t="s">
        <v>2117</v>
      </c>
      <c r="K1718">
        <v>20220525</v>
      </c>
      <c r="L1718" t="s">
        <v>163</v>
      </c>
      <c r="M1718">
        <v>360</v>
      </c>
      <c r="N1718">
        <v>0</v>
      </c>
      <c r="O1718" t="s">
        <v>23</v>
      </c>
      <c r="P1718">
        <v>20220609</v>
      </c>
      <c r="Q1718">
        <v>20220525</v>
      </c>
    </row>
    <row r="1719" spans="1:17" x14ac:dyDescent="0.25">
      <c r="A1719" t="s">
        <v>476</v>
      </c>
      <c r="B1719" t="s">
        <v>477</v>
      </c>
      <c r="C1719">
        <v>68</v>
      </c>
      <c r="D1719">
        <v>20220525</v>
      </c>
      <c r="E1719">
        <f t="shared" si="26"/>
        <v>5</v>
      </c>
      <c r="F1719">
        <v>467100</v>
      </c>
      <c r="G1719" t="s">
        <v>160</v>
      </c>
      <c r="H1719" t="s">
        <v>316</v>
      </c>
      <c r="I1719" t="s">
        <v>317</v>
      </c>
      <c r="J1719" t="s">
        <v>2117</v>
      </c>
      <c r="K1719">
        <v>20220525</v>
      </c>
      <c r="L1719" t="s">
        <v>163</v>
      </c>
      <c r="M1719">
        <v>28.21</v>
      </c>
      <c r="N1719">
        <v>0</v>
      </c>
      <c r="O1719" t="s">
        <v>23</v>
      </c>
      <c r="P1719">
        <v>20220609</v>
      </c>
      <c r="Q1719">
        <v>20220525</v>
      </c>
    </row>
    <row r="1720" spans="1:17" x14ac:dyDescent="0.25">
      <c r="A1720" t="s">
        <v>476</v>
      </c>
      <c r="B1720" t="s">
        <v>477</v>
      </c>
      <c r="C1720">
        <v>68</v>
      </c>
      <c r="D1720">
        <v>20220525</v>
      </c>
      <c r="E1720">
        <f t="shared" si="26"/>
        <v>5</v>
      </c>
      <c r="F1720">
        <v>401000</v>
      </c>
      <c r="G1720" t="s">
        <v>41</v>
      </c>
      <c r="H1720" t="s">
        <v>838</v>
      </c>
      <c r="I1720" t="s">
        <v>839</v>
      </c>
      <c r="J1720" t="s">
        <v>2117</v>
      </c>
      <c r="K1720">
        <v>20220525</v>
      </c>
      <c r="L1720" t="s">
        <v>163</v>
      </c>
      <c r="M1720">
        <v>2016</v>
      </c>
      <c r="N1720">
        <v>0</v>
      </c>
      <c r="O1720" t="s">
        <v>23</v>
      </c>
      <c r="P1720">
        <v>20220609</v>
      </c>
      <c r="Q1720">
        <v>20220525</v>
      </c>
    </row>
    <row r="1721" spans="1:17" x14ac:dyDescent="0.25">
      <c r="A1721" t="s">
        <v>476</v>
      </c>
      <c r="B1721" t="s">
        <v>477</v>
      </c>
      <c r="C1721">
        <v>68</v>
      </c>
      <c r="D1721">
        <v>20220525</v>
      </c>
      <c r="E1721">
        <f t="shared" si="26"/>
        <v>5</v>
      </c>
      <c r="F1721">
        <v>401000</v>
      </c>
      <c r="G1721" t="s">
        <v>41</v>
      </c>
      <c r="H1721" t="s">
        <v>1637</v>
      </c>
      <c r="I1721" t="s">
        <v>1638</v>
      </c>
      <c r="J1721" t="s">
        <v>2117</v>
      </c>
      <c r="K1721">
        <v>20220525</v>
      </c>
      <c r="L1721" t="s">
        <v>163</v>
      </c>
      <c r="M1721">
        <v>20</v>
      </c>
      <c r="N1721">
        <v>0</v>
      </c>
      <c r="O1721" t="s">
        <v>23</v>
      </c>
      <c r="P1721">
        <v>20220609</v>
      </c>
      <c r="Q1721">
        <v>20220525</v>
      </c>
    </row>
    <row r="1722" spans="1:17" x14ac:dyDescent="0.25">
      <c r="A1722" t="s">
        <v>476</v>
      </c>
      <c r="B1722" t="s">
        <v>477</v>
      </c>
      <c r="C1722">
        <v>68</v>
      </c>
      <c r="D1722">
        <v>20220525</v>
      </c>
      <c r="E1722">
        <f t="shared" si="26"/>
        <v>5</v>
      </c>
      <c r="F1722">
        <v>401000</v>
      </c>
      <c r="G1722" t="s">
        <v>41</v>
      </c>
      <c r="H1722" t="s">
        <v>2057</v>
      </c>
      <c r="I1722" t="s">
        <v>2058</v>
      </c>
      <c r="J1722" t="s">
        <v>2117</v>
      </c>
      <c r="K1722">
        <v>20220525</v>
      </c>
      <c r="L1722" t="s">
        <v>163</v>
      </c>
      <c r="M1722">
        <v>300</v>
      </c>
      <c r="N1722">
        <v>0</v>
      </c>
      <c r="O1722" t="s">
        <v>23</v>
      </c>
      <c r="P1722">
        <v>20220609</v>
      </c>
      <c r="Q1722">
        <v>20220525</v>
      </c>
    </row>
    <row r="1723" spans="1:17" x14ac:dyDescent="0.25">
      <c r="A1723" t="s">
        <v>476</v>
      </c>
      <c r="B1723" t="s">
        <v>477</v>
      </c>
      <c r="C1723">
        <v>68</v>
      </c>
      <c r="D1723">
        <v>20220525</v>
      </c>
      <c r="E1723">
        <f t="shared" si="26"/>
        <v>5</v>
      </c>
      <c r="F1723">
        <v>467100</v>
      </c>
      <c r="G1723" t="s">
        <v>160</v>
      </c>
      <c r="H1723" t="s">
        <v>2118</v>
      </c>
      <c r="I1723" t="s">
        <v>2119</v>
      </c>
      <c r="J1723" t="s">
        <v>2117</v>
      </c>
      <c r="K1723">
        <v>20220525</v>
      </c>
      <c r="L1723" t="s">
        <v>163</v>
      </c>
      <c r="M1723">
        <v>85.88</v>
      </c>
      <c r="N1723">
        <v>0</v>
      </c>
      <c r="O1723" t="s">
        <v>23</v>
      </c>
      <c r="P1723">
        <v>20220609</v>
      </c>
      <c r="Q1723">
        <v>20220525</v>
      </c>
    </row>
    <row r="1724" spans="1:17" x14ac:dyDescent="0.25">
      <c r="A1724" t="s">
        <v>476</v>
      </c>
      <c r="B1724" t="s">
        <v>477</v>
      </c>
      <c r="C1724">
        <v>68</v>
      </c>
      <c r="D1724">
        <v>20220525</v>
      </c>
      <c r="E1724">
        <f t="shared" si="26"/>
        <v>5</v>
      </c>
      <c r="F1724">
        <v>512000</v>
      </c>
      <c r="G1724" t="s">
        <v>428</v>
      </c>
      <c r="H1724" t="s">
        <v>401</v>
      </c>
      <c r="I1724" t="s">
        <v>402</v>
      </c>
      <c r="J1724" t="s">
        <v>2117</v>
      </c>
      <c r="K1724">
        <v>20220525</v>
      </c>
      <c r="L1724" t="s">
        <v>163</v>
      </c>
      <c r="M1724">
        <v>0</v>
      </c>
      <c r="N1724">
        <v>19020.830000000002</v>
      </c>
      <c r="O1724" t="s">
        <v>19</v>
      </c>
      <c r="P1724" t="s">
        <v>20</v>
      </c>
      <c r="Q1724">
        <v>20220525</v>
      </c>
    </row>
    <row r="1725" spans="1:17" x14ac:dyDescent="0.25">
      <c r="A1725" t="s">
        <v>476</v>
      </c>
      <c r="B1725" t="s">
        <v>477</v>
      </c>
      <c r="C1725">
        <v>68</v>
      </c>
      <c r="D1725">
        <v>20220525</v>
      </c>
      <c r="E1725">
        <f t="shared" si="26"/>
        <v>5</v>
      </c>
      <c r="F1725">
        <v>421000</v>
      </c>
      <c r="G1725" t="s">
        <v>403</v>
      </c>
      <c r="H1725" t="s">
        <v>401</v>
      </c>
      <c r="I1725" t="s">
        <v>402</v>
      </c>
      <c r="J1725" t="s">
        <v>2120</v>
      </c>
      <c r="K1725">
        <v>20220525</v>
      </c>
      <c r="L1725" t="s">
        <v>2121</v>
      </c>
      <c r="M1725">
        <v>791.3</v>
      </c>
      <c r="N1725">
        <v>0</v>
      </c>
      <c r="O1725" t="s">
        <v>23</v>
      </c>
      <c r="P1725">
        <v>20220801</v>
      </c>
      <c r="Q1725">
        <v>20220525</v>
      </c>
    </row>
    <row r="1726" spans="1:17" x14ac:dyDescent="0.25">
      <c r="A1726" t="s">
        <v>476</v>
      </c>
      <c r="B1726" t="s">
        <v>477</v>
      </c>
      <c r="C1726">
        <v>68</v>
      </c>
      <c r="D1726">
        <v>20220525</v>
      </c>
      <c r="E1726">
        <f t="shared" si="26"/>
        <v>5</v>
      </c>
      <c r="F1726">
        <v>512000</v>
      </c>
      <c r="G1726" t="s">
        <v>428</v>
      </c>
      <c r="H1726" t="s">
        <v>401</v>
      </c>
      <c r="I1726" t="s">
        <v>402</v>
      </c>
      <c r="J1726" t="s">
        <v>2120</v>
      </c>
      <c r="K1726">
        <v>20220525</v>
      </c>
      <c r="L1726" t="s">
        <v>127</v>
      </c>
      <c r="M1726">
        <v>0</v>
      </c>
      <c r="N1726">
        <v>791.3</v>
      </c>
      <c r="O1726" t="s">
        <v>19</v>
      </c>
      <c r="P1726" t="s">
        <v>20</v>
      </c>
      <c r="Q1726">
        <v>20220525</v>
      </c>
    </row>
    <row r="1727" spans="1:17" x14ac:dyDescent="0.25">
      <c r="A1727" t="s">
        <v>476</v>
      </c>
      <c r="B1727" t="s">
        <v>477</v>
      </c>
      <c r="C1727">
        <v>68</v>
      </c>
      <c r="D1727">
        <v>20220525</v>
      </c>
      <c r="E1727">
        <f t="shared" si="26"/>
        <v>5</v>
      </c>
      <c r="F1727">
        <v>433100</v>
      </c>
      <c r="G1727" t="s">
        <v>411</v>
      </c>
      <c r="H1727" t="s">
        <v>401</v>
      </c>
      <c r="I1727" t="s">
        <v>402</v>
      </c>
      <c r="J1727" t="s">
        <v>2122</v>
      </c>
      <c r="K1727">
        <v>20220525</v>
      </c>
      <c r="L1727" t="s">
        <v>534</v>
      </c>
      <c r="M1727">
        <v>1348.6</v>
      </c>
      <c r="N1727">
        <v>0</v>
      </c>
      <c r="O1727" t="s">
        <v>23</v>
      </c>
      <c r="P1727">
        <v>20221005</v>
      </c>
      <c r="Q1727">
        <v>20220525</v>
      </c>
    </row>
    <row r="1728" spans="1:17" x14ac:dyDescent="0.25">
      <c r="A1728" t="s">
        <v>476</v>
      </c>
      <c r="B1728" t="s">
        <v>477</v>
      </c>
      <c r="C1728">
        <v>68</v>
      </c>
      <c r="D1728">
        <v>20220525</v>
      </c>
      <c r="E1728">
        <f t="shared" si="26"/>
        <v>5</v>
      </c>
      <c r="F1728">
        <v>512000</v>
      </c>
      <c r="G1728" t="s">
        <v>428</v>
      </c>
      <c r="H1728" t="s">
        <v>401</v>
      </c>
      <c r="I1728" t="s">
        <v>402</v>
      </c>
      <c r="J1728" t="s">
        <v>2122</v>
      </c>
      <c r="K1728">
        <v>20220525</v>
      </c>
      <c r="L1728" t="s">
        <v>534</v>
      </c>
      <c r="M1728">
        <v>0</v>
      </c>
      <c r="N1728">
        <v>1348.6</v>
      </c>
      <c r="O1728" t="s">
        <v>19</v>
      </c>
      <c r="P1728" t="s">
        <v>20</v>
      </c>
      <c r="Q1728">
        <v>20220525</v>
      </c>
    </row>
    <row r="1729" spans="1:17" x14ac:dyDescent="0.25">
      <c r="A1729" t="s">
        <v>476</v>
      </c>
      <c r="B1729" t="s">
        <v>477</v>
      </c>
      <c r="C1729">
        <v>68</v>
      </c>
      <c r="D1729">
        <v>20220525</v>
      </c>
      <c r="E1729">
        <f t="shared" si="26"/>
        <v>5</v>
      </c>
      <c r="F1729">
        <v>433000</v>
      </c>
      <c r="G1729" t="s">
        <v>410</v>
      </c>
      <c r="H1729" t="s">
        <v>401</v>
      </c>
      <c r="I1729" t="s">
        <v>402</v>
      </c>
      <c r="J1729" t="s">
        <v>2123</v>
      </c>
      <c r="K1729">
        <v>20220525</v>
      </c>
      <c r="L1729" t="s">
        <v>1722</v>
      </c>
      <c r="M1729">
        <v>5967.75</v>
      </c>
      <c r="N1729">
        <v>0</v>
      </c>
      <c r="O1729" t="s">
        <v>23</v>
      </c>
      <c r="P1729">
        <v>20221005</v>
      </c>
      <c r="Q1729">
        <v>20220525</v>
      </c>
    </row>
    <row r="1730" spans="1:17" x14ac:dyDescent="0.25">
      <c r="A1730" t="s">
        <v>476</v>
      </c>
      <c r="B1730" t="s">
        <v>477</v>
      </c>
      <c r="C1730">
        <v>68</v>
      </c>
      <c r="D1730">
        <v>20220525</v>
      </c>
      <c r="E1730">
        <f t="shared" si="26"/>
        <v>5</v>
      </c>
      <c r="F1730">
        <v>512000</v>
      </c>
      <c r="G1730" t="s">
        <v>428</v>
      </c>
      <c r="H1730" t="s">
        <v>401</v>
      </c>
      <c r="I1730" t="s">
        <v>402</v>
      </c>
      <c r="J1730" t="s">
        <v>2123</v>
      </c>
      <c r="K1730">
        <v>20220525</v>
      </c>
      <c r="L1730" t="s">
        <v>1722</v>
      </c>
      <c r="M1730">
        <v>0</v>
      </c>
      <c r="N1730">
        <v>5967.75</v>
      </c>
      <c r="O1730" t="s">
        <v>19</v>
      </c>
      <c r="P1730" t="s">
        <v>20</v>
      </c>
      <c r="Q1730">
        <v>20220525</v>
      </c>
    </row>
    <row r="1731" spans="1:17" x14ac:dyDescent="0.25">
      <c r="A1731" t="s">
        <v>476</v>
      </c>
      <c r="B1731" t="s">
        <v>477</v>
      </c>
      <c r="C1731">
        <v>68</v>
      </c>
      <c r="D1731">
        <v>20220526</v>
      </c>
      <c r="E1731">
        <f t="shared" ref="E1731:E1794" si="27">VALUE(MID(D1731,5,2))</f>
        <v>5</v>
      </c>
      <c r="F1731">
        <v>421000</v>
      </c>
      <c r="G1731" t="s">
        <v>403</v>
      </c>
      <c r="H1731" t="s">
        <v>401</v>
      </c>
      <c r="I1731" t="s">
        <v>402</v>
      </c>
      <c r="J1731" t="s">
        <v>2124</v>
      </c>
      <c r="K1731">
        <v>20220526</v>
      </c>
      <c r="L1731" t="s">
        <v>922</v>
      </c>
      <c r="M1731">
        <v>55008.97</v>
      </c>
      <c r="N1731">
        <v>0</v>
      </c>
      <c r="O1731" t="s">
        <v>23</v>
      </c>
      <c r="P1731">
        <v>20220801</v>
      </c>
      <c r="Q1731">
        <v>20220526</v>
      </c>
    </row>
    <row r="1732" spans="1:17" x14ac:dyDescent="0.25">
      <c r="A1732" t="s">
        <v>476</v>
      </c>
      <c r="B1732" t="s">
        <v>477</v>
      </c>
      <c r="C1732">
        <v>68</v>
      </c>
      <c r="D1732">
        <v>20220526</v>
      </c>
      <c r="E1732">
        <f t="shared" si="27"/>
        <v>5</v>
      </c>
      <c r="F1732">
        <v>512000</v>
      </c>
      <c r="G1732" t="s">
        <v>428</v>
      </c>
      <c r="H1732" t="s">
        <v>401</v>
      </c>
      <c r="I1732" t="s">
        <v>402</v>
      </c>
      <c r="J1732" t="s">
        <v>2124</v>
      </c>
      <c r="K1732">
        <v>20220526</v>
      </c>
      <c r="L1732" t="s">
        <v>922</v>
      </c>
      <c r="M1732">
        <v>0</v>
      </c>
      <c r="N1732">
        <v>55008.97</v>
      </c>
      <c r="O1732" t="s">
        <v>19</v>
      </c>
      <c r="P1732" t="s">
        <v>20</v>
      </c>
      <c r="Q1732">
        <v>20220526</v>
      </c>
    </row>
    <row r="1733" spans="1:17" x14ac:dyDescent="0.25">
      <c r="A1733" t="s">
        <v>476</v>
      </c>
      <c r="B1733" t="s">
        <v>477</v>
      </c>
      <c r="C1733">
        <v>68</v>
      </c>
      <c r="D1733">
        <v>20220531</v>
      </c>
      <c r="E1733">
        <f t="shared" si="27"/>
        <v>5</v>
      </c>
      <c r="F1733">
        <v>445051</v>
      </c>
      <c r="G1733" t="s">
        <v>417</v>
      </c>
      <c r="H1733" t="s">
        <v>401</v>
      </c>
      <c r="I1733" t="s">
        <v>402</v>
      </c>
      <c r="J1733" t="s">
        <v>2125</v>
      </c>
      <c r="K1733">
        <v>20220531</v>
      </c>
      <c r="L1733" t="s">
        <v>2126</v>
      </c>
      <c r="M1733">
        <v>0</v>
      </c>
      <c r="N1733">
        <v>2333.1999999999998</v>
      </c>
      <c r="O1733" t="s">
        <v>23</v>
      </c>
      <c r="P1733">
        <v>20221005</v>
      </c>
      <c r="Q1733">
        <v>20220531</v>
      </c>
    </row>
    <row r="1734" spans="1:17" x14ac:dyDescent="0.25">
      <c r="A1734" t="s">
        <v>476</v>
      </c>
      <c r="B1734" t="s">
        <v>477</v>
      </c>
      <c r="C1734">
        <v>68</v>
      </c>
      <c r="D1734">
        <v>20220531</v>
      </c>
      <c r="E1734">
        <f t="shared" si="27"/>
        <v>5</v>
      </c>
      <c r="F1734">
        <v>512000</v>
      </c>
      <c r="G1734" t="s">
        <v>428</v>
      </c>
      <c r="H1734" t="s">
        <v>401</v>
      </c>
      <c r="I1734" t="s">
        <v>402</v>
      </c>
      <c r="J1734" t="s">
        <v>2125</v>
      </c>
      <c r="K1734">
        <v>20220531</v>
      </c>
      <c r="L1734" t="s">
        <v>2126</v>
      </c>
      <c r="M1734">
        <v>2333.1999999999998</v>
      </c>
      <c r="N1734">
        <v>0</v>
      </c>
      <c r="O1734" t="s">
        <v>19</v>
      </c>
      <c r="P1734" t="s">
        <v>20</v>
      </c>
      <c r="Q1734">
        <v>20220531</v>
      </c>
    </row>
    <row r="1735" spans="1:17" x14ac:dyDescent="0.25">
      <c r="A1735" t="s">
        <v>476</v>
      </c>
      <c r="B1735" t="s">
        <v>477</v>
      </c>
      <c r="C1735">
        <v>68</v>
      </c>
      <c r="D1735">
        <v>20220531</v>
      </c>
      <c r="E1735">
        <f t="shared" si="27"/>
        <v>5</v>
      </c>
      <c r="F1735">
        <v>445051</v>
      </c>
      <c r="G1735" t="s">
        <v>417</v>
      </c>
      <c r="H1735" t="s">
        <v>401</v>
      </c>
      <c r="I1735" t="s">
        <v>402</v>
      </c>
      <c r="J1735" t="s">
        <v>2127</v>
      </c>
      <c r="K1735">
        <v>20220531</v>
      </c>
      <c r="L1735" t="s">
        <v>2128</v>
      </c>
      <c r="M1735">
        <v>0</v>
      </c>
      <c r="N1735">
        <v>2333.1999999999998</v>
      </c>
      <c r="O1735" t="s">
        <v>23</v>
      </c>
      <c r="P1735">
        <v>20221005</v>
      </c>
      <c r="Q1735">
        <v>20220531</v>
      </c>
    </row>
    <row r="1736" spans="1:17" x14ac:dyDescent="0.25">
      <c r="A1736" t="s">
        <v>476</v>
      </c>
      <c r="B1736" t="s">
        <v>477</v>
      </c>
      <c r="C1736">
        <v>68</v>
      </c>
      <c r="D1736">
        <v>20220531</v>
      </c>
      <c r="E1736">
        <f t="shared" si="27"/>
        <v>5</v>
      </c>
      <c r="F1736">
        <v>512000</v>
      </c>
      <c r="G1736" t="s">
        <v>428</v>
      </c>
      <c r="H1736" t="s">
        <v>401</v>
      </c>
      <c r="I1736" t="s">
        <v>402</v>
      </c>
      <c r="J1736" t="s">
        <v>2127</v>
      </c>
      <c r="K1736">
        <v>20220531</v>
      </c>
      <c r="L1736" t="s">
        <v>2128</v>
      </c>
      <c r="M1736">
        <v>2333.1999999999998</v>
      </c>
      <c r="N1736">
        <v>0</v>
      </c>
      <c r="O1736" t="s">
        <v>19</v>
      </c>
      <c r="P1736" t="s">
        <v>20</v>
      </c>
      <c r="Q1736">
        <v>20220531</v>
      </c>
    </row>
    <row r="1737" spans="1:17" x14ac:dyDescent="0.25">
      <c r="A1737" t="s">
        <v>476</v>
      </c>
      <c r="B1737" t="s">
        <v>477</v>
      </c>
      <c r="C1737">
        <v>68</v>
      </c>
      <c r="D1737">
        <v>20220531</v>
      </c>
      <c r="E1737">
        <f t="shared" si="27"/>
        <v>5</v>
      </c>
      <c r="F1737">
        <v>445050</v>
      </c>
      <c r="G1737" t="s">
        <v>416</v>
      </c>
      <c r="H1737" t="s">
        <v>401</v>
      </c>
      <c r="I1737" t="s">
        <v>402</v>
      </c>
      <c r="J1737" t="s">
        <v>2129</v>
      </c>
      <c r="K1737">
        <v>20220531</v>
      </c>
      <c r="L1737" t="s">
        <v>2130</v>
      </c>
      <c r="M1737">
        <v>0</v>
      </c>
      <c r="N1737">
        <v>6973.9</v>
      </c>
      <c r="O1737" t="s">
        <v>23</v>
      </c>
      <c r="P1737">
        <v>20220630</v>
      </c>
      <c r="Q1737">
        <v>20220531</v>
      </c>
    </row>
    <row r="1738" spans="1:17" x14ac:dyDescent="0.25">
      <c r="A1738" t="s">
        <v>476</v>
      </c>
      <c r="B1738" t="s">
        <v>477</v>
      </c>
      <c r="C1738">
        <v>68</v>
      </c>
      <c r="D1738">
        <v>20220531</v>
      </c>
      <c r="E1738">
        <f t="shared" si="27"/>
        <v>5</v>
      </c>
      <c r="F1738">
        <v>512000</v>
      </c>
      <c r="G1738" t="s">
        <v>428</v>
      </c>
      <c r="H1738" t="s">
        <v>401</v>
      </c>
      <c r="I1738" t="s">
        <v>402</v>
      </c>
      <c r="J1738" t="s">
        <v>2129</v>
      </c>
      <c r="K1738">
        <v>20220531</v>
      </c>
      <c r="L1738" t="s">
        <v>2130</v>
      </c>
      <c r="M1738">
        <v>6973.9</v>
      </c>
      <c r="N1738">
        <v>0</v>
      </c>
      <c r="O1738" t="s">
        <v>19</v>
      </c>
      <c r="P1738" t="s">
        <v>20</v>
      </c>
      <c r="Q1738">
        <v>20220531</v>
      </c>
    </row>
    <row r="1739" spans="1:17" x14ac:dyDescent="0.25">
      <c r="A1739" t="s">
        <v>476</v>
      </c>
      <c r="B1739" t="s">
        <v>477</v>
      </c>
      <c r="C1739">
        <v>68</v>
      </c>
      <c r="D1739">
        <v>20220531</v>
      </c>
      <c r="E1739">
        <f t="shared" si="27"/>
        <v>5</v>
      </c>
      <c r="F1739">
        <v>445050</v>
      </c>
      <c r="G1739" t="s">
        <v>416</v>
      </c>
      <c r="H1739" t="s">
        <v>401</v>
      </c>
      <c r="I1739" t="s">
        <v>402</v>
      </c>
      <c r="J1739" t="s">
        <v>2131</v>
      </c>
      <c r="K1739">
        <v>20220531</v>
      </c>
      <c r="L1739" t="s">
        <v>2132</v>
      </c>
      <c r="M1739">
        <v>0</v>
      </c>
      <c r="N1739">
        <v>6973.9</v>
      </c>
      <c r="O1739" t="s">
        <v>23</v>
      </c>
      <c r="P1739">
        <v>20220630</v>
      </c>
      <c r="Q1739">
        <v>20220531</v>
      </c>
    </row>
    <row r="1740" spans="1:17" x14ac:dyDescent="0.25">
      <c r="A1740" t="s">
        <v>476</v>
      </c>
      <c r="B1740" t="s">
        <v>477</v>
      </c>
      <c r="C1740">
        <v>68</v>
      </c>
      <c r="D1740">
        <v>20220531</v>
      </c>
      <c r="E1740">
        <f t="shared" si="27"/>
        <v>5</v>
      </c>
      <c r="F1740">
        <v>512000</v>
      </c>
      <c r="G1740" t="s">
        <v>428</v>
      </c>
      <c r="H1740" t="s">
        <v>401</v>
      </c>
      <c r="I1740" t="s">
        <v>402</v>
      </c>
      <c r="J1740" t="s">
        <v>2131</v>
      </c>
      <c r="K1740">
        <v>20220531</v>
      </c>
      <c r="L1740" t="s">
        <v>2132</v>
      </c>
      <c r="M1740">
        <v>6973.9</v>
      </c>
      <c r="N1740">
        <v>0</v>
      </c>
      <c r="O1740" t="s">
        <v>19</v>
      </c>
      <c r="P1740" t="s">
        <v>20</v>
      </c>
      <c r="Q1740">
        <v>20220531</v>
      </c>
    </row>
    <row r="1741" spans="1:17" x14ac:dyDescent="0.25">
      <c r="A1741" t="s">
        <v>548</v>
      </c>
      <c r="B1741" t="s">
        <v>429</v>
      </c>
      <c r="C1741">
        <v>69</v>
      </c>
      <c r="D1741">
        <v>20220502</v>
      </c>
      <c r="E1741">
        <f t="shared" si="27"/>
        <v>5</v>
      </c>
      <c r="F1741">
        <v>467100</v>
      </c>
      <c r="G1741" t="s">
        <v>160</v>
      </c>
      <c r="H1741" t="s">
        <v>668</v>
      </c>
      <c r="I1741" t="s">
        <v>669</v>
      </c>
      <c r="J1741" t="s">
        <v>2133</v>
      </c>
      <c r="K1741">
        <v>20220502</v>
      </c>
      <c r="L1741" t="s">
        <v>2134</v>
      </c>
      <c r="M1741">
        <v>200</v>
      </c>
      <c r="N1741">
        <v>0</v>
      </c>
      <c r="O1741" t="s">
        <v>23</v>
      </c>
      <c r="P1741">
        <v>20220524</v>
      </c>
      <c r="Q1741">
        <v>20220502</v>
      </c>
    </row>
    <row r="1742" spans="1:17" x14ac:dyDescent="0.25">
      <c r="A1742" t="s">
        <v>548</v>
      </c>
      <c r="B1742" t="s">
        <v>429</v>
      </c>
      <c r="C1742">
        <v>69</v>
      </c>
      <c r="D1742">
        <v>20220502</v>
      </c>
      <c r="E1742">
        <f t="shared" si="27"/>
        <v>5</v>
      </c>
      <c r="F1742">
        <v>531105</v>
      </c>
      <c r="G1742" t="s">
        <v>429</v>
      </c>
      <c r="H1742" t="s">
        <v>401</v>
      </c>
      <c r="I1742" t="s">
        <v>402</v>
      </c>
      <c r="J1742" t="s">
        <v>2133</v>
      </c>
      <c r="K1742">
        <v>20220502</v>
      </c>
      <c r="L1742" t="s">
        <v>2134</v>
      </c>
      <c r="M1742">
        <v>0</v>
      </c>
      <c r="N1742">
        <v>200</v>
      </c>
      <c r="O1742" t="s">
        <v>19</v>
      </c>
      <c r="P1742" t="s">
        <v>20</v>
      </c>
      <c r="Q1742">
        <v>20220502</v>
      </c>
    </row>
    <row r="1743" spans="1:17" x14ac:dyDescent="0.25">
      <c r="A1743" t="s">
        <v>548</v>
      </c>
      <c r="B1743" t="s">
        <v>429</v>
      </c>
      <c r="C1743">
        <v>69</v>
      </c>
      <c r="D1743">
        <v>20220503</v>
      </c>
      <c r="E1743">
        <f t="shared" si="27"/>
        <v>5</v>
      </c>
      <c r="F1743">
        <v>411100</v>
      </c>
      <c r="G1743" t="s">
        <v>18</v>
      </c>
      <c r="H1743" t="s">
        <v>194</v>
      </c>
      <c r="I1743" t="s">
        <v>195</v>
      </c>
      <c r="J1743">
        <v>339876</v>
      </c>
      <c r="K1743">
        <v>20220503</v>
      </c>
      <c r="L1743" t="s">
        <v>2135</v>
      </c>
      <c r="M1743">
        <v>0</v>
      </c>
      <c r="N1743">
        <v>12.2</v>
      </c>
      <c r="O1743" t="s">
        <v>22</v>
      </c>
      <c r="P1743">
        <v>20230218</v>
      </c>
      <c r="Q1743">
        <v>20220503</v>
      </c>
    </row>
    <row r="1744" spans="1:17" x14ac:dyDescent="0.25">
      <c r="A1744" t="s">
        <v>548</v>
      </c>
      <c r="B1744" t="s">
        <v>429</v>
      </c>
      <c r="C1744">
        <v>69</v>
      </c>
      <c r="D1744">
        <v>20220503</v>
      </c>
      <c r="E1744">
        <f t="shared" si="27"/>
        <v>5</v>
      </c>
      <c r="F1744">
        <v>531105</v>
      </c>
      <c r="G1744" t="s">
        <v>429</v>
      </c>
      <c r="H1744" t="s">
        <v>401</v>
      </c>
      <c r="I1744" t="s">
        <v>402</v>
      </c>
      <c r="J1744">
        <v>339877</v>
      </c>
      <c r="K1744">
        <v>20220503</v>
      </c>
      <c r="L1744" t="s">
        <v>565</v>
      </c>
      <c r="M1744">
        <v>12.2</v>
      </c>
      <c r="N1744">
        <v>0</v>
      </c>
      <c r="O1744" t="s">
        <v>19</v>
      </c>
      <c r="P1744" t="s">
        <v>20</v>
      </c>
      <c r="Q1744">
        <v>20220503</v>
      </c>
    </row>
    <row r="1745" spans="1:17" x14ac:dyDescent="0.25">
      <c r="A1745" t="s">
        <v>548</v>
      </c>
      <c r="B1745" t="s">
        <v>429</v>
      </c>
      <c r="C1745">
        <v>69</v>
      </c>
      <c r="D1745">
        <v>20220504</v>
      </c>
      <c r="E1745">
        <f t="shared" si="27"/>
        <v>5</v>
      </c>
      <c r="F1745">
        <v>411100</v>
      </c>
      <c r="G1745" t="s">
        <v>18</v>
      </c>
      <c r="H1745" t="s">
        <v>344</v>
      </c>
      <c r="I1745" t="s">
        <v>345</v>
      </c>
      <c r="J1745">
        <v>339878</v>
      </c>
      <c r="K1745">
        <v>20220504</v>
      </c>
      <c r="L1745" t="s">
        <v>2136</v>
      </c>
      <c r="M1745">
        <v>0</v>
      </c>
      <c r="N1745">
        <v>4</v>
      </c>
      <c r="O1745" t="s">
        <v>19</v>
      </c>
      <c r="P1745" t="s">
        <v>20</v>
      </c>
      <c r="Q1745">
        <v>20220504</v>
      </c>
    </row>
    <row r="1746" spans="1:17" x14ac:dyDescent="0.25">
      <c r="A1746" t="s">
        <v>548</v>
      </c>
      <c r="B1746" t="s">
        <v>429</v>
      </c>
      <c r="C1746">
        <v>69</v>
      </c>
      <c r="D1746">
        <v>20220504</v>
      </c>
      <c r="E1746">
        <f t="shared" si="27"/>
        <v>5</v>
      </c>
      <c r="F1746">
        <v>411100</v>
      </c>
      <c r="G1746" t="s">
        <v>18</v>
      </c>
      <c r="H1746" t="s">
        <v>800</v>
      </c>
      <c r="I1746" t="s">
        <v>801</v>
      </c>
      <c r="J1746">
        <v>339879</v>
      </c>
      <c r="K1746">
        <v>20220504</v>
      </c>
      <c r="L1746" t="s">
        <v>2137</v>
      </c>
      <c r="M1746">
        <v>0</v>
      </c>
      <c r="N1746">
        <v>5.5</v>
      </c>
      <c r="O1746" t="s">
        <v>19</v>
      </c>
      <c r="P1746" t="s">
        <v>20</v>
      </c>
      <c r="Q1746">
        <v>20220504</v>
      </c>
    </row>
    <row r="1747" spans="1:17" x14ac:dyDescent="0.25">
      <c r="A1747" t="s">
        <v>548</v>
      </c>
      <c r="B1747" t="s">
        <v>429</v>
      </c>
      <c r="C1747">
        <v>69</v>
      </c>
      <c r="D1747">
        <v>20220504</v>
      </c>
      <c r="E1747">
        <f t="shared" si="27"/>
        <v>5</v>
      </c>
      <c r="F1747">
        <v>411100</v>
      </c>
      <c r="G1747" t="s">
        <v>18</v>
      </c>
      <c r="H1747" t="s">
        <v>237</v>
      </c>
      <c r="I1747" t="s">
        <v>238</v>
      </c>
      <c r="J1747">
        <v>339880</v>
      </c>
      <c r="K1747">
        <v>20220504</v>
      </c>
      <c r="L1747" t="s">
        <v>2138</v>
      </c>
      <c r="M1747">
        <v>0</v>
      </c>
      <c r="N1747">
        <v>4</v>
      </c>
      <c r="O1747" t="s">
        <v>19</v>
      </c>
      <c r="P1747" t="s">
        <v>20</v>
      </c>
      <c r="Q1747">
        <v>20220504</v>
      </c>
    </row>
    <row r="1748" spans="1:17" x14ac:dyDescent="0.25">
      <c r="A1748" t="s">
        <v>548</v>
      </c>
      <c r="B1748" t="s">
        <v>429</v>
      </c>
      <c r="C1748">
        <v>69</v>
      </c>
      <c r="D1748">
        <v>20220504</v>
      </c>
      <c r="E1748">
        <f t="shared" si="27"/>
        <v>5</v>
      </c>
      <c r="F1748">
        <v>411100</v>
      </c>
      <c r="G1748" t="s">
        <v>18</v>
      </c>
      <c r="H1748" t="s">
        <v>154</v>
      </c>
      <c r="I1748" t="s">
        <v>155</v>
      </c>
      <c r="J1748">
        <v>339881</v>
      </c>
      <c r="K1748">
        <v>20220504</v>
      </c>
      <c r="L1748" t="s">
        <v>2139</v>
      </c>
      <c r="M1748">
        <v>0</v>
      </c>
      <c r="N1748">
        <v>8</v>
      </c>
      <c r="O1748" t="s">
        <v>19</v>
      </c>
      <c r="P1748" t="s">
        <v>20</v>
      </c>
      <c r="Q1748">
        <v>20220504</v>
      </c>
    </row>
    <row r="1749" spans="1:17" x14ac:dyDescent="0.25">
      <c r="A1749" t="s">
        <v>548</v>
      </c>
      <c r="B1749" t="s">
        <v>429</v>
      </c>
      <c r="C1749">
        <v>69</v>
      </c>
      <c r="D1749">
        <v>20220504</v>
      </c>
      <c r="E1749">
        <f t="shared" si="27"/>
        <v>5</v>
      </c>
      <c r="F1749">
        <v>411100</v>
      </c>
      <c r="G1749" t="s">
        <v>18</v>
      </c>
      <c r="H1749" t="s">
        <v>660</v>
      </c>
      <c r="I1749" t="s">
        <v>661</v>
      </c>
      <c r="J1749">
        <v>339882</v>
      </c>
      <c r="K1749">
        <v>20220504</v>
      </c>
      <c r="L1749" t="s">
        <v>2140</v>
      </c>
      <c r="M1749">
        <v>0</v>
      </c>
      <c r="N1749">
        <v>8</v>
      </c>
      <c r="O1749" t="s">
        <v>19</v>
      </c>
      <c r="P1749" t="s">
        <v>20</v>
      </c>
      <c r="Q1749">
        <v>20220504</v>
      </c>
    </row>
    <row r="1750" spans="1:17" x14ac:dyDescent="0.25">
      <c r="A1750" t="s">
        <v>548</v>
      </c>
      <c r="B1750" t="s">
        <v>429</v>
      </c>
      <c r="C1750">
        <v>69</v>
      </c>
      <c r="D1750">
        <v>20220504</v>
      </c>
      <c r="E1750">
        <f t="shared" si="27"/>
        <v>5</v>
      </c>
      <c r="F1750">
        <v>411100</v>
      </c>
      <c r="G1750" t="s">
        <v>18</v>
      </c>
      <c r="H1750" t="s">
        <v>105</v>
      </c>
      <c r="I1750" t="s">
        <v>106</v>
      </c>
      <c r="J1750">
        <v>339883</v>
      </c>
      <c r="K1750">
        <v>20220504</v>
      </c>
      <c r="L1750" t="s">
        <v>2141</v>
      </c>
      <c r="M1750">
        <v>0</v>
      </c>
      <c r="N1750">
        <v>8</v>
      </c>
      <c r="O1750" t="s">
        <v>19</v>
      </c>
      <c r="P1750" t="s">
        <v>20</v>
      </c>
      <c r="Q1750">
        <v>20220504</v>
      </c>
    </row>
    <row r="1751" spans="1:17" x14ac:dyDescent="0.25">
      <c r="A1751" t="s">
        <v>548</v>
      </c>
      <c r="B1751" t="s">
        <v>429</v>
      </c>
      <c r="C1751">
        <v>69</v>
      </c>
      <c r="D1751">
        <v>20220504</v>
      </c>
      <c r="E1751">
        <f t="shared" si="27"/>
        <v>5</v>
      </c>
      <c r="F1751">
        <v>411100</v>
      </c>
      <c r="G1751" t="s">
        <v>18</v>
      </c>
      <c r="H1751" t="s">
        <v>657</v>
      </c>
      <c r="I1751" t="s">
        <v>658</v>
      </c>
      <c r="J1751">
        <v>339884</v>
      </c>
      <c r="K1751">
        <v>20220504</v>
      </c>
      <c r="L1751" t="s">
        <v>2142</v>
      </c>
      <c r="M1751">
        <v>0</v>
      </c>
      <c r="N1751">
        <v>4</v>
      </c>
      <c r="O1751" t="s">
        <v>19</v>
      </c>
      <c r="P1751" t="s">
        <v>20</v>
      </c>
      <c r="Q1751">
        <v>20220504</v>
      </c>
    </row>
    <row r="1752" spans="1:17" x14ac:dyDescent="0.25">
      <c r="A1752" t="s">
        <v>548</v>
      </c>
      <c r="B1752" t="s">
        <v>429</v>
      </c>
      <c r="C1752">
        <v>69</v>
      </c>
      <c r="D1752">
        <v>20220504</v>
      </c>
      <c r="E1752">
        <f t="shared" si="27"/>
        <v>5</v>
      </c>
      <c r="F1752">
        <v>411100</v>
      </c>
      <c r="G1752" t="s">
        <v>18</v>
      </c>
      <c r="H1752" t="s">
        <v>259</v>
      </c>
      <c r="I1752" t="s">
        <v>260</v>
      </c>
      <c r="J1752">
        <v>339885</v>
      </c>
      <c r="K1752">
        <v>20220504</v>
      </c>
      <c r="L1752" t="s">
        <v>2143</v>
      </c>
      <c r="M1752">
        <v>0</v>
      </c>
      <c r="N1752">
        <v>4</v>
      </c>
      <c r="O1752" t="s">
        <v>23</v>
      </c>
      <c r="P1752">
        <v>20230218</v>
      </c>
      <c r="Q1752">
        <v>20220504</v>
      </c>
    </row>
    <row r="1753" spans="1:17" x14ac:dyDescent="0.25">
      <c r="A1753" t="s">
        <v>548</v>
      </c>
      <c r="B1753" t="s">
        <v>429</v>
      </c>
      <c r="C1753">
        <v>69</v>
      </c>
      <c r="D1753">
        <v>20220504</v>
      </c>
      <c r="E1753">
        <f t="shared" si="27"/>
        <v>5</v>
      </c>
      <c r="F1753">
        <v>411100</v>
      </c>
      <c r="G1753" t="s">
        <v>18</v>
      </c>
      <c r="H1753" t="s">
        <v>81</v>
      </c>
      <c r="I1753" t="s">
        <v>82</v>
      </c>
      <c r="J1753">
        <v>339886</v>
      </c>
      <c r="K1753">
        <v>20220504</v>
      </c>
      <c r="L1753" t="s">
        <v>2144</v>
      </c>
      <c r="M1753">
        <v>0</v>
      </c>
      <c r="N1753">
        <v>4</v>
      </c>
      <c r="O1753" t="s">
        <v>19</v>
      </c>
      <c r="P1753" t="s">
        <v>20</v>
      </c>
      <c r="Q1753">
        <v>20220504</v>
      </c>
    </row>
    <row r="1754" spans="1:17" x14ac:dyDescent="0.25">
      <c r="A1754" t="s">
        <v>548</v>
      </c>
      <c r="B1754" t="s">
        <v>429</v>
      </c>
      <c r="C1754">
        <v>69</v>
      </c>
      <c r="D1754">
        <v>20220504</v>
      </c>
      <c r="E1754">
        <f t="shared" si="27"/>
        <v>5</v>
      </c>
      <c r="F1754">
        <v>411100</v>
      </c>
      <c r="G1754" t="s">
        <v>18</v>
      </c>
      <c r="H1754" t="s">
        <v>1911</v>
      </c>
      <c r="I1754" t="s">
        <v>1912</v>
      </c>
      <c r="J1754">
        <v>339887</v>
      </c>
      <c r="K1754">
        <v>20220504</v>
      </c>
      <c r="L1754" t="s">
        <v>2145</v>
      </c>
      <c r="M1754">
        <v>0</v>
      </c>
      <c r="N1754">
        <v>4</v>
      </c>
      <c r="O1754" t="s">
        <v>19</v>
      </c>
      <c r="P1754" t="s">
        <v>20</v>
      </c>
      <c r="Q1754">
        <v>20220504</v>
      </c>
    </row>
    <row r="1755" spans="1:17" x14ac:dyDescent="0.25">
      <c r="A1755" t="s">
        <v>548</v>
      </c>
      <c r="B1755" t="s">
        <v>429</v>
      </c>
      <c r="C1755">
        <v>69</v>
      </c>
      <c r="D1755">
        <v>20220504</v>
      </c>
      <c r="E1755">
        <f t="shared" si="27"/>
        <v>5</v>
      </c>
      <c r="F1755">
        <v>411100</v>
      </c>
      <c r="G1755" t="s">
        <v>18</v>
      </c>
      <c r="H1755" t="s">
        <v>217</v>
      </c>
      <c r="I1755" t="s">
        <v>218</v>
      </c>
      <c r="J1755">
        <v>339888</v>
      </c>
      <c r="K1755">
        <v>20220504</v>
      </c>
      <c r="L1755" t="s">
        <v>2146</v>
      </c>
      <c r="M1755">
        <v>0</v>
      </c>
      <c r="N1755">
        <v>4</v>
      </c>
      <c r="O1755" t="s">
        <v>19</v>
      </c>
      <c r="P1755" t="s">
        <v>20</v>
      </c>
      <c r="Q1755">
        <v>20220504</v>
      </c>
    </row>
    <row r="1756" spans="1:17" x14ac:dyDescent="0.25">
      <c r="A1756" t="s">
        <v>548</v>
      </c>
      <c r="B1756" t="s">
        <v>429</v>
      </c>
      <c r="C1756">
        <v>69</v>
      </c>
      <c r="D1756">
        <v>20220504</v>
      </c>
      <c r="E1756">
        <f t="shared" si="27"/>
        <v>5</v>
      </c>
      <c r="F1756">
        <v>411100</v>
      </c>
      <c r="G1756" t="s">
        <v>18</v>
      </c>
      <c r="H1756" t="s">
        <v>1062</v>
      </c>
      <c r="I1756" t="s">
        <v>1063</v>
      </c>
      <c r="J1756">
        <v>339889</v>
      </c>
      <c r="K1756">
        <v>20220504</v>
      </c>
      <c r="L1756" t="s">
        <v>2147</v>
      </c>
      <c r="M1756">
        <v>0</v>
      </c>
      <c r="N1756">
        <v>4</v>
      </c>
      <c r="O1756" t="s">
        <v>22</v>
      </c>
      <c r="P1756">
        <v>20230218</v>
      </c>
      <c r="Q1756">
        <v>20220504</v>
      </c>
    </row>
    <row r="1757" spans="1:17" x14ac:dyDescent="0.25">
      <c r="A1757" t="s">
        <v>548</v>
      </c>
      <c r="B1757" t="s">
        <v>429</v>
      </c>
      <c r="C1757">
        <v>69</v>
      </c>
      <c r="D1757">
        <v>20220504</v>
      </c>
      <c r="E1757">
        <f t="shared" si="27"/>
        <v>5</v>
      </c>
      <c r="F1757">
        <v>411100</v>
      </c>
      <c r="G1757" t="s">
        <v>18</v>
      </c>
      <c r="H1757" t="s">
        <v>85</v>
      </c>
      <c r="I1757" t="s">
        <v>86</v>
      </c>
      <c r="J1757">
        <v>339890</v>
      </c>
      <c r="K1757">
        <v>20220504</v>
      </c>
      <c r="L1757" t="s">
        <v>2148</v>
      </c>
      <c r="M1757">
        <v>0</v>
      </c>
      <c r="N1757">
        <v>4</v>
      </c>
      <c r="O1757" t="s">
        <v>23</v>
      </c>
      <c r="P1757">
        <v>20230218</v>
      </c>
      <c r="Q1757">
        <v>20220504</v>
      </c>
    </row>
    <row r="1758" spans="1:17" x14ac:dyDescent="0.25">
      <c r="A1758" t="s">
        <v>548</v>
      </c>
      <c r="B1758" t="s">
        <v>429</v>
      </c>
      <c r="C1758">
        <v>69</v>
      </c>
      <c r="D1758">
        <v>20220504</v>
      </c>
      <c r="E1758">
        <f t="shared" si="27"/>
        <v>5</v>
      </c>
      <c r="F1758">
        <v>411100</v>
      </c>
      <c r="G1758" t="s">
        <v>18</v>
      </c>
      <c r="H1758" t="s">
        <v>65</v>
      </c>
      <c r="I1758" t="s">
        <v>66</v>
      </c>
      <c r="J1758">
        <v>339891</v>
      </c>
      <c r="K1758">
        <v>20220504</v>
      </c>
      <c r="L1758" t="s">
        <v>2149</v>
      </c>
      <c r="M1758">
        <v>0</v>
      </c>
      <c r="N1758">
        <v>2</v>
      </c>
      <c r="O1758" t="s">
        <v>19</v>
      </c>
      <c r="P1758" t="s">
        <v>20</v>
      </c>
      <c r="Q1758">
        <v>20220504</v>
      </c>
    </row>
    <row r="1759" spans="1:17" x14ac:dyDescent="0.25">
      <c r="A1759" t="s">
        <v>548</v>
      </c>
      <c r="B1759" t="s">
        <v>429</v>
      </c>
      <c r="C1759">
        <v>69</v>
      </c>
      <c r="D1759">
        <v>20220504</v>
      </c>
      <c r="E1759">
        <f t="shared" si="27"/>
        <v>5</v>
      </c>
      <c r="F1759">
        <v>411100</v>
      </c>
      <c r="G1759" t="s">
        <v>18</v>
      </c>
      <c r="H1759" t="s">
        <v>1959</v>
      </c>
      <c r="I1759" t="s">
        <v>1960</v>
      </c>
      <c r="J1759">
        <v>339892</v>
      </c>
      <c r="K1759">
        <v>20220504</v>
      </c>
      <c r="L1759" t="s">
        <v>2150</v>
      </c>
      <c r="M1759">
        <v>0</v>
      </c>
      <c r="N1759">
        <v>2</v>
      </c>
      <c r="O1759" t="s">
        <v>19</v>
      </c>
      <c r="P1759" t="s">
        <v>20</v>
      </c>
      <c r="Q1759">
        <v>20220504</v>
      </c>
    </row>
    <row r="1760" spans="1:17" x14ac:dyDescent="0.25">
      <c r="A1760" t="s">
        <v>548</v>
      </c>
      <c r="B1760" t="s">
        <v>429</v>
      </c>
      <c r="C1760">
        <v>69</v>
      </c>
      <c r="D1760">
        <v>20220504</v>
      </c>
      <c r="E1760">
        <f t="shared" si="27"/>
        <v>5</v>
      </c>
      <c r="F1760">
        <v>411100</v>
      </c>
      <c r="G1760" t="s">
        <v>18</v>
      </c>
      <c r="H1760" t="s">
        <v>105</v>
      </c>
      <c r="I1760" t="s">
        <v>106</v>
      </c>
      <c r="J1760">
        <v>339893</v>
      </c>
      <c r="K1760">
        <v>20220504</v>
      </c>
      <c r="L1760" t="s">
        <v>2151</v>
      </c>
      <c r="M1760">
        <v>0</v>
      </c>
      <c r="N1760">
        <v>2</v>
      </c>
      <c r="O1760" t="s">
        <v>19</v>
      </c>
      <c r="P1760" t="s">
        <v>20</v>
      </c>
      <c r="Q1760">
        <v>20220504</v>
      </c>
    </row>
    <row r="1761" spans="1:17" x14ac:dyDescent="0.25">
      <c r="A1761" t="s">
        <v>548</v>
      </c>
      <c r="B1761" t="s">
        <v>429</v>
      </c>
      <c r="C1761">
        <v>69</v>
      </c>
      <c r="D1761">
        <v>20220504</v>
      </c>
      <c r="E1761">
        <f t="shared" si="27"/>
        <v>5</v>
      </c>
      <c r="F1761">
        <v>411100</v>
      </c>
      <c r="G1761" t="s">
        <v>18</v>
      </c>
      <c r="H1761" t="s">
        <v>1848</v>
      </c>
      <c r="I1761" t="s">
        <v>1849</v>
      </c>
      <c r="J1761">
        <v>339894</v>
      </c>
      <c r="K1761">
        <v>20220504</v>
      </c>
      <c r="L1761" t="s">
        <v>2152</v>
      </c>
      <c r="M1761">
        <v>0</v>
      </c>
      <c r="N1761">
        <v>2</v>
      </c>
      <c r="O1761" t="s">
        <v>22</v>
      </c>
      <c r="P1761">
        <v>20230218</v>
      </c>
      <c r="Q1761">
        <v>20220504</v>
      </c>
    </row>
    <row r="1762" spans="1:17" x14ac:dyDescent="0.25">
      <c r="A1762" t="s">
        <v>548</v>
      </c>
      <c r="B1762" t="s">
        <v>429</v>
      </c>
      <c r="C1762">
        <v>69</v>
      </c>
      <c r="D1762">
        <v>20220504</v>
      </c>
      <c r="E1762">
        <f t="shared" si="27"/>
        <v>5</v>
      </c>
      <c r="F1762">
        <v>411100</v>
      </c>
      <c r="G1762" t="s">
        <v>18</v>
      </c>
      <c r="H1762" t="s">
        <v>1848</v>
      </c>
      <c r="I1762" t="s">
        <v>1849</v>
      </c>
      <c r="J1762">
        <v>339895</v>
      </c>
      <c r="K1762">
        <v>20220504</v>
      </c>
      <c r="L1762" t="s">
        <v>2153</v>
      </c>
      <c r="M1762">
        <v>0</v>
      </c>
      <c r="N1762">
        <v>1.5</v>
      </c>
      <c r="O1762" t="s">
        <v>22</v>
      </c>
      <c r="P1762">
        <v>20230218</v>
      </c>
      <c r="Q1762">
        <v>20220504</v>
      </c>
    </row>
    <row r="1763" spans="1:17" x14ac:dyDescent="0.25">
      <c r="A1763" t="s">
        <v>548</v>
      </c>
      <c r="B1763" t="s">
        <v>429</v>
      </c>
      <c r="C1763">
        <v>69</v>
      </c>
      <c r="D1763">
        <v>20220504</v>
      </c>
      <c r="E1763">
        <f t="shared" si="27"/>
        <v>5</v>
      </c>
      <c r="F1763">
        <v>411100</v>
      </c>
      <c r="G1763" t="s">
        <v>18</v>
      </c>
      <c r="H1763" t="s">
        <v>263</v>
      </c>
      <c r="I1763" t="s">
        <v>264</v>
      </c>
      <c r="J1763">
        <v>339896</v>
      </c>
      <c r="K1763">
        <v>20220504</v>
      </c>
      <c r="L1763" t="s">
        <v>2154</v>
      </c>
      <c r="M1763">
        <v>0</v>
      </c>
      <c r="N1763">
        <v>1.5</v>
      </c>
      <c r="O1763" t="s">
        <v>19</v>
      </c>
      <c r="P1763" t="s">
        <v>20</v>
      </c>
      <c r="Q1763">
        <v>20220504</v>
      </c>
    </row>
    <row r="1764" spans="1:17" x14ac:dyDescent="0.25">
      <c r="A1764" t="s">
        <v>548</v>
      </c>
      <c r="B1764" t="s">
        <v>429</v>
      </c>
      <c r="C1764">
        <v>69</v>
      </c>
      <c r="D1764">
        <v>20220504</v>
      </c>
      <c r="E1764">
        <f t="shared" si="27"/>
        <v>5</v>
      </c>
      <c r="F1764">
        <v>531105</v>
      </c>
      <c r="G1764" t="s">
        <v>429</v>
      </c>
      <c r="H1764" t="s">
        <v>401</v>
      </c>
      <c r="I1764" t="s">
        <v>402</v>
      </c>
      <c r="J1764">
        <v>339897</v>
      </c>
      <c r="K1764">
        <v>20220504</v>
      </c>
      <c r="L1764" t="s">
        <v>565</v>
      </c>
      <c r="M1764">
        <v>76.5</v>
      </c>
      <c r="N1764">
        <v>0</v>
      </c>
      <c r="O1764" t="s">
        <v>19</v>
      </c>
      <c r="P1764" t="s">
        <v>20</v>
      </c>
      <c r="Q1764">
        <v>20220504</v>
      </c>
    </row>
    <row r="1765" spans="1:17" x14ac:dyDescent="0.25">
      <c r="A1765" t="s">
        <v>548</v>
      </c>
      <c r="B1765" t="s">
        <v>429</v>
      </c>
      <c r="C1765">
        <v>69</v>
      </c>
      <c r="D1765">
        <v>20220505</v>
      </c>
      <c r="E1765">
        <f t="shared" si="27"/>
        <v>5</v>
      </c>
      <c r="F1765">
        <v>580000</v>
      </c>
      <c r="G1765" t="s">
        <v>532</v>
      </c>
      <c r="H1765" t="s">
        <v>401</v>
      </c>
      <c r="I1765" t="s">
        <v>402</v>
      </c>
      <c r="J1765" t="s">
        <v>2155</v>
      </c>
      <c r="K1765">
        <v>20220505</v>
      </c>
      <c r="L1765" t="s">
        <v>625</v>
      </c>
      <c r="M1765">
        <v>1946</v>
      </c>
      <c r="N1765">
        <v>0</v>
      </c>
      <c r="O1765" t="s">
        <v>22</v>
      </c>
      <c r="P1765">
        <v>20220505</v>
      </c>
      <c r="Q1765">
        <v>20220505</v>
      </c>
    </row>
    <row r="1766" spans="1:17" x14ac:dyDescent="0.25">
      <c r="A1766" t="s">
        <v>548</v>
      </c>
      <c r="B1766" t="s">
        <v>429</v>
      </c>
      <c r="C1766">
        <v>69</v>
      </c>
      <c r="D1766">
        <v>20220505</v>
      </c>
      <c r="E1766">
        <f t="shared" si="27"/>
        <v>5</v>
      </c>
      <c r="F1766">
        <v>531105</v>
      </c>
      <c r="G1766" t="s">
        <v>429</v>
      </c>
      <c r="H1766" t="s">
        <v>401</v>
      </c>
      <c r="I1766" t="s">
        <v>402</v>
      </c>
      <c r="J1766" t="s">
        <v>2155</v>
      </c>
      <c r="K1766">
        <v>20220505</v>
      </c>
      <c r="L1766" t="s">
        <v>625</v>
      </c>
      <c r="M1766">
        <v>0</v>
      </c>
      <c r="N1766">
        <v>1946</v>
      </c>
      <c r="O1766" t="s">
        <v>19</v>
      </c>
      <c r="P1766" t="s">
        <v>20</v>
      </c>
      <c r="Q1766">
        <v>20220505</v>
      </c>
    </row>
    <row r="1767" spans="1:17" x14ac:dyDescent="0.25">
      <c r="A1767" t="s">
        <v>548</v>
      </c>
      <c r="B1767" t="s">
        <v>429</v>
      </c>
      <c r="C1767">
        <v>69</v>
      </c>
      <c r="D1767">
        <v>20220505</v>
      </c>
      <c r="E1767">
        <f t="shared" si="27"/>
        <v>5</v>
      </c>
      <c r="F1767">
        <v>467100</v>
      </c>
      <c r="G1767" t="s">
        <v>160</v>
      </c>
      <c r="H1767" t="s">
        <v>668</v>
      </c>
      <c r="I1767" t="s">
        <v>669</v>
      </c>
      <c r="J1767" t="s">
        <v>2156</v>
      </c>
      <c r="K1767">
        <v>20220505</v>
      </c>
      <c r="L1767" t="s">
        <v>2157</v>
      </c>
      <c r="M1767">
        <v>19</v>
      </c>
      <c r="N1767">
        <v>0</v>
      </c>
      <c r="O1767" t="s">
        <v>23</v>
      </c>
      <c r="P1767">
        <v>20220525</v>
      </c>
      <c r="Q1767">
        <v>20220505</v>
      </c>
    </row>
    <row r="1768" spans="1:17" x14ac:dyDescent="0.25">
      <c r="A1768" t="s">
        <v>548</v>
      </c>
      <c r="B1768" t="s">
        <v>429</v>
      </c>
      <c r="C1768">
        <v>69</v>
      </c>
      <c r="D1768">
        <v>20220505</v>
      </c>
      <c r="E1768">
        <f t="shared" si="27"/>
        <v>5</v>
      </c>
      <c r="F1768">
        <v>531105</v>
      </c>
      <c r="G1768" t="s">
        <v>429</v>
      </c>
      <c r="H1768" t="s">
        <v>401</v>
      </c>
      <c r="I1768" t="s">
        <v>402</v>
      </c>
      <c r="J1768" t="s">
        <v>2156</v>
      </c>
      <c r="K1768">
        <v>20220505</v>
      </c>
      <c r="L1768" t="s">
        <v>2157</v>
      </c>
      <c r="M1768">
        <v>0</v>
      </c>
      <c r="N1768">
        <v>19</v>
      </c>
      <c r="O1768" t="s">
        <v>19</v>
      </c>
      <c r="P1768" t="s">
        <v>20</v>
      </c>
      <c r="Q1768">
        <v>20220505</v>
      </c>
    </row>
    <row r="1769" spans="1:17" x14ac:dyDescent="0.25">
      <c r="A1769" t="s">
        <v>548</v>
      </c>
      <c r="B1769" t="s">
        <v>429</v>
      </c>
      <c r="C1769">
        <v>69</v>
      </c>
      <c r="D1769">
        <v>20220505</v>
      </c>
      <c r="E1769">
        <f t="shared" si="27"/>
        <v>5</v>
      </c>
      <c r="F1769">
        <v>467100</v>
      </c>
      <c r="G1769" t="s">
        <v>160</v>
      </c>
      <c r="H1769" t="s">
        <v>668</v>
      </c>
      <c r="I1769" t="s">
        <v>669</v>
      </c>
      <c r="J1769" t="s">
        <v>2158</v>
      </c>
      <c r="K1769">
        <v>20220505</v>
      </c>
      <c r="L1769" t="s">
        <v>2159</v>
      </c>
      <c r="M1769">
        <v>0</v>
      </c>
      <c r="N1769">
        <v>16.760000000000002</v>
      </c>
      <c r="O1769" t="s">
        <v>23</v>
      </c>
      <c r="P1769">
        <v>20220524</v>
      </c>
      <c r="Q1769">
        <v>20220505</v>
      </c>
    </row>
    <row r="1770" spans="1:17" x14ac:dyDescent="0.25">
      <c r="A1770" t="s">
        <v>548</v>
      </c>
      <c r="B1770" t="s">
        <v>429</v>
      </c>
      <c r="C1770">
        <v>69</v>
      </c>
      <c r="D1770">
        <v>20220505</v>
      </c>
      <c r="E1770">
        <f t="shared" si="27"/>
        <v>5</v>
      </c>
      <c r="F1770">
        <v>531105</v>
      </c>
      <c r="G1770" t="s">
        <v>429</v>
      </c>
      <c r="H1770" t="s">
        <v>401</v>
      </c>
      <c r="I1770" t="s">
        <v>402</v>
      </c>
      <c r="J1770" t="s">
        <v>2158</v>
      </c>
      <c r="K1770">
        <v>20220505</v>
      </c>
      <c r="L1770" t="s">
        <v>2159</v>
      </c>
      <c r="M1770">
        <v>16.760000000000002</v>
      </c>
      <c r="N1770">
        <v>0</v>
      </c>
      <c r="O1770" t="s">
        <v>19</v>
      </c>
      <c r="P1770" t="s">
        <v>20</v>
      </c>
      <c r="Q1770">
        <v>20220505</v>
      </c>
    </row>
    <row r="1771" spans="1:17" x14ac:dyDescent="0.25">
      <c r="A1771" t="s">
        <v>548</v>
      </c>
      <c r="B1771" t="s">
        <v>429</v>
      </c>
      <c r="C1771">
        <v>69</v>
      </c>
      <c r="D1771">
        <v>20220505</v>
      </c>
      <c r="E1771">
        <f t="shared" si="27"/>
        <v>5</v>
      </c>
      <c r="F1771">
        <v>411100</v>
      </c>
      <c r="G1771" t="s">
        <v>18</v>
      </c>
      <c r="H1771" t="s">
        <v>350</v>
      </c>
      <c r="I1771" t="s">
        <v>351</v>
      </c>
      <c r="J1771">
        <v>340563</v>
      </c>
      <c r="K1771">
        <v>20220505</v>
      </c>
      <c r="L1771" t="s">
        <v>2160</v>
      </c>
      <c r="M1771">
        <v>0</v>
      </c>
      <c r="N1771">
        <v>10.5</v>
      </c>
      <c r="O1771" t="s">
        <v>19</v>
      </c>
      <c r="P1771" t="s">
        <v>20</v>
      </c>
      <c r="Q1771">
        <v>20220505</v>
      </c>
    </row>
    <row r="1772" spans="1:17" x14ac:dyDescent="0.25">
      <c r="A1772" t="s">
        <v>548</v>
      </c>
      <c r="B1772" t="s">
        <v>429</v>
      </c>
      <c r="C1772">
        <v>69</v>
      </c>
      <c r="D1772">
        <v>20220505</v>
      </c>
      <c r="E1772">
        <f t="shared" si="27"/>
        <v>5</v>
      </c>
      <c r="F1772">
        <v>531105</v>
      </c>
      <c r="G1772" t="s">
        <v>429</v>
      </c>
      <c r="H1772" t="s">
        <v>401</v>
      </c>
      <c r="I1772" t="s">
        <v>402</v>
      </c>
      <c r="J1772">
        <v>340564</v>
      </c>
      <c r="K1772">
        <v>20220505</v>
      </c>
      <c r="L1772" t="s">
        <v>565</v>
      </c>
      <c r="M1772">
        <v>10.5</v>
      </c>
      <c r="N1772">
        <v>0</v>
      </c>
      <c r="O1772" t="s">
        <v>19</v>
      </c>
      <c r="P1772" t="s">
        <v>20</v>
      </c>
      <c r="Q1772">
        <v>20220505</v>
      </c>
    </row>
    <row r="1773" spans="1:17" x14ac:dyDescent="0.25">
      <c r="A1773" t="s">
        <v>548</v>
      </c>
      <c r="B1773" t="s">
        <v>429</v>
      </c>
      <c r="C1773">
        <v>69</v>
      </c>
      <c r="D1773">
        <v>20220506</v>
      </c>
      <c r="E1773">
        <f t="shared" si="27"/>
        <v>5</v>
      </c>
      <c r="F1773">
        <v>411100</v>
      </c>
      <c r="G1773" t="s">
        <v>18</v>
      </c>
      <c r="H1773" t="s">
        <v>821</v>
      </c>
      <c r="I1773" t="s">
        <v>822</v>
      </c>
      <c r="J1773">
        <v>340474</v>
      </c>
      <c r="K1773">
        <v>20220506</v>
      </c>
      <c r="L1773" t="s">
        <v>2161</v>
      </c>
      <c r="M1773">
        <v>0</v>
      </c>
      <c r="N1773">
        <v>52.2</v>
      </c>
      <c r="O1773" t="s">
        <v>22</v>
      </c>
      <c r="P1773">
        <v>20230218</v>
      </c>
      <c r="Q1773">
        <v>20220506</v>
      </c>
    </row>
    <row r="1774" spans="1:17" x14ac:dyDescent="0.25">
      <c r="A1774" t="s">
        <v>548</v>
      </c>
      <c r="B1774" t="s">
        <v>429</v>
      </c>
      <c r="C1774">
        <v>69</v>
      </c>
      <c r="D1774">
        <v>20220506</v>
      </c>
      <c r="E1774">
        <f t="shared" si="27"/>
        <v>5</v>
      </c>
      <c r="F1774">
        <v>531105</v>
      </c>
      <c r="G1774" t="s">
        <v>429</v>
      </c>
      <c r="H1774" t="s">
        <v>401</v>
      </c>
      <c r="I1774" t="s">
        <v>402</v>
      </c>
      <c r="J1774">
        <v>340475</v>
      </c>
      <c r="K1774">
        <v>20220506</v>
      </c>
      <c r="L1774" t="s">
        <v>565</v>
      </c>
      <c r="M1774">
        <v>52.2</v>
      </c>
      <c r="N1774">
        <v>0</v>
      </c>
      <c r="O1774" t="s">
        <v>19</v>
      </c>
      <c r="P1774" t="s">
        <v>20</v>
      </c>
      <c r="Q1774">
        <v>20220506</v>
      </c>
    </row>
    <row r="1775" spans="1:17" x14ac:dyDescent="0.25">
      <c r="A1775" t="s">
        <v>548</v>
      </c>
      <c r="B1775" t="s">
        <v>429</v>
      </c>
      <c r="C1775">
        <v>69</v>
      </c>
      <c r="D1775">
        <v>20220509</v>
      </c>
      <c r="E1775">
        <f t="shared" si="27"/>
        <v>5</v>
      </c>
      <c r="F1775">
        <v>411100</v>
      </c>
      <c r="G1775" t="s">
        <v>18</v>
      </c>
      <c r="H1775" t="s">
        <v>2162</v>
      </c>
      <c r="I1775" t="s">
        <v>2163</v>
      </c>
      <c r="J1775">
        <v>340476</v>
      </c>
      <c r="K1775">
        <v>20220509</v>
      </c>
      <c r="L1775" t="s">
        <v>2164</v>
      </c>
      <c r="M1775">
        <v>0</v>
      </c>
      <c r="N1775">
        <v>16</v>
      </c>
      <c r="O1775" t="s">
        <v>22</v>
      </c>
      <c r="P1775">
        <v>20230218</v>
      </c>
      <c r="Q1775">
        <v>20220509</v>
      </c>
    </row>
    <row r="1776" spans="1:17" x14ac:dyDescent="0.25">
      <c r="A1776" t="s">
        <v>548</v>
      </c>
      <c r="B1776" t="s">
        <v>429</v>
      </c>
      <c r="C1776">
        <v>69</v>
      </c>
      <c r="D1776">
        <v>20220509</v>
      </c>
      <c r="E1776">
        <f t="shared" si="27"/>
        <v>5</v>
      </c>
      <c r="F1776">
        <v>411100</v>
      </c>
      <c r="G1776" t="s">
        <v>18</v>
      </c>
      <c r="H1776" t="s">
        <v>2165</v>
      </c>
      <c r="I1776" t="s">
        <v>2166</v>
      </c>
      <c r="J1776">
        <v>340477</v>
      </c>
      <c r="K1776">
        <v>20220509</v>
      </c>
      <c r="L1776" t="s">
        <v>2167</v>
      </c>
      <c r="M1776">
        <v>0</v>
      </c>
      <c r="N1776">
        <v>6</v>
      </c>
      <c r="O1776" t="s">
        <v>23</v>
      </c>
      <c r="P1776">
        <v>20230329</v>
      </c>
      <c r="Q1776">
        <v>20220509</v>
      </c>
    </row>
    <row r="1777" spans="1:17" x14ac:dyDescent="0.25">
      <c r="A1777" t="s">
        <v>548</v>
      </c>
      <c r="B1777" t="s">
        <v>429</v>
      </c>
      <c r="C1777">
        <v>69</v>
      </c>
      <c r="D1777">
        <v>20220509</v>
      </c>
      <c r="E1777">
        <f t="shared" si="27"/>
        <v>5</v>
      </c>
      <c r="F1777">
        <v>411100</v>
      </c>
      <c r="G1777" t="s">
        <v>18</v>
      </c>
      <c r="H1777" t="s">
        <v>2168</v>
      </c>
      <c r="I1777" t="s">
        <v>2169</v>
      </c>
      <c r="J1777">
        <v>340478</v>
      </c>
      <c r="K1777">
        <v>20220509</v>
      </c>
      <c r="L1777" t="s">
        <v>2170</v>
      </c>
      <c r="M1777">
        <v>0</v>
      </c>
      <c r="N1777">
        <v>9</v>
      </c>
      <c r="O1777" t="s">
        <v>19</v>
      </c>
      <c r="P1777" t="s">
        <v>20</v>
      </c>
      <c r="Q1777">
        <v>20220509</v>
      </c>
    </row>
    <row r="1778" spans="1:17" x14ac:dyDescent="0.25">
      <c r="A1778" t="s">
        <v>548</v>
      </c>
      <c r="B1778" t="s">
        <v>429</v>
      </c>
      <c r="C1778">
        <v>69</v>
      </c>
      <c r="D1778">
        <v>20220509</v>
      </c>
      <c r="E1778">
        <f t="shared" si="27"/>
        <v>5</v>
      </c>
      <c r="F1778">
        <v>411100</v>
      </c>
      <c r="G1778" t="s">
        <v>18</v>
      </c>
      <c r="H1778" t="s">
        <v>2165</v>
      </c>
      <c r="I1778" t="s">
        <v>2166</v>
      </c>
      <c r="J1778">
        <v>340479</v>
      </c>
      <c r="K1778">
        <v>20220509</v>
      </c>
      <c r="L1778" t="s">
        <v>2171</v>
      </c>
      <c r="M1778">
        <v>0</v>
      </c>
      <c r="N1778">
        <v>4</v>
      </c>
      <c r="O1778" t="s">
        <v>23</v>
      </c>
      <c r="P1778">
        <v>20230329</v>
      </c>
      <c r="Q1778">
        <v>20220509</v>
      </c>
    </row>
    <row r="1779" spans="1:17" x14ac:dyDescent="0.25">
      <c r="A1779" t="s">
        <v>548</v>
      </c>
      <c r="B1779" t="s">
        <v>429</v>
      </c>
      <c r="C1779">
        <v>69</v>
      </c>
      <c r="D1779">
        <v>20220509</v>
      </c>
      <c r="E1779">
        <f t="shared" si="27"/>
        <v>5</v>
      </c>
      <c r="F1779">
        <v>411100</v>
      </c>
      <c r="G1779" t="s">
        <v>18</v>
      </c>
      <c r="H1779" t="s">
        <v>277</v>
      </c>
      <c r="I1779" t="s">
        <v>278</v>
      </c>
      <c r="J1779">
        <v>340480</v>
      </c>
      <c r="K1779">
        <v>20220509</v>
      </c>
      <c r="L1779" t="s">
        <v>2172</v>
      </c>
      <c r="M1779">
        <v>0</v>
      </c>
      <c r="N1779">
        <v>6</v>
      </c>
      <c r="O1779" t="s">
        <v>19</v>
      </c>
      <c r="P1779" t="s">
        <v>20</v>
      </c>
      <c r="Q1779">
        <v>20220509</v>
      </c>
    </row>
    <row r="1780" spans="1:17" x14ac:dyDescent="0.25">
      <c r="A1780" t="s">
        <v>548</v>
      </c>
      <c r="B1780" t="s">
        <v>429</v>
      </c>
      <c r="C1780">
        <v>69</v>
      </c>
      <c r="D1780">
        <v>20220509</v>
      </c>
      <c r="E1780">
        <f t="shared" si="27"/>
        <v>5</v>
      </c>
      <c r="F1780">
        <v>411100</v>
      </c>
      <c r="G1780" t="s">
        <v>18</v>
      </c>
      <c r="H1780" t="s">
        <v>2173</v>
      </c>
      <c r="I1780" t="s">
        <v>2174</v>
      </c>
      <c r="J1780">
        <v>340481</v>
      </c>
      <c r="K1780">
        <v>20220509</v>
      </c>
      <c r="L1780" t="s">
        <v>2175</v>
      </c>
      <c r="M1780">
        <v>0</v>
      </c>
      <c r="N1780">
        <v>6</v>
      </c>
      <c r="O1780" t="s">
        <v>23</v>
      </c>
      <c r="P1780">
        <v>20230329</v>
      </c>
      <c r="Q1780">
        <v>20220509</v>
      </c>
    </row>
    <row r="1781" spans="1:17" x14ac:dyDescent="0.25">
      <c r="A1781" t="s">
        <v>548</v>
      </c>
      <c r="B1781" t="s">
        <v>429</v>
      </c>
      <c r="C1781">
        <v>69</v>
      </c>
      <c r="D1781">
        <v>20220509</v>
      </c>
      <c r="E1781">
        <f t="shared" si="27"/>
        <v>5</v>
      </c>
      <c r="F1781">
        <v>411100</v>
      </c>
      <c r="G1781" t="s">
        <v>18</v>
      </c>
      <c r="H1781" t="s">
        <v>1774</v>
      </c>
      <c r="I1781" t="s">
        <v>1775</v>
      </c>
      <c r="J1781">
        <v>340482</v>
      </c>
      <c r="K1781">
        <v>20220509</v>
      </c>
      <c r="L1781" t="s">
        <v>2176</v>
      </c>
      <c r="M1781">
        <v>0</v>
      </c>
      <c r="N1781">
        <v>4</v>
      </c>
      <c r="O1781" t="s">
        <v>22</v>
      </c>
      <c r="P1781">
        <v>20230218</v>
      </c>
      <c r="Q1781">
        <v>20220509</v>
      </c>
    </row>
    <row r="1782" spans="1:17" x14ac:dyDescent="0.25">
      <c r="A1782" t="s">
        <v>548</v>
      </c>
      <c r="B1782" t="s">
        <v>429</v>
      </c>
      <c r="C1782">
        <v>69</v>
      </c>
      <c r="D1782">
        <v>20220509</v>
      </c>
      <c r="E1782">
        <f t="shared" si="27"/>
        <v>5</v>
      </c>
      <c r="F1782">
        <v>411100</v>
      </c>
      <c r="G1782" t="s">
        <v>18</v>
      </c>
      <c r="H1782" t="s">
        <v>1417</v>
      </c>
      <c r="I1782" t="s">
        <v>1418</v>
      </c>
      <c r="J1782">
        <v>121090166</v>
      </c>
      <c r="K1782">
        <v>20220509</v>
      </c>
      <c r="L1782" t="s">
        <v>2177</v>
      </c>
      <c r="M1782">
        <v>0</v>
      </c>
      <c r="N1782">
        <v>2</v>
      </c>
      <c r="O1782" t="s">
        <v>23</v>
      </c>
      <c r="P1782">
        <v>20230329</v>
      </c>
      <c r="Q1782">
        <v>20220509</v>
      </c>
    </row>
    <row r="1783" spans="1:17" x14ac:dyDescent="0.25">
      <c r="A1783" t="s">
        <v>548</v>
      </c>
      <c r="B1783" t="s">
        <v>429</v>
      </c>
      <c r="C1783">
        <v>69</v>
      </c>
      <c r="D1783">
        <v>20220509</v>
      </c>
      <c r="E1783">
        <f t="shared" si="27"/>
        <v>5</v>
      </c>
      <c r="F1783">
        <v>411100</v>
      </c>
      <c r="G1783" t="s">
        <v>18</v>
      </c>
      <c r="H1783" t="s">
        <v>997</v>
      </c>
      <c r="I1783" t="s">
        <v>998</v>
      </c>
      <c r="J1783">
        <v>121090078</v>
      </c>
      <c r="K1783">
        <v>20220509</v>
      </c>
      <c r="L1783" t="s">
        <v>2178</v>
      </c>
      <c r="M1783">
        <v>0</v>
      </c>
      <c r="N1783">
        <v>2</v>
      </c>
      <c r="O1783" t="s">
        <v>19</v>
      </c>
      <c r="P1783" t="s">
        <v>20</v>
      </c>
      <c r="Q1783">
        <v>20220509</v>
      </c>
    </row>
    <row r="1784" spans="1:17" x14ac:dyDescent="0.25">
      <c r="A1784" t="s">
        <v>548</v>
      </c>
      <c r="B1784" t="s">
        <v>429</v>
      </c>
      <c r="C1784">
        <v>69</v>
      </c>
      <c r="D1784">
        <v>20220509</v>
      </c>
      <c r="E1784">
        <f t="shared" si="27"/>
        <v>5</v>
      </c>
      <c r="F1784">
        <v>411100</v>
      </c>
      <c r="G1784" t="s">
        <v>18</v>
      </c>
      <c r="H1784" t="s">
        <v>2179</v>
      </c>
      <c r="I1784" t="s">
        <v>2180</v>
      </c>
      <c r="J1784">
        <v>121090130</v>
      </c>
      <c r="K1784">
        <v>20220509</v>
      </c>
      <c r="L1784" t="s">
        <v>2181</v>
      </c>
      <c r="M1784">
        <v>0</v>
      </c>
      <c r="N1784">
        <v>2</v>
      </c>
      <c r="O1784" t="s">
        <v>22</v>
      </c>
      <c r="P1784">
        <v>20230218</v>
      </c>
      <c r="Q1784">
        <v>20220509</v>
      </c>
    </row>
    <row r="1785" spans="1:17" x14ac:dyDescent="0.25">
      <c r="A1785" t="s">
        <v>548</v>
      </c>
      <c r="B1785" t="s">
        <v>429</v>
      </c>
      <c r="C1785">
        <v>69</v>
      </c>
      <c r="D1785">
        <v>20220509</v>
      </c>
      <c r="E1785">
        <f t="shared" si="27"/>
        <v>5</v>
      </c>
      <c r="F1785">
        <v>411100</v>
      </c>
      <c r="G1785" t="s">
        <v>18</v>
      </c>
      <c r="H1785" t="s">
        <v>179</v>
      </c>
      <c r="I1785" t="s">
        <v>180</v>
      </c>
      <c r="J1785">
        <v>121090151</v>
      </c>
      <c r="K1785">
        <v>20220509</v>
      </c>
      <c r="L1785" t="s">
        <v>2182</v>
      </c>
      <c r="M1785">
        <v>0</v>
      </c>
      <c r="N1785">
        <v>2</v>
      </c>
      <c r="O1785" t="s">
        <v>22</v>
      </c>
      <c r="P1785">
        <v>20230218</v>
      </c>
      <c r="Q1785">
        <v>20220509</v>
      </c>
    </row>
    <row r="1786" spans="1:17" x14ac:dyDescent="0.25">
      <c r="A1786" t="s">
        <v>548</v>
      </c>
      <c r="B1786" t="s">
        <v>429</v>
      </c>
      <c r="C1786">
        <v>69</v>
      </c>
      <c r="D1786">
        <v>20220509</v>
      </c>
      <c r="E1786">
        <f t="shared" si="27"/>
        <v>5</v>
      </c>
      <c r="F1786">
        <v>531105</v>
      </c>
      <c r="G1786" t="s">
        <v>429</v>
      </c>
      <c r="H1786" t="s">
        <v>401</v>
      </c>
      <c r="I1786" t="s">
        <v>402</v>
      </c>
      <c r="J1786">
        <v>340487</v>
      </c>
      <c r="K1786">
        <v>20220509</v>
      </c>
      <c r="L1786" t="s">
        <v>565</v>
      </c>
      <c r="M1786">
        <v>59</v>
      </c>
      <c r="N1786">
        <v>0</v>
      </c>
      <c r="O1786" t="s">
        <v>19</v>
      </c>
      <c r="P1786" t="s">
        <v>20</v>
      </c>
      <c r="Q1786">
        <v>20220509</v>
      </c>
    </row>
    <row r="1787" spans="1:17" x14ac:dyDescent="0.25">
      <c r="A1787" t="s">
        <v>548</v>
      </c>
      <c r="B1787" t="s">
        <v>429</v>
      </c>
      <c r="C1787">
        <v>69</v>
      </c>
      <c r="D1787">
        <v>20220509</v>
      </c>
      <c r="E1787">
        <f t="shared" si="27"/>
        <v>5</v>
      </c>
      <c r="F1787">
        <v>411010</v>
      </c>
      <c r="G1787" t="s">
        <v>87</v>
      </c>
      <c r="H1787" t="s">
        <v>363</v>
      </c>
      <c r="I1787" t="s">
        <v>364</v>
      </c>
      <c r="J1787">
        <v>340565</v>
      </c>
      <c r="K1787">
        <v>20220509</v>
      </c>
      <c r="L1787" t="s">
        <v>2183</v>
      </c>
      <c r="M1787">
        <v>0</v>
      </c>
      <c r="N1787">
        <v>74.569999999999993</v>
      </c>
      <c r="O1787" t="s">
        <v>22</v>
      </c>
      <c r="P1787">
        <v>20230218</v>
      </c>
      <c r="Q1787">
        <v>20220509</v>
      </c>
    </row>
    <row r="1788" spans="1:17" x14ac:dyDescent="0.25">
      <c r="A1788" t="s">
        <v>548</v>
      </c>
      <c r="B1788" t="s">
        <v>429</v>
      </c>
      <c r="C1788">
        <v>69</v>
      </c>
      <c r="D1788">
        <v>20220509</v>
      </c>
      <c r="E1788">
        <f t="shared" si="27"/>
        <v>5</v>
      </c>
      <c r="F1788">
        <v>411010</v>
      </c>
      <c r="G1788" t="s">
        <v>87</v>
      </c>
      <c r="H1788" t="s">
        <v>379</v>
      </c>
      <c r="I1788" t="s">
        <v>380</v>
      </c>
      <c r="J1788">
        <v>340566</v>
      </c>
      <c r="K1788">
        <v>20220509</v>
      </c>
      <c r="L1788" t="s">
        <v>2184</v>
      </c>
      <c r="M1788">
        <v>0</v>
      </c>
      <c r="N1788">
        <v>22.16</v>
      </c>
      <c r="O1788" t="s">
        <v>22</v>
      </c>
      <c r="P1788">
        <v>20230218</v>
      </c>
      <c r="Q1788">
        <v>20220509</v>
      </c>
    </row>
    <row r="1789" spans="1:17" x14ac:dyDescent="0.25">
      <c r="A1789" t="s">
        <v>548</v>
      </c>
      <c r="B1789" t="s">
        <v>429</v>
      </c>
      <c r="C1789">
        <v>69</v>
      </c>
      <c r="D1789">
        <v>20220509</v>
      </c>
      <c r="E1789">
        <f t="shared" si="27"/>
        <v>5</v>
      </c>
      <c r="F1789">
        <v>531105</v>
      </c>
      <c r="G1789" t="s">
        <v>429</v>
      </c>
      <c r="H1789" t="s">
        <v>401</v>
      </c>
      <c r="I1789" t="s">
        <v>402</v>
      </c>
      <c r="J1789">
        <v>340567</v>
      </c>
      <c r="K1789">
        <v>20220509</v>
      </c>
      <c r="L1789" t="s">
        <v>565</v>
      </c>
      <c r="M1789">
        <v>96.73</v>
      </c>
      <c r="N1789">
        <v>0</v>
      </c>
      <c r="O1789" t="s">
        <v>19</v>
      </c>
      <c r="P1789" t="s">
        <v>20</v>
      </c>
      <c r="Q1789">
        <v>20220509</v>
      </c>
    </row>
    <row r="1790" spans="1:17" x14ac:dyDescent="0.25">
      <c r="A1790" t="s">
        <v>548</v>
      </c>
      <c r="B1790" t="s">
        <v>429</v>
      </c>
      <c r="C1790">
        <v>69</v>
      </c>
      <c r="D1790">
        <v>20220510</v>
      </c>
      <c r="E1790">
        <f t="shared" si="27"/>
        <v>5</v>
      </c>
      <c r="F1790">
        <v>411100</v>
      </c>
      <c r="G1790" t="s">
        <v>18</v>
      </c>
      <c r="H1790" t="s">
        <v>152</v>
      </c>
      <c r="I1790" t="s">
        <v>153</v>
      </c>
      <c r="J1790">
        <v>340472</v>
      </c>
      <c r="K1790">
        <v>20220510</v>
      </c>
      <c r="L1790" t="s">
        <v>2185</v>
      </c>
      <c r="M1790">
        <v>72.900000000000006</v>
      </c>
      <c r="N1790">
        <v>0</v>
      </c>
      <c r="O1790" t="s">
        <v>22</v>
      </c>
      <c r="P1790">
        <v>20230218</v>
      </c>
      <c r="Q1790">
        <v>20220510</v>
      </c>
    </row>
    <row r="1791" spans="1:17" x14ac:dyDescent="0.25">
      <c r="A1791" t="s">
        <v>548</v>
      </c>
      <c r="B1791" t="s">
        <v>429</v>
      </c>
      <c r="C1791">
        <v>69</v>
      </c>
      <c r="D1791">
        <v>20220510</v>
      </c>
      <c r="E1791">
        <f t="shared" si="27"/>
        <v>5</v>
      </c>
      <c r="F1791">
        <v>531105</v>
      </c>
      <c r="G1791" t="s">
        <v>429</v>
      </c>
      <c r="H1791" t="s">
        <v>401</v>
      </c>
      <c r="I1791" t="s">
        <v>402</v>
      </c>
      <c r="J1791">
        <v>340473</v>
      </c>
      <c r="K1791">
        <v>20220510</v>
      </c>
      <c r="L1791" t="s">
        <v>2185</v>
      </c>
      <c r="M1791">
        <v>0</v>
      </c>
      <c r="N1791">
        <v>72.900000000000006</v>
      </c>
      <c r="O1791" t="s">
        <v>19</v>
      </c>
      <c r="P1791" t="s">
        <v>20</v>
      </c>
      <c r="Q1791">
        <v>20220510</v>
      </c>
    </row>
    <row r="1792" spans="1:17" x14ac:dyDescent="0.25">
      <c r="A1792" t="s">
        <v>548</v>
      </c>
      <c r="B1792" t="s">
        <v>429</v>
      </c>
      <c r="C1792">
        <v>69</v>
      </c>
      <c r="D1792">
        <v>20220510</v>
      </c>
      <c r="E1792">
        <f t="shared" si="27"/>
        <v>5</v>
      </c>
      <c r="F1792">
        <v>411100</v>
      </c>
      <c r="G1792" t="s">
        <v>18</v>
      </c>
      <c r="H1792" t="s">
        <v>334</v>
      </c>
      <c r="I1792" t="s">
        <v>335</v>
      </c>
      <c r="J1792">
        <v>340488</v>
      </c>
      <c r="K1792">
        <v>20220510</v>
      </c>
      <c r="L1792" t="s">
        <v>2186</v>
      </c>
      <c r="M1792">
        <v>0</v>
      </c>
      <c r="N1792">
        <v>63.2</v>
      </c>
      <c r="O1792" t="s">
        <v>22</v>
      </c>
      <c r="P1792">
        <v>20230218</v>
      </c>
      <c r="Q1792">
        <v>20220510</v>
      </c>
    </row>
    <row r="1793" spans="1:17" x14ac:dyDescent="0.25">
      <c r="A1793" t="s">
        <v>548</v>
      </c>
      <c r="B1793" t="s">
        <v>429</v>
      </c>
      <c r="C1793">
        <v>69</v>
      </c>
      <c r="D1793">
        <v>20220510</v>
      </c>
      <c r="E1793">
        <f t="shared" si="27"/>
        <v>5</v>
      </c>
      <c r="F1793">
        <v>531105</v>
      </c>
      <c r="G1793" t="s">
        <v>429</v>
      </c>
      <c r="H1793" t="s">
        <v>401</v>
      </c>
      <c r="I1793" t="s">
        <v>402</v>
      </c>
      <c r="J1793">
        <v>340489</v>
      </c>
      <c r="K1793">
        <v>20220510</v>
      </c>
      <c r="L1793" t="s">
        <v>565</v>
      </c>
      <c r="M1793">
        <v>63.2</v>
      </c>
      <c r="N1793">
        <v>0</v>
      </c>
      <c r="O1793" t="s">
        <v>19</v>
      </c>
      <c r="P1793" t="s">
        <v>20</v>
      </c>
      <c r="Q1793">
        <v>20220510</v>
      </c>
    </row>
    <row r="1794" spans="1:17" x14ac:dyDescent="0.25">
      <c r="A1794" t="s">
        <v>548</v>
      </c>
      <c r="B1794" t="s">
        <v>429</v>
      </c>
      <c r="C1794">
        <v>69</v>
      </c>
      <c r="D1794">
        <v>20220510</v>
      </c>
      <c r="E1794">
        <f t="shared" si="27"/>
        <v>5</v>
      </c>
      <c r="F1794">
        <v>411020</v>
      </c>
      <c r="G1794" t="s">
        <v>30</v>
      </c>
      <c r="H1794" t="s">
        <v>385</v>
      </c>
      <c r="I1794" t="s">
        <v>386</v>
      </c>
      <c r="J1794">
        <v>322040019</v>
      </c>
      <c r="K1794">
        <v>20220510</v>
      </c>
      <c r="L1794" t="s">
        <v>2187</v>
      </c>
      <c r="M1794">
        <v>0</v>
      </c>
      <c r="N1794">
        <v>20.96</v>
      </c>
      <c r="O1794" t="s">
        <v>22</v>
      </c>
      <c r="P1794">
        <v>20230218</v>
      </c>
      <c r="Q1794">
        <v>20220510</v>
      </c>
    </row>
    <row r="1795" spans="1:17" x14ac:dyDescent="0.25">
      <c r="A1795" t="s">
        <v>548</v>
      </c>
      <c r="B1795" t="s">
        <v>429</v>
      </c>
      <c r="C1795">
        <v>69</v>
      </c>
      <c r="D1795">
        <v>20220510</v>
      </c>
      <c r="E1795">
        <f t="shared" ref="E1795:E1858" si="28">VALUE(MID(D1795,5,2))</f>
        <v>5</v>
      </c>
      <c r="F1795">
        <v>411020</v>
      </c>
      <c r="G1795" t="s">
        <v>30</v>
      </c>
      <c r="H1795" t="s">
        <v>385</v>
      </c>
      <c r="I1795" t="s">
        <v>386</v>
      </c>
      <c r="J1795">
        <v>322040019</v>
      </c>
      <c r="K1795">
        <v>20220510</v>
      </c>
      <c r="L1795" t="s">
        <v>2188</v>
      </c>
      <c r="M1795">
        <v>0</v>
      </c>
      <c r="N1795">
        <v>0.04</v>
      </c>
      <c r="O1795" t="s">
        <v>22</v>
      </c>
      <c r="P1795">
        <v>20230218</v>
      </c>
      <c r="Q1795">
        <v>20220510</v>
      </c>
    </row>
    <row r="1796" spans="1:17" x14ac:dyDescent="0.25">
      <c r="A1796" t="s">
        <v>548</v>
      </c>
      <c r="B1796" t="s">
        <v>429</v>
      </c>
      <c r="C1796">
        <v>69</v>
      </c>
      <c r="D1796">
        <v>20220510</v>
      </c>
      <c r="E1796">
        <f t="shared" si="28"/>
        <v>5</v>
      </c>
      <c r="F1796">
        <v>411020</v>
      </c>
      <c r="G1796" t="s">
        <v>30</v>
      </c>
      <c r="H1796" t="s">
        <v>332</v>
      </c>
      <c r="I1796" t="s">
        <v>333</v>
      </c>
      <c r="J1796">
        <v>322040008</v>
      </c>
      <c r="K1796">
        <v>20220510</v>
      </c>
      <c r="L1796" t="s">
        <v>2189</v>
      </c>
      <c r="M1796">
        <v>0</v>
      </c>
      <c r="N1796">
        <v>47.09</v>
      </c>
      <c r="O1796" t="s">
        <v>19</v>
      </c>
      <c r="P1796" t="s">
        <v>20</v>
      </c>
      <c r="Q1796">
        <v>20220510</v>
      </c>
    </row>
    <row r="1797" spans="1:17" x14ac:dyDescent="0.25">
      <c r="A1797" t="s">
        <v>548</v>
      </c>
      <c r="B1797" t="s">
        <v>429</v>
      </c>
      <c r="C1797">
        <v>69</v>
      </c>
      <c r="D1797">
        <v>20220510</v>
      </c>
      <c r="E1797">
        <f t="shared" si="28"/>
        <v>5</v>
      </c>
      <c r="F1797">
        <v>411020</v>
      </c>
      <c r="G1797" t="s">
        <v>30</v>
      </c>
      <c r="H1797" t="s">
        <v>332</v>
      </c>
      <c r="I1797" t="s">
        <v>333</v>
      </c>
      <c r="J1797">
        <v>322040008</v>
      </c>
      <c r="K1797">
        <v>20220510</v>
      </c>
      <c r="L1797" t="s">
        <v>2190</v>
      </c>
      <c r="M1797">
        <v>0</v>
      </c>
      <c r="N1797">
        <v>2.91</v>
      </c>
      <c r="O1797" t="s">
        <v>19</v>
      </c>
      <c r="P1797" t="s">
        <v>20</v>
      </c>
      <c r="Q1797">
        <v>20220510</v>
      </c>
    </row>
    <row r="1798" spans="1:17" x14ac:dyDescent="0.25">
      <c r="A1798" t="s">
        <v>548</v>
      </c>
      <c r="B1798" t="s">
        <v>429</v>
      </c>
      <c r="C1798">
        <v>69</v>
      </c>
      <c r="D1798">
        <v>20220510</v>
      </c>
      <c r="E1798">
        <f t="shared" si="28"/>
        <v>5</v>
      </c>
      <c r="F1798">
        <v>411100</v>
      </c>
      <c r="G1798" t="s">
        <v>18</v>
      </c>
      <c r="H1798" t="s">
        <v>198</v>
      </c>
      <c r="I1798" t="s">
        <v>199</v>
      </c>
      <c r="J1798">
        <v>322040015</v>
      </c>
      <c r="K1798">
        <v>20220510</v>
      </c>
      <c r="L1798" t="s">
        <v>2191</v>
      </c>
      <c r="M1798">
        <v>0</v>
      </c>
      <c r="N1798">
        <v>60.25</v>
      </c>
      <c r="O1798" t="s">
        <v>19</v>
      </c>
      <c r="P1798" t="s">
        <v>20</v>
      </c>
      <c r="Q1798">
        <v>20220510</v>
      </c>
    </row>
    <row r="1799" spans="1:17" x14ac:dyDescent="0.25">
      <c r="A1799" t="s">
        <v>548</v>
      </c>
      <c r="B1799" t="s">
        <v>429</v>
      </c>
      <c r="C1799">
        <v>69</v>
      </c>
      <c r="D1799">
        <v>20220510</v>
      </c>
      <c r="E1799">
        <f t="shared" si="28"/>
        <v>5</v>
      </c>
      <c r="F1799">
        <v>411100</v>
      </c>
      <c r="G1799" t="s">
        <v>18</v>
      </c>
      <c r="H1799" t="s">
        <v>198</v>
      </c>
      <c r="I1799" t="s">
        <v>199</v>
      </c>
      <c r="J1799">
        <v>322040015</v>
      </c>
      <c r="K1799">
        <v>20220510</v>
      </c>
      <c r="L1799" t="s">
        <v>2192</v>
      </c>
      <c r="M1799">
        <v>0</v>
      </c>
      <c r="N1799">
        <v>5</v>
      </c>
      <c r="O1799" t="s">
        <v>19</v>
      </c>
      <c r="P1799" t="s">
        <v>20</v>
      </c>
      <c r="Q1799">
        <v>20220510</v>
      </c>
    </row>
    <row r="1800" spans="1:17" x14ac:dyDescent="0.25">
      <c r="A1800" t="s">
        <v>548</v>
      </c>
      <c r="B1800" t="s">
        <v>429</v>
      </c>
      <c r="C1800">
        <v>69</v>
      </c>
      <c r="D1800">
        <v>20220510</v>
      </c>
      <c r="E1800">
        <f t="shared" si="28"/>
        <v>5</v>
      </c>
      <c r="F1800">
        <v>411020</v>
      </c>
      <c r="G1800" t="s">
        <v>30</v>
      </c>
      <c r="H1800" t="s">
        <v>369</v>
      </c>
      <c r="I1800" t="s">
        <v>370</v>
      </c>
      <c r="J1800">
        <v>322040011</v>
      </c>
      <c r="K1800">
        <v>20220510</v>
      </c>
      <c r="L1800" t="s">
        <v>2193</v>
      </c>
      <c r="M1800">
        <v>0</v>
      </c>
      <c r="N1800">
        <v>36.520000000000003</v>
      </c>
      <c r="O1800" t="s">
        <v>19</v>
      </c>
      <c r="P1800" t="s">
        <v>20</v>
      </c>
      <c r="Q1800">
        <v>20220510</v>
      </c>
    </row>
    <row r="1801" spans="1:17" x14ac:dyDescent="0.25">
      <c r="A1801" t="s">
        <v>548</v>
      </c>
      <c r="B1801" t="s">
        <v>429</v>
      </c>
      <c r="C1801">
        <v>69</v>
      </c>
      <c r="D1801">
        <v>20220510</v>
      </c>
      <c r="E1801">
        <f t="shared" si="28"/>
        <v>5</v>
      </c>
      <c r="F1801">
        <v>411020</v>
      </c>
      <c r="G1801" t="s">
        <v>30</v>
      </c>
      <c r="H1801" t="s">
        <v>369</v>
      </c>
      <c r="I1801" t="s">
        <v>370</v>
      </c>
      <c r="J1801">
        <v>322040011</v>
      </c>
      <c r="K1801">
        <v>20220510</v>
      </c>
      <c r="L1801" t="s">
        <v>2194</v>
      </c>
      <c r="M1801">
        <v>0</v>
      </c>
      <c r="N1801">
        <v>0.08</v>
      </c>
      <c r="O1801" t="s">
        <v>19</v>
      </c>
      <c r="P1801" t="s">
        <v>20</v>
      </c>
      <c r="Q1801">
        <v>20220510</v>
      </c>
    </row>
    <row r="1802" spans="1:17" x14ac:dyDescent="0.25">
      <c r="A1802" t="s">
        <v>548</v>
      </c>
      <c r="B1802" t="s">
        <v>429</v>
      </c>
      <c r="C1802">
        <v>69</v>
      </c>
      <c r="D1802">
        <v>20220510</v>
      </c>
      <c r="E1802">
        <f t="shared" si="28"/>
        <v>5</v>
      </c>
      <c r="F1802">
        <v>531105</v>
      </c>
      <c r="G1802" t="s">
        <v>429</v>
      </c>
      <c r="H1802" t="s">
        <v>401</v>
      </c>
      <c r="I1802" t="s">
        <v>402</v>
      </c>
      <c r="J1802">
        <v>340542</v>
      </c>
      <c r="K1802">
        <v>20220510</v>
      </c>
      <c r="L1802" t="s">
        <v>565</v>
      </c>
      <c r="M1802">
        <v>172.85</v>
      </c>
      <c r="N1802">
        <v>0</v>
      </c>
      <c r="O1802" t="s">
        <v>19</v>
      </c>
      <c r="P1802" t="s">
        <v>20</v>
      </c>
      <c r="Q1802">
        <v>20220510</v>
      </c>
    </row>
    <row r="1803" spans="1:17" x14ac:dyDescent="0.25">
      <c r="A1803" t="s">
        <v>548</v>
      </c>
      <c r="B1803" t="s">
        <v>429</v>
      </c>
      <c r="C1803">
        <v>69</v>
      </c>
      <c r="D1803">
        <v>20220511</v>
      </c>
      <c r="E1803">
        <f t="shared" si="28"/>
        <v>5</v>
      </c>
      <c r="F1803">
        <v>411100</v>
      </c>
      <c r="G1803" t="s">
        <v>18</v>
      </c>
      <c r="H1803" t="s">
        <v>293</v>
      </c>
      <c r="I1803" t="s">
        <v>294</v>
      </c>
      <c r="J1803">
        <v>121110206</v>
      </c>
      <c r="K1803">
        <v>20220511</v>
      </c>
      <c r="L1803" t="s">
        <v>2195</v>
      </c>
      <c r="M1803">
        <v>0</v>
      </c>
      <c r="N1803">
        <v>198.76</v>
      </c>
      <c r="O1803" t="s">
        <v>19</v>
      </c>
      <c r="P1803" t="s">
        <v>20</v>
      </c>
      <c r="Q1803">
        <v>20220511</v>
      </c>
    </row>
    <row r="1804" spans="1:17" x14ac:dyDescent="0.25">
      <c r="A1804" t="s">
        <v>548</v>
      </c>
      <c r="B1804" t="s">
        <v>429</v>
      </c>
      <c r="C1804">
        <v>69</v>
      </c>
      <c r="D1804">
        <v>20220511</v>
      </c>
      <c r="E1804">
        <f t="shared" si="28"/>
        <v>5</v>
      </c>
      <c r="F1804">
        <v>411100</v>
      </c>
      <c r="G1804" t="s">
        <v>18</v>
      </c>
      <c r="H1804" t="s">
        <v>237</v>
      </c>
      <c r="I1804" t="s">
        <v>238</v>
      </c>
      <c r="J1804">
        <v>340491</v>
      </c>
      <c r="K1804">
        <v>20220511</v>
      </c>
      <c r="L1804" t="s">
        <v>2196</v>
      </c>
      <c r="M1804">
        <v>0</v>
      </c>
      <c r="N1804">
        <v>29.8</v>
      </c>
      <c r="O1804" t="s">
        <v>22</v>
      </c>
      <c r="P1804">
        <v>20230218</v>
      </c>
      <c r="Q1804">
        <v>20220511</v>
      </c>
    </row>
    <row r="1805" spans="1:17" x14ac:dyDescent="0.25">
      <c r="A1805" t="s">
        <v>548</v>
      </c>
      <c r="B1805" t="s">
        <v>429</v>
      </c>
      <c r="C1805">
        <v>69</v>
      </c>
      <c r="D1805">
        <v>20220511</v>
      </c>
      <c r="E1805">
        <f t="shared" si="28"/>
        <v>5</v>
      </c>
      <c r="F1805">
        <v>411100</v>
      </c>
      <c r="G1805" t="s">
        <v>18</v>
      </c>
      <c r="H1805" t="s">
        <v>638</v>
      </c>
      <c r="I1805" t="s">
        <v>639</v>
      </c>
      <c r="J1805">
        <v>340492</v>
      </c>
      <c r="K1805">
        <v>20220511</v>
      </c>
      <c r="L1805" t="s">
        <v>2197</v>
      </c>
      <c r="M1805">
        <v>0</v>
      </c>
      <c r="N1805">
        <v>28.4</v>
      </c>
      <c r="O1805" t="s">
        <v>22</v>
      </c>
      <c r="P1805">
        <v>20230218</v>
      </c>
      <c r="Q1805">
        <v>20220511</v>
      </c>
    </row>
    <row r="1806" spans="1:17" x14ac:dyDescent="0.25">
      <c r="A1806" t="s">
        <v>548</v>
      </c>
      <c r="B1806" t="s">
        <v>429</v>
      </c>
      <c r="C1806">
        <v>69</v>
      </c>
      <c r="D1806">
        <v>20220511</v>
      </c>
      <c r="E1806">
        <f t="shared" si="28"/>
        <v>5</v>
      </c>
      <c r="F1806">
        <v>411100</v>
      </c>
      <c r="G1806" t="s">
        <v>18</v>
      </c>
      <c r="H1806" t="s">
        <v>352</v>
      </c>
      <c r="I1806" t="s">
        <v>353</v>
      </c>
      <c r="J1806">
        <v>340493</v>
      </c>
      <c r="K1806">
        <v>20220511</v>
      </c>
      <c r="L1806" t="s">
        <v>2198</v>
      </c>
      <c r="M1806">
        <v>0</v>
      </c>
      <c r="N1806">
        <v>28.8</v>
      </c>
      <c r="O1806" t="s">
        <v>22</v>
      </c>
      <c r="P1806">
        <v>20230218</v>
      </c>
      <c r="Q1806">
        <v>20220511</v>
      </c>
    </row>
    <row r="1807" spans="1:17" x14ac:dyDescent="0.25">
      <c r="A1807" t="s">
        <v>548</v>
      </c>
      <c r="B1807" t="s">
        <v>429</v>
      </c>
      <c r="C1807">
        <v>69</v>
      </c>
      <c r="D1807">
        <v>20220511</v>
      </c>
      <c r="E1807">
        <f t="shared" si="28"/>
        <v>5</v>
      </c>
      <c r="F1807">
        <v>531105</v>
      </c>
      <c r="G1807" t="s">
        <v>429</v>
      </c>
      <c r="H1807" t="s">
        <v>401</v>
      </c>
      <c r="I1807" t="s">
        <v>402</v>
      </c>
      <c r="J1807">
        <v>340494</v>
      </c>
      <c r="K1807">
        <v>20220511</v>
      </c>
      <c r="L1807" t="s">
        <v>565</v>
      </c>
      <c r="M1807">
        <v>285.76</v>
      </c>
      <c r="N1807">
        <v>0</v>
      </c>
      <c r="O1807" t="s">
        <v>19</v>
      </c>
      <c r="P1807" t="s">
        <v>20</v>
      </c>
      <c r="Q1807">
        <v>20220511</v>
      </c>
    </row>
    <row r="1808" spans="1:17" x14ac:dyDescent="0.25">
      <c r="A1808" t="s">
        <v>548</v>
      </c>
      <c r="B1808" t="s">
        <v>429</v>
      </c>
      <c r="C1808">
        <v>69</v>
      </c>
      <c r="D1808">
        <v>20220511</v>
      </c>
      <c r="E1808">
        <f t="shared" si="28"/>
        <v>5</v>
      </c>
      <c r="F1808">
        <v>411100</v>
      </c>
      <c r="G1808" t="s">
        <v>18</v>
      </c>
      <c r="H1808" t="s">
        <v>352</v>
      </c>
      <c r="I1808" t="s">
        <v>353</v>
      </c>
      <c r="J1808">
        <v>340568</v>
      </c>
      <c r="K1808">
        <v>20220511</v>
      </c>
      <c r="L1808" t="s">
        <v>2199</v>
      </c>
      <c r="M1808">
        <v>0</v>
      </c>
      <c r="N1808">
        <v>98.82</v>
      </c>
      <c r="O1808" t="s">
        <v>22</v>
      </c>
      <c r="P1808">
        <v>20230218</v>
      </c>
      <c r="Q1808">
        <v>20220511</v>
      </c>
    </row>
    <row r="1809" spans="1:17" x14ac:dyDescent="0.25">
      <c r="A1809" t="s">
        <v>548</v>
      </c>
      <c r="B1809" t="s">
        <v>429</v>
      </c>
      <c r="C1809">
        <v>69</v>
      </c>
      <c r="D1809">
        <v>20220511</v>
      </c>
      <c r="E1809">
        <f t="shared" si="28"/>
        <v>5</v>
      </c>
      <c r="F1809">
        <v>411100</v>
      </c>
      <c r="G1809" t="s">
        <v>18</v>
      </c>
      <c r="H1809" t="s">
        <v>352</v>
      </c>
      <c r="I1809" t="s">
        <v>353</v>
      </c>
      <c r="J1809">
        <v>340569</v>
      </c>
      <c r="K1809">
        <v>20220511</v>
      </c>
      <c r="L1809" t="s">
        <v>2200</v>
      </c>
      <c r="M1809">
        <v>4.5199999999999996</v>
      </c>
      <c r="N1809">
        <v>0</v>
      </c>
      <c r="O1809" t="s">
        <v>19</v>
      </c>
      <c r="P1809" t="s">
        <v>20</v>
      </c>
      <c r="Q1809">
        <v>20220511</v>
      </c>
    </row>
    <row r="1810" spans="1:17" x14ac:dyDescent="0.25">
      <c r="A1810" t="s">
        <v>548</v>
      </c>
      <c r="B1810" t="s">
        <v>429</v>
      </c>
      <c r="C1810">
        <v>69</v>
      </c>
      <c r="D1810">
        <v>20220511</v>
      </c>
      <c r="E1810">
        <f t="shared" si="28"/>
        <v>5</v>
      </c>
      <c r="F1810">
        <v>531105</v>
      </c>
      <c r="G1810" t="s">
        <v>429</v>
      </c>
      <c r="H1810" t="s">
        <v>401</v>
      </c>
      <c r="I1810" t="s">
        <v>402</v>
      </c>
      <c r="J1810">
        <v>340570</v>
      </c>
      <c r="K1810">
        <v>20220511</v>
      </c>
      <c r="L1810" t="s">
        <v>565</v>
      </c>
      <c r="M1810">
        <v>94.3</v>
      </c>
      <c r="N1810">
        <v>0</v>
      </c>
      <c r="O1810" t="s">
        <v>19</v>
      </c>
      <c r="P1810" t="s">
        <v>20</v>
      </c>
      <c r="Q1810">
        <v>20220511</v>
      </c>
    </row>
    <row r="1811" spans="1:17" x14ac:dyDescent="0.25">
      <c r="A1811" t="s">
        <v>548</v>
      </c>
      <c r="B1811" t="s">
        <v>429</v>
      </c>
      <c r="C1811">
        <v>69</v>
      </c>
      <c r="D1811">
        <v>20220512</v>
      </c>
      <c r="E1811">
        <f t="shared" si="28"/>
        <v>5</v>
      </c>
      <c r="F1811">
        <v>411100</v>
      </c>
      <c r="G1811" t="s">
        <v>18</v>
      </c>
      <c r="H1811" t="s">
        <v>354</v>
      </c>
      <c r="I1811" t="s">
        <v>355</v>
      </c>
      <c r="J1811">
        <v>122020019</v>
      </c>
      <c r="K1811">
        <v>20220512</v>
      </c>
      <c r="L1811" t="s">
        <v>2201</v>
      </c>
      <c r="M1811">
        <v>0</v>
      </c>
      <c r="N1811">
        <v>38.4</v>
      </c>
      <c r="O1811" t="s">
        <v>19</v>
      </c>
      <c r="P1811" t="s">
        <v>20</v>
      </c>
      <c r="Q1811">
        <v>20220512</v>
      </c>
    </row>
    <row r="1812" spans="1:17" x14ac:dyDescent="0.25">
      <c r="A1812" t="s">
        <v>548</v>
      </c>
      <c r="B1812" t="s">
        <v>429</v>
      </c>
      <c r="C1812">
        <v>69</v>
      </c>
      <c r="D1812">
        <v>20220512</v>
      </c>
      <c r="E1812">
        <f t="shared" si="28"/>
        <v>5</v>
      </c>
      <c r="F1812">
        <v>411100</v>
      </c>
      <c r="G1812" t="s">
        <v>18</v>
      </c>
      <c r="H1812" t="s">
        <v>787</v>
      </c>
      <c r="I1812" t="s">
        <v>788</v>
      </c>
      <c r="J1812">
        <v>340496</v>
      </c>
      <c r="K1812">
        <v>20220512</v>
      </c>
      <c r="L1812" t="s">
        <v>2202</v>
      </c>
      <c r="M1812">
        <v>0</v>
      </c>
      <c r="N1812">
        <v>75</v>
      </c>
      <c r="O1812" t="s">
        <v>19</v>
      </c>
      <c r="P1812" t="s">
        <v>20</v>
      </c>
      <c r="Q1812">
        <v>20220512</v>
      </c>
    </row>
    <row r="1813" spans="1:17" x14ac:dyDescent="0.25">
      <c r="A1813" t="s">
        <v>548</v>
      </c>
      <c r="B1813" t="s">
        <v>429</v>
      </c>
      <c r="C1813">
        <v>69</v>
      </c>
      <c r="D1813">
        <v>20220512</v>
      </c>
      <c r="E1813">
        <f t="shared" si="28"/>
        <v>5</v>
      </c>
      <c r="F1813">
        <v>411100</v>
      </c>
      <c r="G1813" t="s">
        <v>18</v>
      </c>
      <c r="H1813" t="s">
        <v>194</v>
      </c>
      <c r="I1813" t="s">
        <v>195</v>
      </c>
      <c r="J1813">
        <v>340497</v>
      </c>
      <c r="K1813">
        <v>20220512</v>
      </c>
      <c r="L1813" t="s">
        <v>2203</v>
      </c>
      <c r="M1813">
        <v>0</v>
      </c>
      <c r="N1813">
        <v>12.25</v>
      </c>
      <c r="O1813" t="s">
        <v>23</v>
      </c>
      <c r="P1813">
        <v>20230329</v>
      </c>
      <c r="Q1813">
        <v>20220512</v>
      </c>
    </row>
    <row r="1814" spans="1:17" x14ac:dyDescent="0.25">
      <c r="A1814" t="s">
        <v>548</v>
      </c>
      <c r="B1814" t="s">
        <v>429</v>
      </c>
      <c r="C1814">
        <v>69</v>
      </c>
      <c r="D1814">
        <v>20220512</v>
      </c>
      <c r="E1814">
        <f t="shared" si="28"/>
        <v>5</v>
      </c>
      <c r="F1814">
        <v>531105</v>
      </c>
      <c r="G1814" t="s">
        <v>429</v>
      </c>
      <c r="H1814" t="s">
        <v>401</v>
      </c>
      <c r="I1814" t="s">
        <v>402</v>
      </c>
      <c r="J1814">
        <v>340498</v>
      </c>
      <c r="K1814">
        <v>20220512</v>
      </c>
      <c r="L1814" t="s">
        <v>565</v>
      </c>
      <c r="M1814">
        <v>125.65</v>
      </c>
      <c r="N1814">
        <v>0</v>
      </c>
      <c r="O1814" t="s">
        <v>19</v>
      </c>
      <c r="P1814" t="s">
        <v>20</v>
      </c>
      <c r="Q1814">
        <v>20220512</v>
      </c>
    </row>
    <row r="1815" spans="1:17" x14ac:dyDescent="0.25">
      <c r="A1815" t="s">
        <v>548</v>
      </c>
      <c r="B1815" t="s">
        <v>429</v>
      </c>
      <c r="C1815">
        <v>69</v>
      </c>
      <c r="D1815">
        <v>20220512</v>
      </c>
      <c r="E1815">
        <f t="shared" si="28"/>
        <v>5</v>
      </c>
      <c r="F1815">
        <v>411020</v>
      </c>
      <c r="G1815" t="s">
        <v>30</v>
      </c>
      <c r="H1815" t="s">
        <v>371</v>
      </c>
      <c r="I1815" t="s">
        <v>372</v>
      </c>
      <c r="J1815">
        <v>322040017</v>
      </c>
      <c r="K1815">
        <v>20220512</v>
      </c>
      <c r="L1815" t="s">
        <v>2204</v>
      </c>
      <c r="M1815">
        <v>0</v>
      </c>
      <c r="N1815">
        <v>121.26</v>
      </c>
      <c r="O1815" t="s">
        <v>22</v>
      </c>
      <c r="P1815">
        <v>20230218</v>
      </c>
      <c r="Q1815">
        <v>20220512</v>
      </c>
    </row>
    <row r="1816" spans="1:17" x14ac:dyDescent="0.25">
      <c r="A1816" t="s">
        <v>548</v>
      </c>
      <c r="B1816" t="s">
        <v>429</v>
      </c>
      <c r="C1816">
        <v>69</v>
      </c>
      <c r="D1816">
        <v>20220512</v>
      </c>
      <c r="E1816">
        <f t="shared" si="28"/>
        <v>5</v>
      </c>
      <c r="F1816">
        <v>411020</v>
      </c>
      <c r="G1816" t="s">
        <v>30</v>
      </c>
      <c r="H1816" t="s">
        <v>371</v>
      </c>
      <c r="I1816" t="s">
        <v>372</v>
      </c>
      <c r="J1816">
        <v>322040017</v>
      </c>
      <c r="K1816">
        <v>20220512</v>
      </c>
      <c r="L1816" t="s">
        <v>2205</v>
      </c>
      <c r="M1816">
        <v>0</v>
      </c>
      <c r="N1816">
        <v>0.74</v>
      </c>
      <c r="O1816" t="s">
        <v>22</v>
      </c>
      <c r="P1816">
        <v>20230218</v>
      </c>
      <c r="Q1816">
        <v>20220512</v>
      </c>
    </row>
    <row r="1817" spans="1:17" x14ac:dyDescent="0.25">
      <c r="A1817" t="s">
        <v>548</v>
      </c>
      <c r="B1817" t="s">
        <v>429</v>
      </c>
      <c r="C1817">
        <v>69</v>
      </c>
      <c r="D1817">
        <v>20220512</v>
      </c>
      <c r="E1817">
        <f t="shared" si="28"/>
        <v>5</v>
      </c>
      <c r="F1817">
        <v>411100</v>
      </c>
      <c r="G1817" t="s">
        <v>18</v>
      </c>
      <c r="H1817" t="s">
        <v>247</v>
      </c>
      <c r="I1817" t="s">
        <v>248</v>
      </c>
      <c r="J1817">
        <v>321120005</v>
      </c>
      <c r="K1817">
        <v>20220512</v>
      </c>
      <c r="L1817" t="s">
        <v>2206</v>
      </c>
      <c r="M1817">
        <v>0</v>
      </c>
      <c r="N1817">
        <v>43.29</v>
      </c>
      <c r="O1817" t="s">
        <v>19</v>
      </c>
      <c r="P1817" t="s">
        <v>20</v>
      </c>
      <c r="Q1817">
        <v>20220512</v>
      </c>
    </row>
    <row r="1818" spans="1:17" x14ac:dyDescent="0.25">
      <c r="A1818" t="s">
        <v>548</v>
      </c>
      <c r="B1818" t="s">
        <v>429</v>
      </c>
      <c r="C1818">
        <v>69</v>
      </c>
      <c r="D1818">
        <v>20220512</v>
      </c>
      <c r="E1818">
        <f t="shared" si="28"/>
        <v>5</v>
      </c>
      <c r="F1818">
        <v>411100</v>
      </c>
      <c r="G1818" t="s">
        <v>18</v>
      </c>
      <c r="H1818" t="s">
        <v>247</v>
      </c>
      <c r="I1818" t="s">
        <v>248</v>
      </c>
      <c r="J1818">
        <v>321120005</v>
      </c>
      <c r="K1818">
        <v>20220512</v>
      </c>
      <c r="L1818" t="s">
        <v>2207</v>
      </c>
      <c r="M1818">
        <v>0</v>
      </c>
      <c r="N1818">
        <v>6.71</v>
      </c>
      <c r="O1818" t="s">
        <v>19</v>
      </c>
      <c r="P1818" t="s">
        <v>20</v>
      </c>
      <c r="Q1818">
        <v>20220512</v>
      </c>
    </row>
    <row r="1819" spans="1:17" x14ac:dyDescent="0.25">
      <c r="A1819" t="s">
        <v>548</v>
      </c>
      <c r="B1819" t="s">
        <v>429</v>
      </c>
      <c r="C1819">
        <v>69</v>
      </c>
      <c r="D1819">
        <v>20220512</v>
      </c>
      <c r="E1819">
        <f t="shared" si="28"/>
        <v>5</v>
      </c>
      <c r="F1819">
        <v>531105</v>
      </c>
      <c r="G1819" t="s">
        <v>429</v>
      </c>
      <c r="H1819" t="s">
        <v>401</v>
      </c>
      <c r="I1819" t="s">
        <v>402</v>
      </c>
      <c r="J1819">
        <v>340547</v>
      </c>
      <c r="K1819">
        <v>20220512</v>
      </c>
      <c r="L1819" t="s">
        <v>565</v>
      </c>
      <c r="M1819">
        <v>172</v>
      </c>
      <c r="N1819">
        <v>0</v>
      </c>
      <c r="O1819" t="s">
        <v>19</v>
      </c>
      <c r="P1819" t="s">
        <v>20</v>
      </c>
      <c r="Q1819">
        <v>20220512</v>
      </c>
    </row>
    <row r="1820" spans="1:17" x14ac:dyDescent="0.25">
      <c r="A1820" t="s">
        <v>548</v>
      </c>
      <c r="B1820" t="s">
        <v>429</v>
      </c>
      <c r="C1820">
        <v>69</v>
      </c>
      <c r="D1820">
        <v>20220512</v>
      </c>
      <c r="E1820">
        <f t="shared" si="28"/>
        <v>5</v>
      </c>
      <c r="F1820">
        <v>411000</v>
      </c>
      <c r="G1820" t="s">
        <v>21</v>
      </c>
      <c r="H1820" t="s">
        <v>271</v>
      </c>
      <c r="I1820" t="s">
        <v>272</v>
      </c>
      <c r="J1820">
        <v>340571</v>
      </c>
      <c r="K1820">
        <v>20220512</v>
      </c>
      <c r="L1820" t="s">
        <v>2208</v>
      </c>
      <c r="M1820">
        <v>0</v>
      </c>
      <c r="N1820">
        <v>43.4</v>
      </c>
      <c r="O1820" t="s">
        <v>22</v>
      </c>
      <c r="P1820">
        <v>20230218</v>
      </c>
      <c r="Q1820">
        <v>20220512</v>
      </c>
    </row>
    <row r="1821" spans="1:17" x14ac:dyDescent="0.25">
      <c r="A1821" t="s">
        <v>548</v>
      </c>
      <c r="B1821" t="s">
        <v>429</v>
      </c>
      <c r="C1821">
        <v>69</v>
      </c>
      <c r="D1821">
        <v>20220512</v>
      </c>
      <c r="E1821">
        <f t="shared" si="28"/>
        <v>5</v>
      </c>
      <c r="F1821">
        <v>411100</v>
      </c>
      <c r="G1821" t="s">
        <v>18</v>
      </c>
      <c r="H1821" t="s">
        <v>136</v>
      </c>
      <c r="I1821" t="s">
        <v>137</v>
      </c>
      <c r="J1821">
        <v>222010025</v>
      </c>
      <c r="K1821">
        <v>20220512</v>
      </c>
      <c r="L1821" t="s">
        <v>2209</v>
      </c>
      <c r="M1821">
        <v>0</v>
      </c>
      <c r="N1821">
        <v>77.64</v>
      </c>
      <c r="O1821" t="s">
        <v>22</v>
      </c>
      <c r="P1821">
        <v>20230218</v>
      </c>
      <c r="Q1821">
        <v>20220512</v>
      </c>
    </row>
    <row r="1822" spans="1:17" x14ac:dyDescent="0.25">
      <c r="A1822" t="s">
        <v>548</v>
      </c>
      <c r="B1822" t="s">
        <v>429</v>
      </c>
      <c r="C1822">
        <v>69</v>
      </c>
      <c r="D1822">
        <v>20220512</v>
      </c>
      <c r="E1822">
        <f t="shared" si="28"/>
        <v>5</v>
      </c>
      <c r="F1822">
        <v>531105</v>
      </c>
      <c r="G1822" t="s">
        <v>429</v>
      </c>
      <c r="H1822" t="s">
        <v>401</v>
      </c>
      <c r="I1822" t="s">
        <v>402</v>
      </c>
      <c r="J1822">
        <v>340573</v>
      </c>
      <c r="K1822">
        <v>20220512</v>
      </c>
      <c r="L1822" t="s">
        <v>565</v>
      </c>
      <c r="M1822">
        <v>121.04</v>
      </c>
      <c r="N1822">
        <v>0</v>
      </c>
      <c r="O1822" t="s">
        <v>19</v>
      </c>
      <c r="P1822" t="s">
        <v>20</v>
      </c>
      <c r="Q1822">
        <v>20220512</v>
      </c>
    </row>
    <row r="1823" spans="1:17" x14ac:dyDescent="0.25">
      <c r="A1823" t="s">
        <v>548</v>
      </c>
      <c r="B1823" t="s">
        <v>429</v>
      </c>
      <c r="C1823">
        <v>69</v>
      </c>
      <c r="D1823">
        <v>20220513</v>
      </c>
      <c r="E1823">
        <f t="shared" si="28"/>
        <v>5</v>
      </c>
      <c r="F1823">
        <v>467100</v>
      </c>
      <c r="G1823" t="s">
        <v>160</v>
      </c>
      <c r="H1823" t="s">
        <v>183</v>
      </c>
      <c r="I1823" t="s">
        <v>184</v>
      </c>
      <c r="J1823" t="s">
        <v>2210</v>
      </c>
      <c r="K1823">
        <v>20220513</v>
      </c>
      <c r="L1823" t="s">
        <v>2211</v>
      </c>
      <c r="M1823">
        <v>194.97</v>
      </c>
      <c r="N1823">
        <v>0</v>
      </c>
      <c r="O1823" t="s">
        <v>23</v>
      </c>
      <c r="P1823">
        <v>20220525</v>
      </c>
      <c r="Q1823">
        <v>20220513</v>
      </c>
    </row>
    <row r="1824" spans="1:17" x14ac:dyDescent="0.25">
      <c r="A1824" t="s">
        <v>548</v>
      </c>
      <c r="B1824" t="s">
        <v>429</v>
      </c>
      <c r="C1824">
        <v>69</v>
      </c>
      <c r="D1824">
        <v>20220513</v>
      </c>
      <c r="E1824">
        <f t="shared" si="28"/>
        <v>5</v>
      </c>
      <c r="F1824">
        <v>531105</v>
      </c>
      <c r="G1824" t="s">
        <v>429</v>
      </c>
      <c r="H1824" t="s">
        <v>401</v>
      </c>
      <c r="I1824" t="s">
        <v>402</v>
      </c>
      <c r="J1824" t="s">
        <v>2210</v>
      </c>
      <c r="K1824">
        <v>20220513</v>
      </c>
      <c r="L1824" t="s">
        <v>2211</v>
      </c>
      <c r="M1824">
        <v>0</v>
      </c>
      <c r="N1824">
        <v>194.97</v>
      </c>
      <c r="O1824" t="s">
        <v>19</v>
      </c>
      <c r="P1824" t="s">
        <v>20</v>
      </c>
      <c r="Q1824">
        <v>20220513</v>
      </c>
    </row>
    <row r="1825" spans="1:17" x14ac:dyDescent="0.25">
      <c r="A1825" t="s">
        <v>548</v>
      </c>
      <c r="B1825" t="s">
        <v>429</v>
      </c>
      <c r="C1825">
        <v>69</v>
      </c>
      <c r="D1825">
        <v>20220513</v>
      </c>
      <c r="E1825">
        <f t="shared" si="28"/>
        <v>5</v>
      </c>
      <c r="F1825">
        <v>411020</v>
      </c>
      <c r="G1825" t="s">
        <v>30</v>
      </c>
      <c r="H1825" t="s">
        <v>324</v>
      </c>
      <c r="I1825" t="s">
        <v>325</v>
      </c>
      <c r="J1825">
        <v>322040004</v>
      </c>
      <c r="K1825">
        <v>20220513</v>
      </c>
      <c r="L1825" t="s">
        <v>2212</v>
      </c>
      <c r="M1825">
        <v>0</v>
      </c>
      <c r="N1825">
        <v>19.600000000000001</v>
      </c>
      <c r="O1825" t="s">
        <v>23</v>
      </c>
      <c r="P1825">
        <v>20230218</v>
      </c>
      <c r="Q1825">
        <v>20220513</v>
      </c>
    </row>
    <row r="1826" spans="1:17" x14ac:dyDescent="0.25">
      <c r="A1826" t="s">
        <v>548</v>
      </c>
      <c r="B1826" t="s">
        <v>429</v>
      </c>
      <c r="C1826">
        <v>69</v>
      </c>
      <c r="D1826">
        <v>20220513</v>
      </c>
      <c r="E1826">
        <f t="shared" si="28"/>
        <v>5</v>
      </c>
      <c r="F1826">
        <v>411020</v>
      </c>
      <c r="G1826" t="s">
        <v>30</v>
      </c>
      <c r="H1826" t="s">
        <v>324</v>
      </c>
      <c r="I1826" t="s">
        <v>325</v>
      </c>
      <c r="J1826">
        <v>322040004</v>
      </c>
      <c r="K1826">
        <v>20220513</v>
      </c>
      <c r="L1826" t="s">
        <v>2213</v>
      </c>
      <c r="M1826">
        <v>0</v>
      </c>
      <c r="N1826">
        <v>0.4</v>
      </c>
      <c r="O1826" t="s">
        <v>23</v>
      </c>
      <c r="P1826">
        <v>20230218</v>
      </c>
      <c r="Q1826">
        <v>20220513</v>
      </c>
    </row>
    <row r="1827" spans="1:17" x14ac:dyDescent="0.25">
      <c r="A1827" t="s">
        <v>548</v>
      </c>
      <c r="B1827" t="s">
        <v>429</v>
      </c>
      <c r="C1827">
        <v>69</v>
      </c>
      <c r="D1827">
        <v>20220513</v>
      </c>
      <c r="E1827">
        <f t="shared" si="28"/>
        <v>5</v>
      </c>
      <c r="F1827">
        <v>411020</v>
      </c>
      <c r="G1827" t="s">
        <v>30</v>
      </c>
      <c r="H1827" t="s">
        <v>338</v>
      </c>
      <c r="I1827" t="s">
        <v>339</v>
      </c>
      <c r="J1827">
        <v>322040024</v>
      </c>
      <c r="K1827">
        <v>20220513</v>
      </c>
      <c r="L1827" t="s">
        <v>2214</v>
      </c>
      <c r="M1827">
        <v>0</v>
      </c>
      <c r="N1827">
        <v>40.78</v>
      </c>
      <c r="O1827" t="s">
        <v>22</v>
      </c>
      <c r="P1827">
        <v>20230218</v>
      </c>
      <c r="Q1827">
        <v>20220513</v>
      </c>
    </row>
    <row r="1828" spans="1:17" x14ac:dyDescent="0.25">
      <c r="A1828" t="s">
        <v>548</v>
      </c>
      <c r="B1828" t="s">
        <v>429</v>
      </c>
      <c r="C1828">
        <v>69</v>
      </c>
      <c r="D1828">
        <v>20220513</v>
      </c>
      <c r="E1828">
        <f t="shared" si="28"/>
        <v>5</v>
      </c>
      <c r="F1828">
        <v>411020</v>
      </c>
      <c r="G1828" t="s">
        <v>30</v>
      </c>
      <c r="H1828" t="s">
        <v>338</v>
      </c>
      <c r="I1828" t="s">
        <v>339</v>
      </c>
      <c r="J1828">
        <v>322040024</v>
      </c>
      <c r="K1828">
        <v>20220513</v>
      </c>
      <c r="L1828" t="s">
        <v>2215</v>
      </c>
      <c r="M1828">
        <v>0</v>
      </c>
      <c r="N1828">
        <v>0.22</v>
      </c>
      <c r="O1828" t="s">
        <v>22</v>
      </c>
      <c r="P1828">
        <v>20230218</v>
      </c>
      <c r="Q1828">
        <v>20220513</v>
      </c>
    </row>
    <row r="1829" spans="1:17" x14ac:dyDescent="0.25">
      <c r="A1829" t="s">
        <v>548</v>
      </c>
      <c r="B1829" t="s">
        <v>429</v>
      </c>
      <c r="C1829">
        <v>69</v>
      </c>
      <c r="D1829">
        <v>20220513</v>
      </c>
      <c r="E1829">
        <f t="shared" si="28"/>
        <v>5</v>
      </c>
      <c r="F1829">
        <v>411020</v>
      </c>
      <c r="G1829" t="s">
        <v>30</v>
      </c>
      <c r="H1829" t="s">
        <v>1631</v>
      </c>
      <c r="I1829" t="s">
        <v>1632</v>
      </c>
      <c r="J1829">
        <v>322030013</v>
      </c>
      <c r="K1829">
        <v>20220513</v>
      </c>
      <c r="L1829" t="s">
        <v>2216</v>
      </c>
      <c r="M1829">
        <v>0</v>
      </c>
      <c r="N1829">
        <v>15.29</v>
      </c>
      <c r="O1829" t="s">
        <v>19</v>
      </c>
      <c r="P1829" t="s">
        <v>20</v>
      </c>
      <c r="Q1829">
        <v>20220513</v>
      </c>
    </row>
    <row r="1830" spans="1:17" x14ac:dyDescent="0.25">
      <c r="A1830" t="s">
        <v>548</v>
      </c>
      <c r="B1830" t="s">
        <v>429</v>
      </c>
      <c r="C1830">
        <v>69</v>
      </c>
      <c r="D1830">
        <v>20220513</v>
      </c>
      <c r="E1830">
        <f t="shared" si="28"/>
        <v>5</v>
      </c>
      <c r="F1830">
        <v>411020</v>
      </c>
      <c r="G1830" t="s">
        <v>30</v>
      </c>
      <c r="H1830" t="s">
        <v>1631</v>
      </c>
      <c r="I1830" t="s">
        <v>1632</v>
      </c>
      <c r="J1830">
        <v>322030013</v>
      </c>
      <c r="K1830">
        <v>20220513</v>
      </c>
      <c r="L1830" t="s">
        <v>2217</v>
      </c>
      <c r="M1830">
        <v>0</v>
      </c>
      <c r="N1830">
        <v>0.01</v>
      </c>
      <c r="O1830" t="s">
        <v>19</v>
      </c>
      <c r="P1830" t="s">
        <v>20</v>
      </c>
      <c r="Q1830">
        <v>20220513</v>
      </c>
    </row>
    <row r="1831" spans="1:17" x14ac:dyDescent="0.25">
      <c r="A1831" t="s">
        <v>548</v>
      </c>
      <c r="B1831" t="s">
        <v>429</v>
      </c>
      <c r="C1831">
        <v>69</v>
      </c>
      <c r="D1831">
        <v>20220513</v>
      </c>
      <c r="E1831">
        <f t="shared" si="28"/>
        <v>5</v>
      </c>
      <c r="F1831">
        <v>531105</v>
      </c>
      <c r="G1831" t="s">
        <v>429</v>
      </c>
      <c r="H1831" t="s">
        <v>401</v>
      </c>
      <c r="I1831" t="s">
        <v>402</v>
      </c>
      <c r="J1831">
        <v>340554</v>
      </c>
      <c r="K1831">
        <v>20220513</v>
      </c>
      <c r="L1831" t="s">
        <v>565</v>
      </c>
      <c r="M1831">
        <v>76.3</v>
      </c>
      <c r="N1831">
        <v>0</v>
      </c>
      <c r="O1831" t="s">
        <v>19</v>
      </c>
      <c r="P1831" t="s">
        <v>20</v>
      </c>
      <c r="Q1831">
        <v>20220513</v>
      </c>
    </row>
    <row r="1832" spans="1:17" x14ac:dyDescent="0.25">
      <c r="A1832" t="s">
        <v>548</v>
      </c>
      <c r="B1832" t="s">
        <v>429</v>
      </c>
      <c r="C1832">
        <v>69</v>
      </c>
      <c r="D1832">
        <v>20220516</v>
      </c>
      <c r="E1832">
        <f t="shared" si="28"/>
        <v>5</v>
      </c>
      <c r="F1832">
        <v>411100</v>
      </c>
      <c r="G1832" t="s">
        <v>18</v>
      </c>
      <c r="H1832" t="s">
        <v>592</v>
      </c>
      <c r="I1832" t="s">
        <v>593</v>
      </c>
      <c r="J1832">
        <v>340499</v>
      </c>
      <c r="K1832">
        <v>20220516</v>
      </c>
      <c r="L1832" t="s">
        <v>2218</v>
      </c>
      <c r="M1832">
        <v>0</v>
      </c>
      <c r="N1832">
        <v>60</v>
      </c>
      <c r="O1832" t="s">
        <v>19</v>
      </c>
      <c r="P1832" t="s">
        <v>20</v>
      </c>
      <c r="Q1832">
        <v>20220516</v>
      </c>
    </row>
    <row r="1833" spans="1:17" x14ac:dyDescent="0.25">
      <c r="A1833" t="s">
        <v>548</v>
      </c>
      <c r="B1833" t="s">
        <v>429</v>
      </c>
      <c r="C1833">
        <v>69</v>
      </c>
      <c r="D1833">
        <v>20220516</v>
      </c>
      <c r="E1833">
        <f t="shared" si="28"/>
        <v>5</v>
      </c>
      <c r="F1833">
        <v>531105</v>
      </c>
      <c r="G1833" t="s">
        <v>429</v>
      </c>
      <c r="H1833" t="s">
        <v>401</v>
      </c>
      <c r="I1833" t="s">
        <v>402</v>
      </c>
      <c r="J1833">
        <v>340500</v>
      </c>
      <c r="K1833">
        <v>20220516</v>
      </c>
      <c r="L1833" t="s">
        <v>565</v>
      </c>
      <c r="M1833">
        <v>60</v>
      </c>
      <c r="N1833">
        <v>0</v>
      </c>
      <c r="O1833" t="s">
        <v>19</v>
      </c>
      <c r="P1833" t="s">
        <v>20</v>
      </c>
      <c r="Q1833">
        <v>20220516</v>
      </c>
    </row>
    <row r="1834" spans="1:17" x14ac:dyDescent="0.25">
      <c r="A1834" t="s">
        <v>548</v>
      </c>
      <c r="B1834" t="s">
        <v>429</v>
      </c>
      <c r="C1834">
        <v>69</v>
      </c>
      <c r="D1834">
        <v>20220516</v>
      </c>
      <c r="E1834">
        <f t="shared" si="28"/>
        <v>5</v>
      </c>
      <c r="F1834">
        <v>411100</v>
      </c>
      <c r="G1834" t="s">
        <v>18</v>
      </c>
      <c r="H1834" t="s">
        <v>2219</v>
      </c>
      <c r="I1834" t="s">
        <v>2220</v>
      </c>
      <c r="J1834">
        <v>340607</v>
      </c>
      <c r="K1834">
        <v>20220516</v>
      </c>
      <c r="L1834" t="s">
        <v>2221</v>
      </c>
      <c r="M1834">
        <v>0</v>
      </c>
      <c r="N1834">
        <v>22</v>
      </c>
      <c r="O1834" t="s">
        <v>22</v>
      </c>
      <c r="P1834">
        <v>20230218</v>
      </c>
      <c r="Q1834">
        <v>20220516</v>
      </c>
    </row>
    <row r="1835" spans="1:17" x14ac:dyDescent="0.25">
      <c r="A1835" t="s">
        <v>548</v>
      </c>
      <c r="B1835" t="s">
        <v>429</v>
      </c>
      <c r="C1835">
        <v>69</v>
      </c>
      <c r="D1835">
        <v>20220516</v>
      </c>
      <c r="E1835">
        <f t="shared" si="28"/>
        <v>5</v>
      </c>
      <c r="F1835">
        <v>531105</v>
      </c>
      <c r="G1835" t="s">
        <v>429</v>
      </c>
      <c r="H1835" t="s">
        <v>401</v>
      </c>
      <c r="I1835" t="s">
        <v>402</v>
      </c>
      <c r="J1835">
        <v>340608</v>
      </c>
      <c r="K1835">
        <v>20220516</v>
      </c>
      <c r="L1835" t="s">
        <v>565</v>
      </c>
      <c r="M1835">
        <v>22</v>
      </c>
      <c r="N1835">
        <v>0</v>
      </c>
      <c r="O1835" t="s">
        <v>19</v>
      </c>
      <c r="P1835" t="s">
        <v>20</v>
      </c>
      <c r="Q1835">
        <v>20220516</v>
      </c>
    </row>
    <row r="1836" spans="1:17" x14ac:dyDescent="0.25">
      <c r="A1836" t="s">
        <v>548</v>
      </c>
      <c r="B1836" t="s">
        <v>429</v>
      </c>
      <c r="C1836">
        <v>69</v>
      </c>
      <c r="D1836">
        <v>20220516</v>
      </c>
      <c r="E1836">
        <f t="shared" si="28"/>
        <v>5</v>
      </c>
      <c r="F1836">
        <v>411100</v>
      </c>
      <c r="G1836" t="s">
        <v>18</v>
      </c>
      <c r="H1836" t="s">
        <v>233</v>
      </c>
      <c r="I1836" t="s">
        <v>234</v>
      </c>
      <c r="J1836">
        <v>340611</v>
      </c>
      <c r="K1836">
        <v>20220516</v>
      </c>
      <c r="L1836" t="s">
        <v>2222</v>
      </c>
      <c r="M1836">
        <v>0</v>
      </c>
      <c r="N1836">
        <v>38.15</v>
      </c>
      <c r="O1836" t="s">
        <v>19</v>
      </c>
      <c r="P1836" t="s">
        <v>20</v>
      </c>
      <c r="Q1836">
        <v>20220516</v>
      </c>
    </row>
    <row r="1837" spans="1:17" x14ac:dyDescent="0.25">
      <c r="A1837" t="s">
        <v>548</v>
      </c>
      <c r="B1837" t="s">
        <v>429</v>
      </c>
      <c r="C1837">
        <v>69</v>
      </c>
      <c r="D1837">
        <v>20220516</v>
      </c>
      <c r="E1837">
        <f t="shared" si="28"/>
        <v>5</v>
      </c>
      <c r="F1837">
        <v>531105</v>
      </c>
      <c r="G1837" t="s">
        <v>429</v>
      </c>
      <c r="H1837" t="s">
        <v>401</v>
      </c>
      <c r="I1837" t="s">
        <v>402</v>
      </c>
      <c r="J1837">
        <v>340612</v>
      </c>
      <c r="K1837">
        <v>20220516</v>
      </c>
      <c r="L1837" t="s">
        <v>565</v>
      </c>
      <c r="M1837">
        <v>38.15</v>
      </c>
      <c r="N1837">
        <v>0</v>
      </c>
      <c r="O1837" t="s">
        <v>19</v>
      </c>
      <c r="P1837" t="s">
        <v>20</v>
      </c>
      <c r="Q1837">
        <v>20220516</v>
      </c>
    </row>
    <row r="1838" spans="1:17" x14ac:dyDescent="0.25">
      <c r="A1838" t="s">
        <v>548</v>
      </c>
      <c r="B1838" t="s">
        <v>429</v>
      </c>
      <c r="C1838">
        <v>69</v>
      </c>
      <c r="D1838">
        <v>20220517</v>
      </c>
      <c r="E1838">
        <f t="shared" si="28"/>
        <v>5</v>
      </c>
      <c r="F1838">
        <v>411100</v>
      </c>
      <c r="G1838" t="s">
        <v>18</v>
      </c>
      <c r="H1838" t="s">
        <v>85</v>
      </c>
      <c r="I1838" t="s">
        <v>86</v>
      </c>
      <c r="J1838">
        <v>322040001</v>
      </c>
      <c r="K1838">
        <v>20220517</v>
      </c>
      <c r="L1838" t="s">
        <v>2223</v>
      </c>
      <c r="M1838">
        <v>0</v>
      </c>
      <c r="N1838">
        <v>72.88</v>
      </c>
      <c r="O1838" t="s">
        <v>23</v>
      </c>
      <c r="P1838">
        <v>20230218</v>
      </c>
      <c r="Q1838">
        <v>20220517</v>
      </c>
    </row>
    <row r="1839" spans="1:17" x14ac:dyDescent="0.25">
      <c r="A1839" t="s">
        <v>548</v>
      </c>
      <c r="B1839" t="s">
        <v>429</v>
      </c>
      <c r="C1839">
        <v>69</v>
      </c>
      <c r="D1839">
        <v>20220517</v>
      </c>
      <c r="E1839">
        <f t="shared" si="28"/>
        <v>5</v>
      </c>
      <c r="F1839">
        <v>411100</v>
      </c>
      <c r="G1839" t="s">
        <v>18</v>
      </c>
      <c r="H1839" t="s">
        <v>85</v>
      </c>
      <c r="I1839" t="s">
        <v>86</v>
      </c>
      <c r="J1839">
        <v>322040001</v>
      </c>
      <c r="K1839">
        <v>20220517</v>
      </c>
      <c r="L1839" t="s">
        <v>2224</v>
      </c>
      <c r="M1839">
        <v>0</v>
      </c>
      <c r="N1839">
        <v>2.12</v>
      </c>
      <c r="O1839" t="s">
        <v>23</v>
      </c>
      <c r="P1839">
        <v>20230218</v>
      </c>
      <c r="Q1839">
        <v>20220517</v>
      </c>
    </row>
    <row r="1840" spans="1:17" x14ac:dyDescent="0.25">
      <c r="A1840" t="s">
        <v>548</v>
      </c>
      <c r="B1840" t="s">
        <v>429</v>
      </c>
      <c r="C1840">
        <v>69</v>
      </c>
      <c r="D1840">
        <v>20220517</v>
      </c>
      <c r="E1840">
        <f t="shared" si="28"/>
        <v>5</v>
      </c>
      <c r="F1840">
        <v>531105</v>
      </c>
      <c r="G1840" t="s">
        <v>429</v>
      </c>
      <c r="H1840" t="s">
        <v>401</v>
      </c>
      <c r="I1840" t="s">
        <v>402</v>
      </c>
      <c r="J1840">
        <v>340617</v>
      </c>
      <c r="K1840">
        <v>20220517</v>
      </c>
      <c r="L1840" t="s">
        <v>565</v>
      </c>
      <c r="M1840">
        <v>75</v>
      </c>
      <c r="N1840">
        <v>0</v>
      </c>
      <c r="O1840" t="s">
        <v>19</v>
      </c>
      <c r="P1840" t="s">
        <v>20</v>
      </c>
      <c r="Q1840">
        <v>20220517</v>
      </c>
    </row>
    <row r="1841" spans="1:17" x14ac:dyDescent="0.25">
      <c r="A1841" t="s">
        <v>548</v>
      </c>
      <c r="B1841" t="s">
        <v>429</v>
      </c>
      <c r="C1841">
        <v>69</v>
      </c>
      <c r="D1841">
        <v>20220518</v>
      </c>
      <c r="E1841">
        <f t="shared" si="28"/>
        <v>5</v>
      </c>
      <c r="F1841">
        <v>580000</v>
      </c>
      <c r="G1841" t="s">
        <v>532</v>
      </c>
      <c r="H1841" t="s">
        <v>401</v>
      </c>
      <c r="I1841" t="s">
        <v>402</v>
      </c>
      <c r="J1841" t="s">
        <v>2225</v>
      </c>
      <c r="K1841">
        <v>20220518</v>
      </c>
      <c r="L1841" t="s">
        <v>625</v>
      </c>
      <c r="M1841">
        <v>1250</v>
      </c>
      <c r="N1841">
        <v>0</v>
      </c>
      <c r="O1841" t="s">
        <v>23</v>
      </c>
      <c r="P1841">
        <v>20220919</v>
      </c>
      <c r="Q1841">
        <v>20220518</v>
      </c>
    </row>
    <row r="1842" spans="1:17" x14ac:dyDescent="0.25">
      <c r="A1842" t="s">
        <v>548</v>
      </c>
      <c r="B1842" t="s">
        <v>429</v>
      </c>
      <c r="C1842">
        <v>69</v>
      </c>
      <c r="D1842">
        <v>20220518</v>
      </c>
      <c r="E1842">
        <f t="shared" si="28"/>
        <v>5</v>
      </c>
      <c r="F1842">
        <v>531105</v>
      </c>
      <c r="G1842" t="s">
        <v>429</v>
      </c>
      <c r="H1842" t="s">
        <v>401</v>
      </c>
      <c r="I1842" t="s">
        <v>402</v>
      </c>
      <c r="J1842" t="s">
        <v>2225</v>
      </c>
      <c r="K1842">
        <v>20220518</v>
      </c>
      <c r="L1842" t="s">
        <v>625</v>
      </c>
      <c r="M1842">
        <v>0</v>
      </c>
      <c r="N1842">
        <v>1250</v>
      </c>
      <c r="O1842" t="s">
        <v>19</v>
      </c>
      <c r="P1842" t="s">
        <v>20</v>
      </c>
      <c r="Q1842">
        <v>20220518</v>
      </c>
    </row>
    <row r="1843" spans="1:17" x14ac:dyDescent="0.25">
      <c r="A1843" t="s">
        <v>548</v>
      </c>
      <c r="B1843" t="s">
        <v>429</v>
      </c>
      <c r="C1843">
        <v>69</v>
      </c>
      <c r="D1843">
        <v>20220518</v>
      </c>
      <c r="E1843">
        <f t="shared" si="28"/>
        <v>5</v>
      </c>
      <c r="F1843">
        <v>411010</v>
      </c>
      <c r="G1843" t="s">
        <v>87</v>
      </c>
      <c r="H1843" t="s">
        <v>328</v>
      </c>
      <c r="I1843" t="s">
        <v>329</v>
      </c>
      <c r="J1843">
        <v>341027</v>
      </c>
      <c r="K1843">
        <v>20220518</v>
      </c>
      <c r="L1843" t="s">
        <v>2226</v>
      </c>
      <c r="M1843">
        <v>0</v>
      </c>
      <c r="N1843">
        <v>495</v>
      </c>
      <c r="O1843" t="s">
        <v>22</v>
      </c>
      <c r="P1843">
        <v>20230218</v>
      </c>
      <c r="Q1843">
        <v>20220518</v>
      </c>
    </row>
    <row r="1844" spans="1:17" x14ac:dyDescent="0.25">
      <c r="A1844" t="s">
        <v>548</v>
      </c>
      <c r="B1844" t="s">
        <v>429</v>
      </c>
      <c r="C1844">
        <v>69</v>
      </c>
      <c r="D1844">
        <v>20220518</v>
      </c>
      <c r="E1844">
        <f t="shared" si="28"/>
        <v>5</v>
      </c>
      <c r="F1844">
        <v>411010</v>
      </c>
      <c r="G1844" t="s">
        <v>87</v>
      </c>
      <c r="H1844" t="s">
        <v>1633</v>
      </c>
      <c r="I1844" t="s">
        <v>1634</v>
      </c>
      <c r="J1844">
        <v>341028</v>
      </c>
      <c r="K1844">
        <v>20220518</v>
      </c>
      <c r="L1844" t="s">
        <v>2227</v>
      </c>
      <c r="M1844">
        <v>0</v>
      </c>
      <c r="N1844">
        <v>37.200000000000003</v>
      </c>
      <c r="O1844" t="s">
        <v>19</v>
      </c>
      <c r="P1844" t="s">
        <v>20</v>
      </c>
      <c r="Q1844">
        <v>20220518</v>
      </c>
    </row>
    <row r="1845" spans="1:17" x14ac:dyDescent="0.25">
      <c r="A1845" t="s">
        <v>548</v>
      </c>
      <c r="B1845" t="s">
        <v>429</v>
      </c>
      <c r="C1845">
        <v>69</v>
      </c>
      <c r="D1845">
        <v>20220518</v>
      </c>
      <c r="E1845">
        <f t="shared" si="28"/>
        <v>5</v>
      </c>
      <c r="F1845">
        <v>531105</v>
      </c>
      <c r="G1845" t="s">
        <v>429</v>
      </c>
      <c r="H1845" t="s">
        <v>401</v>
      </c>
      <c r="I1845" t="s">
        <v>402</v>
      </c>
      <c r="J1845">
        <v>341029</v>
      </c>
      <c r="K1845">
        <v>20220518</v>
      </c>
      <c r="L1845" t="s">
        <v>565</v>
      </c>
      <c r="M1845">
        <v>532.20000000000005</v>
      </c>
      <c r="N1845">
        <v>0</v>
      </c>
      <c r="O1845" t="s">
        <v>19</v>
      </c>
      <c r="P1845" t="s">
        <v>20</v>
      </c>
      <c r="Q1845">
        <v>20220518</v>
      </c>
    </row>
    <row r="1846" spans="1:17" x14ac:dyDescent="0.25">
      <c r="A1846" t="s">
        <v>548</v>
      </c>
      <c r="B1846" t="s">
        <v>429</v>
      </c>
      <c r="C1846">
        <v>69</v>
      </c>
      <c r="D1846">
        <v>20220519</v>
      </c>
      <c r="E1846">
        <f t="shared" si="28"/>
        <v>5</v>
      </c>
      <c r="F1846">
        <v>467100</v>
      </c>
      <c r="G1846" t="s">
        <v>160</v>
      </c>
      <c r="H1846" t="s">
        <v>1305</v>
      </c>
      <c r="I1846" t="s">
        <v>1306</v>
      </c>
      <c r="J1846" t="s">
        <v>2228</v>
      </c>
      <c r="K1846">
        <v>20220519</v>
      </c>
      <c r="L1846" t="s">
        <v>2229</v>
      </c>
      <c r="M1846">
        <v>12.79</v>
      </c>
      <c r="N1846">
        <v>0</v>
      </c>
      <c r="O1846" t="s">
        <v>23</v>
      </c>
      <c r="P1846">
        <v>20220525</v>
      </c>
      <c r="Q1846">
        <v>20220519</v>
      </c>
    </row>
    <row r="1847" spans="1:17" x14ac:dyDescent="0.25">
      <c r="A1847" t="s">
        <v>548</v>
      </c>
      <c r="B1847" t="s">
        <v>429</v>
      </c>
      <c r="C1847">
        <v>69</v>
      </c>
      <c r="D1847">
        <v>20220519</v>
      </c>
      <c r="E1847">
        <f t="shared" si="28"/>
        <v>5</v>
      </c>
      <c r="F1847">
        <v>531105</v>
      </c>
      <c r="G1847" t="s">
        <v>429</v>
      </c>
      <c r="H1847" t="s">
        <v>401</v>
      </c>
      <c r="I1847" t="s">
        <v>402</v>
      </c>
      <c r="J1847" t="s">
        <v>2228</v>
      </c>
      <c r="K1847">
        <v>20220519</v>
      </c>
      <c r="L1847" t="s">
        <v>2229</v>
      </c>
      <c r="M1847">
        <v>0</v>
      </c>
      <c r="N1847">
        <v>12.79</v>
      </c>
      <c r="O1847" t="s">
        <v>19</v>
      </c>
      <c r="P1847" t="s">
        <v>20</v>
      </c>
      <c r="Q1847">
        <v>20220519</v>
      </c>
    </row>
    <row r="1848" spans="1:17" x14ac:dyDescent="0.25">
      <c r="A1848" t="s">
        <v>548</v>
      </c>
      <c r="B1848" t="s">
        <v>429</v>
      </c>
      <c r="C1848">
        <v>69</v>
      </c>
      <c r="D1848">
        <v>20220519</v>
      </c>
      <c r="E1848">
        <f t="shared" si="28"/>
        <v>5</v>
      </c>
      <c r="F1848">
        <v>467100</v>
      </c>
      <c r="G1848" t="s">
        <v>160</v>
      </c>
      <c r="H1848" t="s">
        <v>316</v>
      </c>
      <c r="I1848" t="s">
        <v>317</v>
      </c>
      <c r="J1848" t="s">
        <v>2230</v>
      </c>
      <c r="K1848">
        <v>20220519</v>
      </c>
      <c r="L1848" t="s">
        <v>2231</v>
      </c>
      <c r="M1848">
        <v>10</v>
      </c>
      <c r="N1848">
        <v>0</v>
      </c>
      <c r="O1848" t="s">
        <v>23</v>
      </c>
      <c r="P1848">
        <v>20220801</v>
      </c>
      <c r="Q1848">
        <v>20220519</v>
      </c>
    </row>
    <row r="1849" spans="1:17" x14ac:dyDescent="0.25">
      <c r="A1849" t="s">
        <v>548</v>
      </c>
      <c r="B1849" t="s">
        <v>429</v>
      </c>
      <c r="C1849">
        <v>69</v>
      </c>
      <c r="D1849">
        <v>20220519</v>
      </c>
      <c r="E1849">
        <f t="shared" si="28"/>
        <v>5</v>
      </c>
      <c r="F1849">
        <v>531105</v>
      </c>
      <c r="G1849" t="s">
        <v>429</v>
      </c>
      <c r="H1849" t="s">
        <v>401</v>
      </c>
      <c r="I1849" t="s">
        <v>402</v>
      </c>
      <c r="J1849" t="s">
        <v>2230</v>
      </c>
      <c r="K1849">
        <v>20220519</v>
      </c>
      <c r="L1849" t="s">
        <v>2231</v>
      </c>
      <c r="M1849">
        <v>0</v>
      </c>
      <c r="N1849">
        <v>10</v>
      </c>
      <c r="O1849" t="s">
        <v>19</v>
      </c>
      <c r="P1849" t="s">
        <v>20</v>
      </c>
      <c r="Q1849">
        <v>20220519</v>
      </c>
    </row>
    <row r="1850" spans="1:17" x14ac:dyDescent="0.25">
      <c r="A1850" t="s">
        <v>548</v>
      </c>
      <c r="B1850" t="s">
        <v>429</v>
      </c>
      <c r="C1850">
        <v>69</v>
      </c>
      <c r="D1850">
        <v>20220519</v>
      </c>
      <c r="E1850">
        <f t="shared" si="28"/>
        <v>5</v>
      </c>
      <c r="F1850">
        <v>467100</v>
      </c>
      <c r="G1850" t="s">
        <v>160</v>
      </c>
      <c r="H1850" t="s">
        <v>2232</v>
      </c>
      <c r="I1850" t="s">
        <v>2233</v>
      </c>
      <c r="J1850" t="s">
        <v>2234</v>
      </c>
      <c r="K1850">
        <v>20220519</v>
      </c>
      <c r="L1850" t="s">
        <v>2235</v>
      </c>
      <c r="M1850">
        <v>150</v>
      </c>
      <c r="N1850">
        <v>0</v>
      </c>
      <c r="O1850" t="s">
        <v>23</v>
      </c>
      <c r="P1850">
        <v>20220905</v>
      </c>
      <c r="Q1850">
        <v>20220519</v>
      </c>
    </row>
    <row r="1851" spans="1:17" x14ac:dyDescent="0.25">
      <c r="A1851" t="s">
        <v>548</v>
      </c>
      <c r="B1851" t="s">
        <v>429</v>
      </c>
      <c r="C1851">
        <v>69</v>
      </c>
      <c r="D1851">
        <v>20220519</v>
      </c>
      <c r="E1851">
        <f t="shared" si="28"/>
        <v>5</v>
      </c>
      <c r="F1851">
        <v>531105</v>
      </c>
      <c r="G1851" t="s">
        <v>429</v>
      </c>
      <c r="H1851" t="s">
        <v>401</v>
      </c>
      <c r="I1851" t="s">
        <v>402</v>
      </c>
      <c r="J1851" t="s">
        <v>2234</v>
      </c>
      <c r="K1851">
        <v>20220519</v>
      </c>
      <c r="L1851" t="s">
        <v>2235</v>
      </c>
      <c r="M1851">
        <v>0</v>
      </c>
      <c r="N1851">
        <v>150</v>
      </c>
      <c r="O1851" t="s">
        <v>19</v>
      </c>
      <c r="P1851" t="s">
        <v>20</v>
      </c>
      <c r="Q1851">
        <v>20220519</v>
      </c>
    </row>
    <row r="1852" spans="1:17" x14ac:dyDescent="0.25">
      <c r="A1852" t="s">
        <v>548</v>
      </c>
      <c r="B1852" t="s">
        <v>429</v>
      </c>
      <c r="C1852">
        <v>69</v>
      </c>
      <c r="D1852">
        <v>20220520</v>
      </c>
      <c r="E1852">
        <f t="shared" si="28"/>
        <v>5</v>
      </c>
      <c r="F1852">
        <v>467100</v>
      </c>
      <c r="G1852" t="s">
        <v>160</v>
      </c>
      <c r="H1852" t="s">
        <v>1305</v>
      </c>
      <c r="I1852" t="s">
        <v>1306</v>
      </c>
      <c r="J1852" t="s">
        <v>2236</v>
      </c>
      <c r="K1852">
        <v>20220520</v>
      </c>
      <c r="L1852" t="s">
        <v>2237</v>
      </c>
      <c r="M1852">
        <v>0</v>
      </c>
      <c r="N1852">
        <v>20</v>
      </c>
      <c r="O1852" t="s">
        <v>23</v>
      </c>
      <c r="P1852">
        <v>20220525</v>
      </c>
      <c r="Q1852">
        <v>20220520</v>
      </c>
    </row>
    <row r="1853" spans="1:17" x14ac:dyDescent="0.25">
      <c r="A1853" t="s">
        <v>548</v>
      </c>
      <c r="B1853" t="s">
        <v>429</v>
      </c>
      <c r="C1853">
        <v>69</v>
      </c>
      <c r="D1853">
        <v>20220520</v>
      </c>
      <c r="E1853">
        <f t="shared" si="28"/>
        <v>5</v>
      </c>
      <c r="F1853">
        <v>531105</v>
      </c>
      <c r="G1853" t="s">
        <v>429</v>
      </c>
      <c r="H1853" t="s">
        <v>401</v>
      </c>
      <c r="I1853" t="s">
        <v>402</v>
      </c>
      <c r="J1853" t="s">
        <v>2236</v>
      </c>
      <c r="K1853">
        <v>20220520</v>
      </c>
      <c r="L1853" t="s">
        <v>2237</v>
      </c>
      <c r="M1853">
        <v>20</v>
      </c>
      <c r="N1853">
        <v>0</v>
      </c>
      <c r="O1853" t="s">
        <v>19</v>
      </c>
      <c r="P1853" t="s">
        <v>20</v>
      </c>
      <c r="Q1853">
        <v>20220520</v>
      </c>
    </row>
    <row r="1854" spans="1:17" x14ac:dyDescent="0.25">
      <c r="A1854" t="s">
        <v>548</v>
      </c>
      <c r="B1854" t="s">
        <v>429</v>
      </c>
      <c r="C1854">
        <v>69</v>
      </c>
      <c r="D1854">
        <v>20220520</v>
      </c>
      <c r="E1854">
        <f t="shared" si="28"/>
        <v>5</v>
      </c>
      <c r="F1854">
        <v>467100</v>
      </c>
      <c r="G1854" t="s">
        <v>160</v>
      </c>
      <c r="H1854" t="s">
        <v>183</v>
      </c>
      <c r="I1854" t="s">
        <v>184</v>
      </c>
      <c r="J1854" t="s">
        <v>2238</v>
      </c>
      <c r="K1854">
        <v>20220520</v>
      </c>
      <c r="L1854" t="s">
        <v>1829</v>
      </c>
      <c r="M1854">
        <v>14.9</v>
      </c>
      <c r="N1854">
        <v>0</v>
      </c>
      <c r="O1854" t="s">
        <v>23</v>
      </c>
      <c r="P1854">
        <v>20220905</v>
      </c>
      <c r="Q1854">
        <v>20220520</v>
      </c>
    </row>
    <row r="1855" spans="1:17" x14ac:dyDescent="0.25">
      <c r="A1855" t="s">
        <v>548</v>
      </c>
      <c r="B1855" t="s">
        <v>429</v>
      </c>
      <c r="C1855">
        <v>69</v>
      </c>
      <c r="D1855">
        <v>20220520</v>
      </c>
      <c r="E1855">
        <f t="shared" si="28"/>
        <v>5</v>
      </c>
      <c r="F1855">
        <v>531105</v>
      </c>
      <c r="G1855" t="s">
        <v>429</v>
      </c>
      <c r="H1855" t="s">
        <v>401</v>
      </c>
      <c r="I1855" t="s">
        <v>402</v>
      </c>
      <c r="J1855" t="s">
        <v>2238</v>
      </c>
      <c r="K1855">
        <v>20220520</v>
      </c>
      <c r="L1855" t="s">
        <v>1829</v>
      </c>
      <c r="M1855">
        <v>0</v>
      </c>
      <c r="N1855">
        <v>14.9</v>
      </c>
      <c r="O1855" t="s">
        <v>19</v>
      </c>
      <c r="P1855" t="s">
        <v>20</v>
      </c>
      <c r="Q1855">
        <v>20220520</v>
      </c>
    </row>
    <row r="1856" spans="1:17" x14ac:dyDescent="0.25">
      <c r="A1856" t="s">
        <v>548</v>
      </c>
      <c r="B1856" t="s">
        <v>429</v>
      </c>
      <c r="C1856">
        <v>69</v>
      </c>
      <c r="D1856">
        <v>20220520</v>
      </c>
      <c r="E1856">
        <f t="shared" si="28"/>
        <v>5</v>
      </c>
      <c r="F1856">
        <v>467100</v>
      </c>
      <c r="G1856" t="s">
        <v>160</v>
      </c>
      <c r="H1856" t="s">
        <v>1522</v>
      </c>
      <c r="I1856" t="s">
        <v>1523</v>
      </c>
      <c r="J1856" t="s">
        <v>2239</v>
      </c>
      <c r="K1856">
        <v>20220520</v>
      </c>
      <c r="L1856" t="s">
        <v>2240</v>
      </c>
      <c r="M1856">
        <v>11.5</v>
      </c>
      <c r="N1856">
        <v>0</v>
      </c>
      <c r="O1856" t="s">
        <v>23</v>
      </c>
      <c r="P1856">
        <v>20220831</v>
      </c>
      <c r="Q1856">
        <v>20220520</v>
      </c>
    </row>
    <row r="1857" spans="1:17" x14ac:dyDescent="0.25">
      <c r="A1857" t="s">
        <v>548</v>
      </c>
      <c r="B1857" t="s">
        <v>429</v>
      </c>
      <c r="C1857">
        <v>69</v>
      </c>
      <c r="D1857">
        <v>20220520</v>
      </c>
      <c r="E1857">
        <f t="shared" si="28"/>
        <v>5</v>
      </c>
      <c r="F1857">
        <v>531105</v>
      </c>
      <c r="G1857" t="s">
        <v>429</v>
      </c>
      <c r="H1857" t="s">
        <v>401</v>
      </c>
      <c r="I1857" t="s">
        <v>402</v>
      </c>
      <c r="J1857" t="s">
        <v>2239</v>
      </c>
      <c r="K1857">
        <v>20220520</v>
      </c>
      <c r="L1857" t="s">
        <v>2240</v>
      </c>
      <c r="M1857">
        <v>0</v>
      </c>
      <c r="N1857">
        <v>11.5</v>
      </c>
      <c r="O1857" t="s">
        <v>19</v>
      </c>
      <c r="P1857" t="s">
        <v>20</v>
      </c>
      <c r="Q1857">
        <v>20220520</v>
      </c>
    </row>
    <row r="1858" spans="1:17" x14ac:dyDescent="0.25">
      <c r="A1858" t="s">
        <v>548</v>
      </c>
      <c r="B1858" t="s">
        <v>429</v>
      </c>
      <c r="C1858">
        <v>69</v>
      </c>
      <c r="D1858">
        <v>20220520</v>
      </c>
      <c r="E1858">
        <f t="shared" si="28"/>
        <v>5</v>
      </c>
      <c r="F1858">
        <v>467100</v>
      </c>
      <c r="G1858" t="s">
        <v>160</v>
      </c>
      <c r="H1858" t="s">
        <v>631</v>
      </c>
      <c r="I1858" t="s">
        <v>632</v>
      </c>
      <c r="J1858" t="s">
        <v>2241</v>
      </c>
      <c r="K1858">
        <v>20220520</v>
      </c>
      <c r="L1858" t="s">
        <v>2242</v>
      </c>
      <c r="M1858">
        <v>67.41</v>
      </c>
      <c r="N1858">
        <v>0</v>
      </c>
      <c r="O1858" t="s">
        <v>19</v>
      </c>
      <c r="P1858" t="s">
        <v>20</v>
      </c>
      <c r="Q1858">
        <v>20220520</v>
      </c>
    </row>
    <row r="1859" spans="1:17" x14ac:dyDescent="0.25">
      <c r="A1859" t="s">
        <v>548</v>
      </c>
      <c r="B1859" t="s">
        <v>429</v>
      </c>
      <c r="C1859">
        <v>69</v>
      </c>
      <c r="D1859">
        <v>20220520</v>
      </c>
      <c r="E1859">
        <f t="shared" ref="E1859:E1922" si="29">VALUE(MID(D1859,5,2))</f>
        <v>5</v>
      </c>
      <c r="F1859">
        <v>531105</v>
      </c>
      <c r="G1859" t="s">
        <v>429</v>
      </c>
      <c r="H1859" t="s">
        <v>401</v>
      </c>
      <c r="I1859" t="s">
        <v>402</v>
      </c>
      <c r="J1859" t="s">
        <v>2241</v>
      </c>
      <c r="K1859">
        <v>20220520</v>
      </c>
      <c r="L1859" t="s">
        <v>2242</v>
      </c>
      <c r="M1859">
        <v>0</v>
      </c>
      <c r="N1859">
        <v>67.41</v>
      </c>
      <c r="O1859" t="s">
        <v>19</v>
      </c>
      <c r="P1859" t="s">
        <v>20</v>
      </c>
      <c r="Q1859">
        <v>20220520</v>
      </c>
    </row>
    <row r="1860" spans="1:17" x14ac:dyDescent="0.25">
      <c r="A1860" t="s">
        <v>548</v>
      </c>
      <c r="B1860" t="s">
        <v>429</v>
      </c>
      <c r="C1860">
        <v>69</v>
      </c>
      <c r="D1860">
        <v>20220520</v>
      </c>
      <c r="E1860">
        <f t="shared" si="29"/>
        <v>5</v>
      </c>
      <c r="F1860">
        <v>467100</v>
      </c>
      <c r="G1860" t="s">
        <v>160</v>
      </c>
      <c r="H1860" t="s">
        <v>2232</v>
      </c>
      <c r="I1860" t="s">
        <v>2233</v>
      </c>
      <c r="J1860" t="s">
        <v>2243</v>
      </c>
      <c r="K1860">
        <v>20220520</v>
      </c>
      <c r="L1860" t="s">
        <v>2244</v>
      </c>
      <c r="M1860">
        <v>0</v>
      </c>
      <c r="N1860">
        <v>35.6</v>
      </c>
      <c r="O1860" t="s">
        <v>23</v>
      </c>
      <c r="P1860">
        <v>20220905</v>
      </c>
      <c r="Q1860">
        <v>20220520</v>
      </c>
    </row>
    <row r="1861" spans="1:17" x14ac:dyDescent="0.25">
      <c r="A1861" t="s">
        <v>548</v>
      </c>
      <c r="B1861" t="s">
        <v>429</v>
      </c>
      <c r="C1861">
        <v>69</v>
      </c>
      <c r="D1861">
        <v>20220520</v>
      </c>
      <c r="E1861">
        <f t="shared" si="29"/>
        <v>5</v>
      </c>
      <c r="F1861">
        <v>531105</v>
      </c>
      <c r="G1861" t="s">
        <v>429</v>
      </c>
      <c r="H1861" t="s">
        <v>401</v>
      </c>
      <c r="I1861" t="s">
        <v>402</v>
      </c>
      <c r="J1861" t="s">
        <v>2243</v>
      </c>
      <c r="K1861">
        <v>20220520</v>
      </c>
      <c r="L1861" t="s">
        <v>2244</v>
      </c>
      <c r="M1861">
        <v>35.6</v>
      </c>
      <c r="N1861">
        <v>0</v>
      </c>
      <c r="O1861" t="s">
        <v>19</v>
      </c>
      <c r="P1861" t="s">
        <v>20</v>
      </c>
      <c r="Q1861">
        <v>20220520</v>
      </c>
    </row>
    <row r="1862" spans="1:17" x14ac:dyDescent="0.25">
      <c r="A1862" t="s">
        <v>548</v>
      </c>
      <c r="B1862" t="s">
        <v>429</v>
      </c>
      <c r="C1862">
        <v>69</v>
      </c>
      <c r="D1862">
        <v>20220520</v>
      </c>
      <c r="E1862">
        <f t="shared" si="29"/>
        <v>5</v>
      </c>
      <c r="F1862">
        <v>411100</v>
      </c>
      <c r="G1862" t="s">
        <v>18</v>
      </c>
      <c r="H1862" t="s">
        <v>2162</v>
      </c>
      <c r="I1862" t="s">
        <v>2163</v>
      </c>
      <c r="J1862">
        <v>341378</v>
      </c>
      <c r="K1862">
        <v>20220520</v>
      </c>
      <c r="L1862" t="s">
        <v>2245</v>
      </c>
      <c r="M1862">
        <v>0</v>
      </c>
      <c r="N1862">
        <v>8</v>
      </c>
      <c r="O1862" t="s">
        <v>22</v>
      </c>
      <c r="P1862">
        <v>20230218</v>
      </c>
      <c r="Q1862">
        <v>20220520</v>
      </c>
    </row>
    <row r="1863" spans="1:17" x14ac:dyDescent="0.25">
      <c r="A1863" t="s">
        <v>548</v>
      </c>
      <c r="B1863" t="s">
        <v>429</v>
      </c>
      <c r="C1863">
        <v>69</v>
      </c>
      <c r="D1863">
        <v>20220520</v>
      </c>
      <c r="E1863">
        <f t="shared" si="29"/>
        <v>5</v>
      </c>
      <c r="F1863">
        <v>411100</v>
      </c>
      <c r="G1863" t="s">
        <v>18</v>
      </c>
      <c r="H1863" t="s">
        <v>2246</v>
      </c>
      <c r="I1863" t="s">
        <v>2247</v>
      </c>
      <c r="J1863">
        <v>341379</v>
      </c>
      <c r="K1863">
        <v>20220520</v>
      </c>
      <c r="L1863" t="s">
        <v>2248</v>
      </c>
      <c r="M1863">
        <v>0</v>
      </c>
      <c r="N1863">
        <v>8</v>
      </c>
      <c r="O1863" t="s">
        <v>22</v>
      </c>
      <c r="P1863">
        <v>20230218</v>
      </c>
      <c r="Q1863">
        <v>20220520</v>
      </c>
    </row>
    <row r="1864" spans="1:17" x14ac:dyDescent="0.25">
      <c r="A1864" t="s">
        <v>548</v>
      </c>
      <c r="B1864" t="s">
        <v>429</v>
      </c>
      <c r="C1864">
        <v>69</v>
      </c>
      <c r="D1864">
        <v>20220520</v>
      </c>
      <c r="E1864">
        <f t="shared" si="29"/>
        <v>5</v>
      </c>
      <c r="F1864">
        <v>411100</v>
      </c>
      <c r="G1864" t="s">
        <v>18</v>
      </c>
      <c r="H1864" t="s">
        <v>1417</v>
      </c>
      <c r="I1864" t="s">
        <v>1418</v>
      </c>
      <c r="J1864">
        <v>341380</v>
      </c>
      <c r="K1864">
        <v>20220520</v>
      </c>
      <c r="L1864" t="s">
        <v>2249</v>
      </c>
      <c r="M1864">
        <v>0</v>
      </c>
      <c r="N1864">
        <v>7</v>
      </c>
      <c r="O1864" t="s">
        <v>23</v>
      </c>
      <c r="P1864">
        <v>20230329</v>
      </c>
      <c r="Q1864">
        <v>20220520</v>
      </c>
    </row>
    <row r="1865" spans="1:17" x14ac:dyDescent="0.25">
      <c r="A1865" t="s">
        <v>548</v>
      </c>
      <c r="B1865" t="s">
        <v>429</v>
      </c>
      <c r="C1865">
        <v>69</v>
      </c>
      <c r="D1865">
        <v>20220520</v>
      </c>
      <c r="E1865">
        <f t="shared" si="29"/>
        <v>5</v>
      </c>
      <c r="F1865">
        <v>411000</v>
      </c>
      <c r="G1865" t="s">
        <v>21</v>
      </c>
      <c r="H1865" t="s">
        <v>2250</v>
      </c>
      <c r="I1865" t="s">
        <v>2251</v>
      </c>
      <c r="J1865">
        <v>341381</v>
      </c>
      <c r="K1865">
        <v>20220520</v>
      </c>
      <c r="L1865" t="s">
        <v>2252</v>
      </c>
      <c r="M1865">
        <v>0</v>
      </c>
      <c r="N1865">
        <v>8</v>
      </c>
      <c r="O1865" t="s">
        <v>22</v>
      </c>
      <c r="P1865">
        <v>20230218</v>
      </c>
      <c r="Q1865">
        <v>20220520</v>
      </c>
    </row>
    <row r="1866" spans="1:17" x14ac:dyDescent="0.25">
      <c r="A1866" t="s">
        <v>548</v>
      </c>
      <c r="B1866" t="s">
        <v>429</v>
      </c>
      <c r="C1866">
        <v>69</v>
      </c>
      <c r="D1866">
        <v>20220520</v>
      </c>
      <c r="E1866">
        <f t="shared" si="29"/>
        <v>5</v>
      </c>
      <c r="F1866">
        <v>411020</v>
      </c>
      <c r="G1866" t="s">
        <v>30</v>
      </c>
      <c r="H1866" t="s">
        <v>138</v>
      </c>
      <c r="I1866" t="s">
        <v>139</v>
      </c>
      <c r="J1866">
        <v>341382</v>
      </c>
      <c r="K1866">
        <v>20220520</v>
      </c>
      <c r="L1866" t="s">
        <v>2253</v>
      </c>
      <c r="M1866">
        <v>0</v>
      </c>
      <c r="N1866">
        <v>16</v>
      </c>
      <c r="O1866" t="s">
        <v>22</v>
      </c>
      <c r="P1866">
        <v>20230218</v>
      </c>
      <c r="Q1866">
        <v>20220520</v>
      </c>
    </row>
    <row r="1867" spans="1:17" x14ac:dyDescent="0.25">
      <c r="A1867" t="s">
        <v>548</v>
      </c>
      <c r="B1867" t="s">
        <v>429</v>
      </c>
      <c r="C1867">
        <v>69</v>
      </c>
      <c r="D1867">
        <v>20220520</v>
      </c>
      <c r="E1867">
        <f t="shared" si="29"/>
        <v>5</v>
      </c>
      <c r="F1867">
        <v>411010</v>
      </c>
      <c r="G1867" t="s">
        <v>87</v>
      </c>
      <c r="H1867" t="s">
        <v>678</v>
      </c>
      <c r="I1867" t="s">
        <v>679</v>
      </c>
      <c r="J1867">
        <v>341383</v>
      </c>
      <c r="K1867">
        <v>20220520</v>
      </c>
      <c r="L1867" t="s">
        <v>2254</v>
      </c>
      <c r="M1867">
        <v>0</v>
      </c>
      <c r="N1867">
        <v>13</v>
      </c>
      <c r="O1867" t="s">
        <v>19</v>
      </c>
      <c r="P1867" t="s">
        <v>20</v>
      </c>
      <c r="Q1867">
        <v>20220520</v>
      </c>
    </row>
    <row r="1868" spans="1:17" x14ac:dyDescent="0.25">
      <c r="A1868" t="s">
        <v>548</v>
      </c>
      <c r="B1868" t="s">
        <v>429</v>
      </c>
      <c r="C1868">
        <v>69</v>
      </c>
      <c r="D1868">
        <v>20220520</v>
      </c>
      <c r="E1868">
        <f t="shared" si="29"/>
        <v>5</v>
      </c>
      <c r="F1868">
        <v>411100</v>
      </c>
      <c r="G1868" t="s">
        <v>18</v>
      </c>
      <c r="H1868" t="s">
        <v>817</v>
      </c>
      <c r="I1868" t="s">
        <v>818</v>
      </c>
      <c r="J1868">
        <v>341384</v>
      </c>
      <c r="K1868">
        <v>20220520</v>
      </c>
      <c r="L1868" t="s">
        <v>2255</v>
      </c>
      <c r="M1868">
        <v>0</v>
      </c>
      <c r="N1868">
        <v>10</v>
      </c>
      <c r="O1868" t="s">
        <v>22</v>
      </c>
      <c r="P1868">
        <v>20230218</v>
      </c>
      <c r="Q1868">
        <v>20220520</v>
      </c>
    </row>
    <row r="1869" spans="1:17" x14ac:dyDescent="0.25">
      <c r="A1869" t="s">
        <v>548</v>
      </c>
      <c r="B1869" t="s">
        <v>429</v>
      </c>
      <c r="C1869">
        <v>69</v>
      </c>
      <c r="D1869">
        <v>20220520</v>
      </c>
      <c r="E1869">
        <f t="shared" si="29"/>
        <v>5</v>
      </c>
      <c r="F1869">
        <v>411100</v>
      </c>
      <c r="G1869" t="s">
        <v>18</v>
      </c>
      <c r="H1869" t="s">
        <v>235</v>
      </c>
      <c r="I1869" t="s">
        <v>236</v>
      </c>
      <c r="J1869">
        <v>341385</v>
      </c>
      <c r="K1869">
        <v>20220520</v>
      </c>
      <c r="L1869" t="s">
        <v>2256</v>
      </c>
      <c r="M1869">
        <v>0</v>
      </c>
      <c r="N1869">
        <v>24</v>
      </c>
      <c r="O1869" t="s">
        <v>19</v>
      </c>
      <c r="P1869" t="s">
        <v>20</v>
      </c>
      <c r="Q1869">
        <v>20220520</v>
      </c>
    </row>
    <row r="1870" spans="1:17" x14ac:dyDescent="0.25">
      <c r="A1870" t="s">
        <v>548</v>
      </c>
      <c r="B1870" t="s">
        <v>429</v>
      </c>
      <c r="C1870">
        <v>69</v>
      </c>
      <c r="D1870">
        <v>20220520</v>
      </c>
      <c r="E1870">
        <f t="shared" si="29"/>
        <v>5</v>
      </c>
      <c r="F1870">
        <v>411100</v>
      </c>
      <c r="G1870" t="s">
        <v>18</v>
      </c>
      <c r="H1870" t="s">
        <v>311</v>
      </c>
      <c r="I1870" t="s">
        <v>312</v>
      </c>
      <c r="J1870">
        <v>122010065</v>
      </c>
      <c r="K1870">
        <v>20220520</v>
      </c>
      <c r="L1870" t="s">
        <v>2257</v>
      </c>
      <c r="M1870">
        <v>0</v>
      </c>
      <c r="N1870">
        <v>90</v>
      </c>
      <c r="O1870" t="s">
        <v>19</v>
      </c>
      <c r="P1870" t="s">
        <v>20</v>
      </c>
      <c r="Q1870">
        <v>20220520</v>
      </c>
    </row>
    <row r="1871" spans="1:17" x14ac:dyDescent="0.25">
      <c r="A1871" t="s">
        <v>548</v>
      </c>
      <c r="B1871" t="s">
        <v>429</v>
      </c>
      <c r="C1871">
        <v>69</v>
      </c>
      <c r="D1871">
        <v>20220520</v>
      </c>
      <c r="E1871">
        <f t="shared" si="29"/>
        <v>5</v>
      </c>
      <c r="F1871">
        <v>531105</v>
      </c>
      <c r="G1871" t="s">
        <v>429</v>
      </c>
      <c r="H1871" t="s">
        <v>401</v>
      </c>
      <c r="I1871" t="s">
        <v>402</v>
      </c>
      <c r="J1871">
        <v>341387</v>
      </c>
      <c r="K1871">
        <v>20220520</v>
      </c>
      <c r="L1871" t="s">
        <v>565</v>
      </c>
      <c r="M1871">
        <v>184</v>
      </c>
      <c r="N1871">
        <v>0</v>
      </c>
      <c r="O1871" t="s">
        <v>19</v>
      </c>
      <c r="P1871" t="s">
        <v>20</v>
      </c>
      <c r="Q1871">
        <v>20220520</v>
      </c>
    </row>
    <row r="1872" spans="1:17" x14ac:dyDescent="0.25">
      <c r="A1872" t="s">
        <v>548</v>
      </c>
      <c r="B1872" t="s">
        <v>429</v>
      </c>
      <c r="C1872">
        <v>69</v>
      </c>
      <c r="D1872">
        <v>20220523</v>
      </c>
      <c r="E1872">
        <f t="shared" si="29"/>
        <v>5</v>
      </c>
      <c r="F1872">
        <v>706105</v>
      </c>
      <c r="G1872" t="s">
        <v>2258</v>
      </c>
      <c r="H1872" t="s">
        <v>401</v>
      </c>
      <c r="I1872" t="s">
        <v>402</v>
      </c>
      <c r="J1872" t="s">
        <v>2259</v>
      </c>
      <c r="K1872">
        <v>20220523</v>
      </c>
      <c r="L1872" t="s">
        <v>2260</v>
      </c>
      <c r="M1872">
        <v>0</v>
      </c>
      <c r="N1872">
        <v>173.3</v>
      </c>
      <c r="O1872" t="s">
        <v>19</v>
      </c>
      <c r="P1872" t="s">
        <v>20</v>
      </c>
      <c r="Q1872">
        <v>20220523</v>
      </c>
    </row>
    <row r="1873" spans="1:17" x14ac:dyDescent="0.25">
      <c r="A1873" t="s">
        <v>548</v>
      </c>
      <c r="B1873" t="s">
        <v>429</v>
      </c>
      <c r="C1873">
        <v>69</v>
      </c>
      <c r="D1873">
        <v>20220523</v>
      </c>
      <c r="E1873">
        <f t="shared" si="29"/>
        <v>5</v>
      </c>
      <c r="F1873">
        <v>531105</v>
      </c>
      <c r="G1873" t="s">
        <v>429</v>
      </c>
      <c r="H1873" t="s">
        <v>401</v>
      </c>
      <c r="I1873" t="s">
        <v>402</v>
      </c>
      <c r="J1873" t="s">
        <v>2259</v>
      </c>
      <c r="K1873">
        <v>20220523</v>
      </c>
      <c r="L1873" t="s">
        <v>2260</v>
      </c>
      <c r="M1873">
        <v>173.3</v>
      </c>
      <c r="N1873">
        <v>0</v>
      </c>
      <c r="O1873" t="s">
        <v>19</v>
      </c>
      <c r="P1873" t="s">
        <v>20</v>
      </c>
      <c r="Q1873">
        <v>20220523</v>
      </c>
    </row>
    <row r="1874" spans="1:17" x14ac:dyDescent="0.25">
      <c r="A1874" t="s">
        <v>548</v>
      </c>
      <c r="B1874" t="s">
        <v>429</v>
      </c>
      <c r="C1874">
        <v>69</v>
      </c>
      <c r="D1874">
        <v>20220523</v>
      </c>
      <c r="E1874">
        <f t="shared" si="29"/>
        <v>5</v>
      </c>
      <c r="F1874">
        <v>706105</v>
      </c>
      <c r="G1874" t="s">
        <v>2258</v>
      </c>
      <c r="H1874" t="s">
        <v>401</v>
      </c>
      <c r="I1874" t="s">
        <v>402</v>
      </c>
      <c r="J1874" t="s">
        <v>2261</v>
      </c>
      <c r="K1874">
        <v>20220523</v>
      </c>
      <c r="L1874" t="s">
        <v>2262</v>
      </c>
      <c r="M1874">
        <v>0</v>
      </c>
      <c r="N1874">
        <v>80</v>
      </c>
      <c r="O1874" t="s">
        <v>19</v>
      </c>
      <c r="P1874" t="s">
        <v>20</v>
      </c>
      <c r="Q1874">
        <v>20220523</v>
      </c>
    </row>
    <row r="1875" spans="1:17" x14ac:dyDescent="0.25">
      <c r="A1875" t="s">
        <v>548</v>
      </c>
      <c r="B1875" t="s">
        <v>429</v>
      </c>
      <c r="C1875">
        <v>69</v>
      </c>
      <c r="D1875">
        <v>20220523</v>
      </c>
      <c r="E1875">
        <f t="shared" si="29"/>
        <v>5</v>
      </c>
      <c r="F1875">
        <v>531105</v>
      </c>
      <c r="G1875" t="s">
        <v>429</v>
      </c>
      <c r="H1875" t="s">
        <v>401</v>
      </c>
      <c r="I1875" t="s">
        <v>402</v>
      </c>
      <c r="J1875" t="s">
        <v>2261</v>
      </c>
      <c r="K1875">
        <v>20220523</v>
      </c>
      <c r="L1875" t="s">
        <v>2262</v>
      </c>
      <c r="M1875">
        <v>80</v>
      </c>
      <c r="N1875">
        <v>0</v>
      </c>
      <c r="O1875" t="s">
        <v>19</v>
      </c>
      <c r="P1875" t="s">
        <v>20</v>
      </c>
      <c r="Q1875">
        <v>20220523</v>
      </c>
    </row>
    <row r="1876" spans="1:17" x14ac:dyDescent="0.25">
      <c r="A1876" t="s">
        <v>548</v>
      </c>
      <c r="B1876" t="s">
        <v>429</v>
      </c>
      <c r="C1876">
        <v>69</v>
      </c>
      <c r="D1876">
        <v>20220523</v>
      </c>
      <c r="E1876">
        <f t="shared" si="29"/>
        <v>5</v>
      </c>
      <c r="F1876">
        <v>706105</v>
      </c>
      <c r="G1876" t="s">
        <v>2258</v>
      </c>
      <c r="H1876" t="s">
        <v>401</v>
      </c>
      <c r="I1876" t="s">
        <v>402</v>
      </c>
      <c r="J1876" t="s">
        <v>2263</v>
      </c>
      <c r="K1876">
        <v>20220523</v>
      </c>
      <c r="L1876" t="s">
        <v>2264</v>
      </c>
      <c r="M1876">
        <v>0</v>
      </c>
      <c r="N1876">
        <v>166.2</v>
      </c>
      <c r="O1876" t="s">
        <v>19</v>
      </c>
      <c r="P1876" t="s">
        <v>20</v>
      </c>
      <c r="Q1876">
        <v>20220523</v>
      </c>
    </row>
    <row r="1877" spans="1:17" x14ac:dyDescent="0.25">
      <c r="A1877" t="s">
        <v>548</v>
      </c>
      <c r="B1877" t="s">
        <v>429</v>
      </c>
      <c r="C1877">
        <v>69</v>
      </c>
      <c r="D1877">
        <v>20220523</v>
      </c>
      <c r="E1877">
        <f t="shared" si="29"/>
        <v>5</v>
      </c>
      <c r="F1877">
        <v>531105</v>
      </c>
      <c r="G1877" t="s">
        <v>429</v>
      </c>
      <c r="H1877" t="s">
        <v>401</v>
      </c>
      <c r="I1877" t="s">
        <v>402</v>
      </c>
      <c r="J1877" t="s">
        <v>2263</v>
      </c>
      <c r="K1877">
        <v>20220523</v>
      </c>
      <c r="L1877" t="s">
        <v>2264</v>
      </c>
      <c r="M1877">
        <v>166.2</v>
      </c>
      <c r="N1877">
        <v>0</v>
      </c>
      <c r="O1877" t="s">
        <v>19</v>
      </c>
      <c r="P1877" t="s">
        <v>20</v>
      </c>
      <c r="Q1877">
        <v>20220523</v>
      </c>
    </row>
    <row r="1878" spans="1:17" x14ac:dyDescent="0.25">
      <c r="A1878" t="s">
        <v>548</v>
      </c>
      <c r="B1878" t="s">
        <v>429</v>
      </c>
      <c r="C1878">
        <v>69</v>
      </c>
      <c r="D1878">
        <v>20220523</v>
      </c>
      <c r="E1878">
        <f t="shared" si="29"/>
        <v>5</v>
      </c>
      <c r="F1878">
        <v>706105</v>
      </c>
      <c r="G1878" t="s">
        <v>2258</v>
      </c>
      <c r="H1878" t="s">
        <v>401</v>
      </c>
      <c r="I1878" t="s">
        <v>402</v>
      </c>
      <c r="J1878" t="s">
        <v>2265</v>
      </c>
      <c r="K1878">
        <v>20220523</v>
      </c>
      <c r="L1878" t="s">
        <v>2266</v>
      </c>
      <c r="M1878">
        <v>0</v>
      </c>
      <c r="N1878">
        <v>317</v>
      </c>
      <c r="O1878" t="s">
        <v>19</v>
      </c>
      <c r="P1878" t="s">
        <v>20</v>
      </c>
      <c r="Q1878">
        <v>20220523</v>
      </c>
    </row>
    <row r="1879" spans="1:17" x14ac:dyDescent="0.25">
      <c r="A1879" t="s">
        <v>548</v>
      </c>
      <c r="B1879" t="s">
        <v>429</v>
      </c>
      <c r="C1879">
        <v>69</v>
      </c>
      <c r="D1879">
        <v>20220523</v>
      </c>
      <c r="E1879">
        <f t="shared" si="29"/>
        <v>5</v>
      </c>
      <c r="F1879">
        <v>531105</v>
      </c>
      <c r="G1879" t="s">
        <v>429</v>
      </c>
      <c r="H1879" t="s">
        <v>401</v>
      </c>
      <c r="I1879" t="s">
        <v>402</v>
      </c>
      <c r="J1879" t="s">
        <v>2265</v>
      </c>
      <c r="K1879">
        <v>20220523</v>
      </c>
      <c r="L1879" t="s">
        <v>2266</v>
      </c>
      <c r="M1879">
        <v>317</v>
      </c>
      <c r="N1879">
        <v>0</v>
      </c>
      <c r="O1879" t="s">
        <v>19</v>
      </c>
      <c r="P1879" t="s">
        <v>20</v>
      </c>
      <c r="Q1879">
        <v>20220523</v>
      </c>
    </row>
    <row r="1880" spans="1:17" x14ac:dyDescent="0.25">
      <c r="A1880" t="s">
        <v>548</v>
      </c>
      <c r="B1880" t="s">
        <v>429</v>
      </c>
      <c r="C1880">
        <v>69</v>
      </c>
      <c r="D1880">
        <v>20220524</v>
      </c>
      <c r="E1880">
        <f t="shared" si="29"/>
        <v>5</v>
      </c>
      <c r="F1880">
        <v>467100</v>
      </c>
      <c r="G1880" t="s">
        <v>160</v>
      </c>
      <c r="H1880" t="s">
        <v>219</v>
      </c>
      <c r="I1880" t="s">
        <v>220</v>
      </c>
      <c r="J1880" t="s">
        <v>2267</v>
      </c>
      <c r="K1880">
        <v>20220524</v>
      </c>
      <c r="L1880" t="s">
        <v>2268</v>
      </c>
      <c r="M1880">
        <v>50</v>
      </c>
      <c r="N1880">
        <v>0</v>
      </c>
      <c r="O1880" t="s">
        <v>23</v>
      </c>
      <c r="P1880">
        <v>20221118</v>
      </c>
      <c r="Q1880">
        <v>20220524</v>
      </c>
    </row>
    <row r="1881" spans="1:17" x14ac:dyDescent="0.25">
      <c r="A1881" t="s">
        <v>548</v>
      </c>
      <c r="B1881" t="s">
        <v>429</v>
      </c>
      <c r="C1881">
        <v>69</v>
      </c>
      <c r="D1881">
        <v>20220524</v>
      </c>
      <c r="E1881">
        <f t="shared" si="29"/>
        <v>5</v>
      </c>
      <c r="F1881">
        <v>531105</v>
      </c>
      <c r="G1881" t="s">
        <v>429</v>
      </c>
      <c r="H1881" t="s">
        <v>401</v>
      </c>
      <c r="I1881" t="s">
        <v>402</v>
      </c>
      <c r="J1881" t="s">
        <v>2267</v>
      </c>
      <c r="K1881">
        <v>20220524</v>
      </c>
      <c r="L1881" t="s">
        <v>2268</v>
      </c>
      <c r="M1881">
        <v>0</v>
      </c>
      <c r="N1881">
        <v>50</v>
      </c>
      <c r="O1881" t="s">
        <v>19</v>
      </c>
      <c r="P1881" t="s">
        <v>20</v>
      </c>
      <c r="Q1881">
        <v>20220524</v>
      </c>
    </row>
    <row r="1882" spans="1:17" x14ac:dyDescent="0.25">
      <c r="A1882" t="s">
        <v>548</v>
      </c>
      <c r="B1882" t="s">
        <v>429</v>
      </c>
      <c r="C1882">
        <v>69</v>
      </c>
      <c r="D1882">
        <v>20220524</v>
      </c>
      <c r="E1882">
        <f t="shared" si="29"/>
        <v>5</v>
      </c>
      <c r="F1882">
        <v>411020</v>
      </c>
      <c r="G1882" t="s">
        <v>30</v>
      </c>
      <c r="H1882" t="s">
        <v>318</v>
      </c>
      <c r="I1882" t="s">
        <v>319</v>
      </c>
      <c r="J1882">
        <v>322010017</v>
      </c>
      <c r="K1882">
        <v>20220524</v>
      </c>
      <c r="L1882" t="s">
        <v>2269</v>
      </c>
      <c r="M1882">
        <v>0</v>
      </c>
      <c r="N1882">
        <v>50</v>
      </c>
      <c r="O1882" t="s">
        <v>22</v>
      </c>
      <c r="P1882">
        <v>20230218</v>
      </c>
      <c r="Q1882">
        <v>20220524</v>
      </c>
    </row>
    <row r="1883" spans="1:17" x14ac:dyDescent="0.25">
      <c r="A1883" t="s">
        <v>548</v>
      </c>
      <c r="B1883" t="s">
        <v>429</v>
      </c>
      <c r="C1883">
        <v>69</v>
      </c>
      <c r="D1883">
        <v>20220524</v>
      </c>
      <c r="E1883">
        <f t="shared" si="29"/>
        <v>5</v>
      </c>
      <c r="F1883">
        <v>411100</v>
      </c>
      <c r="G1883" t="s">
        <v>18</v>
      </c>
      <c r="H1883" t="s">
        <v>192</v>
      </c>
      <c r="I1883" t="s">
        <v>193</v>
      </c>
      <c r="J1883">
        <v>321120006</v>
      </c>
      <c r="K1883">
        <v>20220524</v>
      </c>
      <c r="L1883" t="s">
        <v>2270</v>
      </c>
      <c r="M1883">
        <v>0</v>
      </c>
      <c r="N1883">
        <v>49.24</v>
      </c>
      <c r="O1883" t="s">
        <v>23</v>
      </c>
      <c r="P1883">
        <v>20230218</v>
      </c>
      <c r="Q1883">
        <v>20220524</v>
      </c>
    </row>
    <row r="1884" spans="1:17" x14ac:dyDescent="0.25">
      <c r="A1884" t="s">
        <v>548</v>
      </c>
      <c r="B1884" t="s">
        <v>429</v>
      </c>
      <c r="C1884">
        <v>69</v>
      </c>
      <c r="D1884">
        <v>20220524</v>
      </c>
      <c r="E1884">
        <f t="shared" si="29"/>
        <v>5</v>
      </c>
      <c r="F1884">
        <v>411100</v>
      </c>
      <c r="G1884" t="s">
        <v>18</v>
      </c>
      <c r="H1884" t="s">
        <v>192</v>
      </c>
      <c r="I1884" t="s">
        <v>193</v>
      </c>
      <c r="J1884">
        <v>321120006</v>
      </c>
      <c r="K1884">
        <v>20220524</v>
      </c>
      <c r="L1884" t="s">
        <v>2271</v>
      </c>
      <c r="M1884">
        <v>0</v>
      </c>
      <c r="N1884">
        <v>0.76</v>
      </c>
      <c r="O1884" t="s">
        <v>23</v>
      </c>
      <c r="P1884">
        <v>20230218</v>
      </c>
      <c r="Q1884">
        <v>20220524</v>
      </c>
    </row>
    <row r="1885" spans="1:17" x14ac:dyDescent="0.25">
      <c r="A1885" t="s">
        <v>548</v>
      </c>
      <c r="B1885" t="s">
        <v>429</v>
      </c>
      <c r="C1885">
        <v>69</v>
      </c>
      <c r="D1885">
        <v>20220524</v>
      </c>
      <c r="E1885">
        <f t="shared" si="29"/>
        <v>5</v>
      </c>
      <c r="F1885">
        <v>411020</v>
      </c>
      <c r="G1885" t="s">
        <v>30</v>
      </c>
      <c r="H1885" t="s">
        <v>309</v>
      </c>
      <c r="I1885" t="s">
        <v>310</v>
      </c>
      <c r="J1885">
        <v>322030002</v>
      </c>
      <c r="K1885">
        <v>20220524</v>
      </c>
      <c r="L1885" t="s">
        <v>2272</v>
      </c>
      <c r="M1885">
        <v>0</v>
      </c>
      <c r="N1885">
        <v>120</v>
      </c>
      <c r="O1885" t="s">
        <v>23</v>
      </c>
      <c r="P1885">
        <v>20230218</v>
      </c>
      <c r="Q1885">
        <v>20220524</v>
      </c>
    </row>
    <row r="1886" spans="1:17" x14ac:dyDescent="0.25">
      <c r="A1886" t="s">
        <v>548</v>
      </c>
      <c r="B1886" t="s">
        <v>429</v>
      </c>
      <c r="C1886">
        <v>69</v>
      </c>
      <c r="D1886">
        <v>20220524</v>
      </c>
      <c r="E1886">
        <f t="shared" si="29"/>
        <v>5</v>
      </c>
      <c r="F1886">
        <v>531105</v>
      </c>
      <c r="G1886" t="s">
        <v>429</v>
      </c>
      <c r="H1886" t="s">
        <v>401</v>
      </c>
      <c r="I1886" t="s">
        <v>402</v>
      </c>
      <c r="J1886">
        <v>341016</v>
      </c>
      <c r="K1886">
        <v>20220524</v>
      </c>
      <c r="L1886" t="s">
        <v>565</v>
      </c>
      <c r="M1886">
        <v>220</v>
      </c>
      <c r="N1886">
        <v>0</v>
      </c>
      <c r="O1886" t="s">
        <v>19</v>
      </c>
      <c r="P1886" t="s">
        <v>20</v>
      </c>
      <c r="Q1886">
        <v>20220524</v>
      </c>
    </row>
    <row r="1887" spans="1:17" x14ac:dyDescent="0.25">
      <c r="A1887" t="s">
        <v>548</v>
      </c>
      <c r="B1887" t="s">
        <v>429</v>
      </c>
      <c r="C1887">
        <v>69</v>
      </c>
      <c r="D1887">
        <v>20220524</v>
      </c>
      <c r="E1887">
        <f t="shared" si="29"/>
        <v>5</v>
      </c>
      <c r="F1887">
        <v>411100</v>
      </c>
      <c r="G1887" t="s">
        <v>18</v>
      </c>
      <c r="H1887" t="s">
        <v>61</v>
      </c>
      <c r="I1887" t="s">
        <v>62</v>
      </c>
      <c r="J1887">
        <v>341388</v>
      </c>
      <c r="K1887">
        <v>20220524</v>
      </c>
      <c r="L1887" t="s">
        <v>2273</v>
      </c>
      <c r="M1887">
        <v>0</v>
      </c>
      <c r="N1887">
        <v>5</v>
      </c>
      <c r="O1887" t="s">
        <v>22</v>
      </c>
      <c r="P1887">
        <v>20230218</v>
      </c>
      <c r="Q1887">
        <v>20220524</v>
      </c>
    </row>
    <row r="1888" spans="1:17" x14ac:dyDescent="0.25">
      <c r="A1888" t="s">
        <v>548</v>
      </c>
      <c r="B1888" t="s">
        <v>429</v>
      </c>
      <c r="C1888">
        <v>69</v>
      </c>
      <c r="D1888">
        <v>20220524</v>
      </c>
      <c r="E1888">
        <f t="shared" si="29"/>
        <v>5</v>
      </c>
      <c r="F1888">
        <v>411100</v>
      </c>
      <c r="G1888" t="s">
        <v>18</v>
      </c>
      <c r="H1888" t="s">
        <v>115</v>
      </c>
      <c r="I1888" t="s">
        <v>116</v>
      </c>
      <c r="J1888">
        <v>341389</v>
      </c>
      <c r="K1888">
        <v>20220524</v>
      </c>
      <c r="L1888" t="s">
        <v>2274</v>
      </c>
      <c r="M1888">
        <v>0</v>
      </c>
      <c r="N1888">
        <v>5</v>
      </c>
      <c r="O1888" t="s">
        <v>22</v>
      </c>
      <c r="P1888">
        <v>20230218</v>
      </c>
      <c r="Q1888">
        <v>20220524</v>
      </c>
    </row>
    <row r="1889" spans="1:17" x14ac:dyDescent="0.25">
      <c r="A1889" t="s">
        <v>548</v>
      </c>
      <c r="B1889" t="s">
        <v>429</v>
      </c>
      <c r="C1889">
        <v>69</v>
      </c>
      <c r="D1889">
        <v>20220524</v>
      </c>
      <c r="E1889">
        <f t="shared" si="29"/>
        <v>5</v>
      </c>
      <c r="F1889">
        <v>411100</v>
      </c>
      <c r="G1889" t="s">
        <v>18</v>
      </c>
      <c r="H1889" t="s">
        <v>121</v>
      </c>
      <c r="I1889" t="s">
        <v>122</v>
      </c>
      <c r="J1889">
        <v>341390</v>
      </c>
      <c r="K1889">
        <v>20220524</v>
      </c>
      <c r="L1889" t="s">
        <v>2275</v>
      </c>
      <c r="M1889">
        <v>0</v>
      </c>
      <c r="N1889">
        <v>5</v>
      </c>
      <c r="O1889" t="s">
        <v>22</v>
      </c>
      <c r="P1889">
        <v>20230218</v>
      </c>
      <c r="Q1889">
        <v>20220524</v>
      </c>
    </row>
    <row r="1890" spans="1:17" x14ac:dyDescent="0.25">
      <c r="A1890" t="s">
        <v>548</v>
      </c>
      <c r="B1890" t="s">
        <v>429</v>
      </c>
      <c r="C1890">
        <v>69</v>
      </c>
      <c r="D1890">
        <v>20220524</v>
      </c>
      <c r="E1890">
        <f t="shared" si="29"/>
        <v>5</v>
      </c>
      <c r="F1890">
        <v>411100</v>
      </c>
      <c r="G1890" t="s">
        <v>18</v>
      </c>
      <c r="H1890" t="s">
        <v>63</v>
      </c>
      <c r="I1890" t="s">
        <v>64</v>
      </c>
      <c r="J1890">
        <v>341391</v>
      </c>
      <c r="K1890">
        <v>20220524</v>
      </c>
      <c r="L1890" t="s">
        <v>2276</v>
      </c>
      <c r="M1890">
        <v>0</v>
      </c>
      <c r="N1890">
        <v>5</v>
      </c>
      <c r="O1890" t="s">
        <v>19</v>
      </c>
      <c r="P1890" t="s">
        <v>20</v>
      </c>
      <c r="Q1890">
        <v>20220524</v>
      </c>
    </row>
    <row r="1891" spans="1:17" x14ac:dyDescent="0.25">
      <c r="A1891" t="s">
        <v>548</v>
      </c>
      <c r="B1891" t="s">
        <v>429</v>
      </c>
      <c r="C1891">
        <v>69</v>
      </c>
      <c r="D1891">
        <v>20220524</v>
      </c>
      <c r="E1891">
        <f t="shared" si="29"/>
        <v>5</v>
      </c>
      <c r="F1891">
        <v>411000</v>
      </c>
      <c r="G1891" t="s">
        <v>21</v>
      </c>
      <c r="H1891" t="s">
        <v>287</v>
      </c>
      <c r="I1891" t="s">
        <v>288</v>
      </c>
      <c r="J1891">
        <v>341392</v>
      </c>
      <c r="K1891">
        <v>20220524</v>
      </c>
      <c r="L1891" t="s">
        <v>2277</v>
      </c>
      <c r="M1891">
        <v>0</v>
      </c>
      <c r="N1891">
        <v>5</v>
      </c>
      <c r="O1891" t="s">
        <v>19</v>
      </c>
      <c r="P1891" t="s">
        <v>20</v>
      </c>
      <c r="Q1891">
        <v>20220524</v>
      </c>
    </row>
    <row r="1892" spans="1:17" x14ac:dyDescent="0.25">
      <c r="A1892" t="s">
        <v>548</v>
      </c>
      <c r="B1892" t="s">
        <v>429</v>
      </c>
      <c r="C1892">
        <v>69</v>
      </c>
      <c r="D1892">
        <v>20220524</v>
      </c>
      <c r="E1892">
        <f t="shared" si="29"/>
        <v>5</v>
      </c>
      <c r="F1892">
        <v>411100</v>
      </c>
      <c r="G1892" t="s">
        <v>18</v>
      </c>
      <c r="H1892" t="s">
        <v>142</v>
      </c>
      <c r="I1892" t="s">
        <v>143</v>
      </c>
      <c r="J1892">
        <v>341393</v>
      </c>
      <c r="K1892">
        <v>20220524</v>
      </c>
      <c r="L1892" t="s">
        <v>2278</v>
      </c>
      <c r="M1892">
        <v>0</v>
      </c>
      <c r="N1892">
        <v>5</v>
      </c>
      <c r="O1892" t="s">
        <v>22</v>
      </c>
      <c r="P1892">
        <v>20230218</v>
      </c>
      <c r="Q1892">
        <v>20220524</v>
      </c>
    </row>
    <row r="1893" spans="1:17" x14ac:dyDescent="0.25">
      <c r="A1893" t="s">
        <v>548</v>
      </c>
      <c r="B1893" t="s">
        <v>429</v>
      </c>
      <c r="C1893">
        <v>69</v>
      </c>
      <c r="D1893">
        <v>20220524</v>
      </c>
      <c r="E1893">
        <f t="shared" si="29"/>
        <v>5</v>
      </c>
      <c r="F1893">
        <v>411100</v>
      </c>
      <c r="G1893" t="s">
        <v>18</v>
      </c>
      <c r="H1893" t="s">
        <v>111</v>
      </c>
      <c r="I1893" t="s">
        <v>112</v>
      </c>
      <c r="J1893">
        <v>341394</v>
      </c>
      <c r="K1893">
        <v>20220524</v>
      </c>
      <c r="L1893" t="s">
        <v>2279</v>
      </c>
      <c r="M1893">
        <v>0</v>
      </c>
      <c r="N1893">
        <v>5</v>
      </c>
      <c r="O1893" t="s">
        <v>22</v>
      </c>
      <c r="P1893">
        <v>20230218</v>
      </c>
      <c r="Q1893">
        <v>20220524</v>
      </c>
    </row>
    <row r="1894" spans="1:17" x14ac:dyDescent="0.25">
      <c r="A1894" t="s">
        <v>548</v>
      </c>
      <c r="B1894" t="s">
        <v>429</v>
      </c>
      <c r="C1894">
        <v>69</v>
      </c>
      <c r="D1894">
        <v>20220524</v>
      </c>
      <c r="E1894">
        <f t="shared" si="29"/>
        <v>5</v>
      </c>
      <c r="F1894">
        <v>411100</v>
      </c>
      <c r="G1894" t="s">
        <v>18</v>
      </c>
      <c r="H1894" t="s">
        <v>26</v>
      </c>
      <c r="I1894" t="s">
        <v>27</v>
      </c>
      <c r="J1894">
        <v>341395</v>
      </c>
      <c r="K1894">
        <v>20220524</v>
      </c>
      <c r="L1894" t="s">
        <v>2280</v>
      </c>
      <c r="M1894">
        <v>0</v>
      </c>
      <c r="N1894">
        <v>5</v>
      </c>
      <c r="O1894" t="s">
        <v>19</v>
      </c>
      <c r="P1894" t="s">
        <v>20</v>
      </c>
      <c r="Q1894">
        <v>20220524</v>
      </c>
    </row>
    <row r="1895" spans="1:17" x14ac:dyDescent="0.25">
      <c r="A1895" t="s">
        <v>548</v>
      </c>
      <c r="B1895" t="s">
        <v>429</v>
      </c>
      <c r="C1895">
        <v>69</v>
      </c>
      <c r="D1895">
        <v>20220524</v>
      </c>
      <c r="E1895">
        <f t="shared" si="29"/>
        <v>5</v>
      </c>
      <c r="F1895">
        <v>411100</v>
      </c>
      <c r="G1895" t="s">
        <v>18</v>
      </c>
      <c r="H1895" t="s">
        <v>113</v>
      </c>
      <c r="I1895" t="s">
        <v>114</v>
      </c>
      <c r="J1895">
        <v>341396</v>
      </c>
      <c r="K1895">
        <v>20220524</v>
      </c>
      <c r="L1895" t="s">
        <v>2281</v>
      </c>
      <c r="M1895">
        <v>0</v>
      </c>
      <c r="N1895">
        <v>5</v>
      </c>
      <c r="O1895" t="s">
        <v>22</v>
      </c>
      <c r="P1895">
        <v>20230218</v>
      </c>
      <c r="Q1895">
        <v>20220524</v>
      </c>
    </row>
    <row r="1896" spans="1:17" x14ac:dyDescent="0.25">
      <c r="A1896" t="s">
        <v>548</v>
      </c>
      <c r="B1896" t="s">
        <v>429</v>
      </c>
      <c r="C1896">
        <v>69</v>
      </c>
      <c r="D1896">
        <v>20220524</v>
      </c>
      <c r="E1896">
        <f t="shared" si="29"/>
        <v>5</v>
      </c>
      <c r="F1896">
        <v>411100</v>
      </c>
      <c r="G1896" t="s">
        <v>18</v>
      </c>
      <c r="H1896" t="s">
        <v>2282</v>
      </c>
      <c r="I1896" t="s">
        <v>2283</v>
      </c>
      <c r="J1896">
        <v>341397</v>
      </c>
      <c r="K1896">
        <v>20220524</v>
      </c>
      <c r="L1896" t="s">
        <v>2284</v>
      </c>
      <c r="M1896">
        <v>0</v>
      </c>
      <c r="N1896">
        <v>5</v>
      </c>
      <c r="O1896" t="s">
        <v>22</v>
      </c>
      <c r="P1896">
        <v>20230218</v>
      </c>
      <c r="Q1896">
        <v>20220524</v>
      </c>
    </row>
    <row r="1897" spans="1:17" x14ac:dyDescent="0.25">
      <c r="A1897" t="s">
        <v>548</v>
      </c>
      <c r="B1897" t="s">
        <v>429</v>
      </c>
      <c r="C1897">
        <v>69</v>
      </c>
      <c r="D1897">
        <v>20220524</v>
      </c>
      <c r="E1897">
        <f t="shared" si="29"/>
        <v>5</v>
      </c>
      <c r="F1897">
        <v>411100</v>
      </c>
      <c r="G1897" t="s">
        <v>18</v>
      </c>
      <c r="H1897" t="s">
        <v>249</v>
      </c>
      <c r="I1897" t="s">
        <v>250</v>
      </c>
      <c r="J1897">
        <v>341398</v>
      </c>
      <c r="K1897">
        <v>20220524</v>
      </c>
      <c r="L1897" t="s">
        <v>2285</v>
      </c>
      <c r="M1897">
        <v>0</v>
      </c>
      <c r="N1897">
        <v>5</v>
      </c>
      <c r="O1897" t="s">
        <v>19</v>
      </c>
      <c r="P1897" t="s">
        <v>20</v>
      </c>
      <c r="Q1897">
        <v>20220524</v>
      </c>
    </row>
    <row r="1898" spans="1:17" x14ac:dyDescent="0.25">
      <c r="A1898" t="s">
        <v>548</v>
      </c>
      <c r="B1898" t="s">
        <v>429</v>
      </c>
      <c r="C1898">
        <v>69</v>
      </c>
      <c r="D1898">
        <v>20220524</v>
      </c>
      <c r="E1898">
        <f t="shared" si="29"/>
        <v>5</v>
      </c>
      <c r="F1898">
        <v>411100</v>
      </c>
      <c r="G1898" t="s">
        <v>18</v>
      </c>
      <c r="H1898" t="s">
        <v>117</v>
      </c>
      <c r="I1898" t="s">
        <v>118</v>
      </c>
      <c r="J1898">
        <v>341399</v>
      </c>
      <c r="K1898">
        <v>20220524</v>
      </c>
      <c r="L1898" t="s">
        <v>2286</v>
      </c>
      <c r="M1898">
        <v>0</v>
      </c>
      <c r="N1898">
        <v>5</v>
      </c>
      <c r="O1898" t="s">
        <v>22</v>
      </c>
      <c r="P1898">
        <v>20230218</v>
      </c>
      <c r="Q1898">
        <v>20220524</v>
      </c>
    </row>
    <row r="1899" spans="1:17" x14ac:dyDescent="0.25">
      <c r="A1899" t="s">
        <v>548</v>
      </c>
      <c r="B1899" t="s">
        <v>429</v>
      </c>
      <c r="C1899">
        <v>69</v>
      </c>
      <c r="D1899">
        <v>20220524</v>
      </c>
      <c r="E1899">
        <f t="shared" si="29"/>
        <v>5</v>
      </c>
      <c r="F1899">
        <v>411000</v>
      </c>
      <c r="G1899" t="s">
        <v>21</v>
      </c>
      <c r="H1899" t="s">
        <v>287</v>
      </c>
      <c r="I1899" t="s">
        <v>288</v>
      </c>
      <c r="J1899">
        <v>341400</v>
      </c>
      <c r="K1899">
        <v>20220524</v>
      </c>
      <c r="L1899" t="s">
        <v>2287</v>
      </c>
      <c r="M1899">
        <v>0</v>
      </c>
      <c r="N1899">
        <v>5</v>
      </c>
      <c r="O1899" t="s">
        <v>19</v>
      </c>
      <c r="P1899" t="s">
        <v>20</v>
      </c>
      <c r="Q1899">
        <v>20220524</v>
      </c>
    </row>
    <row r="1900" spans="1:17" x14ac:dyDescent="0.25">
      <c r="A1900" t="s">
        <v>548</v>
      </c>
      <c r="B1900" t="s">
        <v>429</v>
      </c>
      <c r="C1900">
        <v>69</v>
      </c>
      <c r="D1900">
        <v>20220524</v>
      </c>
      <c r="E1900">
        <f t="shared" si="29"/>
        <v>5</v>
      </c>
      <c r="F1900">
        <v>411100</v>
      </c>
      <c r="G1900" t="s">
        <v>18</v>
      </c>
      <c r="H1900" t="s">
        <v>121</v>
      </c>
      <c r="I1900" t="s">
        <v>122</v>
      </c>
      <c r="J1900">
        <v>341401</v>
      </c>
      <c r="K1900">
        <v>20220524</v>
      </c>
      <c r="L1900" t="s">
        <v>2288</v>
      </c>
      <c r="M1900">
        <v>0</v>
      </c>
      <c r="N1900">
        <v>5</v>
      </c>
      <c r="O1900" t="s">
        <v>22</v>
      </c>
      <c r="P1900">
        <v>20230218</v>
      </c>
      <c r="Q1900">
        <v>20220524</v>
      </c>
    </row>
    <row r="1901" spans="1:17" x14ac:dyDescent="0.25">
      <c r="A1901" t="s">
        <v>548</v>
      </c>
      <c r="B1901" t="s">
        <v>429</v>
      </c>
      <c r="C1901">
        <v>69</v>
      </c>
      <c r="D1901">
        <v>20220524</v>
      </c>
      <c r="E1901">
        <f t="shared" si="29"/>
        <v>5</v>
      </c>
      <c r="F1901">
        <v>411100</v>
      </c>
      <c r="G1901" t="s">
        <v>18</v>
      </c>
      <c r="H1901" t="s">
        <v>63</v>
      </c>
      <c r="I1901" t="s">
        <v>64</v>
      </c>
      <c r="J1901">
        <v>341402</v>
      </c>
      <c r="K1901">
        <v>20220524</v>
      </c>
      <c r="L1901" t="s">
        <v>2289</v>
      </c>
      <c r="M1901">
        <v>0</v>
      </c>
      <c r="N1901">
        <v>5</v>
      </c>
      <c r="O1901" t="s">
        <v>19</v>
      </c>
      <c r="P1901" t="s">
        <v>20</v>
      </c>
      <c r="Q1901">
        <v>20220524</v>
      </c>
    </row>
    <row r="1902" spans="1:17" x14ac:dyDescent="0.25">
      <c r="A1902" t="s">
        <v>548</v>
      </c>
      <c r="B1902" t="s">
        <v>429</v>
      </c>
      <c r="C1902">
        <v>69</v>
      </c>
      <c r="D1902">
        <v>20220524</v>
      </c>
      <c r="E1902">
        <f t="shared" si="29"/>
        <v>5</v>
      </c>
      <c r="F1902">
        <v>411100</v>
      </c>
      <c r="G1902" t="s">
        <v>18</v>
      </c>
      <c r="H1902" t="s">
        <v>2290</v>
      </c>
      <c r="I1902" t="s">
        <v>2291</v>
      </c>
      <c r="J1902">
        <v>341403</v>
      </c>
      <c r="K1902">
        <v>20220524</v>
      </c>
      <c r="L1902" t="s">
        <v>2292</v>
      </c>
      <c r="M1902">
        <v>0</v>
      </c>
      <c r="N1902">
        <v>5</v>
      </c>
      <c r="O1902" t="s">
        <v>19</v>
      </c>
      <c r="P1902" t="s">
        <v>20</v>
      </c>
      <c r="Q1902">
        <v>20220524</v>
      </c>
    </row>
    <row r="1903" spans="1:17" x14ac:dyDescent="0.25">
      <c r="A1903" t="s">
        <v>548</v>
      </c>
      <c r="B1903" t="s">
        <v>429</v>
      </c>
      <c r="C1903">
        <v>69</v>
      </c>
      <c r="D1903">
        <v>20220524</v>
      </c>
      <c r="E1903">
        <f t="shared" si="29"/>
        <v>5</v>
      </c>
      <c r="F1903">
        <v>411100</v>
      </c>
      <c r="G1903" t="s">
        <v>18</v>
      </c>
      <c r="H1903" t="s">
        <v>103</v>
      </c>
      <c r="I1903" t="s">
        <v>104</v>
      </c>
      <c r="J1903">
        <v>341404</v>
      </c>
      <c r="K1903">
        <v>20220524</v>
      </c>
      <c r="L1903" t="s">
        <v>2293</v>
      </c>
      <c r="M1903">
        <v>0</v>
      </c>
      <c r="N1903">
        <v>5</v>
      </c>
      <c r="O1903" t="s">
        <v>22</v>
      </c>
      <c r="P1903">
        <v>20230218</v>
      </c>
      <c r="Q1903">
        <v>20220524</v>
      </c>
    </row>
    <row r="1904" spans="1:17" x14ac:dyDescent="0.25">
      <c r="A1904" t="s">
        <v>548</v>
      </c>
      <c r="B1904" t="s">
        <v>429</v>
      </c>
      <c r="C1904">
        <v>69</v>
      </c>
      <c r="D1904">
        <v>20220524</v>
      </c>
      <c r="E1904">
        <f t="shared" si="29"/>
        <v>5</v>
      </c>
      <c r="F1904">
        <v>411100</v>
      </c>
      <c r="G1904" t="s">
        <v>18</v>
      </c>
      <c r="H1904" t="s">
        <v>2282</v>
      </c>
      <c r="I1904" t="s">
        <v>2283</v>
      </c>
      <c r="J1904">
        <v>341405</v>
      </c>
      <c r="K1904">
        <v>20220524</v>
      </c>
      <c r="L1904" t="s">
        <v>2294</v>
      </c>
      <c r="M1904">
        <v>0</v>
      </c>
      <c r="N1904">
        <v>5</v>
      </c>
      <c r="O1904" t="s">
        <v>22</v>
      </c>
      <c r="P1904">
        <v>20230218</v>
      </c>
      <c r="Q1904">
        <v>20220524</v>
      </c>
    </row>
    <row r="1905" spans="1:17" x14ac:dyDescent="0.25">
      <c r="A1905" t="s">
        <v>548</v>
      </c>
      <c r="B1905" t="s">
        <v>429</v>
      </c>
      <c r="C1905">
        <v>69</v>
      </c>
      <c r="D1905">
        <v>20220524</v>
      </c>
      <c r="E1905">
        <f t="shared" si="29"/>
        <v>5</v>
      </c>
      <c r="F1905">
        <v>411100</v>
      </c>
      <c r="G1905" t="s">
        <v>18</v>
      </c>
      <c r="H1905" t="s">
        <v>111</v>
      </c>
      <c r="I1905" t="s">
        <v>112</v>
      </c>
      <c r="J1905">
        <v>341406</v>
      </c>
      <c r="K1905">
        <v>20220524</v>
      </c>
      <c r="L1905" t="s">
        <v>2295</v>
      </c>
      <c r="M1905">
        <v>0</v>
      </c>
      <c r="N1905">
        <v>5</v>
      </c>
      <c r="O1905" t="s">
        <v>22</v>
      </c>
      <c r="P1905">
        <v>20230218</v>
      </c>
      <c r="Q1905">
        <v>20220524</v>
      </c>
    </row>
    <row r="1906" spans="1:17" x14ac:dyDescent="0.25">
      <c r="A1906" t="s">
        <v>548</v>
      </c>
      <c r="B1906" t="s">
        <v>429</v>
      </c>
      <c r="C1906">
        <v>69</v>
      </c>
      <c r="D1906">
        <v>20220524</v>
      </c>
      <c r="E1906">
        <f t="shared" si="29"/>
        <v>5</v>
      </c>
      <c r="F1906">
        <v>411100</v>
      </c>
      <c r="G1906" t="s">
        <v>18</v>
      </c>
      <c r="H1906" t="s">
        <v>26</v>
      </c>
      <c r="I1906" t="s">
        <v>27</v>
      </c>
      <c r="J1906">
        <v>341407</v>
      </c>
      <c r="K1906">
        <v>20220524</v>
      </c>
      <c r="L1906" t="s">
        <v>2296</v>
      </c>
      <c r="M1906">
        <v>0</v>
      </c>
      <c r="N1906">
        <v>5</v>
      </c>
      <c r="O1906" t="s">
        <v>19</v>
      </c>
      <c r="P1906" t="s">
        <v>20</v>
      </c>
      <c r="Q1906">
        <v>20220524</v>
      </c>
    </row>
    <row r="1907" spans="1:17" x14ac:dyDescent="0.25">
      <c r="A1907" t="s">
        <v>548</v>
      </c>
      <c r="B1907" t="s">
        <v>429</v>
      </c>
      <c r="C1907">
        <v>69</v>
      </c>
      <c r="D1907">
        <v>20220524</v>
      </c>
      <c r="E1907">
        <f t="shared" si="29"/>
        <v>5</v>
      </c>
      <c r="F1907">
        <v>531105</v>
      </c>
      <c r="G1907" t="s">
        <v>429</v>
      </c>
      <c r="H1907" t="s">
        <v>401</v>
      </c>
      <c r="I1907" t="s">
        <v>402</v>
      </c>
      <c r="J1907">
        <v>341408</v>
      </c>
      <c r="K1907">
        <v>20220524</v>
      </c>
      <c r="L1907" t="s">
        <v>565</v>
      </c>
      <c r="M1907">
        <v>100</v>
      </c>
      <c r="N1907">
        <v>0</v>
      </c>
      <c r="O1907" t="s">
        <v>19</v>
      </c>
      <c r="P1907" t="s">
        <v>20</v>
      </c>
      <c r="Q1907">
        <v>20220524</v>
      </c>
    </row>
    <row r="1908" spans="1:17" x14ac:dyDescent="0.25">
      <c r="A1908" t="s">
        <v>548</v>
      </c>
      <c r="B1908" t="s">
        <v>429</v>
      </c>
      <c r="C1908">
        <v>69</v>
      </c>
      <c r="D1908">
        <v>20220525</v>
      </c>
      <c r="E1908">
        <f t="shared" si="29"/>
        <v>5</v>
      </c>
      <c r="F1908">
        <v>467100</v>
      </c>
      <c r="G1908" t="s">
        <v>160</v>
      </c>
      <c r="H1908" t="s">
        <v>316</v>
      </c>
      <c r="I1908" t="s">
        <v>317</v>
      </c>
      <c r="J1908" t="s">
        <v>2297</v>
      </c>
      <c r="K1908">
        <v>20220525</v>
      </c>
      <c r="L1908" t="s">
        <v>2298</v>
      </c>
      <c r="M1908">
        <v>0</v>
      </c>
      <c r="N1908">
        <v>3.08</v>
      </c>
      <c r="O1908" t="s">
        <v>23</v>
      </c>
      <c r="P1908">
        <v>20220801</v>
      </c>
      <c r="Q1908">
        <v>20220525</v>
      </c>
    </row>
    <row r="1909" spans="1:17" x14ac:dyDescent="0.25">
      <c r="A1909" t="s">
        <v>548</v>
      </c>
      <c r="B1909" t="s">
        <v>429</v>
      </c>
      <c r="C1909">
        <v>69</v>
      </c>
      <c r="D1909">
        <v>20220525</v>
      </c>
      <c r="E1909">
        <f t="shared" si="29"/>
        <v>5</v>
      </c>
      <c r="F1909">
        <v>531105</v>
      </c>
      <c r="G1909" t="s">
        <v>429</v>
      </c>
      <c r="H1909" t="s">
        <v>401</v>
      </c>
      <c r="I1909" t="s">
        <v>402</v>
      </c>
      <c r="J1909" t="s">
        <v>2297</v>
      </c>
      <c r="K1909">
        <v>20220525</v>
      </c>
      <c r="L1909" t="s">
        <v>2298</v>
      </c>
      <c r="M1909">
        <v>3.08</v>
      </c>
      <c r="N1909">
        <v>0</v>
      </c>
      <c r="O1909" t="s">
        <v>19</v>
      </c>
      <c r="P1909" t="s">
        <v>20</v>
      </c>
      <c r="Q1909">
        <v>20220525</v>
      </c>
    </row>
    <row r="1910" spans="1:17" x14ac:dyDescent="0.25">
      <c r="A1910" t="s">
        <v>548</v>
      </c>
      <c r="B1910" t="s">
        <v>429</v>
      </c>
      <c r="C1910">
        <v>69</v>
      </c>
      <c r="D1910">
        <v>20220525</v>
      </c>
      <c r="E1910">
        <f t="shared" si="29"/>
        <v>5</v>
      </c>
      <c r="F1910">
        <v>467100</v>
      </c>
      <c r="G1910" t="s">
        <v>160</v>
      </c>
      <c r="H1910" t="s">
        <v>626</v>
      </c>
      <c r="I1910" t="s">
        <v>627</v>
      </c>
      <c r="J1910" t="s">
        <v>2299</v>
      </c>
      <c r="K1910">
        <v>20220525</v>
      </c>
      <c r="L1910" t="s">
        <v>2300</v>
      </c>
      <c r="M1910">
        <v>11.28</v>
      </c>
      <c r="N1910">
        <v>0</v>
      </c>
      <c r="O1910" t="s">
        <v>23</v>
      </c>
      <c r="P1910">
        <v>20220831</v>
      </c>
      <c r="Q1910">
        <v>20220525</v>
      </c>
    </row>
    <row r="1911" spans="1:17" x14ac:dyDescent="0.25">
      <c r="A1911" t="s">
        <v>548</v>
      </c>
      <c r="B1911" t="s">
        <v>429</v>
      </c>
      <c r="C1911">
        <v>69</v>
      </c>
      <c r="D1911">
        <v>20220525</v>
      </c>
      <c r="E1911">
        <f t="shared" si="29"/>
        <v>5</v>
      </c>
      <c r="F1911">
        <v>531105</v>
      </c>
      <c r="G1911" t="s">
        <v>429</v>
      </c>
      <c r="H1911" t="s">
        <v>401</v>
      </c>
      <c r="I1911" t="s">
        <v>402</v>
      </c>
      <c r="J1911" t="s">
        <v>2299</v>
      </c>
      <c r="K1911">
        <v>20220525</v>
      </c>
      <c r="L1911" t="s">
        <v>2300</v>
      </c>
      <c r="M1911">
        <v>0</v>
      </c>
      <c r="N1911">
        <v>11.28</v>
      </c>
      <c r="O1911" t="s">
        <v>19</v>
      </c>
      <c r="P1911" t="s">
        <v>20</v>
      </c>
      <c r="Q1911">
        <v>20220525</v>
      </c>
    </row>
    <row r="1912" spans="1:17" x14ac:dyDescent="0.25">
      <c r="A1912" t="s">
        <v>548</v>
      </c>
      <c r="B1912" t="s">
        <v>429</v>
      </c>
      <c r="C1912">
        <v>69</v>
      </c>
      <c r="D1912">
        <v>20220525</v>
      </c>
      <c r="E1912">
        <f t="shared" si="29"/>
        <v>5</v>
      </c>
      <c r="F1912">
        <v>411100</v>
      </c>
      <c r="G1912" t="s">
        <v>18</v>
      </c>
      <c r="H1912" t="s">
        <v>24</v>
      </c>
      <c r="I1912" t="s">
        <v>25</v>
      </c>
      <c r="J1912">
        <v>322010009</v>
      </c>
      <c r="K1912">
        <v>20220525</v>
      </c>
      <c r="L1912" t="s">
        <v>2301</v>
      </c>
      <c r="M1912">
        <v>0</v>
      </c>
      <c r="N1912">
        <v>150</v>
      </c>
      <c r="O1912" t="s">
        <v>19</v>
      </c>
      <c r="P1912" t="s">
        <v>20</v>
      </c>
      <c r="Q1912">
        <v>20220525</v>
      </c>
    </row>
    <row r="1913" spans="1:17" x14ac:dyDescent="0.25">
      <c r="A1913" t="s">
        <v>548</v>
      </c>
      <c r="B1913" t="s">
        <v>429</v>
      </c>
      <c r="C1913">
        <v>69</v>
      </c>
      <c r="D1913">
        <v>20220525</v>
      </c>
      <c r="E1913">
        <f t="shared" si="29"/>
        <v>5</v>
      </c>
      <c r="F1913">
        <v>531105</v>
      </c>
      <c r="G1913" t="s">
        <v>429</v>
      </c>
      <c r="H1913" t="s">
        <v>401</v>
      </c>
      <c r="I1913" t="s">
        <v>402</v>
      </c>
      <c r="J1913">
        <v>341018</v>
      </c>
      <c r="K1913">
        <v>20220525</v>
      </c>
      <c r="L1913" t="s">
        <v>565</v>
      </c>
      <c r="M1913">
        <v>150</v>
      </c>
      <c r="N1913">
        <v>0</v>
      </c>
      <c r="O1913" t="s">
        <v>19</v>
      </c>
      <c r="P1913" t="s">
        <v>20</v>
      </c>
      <c r="Q1913">
        <v>20220525</v>
      </c>
    </row>
    <row r="1914" spans="1:17" x14ac:dyDescent="0.25">
      <c r="A1914" t="s">
        <v>548</v>
      </c>
      <c r="B1914" t="s">
        <v>429</v>
      </c>
      <c r="C1914">
        <v>69</v>
      </c>
      <c r="D1914">
        <v>20220525</v>
      </c>
      <c r="E1914">
        <f t="shared" si="29"/>
        <v>5</v>
      </c>
      <c r="F1914">
        <v>411100</v>
      </c>
      <c r="G1914" t="s">
        <v>18</v>
      </c>
      <c r="H1914" t="s">
        <v>352</v>
      </c>
      <c r="I1914" t="s">
        <v>353</v>
      </c>
      <c r="J1914">
        <v>341409</v>
      </c>
      <c r="K1914">
        <v>20220525</v>
      </c>
      <c r="L1914" t="s">
        <v>2302</v>
      </c>
      <c r="M1914">
        <v>0</v>
      </c>
      <c r="N1914">
        <v>15.54</v>
      </c>
      <c r="O1914" t="s">
        <v>22</v>
      </c>
      <c r="P1914">
        <v>20230218</v>
      </c>
      <c r="Q1914">
        <v>20220525</v>
      </c>
    </row>
    <row r="1915" spans="1:17" x14ac:dyDescent="0.25">
      <c r="A1915" t="s">
        <v>548</v>
      </c>
      <c r="B1915" t="s">
        <v>429</v>
      </c>
      <c r="C1915">
        <v>69</v>
      </c>
      <c r="D1915">
        <v>20220525</v>
      </c>
      <c r="E1915">
        <f t="shared" si="29"/>
        <v>5</v>
      </c>
      <c r="F1915">
        <v>531105</v>
      </c>
      <c r="G1915" t="s">
        <v>429</v>
      </c>
      <c r="H1915" t="s">
        <v>401</v>
      </c>
      <c r="I1915" t="s">
        <v>402</v>
      </c>
      <c r="J1915">
        <v>341410</v>
      </c>
      <c r="K1915">
        <v>20220525</v>
      </c>
      <c r="L1915" t="s">
        <v>565</v>
      </c>
      <c r="M1915">
        <v>15.54</v>
      </c>
      <c r="N1915">
        <v>0</v>
      </c>
      <c r="O1915" t="s">
        <v>19</v>
      </c>
      <c r="P1915" t="s">
        <v>20</v>
      </c>
      <c r="Q1915">
        <v>20220525</v>
      </c>
    </row>
    <row r="1916" spans="1:17" x14ac:dyDescent="0.25">
      <c r="A1916" t="s">
        <v>548</v>
      </c>
      <c r="B1916" t="s">
        <v>429</v>
      </c>
      <c r="C1916">
        <v>69</v>
      </c>
      <c r="D1916">
        <v>20220526</v>
      </c>
      <c r="E1916">
        <f t="shared" si="29"/>
        <v>5</v>
      </c>
      <c r="F1916">
        <v>467100</v>
      </c>
      <c r="G1916" t="s">
        <v>160</v>
      </c>
      <c r="H1916" t="s">
        <v>219</v>
      </c>
      <c r="I1916" t="s">
        <v>220</v>
      </c>
      <c r="J1916" t="s">
        <v>2303</v>
      </c>
      <c r="K1916">
        <v>20220526</v>
      </c>
      <c r="L1916" t="s">
        <v>2304</v>
      </c>
      <c r="M1916">
        <v>0</v>
      </c>
      <c r="N1916">
        <v>16.46</v>
      </c>
      <c r="O1916" t="s">
        <v>23</v>
      </c>
      <c r="P1916">
        <v>20221118</v>
      </c>
      <c r="Q1916">
        <v>20220526</v>
      </c>
    </row>
    <row r="1917" spans="1:17" x14ac:dyDescent="0.25">
      <c r="A1917" t="s">
        <v>548</v>
      </c>
      <c r="B1917" t="s">
        <v>429</v>
      </c>
      <c r="C1917">
        <v>69</v>
      </c>
      <c r="D1917">
        <v>20220526</v>
      </c>
      <c r="E1917">
        <f t="shared" si="29"/>
        <v>5</v>
      </c>
      <c r="F1917">
        <v>531105</v>
      </c>
      <c r="G1917" t="s">
        <v>429</v>
      </c>
      <c r="H1917" t="s">
        <v>401</v>
      </c>
      <c r="I1917" t="s">
        <v>402</v>
      </c>
      <c r="J1917" t="s">
        <v>2303</v>
      </c>
      <c r="K1917">
        <v>20220526</v>
      </c>
      <c r="L1917" t="s">
        <v>2304</v>
      </c>
      <c r="M1917">
        <v>16.46</v>
      </c>
      <c r="N1917">
        <v>0</v>
      </c>
      <c r="O1917" t="s">
        <v>19</v>
      </c>
      <c r="P1917" t="s">
        <v>20</v>
      </c>
      <c r="Q1917">
        <v>20220526</v>
      </c>
    </row>
    <row r="1918" spans="1:17" x14ac:dyDescent="0.25">
      <c r="A1918" t="s">
        <v>548</v>
      </c>
      <c r="B1918" t="s">
        <v>429</v>
      </c>
      <c r="C1918">
        <v>69</v>
      </c>
      <c r="D1918">
        <v>20220530</v>
      </c>
      <c r="E1918">
        <f t="shared" si="29"/>
        <v>5</v>
      </c>
      <c r="F1918">
        <v>411100</v>
      </c>
      <c r="G1918" t="s">
        <v>18</v>
      </c>
      <c r="H1918" t="s">
        <v>28</v>
      </c>
      <c r="I1918" t="s">
        <v>29</v>
      </c>
      <c r="J1918">
        <v>322030010</v>
      </c>
      <c r="K1918">
        <v>20220530</v>
      </c>
      <c r="L1918" t="s">
        <v>2305</v>
      </c>
      <c r="M1918">
        <v>0</v>
      </c>
      <c r="N1918">
        <v>38.79</v>
      </c>
      <c r="O1918" t="s">
        <v>19</v>
      </c>
      <c r="P1918" t="s">
        <v>20</v>
      </c>
      <c r="Q1918">
        <v>20220530</v>
      </c>
    </row>
    <row r="1919" spans="1:17" x14ac:dyDescent="0.25">
      <c r="A1919" t="s">
        <v>548</v>
      </c>
      <c r="B1919" t="s">
        <v>429</v>
      </c>
      <c r="C1919">
        <v>69</v>
      </c>
      <c r="D1919">
        <v>20220530</v>
      </c>
      <c r="E1919">
        <f t="shared" si="29"/>
        <v>5</v>
      </c>
      <c r="F1919">
        <v>531105</v>
      </c>
      <c r="G1919" t="s">
        <v>429</v>
      </c>
      <c r="H1919" t="s">
        <v>401</v>
      </c>
      <c r="I1919" t="s">
        <v>402</v>
      </c>
      <c r="J1919">
        <v>341020</v>
      </c>
      <c r="K1919">
        <v>20220530</v>
      </c>
      <c r="L1919" t="s">
        <v>565</v>
      </c>
      <c r="M1919">
        <v>38.79</v>
      </c>
      <c r="N1919">
        <v>0</v>
      </c>
      <c r="O1919" t="s">
        <v>19</v>
      </c>
      <c r="P1919" t="s">
        <v>20</v>
      </c>
      <c r="Q1919">
        <v>20220530</v>
      </c>
    </row>
    <row r="1920" spans="1:17" x14ac:dyDescent="0.25">
      <c r="A1920" t="s">
        <v>548</v>
      </c>
      <c r="B1920" t="s">
        <v>429</v>
      </c>
      <c r="C1920">
        <v>69</v>
      </c>
      <c r="D1920">
        <v>20220531</v>
      </c>
      <c r="E1920">
        <f t="shared" si="29"/>
        <v>5</v>
      </c>
      <c r="F1920">
        <v>467100</v>
      </c>
      <c r="G1920" t="s">
        <v>160</v>
      </c>
      <c r="H1920" t="s">
        <v>219</v>
      </c>
      <c r="I1920" t="s">
        <v>220</v>
      </c>
      <c r="J1920" t="s">
        <v>2306</v>
      </c>
      <c r="K1920">
        <v>20220531</v>
      </c>
      <c r="L1920" t="s">
        <v>2307</v>
      </c>
      <c r="M1920">
        <v>50</v>
      </c>
      <c r="N1920">
        <v>0</v>
      </c>
      <c r="O1920" t="s">
        <v>19</v>
      </c>
      <c r="P1920" t="s">
        <v>20</v>
      </c>
      <c r="Q1920">
        <v>20220531</v>
      </c>
    </row>
    <row r="1921" spans="1:17" x14ac:dyDescent="0.25">
      <c r="A1921" t="s">
        <v>548</v>
      </c>
      <c r="B1921" t="s">
        <v>429</v>
      </c>
      <c r="C1921">
        <v>69</v>
      </c>
      <c r="D1921">
        <v>20220531</v>
      </c>
      <c r="E1921">
        <f t="shared" si="29"/>
        <v>5</v>
      </c>
      <c r="F1921">
        <v>531105</v>
      </c>
      <c r="G1921" t="s">
        <v>429</v>
      </c>
      <c r="H1921" t="s">
        <v>401</v>
      </c>
      <c r="I1921" t="s">
        <v>402</v>
      </c>
      <c r="J1921" t="s">
        <v>2306</v>
      </c>
      <c r="K1921">
        <v>20220531</v>
      </c>
      <c r="L1921" t="s">
        <v>2307</v>
      </c>
      <c r="M1921">
        <v>0</v>
      </c>
      <c r="N1921">
        <v>50</v>
      </c>
      <c r="O1921" t="s">
        <v>19</v>
      </c>
      <c r="P1921" t="s">
        <v>20</v>
      </c>
      <c r="Q1921">
        <v>20220531</v>
      </c>
    </row>
    <row r="1922" spans="1:17" x14ac:dyDescent="0.25">
      <c r="A1922" t="s">
        <v>548</v>
      </c>
      <c r="B1922" t="s">
        <v>429</v>
      </c>
      <c r="C1922">
        <v>69</v>
      </c>
      <c r="D1922">
        <v>20220531</v>
      </c>
      <c r="E1922">
        <f t="shared" si="29"/>
        <v>5</v>
      </c>
      <c r="F1922">
        <v>467100</v>
      </c>
      <c r="G1922" t="s">
        <v>160</v>
      </c>
      <c r="H1922" t="s">
        <v>316</v>
      </c>
      <c r="I1922" t="s">
        <v>317</v>
      </c>
      <c r="J1922" t="s">
        <v>2308</v>
      </c>
      <c r="K1922">
        <v>20220531</v>
      </c>
      <c r="L1922" t="s">
        <v>2309</v>
      </c>
      <c r="M1922">
        <v>60</v>
      </c>
      <c r="N1922">
        <v>0</v>
      </c>
      <c r="O1922" t="s">
        <v>23</v>
      </c>
      <c r="P1922">
        <v>20220801</v>
      </c>
      <c r="Q1922">
        <v>20220531</v>
      </c>
    </row>
    <row r="1923" spans="1:17" x14ac:dyDescent="0.25">
      <c r="A1923" t="s">
        <v>548</v>
      </c>
      <c r="B1923" t="s">
        <v>429</v>
      </c>
      <c r="C1923">
        <v>69</v>
      </c>
      <c r="D1923">
        <v>20220531</v>
      </c>
      <c r="E1923">
        <f t="shared" ref="E1923:E1986" si="30">VALUE(MID(D1923,5,2))</f>
        <v>5</v>
      </c>
      <c r="F1923">
        <v>531105</v>
      </c>
      <c r="G1923" t="s">
        <v>429</v>
      </c>
      <c r="H1923" t="s">
        <v>401</v>
      </c>
      <c r="I1923" t="s">
        <v>402</v>
      </c>
      <c r="J1923" t="s">
        <v>2308</v>
      </c>
      <c r="K1923">
        <v>20220531</v>
      </c>
      <c r="L1923" t="s">
        <v>2309</v>
      </c>
      <c r="M1923">
        <v>0</v>
      </c>
      <c r="N1923">
        <v>60</v>
      </c>
      <c r="O1923" t="s">
        <v>19</v>
      </c>
      <c r="P1923" t="s">
        <v>20</v>
      </c>
      <c r="Q1923">
        <v>20220531</v>
      </c>
    </row>
    <row r="1924" spans="1:17" x14ac:dyDescent="0.25">
      <c r="A1924" t="s">
        <v>715</v>
      </c>
      <c r="B1924" t="s">
        <v>432</v>
      </c>
      <c r="C1924">
        <v>70</v>
      </c>
      <c r="D1924">
        <v>20220502</v>
      </c>
      <c r="E1924">
        <f t="shared" si="30"/>
        <v>5</v>
      </c>
      <c r="F1924">
        <v>401000</v>
      </c>
      <c r="G1924" t="s">
        <v>41</v>
      </c>
      <c r="H1924" t="s">
        <v>52</v>
      </c>
      <c r="I1924" t="s">
        <v>53</v>
      </c>
      <c r="J1924" t="s">
        <v>2310</v>
      </c>
      <c r="K1924">
        <v>20220502</v>
      </c>
      <c r="L1924" t="s">
        <v>2311</v>
      </c>
      <c r="M1924">
        <v>65.760000000000005</v>
      </c>
      <c r="N1924">
        <v>0</v>
      </c>
      <c r="O1924" t="s">
        <v>23</v>
      </c>
      <c r="P1924">
        <v>20220831</v>
      </c>
      <c r="Q1924">
        <v>20220502</v>
      </c>
    </row>
    <row r="1925" spans="1:17" x14ac:dyDescent="0.25">
      <c r="A1925" t="s">
        <v>715</v>
      </c>
      <c r="B1925" t="s">
        <v>432</v>
      </c>
      <c r="C1925">
        <v>70</v>
      </c>
      <c r="D1925">
        <v>20220502</v>
      </c>
      <c r="E1925">
        <f t="shared" si="30"/>
        <v>5</v>
      </c>
      <c r="F1925">
        <v>512200</v>
      </c>
      <c r="G1925" t="s">
        <v>432</v>
      </c>
      <c r="H1925" t="s">
        <v>401</v>
      </c>
      <c r="I1925" t="s">
        <v>402</v>
      </c>
      <c r="J1925" t="s">
        <v>2310</v>
      </c>
      <c r="K1925">
        <v>20220502</v>
      </c>
      <c r="L1925" t="s">
        <v>2311</v>
      </c>
      <c r="M1925">
        <v>0</v>
      </c>
      <c r="N1925">
        <v>65.760000000000005</v>
      </c>
      <c r="O1925" t="s">
        <v>19</v>
      </c>
      <c r="P1925" t="s">
        <v>20</v>
      </c>
      <c r="Q1925">
        <v>20220502</v>
      </c>
    </row>
    <row r="1926" spans="1:17" x14ac:dyDescent="0.25">
      <c r="A1926" t="s">
        <v>715</v>
      </c>
      <c r="B1926" t="s">
        <v>432</v>
      </c>
      <c r="C1926">
        <v>70</v>
      </c>
      <c r="D1926">
        <v>20220502</v>
      </c>
      <c r="E1926">
        <f t="shared" si="30"/>
        <v>5</v>
      </c>
      <c r="F1926">
        <v>401000</v>
      </c>
      <c r="G1926" t="s">
        <v>41</v>
      </c>
      <c r="H1926" t="s">
        <v>1655</v>
      </c>
      <c r="I1926" t="s">
        <v>1656</v>
      </c>
      <c r="J1926" t="s">
        <v>2312</v>
      </c>
      <c r="K1926">
        <v>20220502</v>
      </c>
      <c r="L1926" t="s">
        <v>2313</v>
      </c>
      <c r="M1926">
        <v>176</v>
      </c>
      <c r="N1926">
        <v>0</v>
      </c>
      <c r="O1926" t="s">
        <v>23</v>
      </c>
      <c r="P1926">
        <v>20221013</v>
      </c>
      <c r="Q1926">
        <v>20220502</v>
      </c>
    </row>
    <row r="1927" spans="1:17" x14ac:dyDescent="0.25">
      <c r="A1927" t="s">
        <v>715</v>
      </c>
      <c r="B1927" t="s">
        <v>432</v>
      </c>
      <c r="C1927">
        <v>70</v>
      </c>
      <c r="D1927">
        <v>20220502</v>
      </c>
      <c r="E1927">
        <f t="shared" si="30"/>
        <v>5</v>
      </c>
      <c r="F1927">
        <v>512200</v>
      </c>
      <c r="G1927" t="s">
        <v>432</v>
      </c>
      <c r="H1927" t="s">
        <v>401</v>
      </c>
      <c r="I1927" t="s">
        <v>402</v>
      </c>
      <c r="J1927" t="s">
        <v>2312</v>
      </c>
      <c r="K1927">
        <v>20220502</v>
      </c>
      <c r="L1927" t="s">
        <v>2313</v>
      </c>
      <c r="M1927">
        <v>0</v>
      </c>
      <c r="N1927">
        <v>176</v>
      </c>
      <c r="O1927" t="s">
        <v>19</v>
      </c>
      <c r="P1927" t="s">
        <v>20</v>
      </c>
      <c r="Q1927">
        <v>20220502</v>
      </c>
    </row>
    <row r="1928" spans="1:17" x14ac:dyDescent="0.25">
      <c r="A1928" t="s">
        <v>715</v>
      </c>
      <c r="B1928" t="s">
        <v>432</v>
      </c>
      <c r="C1928">
        <v>70</v>
      </c>
      <c r="D1928">
        <v>20220502</v>
      </c>
      <c r="E1928">
        <f t="shared" si="30"/>
        <v>5</v>
      </c>
      <c r="F1928">
        <v>401000</v>
      </c>
      <c r="G1928" t="s">
        <v>41</v>
      </c>
      <c r="H1928" t="s">
        <v>1655</v>
      </c>
      <c r="I1928" t="s">
        <v>1656</v>
      </c>
      <c r="J1928" t="s">
        <v>2314</v>
      </c>
      <c r="K1928">
        <v>20220502</v>
      </c>
      <c r="L1928" t="s">
        <v>2313</v>
      </c>
      <c r="M1928">
        <v>176</v>
      </c>
      <c r="N1928">
        <v>0</v>
      </c>
      <c r="O1928" t="s">
        <v>23</v>
      </c>
      <c r="P1928">
        <v>20221013</v>
      </c>
      <c r="Q1928">
        <v>20220502</v>
      </c>
    </row>
    <row r="1929" spans="1:17" x14ac:dyDescent="0.25">
      <c r="A1929" t="s">
        <v>715</v>
      </c>
      <c r="B1929" t="s">
        <v>432</v>
      </c>
      <c r="C1929">
        <v>70</v>
      </c>
      <c r="D1929">
        <v>20220502</v>
      </c>
      <c r="E1929">
        <f t="shared" si="30"/>
        <v>5</v>
      </c>
      <c r="F1929">
        <v>512200</v>
      </c>
      <c r="G1929" t="s">
        <v>432</v>
      </c>
      <c r="H1929" t="s">
        <v>401</v>
      </c>
      <c r="I1929" t="s">
        <v>402</v>
      </c>
      <c r="J1929" t="s">
        <v>2314</v>
      </c>
      <c r="K1929">
        <v>20220502</v>
      </c>
      <c r="L1929" t="s">
        <v>2313</v>
      </c>
      <c r="M1929">
        <v>0</v>
      </c>
      <c r="N1929">
        <v>176</v>
      </c>
      <c r="O1929" t="s">
        <v>19</v>
      </c>
      <c r="P1929" t="s">
        <v>20</v>
      </c>
      <c r="Q1929">
        <v>20220502</v>
      </c>
    </row>
    <row r="1930" spans="1:17" x14ac:dyDescent="0.25">
      <c r="A1930" t="s">
        <v>715</v>
      </c>
      <c r="B1930" t="s">
        <v>432</v>
      </c>
      <c r="C1930">
        <v>70</v>
      </c>
      <c r="D1930">
        <v>20220502</v>
      </c>
      <c r="E1930">
        <f t="shared" si="30"/>
        <v>5</v>
      </c>
      <c r="F1930">
        <v>401000</v>
      </c>
      <c r="G1930" t="s">
        <v>41</v>
      </c>
      <c r="H1930" t="s">
        <v>52</v>
      </c>
      <c r="I1930" t="s">
        <v>53</v>
      </c>
      <c r="J1930" t="s">
        <v>2315</v>
      </c>
      <c r="K1930">
        <v>20220502</v>
      </c>
      <c r="L1930" t="s">
        <v>2316</v>
      </c>
      <c r="M1930">
        <v>326.02</v>
      </c>
      <c r="N1930">
        <v>0</v>
      </c>
      <c r="O1930" t="s">
        <v>23</v>
      </c>
      <c r="P1930">
        <v>20220929</v>
      </c>
      <c r="Q1930">
        <v>20220502</v>
      </c>
    </row>
    <row r="1931" spans="1:17" x14ac:dyDescent="0.25">
      <c r="A1931" t="s">
        <v>715</v>
      </c>
      <c r="B1931" t="s">
        <v>432</v>
      </c>
      <c r="C1931">
        <v>70</v>
      </c>
      <c r="D1931">
        <v>20220502</v>
      </c>
      <c r="E1931">
        <f t="shared" si="30"/>
        <v>5</v>
      </c>
      <c r="F1931">
        <v>512200</v>
      </c>
      <c r="G1931" t="s">
        <v>432</v>
      </c>
      <c r="H1931" t="s">
        <v>401</v>
      </c>
      <c r="I1931" t="s">
        <v>402</v>
      </c>
      <c r="J1931" t="s">
        <v>2315</v>
      </c>
      <c r="K1931">
        <v>20220502</v>
      </c>
      <c r="L1931" t="s">
        <v>2316</v>
      </c>
      <c r="M1931">
        <v>0</v>
      </c>
      <c r="N1931">
        <v>326.02</v>
      </c>
      <c r="O1931" t="s">
        <v>19</v>
      </c>
      <c r="P1931" t="s">
        <v>20</v>
      </c>
      <c r="Q1931">
        <v>20220502</v>
      </c>
    </row>
    <row r="1932" spans="1:17" x14ac:dyDescent="0.25">
      <c r="A1932" t="s">
        <v>715</v>
      </c>
      <c r="B1932" t="s">
        <v>432</v>
      </c>
      <c r="C1932">
        <v>70</v>
      </c>
      <c r="D1932">
        <v>20220502</v>
      </c>
      <c r="E1932">
        <f t="shared" si="30"/>
        <v>5</v>
      </c>
      <c r="F1932">
        <v>401000</v>
      </c>
      <c r="G1932" t="s">
        <v>41</v>
      </c>
      <c r="H1932" t="s">
        <v>52</v>
      </c>
      <c r="I1932" t="s">
        <v>53</v>
      </c>
      <c r="J1932" t="s">
        <v>2317</v>
      </c>
      <c r="K1932">
        <v>20220502</v>
      </c>
      <c r="L1932" t="s">
        <v>2318</v>
      </c>
      <c r="M1932">
        <v>29</v>
      </c>
      <c r="N1932">
        <v>0</v>
      </c>
      <c r="O1932" t="s">
        <v>23</v>
      </c>
      <c r="P1932">
        <v>20220919</v>
      </c>
      <c r="Q1932">
        <v>20220502</v>
      </c>
    </row>
    <row r="1933" spans="1:17" x14ac:dyDescent="0.25">
      <c r="A1933" t="s">
        <v>715</v>
      </c>
      <c r="B1933" t="s">
        <v>432</v>
      </c>
      <c r="C1933">
        <v>70</v>
      </c>
      <c r="D1933">
        <v>20220502</v>
      </c>
      <c r="E1933">
        <f t="shared" si="30"/>
        <v>5</v>
      </c>
      <c r="F1933">
        <v>512200</v>
      </c>
      <c r="G1933" t="s">
        <v>432</v>
      </c>
      <c r="H1933" t="s">
        <v>401</v>
      </c>
      <c r="I1933" t="s">
        <v>402</v>
      </c>
      <c r="J1933" t="s">
        <v>2317</v>
      </c>
      <c r="K1933">
        <v>20220502</v>
      </c>
      <c r="L1933" t="s">
        <v>2318</v>
      </c>
      <c r="M1933">
        <v>0</v>
      </c>
      <c r="N1933">
        <v>29</v>
      </c>
      <c r="O1933" t="s">
        <v>19</v>
      </c>
      <c r="P1933" t="s">
        <v>20</v>
      </c>
      <c r="Q1933">
        <v>20220502</v>
      </c>
    </row>
    <row r="1934" spans="1:17" x14ac:dyDescent="0.25">
      <c r="A1934" t="s">
        <v>715</v>
      </c>
      <c r="B1934" t="s">
        <v>432</v>
      </c>
      <c r="C1934">
        <v>70</v>
      </c>
      <c r="D1934">
        <v>20220504</v>
      </c>
      <c r="E1934">
        <f t="shared" si="30"/>
        <v>5</v>
      </c>
      <c r="F1934">
        <v>401000</v>
      </c>
      <c r="G1934" t="s">
        <v>41</v>
      </c>
      <c r="H1934" t="s">
        <v>125</v>
      </c>
      <c r="I1934" t="s">
        <v>126</v>
      </c>
      <c r="J1934" t="s">
        <v>2319</v>
      </c>
      <c r="K1934">
        <v>20220504</v>
      </c>
      <c r="L1934" t="s">
        <v>2320</v>
      </c>
      <c r="M1934">
        <v>200</v>
      </c>
      <c r="N1934">
        <v>0</v>
      </c>
      <c r="O1934" t="s">
        <v>23</v>
      </c>
      <c r="P1934">
        <v>20220831</v>
      </c>
      <c r="Q1934">
        <v>20220504</v>
      </c>
    </row>
    <row r="1935" spans="1:17" x14ac:dyDescent="0.25">
      <c r="A1935" t="s">
        <v>715</v>
      </c>
      <c r="B1935" t="s">
        <v>432</v>
      </c>
      <c r="C1935">
        <v>70</v>
      </c>
      <c r="D1935">
        <v>20220504</v>
      </c>
      <c r="E1935">
        <f t="shared" si="30"/>
        <v>5</v>
      </c>
      <c r="F1935">
        <v>512200</v>
      </c>
      <c r="G1935" t="s">
        <v>432</v>
      </c>
      <c r="H1935" t="s">
        <v>401</v>
      </c>
      <c r="I1935" t="s">
        <v>402</v>
      </c>
      <c r="J1935" t="s">
        <v>2319</v>
      </c>
      <c r="K1935">
        <v>20220504</v>
      </c>
      <c r="L1935" t="s">
        <v>2320</v>
      </c>
      <c r="M1935">
        <v>0</v>
      </c>
      <c r="N1935">
        <v>200</v>
      </c>
      <c r="O1935" t="s">
        <v>19</v>
      </c>
      <c r="P1935" t="s">
        <v>20</v>
      </c>
      <c r="Q1935">
        <v>20220504</v>
      </c>
    </row>
    <row r="1936" spans="1:17" x14ac:dyDescent="0.25">
      <c r="A1936" t="s">
        <v>715</v>
      </c>
      <c r="B1936" t="s">
        <v>432</v>
      </c>
      <c r="C1936">
        <v>70</v>
      </c>
      <c r="D1936">
        <v>20220504</v>
      </c>
      <c r="E1936">
        <f t="shared" si="30"/>
        <v>5</v>
      </c>
      <c r="F1936">
        <v>401000</v>
      </c>
      <c r="G1936" t="s">
        <v>41</v>
      </c>
      <c r="H1936" t="s">
        <v>1657</v>
      </c>
      <c r="I1936" t="s">
        <v>1658</v>
      </c>
      <c r="J1936" t="s">
        <v>2321</v>
      </c>
      <c r="K1936">
        <v>20220504</v>
      </c>
      <c r="L1936" t="s">
        <v>2322</v>
      </c>
      <c r="M1936">
        <v>296</v>
      </c>
      <c r="N1936">
        <v>0</v>
      </c>
      <c r="O1936" t="s">
        <v>23</v>
      </c>
      <c r="P1936">
        <v>20230308</v>
      </c>
      <c r="Q1936">
        <v>20220504</v>
      </c>
    </row>
    <row r="1937" spans="1:17" x14ac:dyDescent="0.25">
      <c r="A1937" t="s">
        <v>715</v>
      </c>
      <c r="B1937" t="s">
        <v>432</v>
      </c>
      <c r="C1937">
        <v>70</v>
      </c>
      <c r="D1937">
        <v>20220504</v>
      </c>
      <c r="E1937">
        <f t="shared" si="30"/>
        <v>5</v>
      </c>
      <c r="F1937">
        <v>512200</v>
      </c>
      <c r="G1937" t="s">
        <v>432</v>
      </c>
      <c r="H1937" t="s">
        <v>401</v>
      </c>
      <c r="I1937" t="s">
        <v>402</v>
      </c>
      <c r="J1937" t="s">
        <v>2321</v>
      </c>
      <c r="K1937">
        <v>20220504</v>
      </c>
      <c r="L1937" t="s">
        <v>2322</v>
      </c>
      <c r="M1937">
        <v>0</v>
      </c>
      <c r="N1937">
        <v>296</v>
      </c>
      <c r="O1937" t="s">
        <v>19</v>
      </c>
      <c r="P1937" t="s">
        <v>20</v>
      </c>
      <c r="Q1937">
        <v>20220504</v>
      </c>
    </row>
    <row r="1938" spans="1:17" x14ac:dyDescent="0.25">
      <c r="A1938" t="s">
        <v>715</v>
      </c>
      <c r="B1938" t="s">
        <v>432</v>
      </c>
      <c r="C1938">
        <v>70</v>
      </c>
      <c r="D1938">
        <v>20220505</v>
      </c>
      <c r="E1938">
        <f t="shared" si="30"/>
        <v>5</v>
      </c>
      <c r="F1938">
        <v>512200</v>
      </c>
      <c r="G1938" t="s">
        <v>432</v>
      </c>
      <c r="H1938" t="s">
        <v>401</v>
      </c>
      <c r="I1938" t="s">
        <v>402</v>
      </c>
      <c r="J1938" t="s">
        <v>2323</v>
      </c>
      <c r="K1938">
        <v>20220505</v>
      </c>
      <c r="L1938" t="s">
        <v>2324</v>
      </c>
      <c r="M1938">
        <v>2572.96</v>
      </c>
      <c r="N1938">
        <v>0</v>
      </c>
      <c r="O1938" t="s">
        <v>19</v>
      </c>
      <c r="P1938" t="s">
        <v>20</v>
      </c>
      <c r="Q1938">
        <v>20220505</v>
      </c>
    </row>
    <row r="1939" spans="1:17" x14ac:dyDescent="0.25">
      <c r="A1939" t="s">
        <v>715</v>
      </c>
      <c r="B1939" t="s">
        <v>432</v>
      </c>
      <c r="C1939">
        <v>70</v>
      </c>
      <c r="D1939">
        <v>20220505</v>
      </c>
      <c r="E1939">
        <f t="shared" si="30"/>
        <v>5</v>
      </c>
      <c r="F1939">
        <v>511000</v>
      </c>
      <c r="G1939" t="s">
        <v>431</v>
      </c>
      <c r="H1939" t="s">
        <v>401</v>
      </c>
      <c r="I1939" t="s">
        <v>402</v>
      </c>
      <c r="J1939" t="s">
        <v>2323</v>
      </c>
      <c r="K1939">
        <v>20220505</v>
      </c>
      <c r="L1939" t="s">
        <v>2324</v>
      </c>
      <c r="M1939">
        <v>0</v>
      </c>
      <c r="N1939">
        <v>2572.96</v>
      </c>
      <c r="O1939" t="s">
        <v>23</v>
      </c>
      <c r="P1939">
        <v>20221017</v>
      </c>
      <c r="Q1939">
        <v>20220505</v>
      </c>
    </row>
    <row r="1940" spans="1:17" x14ac:dyDescent="0.25">
      <c r="A1940" t="s">
        <v>715</v>
      </c>
      <c r="B1940" t="s">
        <v>432</v>
      </c>
      <c r="C1940">
        <v>70</v>
      </c>
      <c r="D1940">
        <v>20220505</v>
      </c>
      <c r="E1940">
        <f t="shared" si="30"/>
        <v>5</v>
      </c>
      <c r="F1940">
        <v>512200</v>
      </c>
      <c r="G1940" t="s">
        <v>432</v>
      </c>
      <c r="H1940" t="s">
        <v>401</v>
      </c>
      <c r="I1940" t="s">
        <v>402</v>
      </c>
      <c r="J1940" t="s">
        <v>2155</v>
      </c>
      <c r="K1940">
        <v>20220505</v>
      </c>
      <c r="L1940" t="s">
        <v>625</v>
      </c>
      <c r="M1940">
        <v>1946</v>
      </c>
      <c r="N1940">
        <v>0</v>
      </c>
      <c r="O1940" t="s">
        <v>19</v>
      </c>
      <c r="P1940" t="s">
        <v>20</v>
      </c>
      <c r="Q1940">
        <v>20220505</v>
      </c>
    </row>
    <row r="1941" spans="1:17" x14ac:dyDescent="0.25">
      <c r="A1941" t="s">
        <v>715</v>
      </c>
      <c r="B1941" t="s">
        <v>432</v>
      </c>
      <c r="C1941">
        <v>70</v>
      </c>
      <c r="D1941">
        <v>20220505</v>
      </c>
      <c r="E1941">
        <f t="shared" si="30"/>
        <v>5</v>
      </c>
      <c r="F1941">
        <v>580000</v>
      </c>
      <c r="G1941" t="s">
        <v>532</v>
      </c>
      <c r="H1941" t="s">
        <v>401</v>
      </c>
      <c r="I1941" t="s">
        <v>402</v>
      </c>
      <c r="J1941" t="s">
        <v>2155</v>
      </c>
      <c r="K1941">
        <v>20220505</v>
      </c>
      <c r="L1941" t="s">
        <v>625</v>
      </c>
      <c r="M1941">
        <v>0</v>
      </c>
      <c r="N1941">
        <v>1946</v>
      </c>
      <c r="O1941" t="s">
        <v>22</v>
      </c>
      <c r="P1941">
        <v>20220505</v>
      </c>
      <c r="Q1941">
        <v>20220505</v>
      </c>
    </row>
    <row r="1942" spans="1:17" x14ac:dyDescent="0.25">
      <c r="A1942" t="s">
        <v>715</v>
      </c>
      <c r="B1942" t="s">
        <v>432</v>
      </c>
      <c r="C1942">
        <v>70</v>
      </c>
      <c r="D1942">
        <v>20220505</v>
      </c>
      <c r="E1942">
        <f t="shared" si="30"/>
        <v>5</v>
      </c>
      <c r="F1942">
        <v>401000</v>
      </c>
      <c r="G1942" t="s">
        <v>41</v>
      </c>
      <c r="H1942" t="s">
        <v>1315</v>
      </c>
      <c r="I1942" t="s">
        <v>1316</v>
      </c>
      <c r="J1942" t="s">
        <v>2325</v>
      </c>
      <c r="K1942">
        <v>20220505</v>
      </c>
      <c r="L1942" t="s">
        <v>2326</v>
      </c>
      <c r="M1942">
        <v>120</v>
      </c>
      <c r="N1942">
        <v>0</v>
      </c>
      <c r="O1942" t="s">
        <v>19</v>
      </c>
      <c r="P1942" t="s">
        <v>20</v>
      </c>
      <c r="Q1942">
        <v>20220505</v>
      </c>
    </row>
    <row r="1943" spans="1:17" x14ac:dyDescent="0.25">
      <c r="A1943" t="s">
        <v>715</v>
      </c>
      <c r="B1943" t="s">
        <v>432</v>
      </c>
      <c r="C1943">
        <v>70</v>
      </c>
      <c r="D1943">
        <v>20220505</v>
      </c>
      <c r="E1943">
        <f t="shared" si="30"/>
        <v>5</v>
      </c>
      <c r="F1943">
        <v>512200</v>
      </c>
      <c r="G1943" t="s">
        <v>432</v>
      </c>
      <c r="H1943" t="s">
        <v>401</v>
      </c>
      <c r="I1943" t="s">
        <v>402</v>
      </c>
      <c r="J1943" t="s">
        <v>2325</v>
      </c>
      <c r="K1943">
        <v>20220505</v>
      </c>
      <c r="L1943" t="s">
        <v>2326</v>
      </c>
      <c r="M1943">
        <v>0</v>
      </c>
      <c r="N1943">
        <v>120</v>
      </c>
      <c r="O1943" t="s">
        <v>19</v>
      </c>
      <c r="P1943" t="s">
        <v>20</v>
      </c>
      <c r="Q1943">
        <v>20220505</v>
      </c>
    </row>
    <row r="1944" spans="1:17" x14ac:dyDescent="0.25">
      <c r="A1944" t="s">
        <v>715</v>
      </c>
      <c r="B1944" t="s">
        <v>432</v>
      </c>
      <c r="C1944">
        <v>70</v>
      </c>
      <c r="D1944">
        <v>20220506</v>
      </c>
      <c r="E1944">
        <f t="shared" si="30"/>
        <v>5</v>
      </c>
      <c r="F1944">
        <v>401000</v>
      </c>
      <c r="G1944" t="s">
        <v>41</v>
      </c>
      <c r="H1944" t="s">
        <v>393</v>
      </c>
      <c r="I1944" t="s">
        <v>394</v>
      </c>
      <c r="J1944" t="s">
        <v>2327</v>
      </c>
      <c r="K1944">
        <v>20220506</v>
      </c>
      <c r="L1944" t="s">
        <v>2328</v>
      </c>
      <c r="M1944">
        <v>100</v>
      </c>
      <c r="N1944">
        <v>0</v>
      </c>
      <c r="O1944" t="s">
        <v>23</v>
      </c>
      <c r="P1944">
        <v>20220831</v>
      </c>
      <c r="Q1944">
        <v>20220506</v>
      </c>
    </row>
    <row r="1945" spans="1:17" x14ac:dyDescent="0.25">
      <c r="A1945" t="s">
        <v>715</v>
      </c>
      <c r="B1945" t="s">
        <v>432</v>
      </c>
      <c r="C1945">
        <v>70</v>
      </c>
      <c r="D1945">
        <v>20220506</v>
      </c>
      <c r="E1945">
        <f t="shared" si="30"/>
        <v>5</v>
      </c>
      <c r="F1945">
        <v>512200</v>
      </c>
      <c r="G1945" t="s">
        <v>432</v>
      </c>
      <c r="H1945" t="s">
        <v>401</v>
      </c>
      <c r="I1945" t="s">
        <v>402</v>
      </c>
      <c r="J1945" t="s">
        <v>2327</v>
      </c>
      <c r="K1945">
        <v>20220506</v>
      </c>
      <c r="L1945" t="s">
        <v>2328</v>
      </c>
      <c r="M1945">
        <v>0</v>
      </c>
      <c r="N1945">
        <v>100</v>
      </c>
      <c r="O1945" t="s">
        <v>19</v>
      </c>
      <c r="P1945" t="s">
        <v>20</v>
      </c>
      <c r="Q1945">
        <v>20220506</v>
      </c>
    </row>
    <row r="1946" spans="1:17" x14ac:dyDescent="0.25">
      <c r="A1946" t="s">
        <v>715</v>
      </c>
      <c r="B1946" t="s">
        <v>432</v>
      </c>
      <c r="C1946">
        <v>70</v>
      </c>
      <c r="D1946">
        <v>20220506</v>
      </c>
      <c r="E1946">
        <f t="shared" si="30"/>
        <v>5</v>
      </c>
      <c r="F1946">
        <v>401000</v>
      </c>
      <c r="G1946" t="s">
        <v>41</v>
      </c>
      <c r="H1946" t="s">
        <v>1647</v>
      </c>
      <c r="I1946" t="s">
        <v>1648</v>
      </c>
      <c r="J1946" t="s">
        <v>2329</v>
      </c>
      <c r="K1946">
        <v>20220506</v>
      </c>
      <c r="L1946" t="s">
        <v>2330</v>
      </c>
      <c r="M1946">
        <v>350</v>
      </c>
      <c r="N1946">
        <v>0</v>
      </c>
      <c r="O1946" t="s">
        <v>23</v>
      </c>
      <c r="P1946">
        <v>20220831</v>
      </c>
      <c r="Q1946">
        <v>20220506</v>
      </c>
    </row>
    <row r="1947" spans="1:17" x14ac:dyDescent="0.25">
      <c r="A1947" t="s">
        <v>715</v>
      </c>
      <c r="B1947" t="s">
        <v>432</v>
      </c>
      <c r="C1947">
        <v>70</v>
      </c>
      <c r="D1947">
        <v>20220506</v>
      </c>
      <c r="E1947">
        <f t="shared" si="30"/>
        <v>5</v>
      </c>
      <c r="F1947">
        <v>512200</v>
      </c>
      <c r="G1947" t="s">
        <v>432</v>
      </c>
      <c r="H1947" t="s">
        <v>401</v>
      </c>
      <c r="I1947" t="s">
        <v>402</v>
      </c>
      <c r="J1947" t="s">
        <v>2329</v>
      </c>
      <c r="K1947">
        <v>20220506</v>
      </c>
      <c r="L1947" t="s">
        <v>2330</v>
      </c>
      <c r="M1947">
        <v>0</v>
      </c>
      <c r="N1947">
        <v>350</v>
      </c>
      <c r="O1947" t="s">
        <v>19</v>
      </c>
      <c r="P1947" t="s">
        <v>20</v>
      </c>
      <c r="Q1947">
        <v>20220506</v>
      </c>
    </row>
    <row r="1948" spans="1:17" x14ac:dyDescent="0.25">
      <c r="A1948" t="s">
        <v>715</v>
      </c>
      <c r="B1948" t="s">
        <v>432</v>
      </c>
      <c r="C1948">
        <v>70</v>
      </c>
      <c r="D1948">
        <v>20220506</v>
      </c>
      <c r="E1948">
        <f t="shared" si="30"/>
        <v>5</v>
      </c>
      <c r="F1948">
        <v>401000</v>
      </c>
      <c r="G1948" t="s">
        <v>41</v>
      </c>
      <c r="H1948" t="s">
        <v>1661</v>
      </c>
      <c r="I1948" t="s">
        <v>1662</v>
      </c>
      <c r="J1948" t="s">
        <v>2331</v>
      </c>
      <c r="K1948">
        <v>20220506</v>
      </c>
      <c r="L1948" t="s">
        <v>2332</v>
      </c>
      <c r="M1948">
        <v>460</v>
      </c>
      <c r="N1948">
        <v>0</v>
      </c>
      <c r="O1948" t="s">
        <v>23</v>
      </c>
      <c r="P1948">
        <v>20220831</v>
      </c>
      <c r="Q1948">
        <v>20220506</v>
      </c>
    </row>
    <row r="1949" spans="1:17" x14ac:dyDescent="0.25">
      <c r="A1949" t="s">
        <v>715</v>
      </c>
      <c r="B1949" t="s">
        <v>432</v>
      </c>
      <c r="C1949">
        <v>70</v>
      </c>
      <c r="D1949">
        <v>20220506</v>
      </c>
      <c r="E1949">
        <f t="shared" si="30"/>
        <v>5</v>
      </c>
      <c r="F1949">
        <v>512200</v>
      </c>
      <c r="G1949" t="s">
        <v>432</v>
      </c>
      <c r="H1949" t="s">
        <v>401</v>
      </c>
      <c r="I1949" t="s">
        <v>402</v>
      </c>
      <c r="J1949" t="s">
        <v>2331</v>
      </c>
      <c r="K1949">
        <v>20220506</v>
      </c>
      <c r="L1949" t="s">
        <v>2332</v>
      </c>
      <c r="M1949">
        <v>0</v>
      </c>
      <c r="N1949">
        <v>460</v>
      </c>
      <c r="O1949" t="s">
        <v>19</v>
      </c>
      <c r="P1949" t="s">
        <v>20</v>
      </c>
      <c r="Q1949">
        <v>20220506</v>
      </c>
    </row>
    <row r="1950" spans="1:17" x14ac:dyDescent="0.25">
      <c r="A1950" t="s">
        <v>715</v>
      </c>
      <c r="B1950" t="s">
        <v>432</v>
      </c>
      <c r="C1950">
        <v>70</v>
      </c>
      <c r="D1950">
        <v>20220509</v>
      </c>
      <c r="E1950">
        <f t="shared" si="30"/>
        <v>5</v>
      </c>
      <c r="F1950">
        <v>401000</v>
      </c>
      <c r="G1950" t="s">
        <v>41</v>
      </c>
      <c r="H1950" t="s">
        <v>52</v>
      </c>
      <c r="I1950" t="s">
        <v>53</v>
      </c>
      <c r="J1950" t="s">
        <v>2333</v>
      </c>
      <c r="K1950">
        <v>20220509</v>
      </c>
      <c r="L1950" t="s">
        <v>2334</v>
      </c>
      <c r="M1950">
        <v>62.4</v>
      </c>
      <c r="N1950">
        <v>0</v>
      </c>
      <c r="O1950" t="s">
        <v>23</v>
      </c>
      <c r="P1950">
        <v>20220919</v>
      </c>
      <c r="Q1950">
        <v>20220509</v>
      </c>
    </row>
    <row r="1951" spans="1:17" x14ac:dyDescent="0.25">
      <c r="A1951" t="s">
        <v>715</v>
      </c>
      <c r="B1951" t="s">
        <v>432</v>
      </c>
      <c r="C1951">
        <v>70</v>
      </c>
      <c r="D1951">
        <v>20220509</v>
      </c>
      <c r="E1951">
        <f t="shared" si="30"/>
        <v>5</v>
      </c>
      <c r="F1951">
        <v>512200</v>
      </c>
      <c r="G1951" t="s">
        <v>432</v>
      </c>
      <c r="H1951" t="s">
        <v>401</v>
      </c>
      <c r="I1951" t="s">
        <v>402</v>
      </c>
      <c r="J1951" t="s">
        <v>2333</v>
      </c>
      <c r="K1951">
        <v>20220509</v>
      </c>
      <c r="L1951" t="s">
        <v>2334</v>
      </c>
      <c r="M1951">
        <v>0</v>
      </c>
      <c r="N1951">
        <v>62.4</v>
      </c>
      <c r="O1951" t="s">
        <v>19</v>
      </c>
      <c r="P1951" t="s">
        <v>20</v>
      </c>
      <c r="Q1951">
        <v>20220509</v>
      </c>
    </row>
    <row r="1952" spans="1:17" x14ac:dyDescent="0.25">
      <c r="A1952" t="s">
        <v>715</v>
      </c>
      <c r="B1952" t="s">
        <v>432</v>
      </c>
      <c r="C1952">
        <v>70</v>
      </c>
      <c r="D1952">
        <v>20220510</v>
      </c>
      <c r="E1952">
        <f t="shared" si="30"/>
        <v>5</v>
      </c>
      <c r="F1952">
        <v>627000</v>
      </c>
      <c r="G1952" t="s">
        <v>480</v>
      </c>
      <c r="H1952" t="s">
        <v>401</v>
      </c>
      <c r="I1952" t="s">
        <v>402</v>
      </c>
      <c r="J1952" t="s">
        <v>2335</v>
      </c>
      <c r="K1952">
        <v>20220510</v>
      </c>
      <c r="L1952" t="s">
        <v>1255</v>
      </c>
      <c r="M1952">
        <v>15.78</v>
      </c>
      <c r="N1952">
        <v>0</v>
      </c>
      <c r="O1952" t="s">
        <v>19</v>
      </c>
      <c r="P1952" t="s">
        <v>20</v>
      </c>
      <c r="Q1952">
        <v>20220510</v>
      </c>
    </row>
    <row r="1953" spans="1:17" x14ac:dyDescent="0.25">
      <c r="A1953" t="s">
        <v>715</v>
      </c>
      <c r="B1953" t="s">
        <v>432</v>
      </c>
      <c r="C1953">
        <v>70</v>
      </c>
      <c r="D1953">
        <v>20220510</v>
      </c>
      <c r="E1953">
        <f t="shared" si="30"/>
        <v>5</v>
      </c>
      <c r="F1953">
        <v>512200</v>
      </c>
      <c r="G1953" t="s">
        <v>432</v>
      </c>
      <c r="H1953" t="s">
        <v>401</v>
      </c>
      <c r="I1953" t="s">
        <v>402</v>
      </c>
      <c r="J1953" t="s">
        <v>2335</v>
      </c>
      <c r="K1953">
        <v>20220510</v>
      </c>
      <c r="L1953" t="s">
        <v>1255</v>
      </c>
      <c r="M1953">
        <v>0</v>
      </c>
      <c r="N1953">
        <v>15.78</v>
      </c>
      <c r="O1953" t="s">
        <v>19</v>
      </c>
      <c r="P1953" t="s">
        <v>20</v>
      </c>
      <c r="Q1953">
        <v>20220510</v>
      </c>
    </row>
    <row r="1954" spans="1:17" x14ac:dyDescent="0.25">
      <c r="A1954" t="s">
        <v>715</v>
      </c>
      <c r="B1954" t="s">
        <v>432</v>
      </c>
      <c r="C1954">
        <v>70</v>
      </c>
      <c r="D1954">
        <v>20220510</v>
      </c>
      <c r="E1954">
        <f t="shared" si="30"/>
        <v>5</v>
      </c>
      <c r="F1954">
        <v>401000</v>
      </c>
      <c r="G1954" t="s">
        <v>41</v>
      </c>
      <c r="H1954" t="s">
        <v>448</v>
      </c>
      <c r="I1954" t="s">
        <v>449</v>
      </c>
      <c r="J1954" t="s">
        <v>2336</v>
      </c>
      <c r="K1954">
        <v>20220510</v>
      </c>
      <c r="L1954" t="s">
        <v>1283</v>
      </c>
      <c r="M1954">
        <v>1245.46</v>
      </c>
      <c r="N1954">
        <v>0</v>
      </c>
      <c r="O1954" t="s">
        <v>23</v>
      </c>
      <c r="P1954">
        <v>20230220</v>
      </c>
      <c r="Q1954">
        <v>20220510</v>
      </c>
    </row>
    <row r="1955" spans="1:17" x14ac:dyDescent="0.25">
      <c r="A1955" t="s">
        <v>715</v>
      </c>
      <c r="B1955" t="s">
        <v>432</v>
      </c>
      <c r="C1955">
        <v>70</v>
      </c>
      <c r="D1955">
        <v>20220510</v>
      </c>
      <c r="E1955">
        <f t="shared" si="30"/>
        <v>5</v>
      </c>
      <c r="F1955">
        <v>512200</v>
      </c>
      <c r="G1955" t="s">
        <v>432</v>
      </c>
      <c r="H1955" t="s">
        <v>401</v>
      </c>
      <c r="I1955" t="s">
        <v>402</v>
      </c>
      <c r="J1955" t="s">
        <v>2336</v>
      </c>
      <c r="K1955">
        <v>20220510</v>
      </c>
      <c r="L1955" t="s">
        <v>1283</v>
      </c>
      <c r="M1955">
        <v>0</v>
      </c>
      <c r="N1955">
        <v>1245.46</v>
      </c>
      <c r="O1955" t="s">
        <v>19</v>
      </c>
      <c r="P1955" t="s">
        <v>20</v>
      </c>
      <c r="Q1955">
        <v>20220510</v>
      </c>
    </row>
    <row r="1956" spans="1:17" x14ac:dyDescent="0.25">
      <c r="A1956" t="s">
        <v>715</v>
      </c>
      <c r="B1956" t="s">
        <v>432</v>
      </c>
      <c r="C1956">
        <v>70</v>
      </c>
      <c r="D1956">
        <v>20220511</v>
      </c>
      <c r="E1956">
        <f t="shared" si="30"/>
        <v>5</v>
      </c>
      <c r="F1956">
        <v>401000</v>
      </c>
      <c r="G1956" t="s">
        <v>41</v>
      </c>
      <c r="H1956" t="s">
        <v>1643</v>
      </c>
      <c r="I1956" t="s">
        <v>1644</v>
      </c>
      <c r="J1956" t="s">
        <v>2337</v>
      </c>
      <c r="K1956">
        <v>20220511</v>
      </c>
      <c r="L1956" t="s">
        <v>2338</v>
      </c>
      <c r="M1956">
        <v>232</v>
      </c>
      <c r="N1956">
        <v>0</v>
      </c>
      <c r="O1956" t="s">
        <v>23</v>
      </c>
      <c r="P1956">
        <v>20220905</v>
      </c>
      <c r="Q1956">
        <v>20220511</v>
      </c>
    </row>
    <row r="1957" spans="1:17" x14ac:dyDescent="0.25">
      <c r="A1957" t="s">
        <v>715</v>
      </c>
      <c r="B1957" t="s">
        <v>432</v>
      </c>
      <c r="C1957">
        <v>70</v>
      </c>
      <c r="D1957">
        <v>20220511</v>
      </c>
      <c r="E1957">
        <f t="shared" si="30"/>
        <v>5</v>
      </c>
      <c r="F1957">
        <v>512200</v>
      </c>
      <c r="G1957" t="s">
        <v>432</v>
      </c>
      <c r="H1957" t="s">
        <v>401</v>
      </c>
      <c r="I1957" t="s">
        <v>402</v>
      </c>
      <c r="J1957" t="s">
        <v>2337</v>
      </c>
      <c r="K1957">
        <v>20220511</v>
      </c>
      <c r="L1957" t="s">
        <v>2338</v>
      </c>
      <c r="M1957">
        <v>0</v>
      </c>
      <c r="N1957">
        <v>232</v>
      </c>
      <c r="O1957" t="s">
        <v>19</v>
      </c>
      <c r="P1957" t="s">
        <v>20</v>
      </c>
      <c r="Q1957">
        <v>20220511</v>
      </c>
    </row>
    <row r="1958" spans="1:17" x14ac:dyDescent="0.25">
      <c r="A1958" t="s">
        <v>715</v>
      </c>
      <c r="B1958" t="s">
        <v>432</v>
      </c>
      <c r="C1958">
        <v>70</v>
      </c>
      <c r="D1958">
        <v>20220511</v>
      </c>
      <c r="E1958">
        <f t="shared" si="30"/>
        <v>5</v>
      </c>
      <c r="F1958">
        <v>401000</v>
      </c>
      <c r="G1958" t="s">
        <v>41</v>
      </c>
      <c r="H1958" t="s">
        <v>1643</v>
      </c>
      <c r="I1958" t="s">
        <v>1644</v>
      </c>
      <c r="J1958" t="s">
        <v>2339</v>
      </c>
      <c r="K1958">
        <v>20220511</v>
      </c>
      <c r="L1958" t="s">
        <v>2338</v>
      </c>
      <c r="M1958">
        <v>203</v>
      </c>
      <c r="N1958">
        <v>0</v>
      </c>
      <c r="O1958" t="s">
        <v>23</v>
      </c>
      <c r="P1958">
        <v>20220905</v>
      </c>
      <c r="Q1958">
        <v>20220511</v>
      </c>
    </row>
    <row r="1959" spans="1:17" x14ac:dyDescent="0.25">
      <c r="A1959" t="s">
        <v>715</v>
      </c>
      <c r="B1959" t="s">
        <v>432</v>
      </c>
      <c r="C1959">
        <v>70</v>
      </c>
      <c r="D1959">
        <v>20220511</v>
      </c>
      <c r="E1959">
        <f t="shared" si="30"/>
        <v>5</v>
      </c>
      <c r="F1959">
        <v>512200</v>
      </c>
      <c r="G1959" t="s">
        <v>432</v>
      </c>
      <c r="H1959" t="s">
        <v>401</v>
      </c>
      <c r="I1959" t="s">
        <v>402</v>
      </c>
      <c r="J1959" t="s">
        <v>2339</v>
      </c>
      <c r="K1959">
        <v>20220511</v>
      </c>
      <c r="L1959" t="s">
        <v>2338</v>
      </c>
      <c r="M1959">
        <v>0</v>
      </c>
      <c r="N1959">
        <v>203</v>
      </c>
      <c r="O1959" t="s">
        <v>19</v>
      </c>
      <c r="P1959" t="s">
        <v>20</v>
      </c>
      <c r="Q1959">
        <v>20220511</v>
      </c>
    </row>
    <row r="1960" spans="1:17" x14ac:dyDescent="0.25">
      <c r="A1960" t="s">
        <v>715</v>
      </c>
      <c r="B1960" t="s">
        <v>432</v>
      </c>
      <c r="C1960">
        <v>70</v>
      </c>
      <c r="D1960">
        <v>20220512</v>
      </c>
      <c r="E1960">
        <f t="shared" si="30"/>
        <v>5</v>
      </c>
      <c r="F1960">
        <v>401000</v>
      </c>
      <c r="G1960" t="s">
        <v>41</v>
      </c>
      <c r="H1960" t="s">
        <v>2340</v>
      </c>
      <c r="I1960" t="s">
        <v>2341</v>
      </c>
      <c r="J1960" t="s">
        <v>2342</v>
      </c>
      <c r="K1960">
        <v>20220512</v>
      </c>
      <c r="L1960" t="s">
        <v>2343</v>
      </c>
      <c r="M1960">
        <v>240</v>
      </c>
      <c r="N1960">
        <v>0</v>
      </c>
      <c r="O1960" t="s">
        <v>23</v>
      </c>
      <c r="P1960">
        <v>20220920</v>
      </c>
      <c r="Q1960">
        <v>20220512</v>
      </c>
    </row>
    <row r="1961" spans="1:17" x14ac:dyDescent="0.25">
      <c r="A1961" t="s">
        <v>715</v>
      </c>
      <c r="B1961" t="s">
        <v>432</v>
      </c>
      <c r="C1961">
        <v>70</v>
      </c>
      <c r="D1961">
        <v>20220512</v>
      </c>
      <c r="E1961">
        <f t="shared" si="30"/>
        <v>5</v>
      </c>
      <c r="F1961">
        <v>512200</v>
      </c>
      <c r="G1961" t="s">
        <v>432</v>
      </c>
      <c r="H1961" t="s">
        <v>401</v>
      </c>
      <c r="I1961" t="s">
        <v>402</v>
      </c>
      <c r="J1961" t="s">
        <v>2342</v>
      </c>
      <c r="K1961">
        <v>20220512</v>
      </c>
      <c r="L1961" t="s">
        <v>2343</v>
      </c>
      <c r="M1961">
        <v>0</v>
      </c>
      <c r="N1961">
        <v>240</v>
      </c>
      <c r="O1961" t="s">
        <v>19</v>
      </c>
      <c r="P1961" t="s">
        <v>20</v>
      </c>
      <c r="Q1961">
        <v>20220512</v>
      </c>
    </row>
    <row r="1962" spans="1:17" x14ac:dyDescent="0.25">
      <c r="A1962" t="s">
        <v>715</v>
      </c>
      <c r="B1962" t="s">
        <v>432</v>
      </c>
      <c r="C1962">
        <v>70</v>
      </c>
      <c r="D1962">
        <v>20220513</v>
      </c>
      <c r="E1962">
        <f t="shared" si="30"/>
        <v>5</v>
      </c>
      <c r="F1962">
        <v>401000</v>
      </c>
      <c r="G1962" t="s">
        <v>41</v>
      </c>
      <c r="H1962" t="s">
        <v>1643</v>
      </c>
      <c r="I1962" t="s">
        <v>1644</v>
      </c>
      <c r="J1962" t="s">
        <v>2344</v>
      </c>
      <c r="K1962">
        <v>20220513</v>
      </c>
      <c r="L1962" t="s">
        <v>2338</v>
      </c>
      <c r="M1962">
        <v>87</v>
      </c>
      <c r="N1962">
        <v>0</v>
      </c>
      <c r="O1962" t="s">
        <v>23</v>
      </c>
      <c r="P1962">
        <v>20220905</v>
      </c>
      <c r="Q1962">
        <v>20220513</v>
      </c>
    </row>
    <row r="1963" spans="1:17" x14ac:dyDescent="0.25">
      <c r="A1963" t="s">
        <v>715</v>
      </c>
      <c r="B1963" t="s">
        <v>432</v>
      </c>
      <c r="C1963">
        <v>70</v>
      </c>
      <c r="D1963">
        <v>20220513</v>
      </c>
      <c r="E1963">
        <f t="shared" si="30"/>
        <v>5</v>
      </c>
      <c r="F1963">
        <v>512200</v>
      </c>
      <c r="G1963" t="s">
        <v>432</v>
      </c>
      <c r="H1963" t="s">
        <v>401</v>
      </c>
      <c r="I1963" t="s">
        <v>402</v>
      </c>
      <c r="J1963" t="s">
        <v>2344</v>
      </c>
      <c r="K1963">
        <v>20220513</v>
      </c>
      <c r="L1963" t="s">
        <v>2338</v>
      </c>
      <c r="M1963">
        <v>0</v>
      </c>
      <c r="N1963">
        <v>87</v>
      </c>
      <c r="O1963" t="s">
        <v>19</v>
      </c>
      <c r="P1963" t="s">
        <v>20</v>
      </c>
      <c r="Q1963">
        <v>20220513</v>
      </c>
    </row>
    <row r="1964" spans="1:17" x14ac:dyDescent="0.25">
      <c r="A1964" t="s">
        <v>715</v>
      </c>
      <c r="B1964" t="s">
        <v>432</v>
      </c>
      <c r="C1964">
        <v>70</v>
      </c>
      <c r="D1964">
        <v>20220513</v>
      </c>
      <c r="E1964">
        <f t="shared" si="30"/>
        <v>5</v>
      </c>
      <c r="F1964">
        <v>401000</v>
      </c>
      <c r="G1964" t="s">
        <v>41</v>
      </c>
      <c r="H1964" t="s">
        <v>848</v>
      </c>
      <c r="I1964" t="s">
        <v>849</v>
      </c>
      <c r="J1964" t="s">
        <v>2345</v>
      </c>
      <c r="K1964">
        <v>20220513</v>
      </c>
      <c r="L1964" t="s">
        <v>1592</v>
      </c>
      <c r="M1964">
        <v>170</v>
      </c>
      <c r="N1964">
        <v>0</v>
      </c>
      <c r="O1964" t="s">
        <v>23</v>
      </c>
      <c r="P1964">
        <v>20220831</v>
      </c>
      <c r="Q1964">
        <v>20220513</v>
      </c>
    </row>
    <row r="1965" spans="1:17" x14ac:dyDescent="0.25">
      <c r="A1965" t="s">
        <v>715</v>
      </c>
      <c r="B1965" t="s">
        <v>432</v>
      </c>
      <c r="C1965">
        <v>70</v>
      </c>
      <c r="D1965">
        <v>20220513</v>
      </c>
      <c r="E1965">
        <f t="shared" si="30"/>
        <v>5</v>
      </c>
      <c r="F1965">
        <v>512200</v>
      </c>
      <c r="G1965" t="s">
        <v>432</v>
      </c>
      <c r="H1965" t="s">
        <v>401</v>
      </c>
      <c r="I1965" t="s">
        <v>402</v>
      </c>
      <c r="J1965" t="s">
        <v>2345</v>
      </c>
      <c r="K1965">
        <v>20220513</v>
      </c>
      <c r="L1965" t="s">
        <v>1592</v>
      </c>
      <c r="M1965">
        <v>0</v>
      </c>
      <c r="N1965">
        <v>170</v>
      </c>
      <c r="O1965" t="s">
        <v>19</v>
      </c>
      <c r="P1965" t="s">
        <v>20</v>
      </c>
      <c r="Q1965">
        <v>20220513</v>
      </c>
    </row>
    <row r="1966" spans="1:17" x14ac:dyDescent="0.25">
      <c r="A1966" t="s">
        <v>715</v>
      </c>
      <c r="B1966" t="s">
        <v>432</v>
      </c>
      <c r="C1966">
        <v>70</v>
      </c>
      <c r="D1966">
        <v>20220516</v>
      </c>
      <c r="E1966">
        <f t="shared" si="30"/>
        <v>5</v>
      </c>
      <c r="F1966">
        <v>512200</v>
      </c>
      <c r="G1966" t="s">
        <v>432</v>
      </c>
      <c r="H1966" t="s">
        <v>401</v>
      </c>
      <c r="I1966" t="s">
        <v>402</v>
      </c>
      <c r="J1966" t="s">
        <v>2346</v>
      </c>
      <c r="K1966">
        <v>20220516</v>
      </c>
      <c r="L1966" t="s">
        <v>2347</v>
      </c>
      <c r="M1966">
        <v>1733.28</v>
      </c>
      <c r="N1966">
        <v>0</v>
      </c>
      <c r="O1966" t="s">
        <v>19</v>
      </c>
      <c r="P1966" t="s">
        <v>20</v>
      </c>
      <c r="Q1966">
        <v>20220516</v>
      </c>
    </row>
    <row r="1967" spans="1:17" x14ac:dyDescent="0.25">
      <c r="A1967" t="s">
        <v>715</v>
      </c>
      <c r="B1967" t="s">
        <v>432</v>
      </c>
      <c r="C1967">
        <v>70</v>
      </c>
      <c r="D1967">
        <v>20220516</v>
      </c>
      <c r="E1967">
        <f t="shared" si="30"/>
        <v>5</v>
      </c>
      <c r="F1967">
        <v>511000</v>
      </c>
      <c r="G1967" t="s">
        <v>431</v>
      </c>
      <c r="H1967" t="s">
        <v>401</v>
      </c>
      <c r="I1967" t="s">
        <v>402</v>
      </c>
      <c r="J1967" t="s">
        <v>2346</v>
      </c>
      <c r="K1967">
        <v>20220516</v>
      </c>
      <c r="L1967" t="s">
        <v>2347</v>
      </c>
      <c r="M1967">
        <v>0</v>
      </c>
      <c r="N1967">
        <v>1733.28</v>
      </c>
      <c r="O1967" t="s">
        <v>23</v>
      </c>
      <c r="P1967">
        <v>20221017</v>
      </c>
      <c r="Q1967">
        <v>20220516</v>
      </c>
    </row>
    <row r="1968" spans="1:17" x14ac:dyDescent="0.25">
      <c r="A1968" t="s">
        <v>715</v>
      </c>
      <c r="B1968" t="s">
        <v>432</v>
      </c>
      <c r="C1968">
        <v>70</v>
      </c>
      <c r="D1968">
        <v>20220516</v>
      </c>
      <c r="E1968">
        <f t="shared" si="30"/>
        <v>5</v>
      </c>
      <c r="F1968">
        <v>401000</v>
      </c>
      <c r="G1968" t="s">
        <v>41</v>
      </c>
      <c r="H1968" t="s">
        <v>2063</v>
      </c>
      <c r="I1968" t="s">
        <v>2064</v>
      </c>
      <c r="J1968" t="s">
        <v>2348</v>
      </c>
      <c r="K1968">
        <v>20220516</v>
      </c>
      <c r="L1968" t="s">
        <v>2349</v>
      </c>
      <c r="M1968">
        <v>68.31</v>
      </c>
      <c r="N1968">
        <v>0</v>
      </c>
      <c r="O1968" t="s">
        <v>23</v>
      </c>
      <c r="P1968">
        <v>20230222</v>
      </c>
      <c r="Q1968">
        <v>20220516</v>
      </c>
    </row>
    <row r="1969" spans="1:17" x14ac:dyDescent="0.25">
      <c r="A1969" t="s">
        <v>715</v>
      </c>
      <c r="B1969" t="s">
        <v>432</v>
      </c>
      <c r="C1969">
        <v>70</v>
      </c>
      <c r="D1969">
        <v>20220516</v>
      </c>
      <c r="E1969">
        <f t="shared" si="30"/>
        <v>5</v>
      </c>
      <c r="F1969">
        <v>512200</v>
      </c>
      <c r="G1969" t="s">
        <v>432</v>
      </c>
      <c r="H1969" t="s">
        <v>401</v>
      </c>
      <c r="I1969" t="s">
        <v>402</v>
      </c>
      <c r="J1969" t="s">
        <v>2348</v>
      </c>
      <c r="K1969">
        <v>20220516</v>
      </c>
      <c r="L1969" t="s">
        <v>2349</v>
      </c>
      <c r="M1969">
        <v>0</v>
      </c>
      <c r="N1969">
        <v>68.31</v>
      </c>
      <c r="O1969" t="s">
        <v>19</v>
      </c>
      <c r="P1969" t="s">
        <v>20</v>
      </c>
      <c r="Q1969">
        <v>20220516</v>
      </c>
    </row>
    <row r="1970" spans="1:17" x14ac:dyDescent="0.25">
      <c r="A1970" t="s">
        <v>715</v>
      </c>
      <c r="B1970" t="s">
        <v>432</v>
      </c>
      <c r="C1970">
        <v>70</v>
      </c>
      <c r="D1970">
        <v>20220518</v>
      </c>
      <c r="E1970">
        <f t="shared" si="30"/>
        <v>5</v>
      </c>
      <c r="F1970">
        <v>512200</v>
      </c>
      <c r="G1970" t="s">
        <v>432</v>
      </c>
      <c r="H1970" t="s">
        <v>401</v>
      </c>
      <c r="I1970" t="s">
        <v>402</v>
      </c>
      <c r="J1970" t="s">
        <v>2225</v>
      </c>
      <c r="K1970">
        <v>20220518</v>
      </c>
      <c r="L1970" t="s">
        <v>625</v>
      </c>
      <c r="M1970">
        <v>1250</v>
      </c>
      <c r="N1970">
        <v>0</v>
      </c>
      <c r="O1970" t="s">
        <v>19</v>
      </c>
      <c r="P1970" t="s">
        <v>20</v>
      </c>
      <c r="Q1970">
        <v>20220518</v>
      </c>
    </row>
    <row r="1971" spans="1:17" x14ac:dyDescent="0.25">
      <c r="A1971" t="s">
        <v>715</v>
      </c>
      <c r="B1971" t="s">
        <v>432</v>
      </c>
      <c r="C1971">
        <v>70</v>
      </c>
      <c r="D1971">
        <v>20220518</v>
      </c>
      <c r="E1971">
        <f t="shared" si="30"/>
        <v>5</v>
      </c>
      <c r="F1971">
        <v>580000</v>
      </c>
      <c r="G1971" t="s">
        <v>532</v>
      </c>
      <c r="H1971" t="s">
        <v>401</v>
      </c>
      <c r="I1971" t="s">
        <v>402</v>
      </c>
      <c r="J1971" t="s">
        <v>2225</v>
      </c>
      <c r="K1971">
        <v>20220518</v>
      </c>
      <c r="L1971" t="s">
        <v>625</v>
      </c>
      <c r="M1971">
        <v>0</v>
      </c>
      <c r="N1971">
        <v>1250</v>
      </c>
      <c r="O1971" t="s">
        <v>23</v>
      </c>
      <c r="P1971">
        <v>20220919</v>
      </c>
      <c r="Q1971">
        <v>20220518</v>
      </c>
    </row>
    <row r="1972" spans="1:17" x14ac:dyDescent="0.25">
      <c r="A1972" t="s">
        <v>715</v>
      </c>
      <c r="B1972" t="s">
        <v>432</v>
      </c>
      <c r="C1972">
        <v>70</v>
      </c>
      <c r="D1972">
        <v>20220518</v>
      </c>
      <c r="E1972">
        <f t="shared" si="30"/>
        <v>5</v>
      </c>
      <c r="F1972">
        <v>411010</v>
      </c>
      <c r="G1972" t="s">
        <v>87</v>
      </c>
      <c r="H1972" t="s">
        <v>367</v>
      </c>
      <c r="I1972" t="s">
        <v>368</v>
      </c>
      <c r="J1972">
        <v>222040001</v>
      </c>
      <c r="K1972">
        <v>20220518</v>
      </c>
      <c r="L1972" t="s">
        <v>2350</v>
      </c>
      <c r="M1972">
        <v>0</v>
      </c>
      <c r="N1972">
        <v>292</v>
      </c>
      <c r="O1972" t="s">
        <v>23</v>
      </c>
      <c r="P1972">
        <v>20221005</v>
      </c>
      <c r="Q1972">
        <v>20220518</v>
      </c>
    </row>
    <row r="1973" spans="1:17" x14ac:dyDescent="0.25">
      <c r="A1973" t="s">
        <v>715</v>
      </c>
      <c r="B1973" t="s">
        <v>432</v>
      </c>
      <c r="C1973">
        <v>70</v>
      </c>
      <c r="D1973">
        <v>20220518</v>
      </c>
      <c r="E1973">
        <f t="shared" si="30"/>
        <v>5</v>
      </c>
      <c r="F1973">
        <v>512200</v>
      </c>
      <c r="G1973" t="s">
        <v>432</v>
      </c>
      <c r="H1973" t="s">
        <v>401</v>
      </c>
      <c r="I1973" t="s">
        <v>402</v>
      </c>
      <c r="J1973">
        <v>347653</v>
      </c>
      <c r="K1973">
        <v>20220518</v>
      </c>
      <c r="L1973" t="s">
        <v>2035</v>
      </c>
      <c r="M1973">
        <v>292</v>
      </c>
      <c r="N1973">
        <v>0</v>
      </c>
      <c r="O1973" t="s">
        <v>19</v>
      </c>
      <c r="P1973" t="s">
        <v>20</v>
      </c>
      <c r="Q1973">
        <v>20220518</v>
      </c>
    </row>
    <row r="1974" spans="1:17" x14ac:dyDescent="0.25">
      <c r="A1974" t="s">
        <v>715</v>
      </c>
      <c r="B1974" t="s">
        <v>432</v>
      </c>
      <c r="C1974">
        <v>70</v>
      </c>
      <c r="D1974">
        <v>20220519</v>
      </c>
      <c r="E1974">
        <f t="shared" si="30"/>
        <v>5</v>
      </c>
      <c r="F1974">
        <v>401000</v>
      </c>
      <c r="G1974" t="s">
        <v>41</v>
      </c>
      <c r="H1974" t="s">
        <v>52</v>
      </c>
      <c r="I1974" t="s">
        <v>53</v>
      </c>
      <c r="J1974" t="s">
        <v>2351</v>
      </c>
      <c r="K1974">
        <v>20220519</v>
      </c>
      <c r="L1974" t="s">
        <v>2352</v>
      </c>
      <c r="M1974">
        <v>66</v>
      </c>
      <c r="N1974">
        <v>0</v>
      </c>
      <c r="O1974" t="s">
        <v>23</v>
      </c>
      <c r="P1974">
        <v>20220919</v>
      </c>
      <c r="Q1974">
        <v>20220519</v>
      </c>
    </row>
    <row r="1975" spans="1:17" x14ac:dyDescent="0.25">
      <c r="A1975" t="s">
        <v>715</v>
      </c>
      <c r="B1975" t="s">
        <v>432</v>
      </c>
      <c r="C1975">
        <v>70</v>
      </c>
      <c r="D1975">
        <v>20220519</v>
      </c>
      <c r="E1975">
        <f t="shared" si="30"/>
        <v>5</v>
      </c>
      <c r="F1975">
        <v>512200</v>
      </c>
      <c r="G1975" t="s">
        <v>432</v>
      </c>
      <c r="H1975" t="s">
        <v>401</v>
      </c>
      <c r="I1975" t="s">
        <v>402</v>
      </c>
      <c r="J1975" t="s">
        <v>2351</v>
      </c>
      <c r="K1975">
        <v>20220519</v>
      </c>
      <c r="L1975" t="s">
        <v>2352</v>
      </c>
      <c r="M1975">
        <v>0</v>
      </c>
      <c r="N1975">
        <v>66</v>
      </c>
      <c r="O1975" t="s">
        <v>19</v>
      </c>
      <c r="P1975" t="s">
        <v>20</v>
      </c>
      <c r="Q1975">
        <v>20220519</v>
      </c>
    </row>
    <row r="1976" spans="1:17" x14ac:dyDescent="0.25">
      <c r="A1976" t="s">
        <v>715</v>
      </c>
      <c r="B1976" t="s">
        <v>432</v>
      </c>
      <c r="C1976">
        <v>70</v>
      </c>
      <c r="D1976">
        <v>20220523</v>
      </c>
      <c r="E1976">
        <f t="shared" si="30"/>
        <v>5</v>
      </c>
      <c r="F1976">
        <v>401000</v>
      </c>
      <c r="G1976" t="s">
        <v>41</v>
      </c>
      <c r="H1976" t="s">
        <v>840</v>
      </c>
      <c r="I1976" t="s">
        <v>841</v>
      </c>
      <c r="J1976" t="s">
        <v>2353</v>
      </c>
      <c r="K1976">
        <v>20220523</v>
      </c>
      <c r="L1976" t="s">
        <v>2354</v>
      </c>
      <c r="M1976">
        <v>379.88</v>
      </c>
      <c r="N1976">
        <v>0</v>
      </c>
      <c r="O1976" t="s">
        <v>23</v>
      </c>
      <c r="P1976">
        <v>20220831</v>
      </c>
      <c r="Q1976">
        <v>20220523</v>
      </c>
    </row>
    <row r="1977" spans="1:17" x14ac:dyDescent="0.25">
      <c r="A1977" t="s">
        <v>715</v>
      </c>
      <c r="B1977" t="s">
        <v>432</v>
      </c>
      <c r="C1977">
        <v>70</v>
      </c>
      <c r="D1977">
        <v>20220523</v>
      </c>
      <c r="E1977">
        <f t="shared" si="30"/>
        <v>5</v>
      </c>
      <c r="F1977">
        <v>512200</v>
      </c>
      <c r="G1977" t="s">
        <v>432</v>
      </c>
      <c r="H1977" t="s">
        <v>401</v>
      </c>
      <c r="I1977" t="s">
        <v>402</v>
      </c>
      <c r="J1977" t="s">
        <v>2353</v>
      </c>
      <c r="K1977">
        <v>20220523</v>
      </c>
      <c r="L1977" t="s">
        <v>2354</v>
      </c>
      <c r="M1977">
        <v>0</v>
      </c>
      <c r="N1977">
        <v>379.88</v>
      </c>
      <c r="O1977" t="s">
        <v>19</v>
      </c>
      <c r="P1977" t="s">
        <v>20</v>
      </c>
      <c r="Q1977">
        <v>20220523</v>
      </c>
    </row>
    <row r="1978" spans="1:17" x14ac:dyDescent="0.25">
      <c r="A1978" t="s">
        <v>715</v>
      </c>
      <c r="B1978" t="s">
        <v>432</v>
      </c>
      <c r="C1978">
        <v>70</v>
      </c>
      <c r="D1978">
        <v>20220524</v>
      </c>
      <c r="E1978">
        <f t="shared" si="30"/>
        <v>5</v>
      </c>
      <c r="F1978">
        <v>401000</v>
      </c>
      <c r="G1978" t="s">
        <v>41</v>
      </c>
      <c r="H1978" t="s">
        <v>2053</v>
      </c>
      <c r="I1978" t="s">
        <v>2054</v>
      </c>
      <c r="J1978" t="s">
        <v>2355</v>
      </c>
      <c r="K1978">
        <v>20220524</v>
      </c>
      <c r="L1978" t="s">
        <v>2356</v>
      </c>
      <c r="M1978">
        <v>37.049999999999997</v>
      </c>
      <c r="N1978">
        <v>0</v>
      </c>
      <c r="O1978" t="s">
        <v>23</v>
      </c>
      <c r="P1978">
        <v>20220831</v>
      </c>
      <c r="Q1978">
        <v>20220524</v>
      </c>
    </row>
    <row r="1979" spans="1:17" x14ac:dyDescent="0.25">
      <c r="A1979" t="s">
        <v>715</v>
      </c>
      <c r="B1979" t="s">
        <v>432</v>
      </c>
      <c r="C1979">
        <v>70</v>
      </c>
      <c r="D1979">
        <v>20220524</v>
      </c>
      <c r="E1979">
        <f t="shared" si="30"/>
        <v>5</v>
      </c>
      <c r="F1979">
        <v>512200</v>
      </c>
      <c r="G1979" t="s">
        <v>432</v>
      </c>
      <c r="H1979" t="s">
        <v>401</v>
      </c>
      <c r="I1979" t="s">
        <v>402</v>
      </c>
      <c r="J1979" t="s">
        <v>2355</v>
      </c>
      <c r="K1979">
        <v>20220524</v>
      </c>
      <c r="L1979" t="s">
        <v>2356</v>
      </c>
      <c r="M1979">
        <v>0</v>
      </c>
      <c r="N1979">
        <v>37.049999999999997</v>
      </c>
      <c r="O1979" t="s">
        <v>19</v>
      </c>
      <c r="P1979" t="s">
        <v>20</v>
      </c>
      <c r="Q1979">
        <v>20220524</v>
      </c>
    </row>
    <row r="1980" spans="1:17" x14ac:dyDescent="0.25">
      <c r="A1980" t="s">
        <v>715</v>
      </c>
      <c r="B1980" t="s">
        <v>432</v>
      </c>
      <c r="C1980">
        <v>70</v>
      </c>
      <c r="D1980">
        <v>20220526</v>
      </c>
      <c r="E1980">
        <f t="shared" si="30"/>
        <v>5</v>
      </c>
      <c r="F1980">
        <v>401000</v>
      </c>
      <c r="G1980" t="s">
        <v>41</v>
      </c>
      <c r="H1980" t="s">
        <v>2047</v>
      </c>
      <c r="I1980" t="s">
        <v>2048</v>
      </c>
      <c r="J1980" t="s">
        <v>2357</v>
      </c>
      <c r="K1980">
        <v>20220526</v>
      </c>
      <c r="L1980" t="s">
        <v>2358</v>
      </c>
      <c r="M1980">
        <v>415.2</v>
      </c>
      <c r="N1980">
        <v>0</v>
      </c>
      <c r="O1980" t="s">
        <v>23</v>
      </c>
      <c r="P1980">
        <v>20220831</v>
      </c>
      <c r="Q1980">
        <v>20220526</v>
      </c>
    </row>
    <row r="1981" spans="1:17" x14ac:dyDescent="0.25">
      <c r="A1981" t="s">
        <v>715</v>
      </c>
      <c r="B1981" t="s">
        <v>432</v>
      </c>
      <c r="C1981">
        <v>70</v>
      </c>
      <c r="D1981">
        <v>20220526</v>
      </c>
      <c r="E1981">
        <f t="shared" si="30"/>
        <v>5</v>
      </c>
      <c r="F1981">
        <v>512200</v>
      </c>
      <c r="G1981" t="s">
        <v>432</v>
      </c>
      <c r="H1981" t="s">
        <v>401</v>
      </c>
      <c r="I1981" t="s">
        <v>402</v>
      </c>
      <c r="J1981" t="s">
        <v>2357</v>
      </c>
      <c r="K1981">
        <v>20220526</v>
      </c>
      <c r="L1981" t="s">
        <v>2358</v>
      </c>
      <c r="M1981">
        <v>0</v>
      </c>
      <c r="N1981">
        <v>415.2</v>
      </c>
      <c r="O1981" t="s">
        <v>19</v>
      </c>
      <c r="P1981" t="s">
        <v>20</v>
      </c>
      <c r="Q1981">
        <v>20220526</v>
      </c>
    </row>
    <row r="1982" spans="1:17" x14ac:dyDescent="0.25">
      <c r="A1982" t="s">
        <v>715</v>
      </c>
      <c r="B1982" t="s">
        <v>432</v>
      </c>
      <c r="C1982">
        <v>70</v>
      </c>
      <c r="D1982">
        <v>20220526</v>
      </c>
      <c r="E1982">
        <f t="shared" si="30"/>
        <v>5</v>
      </c>
      <c r="F1982">
        <v>401000</v>
      </c>
      <c r="G1982" t="s">
        <v>41</v>
      </c>
      <c r="H1982" t="s">
        <v>2047</v>
      </c>
      <c r="I1982" t="s">
        <v>2048</v>
      </c>
      <c r="J1982" t="s">
        <v>2359</v>
      </c>
      <c r="K1982">
        <v>20220526</v>
      </c>
      <c r="L1982" t="s">
        <v>2358</v>
      </c>
      <c r="M1982">
        <v>73.63</v>
      </c>
      <c r="N1982">
        <v>0</v>
      </c>
      <c r="O1982" t="s">
        <v>23</v>
      </c>
      <c r="P1982">
        <v>20220831</v>
      </c>
      <c r="Q1982">
        <v>20220526</v>
      </c>
    </row>
    <row r="1983" spans="1:17" x14ac:dyDescent="0.25">
      <c r="A1983" t="s">
        <v>715</v>
      </c>
      <c r="B1983" t="s">
        <v>432</v>
      </c>
      <c r="C1983">
        <v>70</v>
      </c>
      <c r="D1983">
        <v>20220526</v>
      </c>
      <c r="E1983">
        <f t="shared" si="30"/>
        <v>5</v>
      </c>
      <c r="F1983">
        <v>512200</v>
      </c>
      <c r="G1983" t="s">
        <v>432</v>
      </c>
      <c r="H1983" t="s">
        <v>401</v>
      </c>
      <c r="I1983" t="s">
        <v>402</v>
      </c>
      <c r="J1983" t="s">
        <v>2359</v>
      </c>
      <c r="K1983">
        <v>20220526</v>
      </c>
      <c r="L1983" t="s">
        <v>2358</v>
      </c>
      <c r="M1983">
        <v>0</v>
      </c>
      <c r="N1983">
        <v>73.63</v>
      </c>
      <c r="O1983" t="s">
        <v>19</v>
      </c>
      <c r="P1983" t="s">
        <v>20</v>
      </c>
      <c r="Q1983">
        <v>20220526</v>
      </c>
    </row>
    <row r="1984" spans="1:17" x14ac:dyDescent="0.25">
      <c r="A1984" t="s">
        <v>715</v>
      </c>
      <c r="B1984" t="s">
        <v>432</v>
      </c>
      <c r="C1984">
        <v>70</v>
      </c>
      <c r="D1984">
        <v>20220530</v>
      </c>
      <c r="E1984">
        <f t="shared" si="30"/>
        <v>5</v>
      </c>
      <c r="F1984">
        <v>401000</v>
      </c>
      <c r="G1984" t="s">
        <v>41</v>
      </c>
      <c r="H1984" t="s">
        <v>189</v>
      </c>
      <c r="I1984" t="s">
        <v>190</v>
      </c>
      <c r="J1984" t="s">
        <v>2360</v>
      </c>
      <c r="K1984">
        <v>20220530</v>
      </c>
      <c r="L1984" t="s">
        <v>191</v>
      </c>
      <c r="M1984">
        <v>403.75</v>
      </c>
      <c r="N1984">
        <v>0</v>
      </c>
      <c r="O1984" t="s">
        <v>19</v>
      </c>
      <c r="P1984" t="s">
        <v>20</v>
      </c>
      <c r="Q1984">
        <v>20220530</v>
      </c>
    </row>
    <row r="1985" spans="1:17" x14ac:dyDescent="0.25">
      <c r="A1985" t="s">
        <v>715</v>
      </c>
      <c r="B1985" t="s">
        <v>432</v>
      </c>
      <c r="C1985">
        <v>70</v>
      </c>
      <c r="D1985">
        <v>20220530</v>
      </c>
      <c r="E1985">
        <f t="shared" si="30"/>
        <v>5</v>
      </c>
      <c r="F1985">
        <v>512200</v>
      </c>
      <c r="G1985" t="s">
        <v>432</v>
      </c>
      <c r="H1985" t="s">
        <v>401</v>
      </c>
      <c r="I1985" t="s">
        <v>402</v>
      </c>
      <c r="J1985" t="s">
        <v>2360</v>
      </c>
      <c r="K1985">
        <v>20220530</v>
      </c>
      <c r="L1985" t="s">
        <v>191</v>
      </c>
      <c r="M1985">
        <v>0</v>
      </c>
      <c r="N1985">
        <v>403.75</v>
      </c>
      <c r="O1985" t="s">
        <v>19</v>
      </c>
      <c r="P1985" t="s">
        <v>20</v>
      </c>
      <c r="Q1985">
        <v>20220530</v>
      </c>
    </row>
    <row r="1986" spans="1:17" x14ac:dyDescent="0.25">
      <c r="A1986" t="s">
        <v>715</v>
      </c>
      <c r="B1986" t="s">
        <v>432</v>
      </c>
      <c r="C1986">
        <v>70</v>
      </c>
      <c r="D1986">
        <v>20220530</v>
      </c>
      <c r="E1986">
        <f t="shared" si="30"/>
        <v>5</v>
      </c>
      <c r="F1986">
        <v>401000</v>
      </c>
      <c r="G1986" t="s">
        <v>41</v>
      </c>
      <c r="H1986" t="s">
        <v>52</v>
      </c>
      <c r="I1986" t="s">
        <v>53</v>
      </c>
      <c r="J1986" t="s">
        <v>2361</v>
      </c>
      <c r="K1986">
        <v>20220530</v>
      </c>
      <c r="L1986" t="s">
        <v>2362</v>
      </c>
      <c r="M1986">
        <v>29</v>
      </c>
      <c r="N1986">
        <v>0</v>
      </c>
      <c r="O1986" t="s">
        <v>23</v>
      </c>
      <c r="P1986">
        <v>20220919</v>
      </c>
      <c r="Q1986">
        <v>20220530</v>
      </c>
    </row>
    <row r="1987" spans="1:17" x14ac:dyDescent="0.25">
      <c r="A1987" t="s">
        <v>715</v>
      </c>
      <c r="B1987" t="s">
        <v>432</v>
      </c>
      <c r="C1987">
        <v>70</v>
      </c>
      <c r="D1987">
        <v>20220530</v>
      </c>
      <c r="E1987">
        <f t="shared" ref="E1987:E2050" si="31">VALUE(MID(D1987,5,2))</f>
        <v>5</v>
      </c>
      <c r="F1987">
        <v>512200</v>
      </c>
      <c r="G1987" t="s">
        <v>432</v>
      </c>
      <c r="H1987" t="s">
        <v>401</v>
      </c>
      <c r="I1987" t="s">
        <v>402</v>
      </c>
      <c r="J1987" t="s">
        <v>2361</v>
      </c>
      <c r="K1987">
        <v>20220530</v>
      </c>
      <c r="L1987" t="s">
        <v>2362</v>
      </c>
      <c r="M1987">
        <v>0</v>
      </c>
      <c r="N1987">
        <v>29</v>
      </c>
      <c r="O1987" t="s">
        <v>19</v>
      </c>
      <c r="P1987" t="s">
        <v>20</v>
      </c>
      <c r="Q1987">
        <v>20220530</v>
      </c>
    </row>
    <row r="1988" spans="1:17" x14ac:dyDescent="0.25">
      <c r="A1988" t="s">
        <v>715</v>
      </c>
      <c r="B1988" t="s">
        <v>432</v>
      </c>
      <c r="C1988">
        <v>70</v>
      </c>
      <c r="D1988">
        <v>20220531</v>
      </c>
      <c r="E1988">
        <f t="shared" si="31"/>
        <v>5</v>
      </c>
      <c r="F1988">
        <v>401000</v>
      </c>
      <c r="G1988" t="s">
        <v>41</v>
      </c>
      <c r="H1988" t="s">
        <v>52</v>
      </c>
      <c r="I1988" t="s">
        <v>53</v>
      </c>
      <c r="J1988" t="s">
        <v>2363</v>
      </c>
      <c r="K1988">
        <v>20220531</v>
      </c>
      <c r="L1988" t="s">
        <v>2364</v>
      </c>
      <c r="M1988">
        <v>65.760000000000005</v>
      </c>
      <c r="N1988">
        <v>0</v>
      </c>
      <c r="O1988" t="s">
        <v>23</v>
      </c>
      <c r="P1988">
        <v>20220831</v>
      </c>
      <c r="Q1988">
        <v>20220531</v>
      </c>
    </row>
    <row r="1989" spans="1:17" x14ac:dyDescent="0.25">
      <c r="A1989" t="s">
        <v>715</v>
      </c>
      <c r="B1989" t="s">
        <v>432</v>
      </c>
      <c r="C1989">
        <v>70</v>
      </c>
      <c r="D1989">
        <v>20220531</v>
      </c>
      <c r="E1989">
        <f t="shared" si="31"/>
        <v>5</v>
      </c>
      <c r="F1989">
        <v>512200</v>
      </c>
      <c r="G1989" t="s">
        <v>432</v>
      </c>
      <c r="H1989" t="s">
        <v>401</v>
      </c>
      <c r="I1989" t="s">
        <v>402</v>
      </c>
      <c r="J1989" t="s">
        <v>2363</v>
      </c>
      <c r="K1989">
        <v>20220531</v>
      </c>
      <c r="L1989" t="s">
        <v>2364</v>
      </c>
      <c r="M1989">
        <v>0</v>
      </c>
      <c r="N1989">
        <v>65.760000000000005</v>
      </c>
      <c r="O1989" t="s">
        <v>19</v>
      </c>
      <c r="P1989" t="s">
        <v>20</v>
      </c>
      <c r="Q1989">
        <v>20220531</v>
      </c>
    </row>
    <row r="1990" spans="1:17" x14ac:dyDescent="0.25">
      <c r="A1990" t="s">
        <v>715</v>
      </c>
      <c r="B1990" t="s">
        <v>432</v>
      </c>
      <c r="C1990">
        <v>70</v>
      </c>
      <c r="D1990">
        <v>20220531</v>
      </c>
      <c r="E1990">
        <f t="shared" si="31"/>
        <v>5</v>
      </c>
      <c r="F1990">
        <v>401000</v>
      </c>
      <c r="G1990" t="s">
        <v>41</v>
      </c>
      <c r="H1990" t="s">
        <v>52</v>
      </c>
      <c r="I1990" t="s">
        <v>53</v>
      </c>
      <c r="J1990" t="s">
        <v>2365</v>
      </c>
      <c r="K1990">
        <v>20220531</v>
      </c>
      <c r="L1990" t="s">
        <v>2366</v>
      </c>
      <c r="M1990">
        <v>322.8</v>
      </c>
      <c r="N1990">
        <v>0</v>
      </c>
      <c r="O1990" t="s">
        <v>23</v>
      </c>
      <c r="P1990">
        <v>20220905</v>
      </c>
      <c r="Q1990">
        <v>20220531</v>
      </c>
    </row>
    <row r="1991" spans="1:17" x14ac:dyDescent="0.25">
      <c r="A1991" t="s">
        <v>715</v>
      </c>
      <c r="B1991" t="s">
        <v>432</v>
      </c>
      <c r="C1991">
        <v>70</v>
      </c>
      <c r="D1991">
        <v>20220531</v>
      </c>
      <c r="E1991">
        <f t="shared" si="31"/>
        <v>5</v>
      </c>
      <c r="F1991">
        <v>512200</v>
      </c>
      <c r="G1991" t="s">
        <v>432</v>
      </c>
      <c r="H1991" t="s">
        <v>401</v>
      </c>
      <c r="I1991" t="s">
        <v>402</v>
      </c>
      <c r="J1991" t="s">
        <v>2365</v>
      </c>
      <c r="K1991">
        <v>20220531</v>
      </c>
      <c r="L1991" t="s">
        <v>2366</v>
      </c>
      <c r="M1991">
        <v>0</v>
      </c>
      <c r="N1991">
        <v>322.8</v>
      </c>
      <c r="O1991" t="s">
        <v>19</v>
      </c>
      <c r="P1991" t="s">
        <v>20</v>
      </c>
      <c r="Q1991">
        <v>20220531</v>
      </c>
    </row>
    <row r="1992" spans="1:17" x14ac:dyDescent="0.25">
      <c r="A1992" t="s">
        <v>476</v>
      </c>
      <c r="B1992" t="s">
        <v>477</v>
      </c>
      <c r="C1992">
        <v>80</v>
      </c>
      <c r="D1992">
        <v>20220601</v>
      </c>
      <c r="E1992">
        <f t="shared" si="31"/>
        <v>6</v>
      </c>
      <c r="F1992">
        <v>401000</v>
      </c>
      <c r="G1992" t="s">
        <v>41</v>
      </c>
      <c r="H1992" t="s">
        <v>458</v>
      </c>
      <c r="I1992" t="s">
        <v>459</v>
      </c>
      <c r="J1992" t="s">
        <v>2398</v>
      </c>
      <c r="K1992">
        <v>20220601</v>
      </c>
      <c r="L1992" t="s">
        <v>2072</v>
      </c>
      <c r="M1992">
        <v>669.6</v>
      </c>
      <c r="N1992">
        <v>0</v>
      </c>
      <c r="O1992" t="s">
        <v>23</v>
      </c>
      <c r="P1992">
        <v>20221005</v>
      </c>
      <c r="Q1992">
        <v>20220601</v>
      </c>
    </row>
    <row r="1993" spans="1:17" x14ac:dyDescent="0.25">
      <c r="A1993" t="s">
        <v>476</v>
      </c>
      <c r="B1993" t="s">
        <v>477</v>
      </c>
      <c r="C1993">
        <v>80</v>
      </c>
      <c r="D1993">
        <v>20220601</v>
      </c>
      <c r="E1993">
        <f t="shared" si="31"/>
        <v>6</v>
      </c>
      <c r="F1993">
        <v>512000</v>
      </c>
      <c r="G1993" t="s">
        <v>428</v>
      </c>
      <c r="H1993" t="s">
        <v>401</v>
      </c>
      <c r="I1993" t="s">
        <v>402</v>
      </c>
      <c r="J1993" t="s">
        <v>2398</v>
      </c>
      <c r="K1993">
        <v>20220601</v>
      </c>
      <c r="L1993" t="s">
        <v>2072</v>
      </c>
      <c r="M1993">
        <v>0</v>
      </c>
      <c r="N1993">
        <v>669.6</v>
      </c>
      <c r="O1993" t="s">
        <v>19</v>
      </c>
      <c r="P1993" t="s">
        <v>20</v>
      </c>
      <c r="Q1993">
        <v>20220601</v>
      </c>
    </row>
    <row r="1994" spans="1:17" x14ac:dyDescent="0.25">
      <c r="A1994" t="s">
        <v>476</v>
      </c>
      <c r="B1994" t="s">
        <v>477</v>
      </c>
      <c r="C1994">
        <v>80</v>
      </c>
      <c r="D1994">
        <v>20220603</v>
      </c>
      <c r="E1994">
        <f t="shared" si="31"/>
        <v>6</v>
      </c>
      <c r="F1994">
        <v>627000</v>
      </c>
      <c r="G1994" t="s">
        <v>480</v>
      </c>
      <c r="H1994" t="s">
        <v>401</v>
      </c>
      <c r="I1994" t="s">
        <v>402</v>
      </c>
      <c r="J1994" t="s">
        <v>2399</v>
      </c>
      <c r="K1994">
        <v>20220603</v>
      </c>
      <c r="L1994" t="s">
        <v>482</v>
      </c>
      <c r="M1994">
        <v>49</v>
      </c>
      <c r="N1994">
        <v>0</v>
      </c>
      <c r="O1994" t="s">
        <v>19</v>
      </c>
      <c r="P1994" t="s">
        <v>20</v>
      </c>
      <c r="Q1994">
        <v>20220603</v>
      </c>
    </row>
    <row r="1995" spans="1:17" x14ac:dyDescent="0.25">
      <c r="A1995" t="s">
        <v>476</v>
      </c>
      <c r="B1995" t="s">
        <v>477</v>
      </c>
      <c r="C1995">
        <v>80</v>
      </c>
      <c r="D1995">
        <v>20220603</v>
      </c>
      <c r="E1995">
        <f t="shared" si="31"/>
        <v>6</v>
      </c>
      <c r="F1995">
        <v>512000</v>
      </c>
      <c r="G1995" t="s">
        <v>428</v>
      </c>
      <c r="H1995" t="s">
        <v>401</v>
      </c>
      <c r="I1995" t="s">
        <v>402</v>
      </c>
      <c r="J1995" t="s">
        <v>2399</v>
      </c>
      <c r="K1995">
        <v>20220603</v>
      </c>
      <c r="L1995" t="s">
        <v>482</v>
      </c>
      <c r="M1995">
        <v>0</v>
      </c>
      <c r="N1995">
        <v>49</v>
      </c>
      <c r="O1995" t="s">
        <v>19</v>
      </c>
      <c r="P1995" t="s">
        <v>20</v>
      </c>
      <c r="Q1995">
        <v>20220603</v>
      </c>
    </row>
    <row r="1996" spans="1:17" x14ac:dyDescent="0.25">
      <c r="A1996" t="s">
        <v>476</v>
      </c>
      <c r="B1996" t="s">
        <v>477</v>
      </c>
      <c r="C1996">
        <v>80</v>
      </c>
      <c r="D1996">
        <v>20220603</v>
      </c>
      <c r="E1996">
        <f t="shared" si="31"/>
        <v>6</v>
      </c>
      <c r="F1996">
        <v>627000</v>
      </c>
      <c r="G1996" t="s">
        <v>480</v>
      </c>
      <c r="H1996" t="s">
        <v>401</v>
      </c>
      <c r="I1996" t="s">
        <v>402</v>
      </c>
      <c r="J1996" t="s">
        <v>2400</v>
      </c>
      <c r="K1996">
        <v>20220603</v>
      </c>
      <c r="L1996" t="s">
        <v>482</v>
      </c>
      <c r="M1996">
        <v>18.46</v>
      </c>
      <c r="N1996">
        <v>0</v>
      </c>
      <c r="O1996" t="s">
        <v>19</v>
      </c>
      <c r="P1996" t="s">
        <v>20</v>
      </c>
      <c r="Q1996">
        <v>20220603</v>
      </c>
    </row>
    <row r="1997" spans="1:17" x14ac:dyDescent="0.25">
      <c r="A1997" t="s">
        <v>476</v>
      </c>
      <c r="B1997" t="s">
        <v>477</v>
      </c>
      <c r="C1997">
        <v>80</v>
      </c>
      <c r="D1997">
        <v>20220603</v>
      </c>
      <c r="E1997">
        <f t="shared" si="31"/>
        <v>6</v>
      </c>
      <c r="F1997">
        <v>512000</v>
      </c>
      <c r="G1997" t="s">
        <v>428</v>
      </c>
      <c r="H1997" t="s">
        <v>401</v>
      </c>
      <c r="I1997" t="s">
        <v>402</v>
      </c>
      <c r="J1997" t="s">
        <v>2400</v>
      </c>
      <c r="K1997">
        <v>20220603</v>
      </c>
      <c r="L1997" t="s">
        <v>482</v>
      </c>
      <c r="M1997">
        <v>0</v>
      </c>
      <c r="N1997">
        <v>18.46</v>
      </c>
      <c r="O1997" t="s">
        <v>19</v>
      </c>
      <c r="P1997" t="s">
        <v>20</v>
      </c>
      <c r="Q1997">
        <v>20220603</v>
      </c>
    </row>
    <row r="1998" spans="1:17" x14ac:dyDescent="0.25">
      <c r="A1998" t="s">
        <v>476</v>
      </c>
      <c r="B1998" t="s">
        <v>477</v>
      </c>
      <c r="C1998">
        <v>80</v>
      </c>
      <c r="D1998">
        <v>20220603</v>
      </c>
      <c r="E1998">
        <f t="shared" si="31"/>
        <v>6</v>
      </c>
      <c r="F1998">
        <v>468200</v>
      </c>
      <c r="G1998" t="s">
        <v>421</v>
      </c>
      <c r="H1998" t="s">
        <v>401</v>
      </c>
      <c r="I1998" t="s">
        <v>402</v>
      </c>
      <c r="J1998" t="s">
        <v>2401</v>
      </c>
      <c r="K1998">
        <v>20220603</v>
      </c>
      <c r="L1998" t="s">
        <v>422</v>
      </c>
      <c r="M1998">
        <v>0</v>
      </c>
      <c r="N1998">
        <v>221.25</v>
      </c>
      <c r="O1998" t="s">
        <v>23</v>
      </c>
      <c r="P1998">
        <v>20221005</v>
      </c>
      <c r="Q1998">
        <v>20220603</v>
      </c>
    </row>
    <row r="1999" spans="1:17" x14ac:dyDescent="0.25">
      <c r="A1999" t="s">
        <v>476</v>
      </c>
      <c r="B1999" t="s">
        <v>477</v>
      </c>
      <c r="C1999">
        <v>80</v>
      </c>
      <c r="D1999">
        <v>20220603</v>
      </c>
      <c r="E1999">
        <f t="shared" si="31"/>
        <v>6</v>
      </c>
      <c r="F1999">
        <v>512000</v>
      </c>
      <c r="G1999" t="s">
        <v>428</v>
      </c>
      <c r="H1999" t="s">
        <v>401</v>
      </c>
      <c r="I1999" t="s">
        <v>402</v>
      </c>
      <c r="J1999" t="s">
        <v>2401</v>
      </c>
      <c r="K1999">
        <v>20220603</v>
      </c>
      <c r="L1999" t="s">
        <v>422</v>
      </c>
      <c r="M1999">
        <v>221.25</v>
      </c>
      <c r="N1999">
        <v>0</v>
      </c>
      <c r="O1999" t="s">
        <v>19</v>
      </c>
      <c r="P1999" t="s">
        <v>20</v>
      </c>
      <c r="Q1999">
        <v>20220603</v>
      </c>
    </row>
    <row r="2000" spans="1:17" x14ac:dyDescent="0.25">
      <c r="A2000" t="s">
        <v>476</v>
      </c>
      <c r="B2000" t="s">
        <v>477</v>
      </c>
      <c r="C2000">
        <v>80</v>
      </c>
      <c r="D2000">
        <v>20220606</v>
      </c>
      <c r="E2000">
        <f t="shared" si="31"/>
        <v>6</v>
      </c>
      <c r="F2000">
        <v>468725</v>
      </c>
      <c r="G2000" t="s">
        <v>424</v>
      </c>
      <c r="H2000" t="s">
        <v>401</v>
      </c>
      <c r="I2000" t="s">
        <v>402</v>
      </c>
      <c r="J2000" t="s">
        <v>2402</v>
      </c>
      <c r="K2000">
        <v>20220606</v>
      </c>
      <c r="L2000" t="s">
        <v>2403</v>
      </c>
      <c r="M2000">
        <v>0</v>
      </c>
      <c r="N2000">
        <v>1333.32</v>
      </c>
      <c r="O2000" t="s">
        <v>23</v>
      </c>
      <c r="P2000">
        <v>20230105</v>
      </c>
      <c r="Q2000">
        <v>20220606</v>
      </c>
    </row>
    <row r="2001" spans="1:17" x14ac:dyDescent="0.25">
      <c r="A2001" t="s">
        <v>476</v>
      </c>
      <c r="B2001" t="s">
        <v>477</v>
      </c>
      <c r="C2001">
        <v>80</v>
      </c>
      <c r="D2001">
        <v>20220606</v>
      </c>
      <c r="E2001">
        <f t="shared" si="31"/>
        <v>6</v>
      </c>
      <c r="F2001">
        <v>512000</v>
      </c>
      <c r="G2001" t="s">
        <v>428</v>
      </c>
      <c r="H2001" t="s">
        <v>401</v>
      </c>
      <c r="I2001" t="s">
        <v>402</v>
      </c>
      <c r="J2001" t="s">
        <v>2402</v>
      </c>
      <c r="K2001">
        <v>20220606</v>
      </c>
      <c r="L2001" t="s">
        <v>2403</v>
      </c>
      <c r="M2001">
        <v>1333.32</v>
      </c>
      <c r="N2001">
        <v>0</v>
      </c>
      <c r="O2001" t="s">
        <v>19</v>
      </c>
      <c r="P2001" t="s">
        <v>20</v>
      </c>
      <c r="Q2001">
        <v>20220606</v>
      </c>
    </row>
    <row r="2002" spans="1:17" x14ac:dyDescent="0.25">
      <c r="A2002" t="s">
        <v>476</v>
      </c>
      <c r="B2002" t="s">
        <v>477</v>
      </c>
      <c r="C2002">
        <v>80</v>
      </c>
      <c r="D2002">
        <v>20220607</v>
      </c>
      <c r="E2002">
        <f t="shared" si="31"/>
        <v>6</v>
      </c>
      <c r="F2002">
        <v>401000</v>
      </c>
      <c r="G2002" t="s">
        <v>41</v>
      </c>
      <c r="H2002" t="s">
        <v>225</v>
      </c>
      <c r="I2002" t="s">
        <v>226</v>
      </c>
      <c r="J2002" t="s">
        <v>2404</v>
      </c>
      <c r="K2002">
        <v>20220607</v>
      </c>
      <c r="L2002" t="s">
        <v>488</v>
      </c>
      <c r="M2002">
        <v>475.4</v>
      </c>
      <c r="N2002">
        <v>0</v>
      </c>
      <c r="O2002" t="s">
        <v>23</v>
      </c>
      <c r="P2002">
        <v>20221005</v>
      </c>
      <c r="Q2002">
        <v>20220607</v>
      </c>
    </row>
    <row r="2003" spans="1:17" x14ac:dyDescent="0.25">
      <c r="A2003" t="s">
        <v>476</v>
      </c>
      <c r="B2003" t="s">
        <v>477</v>
      </c>
      <c r="C2003">
        <v>80</v>
      </c>
      <c r="D2003">
        <v>20220607</v>
      </c>
      <c r="E2003">
        <f t="shared" si="31"/>
        <v>6</v>
      </c>
      <c r="F2003">
        <v>512000</v>
      </c>
      <c r="G2003" t="s">
        <v>428</v>
      </c>
      <c r="H2003" t="s">
        <v>401</v>
      </c>
      <c r="I2003" t="s">
        <v>402</v>
      </c>
      <c r="J2003" t="s">
        <v>2404</v>
      </c>
      <c r="K2003">
        <v>20220607</v>
      </c>
      <c r="L2003" t="s">
        <v>488</v>
      </c>
      <c r="M2003">
        <v>0</v>
      </c>
      <c r="N2003">
        <v>475.4</v>
      </c>
      <c r="O2003" t="s">
        <v>19</v>
      </c>
      <c r="P2003" t="s">
        <v>20</v>
      </c>
      <c r="Q2003">
        <v>20220607</v>
      </c>
    </row>
    <row r="2004" spans="1:17" x14ac:dyDescent="0.25">
      <c r="A2004" t="s">
        <v>476</v>
      </c>
      <c r="B2004" t="s">
        <v>477</v>
      </c>
      <c r="C2004">
        <v>80</v>
      </c>
      <c r="D2004">
        <v>20220607</v>
      </c>
      <c r="E2004">
        <f t="shared" si="31"/>
        <v>6</v>
      </c>
      <c r="F2004">
        <v>468200</v>
      </c>
      <c r="G2004" t="s">
        <v>421</v>
      </c>
      <c r="H2004" t="s">
        <v>401</v>
      </c>
      <c r="I2004" t="s">
        <v>402</v>
      </c>
      <c r="J2004" t="s">
        <v>2405</v>
      </c>
      <c r="K2004">
        <v>20220607</v>
      </c>
      <c r="L2004" t="s">
        <v>422</v>
      </c>
      <c r="M2004">
        <v>0</v>
      </c>
      <c r="N2004">
        <v>44.25</v>
      </c>
      <c r="O2004" t="s">
        <v>23</v>
      </c>
      <c r="P2004">
        <v>20221005</v>
      </c>
      <c r="Q2004">
        <v>20220607</v>
      </c>
    </row>
    <row r="2005" spans="1:17" x14ac:dyDescent="0.25">
      <c r="A2005" t="s">
        <v>476</v>
      </c>
      <c r="B2005" t="s">
        <v>477</v>
      </c>
      <c r="C2005">
        <v>80</v>
      </c>
      <c r="D2005">
        <v>20220607</v>
      </c>
      <c r="E2005">
        <f t="shared" si="31"/>
        <v>6</v>
      </c>
      <c r="F2005">
        <v>512000</v>
      </c>
      <c r="G2005" t="s">
        <v>428</v>
      </c>
      <c r="H2005" t="s">
        <v>401</v>
      </c>
      <c r="I2005" t="s">
        <v>402</v>
      </c>
      <c r="J2005" t="s">
        <v>2405</v>
      </c>
      <c r="K2005">
        <v>20220607</v>
      </c>
      <c r="L2005" t="s">
        <v>422</v>
      </c>
      <c r="M2005">
        <v>44.25</v>
      </c>
      <c r="N2005">
        <v>0</v>
      </c>
      <c r="O2005" t="s">
        <v>19</v>
      </c>
      <c r="P2005" t="s">
        <v>20</v>
      </c>
      <c r="Q2005">
        <v>20220607</v>
      </c>
    </row>
    <row r="2006" spans="1:17" x14ac:dyDescent="0.25">
      <c r="A2006" t="s">
        <v>476</v>
      </c>
      <c r="B2006" t="s">
        <v>477</v>
      </c>
      <c r="C2006">
        <v>80</v>
      </c>
      <c r="D2006">
        <v>20220608</v>
      </c>
      <c r="E2006">
        <f t="shared" si="31"/>
        <v>6</v>
      </c>
      <c r="F2006">
        <v>401000</v>
      </c>
      <c r="G2006" t="s">
        <v>41</v>
      </c>
      <c r="H2006" t="s">
        <v>842</v>
      </c>
      <c r="I2006" t="s">
        <v>843</v>
      </c>
      <c r="J2006" t="s">
        <v>2406</v>
      </c>
      <c r="K2006">
        <v>20220608</v>
      </c>
      <c r="L2006" t="s">
        <v>163</v>
      </c>
      <c r="M2006">
        <v>670</v>
      </c>
      <c r="N2006">
        <v>0</v>
      </c>
      <c r="O2006" t="s">
        <v>22</v>
      </c>
      <c r="P2006">
        <v>20220608</v>
      </c>
      <c r="Q2006">
        <v>20220608</v>
      </c>
    </row>
    <row r="2007" spans="1:17" x14ac:dyDescent="0.25">
      <c r="A2007" t="s">
        <v>476</v>
      </c>
      <c r="B2007" t="s">
        <v>477</v>
      </c>
      <c r="C2007">
        <v>80</v>
      </c>
      <c r="D2007">
        <v>20220608</v>
      </c>
      <c r="E2007">
        <f t="shared" si="31"/>
        <v>6</v>
      </c>
      <c r="F2007">
        <v>401000</v>
      </c>
      <c r="G2007" t="s">
        <v>41</v>
      </c>
      <c r="H2007" t="s">
        <v>71</v>
      </c>
      <c r="I2007" t="s">
        <v>72</v>
      </c>
      <c r="J2007" t="s">
        <v>2406</v>
      </c>
      <c r="K2007">
        <v>20220608</v>
      </c>
      <c r="L2007" t="s">
        <v>163</v>
      </c>
      <c r="M2007">
        <v>533.28</v>
      </c>
      <c r="N2007">
        <v>0</v>
      </c>
      <c r="O2007" t="s">
        <v>22</v>
      </c>
      <c r="P2007">
        <v>20220608</v>
      </c>
      <c r="Q2007">
        <v>20220608</v>
      </c>
    </row>
    <row r="2008" spans="1:17" x14ac:dyDescent="0.25">
      <c r="A2008" t="s">
        <v>476</v>
      </c>
      <c r="B2008" t="s">
        <v>477</v>
      </c>
      <c r="C2008">
        <v>80</v>
      </c>
      <c r="D2008">
        <v>20220608</v>
      </c>
      <c r="E2008">
        <f t="shared" si="31"/>
        <v>6</v>
      </c>
      <c r="F2008">
        <v>401000</v>
      </c>
      <c r="G2008" t="s">
        <v>41</v>
      </c>
      <c r="H2008" t="s">
        <v>75</v>
      </c>
      <c r="I2008" t="s">
        <v>76</v>
      </c>
      <c r="J2008" t="s">
        <v>2406</v>
      </c>
      <c r="K2008">
        <v>20220608</v>
      </c>
      <c r="L2008" t="s">
        <v>163</v>
      </c>
      <c r="M2008">
        <v>420</v>
      </c>
      <c r="N2008">
        <v>0</v>
      </c>
      <c r="O2008" t="s">
        <v>22</v>
      </c>
      <c r="P2008">
        <v>20220608</v>
      </c>
      <c r="Q2008">
        <v>20220608</v>
      </c>
    </row>
    <row r="2009" spans="1:17" x14ac:dyDescent="0.25">
      <c r="A2009" t="s">
        <v>476</v>
      </c>
      <c r="B2009" t="s">
        <v>477</v>
      </c>
      <c r="C2009">
        <v>80</v>
      </c>
      <c r="D2009">
        <v>20220608</v>
      </c>
      <c r="E2009">
        <f t="shared" si="31"/>
        <v>6</v>
      </c>
      <c r="F2009">
        <v>401000</v>
      </c>
      <c r="G2009" t="s">
        <v>41</v>
      </c>
      <c r="H2009" t="s">
        <v>177</v>
      </c>
      <c r="I2009" t="s">
        <v>178</v>
      </c>
      <c r="J2009" t="s">
        <v>2406</v>
      </c>
      <c r="K2009">
        <v>20220608</v>
      </c>
      <c r="L2009" t="s">
        <v>163</v>
      </c>
      <c r="M2009">
        <v>210</v>
      </c>
      <c r="N2009">
        <v>0</v>
      </c>
      <c r="O2009" t="s">
        <v>22</v>
      </c>
      <c r="P2009">
        <v>20220608</v>
      </c>
      <c r="Q2009">
        <v>20220608</v>
      </c>
    </row>
    <row r="2010" spans="1:17" x14ac:dyDescent="0.25">
      <c r="A2010" t="s">
        <v>476</v>
      </c>
      <c r="B2010" t="s">
        <v>477</v>
      </c>
      <c r="C2010">
        <v>80</v>
      </c>
      <c r="D2010">
        <v>20220608</v>
      </c>
      <c r="E2010">
        <f t="shared" si="31"/>
        <v>6</v>
      </c>
      <c r="F2010">
        <v>401000</v>
      </c>
      <c r="G2010" t="s">
        <v>41</v>
      </c>
      <c r="H2010" t="s">
        <v>474</v>
      </c>
      <c r="I2010" t="s">
        <v>475</v>
      </c>
      <c r="J2010" t="s">
        <v>2406</v>
      </c>
      <c r="K2010">
        <v>20220608</v>
      </c>
      <c r="L2010" t="s">
        <v>163</v>
      </c>
      <c r="M2010">
        <v>480</v>
      </c>
      <c r="N2010">
        <v>0</v>
      </c>
      <c r="O2010" t="s">
        <v>22</v>
      </c>
      <c r="P2010">
        <v>20220608</v>
      </c>
      <c r="Q2010">
        <v>20220608</v>
      </c>
    </row>
    <row r="2011" spans="1:17" x14ac:dyDescent="0.25">
      <c r="A2011" t="s">
        <v>476</v>
      </c>
      <c r="B2011" t="s">
        <v>477</v>
      </c>
      <c r="C2011">
        <v>80</v>
      </c>
      <c r="D2011">
        <v>20220608</v>
      </c>
      <c r="E2011">
        <f t="shared" si="31"/>
        <v>6</v>
      </c>
      <c r="F2011">
        <v>401000</v>
      </c>
      <c r="G2011" t="s">
        <v>41</v>
      </c>
      <c r="H2011" t="s">
        <v>472</v>
      </c>
      <c r="I2011" t="s">
        <v>473</v>
      </c>
      <c r="J2011" t="s">
        <v>2406</v>
      </c>
      <c r="K2011">
        <v>20220608</v>
      </c>
      <c r="L2011" t="s">
        <v>163</v>
      </c>
      <c r="M2011">
        <v>280</v>
      </c>
      <c r="N2011">
        <v>0</v>
      </c>
      <c r="O2011" t="s">
        <v>22</v>
      </c>
      <c r="P2011">
        <v>20220608</v>
      </c>
      <c r="Q2011">
        <v>20220608</v>
      </c>
    </row>
    <row r="2012" spans="1:17" x14ac:dyDescent="0.25">
      <c r="A2012" t="s">
        <v>476</v>
      </c>
      <c r="B2012" t="s">
        <v>477</v>
      </c>
      <c r="C2012">
        <v>80</v>
      </c>
      <c r="D2012">
        <v>20220608</v>
      </c>
      <c r="E2012">
        <f t="shared" si="31"/>
        <v>6</v>
      </c>
      <c r="F2012">
        <v>401000</v>
      </c>
      <c r="G2012" t="s">
        <v>41</v>
      </c>
      <c r="H2012" t="s">
        <v>303</v>
      </c>
      <c r="I2012" t="s">
        <v>304</v>
      </c>
      <c r="J2012" t="s">
        <v>2406</v>
      </c>
      <c r="K2012">
        <v>20220608</v>
      </c>
      <c r="L2012" t="s">
        <v>163</v>
      </c>
      <c r="M2012">
        <v>520</v>
      </c>
      <c r="N2012">
        <v>0</v>
      </c>
      <c r="O2012" t="s">
        <v>22</v>
      </c>
      <c r="P2012">
        <v>20220608</v>
      </c>
      <c r="Q2012">
        <v>20220608</v>
      </c>
    </row>
    <row r="2013" spans="1:17" x14ac:dyDescent="0.25">
      <c r="A2013" t="s">
        <v>476</v>
      </c>
      <c r="B2013" t="s">
        <v>477</v>
      </c>
      <c r="C2013">
        <v>80</v>
      </c>
      <c r="D2013">
        <v>20220608</v>
      </c>
      <c r="E2013">
        <f t="shared" si="31"/>
        <v>6</v>
      </c>
      <c r="F2013">
        <v>401000</v>
      </c>
      <c r="G2013" t="s">
        <v>41</v>
      </c>
      <c r="H2013" t="s">
        <v>827</v>
      </c>
      <c r="I2013" t="s">
        <v>828</v>
      </c>
      <c r="J2013" t="s">
        <v>2406</v>
      </c>
      <c r="K2013">
        <v>20220608</v>
      </c>
      <c r="L2013" t="s">
        <v>163</v>
      </c>
      <c r="M2013">
        <v>307.5</v>
      </c>
      <c r="N2013">
        <v>0</v>
      </c>
      <c r="O2013" t="s">
        <v>22</v>
      </c>
      <c r="P2013">
        <v>20220608</v>
      </c>
      <c r="Q2013">
        <v>20220608</v>
      </c>
    </row>
    <row r="2014" spans="1:17" x14ac:dyDescent="0.25">
      <c r="A2014" t="s">
        <v>476</v>
      </c>
      <c r="B2014" t="s">
        <v>477</v>
      </c>
      <c r="C2014">
        <v>80</v>
      </c>
      <c r="D2014">
        <v>20220608</v>
      </c>
      <c r="E2014">
        <f t="shared" si="31"/>
        <v>6</v>
      </c>
      <c r="F2014">
        <v>401000</v>
      </c>
      <c r="G2014" t="s">
        <v>41</v>
      </c>
      <c r="H2014" t="s">
        <v>836</v>
      </c>
      <c r="I2014" t="s">
        <v>837</v>
      </c>
      <c r="J2014" t="s">
        <v>2406</v>
      </c>
      <c r="K2014">
        <v>20220608</v>
      </c>
      <c r="L2014" t="s">
        <v>163</v>
      </c>
      <c r="M2014">
        <v>1142</v>
      </c>
      <c r="N2014">
        <v>0</v>
      </c>
      <c r="O2014" t="s">
        <v>22</v>
      </c>
      <c r="P2014">
        <v>20220608</v>
      </c>
      <c r="Q2014">
        <v>20220608</v>
      </c>
    </row>
    <row r="2015" spans="1:17" x14ac:dyDescent="0.25">
      <c r="A2015" t="s">
        <v>476</v>
      </c>
      <c r="B2015" t="s">
        <v>477</v>
      </c>
      <c r="C2015">
        <v>80</v>
      </c>
      <c r="D2015">
        <v>20220608</v>
      </c>
      <c r="E2015">
        <f t="shared" si="31"/>
        <v>6</v>
      </c>
      <c r="F2015">
        <v>401000</v>
      </c>
      <c r="G2015" t="s">
        <v>41</v>
      </c>
      <c r="H2015" t="s">
        <v>830</v>
      </c>
      <c r="I2015" t="s">
        <v>831</v>
      </c>
      <c r="J2015" t="s">
        <v>2406</v>
      </c>
      <c r="K2015">
        <v>20220608</v>
      </c>
      <c r="L2015" t="s">
        <v>163</v>
      </c>
      <c r="M2015">
        <v>180</v>
      </c>
      <c r="N2015">
        <v>0</v>
      </c>
      <c r="O2015" t="s">
        <v>22</v>
      </c>
      <c r="P2015">
        <v>20220608</v>
      </c>
      <c r="Q2015">
        <v>20220608</v>
      </c>
    </row>
    <row r="2016" spans="1:17" x14ac:dyDescent="0.25">
      <c r="A2016" t="s">
        <v>476</v>
      </c>
      <c r="B2016" t="s">
        <v>477</v>
      </c>
      <c r="C2016">
        <v>80</v>
      </c>
      <c r="D2016">
        <v>20220608</v>
      </c>
      <c r="E2016">
        <f t="shared" si="31"/>
        <v>6</v>
      </c>
      <c r="F2016">
        <v>401000</v>
      </c>
      <c r="G2016" t="s">
        <v>41</v>
      </c>
      <c r="H2016" t="s">
        <v>2051</v>
      </c>
      <c r="I2016" t="s">
        <v>2052</v>
      </c>
      <c r="J2016" t="s">
        <v>2406</v>
      </c>
      <c r="K2016">
        <v>20220608</v>
      </c>
      <c r="L2016" t="s">
        <v>163</v>
      </c>
      <c r="M2016">
        <v>310</v>
      </c>
      <c r="N2016">
        <v>0</v>
      </c>
      <c r="O2016" t="s">
        <v>22</v>
      </c>
      <c r="P2016">
        <v>20220608</v>
      </c>
      <c r="Q2016">
        <v>20220608</v>
      </c>
    </row>
    <row r="2017" spans="1:17" x14ac:dyDescent="0.25">
      <c r="A2017" t="s">
        <v>476</v>
      </c>
      <c r="B2017" t="s">
        <v>477</v>
      </c>
      <c r="C2017">
        <v>80</v>
      </c>
      <c r="D2017">
        <v>20220608</v>
      </c>
      <c r="E2017">
        <f t="shared" si="31"/>
        <v>6</v>
      </c>
      <c r="F2017">
        <v>512000</v>
      </c>
      <c r="G2017" t="s">
        <v>428</v>
      </c>
      <c r="H2017" t="s">
        <v>401</v>
      </c>
      <c r="I2017" t="s">
        <v>402</v>
      </c>
      <c r="J2017" t="s">
        <v>2406</v>
      </c>
      <c r="K2017">
        <v>20220608</v>
      </c>
      <c r="L2017" t="s">
        <v>163</v>
      </c>
      <c r="M2017">
        <v>0</v>
      </c>
      <c r="N2017">
        <v>5052.78</v>
      </c>
      <c r="O2017" t="s">
        <v>19</v>
      </c>
      <c r="P2017" t="s">
        <v>20</v>
      </c>
      <c r="Q2017">
        <v>20220608</v>
      </c>
    </row>
    <row r="2018" spans="1:17" x14ac:dyDescent="0.25">
      <c r="A2018" t="s">
        <v>476</v>
      </c>
      <c r="B2018" t="s">
        <v>477</v>
      </c>
      <c r="C2018">
        <v>80</v>
      </c>
      <c r="D2018">
        <v>20220608</v>
      </c>
      <c r="E2018">
        <f t="shared" si="31"/>
        <v>6</v>
      </c>
      <c r="F2018">
        <v>437100</v>
      </c>
      <c r="G2018" t="s">
        <v>436</v>
      </c>
      <c r="H2018" t="s">
        <v>401</v>
      </c>
      <c r="I2018" t="s">
        <v>402</v>
      </c>
      <c r="J2018" t="s">
        <v>2407</v>
      </c>
      <c r="K2018">
        <v>20220608</v>
      </c>
      <c r="L2018" t="s">
        <v>127</v>
      </c>
      <c r="M2018">
        <v>736.8</v>
      </c>
      <c r="N2018">
        <v>0</v>
      </c>
      <c r="O2018" t="s">
        <v>23</v>
      </c>
      <c r="P2018">
        <v>20220609</v>
      </c>
      <c r="Q2018">
        <v>20220608</v>
      </c>
    </row>
    <row r="2019" spans="1:17" x14ac:dyDescent="0.25">
      <c r="A2019" t="s">
        <v>476</v>
      </c>
      <c r="B2019" t="s">
        <v>477</v>
      </c>
      <c r="C2019">
        <v>80</v>
      </c>
      <c r="D2019">
        <v>20220608</v>
      </c>
      <c r="E2019">
        <f t="shared" si="31"/>
        <v>6</v>
      </c>
      <c r="F2019">
        <v>467100</v>
      </c>
      <c r="G2019" t="s">
        <v>160</v>
      </c>
      <c r="H2019" t="s">
        <v>164</v>
      </c>
      <c r="I2019" t="s">
        <v>165</v>
      </c>
      <c r="J2019" t="s">
        <v>2407</v>
      </c>
      <c r="K2019">
        <v>20220608</v>
      </c>
      <c r="L2019" t="s">
        <v>127</v>
      </c>
      <c r="M2019">
        <v>500</v>
      </c>
      <c r="N2019">
        <v>0</v>
      </c>
      <c r="O2019" t="s">
        <v>23</v>
      </c>
      <c r="P2019">
        <v>20220609</v>
      </c>
      <c r="Q2019">
        <v>20220608</v>
      </c>
    </row>
    <row r="2020" spans="1:17" x14ac:dyDescent="0.25">
      <c r="A2020" t="s">
        <v>476</v>
      </c>
      <c r="B2020" t="s">
        <v>477</v>
      </c>
      <c r="C2020">
        <v>80</v>
      </c>
      <c r="D2020">
        <v>20220608</v>
      </c>
      <c r="E2020">
        <f t="shared" si="31"/>
        <v>6</v>
      </c>
      <c r="F2020">
        <v>401000</v>
      </c>
      <c r="G2020" t="s">
        <v>41</v>
      </c>
      <c r="H2020" t="s">
        <v>58</v>
      </c>
      <c r="I2020" t="s">
        <v>59</v>
      </c>
      <c r="J2020" t="s">
        <v>2407</v>
      </c>
      <c r="K2020">
        <v>20220608</v>
      </c>
      <c r="L2020" t="s">
        <v>127</v>
      </c>
      <c r="M2020">
        <v>790.48</v>
      </c>
      <c r="N2020">
        <v>0</v>
      </c>
      <c r="O2020" t="s">
        <v>23</v>
      </c>
      <c r="P2020">
        <v>20220905</v>
      </c>
      <c r="Q2020">
        <v>20220608</v>
      </c>
    </row>
    <row r="2021" spans="1:17" x14ac:dyDescent="0.25">
      <c r="A2021" t="s">
        <v>476</v>
      </c>
      <c r="B2021" t="s">
        <v>477</v>
      </c>
      <c r="C2021">
        <v>80</v>
      </c>
      <c r="D2021">
        <v>20220608</v>
      </c>
      <c r="E2021">
        <f t="shared" si="31"/>
        <v>6</v>
      </c>
      <c r="F2021">
        <v>422000</v>
      </c>
      <c r="G2021" t="s">
        <v>405</v>
      </c>
      <c r="H2021" t="s">
        <v>401</v>
      </c>
      <c r="I2021" t="s">
        <v>402</v>
      </c>
      <c r="J2021" t="s">
        <v>2407</v>
      </c>
      <c r="K2021">
        <v>20220608</v>
      </c>
      <c r="L2021" t="s">
        <v>2408</v>
      </c>
      <c r="M2021">
        <v>4000</v>
      </c>
      <c r="N2021">
        <v>0</v>
      </c>
      <c r="O2021" t="s">
        <v>23</v>
      </c>
      <c r="P2021">
        <v>20221005</v>
      </c>
      <c r="Q2021">
        <v>20220608</v>
      </c>
    </row>
    <row r="2022" spans="1:17" x14ac:dyDescent="0.25">
      <c r="A2022" t="s">
        <v>476</v>
      </c>
      <c r="B2022" t="s">
        <v>477</v>
      </c>
      <c r="C2022">
        <v>80</v>
      </c>
      <c r="D2022">
        <v>20220608</v>
      </c>
      <c r="E2022">
        <f t="shared" si="31"/>
        <v>6</v>
      </c>
      <c r="F2022">
        <v>512000</v>
      </c>
      <c r="G2022" t="s">
        <v>428</v>
      </c>
      <c r="H2022" t="s">
        <v>401</v>
      </c>
      <c r="I2022" t="s">
        <v>402</v>
      </c>
      <c r="J2022" t="s">
        <v>2407</v>
      </c>
      <c r="K2022">
        <v>20220608</v>
      </c>
      <c r="L2022" t="s">
        <v>127</v>
      </c>
      <c r="M2022">
        <v>0</v>
      </c>
      <c r="N2022">
        <v>6027.28</v>
      </c>
      <c r="O2022" t="s">
        <v>19</v>
      </c>
      <c r="P2022" t="s">
        <v>20</v>
      </c>
      <c r="Q2022">
        <v>20220608</v>
      </c>
    </row>
    <row r="2023" spans="1:17" x14ac:dyDescent="0.25">
      <c r="A2023" t="s">
        <v>476</v>
      </c>
      <c r="B2023" t="s">
        <v>477</v>
      </c>
      <c r="C2023">
        <v>80</v>
      </c>
      <c r="D2023">
        <v>20220608</v>
      </c>
      <c r="E2023">
        <f t="shared" si="31"/>
        <v>6</v>
      </c>
      <c r="F2023">
        <v>401000</v>
      </c>
      <c r="G2023" t="s">
        <v>41</v>
      </c>
      <c r="H2023" t="s">
        <v>2409</v>
      </c>
      <c r="I2023" t="s">
        <v>2410</v>
      </c>
      <c r="J2023" t="s">
        <v>2411</v>
      </c>
      <c r="K2023">
        <v>20220608</v>
      </c>
      <c r="L2023" t="s">
        <v>127</v>
      </c>
      <c r="M2023">
        <v>187.5</v>
      </c>
      <c r="N2023">
        <v>0</v>
      </c>
      <c r="O2023" t="s">
        <v>23</v>
      </c>
      <c r="P2023">
        <v>20220929</v>
      </c>
      <c r="Q2023">
        <v>20220608</v>
      </c>
    </row>
    <row r="2024" spans="1:17" x14ac:dyDescent="0.25">
      <c r="A2024" t="s">
        <v>476</v>
      </c>
      <c r="B2024" t="s">
        <v>477</v>
      </c>
      <c r="C2024">
        <v>80</v>
      </c>
      <c r="D2024">
        <v>20220608</v>
      </c>
      <c r="E2024">
        <f t="shared" si="31"/>
        <v>6</v>
      </c>
      <c r="F2024">
        <v>512000</v>
      </c>
      <c r="G2024" t="s">
        <v>428</v>
      </c>
      <c r="H2024" t="s">
        <v>401</v>
      </c>
      <c r="I2024" t="s">
        <v>402</v>
      </c>
      <c r="J2024" t="s">
        <v>2411</v>
      </c>
      <c r="K2024">
        <v>20220608</v>
      </c>
      <c r="L2024" t="s">
        <v>127</v>
      </c>
      <c r="M2024">
        <v>0</v>
      </c>
      <c r="N2024">
        <v>187.5</v>
      </c>
      <c r="O2024" t="s">
        <v>19</v>
      </c>
      <c r="P2024" t="s">
        <v>20</v>
      </c>
      <c r="Q2024">
        <v>20220608</v>
      </c>
    </row>
    <row r="2025" spans="1:17" x14ac:dyDescent="0.25">
      <c r="A2025" t="s">
        <v>476</v>
      </c>
      <c r="B2025" t="s">
        <v>477</v>
      </c>
      <c r="C2025">
        <v>80</v>
      </c>
      <c r="D2025">
        <v>20220608</v>
      </c>
      <c r="E2025">
        <f t="shared" si="31"/>
        <v>6</v>
      </c>
      <c r="F2025">
        <v>445020</v>
      </c>
      <c r="G2025" t="s">
        <v>414</v>
      </c>
      <c r="H2025" t="s">
        <v>401</v>
      </c>
      <c r="I2025" t="s">
        <v>402</v>
      </c>
      <c r="J2025" t="s">
        <v>2412</v>
      </c>
      <c r="K2025">
        <v>20220608</v>
      </c>
      <c r="L2025" t="s">
        <v>2413</v>
      </c>
      <c r="M2025">
        <v>0</v>
      </c>
      <c r="N2025">
        <v>47050.76</v>
      </c>
      <c r="O2025" t="s">
        <v>19</v>
      </c>
      <c r="P2025" t="s">
        <v>20</v>
      </c>
      <c r="Q2025">
        <v>20220608</v>
      </c>
    </row>
    <row r="2026" spans="1:17" x14ac:dyDescent="0.25">
      <c r="A2026" t="s">
        <v>476</v>
      </c>
      <c r="B2026" t="s">
        <v>477</v>
      </c>
      <c r="C2026">
        <v>80</v>
      </c>
      <c r="D2026">
        <v>20220608</v>
      </c>
      <c r="E2026">
        <f t="shared" si="31"/>
        <v>6</v>
      </c>
      <c r="F2026">
        <v>512000</v>
      </c>
      <c r="G2026" t="s">
        <v>428</v>
      </c>
      <c r="H2026" t="s">
        <v>401</v>
      </c>
      <c r="I2026" t="s">
        <v>402</v>
      </c>
      <c r="J2026" t="s">
        <v>2412</v>
      </c>
      <c r="K2026">
        <v>20220608</v>
      </c>
      <c r="L2026" t="s">
        <v>2413</v>
      </c>
      <c r="M2026">
        <v>47050.76</v>
      </c>
      <c r="N2026">
        <v>0</v>
      </c>
      <c r="O2026" t="s">
        <v>19</v>
      </c>
      <c r="P2026" t="s">
        <v>20</v>
      </c>
      <c r="Q2026">
        <v>20220608</v>
      </c>
    </row>
    <row r="2027" spans="1:17" x14ac:dyDescent="0.25">
      <c r="A2027" t="s">
        <v>476</v>
      </c>
      <c r="B2027" t="s">
        <v>477</v>
      </c>
      <c r="C2027">
        <v>80</v>
      </c>
      <c r="D2027">
        <v>20220608</v>
      </c>
      <c r="E2027">
        <f t="shared" si="31"/>
        <v>6</v>
      </c>
      <c r="F2027">
        <v>445030</v>
      </c>
      <c r="G2027" t="s">
        <v>415</v>
      </c>
      <c r="H2027" t="s">
        <v>401</v>
      </c>
      <c r="I2027" t="s">
        <v>402</v>
      </c>
      <c r="J2027" t="s">
        <v>2414</v>
      </c>
      <c r="K2027">
        <v>20220608</v>
      </c>
      <c r="L2027" t="s">
        <v>2415</v>
      </c>
      <c r="M2027">
        <v>0</v>
      </c>
      <c r="N2027">
        <v>37199.360000000001</v>
      </c>
      <c r="O2027" t="s">
        <v>19</v>
      </c>
      <c r="P2027" t="s">
        <v>20</v>
      </c>
      <c r="Q2027">
        <v>20220608</v>
      </c>
    </row>
    <row r="2028" spans="1:17" x14ac:dyDescent="0.25">
      <c r="A2028" t="s">
        <v>476</v>
      </c>
      <c r="B2028" t="s">
        <v>477</v>
      </c>
      <c r="C2028">
        <v>80</v>
      </c>
      <c r="D2028">
        <v>20220608</v>
      </c>
      <c r="E2028">
        <f t="shared" si="31"/>
        <v>6</v>
      </c>
      <c r="F2028">
        <v>512000</v>
      </c>
      <c r="G2028" t="s">
        <v>428</v>
      </c>
      <c r="H2028" t="s">
        <v>401</v>
      </c>
      <c r="I2028" t="s">
        <v>402</v>
      </c>
      <c r="J2028" t="s">
        <v>2414</v>
      </c>
      <c r="K2028">
        <v>20220608</v>
      </c>
      <c r="L2028" t="s">
        <v>2415</v>
      </c>
      <c r="M2028">
        <v>37199.360000000001</v>
      </c>
      <c r="N2028">
        <v>0</v>
      </c>
      <c r="O2028" t="s">
        <v>19</v>
      </c>
      <c r="P2028" t="s">
        <v>20</v>
      </c>
      <c r="Q2028">
        <v>20220608</v>
      </c>
    </row>
    <row r="2029" spans="1:17" x14ac:dyDescent="0.25">
      <c r="A2029" t="s">
        <v>476</v>
      </c>
      <c r="B2029" t="s">
        <v>477</v>
      </c>
      <c r="C2029">
        <v>80</v>
      </c>
      <c r="D2029">
        <v>20220610</v>
      </c>
      <c r="E2029">
        <f t="shared" si="31"/>
        <v>6</v>
      </c>
      <c r="F2029">
        <v>411000</v>
      </c>
      <c r="G2029" t="s">
        <v>21</v>
      </c>
      <c r="H2029" t="s">
        <v>2416</v>
      </c>
      <c r="I2029" t="s">
        <v>2417</v>
      </c>
      <c r="J2029" t="s">
        <v>2418</v>
      </c>
      <c r="K2029">
        <v>20220610</v>
      </c>
      <c r="L2029" t="s">
        <v>2419</v>
      </c>
      <c r="M2029">
        <v>0</v>
      </c>
      <c r="N2029">
        <v>120</v>
      </c>
      <c r="O2029" t="s">
        <v>23</v>
      </c>
      <c r="P2029">
        <v>20230215</v>
      </c>
      <c r="Q2029">
        <v>20220610</v>
      </c>
    </row>
    <row r="2030" spans="1:17" x14ac:dyDescent="0.25">
      <c r="A2030" t="s">
        <v>476</v>
      </c>
      <c r="B2030" t="s">
        <v>477</v>
      </c>
      <c r="C2030">
        <v>80</v>
      </c>
      <c r="D2030">
        <v>20220610</v>
      </c>
      <c r="E2030">
        <f t="shared" si="31"/>
        <v>6</v>
      </c>
      <c r="F2030">
        <v>512000</v>
      </c>
      <c r="G2030" t="s">
        <v>428</v>
      </c>
      <c r="H2030" t="s">
        <v>401</v>
      </c>
      <c r="I2030" t="s">
        <v>402</v>
      </c>
      <c r="J2030" t="s">
        <v>2418</v>
      </c>
      <c r="K2030">
        <v>20220610</v>
      </c>
      <c r="L2030" t="s">
        <v>2419</v>
      </c>
      <c r="M2030">
        <v>120</v>
      </c>
      <c r="N2030">
        <v>0</v>
      </c>
      <c r="O2030" t="s">
        <v>19</v>
      </c>
      <c r="P2030" t="s">
        <v>20</v>
      </c>
      <c r="Q2030">
        <v>20220610</v>
      </c>
    </row>
    <row r="2031" spans="1:17" x14ac:dyDescent="0.25">
      <c r="A2031" t="s">
        <v>476</v>
      </c>
      <c r="B2031" t="s">
        <v>477</v>
      </c>
      <c r="C2031">
        <v>80</v>
      </c>
      <c r="D2031">
        <v>20220610</v>
      </c>
      <c r="E2031">
        <f t="shared" si="31"/>
        <v>6</v>
      </c>
      <c r="F2031">
        <v>411000</v>
      </c>
      <c r="G2031" t="s">
        <v>21</v>
      </c>
      <c r="H2031" t="s">
        <v>2416</v>
      </c>
      <c r="I2031" t="s">
        <v>2417</v>
      </c>
      <c r="J2031" t="s">
        <v>2420</v>
      </c>
      <c r="K2031">
        <v>20220610</v>
      </c>
      <c r="L2031" t="s">
        <v>2419</v>
      </c>
      <c r="M2031">
        <v>0</v>
      </c>
      <c r="N2031">
        <v>80</v>
      </c>
      <c r="O2031" t="s">
        <v>23</v>
      </c>
      <c r="P2031">
        <v>20230215</v>
      </c>
      <c r="Q2031">
        <v>20220610</v>
      </c>
    </row>
    <row r="2032" spans="1:17" x14ac:dyDescent="0.25">
      <c r="A2032" t="s">
        <v>476</v>
      </c>
      <c r="B2032" t="s">
        <v>477</v>
      </c>
      <c r="C2032">
        <v>80</v>
      </c>
      <c r="D2032">
        <v>20220610</v>
      </c>
      <c r="E2032">
        <f t="shared" si="31"/>
        <v>6</v>
      </c>
      <c r="F2032">
        <v>512000</v>
      </c>
      <c r="G2032" t="s">
        <v>428</v>
      </c>
      <c r="H2032" t="s">
        <v>401</v>
      </c>
      <c r="I2032" t="s">
        <v>402</v>
      </c>
      <c r="J2032" t="s">
        <v>2420</v>
      </c>
      <c r="K2032">
        <v>20220610</v>
      </c>
      <c r="L2032" t="s">
        <v>2419</v>
      </c>
      <c r="M2032">
        <v>80</v>
      </c>
      <c r="N2032">
        <v>0</v>
      </c>
      <c r="O2032" t="s">
        <v>19</v>
      </c>
      <c r="P2032" t="s">
        <v>20</v>
      </c>
      <c r="Q2032">
        <v>20220610</v>
      </c>
    </row>
    <row r="2033" spans="1:17" x14ac:dyDescent="0.25">
      <c r="A2033" t="s">
        <v>476</v>
      </c>
      <c r="B2033" t="s">
        <v>477</v>
      </c>
      <c r="C2033">
        <v>80</v>
      </c>
      <c r="D2033">
        <v>20220610</v>
      </c>
      <c r="E2033">
        <f t="shared" si="31"/>
        <v>6</v>
      </c>
      <c r="F2033">
        <v>791100</v>
      </c>
      <c r="G2033" t="s">
        <v>806</v>
      </c>
      <c r="H2033" t="s">
        <v>401</v>
      </c>
      <c r="I2033" t="s">
        <v>402</v>
      </c>
      <c r="J2033" t="s">
        <v>2421</v>
      </c>
      <c r="K2033">
        <v>20220610</v>
      </c>
      <c r="L2033" t="s">
        <v>1345</v>
      </c>
      <c r="M2033">
        <v>0</v>
      </c>
      <c r="N2033">
        <v>310</v>
      </c>
      <c r="O2033" t="s">
        <v>19</v>
      </c>
      <c r="P2033" t="s">
        <v>20</v>
      </c>
      <c r="Q2033">
        <v>20220610</v>
      </c>
    </row>
    <row r="2034" spans="1:17" x14ac:dyDescent="0.25">
      <c r="A2034" t="s">
        <v>476</v>
      </c>
      <c r="B2034" t="s">
        <v>477</v>
      </c>
      <c r="C2034">
        <v>80</v>
      </c>
      <c r="D2034">
        <v>20220610</v>
      </c>
      <c r="E2034">
        <f t="shared" si="31"/>
        <v>6</v>
      </c>
      <c r="F2034">
        <v>512000</v>
      </c>
      <c r="G2034" t="s">
        <v>428</v>
      </c>
      <c r="H2034" t="s">
        <v>401</v>
      </c>
      <c r="I2034" t="s">
        <v>402</v>
      </c>
      <c r="J2034" t="s">
        <v>2421</v>
      </c>
      <c r="K2034">
        <v>20220610</v>
      </c>
      <c r="L2034" t="s">
        <v>1345</v>
      </c>
      <c r="M2034">
        <v>310</v>
      </c>
      <c r="N2034">
        <v>0</v>
      </c>
      <c r="O2034" t="s">
        <v>19</v>
      </c>
      <c r="P2034" t="s">
        <v>20</v>
      </c>
      <c r="Q2034">
        <v>20220610</v>
      </c>
    </row>
    <row r="2035" spans="1:17" x14ac:dyDescent="0.25">
      <c r="A2035" t="s">
        <v>476</v>
      </c>
      <c r="B2035" t="s">
        <v>477</v>
      </c>
      <c r="C2035">
        <v>80</v>
      </c>
      <c r="D2035">
        <v>20220613</v>
      </c>
      <c r="E2035">
        <f t="shared" si="31"/>
        <v>6</v>
      </c>
      <c r="F2035">
        <v>437000</v>
      </c>
      <c r="G2035" t="s">
        <v>430</v>
      </c>
      <c r="H2035" t="s">
        <v>401</v>
      </c>
      <c r="I2035" t="s">
        <v>402</v>
      </c>
      <c r="J2035" t="s">
        <v>2422</v>
      </c>
      <c r="K2035">
        <v>20220613</v>
      </c>
      <c r="L2035" t="s">
        <v>497</v>
      </c>
      <c r="M2035">
        <v>1643.38</v>
      </c>
      <c r="N2035">
        <v>0</v>
      </c>
      <c r="O2035" t="s">
        <v>19</v>
      </c>
      <c r="P2035" t="s">
        <v>20</v>
      </c>
      <c r="Q2035">
        <v>20220613</v>
      </c>
    </row>
    <row r="2036" spans="1:17" x14ac:dyDescent="0.25">
      <c r="A2036" t="s">
        <v>476</v>
      </c>
      <c r="B2036" t="s">
        <v>477</v>
      </c>
      <c r="C2036">
        <v>80</v>
      </c>
      <c r="D2036">
        <v>20220613</v>
      </c>
      <c r="E2036">
        <f t="shared" si="31"/>
        <v>6</v>
      </c>
      <c r="F2036">
        <v>512000</v>
      </c>
      <c r="G2036" t="s">
        <v>428</v>
      </c>
      <c r="H2036" t="s">
        <v>401</v>
      </c>
      <c r="I2036" t="s">
        <v>402</v>
      </c>
      <c r="J2036" t="s">
        <v>2422</v>
      </c>
      <c r="K2036">
        <v>20220613</v>
      </c>
      <c r="L2036" t="s">
        <v>497</v>
      </c>
      <c r="M2036">
        <v>0</v>
      </c>
      <c r="N2036">
        <v>1643.38</v>
      </c>
      <c r="O2036" t="s">
        <v>19</v>
      </c>
      <c r="P2036" t="s">
        <v>20</v>
      </c>
      <c r="Q2036">
        <v>20220613</v>
      </c>
    </row>
    <row r="2037" spans="1:17" x14ac:dyDescent="0.25">
      <c r="A2037" t="s">
        <v>476</v>
      </c>
      <c r="B2037" t="s">
        <v>477</v>
      </c>
      <c r="C2037">
        <v>80</v>
      </c>
      <c r="D2037">
        <v>20220614</v>
      </c>
      <c r="E2037">
        <f t="shared" si="31"/>
        <v>6</v>
      </c>
      <c r="F2037">
        <v>401000</v>
      </c>
      <c r="G2037" t="s">
        <v>41</v>
      </c>
      <c r="H2037" t="s">
        <v>99</v>
      </c>
      <c r="I2037" t="s">
        <v>100</v>
      </c>
      <c r="J2037" t="s">
        <v>2423</v>
      </c>
      <c r="K2037">
        <v>20220614</v>
      </c>
      <c r="L2037" t="s">
        <v>127</v>
      </c>
      <c r="M2037">
        <v>2792.92</v>
      </c>
      <c r="N2037">
        <v>0</v>
      </c>
      <c r="O2037" t="s">
        <v>23</v>
      </c>
      <c r="P2037">
        <v>20220617</v>
      </c>
      <c r="Q2037">
        <v>20220614</v>
      </c>
    </row>
    <row r="2038" spans="1:17" x14ac:dyDescent="0.25">
      <c r="A2038" t="s">
        <v>476</v>
      </c>
      <c r="B2038" t="s">
        <v>477</v>
      </c>
      <c r="C2038">
        <v>80</v>
      </c>
      <c r="D2038">
        <v>20220614</v>
      </c>
      <c r="E2038">
        <f t="shared" si="31"/>
        <v>6</v>
      </c>
      <c r="F2038">
        <v>401000</v>
      </c>
      <c r="G2038" t="s">
        <v>41</v>
      </c>
      <c r="H2038" t="s">
        <v>1687</v>
      </c>
      <c r="I2038" t="s">
        <v>1688</v>
      </c>
      <c r="J2038" t="s">
        <v>2423</v>
      </c>
      <c r="K2038">
        <v>20220614</v>
      </c>
      <c r="L2038" t="s">
        <v>127</v>
      </c>
      <c r="M2038">
        <v>488.54</v>
      </c>
      <c r="N2038">
        <v>0</v>
      </c>
      <c r="O2038" t="s">
        <v>23</v>
      </c>
      <c r="P2038">
        <v>20220630</v>
      </c>
      <c r="Q2038">
        <v>20220614</v>
      </c>
    </row>
    <row r="2039" spans="1:17" x14ac:dyDescent="0.25">
      <c r="A2039" t="s">
        <v>476</v>
      </c>
      <c r="B2039" t="s">
        <v>477</v>
      </c>
      <c r="C2039">
        <v>80</v>
      </c>
      <c r="D2039">
        <v>20220614</v>
      </c>
      <c r="E2039">
        <f t="shared" si="31"/>
        <v>6</v>
      </c>
      <c r="F2039">
        <v>512000</v>
      </c>
      <c r="G2039" t="s">
        <v>428</v>
      </c>
      <c r="H2039" t="s">
        <v>401</v>
      </c>
      <c r="I2039" t="s">
        <v>402</v>
      </c>
      <c r="J2039" t="s">
        <v>2423</v>
      </c>
      <c r="K2039">
        <v>20220614</v>
      </c>
      <c r="L2039" t="s">
        <v>127</v>
      </c>
      <c r="M2039">
        <v>0</v>
      </c>
      <c r="N2039">
        <v>3281.46</v>
      </c>
      <c r="O2039" t="s">
        <v>19</v>
      </c>
      <c r="P2039" t="s">
        <v>20</v>
      </c>
      <c r="Q2039">
        <v>20220614</v>
      </c>
    </row>
    <row r="2040" spans="1:17" x14ac:dyDescent="0.25">
      <c r="A2040" t="s">
        <v>476</v>
      </c>
      <c r="B2040" t="s">
        <v>477</v>
      </c>
      <c r="C2040">
        <v>80</v>
      </c>
      <c r="D2040">
        <v>20220614</v>
      </c>
      <c r="E2040">
        <f t="shared" si="31"/>
        <v>6</v>
      </c>
      <c r="F2040">
        <v>468740</v>
      </c>
      <c r="G2040" t="s">
        <v>426</v>
      </c>
      <c r="H2040" t="s">
        <v>401</v>
      </c>
      <c r="I2040" t="s">
        <v>402</v>
      </c>
      <c r="J2040" t="s">
        <v>2424</v>
      </c>
      <c r="K2040">
        <v>20220614</v>
      </c>
      <c r="L2040" t="s">
        <v>2425</v>
      </c>
      <c r="M2040">
        <v>0</v>
      </c>
      <c r="N2040">
        <v>10000</v>
      </c>
      <c r="O2040" t="s">
        <v>23</v>
      </c>
      <c r="P2040">
        <v>20221005</v>
      </c>
      <c r="Q2040">
        <v>20220614</v>
      </c>
    </row>
    <row r="2041" spans="1:17" x14ac:dyDescent="0.25">
      <c r="A2041" t="s">
        <v>476</v>
      </c>
      <c r="B2041" t="s">
        <v>477</v>
      </c>
      <c r="C2041">
        <v>80</v>
      </c>
      <c r="D2041">
        <v>20220614</v>
      </c>
      <c r="E2041">
        <f t="shared" si="31"/>
        <v>6</v>
      </c>
      <c r="F2041">
        <v>512000</v>
      </c>
      <c r="G2041" t="s">
        <v>428</v>
      </c>
      <c r="H2041" t="s">
        <v>401</v>
      </c>
      <c r="I2041" t="s">
        <v>402</v>
      </c>
      <c r="J2041" t="s">
        <v>2424</v>
      </c>
      <c r="K2041">
        <v>20220614</v>
      </c>
      <c r="L2041" t="s">
        <v>2425</v>
      </c>
      <c r="M2041">
        <v>10000</v>
      </c>
      <c r="N2041">
        <v>0</v>
      </c>
      <c r="O2041" t="s">
        <v>19</v>
      </c>
      <c r="P2041" t="s">
        <v>20</v>
      </c>
      <c r="Q2041">
        <v>20220614</v>
      </c>
    </row>
    <row r="2042" spans="1:17" x14ac:dyDescent="0.25">
      <c r="A2042" t="s">
        <v>476</v>
      </c>
      <c r="B2042" t="s">
        <v>477</v>
      </c>
      <c r="C2042">
        <v>80</v>
      </c>
      <c r="D2042">
        <v>20220615</v>
      </c>
      <c r="E2042">
        <f t="shared" si="31"/>
        <v>6</v>
      </c>
      <c r="F2042">
        <v>467100</v>
      </c>
      <c r="G2042" t="s">
        <v>160</v>
      </c>
      <c r="H2042" t="s">
        <v>316</v>
      </c>
      <c r="I2042" t="s">
        <v>317</v>
      </c>
      <c r="J2042" t="s">
        <v>2426</v>
      </c>
      <c r="K2042">
        <v>20220615</v>
      </c>
      <c r="L2042" t="s">
        <v>2427</v>
      </c>
      <c r="M2042">
        <v>700</v>
      </c>
      <c r="N2042">
        <v>0</v>
      </c>
      <c r="O2042" t="s">
        <v>19</v>
      </c>
      <c r="P2042" t="s">
        <v>20</v>
      </c>
      <c r="Q2042">
        <v>20220615</v>
      </c>
    </row>
    <row r="2043" spans="1:17" x14ac:dyDescent="0.25">
      <c r="A2043" t="s">
        <v>476</v>
      </c>
      <c r="B2043" t="s">
        <v>477</v>
      </c>
      <c r="C2043">
        <v>80</v>
      </c>
      <c r="D2043">
        <v>20220615</v>
      </c>
      <c r="E2043">
        <f t="shared" si="31"/>
        <v>6</v>
      </c>
      <c r="F2043">
        <v>467100</v>
      </c>
      <c r="G2043" t="s">
        <v>160</v>
      </c>
      <c r="H2043" t="s">
        <v>2428</v>
      </c>
      <c r="I2043" t="s">
        <v>2429</v>
      </c>
      <c r="J2043" t="s">
        <v>2426</v>
      </c>
      <c r="K2043">
        <v>20220615</v>
      </c>
      <c r="L2043" t="s">
        <v>127</v>
      </c>
      <c r="M2043">
        <v>400</v>
      </c>
      <c r="N2043">
        <v>0</v>
      </c>
      <c r="O2043" t="s">
        <v>23</v>
      </c>
      <c r="P2043">
        <v>20220801</v>
      </c>
      <c r="Q2043">
        <v>20220615</v>
      </c>
    </row>
    <row r="2044" spans="1:17" x14ac:dyDescent="0.25">
      <c r="A2044" t="s">
        <v>476</v>
      </c>
      <c r="B2044" t="s">
        <v>477</v>
      </c>
      <c r="C2044">
        <v>80</v>
      </c>
      <c r="D2044">
        <v>20220615</v>
      </c>
      <c r="E2044">
        <f t="shared" si="31"/>
        <v>6</v>
      </c>
      <c r="F2044">
        <v>467100</v>
      </c>
      <c r="G2044" t="s">
        <v>160</v>
      </c>
      <c r="H2044" t="s">
        <v>2430</v>
      </c>
      <c r="I2044" t="s">
        <v>2431</v>
      </c>
      <c r="J2044" t="s">
        <v>2426</v>
      </c>
      <c r="K2044">
        <v>20220615</v>
      </c>
      <c r="L2044" t="s">
        <v>127</v>
      </c>
      <c r="M2044">
        <v>50</v>
      </c>
      <c r="N2044">
        <v>0</v>
      </c>
      <c r="O2044" t="s">
        <v>23</v>
      </c>
      <c r="P2044">
        <v>20220831</v>
      </c>
      <c r="Q2044">
        <v>20220615</v>
      </c>
    </row>
    <row r="2045" spans="1:17" x14ac:dyDescent="0.25">
      <c r="A2045" t="s">
        <v>476</v>
      </c>
      <c r="B2045" t="s">
        <v>477</v>
      </c>
      <c r="C2045">
        <v>80</v>
      </c>
      <c r="D2045">
        <v>20220615</v>
      </c>
      <c r="E2045">
        <f t="shared" si="31"/>
        <v>6</v>
      </c>
      <c r="F2045">
        <v>512000</v>
      </c>
      <c r="G2045" t="s">
        <v>428</v>
      </c>
      <c r="H2045" t="s">
        <v>401</v>
      </c>
      <c r="I2045" t="s">
        <v>402</v>
      </c>
      <c r="J2045" t="s">
        <v>2426</v>
      </c>
      <c r="K2045">
        <v>20220615</v>
      </c>
      <c r="L2045" t="s">
        <v>127</v>
      </c>
      <c r="M2045">
        <v>0</v>
      </c>
      <c r="N2045">
        <v>1150</v>
      </c>
      <c r="O2045" t="s">
        <v>19</v>
      </c>
      <c r="P2045" t="s">
        <v>20</v>
      </c>
      <c r="Q2045">
        <v>20220615</v>
      </c>
    </row>
    <row r="2046" spans="1:17" x14ac:dyDescent="0.25">
      <c r="A2046" t="s">
        <v>476</v>
      </c>
      <c r="B2046" t="s">
        <v>477</v>
      </c>
      <c r="C2046">
        <v>80</v>
      </c>
      <c r="D2046">
        <v>20220615</v>
      </c>
      <c r="E2046">
        <f t="shared" si="31"/>
        <v>6</v>
      </c>
      <c r="F2046">
        <v>445010</v>
      </c>
      <c r="G2046" t="s">
        <v>413</v>
      </c>
      <c r="H2046" t="s">
        <v>401</v>
      </c>
      <c r="I2046" t="s">
        <v>402</v>
      </c>
      <c r="J2046" t="s">
        <v>2432</v>
      </c>
      <c r="K2046">
        <v>20220615</v>
      </c>
      <c r="L2046" t="s">
        <v>2433</v>
      </c>
      <c r="M2046">
        <v>0</v>
      </c>
      <c r="N2046">
        <v>2096.85</v>
      </c>
      <c r="O2046" t="s">
        <v>19</v>
      </c>
      <c r="P2046" t="s">
        <v>20</v>
      </c>
      <c r="Q2046">
        <v>20220615</v>
      </c>
    </row>
    <row r="2047" spans="1:17" x14ac:dyDescent="0.25">
      <c r="A2047" t="s">
        <v>476</v>
      </c>
      <c r="B2047" t="s">
        <v>477</v>
      </c>
      <c r="C2047">
        <v>80</v>
      </c>
      <c r="D2047">
        <v>20220615</v>
      </c>
      <c r="E2047">
        <f t="shared" si="31"/>
        <v>6</v>
      </c>
      <c r="F2047">
        <v>512000</v>
      </c>
      <c r="G2047" t="s">
        <v>428</v>
      </c>
      <c r="H2047" t="s">
        <v>401</v>
      </c>
      <c r="I2047" t="s">
        <v>402</v>
      </c>
      <c r="J2047" t="s">
        <v>2432</v>
      </c>
      <c r="K2047">
        <v>20220615</v>
      </c>
      <c r="L2047" t="s">
        <v>2433</v>
      </c>
      <c r="M2047">
        <v>2096.85</v>
      </c>
      <c r="N2047">
        <v>0</v>
      </c>
      <c r="O2047" t="s">
        <v>19</v>
      </c>
      <c r="P2047" t="s">
        <v>20</v>
      </c>
      <c r="Q2047">
        <v>20220615</v>
      </c>
    </row>
    <row r="2048" spans="1:17" x14ac:dyDescent="0.25">
      <c r="A2048" t="s">
        <v>476</v>
      </c>
      <c r="B2048" t="s">
        <v>477</v>
      </c>
      <c r="C2048">
        <v>80</v>
      </c>
      <c r="D2048">
        <v>20220615</v>
      </c>
      <c r="E2048">
        <f t="shared" si="31"/>
        <v>6</v>
      </c>
      <c r="F2048">
        <v>447000</v>
      </c>
      <c r="G2048" t="s">
        <v>419</v>
      </c>
      <c r="H2048" t="s">
        <v>401</v>
      </c>
      <c r="I2048" t="s">
        <v>402</v>
      </c>
      <c r="J2048" t="s">
        <v>2434</v>
      </c>
      <c r="K2048">
        <v>20220615</v>
      </c>
      <c r="L2048" t="s">
        <v>2435</v>
      </c>
      <c r="M2048">
        <v>5642</v>
      </c>
      <c r="N2048">
        <v>0</v>
      </c>
      <c r="O2048" t="s">
        <v>23</v>
      </c>
      <c r="P2048">
        <v>20221005</v>
      </c>
      <c r="Q2048">
        <v>20220615</v>
      </c>
    </row>
    <row r="2049" spans="1:17" x14ac:dyDescent="0.25">
      <c r="A2049" t="s">
        <v>476</v>
      </c>
      <c r="B2049" t="s">
        <v>477</v>
      </c>
      <c r="C2049">
        <v>80</v>
      </c>
      <c r="D2049">
        <v>20220615</v>
      </c>
      <c r="E2049">
        <f t="shared" si="31"/>
        <v>6</v>
      </c>
      <c r="F2049">
        <v>512000</v>
      </c>
      <c r="G2049" t="s">
        <v>428</v>
      </c>
      <c r="H2049" t="s">
        <v>401</v>
      </c>
      <c r="I2049" t="s">
        <v>402</v>
      </c>
      <c r="J2049" t="s">
        <v>2434</v>
      </c>
      <c r="K2049">
        <v>20220615</v>
      </c>
      <c r="L2049" t="s">
        <v>2435</v>
      </c>
      <c r="M2049">
        <v>0</v>
      </c>
      <c r="N2049">
        <v>5642</v>
      </c>
      <c r="O2049" t="s">
        <v>19</v>
      </c>
      <c r="P2049" t="s">
        <v>20</v>
      </c>
      <c r="Q2049">
        <v>20220615</v>
      </c>
    </row>
    <row r="2050" spans="1:17" x14ac:dyDescent="0.25">
      <c r="A2050" t="s">
        <v>476</v>
      </c>
      <c r="B2050" t="s">
        <v>477</v>
      </c>
      <c r="C2050">
        <v>80</v>
      </c>
      <c r="D2050">
        <v>20220616</v>
      </c>
      <c r="E2050">
        <f t="shared" si="31"/>
        <v>6</v>
      </c>
      <c r="F2050">
        <v>431000</v>
      </c>
      <c r="G2050" t="s">
        <v>408</v>
      </c>
      <c r="H2050" t="s">
        <v>401</v>
      </c>
      <c r="I2050" t="s">
        <v>402</v>
      </c>
      <c r="J2050" t="s">
        <v>2436</v>
      </c>
      <c r="K2050">
        <v>20220616</v>
      </c>
      <c r="L2050" t="s">
        <v>409</v>
      </c>
      <c r="M2050">
        <v>25265</v>
      </c>
      <c r="N2050">
        <v>0</v>
      </c>
      <c r="O2050" t="s">
        <v>23</v>
      </c>
      <c r="P2050">
        <v>20230218</v>
      </c>
      <c r="Q2050">
        <v>20220616</v>
      </c>
    </row>
    <row r="2051" spans="1:17" x14ac:dyDescent="0.25">
      <c r="A2051" t="s">
        <v>476</v>
      </c>
      <c r="B2051" t="s">
        <v>477</v>
      </c>
      <c r="C2051">
        <v>80</v>
      </c>
      <c r="D2051">
        <v>20220616</v>
      </c>
      <c r="E2051">
        <f t="shared" ref="E2051:E2114" si="32">VALUE(MID(D2051,5,2))</f>
        <v>6</v>
      </c>
      <c r="F2051">
        <v>512000</v>
      </c>
      <c r="G2051" t="s">
        <v>428</v>
      </c>
      <c r="H2051" t="s">
        <v>401</v>
      </c>
      <c r="I2051" t="s">
        <v>402</v>
      </c>
      <c r="J2051" t="s">
        <v>2436</v>
      </c>
      <c r="K2051">
        <v>20220616</v>
      </c>
      <c r="L2051" t="s">
        <v>409</v>
      </c>
      <c r="M2051">
        <v>0</v>
      </c>
      <c r="N2051">
        <v>25265</v>
      </c>
      <c r="O2051" t="s">
        <v>19</v>
      </c>
      <c r="P2051" t="s">
        <v>20</v>
      </c>
      <c r="Q2051">
        <v>20220616</v>
      </c>
    </row>
    <row r="2052" spans="1:17" x14ac:dyDescent="0.25">
      <c r="A2052" t="s">
        <v>476</v>
      </c>
      <c r="B2052" t="s">
        <v>477</v>
      </c>
      <c r="C2052">
        <v>80</v>
      </c>
      <c r="D2052">
        <v>20220616</v>
      </c>
      <c r="E2052">
        <f t="shared" si="32"/>
        <v>6</v>
      </c>
      <c r="F2052">
        <v>468200</v>
      </c>
      <c r="G2052" t="s">
        <v>421</v>
      </c>
      <c r="H2052" t="s">
        <v>401</v>
      </c>
      <c r="I2052" t="s">
        <v>402</v>
      </c>
      <c r="J2052" t="s">
        <v>2437</v>
      </c>
      <c r="K2052">
        <v>20220616</v>
      </c>
      <c r="L2052" t="s">
        <v>422</v>
      </c>
      <c r="M2052">
        <v>0</v>
      </c>
      <c r="N2052">
        <v>710.01</v>
      </c>
      <c r="O2052" t="s">
        <v>23</v>
      </c>
      <c r="P2052">
        <v>20221005</v>
      </c>
      <c r="Q2052">
        <v>20220616</v>
      </c>
    </row>
    <row r="2053" spans="1:17" x14ac:dyDescent="0.25">
      <c r="A2053" t="s">
        <v>476</v>
      </c>
      <c r="B2053" t="s">
        <v>477</v>
      </c>
      <c r="C2053">
        <v>80</v>
      </c>
      <c r="D2053">
        <v>20220616</v>
      </c>
      <c r="E2053">
        <f t="shared" si="32"/>
        <v>6</v>
      </c>
      <c r="F2053">
        <v>512000</v>
      </c>
      <c r="G2053" t="s">
        <v>428</v>
      </c>
      <c r="H2053" t="s">
        <v>401</v>
      </c>
      <c r="I2053" t="s">
        <v>402</v>
      </c>
      <c r="J2053" t="s">
        <v>2437</v>
      </c>
      <c r="K2053">
        <v>20220616</v>
      </c>
      <c r="L2053" t="s">
        <v>422</v>
      </c>
      <c r="M2053">
        <v>710.01</v>
      </c>
      <c r="N2053">
        <v>0</v>
      </c>
      <c r="O2053" t="s">
        <v>19</v>
      </c>
      <c r="P2053" t="s">
        <v>20</v>
      </c>
      <c r="Q2053">
        <v>20220616</v>
      </c>
    </row>
    <row r="2054" spans="1:17" x14ac:dyDescent="0.25">
      <c r="A2054" t="s">
        <v>476</v>
      </c>
      <c r="B2054" t="s">
        <v>477</v>
      </c>
      <c r="C2054">
        <v>80</v>
      </c>
      <c r="D2054">
        <v>20220617</v>
      </c>
      <c r="E2054">
        <f t="shared" si="32"/>
        <v>6</v>
      </c>
      <c r="F2054">
        <v>401000</v>
      </c>
      <c r="G2054" t="s">
        <v>41</v>
      </c>
      <c r="H2054" t="s">
        <v>42</v>
      </c>
      <c r="I2054" t="s">
        <v>43</v>
      </c>
      <c r="J2054" t="s">
        <v>2438</v>
      </c>
      <c r="K2054">
        <v>20220617</v>
      </c>
      <c r="L2054" t="s">
        <v>163</v>
      </c>
      <c r="M2054">
        <v>753.53</v>
      </c>
      <c r="N2054">
        <v>0</v>
      </c>
      <c r="O2054" t="s">
        <v>22</v>
      </c>
      <c r="P2054">
        <v>20220617</v>
      </c>
      <c r="Q2054">
        <v>20220617</v>
      </c>
    </row>
    <row r="2055" spans="1:17" x14ac:dyDescent="0.25">
      <c r="A2055" t="s">
        <v>476</v>
      </c>
      <c r="B2055" t="s">
        <v>477</v>
      </c>
      <c r="C2055">
        <v>80</v>
      </c>
      <c r="D2055">
        <v>20220617</v>
      </c>
      <c r="E2055">
        <f t="shared" si="32"/>
        <v>6</v>
      </c>
      <c r="F2055">
        <v>401000</v>
      </c>
      <c r="G2055" t="s">
        <v>41</v>
      </c>
      <c r="H2055" t="s">
        <v>2059</v>
      </c>
      <c r="I2055" t="s">
        <v>2060</v>
      </c>
      <c r="J2055" t="s">
        <v>2438</v>
      </c>
      <c r="K2055">
        <v>20220617</v>
      </c>
      <c r="L2055" t="s">
        <v>163</v>
      </c>
      <c r="M2055">
        <v>194.4</v>
      </c>
      <c r="N2055">
        <v>0</v>
      </c>
      <c r="O2055" t="s">
        <v>22</v>
      </c>
      <c r="P2055">
        <v>20220617</v>
      </c>
      <c r="Q2055">
        <v>20220617</v>
      </c>
    </row>
    <row r="2056" spans="1:17" x14ac:dyDescent="0.25">
      <c r="A2056" t="s">
        <v>476</v>
      </c>
      <c r="B2056" t="s">
        <v>477</v>
      </c>
      <c r="C2056">
        <v>80</v>
      </c>
      <c r="D2056">
        <v>20220617</v>
      </c>
      <c r="E2056">
        <f t="shared" si="32"/>
        <v>6</v>
      </c>
      <c r="F2056">
        <v>401000</v>
      </c>
      <c r="G2056" t="s">
        <v>41</v>
      </c>
      <c r="H2056" t="s">
        <v>75</v>
      </c>
      <c r="I2056" t="s">
        <v>76</v>
      </c>
      <c r="J2056" t="s">
        <v>2438</v>
      </c>
      <c r="K2056">
        <v>20220617</v>
      </c>
      <c r="L2056" t="s">
        <v>163</v>
      </c>
      <c r="M2056">
        <v>205.07</v>
      </c>
      <c r="N2056">
        <v>0</v>
      </c>
      <c r="O2056" t="s">
        <v>22</v>
      </c>
      <c r="P2056">
        <v>20220617</v>
      </c>
      <c r="Q2056">
        <v>20220617</v>
      </c>
    </row>
    <row r="2057" spans="1:17" x14ac:dyDescent="0.25">
      <c r="A2057" t="s">
        <v>476</v>
      </c>
      <c r="B2057" t="s">
        <v>477</v>
      </c>
      <c r="C2057">
        <v>80</v>
      </c>
      <c r="D2057">
        <v>20220617</v>
      </c>
      <c r="E2057">
        <f t="shared" si="32"/>
        <v>6</v>
      </c>
      <c r="F2057">
        <v>401000</v>
      </c>
      <c r="G2057" t="s">
        <v>41</v>
      </c>
      <c r="H2057" t="s">
        <v>223</v>
      </c>
      <c r="I2057" t="s">
        <v>224</v>
      </c>
      <c r="J2057" t="s">
        <v>2438</v>
      </c>
      <c r="K2057">
        <v>20220617</v>
      </c>
      <c r="L2057" t="s">
        <v>163</v>
      </c>
      <c r="M2057">
        <v>11181.97</v>
      </c>
      <c r="N2057">
        <v>0</v>
      </c>
      <c r="O2057" t="s">
        <v>22</v>
      </c>
      <c r="P2057">
        <v>20220617</v>
      </c>
      <c r="Q2057">
        <v>20220617</v>
      </c>
    </row>
    <row r="2058" spans="1:17" x14ac:dyDescent="0.25">
      <c r="A2058" t="s">
        <v>476</v>
      </c>
      <c r="B2058" t="s">
        <v>477</v>
      </c>
      <c r="C2058">
        <v>80</v>
      </c>
      <c r="D2058">
        <v>20220617</v>
      </c>
      <c r="E2058">
        <f t="shared" si="32"/>
        <v>6</v>
      </c>
      <c r="F2058">
        <v>401000</v>
      </c>
      <c r="G2058" t="s">
        <v>41</v>
      </c>
      <c r="H2058" t="s">
        <v>472</v>
      </c>
      <c r="I2058" t="s">
        <v>473</v>
      </c>
      <c r="J2058" t="s">
        <v>2438</v>
      </c>
      <c r="K2058">
        <v>20220617</v>
      </c>
      <c r="L2058" t="s">
        <v>163</v>
      </c>
      <c r="M2058">
        <v>210</v>
      </c>
      <c r="N2058">
        <v>0</v>
      </c>
      <c r="O2058" t="s">
        <v>22</v>
      </c>
      <c r="P2058">
        <v>20220617</v>
      </c>
      <c r="Q2058">
        <v>20220617</v>
      </c>
    </row>
    <row r="2059" spans="1:17" x14ac:dyDescent="0.25">
      <c r="A2059" t="s">
        <v>476</v>
      </c>
      <c r="B2059" t="s">
        <v>477</v>
      </c>
      <c r="C2059">
        <v>80</v>
      </c>
      <c r="D2059">
        <v>20220617</v>
      </c>
      <c r="E2059">
        <f t="shared" si="32"/>
        <v>6</v>
      </c>
      <c r="F2059">
        <v>401000</v>
      </c>
      <c r="G2059" t="s">
        <v>41</v>
      </c>
      <c r="H2059" t="s">
        <v>1309</v>
      </c>
      <c r="I2059" t="s">
        <v>1310</v>
      </c>
      <c r="J2059" t="s">
        <v>2438</v>
      </c>
      <c r="K2059">
        <v>20220617</v>
      </c>
      <c r="L2059" t="s">
        <v>163</v>
      </c>
      <c r="M2059">
        <v>1625</v>
      </c>
      <c r="N2059">
        <v>0</v>
      </c>
      <c r="O2059" t="s">
        <v>22</v>
      </c>
      <c r="P2059">
        <v>20220617</v>
      </c>
      <c r="Q2059">
        <v>20220617</v>
      </c>
    </row>
    <row r="2060" spans="1:17" x14ac:dyDescent="0.25">
      <c r="A2060" t="s">
        <v>476</v>
      </c>
      <c r="B2060" t="s">
        <v>477</v>
      </c>
      <c r="C2060">
        <v>80</v>
      </c>
      <c r="D2060">
        <v>20220617</v>
      </c>
      <c r="E2060">
        <f t="shared" si="32"/>
        <v>6</v>
      </c>
      <c r="F2060">
        <v>512000</v>
      </c>
      <c r="G2060" t="s">
        <v>428</v>
      </c>
      <c r="H2060" t="s">
        <v>401</v>
      </c>
      <c r="I2060" t="s">
        <v>402</v>
      </c>
      <c r="J2060" t="s">
        <v>2438</v>
      </c>
      <c r="K2060">
        <v>20220617</v>
      </c>
      <c r="L2060" t="s">
        <v>163</v>
      </c>
      <c r="M2060">
        <v>0</v>
      </c>
      <c r="N2060">
        <v>14169.97</v>
      </c>
      <c r="O2060" t="s">
        <v>19</v>
      </c>
      <c r="P2060" t="s">
        <v>20</v>
      </c>
      <c r="Q2060">
        <v>20220617</v>
      </c>
    </row>
    <row r="2061" spans="1:17" x14ac:dyDescent="0.25">
      <c r="A2061" t="s">
        <v>476</v>
      </c>
      <c r="B2061" t="s">
        <v>477</v>
      </c>
      <c r="C2061">
        <v>80</v>
      </c>
      <c r="D2061">
        <v>20220617</v>
      </c>
      <c r="E2061">
        <f t="shared" si="32"/>
        <v>6</v>
      </c>
      <c r="F2061">
        <v>401000</v>
      </c>
      <c r="G2061" t="s">
        <v>41</v>
      </c>
      <c r="H2061" t="s">
        <v>2439</v>
      </c>
      <c r="I2061" t="s">
        <v>2440</v>
      </c>
      <c r="J2061" t="s">
        <v>2441</v>
      </c>
      <c r="K2061">
        <v>20220617</v>
      </c>
      <c r="L2061" t="s">
        <v>127</v>
      </c>
      <c r="M2061">
        <v>150</v>
      </c>
      <c r="N2061">
        <v>0</v>
      </c>
      <c r="O2061" t="s">
        <v>23</v>
      </c>
      <c r="P2061">
        <v>20220929</v>
      </c>
      <c r="Q2061">
        <v>20220617</v>
      </c>
    </row>
    <row r="2062" spans="1:17" x14ac:dyDescent="0.25">
      <c r="A2062" t="s">
        <v>476</v>
      </c>
      <c r="B2062" t="s">
        <v>477</v>
      </c>
      <c r="C2062">
        <v>80</v>
      </c>
      <c r="D2062">
        <v>20220617</v>
      </c>
      <c r="E2062">
        <f t="shared" si="32"/>
        <v>6</v>
      </c>
      <c r="F2062">
        <v>401000</v>
      </c>
      <c r="G2062" t="s">
        <v>41</v>
      </c>
      <c r="H2062" t="s">
        <v>2340</v>
      </c>
      <c r="I2062" t="s">
        <v>2341</v>
      </c>
      <c r="J2062" t="s">
        <v>2441</v>
      </c>
      <c r="K2062">
        <v>20220617</v>
      </c>
      <c r="L2062" t="s">
        <v>127</v>
      </c>
      <c r="M2062">
        <v>140</v>
      </c>
      <c r="N2062">
        <v>0</v>
      </c>
      <c r="O2062" t="s">
        <v>23</v>
      </c>
      <c r="P2062">
        <v>20221011</v>
      </c>
      <c r="Q2062">
        <v>20220617</v>
      </c>
    </row>
    <row r="2063" spans="1:17" x14ac:dyDescent="0.25">
      <c r="A2063" t="s">
        <v>476</v>
      </c>
      <c r="B2063" t="s">
        <v>477</v>
      </c>
      <c r="C2063">
        <v>80</v>
      </c>
      <c r="D2063">
        <v>20220617</v>
      </c>
      <c r="E2063">
        <f t="shared" si="32"/>
        <v>6</v>
      </c>
      <c r="F2063">
        <v>401000</v>
      </c>
      <c r="G2063" t="s">
        <v>41</v>
      </c>
      <c r="H2063" t="s">
        <v>2442</v>
      </c>
      <c r="I2063" t="s">
        <v>2443</v>
      </c>
      <c r="J2063" t="s">
        <v>2441</v>
      </c>
      <c r="K2063">
        <v>20220617</v>
      </c>
      <c r="L2063" t="s">
        <v>127</v>
      </c>
      <c r="M2063">
        <v>36</v>
      </c>
      <c r="N2063">
        <v>0</v>
      </c>
      <c r="O2063" t="s">
        <v>23</v>
      </c>
      <c r="P2063">
        <v>20220929</v>
      </c>
      <c r="Q2063">
        <v>20220617</v>
      </c>
    </row>
    <row r="2064" spans="1:17" x14ac:dyDescent="0.25">
      <c r="A2064" t="s">
        <v>476</v>
      </c>
      <c r="B2064" t="s">
        <v>477</v>
      </c>
      <c r="C2064">
        <v>80</v>
      </c>
      <c r="D2064">
        <v>20220617</v>
      </c>
      <c r="E2064">
        <f t="shared" si="32"/>
        <v>6</v>
      </c>
      <c r="F2064">
        <v>401000</v>
      </c>
      <c r="G2064" t="s">
        <v>41</v>
      </c>
      <c r="H2064" t="s">
        <v>2439</v>
      </c>
      <c r="I2064" t="s">
        <v>2440</v>
      </c>
      <c r="J2064" t="s">
        <v>2441</v>
      </c>
      <c r="K2064">
        <v>20220617</v>
      </c>
      <c r="L2064" t="s">
        <v>127</v>
      </c>
      <c r="M2064">
        <v>150</v>
      </c>
      <c r="N2064">
        <v>0</v>
      </c>
      <c r="O2064" t="s">
        <v>23</v>
      </c>
      <c r="P2064">
        <v>20220929</v>
      </c>
      <c r="Q2064">
        <v>20220617</v>
      </c>
    </row>
    <row r="2065" spans="1:17" x14ac:dyDescent="0.25">
      <c r="A2065" t="s">
        <v>476</v>
      </c>
      <c r="B2065" t="s">
        <v>477</v>
      </c>
      <c r="C2065">
        <v>80</v>
      </c>
      <c r="D2065">
        <v>20220617</v>
      </c>
      <c r="E2065">
        <f t="shared" si="32"/>
        <v>6</v>
      </c>
      <c r="F2065">
        <v>401000</v>
      </c>
      <c r="G2065" t="s">
        <v>41</v>
      </c>
      <c r="H2065" t="s">
        <v>148</v>
      </c>
      <c r="I2065" t="s">
        <v>149</v>
      </c>
      <c r="J2065" t="s">
        <v>2441</v>
      </c>
      <c r="K2065">
        <v>20220617</v>
      </c>
      <c r="L2065" t="s">
        <v>127</v>
      </c>
      <c r="M2065">
        <v>100.76</v>
      </c>
      <c r="N2065">
        <v>0</v>
      </c>
      <c r="O2065" t="s">
        <v>23</v>
      </c>
      <c r="P2065">
        <v>20230222</v>
      </c>
      <c r="Q2065">
        <v>20220617</v>
      </c>
    </row>
    <row r="2066" spans="1:17" x14ac:dyDescent="0.25">
      <c r="A2066" t="s">
        <v>476</v>
      </c>
      <c r="B2066" t="s">
        <v>477</v>
      </c>
      <c r="C2066">
        <v>80</v>
      </c>
      <c r="D2066">
        <v>20220617</v>
      </c>
      <c r="E2066">
        <f t="shared" si="32"/>
        <v>6</v>
      </c>
      <c r="F2066">
        <v>401000</v>
      </c>
      <c r="G2066" t="s">
        <v>41</v>
      </c>
      <c r="H2066" t="s">
        <v>2340</v>
      </c>
      <c r="I2066" t="s">
        <v>2341</v>
      </c>
      <c r="J2066" t="s">
        <v>2441</v>
      </c>
      <c r="K2066">
        <v>20220617</v>
      </c>
      <c r="L2066" t="s">
        <v>127</v>
      </c>
      <c r="M2066">
        <v>150</v>
      </c>
      <c r="N2066">
        <v>0</v>
      </c>
      <c r="O2066" t="s">
        <v>23</v>
      </c>
      <c r="P2066">
        <v>20221011</v>
      </c>
      <c r="Q2066">
        <v>20220617</v>
      </c>
    </row>
    <row r="2067" spans="1:17" x14ac:dyDescent="0.25">
      <c r="A2067" t="s">
        <v>476</v>
      </c>
      <c r="B2067" t="s">
        <v>477</v>
      </c>
      <c r="C2067">
        <v>80</v>
      </c>
      <c r="D2067">
        <v>20220617</v>
      </c>
      <c r="E2067">
        <f t="shared" si="32"/>
        <v>6</v>
      </c>
      <c r="F2067">
        <v>401000</v>
      </c>
      <c r="G2067" t="s">
        <v>41</v>
      </c>
      <c r="H2067" t="s">
        <v>148</v>
      </c>
      <c r="I2067" t="s">
        <v>149</v>
      </c>
      <c r="J2067" t="s">
        <v>2441</v>
      </c>
      <c r="K2067">
        <v>20220617</v>
      </c>
      <c r="L2067" t="s">
        <v>127</v>
      </c>
      <c r="M2067">
        <v>120</v>
      </c>
      <c r="N2067">
        <v>0</v>
      </c>
      <c r="O2067" t="s">
        <v>23</v>
      </c>
      <c r="P2067">
        <v>20230222</v>
      </c>
      <c r="Q2067">
        <v>20220617</v>
      </c>
    </row>
    <row r="2068" spans="1:17" x14ac:dyDescent="0.25">
      <c r="A2068" t="s">
        <v>476</v>
      </c>
      <c r="B2068" t="s">
        <v>477</v>
      </c>
      <c r="C2068">
        <v>80</v>
      </c>
      <c r="D2068">
        <v>20220617</v>
      </c>
      <c r="E2068">
        <f t="shared" si="32"/>
        <v>6</v>
      </c>
      <c r="F2068">
        <v>401000</v>
      </c>
      <c r="G2068" t="s">
        <v>41</v>
      </c>
      <c r="H2068" t="s">
        <v>2444</v>
      </c>
      <c r="I2068" t="s">
        <v>2445</v>
      </c>
      <c r="J2068" t="s">
        <v>2441</v>
      </c>
      <c r="K2068">
        <v>20220617</v>
      </c>
      <c r="L2068" t="s">
        <v>2446</v>
      </c>
      <c r="M2068">
        <v>130</v>
      </c>
      <c r="N2068">
        <v>0</v>
      </c>
      <c r="O2068" t="s">
        <v>19</v>
      </c>
      <c r="P2068" t="s">
        <v>20</v>
      </c>
      <c r="Q2068">
        <v>20220617</v>
      </c>
    </row>
    <row r="2069" spans="1:17" x14ac:dyDescent="0.25">
      <c r="A2069" t="s">
        <v>476</v>
      </c>
      <c r="B2069" t="s">
        <v>477</v>
      </c>
      <c r="C2069">
        <v>80</v>
      </c>
      <c r="D2069">
        <v>20220617</v>
      </c>
      <c r="E2069">
        <f t="shared" si="32"/>
        <v>6</v>
      </c>
      <c r="F2069">
        <v>401000</v>
      </c>
      <c r="G2069" t="s">
        <v>41</v>
      </c>
      <c r="H2069" t="s">
        <v>2442</v>
      </c>
      <c r="I2069" t="s">
        <v>2443</v>
      </c>
      <c r="J2069" t="s">
        <v>2441</v>
      </c>
      <c r="K2069">
        <v>20220617</v>
      </c>
      <c r="L2069" t="s">
        <v>127</v>
      </c>
      <c r="M2069">
        <v>107</v>
      </c>
      <c r="N2069">
        <v>0</v>
      </c>
      <c r="O2069" t="s">
        <v>23</v>
      </c>
      <c r="P2069">
        <v>20220929</v>
      </c>
      <c r="Q2069">
        <v>20220617</v>
      </c>
    </row>
    <row r="2070" spans="1:17" x14ac:dyDescent="0.25">
      <c r="A2070" t="s">
        <v>476</v>
      </c>
      <c r="B2070" t="s">
        <v>477</v>
      </c>
      <c r="C2070">
        <v>80</v>
      </c>
      <c r="D2070">
        <v>20220617</v>
      </c>
      <c r="E2070">
        <f t="shared" si="32"/>
        <v>6</v>
      </c>
      <c r="F2070">
        <v>512000</v>
      </c>
      <c r="G2070" t="s">
        <v>428</v>
      </c>
      <c r="H2070" t="s">
        <v>401</v>
      </c>
      <c r="I2070" t="s">
        <v>402</v>
      </c>
      <c r="J2070" t="s">
        <v>2441</v>
      </c>
      <c r="K2070">
        <v>20220617</v>
      </c>
      <c r="L2070" t="s">
        <v>127</v>
      </c>
      <c r="M2070">
        <v>0</v>
      </c>
      <c r="N2070">
        <v>1083.76</v>
      </c>
      <c r="O2070" t="s">
        <v>19</v>
      </c>
      <c r="P2070" t="s">
        <v>20</v>
      </c>
      <c r="Q2070">
        <v>20220617</v>
      </c>
    </row>
    <row r="2071" spans="1:17" x14ac:dyDescent="0.25">
      <c r="A2071" t="s">
        <v>476</v>
      </c>
      <c r="B2071" t="s">
        <v>477</v>
      </c>
      <c r="C2071">
        <v>80</v>
      </c>
      <c r="D2071">
        <v>20220617</v>
      </c>
      <c r="E2071">
        <f t="shared" si="32"/>
        <v>6</v>
      </c>
      <c r="F2071">
        <v>468200</v>
      </c>
      <c r="G2071" t="s">
        <v>421</v>
      </c>
      <c r="H2071" t="s">
        <v>401</v>
      </c>
      <c r="I2071" t="s">
        <v>402</v>
      </c>
      <c r="J2071" t="s">
        <v>2447</v>
      </c>
      <c r="K2071">
        <v>20220617</v>
      </c>
      <c r="L2071" t="s">
        <v>422</v>
      </c>
      <c r="M2071">
        <v>0</v>
      </c>
      <c r="N2071">
        <v>490.1</v>
      </c>
      <c r="O2071" t="s">
        <v>23</v>
      </c>
      <c r="P2071">
        <v>20221005</v>
      </c>
      <c r="Q2071">
        <v>20220617</v>
      </c>
    </row>
    <row r="2072" spans="1:17" x14ac:dyDescent="0.25">
      <c r="A2072" t="s">
        <v>476</v>
      </c>
      <c r="B2072" t="s">
        <v>477</v>
      </c>
      <c r="C2072">
        <v>80</v>
      </c>
      <c r="D2072">
        <v>20220617</v>
      </c>
      <c r="E2072">
        <f t="shared" si="32"/>
        <v>6</v>
      </c>
      <c r="F2072">
        <v>512000</v>
      </c>
      <c r="G2072" t="s">
        <v>428</v>
      </c>
      <c r="H2072" t="s">
        <v>401</v>
      </c>
      <c r="I2072" t="s">
        <v>402</v>
      </c>
      <c r="J2072" t="s">
        <v>2447</v>
      </c>
      <c r="K2072">
        <v>20220617</v>
      </c>
      <c r="L2072" t="s">
        <v>422</v>
      </c>
      <c r="M2072">
        <v>490.1</v>
      </c>
      <c r="N2072">
        <v>0</v>
      </c>
      <c r="O2072" t="s">
        <v>19</v>
      </c>
      <c r="P2072" t="s">
        <v>20</v>
      </c>
      <c r="Q2072">
        <v>20220617</v>
      </c>
    </row>
    <row r="2073" spans="1:17" x14ac:dyDescent="0.25">
      <c r="A2073" t="s">
        <v>476</v>
      </c>
      <c r="B2073" t="s">
        <v>477</v>
      </c>
      <c r="C2073">
        <v>80</v>
      </c>
      <c r="D2073">
        <v>20220617</v>
      </c>
      <c r="E2073">
        <f t="shared" si="32"/>
        <v>6</v>
      </c>
      <c r="F2073">
        <v>468740</v>
      </c>
      <c r="G2073" t="s">
        <v>426</v>
      </c>
      <c r="H2073" t="s">
        <v>401</v>
      </c>
      <c r="I2073" t="s">
        <v>402</v>
      </c>
      <c r="J2073" t="s">
        <v>2448</v>
      </c>
      <c r="K2073">
        <v>20220617</v>
      </c>
      <c r="L2073" t="s">
        <v>2449</v>
      </c>
      <c r="M2073">
        <v>0</v>
      </c>
      <c r="N2073">
        <v>507.6</v>
      </c>
      <c r="O2073" t="s">
        <v>23</v>
      </c>
      <c r="P2073">
        <v>20221006</v>
      </c>
      <c r="Q2073">
        <v>20220617</v>
      </c>
    </row>
    <row r="2074" spans="1:17" x14ac:dyDescent="0.25">
      <c r="A2074" t="s">
        <v>476</v>
      </c>
      <c r="B2074" t="s">
        <v>477</v>
      </c>
      <c r="C2074">
        <v>80</v>
      </c>
      <c r="D2074">
        <v>20220617</v>
      </c>
      <c r="E2074">
        <f t="shared" si="32"/>
        <v>6</v>
      </c>
      <c r="F2074">
        <v>512000</v>
      </c>
      <c r="G2074" t="s">
        <v>428</v>
      </c>
      <c r="H2074" t="s">
        <v>401</v>
      </c>
      <c r="I2074" t="s">
        <v>402</v>
      </c>
      <c r="J2074" t="s">
        <v>2448</v>
      </c>
      <c r="K2074">
        <v>20220617</v>
      </c>
      <c r="L2074" t="s">
        <v>2449</v>
      </c>
      <c r="M2074">
        <v>507.6</v>
      </c>
      <c r="N2074">
        <v>0</v>
      </c>
      <c r="O2074" t="s">
        <v>19</v>
      </c>
      <c r="P2074" t="s">
        <v>20</v>
      </c>
      <c r="Q2074">
        <v>20220617</v>
      </c>
    </row>
    <row r="2075" spans="1:17" x14ac:dyDescent="0.25">
      <c r="A2075" t="s">
        <v>476</v>
      </c>
      <c r="B2075" t="s">
        <v>477</v>
      </c>
      <c r="C2075">
        <v>80</v>
      </c>
      <c r="D2075">
        <v>20220620</v>
      </c>
      <c r="E2075">
        <f t="shared" si="32"/>
        <v>6</v>
      </c>
      <c r="F2075">
        <v>468740</v>
      </c>
      <c r="G2075" t="s">
        <v>426</v>
      </c>
      <c r="H2075" t="s">
        <v>401</v>
      </c>
      <c r="I2075" t="s">
        <v>402</v>
      </c>
      <c r="J2075" t="s">
        <v>2450</v>
      </c>
      <c r="K2075">
        <v>20220620</v>
      </c>
      <c r="L2075" t="s">
        <v>2451</v>
      </c>
      <c r="M2075">
        <v>0</v>
      </c>
      <c r="N2075">
        <v>592.20000000000005</v>
      </c>
      <c r="O2075" t="s">
        <v>23</v>
      </c>
      <c r="P2075">
        <v>20221006</v>
      </c>
      <c r="Q2075">
        <v>20220620</v>
      </c>
    </row>
    <row r="2076" spans="1:17" x14ac:dyDescent="0.25">
      <c r="A2076" t="s">
        <v>476</v>
      </c>
      <c r="B2076" t="s">
        <v>477</v>
      </c>
      <c r="C2076">
        <v>80</v>
      </c>
      <c r="D2076">
        <v>20220620</v>
      </c>
      <c r="E2076">
        <f t="shared" si="32"/>
        <v>6</v>
      </c>
      <c r="F2076">
        <v>512000</v>
      </c>
      <c r="G2076" t="s">
        <v>428</v>
      </c>
      <c r="H2076" t="s">
        <v>401</v>
      </c>
      <c r="I2076" t="s">
        <v>402</v>
      </c>
      <c r="J2076" t="s">
        <v>2450</v>
      </c>
      <c r="K2076">
        <v>20220620</v>
      </c>
      <c r="L2076" t="s">
        <v>2451</v>
      </c>
      <c r="M2076">
        <v>592.20000000000005</v>
      </c>
      <c r="N2076">
        <v>0</v>
      </c>
      <c r="O2076" t="s">
        <v>19</v>
      </c>
      <c r="P2076" t="s">
        <v>20</v>
      </c>
      <c r="Q2076">
        <v>20220620</v>
      </c>
    </row>
    <row r="2077" spans="1:17" x14ac:dyDescent="0.25">
      <c r="A2077" t="s">
        <v>476</v>
      </c>
      <c r="B2077" t="s">
        <v>477</v>
      </c>
      <c r="C2077">
        <v>80</v>
      </c>
      <c r="D2077">
        <v>20220621</v>
      </c>
      <c r="E2077">
        <f t="shared" si="32"/>
        <v>6</v>
      </c>
      <c r="F2077">
        <v>445060</v>
      </c>
      <c r="G2077" t="s">
        <v>2452</v>
      </c>
      <c r="H2077" t="s">
        <v>401</v>
      </c>
      <c r="I2077" t="s">
        <v>402</v>
      </c>
      <c r="J2077" t="s">
        <v>2453</v>
      </c>
      <c r="K2077">
        <v>20220621</v>
      </c>
      <c r="L2077" t="s">
        <v>2454</v>
      </c>
      <c r="M2077">
        <v>0</v>
      </c>
      <c r="N2077">
        <v>45101</v>
      </c>
      <c r="O2077" t="s">
        <v>23</v>
      </c>
      <c r="P2077">
        <v>20230221</v>
      </c>
      <c r="Q2077">
        <v>20220621</v>
      </c>
    </row>
    <row r="2078" spans="1:17" x14ac:dyDescent="0.25">
      <c r="A2078" t="s">
        <v>476</v>
      </c>
      <c r="B2078" t="s">
        <v>477</v>
      </c>
      <c r="C2078">
        <v>80</v>
      </c>
      <c r="D2078">
        <v>20220621</v>
      </c>
      <c r="E2078">
        <f t="shared" si="32"/>
        <v>6</v>
      </c>
      <c r="F2078">
        <v>512000</v>
      </c>
      <c r="G2078" t="s">
        <v>428</v>
      </c>
      <c r="H2078" t="s">
        <v>401</v>
      </c>
      <c r="I2078" t="s">
        <v>402</v>
      </c>
      <c r="J2078" t="s">
        <v>2453</v>
      </c>
      <c r="K2078">
        <v>20220621</v>
      </c>
      <c r="L2078" t="s">
        <v>2454</v>
      </c>
      <c r="M2078">
        <v>45101</v>
      </c>
      <c r="N2078">
        <v>0</v>
      </c>
      <c r="O2078" t="s">
        <v>19</v>
      </c>
      <c r="P2078" t="s">
        <v>20</v>
      </c>
      <c r="Q2078">
        <v>20220621</v>
      </c>
    </row>
    <row r="2079" spans="1:17" x14ac:dyDescent="0.25">
      <c r="A2079" t="s">
        <v>476</v>
      </c>
      <c r="B2079" t="s">
        <v>477</v>
      </c>
      <c r="C2079">
        <v>80</v>
      </c>
      <c r="D2079">
        <v>20220622</v>
      </c>
      <c r="E2079">
        <f t="shared" si="32"/>
        <v>6</v>
      </c>
      <c r="F2079">
        <v>467100</v>
      </c>
      <c r="G2079" t="s">
        <v>160</v>
      </c>
      <c r="H2079" t="s">
        <v>1522</v>
      </c>
      <c r="I2079" t="s">
        <v>1523</v>
      </c>
      <c r="J2079" t="s">
        <v>2455</v>
      </c>
      <c r="K2079">
        <v>20220622</v>
      </c>
      <c r="L2079" t="s">
        <v>127</v>
      </c>
      <c r="M2079">
        <v>44.95</v>
      </c>
      <c r="N2079">
        <v>0</v>
      </c>
      <c r="O2079" t="s">
        <v>23</v>
      </c>
      <c r="P2079">
        <v>20220630</v>
      </c>
      <c r="Q2079">
        <v>20220622</v>
      </c>
    </row>
    <row r="2080" spans="1:17" x14ac:dyDescent="0.25">
      <c r="A2080" t="s">
        <v>476</v>
      </c>
      <c r="B2080" t="s">
        <v>477</v>
      </c>
      <c r="C2080">
        <v>80</v>
      </c>
      <c r="D2080">
        <v>20220622</v>
      </c>
      <c r="E2080">
        <f t="shared" si="32"/>
        <v>6</v>
      </c>
      <c r="F2080">
        <v>467100</v>
      </c>
      <c r="G2080" t="s">
        <v>160</v>
      </c>
      <c r="H2080" t="s">
        <v>219</v>
      </c>
      <c r="I2080" t="s">
        <v>220</v>
      </c>
      <c r="J2080" t="s">
        <v>2455</v>
      </c>
      <c r="K2080">
        <v>20220622</v>
      </c>
      <c r="L2080" t="s">
        <v>127</v>
      </c>
      <c r="M2080">
        <v>500</v>
      </c>
      <c r="N2080">
        <v>0</v>
      </c>
      <c r="O2080" t="s">
        <v>23</v>
      </c>
      <c r="P2080">
        <v>20220801</v>
      </c>
      <c r="Q2080">
        <v>20220622</v>
      </c>
    </row>
    <row r="2081" spans="1:17" x14ac:dyDescent="0.25">
      <c r="A2081" t="s">
        <v>476</v>
      </c>
      <c r="B2081" t="s">
        <v>477</v>
      </c>
      <c r="C2081">
        <v>80</v>
      </c>
      <c r="D2081">
        <v>20220622</v>
      </c>
      <c r="E2081">
        <f t="shared" si="32"/>
        <v>6</v>
      </c>
      <c r="F2081">
        <v>512000</v>
      </c>
      <c r="G2081" t="s">
        <v>428</v>
      </c>
      <c r="H2081" t="s">
        <v>401</v>
      </c>
      <c r="I2081" t="s">
        <v>402</v>
      </c>
      <c r="J2081" t="s">
        <v>2455</v>
      </c>
      <c r="K2081">
        <v>20220622</v>
      </c>
      <c r="L2081" t="s">
        <v>127</v>
      </c>
      <c r="M2081">
        <v>0</v>
      </c>
      <c r="N2081">
        <v>544.95000000000005</v>
      </c>
      <c r="O2081" t="s">
        <v>19</v>
      </c>
      <c r="P2081" t="s">
        <v>20</v>
      </c>
      <c r="Q2081">
        <v>20220622</v>
      </c>
    </row>
    <row r="2082" spans="1:17" x14ac:dyDescent="0.25">
      <c r="A2082" t="s">
        <v>476</v>
      </c>
      <c r="B2082" t="s">
        <v>477</v>
      </c>
      <c r="C2082">
        <v>80</v>
      </c>
      <c r="D2082">
        <v>20220622</v>
      </c>
      <c r="E2082">
        <f t="shared" si="32"/>
        <v>6</v>
      </c>
      <c r="F2082">
        <v>468725</v>
      </c>
      <c r="G2082" t="s">
        <v>424</v>
      </c>
      <c r="H2082" t="s">
        <v>401</v>
      </c>
      <c r="I2082" t="s">
        <v>402</v>
      </c>
      <c r="J2082" t="s">
        <v>2456</v>
      </c>
      <c r="K2082">
        <v>20220622</v>
      </c>
      <c r="L2082" t="s">
        <v>2457</v>
      </c>
      <c r="M2082">
        <v>0</v>
      </c>
      <c r="N2082">
        <v>470.17</v>
      </c>
      <c r="O2082" t="s">
        <v>23</v>
      </c>
      <c r="P2082">
        <v>20230105</v>
      </c>
      <c r="Q2082">
        <v>20220622</v>
      </c>
    </row>
    <row r="2083" spans="1:17" x14ac:dyDescent="0.25">
      <c r="A2083" t="s">
        <v>476</v>
      </c>
      <c r="B2083" t="s">
        <v>477</v>
      </c>
      <c r="C2083">
        <v>80</v>
      </c>
      <c r="D2083">
        <v>20220622</v>
      </c>
      <c r="E2083">
        <f t="shared" si="32"/>
        <v>6</v>
      </c>
      <c r="F2083">
        <v>512000</v>
      </c>
      <c r="G2083" t="s">
        <v>428</v>
      </c>
      <c r="H2083" t="s">
        <v>401</v>
      </c>
      <c r="I2083" t="s">
        <v>402</v>
      </c>
      <c r="J2083" t="s">
        <v>2456</v>
      </c>
      <c r="K2083">
        <v>20220622</v>
      </c>
      <c r="L2083" t="s">
        <v>2457</v>
      </c>
      <c r="M2083">
        <v>470.17</v>
      </c>
      <c r="N2083">
        <v>0</v>
      </c>
      <c r="O2083" t="s">
        <v>19</v>
      </c>
      <c r="P2083" t="s">
        <v>20</v>
      </c>
      <c r="Q2083">
        <v>20220622</v>
      </c>
    </row>
    <row r="2084" spans="1:17" x14ac:dyDescent="0.25">
      <c r="A2084" t="s">
        <v>476</v>
      </c>
      <c r="B2084" t="s">
        <v>477</v>
      </c>
      <c r="C2084">
        <v>80</v>
      </c>
      <c r="D2084">
        <v>20220622</v>
      </c>
      <c r="E2084">
        <f t="shared" si="32"/>
        <v>6</v>
      </c>
      <c r="F2084">
        <v>442100</v>
      </c>
      <c r="G2084" t="s">
        <v>435</v>
      </c>
      <c r="H2084" t="s">
        <v>401</v>
      </c>
      <c r="I2084" t="s">
        <v>402</v>
      </c>
      <c r="J2084" t="s">
        <v>2458</v>
      </c>
      <c r="K2084">
        <v>20220622</v>
      </c>
      <c r="L2084" t="s">
        <v>528</v>
      </c>
      <c r="M2084">
        <v>1166</v>
      </c>
      <c r="N2084">
        <v>0</v>
      </c>
      <c r="O2084" t="s">
        <v>23</v>
      </c>
      <c r="P2084">
        <v>20221005</v>
      </c>
      <c r="Q2084">
        <v>20220622</v>
      </c>
    </row>
    <row r="2085" spans="1:17" x14ac:dyDescent="0.25">
      <c r="A2085" t="s">
        <v>476</v>
      </c>
      <c r="B2085" t="s">
        <v>477</v>
      </c>
      <c r="C2085">
        <v>80</v>
      </c>
      <c r="D2085">
        <v>20220622</v>
      </c>
      <c r="E2085">
        <f t="shared" si="32"/>
        <v>6</v>
      </c>
      <c r="F2085">
        <v>512000</v>
      </c>
      <c r="G2085" t="s">
        <v>428</v>
      </c>
      <c r="H2085" t="s">
        <v>401</v>
      </c>
      <c r="I2085" t="s">
        <v>402</v>
      </c>
      <c r="J2085" t="s">
        <v>2458</v>
      </c>
      <c r="K2085">
        <v>20220622</v>
      </c>
      <c r="L2085" t="s">
        <v>528</v>
      </c>
      <c r="M2085">
        <v>0</v>
      </c>
      <c r="N2085">
        <v>1166</v>
      </c>
      <c r="O2085" t="s">
        <v>19</v>
      </c>
      <c r="P2085" t="s">
        <v>20</v>
      </c>
      <c r="Q2085">
        <v>20220622</v>
      </c>
    </row>
    <row r="2086" spans="1:17" x14ac:dyDescent="0.25">
      <c r="A2086" t="s">
        <v>476</v>
      </c>
      <c r="B2086" t="s">
        <v>477</v>
      </c>
      <c r="C2086">
        <v>80</v>
      </c>
      <c r="D2086">
        <v>20220622</v>
      </c>
      <c r="E2086">
        <f t="shared" si="32"/>
        <v>6</v>
      </c>
      <c r="F2086">
        <v>791100</v>
      </c>
      <c r="G2086" t="s">
        <v>806</v>
      </c>
      <c r="H2086" t="s">
        <v>401</v>
      </c>
      <c r="I2086" t="s">
        <v>402</v>
      </c>
      <c r="J2086" t="s">
        <v>2459</v>
      </c>
      <c r="K2086">
        <v>20220622</v>
      </c>
      <c r="L2086" t="s">
        <v>1345</v>
      </c>
      <c r="M2086">
        <v>0</v>
      </c>
      <c r="N2086">
        <v>2089.4499999999998</v>
      </c>
      <c r="O2086" t="s">
        <v>19</v>
      </c>
      <c r="P2086" t="s">
        <v>20</v>
      </c>
      <c r="Q2086">
        <v>20220622</v>
      </c>
    </row>
    <row r="2087" spans="1:17" x14ac:dyDescent="0.25">
      <c r="A2087" t="s">
        <v>476</v>
      </c>
      <c r="B2087" t="s">
        <v>477</v>
      </c>
      <c r="C2087">
        <v>80</v>
      </c>
      <c r="D2087">
        <v>20220622</v>
      </c>
      <c r="E2087">
        <f t="shared" si="32"/>
        <v>6</v>
      </c>
      <c r="F2087">
        <v>512000</v>
      </c>
      <c r="G2087" t="s">
        <v>428</v>
      </c>
      <c r="H2087" t="s">
        <v>401</v>
      </c>
      <c r="I2087" t="s">
        <v>402</v>
      </c>
      <c r="J2087" t="s">
        <v>2459</v>
      </c>
      <c r="K2087">
        <v>20220622</v>
      </c>
      <c r="L2087" t="s">
        <v>1345</v>
      </c>
      <c r="M2087">
        <v>2089.4499999999998</v>
      </c>
      <c r="N2087">
        <v>0</v>
      </c>
      <c r="O2087" t="s">
        <v>19</v>
      </c>
      <c r="P2087" t="s">
        <v>20</v>
      </c>
      <c r="Q2087">
        <v>20220622</v>
      </c>
    </row>
    <row r="2088" spans="1:17" x14ac:dyDescent="0.25">
      <c r="A2088" t="s">
        <v>476</v>
      </c>
      <c r="B2088" t="s">
        <v>477</v>
      </c>
      <c r="C2088">
        <v>80</v>
      </c>
      <c r="D2088">
        <v>20220624</v>
      </c>
      <c r="E2088">
        <f t="shared" si="32"/>
        <v>6</v>
      </c>
      <c r="F2088">
        <v>445000</v>
      </c>
      <c r="G2088" t="s">
        <v>412</v>
      </c>
      <c r="H2088" t="s">
        <v>401</v>
      </c>
      <c r="I2088" t="s">
        <v>402</v>
      </c>
      <c r="J2088" t="s">
        <v>2460</v>
      </c>
      <c r="K2088">
        <v>20220624</v>
      </c>
      <c r="L2088" t="s">
        <v>2461</v>
      </c>
      <c r="M2088">
        <v>0</v>
      </c>
      <c r="N2088">
        <v>5349.96</v>
      </c>
      <c r="O2088" t="s">
        <v>23</v>
      </c>
      <c r="P2088">
        <v>20221005</v>
      </c>
      <c r="Q2088">
        <v>20220624</v>
      </c>
    </row>
    <row r="2089" spans="1:17" x14ac:dyDescent="0.25">
      <c r="A2089" t="s">
        <v>476</v>
      </c>
      <c r="B2089" t="s">
        <v>477</v>
      </c>
      <c r="C2089">
        <v>80</v>
      </c>
      <c r="D2089">
        <v>20220624</v>
      </c>
      <c r="E2089">
        <f t="shared" si="32"/>
        <v>6</v>
      </c>
      <c r="F2089">
        <v>512000</v>
      </c>
      <c r="G2089" t="s">
        <v>428</v>
      </c>
      <c r="H2089" t="s">
        <v>401</v>
      </c>
      <c r="I2089" t="s">
        <v>402</v>
      </c>
      <c r="J2089" t="s">
        <v>2460</v>
      </c>
      <c r="K2089">
        <v>20220624</v>
      </c>
      <c r="L2089" t="s">
        <v>2461</v>
      </c>
      <c r="M2089">
        <v>5349.96</v>
      </c>
      <c r="N2089">
        <v>0</v>
      </c>
      <c r="O2089" t="s">
        <v>19</v>
      </c>
      <c r="P2089" t="s">
        <v>20</v>
      </c>
      <c r="Q2089">
        <v>20220624</v>
      </c>
    </row>
    <row r="2090" spans="1:17" x14ac:dyDescent="0.25">
      <c r="A2090" t="s">
        <v>476</v>
      </c>
      <c r="B2090" t="s">
        <v>477</v>
      </c>
      <c r="C2090">
        <v>80</v>
      </c>
      <c r="D2090">
        <v>20220624</v>
      </c>
      <c r="E2090">
        <f t="shared" si="32"/>
        <v>6</v>
      </c>
      <c r="F2090">
        <v>445010</v>
      </c>
      <c r="G2090" t="s">
        <v>413</v>
      </c>
      <c r="H2090" t="s">
        <v>401</v>
      </c>
      <c r="I2090" t="s">
        <v>402</v>
      </c>
      <c r="J2090" t="s">
        <v>2462</v>
      </c>
      <c r="K2090">
        <v>20220624</v>
      </c>
      <c r="L2090" t="s">
        <v>2463</v>
      </c>
      <c r="M2090">
        <v>0</v>
      </c>
      <c r="N2090">
        <v>1042.8</v>
      </c>
      <c r="O2090" t="s">
        <v>23</v>
      </c>
      <c r="P2090">
        <v>20221005</v>
      </c>
      <c r="Q2090">
        <v>20220624</v>
      </c>
    </row>
    <row r="2091" spans="1:17" x14ac:dyDescent="0.25">
      <c r="A2091" t="s">
        <v>476</v>
      </c>
      <c r="B2091" t="s">
        <v>477</v>
      </c>
      <c r="C2091">
        <v>80</v>
      </c>
      <c r="D2091">
        <v>20220624</v>
      </c>
      <c r="E2091">
        <f t="shared" si="32"/>
        <v>6</v>
      </c>
      <c r="F2091">
        <v>512000</v>
      </c>
      <c r="G2091" t="s">
        <v>428</v>
      </c>
      <c r="H2091" t="s">
        <v>401</v>
      </c>
      <c r="I2091" t="s">
        <v>402</v>
      </c>
      <c r="J2091" t="s">
        <v>2462</v>
      </c>
      <c r="K2091">
        <v>20220624</v>
      </c>
      <c r="L2091" t="s">
        <v>2463</v>
      </c>
      <c r="M2091">
        <v>1042.8</v>
      </c>
      <c r="N2091">
        <v>0</v>
      </c>
      <c r="O2091" t="s">
        <v>19</v>
      </c>
      <c r="P2091" t="s">
        <v>20</v>
      </c>
      <c r="Q2091">
        <v>20220624</v>
      </c>
    </row>
    <row r="2092" spans="1:17" x14ac:dyDescent="0.25">
      <c r="A2092" t="s">
        <v>476</v>
      </c>
      <c r="B2092" t="s">
        <v>477</v>
      </c>
      <c r="C2092">
        <v>80</v>
      </c>
      <c r="D2092">
        <v>20220627</v>
      </c>
      <c r="E2092">
        <f t="shared" si="32"/>
        <v>6</v>
      </c>
      <c r="F2092">
        <v>401000</v>
      </c>
      <c r="G2092" t="s">
        <v>41</v>
      </c>
      <c r="H2092" t="s">
        <v>48</v>
      </c>
      <c r="I2092" t="s">
        <v>49</v>
      </c>
      <c r="J2092" t="s">
        <v>2464</v>
      </c>
      <c r="K2092">
        <v>20220627</v>
      </c>
      <c r="L2092" t="s">
        <v>163</v>
      </c>
      <c r="M2092">
        <v>2562.6999999999998</v>
      </c>
      <c r="N2092">
        <v>0</v>
      </c>
      <c r="O2092" t="s">
        <v>22</v>
      </c>
      <c r="P2092">
        <v>20220627</v>
      </c>
      <c r="Q2092">
        <v>20220627</v>
      </c>
    </row>
    <row r="2093" spans="1:17" x14ac:dyDescent="0.25">
      <c r="A2093" t="s">
        <v>476</v>
      </c>
      <c r="B2093" t="s">
        <v>477</v>
      </c>
      <c r="C2093">
        <v>80</v>
      </c>
      <c r="D2093">
        <v>20220627</v>
      </c>
      <c r="E2093">
        <f t="shared" si="32"/>
        <v>6</v>
      </c>
      <c r="F2093">
        <v>467100</v>
      </c>
      <c r="G2093" t="s">
        <v>160</v>
      </c>
      <c r="H2093" t="s">
        <v>1522</v>
      </c>
      <c r="I2093" t="s">
        <v>1523</v>
      </c>
      <c r="J2093" t="s">
        <v>2464</v>
      </c>
      <c r="K2093">
        <v>20220627</v>
      </c>
      <c r="L2093" t="s">
        <v>163</v>
      </c>
      <c r="M2093">
        <v>72.400000000000006</v>
      </c>
      <c r="N2093">
        <v>0</v>
      </c>
      <c r="O2093" t="s">
        <v>22</v>
      </c>
      <c r="P2093">
        <v>20220627</v>
      </c>
      <c r="Q2093">
        <v>20220627</v>
      </c>
    </row>
    <row r="2094" spans="1:17" x14ac:dyDescent="0.25">
      <c r="A2094" t="s">
        <v>476</v>
      </c>
      <c r="B2094" t="s">
        <v>477</v>
      </c>
      <c r="C2094">
        <v>80</v>
      </c>
      <c r="D2094">
        <v>20220627</v>
      </c>
      <c r="E2094">
        <f t="shared" si="32"/>
        <v>6</v>
      </c>
      <c r="F2094">
        <v>467100</v>
      </c>
      <c r="G2094" t="s">
        <v>160</v>
      </c>
      <c r="H2094" t="s">
        <v>2465</v>
      </c>
      <c r="I2094" t="s">
        <v>2466</v>
      </c>
      <c r="J2094" t="s">
        <v>2464</v>
      </c>
      <c r="K2094">
        <v>20220627</v>
      </c>
      <c r="L2094" t="s">
        <v>163</v>
      </c>
      <c r="M2094">
        <v>105.36</v>
      </c>
      <c r="N2094">
        <v>0</v>
      </c>
      <c r="O2094" t="s">
        <v>22</v>
      </c>
      <c r="P2094">
        <v>20220627</v>
      </c>
      <c r="Q2094">
        <v>20220627</v>
      </c>
    </row>
    <row r="2095" spans="1:17" x14ac:dyDescent="0.25">
      <c r="A2095" t="s">
        <v>476</v>
      </c>
      <c r="B2095" t="s">
        <v>477</v>
      </c>
      <c r="C2095">
        <v>80</v>
      </c>
      <c r="D2095">
        <v>20220627</v>
      </c>
      <c r="E2095">
        <f t="shared" si="32"/>
        <v>6</v>
      </c>
      <c r="F2095">
        <v>401000</v>
      </c>
      <c r="G2095" t="s">
        <v>41</v>
      </c>
      <c r="H2095" t="s">
        <v>1309</v>
      </c>
      <c r="I2095" t="s">
        <v>1310</v>
      </c>
      <c r="J2095" t="s">
        <v>2464</v>
      </c>
      <c r="K2095">
        <v>20220627</v>
      </c>
      <c r="L2095" t="s">
        <v>163</v>
      </c>
      <c r="M2095">
        <v>1625</v>
      </c>
      <c r="N2095">
        <v>0</v>
      </c>
      <c r="O2095" t="s">
        <v>22</v>
      </c>
      <c r="P2095">
        <v>20220627</v>
      </c>
      <c r="Q2095">
        <v>20220627</v>
      </c>
    </row>
    <row r="2096" spans="1:17" x14ac:dyDescent="0.25">
      <c r="A2096" t="s">
        <v>476</v>
      </c>
      <c r="B2096" t="s">
        <v>477</v>
      </c>
      <c r="C2096">
        <v>80</v>
      </c>
      <c r="D2096">
        <v>20220627</v>
      </c>
      <c r="E2096">
        <f t="shared" si="32"/>
        <v>6</v>
      </c>
      <c r="F2096">
        <v>512000</v>
      </c>
      <c r="G2096" t="s">
        <v>428</v>
      </c>
      <c r="H2096" t="s">
        <v>401</v>
      </c>
      <c r="I2096" t="s">
        <v>402</v>
      </c>
      <c r="J2096" t="s">
        <v>2464</v>
      </c>
      <c r="K2096">
        <v>20220627</v>
      </c>
      <c r="L2096" t="s">
        <v>163</v>
      </c>
      <c r="M2096">
        <v>0</v>
      </c>
      <c r="N2096">
        <v>4365.46</v>
      </c>
      <c r="O2096" t="s">
        <v>19</v>
      </c>
      <c r="P2096" t="s">
        <v>20</v>
      </c>
      <c r="Q2096">
        <v>20220627</v>
      </c>
    </row>
    <row r="2097" spans="1:17" x14ac:dyDescent="0.25">
      <c r="A2097" t="s">
        <v>476</v>
      </c>
      <c r="B2097" t="s">
        <v>477</v>
      </c>
      <c r="C2097">
        <v>80</v>
      </c>
      <c r="D2097">
        <v>20220627</v>
      </c>
      <c r="E2097">
        <f t="shared" si="32"/>
        <v>6</v>
      </c>
      <c r="F2097">
        <v>433100</v>
      </c>
      <c r="G2097" t="s">
        <v>411</v>
      </c>
      <c r="H2097" t="s">
        <v>401</v>
      </c>
      <c r="I2097" t="s">
        <v>402</v>
      </c>
      <c r="J2097" t="s">
        <v>2467</v>
      </c>
      <c r="K2097">
        <v>20220627</v>
      </c>
      <c r="L2097" t="s">
        <v>2468</v>
      </c>
      <c r="M2097">
        <v>1318.02</v>
      </c>
      <c r="N2097">
        <v>0</v>
      </c>
      <c r="O2097" t="s">
        <v>23</v>
      </c>
      <c r="P2097">
        <v>20221005</v>
      </c>
      <c r="Q2097">
        <v>20220627</v>
      </c>
    </row>
    <row r="2098" spans="1:17" x14ac:dyDescent="0.25">
      <c r="A2098" t="s">
        <v>476</v>
      </c>
      <c r="B2098" t="s">
        <v>477</v>
      </c>
      <c r="C2098">
        <v>80</v>
      </c>
      <c r="D2098">
        <v>20220627</v>
      </c>
      <c r="E2098">
        <f t="shared" si="32"/>
        <v>6</v>
      </c>
      <c r="F2098">
        <v>512000</v>
      </c>
      <c r="G2098" t="s">
        <v>428</v>
      </c>
      <c r="H2098" t="s">
        <v>401</v>
      </c>
      <c r="I2098" t="s">
        <v>402</v>
      </c>
      <c r="J2098" t="s">
        <v>2467</v>
      </c>
      <c r="K2098">
        <v>20220627</v>
      </c>
      <c r="L2098" t="s">
        <v>2468</v>
      </c>
      <c r="M2098">
        <v>0</v>
      </c>
      <c r="N2098">
        <v>1318.02</v>
      </c>
      <c r="O2098" t="s">
        <v>19</v>
      </c>
      <c r="P2098" t="s">
        <v>20</v>
      </c>
      <c r="Q2098">
        <v>20220627</v>
      </c>
    </row>
    <row r="2099" spans="1:17" x14ac:dyDescent="0.25">
      <c r="A2099" t="s">
        <v>476</v>
      </c>
      <c r="B2099" t="s">
        <v>477</v>
      </c>
      <c r="C2099">
        <v>80</v>
      </c>
      <c r="D2099">
        <v>20220627</v>
      </c>
      <c r="E2099">
        <f t="shared" si="32"/>
        <v>6</v>
      </c>
      <c r="F2099">
        <v>433000</v>
      </c>
      <c r="G2099" t="s">
        <v>410</v>
      </c>
      <c r="H2099" t="s">
        <v>401</v>
      </c>
      <c r="I2099" t="s">
        <v>402</v>
      </c>
      <c r="J2099" t="s">
        <v>2469</v>
      </c>
      <c r="K2099">
        <v>20220627</v>
      </c>
      <c r="L2099" t="s">
        <v>530</v>
      </c>
      <c r="M2099">
        <v>4898.1499999999996</v>
      </c>
      <c r="N2099">
        <v>0</v>
      </c>
      <c r="O2099" t="s">
        <v>23</v>
      </c>
      <c r="P2099">
        <v>20221005</v>
      </c>
      <c r="Q2099">
        <v>20220627</v>
      </c>
    </row>
    <row r="2100" spans="1:17" x14ac:dyDescent="0.25">
      <c r="A2100" t="s">
        <v>476</v>
      </c>
      <c r="B2100" t="s">
        <v>477</v>
      </c>
      <c r="C2100">
        <v>80</v>
      </c>
      <c r="D2100">
        <v>20220627</v>
      </c>
      <c r="E2100">
        <f t="shared" si="32"/>
        <v>6</v>
      </c>
      <c r="F2100">
        <v>512000</v>
      </c>
      <c r="G2100" t="s">
        <v>428</v>
      </c>
      <c r="H2100" t="s">
        <v>401</v>
      </c>
      <c r="I2100" t="s">
        <v>402</v>
      </c>
      <c r="J2100" t="s">
        <v>2469</v>
      </c>
      <c r="K2100">
        <v>20220627</v>
      </c>
      <c r="L2100" t="s">
        <v>530</v>
      </c>
      <c r="M2100">
        <v>0</v>
      </c>
      <c r="N2100">
        <v>4898.1499999999996</v>
      </c>
      <c r="O2100" t="s">
        <v>19</v>
      </c>
      <c r="P2100" t="s">
        <v>20</v>
      </c>
      <c r="Q2100">
        <v>20220627</v>
      </c>
    </row>
    <row r="2101" spans="1:17" x14ac:dyDescent="0.25">
      <c r="A2101" t="s">
        <v>476</v>
      </c>
      <c r="B2101" t="s">
        <v>477</v>
      </c>
      <c r="C2101">
        <v>80</v>
      </c>
      <c r="D2101">
        <v>20220628</v>
      </c>
      <c r="E2101">
        <f t="shared" si="32"/>
        <v>6</v>
      </c>
      <c r="F2101">
        <v>401000</v>
      </c>
      <c r="G2101" t="s">
        <v>41</v>
      </c>
      <c r="H2101" t="s">
        <v>42</v>
      </c>
      <c r="I2101" t="s">
        <v>43</v>
      </c>
      <c r="J2101" t="s">
        <v>2470</v>
      </c>
      <c r="K2101">
        <v>20220628</v>
      </c>
      <c r="L2101" t="s">
        <v>163</v>
      </c>
      <c r="M2101">
        <v>367.2</v>
      </c>
      <c r="N2101">
        <v>0</v>
      </c>
      <c r="O2101" t="s">
        <v>22</v>
      </c>
      <c r="P2101">
        <v>20220628</v>
      </c>
      <c r="Q2101">
        <v>20220628</v>
      </c>
    </row>
    <row r="2102" spans="1:17" x14ac:dyDescent="0.25">
      <c r="A2102" t="s">
        <v>476</v>
      </c>
      <c r="B2102" t="s">
        <v>477</v>
      </c>
      <c r="C2102">
        <v>80</v>
      </c>
      <c r="D2102">
        <v>20220628</v>
      </c>
      <c r="E2102">
        <f t="shared" si="32"/>
        <v>6</v>
      </c>
      <c r="F2102">
        <v>401000</v>
      </c>
      <c r="G2102" t="s">
        <v>41</v>
      </c>
      <c r="H2102" t="s">
        <v>75</v>
      </c>
      <c r="I2102" t="s">
        <v>76</v>
      </c>
      <c r="J2102" t="s">
        <v>2470</v>
      </c>
      <c r="K2102">
        <v>20220628</v>
      </c>
      <c r="L2102" t="s">
        <v>163</v>
      </c>
      <c r="M2102">
        <v>6256.96</v>
      </c>
      <c r="N2102">
        <v>0</v>
      </c>
      <c r="O2102" t="s">
        <v>22</v>
      </c>
      <c r="P2102">
        <v>20220628</v>
      </c>
      <c r="Q2102">
        <v>20220628</v>
      </c>
    </row>
    <row r="2103" spans="1:17" x14ac:dyDescent="0.25">
      <c r="A2103" t="s">
        <v>476</v>
      </c>
      <c r="B2103" t="s">
        <v>477</v>
      </c>
      <c r="C2103">
        <v>80</v>
      </c>
      <c r="D2103">
        <v>20220628</v>
      </c>
      <c r="E2103">
        <f t="shared" si="32"/>
        <v>6</v>
      </c>
      <c r="F2103">
        <v>467100</v>
      </c>
      <c r="G2103" t="s">
        <v>160</v>
      </c>
      <c r="H2103" t="s">
        <v>1522</v>
      </c>
      <c r="I2103" t="s">
        <v>1523</v>
      </c>
      <c r="J2103" t="s">
        <v>2470</v>
      </c>
      <c r="K2103">
        <v>20220628</v>
      </c>
      <c r="L2103" t="s">
        <v>163</v>
      </c>
      <c r="M2103">
        <v>286.62</v>
      </c>
      <c r="N2103">
        <v>0</v>
      </c>
      <c r="O2103" t="s">
        <v>22</v>
      </c>
      <c r="P2103">
        <v>20220628</v>
      </c>
      <c r="Q2103">
        <v>20220628</v>
      </c>
    </row>
    <row r="2104" spans="1:17" x14ac:dyDescent="0.25">
      <c r="A2104" t="s">
        <v>476</v>
      </c>
      <c r="B2104" t="s">
        <v>477</v>
      </c>
      <c r="C2104">
        <v>80</v>
      </c>
      <c r="D2104">
        <v>20220628</v>
      </c>
      <c r="E2104">
        <f t="shared" si="32"/>
        <v>6</v>
      </c>
      <c r="F2104">
        <v>512000</v>
      </c>
      <c r="G2104" t="s">
        <v>428</v>
      </c>
      <c r="H2104" t="s">
        <v>401</v>
      </c>
      <c r="I2104" t="s">
        <v>402</v>
      </c>
      <c r="J2104" t="s">
        <v>2470</v>
      </c>
      <c r="K2104">
        <v>20220628</v>
      </c>
      <c r="L2104" t="s">
        <v>163</v>
      </c>
      <c r="M2104">
        <v>0</v>
      </c>
      <c r="N2104">
        <v>6910.78</v>
      </c>
      <c r="O2104" t="s">
        <v>19</v>
      </c>
      <c r="P2104" t="s">
        <v>20</v>
      </c>
      <c r="Q2104">
        <v>20220628</v>
      </c>
    </row>
    <row r="2105" spans="1:17" x14ac:dyDescent="0.25">
      <c r="A2105" t="s">
        <v>476</v>
      </c>
      <c r="B2105" t="s">
        <v>477</v>
      </c>
      <c r="C2105">
        <v>80</v>
      </c>
      <c r="D2105">
        <v>20220628</v>
      </c>
      <c r="E2105">
        <f t="shared" si="32"/>
        <v>6</v>
      </c>
      <c r="F2105">
        <v>467100</v>
      </c>
      <c r="G2105" t="s">
        <v>160</v>
      </c>
      <c r="H2105" t="s">
        <v>316</v>
      </c>
      <c r="I2105" t="s">
        <v>317</v>
      </c>
      <c r="J2105" t="s">
        <v>2471</v>
      </c>
      <c r="K2105">
        <v>20220628</v>
      </c>
      <c r="L2105" t="s">
        <v>127</v>
      </c>
      <c r="M2105">
        <v>300</v>
      </c>
      <c r="N2105">
        <v>0</v>
      </c>
      <c r="O2105" t="s">
        <v>23</v>
      </c>
      <c r="P2105">
        <v>20220929</v>
      </c>
      <c r="Q2105">
        <v>20220628</v>
      </c>
    </row>
    <row r="2106" spans="1:17" x14ac:dyDescent="0.25">
      <c r="A2106" t="s">
        <v>476</v>
      </c>
      <c r="B2106" t="s">
        <v>477</v>
      </c>
      <c r="C2106">
        <v>80</v>
      </c>
      <c r="D2106">
        <v>20220628</v>
      </c>
      <c r="E2106">
        <f t="shared" si="32"/>
        <v>6</v>
      </c>
      <c r="F2106">
        <v>512000</v>
      </c>
      <c r="G2106" t="s">
        <v>428</v>
      </c>
      <c r="H2106" t="s">
        <v>401</v>
      </c>
      <c r="I2106" t="s">
        <v>402</v>
      </c>
      <c r="J2106" t="s">
        <v>2471</v>
      </c>
      <c r="K2106">
        <v>20220628</v>
      </c>
      <c r="L2106" t="s">
        <v>127</v>
      </c>
      <c r="M2106">
        <v>0</v>
      </c>
      <c r="N2106">
        <v>300</v>
      </c>
      <c r="O2106" t="s">
        <v>19</v>
      </c>
      <c r="P2106" t="s">
        <v>20</v>
      </c>
      <c r="Q2106">
        <v>20220628</v>
      </c>
    </row>
    <row r="2107" spans="1:17" x14ac:dyDescent="0.25">
      <c r="A2107" t="s">
        <v>476</v>
      </c>
      <c r="B2107" t="s">
        <v>477</v>
      </c>
      <c r="C2107">
        <v>80</v>
      </c>
      <c r="D2107">
        <v>20220628</v>
      </c>
      <c r="E2107">
        <f t="shared" si="32"/>
        <v>6</v>
      </c>
      <c r="F2107">
        <v>445000</v>
      </c>
      <c r="G2107" t="s">
        <v>412</v>
      </c>
      <c r="H2107" t="s">
        <v>401</v>
      </c>
      <c r="I2107" t="s">
        <v>402</v>
      </c>
      <c r="J2107" t="s">
        <v>2472</v>
      </c>
      <c r="K2107">
        <v>20220628</v>
      </c>
      <c r="L2107" t="s">
        <v>2473</v>
      </c>
      <c r="M2107">
        <v>0</v>
      </c>
      <c r="N2107">
        <v>9623.52</v>
      </c>
      <c r="O2107" t="s">
        <v>19</v>
      </c>
      <c r="P2107" t="s">
        <v>20</v>
      </c>
      <c r="Q2107">
        <v>20220628</v>
      </c>
    </row>
    <row r="2108" spans="1:17" x14ac:dyDescent="0.25">
      <c r="A2108" t="s">
        <v>476</v>
      </c>
      <c r="B2108" t="s">
        <v>477</v>
      </c>
      <c r="C2108">
        <v>80</v>
      </c>
      <c r="D2108">
        <v>20220628</v>
      </c>
      <c r="E2108">
        <f t="shared" si="32"/>
        <v>6</v>
      </c>
      <c r="F2108">
        <v>467100</v>
      </c>
      <c r="G2108" t="s">
        <v>160</v>
      </c>
      <c r="H2108" t="s">
        <v>316</v>
      </c>
      <c r="I2108" t="s">
        <v>317</v>
      </c>
      <c r="J2108" t="s">
        <v>2474</v>
      </c>
      <c r="K2108">
        <v>20220628</v>
      </c>
      <c r="L2108" t="s">
        <v>2475</v>
      </c>
      <c r="M2108">
        <v>0</v>
      </c>
      <c r="N2108">
        <v>300</v>
      </c>
      <c r="O2108" t="s">
        <v>23</v>
      </c>
      <c r="P2108">
        <v>20220929</v>
      </c>
      <c r="Q2108">
        <v>20220628</v>
      </c>
    </row>
    <row r="2109" spans="1:17" x14ac:dyDescent="0.25">
      <c r="A2109" t="s">
        <v>476</v>
      </c>
      <c r="B2109" t="s">
        <v>477</v>
      </c>
      <c r="C2109">
        <v>80</v>
      </c>
      <c r="D2109">
        <v>20220628</v>
      </c>
      <c r="E2109">
        <f t="shared" si="32"/>
        <v>6</v>
      </c>
      <c r="F2109">
        <v>512000</v>
      </c>
      <c r="G2109" t="s">
        <v>428</v>
      </c>
      <c r="H2109" t="s">
        <v>401</v>
      </c>
      <c r="I2109" t="s">
        <v>402</v>
      </c>
      <c r="J2109" t="s">
        <v>2472</v>
      </c>
      <c r="K2109">
        <v>20220628</v>
      </c>
      <c r="L2109" t="s">
        <v>2475</v>
      </c>
      <c r="M2109">
        <v>300</v>
      </c>
      <c r="N2109">
        <v>0</v>
      </c>
      <c r="O2109" t="s">
        <v>19</v>
      </c>
      <c r="P2109" t="s">
        <v>20</v>
      </c>
      <c r="Q2109">
        <v>20220628</v>
      </c>
    </row>
    <row r="2110" spans="1:17" x14ac:dyDescent="0.25">
      <c r="A2110" t="s">
        <v>476</v>
      </c>
      <c r="B2110" t="s">
        <v>477</v>
      </c>
      <c r="C2110">
        <v>80</v>
      </c>
      <c r="D2110">
        <v>20220628</v>
      </c>
      <c r="E2110">
        <f t="shared" si="32"/>
        <v>6</v>
      </c>
      <c r="F2110">
        <v>512000</v>
      </c>
      <c r="G2110" t="s">
        <v>428</v>
      </c>
      <c r="H2110" t="s">
        <v>401</v>
      </c>
      <c r="I2110" t="s">
        <v>402</v>
      </c>
      <c r="J2110" t="s">
        <v>2472</v>
      </c>
      <c r="K2110">
        <v>20220628</v>
      </c>
      <c r="L2110" t="s">
        <v>2473</v>
      </c>
      <c r="M2110">
        <v>9623.52</v>
      </c>
      <c r="N2110">
        <v>0</v>
      </c>
      <c r="O2110" t="s">
        <v>19</v>
      </c>
      <c r="P2110" t="s">
        <v>20</v>
      </c>
      <c r="Q2110">
        <v>20220628</v>
      </c>
    </row>
    <row r="2111" spans="1:17" x14ac:dyDescent="0.25">
      <c r="A2111" t="s">
        <v>476</v>
      </c>
      <c r="B2111" t="s">
        <v>477</v>
      </c>
      <c r="C2111">
        <v>80</v>
      </c>
      <c r="D2111">
        <v>20220629</v>
      </c>
      <c r="E2111">
        <f t="shared" si="32"/>
        <v>6</v>
      </c>
      <c r="F2111">
        <v>421000</v>
      </c>
      <c r="G2111" t="s">
        <v>403</v>
      </c>
      <c r="H2111" t="s">
        <v>401</v>
      </c>
      <c r="I2111" t="s">
        <v>402</v>
      </c>
      <c r="J2111" t="s">
        <v>2476</v>
      </c>
      <c r="K2111">
        <v>20220629</v>
      </c>
      <c r="L2111" t="s">
        <v>2477</v>
      </c>
      <c r="M2111">
        <v>68878.789999999994</v>
      </c>
      <c r="N2111">
        <v>0</v>
      </c>
      <c r="O2111" t="s">
        <v>23</v>
      </c>
      <c r="P2111">
        <v>20220913</v>
      </c>
      <c r="Q2111">
        <v>20220629</v>
      </c>
    </row>
    <row r="2112" spans="1:17" x14ac:dyDescent="0.25">
      <c r="A2112" t="s">
        <v>476</v>
      </c>
      <c r="B2112" t="s">
        <v>477</v>
      </c>
      <c r="C2112">
        <v>80</v>
      </c>
      <c r="D2112">
        <v>20220629</v>
      </c>
      <c r="E2112">
        <f t="shared" si="32"/>
        <v>6</v>
      </c>
      <c r="F2112">
        <v>512000</v>
      </c>
      <c r="G2112" t="s">
        <v>428</v>
      </c>
      <c r="H2112" t="s">
        <v>401</v>
      </c>
      <c r="I2112" t="s">
        <v>402</v>
      </c>
      <c r="J2112" t="s">
        <v>2476</v>
      </c>
      <c r="K2112">
        <v>20220629</v>
      </c>
      <c r="L2112" t="s">
        <v>2477</v>
      </c>
      <c r="M2112">
        <v>0</v>
      </c>
      <c r="N2112">
        <v>68878.789999999994</v>
      </c>
      <c r="O2112" t="s">
        <v>19</v>
      </c>
      <c r="P2112" t="s">
        <v>20</v>
      </c>
      <c r="Q2112">
        <v>20220629</v>
      </c>
    </row>
    <row r="2113" spans="1:17" x14ac:dyDescent="0.25">
      <c r="A2113" t="s">
        <v>476</v>
      </c>
      <c r="B2113" t="s">
        <v>477</v>
      </c>
      <c r="C2113">
        <v>80</v>
      </c>
      <c r="D2113">
        <v>20220629</v>
      </c>
      <c r="E2113">
        <f t="shared" si="32"/>
        <v>6</v>
      </c>
      <c r="F2113">
        <v>468200</v>
      </c>
      <c r="G2113" t="s">
        <v>421</v>
      </c>
      <c r="H2113" t="s">
        <v>401</v>
      </c>
      <c r="I2113" t="s">
        <v>402</v>
      </c>
      <c r="J2113" t="s">
        <v>2478</v>
      </c>
      <c r="K2113">
        <v>20220629</v>
      </c>
      <c r="L2113" t="s">
        <v>422</v>
      </c>
      <c r="M2113">
        <v>0</v>
      </c>
      <c r="N2113">
        <v>52.9</v>
      </c>
      <c r="O2113" t="s">
        <v>23</v>
      </c>
      <c r="P2113">
        <v>20221005</v>
      </c>
      <c r="Q2113">
        <v>20220629</v>
      </c>
    </row>
    <row r="2114" spans="1:17" x14ac:dyDescent="0.25">
      <c r="A2114" t="s">
        <v>476</v>
      </c>
      <c r="B2114" t="s">
        <v>477</v>
      </c>
      <c r="C2114">
        <v>80</v>
      </c>
      <c r="D2114">
        <v>20220629</v>
      </c>
      <c r="E2114">
        <f t="shared" si="32"/>
        <v>6</v>
      </c>
      <c r="F2114">
        <v>512000</v>
      </c>
      <c r="G2114" t="s">
        <v>428</v>
      </c>
      <c r="H2114" t="s">
        <v>401</v>
      </c>
      <c r="I2114" t="s">
        <v>402</v>
      </c>
      <c r="J2114" t="s">
        <v>2478</v>
      </c>
      <c r="K2114">
        <v>20220629</v>
      </c>
      <c r="L2114" t="s">
        <v>422</v>
      </c>
      <c r="M2114">
        <v>52.9</v>
      </c>
      <c r="N2114">
        <v>0</v>
      </c>
      <c r="O2114" t="s">
        <v>19</v>
      </c>
      <c r="P2114" t="s">
        <v>20</v>
      </c>
      <c r="Q2114">
        <v>20220629</v>
      </c>
    </row>
    <row r="2115" spans="1:17" x14ac:dyDescent="0.25">
      <c r="A2115" t="s">
        <v>476</v>
      </c>
      <c r="B2115" t="s">
        <v>477</v>
      </c>
      <c r="C2115">
        <v>80</v>
      </c>
      <c r="D2115">
        <v>20220630</v>
      </c>
      <c r="E2115">
        <f t="shared" ref="E2115:E2178" si="33">VALUE(MID(D2115,5,2))</f>
        <v>6</v>
      </c>
      <c r="F2115">
        <v>401000</v>
      </c>
      <c r="G2115" t="s">
        <v>41</v>
      </c>
      <c r="H2115" t="s">
        <v>458</v>
      </c>
      <c r="I2115" t="s">
        <v>459</v>
      </c>
      <c r="J2115" t="s">
        <v>2479</v>
      </c>
      <c r="K2115">
        <v>20220630</v>
      </c>
      <c r="L2115" t="s">
        <v>546</v>
      </c>
      <c r="M2115">
        <v>669.6</v>
      </c>
      <c r="N2115">
        <v>0</v>
      </c>
      <c r="O2115" t="s">
        <v>23</v>
      </c>
      <c r="P2115">
        <v>20221005</v>
      </c>
      <c r="Q2115">
        <v>20220630</v>
      </c>
    </row>
    <row r="2116" spans="1:17" x14ac:dyDescent="0.25">
      <c r="A2116" t="s">
        <v>476</v>
      </c>
      <c r="B2116" t="s">
        <v>477</v>
      </c>
      <c r="C2116">
        <v>80</v>
      </c>
      <c r="D2116">
        <v>20220630</v>
      </c>
      <c r="E2116">
        <f t="shared" si="33"/>
        <v>6</v>
      </c>
      <c r="F2116">
        <v>512000</v>
      </c>
      <c r="G2116" t="s">
        <v>428</v>
      </c>
      <c r="H2116" t="s">
        <v>401</v>
      </c>
      <c r="I2116" t="s">
        <v>402</v>
      </c>
      <c r="J2116" t="s">
        <v>2479</v>
      </c>
      <c r="K2116">
        <v>20220630</v>
      </c>
      <c r="L2116" t="s">
        <v>546</v>
      </c>
      <c r="M2116">
        <v>0</v>
      </c>
      <c r="N2116">
        <v>669.6</v>
      </c>
      <c r="O2116" t="s">
        <v>19</v>
      </c>
      <c r="P2116" t="s">
        <v>20</v>
      </c>
      <c r="Q2116">
        <v>20220630</v>
      </c>
    </row>
    <row r="2117" spans="1:17" x14ac:dyDescent="0.25">
      <c r="A2117" t="s">
        <v>476</v>
      </c>
      <c r="B2117" t="s">
        <v>477</v>
      </c>
      <c r="C2117">
        <v>80</v>
      </c>
      <c r="D2117">
        <v>20220630</v>
      </c>
      <c r="E2117">
        <f t="shared" si="33"/>
        <v>6</v>
      </c>
      <c r="F2117">
        <v>468200</v>
      </c>
      <c r="G2117" t="s">
        <v>421</v>
      </c>
      <c r="H2117" t="s">
        <v>401</v>
      </c>
      <c r="I2117" t="s">
        <v>402</v>
      </c>
      <c r="J2117" t="s">
        <v>2480</v>
      </c>
      <c r="K2117">
        <v>20220630</v>
      </c>
      <c r="L2117" t="s">
        <v>422</v>
      </c>
      <c r="M2117">
        <v>0</v>
      </c>
      <c r="N2117">
        <v>681.05</v>
      </c>
      <c r="O2117" t="s">
        <v>23</v>
      </c>
      <c r="P2117">
        <v>20221005</v>
      </c>
      <c r="Q2117">
        <v>20220630</v>
      </c>
    </row>
    <row r="2118" spans="1:17" x14ac:dyDescent="0.25">
      <c r="A2118" t="s">
        <v>476</v>
      </c>
      <c r="B2118" t="s">
        <v>477</v>
      </c>
      <c r="C2118">
        <v>80</v>
      </c>
      <c r="D2118">
        <v>20220630</v>
      </c>
      <c r="E2118">
        <f t="shared" si="33"/>
        <v>6</v>
      </c>
      <c r="F2118">
        <v>512000</v>
      </c>
      <c r="G2118" t="s">
        <v>428</v>
      </c>
      <c r="H2118" t="s">
        <v>401</v>
      </c>
      <c r="I2118" t="s">
        <v>402</v>
      </c>
      <c r="J2118" t="s">
        <v>2480</v>
      </c>
      <c r="K2118">
        <v>20220630</v>
      </c>
      <c r="L2118" t="s">
        <v>422</v>
      </c>
      <c r="M2118">
        <v>681.05</v>
      </c>
      <c r="N2118">
        <v>0</v>
      </c>
      <c r="O2118" t="s">
        <v>19</v>
      </c>
      <c r="P2118" t="s">
        <v>20</v>
      </c>
      <c r="Q2118">
        <v>20220630</v>
      </c>
    </row>
    <row r="2119" spans="1:17" x14ac:dyDescent="0.25">
      <c r="A2119" t="s">
        <v>548</v>
      </c>
      <c r="B2119" t="s">
        <v>429</v>
      </c>
      <c r="C2119">
        <v>81</v>
      </c>
      <c r="D2119">
        <v>20220601</v>
      </c>
      <c r="E2119">
        <f t="shared" si="33"/>
        <v>6</v>
      </c>
      <c r="F2119">
        <v>467100</v>
      </c>
      <c r="G2119" t="s">
        <v>160</v>
      </c>
      <c r="H2119" t="s">
        <v>1201</v>
      </c>
      <c r="I2119" t="s">
        <v>1202</v>
      </c>
      <c r="J2119" t="s">
        <v>2481</v>
      </c>
      <c r="K2119">
        <v>20220601</v>
      </c>
      <c r="L2119" t="s">
        <v>2482</v>
      </c>
      <c r="M2119">
        <v>14.2</v>
      </c>
      <c r="N2119">
        <v>0</v>
      </c>
      <c r="O2119" t="s">
        <v>23</v>
      </c>
      <c r="P2119">
        <v>20220905</v>
      </c>
      <c r="Q2119">
        <v>20220601</v>
      </c>
    </row>
    <row r="2120" spans="1:17" x14ac:dyDescent="0.25">
      <c r="A2120" t="s">
        <v>548</v>
      </c>
      <c r="B2120" t="s">
        <v>429</v>
      </c>
      <c r="C2120">
        <v>81</v>
      </c>
      <c r="D2120">
        <v>20220601</v>
      </c>
      <c r="E2120">
        <f t="shared" si="33"/>
        <v>6</v>
      </c>
      <c r="F2120">
        <v>531105</v>
      </c>
      <c r="G2120" t="s">
        <v>429</v>
      </c>
      <c r="H2120" t="s">
        <v>401</v>
      </c>
      <c r="I2120" t="s">
        <v>402</v>
      </c>
      <c r="J2120" t="s">
        <v>2481</v>
      </c>
      <c r="K2120">
        <v>20220601</v>
      </c>
      <c r="L2120" t="s">
        <v>2482</v>
      </c>
      <c r="M2120">
        <v>0</v>
      </c>
      <c r="N2120">
        <v>14.2</v>
      </c>
      <c r="O2120" t="s">
        <v>19</v>
      </c>
      <c r="P2120" t="s">
        <v>20</v>
      </c>
      <c r="Q2120">
        <v>20220601</v>
      </c>
    </row>
    <row r="2121" spans="1:17" x14ac:dyDescent="0.25">
      <c r="A2121" t="s">
        <v>548</v>
      </c>
      <c r="B2121" t="s">
        <v>429</v>
      </c>
      <c r="C2121">
        <v>81</v>
      </c>
      <c r="D2121">
        <v>20220602</v>
      </c>
      <c r="E2121">
        <f t="shared" si="33"/>
        <v>6</v>
      </c>
      <c r="F2121">
        <v>580000</v>
      </c>
      <c r="G2121" t="s">
        <v>532</v>
      </c>
      <c r="H2121" t="s">
        <v>401</v>
      </c>
      <c r="I2121" t="s">
        <v>402</v>
      </c>
      <c r="J2121" t="s">
        <v>2483</v>
      </c>
      <c r="K2121">
        <v>20220602</v>
      </c>
      <c r="L2121" t="s">
        <v>625</v>
      </c>
      <c r="M2121">
        <v>1541</v>
      </c>
      <c r="N2121">
        <v>0</v>
      </c>
      <c r="O2121" t="s">
        <v>22</v>
      </c>
      <c r="P2121">
        <v>20220602</v>
      </c>
      <c r="Q2121">
        <v>20220602</v>
      </c>
    </row>
    <row r="2122" spans="1:17" x14ac:dyDescent="0.25">
      <c r="A2122" t="s">
        <v>548</v>
      </c>
      <c r="B2122" t="s">
        <v>429</v>
      </c>
      <c r="C2122">
        <v>81</v>
      </c>
      <c r="D2122">
        <v>20220602</v>
      </c>
      <c r="E2122">
        <f t="shared" si="33"/>
        <v>6</v>
      </c>
      <c r="F2122">
        <v>531105</v>
      </c>
      <c r="G2122" t="s">
        <v>429</v>
      </c>
      <c r="H2122" t="s">
        <v>401</v>
      </c>
      <c r="I2122" t="s">
        <v>402</v>
      </c>
      <c r="J2122" t="s">
        <v>2483</v>
      </c>
      <c r="K2122">
        <v>20220602</v>
      </c>
      <c r="L2122" t="s">
        <v>625</v>
      </c>
      <c r="M2122">
        <v>0</v>
      </c>
      <c r="N2122">
        <v>1541</v>
      </c>
      <c r="O2122" t="s">
        <v>19</v>
      </c>
      <c r="P2122" t="s">
        <v>20</v>
      </c>
      <c r="Q2122">
        <v>20220602</v>
      </c>
    </row>
    <row r="2123" spans="1:17" x14ac:dyDescent="0.25">
      <c r="A2123" t="s">
        <v>548</v>
      </c>
      <c r="B2123" t="s">
        <v>429</v>
      </c>
      <c r="C2123">
        <v>81</v>
      </c>
      <c r="D2123">
        <v>20220603</v>
      </c>
      <c r="E2123">
        <f t="shared" si="33"/>
        <v>6</v>
      </c>
      <c r="F2123">
        <v>467100</v>
      </c>
      <c r="G2123" t="s">
        <v>160</v>
      </c>
      <c r="H2123" t="s">
        <v>316</v>
      </c>
      <c r="I2123" t="s">
        <v>317</v>
      </c>
      <c r="J2123" t="s">
        <v>2484</v>
      </c>
      <c r="K2123">
        <v>20220603</v>
      </c>
      <c r="L2123" t="s">
        <v>2485</v>
      </c>
      <c r="M2123">
        <v>200</v>
      </c>
      <c r="N2123">
        <v>0</v>
      </c>
      <c r="O2123" t="s">
        <v>23</v>
      </c>
      <c r="P2123">
        <v>20220801</v>
      </c>
      <c r="Q2123">
        <v>20220603</v>
      </c>
    </row>
    <row r="2124" spans="1:17" x14ac:dyDescent="0.25">
      <c r="A2124" t="s">
        <v>548</v>
      </c>
      <c r="B2124" t="s">
        <v>429</v>
      </c>
      <c r="C2124">
        <v>81</v>
      </c>
      <c r="D2124">
        <v>20220603</v>
      </c>
      <c r="E2124">
        <f t="shared" si="33"/>
        <v>6</v>
      </c>
      <c r="F2124">
        <v>531105</v>
      </c>
      <c r="G2124" t="s">
        <v>429</v>
      </c>
      <c r="H2124" t="s">
        <v>401</v>
      </c>
      <c r="I2124" t="s">
        <v>402</v>
      </c>
      <c r="J2124" t="s">
        <v>2484</v>
      </c>
      <c r="K2124">
        <v>20220603</v>
      </c>
      <c r="L2124" t="s">
        <v>2485</v>
      </c>
      <c r="M2124">
        <v>0</v>
      </c>
      <c r="N2124">
        <v>200</v>
      </c>
      <c r="O2124" t="s">
        <v>19</v>
      </c>
      <c r="P2124" t="s">
        <v>20</v>
      </c>
      <c r="Q2124">
        <v>20220603</v>
      </c>
    </row>
    <row r="2125" spans="1:17" x14ac:dyDescent="0.25">
      <c r="A2125" t="s">
        <v>548</v>
      </c>
      <c r="B2125" t="s">
        <v>429</v>
      </c>
      <c r="C2125">
        <v>81</v>
      </c>
      <c r="D2125">
        <v>20220603</v>
      </c>
      <c r="E2125">
        <f t="shared" si="33"/>
        <v>6</v>
      </c>
      <c r="F2125">
        <v>411100</v>
      </c>
      <c r="G2125" t="s">
        <v>18</v>
      </c>
      <c r="H2125" t="s">
        <v>305</v>
      </c>
      <c r="I2125" t="s">
        <v>306</v>
      </c>
      <c r="J2125">
        <v>122050044</v>
      </c>
      <c r="K2125">
        <v>20220603</v>
      </c>
      <c r="L2125" t="s">
        <v>2486</v>
      </c>
      <c r="M2125">
        <v>0</v>
      </c>
      <c r="N2125">
        <v>81.95</v>
      </c>
      <c r="O2125" t="s">
        <v>23</v>
      </c>
      <c r="P2125">
        <v>20230329</v>
      </c>
      <c r="Q2125">
        <v>20220603</v>
      </c>
    </row>
    <row r="2126" spans="1:17" x14ac:dyDescent="0.25">
      <c r="A2126" t="s">
        <v>548</v>
      </c>
      <c r="B2126" t="s">
        <v>429</v>
      </c>
      <c r="C2126">
        <v>81</v>
      </c>
      <c r="D2126">
        <v>20220603</v>
      </c>
      <c r="E2126">
        <f t="shared" si="33"/>
        <v>6</v>
      </c>
      <c r="F2126">
        <v>411100</v>
      </c>
      <c r="G2126" t="s">
        <v>18</v>
      </c>
      <c r="H2126" t="s">
        <v>305</v>
      </c>
      <c r="I2126" t="s">
        <v>306</v>
      </c>
      <c r="J2126">
        <v>122010050</v>
      </c>
      <c r="K2126">
        <v>20220603</v>
      </c>
      <c r="L2126" t="s">
        <v>2487</v>
      </c>
      <c r="M2126">
        <v>0</v>
      </c>
      <c r="N2126">
        <v>131.22999999999999</v>
      </c>
      <c r="O2126" t="s">
        <v>23</v>
      </c>
      <c r="P2126">
        <v>20230329</v>
      </c>
      <c r="Q2126">
        <v>20220603</v>
      </c>
    </row>
    <row r="2127" spans="1:17" x14ac:dyDescent="0.25">
      <c r="A2127" t="s">
        <v>548</v>
      </c>
      <c r="B2127" t="s">
        <v>429</v>
      </c>
      <c r="C2127">
        <v>81</v>
      </c>
      <c r="D2127">
        <v>20220603</v>
      </c>
      <c r="E2127">
        <f t="shared" si="33"/>
        <v>6</v>
      </c>
      <c r="F2127">
        <v>411100</v>
      </c>
      <c r="G2127" t="s">
        <v>18</v>
      </c>
      <c r="H2127" t="s">
        <v>305</v>
      </c>
      <c r="I2127" t="s">
        <v>306</v>
      </c>
      <c r="J2127">
        <v>122010050</v>
      </c>
      <c r="K2127">
        <v>20220603</v>
      </c>
      <c r="L2127" t="s">
        <v>2488</v>
      </c>
      <c r="M2127">
        <v>120</v>
      </c>
      <c r="N2127">
        <v>0</v>
      </c>
      <c r="O2127" t="s">
        <v>22</v>
      </c>
      <c r="P2127">
        <v>20230218</v>
      </c>
      <c r="Q2127">
        <v>20220603</v>
      </c>
    </row>
    <row r="2128" spans="1:17" x14ac:dyDescent="0.25">
      <c r="A2128" t="s">
        <v>548</v>
      </c>
      <c r="B2128" t="s">
        <v>429</v>
      </c>
      <c r="C2128">
        <v>81</v>
      </c>
      <c r="D2128">
        <v>20220603</v>
      </c>
      <c r="E2128">
        <f t="shared" si="33"/>
        <v>6</v>
      </c>
      <c r="F2128">
        <v>411100</v>
      </c>
      <c r="G2128" t="s">
        <v>18</v>
      </c>
      <c r="H2128" t="s">
        <v>1417</v>
      </c>
      <c r="I2128" t="s">
        <v>1418</v>
      </c>
      <c r="J2128">
        <v>121090166</v>
      </c>
      <c r="K2128">
        <v>20220603</v>
      </c>
      <c r="L2128" t="s">
        <v>2489</v>
      </c>
      <c r="M2128">
        <v>0</v>
      </c>
      <c r="N2128">
        <v>2</v>
      </c>
      <c r="O2128" t="s">
        <v>23</v>
      </c>
      <c r="P2128">
        <v>20230329</v>
      </c>
      <c r="Q2128">
        <v>20220603</v>
      </c>
    </row>
    <row r="2129" spans="1:17" x14ac:dyDescent="0.25">
      <c r="A2129" t="s">
        <v>548</v>
      </c>
      <c r="B2129" t="s">
        <v>429</v>
      </c>
      <c r="C2129">
        <v>81</v>
      </c>
      <c r="D2129">
        <v>20220603</v>
      </c>
      <c r="E2129">
        <f t="shared" si="33"/>
        <v>6</v>
      </c>
      <c r="F2129">
        <v>411100</v>
      </c>
      <c r="G2129" t="s">
        <v>18</v>
      </c>
      <c r="H2129" t="s">
        <v>1421</v>
      </c>
      <c r="I2129" t="s">
        <v>1422</v>
      </c>
      <c r="J2129">
        <v>121090140</v>
      </c>
      <c r="K2129">
        <v>20220603</v>
      </c>
      <c r="L2129" t="s">
        <v>2490</v>
      </c>
      <c r="M2129">
        <v>0</v>
      </c>
      <c r="N2129">
        <v>2</v>
      </c>
      <c r="O2129" t="s">
        <v>22</v>
      </c>
      <c r="P2129">
        <v>20230218</v>
      </c>
      <c r="Q2129">
        <v>20220603</v>
      </c>
    </row>
    <row r="2130" spans="1:17" x14ac:dyDescent="0.25">
      <c r="A2130" t="s">
        <v>548</v>
      </c>
      <c r="B2130" t="s">
        <v>429</v>
      </c>
      <c r="C2130">
        <v>81</v>
      </c>
      <c r="D2130">
        <v>20220603</v>
      </c>
      <c r="E2130">
        <f t="shared" si="33"/>
        <v>6</v>
      </c>
      <c r="F2130">
        <v>411100</v>
      </c>
      <c r="G2130" t="s">
        <v>18</v>
      </c>
      <c r="H2130" t="s">
        <v>179</v>
      </c>
      <c r="I2130" t="s">
        <v>180</v>
      </c>
      <c r="J2130">
        <v>121090151</v>
      </c>
      <c r="K2130">
        <v>20220603</v>
      </c>
      <c r="L2130" t="s">
        <v>2491</v>
      </c>
      <c r="M2130">
        <v>0</v>
      </c>
      <c r="N2130">
        <v>2</v>
      </c>
      <c r="O2130" t="s">
        <v>22</v>
      </c>
      <c r="P2130">
        <v>20230218</v>
      </c>
      <c r="Q2130">
        <v>20220603</v>
      </c>
    </row>
    <row r="2131" spans="1:17" x14ac:dyDescent="0.25">
      <c r="A2131" t="s">
        <v>548</v>
      </c>
      <c r="B2131" t="s">
        <v>429</v>
      </c>
      <c r="C2131">
        <v>81</v>
      </c>
      <c r="D2131">
        <v>20220603</v>
      </c>
      <c r="E2131">
        <f t="shared" si="33"/>
        <v>6</v>
      </c>
      <c r="F2131">
        <v>411100</v>
      </c>
      <c r="G2131" t="s">
        <v>18</v>
      </c>
      <c r="H2131" t="s">
        <v>243</v>
      </c>
      <c r="I2131" t="s">
        <v>244</v>
      </c>
      <c r="J2131">
        <v>121090224</v>
      </c>
      <c r="K2131">
        <v>20220603</v>
      </c>
      <c r="L2131" t="s">
        <v>2492</v>
      </c>
      <c r="M2131">
        <v>0</v>
      </c>
      <c r="N2131">
        <v>2</v>
      </c>
      <c r="O2131" t="s">
        <v>23</v>
      </c>
      <c r="P2131">
        <v>20230329</v>
      </c>
      <c r="Q2131">
        <v>20220603</v>
      </c>
    </row>
    <row r="2132" spans="1:17" x14ac:dyDescent="0.25">
      <c r="A2132" t="s">
        <v>548</v>
      </c>
      <c r="B2132" t="s">
        <v>429</v>
      </c>
      <c r="C2132">
        <v>81</v>
      </c>
      <c r="D2132">
        <v>20220603</v>
      </c>
      <c r="E2132">
        <f t="shared" si="33"/>
        <v>6</v>
      </c>
      <c r="F2132">
        <v>531105</v>
      </c>
      <c r="G2132" t="s">
        <v>429</v>
      </c>
      <c r="H2132" t="s">
        <v>401</v>
      </c>
      <c r="I2132" t="s">
        <v>402</v>
      </c>
      <c r="J2132">
        <v>343634</v>
      </c>
      <c r="K2132">
        <v>20220603</v>
      </c>
      <c r="L2132" t="s">
        <v>565</v>
      </c>
      <c r="M2132">
        <v>101.18</v>
      </c>
      <c r="N2132">
        <v>0</v>
      </c>
      <c r="O2132" t="s">
        <v>19</v>
      </c>
      <c r="P2132" t="s">
        <v>20</v>
      </c>
      <c r="Q2132">
        <v>20220603</v>
      </c>
    </row>
    <row r="2133" spans="1:17" x14ac:dyDescent="0.25">
      <c r="A2133" t="s">
        <v>548</v>
      </c>
      <c r="B2133" t="s">
        <v>429</v>
      </c>
      <c r="C2133">
        <v>81</v>
      </c>
      <c r="D2133">
        <v>20220607</v>
      </c>
      <c r="E2133">
        <f t="shared" si="33"/>
        <v>6</v>
      </c>
      <c r="F2133">
        <v>467100</v>
      </c>
      <c r="G2133" t="s">
        <v>160</v>
      </c>
      <c r="H2133" t="s">
        <v>1201</v>
      </c>
      <c r="I2133" t="s">
        <v>1202</v>
      </c>
      <c r="J2133" t="s">
        <v>2493</v>
      </c>
      <c r="K2133">
        <v>20220607</v>
      </c>
      <c r="L2133" t="s">
        <v>2494</v>
      </c>
      <c r="M2133">
        <v>18.899999999999999</v>
      </c>
      <c r="N2133">
        <v>0</v>
      </c>
      <c r="O2133" t="s">
        <v>23</v>
      </c>
      <c r="P2133">
        <v>20220831</v>
      </c>
      <c r="Q2133">
        <v>20220607</v>
      </c>
    </row>
    <row r="2134" spans="1:17" x14ac:dyDescent="0.25">
      <c r="A2134" t="s">
        <v>548</v>
      </c>
      <c r="B2134" t="s">
        <v>429</v>
      </c>
      <c r="C2134">
        <v>81</v>
      </c>
      <c r="D2134">
        <v>20220607</v>
      </c>
      <c r="E2134">
        <f t="shared" si="33"/>
        <v>6</v>
      </c>
      <c r="F2134">
        <v>531105</v>
      </c>
      <c r="G2134" t="s">
        <v>429</v>
      </c>
      <c r="H2134" t="s">
        <v>401</v>
      </c>
      <c r="I2134" t="s">
        <v>402</v>
      </c>
      <c r="J2134" t="s">
        <v>2493</v>
      </c>
      <c r="K2134">
        <v>20220607</v>
      </c>
      <c r="L2134" t="s">
        <v>2494</v>
      </c>
      <c r="M2134">
        <v>0</v>
      </c>
      <c r="N2134">
        <v>18.899999999999999</v>
      </c>
      <c r="O2134" t="s">
        <v>19</v>
      </c>
      <c r="P2134" t="s">
        <v>20</v>
      </c>
      <c r="Q2134">
        <v>20220607</v>
      </c>
    </row>
    <row r="2135" spans="1:17" x14ac:dyDescent="0.25">
      <c r="A2135" t="s">
        <v>548</v>
      </c>
      <c r="B2135" t="s">
        <v>429</v>
      </c>
      <c r="C2135">
        <v>81</v>
      </c>
      <c r="D2135">
        <v>20220607</v>
      </c>
      <c r="E2135">
        <f t="shared" si="33"/>
        <v>6</v>
      </c>
      <c r="F2135">
        <v>467100</v>
      </c>
      <c r="G2135" t="s">
        <v>160</v>
      </c>
      <c r="H2135" t="s">
        <v>626</v>
      </c>
      <c r="I2135" t="s">
        <v>627</v>
      </c>
      <c r="J2135" t="s">
        <v>2495</v>
      </c>
      <c r="K2135">
        <v>20220607</v>
      </c>
      <c r="L2135" t="s">
        <v>2496</v>
      </c>
      <c r="M2135">
        <v>22.79</v>
      </c>
      <c r="N2135">
        <v>0</v>
      </c>
      <c r="O2135" t="s">
        <v>23</v>
      </c>
      <c r="P2135">
        <v>20220831</v>
      </c>
      <c r="Q2135">
        <v>20220607</v>
      </c>
    </row>
    <row r="2136" spans="1:17" x14ac:dyDescent="0.25">
      <c r="A2136" t="s">
        <v>548</v>
      </c>
      <c r="B2136" t="s">
        <v>429</v>
      </c>
      <c r="C2136">
        <v>81</v>
      </c>
      <c r="D2136">
        <v>20220607</v>
      </c>
      <c r="E2136">
        <f t="shared" si="33"/>
        <v>6</v>
      </c>
      <c r="F2136">
        <v>531105</v>
      </c>
      <c r="G2136" t="s">
        <v>429</v>
      </c>
      <c r="H2136" t="s">
        <v>401</v>
      </c>
      <c r="I2136" t="s">
        <v>402</v>
      </c>
      <c r="J2136" t="s">
        <v>2495</v>
      </c>
      <c r="K2136">
        <v>20220607</v>
      </c>
      <c r="L2136" t="s">
        <v>2496</v>
      </c>
      <c r="M2136">
        <v>0</v>
      </c>
      <c r="N2136">
        <v>22.79</v>
      </c>
      <c r="O2136" t="s">
        <v>19</v>
      </c>
      <c r="P2136" t="s">
        <v>20</v>
      </c>
      <c r="Q2136">
        <v>20220607</v>
      </c>
    </row>
    <row r="2137" spans="1:17" x14ac:dyDescent="0.25">
      <c r="A2137" t="s">
        <v>548</v>
      </c>
      <c r="B2137" t="s">
        <v>429</v>
      </c>
      <c r="C2137">
        <v>81</v>
      </c>
      <c r="D2137">
        <v>20220607</v>
      </c>
      <c r="E2137">
        <f t="shared" si="33"/>
        <v>6</v>
      </c>
      <c r="F2137">
        <v>467100</v>
      </c>
      <c r="G2137" t="s">
        <v>160</v>
      </c>
      <c r="H2137" t="s">
        <v>316</v>
      </c>
      <c r="I2137" t="s">
        <v>317</v>
      </c>
      <c r="J2137" t="s">
        <v>2497</v>
      </c>
      <c r="K2137">
        <v>20220607</v>
      </c>
      <c r="L2137" t="s">
        <v>2498</v>
      </c>
      <c r="M2137">
        <v>0</v>
      </c>
      <c r="N2137">
        <v>300</v>
      </c>
      <c r="O2137" t="s">
        <v>23</v>
      </c>
      <c r="P2137">
        <v>20220801</v>
      </c>
      <c r="Q2137">
        <v>20220607</v>
      </c>
    </row>
    <row r="2138" spans="1:17" x14ac:dyDescent="0.25">
      <c r="A2138" t="s">
        <v>548</v>
      </c>
      <c r="B2138" t="s">
        <v>429</v>
      </c>
      <c r="C2138">
        <v>81</v>
      </c>
      <c r="D2138">
        <v>20220607</v>
      </c>
      <c r="E2138">
        <f t="shared" si="33"/>
        <v>6</v>
      </c>
      <c r="F2138">
        <v>531105</v>
      </c>
      <c r="G2138" t="s">
        <v>429</v>
      </c>
      <c r="H2138" t="s">
        <v>401</v>
      </c>
      <c r="I2138" t="s">
        <v>402</v>
      </c>
      <c r="J2138" t="s">
        <v>2497</v>
      </c>
      <c r="K2138">
        <v>20220607</v>
      </c>
      <c r="L2138" t="s">
        <v>2498</v>
      </c>
      <c r="M2138">
        <v>300</v>
      </c>
      <c r="N2138">
        <v>0</v>
      </c>
      <c r="O2138" t="s">
        <v>19</v>
      </c>
      <c r="P2138" t="s">
        <v>20</v>
      </c>
      <c r="Q2138">
        <v>20220607</v>
      </c>
    </row>
    <row r="2139" spans="1:17" x14ac:dyDescent="0.25">
      <c r="A2139" t="s">
        <v>548</v>
      </c>
      <c r="B2139" t="s">
        <v>429</v>
      </c>
      <c r="C2139">
        <v>81</v>
      </c>
      <c r="D2139">
        <v>20220607</v>
      </c>
      <c r="E2139">
        <f t="shared" si="33"/>
        <v>6</v>
      </c>
      <c r="F2139">
        <v>467100</v>
      </c>
      <c r="G2139" t="s">
        <v>160</v>
      </c>
      <c r="H2139" t="s">
        <v>1307</v>
      </c>
      <c r="I2139" t="s">
        <v>1308</v>
      </c>
      <c r="J2139" t="s">
        <v>2499</v>
      </c>
      <c r="K2139">
        <v>20220607</v>
      </c>
      <c r="L2139" t="s">
        <v>2500</v>
      </c>
      <c r="M2139">
        <v>100</v>
      </c>
      <c r="N2139">
        <v>0</v>
      </c>
      <c r="O2139" t="s">
        <v>23</v>
      </c>
      <c r="P2139">
        <v>20220905</v>
      </c>
      <c r="Q2139">
        <v>20220607</v>
      </c>
    </row>
    <row r="2140" spans="1:17" x14ac:dyDescent="0.25">
      <c r="A2140" t="s">
        <v>548</v>
      </c>
      <c r="B2140" t="s">
        <v>429</v>
      </c>
      <c r="C2140">
        <v>81</v>
      </c>
      <c r="D2140">
        <v>20220607</v>
      </c>
      <c r="E2140">
        <f t="shared" si="33"/>
        <v>6</v>
      </c>
      <c r="F2140">
        <v>531105</v>
      </c>
      <c r="G2140" t="s">
        <v>429</v>
      </c>
      <c r="H2140" t="s">
        <v>401</v>
      </c>
      <c r="I2140" t="s">
        <v>402</v>
      </c>
      <c r="J2140" t="s">
        <v>2499</v>
      </c>
      <c r="K2140">
        <v>20220607</v>
      </c>
      <c r="L2140" t="s">
        <v>2500</v>
      </c>
      <c r="M2140">
        <v>0</v>
      </c>
      <c r="N2140">
        <v>100</v>
      </c>
      <c r="O2140" t="s">
        <v>19</v>
      </c>
      <c r="P2140" t="s">
        <v>20</v>
      </c>
      <c r="Q2140">
        <v>20220607</v>
      </c>
    </row>
    <row r="2141" spans="1:17" x14ac:dyDescent="0.25">
      <c r="A2141" t="s">
        <v>548</v>
      </c>
      <c r="B2141" t="s">
        <v>429</v>
      </c>
      <c r="C2141">
        <v>81</v>
      </c>
      <c r="D2141">
        <v>20220607</v>
      </c>
      <c r="E2141">
        <f t="shared" si="33"/>
        <v>6</v>
      </c>
      <c r="F2141">
        <v>411100</v>
      </c>
      <c r="G2141" t="s">
        <v>18</v>
      </c>
      <c r="H2141" t="s">
        <v>2501</v>
      </c>
      <c r="I2141" t="s">
        <v>2502</v>
      </c>
      <c r="J2141">
        <v>343635</v>
      </c>
      <c r="K2141">
        <v>20220607</v>
      </c>
      <c r="L2141" t="s">
        <v>2503</v>
      </c>
      <c r="M2141">
        <v>0</v>
      </c>
      <c r="N2141">
        <v>10</v>
      </c>
      <c r="O2141" t="s">
        <v>22</v>
      </c>
      <c r="P2141">
        <v>20230218</v>
      </c>
      <c r="Q2141">
        <v>20220607</v>
      </c>
    </row>
    <row r="2142" spans="1:17" x14ac:dyDescent="0.25">
      <c r="A2142" t="s">
        <v>548</v>
      </c>
      <c r="B2142" t="s">
        <v>429</v>
      </c>
      <c r="C2142">
        <v>81</v>
      </c>
      <c r="D2142">
        <v>20220607</v>
      </c>
      <c r="E2142">
        <f t="shared" si="33"/>
        <v>6</v>
      </c>
      <c r="F2142">
        <v>531105</v>
      </c>
      <c r="G2142" t="s">
        <v>429</v>
      </c>
      <c r="H2142" t="s">
        <v>401</v>
      </c>
      <c r="I2142" t="s">
        <v>402</v>
      </c>
      <c r="J2142">
        <v>343636</v>
      </c>
      <c r="K2142">
        <v>20220607</v>
      </c>
      <c r="L2142" t="s">
        <v>565</v>
      </c>
      <c r="M2142">
        <v>10</v>
      </c>
      <c r="N2142">
        <v>0</v>
      </c>
      <c r="O2142" t="s">
        <v>19</v>
      </c>
      <c r="P2142" t="s">
        <v>20</v>
      </c>
      <c r="Q2142">
        <v>20220607</v>
      </c>
    </row>
    <row r="2143" spans="1:17" x14ac:dyDescent="0.25">
      <c r="A2143" t="s">
        <v>548</v>
      </c>
      <c r="B2143" t="s">
        <v>429</v>
      </c>
      <c r="C2143">
        <v>81</v>
      </c>
      <c r="D2143">
        <v>20220608</v>
      </c>
      <c r="E2143">
        <f t="shared" si="33"/>
        <v>6</v>
      </c>
      <c r="F2143">
        <v>467100</v>
      </c>
      <c r="G2143" t="s">
        <v>160</v>
      </c>
      <c r="H2143" t="s">
        <v>1307</v>
      </c>
      <c r="I2143" t="s">
        <v>1308</v>
      </c>
      <c r="J2143" t="s">
        <v>2504</v>
      </c>
      <c r="K2143">
        <v>20220608</v>
      </c>
      <c r="L2143" t="s">
        <v>2505</v>
      </c>
      <c r="M2143">
        <v>0</v>
      </c>
      <c r="N2143">
        <v>5</v>
      </c>
      <c r="O2143" t="s">
        <v>23</v>
      </c>
      <c r="P2143">
        <v>20220905</v>
      </c>
      <c r="Q2143">
        <v>20220608</v>
      </c>
    </row>
    <row r="2144" spans="1:17" x14ac:dyDescent="0.25">
      <c r="A2144" t="s">
        <v>548</v>
      </c>
      <c r="B2144" t="s">
        <v>429</v>
      </c>
      <c r="C2144">
        <v>81</v>
      </c>
      <c r="D2144">
        <v>20220608</v>
      </c>
      <c r="E2144">
        <f t="shared" si="33"/>
        <v>6</v>
      </c>
      <c r="F2144">
        <v>531105</v>
      </c>
      <c r="G2144" t="s">
        <v>429</v>
      </c>
      <c r="H2144" t="s">
        <v>401</v>
      </c>
      <c r="I2144" t="s">
        <v>402</v>
      </c>
      <c r="J2144" t="s">
        <v>2504</v>
      </c>
      <c r="K2144">
        <v>20220608</v>
      </c>
      <c r="L2144" t="s">
        <v>2505</v>
      </c>
      <c r="M2144">
        <v>5</v>
      </c>
      <c r="N2144">
        <v>0</v>
      </c>
      <c r="O2144" t="s">
        <v>19</v>
      </c>
      <c r="P2144" t="s">
        <v>20</v>
      </c>
      <c r="Q2144">
        <v>20220608</v>
      </c>
    </row>
    <row r="2145" spans="1:17" x14ac:dyDescent="0.25">
      <c r="A2145" t="s">
        <v>548</v>
      </c>
      <c r="B2145" t="s">
        <v>429</v>
      </c>
      <c r="C2145">
        <v>81</v>
      </c>
      <c r="D2145">
        <v>20220608</v>
      </c>
      <c r="E2145">
        <f t="shared" si="33"/>
        <v>6</v>
      </c>
      <c r="F2145">
        <v>467100</v>
      </c>
      <c r="G2145" t="s">
        <v>160</v>
      </c>
      <c r="H2145" t="s">
        <v>626</v>
      </c>
      <c r="I2145" t="s">
        <v>627</v>
      </c>
      <c r="J2145" t="s">
        <v>2506</v>
      </c>
      <c r="K2145">
        <v>20220608</v>
      </c>
      <c r="L2145" t="s">
        <v>2507</v>
      </c>
      <c r="M2145">
        <v>44.96</v>
      </c>
      <c r="N2145">
        <v>0</v>
      </c>
      <c r="O2145" t="s">
        <v>23</v>
      </c>
      <c r="P2145">
        <v>20220801</v>
      </c>
      <c r="Q2145">
        <v>20220608</v>
      </c>
    </row>
    <row r="2146" spans="1:17" x14ac:dyDescent="0.25">
      <c r="A2146" t="s">
        <v>548</v>
      </c>
      <c r="B2146" t="s">
        <v>429</v>
      </c>
      <c r="C2146">
        <v>81</v>
      </c>
      <c r="D2146">
        <v>20220608</v>
      </c>
      <c r="E2146">
        <f t="shared" si="33"/>
        <v>6</v>
      </c>
      <c r="F2146">
        <v>531105</v>
      </c>
      <c r="G2146" t="s">
        <v>429</v>
      </c>
      <c r="H2146" t="s">
        <v>401</v>
      </c>
      <c r="I2146" t="s">
        <v>402</v>
      </c>
      <c r="J2146" t="s">
        <v>2506</v>
      </c>
      <c r="K2146">
        <v>20220608</v>
      </c>
      <c r="L2146" t="s">
        <v>2507</v>
      </c>
      <c r="M2146">
        <v>0</v>
      </c>
      <c r="N2146">
        <v>44.96</v>
      </c>
      <c r="O2146" t="s">
        <v>19</v>
      </c>
      <c r="P2146" t="s">
        <v>20</v>
      </c>
      <c r="Q2146">
        <v>20220608</v>
      </c>
    </row>
    <row r="2147" spans="1:17" x14ac:dyDescent="0.25">
      <c r="A2147" t="s">
        <v>548</v>
      </c>
      <c r="B2147" t="s">
        <v>429</v>
      </c>
      <c r="C2147">
        <v>81</v>
      </c>
      <c r="D2147">
        <v>20220608</v>
      </c>
      <c r="E2147">
        <f t="shared" si="33"/>
        <v>6</v>
      </c>
      <c r="F2147">
        <v>411100</v>
      </c>
      <c r="G2147" t="s">
        <v>18</v>
      </c>
      <c r="H2147" t="s">
        <v>297</v>
      </c>
      <c r="I2147" t="s">
        <v>298</v>
      </c>
      <c r="J2147">
        <v>122040044</v>
      </c>
      <c r="K2147">
        <v>20220608</v>
      </c>
      <c r="L2147" t="s">
        <v>2508</v>
      </c>
      <c r="M2147">
        <v>0</v>
      </c>
      <c r="N2147">
        <v>47.84</v>
      </c>
      <c r="O2147" t="s">
        <v>19</v>
      </c>
      <c r="P2147" t="s">
        <v>20</v>
      </c>
      <c r="Q2147">
        <v>20220608</v>
      </c>
    </row>
    <row r="2148" spans="1:17" x14ac:dyDescent="0.25">
      <c r="A2148" t="s">
        <v>548</v>
      </c>
      <c r="B2148" t="s">
        <v>429</v>
      </c>
      <c r="C2148">
        <v>81</v>
      </c>
      <c r="D2148">
        <v>20220608</v>
      </c>
      <c r="E2148">
        <f t="shared" si="33"/>
        <v>6</v>
      </c>
      <c r="F2148">
        <v>411100</v>
      </c>
      <c r="G2148" t="s">
        <v>18</v>
      </c>
      <c r="H2148" t="s">
        <v>297</v>
      </c>
      <c r="I2148" t="s">
        <v>298</v>
      </c>
      <c r="J2148">
        <v>122040044</v>
      </c>
      <c r="K2148">
        <v>20220608</v>
      </c>
      <c r="L2148" t="s">
        <v>2509</v>
      </c>
      <c r="M2148">
        <v>7.1</v>
      </c>
      <c r="N2148">
        <v>0</v>
      </c>
      <c r="O2148" t="s">
        <v>22</v>
      </c>
      <c r="P2148">
        <v>20230218</v>
      </c>
      <c r="Q2148">
        <v>20220608</v>
      </c>
    </row>
    <row r="2149" spans="1:17" x14ac:dyDescent="0.25">
      <c r="A2149" t="s">
        <v>548</v>
      </c>
      <c r="B2149" t="s">
        <v>429</v>
      </c>
      <c r="C2149">
        <v>81</v>
      </c>
      <c r="D2149">
        <v>20220608</v>
      </c>
      <c r="E2149">
        <f t="shared" si="33"/>
        <v>6</v>
      </c>
      <c r="F2149">
        <v>411100</v>
      </c>
      <c r="G2149" t="s">
        <v>18</v>
      </c>
      <c r="H2149" t="s">
        <v>352</v>
      </c>
      <c r="I2149" t="s">
        <v>353</v>
      </c>
      <c r="J2149">
        <v>343639</v>
      </c>
      <c r="K2149">
        <v>20220608</v>
      </c>
      <c r="L2149" t="s">
        <v>2510</v>
      </c>
      <c r="M2149">
        <v>0</v>
      </c>
      <c r="N2149">
        <v>48</v>
      </c>
      <c r="O2149" t="s">
        <v>22</v>
      </c>
      <c r="P2149">
        <v>20230218</v>
      </c>
      <c r="Q2149">
        <v>20220608</v>
      </c>
    </row>
    <row r="2150" spans="1:17" x14ac:dyDescent="0.25">
      <c r="A2150" t="s">
        <v>548</v>
      </c>
      <c r="B2150" t="s">
        <v>429</v>
      </c>
      <c r="C2150">
        <v>81</v>
      </c>
      <c r="D2150">
        <v>20220608</v>
      </c>
      <c r="E2150">
        <f t="shared" si="33"/>
        <v>6</v>
      </c>
      <c r="F2150">
        <v>531105</v>
      </c>
      <c r="G2150" t="s">
        <v>429</v>
      </c>
      <c r="H2150" t="s">
        <v>401</v>
      </c>
      <c r="I2150" t="s">
        <v>402</v>
      </c>
      <c r="J2150">
        <v>343640</v>
      </c>
      <c r="K2150">
        <v>20220608</v>
      </c>
      <c r="L2150" t="s">
        <v>565</v>
      </c>
      <c r="M2150">
        <v>88.74</v>
      </c>
      <c r="N2150">
        <v>0</v>
      </c>
      <c r="O2150" t="s">
        <v>19</v>
      </c>
      <c r="P2150" t="s">
        <v>20</v>
      </c>
      <c r="Q2150">
        <v>20220608</v>
      </c>
    </row>
    <row r="2151" spans="1:17" x14ac:dyDescent="0.25">
      <c r="A2151" t="s">
        <v>548</v>
      </c>
      <c r="B2151" t="s">
        <v>429</v>
      </c>
      <c r="C2151">
        <v>81</v>
      </c>
      <c r="D2151">
        <v>20220608</v>
      </c>
      <c r="E2151">
        <f t="shared" si="33"/>
        <v>6</v>
      </c>
      <c r="F2151">
        <v>411010</v>
      </c>
      <c r="G2151" t="s">
        <v>87</v>
      </c>
      <c r="H2151" t="s">
        <v>342</v>
      </c>
      <c r="I2151" t="s">
        <v>343</v>
      </c>
      <c r="J2151">
        <v>221100016</v>
      </c>
      <c r="K2151">
        <v>20220608</v>
      </c>
      <c r="L2151" t="s">
        <v>2511</v>
      </c>
      <c r="M2151">
        <v>0</v>
      </c>
      <c r="N2151">
        <v>150</v>
      </c>
      <c r="O2151" t="s">
        <v>19</v>
      </c>
      <c r="P2151" t="s">
        <v>20</v>
      </c>
      <c r="Q2151">
        <v>20220608</v>
      </c>
    </row>
    <row r="2152" spans="1:17" x14ac:dyDescent="0.25">
      <c r="A2152" t="s">
        <v>548</v>
      </c>
      <c r="B2152" t="s">
        <v>429</v>
      </c>
      <c r="C2152">
        <v>81</v>
      </c>
      <c r="D2152">
        <v>20220608</v>
      </c>
      <c r="E2152">
        <f t="shared" si="33"/>
        <v>6</v>
      </c>
      <c r="F2152">
        <v>411020</v>
      </c>
      <c r="G2152" t="s">
        <v>30</v>
      </c>
      <c r="H2152" t="s">
        <v>324</v>
      </c>
      <c r="I2152" t="s">
        <v>325</v>
      </c>
      <c r="J2152">
        <v>343866</v>
      </c>
      <c r="K2152">
        <v>20220608</v>
      </c>
      <c r="L2152" t="s">
        <v>2512</v>
      </c>
      <c r="M2152">
        <v>0</v>
      </c>
      <c r="N2152">
        <v>10.37</v>
      </c>
      <c r="O2152" t="s">
        <v>23</v>
      </c>
      <c r="P2152">
        <v>20230218</v>
      </c>
      <c r="Q2152">
        <v>20220608</v>
      </c>
    </row>
    <row r="2153" spans="1:17" x14ac:dyDescent="0.25">
      <c r="A2153" t="s">
        <v>548</v>
      </c>
      <c r="B2153" t="s">
        <v>429</v>
      </c>
      <c r="C2153">
        <v>81</v>
      </c>
      <c r="D2153">
        <v>20220608</v>
      </c>
      <c r="E2153">
        <f t="shared" si="33"/>
        <v>6</v>
      </c>
      <c r="F2153">
        <v>411100</v>
      </c>
      <c r="G2153" t="s">
        <v>18</v>
      </c>
      <c r="H2153" t="s">
        <v>352</v>
      </c>
      <c r="I2153" t="s">
        <v>353</v>
      </c>
      <c r="J2153">
        <v>343867</v>
      </c>
      <c r="K2153">
        <v>20220608</v>
      </c>
      <c r="L2153" t="s">
        <v>2513</v>
      </c>
      <c r="M2153">
        <v>0</v>
      </c>
      <c r="N2153">
        <v>160</v>
      </c>
      <c r="O2153" t="s">
        <v>19</v>
      </c>
      <c r="P2153" t="s">
        <v>20</v>
      </c>
      <c r="Q2153">
        <v>20220608</v>
      </c>
    </row>
    <row r="2154" spans="1:17" x14ac:dyDescent="0.25">
      <c r="A2154" t="s">
        <v>548</v>
      </c>
      <c r="B2154" t="s">
        <v>429</v>
      </c>
      <c r="C2154">
        <v>81</v>
      </c>
      <c r="D2154">
        <v>20220608</v>
      </c>
      <c r="E2154">
        <f t="shared" si="33"/>
        <v>6</v>
      </c>
      <c r="F2154">
        <v>411100</v>
      </c>
      <c r="G2154" t="s">
        <v>18</v>
      </c>
      <c r="H2154" t="s">
        <v>352</v>
      </c>
      <c r="I2154" t="s">
        <v>353</v>
      </c>
      <c r="J2154">
        <v>343868</v>
      </c>
      <c r="K2154">
        <v>20220608</v>
      </c>
      <c r="L2154" t="s">
        <v>2514</v>
      </c>
      <c r="M2154">
        <v>0</v>
      </c>
      <c r="N2154">
        <v>9</v>
      </c>
      <c r="O2154" t="s">
        <v>19</v>
      </c>
      <c r="P2154" t="s">
        <v>20</v>
      </c>
      <c r="Q2154">
        <v>20220608</v>
      </c>
    </row>
    <row r="2155" spans="1:17" x14ac:dyDescent="0.25">
      <c r="A2155" t="s">
        <v>548</v>
      </c>
      <c r="B2155" t="s">
        <v>429</v>
      </c>
      <c r="C2155">
        <v>81</v>
      </c>
      <c r="D2155">
        <v>20220608</v>
      </c>
      <c r="E2155">
        <f t="shared" si="33"/>
        <v>6</v>
      </c>
      <c r="F2155">
        <v>531105</v>
      </c>
      <c r="G2155" t="s">
        <v>429</v>
      </c>
      <c r="H2155" t="s">
        <v>401</v>
      </c>
      <c r="I2155" t="s">
        <v>402</v>
      </c>
      <c r="J2155">
        <v>343869</v>
      </c>
      <c r="K2155">
        <v>20220608</v>
      </c>
      <c r="L2155" t="s">
        <v>565</v>
      </c>
      <c r="M2155">
        <v>329.37</v>
      </c>
      <c r="N2155">
        <v>0</v>
      </c>
      <c r="O2155" t="s">
        <v>19</v>
      </c>
      <c r="P2155" t="s">
        <v>20</v>
      </c>
      <c r="Q2155">
        <v>20220608</v>
      </c>
    </row>
    <row r="2156" spans="1:17" x14ac:dyDescent="0.25">
      <c r="A2156" t="s">
        <v>548</v>
      </c>
      <c r="B2156" t="s">
        <v>429</v>
      </c>
      <c r="C2156">
        <v>81</v>
      </c>
      <c r="D2156">
        <v>20220609</v>
      </c>
      <c r="E2156">
        <f t="shared" si="33"/>
        <v>6</v>
      </c>
      <c r="F2156">
        <v>467100</v>
      </c>
      <c r="G2156" t="s">
        <v>160</v>
      </c>
      <c r="H2156" t="s">
        <v>626</v>
      </c>
      <c r="I2156" t="s">
        <v>627</v>
      </c>
      <c r="J2156" t="s">
        <v>2515</v>
      </c>
      <c r="K2156">
        <v>20220609</v>
      </c>
      <c r="L2156" t="s">
        <v>2507</v>
      </c>
      <c r="M2156">
        <v>21.9</v>
      </c>
      <c r="N2156">
        <v>0</v>
      </c>
      <c r="O2156" t="s">
        <v>23</v>
      </c>
      <c r="P2156">
        <v>20220801</v>
      </c>
      <c r="Q2156">
        <v>20220609</v>
      </c>
    </row>
    <row r="2157" spans="1:17" x14ac:dyDescent="0.25">
      <c r="A2157" t="s">
        <v>548</v>
      </c>
      <c r="B2157" t="s">
        <v>429</v>
      </c>
      <c r="C2157">
        <v>81</v>
      </c>
      <c r="D2157">
        <v>20220609</v>
      </c>
      <c r="E2157">
        <f t="shared" si="33"/>
        <v>6</v>
      </c>
      <c r="F2157">
        <v>531105</v>
      </c>
      <c r="G2157" t="s">
        <v>429</v>
      </c>
      <c r="H2157" t="s">
        <v>401</v>
      </c>
      <c r="I2157" t="s">
        <v>402</v>
      </c>
      <c r="J2157" t="s">
        <v>2515</v>
      </c>
      <c r="K2157">
        <v>20220609</v>
      </c>
      <c r="L2157" t="s">
        <v>2507</v>
      </c>
      <c r="M2157">
        <v>0</v>
      </c>
      <c r="N2157">
        <v>21.9</v>
      </c>
      <c r="O2157" t="s">
        <v>19</v>
      </c>
      <c r="P2157" t="s">
        <v>20</v>
      </c>
      <c r="Q2157">
        <v>20220609</v>
      </c>
    </row>
    <row r="2158" spans="1:17" x14ac:dyDescent="0.25">
      <c r="A2158" t="s">
        <v>548</v>
      </c>
      <c r="B2158" t="s">
        <v>429</v>
      </c>
      <c r="C2158">
        <v>81</v>
      </c>
      <c r="D2158">
        <v>20220609</v>
      </c>
      <c r="E2158">
        <f t="shared" si="33"/>
        <v>6</v>
      </c>
      <c r="F2158">
        <v>467100</v>
      </c>
      <c r="G2158" t="s">
        <v>160</v>
      </c>
      <c r="H2158" t="s">
        <v>2516</v>
      </c>
      <c r="I2158" t="s">
        <v>2517</v>
      </c>
      <c r="J2158" t="s">
        <v>2518</v>
      </c>
      <c r="K2158">
        <v>20220609</v>
      </c>
      <c r="L2158" t="s">
        <v>2519</v>
      </c>
      <c r="M2158">
        <v>12.42</v>
      </c>
      <c r="N2158">
        <v>0</v>
      </c>
      <c r="O2158" t="s">
        <v>23</v>
      </c>
      <c r="P2158">
        <v>20220720</v>
      </c>
      <c r="Q2158">
        <v>20220609</v>
      </c>
    </row>
    <row r="2159" spans="1:17" x14ac:dyDescent="0.25">
      <c r="A2159" t="s">
        <v>548</v>
      </c>
      <c r="B2159" t="s">
        <v>429</v>
      </c>
      <c r="C2159">
        <v>81</v>
      </c>
      <c r="D2159">
        <v>20220609</v>
      </c>
      <c r="E2159">
        <f t="shared" si="33"/>
        <v>6</v>
      </c>
      <c r="F2159">
        <v>531105</v>
      </c>
      <c r="G2159" t="s">
        <v>429</v>
      </c>
      <c r="H2159" t="s">
        <v>401</v>
      </c>
      <c r="I2159" t="s">
        <v>402</v>
      </c>
      <c r="J2159" t="s">
        <v>2518</v>
      </c>
      <c r="K2159">
        <v>20220609</v>
      </c>
      <c r="L2159" t="s">
        <v>2519</v>
      </c>
      <c r="M2159">
        <v>0</v>
      </c>
      <c r="N2159">
        <v>12.42</v>
      </c>
      <c r="O2159" t="s">
        <v>19</v>
      </c>
      <c r="P2159" t="s">
        <v>20</v>
      </c>
      <c r="Q2159">
        <v>20220609</v>
      </c>
    </row>
    <row r="2160" spans="1:17" x14ac:dyDescent="0.25">
      <c r="A2160" t="s">
        <v>548</v>
      </c>
      <c r="B2160" t="s">
        <v>429</v>
      </c>
      <c r="C2160">
        <v>81</v>
      </c>
      <c r="D2160">
        <v>20220609</v>
      </c>
      <c r="E2160">
        <f t="shared" si="33"/>
        <v>6</v>
      </c>
      <c r="F2160">
        <v>467100</v>
      </c>
      <c r="G2160" t="s">
        <v>160</v>
      </c>
      <c r="H2160" t="s">
        <v>183</v>
      </c>
      <c r="I2160" t="s">
        <v>184</v>
      </c>
      <c r="J2160" t="s">
        <v>2520</v>
      </c>
      <c r="K2160">
        <v>20220609</v>
      </c>
      <c r="L2160" t="s">
        <v>2521</v>
      </c>
      <c r="M2160">
        <v>195.19</v>
      </c>
      <c r="N2160">
        <v>0</v>
      </c>
      <c r="O2160" t="s">
        <v>23</v>
      </c>
      <c r="P2160">
        <v>20220831</v>
      </c>
      <c r="Q2160">
        <v>20220609</v>
      </c>
    </row>
    <row r="2161" spans="1:17" x14ac:dyDescent="0.25">
      <c r="A2161" t="s">
        <v>548</v>
      </c>
      <c r="B2161" t="s">
        <v>429</v>
      </c>
      <c r="C2161">
        <v>81</v>
      </c>
      <c r="D2161">
        <v>20220609</v>
      </c>
      <c r="E2161">
        <f t="shared" si="33"/>
        <v>6</v>
      </c>
      <c r="F2161">
        <v>531105</v>
      </c>
      <c r="G2161" t="s">
        <v>429</v>
      </c>
      <c r="H2161" t="s">
        <v>401</v>
      </c>
      <c r="I2161" t="s">
        <v>402</v>
      </c>
      <c r="J2161" t="s">
        <v>2520</v>
      </c>
      <c r="K2161">
        <v>20220609</v>
      </c>
      <c r="L2161" t="s">
        <v>2521</v>
      </c>
      <c r="M2161">
        <v>0</v>
      </c>
      <c r="N2161">
        <v>195.19</v>
      </c>
      <c r="O2161" t="s">
        <v>19</v>
      </c>
      <c r="P2161" t="s">
        <v>20</v>
      </c>
      <c r="Q2161">
        <v>20220609</v>
      </c>
    </row>
    <row r="2162" spans="1:17" x14ac:dyDescent="0.25">
      <c r="A2162" t="s">
        <v>548</v>
      </c>
      <c r="B2162" t="s">
        <v>429</v>
      </c>
      <c r="C2162">
        <v>81</v>
      </c>
      <c r="D2162">
        <v>20220609</v>
      </c>
      <c r="E2162">
        <f t="shared" si="33"/>
        <v>6</v>
      </c>
      <c r="F2162">
        <v>411100</v>
      </c>
      <c r="G2162" t="s">
        <v>18</v>
      </c>
      <c r="H2162" t="s">
        <v>592</v>
      </c>
      <c r="I2162" t="s">
        <v>593</v>
      </c>
      <c r="J2162">
        <v>122050025</v>
      </c>
      <c r="K2162">
        <v>20220609</v>
      </c>
      <c r="L2162" t="s">
        <v>2522</v>
      </c>
      <c r="M2162">
        <v>0</v>
      </c>
      <c r="N2162">
        <v>34.799999999999997</v>
      </c>
      <c r="O2162" t="s">
        <v>19</v>
      </c>
      <c r="P2162" t="s">
        <v>20</v>
      </c>
      <c r="Q2162">
        <v>20220609</v>
      </c>
    </row>
    <row r="2163" spans="1:17" x14ac:dyDescent="0.25">
      <c r="A2163" t="s">
        <v>548</v>
      </c>
      <c r="B2163" t="s">
        <v>429</v>
      </c>
      <c r="C2163">
        <v>81</v>
      </c>
      <c r="D2163">
        <v>20220609</v>
      </c>
      <c r="E2163">
        <f t="shared" si="33"/>
        <v>6</v>
      </c>
      <c r="F2163">
        <v>411100</v>
      </c>
      <c r="G2163" t="s">
        <v>18</v>
      </c>
      <c r="H2163" t="s">
        <v>2523</v>
      </c>
      <c r="I2163" t="s">
        <v>2524</v>
      </c>
      <c r="J2163">
        <v>343642</v>
      </c>
      <c r="K2163">
        <v>20220609</v>
      </c>
      <c r="L2163" t="s">
        <v>2525</v>
      </c>
      <c r="M2163">
        <v>0</v>
      </c>
      <c r="N2163">
        <v>10</v>
      </c>
      <c r="O2163" t="s">
        <v>22</v>
      </c>
      <c r="P2163">
        <v>20230218</v>
      </c>
      <c r="Q2163">
        <v>20220609</v>
      </c>
    </row>
    <row r="2164" spans="1:17" x14ac:dyDescent="0.25">
      <c r="A2164" t="s">
        <v>548</v>
      </c>
      <c r="B2164" t="s">
        <v>429</v>
      </c>
      <c r="C2164">
        <v>81</v>
      </c>
      <c r="D2164">
        <v>20220609</v>
      </c>
      <c r="E2164">
        <f t="shared" si="33"/>
        <v>6</v>
      </c>
      <c r="F2164">
        <v>411100</v>
      </c>
      <c r="G2164" t="s">
        <v>18</v>
      </c>
      <c r="H2164" t="s">
        <v>2526</v>
      </c>
      <c r="I2164" t="s">
        <v>2527</v>
      </c>
      <c r="J2164">
        <v>343643</v>
      </c>
      <c r="K2164">
        <v>20220609</v>
      </c>
      <c r="L2164" t="s">
        <v>2528</v>
      </c>
      <c r="M2164">
        <v>0</v>
      </c>
      <c r="N2164">
        <v>10</v>
      </c>
      <c r="O2164" t="s">
        <v>22</v>
      </c>
      <c r="P2164">
        <v>20230218</v>
      </c>
      <c r="Q2164">
        <v>20220609</v>
      </c>
    </row>
    <row r="2165" spans="1:17" x14ac:dyDescent="0.25">
      <c r="A2165" t="s">
        <v>548</v>
      </c>
      <c r="B2165" t="s">
        <v>429</v>
      </c>
      <c r="C2165">
        <v>81</v>
      </c>
      <c r="D2165">
        <v>20220609</v>
      </c>
      <c r="E2165">
        <f t="shared" si="33"/>
        <v>6</v>
      </c>
      <c r="F2165">
        <v>531105</v>
      </c>
      <c r="G2165" t="s">
        <v>429</v>
      </c>
      <c r="H2165" t="s">
        <v>401</v>
      </c>
      <c r="I2165" t="s">
        <v>402</v>
      </c>
      <c r="J2165">
        <v>343644</v>
      </c>
      <c r="K2165">
        <v>20220609</v>
      </c>
      <c r="L2165" t="s">
        <v>565</v>
      </c>
      <c r="M2165">
        <v>54.8</v>
      </c>
      <c r="N2165">
        <v>0</v>
      </c>
      <c r="O2165" t="s">
        <v>19</v>
      </c>
      <c r="P2165" t="s">
        <v>20</v>
      </c>
      <c r="Q2165">
        <v>20220609</v>
      </c>
    </row>
    <row r="2166" spans="1:17" x14ac:dyDescent="0.25">
      <c r="A2166" t="s">
        <v>548</v>
      </c>
      <c r="B2166" t="s">
        <v>429</v>
      </c>
      <c r="C2166">
        <v>81</v>
      </c>
      <c r="D2166">
        <v>20220610</v>
      </c>
      <c r="E2166">
        <f t="shared" si="33"/>
        <v>6</v>
      </c>
      <c r="F2166">
        <v>411100</v>
      </c>
      <c r="G2166" t="s">
        <v>18</v>
      </c>
      <c r="H2166" t="s">
        <v>233</v>
      </c>
      <c r="I2166" t="s">
        <v>234</v>
      </c>
      <c r="J2166">
        <v>343870</v>
      </c>
      <c r="K2166">
        <v>20220610</v>
      </c>
      <c r="L2166" t="s">
        <v>2529</v>
      </c>
      <c r="M2166">
        <v>0</v>
      </c>
      <c r="N2166">
        <v>42.35</v>
      </c>
      <c r="O2166" t="s">
        <v>19</v>
      </c>
      <c r="P2166" t="s">
        <v>20</v>
      </c>
      <c r="Q2166">
        <v>20220610</v>
      </c>
    </row>
    <row r="2167" spans="1:17" x14ac:dyDescent="0.25">
      <c r="A2167" t="s">
        <v>548</v>
      </c>
      <c r="B2167" t="s">
        <v>429</v>
      </c>
      <c r="C2167">
        <v>81</v>
      </c>
      <c r="D2167">
        <v>20220610</v>
      </c>
      <c r="E2167">
        <f t="shared" si="33"/>
        <v>6</v>
      </c>
      <c r="F2167">
        <v>411100</v>
      </c>
      <c r="G2167" t="s">
        <v>18</v>
      </c>
      <c r="H2167" t="s">
        <v>233</v>
      </c>
      <c r="I2167" t="s">
        <v>234</v>
      </c>
      <c r="J2167">
        <v>343871</v>
      </c>
      <c r="K2167">
        <v>20220610</v>
      </c>
      <c r="L2167" t="s">
        <v>2530</v>
      </c>
      <c r="M2167">
        <v>2.23</v>
      </c>
      <c r="N2167">
        <v>0</v>
      </c>
      <c r="O2167" t="s">
        <v>22</v>
      </c>
      <c r="P2167">
        <v>20230218</v>
      </c>
      <c r="Q2167">
        <v>20220610</v>
      </c>
    </row>
    <row r="2168" spans="1:17" x14ac:dyDescent="0.25">
      <c r="A2168" t="s">
        <v>548</v>
      </c>
      <c r="B2168" t="s">
        <v>429</v>
      </c>
      <c r="C2168">
        <v>81</v>
      </c>
      <c r="D2168">
        <v>20220610</v>
      </c>
      <c r="E2168">
        <f t="shared" si="33"/>
        <v>6</v>
      </c>
      <c r="F2168">
        <v>531105</v>
      </c>
      <c r="G2168" t="s">
        <v>429</v>
      </c>
      <c r="H2168" t="s">
        <v>401</v>
      </c>
      <c r="I2168" t="s">
        <v>402</v>
      </c>
      <c r="J2168">
        <v>343872</v>
      </c>
      <c r="K2168">
        <v>20220610</v>
      </c>
      <c r="L2168" t="s">
        <v>565</v>
      </c>
      <c r="M2168">
        <v>40.119999999999997</v>
      </c>
      <c r="N2168">
        <v>0</v>
      </c>
      <c r="O2168" t="s">
        <v>19</v>
      </c>
      <c r="P2168" t="s">
        <v>20</v>
      </c>
      <c r="Q2168">
        <v>20220610</v>
      </c>
    </row>
    <row r="2169" spans="1:17" x14ac:dyDescent="0.25">
      <c r="A2169" t="s">
        <v>548</v>
      </c>
      <c r="B2169" t="s">
        <v>429</v>
      </c>
      <c r="C2169">
        <v>81</v>
      </c>
      <c r="D2169">
        <v>20220613</v>
      </c>
      <c r="E2169">
        <f t="shared" si="33"/>
        <v>6</v>
      </c>
      <c r="F2169">
        <v>467100</v>
      </c>
      <c r="G2169" t="s">
        <v>160</v>
      </c>
      <c r="H2169" t="s">
        <v>219</v>
      </c>
      <c r="I2169" t="s">
        <v>220</v>
      </c>
      <c r="J2169" t="s">
        <v>2531</v>
      </c>
      <c r="K2169">
        <v>20220613</v>
      </c>
      <c r="L2169" t="s">
        <v>693</v>
      </c>
      <c r="M2169">
        <v>0</v>
      </c>
      <c r="N2169">
        <v>3.26</v>
      </c>
      <c r="O2169" t="s">
        <v>19</v>
      </c>
      <c r="P2169" t="s">
        <v>20</v>
      </c>
      <c r="Q2169">
        <v>20220613</v>
      </c>
    </row>
    <row r="2170" spans="1:17" x14ac:dyDescent="0.25">
      <c r="A2170" t="s">
        <v>548</v>
      </c>
      <c r="B2170" t="s">
        <v>429</v>
      </c>
      <c r="C2170">
        <v>81</v>
      </c>
      <c r="D2170">
        <v>20220613</v>
      </c>
      <c r="E2170">
        <f t="shared" si="33"/>
        <v>6</v>
      </c>
      <c r="F2170">
        <v>531105</v>
      </c>
      <c r="G2170" t="s">
        <v>429</v>
      </c>
      <c r="H2170" t="s">
        <v>401</v>
      </c>
      <c r="I2170" t="s">
        <v>402</v>
      </c>
      <c r="J2170" t="s">
        <v>2531</v>
      </c>
      <c r="K2170">
        <v>20220613</v>
      </c>
      <c r="L2170" t="s">
        <v>693</v>
      </c>
      <c r="M2170">
        <v>3.26</v>
      </c>
      <c r="N2170">
        <v>0</v>
      </c>
      <c r="O2170" t="s">
        <v>19</v>
      </c>
      <c r="P2170" t="s">
        <v>20</v>
      </c>
      <c r="Q2170">
        <v>20220613</v>
      </c>
    </row>
    <row r="2171" spans="1:17" x14ac:dyDescent="0.25">
      <c r="A2171" t="s">
        <v>548</v>
      </c>
      <c r="B2171" t="s">
        <v>429</v>
      </c>
      <c r="C2171">
        <v>81</v>
      </c>
      <c r="D2171">
        <v>20220613</v>
      </c>
      <c r="E2171">
        <f t="shared" si="33"/>
        <v>6</v>
      </c>
      <c r="F2171">
        <v>467100</v>
      </c>
      <c r="G2171" t="s">
        <v>160</v>
      </c>
      <c r="H2171" t="s">
        <v>219</v>
      </c>
      <c r="I2171" t="s">
        <v>220</v>
      </c>
      <c r="J2171" t="s">
        <v>2532</v>
      </c>
      <c r="K2171">
        <v>20220613</v>
      </c>
      <c r="L2171" t="s">
        <v>2533</v>
      </c>
      <c r="M2171">
        <v>20</v>
      </c>
      <c r="N2171">
        <v>0</v>
      </c>
      <c r="O2171" t="s">
        <v>23</v>
      </c>
      <c r="P2171">
        <v>20220831</v>
      </c>
      <c r="Q2171">
        <v>20220613</v>
      </c>
    </row>
    <row r="2172" spans="1:17" x14ac:dyDescent="0.25">
      <c r="A2172" t="s">
        <v>548</v>
      </c>
      <c r="B2172" t="s">
        <v>429</v>
      </c>
      <c r="C2172">
        <v>81</v>
      </c>
      <c r="D2172">
        <v>20220613</v>
      </c>
      <c r="E2172">
        <f t="shared" si="33"/>
        <v>6</v>
      </c>
      <c r="F2172">
        <v>531105</v>
      </c>
      <c r="G2172" t="s">
        <v>429</v>
      </c>
      <c r="H2172" t="s">
        <v>401</v>
      </c>
      <c r="I2172" t="s">
        <v>402</v>
      </c>
      <c r="J2172" t="s">
        <v>2532</v>
      </c>
      <c r="K2172">
        <v>20220613</v>
      </c>
      <c r="L2172" t="s">
        <v>2533</v>
      </c>
      <c r="M2172">
        <v>0</v>
      </c>
      <c r="N2172">
        <v>20</v>
      </c>
      <c r="O2172" t="s">
        <v>19</v>
      </c>
      <c r="P2172" t="s">
        <v>20</v>
      </c>
      <c r="Q2172">
        <v>20220613</v>
      </c>
    </row>
    <row r="2173" spans="1:17" x14ac:dyDescent="0.25">
      <c r="A2173" t="s">
        <v>548</v>
      </c>
      <c r="B2173" t="s">
        <v>429</v>
      </c>
      <c r="C2173">
        <v>81</v>
      </c>
      <c r="D2173">
        <v>20220613</v>
      </c>
      <c r="E2173">
        <f t="shared" si="33"/>
        <v>6</v>
      </c>
      <c r="F2173">
        <v>467100</v>
      </c>
      <c r="G2173" t="s">
        <v>160</v>
      </c>
      <c r="H2173" t="s">
        <v>316</v>
      </c>
      <c r="I2173" t="s">
        <v>317</v>
      </c>
      <c r="J2173" t="s">
        <v>2534</v>
      </c>
      <c r="K2173">
        <v>20220613</v>
      </c>
      <c r="L2173" t="s">
        <v>2535</v>
      </c>
      <c r="M2173">
        <v>20.32</v>
      </c>
      <c r="N2173">
        <v>0</v>
      </c>
      <c r="O2173" t="s">
        <v>23</v>
      </c>
      <c r="P2173">
        <v>20220720</v>
      </c>
      <c r="Q2173">
        <v>20220613</v>
      </c>
    </row>
    <row r="2174" spans="1:17" x14ac:dyDescent="0.25">
      <c r="A2174" t="s">
        <v>548</v>
      </c>
      <c r="B2174" t="s">
        <v>429</v>
      </c>
      <c r="C2174">
        <v>81</v>
      </c>
      <c r="D2174">
        <v>20220613</v>
      </c>
      <c r="E2174">
        <f t="shared" si="33"/>
        <v>6</v>
      </c>
      <c r="F2174">
        <v>531105</v>
      </c>
      <c r="G2174" t="s">
        <v>429</v>
      </c>
      <c r="H2174" t="s">
        <v>401</v>
      </c>
      <c r="I2174" t="s">
        <v>402</v>
      </c>
      <c r="J2174" t="s">
        <v>2534</v>
      </c>
      <c r="K2174">
        <v>20220613</v>
      </c>
      <c r="L2174" t="s">
        <v>2535</v>
      </c>
      <c r="M2174">
        <v>0</v>
      </c>
      <c r="N2174">
        <v>20.32</v>
      </c>
      <c r="O2174" t="s">
        <v>19</v>
      </c>
      <c r="P2174" t="s">
        <v>20</v>
      </c>
      <c r="Q2174">
        <v>20220613</v>
      </c>
    </row>
    <row r="2175" spans="1:17" x14ac:dyDescent="0.25">
      <c r="A2175" t="s">
        <v>548</v>
      </c>
      <c r="B2175" t="s">
        <v>429</v>
      </c>
      <c r="C2175">
        <v>81</v>
      </c>
      <c r="D2175">
        <v>20220613</v>
      </c>
      <c r="E2175">
        <f t="shared" si="33"/>
        <v>6</v>
      </c>
      <c r="F2175">
        <v>467100</v>
      </c>
      <c r="G2175" t="s">
        <v>160</v>
      </c>
      <c r="H2175" t="s">
        <v>2536</v>
      </c>
      <c r="I2175" t="s">
        <v>29</v>
      </c>
      <c r="J2175" t="s">
        <v>2537</v>
      </c>
      <c r="K2175">
        <v>20220613</v>
      </c>
      <c r="L2175" t="s">
        <v>2538</v>
      </c>
      <c r="M2175">
        <v>5.3</v>
      </c>
      <c r="N2175">
        <v>0</v>
      </c>
      <c r="O2175" t="s">
        <v>23</v>
      </c>
      <c r="P2175">
        <v>20220720</v>
      </c>
      <c r="Q2175">
        <v>20220613</v>
      </c>
    </row>
    <row r="2176" spans="1:17" x14ac:dyDescent="0.25">
      <c r="A2176" t="s">
        <v>548</v>
      </c>
      <c r="B2176" t="s">
        <v>429</v>
      </c>
      <c r="C2176">
        <v>81</v>
      </c>
      <c r="D2176">
        <v>20220613</v>
      </c>
      <c r="E2176">
        <f t="shared" si="33"/>
        <v>6</v>
      </c>
      <c r="F2176">
        <v>531105</v>
      </c>
      <c r="G2176" t="s">
        <v>429</v>
      </c>
      <c r="H2176" t="s">
        <v>401</v>
      </c>
      <c r="I2176" t="s">
        <v>402</v>
      </c>
      <c r="J2176" t="s">
        <v>2537</v>
      </c>
      <c r="K2176">
        <v>20220613</v>
      </c>
      <c r="L2176" t="s">
        <v>2538</v>
      </c>
      <c r="M2176">
        <v>0</v>
      </c>
      <c r="N2176">
        <v>5.3</v>
      </c>
      <c r="O2176" t="s">
        <v>19</v>
      </c>
      <c r="P2176" t="s">
        <v>20</v>
      </c>
      <c r="Q2176">
        <v>20220613</v>
      </c>
    </row>
    <row r="2177" spans="1:17" x14ac:dyDescent="0.25">
      <c r="A2177" t="s">
        <v>548</v>
      </c>
      <c r="B2177" t="s">
        <v>429</v>
      </c>
      <c r="C2177">
        <v>81</v>
      </c>
      <c r="D2177">
        <v>20220613</v>
      </c>
      <c r="E2177">
        <f t="shared" si="33"/>
        <v>6</v>
      </c>
      <c r="F2177">
        <v>411100</v>
      </c>
      <c r="G2177" t="s">
        <v>18</v>
      </c>
      <c r="H2177" t="s">
        <v>2539</v>
      </c>
      <c r="I2177" t="s">
        <v>2540</v>
      </c>
      <c r="J2177">
        <v>344697</v>
      </c>
      <c r="K2177">
        <v>20220613</v>
      </c>
      <c r="L2177" t="s">
        <v>2541</v>
      </c>
      <c r="M2177">
        <v>0</v>
      </c>
      <c r="N2177">
        <v>61.66</v>
      </c>
      <c r="O2177" t="s">
        <v>19</v>
      </c>
      <c r="P2177" t="s">
        <v>20</v>
      </c>
      <c r="Q2177">
        <v>20220613</v>
      </c>
    </row>
    <row r="2178" spans="1:17" x14ac:dyDescent="0.25">
      <c r="A2178" t="s">
        <v>548</v>
      </c>
      <c r="B2178" t="s">
        <v>429</v>
      </c>
      <c r="C2178">
        <v>81</v>
      </c>
      <c r="D2178">
        <v>20220613</v>
      </c>
      <c r="E2178">
        <f t="shared" si="33"/>
        <v>6</v>
      </c>
      <c r="F2178">
        <v>531105</v>
      </c>
      <c r="G2178" t="s">
        <v>429</v>
      </c>
      <c r="H2178" t="s">
        <v>401</v>
      </c>
      <c r="I2178" t="s">
        <v>402</v>
      </c>
      <c r="J2178">
        <v>344698</v>
      </c>
      <c r="K2178">
        <v>20220613</v>
      </c>
      <c r="L2178" t="s">
        <v>565</v>
      </c>
      <c r="M2178">
        <v>61.66</v>
      </c>
      <c r="N2178">
        <v>0</v>
      </c>
      <c r="O2178" t="s">
        <v>19</v>
      </c>
      <c r="P2178" t="s">
        <v>20</v>
      </c>
      <c r="Q2178">
        <v>20220613</v>
      </c>
    </row>
    <row r="2179" spans="1:17" x14ac:dyDescent="0.25">
      <c r="A2179" t="s">
        <v>548</v>
      </c>
      <c r="B2179" t="s">
        <v>429</v>
      </c>
      <c r="C2179">
        <v>81</v>
      </c>
      <c r="D2179">
        <v>20220613</v>
      </c>
      <c r="E2179">
        <f t="shared" ref="E2179:E2242" si="34">VALUE(MID(D2179,5,2))</f>
        <v>6</v>
      </c>
      <c r="F2179">
        <v>411100</v>
      </c>
      <c r="G2179" t="s">
        <v>18</v>
      </c>
      <c r="H2179" t="s">
        <v>77</v>
      </c>
      <c r="I2179" t="s">
        <v>78</v>
      </c>
      <c r="J2179">
        <v>222040017</v>
      </c>
      <c r="K2179">
        <v>20220613</v>
      </c>
      <c r="L2179" t="s">
        <v>2542</v>
      </c>
      <c r="M2179">
        <v>0</v>
      </c>
      <c r="N2179">
        <v>172.42</v>
      </c>
      <c r="O2179" t="s">
        <v>19</v>
      </c>
      <c r="P2179" t="s">
        <v>20</v>
      </c>
      <c r="Q2179">
        <v>20220613</v>
      </c>
    </row>
    <row r="2180" spans="1:17" x14ac:dyDescent="0.25">
      <c r="A2180" t="s">
        <v>548</v>
      </c>
      <c r="B2180" t="s">
        <v>429</v>
      </c>
      <c r="C2180">
        <v>81</v>
      </c>
      <c r="D2180">
        <v>20220613</v>
      </c>
      <c r="E2180">
        <f t="shared" si="34"/>
        <v>6</v>
      </c>
      <c r="F2180">
        <v>531105</v>
      </c>
      <c r="G2180" t="s">
        <v>429</v>
      </c>
      <c r="H2180" t="s">
        <v>401</v>
      </c>
      <c r="I2180" t="s">
        <v>402</v>
      </c>
      <c r="J2180">
        <v>344936</v>
      </c>
      <c r="K2180">
        <v>20220613</v>
      </c>
      <c r="L2180" t="s">
        <v>565</v>
      </c>
      <c r="M2180">
        <v>172.42</v>
      </c>
      <c r="N2180">
        <v>0</v>
      </c>
      <c r="O2180" t="s">
        <v>19</v>
      </c>
      <c r="P2180" t="s">
        <v>20</v>
      </c>
      <c r="Q2180">
        <v>20220613</v>
      </c>
    </row>
    <row r="2181" spans="1:17" x14ac:dyDescent="0.25">
      <c r="A2181" t="s">
        <v>548</v>
      </c>
      <c r="B2181" t="s">
        <v>429</v>
      </c>
      <c r="C2181">
        <v>81</v>
      </c>
      <c r="D2181">
        <v>20220614</v>
      </c>
      <c r="E2181">
        <f t="shared" si="34"/>
        <v>6</v>
      </c>
      <c r="F2181">
        <v>467100</v>
      </c>
      <c r="G2181" t="s">
        <v>160</v>
      </c>
      <c r="H2181" t="s">
        <v>1201</v>
      </c>
      <c r="I2181" t="s">
        <v>1202</v>
      </c>
      <c r="J2181" t="s">
        <v>2543</v>
      </c>
      <c r="K2181">
        <v>20220614</v>
      </c>
      <c r="L2181" t="s">
        <v>2544</v>
      </c>
      <c r="M2181">
        <v>16.75</v>
      </c>
      <c r="N2181">
        <v>0</v>
      </c>
      <c r="O2181" t="s">
        <v>23</v>
      </c>
      <c r="P2181">
        <v>20220704</v>
      </c>
      <c r="Q2181">
        <v>20220614</v>
      </c>
    </row>
    <row r="2182" spans="1:17" x14ac:dyDescent="0.25">
      <c r="A2182" t="s">
        <v>548</v>
      </c>
      <c r="B2182" t="s">
        <v>429</v>
      </c>
      <c r="C2182">
        <v>81</v>
      </c>
      <c r="D2182">
        <v>20220614</v>
      </c>
      <c r="E2182">
        <f t="shared" si="34"/>
        <v>6</v>
      </c>
      <c r="F2182">
        <v>531105</v>
      </c>
      <c r="G2182" t="s">
        <v>429</v>
      </c>
      <c r="H2182" t="s">
        <v>401</v>
      </c>
      <c r="I2182" t="s">
        <v>402</v>
      </c>
      <c r="J2182" t="s">
        <v>2543</v>
      </c>
      <c r="K2182">
        <v>20220614</v>
      </c>
      <c r="L2182" t="s">
        <v>2544</v>
      </c>
      <c r="M2182">
        <v>0</v>
      </c>
      <c r="N2182">
        <v>16.75</v>
      </c>
      <c r="O2182" t="s">
        <v>19</v>
      </c>
      <c r="P2182" t="s">
        <v>20</v>
      </c>
      <c r="Q2182">
        <v>20220614</v>
      </c>
    </row>
    <row r="2183" spans="1:17" x14ac:dyDescent="0.25">
      <c r="A2183" t="s">
        <v>548</v>
      </c>
      <c r="B2183" t="s">
        <v>429</v>
      </c>
      <c r="C2183">
        <v>81</v>
      </c>
      <c r="D2183">
        <v>20220614</v>
      </c>
      <c r="E2183">
        <f t="shared" si="34"/>
        <v>6</v>
      </c>
      <c r="F2183">
        <v>467100</v>
      </c>
      <c r="G2183" t="s">
        <v>160</v>
      </c>
      <c r="H2183" t="s">
        <v>1522</v>
      </c>
      <c r="I2183" t="s">
        <v>1523</v>
      </c>
      <c r="J2183" t="s">
        <v>2545</v>
      </c>
      <c r="K2183">
        <v>20220614</v>
      </c>
      <c r="L2183" t="s">
        <v>2240</v>
      </c>
      <c r="M2183">
        <v>18</v>
      </c>
      <c r="N2183">
        <v>0</v>
      </c>
      <c r="O2183" t="s">
        <v>23</v>
      </c>
      <c r="P2183">
        <v>20220630</v>
      </c>
      <c r="Q2183">
        <v>20220614</v>
      </c>
    </row>
    <row r="2184" spans="1:17" x14ac:dyDescent="0.25">
      <c r="A2184" t="s">
        <v>548</v>
      </c>
      <c r="B2184" t="s">
        <v>429</v>
      </c>
      <c r="C2184">
        <v>81</v>
      </c>
      <c r="D2184">
        <v>20220614</v>
      </c>
      <c r="E2184">
        <f t="shared" si="34"/>
        <v>6</v>
      </c>
      <c r="F2184">
        <v>531105</v>
      </c>
      <c r="G2184" t="s">
        <v>429</v>
      </c>
      <c r="H2184" t="s">
        <v>401</v>
      </c>
      <c r="I2184" t="s">
        <v>402</v>
      </c>
      <c r="J2184" t="s">
        <v>2545</v>
      </c>
      <c r="K2184">
        <v>20220614</v>
      </c>
      <c r="L2184" t="s">
        <v>2240</v>
      </c>
      <c r="M2184">
        <v>0</v>
      </c>
      <c r="N2184">
        <v>18</v>
      </c>
      <c r="O2184" t="s">
        <v>19</v>
      </c>
      <c r="P2184" t="s">
        <v>20</v>
      </c>
      <c r="Q2184">
        <v>20220614</v>
      </c>
    </row>
    <row r="2185" spans="1:17" x14ac:dyDescent="0.25">
      <c r="A2185" t="s">
        <v>548</v>
      </c>
      <c r="B2185" t="s">
        <v>429</v>
      </c>
      <c r="C2185">
        <v>81</v>
      </c>
      <c r="D2185">
        <v>20220614</v>
      </c>
      <c r="E2185">
        <f t="shared" si="34"/>
        <v>6</v>
      </c>
      <c r="F2185">
        <v>411100</v>
      </c>
      <c r="G2185" t="s">
        <v>18</v>
      </c>
      <c r="H2185" t="s">
        <v>194</v>
      </c>
      <c r="I2185" t="s">
        <v>195</v>
      </c>
      <c r="J2185">
        <v>344699</v>
      </c>
      <c r="K2185">
        <v>20220614</v>
      </c>
      <c r="L2185" t="s">
        <v>2546</v>
      </c>
      <c r="M2185">
        <v>0</v>
      </c>
      <c r="N2185">
        <v>103.81</v>
      </c>
      <c r="O2185" t="s">
        <v>23</v>
      </c>
      <c r="P2185">
        <v>20230329</v>
      </c>
      <c r="Q2185">
        <v>20220614</v>
      </c>
    </row>
    <row r="2186" spans="1:17" x14ac:dyDescent="0.25">
      <c r="A2186" t="s">
        <v>548</v>
      </c>
      <c r="B2186" t="s">
        <v>429</v>
      </c>
      <c r="C2186">
        <v>81</v>
      </c>
      <c r="D2186">
        <v>20220614</v>
      </c>
      <c r="E2186">
        <f t="shared" si="34"/>
        <v>6</v>
      </c>
      <c r="F2186">
        <v>411100</v>
      </c>
      <c r="G2186" t="s">
        <v>18</v>
      </c>
      <c r="H2186" t="s">
        <v>194</v>
      </c>
      <c r="I2186" t="s">
        <v>195</v>
      </c>
      <c r="J2186">
        <v>344700</v>
      </c>
      <c r="K2186">
        <v>20220614</v>
      </c>
      <c r="L2186" t="s">
        <v>2547</v>
      </c>
      <c r="M2186">
        <v>0.05</v>
      </c>
      <c r="N2186">
        <v>0</v>
      </c>
      <c r="O2186" t="s">
        <v>23</v>
      </c>
      <c r="P2186">
        <v>20230329</v>
      </c>
      <c r="Q2186">
        <v>20220614</v>
      </c>
    </row>
    <row r="2187" spans="1:17" x14ac:dyDescent="0.25">
      <c r="A2187" t="s">
        <v>548</v>
      </c>
      <c r="B2187" t="s">
        <v>429</v>
      </c>
      <c r="C2187">
        <v>81</v>
      </c>
      <c r="D2187">
        <v>20220614</v>
      </c>
      <c r="E2187">
        <f t="shared" si="34"/>
        <v>6</v>
      </c>
      <c r="F2187">
        <v>531105</v>
      </c>
      <c r="G2187" t="s">
        <v>429</v>
      </c>
      <c r="H2187" t="s">
        <v>401</v>
      </c>
      <c r="I2187" t="s">
        <v>402</v>
      </c>
      <c r="J2187">
        <v>344701</v>
      </c>
      <c r="K2187">
        <v>20220614</v>
      </c>
      <c r="L2187" t="s">
        <v>565</v>
      </c>
      <c r="M2187">
        <v>103.76</v>
      </c>
      <c r="N2187">
        <v>0</v>
      </c>
      <c r="O2187" t="s">
        <v>19</v>
      </c>
      <c r="P2187" t="s">
        <v>20</v>
      </c>
      <c r="Q2187">
        <v>20220614</v>
      </c>
    </row>
    <row r="2188" spans="1:17" x14ac:dyDescent="0.25">
      <c r="A2188" t="s">
        <v>548</v>
      </c>
      <c r="B2188" t="s">
        <v>429</v>
      </c>
      <c r="C2188">
        <v>81</v>
      </c>
      <c r="D2188">
        <v>20220614</v>
      </c>
      <c r="E2188">
        <f t="shared" si="34"/>
        <v>6</v>
      </c>
      <c r="F2188">
        <v>411010</v>
      </c>
      <c r="G2188" t="s">
        <v>87</v>
      </c>
      <c r="H2188" t="s">
        <v>363</v>
      </c>
      <c r="I2188" t="s">
        <v>364</v>
      </c>
      <c r="J2188">
        <v>222050021</v>
      </c>
      <c r="K2188">
        <v>20220614</v>
      </c>
      <c r="L2188" t="s">
        <v>2548</v>
      </c>
      <c r="M2188">
        <v>0</v>
      </c>
      <c r="N2188">
        <v>75.790000000000006</v>
      </c>
      <c r="O2188" t="s">
        <v>22</v>
      </c>
      <c r="P2188">
        <v>20230218</v>
      </c>
      <c r="Q2188">
        <v>20220614</v>
      </c>
    </row>
    <row r="2189" spans="1:17" x14ac:dyDescent="0.25">
      <c r="A2189" t="s">
        <v>548</v>
      </c>
      <c r="B2189" t="s">
        <v>429</v>
      </c>
      <c r="C2189">
        <v>81</v>
      </c>
      <c r="D2189">
        <v>20220614</v>
      </c>
      <c r="E2189">
        <f t="shared" si="34"/>
        <v>6</v>
      </c>
      <c r="F2189">
        <v>411010</v>
      </c>
      <c r="G2189" t="s">
        <v>87</v>
      </c>
      <c r="H2189" t="s">
        <v>328</v>
      </c>
      <c r="I2189" t="s">
        <v>329</v>
      </c>
      <c r="J2189">
        <v>222030014</v>
      </c>
      <c r="K2189">
        <v>20220614</v>
      </c>
      <c r="L2189" t="s">
        <v>2549</v>
      </c>
      <c r="M2189">
        <v>0</v>
      </c>
      <c r="N2189">
        <v>500</v>
      </c>
      <c r="O2189" t="s">
        <v>22</v>
      </c>
      <c r="P2189">
        <v>20230218</v>
      </c>
      <c r="Q2189">
        <v>20220614</v>
      </c>
    </row>
    <row r="2190" spans="1:17" x14ac:dyDescent="0.25">
      <c r="A2190" t="s">
        <v>548</v>
      </c>
      <c r="B2190" t="s">
        <v>429</v>
      </c>
      <c r="C2190">
        <v>81</v>
      </c>
      <c r="D2190">
        <v>20220614</v>
      </c>
      <c r="E2190">
        <f t="shared" si="34"/>
        <v>6</v>
      </c>
      <c r="F2190">
        <v>531105</v>
      </c>
      <c r="G2190" t="s">
        <v>429</v>
      </c>
      <c r="H2190" t="s">
        <v>401</v>
      </c>
      <c r="I2190" t="s">
        <v>402</v>
      </c>
      <c r="J2190">
        <v>344939</v>
      </c>
      <c r="K2190">
        <v>20220614</v>
      </c>
      <c r="L2190" t="s">
        <v>565</v>
      </c>
      <c r="M2190">
        <v>575.79</v>
      </c>
      <c r="N2190">
        <v>0</v>
      </c>
      <c r="O2190" t="s">
        <v>19</v>
      </c>
      <c r="P2190" t="s">
        <v>20</v>
      </c>
      <c r="Q2190">
        <v>20220614</v>
      </c>
    </row>
    <row r="2191" spans="1:17" x14ac:dyDescent="0.25">
      <c r="A2191" t="s">
        <v>548</v>
      </c>
      <c r="B2191" t="s">
        <v>429</v>
      </c>
      <c r="C2191">
        <v>81</v>
      </c>
      <c r="D2191">
        <v>20220614</v>
      </c>
      <c r="E2191">
        <f t="shared" si="34"/>
        <v>6</v>
      </c>
      <c r="F2191">
        <v>411020</v>
      </c>
      <c r="G2191" t="s">
        <v>30</v>
      </c>
      <c r="H2191" t="s">
        <v>324</v>
      </c>
      <c r="I2191" t="s">
        <v>325</v>
      </c>
      <c r="J2191">
        <v>322050004</v>
      </c>
      <c r="K2191">
        <v>20220614</v>
      </c>
      <c r="L2191" t="s">
        <v>2550</v>
      </c>
      <c r="M2191">
        <v>0</v>
      </c>
      <c r="N2191">
        <v>188.39</v>
      </c>
      <c r="O2191" t="s">
        <v>23</v>
      </c>
      <c r="P2191">
        <v>20230218</v>
      </c>
      <c r="Q2191">
        <v>20220614</v>
      </c>
    </row>
    <row r="2192" spans="1:17" x14ac:dyDescent="0.25">
      <c r="A2192" t="s">
        <v>548</v>
      </c>
      <c r="B2192" t="s">
        <v>429</v>
      </c>
      <c r="C2192">
        <v>81</v>
      </c>
      <c r="D2192">
        <v>20220614</v>
      </c>
      <c r="E2192">
        <f t="shared" si="34"/>
        <v>6</v>
      </c>
      <c r="F2192">
        <v>411020</v>
      </c>
      <c r="G2192" t="s">
        <v>30</v>
      </c>
      <c r="H2192" t="s">
        <v>324</v>
      </c>
      <c r="I2192" t="s">
        <v>325</v>
      </c>
      <c r="J2192">
        <v>322050004</v>
      </c>
      <c r="K2192">
        <v>20220614</v>
      </c>
      <c r="L2192" t="s">
        <v>2551</v>
      </c>
      <c r="M2192">
        <v>0</v>
      </c>
      <c r="N2192">
        <v>1.61</v>
      </c>
      <c r="O2192" t="s">
        <v>23</v>
      </c>
      <c r="P2192">
        <v>20230218</v>
      </c>
      <c r="Q2192">
        <v>20220614</v>
      </c>
    </row>
    <row r="2193" spans="1:17" x14ac:dyDescent="0.25">
      <c r="A2193" t="s">
        <v>548</v>
      </c>
      <c r="B2193" t="s">
        <v>429</v>
      </c>
      <c r="C2193">
        <v>81</v>
      </c>
      <c r="D2193">
        <v>20220614</v>
      </c>
      <c r="E2193">
        <f t="shared" si="34"/>
        <v>6</v>
      </c>
      <c r="F2193">
        <v>411020</v>
      </c>
      <c r="G2193" t="s">
        <v>30</v>
      </c>
      <c r="H2193" t="s">
        <v>371</v>
      </c>
      <c r="I2193" t="s">
        <v>372</v>
      </c>
      <c r="J2193">
        <v>322050017</v>
      </c>
      <c r="K2193">
        <v>20220614</v>
      </c>
      <c r="L2193" t="s">
        <v>2552</v>
      </c>
      <c r="M2193">
        <v>0</v>
      </c>
      <c r="N2193">
        <v>102.94</v>
      </c>
      <c r="O2193" t="s">
        <v>22</v>
      </c>
      <c r="P2193">
        <v>20230218</v>
      </c>
      <c r="Q2193">
        <v>20220614</v>
      </c>
    </row>
    <row r="2194" spans="1:17" x14ac:dyDescent="0.25">
      <c r="A2194" t="s">
        <v>548</v>
      </c>
      <c r="B2194" t="s">
        <v>429</v>
      </c>
      <c r="C2194">
        <v>81</v>
      </c>
      <c r="D2194">
        <v>20220614</v>
      </c>
      <c r="E2194">
        <f t="shared" si="34"/>
        <v>6</v>
      </c>
      <c r="F2194">
        <v>411020</v>
      </c>
      <c r="G2194" t="s">
        <v>30</v>
      </c>
      <c r="H2194" t="s">
        <v>371</v>
      </c>
      <c r="I2194" t="s">
        <v>372</v>
      </c>
      <c r="J2194">
        <v>322050017</v>
      </c>
      <c r="K2194">
        <v>20220614</v>
      </c>
      <c r="L2194" t="s">
        <v>2553</v>
      </c>
      <c r="M2194">
        <v>0</v>
      </c>
      <c r="N2194">
        <v>2.06</v>
      </c>
      <c r="O2194" t="s">
        <v>22</v>
      </c>
      <c r="P2194">
        <v>20230218</v>
      </c>
      <c r="Q2194">
        <v>20220614</v>
      </c>
    </row>
    <row r="2195" spans="1:17" x14ac:dyDescent="0.25">
      <c r="A2195" t="s">
        <v>548</v>
      </c>
      <c r="B2195" t="s">
        <v>429</v>
      </c>
      <c r="C2195">
        <v>81</v>
      </c>
      <c r="D2195">
        <v>20220614</v>
      </c>
      <c r="E2195">
        <f t="shared" si="34"/>
        <v>6</v>
      </c>
      <c r="F2195">
        <v>411100</v>
      </c>
      <c r="G2195" t="s">
        <v>18</v>
      </c>
      <c r="H2195" t="s">
        <v>198</v>
      </c>
      <c r="I2195" t="s">
        <v>199</v>
      </c>
      <c r="J2195">
        <v>322050015</v>
      </c>
      <c r="K2195">
        <v>20220614</v>
      </c>
      <c r="L2195" t="s">
        <v>2554</v>
      </c>
      <c r="M2195">
        <v>0</v>
      </c>
      <c r="N2195">
        <v>63.57</v>
      </c>
      <c r="O2195" t="s">
        <v>19</v>
      </c>
      <c r="P2195" t="s">
        <v>20</v>
      </c>
      <c r="Q2195">
        <v>20220614</v>
      </c>
    </row>
    <row r="2196" spans="1:17" x14ac:dyDescent="0.25">
      <c r="A2196" t="s">
        <v>548</v>
      </c>
      <c r="B2196" t="s">
        <v>429</v>
      </c>
      <c r="C2196">
        <v>81</v>
      </c>
      <c r="D2196">
        <v>20220614</v>
      </c>
      <c r="E2196">
        <f t="shared" si="34"/>
        <v>6</v>
      </c>
      <c r="F2196">
        <v>411100</v>
      </c>
      <c r="G2196" t="s">
        <v>18</v>
      </c>
      <c r="H2196" t="s">
        <v>198</v>
      </c>
      <c r="I2196" t="s">
        <v>199</v>
      </c>
      <c r="J2196">
        <v>322050015</v>
      </c>
      <c r="K2196">
        <v>20220614</v>
      </c>
      <c r="L2196" t="s">
        <v>2555</v>
      </c>
      <c r="M2196">
        <v>0</v>
      </c>
      <c r="N2196">
        <v>1.43</v>
      </c>
      <c r="O2196" t="s">
        <v>19</v>
      </c>
      <c r="P2196" t="s">
        <v>20</v>
      </c>
      <c r="Q2196">
        <v>20220614</v>
      </c>
    </row>
    <row r="2197" spans="1:17" x14ac:dyDescent="0.25">
      <c r="A2197" t="s">
        <v>548</v>
      </c>
      <c r="B2197" t="s">
        <v>429</v>
      </c>
      <c r="C2197">
        <v>81</v>
      </c>
      <c r="D2197">
        <v>20220614</v>
      </c>
      <c r="E2197">
        <f t="shared" si="34"/>
        <v>6</v>
      </c>
      <c r="F2197">
        <v>411020</v>
      </c>
      <c r="G2197" t="s">
        <v>30</v>
      </c>
      <c r="H2197" t="s">
        <v>369</v>
      </c>
      <c r="I2197" t="s">
        <v>370</v>
      </c>
      <c r="J2197">
        <v>322050011</v>
      </c>
      <c r="K2197">
        <v>20220614</v>
      </c>
      <c r="L2197" t="s">
        <v>2556</v>
      </c>
      <c r="M2197">
        <v>0</v>
      </c>
      <c r="N2197">
        <v>65.37</v>
      </c>
      <c r="O2197" t="s">
        <v>19</v>
      </c>
      <c r="P2197" t="s">
        <v>20</v>
      </c>
      <c r="Q2197">
        <v>20220614</v>
      </c>
    </row>
    <row r="2198" spans="1:17" x14ac:dyDescent="0.25">
      <c r="A2198" t="s">
        <v>548</v>
      </c>
      <c r="B2198" t="s">
        <v>429</v>
      </c>
      <c r="C2198">
        <v>81</v>
      </c>
      <c r="D2198">
        <v>20220614</v>
      </c>
      <c r="E2198">
        <f t="shared" si="34"/>
        <v>6</v>
      </c>
      <c r="F2198">
        <v>411020</v>
      </c>
      <c r="G2198" t="s">
        <v>30</v>
      </c>
      <c r="H2198" t="s">
        <v>369</v>
      </c>
      <c r="I2198" t="s">
        <v>370</v>
      </c>
      <c r="J2198">
        <v>322050011</v>
      </c>
      <c r="K2198">
        <v>20220614</v>
      </c>
      <c r="L2198" t="s">
        <v>2557</v>
      </c>
      <c r="M2198">
        <v>0</v>
      </c>
      <c r="N2198">
        <v>4.63</v>
      </c>
      <c r="O2198" t="s">
        <v>19</v>
      </c>
      <c r="P2198" t="s">
        <v>20</v>
      </c>
      <c r="Q2198">
        <v>20220614</v>
      </c>
    </row>
    <row r="2199" spans="1:17" x14ac:dyDescent="0.25">
      <c r="A2199" t="s">
        <v>548</v>
      </c>
      <c r="B2199" t="s">
        <v>429</v>
      </c>
      <c r="C2199">
        <v>81</v>
      </c>
      <c r="D2199">
        <v>20220614</v>
      </c>
      <c r="E2199">
        <f t="shared" si="34"/>
        <v>6</v>
      </c>
      <c r="F2199">
        <v>411020</v>
      </c>
      <c r="G2199" t="s">
        <v>30</v>
      </c>
      <c r="H2199" t="s">
        <v>385</v>
      </c>
      <c r="I2199" t="s">
        <v>386</v>
      </c>
      <c r="J2199">
        <v>322050019</v>
      </c>
      <c r="K2199">
        <v>20220614</v>
      </c>
      <c r="L2199" t="s">
        <v>2558</v>
      </c>
      <c r="M2199">
        <v>0</v>
      </c>
      <c r="N2199">
        <v>34.869999999999997</v>
      </c>
      <c r="O2199" t="s">
        <v>19</v>
      </c>
      <c r="P2199" t="s">
        <v>20</v>
      </c>
      <c r="Q2199">
        <v>20220614</v>
      </c>
    </row>
    <row r="2200" spans="1:17" x14ac:dyDescent="0.25">
      <c r="A2200" t="s">
        <v>548</v>
      </c>
      <c r="B2200" t="s">
        <v>429</v>
      </c>
      <c r="C2200">
        <v>81</v>
      </c>
      <c r="D2200">
        <v>20220614</v>
      </c>
      <c r="E2200">
        <f t="shared" si="34"/>
        <v>6</v>
      </c>
      <c r="F2200">
        <v>411020</v>
      </c>
      <c r="G2200" t="s">
        <v>30</v>
      </c>
      <c r="H2200" t="s">
        <v>385</v>
      </c>
      <c r="I2200" t="s">
        <v>386</v>
      </c>
      <c r="J2200">
        <v>322050019</v>
      </c>
      <c r="K2200">
        <v>20220614</v>
      </c>
      <c r="L2200" t="s">
        <v>2559</v>
      </c>
      <c r="M2200">
        <v>0</v>
      </c>
      <c r="N2200">
        <v>0.13</v>
      </c>
      <c r="O2200" t="s">
        <v>19</v>
      </c>
      <c r="P2200" t="s">
        <v>20</v>
      </c>
      <c r="Q2200">
        <v>20220614</v>
      </c>
    </row>
    <row r="2201" spans="1:17" x14ac:dyDescent="0.25">
      <c r="A2201" t="s">
        <v>548</v>
      </c>
      <c r="B2201" t="s">
        <v>429</v>
      </c>
      <c r="C2201">
        <v>81</v>
      </c>
      <c r="D2201">
        <v>20220614</v>
      </c>
      <c r="E2201">
        <f t="shared" si="34"/>
        <v>6</v>
      </c>
      <c r="F2201">
        <v>411020</v>
      </c>
      <c r="G2201" t="s">
        <v>30</v>
      </c>
      <c r="H2201" t="s">
        <v>338</v>
      </c>
      <c r="I2201" t="s">
        <v>339</v>
      </c>
      <c r="J2201">
        <v>322050024</v>
      </c>
      <c r="K2201">
        <v>20220614</v>
      </c>
      <c r="L2201" t="s">
        <v>2560</v>
      </c>
      <c r="M2201">
        <v>0</v>
      </c>
      <c r="N2201">
        <v>61.42</v>
      </c>
      <c r="O2201" t="s">
        <v>22</v>
      </c>
      <c r="P2201">
        <v>20230218</v>
      </c>
      <c r="Q2201">
        <v>20220614</v>
      </c>
    </row>
    <row r="2202" spans="1:17" x14ac:dyDescent="0.25">
      <c r="A2202" t="s">
        <v>548</v>
      </c>
      <c r="B2202" t="s">
        <v>429</v>
      </c>
      <c r="C2202">
        <v>81</v>
      </c>
      <c r="D2202">
        <v>20220614</v>
      </c>
      <c r="E2202">
        <f t="shared" si="34"/>
        <v>6</v>
      </c>
      <c r="F2202">
        <v>411020</v>
      </c>
      <c r="G2202" t="s">
        <v>30</v>
      </c>
      <c r="H2202" t="s">
        <v>338</v>
      </c>
      <c r="I2202" t="s">
        <v>339</v>
      </c>
      <c r="J2202">
        <v>322050024</v>
      </c>
      <c r="K2202">
        <v>20220614</v>
      </c>
      <c r="L2202" t="s">
        <v>2561</v>
      </c>
      <c r="M2202">
        <v>0</v>
      </c>
      <c r="N2202">
        <v>0.57999999999999996</v>
      </c>
      <c r="O2202" t="s">
        <v>22</v>
      </c>
      <c r="P2202">
        <v>20230218</v>
      </c>
      <c r="Q2202">
        <v>20220614</v>
      </c>
    </row>
    <row r="2203" spans="1:17" x14ac:dyDescent="0.25">
      <c r="A2203" t="s">
        <v>548</v>
      </c>
      <c r="B2203" t="s">
        <v>429</v>
      </c>
      <c r="C2203">
        <v>81</v>
      </c>
      <c r="D2203">
        <v>20220614</v>
      </c>
      <c r="E2203">
        <f t="shared" si="34"/>
        <v>6</v>
      </c>
      <c r="F2203">
        <v>411020</v>
      </c>
      <c r="G2203" t="s">
        <v>30</v>
      </c>
      <c r="H2203" t="s">
        <v>332</v>
      </c>
      <c r="I2203" t="s">
        <v>333</v>
      </c>
      <c r="J2203">
        <v>322050008</v>
      </c>
      <c r="K2203">
        <v>20220614</v>
      </c>
      <c r="L2203" t="s">
        <v>2562</v>
      </c>
      <c r="M2203">
        <v>0</v>
      </c>
      <c r="N2203">
        <v>48.02</v>
      </c>
      <c r="O2203" t="s">
        <v>19</v>
      </c>
      <c r="P2203" t="s">
        <v>20</v>
      </c>
      <c r="Q2203">
        <v>20220614</v>
      </c>
    </row>
    <row r="2204" spans="1:17" x14ac:dyDescent="0.25">
      <c r="A2204" t="s">
        <v>548</v>
      </c>
      <c r="B2204" t="s">
        <v>429</v>
      </c>
      <c r="C2204">
        <v>81</v>
      </c>
      <c r="D2204">
        <v>20220614</v>
      </c>
      <c r="E2204">
        <f t="shared" si="34"/>
        <v>6</v>
      </c>
      <c r="F2204">
        <v>531105</v>
      </c>
      <c r="G2204" t="s">
        <v>429</v>
      </c>
      <c r="H2204" t="s">
        <v>401</v>
      </c>
      <c r="I2204" t="s">
        <v>402</v>
      </c>
      <c r="J2204">
        <v>344973</v>
      </c>
      <c r="K2204">
        <v>20220614</v>
      </c>
      <c r="L2204" t="s">
        <v>565</v>
      </c>
      <c r="M2204">
        <v>575.02</v>
      </c>
      <c r="N2204">
        <v>0</v>
      </c>
      <c r="O2204" t="s">
        <v>19</v>
      </c>
      <c r="P2204" t="s">
        <v>20</v>
      </c>
      <c r="Q2204">
        <v>20220614</v>
      </c>
    </row>
    <row r="2205" spans="1:17" x14ac:dyDescent="0.25">
      <c r="A2205" t="s">
        <v>548</v>
      </c>
      <c r="B2205" t="s">
        <v>429</v>
      </c>
      <c r="C2205">
        <v>81</v>
      </c>
      <c r="D2205">
        <v>20220615</v>
      </c>
      <c r="E2205">
        <f t="shared" si="34"/>
        <v>6</v>
      </c>
      <c r="F2205">
        <v>411100</v>
      </c>
      <c r="G2205" t="s">
        <v>18</v>
      </c>
      <c r="H2205" t="s">
        <v>638</v>
      </c>
      <c r="I2205" t="s">
        <v>639</v>
      </c>
      <c r="J2205">
        <v>344702</v>
      </c>
      <c r="K2205">
        <v>20220615</v>
      </c>
      <c r="L2205" t="s">
        <v>2563</v>
      </c>
      <c r="M2205">
        <v>0</v>
      </c>
      <c r="N2205">
        <v>21.3</v>
      </c>
      <c r="O2205" t="s">
        <v>22</v>
      </c>
      <c r="P2205">
        <v>20230218</v>
      </c>
      <c r="Q2205">
        <v>20220615</v>
      </c>
    </row>
    <row r="2206" spans="1:17" x14ac:dyDescent="0.25">
      <c r="A2206" t="s">
        <v>548</v>
      </c>
      <c r="B2206" t="s">
        <v>429</v>
      </c>
      <c r="C2206">
        <v>81</v>
      </c>
      <c r="D2206">
        <v>20220615</v>
      </c>
      <c r="E2206">
        <f t="shared" si="34"/>
        <v>6</v>
      </c>
      <c r="F2206">
        <v>411010</v>
      </c>
      <c r="G2206" t="s">
        <v>87</v>
      </c>
      <c r="H2206" t="s">
        <v>678</v>
      </c>
      <c r="I2206" t="s">
        <v>679</v>
      </c>
      <c r="J2206">
        <v>344703</v>
      </c>
      <c r="K2206">
        <v>20220615</v>
      </c>
      <c r="L2206" t="s">
        <v>2564</v>
      </c>
      <c r="M2206">
        <v>0</v>
      </c>
      <c r="N2206">
        <v>10</v>
      </c>
      <c r="O2206" t="s">
        <v>22</v>
      </c>
      <c r="P2206">
        <v>20230218</v>
      </c>
      <c r="Q2206">
        <v>20220615</v>
      </c>
    </row>
    <row r="2207" spans="1:17" x14ac:dyDescent="0.25">
      <c r="A2207" t="s">
        <v>548</v>
      </c>
      <c r="B2207" t="s">
        <v>429</v>
      </c>
      <c r="C2207">
        <v>81</v>
      </c>
      <c r="D2207">
        <v>20220615</v>
      </c>
      <c r="E2207">
        <f t="shared" si="34"/>
        <v>6</v>
      </c>
      <c r="F2207">
        <v>411100</v>
      </c>
      <c r="G2207" t="s">
        <v>18</v>
      </c>
      <c r="H2207" t="s">
        <v>301</v>
      </c>
      <c r="I2207" t="s">
        <v>302</v>
      </c>
      <c r="J2207">
        <v>344704</v>
      </c>
      <c r="K2207">
        <v>20220615</v>
      </c>
      <c r="L2207" t="s">
        <v>2565</v>
      </c>
      <c r="M2207">
        <v>0</v>
      </c>
      <c r="N2207">
        <v>104.82</v>
      </c>
      <c r="O2207" t="s">
        <v>23</v>
      </c>
      <c r="P2207">
        <v>20230329</v>
      </c>
      <c r="Q2207">
        <v>20220615</v>
      </c>
    </row>
    <row r="2208" spans="1:17" x14ac:dyDescent="0.25">
      <c r="A2208" t="s">
        <v>548</v>
      </c>
      <c r="B2208" t="s">
        <v>429</v>
      </c>
      <c r="C2208">
        <v>81</v>
      </c>
      <c r="D2208">
        <v>20220615</v>
      </c>
      <c r="E2208">
        <f t="shared" si="34"/>
        <v>6</v>
      </c>
      <c r="F2208">
        <v>531105</v>
      </c>
      <c r="G2208" t="s">
        <v>429</v>
      </c>
      <c r="H2208" t="s">
        <v>401</v>
      </c>
      <c r="I2208" t="s">
        <v>402</v>
      </c>
      <c r="J2208">
        <v>344705</v>
      </c>
      <c r="K2208">
        <v>20220615</v>
      </c>
      <c r="L2208" t="s">
        <v>565</v>
      </c>
      <c r="M2208">
        <v>136.12</v>
      </c>
      <c r="N2208">
        <v>0</v>
      </c>
      <c r="O2208" t="s">
        <v>19</v>
      </c>
      <c r="P2208" t="s">
        <v>20</v>
      </c>
      <c r="Q2208">
        <v>20220615</v>
      </c>
    </row>
    <row r="2209" spans="1:17" x14ac:dyDescent="0.25">
      <c r="A2209" t="s">
        <v>548</v>
      </c>
      <c r="B2209" t="s">
        <v>429</v>
      </c>
      <c r="C2209">
        <v>81</v>
      </c>
      <c r="D2209">
        <v>20220615</v>
      </c>
      <c r="E2209">
        <f t="shared" si="34"/>
        <v>6</v>
      </c>
      <c r="F2209">
        <v>411000</v>
      </c>
      <c r="G2209" t="s">
        <v>21</v>
      </c>
      <c r="H2209" t="s">
        <v>271</v>
      </c>
      <c r="I2209" t="s">
        <v>272</v>
      </c>
      <c r="J2209">
        <v>222050030</v>
      </c>
      <c r="K2209">
        <v>20220615</v>
      </c>
      <c r="L2209" t="s">
        <v>2566</v>
      </c>
      <c r="M2209">
        <v>0</v>
      </c>
      <c r="N2209">
        <v>40.43</v>
      </c>
      <c r="O2209" t="s">
        <v>22</v>
      </c>
      <c r="P2209">
        <v>20230218</v>
      </c>
      <c r="Q2209">
        <v>20220615</v>
      </c>
    </row>
    <row r="2210" spans="1:17" x14ac:dyDescent="0.25">
      <c r="A2210" t="s">
        <v>548</v>
      </c>
      <c r="B2210" t="s">
        <v>429</v>
      </c>
      <c r="C2210">
        <v>81</v>
      </c>
      <c r="D2210">
        <v>20220615</v>
      </c>
      <c r="E2210">
        <f t="shared" si="34"/>
        <v>6</v>
      </c>
      <c r="F2210">
        <v>411000</v>
      </c>
      <c r="G2210" t="s">
        <v>21</v>
      </c>
      <c r="H2210" t="s">
        <v>271</v>
      </c>
      <c r="I2210" t="s">
        <v>272</v>
      </c>
      <c r="J2210">
        <v>222050030</v>
      </c>
      <c r="K2210">
        <v>20220615</v>
      </c>
      <c r="L2210" t="s">
        <v>2567</v>
      </c>
      <c r="M2210">
        <v>0.35</v>
      </c>
      <c r="N2210">
        <v>0</v>
      </c>
      <c r="O2210" t="s">
        <v>19</v>
      </c>
      <c r="P2210" t="s">
        <v>20</v>
      </c>
      <c r="Q2210">
        <v>20220615</v>
      </c>
    </row>
    <row r="2211" spans="1:17" x14ac:dyDescent="0.25">
      <c r="A2211" t="s">
        <v>548</v>
      </c>
      <c r="B2211" t="s">
        <v>429</v>
      </c>
      <c r="C2211">
        <v>81</v>
      </c>
      <c r="D2211">
        <v>20220615</v>
      </c>
      <c r="E2211">
        <f t="shared" si="34"/>
        <v>6</v>
      </c>
      <c r="F2211">
        <v>531105</v>
      </c>
      <c r="G2211" t="s">
        <v>429</v>
      </c>
      <c r="H2211" t="s">
        <v>401</v>
      </c>
      <c r="I2211" t="s">
        <v>402</v>
      </c>
      <c r="J2211">
        <v>344942</v>
      </c>
      <c r="K2211">
        <v>20220615</v>
      </c>
      <c r="L2211" t="s">
        <v>565</v>
      </c>
      <c r="M2211">
        <v>40.08</v>
      </c>
      <c r="N2211">
        <v>0</v>
      </c>
      <c r="O2211" t="s">
        <v>19</v>
      </c>
      <c r="P2211" t="s">
        <v>20</v>
      </c>
      <c r="Q2211">
        <v>20220615</v>
      </c>
    </row>
    <row r="2212" spans="1:17" x14ac:dyDescent="0.25">
      <c r="A2212" t="s">
        <v>548</v>
      </c>
      <c r="B2212" t="s">
        <v>429</v>
      </c>
      <c r="C2212">
        <v>81</v>
      </c>
      <c r="D2212">
        <v>20220616</v>
      </c>
      <c r="E2212">
        <f t="shared" si="34"/>
        <v>6</v>
      </c>
      <c r="F2212">
        <v>411000</v>
      </c>
      <c r="G2212" t="s">
        <v>21</v>
      </c>
      <c r="H2212" t="s">
        <v>271</v>
      </c>
      <c r="I2212" t="s">
        <v>272</v>
      </c>
      <c r="J2212">
        <v>122020161</v>
      </c>
      <c r="K2212">
        <v>20220616</v>
      </c>
      <c r="L2212" t="s">
        <v>2568</v>
      </c>
      <c r="M2212">
        <v>0</v>
      </c>
      <c r="N2212">
        <v>38.700000000000003</v>
      </c>
      <c r="O2212" t="s">
        <v>19</v>
      </c>
      <c r="P2212" t="s">
        <v>20</v>
      </c>
      <c r="Q2212">
        <v>20220616</v>
      </c>
    </row>
    <row r="2213" spans="1:17" x14ac:dyDescent="0.25">
      <c r="A2213" t="s">
        <v>548</v>
      </c>
      <c r="B2213" t="s">
        <v>429</v>
      </c>
      <c r="C2213">
        <v>81</v>
      </c>
      <c r="D2213">
        <v>20220616</v>
      </c>
      <c r="E2213">
        <f t="shared" si="34"/>
        <v>6</v>
      </c>
      <c r="F2213">
        <v>531105</v>
      </c>
      <c r="G2213" t="s">
        <v>429</v>
      </c>
      <c r="H2213" t="s">
        <v>401</v>
      </c>
      <c r="I2213" t="s">
        <v>402</v>
      </c>
      <c r="J2213">
        <v>344707</v>
      </c>
      <c r="K2213">
        <v>20220616</v>
      </c>
      <c r="L2213" t="s">
        <v>565</v>
      </c>
      <c r="M2213">
        <v>38.700000000000003</v>
      </c>
      <c r="N2213">
        <v>0</v>
      </c>
      <c r="O2213" t="s">
        <v>19</v>
      </c>
      <c r="P2213" t="s">
        <v>20</v>
      </c>
      <c r="Q2213">
        <v>20220616</v>
      </c>
    </row>
    <row r="2214" spans="1:17" x14ac:dyDescent="0.25">
      <c r="A2214" t="s">
        <v>548</v>
      </c>
      <c r="B2214" t="s">
        <v>429</v>
      </c>
      <c r="C2214">
        <v>81</v>
      </c>
      <c r="D2214">
        <v>20220617</v>
      </c>
      <c r="E2214">
        <f t="shared" si="34"/>
        <v>6</v>
      </c>
      <c r="F2214">
        <v>411100</v>
      </c>
      <c r="G2214" t="s">
        <v>18</v>
      </c>
      <c r="H2214" t="s">
        <v>944</v>
      </c>
      <c r="I2214" t="s">
        <v>945</v>
      </c>
      <c r="J2214">
        <v>344708</v>
      </c>
      <c r="K2214">
        <v>20220617</v>
      </c>
      <c r="L2214" t="s">
        <v>2569</v>
      </c>
      <c r="M2214">
        <v>0</v>
      </c>
      <c r="N2214">
        <v>50</v>
      </c>
      <c r="O2214" t="s">
        <v>23</v>
      </c>
      <c r="P2214">
        <v>20230329</v>
      </c>
      <c r="Q2214">
        <v>20220617</v>
      </c>
    </row>
    <row r="2215" spans="1:17" x14ac:dyDescent="0.25">
      <c r="A2215" t="s">
        <v>548</v>
      </c>
      <c r="B2215" t="s">
        <v>429</v>
      </c>
      <c r="C2215">
        <v>81</v>
      </c>
      <c r="D2215">
        <v>20220617</v>
      </c>
      <c r="E2215">
        <f t="shared" si="34"/>
        <v>6</v>
      </c>
      <c r="F2215">
        <v>411100</v>
      </c>
      <c r="G2215" t="s">
        <v>18</v>
      </c>
      <c r="H2215" t="s">
        <v>311</v>
      </c>
      <c r="I2215" t="s">
        <v>312</v>
      </c>
      <c r="J2215">
        <v>344709</v>
      </c>
      <c r="K2215">
        <v>20220617</v>
      </c>
      <c r="L2215" t="s">
        <v>2570</v>
      </c>
      <c r="M2215">
        <v>0</v>
      </c>
      <c r="N2215">
        <v>70</v>
      </c>
      <c r="O2215" t="s">
        <v>19</v>
      </c>
      <c r="P2215" t="s">
        <v>20</v>
      </c>
      <c r="Q2215">
        <v>20220617</v>
      </c>
    </row>
    <row r="2216" spans="1:17" x14ac:dyDescent="0.25">
      <c r="A2216" t="s">
        <v>548</v>
      </c>
      <c r="B2216" t="s">
        <v>429</v>
      </c>
      <c r="C2216">
        <v>81</v>
      </c>
      <c r="D2216">
        <v>20220617</v>
      </c>
      <c r="E2216">
        <f t="shared" si="34"/>
        <v>6</v>
      </c>
      <c r="F2216">
        <v>531105</v>
      </c>
      <c r="G2216" t="s">
        <v>429</v>
      </c>
      <c r="H2216" t="s">
        <v>401</v>
      </c>
      <c r="I2216" t="s">
        <v>402</v>
      </c>
      <c r="J2216">
        <v>344710</v>
      </c>
      <c r="K2216">
        <v>20220617</v>
      </c>
      <c r="L2216" t="s">
        <v>565</v>
      </c>
      <c r="M2216">
        <v>120</v>
      </c>
      <c r="N2216">
        <v>0</v>
      </c>
      <c r="O2216" t="s">
        <v>19</v>
      </c>
      <c r="P2216" t="s">
        <v>20</v>
      </c>
      <c r="Q2216">
        <v>20220617</v>
      </c>
    </row>
    <row r="2217" spans="1:17" x14ac:dyDescent="0.25">
      <c r="A2217" t="s">
        <v>548</v>
      </c>
      <c r="B2217" t="s">
        <v>429</v>
      </c>
      <c r="C2217">
        <v>81</v>
      </c>
      <c r="D2217">
        <v>20220620</v>
      </c>
      <c r="E2217">
        <f t="shared" si="34"/>
        <v>6</v>
      </c>
      <c r="F2217">
        <v>411100</v>
      </c>
      <c r="G2217" t="s">
        <v>18</v>
      </c>
      <c r="H2217" t="s">
        <v>1536</v>
      </c>
      <c r="I2217" t="s">
        <v>1537</v>
      </c>
      <c r="J2217">
        <v>344711</v>
      </c>
      <c r="K2217">
        <v>20220620</v>
      </c>
      <c r="L2217" t="s">
        <v>2571</v>
      </c>
      <c r="M2217">
        <v>0</v>
      </c>
      <c r="N2217">
        <v>72.959999999999994</v>
      </c>
      <c r="O2217" t="s">
        <v>23</v>
      </c>
      <c r="P2217">
        <v>20230329</v>
      </c>
      <c r="Q2217">
        <v>20220620</v>
      </c>
    </row>
    <row r="2218" spans="1:17" x14ac:dyDescent="0.25">
      <c r="A2218" t="s">
        <v>548</v>
      </c>
      <c r="B2218" t="s">
        <v>429</v>
      </c>
      <c r="C2218">
        <v>81</v>
      </c>
      <c r="D2218">
        <v>20220620</v>
      </c>
      <c r="E2218">
        <f t="shared" si="34"/>
        <v>6</v>
      </c>
      <c r="F2218">
        <v>411100</v>
      </c>
      <c r="G2218" t="s">
        <v>18</v>
      </c>
      <c r="H2218" t="s">
        <v>130</v>
      </c>
      <c r="I2218" t="s">
        <v>131</v>
      </c>
      <c r="J2218">
        <v>344712</v>
      </c>
      <c r="K2218">
        <v>20220620</v>
      </c>
      <c r="L2218" t="s">
        <v>2572</v>
      </c>
      <c r="M2218">
        <v>0</v>
      </c>
      <c r="N2218">
        <v>92.98</v>
      </c>
      <c r="O2218" t="s">
        <v>19</v>
      </c>
      <c r="P2218" t="s">
        <v>20</v>
      </c>
      <c r="Q2218">
        <v>20220620</v>
      </c>
    </row>
    <row r="2219" spans="1:17" x14ac:dyDescent="0.25">
      <c r="A2219" t="s">
        <v>548</v>
      </c>
      <c r="B2219" t="s">
        <v>429</v>
      </c>
      <c r="C2219">
        <v>81</v>
      </c>
      <c r="D2219">
        <v>20220620</v>
      </c>
      <c r="E2219">
        <f t="shared" si="34"/>
        <v>6</v>
      </c>
      <c r="F2219">
        <v>411020</v>
      </c>
      <c r="G2219" t="s">
        <v>30</v>
      </c>
      <c r="H2219" t="s">
        <v>2043</v>
      </c>
      <c r="I2219" t="s">
        <v>2044</v>
      </c>
      <c r="J2219">
        <v>344713</v>
      </c>
      <c r="K2219">
        <v>20220620</v>
      </c>
      <c r="L2219" t="s">
        <v>2573</v>
      </c>
      <c r="M2219">
        <v>0</v>
      </c>
      <c r="N2219">
        <v>22.3</v>
      </c>
      <c r="O2219" t="s">
        <v>19</v>
      </c>
      <c r="P2219" t="s">
        <v>20</v>
      </c>
      <c r="Q2219">
        <v>20220620</v>
      </c>
    </row>
    <row r="2220" spans="1:17" x14ac:dyDescent="0.25">
      <c r="A2220" t="s">
        <v>548</v>
      </c>
      <c r="B2220" t="s">
        <v>429</v>
      </c>
      <c r="C2220">
        <v>81</v>
      </c>
      <c r="D2220">
        <v>20220620</v>
      </c>
      <c r="E2220">
        <f t="shared" si="34"/>
        <v>6</v>
      </c>
      <c r="F2220">
        <v>411100</v>
      </c>
      <c r="G2220" t="s">
        <v>18</v>
      </c>
      <c r="H2220" t="s">
        <v>150</v>
      </c>
      <c r="I2220" t="s">
        <v>151</v>
      </c>
      <c r="J2220">
        <v>344714</v>
      </c>
      <c r="K2220">
        <v>20220620</v>
      </c>
      <c r="L2220" t="s">
        <v>2574</v>
      </c>
      <c r="M2220">
        <v>0</v>
      </c>
      <c r="N2220">
        <v>10</v>
      </c>
      <c r="O2220" t="s">
        <v>22</v>
      </c>
      <c r="P2220">
        <v>20230218</v>
      </c>
      <c r="Q2220">
        <v>20220620</v>
      </c>
    </row>
    <row r="2221" spans="1:17" x14ac:dyDescent="0.25">
      <c r="A2221" t="s">
        <v>548</v>
      </c>
      <c r="B2221" t="s">
        <v>429</v>
      </c>
      <c r="C2221">
        <v>81</v>
      </c>
      <c r="D2221">
        <v>20220620</v>
      </c>
      <c r="E2221">
        <f t="shared" si="34"/>
        <v>6</v>
      </c>
      <c r="F2221">
        <v>531105</v>
      </c>
      <c r="G2221" t="s">
        <v>429</v>
      </c>
      <c r="H2221" t="s">
        <v>401</v>
      </c>
      <c r="I2221" t="s">
        <v>402</v>
      </c>
      <c r="J2221">
        <v>344715</v>
      </c>
      <c r="K2221">
        <v>20220620</v>
      </c>
      <c r="L2221" t="s">
        <v>565</v>
      </c>
      <c r="M2221">
        <v>198.24</v>
      </c>
      <c r="N2221">
        <v>0</v>
      </c>
      <c r="O2221" t="s">
        <v>19</v>
      </c>
      <c r="P2221" t="s">
        <v>20</v>
      </c>
      <c r="Q2221">
        <v>20220620</v>
      </c>
    </row>
    <row r="2222" spans="1:17" x14ac:dyDescent="0.25">
      <c r="A2222" t="s">
        <v>548</v>
      </c>
      <c r="B2222" t="s">
        <v>429</v>
      </c>
      <c r="C2222">
        <v>81</v>
      </c>
      <c r="D2222">
        <v>20220621</v>
      </c>
      <c r="E2222">
        <f t="shared" si="34"/>
        <v>6</v>
      </c>
      <c r="F2222">
        <v>411100</v>
      </c>
      <c r="G2222" t="s">
        <v>18</v>
      </c>
      <c r="H2222" t="s">
        <v>2575</v>
      </c>
      <c r="I2222" t="s">
        <v>2576</v>
      </c>
      <c r="J2222">
        <v>344716</v>
      </c>
      <c r="K2222">
        <v>20220621</v>
      </c>
      <c r="L2222" t="s">
        <v>2577</v>
      </c>
      <c r="M2222">
        <v>0</v>
      </c>
      <c r="N2222">
        <v>86.31</v>
      </c>
      <c r="O2222" t="s">
        <v>19</v>
      </c>
      <c r="P2222" t="s">
        <v>20</v>
      </c>
      <c r="Q2222">
        <v>20220621</v>
      </c>
    </row>
    <row r="2223" spans="1:17" x14ac:dyDescent="0.25">
      <c r="A2223" t="s">
        <v>548</v>
      </c>
      <c r="B2223" t="s">
        <v>429</v>
      </c>
      <c r="C2223">
        <v>81</v>
      </c>
      <c r="D2223">
        <v>20220621</v>
      </c>
      <c r="E2223">
        <f t="shared" si="34"/>
        <v>6</v>
      </c>
      <c r="F2223">
        <v>411100</v>
      </c>
      <c r="G2223" t="s">
        <v>18</v>
      </c>
      <c r="H2223" t="s">
        <v>787</v>
      </c>
      <c r="I2223" t="s">
        <v>788</v>
      </c>
      <c r="J2223">
        <v>122050020</v>
      </c>
      <c r="K2223">
        <v>20220621</v>
      </c>
      <c r="L2223" t="s">
        <v>2578</v>
      </c>
      <c r="M2223">
        <v>0</v>
      </c>
      <c r="N2223">
        <v>216.41</v>
      </c>
      <c r="O2223" t="s">
        <v>19</v>
      </c>
      <c r="P2223" t="s">
        <v>20</v>
      </c>
      <c r="Q2223">
        <v>20220621</v>
      </c>
    </row>
    <row r="2224" spans="1:17" x14ac:dyDescent="0.25">
      <c r="A2224" t="s">
        <v>548</v>
      </c>
      <c r="B2224" t="s">
        <v>429</v>
      </c>
      <c r="C2224">
        <v>81</v>
      </c>
      <c r="D2224">
        <v>20220621</v>
      </c>
      <c r="E2224">
        <f t="shared" si="34"/>
        <v>6</v>
      </c>
      <c r="F2224">
        <v>411100</v>
      </c>
      <c r="G2224" t="s">
        <v>18</v>
      </c>
      <c r="H2224" t="s">
        <v>2579</v>
      </c>
      <c r="I2224" t="s">
        <v>2580</v>
      </c>
      <c r="J2224">
        <v>344718</v>
      </c>
      <c r="K2224">
        <v>20220621</v>
      </c>
      <c r="L2224" t="s">
        <v>2581</v>
      </c>
      <c r="M2224">
        <v>0</v>
      </c>
      <c r="N2224">
        <v>92.18</v>
      </c>
      <c r="O2224" t="s">
        <v>23</v>
      </c>
      <c r="P2224">
        <v>20230329</v>
      </c>
      <c r="Q2224">
        <v>20220621</v>
      </c>
    </row>
    <row r="2225" spans="1:17" x14ac:dyDescent="0.25">
      <c r="A2225" t="s">
        <v>548</v>
      </c>
      <c r="B2225" t="s">
        <v>429</v>
      </c>
      <c r="C2225">
        <v>81</v>
      </c>
      <c r="D2225">
        <v>20220621</v>
      </c>
      <c r="E2225">
        <f t="shared" si="34"/>
        <v>6</v>
      </c>
      <c r="F2225">
        <v>411100</v>
      </c>
      <c r="G2225" t="s">
        <v>18</v>
      </c>
      <c r="H2225" t="s">
        <v>311</v>
      </c>
      <c r="I2225" t="s">
        <v>312</v>
      </c>
      <c r="J2225">
        <v>122050055</v>
      </c>
      <c r="K2225">
        <v>20220621</v>
      </c>
      <c r="L2225" t="s">
        <v>2582</v>
      </c>
      <c r="M2225">
        <v>0</v>
      </c>
      <c r="N2225">
        <v>100</v>
      </c>
      <c r="O2225" t="s">
        <v>19</v>
      </c>
      <c r="P2225" t="s">
        <v>20</v>
      </c>
      <c r="Q2225">
        <v>20220621</v>
      </c>
    </row>
    <row r="2226" spans="1:17" x14ac:dyDescent="0.25">
      <c r="A2226" t="s">
        <v>548</v>
      </c>
      <c r="B2226" t="s">
        <v>429</v>
      </c>
      <c r="C2226">
        <v>81</v>
      </c>
      <c r="D2226">
        <v>20220621</v>
      </c>
      <c r="E2226">
        <f t="shared" si="34"/>
        <v>6</v>
      </c>
      <c r="F2226">
        <v>411100</v>
      </c>
      <c r="G2226" t="s">
        <v>18</v>
      </c>
      <c r="H2226" t="s">
        <v>592</v>
      </c>
      <c r="I2226" t="s">
        <v>593</v>
      </c>
      <c r="J2226">
        <v>344720</v>
      </c>
      <c r="K2226">
        <v>20220621</v>
      </c>
      <c r="L2226" t="s">
        <v>2583</v>
      </c>
      <c r="M2226">
        <v>0</v>
      </c>
      <c r="N2226">
        <v>77</v>
      </c>
      <c r="O2226" t="s">
        <v>19</v>
      </c>
      <c r="P2226" t="s">
        <v>20</v>
      </c>
      <c r="Q2226">
        <v>20220621</v>
      </c>
    </row>
    <row r="2227" spans="1:17" x14ac:dyDescent="0.25">
      <c r="A2227" t="s">
        <v>548</v>
      </c>
      <c r="B2227" t="s">
        <v>429</v>
      </c>
      <c r="C2227">
        <v>81</v>
      </c>
      <c r="D2227">
        <v>20220621</v>
      </c>
      <c r="E2227">
        <f t="shared" si="34"/>
        <v>6</v>
      </c>
      <c r="F2227">
        <v>411100</v>
      </c>
      <c r="G2227" t="s">
        <v>18</v>
      </c>
      <c r="H2227" t="s">
        <v>944</v>
      </c>
      <c r="I2227" t="s">
        <v>945</v>
      </c>
      <c r="J2227">
        <v>344721</v>
      </c>
      <c r="K2227">
        <v>20220621</v>
      </c>
      <c r="L2227" t="s">
        <v>2584</v>
      </c>
      <c r="M2227">
        <v>0</v>
      </c>
      <c r="N2227">
        <v>15.09</v>
      </c>
      <c r="O2227" t="s">
        <v>23</v>
      </c>
      <c r="P2227">
        <v>20230329</v>
      </c>
      <c r="Q2227">
        <v>20220621</v>
      </c>
    </row>
    <row r="2228" spans="1:17" x14ac:dyDescent="0.25">
      <c r="A2228" t="s">
        <v>548</v>
      </c>
      <c r="B2228" t="s">
        <v>429</v>
      </c>
      <c r="C2228">
        <v>81</v>
      </c>
      <c r="D2228">
        <v>20220621</v>
      </c>
      <c r="E2228">
        <f t="shared" si="34"/>
        <v>6</v>
      </c>
      <c r="F2228">
        <v>531105</v>
      </c>
      <c r="G2228" t="s">
        <v>429</v>
      </c>
      <c r="H2228" t="s">
        <v>401</v>
      </c>
      <c r="I2228" t="s">
        <v>402</v>
      </c>
      <c r="J2228">
        <v>344722</v>
      </c>
      <c r="K2228">
        <v>20220621</v>
      </c>
      <c r="L2228" t="s">
        <v>565</v>
      </c>
      <c r="M2228">
        <v>586.99</v>
      </c>
      <c r="N2228">
        <v>0</v>
      </c>
      <c r="O2228" t="s">
        <v>19</v>
      </c>
      <c r="P2228" t="s">
        <v>20</v>
      </c>
      <c r="Q2228">
        <v>20220621</v>
      </c>
    </row>
    <row r="2229" spans="1:17" x14ac:dyDescent="0.25">
      <c r="A2229" t="s">
        <v>548</v>
      </c>
      <c r="B2229" t="s">
        <v>429</v>
      </c>
      <c r="C2229">
        <v>81</v>
      </c>
      <c r="D2229">
        <v>20220623</v>
      </c>
      <c r="E2229">
        <f t="shared" si="34"/>
        <v>6</v>
      </c>
      <c r="F2229">
        <v>411100</v>
      </c>
      <c r="G2229" t="s">
        <v>18</v>
      </c>
      <c r="H2229" t="s">
        <v>291</v>
      </c>
      <c r="I2229" t="s">
        <v>292</v>
      </c>
      <c r="J2229">
        <v>122020060</v>
      </c>
      <c r="K2229">
        <v>20220623</v>
      </c>
      <c r="L2229" t="s">
        <v>2585</v>
      </c>
      <c r="M2229">
        <v>0</v>
      </c>
      <c r="N2229">
        <v>171</v>
      </c>
      <c r="O2229" t="s">
        <v>19</v>
      </c>
      <c r="P2229" t="s">
        <v>20</v>
      </c>
      <c r="Q2229">
        <v>20220623</v>
      </c>
    </row>
    <row r="2230" spans="1:17" x14ac:dyDescent="0.25">
      <c r="A2230" t="s">
        <v>548</v>
      </c>
      <c r="B2230" t="s">
        <v>429</v>
      </c>
      <c r="C2230">
        <v>81</v>
      </c>
      <c r="D2230">
        <v>20220623</v>
      </c>
      <c r="E2230">
        <f t="shared" si="34"/>
        <v>6</v>
      </c>
      <c r="F2230">
        <v>411100</v>
      </c>
      <c r="G2230" t="s">
        <v>18</v>
      </c>
      <c r="H2230" t="s">
        <v>291</v>
      </c>
      <c r="I2230" t="s">
        <v>292</v>
      </c>
      <c r="J2230">
        <v>122020060</v>
      </c>
      <c r="K2230">
        <v>20220623</v>
      </c>
      <c r="L2230" t="s">
        <v>2586</v>
      </c>
      <c r="M2230">
        <v>13.4</v>
      </c>
      <c r="N2230">
        <v>0</v>
      </c>
      <c r="O2230" t="s">
        <v>19</v>
      </c>
      <c r="P2230" t="s">
        <v>20</v>
      </c>
      <c r="Q2230">
        <v>20220623</v>
      </c>
    </row>
    <row r="2231" spans="1:17" x14ac:dyDescent="0.25">
      <c r="A2231" t="s">
        <v>548</v>
      </c>
      <c r="B2231" t="s">
        <v>429</v>
      </c>
      <c r="C2231">
        <v>81</v>
      </c>
      <c r="D2231">
        <v>20220623</v>
      </c>
      <c r="E2231">
        <f t="shared" si="34"/>
        <v>6</v>
      </c>
      <c r="F2231">
        <v>411100</v>
      </c>
      <c r="G2231" t="s">
        <v>18</v>
      </c>
      <c r="H2231" t="s">
        <v>233</v>
      </c>
      <c r="I2231" t="s">
        <v>234</v>
      </c>
      <c r="J2231">
        <v>344725</v>
      </c>
      <c r="K2231">
        <v>20220623</v>
      </c>
      <c r="L2231" t="s">
        <v>2587</v>
      </c>
      <c r="M2231">
        <v>0</v>
      </c>
      <c r="N2231">
        <v>40</v>
      </c>
      <c r="O2231" t="s">
        <v>19</v>
      </c>
      <c r="P2231" t="s">
        <v>20</v>
      </c>
      <c r="Q2231">
        <v>20220623</v>
      </c>
    </row>
    <row r="2232" spans="1:17" x14ac:dyDescent="0.25">
      <c r="A2232" t="s">
        <v>548</v>
      </c>
      <c r="B2232" t="s">
        <v>429</v>
      </c>
      <c r="C2232">
        <v>81</v>
      </c>
      <c r="D2232">
        <v>20220623</v>
      </c>
      <c r="E2232">
        <f t="shared" si="34"/>
        <v>6</v>
      </c>
      <c r="F2232">
        <v>531105</v>
      </c>
      <c r="G2232" t="s">
        <v>429</v>
      </c>
      <c r="H2232" t="s">
        <v>401</v>
      </c>
      <c r="I2232" t="s">
        <v>402</v>
      </c>
      <c r="J2232">
        <v>344726</v>
      </c>
      <c r="K2232">
        <v>20220623</v>
      </c>
      <c r="L2232" t="s">
        <v>565</v>
      </c>
      <c r="M2232">
        <v>197.6</v>
      </c>
      <c r="N2232">
        <v>0</v>
      </c>
      <c r="O2232" t="s">
        <v>19</v>
      </c>
      <c r="P2232" t="s">
        <v>20</v>
      </c>
      <c r="Q2232">
        <v>20220623</v>
      </c>
    </row>
    <row r="2233" spans="1:17" x14ac:dyDescent="0.25">
      <c r="A2233" t="s">
        <v>548</v>
      </c>
      <c r="B2233" t="s">
        <v>429</v>
      </c>
      <c r="C2233">
        <v>81</v>
      </c>
      <c r="D2233">
        <v>20220624</v>
      </c>
      <c r="E2233">
        <f t="shared" si="34"/>
        <v>6</v>
      </c>
      <c r="F2233">
        <v>411100</v>
      </c>
      <c r="G2233" t="s">
        <v>18</v>
      </c>
      <c r="H2233" t="s">
        <v>229</v>
      </c>
      <c r="I2233" t="s">
        <v>230</v>
      </c>
      <c r="J2233">
        <v>344727</v>
      </c>
      <c r="K2233">
        <v>20220624</v>
      </c>
      <c r="L2233" t="s">
        <v>2588</v>
      </c>
      <c r="M2233">
        <v>0</v>
      </c>
      <c r="N2233">
        <v>111.68</v>
      </c>
      <c r="O2233" t="s">
        <v>23</v>
      </c>
      <c r="P2233">
        <v>20230404</v>
      </c>
      <c r="Q2233">
        <v>20220624</v>
      </c>
    </row>
    <row r="2234" spans="1:17" x14ac:dyDescent="0.25">
      <c r="A2234" t="s">
        <v>548</v>
      </c>
      <c r="B2234" t="s">
        <v>429</v>
      </c>
      <c r="C2234">
        <v>81</v>
      </c>
      <c r="D2234">
        <v>20220624</v>
      </c>
      <c r="E2234">
        <f t="shared" si="34"/>
        <v>6</v>
      </c>
      <c r="F2234">
        <v>411100</v>
      </c>
      <c r="G2234" t="s">
        <v>18</v>
      </c>
      <c r="H2234" t="s">
        <v>2579</v>
      </c>
      <c r="I2234" t="s">
        <v>2580</v>
      </c>
      <c r="J2234">
        <v>344728</v>
      </c>
      <c r="K2234">
        <v>20220624</v>
      </c>
      <c r="L2234" t="s">
        <v>2589</v>
      </c>
      <c r="M2234">
        <v>0</v>
      </c>
      <c r="N2234">
        <v>35.22</v>
      </c>
      <c r="O2234" t="s">
        <v>23</v>
      </c>
      <c r="P2234">
        <v>20230329</v>
      </c>
      <c r="Q2234">
        <v>20220624</v>
      </c>
    </row>
    <row r="2235" spans="1:17" x14ac:dyDescent="0.25">
      <c r="A2235" t="s">
        <v>548</v>
      </c>
      <c r="B2235" t="s">
        <v>429</v>
      </c>
      <c r="C2235">
        <v>81</v>
      </c>
      <c r="D2235">
        <v>20220624</v>
      </c>
      <c r="E2235">
        <f t="shared" si="34"/>
        <v>6</v>
      </c>
      <c r="F2235">
        <v>411100</v>
      </c>
      <c r="G2235" t="s">
        <v>18</v>
      </c>
      <c r="H2235" t="s">
        <v>293</v>
      </c>
      <c r="I2235" t="s">
        <v>294</v>
      </c>
      <c r="J2235">
        <v>122040069</v>
      </c>
      <c r="K2235">
        <v>20220624</v>
      </c>
      <c r="L2235" t="s">
        <v>2590</v>
      </c>
      <c r="M2235">
        <v>0</v>
      </c>
      <c r="N2235">
        <v>100</v>
      </c>
      <c r="O2235" t="s">
        <v>19</v>
      </c>
      <c r="P2235" t="s">
        <v>20</v>
      </c>
      <c r="Q2235">
        <v>20220624</v>
      </c>
    </row>
    <row r="2236" spans="1:17" x14ac:dyDescent="0.25">
      <c r="A2236" t="s">
        <v>548</v>
      </c>
      <c r="B2236" t="s">
        <v>429</v>
      </c>
      <c r="C2236">
        <v>81</v>
      </c>
      <c r="D2236">
        <v>20220624</v>
      </c>
      <c r="E2236">
        <f t="shared" si="34"/>
        <v>6</v>
      </c>
      <c r="F2236">
        <v>411100</v>
      </c>
      <c r="G2236" t="s">
        <v>18</v>
      </c>
      <c r="H2236" t="s">
        <v>1765</v>
      </c>
      <c r="I2236" t="s">
        <v>1766</v>
      </c>
      <c r="J2236">
        <v>344730</v>
      </c>
      <c r="K2236">
        <v>20220624</v>
      </c>
      <c r="L2236" t="s">
        <v>2591</v>
      </c>
      <c r="M2236">
        <v>0</v>
      </c>
      <c r="N2236">
        <v>80</v>
      </c>
      <c r="O2236" t="s">
        <v>23</v>
      </c>
      <c r="P2236">
        <v>20230218</v>
      </c>
      <c r="Q2236">
        <v>20220624</v>
      </c>
    </row>
    <row r="2237" spans="1:17" x14ac:dyDescent="0.25">
      <c r="A2237" t="s">
        <v>548</v>
      </c>
      <c r="B2237" t="s">
        <v>429</v>
      </c>
      <c r="C2237">
        <v>81</v>
      </c>
      <c r="D2237">
        <v>20220624</v>
      </c>
      <c r="E2237">
        <f t="shared" si="34"/>
        <v>6</v>
      </c>
      <c r="F2237">
        <v>531105</v>
      </c>
      <c r="G2237" t="s">
        <v>429</v>
      </c>
      <c r="H2237" t="s">
        <v>401</v>
      </c>
      <c r="I2237" t="s">
        <v>402</v>
      </c>
      <c r="J2237">
        <v>344731</v>
      </c>
      <c r="K2237">
        <v>20220624</v>
      </c>
      <c r="L2237" t="s">
        <v>565</v>
      </c>
      <c r="M2237">
        <v>326.89999999999998</v>
      </c>
      <c r="N2237">
        <v>0</v>
      </c>
      <c r="O2237" t="s">
        <v>19</v>
      </c>
      <c r="P2237" t="s">
        <v>20</v>
      </c>
      <c r="Q2237">
        <v>20220624</v>
      </c>
    </row>
    <row r="2238" spans="1:17" x14ac:dyDescent="0.25">
      <c r="A2238" t="s">
        <v>548</v>
      </c>
      <c r="B2238" t="s">
        <v>429</v>
      </c>
      <c r="C2238">
        <v>81</v>
      </c>
      <c r="D2238">
        <v>20220627</v>
      </c>
      <c r="E2238">
        <f t="shared" si="34"/>
        <v>6</v>
      </c>
      <c r="F2238">
        <v>531105</v>
      </c>
      <c r="G2238" t="s">
        <v>429</v>
      </c>
      <c r="H2238" t="s">
        <v>401</v>
      </c>
      <c r="I2238" t="s">
        <v>402</v>
      </c>
      <c r="J2238" t="s">
        <v>2592</v>
      </c>
      <c r="K2238">
        <v>20220627</v>
      </c>
      <c r="L2238" t="s">
        <v>2593</v>
      </c>
      <c r="M2238">
        <v>8.75</v>
      </c>
      <c r="N2238">
        <v>0</v>
      </c>
      <c r="O2238" t="s">
        <v>19</v>
      </c>
      <c r="P2238" t="s">
        <v>20</v>
      </c>
      <c r="Q2238">
        <v>20220627</v>
      </c>
    </row>
    <row r="2239" spans="1:17" x14ac:dyDescent="0.25">
      <c r="A2239" t="s">
        <v>548</v>
      </c>
      <c r="B2239" t="s">
        <v>429</v>
      </c>
      <c r="C2239">
        <v>81</v>
      </c>
      <c r="D2239">
        <v>20220627</v>
      </c>
      <c r="E2239">
        <f t="shared" si="34"/>
        <v>6</v>
      </c>
      <c r="F2239">
        <v>467100</v>
      </c>
      <c r="G2239" t="s">
        <v>160</v>
      </c>
      <c r="H2239" t="s">
        <v>316</v>
      </c>
      <c r="I2239" t="s">
        <v>317</v>
      </c>
      <c r="J2239" t="s">
        <v>2592</v>
      </c>
      <c r="K2239">
        <v>20220627</v>
      </c>
      <c r="L2239" t="s">
        <v>2593</v>
      </c>
      <c r="M2239">
        <v>0</v>
      </c>
      <c r="N2239">
        <v>8.75</v>
      </c>
      <c r="O2239" t="s">
        <v>19</v>
      </c>
      <c r="P2239" t="s">
        <v>20</v>
      </c>
      <c r="Q2239">
        <v>20220627</v>
      </c>
    </row>
    <row r="2240" spans="1:17" x14ac:dyDescent="0.25">
      <c r="A2240" t="s">
        <v>548</v>
      </c>
      <c r="B2240" t="s">
        <v>429</v>
      </c>
      <c r="C2240">
        <v>81</v>
      </c>
      <c r="D2240">
        <v>20220627</v>
      </c>
      <c r="E2240">
        <f t="shared" si="34"/>
        <v>6</v>
      </c>
      <c r="F2240">
        <v>411100</v>
      </c>
      <c r="G2240" t="s">
        <v>18</v>
      </c>
      <c r="H2240" t="s">
        <v>2594</v>
      </c>
      <c r="I2240" t="s">
        <v>2595</v>
      </c>
      <c r="J2240">
        <v>344732</v>
      </c>
      <c r="K2240">
        <v>20220627</v>
      </c>
      <c r="L2240" t="s">
        <v>2596</v>
      </c>
      <c r="M2240">
        <v>0</v>
      </c>
      <c r="N2240">
        <v>35.22</v>
      </c>
      <c r="O2240" t="s">
        <v>22</v>
      </c>
      <c r="P2240">
        <v>20230218</v>
      </c>
      <c r="Q2240">
        <v>20220627</v>
      </c>
    </row>
    <row r="2241" spans="1:17" x14ac:dyDescent="0.25">
      <c r="A2241" t="s">
        <v>548</v>
      </c>
      <c r="B2241" t="s">
        <v>429</v>
      </c>
      <c r="C2241">
        <v>81</v>
      </c>
      <c r="D2241">
        <v>20220627</v>
      </c>
      <c r="E2241">
        <f t="shared" si="34"/>
        <v>6</v>
      </c>
      <c r="F2241">
        <v>411100</v>
      </c>
      <c r="G2241" t="s">
        <v>18</v>
      </c>
      <c r="H2241" t="s">
        <v>130</v>
      </c>
      <c r="I2241" t="s">
        <v>131</v>
      </c>
      <c r="J2241">
        <v>344733</v>
      </c>
      <c r="K2241">
        <v>20220627</v>
      </c>
      <c r="L2241" t="s">
        <v>2597</v>
      </c>
      <c r="M2241">
        <v>0</v>
      </c>
      <c r="N2241">
        <v>27.66</v>
      </c>
      <c r="O2241" t="s">
        <v>19</v>
      </c>
      <c r="P2241" t="s">
        <v>20</v>
      </c>
      <c r="Q2241">
        <v>20220627</v>
      </c>
    </row>
    <row r="2242" spans="1:17" x14ac:dyDescent="0.25">
      <c r="A2242" t="s">
        <v>548</v>
      </c>
      <c r="B2242" t="s">
        <v>429</v>
      </c>
      <c r="C2242">
        <v>81</v>
      </c>
      <c r="D2242">
        <v>20220627</v>
      </c>
      <c r="E2242">
        <f t="shared" si="34"/>
        <v>6</v>
      </c>
      <c r="F2242">
        <v>411100</v>
      </c>
      <c r="G2242" t="s">
        <v>18</v>
      </c>
      <c r="H2242" t="s">
        <v>267</v>
      </c>
      <c r="I2242" t="s">
        <v>268</v>
      </c>
      <c r="J2242">
        <v>344734</v>
      </c>
      <c r="K2242">
        <v>20220627</v>
      </c>
      <c r="L2242" t="s">
        <v>2598</v>
      </c>
      <c r="M2242">
        <v>0</v>
      </c>
      <c r="N2242">
        <v>28</v>
      </c>
      <c r="O2242" t="s">
        <v>19</v>
      </c>
      <c r="P2242" t="s">
        <v>20</v>
      </c>
      <c r="Q2242">
        <v>20220627</v>
      </c>
    </row>
    <row r="2243" spans="1:17" x14ac:dyDescent="0.25">
      <c r="A2243" t="s">
        <v>548</v>
      </c>
      <c r="B2243" t="s">
        <v>429</v>
      </c>
      <c r="C2243">
        <v>81</v>
      </c>
      <c r="D2243">
        <v>20220627</v>
      </c>
      <c r="E2243">
        <f t="shared" ref="E2243:E2306" si="35">VALUE(MID(D2243,5,2))</f>
        <v>6</v>
      </c>
      <c r="F2243">
        <v>411100</v>
      </c>
      <c r="G2243" t="s">
        <v>18</v>
      </c>
      <c r="H2243" t="s">
        <v>2599</v>
      </c>
      <c r="I2243" t="s">
        <v>2600</v>
      </c>
      <c r="J2243">
        <v>344735</v>
      </c>
      <c r="K2243">
        <v>20220627</v>
      </c>
      <c r="L2243" t="s">
        <v>2601</v>
      </c>
      <c r="M2243">
        <v>0</v>
      </c>
      <c r="N2243">
        <v>13</v>
      </c>
      <c r="O2243" t="s">
        <v>22</v>
      </c>
      <c r="P2243">
        <v>20230218</v>
      </c>
      <c r="Q2243">
        <v>20220627</v>
      </c>
    </row>
    <row r="2244" spans="1:17" x14ac:dyDescent="0.25">
      <c r="A2244" t="s">
        <v>548</v>
      </c>
      <c r="B2244" t="s">
        <v>429</v>
      </c>
      <c r="C2244">
        <v>81</v>
      </c>
      <c r="D2244">
        <v>20220627</v>
      </c>
      <c r="E2244">
        <f t="shared" si="35"/>
        <v>6</v>
      </c>
      <c r="F2244">
        <v>411100</v>
      </c>
      <c r="G2244" t="s">
        <v>18</v>
      </c>
      <c r="H2244" t="s">
        <v>2602</v>
      </c>
      <c r="I2244" t="s">
        <v>2603</v>
      </c>
      <c r="J2244">
        <v>344736</v>
      </c>
      <c r="K2244">
        <v>20220627</v>
      </c>
      <c r="L2244" t="s">
        <v>2604</v>
      </c>
      <c r="M2244">
        <v>0</v>
      </c>
      <c r="N2244">
        <v>400</v>
      </c>
      <c r="O2244" t="s">
        <v>19</v>
      </c>
      <c r="P2244" t="s">
        <v>20</v>
      </c>
      <c r="Q2244">
        <v>20220627</v>
      </c>
    </row>
    <row r="2245" spans="1:17" x14ac:dyDescent="0.25">
      <c r="A2245" t="s">
        <v>548</v>
      </c>
      <c r="B2245" t="s">
        <v>429</v>
      </c>
      <c r="C2245">
        <v>81</v>
      </c>
      <c r="D2245">
        <v>20220627</v>
      </c>
      <c r="E2245">
        <f t="shared" si="35"/>
        <v>6</v>
      </c>
      <c r="F2245">
        <v>411100</v>
      </c>
      <c r="G2245" t="s">
        <v>18</v>
      </c>
      <c r="H2245" t="s">
        <v>823</v>
      </c>
      <c r="I2245" t="s">
        <v>824</v>
      </c>
      <c r="J2245">
        <v>344737</v>
      </c>
      <c r="K2245">
        <v>20220627</v>
      </c>
      <c r="L2245" t="s">
        <v>2605</v>
      </c>
      <c r="M2245">
        <v>0</v>
      </c>
      <c r="N2245">
        <v>24</v>
      </c>
      <c r="O2245" t="s">
        <v>19</v>
      </c>
      <c r="P2245" t="s">
        <v>20</v>
      </c>
      <c r="Q2245">
        <v>20220627</v>
      </c>
    </row>
    <row r="2246" spans="1:17" x14ac:dyDescent="0.25">
      <c r="A2246" t="s">
        <v>548</v>
      </c>
      <c r="B2246" t="s">
        <v>429</v>
      </c>
      <c r="C2246">
        <v>81</v>
      </c>
      <c r="D2246">
        <v>20220627</v>
      </c>
      <c r="E2246">
        <f t="shared" si="35"/>
        <v>6</v>
      </c>
      <c r="F2246">
        <v>531105</v>
      </c>
      <c r="G2246" t="s">
        <v>429</v>
      </c>
      <c r="H2246" t="s">
        <v>401</v>
      </c>
      <c r="I2246" t="s">
        <v>402</v>
      </c>
      <c r="J2246">
        <v>344738</v>
      </c>
      <c r="K2246">
        <v>20220627</v>
      </c>
      <c r="L2246" t="s">
        <v>565</v>
      </c>
      <c r="M2246">
        <v>527.88</v>
      </c>
      <c r="N2246">
        <v>0</v>
      </c>
      <c r="O2246" t="s">
        <v>19</v>
      </c>
      <c r="P2246" t="s">
        <v>20</v>
      </c>
      <c r="Q2246">
        <v>20220627</v>
      </c>
    </row>
    <row r="2247" spans="1:17" x14ac:dyDescent="0.25">
      <c r="A2247" t="s">
        <v>548</v>
      </c>
      <c r="B2247" t="s">
        <v>429</v>
      </c>
      <c r="C2247">
        <v>81</v>
      </c>
      <c r="D2247">
        <v>20220627</v>
      </c>
      <c r="E2247">
        <f t="shared" si="35"/>
        <v>6</v>
      </c>
      <c r="F2247">
        <v>411020</v>
      </c>
      <c r="G2247" t="s">
        <v>30</v>
      </c>
      <c r="H2247" t="s">
        <v>1631</v>
      </c>
      <c r="I2247" t="s">
        <v>1632</v>
      </c>
      <c r="J2247">
        <v>322050013</v>
      </c>
      <c r="K2247">
        <v>20220627</v>
      </c>
      <c r="L2247" t="s">
        <v>2606</v>
      </c>
      <c r="M2247">
        <v>0</v>
      </c>
      <c r="N2247">
        <v>6.29</v>
      </c>
      <c r="O2247" t="s">
        <v>19</v>
      </c>
      <c r="P2247" t="s">
        <v>20</v>
      </c>
      <c r="Q2247">
        <v>20220627</v>
      </c>
    </row>
    <row r="2248" spans="1:17" x14ac:dyDescent="0.25">
      <c r="A2248" t="s">
        <v>548</v>
      </c>
      <c r="B2248" t="s">
        <v>429</v>
      </c>
      <c r="C2248">
        <v>81</v>
      </c>
      <c r="D2248">
        <v>20220627</v>
      </c>
      <c r="E2248">
        <f t="shared" si="35"/>
        <v>6</v>
      </c>
      <c r="F2248">
        <v>411020</v>
      </c>
      <c r="G2248" t="s">
        <v>30</v>
      </c>
      <c r="H2248" t="s">
        <v>1631</v>
      </c>
      <c r="I2248" t="s">
        <v>1632</v>
      </c>
      <c r="J2248">
        <v>322050013</v>
      </c>
      <c r="K2248">
        <v>20220627</v>
      </c>
      <c r="L2248" t="s">
        <v>2607</v>
      </c>
      <c r="M2248">
        <v>0</v>
      </c>
      <c r="N2248">
        <v>0.71</v>
      </c>
      <c r="O2248" t="s">
        <v>19</v>
      </c>
      <c r="P2248" t="s">
        <v>20</v>
      </c>
      <c r="Q2248">
        <v>20220627</v>
      </c>
    </row>
    <row r="2249" spans="1:17" x14ac:dyDescent="0.25">
      <c r="A2249" t="s">
        <v>548</v>
      </c>
      <c r="B2249" t="s">
        <v>429</v>
      </c>
      <c r="C2249">
        <v>81</v>
      </c>
      <c r="D2249">
        <v>20220627</v>
      </c>
      <c r="E2249">
        <f t="shared" si="35"/>
        <v>6</v>
      </c>
      <c r="F2249">
        <v>411020</v>
      </c>
      <c r="G2249" t="s">
        <v>30</v>
      </c>
      <c r="H2249" t="s">
        <v>285</v>
      </c>
      <c r="I2249" t="s">
        <v>286</v>
      </c>
      <c r="J2249">
        <v>321110004</v>
      </c>
      <c r="K2249">
        <v>20220627</v>
      </c>
      <c r="L2249" t="s">
        <v>2608</v>
      </c>
      <c r="M2249">
        <v>0</v>
      </c>
      <c r="N2249">
        <v>80</v>
      </c>
      <c r="O2249" t="s">
        <v>19</v>
      </c>
      <c r="P2249" t="s">
        <v>20</v>
      </c>
      <c r="Q2249">
        <v>20220627</v>
      </c>
    </row>
    <row r="2250" spans="1:17" x14ac:dyDescent="0.25">
      <c r="A2250" t="s">
        <v>548</v>
      </c>
      <c r="B2250" t="s">
        <v>429</v>
      </c>
      <c r="C2250">
        <v>81</v>
      </c>
      <c r="D2250">
        <v>20220627</v>
      </c>
      <c r="E2250">
        <f t="shared" si="35"/>
        <v>6</v>
      </c>
      <c r="F2250">
        <v>411020</v>
      </c>
      <c r="G2250" t="s">
        <v>30</v>
      </c>
      <c r="H2250" t="s">
        <v>399</v>
      </c>
      <c r="I2250" t="s">
        <v>400</v>
      </c>
      <c r="J2250">
        <v>322040021</v>
      </c>
      <c r="K2250">
        <v>20220627</v>
      </c>
      <c r="L2250" t="s">
        <v>2609</v>
      </c>
      <c r="M2250">
        <v>0</v>
      </c>
      <c r="N2250">
        <v>52</v>
      </c>
      <c r="O2250" t="s">
        <v>19</v>
      </c>
      <c r="P2250" t="s">
        <v>20</v>
      </c>
      <c r="Q2250">
        <v>20220627</v>
      </c>
    </row>
    <row r="2251" spans="1:17" x14ac:dyDescent="0.25">
      <c r="A2251" t="s">
        <v>548</v>
      </c>
      <c r="B2251" t="s">
        <v>429</v>
      </c>
      <c r="C2251">
        <v>81</v>
      </c>
      <c r="D2251">
        <v>20220627</v>
      </c>
      <c r="E2251">
        <f t="shared" si="35"/>
        <v>6</v>
      </c>
      <c r="F2251">
        <v>411100</v>
      </c>
      <c r="G2251" t="s">
        <v>18</v>
      </c>
      <c r="H2251" t="s">
        <v>192</v>
      </c>
      <c r="I2251" t="s">
        <v>193</v>
      </c>
      <c r="J2251">
        <v>322050006</v>
      </c>
      <c r="K2251">
        <v>20220627</v>
      </c>
      <c r="L2251" t="s">
        <v>2610</v>
      </c>
      <c r="M2251">
        <v>0</v>
      </c>
      <c r="N2251">
        <v>34.68</v>
      </c>
      <c r="O2251" t="s">
        <v>23</v>
      </c>
      <c r="P2251">
        <v>20230218</v>
      </c>
      <c r="Q2251">
        <v>20220627</v>
      </c>
    </row>
    <row r="2252" spans="1:17" x14ac:dyDescent="0.25">
      <c r="A2252" t="s">
        <v>548</v>
      </c>
      <c r="B2252" t="s">
        <v>429</v>
      </c>
      <c r="C2252">
        <v>81</v>
      </c>
      <c r="D2252">
        <v>20220627</v>
      </c>
      <c r="E2252">
        <f t="shared" si="35"/>
        <v>6</v>
      </c>
      <c r="F2252">
        <v>411100</v>
      </c>
      <c r="G2252" t="s">
        <v>18</v>
      </c>
      <c r="H2252" t="s">
        <v>192</v>
      </c>
      <c r="I2252" t="s">
        <v>193</v>
      </c>
      <c r="J2252">
        <v>322050006</v>
      </c>
      <c r="K2252">
        <v>20220627</v>
      </c>
      <c r="L2252" t="s">
        <v>2611</v>
      </c>
      <c r="M2252">
        <v>0</v>
      </c>
      <c r="N2252">
        <v>0.32</v>
      </c>
      <c r="O2252" t="s">
        <v>23</v>
      </c>
      <c r="P2252">
        <v>20230218</v>
      </c>
      <c r="Q2252">
        <v>20220627</v>
      </c>
    </row>
    <row r="2253" spans="1:17" x14ac:dyDescent="0.25">
      <c r="A2253" t="s">
        <v>548</v>
      </c>
      <c r="B2253" t="s">
        <v>429</v>
      </c>
      <c r="C2253">
        <v>81</v>
      </c>
      <c r="D2253">
        <v>20220627</v>
      </c>
      <c r="E2253">
        <f t="shared" si="35"/>
        <v>6</v>
      </c>
      <c r="F2253">
        <v>411100</v>
      </c>
      <c r="G2253" t="s">
        <v>18</v>
      </c>
      <c r="H2253" t="s">
        <v>85</v>
      </c>
      <c r="I2253" t="s">
        <v>86</v>
      </c>
      <c r="J2253">
        <v>322050001</v>
      </c>
      <c r="K2253">
        <v>20220627</v>
      </c>
      <c r="L2253" t="s">
        <v>2612</v>
      </c>
      <c r="M2253">
        <v>0</v>
      </c>
      <c r="N2253">
        <v>58.98</v>
      </c>
      <c r="O2253" t="s">
        <v>23</v>
      </c>
      <c r="P2253">
        <v>20230218</v>
      </c>
      <c r="Q2253">
        <v>20220627</v>
      </c>
    </row>
    <row r="2254" spans="1:17" x14ac:dyDescent="0.25">
      <c r="A2254" t="s">
        <v>548</v>
      </c>
      <c r="B2254" t="s">
        <v>429</v>
      </c>
      <c r="C2254">
        <v>81</v>
      </c>
      <c r="D2254">
        <v>20220627</v>
      </c>
      <c r="E2254">
        <f t="shared" si="35"/>
        <v>6</v>
      </c>
      <c r="F2254">
        <v>411100</v>
      </c>
      <c r="G2254" t="s">
        <v>18</v>
      </c>
      <c r="H2254" t="s">
        <v>85</v>
      </c>
      <c r="I2254" t="s">
        <v>86</v>
      </c>
      <c r="J2254">
        <v>322050001</v>
      </c>
      <c r="K2254">
        <v>20220627</v>
      </c>
      <c r="L2254" t="s">
        <v>2613</v>
      </c>
      <c r="M2254">
        <v>0</v>
      </c>
      <c r="N2254">
        <v>1.02</v>
      </c>
      <c r="O2254" t="s">
        <v>19</v>
      </c>
      <c r="P2254" t="s">
        <v>20</v>
      </c>
      <c r="Q2254">
        <v>20220627</v>
      </c>
    </row>
    <row r="2255" spans="1:17" x14ac:dyDescent="0.25">
      <c r="A2255" t="s">
        <v>548</v>
      </c>
      <c r="B2255" t="s">
        <v>429</v>
      </c>
      <c r="C2255">
        <v>81</v>
      </c>
      <c r="D2255">
        <v>20220627</v>
      </c>
      <c r="E2255">
        <f t="shared" si="35"/>
        <v>6</v>
      </c>
      <c r="F2255">
        <v>411100</v>
      </c>
      <c r="G2255" t="s">
        <v>18</v>
      </c>
      <c r="H2255" t="s">
        <v>175</v>
      </c>
      <c r="I2255" t="s">
        <v>176</v>
      </c>
      <c r="J2255">
        <v>322050012</v>
      </c>
      <c r="K2255">
        <v>20220627</v>
      </c>
      <c r="L2255" t="s">
        <v>2614</v>
      </c>
      <c r="M2255">
        <v>0</v>
      </c>
      <c r="N2255">
        <v>49.9</v>
      </c>
      <c r="O2255" t="s">
        <v>22</v>
      </c>
      <c r="P2255">
        <v>20230218</v>
      </c>
      <c r="Q2255">
        <v>20220627</v>
      </c>
    </row>
    <row r="2256" spans="1:17" x14ac:dyDescent="0.25">
      <c r="A2256" t="s">
        <v>548</v>
      </c>
      <c r="B2256" t="s">
        <v>429</v>
      </c>
      <c r="C2256">
        <v>81</v>
      </c>
      <c r="D2256">
        <v>20220627</v>
      </c>
      <c r="E2256">
        <f t="shared" si="35"/>
        <v>6</v>
      </c>
      <c r="F2256">
        <v>411100</v>
      </c>
      <c r="G2256" t="s">
        <v>18</v>
      </c>
      <c r="H2256" t="s">
        <v>175</v>
      </c>
      <c r="I2256" t="s">
        <v>176</v>
      </c>
      <c r="J2256">
        <v>322050012</v>
      </c>
      <c r="K2256">
        <v>20220627</v>
      </c>
      <c r="L2256" t="s">
        <v>2615</v>
      </c>
      <c r="M2256">
        <v>0</v>
      </c>
      <c r="N2256">
        <v>0.1</v>
      </c>
      <c r="O2256" t="s">
        <v>19</v>
      </c>
      <c r="P2256" t="s">
        <v>20</v>
      </c>
      <c r="Q2256">
        <v>20220627</v>
      </c>
    </row>
    <row r="2257" spans="1:17" x14ac:dyDescent="0.25">
      <c r="A2257" t="s">
        <v>548</v>
      </c>
      <c r="B2257" t="s">
        <v>429</v>
      </c>
      <c r="C2257">
        <v>81</v>
      </c>
      <c r="D2257">
        <v>20220627</v>
      </c>
      <c r="E2257">
        <f t="shared" si="35"/>
        <v>6</v>
      </c>
      <c r="F2257">
        <v>531105</v>
      </c>
      <c r="G2257" t="s">
        <v>429</v>
      </c>
      <c r="H2257" t="s">
        <v>401</v>
      </c>
      <c r="I2257" t="s">
        <v>402</v>
      </c>
      <c r="J2257">
        <v>344984</v>
      </c>
      <c r="K2257">
        <v>20220627</v>
      </c>
      <c r="L2257" t="s">
        <v>565</v>
      </c>
      <c r="M2257">
        <v>284</v>
      </c>
      <c r="N2257">
        <v>0</v>
      </c>
      <c r="O2257" t="s">
        <v>19</v>
      </c>
      <c r="P2257" t="s">
        <v>20</v>
      </c>
      <c r="Q2257">
        <v>20220627</v>
      </c>
    </row>
    <row r="2258" spans="1:17" x14ac:dyDescent="0.25">
      <c r="A2258" t="s">
        <v>548</v>
      </c>
      <c r="B2258" t="s">
        <v>429</v>
      </c>
      <c r="C2258">
        <v>81</v>
      </c>
      <c r="D2258">
        <v>20220628</v>
      </c>
      <c r="E2258">
        <f t="shared" si="35"/>
        <v>6</v>
      </c>
      <c r="F2258">
        <v>467100</v>
      </c>
      <c r="G2258" t="s">
        <v>160</v>
      </c>
      <c r="H2258" t="s">
        <v>1522</v>
      </c>
      <c r="I2258" t="s">
        <v>1523</v>
      </c>
      <c r="J2258" t="s">
        <v>2616</v>
      </c>
      <c r="K2258">
        <v>20220628</v>
      </c>
      <c r="L2258" t="s">
        <v>2617</v>
      </c>
      <c r="M2258">
        <v>29</v>
      </c>
      <c r="N2258">
        <v>0</v>
      </c>
      <c r="O2258" t="s">
        <v>23</v>
      </c>
      <c r="P2258">
        <v>20220831</v>
      </c>
      <c r="Q2258">
        <v>20220628</v>
      </c>
    </row>
    <row r="2259" spans="1:17" x14ac:dyDescent="0.25">
      <c r="A2259" t="s">
        <v>548</v>
      </c>
      <c r="B2259" t="s">
        <v>429</v>
      </c>
      <c r="C2259">
        <v>81</v>
      </c>
      <c r="D2259">
        <v>20220628</v>
      </c>
      <c r="E2259">
        <f t="shared" si="35"/>
        <v>6</v>
      </c>
      <c r="F2259">
        <v>531105</v>
      </c>
      <c r="G2259" t="s">
        <v>429</v>
      </c>
      <c r="H2259" t="s">
        <v>401</v>
      </c>
      <c r="I2259" t="s">
        <v>402</v>
      </c>
      <c r="J2259" t="s">
        <v>2616</v>
      </c>
      <c r="K2259">
        <v>20220628</v>
      </c>
      <c r="L2259" t="s">
        <v>2617</v>
      </c>
      <c r="M2259">
        <v>0</v>
      </c>
      <c r="N2259">
        <v>29</v>
      </c>
      <c r="O2259" t="s">
        <v>19</v>
      </c>
      <c r="P2259" t="s">
        <v>20</v>
      </c>
      <c r="Q2259">
        <v>20220628</v>
      </c>
    </row>
    <row r="2260" spans="1:17" x14ac:dyDescent="0.25">
      <c r="A2260" t="s">
        <v>548</v>
      </c>
      <c r="B2260" t="s">
        <v>429</v>
      </c>
      <c r="C2260">
        <v>81</v>
      </c>
      <c r="D2260">
        <v>20220628</v>
      </c>
      <c r="E2260">
        <f t="shared" si="35"/>
        <v>6</v>
      </c>
      <c r="F2260">
        <v>467100</v>
      </c>
      <c r="G2260" t="s">
        <v>160</v>
      </c>
      <c r="H2260" t="s">
        <v>183</v>
      </c>
      <c r="I2260" t="s">
        <v>184</v>
      </c>
      <c r="J2260" t="s">
        <v>2618</v>
      </c>
      <c r="K2260">
        <v>20220628</v>
      </c>
      <c r="L2260" t="s">
        <v>2619</v>
      </c>
      <c r="M2260">
        <v>34</v>
      </c>
      <c r="N2260">
        <v>0</v>
      </c>
      <c r="O2260" t="s">
        <v>23</v>
      </c>
      <c r="P2260">
        <v>20220905</v>
      </c>
      <c r="Q2260">
        <v>20220628</v>
      </c>
    </row>
    <row r="2261" spans="1:17" x14ac:dyDescent="0.25">
      <c r="A2261" t="s">
        <v>548</v>
      </c>
      <c r="B2261" t="s">
        <v>429</v>
      </c>
      <c r="C2261">
        <v>81</v>
      </c>
      <c r="D2261">
        <v>20220628</v>
      </c>
      <c r="E2261">
        <f t="shared" si="35"/>
        <v>6</v>
      </c>
      <c r="F2261">
        <v>531105</v>
      </c>
      <c r="G2261" t="s">
        <v>429</v>
      </c>
      <c r="H2261" t="s">
        <v>401</v>
      </c>
      <c r="I2261" t="s">
        <v>402</v>
      </c>
      <c r="J2261" t="s">
        <v>2618</v>
      </c>
      <c r="K2261">
        <v>20220628</v>
      </c>
      <c r="L2261" t="s">
        <v>2619</v>
      </c>
      <c r="M2261">
        <v>0</v>
      </c>
      <c r="N2261">
        <v>34</v>
      </c>
      <c r="O2261" t="s">
        <v>19</v>
      </c>
      <c r="P2261" t="s">
        <v>20</v>
      </c>
      <c r="Q2261">
        <v>20220628</v>
      </c>
    </row>
    <row r="2262" spans="1:17" x14ac:dyDescent="0.25">
      <c r="A2262" t="s">
        <v>548</v>
      </c>
      <c r="B2262" t="s">
        <v>429</v>
      </c>
      <c r="C2262">
        <v>81</v>
      </c>
      <c r="D2262">
        <v>20220628</v>
      </c>
      <c r="E2262">
        <f t="shared" si="35"/>
        <v>6</v>
      </c>
      <c r="F2262">
        <v>467100</v>
      </c>
      <c r="G2262" t="s">
        <v>160</v>
      </c>
      <c r="H2262" t="s">
        <v>183</v>
      </c>
      <c r="I2262" t="s">
        <v>184</v>
      </c>
      <c r="J2262" t="s">
        <v>2620</v>
      </c>
      <c r="K2262">
        <v>20220628</v>
      </c>
      <c r="L2262" t="s">
        <v>2621</v>
      </c>
      <c r="M2262">
        <v>6.59</v>
      </c>
      <c r="N2262">
        <v>0</v>
      </c>
      <c r="O2262" t="s">
        <v>23</v>
      </c>
      <c r="P2262">
        <v>20220905</v>
      </c>
      <c r="Q2262">
        <v>20220628</v>
      </c>
    </row>
    <row r="2263" spans="1:17" x14ac:dyDescent="0.25">
      <c r="A2263" t="s">
        <v>548</v>
      </c>
      <c r="B2263" t="s">
        <v>429</v>
      </c>
      <c r="C2263">
        <v>81</v>
      </c>
      <c r="D2263">
        <v>20220628</v>
      </c>
      <c r="E2263">
        <f t="shared" si="35"/>
        <v>6</v>
      </c>
      <c r="F2263">
        <v>531105</v>
      </c>
      <c r="G2263" t="s">
        <v>429</v>
      </c>
      <c r="H2263" t="s">
        <v>401</v>
      </c>
      <c r="I2263" t="s">
        <v>402</v>
      </c>
      <c r="J2263" t="s">
        <v>2620</v>
      </c>
      <c r="K2263">
        <v>20220628</v>
      </c>
      <c r="L2263" t="s">
        <v>2621</v>
      </c>
      <c r="M2263">
        <v>0</v>
      </c>
      <c r="N2263">
        <v>6.59</v>
      </c>
      <c r="O2263" t="s">
        <v>19</v>
      </c>
      <c r="P2263" t="s">
        <v>20</v>
      </c>
      <c r="Q2263">
        <v>20220628</v>
      </c>
    </row>
    <row r="2264" spans="1:17" x14ac:dyDescent="0.25">
      <c r="A2264" t="s">
        <v>548</v>
      </c>
      <c r="B2264" t="s">
        <v>429</v>
      </c>
      <c r="C2264">
        <v>81</v>
      </c>
      <c r="D2264">
        <v>20220628</v>
      </c>
      <c r="E2264">
        <f t="shared" si="35"/>
        <v>6</v>
      </c>
      <c r="F2264">
        <v>467100</v>
      </c>
      <c r="G2264" t="s">
        <v>160</v>
      </c>
      <c r="H2264" t="s">
        <v>1522</v>
      </c>
      <c r="I2264" t="s">
        <v>1523</v>
      </c>
      <c r="J2264" t="s">
        <v>2622</v>
      </c>
      <c r="K2264">
        <v>20220628</v>
      </c>
      <c r="L2264" t="s">
        <v>2623</v>
      </c>
      <c r="M2264">
        <v>20</v>
      </c>
      <c r="N2264">
        <v>0</v>
      </c>
      <c r="O2264" t="s">
        <v>23</v>
      </c>
      <c r="P2264">
        <v>20220801</v>
      </c>
      <c r="Q2264">
        <v>20220628</v>
      </c>
    </row>
    <row r="2265" spans="1:17" x14ac:dyDescent="0.25">
      <c r="A2265" t="s">
        <v>548</v>
      </c>
      <c r="B2265" t="s">
        <v>429</v>
      </c>
      <c r="C2265">
        <v>81</v>
      </c>
      <c r="D2265">
        <v>20220628</v>
      </c>
      <c r="E2265">
        <f t="shared" si="35"/>
        <v>6</v>
      </c>
      <c r="F2265">
        <v>467100</v>
      </c>
      <c r="G2265" t="s">
        <v>160</v>
      </c>
      <c r="H2265" t="s">
        <v>1201</v>
      </c>
      <c r="I2265" t="s">
        <v>1202</v>
      </c>
      <c r="J2265" t="s">
        <v>2624</v>
      </c>
      <c r="K2265">
        <v>20220628</v>
      </c>
      <c r="L2265" t="s">
        <v>1208</v>
      </c>
      <c r="M2265">
        <v>20</v>
      </c>
      <c r="N2265">
        <v>0</v>
      </c>
      <c r="O2265" t="s">
        <v>23</v>
      </c>
      <c r="P2265">
        <v>20220905</v>
      </c>
      <c r="Q2265">
        <v>20220628</v>
      </c>
    </row>
    <row r="2266" spans="1:17" x14ac:dyDescent="0.25">
      <c r="A2266" t="s">
        <v>548</v>
      </c>
      <c r="B2266" t="s">
        <v>429</v>
      </c>
      <c r="C2266">
        <v>81</v>
      </c>
      <c r="D2266">
        <v>20220628</v>
      </c>
      <c r="E2266">
        <f t="shared" si="35"/>
        <v>6</v>
      </c>
      <c r="F2266">
        <v>531105</v>
      </c>
      <c r="G2266" t="s">
        <v>429</v>
      </c>
      <c r="H2266" t="s">
        <v>401</v>
      </c>
      <c r="I2266" t="s">
        <v>402</v>
      </c>
      <c r="J2266" t="s">
        <v>2624</v>
      </c>
      <c r="K2266">
        <v>20220628</v>
      </c>
      <c r="L2266" t="s">
        <v>1208</v>
      </c>
      <c r="M2266">
        <v>0</v>
      </c>
      <c r="N2266">
        <v>20</v>
      </c>
      <c r="O2266" t="s">
        <v>19</v>
      </c>
      <c r="P2266" t="s">
        <v>20</v>
      </c>
      <c r="Q2266">
        <v>20220628</v>
      </c>
    </row>
    <row r="2267" spans="1:17" x14ac:dyDescent="0.25">
      <c r="A2267" t="s">
        <v>548</v>
      </c>
      <c r="B2267" t="s">
        <v>429</v>
      </c>
      <c r="C2267">
        <v>81</v>
      </c>
      <c r="D2267">
        <v>20220628</v>
      </c>
      <c r="E2267">
        <f t="shared" si="35"/>
        <v>6</v>
      </c>
      <c r="F2267">
        <v>531105</v>
      </c>
      <c r="G2267" t="s">
        <v>429</v>
      </c>
      <c r="H2267" t="s">
        <v>401</v>
      </c>
      <c r="I2267" t="s">
        <v>402</v>
      </c>
      <c r="J2267" t="s">
        <v>2622</v>
      </c>
      <c r="K2267">
        <v>20220628</v>
      </c>
      <c r="L2267" t="s">
        <v>2623</v>
      </c>
      <c r="M2267">
        <v>0</v>
      </c>
      <c r="N2267">
        <v>20</v>
      </c>
      <c r="O2267" t="s">
        <v>19</v>
      </c>
      <c r="P2267" t="s">
        <v>20</v>
      </c>
      <c r="Q2267">
        <v>20220628</v>
      </c>
    </row>
    <row r="2268" spans="1:17" x14ac:dyDescent="0.25">
      <c r="A2268" t="s">
        <v>548</v>
      </c>
      <c r="B2268" t="s">
        <v>429</v>
      </c>
      <c r="C2268">
        <v>81</v>
      </c>
      <c r="D2268">
        <v>20220628</v>
      </c>
      <c r="E2268">
        <f t="shared" si="35"/>
        <v>6</v>
      </c>
      <c r="F2268">
        <v>467100</v>
      </c>
      <c r="G2268" t="s">
        <v>160</v>
      </c>
      <c r="H2268" t="s">
        <v>219</v>
      </c>
      <c r="I2268" t="s">
        <v>220</v>
      </c>
      <c r="J2268" t="s">
        <v>2625</v>
      </c>
      <c r="K2268">
        <v>20220628</v>
      </c>
      <c r="L2268" t="s">
        <v>2626</v>
      </c>
      <c r="M2268">
        <v>30</v>
      </c>
      <c r="N2268">
        <v>0</v>
      </c>
      <c r="O2268" t="s">
        <v>19</v>
      </c>
      <c r="P2268" t="s">
        <v>20</v>
      </c>
      <c r="Q2268">
        <v>20220628</v>
      </c>
    </row>
    <row r="2269" spans="1:17" x14ac:dyDescent="0.25">
      <c r="A2269" t="s">
        <v>548</v>
      </c>
      <c r="B2269" t="s">
        <v>429</v>
      </c>
      <c r="C2269">
        <v>81</v>
      </c>
      <c r="D2269">
        <v>20220628</v>
      </c>
      <c r="E2269">
        <f t="shared" si="35"/>
        <v>6</v>
      </c>
      <c r="F2269">
        <v>531105</v>
      </c>
      <c r="G2269" t="s">
        <v>429</v>
      </c>
      <c r="H2269" t="s">
        <v>401</v>
      </c>
      <c r="I2269" t="s">
        <v>402</v>
      </c>
      <c r="J2269" t="s">
        <v>2625</v>
      </c>
      <c r="K2269">
        <v>20220628</v>
      </c>
      <c r="L2269" t="s">
        <v>2626</v>
      </c>
      <c r="M2269">
        <v>0</v>
      </c>
      <c r="N2269">
        <v>30</v>
      </c>
      <c r="O2269" t="s">
        <v>19</v>
      </c>
      <c r="P2269" t="s">
        <v>20</v>
      </c>
      <c r="Q2269">
        <v>20220628</v>
      </c>
    </row>
    <row r="2270" spans="1:17" x14ac:dyDescent="0.25">
      <c r="A2270" t="s">
        <v>548</v>
      </c>
      <c r="B2270" t="s">
        <v>429</v>
      </c>
      <c r="C2270">
        <v>81</v>
      </c>
      <c r="D2270">
        <v>20220628</v>
      </c>
      <c r="E2270">
        <f t="shared" si="35"/>
        <v>6</v>
      </c>
      <c r="F2270">
        <v>467100</v>
      </c>
      <c r="G2270" t="s">
        <v>160</v>
      </c>
      <c r="H2270" t="s">
        <v>219</v>
      </c>
      <c r="I2270" t="s">
        <v>220</v>
      </c>
      <c r="J2270" t="s">
        <v>2627</v>
      </c>
      <c r="K2270">
        <v>20220628</v>
      </c>
      <c r="L2270" t="s">
        <v>2626</v>
      </c>
      <c r="M2270">
        <v>50</v>
      </c>
      <c r="N2270">
        <v>0</v>
      </c>
      <c r="O2270" t="s">
        <v>19</v>
      </c>
      <c r="P2270" t="s">
        <v>20</v>
      </c>
      <c r="Q2270">
        <v>20220628</v>
      </c>
    </row>
    <row r="2271" spans="1:17" x14ac:dyDescent="0.25">
      <c r="A2271" t="s">
        <v>548</v>
      </c>
      <c r="B2271" t="s">
        <v>429</v>
      </c>
      <c r="C2271">
        <v>81</v>
      </c>
      <c r="D2271">
        <v>20220628</v>
      </c>
      <c r="E2271">
        <f t="shared" si="35"/>
        <v>6</v>
      </c>
      <c r="F2271">
        <v>531105</v>
      </c>
      <c r="G2271" t="s">
        <v>429</v>
      </c>
      <c r="H2271" t="s">
        <v>401</v>
      </c>
      <c r="I2271" t="s">
        <v>402</v>
      </c>
      <c r="J2271" t="s">
        <v>2627</v>
      </c>
      <c r="K2271">
        <v>20220628</v>
      </c>
      <c r="L2271" t="s">
        <v>2626</v>
      </c>
      <c r="M2271">
        <v>0</v>
      </c>
      <c r="N2271">
        <v>50</v>
      </c>
      <c r="O2271" t="s">
        <v>19</v>
      </c>
      <c r="P2271" t="s">
        <v>20</v>
      </c>
      <c r="Q2271">
        <v>20220628</v>
      </c>
    </row>
    <row r="2272" spans="1:17" x14ac:dyDescent="0.25">
      <c r="A2272" t="s">
        <v>548</v>
      </c>
      <c r="B2272" t="s">
        <v>429</v>
      </c>
      <c r="C2272">
        <v>81</v>
      </c>
      <c r="D2272">
        <v>20220628</v>
      </c>
      <c r="E2272">
        <f t="shared" si="35"/>
        <v>6</v>
      </c>
      <c r="F2272">
        <v>467100</v>
      </c>
      <c r="G2272" t="s">
        <v>160</v>
      </c>
      <c r="H2272" t="s">
        <v>1201</v>
      </c>
      <c r="I2272" t="s">
        <v>1202</v>
      </c>
      <c r="J2272" t="s">
        <v>2628</v>
      </c>
      <c r="K2272">
        <v>20220628</v>
      </c>
      <c r="L2272" t="s">
        <v>2629</v>
      </c>
      <c r="M2272">
        <v>3.8</v>
      </c>
      <c r="N2272">
        <v>0</v>
      </c>
      <c r="O2272" t="s">
        <v>23</v>
      </c>
      <c r="P2272">
        <v>20220831</v>
      </c>
      <c r="Q2272">
        <v>20220628</v>
      </c>
    </row>
    <row r="2273" spans="1:17" x14ac:dyDescent="0.25">
      <c r="A2273" t="s">
        <v>548</v>
      </c>
      <c r="B2273" t="s">
        <v>429</v>
      </c>
      <c r="C2273">
        <v>81</v>
      </c>
      <c r="D2273">
        <v>20220628</v>
      </c>
      <c r="E2273">
        <f t="shared" si="35"/>
        <v>6</v>
      </c>
      <c r="F2273">
        <v>467100</v>
      </c>
      <c r="G2273" t="s">
        <v>160</v>
      </c>
      <c r="H2273" t="s">
        <v>1201</v>
      </c>
      <c r="I2273" t="s">
        <v>1202</v>
      </c>
      <c r="J2273" t="s">
        <v>2630</v>
      </c>
      <c r="K2273">
        <v>20220628</v>
      </c>
      <c r="L2273" t="s">
        <v>2631</v>
      </c>
      <c r="M2273">
        <v>155.56</v>
      </c>
      <c r="N2273">
        <v>0</v>
      </c>
      <c r="O2273" t="s">
        <v>23</v>
      </c>
      <c r="P2273">
        <v>20220905</v>
      </c>
      <c r="Q2273">
        <v>20220628</v>
      </c>
    </row>
    <row r="2274" spans="1:17" x14ac:dyDescent="0.25">
      <c r="A2274" t="s">
        <v>548</v>
      </c>
      <c r="B2274" t="s">
        <v>429</v>
      </c>
      <c r="C2274">
        <v>81</v>
      </c>
      <c r="D2274">
        <v>20220628</v>
      </c>
      <c r="E2274">
        <f t="shared" si="35"/>
        <v>6</v>
      </c>
      <c r="F2274">
        <v>531105</v>
      </c>
      <c r="G2274" t="s">
        <v>429</v>
      </c>
      <c r="H2274" t="s">
        <v>401</v>
      </c>
      <c r="I2274" t="s">
        <v>402</v>
      </c>
      <c r="J2274" t="s">
        <v>2630</v>
      </c>
      <c r="K2274">
        <v>20220628</v>
      </c>
      <c r="L2274" t="s">
        <v>2631</v>
      </c>
      <c r="M2274">
        <v>0</v>
      </c>
      <c r="N2274">
        <v>155.56</v>
      </c>
      <c r="O2274" t="s">
        <v>19</v>
      </c>
      <c r="P2274" t="s">
        <v>20</v>
      </c>
      <c r="Q2274">
        <v>20220628</v>
      </c>
    </row>
    <row r="2275" spans="1:17" x14ac:dyDescent="0.25">
      <c r="A2275" t="s">
        <v>548</v>
      </c>
      <c r="B2275" t="s">
        <v>429</v>
      </c>
      <c r="C2275">
        <v>81</v>
      </c>
      <c r="D2275">
        <v>20220628</v>
      </c>
      <c r="E2275">
        <f t="shared" si="35"/>
        <v>6</v>
      </c>
      <c r="F2275">
        <v>531105</v>
      </c>
      <c r="G2275" t="s">
        <v>429</v>
      </c>
      <c r="H2275" t="s">
        <v>401</v>
      </c>
      <c r="I2275" t="s">
        <v>402</v>
      </c>
      <c r="J2275" t="s">
        <v>2628</v>
      </c>
      <c r="K2275">
        <v>20220628</v>
      </c>
      <c r="L2275" t="s">
        <v>2629</v>
      </c>
      <c r="M2275">
        <v>0</v>
      </c>
      <c r="N2275">
        <v>3.8</v>
      </c>
      <c r="O2275" t="s">
        <v>19</v>
      </c>
      <c r="P2275" t="s">
        <v>20</v>
      </c>
      <c r="Q2275">
        <v>20220628</v>
      </c>
    </row>
    <row r="2276" spans="1:17" x14ac:dyDescent="0.25">
      <c r="A2276" t="s">
        <v>548</v>
      </c>
      <c r="B2276" t="s">
        <v>429</v>
      </c>
      <c r="C2276">
        <v>81</v>
      </c>
      <c r="D2276">
        <v>20220628</v>
      </c>
      <c r="E2276">
        <f t="shared" si="35"/>
        <v>6</v>
      </c>
      <c r="F2276">
        <v>467100</v>
      </c>
      <c r="G2276" t="s">
        <v>160</v>
      </c>
      <c r="H2276" t="s">
        <v>183</v>
      </c>
      <c r="I2276" t="s">
        <v>184</v>
      </c>
      <c r="J2276" t="s">
        <v>2632</v>
      </c>
      <c r="K2276">
        <v>20220628</v>
      </c>
      <c r="L2276" t="s">
        <v>1831</v>
      </c>
      <c r="M2276">
        <v>32.4</v>
      </c>
      <c r="N2276">
        <v>0</v>
      </c>
      <c r="O2276" t="s">
        <v>23</v>
      </c>
      <c r="P2276">
        <v>20220905</v>
      </c>
      <c r="Q2276">
        <v>20220628</v>
      </c>
    </row>
    <row r="2277" spans="1:17" x14ac:dyDescent="0.25">
      <c r="A2277" t="s">
        <v>548</v>
      </c>
      <c r="B2277" t="s">
        <v>429</v>
      </c>
      <c r="C2277">
        <v>81</v>
      </c>
      <c r="D2277">
        <v>20220628</v>
      </c>
      <c r="E2277">
        <f t="shared" si="35"/>
        <v>6</v>
      </c>
      <c r="F2277">
        <v>531105</v>
      </c>
      <c r="G2277" t="s">
        <v>429</v>
      </c>
      <c r="H2277" t="s">
        <v>401</v>
      </c>
      <c r="I2277" t="s">
        <v>402</v>
      </c>
      <c r="J2277" t="s">
        <v>2632</v>
      </c>
      <c r="K2277">
        <v>20220628</v>
      </c>
      <c r="L2277" t="s">
        <v>1831</v>
      </c>
      <c r="M2277">
        <v>0</v>
      </c>
      <c r="N2277">
        <v>32.4</v>
      </c>
      <c r="O2277" t="s">
        <v>19</v>
      </c>
      <c r="P2277" t="s">
        <v>20</v>
      </c>
      <c r="Q2277">
        <v>20220628</v>
      </c>
    </row>
    <row r="2278" spans="1:17" x14ac:dyDescent="0.25">
      <c r="A2278" t="s">
        <v>548</v>
      </c>
      <c r="B2278" t="s">
        <v>429</v>
      </c>
      <c r="C2278">
        <v>81</v>
      </c>
      <c r="D2278">
        <v>20220628</v>
      </c>
      <c r="E2278">
        <f t="shared" si="35"/>
        <v>6</v>
      </c>
      <c r="F2278">
        <v>467100</v>
      </c>
      <c r="G2278" t="s">
        <v>160</v>
      </c>
      <c r="H2278" t="s">
        <v>172</v>
      </c>
      <c r="I2278" t="s">
        <v>173</v>
      </c>
      <c r="J2278" t="s">
        <v>2633</v>
      </c>
      <c r="K2278">
        <v>20220628</v>
      </c>
      <c r="L2278" t="s">
        <v>2634</v>
      </c>
      <c r="M2278">
        <v>81.47</v>
      </c>
      <c r="N2278">
        <v>0</v>
      </c>
      <c r="O2278" t="s">
        <v>23</v>
      </c>
      <c r="P2278">
        <v>20220801</v>
      </c>
      <c r="Q2278">
        <v>20220628</v>
      </c>
    </row>
    <row r="2279" spans="1:17" x14ac:dyDescent="0.25">
      <c r="A2279" t="s">
        <v>548</v>
      </c>
      <c r="B2279" t="s">
        <v>429</v>
      </c>
      <c r="C2279">
        <v>81</v>
      </c>
      <c r="D2279">
        <v>20220628</v>
      </c>
      <c r="E2279">
        <f t="shared" si="35"/>
        <v>6</v>
      </c>
      <c r="F2279">
        <v>467100</v>
      </c>
      <c r="G2279" t="s">
        <v>160</v>
      </c>
      <c r="H2279" t="s">
        <v>172</v>
      </c>
      <c r="I2279" t="s">
        <v>173</v>
      </c>
      <c r="J2279" t="s">
        <v>2635</v>
      </c>
      <c r="K2279">
        <v>20220628</v>
      </c>
      <c r="L2279" t="s">
        <v>2636</v>
      </c>
      <c r="M2279">
        <v>50</v>
      </c>
      <c r="N2279">
        <v>0</v>
      </c>
      <c r="O2279" t="s">
        <v>23</v>
      </c>
      <c r="P2279">
        <v>20220801</v>
      </c>
      <c r="Q2279">
        <v>20220628</v>
      </c>
    </row>
    <row r="2280" spans="1:17" x14ac:dyDescent="0.25">
      <c r="A2280" t="s">
        <v>548</v>
      </c>
      <c r="B2280" t="s">
        <v>429</v>
      </c>
      <c r="C2280">
        <v>81</v>
      </c>
      <c r="D2280">
        <v>20220628</v>
      </c>
      <c r="E2280">
        <f t="shared" si="35"/>
        <v>6</v>
      </c>
      <c r="F2280">
        <v>531105</v>
      </c>
      <c r="G2280" t="s">
        <v>429</v>
      </c>
      <c r="H2280" t="s">
        <v>401</v>
      </c>
      <c r="I2280" t="s">
        <v>402</v>
      </c>
      <c r="J2280" t="s">
        <v>2635</v>
      </c>
      <c r="K2280">
        <v>20220628</v>
      </c>
      <c r="L2280" t="s">
        <v>2636</v>
      </c>
      <c r="M2280">
        <v>0</v>
      </c>
      <c r="N2280">
        <v>50</v>
      </c>
      <c r="O2280" t="s">
        <v>19</v>
      </c>
      <c r="P2280" t="s">
        <v>20</v>
      </c>
      <c r="Q2280">
        <v>20220628</v>
      </c>
    </row>
    <row r="2281" spans="1:17" x14ac:dyDescent="0.25">
      <c r="A2281" t="s">
        <v>548</v>
      </c>
      <c r="B2281" t="s">
        <v>429</v>
      </c>
      <c r="C2281">
        <v>81</v>
      </c>
      <c r="D2281">
        <v>20220628</v>
      </c>
      <c r="E2281">
        <f t="shared" si="35"/>
        <v>6</v>
      </c>
      <c r="F2281">
        <v>467100</v>
      </c>
      <c r="G2281" t="s">
        <v>160</v>
      </c>
      <c r="H2281" t="s">
        <v>219</v>
      </c>
      <c r="I2281" t="s">
        <v>220</v>
      </c>
      <c r="J2281" t="s">
        <v>2637</v>
      </c>
      <c r="K2281">
        <v>20220628</v>
      </c>
      <c r="L2281" t="s">
        <v>2638</v>
      </c>
      <c r="M2281">
        <v>0</v>
      </c>
      <c r="N2281">
        <v>100</v>
      </c>
      <c r="O2281" t="s">
        <v>23</v>
      </c>
      <c r="P2281">
        <v>20220630</v>
      </c>
      <c r="Q2281">
        <v>20220628</v>
      </c>
    </row>
    <row r="2282" spans="1:17" x14ac:dyDescent="0.25">
      <c r="A2282" t="s">
        <v>548</v>
      </c>
      <c r="B2282" t="s">
        <v>429</v>
      </c>
      <c r="C2282">
        <v>81</v>
      </c>
      <c r="D2282">
        <v>20220628</v>
      </c>
      <c r="E2282">
        <f t="shared" si="35"/>
        <v>6</v>
      </c>
      <c r="F2282">
        <v>531105</v>
      </c>
      <c r="G2282" t="s">
        <v>429</v>
      </c>
      <c r="H2282" t="s">
        <v>401</v>
      </c>
      <c r="I2282" t="s">
        <v>402</v>
      </c>
      <c r="J2282" t="s">
        <v>2635</v>
      </c>
      <c r="K2282">
        <v>20220628</v>
      </c>
      <c r="L2282" t="s">
        <v>2636</v>
      </c>
      <c r="M2282">
        <v>100</v>
      </c>
      <c r="N2282">
        <v>0</v>
      </c>
      <c r="O2282" t="s">
        <v>19</v>
      </c>
      <c r="P2282" t="s">
        <v>20</v>
      </c>
      <c r="Q2282">
        <v>20220628</v>
      </c>
    </row>
    <row r="2283" spans="1:17" x14ac:dyDescent="0.25">
      <c r="A2283" t="s">
        <v>548</v>
      </c>
      <c r="B2283" t="s">
        <v>429</v>
      </c>
      <c r="C2283">
        <v>81</v>
      </c>
      <c r="D2283">
        <v>20220628</v>
      </c>
      <c r="E2283">
        <f t="shared" si="35"/>
        <v>6</v>
      </c>
      <c r="F2283">
        <v>531105</v>
      </c>
      <c r="G2283" t="s">
        <v>429</v>
      </c>
      <c r="H2283" t="s">
        <v>401</v>
      </c>
      <c r="I2283" t="s">
        <v>402</v>
      </c>
      <c r="J2283" t="s">
        <v>2633</v>
      </c>
      <c r="K2283">
        <v>20220628</v>
      </c>
      <c r="L2283" t="s">
        <v>2634</v>
      </c>
      <c r="M2283">
        <v>0</v>
      </c>
      <c r="N2283">
        <v>81.47</v>
      </c>
      <c r="O2283" t="s">
        <v>19</v>
      </c>
      <c r="P2283" t="s">
        <v>20</v>
      </c>
      <c r="Q2283">
        <v>20220628</v>
      </c>
    </row>
    <row r="2284" spans="1:17" x14ac:dyDescent="0.25">
      <c r="A2284" t="s">
        <v>548</v>
      </c>
      <c r="B2284" t="s">
        <v>429</v>
      </c>
      <c r="C2284">
        <v>81</v>
      </c>
      <c r="D2284">
        <v>20220628</v>
      </c>
      <c r="E2284">
        <f t="shared" si="35"/>
        <v>6</v>
      </c>
      <c r="F2284">
        <v>467100</v>
      </c>
      <c r="G2284" t="s">
        <v>160</v>
      </c>
      <c r="H2284" t="s">
        <v>170</v>
      </c>
      <c r="I2284" t="s">
        <v>171</v>
      </c>
      <c r="J2284" t="s">
        <v>2639</v>
      </c>
      <c r="K2284">
        <v>20220628</v>
      </c>
      <c r="L2284" t="s">
        <v>2640</v>
      </c>
      <c r="M2284">
        <v>34.950000000000003</v>
      </c>
      <c r="N2284">
        <v>0</v>
      </c>
      <c r="O2284" t="s">
        <v>23</v>
      </c>
      <c r="P2284">
        <v>20220905</v>
      </c>
      <c r="Q2284">
        <v>20220628</v>
      </c>
    </row>
    <row r="2285" spans="1:17" x14ac:dyDescent="0.25">
      <c r="A2285" t="s">
        <v>548</v>
      </c>
      <c r="B2285" t="s">
        <v>429</v>
      </c>
      <c r="C2285">
        <v>81</v>
      </c>
      <c r="D2285">
        <v>20220628</v>
      </c>
      <c r="E2285">
        <f t="shared" si="35"/>
        <v>6</v>
      </c>
      <c r="F2285">
        <v>531105</v>
      </c>
      <c r="G2285" t="s">
        <v>429</v>
      </c>
      <c r="H2285" t="s">
        <v>401</v>
      </c>
      <c r="I2285" t="s">
        <v>402</v>
      </c>
      <c r="J2285" t="s">
        <v>2639</v>
      </c>
      <c r="K2285">
        <v>20220628</v>
      </c>
      <c r="L2285" t="s">
        <v>2640</v>
      </c>
      <c r="M2285">
        <v>0</v>
      </c>
      <c r="N2285">
        <v>34.950000000000003</v>
      </c>
      <c r="O2285" t="s">
        <v>19</v>
      </c>
      <c r="P2285" t="s">
        <v>20</v>
      </c>
      <c r="Q2285">
        <v>20220628</v>
      </c>
    </row>
    <row r="2286" spans="1:17" x14ac:dyDescent="0.25">
      <c r="A2286" t="s">
        <v>548</v>
      </c>
      <c r="B2286" t="s">
        <v>429</v>
      </c>
      <c r="C2286">
        <v>81</v>
      </c>
      <c r="D2286">
        <v>20220628</v>
      </c>
      <c r="E2286">
        <f t="shared" si="35"/>
        <v>6</v>
      </c>
      <c r="F2286">
        <v>467100</v>
      </c>
      <c r="G2286" t="s">
        <v>160</v>
      </c>
      <c r="H2286" t="s">
        <v>2232</v>
      </c>
      <c r="I2286" t="s">
        <v>2233</v>
      </c>
      <c r="J2286" t="s">
        <v>2641</v>
      </c>
      <c r="K2286">
        <v>20220628</v>
      </c>
      <c r="L2286" t="s">
        <v>2642</v>
      </c>
      <c r="M2286">
        <v>112</v>
      </c>
      <c r="N2286">
        <v>0</v>
      </c>
      <c r="O2286" t="s">
        <v>23</v>
      </c>
      <c r="P2286">
        <v>20220905</v>
      </c>
      <c r="Q2286">
        <v>20220628</v>
      </c>
    </row>
    <row r="2287" spans="1:17" x14ac:dyDescent="0.25">
      <c r="A2287" t="s">
        <v>548</v>
      </c>
      <c r="B2287" t="s">
        <v>429</v>
      </c>
      <c r="C2287">
        <v>81</v>
      </c>
      <c r="D2287">
        <v>20220628</v>
      </c>
      <c r="E2287">
        <f t="shared" si="35"/>
        <v>6</v>
      </c>
      <c r="F2287">
        <v>531105</v>
      </c>
      <c r="G2287" t="s">
        <v>429</v>
      </c>
      <c r="H2287" t="s">
        <v>401</v>
      </c>
      <c r="I2287" t="s">
        <v>402</v>
      </c>
      <c r="J2287" t="s">
        <v>2641</v>
      </c>
      <c r="K2287">
        <v>20220628</v>
      </c>
      <c r="L2287" t="s">
        <v>2642</v>
      </c>
      <c r="M2287">
        <v>0</v>
      </c>
      <c r="N2287">
        <v>112</v>
      </c>
      <c r="O2287" t="s">
        <v>19</v>
      </c>
      <c r="P2287" t="s">
        <v>20</v>
      </c>
      <c r="Q2287">
        <v>20220628</v>
      </c>
    </row>
    <row r="2288" spans="1:17" x14ac:dyDescent="0.25">
      <c r="A2288" t="s">
        <v>548</v>
      </c>
      <c r="B2288" t="s">
        <v>429</v>
      </c>
      <c r="C2288">
        <v>81</v>
      </c>
      <c r="D2288">
        <v>20220628</v>
      </c>
      <c r="E2288">
        <f t="shared" si="35"/>
        <v>6</v>
      </c>
      <c r="F2288">
        <v>467100</v>
      </c>
      <c r="G2288" t="s">
        <v>160</v>
      </c>
      <c r="H2288" t="s">
        <v>626</v>
      </c>
      <c r="I2288" t="s">
        <v>627</v>
      </c>
      <c r="J2288" t="s">
        <v>2643</v>
      </c>
      <c r="K2288">
        <v>20220628</v>
      </c>
      <c r="L2288" t="s">
        <v>2644</v>
      </c>
      <c r="M2288">
        <v>12.43</v>
      </c>
      <c r="N2288">
        <v>0</v>
      </c>
      <c r="O2288" t="s">
        <v>23</v>
      </c>
      <c r="P2288">
        <v>20220905</v>
      </c>
      <c r="Q2288">
        <v>20220628</v>
      </c>
    </row>
    <row r="2289" spans="1:17" x14ac:dyDescent="0.25">
      <c r="A2289" t="s">
        <v>548</v>
      </c>
      <c r="B2289" t="s">
        <v>429</v>
      </c>
      <c r="C2289">
        <v>81</v>
      </c>
      <c r="D2289">
        <v>20220628</v>
      </c>
      <c r="E2289">
        <f t="shared" si="35"/>
        <v>6</v>
      </c>
      <c r="F2289">
        <v>531105</v>
      </c>
      <c r="G2289" t="s">
        <v>429</v>
      </c>
      <c r="H2289" t="s">
        <v>401</v>
      </c>
      <c r="I2289" t="s">
        <v>402</v>
      </c>
      <c r="J2289" t="s">
        <v>2643</v>
      </c>
      <c r="K2289">
        <v>20220628</v>
      </c>
      <c r="L2289" t="s">
        <v>2644</v>
      </c>
      <c r="M2289">
        <v>0</v>
      </c>
      <c r="N2289">
        <v>12.43</v>
      </c>
      <c r="O2289" t="s">
        <v>19</v>
      </c>
      <c r="P2289" t="s">
        <v>20</v>
      </c>
      <c r="Q2289">
        <v>20220628</v>
      </c>
    </row>
    <row r="2290" spans="1:17" x14ac:dyDescent="0.25">
      <c r="A2290" t="s">
        <v>548</v>
      </c>
      <c r="B2290" t="s">
        <v>429</v>
      </c>
      <c r="C2290">
        <v>81</v>
      </c>
      <c r="D2290">
        <v>20220628</v>
      </c>
      <c r="E2290">
        <f t="shared" si="35"/>
        <v>6</v>
      </c>
      <c r="F2290">
        <v>467100</v>
      </c>
      <c r="G2290" t="s">
        <v>160</v>
      </c>
      <c r="H2290" t="s">
        <v>2645</v>
      </c>
      <c r="I2290" t="s">
        <v>2646</v>
      </c>
      <c r="J2290" t="s">
        <v>2647</v>
      </c>
      <c r="K2290">
        <v>20220628</v>
      </c>
      <c r="L2290" t="s">
        <v>2648</v>
      </c>
      <c r="M2290">
        <v>20.21</v>
      </c>
      <c r="N2290">
        <v>0</v>
      </c>
      <c r="O2290" t="s">
        <v>23</v>
      </c>
      <c r="P2290">
        <v>20220905</v>
      </c>
      <c r="Q2290">
        <v>20220628</v>
      </c>
    </row>
    <row r="2291" spans="1:17" x14ac:dyDescent="0.25">
      <c r="A2291" t="s">
        <v>548</v>
      </c>
      <c r="B2291" t="s">
        <v>429</v>
      </c>
      <c r="C2291">
        <v>81</v>
      </c>
      <c r="D2291">
        <v>20220628</v>
      </c>
      <c r="E2291">
        <f t="shared" si="35"/>
        <v>6</v>
      </c>
      <c r="F2291">
        <v>531105</v>
      </c>
      <c r="G2291" t="s">
        <v>429</v>
      </c>
      <c r="H2291" t="s">
        <v>401</v>
      </c>
      <c r="I2291" t="s">
        <v>402</v>
      </c>
      <c r="J2291" t="s">
        <v>2647</v>
      </c>
      <c r="K2291">
        <v>20220628</v>
      </c>
      <c r="L2291" t="s">
        <v>2648</v>
      </c>
      <c r="M2291">
        <v>0</v>
      </c>
      <c r="N2291">
        <v>20.21</v>
      </c>
      <c r="O2291" t="s">
        <v>19</v>
      </c>
      <c r="P2291" t="s">
        <v>20</v>
      </c>
      <c r="Q2291">
        <v>20220628</v>
      </c>
    </row>
    <row r="2292" spans="1:17" x14ac:dyDescent="0.25">
      <c r="A2292" t="s">
        <v>548</v>
      </c>
      <c r="B2292" t="s">
        <v>429</v>
      </c>
      <c r="C2292">
        <v>81</v>
      </c>
      <c r="D2292">
        <v>20220628</v>
      </c>
      <c r="E2292">
        <f t="shared" si="35"/>
        <v>6</v>
      </c>
      <c r="F2292">
        <v>467100</v>
      </c>
      <c r="G2292" t="s">
        <v>160</v>
      </c>
      <c r="H2292" t="s">
        <v>1014</v>
      </c>
      <c r="I2292" t="s">
        <v>1015</v>
      </c>
      <c r="J2292" t="s">
        <v>2649</v>
      </c>
      <c r="K2292">
        <v>20220628</v>
      </c>
      <c r="L2292" t="s">
        <v>2650</v>
      </c>
      <c r="M2292">
        <v>17.72</v>
      </c>
      <c r="N2292">
        <v>0</v>
      </c>
      <c r="O2292" t="s">
        <v>19</v>
      </c>
      <c r="P2292" t="s">
        <v>20</v>
      </c>
      <c r="Q2292">
        <v>20220628</v>
      </c>
    </row>
    <row r="2293" spans="1:17" x14ac:dyDescent="0.25">
      <c r="A2293" t="s">
        <v>548</v>
      </c>
      <c r="B2293" t="s">
        <v>429</v>
      </c>
      <c r="C2293">
        <v>81</v>
      </c>
      <c r="D2293">
        <v>20220628</v>
      </c>
      <c r="E2293">
        <f t="shared" si="35"/>
        <v>6</v>
      </c>
      <c r="F2293">
        <v>531105</v>
      </c>
      <c r="G2293" t="s">
        <v>429</v>
      </c>
      <c r="H2293" t="s">
        <v>401</v>
      </c>
      <c r="I2293" t="s">
        <v>402</v>
      </c>
      <c r="J2293" t="s">
        <v>2649</v>
      </c>
      <c r="K2293">
        <v>20220628</v>
      </c>
      <c r="L2293" t="s">
        <v>2650</v>
      </c>
      <c r="M2293">
        <v>0</v>
      </c>
      <c r="N2293">
        <v>17.72</v>
      </c>
      <c r="O2293" t="s">
        <v>19</v>
      </c>
      <c r="P2293" t="s">
        <v>20</v>
      </c>
      <c r="Q2293">
        <v>20220628</v>
      </c>
    </row>
    <row r="2294" spans="1:17" x14ac:dyDescent="0.25">
      <c r="A2294" t="s">
        <v>548</v>
      </c>
      <c r="B2294" t="s">
        <v>429</v>
      </c>
      <c r="C2294">
        <v>81</v>
      </c>
      <c r="D2294">
        <v>20220628</v>
      </c>
      <c r="E2294">
        <f t="shared" si="35"/>
        <v>6</v>
      </c>
      <c r="F2294">
        <v>467100</v>
      </c>
      <c r="G2294" t="s">
        <v>160</v>
      </c>
      <c r="H2294" t="s">
        <v>1201</v>
      </c>
      <c r="I2294" t="s">
        <v>1202</v>
      </c>
      <c r="J2294" t="s">
        <v>2651</v>
      </c>
      <c r="K2294">
        <v>20220628</v>
      </c>
      <c r="L2294" t="s">
        <v>2652</v>
      </c>
      <c r="M2294">
        <v>32.6</v>
      </c>
      <c r="N2294">
        <v>0</v>
      </c>
      <c r="O2294" t="s">
        <v>23</v>
      </c>
      <c r="P2294">
        <v>20220905</v>
      </c>
      <c r="Q2294">
        <v>20220628</v>
      </c>
    </row>
    <row r="2295" spans="1:17" x14ac:dyDescent="0.25">
      <c r="A2295" t="s">
        <v>548</v>
      </c>
      <c r="B2295" t="s">
        <v>429</v>
      </c>
      <c r="C2295">
        <v>81</v>
      </c>
      <c r="D2295">
        <v>20220628</v>
      </c>
      <c r="E2295">
        <f t="shared" si="35"/>
        <v>6</v>
      </c>
      <c r="F2295">
        <v>467100</v>
      </c>
      <c r="G2295" t="s">
        <v>160</v>
      </c>
      <c r="H2295" t="s">
        <v>2465</v>
      </c>
      <c r="I2295" t="s">
        <v>2466</v>
      </c>
      <c r="J2295" t="s">
        <v>2653</v>
      </c>
      <c r="K2295">
        <v>20220628</v>
      </c>
      <c r="L2295" t="s">
        <v>2654</v>
      </c>
      <c r="M2295">
        <v>7.49</v>
      </c>
      <c r="N2295">
        <v>0</v>
      </c>
      <c r="O2295" t="s">
        <v>23</v>
      </c>
      <c r="P2295">
        <v>20220831</v>
      </c>
      <c r="Q2295">
        <v>20220628</v>
      </c>
    </row>
    <row r="2296" spans="1:17" x14ac:dyDescent="0.25">
      <c r="A2296" t="s">
        <v>548</v>
      </c>
      <c r="B2296" t="s">
        <v>429</v>
      </c>
      <c r="C2296">
        <v>81</v>
      </c>
      <c r="D2296">
        <v>20220628</v>
      </c>
      <c r="E2296">
        <f t="shared" si="35"/>
        <v>6</v>
      </c>
      <c r="F2296">
        <v>531105</v>
      </c>
      <c r="G2296" t="s">
        <v>429</v>
      </c>
      <c r="H2296" t="s">
        <v>401</v>
      </c>
      <c r="I2296" t="s">
        <v>402</v>
      </c>
      <c r="J2296" t="s">
        <v>2653</v>
      </c>
      <c r="K2296">
        <v>20220628</v>
      </c>
      <c r="L2296" t="s">
        <v>2654</v>
      </c>
      <c r="M2296">
        <v>0</v>
      </c>
      <c r="N2296">
        <v>7.49</v>
      </c>
      <c r="O2296" t="s">
        <v>19</v>
      </c>
      <c r="P2296" t="s">
        <v>20</v>
      </c>
      <c r="Q2296">
        <v>20220628</v>
      </c>
    </row>
    <row r="2297" spans="1:17" x14ac:dyDescent="0.25">
      <c r="A2297" t="s">
        <v>548</v>
      </c>
      <c r="B2297" t="s">
        <v>429</v>
      </c>
      <c r="C2297">
        <v>81</v>
      </c>
      <c r="D2297">
        <v>20220628</v>
      </c>
      <c r="E2297">
        <f t="shared" si="35"/>
        <v>6</v>
      </c>
      <c r="F2297">
        <v>531105</v>
      </c>
      <c r="G2297" t="s">
        <v>429</v>
      </c>
      <c r="H2297" t="s">
        <v>401</v>
      </c>
      <c r="I2297" t="s">
        <v>402</v>
      </c>
      <c r="J2297" t="s">
        <v>2651</v>
      </c>
      <c r="K2297">
        <v>20220628</v>
      </c>
      <c r="L2297" t="s">
        <v>2652</v>
      </c>
      <c r="M2297">
        <v>0</v>
      </c>
      <c r="N2297">
        <v>32.6</v>
      </c>
      <c r="O2297" t="s">
        <v>19</v>
      </c>
      <c r="P2297" t="s">
        <v>20</v>
      </c>
      <c r="Q2297">
        <v>20220628</v>
      </c>
    </row>
    <row r="2298" spans="1:17" x14ac:dyDescent="0.25">
      <c r="A2298" t="s">
        <v>548</v>
      </c>
      <c r="B2298" t="s">
        <v>429</v>
      </c>
      <c r="C2298">
        <v>81</v>
      </c>
      <c r="D2298">
        <v>20220628</v>
      </c>
      <c r="E2298">
        <f t="shared" si="35"/>
        <v>6</v>
      </c>
      <c r="F2298">
        <v>467100</v>
      </c>
      <c r="G2298" t="s">
        <v>160</v>
      </c>
      <c r="H2298" t="s">
        <v>1201</v>
      </c>
      <c r="I2298" t="s">
        <v>1202</v>
      </c>
      <c r="J2298" t="s">
        <v>2655</v>
      </c>
      <c r="K2298">
        <v>20220628</v>
      </c>
      <c r="L2298" t="s">
        <v>2656</v>
      </c>
      <c r="M2298">
        <v>0</v>
      </c>
      <c r="N2298">
        <v>3.25</v>
      </c>
      <c r="O2298" t="s">
        <v>23</v>
      </c>
      <c r="P2298">
        <v>20220905</v>
      </c>
      <c r="Q2298">
        <v>20220628</v>
      </c>
    </row>
    <row r="2299" spans="1:17" x14ac:dyDescent="0.25">
      <c r="A2299" t="s">
        <v>548</v>
      </c>
      <c r="B2299" t="s">
        <v>429</v>
      </c>
      <c r="C2299">
        <v>81</v>
      </c>
      <c r="D2299">
        <v>20220628</v>
      </c>
      <c r="E2299">
        <f t="shared" si="35"/>
        <v>6</v>
      </c>
      <c r="F2299">
        <v>531105</v>
      </c>
      <c r="G2299" t="s">
        <v>429</v>
      </c>
      <c r="H2299" t="s">
        <v>401</v>
      </c>
      <c r="I2299" t="s">
        <v>402</v>
      </c>
      <c r="J2299" t="s">
        <v>2655</v>
      </c>
      <c r="K2299">
        <v>20220628</v>
      </c>
      <c r="L2299" t="s">
        <v>2656</v>
      </c>
      <c r="M2299">
        <v>3.25</v>
      </c>
      <c r="N2299">
        <v>0</v>
      </c>
      <c r="O2299" t="s">
        <v>19</v>
      </c>
      <c r="P2299" t="s">
        <v>20</v>
      </c>
      <c r="Q2299">
        <v>20220628</v>
      </c>
    </row>
    <row r="2300" spans="1:17" x14ac:dyDescent="0.25">
      <c r="A2300" t="s">
        <v>548</v>
      </c>
      <c r="B2300" t="s">
        <v>429</v>
      </c>
      <c r="C2300">
        <v>81</v>
      </c>
      <c r="D2300">
        <v>20220628</v>
      </c>
      <c r="E2300">
        <f t="shared" si="35"/>
        <v>6</v>
      </c>
      <c r="F2300">
        <v>467100</v>
      </c>
      <c r="G2300" t="s">
        <v>160</v>
      </c>
      <c r="H2300" t="s">
        <v>219</v>
      </c>
      <c r="I2300" t="s">
        <v>220</v>
      </c>
      <c r="J2300" t="s">
        <v>2657</v>
      </c>
      <c r="K2300">
        <v>20220628</v>
      </c>
      <c r="L2300" t="s">
        <v>221</v>
      </c>
      <c r="M2300">
        <v>50</v>
      </c>
      <c r="N2300">
        <v>0</v>
      </c>
      <c r="O2300" t="s">
        <v>19</v>
      </c>
      <c r="P2300" t="s">
        <v>20</v>
      </c>
      <c r="Q2300">
        <v>20220628</v>
      </c>
    </row>
    <row r="2301" spans="1:17" x14ac:dyDescent="0.25">
      <c r="A2301" t="s">
        <v>548</v>
      </c>
      <c r="B2301" t="s">
        <v>429</v>
      </c>
      <c r="C2301">
        <v>81</v>
      </c>
      <c r="D2301">
        <v>20220628</v>
      </c>
      <c r="E2301">
        <f t="shared" si="35"/>
        <v>6</v>
      </c>
      <c r="F2301">
        <v>531105</v>
      </c>
      <c r="G2301" t="s">
        <v>429</v>
      </c>
      <c r="H2301" t="s">
        <v>401</v>
      </c>
      <c r="I2301" t="s">
        <v>402</v>
      </c>
      <c r="J2301" t="s">
        <v>2657</v>
      </c>
      <c r="K2301">
        <v>20220628</v>
      </c>
      <c r="L2301" t="s">
        <v>221</v>
      </c>
      <c r="M2301">
        <v>0</v>
      </c>
      <c r="N2301">
        <v>50</v>
      </c>
      <c r="O2301" t="s">
        <v>19</v>
      </c>
      <c r="P2301" t="s">
        <v>20</v>
      </c>
      <c r="Q2301">
        <v>20220628</v>
      </c>
    </row>
    <row r="2302" spans="1:17" x14ac:dyDescent="0.25">
      <c r="A2302" t="s">
        <v>548</v>
      </c>
      <c r="B2302" t="s">
        <v>429</v>
      </c>
      <c r="C2302">
        <v>81</v>
      </c>
      <c r="D2302">
        <v>20220628</v>
      </c>
      <c r="E2302">
        <f t="shared" si="35"/>
        <v>6</v>
      </c>
      <c r="F2302">
        <v>411100</v>
      </c>
      <c r="G2302" t="s">
        <v>18</v>
      </c>
      <c r="H2302" t="s">
        <v>24</v>
      </c>
      <c r="I2302" t="s">
        <v>25</v>
      </c>
      <c r="J2302">
        <v>344739</v>
      </c>
      <c r="K2302">
        <v>20220628</v>
      </c>
      <c r="L2302" t="s">
        <v>2658</v>
      </c>
      <c r="M2302">
        <v>0</v>
      </c>
      <c r="N2302">
        <v>107.85</v>
      </c>
      <c r="O2302" t="s">
        <v>19</v>
      </c>
      <c r="P2302" t="s">
        <v>20</v>
      </c>
      <c r="Q2302">
        <v>20220628</v>
      </c>
    </row>
    <row r="2303" spans="1:17" x14ac:dyDescent="0.25">
      <c r="A2303" t="s">
        <v>548</v>
      </c>
      <c r="B2303" t="s">
        <v>429</v>
      </c>
      <c r="C2303">
        <v>81</v>
      </c>
      <c r="D2303">
        <v>20220628</v>
      </c>
      <c r="E2303">
        <f t="shared" si="35"/>
        <v>6</v>
      </c>
      <c r="F2303">
        <v>411100</v>
      </c>
      <c r="G2303" t="s">
        <v>18</v>
      </c>
      <c r="H2303" t="s">
        <v>24</v>
      </c>
      <c r="I2303" t="s">
        <v>25</v>
      </c>
      <c r="J2303">
        <v>344740</v>
      </c>
      <c r="K2303">
        <v>20220628</v>
      </c>
      <c r="L2303" t="s">
        <v>2659</v>
      </c>
      <c r="M2303">
        <v>7.85</v>
      </c>
      <c r="N2303">
        <v>0</v>
      </c>
      <c r="O2303" t="s">
        <v>22</v>
      </c>
      <c r="P2303">
        <v>20230218</v>
      </c>
      <c r="Q2303">
        <v>20220628</v>
      </c>
    </row>
    <row r="2304" spans="1:17" x14ac:dyDescent="0.25">
      <c r="A2304" t="s">
        <v>548</v>
      </c>
      <c r="B2304" t="s">
        <v>429</v>
      </c>
      <c r="C2304">
        <v>81</v>
      </c>
      <c r="D2304">
        <v>20220628</v>
      </c>
      <c r="E2304">
        <f t="shared" si="35"/>
        <v>6</v>
      </c>
      <c r="F2304">
        <v>411100</v>
      </c>
      <c r="G2304" t="s">
        <v>18</v>
      </c>
      <c r="H2304" t="s">
        <v>2602</v>
      </c>
      <c r="I2304" t="s">
        <v>2603</v>
      </c>
      <c r="J2304">
        <v>344741</v>
      </c>
      <c r="K2304">
        <v>20220628</v>
      </c>
      <c r="L2304" t="s">
        <v>2660</v>
      </c>
      <c r="M2304">
        <v>0</v>
      </c>
      <c r="N2304">
        <v>126.58</v>
      </c>
      <c r="O2304" t="s">
        <v>19</v>
      </c>
      <c r="P2304" t="s">
        <v>20</v>
      </c>
      <c r="Q2304">
        <v>20220628</v>
      </c>
    </row>
    <row r="2305" spans="1:17" x14ac:dyDescent="0.25">
      <c r="A2305" t="s">
        <v>548</v>
      </c>
      <c r="B2305" t="s">
        <v>429</v>
      </c>
      <c r="C2305">
        <v>81</v>
      </c>
      <c r="D2305">
        <v>20220628</v>
      </c>
      <c r="E2305">
        <f t="shared" si="35"/>
        <v>6</v>
      </c>
      <c r="F2305">
        <v>411100</v>
      </c>
      <c r="G2305" t="s">
        <v>18</v>
      </c>
      <c r="H2305" t="s">
        <v>1762</v>
      </c>
      <c r="I2305" t="s">
        <v>1763</v>
      </c>
      <c r="J2305">
        <v>344742</v>
      </c>
      <c r="K2305">
        <v>20220628</v>
      </c>
      <c r="L2305" t="s">
        <v>2661</v>
      </c>
      <c r="M2305">
        <v>0</v>
      </c>
      <c r="N2305">
        <v>156.75</v>
      </c>
      <c r="O2305" t="s">
        <v>19</v>
      </c>
      <c r="P2305" t="s">
        <v>20</v>
      </c>
      <c r="Q2305">
        <v>20220628</v>
      </c>
    </row>
    <row r="2306" spans="1:17" x14ac:dyDescent="0.25">
      <c r="A2306" t="s">
        <v>548</v>
      </c>
      <c r="B2306" t="s">
        <v>429</v>
      </c>
      <c r="C2306">
        <v>81</v>
      </c>
      <c r="D2306">
        <v>20220628</v>
      </c>
      <c r="E2306">
        <f t="shared" si="35"/>
        <v>6</v>
      </c>
      <c r="F2306">
        <v>411100</v>
      </c>
      <c r="G2306" t="s">
        <v>18</v>
      </c>
      <c r="H2306" t="s">
        <v>2662</v>
      </c>
      <c r="I2306" t="s">
        <v>2663</v>
      </c>
      <c r="J2306">
        <v>344743</v>
      </c>
      <c r="K2306">
        <v>20220628</v>
      </c>
      <c r="L2306" t="s">
        <v>2664</v>
      </c>
      <c r="M2306">
        <v>0</v>
      </c>
      <c r="N2306">
        <v>491.74</v>
      </c>
      <c r="O2306" t="s">
        <v>19</v>
      </c>
      <c r="P2306" t="s">
        <v>20</v>
      </c>
      <c r="Q2306">
        <v>20220628</v>
      </c>
    </row>
    <row r="2307" spans="1:17" x14ac:dyDescent="0.25">
      <c r="A2307" t="s">
        <v>548</v>
      </c>
      <c r="B2307" t="s">
        <v>429</v>
      </c>
      <c r="C2307">
        <v>81</v>
      </c>
      <c r="D2307">
        <v>20220628</v>
      </c>
      <c r="E2307">
        <f t="shared" ref="E2307:E2370" si="36">VALUE(MID(D2307,5,2))</f>
        <v>6</v>
      </c>
      <c r="F2307">
        <v>411000</v>
      </c>
      <c r="G2307" t="s">
        <v>21</v>
      </c>
      <c r="H2307" t="s">
        <v>271</v>
      </c>
      <c r="I2307" t="s">
        <v>272</v>
      </c>
      <c r="J2307">
        <v>344744</v>
      </c>
      <c r="K2307">
        <v>20220628</v>
      </c>
      <c r="L2307" t="s">
        <v>2665</v>
      </c>
      <c r="M2307">
        <v>0</v>
      </c>
      <c r="N2307">
        <v>30.1</v>
      </c>
      <c r="O2307" t="s">
        <v>19</v>
      </c>
      <c r="P2307" t="s">
        <v>20</v>
      </c>
      <c r="Q2307">
        <v>20220628</v>
      </c>
    </row>
    <row r="2308" spans="1:17" x14ac:dyDescent="0.25">
      <c r="A2308" t="s">
        <v>548</v>
      </c>
      <c r="B2308" t="s">
        <v>429</v>
      </c>
      <c r="C2308">
        <v>81</v>
      </c>
      <c r="D2308">
        <v>20220628</v>
      </c>
      <c r="E2308">
        <f t="shared" si="36"/>
        <v>6</v>
      </c>
      <c r="F2308">
        <v>411100</v>
      </c>
      <c r="G2308" t="s">
        <v>18</v>
      </c>
      <c r="H2308" t="s">
        <v>2666</v>
      </c>
      <c r="I2308" t="s">
        <v>2667</v>
      </c>
      <c r="J2308">
        <v>344745</v>
      </c>
      <c r="K2308">
        <v>20220628</v>
      </c>
      <c r="L2308" t="s">
        <v>2668</v>
      </c>
      <c r="M2308">
        <v>0</v>
      </c>
      <c r="N2308">
        <v>13</v>
      </c>
      <c r="O2308" t="s">
        <v>22</v>
      </c>
      <c r="P2308">
        <v>20230218</v>
      </c>
      <c r="Q2308">
        <v>20220628</v>
      </c>
    </row>
    <row r="2309" spans="1:17" x14ac:dyDescent="0.25">
      <c r="A2309" t="s">
        <v>548</v>
      </c>
      <c r="B2309" t="s">
        <v>429</v>
      </c>
      <c r="C2309">
        <v>81</v>
      </c>
      <c r="D2309">
        <v>20220628</v>
      </c>
      <c r="E2309">
        <f t="shared" si="36"/>
        <v>6</v>
      </c>
      <c r="F2309">
        <v>531105</v>
      </c>
      <c r="G2309" t="s">
        <v>429</v>
      </c>
      <c r="H2309" t="s">
        <v>401</v>
      </c>
      <c r="I2309" t="s">
        <v>402</v>
      </c>
      <c r="J2309">
        <v>344746</v>
      </c>
      <c r="K2309">
        <v>20220628</v>
      </c>
      <c r="L2309" t="s">
        <v>565</v>
      </c>
      <c r="M2309">
        <v>918.17</v>
      </c>
      <c r="N2309">
        <v>0</v>
      </c>
      <c r="O2309" t="s">
        <v>19</v>
      </c>
      <c r="P2309" t="s">
        <v>20</v>
      </c>
      <c r="Q2309">
        <v>20220628</v>
      </c>
    </row>
    <row r="2310" spans="1:17" x14ac:dyDescent="0.25">
      <c r="A2310" t="s">
        <v>548</v>
      </c>
      <c r="B2310" t="s">
        <v>429</v>
      </c>
      <c r="C2310">
        <v>81</v>
      </c>
      <c r="D2310">
        <v>20220629</v>
      </c>
      <c r="E2310">
        <f t="shared" si="36"/>
        <v>6</v>
      </c>
      <c r="F2310">
        <v>411100</v>
      </c>
      <c r="G2310" t="s">
        <v>18</v>
      </c>
      <c r="H2310" t="s">
        <v>305</v>
      </c>
      <c r="I2310" t="s">
        <v>306</v>
      </c>
      <c r="J2310">
        <v>344747</v>
      </c>
      <c r="K2310">
        <v>20220629</v>
      </c>
      <c r="L2310" t="s">
        <v>2669</v>
      </c>
      <c r="M2310">
        <v>0</v>
      </c>
      <c r="N2310">
        <v>13.53</v>
      </c>
      <c r="O2310" t="s">
        <v>23</v>
      </c>
      <c r="P2310">
        <v>20230329</v>
      </c>
      <c r="Q2310">
        <v>20220629</v>
      </c>
    </row>
    <row r="2311" spans="1:17" x14ac:dyDescent="0.25">
      <c r="A2311" t="s">
        <v>548</v>
      </c>
      <c r="B2311" t="s">
        <v>429</v>
      </c>
      <c r="C2311">
        <v>81</v>
      </c>
      <c r="D2311">
        <v>20220629</v>
      </c>
      <c r="E2311">
        <f t="shared" si="36"/>
        <v>6</v>
      </c>
      <c r="F2311">
        <v>531105</v>
      </c>
      <c r="G2311" t="s">
        <v>429</v>
      </c>
      <c r="H2311" t="s">
        <v>401</v>
      </c>
      <c r="I2311" t="s">
        <v>402</v>
      </c>
      <c r="J2311">
        <v>344748</v>
      </c>
      <c r="K2311">
        <v>20220629</v>
      </c>
      <c r="L2311" t="s">
        <v>565</v>
      </c>
      <c r="M2311">
        <v>13.53</v>
      </c>
      <c r="N2311">
        <v>0</v>
      </c>
      <c r="O2311" t="s">
        <v>19</v>
      </c>
      <c r="P2311" t="s">
        <v>20</v>
      </c>
      <c r="Q2311">
        <v>20220629</v>
      </c>
    </row>
    <row r="2312" spans="1:17" x14ac:dyDescent="0.25">
      <c r="A2312" t="s">
        <v>548</v>
      </c>
      <c r="B2312" t="s">
        <v>429</v>
      </c>
      <c r="C2312">
        <v>81</v>
      </c>
      <c r="D2312">
        <v>20220630</v>
      </c>
      <c r="E2312">
        <f t="shared" si="36"/>
        <v>6</v>
      </c>
      <c r="F2312">
        <v>467100</v>
      </c>
      <c r="G2312" t="s">
        <v>160</v>
      </c>
      <c r="H2312" t="s">
        <v>219</v>
      </c>
      <c r="I2312" t="s">
        <v>220</v>
      </c>
      <c r="J2312" t="s">
        <v>2670</v>
      </c>
      <c r="K2312">
        <v>20220630</v>
      </c>
      <c r="L2312" t="s">
        <v>2671</v>
      </c>
      <c r="M2312">
        <v>200</v>
      </c>
      <c r="N2312">
        <v>0</v>
      </c>
      <c r="O2312" t="s">
        <v>19</v>
      </c>
      <c r="P2312" t="s">
        <v>20</v>
      </c>
      <c r="Q2312">
        <v>20220630</v>
      </c>
    </row>
    <row r="2313" spans="1:17" x14ac:dyDescent="0.25">
      <c r="A2313" t="s">
        <v>548</v>
      </c>
      <c r="B2313" t="s">
        <v>429</v>
      </c>
      <c r="C2313">
        <v>81</v>
      </c>
      <c r="D2313">
        <v>20220630</v>
      </c>
      <c r="E2313">
        <f t="shared" si="36"/>
        <v>6</v>
      </c>
      <c r="F2313">
        <v>531105</v>
      </c>
      <c r="G2313" t="s">
        <v>429</v>
      </c>
      <c r="H2313" t="s">
        <v>401</v>
      </c>
      <c r="I2313" t="s">
        <v>402</v>
      </c>
      <c r="J2313" t="s">
        <v>2670</v>
      </c>
      <c r="K2313">
        <v>20220630</v>
      </c>
      <c r="L2313" t="s">
        <v>2671</v>
      </c>
      <c r="M2313">
        <v>0</v>
      </c>
      <c r="N2313">
        <v>200</v>
      </c>
      <c r="O2313" t="s">
        <v>19</v>
      </c>
      <c r="P2313" t="s">
        <v>20</v>
      </c>
      <c r="Q2313">
        <v>20220630</v>
      </c>
    </row>
    <row r="2314" spans="1:17" x14ac:dyDescent="0.25">
      <c r="A2314" t="s">
        <v>548</v>
      </c>
      <c r="B2314" t="s">
        <v>429</v>
      </c>
      <c r="C2314">
        <v>81</v>
      </c>
      <c r="D2314">
        <v>20220630</v>
      </c>
      <c r="E2314">
        <f t="shared" si="36"/>
        <v>6</v>
      </c>
      <c r="F2314">
        <v>467100</v>
      </c>
      <c r="G2314" t="s">
        <v>160</v>
      </c>
      <c r="H2314" t="s">
        <v>1307</v>
      </c>
      <c r="I2314" t="s">
        <v>1308</v>
      </c>
      <c r="J2314" t="s">
        <v>2672</v>
      </c>
      <c r="K2314">
        <v>20220630</v>
      </c>
      <c r="L2314" t="s">
        <v>2673</v>
      </c>
      <c r="M2314">
        <v>60</v>
      </c>
      <c r="N2314">
        <v>0</v>
      </c>
      <c r="O2314" t="s">
        <v>23</v>
      </c>
      <c r="P2314">
        <v>20220905</v>
      </c>
      <c r="Q2314">
        <v>20220630</v>
      </c>
    </row>
    <row r="2315" spans="1:17" x14ac:dyDescent="0.25">
      <c r="A2315" t="s">
        <v>548</v>
      </c>
      <c r="B2315" t="s">
        <v>429</v>
      </c>
      <c r="C2315">
        <v>81</v>
      </c>
      <c r="D2315">
        <v>20220630</v>
      </c>
      <c r="E2315">
        <f t="shared" si="36"/>
        <v>6</v>
      </c>
      <c r="F2315">
        <v>531105</v>
      </c>
      <c r="G2315" t="s">
        <v>429</v>
      </c>
      <c r="H2315" t="s">
        <v>401</v>
      </c>
      <c r="I2315" t="s">
        <v>402</v>
      </c>
      <c r="J2315" t="s">
        <v>2672</v>
      </c>
      <c r="K2315">
        <v>20220630</v>
      </c>
      <c r="L2315" t="s">
        <v>2673</v>
      </c>
      <c r="M2315">
        <v>0</v>
      </c>
      <c r="N2315">
        <v>60</v>
      </c>
      <c r="O2315" t="s">
        <v>19</v>
      </c>
      <c r="P2315" t="s">
        <v>20</v>
      </c>
      <c r="Q2315">
        <v>20220630</v>
      </c>
    </row>
    <row r="2316" spans="1:17" x14ac:dyDescent="0.25">
      <c r="A2316" t="s">
        <v>715</v>
      </c>
      <c r="B2316" t="s">
        <v>432</v>
      </c>
      <c r="C2316">
        <v>82</v>
      </c>
      <c r="D2316">
        <v>20220601</v>
      </c>
      <c r="E2316">
        <f t="shared" si="36"/>
        <v>6</v>
      </c>
      <c r="F2316">
        <v>401000</v>
      </c>
      <c r="G2316" t="s">
        <v>41</v>
      </c>
      <c r="H2316" t="s">
        <v>189</v>
      </c>
      <c r="I2316" t="s">
        <v>190</v>
      </c>
      <c r="J2316" t="s">
        <v>2674</v>
      </c>
      <c r="K2316">
        <v>20220601</v>
      </c>
      <c r="L2316" t="s">
        <v>191</v>
      </c>
      <c r="M2316">
        <v>1027.6099999999999</v>
      </c>
      <c r="N2316">
        <v>0</v>
      </c>
      <c r="O2316" t="s">
        <v>23</v>
      </c>
      <c r="P2316">
        <v>20220905</v>
      </c>
      <c r="Q2316">
        <v>20220601</v>
      </c>
    </row>
    <row r="2317" spans="1:17" x14ac:dyDescent="0.25">
      <c r="A2317" t="s">
        <v>715</v>
      </c>
      <c r="B2317" t="s">
        <v>432</v>
      </c>
      <c r="C2317">
        <v>82</v>
      </c>
      <c r="D2317">
        <v>20220601</v>
      </c>
      <c r="E2317">
        <f t="shared" si="36"/>
        <v>6</v>
      </c>
      <c r="F2317">
        <v>512200</v>
      </c>
      <c r="G2317" t="s">
        <v>432</v>
      </c>
      <c r="H2317" t="s">
        <v>401</v>
      </c>
      <c r="I2317" t="s">
        <v>402</v>
      </c>
      <c r="J2317" t="s">
        <v>2674</v>
      </c>
      <c r="K2317">
        <v>20220601</v>
      </c>
      <c r="L2317" t="s">
        <v>191</v>
      </c>
      <c r="M2317">
        <v>0</v>
      </c>
      <c r="N2317">
        <v>1027.6099999999999</v>
      </c>
      <c r="O2317" t="s">
        <v>19</v>
      </c>
      <c r="P2317" t="s">
        <v>20</v>
      </c>
      <c r="Q2317">
        <v>20220601</v>
      </c>
    </row>
    <row r="2318" spans="1:17" x14ac:dyDescent="0.25">
      <c r="A2318" t="s">
        <v>715</v>
      </c>
      <c r="B2318" t="s">
        <v>432</v>
      </c>
      <c r="C2318">
        <v>82</v>
      </c>
      <c r="D2318">
        <v>20220601</v>
      </c>
      <c r="E2318">
        <f t="shared" si="36"/>
        <v>6</v>
      </c>
      <c r="F2318">
        <v>411000</v>
      </c>
      <c r="G2318" t="s">
        <v>21</v>
      </c>
      <c r="H2318" t="s">
        <v>815</v>
      </c>
      <c r="I2318" t="s">
        <v>816</v>
      </c>
      <c r="J2318" t="s">
        <v>2675</v>
      </c>
      <c r="K2318">
        <v>20220601</v>
      </c>
      <c r="L2318" t="s">
        <v>745</v>
      </c>
      <c r="M2318">
        <v>0</v>
      </c>
      <c r="N2318">
        <v>200</v>
      </c>
      <c r="O2318" t="s">
        <v>22</v>
      </c>
      <c r="P2318">
        <v>20230218</v>
      </c>
      <c r="Q2318">
        <v>20220601</v>
      </c>
    </row>
    <row r="2319" spans="1:17" x14ac:dyDescent="0.25">
      <c r="A2319" t="s">
        <v>715</v>
      </c>
      <c r="B2319" t="s">
        <v>432</v>
      </c>
      <c r="C2319">
        <v>82</v>
      </c>
      <c r="D2319">
        <v>20220601</v>
      </c>
      <c r="E2319">
        <f t="shared" si="36"/>
        <v>6</v>
      </c>
      <c r="F2319">
        <v>512200</v>
      </c>
      <c r="G2319" t="s">
        <v>432</v>
      </c>
      <c r="H2319" t="s">
        <v>401</v>
      </c>
      <c r="I2319" t="s">
        <v>402</v>
      </c>
      <c r="J2319" t="s">
        <v>2675</v>
      </c>
      <c r="K2319">
        <v>20220601</v>
      </c>
      <c r="L2319" t="s">
        <v>745</v>
      </c>
      <c r="M2319">
        <v>200</v>
      </c>
      <c r="N2319">
        <v>0</v>
      </c>
      <c r="O2319" t="s">
        <v>19</v>
      </c>
      <c r="P2319" t="s">
        <v>20</v>
      </c>
      <c r="Q2319">
        <v>20220601</v>
      </c>
    </row>
    <row r="2320" spans="1:17" x14ac:dyDescent="0.25">
      <c r="A2320" t="s">
        <v>715</v>
      </c>
      <c r="B2320" t="s">
        <v>432</v>
      </c>
      <c r="C2320">
        <v>82</v>
      </c>
      <c r="D2320">
        <v>20220601</v>
      </c>
      <c r="E2320">
        <f t="shared" si="36"/>
        <v>6</v>
      </c>
      <c r="F2320">
        <v>468736</v>
      </c>
      <c r="G2320" t="s">
        <v>1284</v>
      </c>
      <c r="H2320" t="s">
        <v>401</v>
      </c>
      <c r="I2320" t="s">
        <v>402</v>
      </c>
      <c r="J2320" t="s">
        <v>2676</v>
      </c>
      <c r="K2320">
        <v>20220601</v>
      </c>
      <c r="L2320" t="s">
        <v>1286</v>
      </c>
      <c r="M2320">
        <v>0</v>
      </c>
      <c r="N2320">
        <v>66.010000000000005</v>
      </c>
      <c r="O2320" t="s">
        <v>19</v>
      </c>
      <c r="P2320" t="s">
        <v>20</v>
      </c>
      <c r="Q2320">
        <v>20220601</v>
      </c>
    </row>
    <row r="2321" spans="1:17" x14ac:dyDescent="0.25">
      <c r="A2321" t="s">
        <v>715</v>
      </c>
      <c r="B2321" t="s">
        <v>432</v>
      </c>
      <c r="C2321">
        <v>82</v>
      </c>
      <c r="D2321">
        <v>20220601</v>
      </c>
      <c r="E2321">
        <f t="shared" si="36"/>
        <v>6</v>
      </c>
      <c r="F2321">
        <v>512200</v>
      </c>
      <c r="G2321" t="s">
        <v>432</v>
      </c>
      <c r="H2321" t="s">
        <v>401</v>
      </c>
      <c r="I2321" t="s">
        <v>402</v>
      </c>
      <c r="J2321" t="s">
        <v>2676</v>
      </c>
      <c r="K2321">
        <v>20220601</v>
      </c>
      <c r="L2321" t="s">
        <v>1286</v>
      </c>
      <c r="M2321">
        <v>66.010000000000005</v>
      </c>
      <c r="N2321">
        <v>0</v>
      </c>
      <c r="O2321" t="s">
        <v>19</v>
      </c>
      <c r="P2321" t="s">
        <v>20</v>
      </c>
      <c r="Q2321">
        <v>20220601</v>
      </c>
    </row>
    <row r="2322" spans="1:17" x14ac:dyDescent="0.25">
      <c r="A2322" t="s">
        <v>715</v>
      </c>
      <c r="B2322" t="s">
        <v>432</v>
      </c>
      <c r="C2322">
        <v>82</v>
      </c>
      <c r="D2322">
        <v>20220601</v>
      </c>
      <c r="E2322">
        <f t="shared" si="36"/>
        <v>6</v>
      </c>
      <c r="F2322">
        <v>401000</v>
      </c>
      <c r="G2322" t="s">
        <v>41</v>
      </c>
      <c r="H2322" t="s">
        <v>2340</v>
      </c>
      <c r="I2322" t="s">
        <v>2341</v>
      </c>
      <c r="J2322" t="s">
        <v>2677</v>
      </c>
      <c r="K2322">
        <v>20220601</v>
      </c>
      <c r="L2322" t="s">
        <v>2678</v>
      </c>
      <c r="M2322">
        <v>108</v>
      </c>
      <c r="N2322">
        <v>0</v>
      </c>
      <c r="O2322" t="s">
        <v>23</v>
      </c>
      <c r="P2322">
        <v>20220914</v>
      </c>
      <c r="Q2322">
        <v>20220601</v>
      </c>
    </row>
    <row r="2323" spans="1:17" x14ac:dyDescent="0.25">
      <c r="A2323" t="s">
        <v>715</v>
      </c>
      <c r="B2323" t="s">
        <v>432</v>
      </c>
      <c r="C2323">
        <v>82</v>
      </c>
      <c r="D2323">
        <v>20220601</v>
      </c>
      <c r="E2323">
        <f t="shared" si="36"/>
        <v>6</v>
      </c>
      <c r="F2323">
        <v>512200</v>
      </c>
      <c r="G2323" t="s">
        <v>432</v>
      </c>
      <c r="H2323" t="s">
        <v>401</v>
      </c>
      <c r="I2323" t="s">
        <v>402</v>
      </c>
      <c r="J2323" t="s">
        <v>2677</v>
      </c>
      <c r="K2323">
        <v>20220601</v>
      </c>
      <c r="L2323" t="s">
        <v>2678</v>
      </c>
      <c r="M2323">
        <v>0</v>
      </c>
      <c r="N2323">
        <v>108</v>
      </c>
      <c r="O2323" t="s">
        <v>19</v>
      </c>
      <c r="P2323" t="s">
        <v>20</v>
      </c>
      <c r="Q2323">
        <v>20220601</v>
      </c>
    </row>
    <row r="2324" spans="1:17" x14ac:dyDescent="0.25">
      <c r="A2324" t="s">
        <v>715</v>
      </c>
      <c r="B2324" t="s">
        <v>432</v>
      </c>
      <c r="C2324">
        <v>82</v>
      </c>
      <c r="D2324">
        <v>20220602</v>
      </c>
      <c r="E2324">
        <f t="shared" si="36"/>
        <v>6</v>
      </c>
      <c r="F2324">
        <v>512200</v>
      </c>
      <c r="G2324" t="s">
        <v>432</v>
      </c>
      <c r="H2324" t="s">
        <v>401</v>
      </c>
      <c r="I2324" t="s">
        <v>402</v>
      </c>
      <c r="J2324" t="s">
        <v>2483</v>
      </c>
      <c r="K2324">
        <v>20220602</v>
      </c>
      <c r="L2324" t="s">
        <v>625</v>
      </c>
      <c r="M2324">
        <v>1541</v>
      </c>
      <c r="N2324">
        <v>0</v>
      </c>
      <c r="O2324" t="s">
        <v>19</v>
      </c>
      <c r="P2324" t="s">
        <v>20</v>
      </c>
      <c r="Q2324">
        <v>20220602</v>
      </c>
    </row>
    <row r="2325" spans="1:17" x14ac:dyDescent="0.25">
      <c r="A2325" t="s">
        <v>715</v>
      </c>
      <c r="B2325" t="s">
        <v>432</v>
      </c>
      <c r="C2325">
        <v>82</v>
      </c>
      <c r="D2325">
        <v>20220602</v>
      </c>
      <c r="E2325">
        <f t="shared" si="36"/>
        <v>6</v>
      </c>
      <c r="F2325">
        <v>580000</v>
      </c>
      <c r="G2325" t="s">
        <v>532</v>
      </c>
      <c r="H2325" t="s">
        <v>401</v>
      </c>
      <c r="I2325" t="s">
        <v>402</v>
      </c>
      <c r="J2325" t="s">
        <v>2483</v>
      </c>
      <c r="K2325">
        <v>20220602</v>
      </c>
      <c r="L2325" t="s">
        <v>625</v>
      </c>
      <c r="M2325">
        <v>0</v>
      </c>
      <c r="N2325">
        <v>1541</v>
      </c>
      <c r="O2325" t="s">
        <v>22</v>
      </c>
      <c r="P2325">
        <v>20220602</v>
      </c>
      <c r="Q2325">
        <v>20220602</v>
      </c>
    </row>
    <row r="2326" spans="1:17" x14ac:dyDescent="0.25">
      <c r="A2326" t="s">
        <v>715</v>
      </c>
      <c r="B2326" t="s">
        <v>432</v>
      </c>
      <c r="C2326">
        <v>82</v>
      </c>
      <c r="D2326">
        <v>20220602</v>
      </c>
      <c r="E2326">
        <f t="shared" si="36"/>
        <v>6</v>
      </c>
      <c r="F2326">
        <v>401000</v>
      </c>
      <c r="G2326" t="s">
        <v>41</v>
      </c>
      <c r="H2326" t="s">
        <v>2055</v>
      </c>
      <c r="I2326" t="s">
        <v>2056</v>
      </c>
      <c r="J2326" t="s">
        <v>2679</v>
      </c>
      <c r="K2326">
        <v>20220602</v>
      </c>
      <c r="L2326" t="s">
        <v>2680</v>
      </c>
      <c r="M2326">
        <v>84</v>
      </c>
      <c r="N2326">
        <v>0</v>
      </c>
      <c r="O2326" t="s">
        <v>23</v>
      </c>
      <c r="P2326">
        <v>20220905</v>
      </c>
      <c r="Q2326">
        <v>20220602</v>
      </c>
    </row>
    <row r="2327" spans="1:17" x14ac:dyDescent="0.25">
      <c r="A2327" t="s">
        <v>715</v>
      </c>
      <c r="B2327" t="s">
        <v>432</v>
      </c>
      <c r="C2327">
        <v>82</v>
      </c>
      <c r="D2327">
        <v>20220602</v>
      </c>
      <c r="E2327">
        <f t="shared" si="36"/>
        <v>6</v>
      </c>
      <c r="F2327">
        <v>512200</v>
      </c>
      <c r="G2327" t="s">
        <v>432</v>
      </c>
      <c r="H2327" t="s">
        <v>401</v>
      </c>
      <c r="I2327" t="s">
        <v>402</v>
      </c>
      <c r="J2327" t="s">
        <v>2679</v>
      </c>
      <c r="K2327">
        <v>20220602</v>
      </c>
      <c r="L2327" t="s">
        <v>2680</v>
      </c>
      <c r="M2327">
        <v>0</v>
      </c>
      <c r="N2327">
        <v>84</v>
      </c>
      <c r="O2327" t="s">
        <v>19</v>
      </c>
      <c r="P2327" t="s">
        <v>20</v>
      </c>
      <c r="Q2327">
        <v>20220602</v>
      </c>
    </row>
    <row r="2328" spans="1:17" x14ac:dyDescent="0.25">
      <c r="A2328" t="s">
        <v>715</v>
      </c>
      <c r="B2328" t="s">
        <v>432</v>
      </c>
      <c r="C2328">
        <v>82</v>
      </c>
      <c r="D2328">
        <v>20220606</v>
      </c>
      <c r="E2328">
        <f t="shared" si="36"/>
        <v>6</v>
      </c>
      <c r="F2328">
        <v>401000</v>
      </c>
      <c r="G2328" t="s">
        <v>41</v>
      </c>
      <c r="H2328" t="s">
        <v>2372</v>
      </c>
      <c r="I2328" t="s">
        <v>2373</v>
      </c>
      <c r="J2328" t="s">
        <v>2681</v>
      </c>
      <c r="K2328">
        <v>20220606</v>
      </c>
      <c r="L2328" t="s">
        <v>2682</v>
      </c>
      <c r="M2328">
        <v>25.2</v>
      </c>
      <c r="N2328">
        <v>0</v>
      </c>
      <c r="O2328" t="s">
        <v>23</v>
      </c>
      <c r="P2328">
        <v>20220905</v>
      </c>
      <c r="Q2328">
        <v>20220606</v>
      </c>
    </row>
    <row r="2329" spans="1:17" x14ac:dyDescent="0.25">
      <c r="A2329" t="s">
        <v>715</v>
      </c>
      <c r="B2329" t="s">
        <v>432</v>
      </c>
      <c r="C2329">
        <v>82</v>
      </c>
      <c r="D2329">
        <v>20220606</v>
      </c>
      <c r="E2329">
        <f t="shared" si="36"/>
        <v>6</v>
      </c>
      <c r="F2329">
        <v>512200</v>
      </c>
      <c r="G2329" t="s">
        <v>432</v>
      </c>
      <c r="H2329" t="s">
        <v>401</v>
      </c>
      <c r="I2329" t="s">
        <v>402</v>
      </c>
      <c r="J2329" t="s">
        <v>2681</v>
      </c>
      <c r="K2329">
        <v>20220606</v>
      </c>
      <c r="L2329" t="s">
        <v>2682</v>
      </c>
      <c r="M2329">
        <v>0</v>
      </c>
      <c r="N2329">
        <v>25.2</v>
      </c>
      <c r="O2329" t="s">
        <v>19</v>
      </c>
      <c r="P2329" t="s">
        <v>20</v>
      </c>
      <c r="Q2329">
        <v>20220606</v>
      </c>
    </row>
    <row r="2330" spans="1:17" x14ac:dyDescent="0.25">
      <c r="A2330" t="s">
        <v>715</v>
      </c>
      <c r="B2330" t="s">
        <v>432</v>
      </c>
      <c r="C2330">
        <v>82</v>
      </c>
      <c r="D2330">
        <v>20220607</v>
      </c>
      <c r="E2330">
        <f t="shared" si="36"/>
        <v>6</v>
      </c>
      <c r="F2330">
        <v>401000</v>
      </c>
      <c r="G2330" t="s">
        <v>41</v>
      </c>
      <c r="H2330" t="s">
        <v>52</v>
      </c>
      <c r="I2330" t="s">
        <v>53</v>
      </c>
      <c r="J2330" t="s">
        <v>2681</v>
      </c>
      <c r="K2330">
        <v>20220607</v>
      </c>
      <c r="L2330" t="s">
        <v>2683</v>
      </c>
      <c r="M2330">
        <v>57.24</v>
      </c>
      <c r="N2330">
        <v>0</v>
      </c>
      <c r="O2330" t="s">
        <v>23</v>
      </c>
      <c r="P2330">
        <v>20220905</v>
      </c>
      <c r="Q2330">
        <v>20220607</v>
      </c>
    </row>
    <row r="2331" spans="1:17" x14ac:dyDescent="0.25">
      <c r="A2331" t="s">
        <v>715</v>
      </c>
      <c r="B2331" t="s">
        <v>432</v>
      </c>
      <c r="C2331">
        <v>82</v>
      </c>
      <c r="D2331">
        <v>20220607</v>
      </c>
      <c r="E2331">
        <f t="shared" si="36"/>
        <v>6</v>
      </c>
      <c r="F2331">
        <v>512200</v>
      </c>
      <c r="G2331" t="s">
        <v>432</v>
      </c>
      <c r="H2331" t="s">
        <v>401</v>
      </c>
      <c r="I2331" t="s">
        <v>402</v>
      </c>
      <c r="J2331" t="s">
        <v>2681</v>
      </c>
      <c r="K2331">
        <v>20220607</v>
      </c>
      <c r="L2331" t="s">
        <v>2683</v>
      </c>
      <c r="M2331">
        <v>0</v>
      </c>
      <c r="N2331">
        <v>57.24</v>
      </c>
      <c r="O2331" t="s">
        <v>19</v>
      </c>
      <c r="P2331" t="s">
        <v>20</v>
      </c>
      <c r="Q2331">
        <v>20220607</v>
      </c>
    </row>
    <row r="2332" spans="1:17" x14ac:dyDescent="0.25">
      <c r="A2332" t="s">
        <v>715</v>
      </c>
      <c r="B2332" t="s">
        <v>432</v>
      </c>
      <c r="C2332">
        <v>82</v>
      </c>
      <c r="D2332">
        <v>20220607</v>
      </c>
      <c r="E2332">
        <f t="shared" si="36"/>
        <v>6</v>
      </c>
      <c r="F2332">
        <v>401000</v>
      </c>
      <c r="G2332" t="s">
        <v>41</v>
      </c>
      <c r="H2332" t="s">
        <v>52</v>
      </c>
      <c r="I2332" t="s">
        <v>53</v>
      </c>
      <c r="J2332" t="s">
        <v>2684</v>
      </c>
      <c r="K2332">
        <v>20220607</v>
      </c>
      <c r="L2332" t="s">
        <v>2685</v>
      </c>
      <c r="M2332">
        <v>62.4</v>
      </c>
      <c r="N2332">
        <v>0</v>
      </c>
      <c r="O2332" t="s">
        <v>23</v>
      </c>
      <c r="P2332">
        <v>20220919</v>
      </c>
      <c r="Q2332">
        <v>20220607</v>
      </c>
    </row>
    <row r="2333" spans="1:17" x14ac:dyDescent="0.25">
      <c r="A2333" t="s">
        <v>715</v>
      </c>
      <c r="B2333" t="s">
        <v>432</v>
      </c>
      <c r="C2333">
        <v>82</v>
      </c>
      <c r="D2333">
        <v>20220607</v>
      </c>
      <c r="E2333">
        <f t="shared" si="36"/>
        <v>6</v>
      </c>
      <c r="F2333">
        <v>512200</v>
      </c>
      <c r="G2333" t="s">
        <v>432</v>
      </c>
      <c r="H2333" t="s">
        <v>401</v>
      </c>
      <c r="I2333" t="s">
        <v>402</v>
      </c>
      <c r="J2333" t="s">
        <v>2684</v>
      </c>
      <c r="K2333">
        <v>20220607</v>
      </c>
      <c r="L2333" t="s">
        <v>2685</v>
      </c>
      <c r="M2333">
        <v>0</v>
      </c>
      <c r="N2333">
        <v>62.4</v>
      </c>
      <c r="O2333" t="s">
        <v>19</v>
      </c>
      <c r="P2333" t="s">
        <v>20</v>
      </c>
      <c r="Q2333">
        <v>20220607</v>
      </c>
    </row>
    <row r="2334" spans="1:17" x14ac:dyDescent="0.25">
      <c r="A2334" t="s">
        <v>715</v>
      </c>
      <c r="B2334" t="s">
        <v>432</v>
      </c>
      <c r="C2334">
        <v>82</v>
      </c>
      <c r="D2334">
        <v>20220608</v>
      </c>
      <c r="E2334">
        <f t="shared" si="36"/>
        <v>6</v>
      </c>
      <c r="F2334">
        <v>401000</v>
      </c>
      <c r="G2334" t="s">
        <v>41</v>
      </c>
      <c r="H2334" t="s">
        <v>2374</v>
      </c>
      <c r="I2334" t="s">
        <v>2375</v>
      </c>
      <c r="J2334" t="s">
        <v>2686</v>
      </c>
      <c r="K2334">
        <v>20220608</v>
      </c>
      <c r="L2334" t="s">
        <v>2687</v>
      </c>
      <c r="M2334">
        <v>10.49</v>
      </c>
      <c r="N2334">
        <v>0</v>
      </c>
      <c r="O2334" t="s">
        <v>23</v>
      </c>
      <c r="P2334">
        <v>20220905</v>
      </c>
      <c r="Q2334">
        <v>20220608</v>
      </c>
    </row>
    <row r="2335" spans="1:17" x14ac:dyDescent="0.25">
      <c r="A2335" t="s">
        <v>715</v>
      </c>
      <c r="B2335" t="s">
        <v>432</v>
      </c>
      <c r="C2335">
        <v>82</v>
      </c>
      <c r="D2335">
        <v>20220608</v>
      </c>
      <c r="E2335">
        <f t="shared" si="36"/>
        <v>6</v>
      </c>
      <c r="F2335">
        <v>512200</v>
      </c>
      <c r="G2335" t="s">
        <v>432</v>
      </c>
      <c r="H2335" t="s">
        <v>401</v>
      </c>
      <c r="I2335" t="s">
        <v>402</v>
      </c>
      <c r="J2335" t="s">
        <v>2686</v>
      </c>
      <c r="K2335">
        <v>20220608</v>
      </c>
      <c r="L2335" t="s">
        <v>2687</v>
      </c>
      <c r="M2335">
        <v>0</v>
      </c>
      <c r="N2335">
        <v>10.49</v>
      </c>
      <c r="O2335" t="s">
        <v>19</v>
      </c>
      <c r="P2335" t="s">
        <v>20</v>
      </c>
      <c r="Q2335">
        <v>20220608</v>
      </c>
    </row>
    <row r="2336" spans="1:17" x14ac:dyDescent="0.25">
      <c r="A2336" t="s">
        <v>715</v>
      </c>
      <c r="B2336" t="s">
        <v>432</v>
      </c>
      <c r="C2336">
        <v>82</v>
      </c>
      <c r="D2336">
        <v>20220608</v>
      </c>
      <c r="E2336">
        <f t="shared" si="36"/>
        <v>6</v>
      </c>
      <c r="F2336">
        <v>401000</v>
      </c>
      <c r="G2336" t="s">
        <v>41</v>
      </c>
      <c r="H2336" t="s">
        <v>2374</v>
      </c>
      <c r="I2336" t="s">
        <v>2375</v>
      </c>
      <c r="J2336" t="s">
        <v>2688</v>
      </c>
      <c r="K2336">
        <v>20220608</v>
      </c>
      <c r="L2336" t="s">
        <v>2687</v>
      </c>
      <c r="M2336">
        <v>53.71</v>
      </c>
      <c r="N2336">
        <v>0</v>
      </c>
      <c r="O2336" t="s">
        <v>23</v>
      </c>
      <c r="P2336">
        <v>20220905</v>
      </c>
      <c r="Q2336">
        <v>20220608</v>
      </c>
    </row>
    <row r="2337" spans="1:17" x14ac:dyDescent="0.25">
      <c r="A2337" t="s">
        <v>715</v>
      </c>
      <c r="B2337" t="s">
        <v>432</v>
      </c>
      <c r="C2337">
        <v>82</v>
      </c>
      <c r="D2337">
        <v>20220608</v>
      </c>
      <c r="E2337">
        <f t="shared" si="36"/>
        <v>6</v>
      </c>
      <c r="F2337">
        <v>512200</v>
      </c>
      <c r="G2337" t="s">
        <v>432</v>
      </c>
      <c r="H2337" t="s">
        <v>401</v>
      </c>
      <c r="I2337" t="s">
        <v>402</v>
      </c>
      <c r="J2337" t="s">
        <v>2688</v>
      </c>
      <c r="K2337">
        <v>20220608</v>
      </c>
      <c r="L2337" t="s">
        <v>2687</v>
      </c>
      <c r="M2337">
        <v>0</v>
      </c>
      <c r="N2337">
        <v>53.71</v>
      </c>
      <c r="O2337" t="s">
        <v>19</v>
      </c>
      <c r="P2337" t="s">
        <v>20</v>
      </c>
      <c r="Q2337">
        <v>20220608</v>
      </c>
    </row>
    <row r="2338" spans="1:17" x14ac:dyDescent="0.25">
      <c r="A2338" t="s">
        <v>715</v>
      </c>
      <c r="B2338" t="s">
        <v>432</v>
      </c>
      <c r="C2338">
        <v>82</v>
      </c>
      <c r="D2338">
        <v>20220608</v>
      </c>
      <c r="E2338">
        <f t="shared" si="36"/>
        <v>6</v>
      </c>
      <c r="F2338">
        <v>411010</v>
      </c>
      <c r="G2338" t="s">
        <v>87</v>
      </c>
      <c r="H2338" t="s">
        <v>367</v>
      </c>
      <c r="I2338" t="s">
        <v>368</v>
      </c>
      <c r="J2338" t="s">
        <v>2689</v>
      </c>
      <c r="K2338">
        <v>20220608</v>
      </c>
      <c r="L2338" t="s">
        <v>2690</v>
      </c>
      <c r="M2338">
        <v>0</v>
      </c>
      <c r="N2338">
        <v>72.27</v>
      </c>
      <c r="O2338" t="s">
        <v>23</v>
      </c>
      <c r="P2338">
        <v>20221005</v>
      </c>
      <c r="Q2338">
        <v>20220608</v>
      </c>
    </row>
    <row r="2339" spans="1:17" x14ac:dyDescent="0.25">
      <c r="A2339" t="s">
        <v>715</v>
      </c>
      <c r="B2339" t="s">
        <v>432</v>
      </c>
      <c r="C2339">
        <v>82</v>
      </c>
      <c r="D2339">
        <v>20220608</v>
      </c>
      <c r="E2339">
        <f t="shared" si="36"/>
        <v>6</v>
      </c>
      <c r="F2339">
        <v>512200</v>
      </c>
      <c r="G2339" t="s">
        <v>432</v>
      </c>
      <c r="H2339" t="s">
        <v>401</v>
      </c>
      <c r="I2339" t="s">
        <v>402</v>
      </c>
      <c r="J2339" t="s">
        <v>2689</v>
      </c>
      <c r="K2339">
        <v>20220608</v>
      </c>
      <c r="L2339" t="s">
        <v>2690</v>
      </c>
      <c r="M2339">
        <v>72.27</v>
      </c>
      <c r="N2339">
        <v>0</v>
      </c>
      <c r="O2339" t="s">
        <v>19</v>
      </c>
      <c r="P2339" t="s">
        <v>20</v>
      </c>
      <c r="Q2339">
        <v>20220608</v>
      </c>
    </row>
    <row r="2340" spans="1:17" x14ac:dyDescent="0.25">
      <c r="A2340" t="s">
        <v>715</v>
      </c>
      <c r="B2340" t="s">
        <v>432</v>
      </c>
      <c r="C2340">
        <v>82</v>
      </c>
      <c r="D2340">
        <v>20220609</v>
      </c>
      <c r="E2340">
        <f t="shared" si="36"/>
        <v>6</v>
      </c>
      <c r="F2340">
        <v>401000</v>
      </c>
      <c r="G2340" t="s">
        <v>41</v>
      </c>
      <c r="H2340" t="s">
        <v>840</v>
      </c>
      <c r="I2340" t="s">
        <v>841</v>
      </c>
      <c r="J2340" t="s">
        <v>2691</v>
      </c>
      <c r="K2340">
        <v>20220609</v>
      </c>
      <c r="L2340" t="s">
        <v>2354</v>
      </c>
      <c r="M2340">
        <v>166.43</v>
      </c>
      <c r="N2340">
        <v>0</v>
      </c>
      <c r="O2340" t="s">
        <v>23</v>
      </c>
      <c r="P2340">
        <v>20221109</v>
      </c>
      <c r="Q2340">
        <v>20220609</v>
      </c>
    </row>
    <row r="2341" spans="1:17" x14ac:dyDescent="0.25">
      <c r="A2341" t="s">
        <v>715</v>
      </c>
      <c r="B2341" t="s">
        <v>432</v>
      </c>
      <c r="C2341">
        <v>82</v>
      </c>
      <c r="D2341">
        <v>20220609</v>
      </c>
      <c r="E2341">
        <f t="shared" si="36"/>
        <v>6</v>
      </c>
      <c r="F2341">
        <v>512200</v>
      </c>
      <c r="G2341" t="s">
        <v>432</v>
      </c>
      <c r="H2341" t="s">
        <v>401</v>
      </c>
      <c r="I2341" t="s">
        <v>402</v>
      </c>
      <c r="J2341" t="s">
        <v>2691</v>
      </c>
      <c r="K2341">
        <v>20220609</v>
      </c>
      <c r="L2341" t="s">
        <v>2354</v>
      </c>
      <c r="M2341">
        <v>0</v>
      </c>
      <c r="N2341">
        <v>166.43</v>
      </c>
      <c r="O2341" t="s">
        <v>19</v>
      </c>
      <c r="P2341" t="s">
        <v>20</v>
      </c>
      <c r="Q2341">
        <v>20220609</v>
      </c>
    </row>
    <row r="2342" spans="1:17" x14ac:dyDescent="0.25">
      <c r="A2342" t="s">
        <v>715</v>
      </c>
      <c r="B2342" t="s">
        <v>432</v>
      </c>
      <c r="C2342">
        <v>82</v>
      </c>
      <c r="D2342">
        <v>20220609</v>
      </c>
      <c r="E2342">
        <f t="shared" si="36"/>
        <v>6</v>
      </c>
      <c r="F2342">
        <v>401000</v>
      </c>
      <c r="G2342" t="s">
        <v>41</v>
      </c>
      <c r="H2342" t="s">
        <v>840</v>
      </c>
      <c r="I2342" t="s">
        <v>841</v>
      </c>
      <c r="J2342" t="s">
        <v>2692</v>
      </c>
      <c r="K2342">
        <v>20220609</v>
      </c>
      <c r="L2342" t="s">
        <v>2354</v>
      </c>
      <c r="M2342">
        <v>109.28</v>
      </c>
      <c r="N2342">
        <v>0</v>
      </c>
      <c r="O2342" t="s">
        <v>23</v>
      </c>
      <c r="P2342">
        <v>20220905</v>
      </c>
      <c r="Q2342">
        <v>20220609</v>
      </c>
    </row>
    <row r="2343" spans="1:17" x14ac:dyDescent="0.25">
      <c r="A2343" t="s">
        <v>715</v>
      </c>
      <c r="B2343" t="s">
        <v>432</v>
      </c>
      <c r="C2343">
        <v>82</v>
      </c>
      <c r="D2343">
        <v>20220609</v>
      </c>
      <c r="E2343">
        <f t="shared" si="36"/>
        <v>6</v>
      </c>
      <c r="F2343">
        <v>512200</v>
      </c>
      <c r="G2343" t="s">
        <v>432</v>
      </c>
      <c r="H2343" t="s">
        <v>401</v>
      </c>
      <c r="I2343" t="s">
        <v>402</v>
      </c>
      <c r="J2343" t="s">
        <v>2692</v>
      </c>
      <c r="K2343">
        <v>20220609</v>
      </c>
      <c r="L2343" t="s">
        <v>2354</v>
      </c>
      <c r="M2343">
        <v>0</v>
      </c>
      <c r="N2343">
        <v>109.28</v>
      </c>
      <c r="O2343" t="s">
        <v>19</v>
      </c>
      <c r="P2343" t="s">
        <v>20</v>
      </c>
      <c r="Q2343">
        <v>20220609</v>
      </c>
    </row>
    <row r="2344" spans="1:17" x14ac:dyDescent="0.25">
      <c r="A2344" t="s">
        <v>715</v>
      </c>
      <c r="B2344" t="s">
        <v>432</v>
      </c>
      <c r="C2344">
        <v>82</v>
      </c>
      <c r="D2344">
        <v>20220609</v>
      </c>
      <c r="E2344">
        <f t="shared" si="36"/>
        <v>6</v>
      </c>
      <c r="F2344">
        <v>401000</v>
      </c>
      <c r="G2344" t="s">
        <v>41</v>
      </c>
      <c r="H2344" t="s">
        <v>168</v>
      </c>
      <c r="I2344" t="s">
        <v>169</v>
      </c>
      <c r="J2344" t="s">
        <v>2693</v>
      </c>
      <c r="K2344">
        <v>20220609</v>
      </c>
      <c r="L2344" t="s">
        <v>2694</v>
      </c>
      <c r="M2344">
        <v>24</v>
      </c>
      <c r="N2344">
        <v>0</v>
      </c>
      <c r="O2344" t="s">
        <v>23</v>
      </c>
      <c r="P2344">
        <v>20230222</v>
      </c>
      <c r="Q2344">
        <v>20220609</v>
      </c>
    </row>
    <row r="2345" spans="1:17" x14ac:dyDescent="0.25">
      <c r="A2345" t="s">
        <v>715</v>
      </c>
      <c r="B2345" t="s">
        <v>432</v>
      </c>
      <c r="C2345">
        <v>82</v>
      </c>
      <c r="D2345">
        <v>20220609</v>
      </c>
      <c r="E2345">
        <f t="shared" si="36"/>
        <v>6</v>
      </c>
      <c r="F2345">
        <v>512200</v>
      </c>
      <c r="G2345" t="s">
        <v>432</v>
      </c>
      <c r="H2345" t="s">
        <v>401</v>
      </c>
      <c r="I2345" t="s">
        <v>402</v>
      </c>
      <c r="J2345" t="s">
        <v>2693</v>
      </c>
      <c r="K2345">
        <v>20220609</v>
      </c>
      <c r="L2345" t="s">
        <v>2694</v>
      </c>
      <c r="M2345">
        <v>0</v>
      </c>
      <c r="N2345">
        <v>24</v>
      </c>
      <c r="O2345" t="s">
        <v>19</v>
      </c>
      <c r="P2345" t="s">
        <v>20</v>
      </c>
      <c r="Q2345">
        <v>20220609</v>
      </c>
    </row>
    <row r="2346" spans="1:17" x14ac:dyDescent="0.25">
      <c r="A2346" t="s">
        <v>715</v>
      </c>
      <c r="B2346" t="s">
        <v>432</v>
      </c>
      <c r="C2346">
        <v>82</v>
      </c>
      <c r="D2346">
        <v>20220609</v>
      </c>
      <c r="E2346">
        <f t="shared" si="36"/>
        <v>6</v>
      </c>
      <c r="F2346">
        <v>401000</v>
      </c>
      <c r="G2346" t="s">
        <v>41</v>
      </c>
      <c r="H2346" t="s">
        <v>2380</v>
      </c>
      <c r="I2346" t="s">
        <v>2381</v>
      </c>
      <c r="J2346" t="s">
        <v>2695</v>
      </c>
      <c r="K2346">
        <v>20220609</v>
      </c>
      <c r="L2346" t="s">
        <v>2696</v>
      </c>
      <c r="M2346">
        <v>308.39999999999998</v>
      </c>
      <c r="N2346">
        <v>0</v>
      </c>
      <c r="O2346" t="s">
        <v>23</v>
      </c>
      <c r="P2346">
        <v>20220905</v>
      </c>
      <c r="Q2346">
        <v>20220609</v>
      </c>
    </row>
    <row r="2347" spans="1:17" x14ac:dyDescent="0.25">
      <c r="A2347" t="s">
        <v>715</v>
      </c>
      <c r="B2347" t="s">
        <v>432</v>
      </c>
      <c r="C2347">
        <v>82</v>
      </c>
      <c r="D2347">
        <v>20220609</v>
      </c>
      <c r="E2347">
        <f t="shared" si="36"/>
        <v>6</v>
      </c>
      <c r="F2347">
        <v>512200</v>
      </c>
      <c r="G2347" t="s">
        <v>432</v>
      </c>
      <c r="H2347" t="s">
        <v>401</v>
      </c>
      <c r="I2347" t="s">
        <v>402</v>
      </c>
      <c r="J2347" t="s">
        <v>2695</v>
      </c>
      <c r="K2347">
        <v>20220609</v>
      </c>
      <c r="L2347" t="s">
        <v>2696</v>
      </c>
      <c r="M2347">
        <v>0</v>
      </c>
      <c r="N2347">
        <v>308.39999999999998</v>
      </c>
      <c r="O2347" t="s">
        <v>19</v>
      </c>
      <c r="P2347" t="s">
        <v>20</v>
      </c>
      <c r="Q2347">
        <v>20220609</v>
      </c>
    </row>
    <row r="2348" spans="1:17" x14ac:dyDescent="0.25">
      <c r="A2348" t="s">
        <v>715</v>
      </c>
      <c r="B2348" t="s">
        <v>432</v>
      </c>
      <c r="C2348">
        <v>82</v>
      </c>
      <c r="D2348">
        <v>20220609</v>
      </c>
      <c r="E2348">
        <f t="shared" si="36"/>
        <v>6</v>
      </c>
      <c r="F2348">
        <v>401000</v>
      </c>
      <c r="G2348" t="s">
        <v>41</v>
      </c>
      <c r="H2348" t="s">
        <v>2380</v>
      </c>
      <c r="I2348" t="s">
        <v>2381</v>
      </c>
      <c r="J2348" t="s">
        <v>2697</v>
      </c>
      <c r="K2348">
        <v>20220609</v>
      </c>
      <c r="L2348" t="s">
        <v>2696</v>
      </c>
      <c r="M2348">
        <v>312</v>
      </c>
      <c r="N2348">
        <v>0</v>
      </c>
      <c r="O2348" t="s">
        <v>23</v>
      </c>
      <c r="P2348">
        <v>20220905</v>
      </c>
      <c r="Q2348">
        <v>20220609</v>
      </c>
    </row>
    <row r="2349" spans="1:17" x14ac:dyDescent="0.25">
      <c r="A2349" t="s">
        <v>715</v>
      </c>
      <c r="B2349" t="s">
        <v>432</v>
      </c>
      <c r="C2349">
        <v>82</v>
      </c>
      <c r="D2349">
        <v>20220609</v>
      </c>
      <c r="E2349">
        <f t="shared" si="36"/>
        <v>6</v>
      </c>
      <c r="F2349">
        <v>512200</v>
      </c>
      <c r="G2349" t="s">
        <v>432</v>
      </c>
      <c r="H2349" t="s">
        <v>401</v>
      </c>
      <c r="I2349" t="s">
        <v>402</v>
      </c>
      <c r="J2349" t="s">
        <v>2697</v>
      </c>
      <c r="K2349">
        <v>20220609</v>
      </c>
      <c r="L2349" t="s">
        <v>2696</v>
      </c>
      <c r="M2349">
        <v>0</v>
      </c>
      <c r="N2349">
        <v>312</v>
      </c>
      <c r="O2349" t="s">
        <v>19</v>
      </c>
      <c r="P2349" t="s">
        <v>20</v>
      </c>
      <c r="Q2349">
        <v>20220609</v>
      </c>
    </row>
    <row r="2350" spans="1:17" x14ac:dyDescent="0.25">
      <c r="A2350" t="s">
        <v>715</v>
      </c>
      <c r="B2350" t="s">
        <v>432</v>
      </c>
      <c r="C2350">
        <v>82</v>
      </c>
      <c r="D2350">
        <v>20220609</v>
      </c>
      <c r="E2350">
        <f t="shared" si="36"/>
        <v>6</v>
      </c>
      <c r="F2350">
        <v>401000</v>
      </c>
      <c r="G2350" t="s">
        <v>41</v>
      </c>
      <c r="H2350" t="s">
        <v>2380</v>
      </c>
      <c r="I2350" t="s">
        <v>2381</v>
      </c>
      <c r="J2350" t="s">
        <v>2698</v>
      </c>
      <c r="K2350">
        <v>20220609</v>
      </c>
      <c r="L2350" t="s">
        <v>2696</v>
      </c>
      <c r="M2350">
        <v>309</v>
      </c>
      <c r="N2350">
        <v>0</v>
      </c>
      <c r="O2350" t="s">
        <v>23</v>
      </c>
      <c r="P2350">
        <v>20220905</v>
      </c>
      <c r="Q2350">
        <v>20220609</v>
      </c>
    </row>
    <row r="2351" spans="1:17" x14ac:dyDescent="0.25">
      <c r="A2351" t="s">
        <v>715</v>
      </c>
      <c r="B2351" t="s">
        <v>432</v>
      </c>
      <c r="C2351">
        <v>82</v>
      </c>
      <c r="D2351">
        <v>20220609</v>
      </c>
      <c r="E2351">
        <f t="shared" si="36"/>
        <v>6</v>
      </c>
      <c r="F2351">
        <v>512200</v>
      </c>
      <c r="G2351" t="s">
        <v>432</v>
      </c>
      <c r="H2351" t="s">
        <v>401</v>
      </c>
      <c r="I2351" t="s">
        <v>402</v>
      </c>
      <c r="J2351" t="s">
        <v>2698</v>
      </c>
      <c r="K2351">
        <v>20220609</v>
      </c>
      <c r="L2351" t="s">
        <v>2696</v>
      </c>
      <c r="M2351">
        <v>0</v>
      </c>
      <c r="N2351">
        <v>309</v>
      </c>
      <c r="O2351" t="s">
        <v>19</v>
      </c>
      <c r="P2351" t="s">
        <v>20</v>
      </c>
      <c r="Q2351">
        <v>20220609</v>
      </c>
    </row>
    <row r="2352" spans="1:17" x14ac:dyDescent="0.25">
      <c r="A2352" t="s">
        <v>715</v>
      </c>
      <c r="B2352" t="s">
        <v>432</v>
      </c>
      <c r="C2352">
        <v>82</v>
      </c>
      <c r="D2352">
        <v>20220610</v>
      </c>
      <c r="E2352">
        <f t="shared" si="36"/>
        <v>6</v>
      </c>
      <c r="F2352">
        <v>627000</v>
      </c>
      <c r="G2352" t="s">
        <v>480</v>
      </c>
      <c r="H2352" t="s">
        <v>401</v>
      </c>
      <c r="I2352" t="s">
        <v>402</v>
      </c>
      <c r="J2352" t="s">
        <v>2699</v>
      </c>
      <c r="K2352">
        <v>20220610</v>
      </c>
      <c r="L2352" t="s">
        <v>482</v>
      </c>
      <c r="M2352">
        <v>15.78</v>
      </c>
      <c r="N2352">
        <v>0</v>
      </c>
      <c r="O2352" t="s">
        <v>19</v>
      </c>
      <c r="P2352" t="s">
        <v>20</v>
      </c>
      <c r="Q2352">
        <v>20220610</v>
      </c>
    </row>
    <row r="2353" spans="1:17" x14ac:dyDescent="0.25">
      <c r="A2353" t="s">
        <v>715</v>
      </c>
      <c r="B2353" t="s">
        <v>432</v>
      </c>
      <c r="C2353">
        <v>82</v>
      </c>
      <c r="D2353">
        <v>20220610</v>
      </c>
      <c r="E2353">
        <f t="shared" si="36"/>
        <v>6</v>
      </c>
      <c r="F2353">
        <v>512200</v>
      </c>
      <c r="G2353" t="s">
        <v>432</v>
      </c>
      <c r="H2353" t="s">
        <v>401</v>
      </c>
      <c r="I2353" t="s">
        <v>402</v>
      </c>
      <c r="J2353" t="s">
        <v>2699</v>
      </c>
      <c r="K2353">
        <v>20220610</v>
      </c>
      <c r="L2353" t="s">
        <v>482</v>
      </c>
      <c r="M2353">
        <v>0</v>
      </c>
      <c r="N2353">
        <v>15.78</v>
      </c>
      <c r="O2353" t="s">
        <v>19</v>
      </c>
      <c r="P2353" t="s">
        <v>20</v>
      </c>
      <c r="Q2353">
        <v>20220610</v>
      </c>
    </row>
    <row r="2354" spans="1:17" x14ac:dyDescent="0.25">
      <c r="A2354" t="s">
        <v>715</v>
      </c>
      <c r="B2354" t="s">
        <v>432</v>
      </c>
      <c r="C2354">
        <v>82</v>
      </c>
      <c r="D2354">
        <v>20220613</v>
      </c>
      <c r="E2354">
        <f t="shared" si="36"/>
        <v>6</v>
      </c>
      <c r="F2354">
        <v>512200</v>
      </c>
      <c r="G2354" t="s">
        <v>432</v>
      </c>
      <c r="H2354" t="s">
        <v>401</v>
      </c>
      <c r="I2354" t="s">
        <v>402</v>
      </c>
      <c r="J2354" t="s">
        <v>2700</v>
      </c>
      <c r="K2354">
        <v>20220613</v>
      </c>
      <c r="L2354" t="s">
        <v>2701</v>
      </c>
      <c r="M2354">
        <v>4396.03</v>
      </c>
      <c r="N2354">
        <v>0</v>
      </c>
      <c r="O2354" t="s">
        <v>19</v>
      </c>
      <c r="P2354" t="s">
        <v>20</v>
      </c>
      <c r="Q2354">
        <v>20220613</v>
      </c>
    </row>
    <row r="2355" spans="1:17" x14ac:dyDescent="0.25">
      <c r="A2355" t="s">
        <v>715</v>
      </c>
      <c r="B2355" t="s">
        <v>432</v>
      </c>
      <c r="C2355">
        <v>82</v>
      </c>
      <c r="D2355">
        <v>20220613</v>
      </c>
      <c r="E2355">
        <f t="shared" si="36"/>
        <v>6</v>
      </c>
      <c r="F2355">
        <v>511000</v>
      </c>
      <c r="G2355" t="s">
        <v>431</v>
      </c>
      <c r="H2355" t="s">
        <v>401</v>
      </c>
      <c r="I2355" t="s">
        <v>402</v>
      </c>
      <c r="J2355" t="s">
        <v>2700</v>
      </c>
      <c r="K2355">
        <v>20220613</v>
      </c>
      <c r="L2355" t="s">
        <v>2701</v>
      </c>
      <c r="M2355">
        <v>0</v>
      </c>
      <c r="N2355">
        <v>4396.03</v>
      </c>
      <c r="O2355" t="s">
        <v>23</v>
      </c>
      <c r="P2355">
        <v>20221017</v>
      </c>
      <c r="Q2355">
        <v>20220613</v>
      </c>
    </row>
    <row r="2356" spans="1:17" x14ac:dyDescent="0.25">
      <c r="A2356" t="s">
        <v>715</v>
      </c>
      <c r="B2356" t="s">
        <v>432</v>
      </c>
      <c r="C2356">
        <v>82</v>
      </c>
      <c r="D2356">
        <v>20220614</v>
      </c>
      <c r="E2356">
        <f t="shared" si="36"/>
        <v>6</v>
      </c>
      <c r="F2356">
        <v>411000</v>
      </c>
      <c r="G2356" t="s">
        <v>21</v>
      </c>
      <c r="H2356" t="s">
        <v>742</v>
      </c>
      <c r="I2356" t="s">
        <v>743</v>
      </c>
      <c r="J2356" t="s">
        <v>2702</v>
      </c>
      <c r="K2356">
        <v>20220614</v>
      </c>
      <c r="L2356" t="s">
        <v>2703</v>
      </c>
      <c r="M2356">
        <v>0</v>
      </c>
      <c r="N2356">
        <v>80</v>
      </c>
      <c r="O2356" t="s">
        <v>22</v>
      </c>
      <c r="P2356">
        <v>20230218</v>
      </c>
      <c r="Q2356">
        <v>20220614</v>
      </c>
    </row>
    <row r="2357" spans="1:17" x14ac:dyDescent="0.25">
      <c r="A2357" t="s">
        <v>715</v>
      </c>
      <c r="B2357" t="s">
        <v>432</v>
      </c>
      <c r="C2357">
        <v>82</v>
      </c>
      <c r="D2357">
        <v>20220614</v>
      </c>
      <c r="E2357">
        <f t="shared" si="36"/>
        <v>6</v>
      </c>
      <c r="F2357">
        <v>512200</v>
      </c>
      <c r="G2357" t="s">
        <v>432</v>
      </c>
      <c r="H2357" t="s">
        <v>401</v>
      </c>
      <c r="I2357" t="s">
        <v>402</v>
      </c>
      <c r="J2357" t="s">
        <v>2702</v>
      </c>
      <c r="K2357">
        <v>20220614</v>
      </c>
      <c r="L2357" t="s">
        <v>2703</v>
      </c>
      <c r="M2357">
        <v>80</v>
      </c>
      <c r="N2357">
        <v>0</v>
      </c>
      <c r="O2357" t="s">
        <v>19</v>
      </c>
      <c r="P2357" t="s">
        <v>20</v>
      </c>
      <c r="Q2357">
        <v>20220614</v>
      </c>
    </row>
    <row r="2358" spans="1:17" x14ac:dyDescent="0.25">
      <c r="A2358" t="s">
        <v>715</v>
      </c>
      <c r="B2358" t="s">
        <v>432</v>
      </c>
      <c r="C2358">
        <v>82</v>
      </c>
      <c r="D2358">
        <v>20220615</v>
      </c>
      <c r="E2358">
        <f t="shared" si="36"/>
        <v>6</v>
      </c>
      <c r="F2358">
        <v>401000</v>
      </c>
      <c r="G2358" t="s">
        <v>41</v>
      </c>
      <c r="H2358" t="s">
        <v>448</v>
      </c>
      <c r="I2358" t="s">
        <v>449</v>
      </c>
      <c r="J2358" t="s">
        <v>2704</v>
      </c>
      <c r="K2358">
        <v>20220615</v>
      </c>
      <c r="L2358" t="s">
        <v>1283</v>
      </c>
      <c r="M2358">
        <v>24</v>
      </c>
      <c r="N2358">
        <v>0</v>
      </c>
      <c r="O2358" t="s">
        <v>23</v>
      </c>
      <c r="P2358">
        <v>20220905</v>
      </c>
      <c r="Q2358">
        <v>20220615</v>
      </c>
    </row>
    <row r="2359" spans="1:17" x14ac:dyDescent="0.25">
      <c r="A2359" t="s">
        <v>715</v>
      </c>
      <c r="B2359" t="s">
        <v>432</v>
      </c>
      <c r="C2359">
        <v>82</v>
      </c>
      <c r="D2359">
        <v>20220615</v>
      </c>
      <c r="E2359">
        <f t="shared" si="36"/>
        <v>6</v>
      </c>
      <c r="F2359">
        <v>512200</v>
      </c>
      <c r="G2359" t="s">
        <v>432</v>
      </c>
      <c r="H2359" t="s">
        <v>401</v>
      </c>
      <c r="I2359" t="s">
        <v>402</v>
      </c>
      <c r="J2359" t="s">
        <v>2704</v>
      </c>
      <c r="K2359">
        <v>20220615</v>
      </c>
      <c r="L2359" t="s">
        <v>1283</v>
      </c>
      <c r="M2359">
        <v>0</v>
      </c>
      <c r="N2359">
        <v>24</v>
      </c>
      <c r="O2359" t="s">
        <v>19</v>
      </c>
      <c r="P2359" t="s">
        <v>20</v>
      </c>
      <c r="Q2359">
        <v>20220615</v>
      </c>
    </row>
    <row r="2360" spans="1:17" x14ac:dyDescent="0.25">
      <c r="A2360" t="s">
        <v>715</v>
      </c>
      <c r="B2360" t="s">
        <v>432</v>
      </c>
      <c r="C2360">
        <v>82</v>
      </c>
      <c r="D2360">
        <v>20220615</v>
      </c>
      <c r="E2360">
        <f t="shared" si="36"/>
        <v>6</v>
      </c>
      <c r="F2360">
        <v>401000</v>
      </c>
      <c r="G2360" t="s">
        <v>41</v>
      </c>
      <c r="H2360" t="s">
        <v>189</v>
      </c>
      <c r="I2360" t="s">
        <v>190</v>
      </c>
      <c r="J2360" t="s">
        <v>2705</v>
      </c>
      <c r="K2360">
        <v>20220615</v>
      </c>
      <c r="L2360" t="s">
        <v>191</v>
      </c>
      <c r="M2360">
        <v>1479.27</v>
      </c>
      <c r="N2360">
        <v>0</v>
      </c>
      <c r="O2360" t="s">
        <v>23</v>
      </c>
      <c r="P2360">
        <v>20220905</v>
      </c>
      <c r="Q2360">
        <v>20220615</v>
      </c>
    </row>
    <row r="2361" spans="1:17" x14ac:dyDescent="0.25">
      <c r="A2361" t="s">
        <v>715</v>
      </c>
      <c r="B2361" t="s">
        <v>432</v>
      </c>
      <c r="C2361">
        <v>82</v>
      </c>
      <c r="D2361">
        <v>20220615</v>
      </c>
      <c r="E2361">
        <f t="shared" si="36"/>
        <v>6</v>
      </c>
      <c r="F2361">
        <v>512200</v>
      </c>
      <c r="G2361" t="s">
        <v>432</v>
      </c>
      <c r="H2361" t="s">
        <v>401</v>
      </c>
      <c r="I2361" t="s">
        <v>402</v>
      </c>
      <c r="J2361" t="s">
        <v>2705</v>
      </c>
      <c r="K2361">
        <v>20220615</v>
      </c>
      <c r="L2361" t="s">
        <v>191</v>
      </c>
      <c r="M2361">
        <v>0</v>
      </c>
      <c r="N2361">
        <v>1479.27</v>
      </c>
      <c r="O2361" t="s">
        <v>19</v>
      </c>
      <c r="P2361" t="s">
        <v>20</v>
      </c>
      <c r="Q2361">
        <v>20220615</v>
      </c>
    </row>
    <row r="2362" spans="1:17" x14ac:dyDescent="0.25">
      <c r="A2362" t="s">
        <v>715</v>
      </c>
      <c r="B2362" t="s">
        <v>432</v>
      </c>
      <c r="C2362">
        <v>82</v>
      </c>
      <c r="D2362">
        <v>20220620</v>
      </c>
      <c r="E2362">
        <f t="shared" si="36"/>
        <v>6</v>
      </c>
      <c r="F2362">
        <v>401000</v>
      </c>
      <c r="G2362" t="s">
        <v>41</v>
      </c>
      <c r="H2362" t="s">
        <v>52</v>
      </c>
      <c r="I2362" t="s">
        <v>53</v>
      </c>
      <c r="J2362" t="s">
        <v>2706</v>
      </c>
      <c r="K2362">
        <v>20220620</v>
      </c>
      <c r="L2362" t="s">
        <v>2707</v>
      </c>
      <c r="M2362">
        <v>66</v>
      </c>
      <c r="N2362">
        <v>0</v>
      </c>
      <c r="O2362" t="s">
        <v>23</v>
      </c>
      <c r="P2362">
        <v>20220919</v>
      </c>
      <c r="Q2362">
        <v>20220620</v>
      </c>
    </row>
    <row r="2363" spans="1:17" x14ac:dyDescent="0.25">
      <c r="A2363" t="s">
        <v>715</v>
      </c>
      <c r="B2363" t="s">
        <v>432</v>
      </c>
      <c r="C2363">
        <v>82</v>
      </c>
      <c r="D2363">
        <v>20220620</v>
      </c>
      <c r="E2363">
        <f t="shared" si="36"/>
        <v>6</v>
      </c>
      <c r="F2363">
        <v>512200</v>
      </c>
      <c r="G2363" t="s">
        <v>432</v>
      </c>
      <c r="H2363" t="s">
        <v>401</v>
      </c>
      <c r="I2363" t="s">
        <v>402</v>
      </c>
      <c r="J2363" t="s">
        <v>2706</v>
      </c>
      <c r="K2363">
        <v>20220620</v>
      </c>
      <c r="L2363" t="s">
        <v>2707</v>
      </c>
      <c r="M2363">
        <v>0</v>
      </c>
      <c r="N2363">
        <v>66</v>
      </c>
      <c r="O2363" t="s">
        <v>19</v>
      </c>
      <c r="P2363" t="s">
        <v>20</v>
      </c>
      <c r="Q2363">
        <v>20220620</v>
      </c>
    </row>
    <row r="2364" spans="1:17" x14ac:dyDescent="0.25">
      <c r="A2364" t="s">
        <v>715</v>
      </c>
      <c r="B2364" t="s">
        <v>432</v>
      </c>
      <c r="C2364">
        <v>82</v>
      </c>
      <c r="D2364">
        <v>20220620</v>
      </c>
      <c r="E2364">
        <f t="shared" si="36"/>
        <v>6</v>
      </c>
      <c r="F2364">
        <v>401000</v>
      </c>
      <c r="G2364" t="s">
        <v>41</v>
      </c>
      <c r="H2364" t="s">
        <v>2384</v>
      </c>
      <c r="I2364" t="s">
        <v>2385</v>
      </c>
      <c r="J2364" t="s">
        <v>2708</v>
      </c>
      <c r="K2364">
        <v>20220620</v>
      </c>
      <c r="L2364" t="s">
        <v>2709</v>
      </c>
      <c r="M2364">
        <v>139.32</v>
      </c>
      <c r="N2364">
        <v>0</v>
      </c>
      <c r="O2364" t="s">
        <v>23</v>
      </c>
      <c r="P2364">
        <v>20220929</v>
      </c>
      <c r="Q2364">
        <v>20220620</v>
      </c>
    </row>
    <row r="2365" spans="1:17" x14ac:dyDescent="0.25">
      <c r="A2365" t="s">
        <v>715</v>
      </c>
      <c r="B2365" t="s">
        <v>432</v>
      </c>
      <c r="C2365">
        <v>82</v>
      </c>
      <c r="D2365">
        <v>20220620</v>
      </c>
      <c r="E2365">
        <f t="shared" si="36"/>
        <v>6</v>
      </c>
      <c r="F2365">
        <v>512200</v>
      </c>
      <c r="G2365" t="s">
        <v>432</v>
      </c>
      <c r="H2365" t="s">
        <v>401</v>
      </c>
      <c r="I2365" t="s">
        <v>402</v>
      </c>
      <c r="J2365" t="s">
        <v>2708</v>
      </c>
      <c r="K2365">
        <v>20220620</v>
      </c>
      <c r="L2365" t="s">
        <v>2709</v>
      </c>
      <c r="M2365">
        <v>0</v>
      </c>
      <c r="N2365">
        <v>139.32</v>
      </c>
      <c r="O2365" t="s">
        <v>19</v>
      </c>
      <c r="P2365" t="s">
        <v>20</v>
      </c>
      <c r="Q2365">
        <v>20220620</v>
      </c>
    </row>
    <row r="2366" spans="1:17" x14ac:dyDescent="0.25">
      <c r="A2366" t="s">
        <v>715</v>
      </c>
      <c r="B2366" t="s">
        <v>432</v>
      </c>
      <c r="C2366">
        <v>82</v>
      </c>
      <c r="D2366">
        <v>20220622</v>
      </c>
      <c r="E2366">
        <f t="shared" si="36"/>
        <v>6</v>
      </c>
      <c r="F2366">
        <v>401000</v>
      </c>
      <c r="G2366" t="s">
        <v>41</v>
      </c>
      <c r="H2366" t="s">
        <v>2376</v>
      </c>
      <c r="I2366" t="s">
        <v>2377</v>
      </c>
      <c r="J2366" t="s">
        <v>2710</v>
      </c>
      <c r="K2366">
        <v>20220622</v>
      </c>
      <c r="L2366" t="s">
        <v>2711</v>
      </c>
      <c r="M2366">
        <v>382.14</v>
      </c>
      <c r="N2366">
        <v>0</v>
      </c>
      <c r="O2366" t="s">
        <v>23</v>
      </c>
      <c r="P2366">
        <v>20220905</v>
      </c>
      <c r="Q2366">
        <v>20220622</v>
      </c>
    </row>
    <row r="2367" spans="1:17" x14ac:dyDescent="0.25">
      <c r="A2367" t="s">
        <v>715</v>
      </c>
      <c r="B2367" t="s">
        <v>432</v>
      </c>
      <c r="C2367">
        <v>82</v>
      </c>
      <c r="D2367">
        <v>20220622</v>
      </c>
      <c r="E2367">
        <f t="shared" si="36"/>
        <v>6</v>
      </c>
      <c r="F2367">
        <v>512200</v>
      </c>
      <c r="G2367" t="s">
        <v>432</v>
      </c>
      <c r="H2367" t="s">
        <v>401</v>
      </c>
      <c r="I2367" t="s">
        <v>402</v>
      </c>
      <c r="J2367" t="s">
        <v>2710</v>
      </c>
      <c r="K2367">
        <v>20220622</v>
      </c>
      <c r="L2367" t="s">
        <v>2711</v>
      </c>
      <c r="M2367">
        <v>0</v>
      </c>
      <c r="N2367">
        <v>382.14</v>
      </c>
      <c r="O2367" t="s">
        <v>19</v>
      </c>
      <c r="P2367" t="s">
        <v>20</v>
      </c>
      <c r="Q2367">
        <v>20220622</v>
      </c>
    </row>
    <row r="2368" spans="1:17" x14ac:dyDescent="0.25">
      <c r="A2368" t="s">
        <v>715</v>
      </c>
      <c r="B2368" t="s">
        <v>432</v>
      </c>
      <c r="C2368">
        <v>82</v>
      </c>
      <c r="D2368">
        <v>20220623</v>
      </c>
      <c r="E2368">
        <f t="shared" si="36"/>
        <v>6</v>
      </c>
      <c r="F2368">
        <v>467100</v>
      </c>
      <c r="G2368" t="s">
        <v>160</v>
      </c>
      <c r="H2368" t="s">
        <v>316</v>
      </c>
      <c r="I2368" t="s">
        <v>317</v>
      </c>
      <c r="J2368" t="s">
        <v>2712</v>
      </c>
      <c r="K2368">
        <v>20220623</v>
      </c>
      <c r="L2368" t="s">
        <v>2713</v>
      </c>
      <c r="M2368">
        <v>195</v>
      </c>
      <c r="N2368">
        <v>0</v>
      </c>
      <c r="O2368" t="s">
        <v>23</v>
      </c>
      <c r="P2368">
        <v>20220902</v>
      </c>
      <c r="Q2368">
        <v>20220623</v>
      </c>
    </row>
    <row r="2369" spans="1:17" x14ac:dyDescent="0.25">
      <c r="A2369" t="s">
        <v>715</v>
      </c>
      <c r="B2369" t="s">
        <v>432</v>
      </c>
      <c r="C2369">
        <v>82</v>
      </c>
      <c r="D2369">
        <v>20220623</v>
      </c>
      <c r="E2369">
        <f t="shared" si="36"/>
        <v>6</v>
      </c>
      <c r="F2369">
        <v>512200</v>
      </c>
      <c r="G2369" t="s">
        <v>432</v>
      </c>
      <c r="H2369" t="s">
        <v>401</v>
      </c>
      <c r="I2369" t="s">
        <v>402</v>
      </c>
      <c r="J2369" t="s">
        <v>2712</v>
      </c>
      <c r="K2369">
        <v>20220623</v>
      </c>
      <c r="L2369" t="s">
        <v>2713</v>
      </c>
      <c r="M2369">
        <v>0</v>
      </c>
      <c r="N2369">
        <v>195</v>
      </c>
      <c r="O2369" t="s">
        <v>19</v>
      </c>
      <c r="P2369" t="s">
        <v>20</v>
      </c>
      <c r="Q2369">
        <v>20220623</v>
      </c>
    </row>
    <row r="2370" spans="1:17" x14ac:dyDescent="0.25">
      <c r="A2370" t="s">
        <v>715</v>
      </c>
      <c r="B2370" t="s">
        <v>432</v>
      </c>
      <c r="C2370">
        <v>82</v>
      </c>
      <c r="D2370">
        <v>20220624</v>
      </c>
      <c r="E2370">
        <f t="shared" si="36"/>
        <v>6</v>
      </c>
      <c r="F2370">
        <v>401000</v>
      </c>
      <c r="G2370" t="s">
        <v>41</v>
      </c>
      <c r="H2370" t="s">
        <v>2386</v>
      </c>
      <c r="I2370" t="s">
        <v>2387</v>
      </c>
      <c r="J2370" t="s">
        <v>2714</v>
      </c>
      <c r="K2370">
        <v>20220624</v>
      </c>
      <c r="L2370" t="s">
        <v>2715</v>
      </c>
      <c r="M2370">
        <v>30.31</v>
      </c>
      <c r="N2370">
        <v>0</v>
      </c>
      <c r="O2370" t="s">
        <v>23</v>
      </c>
      <c r="P2370">
        <v>20220905</v>
      </c>
      <c r="Q2370">
        <v>20220624</v>
      </c>
    </row>
    <row r="2371" spans="1:17" x14ac:dyDescent="0.25">
      <c r="A2371" t="s">
        <v>715</v>
      </c>
      <c r="B2371" t="s">
        <v>432</v>
      </c>
      <c r="C2371">
        <v>82</v>
      </c>
      <c r="D2371">
        <v>20220624</v>
      </c>
      <c r="E2371">
        <f t="shared" ref="E2371:E2434" si="37">VALUE(MID(D2371,5,2))</f>
        <v>6</v>
      </c>
      <c r="F2371">
        <v>512200</v>
      </c>
      <c r="G2371" t="s">
        <v>432</v>
      </c>
      <c r="H2371" t="s">
        <v>401</v>
      </c>
      <c r="I2371" t="s">
        <v>402</v>
      </c>
      <c r="J2371" t="s">
        <v>2714</v>
      </c>
      <c r="K2371">
        <v>20220624</v>
      </c>
      <c r="L2371" t="s">
        <v>2715</v>
      </c>
      <c r="M2371">
        <v>0</v>
      </c>
      <c r="N2371">
        <v>30.31</v>
      </c>
      <c r="O2371" t="s">
        <v>19</v>
      </c>
      <c r="P2371" t="s">
        <v>20</v>
      </c>
      <c r="Q2371">
        <v>20220624</v>
      </c>
    </row>
    <row r="2372" spans="1:17" x14ac:dyDescent="0.25">
      <c r="A2372" t="s">
        <v>715</v>
      </c>
      <c r="B2372" t="s">
        <v>432</v>
      </c>
      <c r="C2372">
        <v>82</v>
      </c>
      <c r="D2372">
        <v>20220628</v>
      </c>
      <c r="E2372">
        <f t="shared" si="37"/>
        <v>6</v>
      </c>
      <c r="F2372">
        <v>401000</v>
      </c>
      <c r="G2372" t="s">
        <v>41</v>
      </c>
      <c r="H2372" t="s">
        <v>2372</v>
      </c>
      <c r="I2372" t="s">
        <v>2373</v>
      </c>
      <c r="J2372" t="s">
        <v>2716</v>
      </c>
      <c r="K2372">
        <v>20220628</v>
      </c>
      <c r="L2372" t="s">
        <v>2717</v>
      </c>
      <c r="M2372">
        <v>58.8</v>
      </c>
      <c r="N2372">
        <v>0</v>
      </c>
      <c r="O2372" t="s">
        <v>23</v>
      </c>
      <c r="P2372">
        <v>20220905</v>
      </c>
      <c r="Q2372">
        <v>20220628</v>
      </c>
    </row>
    <row r="2373" spans="1:17" x14ac:dyDescent="0.25">
      <c r="A2373" t="s">
        <v>715</v>
      </c>
      <c r="B2373" t="s">
        <v>432</v>
      </c>
      <c r="C2373">
        <v>82</v>
      </c>
      <c r="D2373">
        <v>20220628</v>
      </c>
      <c r="E2373">
        <f t="shared" si="37"/>
        <v>6</v>
      </c>
      <c r="F2373">
        <v>512200</v>
      </c>
      <c r="G2373" t="s">
        <v>432</v>
      </c>
      <c r="H2373" t="s">
        <v>401</v>
      </c>
      <c r="I2373" t="s">
        <v>402</v>
      </c>
      <c r="J2373" t="s">
        <v>2716</v>
      </c>
      <c r="K2373">
        <v>20220628</v>
      </c>
      <c r="L2373" t="s">
        <v>2717</v>
      </c>
      <c r="M2373">
        <v>0</v>
      </c>
      <c r="N2373">
        <v>58.8</v>
      </c>
      <c r="O2373" t="s">
        <v>19</v>
      </c>
      <c r="P2373" t="s">
        <v>20</v>
      </c>
      <c r="Q2373">
        <v>20220628</v>
      </c>
    </row>
    <row r="2374" spans="1:17" x14ac:dyDescent="0.25">
      <c r="A2374" t="s">
        <v>715</v>
      </c>
      <c r="B2374" t="s">
        <v>432</v>
      </c>
      <c r="C2374">
        <v>82</v>
      </c>
      <c r="D2374">
        <v>20220629</v>
      </c>
      <c r="E2374">
        <f t="shared" si="37"/>
        <v>6</v>
      </c>
      <c r="F2374">
        <v>401000</v>
      </c>
      <c r="G2374" t="s">
        <v>41</v>
      </c>
      <c r="H2374" t="s">
        <v>189</v>
      </c>
      <c r="I2374" t="s">
        <v>190</v>
      </c>
      <c r="J2374" t="s">
        <v>2718</v>
      </c>
      <c r="K2374">
        <v>20220629</v>
      </c>
      <c r="L2374" t="s">
        <v>191</v>
      </c>
      <c r="M2374">
        <v>403.75</v>
      </c>
      <c r="N2374">
        <v>0</v>
      </c>
      <c r="O2374" t="s">
        <v>19</v>
      </c>
      <c r="P2374" t="s">
        <v>20</v>
      </c>
      <c r="Q2374">
        <v>20220629</v>
      </c>
    </row>
    <row r="2375" spans="1:17" x14ac:dyDescent="0.25">
      <c r="A2375" t="s">
        <v>715</v>
      </c>
      <c r="B2375" t="s">
        <v>432</v>
      </c>
      <c r="C2375">
        <v>82</v>
      </c>
      <c r="D2375">
        <v>20220629</v>
      </c>
      <c r="E2375">
        <f t="shared" si="37"/>
        <v>6</v>
      </c>
      <c r="F2375">
        <v>512200</v>
      </c>
      <c r="G2375" t="s">
        <v>432</v>
      </c>
      <c r="H2375" t="s">
        <v>401</v>
      </c>
      <c r="I2375" t="s">
        <v>402</v>
      </c>
      <c r="J2375" t="s">
        <v>2718</v>
      </c>
      <c r="K2375">
        <v>20220629</v>
      </c>
      <c r="L2375" t="s">
        <v>191</v>
      </c>
      <c r="M2375">
        <v>0</v>
      </c>
      <c r="N2375">
        <v>403.75</v>
      </c>
      <c r="O2375" t="s">
        <v>19</v>
      </c>
      <c r="P2375" t="s">
        <v>20</v>
      </c>
      <c r="Q2375">
        <v>20220629</v>
      </c>
    </row>
    <row r="2376" spans="1:17" x14ac:dyDescent="0.25">
      <c r="A2376" t="s">
        <v>715</v>
      </c>
      <c r="B2376" t="s">
        <v>432</v>
      </c>
      <c r="C2376">
        <v>82</v>
      </c>
      <c r="D2376">
        <v>20220630</v>
      </c>
      <c r="E2376">
        <f t="shared" si="37"/>
        <v>6</v>
      </c>
      <c r="F2376">
        <v>512200</v>
      </c>
      <c r="G2376" t="s">
        <v>432</v>
      </c>
      <c r="H2376" t="s">
        <v>401</v>
      </c>
      <c r="I2376" t="s">
        <v>402</v>
      </c>
      <c r="J2376" t="s">
        <v>2719</v>
      </c>
      <c r="K2376">
        <v>20220630</v>
      </c>
      <c r="L2376" t="s">
        <v>2720</v>
      </c>
      <c r="M2376">
        <v>9566.94</v>
      </c>
      <c r="N2376">
        <v>0</v>
      </c>
      <c r="O2376" t="s">
        <v>19</v>
      </c>
      <c r="P2376" t="s">
        <v>20</v>
      </c>
      <c r="Q2376">
        <v>20220630</v>
      </c>
    </row>
    <row r="2377" spans="1:17" x14ac:dyDescent="0.25">
      <c r="A2377" t="s">
        <v>715</v>
      </c>
      <c r="B2377" t="s">
        <v>432</v>
      </c>
      <c r="C2377">
        <v>82</v>
      </c>
      <c r="D2377">
        <v>20220630</v>
      </c>
      <c r="E2377">
        <f t="shared" si="37"/>
        <v>6</v>
      </c>
      <c r="F2377">
        <v>511000</v>
      </c>
      <c r="G2377" t="s">
        <v>431</v>
      </c>
      <c r="H2377" t="s">
        <v>401</v>
      </c>
      <c r="I2377" t="s">
        <v>402</v>
      </c>
      <c r="J2377" t="s">
        <v>2719</v>
      </c>
      <c r="K2377">
        <v>20220630</v>
      </c>
      <c r="L2377" t="s">
        <v>2720</v>
      </c>
      <c r="M2377">
        <v>0</v>
      </c>
      <c r="N2377">
        <v>9566.94</v>
      </c>
      <c r="O2377" t="s">
        <v>23</v>
      </c>
      <c r="P2377">
        <v>20230112</v>
      </c>
      <c r="Q2377">
        <v>20220630</v>
      </c>
    </row>
    <row r="2378" spans="1:17" x14ac:dyDescent="0.25">
      <c r="A2378" t="s">
        <v>715</v>
      </c>
      <c r="B2378" t="s">
        <v>432</v>
      </c>
      <c r="C2378">
        <v>82</v>
      </c>
      <c r="D2378">
        <v>20220630</v>
      </c>
      <c r="E2378">
        <f t="shared" si="37"/>
        <v>6</v>
      </c>
      <c r="F2378">
        <v>512200</v>
      </c>
      <c r="G2378" t="s">
        <v>432</v>
      </c>
      <c r="H2378" t="s">
        <v>401</v>
      </c>
      <c r="I2378" t="s">
        <v>402</v>
      </c>
      <c r="J2378" t="s">
        <v>2721</v>
      </c>
      <c r="K2378">
        <v>20220630</v>
      </c>
      <c r="L2378" t="s">
        <v>2722</v>
      </c>
      <c r="M2378">
        <v>1149.72</v>
      </c>
      <c r="N2378">
        <v>0</v>
      </c>
      <c r="O2378" t="s">
        <v>19</v>
      </c>
      <c r="P2378" t="s">
        <v>20</v>
      </c>
      <c r="Q2378">
        <v>20220630</v>
      </c>
    </row>
    <row r="2379" spans="1:17" x14ac:dyDescent="0.25">
      <c r="A2379" t="s">
        <v>715</v>
      </c>
      <c r="B2379" t="s">
        <v>432</v>
      </c>
      <c r="C2379">
        <v>82</v>
      </c>
      <c r="D2379">
        <v>20220630</v>
      </c>
      <c r="E2379">
        <f t="shared" si="37"/>
        <v>6</v>
      </c>
      <c r="F2379">
        <v>511001</v>
      </c>
      <c r="G2379" t="s">
        <v>434</v>
      </c>
      <c r="H2379" t="s">
        <v>401</v>
      </c>
      <c r="I2379" t="s">
        <v>402</v>
      </c>
      <c r="J2379" t="s">
        <v>2721</v>
      </c>
      <c r="K2379">
        <v>20220630</v>
      </c>
      <c r="L2379" t="s">
        <v>2722</v>
      </c>
      <c r="M2379">
        <v>0</v>
      </c>
      <c r="N2379">
        <v>1149.72</v>
      </c>
      <c r="O2379" t="s">
        <v>23</v>
      </c>
      <c r="P2379">
        <v>20230301</v>
      </c>
      <c r="Q2379">
        <v>20220630</v>
      </c>
    </row>
    <row r="2380" spans="1:17" x14ac:dyDescent="0.25">
      <c r="A2380" t="s">
        <v>715</v>
      </c>
      <c r="B2380" t="s">
        <v>432</v>
      </c>
      <c r="C2380">
        <v>82</v>
      </c>
      <c r="D2380">
        <v>20220630</v>
      </c>
      <c r="E2380">
        <f t="shared" si="37"/>
        <v>6</v>
      </c>
      <c r="F2380">
        <v>401000</v>
      </c>
      <c r="G2380" t="s">
        <v>41</v>
      </c>
      <c r="H2380" t="s">
        <v>52</v>
      </c>
      <c r="I2380" t="s">
        <v>53</v>
      </c>
      <c r="J2380" t="s">
        <v>2723</v>
      </c>
      <c r="K2380">
        <v>20220630</v>
      </c>
      <c r="L2380" t="s">
        <v>2724</v>
      </c>
      <c r="M2380">
        <v>29</v>
      </c>
      <c r="N2380">
        <v>0</v>
      </c>
      <c r="O2380" t="s">
        <v>23</v>
      </c>
      <c r="P2380">
        <v>20220919</v>
      </c>
      <c r="Q2380">
        <v>20220630</v>
      </c>
    </row>
    <row r="2381" spans="1:17" x14ac:dyDescent="0.25">
      <c r="A2381" t="s">
        <v>715</v>
      </c>
      <c r="B2381" t="s">
        <v>432</v>
      </c>
      <c r="C2381">
        <v>82</v>
      </c>
      <c r="D2381">
        <v>20220630</v>
      </c>
      <c r="E2381">
        <f t="shared" si="37"/>
        <v>6</v>
      </c>
      <c r="F2381">
        <v>512200</v>
      </c>
      <c r="G2381" t="s">
        <v>432</v>
      </c>
      <c r="H2381" t="s">
        <v>401</v>
      </c>
      <c r="I2381" t="s">
        <v>402</v>
      </c>
      <c r="J2381" t="s">
        <v>2723</v>
      </c>
      <c r="K2381">
        <v>20220630</v>
      </c>
      <c r="L2381" t="s">
        <v>2724</v>
      </c>
      <c r="M2381">
        <v>0</v>
      </c>
      <c r="N2381">
        <v>29</v>
      </c>
      <c r="O2381" t="s">
        <v>19</v>
      </c>
      <c r="P2381" t="s">
        <v>20</v>
      </c>
      <c r="Q2381">
        <v>20220630</v>
      </c>
    </row>
    <row r="2382" spans="1:17" x14ac:dyDescent="0.25">
      <c r="A2382" t="s">
        <v>715</v>
      </c>
      <c r="B2382" t="s">
        <v>432</v>
      </c>
      <c r="C2382">
        <v>82</v>
      </c>
      <c r="D2382">
        <v>20220630</v>
      </c>
      <c r="E2382">
        <f t="shared" si="37"/>
        <v>6</v>
      </c>
      <c r="F2382">
        <v>401000</v>
      </c>
      <c r="G2382" t="s">
        <v>41</v>
      </c>
      <c r="H2382" t="s">
        <v>2392</v>
      </c>
      <c r="I2382" t="s">
        <v>2393</v>
      </c>
      <c r="J2382" t="s">
        <v>2725</v>
      </c>
      <c r="K2382">
        <v>20220630</v>
      </c>
      <c r="L2382" t="s">
        <v>2726</v>
      </c>
      <c r="M2382">
        <v>580</v>
      </c>
      <c r="N2382">
        <v>0</v>
      </c>
      <c r="O2382" t="s">
        <v>23</v>
      </c>
      <c r="P2382">
        <v>20221118</v>
      </c>
      <c r="Q2382">
        <v>20220630</v>
      </c>
    </row>
    <row r="2383" spans="1:17" x14ac:dyDescent="0.25">
      <c r="A2383" t="s">
        <v>715</v>
      </c>
      <c r="B2383" t="s">
        <v>432</v>
      </c>
      <c r="C2383">
        <v>82</v>
      </c>
      <c r="D2383">
        <v>20220630</v>
      </c>
      <c r="E2383">
        <f t="shared" si="37"/>
        <v>6</v>
      </c>
      <c r="F2383">
        <v>512200</v>
      </c>
      <c r="G2383" t="s">
        <v>432</v>
      </c>
      <c r="H2383" t="s">
        <v>401</v>
      </c>
      <c r="I2383" t="s">
        <v>402</v>
      </c>
      <c r="J2383" t="s">
        <v>2725</v>
      </c>
      <c r="K2383">
        <v>20220630</v>
      </c>
      <c r="L2383" t="s">
        <v>2726</v>
      </c>
      <c r="M2383">
        <v>0</v>
      </c>
      <c r="N2383">
        <v>580</v>
      </c>
      <c r="O2383" t="s">
        <v>19</v>
      </c>
      <c r="P2383" t="s">
        <v>20</v>
      </c>
      <c r="Q2383">
        <v>20220630</v>
      </c>
    </row>
    <row r="2384" spans="1:17" x14ac:dyDescent="0.25">
      <c r="A2384" t="s">
        <v>715</v>
      </c>
      <c r="B2384" t="s">
        <v>432</v>
      </c>
      <c r="C2384">
        <v>82</v>
      </c>
      <c r="D2384">
        <v>20220630</v>
      </c>
      <c r="E2384">
        <f t="shared" si="37"/>
        <v>6</v>
      </c>
      <c r="F2384">
        <v>401000</v>
      </c>
      <c r="G2384" t="s">
        <v>41</v>
      </c>
      <c r="H2384" t="s">
        <v>840</v>
      </c>
      <c r="I2384" t="s">
        <v>841</v>
      </c>
      <c r="J2384" t="s">
        <v>2727</v>
      </c>
      <c r="K2384">
        <v>20220630</v>
      </c>
      <c r="L2384" t="s">
        <v>2354</v>
      </c>
      <c r="M2384">
        <v>410.63</v>
      </c>
      <c r="N2384">
        <v>0</v>
      </c>
      <c r="O2384" t="s">
        <v>23</v>
      </c>
      <c r="P2384">
        <v>20220902</v>
      </c>
      <c r="Q2384">
        <v>20220630</v>
      </c>
    </row>
    <row r="2385" spans="1:17" x14ac:dyDescent="0.25">
      <c r="A2385" t="s">
        <v>715</v>
      </c>
      <c r="B2385" t="s">
        <v>432</v>
      </c>
      <c r="C2385">
        <v>82</v>
      </c>
      <c r="D2385">
        <v>20220630</v>
      </c>
      <c r="E2385">
        <f t="shared" si="37"/>
        <v>6</v>
      </c>
      <c r="F2385">
        <v>512200</v>
      </c>
      <c r="G2385" t="s">
        <v>432</v>
      </c>
      <c r="H2385" t="s">
        <v>401</v>
      </c>
      <c r="I2385" t="s">
        <v>402</v>
      </c>
      <c r="J2385" t="s">
        <v>2727</v>
      </c>
      <c r="K2385">
        <v>20220630</v>
      </c>
      <c r="L2385" t="s">
        <v>2354</v>
      </c>
      <c r="M2385">
        <v>0</v>
      </c>
      <c r="N2385">
        <v>410.63</v>
      </c>
      <c r="O2385" t="s">
        <v>19</v>
      </c>
      <c r="P2385" t="s">
        <v>20</v>
      </c>
      <c r="Q2385">
        <v>20220630</v>
      </c>
    </row>
    <row r="2386" spans="1:17" x14ac:dyDescent="0.25">
      <c r="A2386" t="s">
        <v>476</v>
      </c>
      <c r="B2386" t="s">
        <v>477</v>
      </c>
      <c r="C2386">
        <v>93</v>
      </c>
      <c r="D2386">
        <v>20220701</v>
      </c>
      <c r="E2386">
        <f t="shared" si="37"/>
        <v>7</v>
      </c>
      <c r="F2386">
        <v>627000</v>
      </c>
      <c r="G2386" t="s">
        <v>480</v>
      </c>
      <c r="H2386" t="s">
        <v>401</v>
      </c>
      <c r="I2386" t="s">
        <v>402</v>
      </c>
      <c r="J2386" t="s">
        <v>2773</v>
      </c>
      <c r="K2386">
        <v>20220701</v>
      </c>
      <c r="L2386" t="s">
        <v>482</v>
      </c>
      <c r="M2386">
        <v>7.5</v>
      </c>
      <c r="N2386">
        <v>0</v>
      </c>
      <c r="O2386" t="s">
        <v>19</v>
      </c>
      <c r="P2386" t="s">
        <v>20</v>
      </c>
      <c r="Q2386">
        <v>20220701</v>
      </c>
    </row>
    <row r="2387" spans="1:17" x14ac:dyDescent="0.25">
      <c r="A2387" t="s">
        <v>476</v>
      </c>
      <c r="B2387" t="s">
        <v>477</v>
      </c>
      <c r="C2387">
        <v>93</v>
      </c>
      <c r="D2387">
        <v>20220701</v>
      </c>
      <c r="E2387">
        <f t="shared" si="37"/>
        <v>7</v>
      </c>
      <c r="F2387">
        <v>512000</v>
      </c>
      <c r="G2387" t="s">
        <v>428</v>
      </c>
      <c r="H2387" t="s">
        <v>401</v>
      </c>
      <c r="I2387" t="s">
        <v>402</v>
      </c>
      <c r="J2387" t="s">
        <v>2773</v>
      </c>
      <c r="K2387">
        <v>20220701</v>
      </c>
      <c r="L2387" t="s">
        <v>482</v>
      </c>
      <c r="M2387">
        <v>0</v>
      </c>
      <c r="N2387">
        <v>7.5</v>
      </c>
      <c r="O2387" t="s">
        <v>19</v>
      </c>
      <c r="P2387" t="s">
        <v>20</v>
      </c>
      <c r="Q2387">
        <v>20220701</v>
      </c>
    </row>
    <row r="2388" spans="1:17" x14ac:dyDescent="0.25">
      <c r="A2388" t="s">
        <v>476</v>
      </c>
      <c r="B2388" t="s">
        <v>477</v>
      </c>
      <c r="C2388">
        <v>93</v>
      </c>
      <c r="D2388">
        <v>20220701</v>
      </c>
      <c r="E2388">
        <f t="shared" si="37"/>
        <v>7</v>
      </c>
      <c r="F2388">
        <v>791100</v>
      </c>
      <c r="G2388" t="s">
        <v>806</v>
      </c>
      <c r="H2388" t="s">
        <v>401</v>
      </c>
      <c r="I2388" t="s">
        <v>402</v>
      </c>
      <c r="J2388" t="s">
        <v>2774</v>
      </c>
      <c r="K2388">
        <v>20220701</v>
      </c>
      <c r="L2388" t="s">
        <v>1345</v>
      </c>
      <c r="M2388">
        <v>0</v>
      </c>
      <c r="N2388">
        <v>1650</v>
      </c>
      <c r="O2388" t="s">
        <v>19</v>
      </c>
      <c r="P2388" t="s">
        <v>20</v>
      </c>
      <c r="Q2388">
        <v>20220701</v>
      </c>
    </row>
    <row r="2389" spans="1:17" x14ac:dyDescent="0.25">
      <c r="A2389" t="s">
        <v>476</v>
      </c>
      <c r="B2389" t="s">
        <v>477</v>
      </c>
      <c r="C2389">
        <v>93</v>
      </c>
      <c r="D2389">
        <v>20220701</v>
      </c>
      <c r="E2389">
        <f t="shared" si="37"/>
        <v>7</v>
      </c>
      <c r="F2389">
        <v>512000</v>
      </c>
      <c r="G2389" t="s">
        <v>428</v>
      </c>
      <c r="H2389" t="s">
        <v>401</v>
      </c>
      <c r="I2389" t="s">
        <v>402</v>
      </c>
      <c r="J2389" t="s">
        <v>2774</v>
      </c>
      <c r="K2389">
        <v>20220701</v>
      </c>
      <c r="L2389" t="s">
        <v>1345</v>
      </c>
      <c r="M2389">
        <v>1650</v>
      </c>
      <c r="N2389">
        <v>0</v>
      </c>
      <c r="O2389" t="s">
        <v>19</v>
      </c>
      <c r="P2389" t="s">
        <v>20</v>
      </c>
      <c r="Q2389">
        <v>20220701</v>
      </c>
    </row>
    <row r="2390" spans="1:17" x14ac:dyDescent="0.25">
      <c r="A2390" t="s">
        <v>476</v>
      </c>
      <c r="B2390" t="s">
        <v>477</v>
      </c>
      <c r="C2390">
        <v>93</v>
      </c>
      <c r="D2390">
        <v>20220701</v>
      </c>
      <c r="E2390">
        <f t="shared" si="37"/>
        <v>7</v>
      </c>
      <c r="F2390">
        <v>627000</v>
      </c>
      <c r="G2390" t="s">
        <v>480</v>
      </c>
      <c r="H2390" t="s">
        <v>401</v>
      </c>
      <c r="I2390" t="s">
        <v>402</v>
      </c>
      <c r="J2390" t="s">
        <v>2775</v>
      </c>
      <c r="K2390">
        <v>20220701</v>
      </c>
      <c r="L2390" t="s">
        <v>482</v>
      </c>
      <c r="M2390">
        <v>50.62</v>
      </c>
      <c r="N2390">
        <v>0</v>
      </c>
      <c r="O2390" t="s">
        <v>19</v>
      </c>
      <c r="P2390" t="s">
        <v>20</v>
      </c>
      <c r="Q2390">
        <v>20220701</v>
      </c>
    </row>
    <row r="2391" spans="1:17" x14ac:dyDescent="0.25">
      <c r="A2391" t="s">
        <v>476</v>
      </c>
      <c r="B2391" t="s">
        <v>477</v>
      </c>
      <c r="C2391">
        <v>93</v>
      </c>
      <c r="D2391">
        <v>20220701</v>
      </c>
      <c r="E2391">
        <f t="shared" si="37"/>
        <v>7</v>
      </c>
      <c r="F2391">
        <v>512000</v>
      </c>
      <c r="G2391" t="s">
        <v>428</v>
      </c>
      <c r="H2391" t="s">
        <v>401</v>
      </c>
      <c r="I2391" t="s">
        <v>402</v>
      </c>
      <c r="J2391" t="s">
        <v>2775</v>
      </c>
      <c r="K2391">
        <v>20220701</v>
      </c>
      <c r="L2391" t="s">
        <v>482</v>
      </c>
      <c r="M2391">
        <v>0</v>
      </c>
      <c r="N2391">
        <v>50.62</v>
      </c>
      <c r="O2391" t="s">
        <v>19</v>
      </c>
      <c r="P2391" t="s">
        <v>20</v>
      </c>
      <c r="Q2391">
        <v>20220701</v>
      </c>
    </row>
    <row r="2392" spans="1:17" x14ac:dyDescent="0.25">
      <c r="A2392" t="s">
        <v>476</v>
      </c>
      <c r="B2392" t="s">
        <v>477</v>
      </c>
      <c r="C2392">
        <v>93</v>
      </c>
      <c r="D2392">
        <v>20220704</v>
      </c>
      <c r="E2392">
        <f t="shared" si="37"/>
        <v>7</v>
      </c>
      <c r="F2392">
        <v>445020</v>
      </c>
      <c r="G2392" t="s">
        <v>414</v>
      </c>
      <c r="H2392" t="s">
        <v>401</v>
      </c>
      <c r="I2392" t="s">
        <v>402</v>
      </c>
      <c r="J2392" t="s">
        <v>2776</v>
      </c>
      <c r="K2392">
        <v>20220704</v>
      </c>
      <c r="L2392" t="s">
        <v>2777</v>
      </c>
      <c r="M2392">
        <v>0</v>
      </c>
      <c r="N2392">
        <v>23987.200000000001</v>
      </c>
      <c r="O2392" t="s">
        <v>23</v>
      </c>
      <c r="P2392">
        <v>20230221</v>
      </c>
      <c r="Q2392">
        <v>20220704</v>
      </c>
    </row>
    <row r="2393" spans="1:17" x14ac:dyDescent="0.25">
      <c r="A2393" t="s">
        <v>476</v>
      </c>
      <c r="B2393" t="s">
        <v>477</v>
      </c>
      <c r="C2393">
        <v>93</v>
      </c>
      <c r="D2393">
        <v>20220704</v>
      </c>
      <c r="E2393">
        <f t="shared" si="37"/>
        <v>7</v>
      </c>
      <c r="F2393">
        <v>512000</v>
      </c>
      <c r="G2393" t="s">
        <v>428</v>
      </c>
      <c r="H2393" t="s">
        <v>401</v>
      </c>
      <c r="I2393" t="s">
        <v>402</v>
      </c>
      <c r="J2393" t="s">
        <v>2776</v>
      </c>
      <c r="K2393">
        <v>20220704</v>
      </c>
      <c r="L2393" t="s">
        <v>2778</v>
      </c>
      <c r="M2393">
        <v>77761.83</v>
      </c>
      <c r="N2393">
        <v>0</v>
      </c>
      <c r="O2393" t="s">
        <v>19</v>
      </c>
      <c r="P2393" t="s">
        <v>20</v>
      </c>
      <c r="Q2393">
        <v>20220704</v>
      </c>
    </row>
    <row r="2394" spans="1:17" x14ac:dyDescent="0.25">
      <c r="A2394" t="s">
        <v>476</v>
      </c>
      <c r="B2394" t="s">
        <v>477</v>
      </c>
      <c r="C2394">
        <v>93</v>
      </c>
      <c r="D2394">
        <v>20220704</v>
      </c>
      <c r="E2394">
        <f t="shared" si="37"/>
        <v>7</v>
      </c>
      <c r="F2394">
        <v>445030</v>
      </c>
      <c r="G2394" t="s">
        <v>415</v>
      </c>
      <c r="H2394" t="s">
        <v>401</v>
      </c>
      <c r="I2394" t="s">
        <v>402</v>
      </c>
      <c r="J2394" t="s">
        <v>2776</v>
      </c>
      <c r="K2394">
        <v>20220704</v>
      </c>
      <c r="L2394" t="s">
        <v>2779</v>
      </c>
      <c r="M2394">
        <v>0</v>
      </c>
      <c r="N2394">
        <v>53774.63</v>
      </c>
      <c r="O2394" t="s">
        <v>23</v>
      </c>
      <c r="P2394">
        <v>20230221</v>
      </c>
      <c r="Q2394">
        <v>20220704</v>
      </c>
    </row>
    <row r="2395" spans="1:17" x14ac:dyDescent="0.25">
      <c r="A2395" t="s">
        <v>476</v>
      </c>
      <c r="B2395" t="s">
        <v>477</v>
      </c>
      <c r="C2395">
        <v>93</v>
      </c>
      <c r="D2395">
        <v>20220704</v>
      </c>
      <c r="E2395">
        <f t="shared" si="37"/>
        <v>7</v>
      </c>
      <c r="F2395">
        <v>627000</v>
      </c>
      <c r="G2395" t="s">
        <v>480</v>
      </c>
      <c r="H2395" t="s">
        <v>401</v>
      </c>
      <c r="I2395" t="s">
        <v>402</v>
      </c>
      <c r="J2395" t="s">
        <v>2780</v>
      </c>
      <c r="K2395">
        <v>20220704</v>
      </c>
      <c r="L2395" t="s">
        <v>482</v>
      </c>
      <c r="M2395">
        <v>49</v>
      </c>
      <c r="N2395">
        <v>0</v>
      </c>
      <c r="O2395" t="s">
        <v>19</v>
      </c>
      <c r="P2395" t="s">
        <v>20</v>
      </c>
      <c r="Q2395">
        <v>20220704</v>
      </c>
    </row>
    <row r="2396" spans="1:17" x14ac:dyDescent="0.25">
      <c r="A2396" t="s">
        <v>476</v>
      </c>
      <c r="B2396" t="s">
        <v>477</v>
      </c>
      <c r="C2396">
        <v>93</v>
      </c>
      <c r="D2396">
        <v>20220704</v>
      </c>
      <c r="E2396">
        <f t="shared" si="37"/>
        <v>7</v>
      </c>
      <c r="F2396">
        <v>512000</v>
      </c>
      <c r="G2396" t="s">
        <v>428</v>
      </c>
      <c r="H2396" t="s">
        <v>401</v>
      </c>
      <c r="I2396" t="s">
        <v>402</v>
      </c>
      <c r="J2396" t="s">
        <v>2780</v>
      </c>
      <c r="K2396">
        <v>20220704</v>
      </c>
      <c r="L2396" t="s">
        <v>482</v>
      </c>
      <c r="M2396">
        <v>0</v>
      </c>
      <c r="N2396">
        <v>49</v>
      </c>
      <c r="O2396" t="s">
        <v>19</v>
      </c>
      <c r="P2396" t="s">
        <v>20</v>
      </c>
      <c r="Q2396">
        <v>20220704</v>
      </c>
    </row>
    <row r="2397" spans="1:17" x14ac:dyDescent="0.25">
      <c r="A2397" t="s">
        <v>476</v>
      </c>
      <c r="B2397" t="s">
        <v>477</v>
      </c>
      <c r="C2397">
        <v>93</v>
      </c>
      <c r="D2397">
        <v>20220704</v>
      </c>
      <c r="E2397">
        <f t="shared" si="37"/>
        <v>7</v>
      </c>
      <c r="F2397">
        <v>627000</v>
      </c>
      <c r="G2397" t="s">
        <v>480</v>
      </c>
      <c r="H2397" t="s">
        <v>401</v>
      </c>
      <c r="I2397" t="s">
        <v>402</v>
      </c>
      <c r="J2397" t="s">
        <v>2781</v>
      </c>
      <c r="K2397">
        <v>20220704</v>
      </c>
      <c r="L2397" t="s">
        <v>482</v>
      </c>
      <c r="M2397">
        <v>14.69</v>
      </c>
      <c r="N2397">
        <v>0</v>
      </c>
      <c r="O2397" t="s">
        <v>19</v>
      </c>
      <c r="P2397" t="s">
        <v>20</v>
      </c>
      <c r="Q2397">
        <v>20220704</v>
      </c>
    </row>
    <row r="2398" spans="1:17" x14ac:dyDescent="0.25">
      <c r="A2398" t="s">
        <v>476</v>
      </c>
      <c r="B2398" t="s">
        <v>477</v>
      </c>
      <c r="C2398">
        <v>93</v>
      </c>
      <c r="D2398">
        <v>20220704</v>
      </c>
      <c r="E2398">
        <f t="shared" si="37"/>
        <v>7</v>
      </c>
      <c r="F2398">
        <v>512000</v>
      </c>
      <c r="G2398" t="s">
        <v>428</v>
      </c>
      <c r="H2398" t="s">
        <v>401</v>
      </c>
      <c r="I2398" t="s">
        <v>402</v>
      </c>
      <c r="J2398" t="s">
        <v>2781</v>
      </c>
      <c r="K2398">
        <v>20220704</v>
      </c>
      <c r="L2398" t="s">
        <v>482</v>
      </c>
      <c r="M2398">
        <v>0</v>
      </c>
      <c r="N2398">
        <v>14.69</v>
      </c>
      <c r="O2398" t="s">
        <v>19</v>
      </c>
      <c r="P2398" t="s">
        <v>20</v>
      </c>
      <c r="Q2398">
        <v>20220704</v>
      </c>
    </row>
    <row r="2399" spans="1:17" x14ac:dyDescent="0.25">
      <c r="A2399" t="s">
        <v>476</v>
      </c>
      <c r="B2399" t="s">
        <v>477</v>
      </c>
      <c r="C2399">
        <v>93</v>
      </c>
      <c r="D2399">
        <v>20220704</v>
      </c>
      <c r="E2399">
        <f t="shared" si="37"/>
        <v>7</v>
      </c>
      <c r="F2399">
        <v>401000</v>
      </c>
      <c r="G2399" t="s">
        <v>41</v>
      </c>
      <c r="H2399" t="s">
        <v>225</v>
      </c>
      <c r="I2399" t="s">
        <v>226</v>
      </c>
      <c r="J2399" t="s">
        <v>2782</v>
      </c>
      <c r="K2399">
        <v>20220704</v>
      </c>
      <c r="L2399" t="s">
        <v>488</v>
      </c>
      <c r="M2399">
        <v>475.4</v>
      </c>
      <c r="N2399">
        <v>0</v>
      </c>
      <c r="O2399" t="s">
        <v>23</v>
      </c>
      <c r="P2399">
        <v>20221005</v>
      </c>
      <c r="Q2399">
        <v>20220704</v>
      </c>
    </row>
    <row r="2400" spans="1:17" x14ac:dyDescent="0.25">
      <c r="A2400" t="s">
        <v>476</v>
      </c>
      <c r="B2400" t="s">
        <v>477</v>
      </c>
      <c r="C2400">
        <v>93</v>
      </c>
      <c r="D2400">
        <v>20220704</v>
      </c>
      <c r="E2400">
        <f t="shared" si="37"/>
        <v>7</v>
      </c>
      <c r="F2400">
        <v>512000</v>
      </c>
      <c r="G2400" t="s">
        <v>428</v>
      </c>
      <c r="H2400" t="s">
        <v>401</v>
      </c>
      <c r="I2400" t="s">
        <v>402</v>
      </c>
      <c r="J2400" t="s">
        <v>2782</v>
      </c>
      <c r="K2400">
        <v>20220704</v>
      </c>
      <c r="L2400" t="s">
        <v>488</v>
      </c>
      <c r="M2400">
        <v>0</v>
      </c>
      <c r="N2400">
        <v>475.4</v>
      </c>
      <c r="O2400" t="s">
        <v>19</v>
      </c>
      <c r="P2400" t="s">
        <v>20</v>
      </c>
      <c r="Q2400">
        <v>20220704</v>
      </c>
    </row>
    <row r="2401" spans="1:17" x14ac:dyDescent="0.25">
      <c r="A2401" t="s">
        <v>476</v>
      </c>
      <c r="B2401" t="s">
        <v>477</v>
      </c>
      <c r="C2401">
        <v>93</v>
      </c>
      <c r="D2401">
        <v>20220706</v>
      </c>
      <c r="E2401">
        <f t="shared" si="37"/>
        <v>7</v>
      </c>
      <c r="F2401">
        <v>401000</v>
      </c>
      <c r="G2401" t="s">
        <v>41</v>
      </c>
      <c r="H2401" t="s">
        <v>450</v>
      </c>
      <c r="I2401" t="s">
        <v>451</v>
      </c>
      <c r="J2401" t="s">
        <v>2783</v>
      </c>
      <c r="K2401">
        <v>20220706</v>
      </c>
      <c r="L2401" t="s">
        <v>127</v>
      </c>
      <c r="M2401">
        <v>279.83999999999997</v>
      </c>
      <c r="N2401">
        <v>0</v>
      </c>
      <c r="O2401" t="s">
        <v>23</v>
      </c>
      <c r="P2401">
        <v>20220725</v>
      </c>
      <c r="Q2401">
        <v>20220706</v>
      </c>
    </row>
    <row r="2402" spans="1:17" x14ac:dyDescent="0.25">
      <c r="A2402" t="s">
        <v>476</v>
      </c>
      <c r="B2402" t="s">
        <v>477</v>
      </c>
      <c r="C2402">
        <v>93</v>
      </c>
      <c r="D2402">
        <v>20220706</v>
      </c>
      <c r="E2402">
        <f t="shared" si="37"/>
        <v>7</v>
      </c>
      <c r="F2402">
        <v>401000</v>
      </c>
      <c r="G2402" t="s">
        <v>41</v>
      </c>
      <c r="H2402" t="s">
        <v>450</v>
      </c>
      <c r="I2402" t="s">
        <v>451</v>
      </c>
      <c r="J2402" t="s">
        <v>2783</v>
      </c>
      <c r="K2402">
        <v>20220706</v>
      </c>
      <c r="L2402" t="s">
        <v>127</v>
      </c>
      <c r="M2402">
        <v>68.900000000000006</v>
      </c>
      <c r="N2402">
        <v>0</v>
      </c>
      <c r="O2402" t="s">
        <v>23</v>
      </c>
      <c r="P2402">
        <v>20220725</v>
      </c>
      <c r="Q2402">
        <v>20220706</v>
      </c>
    </row>
    <row r="2403" spans="1:17" x14ac:dyDescent="0.25">
      <c r="A2403" t="s">
        <v>476</v>
      </c>
      <c r="B2403" t="s">
        <v>477</v>
      </c>
      <c r="C2403">
        <v>93</v>
      </c>
      <c r="D2403">
        <v>20220706</v>
      </c>
      <c r="E2403">
        <f t="shared" si="37"/>
        <v>7</v>
      </c>
      <c r="F2403">
        <v>467100</v>
      </c>
      <c r="G2403" t="s">
        <v>160</v>
      </c>
      <c r="H2403" t="s">
        <v>185</v>
      </c>
      <c r="I2403" t="s">
        <v>186</v>
      </c>
      <c r="J2403" t="s">
        <v>2783</v>
      </c>
      <c r="K2403">
        <v>20220706</v>
      </c>
      <c r="L2403" t="s">
        <v>127</v>
      </c>
      <c r="M2403">
        <v>700</v>
      </c>
      <c r="N2403">
        <v>0</v>
      </c>
      <c r="O2403" t="s">
        <v>23</v>
      </c>
      <c r="P2403">
        <v>20220803</v>
      </c>
      <c r="Q2403">
        <v>20220706</v>
      </c>
    </row>
    <row r="2404" spans="1:17" x14ac:dyDescent="0.25">
      <c r="A2404" t="s">
        <v>476</v>
      </c>
      <c r="B2404" t="s">
        <v>477</v>
      </c>
      <c r="C2404">
        <v>93</v>
      </c>
      <c r="D2404">
        <v>20220706</v>
      </c>
      <c r="E2404">
        <f t="shared" si="37"/>
        <v>7</v>
      </c>
      <c r="F2404">
        <v>512000</v>
      </c>
      <c r="G2404" t="s">
        <v>428</v>
      </c>
      <c r="H2404" t="s">
        <v>401</v>
      </c>
      <c r="I2404" t="s">
        <v>402</v>
      </c>
      <c r="J2404" t="s">
        <v>2783</v>
      </c>
      <c r="K2404">
        <v>20220706</v>
      </c>
      <c r="L2404" t="s">
        <v>127</v>
      </c>
      <c r="M2404">
        <v>0</v>
      </c>
      <c r="N2404">
        <v>1048.74</v>
      </c>
      <c r="O2404" t="s">
        <v>19</v>
      </c>
      <c r="P2404" t="s">
        <v>20</v>
      </c>
      <c r="Q2404">
        <v>20220706</v>
      </c>
    </row>
    <row r="2405" spans="1:17" x14ac:dyDescent="0.25">
      <c r="A2405" t="s">
        <v>476</v>
      </c>
      <c r="B2405" t="s">
        <v>477</v>
      </c>
      <c r="C2405">
        <v>93</v>
      </c>
      <c r="D2405">
        <v>20220706</v>
      </c>
      <c r="E2405">
        <f t="shared" si="37"/>
        <v>7</v>
      </c>
      <c r="F2405">
        <v>468725</v>
      </c>
      <c r="G2405" t="s">
        <v>424</v>
      </c>
      <c r="H2405" t="s">
        <v>401</v>
      </c>
      <c r="I2405" t="s">
        <v>402</v>
      </c>
      <c r="J2405" t="s">
        <v>2784</v>
      </c>
      <c r="K2405">
        <v>20220706</v>
      </c>
      <c r="L2405" t="s">
        <v>2785</v>
      </c>
      <c r="M2405">
        <v>0</v>
      </c>
      <c r="N2405">
        <v>1333.32</v>
      </c>
      <c r="O2405" t="s">
        <v>23</v>
      </c>
      <c r="P2405">
        <v>20230105</v>
      </c>
      <c r="Q2405">
        <v>20220706</v>
      </c>
    </row>
    <row r="2406" spans="1:17" x14ac:dyDescent="0.25">
      <c r="A2406" t="s">
        <v>476</v>
      </c>
      <c r="B2406" t="s">
        <v>477</v>
      </c>
      <c r="C2406">
        <v>93</v>
      </c>
      <c r="D2406">
        <v>20220706</v>
      </c>
      <c r="E2406">
        <f t="shared" si="37"/>
        <v>7</v>
      </c>
      <c r="F2406">
        <v>512000</v>
      </c>
      <c r="G2406" t="s">
        <v>428</v>
      </c>
      <c r="H2406" t="s">
        <v>401</v>
      </c>
      <c r="I2406" t="s">
        <v>402</v>
      </c>
      <c r="J2406" t="s">
        <v>2784</v>
      </c>
      <c r="K2406">
        <v>20220706</v>
      </c>
      <c r="L2406" t="s">
        <v>2785</v>
      </c>
      <c r="M2406">
        <v>1333.32</v>
      </c>
      <c r="N2406">
        <v>0</v>
      </c>
      <c r="O2406" t="s">
        <v>19</v>
      </c>
      <c r="P2406" t="s">
        <v>20</v>
      </c>
      <c r="Q2406">
        <v>20220706</v>
      </c>
    </row>
    <row r="2407" spans="1:17" x14ac:dyDescent="0.25">
      <c r="A2407" t="s">
        <v>476</v>
      </c>
      <c r="B2407" t="s">
        <v>477</v>
      </c>
      <c r="C2407">
        <v>93</v>
      </c>
      <c r="D2407">
        <v>20220711</v>
      </c>
      <c r="E2407">
        <f t="shared" si="37"/>
        <v>7</v>
      </c>
      <c r="F2407">
        <v>467100</v>
      </c>
      <c r="G2407" t="s">
        <v>160</v>
      </c>
      <c r="H2407" t="s">
        <v>219</v>
      </c>
      <c r="I2407" t="s">
        <v>220</v>
      </c>
      <c r="J2407" t="s">
        <v>2786</v>
      </c>
      <c r="K2407">
        <v>20220711</v>
      </c>
      <c r="L2407" t="s">
        <v>127</v>
      </c>
      <c r="M2407">
        <v>400</v>
      </c>
      <c r="N2407">
        <v>0</v>
      </c>
      <c r="O2407" t="s">
        <v>23</v>
      </c>
      <c r="P2407">
        <v>20220801</v>
      </c>
      <c r="Q2407">
        <v>20220711</v>
      </c>
    </row>
    <row r="2408" spans="1:17" x14ac:dyDescent="0.25">
      <c r="A2408" t="s">
        <v>476</v>
      </c>
      <c r="B2408" t="s">
        <v>477</v>
      </c>
      <c r="C2408">
        <v>93</v>
      </c>
      <c r="D2408">
        <v>20220711</v>
      </c>
      <c r="E2408">
        <f t="shared" si="37"/>
        <v>7</v>
      </c>
      <c r="F2408">
        <v>467100</v>
      </c>
      <c r="G2408" t="s">
        <v>160</v>
      </c>
      <c r="H2408" t="s">
        <v>2428</v>
      </c>
      <c r="I2408" t="s">
        <v>2429</v>
      </c>
      <c r="J2408" t="s">
        <v>2786</v>
      </c>
      <c r="K2408">
        <v>20220711</v>
      </c>
      <c r="L2408" t="s">
        <v>127</v>
      </c>
      <c r="M2408">
        <v>300</v>
      </c>
      <c r="N2408">
        <v>0</v>
      </c>
      <c r="O2408" t="s">
        <v>23</v>
      </c>
      <c r="P2408">
        <v>20220801</v>
      </c>
      <c r="Q2408">
        <v>20220711</v>
      </c>
    </row>
    <row r="2409" spans="1:17" x14ac:dyDescent="0.25">
      <c r="A2409" t="s">
        <v>476</v>
      </c>
      <c r="B2409" t="s">
        <v>477</v>
      </c>
      <c r="C2409">
        <v>93</v>
      </c>
      <c r="D2409">
        <v>20220711</v>
      </c>
      <c r="E2409">
        <f t="shared" si="37"/>
        <v>7</v>
      </c>
      <c r="F2409">
        <v>512000</v>
      </c>
      <c r="G2409" t="s">
        <v>428</v>
      </c>
      <c r="H2409" t="s">
        <v>401</v>
      </c>
      <c r="I2409" t="s">
        <v>402</v>
      </c>
      <c r="J2409" t="s">
        <v>2786</v>
      </c>
      <c r="K2409">
        <v>20220711</v>
      </c>
      <c r="L2409" t="s">
        <v>127</v>
      </c>
      <c r="M2409">
        <v>0</v>
      </c>
      <c r="N2409">
        <v>700</v>
      </c>
      <c r="O2409" t="s">
        <v>19</v>
      </c>
      <c r="P2409" t="s">
        <v>20</v>
      </c>
      <c r="Q2409">
        <v>20220711</v>
      </c>
    </row>
    <row r="2410" spans="1:17" x14ac:dyDescent="0.25">
      <c r="A2410" t="s">
        <v>476</v>
      </c>
      <c r="B2410" t="s">
        <v>477</v>
      </c>
      <c r="C2410">
        <v>93</v>
      </c>
      <c r="D2410">
        <v>20220711</v>
      </c>
      <c r="E2410">
        <f t="shared" si="37"/>
        <v>7</v>
      </c>
      <c r="F2410">
        <v>401000</v>
      </c>
      <c r="G2410" t="s">
        <v>41</v>
      </c>
      <c r="H2410" t="s">
        <v>46</v>
      </c>
      <c r="I2410" t="s">
        <v>47</v>
      </c>
      <c r="J2410" t="s">
        <v>2787</v>
      </c>
      <c r="K2410">
        <v>20220711</v>
      </c>
      <c r="L2410" t="s">
        <v>163</v>
      </c>
      <c r="M2410">
        <v>497</v>
      </c>
      <c r="N2410">
        <v>0</v>
      </c>
      <c r="O2410" t="s">
        <v>22</v>
      </c>
      <c r="P2410">
        <v>20220711</v>
      </c>
      <c r="Q2410">
        <v>20220711</v>
      </c>
    </row>
    <row r="2411" spans="1:17" x14ac:dyDescent="0.25">
      <c r="A2411" t="s">
        <v>476</v>
      </c>
      <c r="B2411" t="s">
        <v>477</v>
      </c>
      <c r="C2411">
        <v>93</v>
      </c>
      <c r="D2411">
        <v>20220711</v>
      </c>
      <c r="E2411">
        <f t="shared" si="37"/>
        <v>7</v>
      </c>
      <c r="F2411">
        <v>401000</v>
      </c>
      <c r="G2411" t="s">
        <v>41</v>
      </c>
      <c r="H2411" t="s">
        <v>462</v>
      </c>
      <c r="I2411" t="s">
        <v>463</v>
      </c>
      <c r="J2411" t="s">
        <v>2787</v>
      </c>
      <c r="K2411">
        <v>20220711</v>
      </c>
      <c r="L2411" t="s">
        <v>163</v>
      </c>
      <c r="M2411">
        <v>228.73</v>
      </c>
      <c r="N2411">
        <v>0</v>
      </c>
      <c r="O2411" t="s">
        <v>22</v>
      </c>
      <c r="P2411">
        <v>20220711</v>
      </c>
      <c r="Q2411">
        <v>20220711</v>
      </c>
    </row>
    <row r="2412" spans="1:17" x14ac:dyDescent="0.25">
      <c r="A2412" t="s">
        <v>476</v>
      </c>
      <c r="B2412" t="s">
        <v>477</v>
      </c>
      <c r="C2412">
        <v>93</v>
      </c>
      <c r="D2412">
        <v>20220711</v>
      </c>
      <c r="E2412">
        <f t="shared" si="37"/>
        <v>7</v>
      </c>
      <c r="F2412">
        <v>401000</v>
      </c>
      <c r="G2412" t="s">
        <v>41</v>
      </c>
      <c r="H2412" t="s">
        <v>56</v>
      </c>
      <c r="I2412" t="s">
        <v>57</v>
      </c>
      <c r="J2412" t="s">
        <v>2787</v>
      </c>
      <c r="K2412">
        <v>20220711</v>
      </c>
      <c r="L2412" t="s">
        <v>163</v>
      </c>
      <c r="M2412">
        <v>678.79</v>
      </c>
      <c r="N2412">
        <v>0</v>
      </c>
      <c r="O2412" t="s">
        <v>22</v>
      </c>
      <c r="P2412">
        <v>20220711</v>
      </c>
      <c r="Q2412">
        <v>20220711</v>
      </c>
    </row>
    <row r="2413" spans="1:17" x14ac:dyDescent="0.25">
      <c r="A2413" t="s">
        <v>476</v>
      </c>
      <c r="B2413" t="s">
        <v>477</v>
      </c>
      <c r="C2413">
        <v>93</v>
      </c>
      <c r="D2413">
        <v>20220711</v>
      </c>
      <c r="E2413">
        <f t="shared" si="37"/>
        <v>7</v>
      </c>
      <c r="F2413">
        <v>401000</v>
      </c>
      <c r="G2413" t="s">
        <v>41</v>
      </c>
      <c r="H2413" t="s">
        <v>69</v>
      </c>
      <c r="I2413" t="s">
        <v>70</v>
      </c>
      <c r="J2413" t="s">
        <v>2787</v>
      </c>
      <c r="K2413">
        <v>20220711</v>
      </c>
      <c r="L2413" t="s">
        <v>163</v>
      </c>
      <c r="M2413">
        <v>4388.3999999999996</v>
      </c>
      <c r="N2413">
        <v>0</v>
      </c>
      <c r="O2413" t="s">
        <v>22</v>
      </c>
      <c r="P2413">
        <v>20220711</v>
      </c>
      <c r="Q2413">
        <v>20220711</v>
      </c>
    </row>
    <row r="2414" spans="1:17" x14ac:dyDescent="0.25">
      <c r="A2414" t="s">
        <v>476</v>
      </c>
      <c r="B2414" t="s">
        <v>477</v>
      </c>
      <c r="C2414">
        <v>93</v>
      </c>
      <c r="D2414">
        <v>20220711</v>
      </c>
      <c r="E2414">
        <f t="shared" si="37"/>
        <v>7</v>
      </c>
      <c r="F2414">
        <v>401000</v>
      </c>
      <c r="G2414" t="s">
        <v>41</v>
      </c>
      <c r="H2414" t="s">
        <v>71</v>
      </c>
      <c r="I2414" t="s">
        <v>72</v>
      </c>
      <c r="J2414" t="s">
        <v>2787</v>
      </c>
      <c r="K2414">
        <v>20220711</v>
      </c>
      <c r="L2414" t="s">
        <v>163</v>
      </c>
      <c r="M2414">
        <v>356.15</v>
      </c>
      <c r="N2414">
        <v>0</v>
      </c>
      <c r="O2414" t="s">
        <v>22</v>
      </c>
      <c r="P2414">
        <v>20220711</v>
      </c>
      <c r="Q2414">
        <v>20220711</v>
      </c>
    </row>
    <row r="2415" spans="1:17" x14ac:dyDescent="0.25">
      <c r="A2415" t="s">
        <v>476</v>
      </c>
      <c r="B2415" t="s">
        <v>477</v>
      </c>
      <c r="C2415">
        <v>93</v>
      </c>
      <c r="D2415">
        <v>20220711</v>
      </c>
      <c r="E2415">
        <f t="shared" si="37"/>
        <v>7</v>
      </c>
      <c r="F2415">
        <v>401000</v>
      </c>
      <c r="G2415" t="s">
        <v>41</v>
      </c>
      <c r="H2415" t="s">
        <v>177</v>
      </c>
      <c r="I2415" t="s">
        <v>178</v>
      </c>
      <c r="J2415" t="s">
        <v>2787</v>
      </c>
      <c r="K2415">
        <v>20220711</v>
      </c>
      <c r="L2415" t="s">
        <v>163</v>
      </c>
      <c r="M2415">
        <v>157.5</v>
      </c>
      <c r="N2415">
        <v>0</v>
      </c>
      <c r="O2415" t="s">
        <v>22</v>
      </c>
      <c r="P2415">
        <v>20220711</v>
      </c>
      <c r="Q2415">
        <v>20220711</v>
      </c>
    </row>
    <row r="2416" spans="1:17" x14ac:dyDescent="0.25">
      <c r="A2416" t="s">
        <v>476</v>
      </c>
      <c r="B2416" t="s">
        <v>477</v>
      </c>
      <c r="C2416">
        <v>93</v>
      </c>
      <c r="D2416">
        <v>20220711</v>
      </c>
      <c r="E2416">
        <f t="shared" si="37"/>
        <v>7</v>
      </c>
      <c r="F2416">
        <v>401000</v>
      </c>
      <c r="G2416" t="s">
        <v>41</v>
      </c>
      <c r="H2416" t="s">
        <v>474</v>
      </c>
      <c r="I2416" t="s">
        <v>475</v>
      </c>
      <c r="J2416" t="s">
        <v>2787</v>
      </c>
      <c r="K2416">
        <v>20220711</v>
      </c>
      <c r="L2416" t="s">
        <v>163</v>
      </c>
      <c r="M2416">
        <v>160</v>
      </c>
      <c r="N2416">
        <v>0</v>
      </c>
      <c r="O2416" t="s">
        <v>22</v>
      </c>
      <c r="P2416">
        <v>20220711</v>
      </c>
      <c r="Q2416">
        <v>20220711</v>
      </c>
    </row>
    <row r="2417" spans="1:17" x14ac:dyDescent="0.25">
      <c r="A2417" t="s">
        <v>476</v>
      </c>
      <c r="B2417" t="s">
        <v>477</v>
      </c>
      <c r="C2417">
        <v>93</v>
      </c>
      <c r="D2417">
        <v>20220711</v>
      </c>
      <c r="E2417">
        <f t="shared" si="37"/>
        <v>7</v>
      </c>
      <c r="F2417">
        <v>401000</v>
      </c>
      <c r="G2417" t="s">
        <v>41</v>
      </c>
      <c r="H2417" t="s">
        <v>303</v>
      </c>
      <c r="I2417" t="s">
        <v>304</v>
      </c>
      <c r="J2417" t="s">
        <v>2787</v>
      </c>
      <c r="K2417">
        <v>20220711</v>
      </c>
      <c r="L2417" t="s">
        <v>163</v>
      </c>
      <c r="M2417">
        <v>540</v>
      </c>
      <c r="N2417">
        <v>0</v>
      </c>
      <c r="O2417" t="s">
        <v>22</v>
      </c>
      <c r="P2417">
        <v>20220711</v>
      </c>
      <c r="Q2417">
        <v>20220711</v>
      </c>
    </row>
    <row r="2418" spans="1:17" x14ac:dyDescent="0.25">
      <c r="A2418" t="s">
        <v>476</v>
      </c>
      <c r="B2418" t="s">
        <v>477</v>
      </c>
      <c r="C2418">
        <v>93</v>
      </c>
      <c r="D2418">
        <v>20220711</v>
      </c>
      <c r="E2418">
        <f t="shared" si="37"/>
        <v>7</v>
      </c>
      <c r="F2418">
        <v>401000</v>
      </c>
      <c r="G2418" t="s">
        <v>41</v>
      </c>
      <c r="H2418" t="s">
        <v>827</v>
      </c>
      <c r="I2418" t="s">
        <v>828</v>
      </c>
      <c r="J2418" t="s">
        <v>2787</v>
      </c>
      <c r="K2418">
        <v>20220711</v>
      </c>
      <c r="L2418" t="s">
        <v>163</v>
      </c>
      <c r="M2418">
        <v>246</v>
      </c>
      <c r="N2418">
        <v>0</v>
      </c>
      <c r="O2418" t="s">
        <v>22</v>
      </c>
      <c r="P2418">
        <v>20220711</v>
      </c>
      <c r="Q2418">
        <v>20220711</v>
      </c>
    </row>
    <row r="2419" spans="1:17" x14ac:dyDescent="0.25">
      <c r="A2419" t="s">
        <v>476</v>
      </c>
      <c r="B2419" t="s">
        <v>477</v>
      </c>
      <c r="C2419">
        <v>93</v>
      </c>
      <c r="D2419">
        <v>20220711</v>
      </c>
      <c r="E2419">
        <f t="shared" si="37"/>
        <v>7</v>
      </c>
      <c r="F2419">
        <v>401000</v>
      </c>
      <c r="G2419" t="s">
        <v>41</v>
      </c>
      <c r="H2419" t="s">
        <v>830</v>
      </c>
      <c r="I2419" t="s">
        <v>831</v>
      </c>
      <c r="J2419" t="s">
        <v>2787</v>
      </c>
      <c r="K2419">
        <v>20220711</v>
      </c>
      <c r="L2419" t="s">
        <v>163</v>
      </c>
      <c r="M2419">
        <v>300</v>
      </c>
      <c r="N2419">
        <v>0</v>
      </c>
      <c r="O2419" t="s">
        <v>22</v>
      </c>
      <c r="P2419">
        <v>20220711</v>
      </c>
      <c r="Q2419">
        <v>20220711</v>
      </c>
    </row>
    <row r="2420" spans="1:17" x14ac:dyDescent="0.25">
      <c r="A2420" t="s">
        <v>476</v>
      </c>
      <c r="B2420" t="s">
        <v>477</v>
      </c>
      <c r="C2420">
        <v>93</v>
      </c>
      <c r="D2420">
        <v>20220711</v>
      </c>
      <c r="E2420">
        <f t="shared" si="37"/>
        <v>7</v>
      </c>
      <c r="F2420">
        <v>401000</v>
      </c>
      <c r="G2420" t="s">
        <v>41</v>
      </c>
      <c r="H2420" t="s">
        <v>2751</v>
      </c>
      <c r="I2420" t="s">
        <v>2752</v>
      </c>
      <c r="J2420" t="s">
        <v>2787</v>
      </c>
      <c r="K2420">
        <v>20220711</v>
      </c>
      <c r="L2420" t="s">
        <v>163</v>
      </c>
      <c r="M2420">
        <v>300</v>
      </c>
      <c r="N2420">
        <v>0</v>
      </c>
      <c r="O2420" t="s">
        <v>22</v>
      </c>
      <c r="P2420">
        <v>20220711</v>
      </c>
      <c r="Q2420">
        <v>20220711</v>
      </c>
    </row>
    <row r="2421" spans="1:17" x14ac:dyDescent="0.25">
      <c r="A2421" t="s">
        <v>476</v>
      </c>
      <c r="B2421" t="s">
        <v>477</v>
      </c>
      <c r="C2421">
        <v>93</v>
      </c>
      <c r="D2421">
        <v>20220711</v>
      </c>
      <c r="E2421">
        <f t="shared" si="37"/>
        <v>7</v>
      </c>
      <c r="F2421">
        <v>512000</v>
      </c>
      <c r="G2421" t="s">
        <v>428</v>
      </c>
      <c r="H2421" t="s">
        <v>401</v>
      </c>
      <c r="I2421" t="s">
        <v>402</v>
      </c>
      <c r="J2421" t="s">
        <v>2787</v>
      </c>
      <c r="K2421">
        <v>20220711</v>
      </c>
      <c r="L2421" t="s">
        <v>163</v>
      </c>
      <c r="M2421">
        <v>0</v>
      </c>
      <c r="N2421">
        <v>7852.57</v>
      </c>
      <c r="O2421" t="s">
        <v>19</v>
      </c>
      <c r="P2421" t="s">
        <v>20</v>
      </c>
      <c r="Q2421">
        <v>20220711</v>
      </c>
    </row>
    <row r="2422" spans="1:17" x14ac:dyDescent="0.25">
      <c r="A2422" t="s">
        <v>476</v>
      </c>
      <c r="B2422" t="s">
        <v>477</v>
      </c>
      <c r="C2422">
        <v>93</v>
      </c>
      <c r="D2422">
        <v>20220711</v>
      </c>
      <c r="E2422">
        <f t="shared" si="37"/>
        <v>7</v>
      </c>
      <c r="F2422">
        <v>437100</v>
      </c>
      <c r="G2422" t="s">
        <v>436</v>
      </c>
      <c r="H2422" t="s">
        <v>401</v>
      </c>
      <c r="I2422" t="s">
        <v>402</v>
      </c>
      <c r="J2422" t="s">
        <v>2788</v>
      </c>
      <c r="K2422">
        <v>20220711</v>
      </c>
      <c r="L2422" t="s">
        <v>127</v>
      </c>
      <c r="M2422">
        <v>736.8</v>
      </c>
      <c r="N2422">
        <v>0</v>
      </c>
      <c r="O2422" t="s">
        <v>23</v>
      </c>
      <c r="P2422">
        <v>20220729</v>
      </c>
      <c r="Q2422">
        <v>20220711</v>
      </c>
    </row>
    <row r="2423" spans="1:17" x14ac:dyDescent="0.25">
      <c r="A2423" t="s">
        <v>476</v>
      </c>
      <c r="B2423" t="s">
        <v>477</v>
      </c>
      <c r="C2423">
        <v>93</v>
      </c>
      <c r="D2423">
        <v>20220711</v>
      </c>
      <c r="E2423">
        <f t="shared" si="37"/>
        <v>7</v>
      </c>
      <c r="F2423">
        <v>512000</v>
      </c>
      <c r="G2423" t="s">
        <v>428</v>
      </c>
      <c r="H2423" t="s">
        <v>401</v>
      </c>
      <c r="I2423" t="s">
        <v>402</v>
      </c>
      <c r="J2423" t="s">
        <v>2788</v>
      </c>
      <c r="K2423">
        <v>20220711</v>
      </c>
      <c r="L2423" t="s">
        <v>127</v>
      </c>
      <c r="M2423">
        <v>0</v>
      </c>
      <c r="N2423">
        <v>736.8</v>
      </c>
      <c r="O2423" t="s">
        <v>19</v>
      </c>
      <c r="P2423" t="s">
        <v>20</v>
      </c>
      <c r="Q2423">
        <v>20220711</v>
      </c>
    </row>
    <row r="2424" spans="1:17" x14ac:dyDescent="0.25">
      <c r="A2424" t="s">
        <v>476</v>
      </c>
      <c r="B2424" t="s">
        <v>477</v>
      </c>
      <c r="C2424">
        <v>93</v>
      </c>
      <c r="D2424">
        <v>20220711</v>
      </c>
      <c r="E2424">
        <f t="shared" si="37"/>
        <v>7</v>
      </c>
      <c r="F2424">
        <v>445057</v>
      </c>
      <c r="G2424" t="s">
        <v>418</v>
      </c>
      <c r="H2424" t="s">
        <v>401</v>
      </c>
      <c r="I2424" t="s">
        <v>402</v>
      </c>
      <c r="J2424" t="s">
        <v>2789</v>
      </c>
      <c r="K2424">
        <v>20220711</v>
      </c>
      <c r="L2424" t="s">
        <v>2790</v>
      </c>
      <c r="M2424">
        <v>0</v>
      </c>
      <c r="N2424">
        <v>20000</v>
      </c>
      <c r="O2424" t="s">
        <v>23</v>
      </c>
      <c r="P2424">
        <v>20221005</v>
      </c>
      <c r="Q2424">
        <v>20220711</v>
      </c>
    </row>
    <row r="2425" spans="1:17" x14ac:dyDescent="0.25">
      <c r="A2425" t="s">
        <v>476</v>
      </c>
      <c r="B2425" t="s">
        <v>477</v>
      </c>
      <c r="C2425">
        <v>93</v>
      </c>
      <c r="D2425">
        <v>20220711</v>
      </c>
      <c r="E2425">
        <f t="shared" si="37"/>
        <v>7</v>
      </c>
      <c r="F2425">
        <v>512000</v>
      </c>
      <c r="G2425" t="s">
        <v>428</v>
      </c>
      <c r="H2425" t="s">
        <v>401</v>
      </c>
      <c r="I2425" t="s">
        <v>402</v>
      </c>
      <c r="J2425" t="s">
        <v>2789</v>
      </c>
      <c r="K2425">
        <v>20220711</v>
      </c>
      <c r="L2425" t="s">
        <v>2791</v>
      </c>
      <c r="M2425">
        <v>20000</v>
      </c>
      <c r="N2425">
        <v>0</v>
      </c>
      <c r="O2425" t="s">
        <v>19</v>
      </c>
      <c r="P2425" t="s">
        <v>20</v>
      </c>
      <c r="Q2425">
        <v>20220711</v>
      </c>
    </row>
    <row r="2426" spans="1:17" x14ac:dyDescent="0.25">
      <c r="A2426" t="s">
        <v>476</v>
      </c>
      <c r="B2426" t="s">
        <v>477</v>
      </c>
      <c r="C2426">
        <v>93</v>
      </c>
      <c r="D2426">
        <v>20220711</v>
      </c>
      <c r="E2426">
        <f t="shared" si="37"/>
        <v>7</v>
      </c>
      <c r="F2426">
        <v>791100</v>
      </c>
      <c r="G2426" t="s">
        <v>806</v>
      </c>
      <c r="H2426" t="s">
        <v>401</v>
      </c>
      <c r="I2426" t="s">
        <v>402</v>
      </c>
      <c r="J2426" t="s">
        <v>2792</v>
      </c>
      <c r="K2426">
        <v>20220711</v>
      </c>
      <c r="L2426" t="s">
        <v>1345</v>
      </c>
      <c r="M2426">
        <v>0</v>
      </c>
      <c r="N2426">
        <v>310</v>
      </c>
      <c r="O2426" t="s">
        <v>19</v>
      </c>
      <c r="P2426" t="s">
        <v>20</v>
      </c>
      <c r="Q2426">
        <v>20220711</v>
      </c>
    </row>
    <row r="2427" spans="1:17" x14ac:dyDescent="0.25">
      <c r="A2427" t="s">
        <v>476</v>
      </c>
      <c r="B2427" t="s">
        <v>477</v>
      </c>
      <c r="C2427">
        <v>93</v>
      </c>
      <c r="D2427">
        <v>20220711</v>
      </c>
      <c r="E2427">
        <f t="shared" si="37"/>
        <v>7</v>
      </c>
      <c r="F2427">
        <v>512000</v>
      </c>
      <c r="G2427" t="s">
        <v>428</v>
      </c>
      <c r="H2427" t="s">
        <v>401</v>
      </c>
      <c r="I2427" t="s">
        <v>402</v>
      </c>
      <c r="J2427" t="s">
        <v>2792</v>
      </c>
      <c r="K2427">
        <v>20220711</v>
      </c>
      <c r="L2427" t="s">
        <v>1345</v>
      </c>
      <c r="M2427">
        <v>310</v>
      </c>
      <c r="N2427">
        <v>0</v>
      </c>
      <c r="O2427" t="s">
        <v>19</v>
      </c>
      <c r="P2427" t="s">
        <v>20</v>
      </c>
      <c r="Q2427">
        <v>20220711</v>
      </c>
    </row>
    <row r="2428" spans="1:17" x14ac:dyDescent="0.25">
      <c r="A2428" t="s">
        <v>476</v>
      </c>
      <c r="B2428" t="s">
        <v>477</v>
      </c>
      <c r="C2428">
        <v>93</v>
      </c>
      <c r="D2428">
        <v>20220712</v>
      </c>
      <c r="E2428">
        <f t="shared" si="37"/>
        <v>7</v>
      </c>
      <c r="F2428">
        <v>437000</v>
      </c>
      <c r="G2428" t="s">
        <v>430</v>
      </c>
      <c r="H2428" t="s">
        <v>401</v>
      </c>
      <c r="I2428" t="s">
        <v>402</v>
      </c>
      <c r="J2428" t="s">
        <v>2793</v>
      </c>
      <c r="K2428">
        <v>20220712</v>
      </c>
      <c r="L2428" t="s">
        <v>497</v>
      </c>
      <c r="M2428">
        <v>1697.2</v>
      </c>
      <c r="N2428">
        <v>0</v>
      </c>
      <c r="O2428" t="s">
        <v>19</v>
      </c>
      <c r="P2428" t="s">
        <v>20</v>
      </c>
      <c r="Q2428">
        <v>20220712</v>
      </c>
    </row>
    <row r="2429" spans="1:17" x14ac:dyDescent="0.25">
      <c r="A2429" t="s">
        <v>476</v>
      </c>
      <c r="B2429" t="s">
        <v>477</v>
      </c>
      <c r="C2429">
        <v>93</v>
      </c>
      <c r="D2429">
        <v>20220712</v>
      </c>
      <c r="E2429">
        <f t="shared" si="37"/>
        <v>7</v>
      </c>
      <c r="F2429">
        <v>512000</v>
      </c>
      <c r="G2429" t="s">
        <v>428</v>
      </c>
      <c r="H2429" t="s">
        <v>401</v>
      </c>
      <c r="I2429" t="s">
        <v>402</v>
      </c>
      <c r="J2429" t="s">
        <v>2793</v>
      </c>
      <c r="K2429">
        <v>20220712</v>
      </c>
      <c r="L2429" t="s">
        <v>497</v>
      </c>
      <c r="M2429">
        <v>0</v>
      </c>
      <c r="N2429">
        <v>1697.2</v>
      </c>
      <c r="O2429" t="s">
        <v>19</v>
      </c>
      <c r="P2429" t="s">
        <v>20</v>
      </c>
      <c r="Q2429">
        <v>20220712</v>
      </c>
    </row>
    <row r="2430" spans="1:17" x14ac:dyDescent="0.25">
      <c r="A2430" t="s">
        <v>476</v>
      </c>
      <c r="B2430" t="s">
        <v>477</v>
      </c>
      <c r="C2430">
        <v>93</v>
      </c>
      <c r="D2430">
        <v>20220713</v>
      </c>
      <c r="E2430">
        <f t="shared" si="37"/>
        <v>7</v>
      </c>
      <c r="F2430">
        <v>411000</v>
      </c>
      <c r="G2430" t="s">
        <v>21</v>
      </c>
      <c r="H2430" t="s">
        <v>2416</v>
      </c>
      <c r="I2430" t="s">
        <v>2417</v>
      </c>
      <c r="J2430" t="s">
        <v>2794</v>
      </c>
      <c r="K2430">
        <v>20220713</v>
      </c>
      <c r="L2430" t="s">
        <v>127</v>
      </c>
      <c r="M2430">
        <v>80</v>
      </c>
      <c r="N2430">
        <v>0</v>
      </c>
      <c r="O2430" t="s">
        <v>23</v>
      </c>
      <c r="P2430">
        <v>20230215</v>
      </c>
      <c r="Q2430">
        <v>20220713</v>
      </c>
    </row>
    <row r="2431" spans="1:17" x14ac:dyDescent="0.25">
      <c r="A2431" t="s">
        <v>476</v>
      </c>
      <c r="B2431" t="s">
        <v>477</v>
      </c>
      <c r="C2431">
        <v>93</v>
      </c>
      <c r="D2431">
        <v>20220713</v>
      </c>
      <c r="E2431">
        <f t="shared" si="37"/>
        <v>7</v>
      </c>
      <c r="F2431">
        <v>411000</v>
      </c>
      <c r="G2431" t="s">
        <v>21</v>
      </c>
      <c r="H2431" t="s">
        <v>742</v>
      </c>
      <c r="I2431" t="s">
        <v>743</v>
      </c>
      <c r="J2431" t="s">
        <v>2794</v>
      </c>
      <c r="K2431">
        <v>20220713</v>
      </c>
      <c r="L2431" t="s">
        <v>127</v>
      </c>
      <c r="M2431">
        <v>80</v>
      </c>
      <c r="N2431">
        <v>0</v>
      </c>
      <c r="O2431" t="s">
        <v>19</v>
      </c>
      <c r="P2431" t="s">
        <v>20</v>
      </c>
      <c r="Q2431">
        <v>20220713</v>
      </c>
    </row>
    <row r="2432" spans="1:17" x14ac:dyDescent="0.25">
      <c r="A2432" t="s">
        <v>476</v>
      </c>
      <c r="B2432" t="s">
        <v>477</v>
      </c>
      <c r="C2432">
        <v>93</v>
      </c>
      <c r="D2432">
        <v>20220713</v>
      </c>
      <c r="E2432">
        <f t="shared" si="37"/>
        <v>7</v>
      </c>
      <c r="F2432">
        <v>512000</v>
      </c>
      <c r="G2432" t="s">
        <v>428</v>
      </c>
      <c r="H2432" t="s">
        <v>401</v>
      </c>
      <c r="I2432" t="s">
        <v>402</v>
      </c>
      <c r="J2432" t="s">
        <v>2794</v>
      </c>
      <c r="K2432">
        <v>20220713</v>
      </c>
      <c r="L2432" t="s">
        <v>127</v>
      </c>
      <c r="M2432">
        <v>0</v>
      </c>
      <c r="N2432">
        <v>160</v>
      </c>
      <c r="O2432" t="s">
        <v>19</v>
      </c>
      <c r="P2432" t="s">
        <v>20</v>
      </c>
      <c r="Q2432">
        <v>20220713</v>
      </c>
    </row>
    <row r="2433" spans="1:17" x14ac:dyDescent="0.25">
      <c r="A2433" t="s">
        <v>476</v>
      </c>
      <c r="B2433" t="s">
        <v>477</v>
      </c>
      <c r="C2433">
        <v>93</v>
      </c>
      <c r="D2433">
        <v>20220713</v>
      </c>
      <c r="E2433">
        <f t="shared" si="37"/>
        <v>7</v>
      </c>
      <c r="F2433">
        <v>401000</v>
      </c>
      <c r="G2433" t="s">
        <v>41</v>
      </c>
      <c r="H2433" t="s">
        <v>42</v>
      </c>
      <c r="I2433" t="s">
        <v>43</v>
      </c>
      <c r="J2433" t="s">
        <v>2795</v>
      </c>
      <c r="K2433">
        <v>20220713</v>
      </c>
      <c r="L2433" t="s">
        <v>163</v>
      </c>
      <c r="M2433">
        <v>694.84</v>
      </c>
      <c r="N2433">
        <v>0</v>
      </c>
      <c r="O2433" t="s">
        <v>22</v>
      </c>
      <c r="P2433">
        <v>20220713</v>
      </c>
      <c r="Q2433">
        <v>20220713</v>
      </c>
    </row>
    <row r="2434" spans="1:17" x14ac:dyDescent="0.25">
      <c r="A2434" t="s">
        <v>476</v>
      </c>
      <c r="B2434" t="s">
        <v>477</v>
      </c>
      <c r="C2434">
        <v>93</v>
      </c>
      <c r="D2434">
        <v>20220713</v>
      </c>
      <c r="E2434">
        <f t="shared" si="37"/>
        <v>7</v>
      </c>
      <c r="F2434">
        <v>401000</v>
      </c>
      <c r="G2434" t="s">
        <v>41</v>
      </c>
      <c r="H2434" t="s">
        <v>2394</v>
      </c>
      <c r="I2434" t="s">
        <v>2395</v>
      </c>
      <c r="J2434" t="s">
        <v>2795</v>
      </c>
      <c r="K2434">
        <v>20220713</v>
      </c>
      <c r="L2434" t="s">
        <v>163</v>
      </c>
      <c r="M2434">
        <v>5688</v>
      </c>
      <c r="N2434">
        <v>0</v>
      </c>
      <c r="O2434" t="s">
        <v>22</v>
      </c>
      <c r="P2434">
        <v>20220713</v>
      </c>
      <c r="Q2434">
        <v>20220713</v>
      </c>
    </row>
    <row r="2435" spans="1:17" x14ac:dyDescent="0.25">
      <c r="A2435" t="s">
        <v>476</v>
      </c>
      <c r="B2435" t="s">
        <v>477</v>
      </c>
      <c r="C2435">
        <v>93</v>
      </c>
      <c r="D2435">
        <v>20220713</v>
      </c>
      <c r="E2435">
        <f t="shared" ref="E2435:E2498" si="38">VALUE(MID(D2435,5,2))</f>
        <v>7</v>
      </c>
      <c r="F2435">
        <v>401000</v>
      </c>
      <c r="G2435" t="s">
        <v>41</v>
      </c>
      <c r="H2435" t="s">
        <v>46</v>
      </c>
      <c r="I2435" t="s">
        <v>47</v>
      </c>
      <c r="J2435" t="s">
        <v>2795</v>
      </c>
      <c r="K2435">
        <v>20220713</v>
      </c>
      <c r="L2435" t="s">
        <v>163</v>
      </c>
      <c r="M2435">
        <v>1055</v>
      </c>
      <c r="N2435">
        <v>0</v>
      </c>
      <c r="O2435" t="s">
        <v>22</v>
      </c>
      <c r="P2435">
        <v>20220713</v>
      </c>
      <c r="Q2435">
        <v>20220713</v>
      </c>
    </row>
    <row r="2436" spans="1:17" x14ac:dyDescent="0.25">
      <c r="A2436" t="s">
        <v>476</v>
      </c>
      <c r="B2436" t="s">
        <v>477</v>
      </c>
      <c r="C2436">
        <v>93</v>
      </c>
      <c r="D2436">
        <v>20220713</v>
      </c>
      <c r="E2436">
        <f t="shared" si="38"/>
        <v>7</v>
      </c>
      <c r="F2436">
        <v>401000</v>
      </c>
      <c r="G2436" t="s">
        <v>41</v>
      </c>
      <c r="H2436" t="s">
        <v>50</v>
      </c>
      <c r="I2436" t="s">
        <v>51</v>
      </c>
      <c r="J2436" t="s">
        <v>2795</v>
      </c>
      <c r="K2436">
        <v>20220713</v>
      </c>
      <c r="L2436" t="s">
        <v>163</v>
      </c>
      <c r="M2436">
        <v>1809</v>
      </c>
      <c r="N2436">
        <v>0</v>
      </c>
      <c r="O2436" t="s">
        <v>22</v>
      </c>
      <c r="P2436">
        <v>20220713</v>
      </c>
      <c r="Q2436">
        <v>20220713</v>
      </c>
    </row>
    <row r="2437" spans="1:17" x14ac:dyDescent="0.25">
      <c r="A2437" t="s">
        <v>476</v>
      </c>
      <c r="B2437" t="s">
        <v>477</v>
      </c>
      <c r="C2437">
        <v>93</v>
      </c>
      <c r="D2437">
        <v>20220713</v>
      </c>
      <c r="E2437">
        <f t="shared" si="38"/>
        <v>7</v>
      </c>
      <c r="F2437">
        <v>401000</v>
      </c>
      <c r="G2437" t="s">
        <v>41</v>
      </c>
      <c r="H2437" t="s">
        <v>450</v>
      </c>
      <c r="I2437" t="s">
        <v>451</v>
      </c>
      <c r="J2437" t="s">
        <v>2795</v>
      </c>
      <c r="K2437">
        <v>20220713</v>
      </c>
      <c r="L2437" t="s">
        <v>163</v>
      </c>
      <c r="M2437">
        <v>37.5</v>
      </c>
      <c r="N2437">
        <v>0</v>
      </c>
      <c r="O2437" t="s">
        <v>22</v>
      </c>
      <c r="P2437">
        <v>20220713</v>
      </c>
      <c r="Q2437">
        <v>20220713</v>
      </c>
    </row>
    <row r="2438" spans="1:17" x14ac:dyDescent="0.25">
      <c r="A2438" t="s">
        <v>476</v>
      </c>
      <c r="B2438" t="s">
        <v>477</v>
      </c>
      <c r="C2438">
        <v>93</v>
      </c>
      <c r="D2438">
        <v>20220713</v>
      </c>
      <c r="E2438">
        <f t="shared" si="38"/>
        <v>7</v>
      </c>
      <c r="F2438">
        <v>401000</v>
      </c>
      <c r="G2438" t="s">
        <v>41</v>
      </c>
      <c r="H2438" t="s">
        <v>56</v>
      </c>
      <c r="I2438" t="s">
        <v>57</v>
      </c>
      <c r="J2438" t="s">
        <v>2795</v>
      </c>
      <c r="K2438">
        <v>20220713</v>
      </c>
      <c r="L2438" t="s">
        <v>163</v>
      </c>
      <c r="M2438">
        <v>473.39</v>
      </c>
      <c r="N2438">
        <v>0</v>
      </c>
      <c r="O2438" t="s">
        <v>22</v>
      </c>
      <c r="P2438">
        <v>20220713</v>
      </c>
      <c r="Q2438">
        <v>20220713</v>
      </c>
    </row>
    <row r="2439" spans="1:17" x14ac:dyDescent="0.25">
      <c r="A2439" t="s">
        <v>476</v>
      </c>
      <c r="B2439" t="s">
        <v>477</v>
      </c>
      <c r="C2439">
        <v>93</v>
      </c>
      <c r="D2439">
        <v>20220713</v>
      </c>
      <c r="E2439">
        <f t="shared" si="38"/>
        <v>7</v>
      </c>
      <c r="F2439">
        <v>401000</v>
      </c>
      <c r="G2439" t="s">
        <v>41</v>
      </c>
      <c r="H2439" t="s">
        <v>97</v>
      </c>
      <c r="I2439" t="s">
        <v>98</v>
      </c>
      <c r="J2439" t="s">
        <v>2795</v>
      </c>
      <c r="K2439">
        <v>20220713</v>
      </c>
      <c r="L2439" t="s">
        <v>163</v>
      </c>
      <c r="M2439">
        <v>661.56</v>
      </c>
      <c r="N2439">
        <v>0</v>
      </c>
      <c r="O2439" t="s">
        <v>22</v>
      </c>
      <c r="P2439">
        <v>20220713</v>
      </c>
      <c r="Q2439">
        <v>20220713</v>
      </c>
    </row>
    <row r="2440" spans="1:17" x14ac:dyDescent="0.25">
      <c r="A2440" t="s">
        <v>476</v>
      </c>
      <c r="B2440" t="s">
        <v>477</v>
      </c>
      <c r="C2440">
        <v>93</v>
      </c>
      <c r="D2440">
        <v>20220713</v>
      </c>
      <c r="E2440">
        <f t="shared" si="38"/>
        <v>7</v>
      </c>
      <c r="F2440">
        <v>401000</v>
      </c>
      <c r="G2440" t="s">
        <v>41</v>
      </c>
      <c r="H2440" t="s">
        <v>834</v>
      </c>
      <c r="I2440" t="s">
        <v>835</v>
      </c>
      <c r="J2440" t="s">
        <v>2795</v>
      </c>
      <c r="K2440">
        <v>20220713</v>
      </c>
      <c r="L2440" t="s">
        <v>163</v>
      </c>
      <c r="M2440">
        <v>8765</v>
      </c>
      <c r="N2440">
        <v>0</v>
      </c>
      <c r="O2440" t="s">
        <v>22</v>
      </c>
      <c r="P2440">
        <v>20220713</v>
      </c>
      <c r="Q2440">
        <v>20220713</v>
      </c>
    </row>
    <row r="2441" spans="1:17" x14ac:dyDescent="0.25">
      <c r="A2441" t="s">
        <v>476</v>
      </c>
      <c r="B2441" t="s">
        <v>477</v>
      </c>
      <c r="C2441">
        <v>93</v>
      </c>
      <c r="D2441">
        <v>20220713</v>
      </c>
      <c r="E2441">
        <f t="shared" si="38"/>
        <v>7</v>
      </c>
      <c r="F2441">
        <v>401000</v>
      </c>
      <c r="G2441" t="s">
        <v>41</v>
      </c>
      <c r="H2441" t="s">
        <v>1687</v>
      </c>
      <c r="I2441" t="s">
        <v>1688</v>
      </c>
      <c r="J2441" t="s">
        <v>2795</v>
      </c>
      <c r="K2441">
        <v>20220713</v>
      </c>
      <c r="L2441" t="s">
        <v>163</v>
      </c>
      <c r="M2441">
        <v>54</v>
      </c>
      <c r="N2441">
        <v>0</v>
      </c>
      <c r="O2441" t="s">
        <v>22</v>
      </c>
      <c r="P2441">
        <v>20220713</v>
      </c>
      <c r="Q2441">
        <v>20220713</v>
      </c>
    </row>
    <row r="2442" spans="1:17" x14ac:dyDescent="0.25">
      <c r="A2442" t="s">
        <v>476</v>
      </c>
      <c r="B2442" t="s">
        <v>477</v>
      </c>
      <c r="C2442">
        <v>93</v>
      </c>
      <c r="D2442">
        <v>20220713</v>
      </c>
      <c r="E2442">
        <f t="shared" si="38"/>
        <v>7</v>
      </c>
      <c r="F2442">
        <v>401000</v>
      </c>
      <c r="G2442" t="s">
        <v>41</v>
      </c>
      <c r="H2442" t="s">
        <v>1311</v>
      </c>
      <c r="I2442" t="s">
        <v>1312</v>
      </c>
      <c r="J2442" t="s">
        <v>2795</v>
      </c>
      <c r="K2442">
        <v>20220713</v>
      </c>
      <c r="L2442" t="s">
        <v>163</v>
      </c>
      <c r="M2442">
        <v>438</v>
      </c>
      <c r="N2442">
        <v>0</v>
      </c>
      <c r="O2442" t="s">
        <v>22</v>
      </c>
      <c r="P2442">
        <v>20220713</v>
      </c>
      <c r="Q2442">
        <v>20220713</v>
      </c>
    </row>
    <row r="2443" spans="1:17" x14ac:dyDescent="0.25">
      <c r="A2443" t="s">
        <v>476</v>
      </c>
      <c r="B2443" t="s">
        <v>477</v>
      </c>
      <c r="C2443">
        <v>93</v>
      </c>
      <c r="D2443">
        <v>20220713</v>
      </c>
      <c r="E2443">
        <f t="shared" si="38"/>
        <v>7</v>
      </c>
      <c r="F2443">
        <v>401000</v>
      </c>
      <c r="G2443" t="s">
        <v>41</v>
      </c>
      <c r="H2443" t="s">
        <v>2753</v>
      </c>
      <c r="I2443" t="s">
        <v>2754</v>
      </c>
      <c r="J2443" t="s">
        <v>2795</v>
      </c>
      <c r="K2443">
        <v>20220713</v>
      </c>
      <c r="L2443" t="s">
        <v>163</v>
      </c>
      <c r="M2443">
        <v>1161.4000000000001</v>
      </c>
      <c r="N2443">
        <v>0</v>
      </c>
      <c r="O2443" t="s">
        <v>22</v>
      </c>
      <c r="P2443">
        <v>20220713</v>
      </c>
      <c r="Q2443">
        <v>20220713</v>
      </c>
    </row>
    <row r="2444" spans="1:17" x14ac:dyDescent="0.25">
      <c r="A2444" t="s">
        <v>476</v>
      </c>
      <c r="B2444" t="s">
        <v>477</v>
      </c>
      <c r="C2444">
        <v>93</v>
      </c>
      <c r="D2444">
        <v>20220713</v>
      </c>
      <c r="E2444">
        <f t="shared" si="38"/>
        <v>7</v>
      </c>
      <c r="F2444">
        <v>512000</v>
      </c>
      <c r="G2444" t="s">
        <v>428</v>
      </c>
      <c r="H2444" t="s">
        <v>401</v>
      </c>
      <c r="I2444" t="s">
        <v>402</v>
      </c>
      <c r="J2444" t="s">
        <v>2795</v>
      </c>
      <c r="K2444">
        <v>20220713</v>
      </c>
      <c r="L2444" t="s">
        <v>163</v>
      </c>
      <c r="M2444">
        <v>0</v>
      </c>
      <c r="N2444">
        <v>20837.689999999999</v>
      </c>
      <c r="O2444" t="s">
        <v>19</v>
      </c>
      <c r="P2444" t="s">
        <v>20</v>
      </c>
      <c r="Q2444">
        <v>20220713</v>
      </c>
    </row>
    <row r="2445" spans="1:17" x14ac:dyDescent="0.25">
      <c r="A2445" t="s">
        <v>476</v>
      </c>
      <c r="B2445" t="s">
        <v>477</v>
      </c>
      <c r="C2445">
        <v>93</v>
      </c>
      <c r="D2445">
        <v>20220713</v>
      </c>
      <c r="E2445">
        <f t="shared" si="38"/>
        <v>7</v>
      </c>
      <c r="F2445">
        <v>411100</v>
      </c>
      <c r="G2445" t="s">
        <v>18</v>
      </c>
      <c r="H2445" t="s">
        <v>802</v>
      </c>
      <c r="I2445" t="s">
        <v>803</v>
      </c>
      <c r="J2445" t="s">
        <v>2796</v>
      </c>
      <c r="K2445">
        <v>20220713</v>
      </c>
      <c r="L2445" t="s">
        <v>127</v>
      </c>
      <c r="M2445">
        <v>305.26</v>
      </c>
      <c r="N2445">
        <v>0</v>
      </c>
      <c r="O2445" t="s">
        <v>23</v>
      </c>
      <c r="P2445">
        <v>20230329</v>
      </c>
      <c r="Q2445">
        <v>20220713</v>
      </c>
    </row>
    <row r="2446" spans="1:17" x14ac:dyDescent="0.25">
      <c r="A2446" t="s">
        <v>476</v>
      </c>
      <c r="B2446" t="s">
        <v>477</v>
      </c>
      <c r="C2446">
        <v>93</v>
      </c>
      <c r="D2446">
        <v>20220713</v>
      </c>
      <c r="E2446">
        <f t="shared" si="38"/>
        <v>7</v>
      </c>
      <c r="F2446">
        <v>512000</v>
      </c>
      <c r="G2446" t="s">
        <v>428</v>
      </c>
      <c r="H2446" t="s">
        <v>401</v>
      </c>
      <c r="I2446" t="s">
        <v>402</v>
      </c>
      <c r="J2446" t="s">
        <v>2796</v>
      </c>
      <c r="K2446">
        <v>20220713</v>
      </c>
      <c r="L2446" t="s">
        <v>127</v>
      </c>
      <c r="M2446">
        <v>0</v>
      </c>
      <c r="N2446">
        <v>305.26</v>
      </c>
      <c r="O2446" t="s">
        <v>19</v>
      </c>
      <c r="P2446" t="s">
        <v>20</v>
      </c>
      <c r="Q2446">
        <v>20220713</v>
      </c>
    </row>
    <row r="2447" spans="1:17" x14ac:dyDescent="0.25">
      <c r="A2447" t="s">
        <v>476</v>
      </c>
      <c r="B2447" t="s">
        <v>477</v>
      </c>
      <c r="C2447">
        <v>93</v>
      </c>
      <c r="D2447">
        <v>20220718</v>
      </c>
      <c r="E2447">
        <f t="shared" si="38"/>
        <v>7</v>
      </c>
      <c r="F2447">
        <v>421000</v>
      </c>
      <c r="G2447" t="s">
        <v>403</v>
      </c>
      <c r="H2447" t="s">
        <v>401</v>
      </c>
      <c r="I2447" t="s">
        <v>402</v>
      </c>
      <c r="J2447" t="s">
        <v>2797</v>
      </c>
      <c r="K2447">
        <v>20220718</v>
      </c>
      <c r="L2447" t="s">
        <v>2798</v>
      </c>
      <c r="M2447">
        <v>3930.33</v>
      </c>
      <c r="N2447">
        <v>0</v>
      </c>
      <c r="O2447" t="s">
        <v>23</v>
      </c>
      <c r="P2447">
        <v>20220921</v>
      </c>
      <c r="Q2447">
        <v>20220718</v>
      </c>
    </row>
    <row r="2448" spans="1:17" x14ac:dyDescent="0.25">
      <c r="A2448" t="s">
        <v>476</v>
      </c>
      <c r="B2448" t="s">
        <v>477</v>
      </c>
      <c r="C2448">
        <v>93</v>
      </c>
      <c r="D2448">
        <v>20220718</v>
      </c>
      <c r="E2448">
        <f t="shared" si="38"/>
        <v>7</v>
      </c>
      <c r="F2448">
        <v>512000</v>
      </c>
      <c r="G2448" t="s">
        <v>428</v>
      </c>
      <c r="H2448" t="s">
        <v>401</v>
      </c>
      <c r="I2448" t="s">
        <v>402</v>
      </c>
      <c r="J2448" t="s">
        <v>2797</v>
      </c>
      <c r="K2448">
        <v>20220718</v>
      </c>
      <c r="L2448" t="s">
        <v>2798</v>
      </c>
      <c r="M2448">
        <v>0</v>
      </c>
      <c r="N2448">
        <v>3930.33</v>
      </c>
      <c r="O2448" t="s">
        <v>19</v>
      </c>
      <c r="P2448" t="s">
        <v>20</v>
      </c>
      <c r="Q2448">
        <v>20220718</v>
      </c>
    </row>
    <row r="2449" spans="1:17" x14ac:dyDescent="0.25">
      <c r="A2449" t="s">
        <v>476</v>
      </c>
      <c r="B2449" t="s">
        <v>477</v>
      </c>
      <c r="C2449">
        <v>93</v>
      </c>
      <c r="D2449">
        <v>20220718</v>
      </c>
      <c r="E2449">
        <f t="shared" si="38"/>
        <v>7</v>
      </c>
      <c r="F2449">
        <v>431000</v>
      </c>
      <c r="G2449" t="s">
        <v>408</v>
      </c>
      <c r="H2449" t="s">
        <v>401</v>
      </c>
      <c r="I2449" t="s">
        <v>402</v>
      </c>
      <c r="J2449" t="s">
        <v>2799</v>
      </c>
      <c r="K2449">
        <v>20220718</v>
      </c>
      <c r="L2449" t="s">
        <v>409</v>
      </c>
      <c r="M2449">
        <v>33772</v>
      </c>
      <c r="N2449">
        <v>0</v>
      </c>
      <c r="O2449" t="s">
        <v>23</v>
      </c>
      <c r="P2449">
        <v>20230218</v>
      </c>
      <c r="Q2449">
        <v>20220718</v>
      </c>
    </row>
    <row r="2450" spans="1:17" x14ac:dyDescent="0.25">
      <c r="A2450" t="s">
        <v>476</v>
      </c>
      <c r="B2450" t="s">
        <v>477</v>
      </c>
      <c r="C2450">
        <v>93</v>
      </c>
      <c r="D2450">
        <v>20220718</v>
      </c>
      <c r="E2450">
        <f t="shared" si="38"/>
        <v>7</v>
      </c>
      <c r="F2450">
        <v>512000</v>
      </c>
      <c r="G2450" t="s">
        <v>428</v>
      </c>
      <c r="H2450" t="s">
        <v>401</v>
      </c>
      <c r="I2450" t="s">
        <v>402</v>
      </c>
      <c r="J2450" t="s">
        <v>2799</v>
      </c>
      <c r="K2450">
        <v>20220718</v>
      </c>
      <c r="L2450" t="s">
        <v>409</v>
      </c>
      <c r="M2450">
        <v>0</v>
      </c>
      <c r="N2450">
        <v>33772</v>
      </c>
      <c r="O2450" t="s">
        <v>19</v>
      </c>
      <c r="P2450" t="s">
        <v>20</v>
      </c>
      <c r="Q2450">
        <v>20220718</v>
      </c>
    </row>
    <row r="2451" spans="1:17" x14ac:dyDescent="0.25">
      <c r="A2451" t="s">
        <v>476</v>
      </c>
      <c r="B2451" t="s">
        <v>477</v>
      </c>
      <c r="C2451">
        <v>93</v>
      </c>
      <c r="D2451">
        <v>20220720</v>
      </c>
      <c r="E2451">
        <f t="shared" si="38"/>
        <v>7</v>
      </c>
      <c r="F2451">
        <v>467100</v>
      </c>
      <c r="G2451" t="s">
        <v>160</v>
      </c>
      <c r="H2451" t="s">
        <v>164</v>
      </c>
      <c r="I2451" t="s">
        <v>165</v>
      </c>
      <c r="J2451" t="s">
        <v>2800</v>
      </c>
      <c r="K2451">
        <v>20220720</v>
      </c>
      <c r="L2451" t="s">
        <v>127</v>
      </c>
      <c r="M2451">
        <v>1000</v>
      </c>
      <c r="N2451">
        <v>0</v>
      </c>
      <c r="O2451" t="s">
        <v>23</v>
      </c>
      <c r="P2451">
        <v>20220801</v>
      </c>
      <c r="Q2451">
        <v>20220720</v>
      </c>
    </row>
    <row r="2452" spans="1:17" x14ac:dyDescent="0.25">
      <c r="A2452" t="s">
        <v>476</v>
      </c>
      <c r="B2452" t="s">
        <v>477</v>
      </c>
      <c r="C2452">
        <v>93</v>
      </c>
      <c r="D2452">
        <v>20220720</v>
      </c>
      <c r="E2452">
        <f t="shared" si="38"/>
        <v>7</v>
      </c>
      <c r="F2452">
        <v>467100</v>
      </c>
      <c r="G2452" t="s">
        <v>160</v>
      </c>
      <c r="H2452" t="s">
        <v>164</v>
      </c>
      <c r="I2452" t="s">
        <v>165</v>
      </c>
      <c r="J2452" t="s">
        <v>2800</v>
      </c>
      <c r="K2452">
        <v>20220720</v>
      </c>
      <c r="L2452" t="s">
        <v>127</v>
      </c>
      <c r="M2452">
        <v>1000</v>
      </c>
      <c r="N2452">
        <v>0</v>
      </c>
      <c r="O2452" t="s">
        <v>23</v>
      </c>
      <c r="P2452">
        <v>20220801</v>
      </c>
      <c r="Q2452">
        <v>20220720</v>
      </c>
    </row>
    <row r="2453" spans="1:17" x14ac:dyDescent="0.25">
      <c r="A2453" t="s">
        <v>476</v>
      </c>
      <c r="B2453" t="s">
        <v>477</v>
      </c>
      <c r="C2453">
        <v>93</v>
      </c>
      <c r="D2453">
        <v>20220720</v>
      </c>
      <c r="E2453">
        <f t="shared" si="38"/>
        <v>7</v>
      </c>
      <c r="F2453">
        <v>467100</v>
      </c>
      <c r="G2453" t="s">
        <v>160</v>
      </c>
      <c r="H2453" t="s">
        <v>316</v>
      </c>
      <c r="I2453" t="s">
        <v>317</v>
      </c>
      <c r="J2453" t="s">
        <v>2800</v>
      </c>
      <c r="K2453">
        <v>20220720</v>
      </c>
      <c r="L2453" t="s">
        <v>127</v>
      </c>
      <c r="M2453">
        <v>300</v>
      </c>
      <c r="N2453">
        <v>0</v>
      </c>
      <c r="O2453" t="s">
        <v>23</v>
      </c>
      <c r="P2453">
        <v>20220930</v>
      </c>
      <c r="Q2453">
        <v>20220720</v>
      </c>
    </row>
    <row r="2454" spans="1:17" x14ac:dyDescent="0.25">
      <c r="A2454" t="s">
        <v>476</v>
      </c>
      <c r="B2454" t="s">
        <v>477</v>
      </c>
      <c r="C2454">
        <v>93</v>
      </c>
      <c r="D2454">
        <v>20220720</v>
      </c>
      <c r="E2454">
        <f t="shared" si="38"/>
        <v>7</v>
      </c>
      <c r="F2454">
        <v>401000</v>
      </c>
      <c r="G2454" t="s">
        <v>41</v>
      </c>
      <c r="H2454" t="s">
        <v>1712</v>
      </c>
      <c r="I2454" t="s">
        <v>1713</v>
      </c>
      <c r="J2454" t="s">
        <v>2800</v>
      </c>
      <c r="K2454">
        <v>20220720</v>
      </c>
      <c r="L2454" t="s">
        <v>127</v>
      </c>
      <c r="M2454">
        <v>764.5</v>
      </c>
      <c r="N2454">
        <v>0</v>
      </c>
      <c r="O2454" t="s">
        <v>23</v>
      </c>
      <c r="P2454">
        <v>20221219</v>
      </c>
      <c r="Q2454">
        <v>20220720</v>
      </c>
    </row>
    <row r="2455" spans="1:17" x14ac:dyDescent="0.25">
      <c r="A2455" t="s">
        <v>476</v>
      </c>
      <c r="B2455" t="s">
        <v>477</v>
      </c>
      <c r="C2455">
        <v>93</v>
      </c>
      <c r="D2455">
        <v>20220720</v>
      </c>
      <c r="E2455">
        <f t="shared" si="38"/>
        <v>7</v>
      </c>
      <c r="F2455">
        <v>401000</v>
      </c>
      <c r="G2455" t="s">
        <v>41</v>
      </c>
      <c r="H2455" t="s">
        <v>450</v>
      </c>
      <c r="I2455" t="s">
        <v>451</v>
      </c>
      <c r="J2455" t="s">
        <v>2800</v>
      </c>
      <c r="K2455">
        <v>20220720</v>
      </c>
      <c r="L2455" t="s">
        <v>127</v>
      </c>
      <c r="M2455">
        <v>91.2</v>
      </c>
      <c r="N2455">
        <v>0</v>
      </c>
      <c r="O2455" t="s">
        <v>23</v>
      </c>
      <c r="P2455">
        <v>20220805</v>
      </c>
      <c r="Q2455">
        <v>20220720</v>
      </c>
    </row>
    <row r="2456" spans="1:17" x14ac:dyDescent="0.25">
      <c r="A2456" t="s">
        <v>476</v>
      </c>
      <c r="B2456" t="s">
        <v>477</v>
      </c>
      <c r="C2456">
        <v>93</v>
      </c>
      <c r="D2456">
        <v>20220720</v>
      </c>
      <c r="E2456">
        <f t="shared" si="38"/>
        <v>7</v>
      </c>
      <c r="F2456">
        <v>512000</v>
      </c>
      <c r="G2456" t="s">
        <v>428</v>
      </c>
      <c r="H2456" t="s">
        <v>401</v>
      </c>
      <c r="I2456" t="s">
        <v>402</v>
      </c>
      <c r="J2456" t="s">
        <v>2800</v>
      </c>
      <c r="K2456">
        <v>20220720</v>
      </c>
      <c r="L2456" t="s">
        <v>127</v>
      </c>
      <c r="M2456">
        <v>0</v>
      </c>
      <c r="N2456">
        <v>3155.7</v>
      </c>
      <c r="O2456" t="s">
        <v>19</v>
      </c>
      <c r="P2456" t="s">
        <v>20</v>
      </c>
      <c r="Q2456">
        <v>20220720</v>
      </c>
    </row>
    <row r="2457" spans="1:17" x14ac:dyDescent="0.25">
      <c r="A2457" t="s">
        <v>476</v>
      </c>
      <c r="B2457" t="s">
        <v>477</v>
      </c>
      <c r="C2457">
        <v>93</v>
      </c>
      <c r="D2457">
        <v>20220721</v>
      </c>
      <c r="E2457">
        <f t="shared" si="38"/>
        <v>7</v>
      </c>
      <c r="F2457">
        <v>442100</v>
      </c>
      <c r="G2457" t="s">
        <v>435</v>
      </c>
      <c r="H2457" t="s">
        <v>401</v>
      </c>
      <c r="I2457" t="s">
        <v>402</v>
      </c>
      <c r="J2457" t="s">
        <v>2801</v>
      </c>
      <c r="K2457">
        <v>20220721</v>
      </c>
      <c r="L2457" t="s">
        <v>528</v>
      </c>
      <c r="M2457">
        <v>1964</v>
      </c>
      <c r="N2457">
        <v>0</v>
      </c>
      <c r="O2457" t="s">
        <v>23</v>
      </c>
      <c r="P2457">
        <v>20221005</v>
      </c>
      <c r="Q2457">
        <v>20220721</v>
      </c>
    </row>
    <row r="2458" spans="1:17" x14ac:dyDescent="0.25">
      <c r="A2458" t="s">
        <v>476</v>
      </c>
      <c r="B2458" t="s">
        <v>477</v>
      </c>
      <c r="C2458">
        <v>93</v>
      </c>
      <c r="D2458">
        <v>20220721</v>
      </c>
      <c r="E2458">
        <f t="shared" si="38"/>
        <v>7</v>
      </c>
      <c r="F2458">
        <v>512000</v>
      </c>
      <c r="G2458" t="s">
        <v>428</v>
      </c>
      <c r="H2458" t="s">
        <v>401</v>
      </c>
      <c r="I2458" t="s">
        <v>402</v>
      </c>
      <c r="J2458" t="s">
        <v>2801</v>
      </c>
      <c r="K2458">
        <v>20220721</v>
      </c>
      <c r="L2458" t="s">
        <v>528</v>
      </c>
      <c r="M2458">
        <v>0</v>
      </c>
      <c r="N2458">
        <v>1964</v>
      </c>
      <c r="O2458" t="s">
        <v>19</v>
      </c>
      <c r="P2458" t="s">
        <v>20</v>
      </c>
      <c r="Q2458">
        <v>20220721</v>
      </c>
    </row>
    <row r="2459" spans="1:17" x14ac:dyDescent="0.25">
      <c r="A2459" t="s">
        <v>476</v>
      </c>
      <c r="B2459" t="s">
        <v>477</v>
      </c>
      <c r="C2459">
        <v>93</v>
      </c>
      <c r="D2459">
        <v>20220725</v>
      </c>
      <c r="E2459">
        <f t="shared" si="38"/>
        <v>7</v>
      </c>
      <c r="F2459">
        <v>468725</v>
      </c>
      <c r="G2459" t="s">
        <v>424</v>
      </c>
      <c r="H2459" t="s">
        <v>401</v>
      </c>
      <c r="I2459" t="s">
        <v>402</v>
      </c>
      <c r="J2459" t="s">
        <v>2802</v>
      </c>
      <c r="K2459">
        <v>20220725</v>
      </c>
      <c r="L2459" t="s">
        <v>1718</v>
      </c>
      <c r="M2459">
        <v>0</v>
      </c>
      <c r="N2459">
        <v>470.17</v>
      </c>
      <c r="O2459" t="s">
        <v>23</v>
      </c>
      <c r="P2459">
        <v>20230105</v>
      </c>
      <c r="Q2459">
        <v>20220725</v>
      </c>
    </row>
    <row r="2460" spans="1:17" x14ac:dyDescent="0.25">
      <c r="A2460" t="s">
        <v>476</v>
      </c>
      <c r="B2460" t="s">
        <v>477</v>
      </c>
      <c r="C2460">
        <v>93</v>
      </c>
      <c r="D2460">
        <v>20220725</v>
      </c>
      <c r="E2460">
        <f t="shared" si="38"/>
        <v>7</v>
      </c>
      <c r="F2460">
        <v>512000</v>
      </c>
      <c r="G2460" t="s">
        <v>428</v>
      </c>
      <c r="H2460" t="s">
        <v>401</v>
      </c>
      <c r="I2460" t="s">
        <v>402</v>
      </c>
      <c r="J2460" t="s">
        <v>2802</v>
      </c>
      <c r="K2460">
        <v>20220725</v>
      </c>
      <c r="L2460" t="s">
        <v>1718</v>
      </c>
      <c r="M2460">
        <v>470.17</v>
      </c>
      <c r="N2460">
        <v>0</v>
      </c>
      <c r="O2460" t="s">
        <v>19</v>
      </c>
      <c r="P2460" t="s">
        <v>20</v>
      </c>
      <c r="Q2460">
        <v>20220725</v>
      </c>
    </row>
    <row r="2461" spans="1:17" x14ac:dyDescent="0.25">
      <c r="A2461" t="s">
        <v>476</v>
      </c>
      <c r="B2461" t="s">
        <v>477</v>
      </c>
      <c r="C2461">
        <v>93</v>
      </c>
      <c r="D2461">
        <v>20220725</v>
      </c>
      <c r="E2461">
        <f t="shared" si="38"/>
        <v>7</v>
      </c>
      <c r="F2461">
        <v>433000</v>
      </c>
      <c r="G2461" t="s">
        <v>410</v>
      </c>
      <c r="H2461" t="s">
        <v>401</v>
      </c>
      <c r="I2461" t="s">
        <v>402</v>
      </c>
      <c r="J2461" t="s">
        <v>2803</v>
      </c>
      <c r="K2461">
        <v>20220725</v>
      </c>
      <c r="L2461" t="s">
        <v>530</v>
      </c>
      <c r="M2461">
        <v>6832.92</v>
      </c>
      <c r="N2461">
        <v>0</v>
      </c>
      <c r="O2461" t="s">
        <v>23</v>
      </c>
      <c r="P2461">
        <v>20221005</v>
      </c>
      <c r="Q2461">
        <v>20220725</v>
      </c>
    </row>
    <row r="2462" spans="1:17" x14ac:dyDescent="0.25">
      <c r="A2462" t="s">
        <v>476</v>
      </c>
      <c r="B2462" t="s">
        <v>477</v>
      </c>
      <c r="C2462">
        <v>93</v>
      </c>
      <c r="D2462">
        <v>20220725</v>
      </c>
      <c r="E2462">
        <f t="shared" si="38"/>
        <v>7</v>
      </c>
      <c r="F2462">
        <v>512000</v>
      </c>
      <c r="G2462" t="s">
        <v>428</v>
      </c>
      <c r="H2462" t="s">
        <v>401</v>
      </c>
      <c r="I2462" t="s">
        <v>402</v>
      </c>
      <c r="J2462" t="s">
        <v>2803</v>
      </c>
      <c r="K2462">
        <v>20220725</v>
      </c>
      <c r="L2462" t="s">
        <v>530</v>
      </c>
      <c r="M2462">
        <v>0</v>
      </c>
      <c r="N2462">
        <v>6832.92</v>
      </c>
      <c r="O2462" t="s">
        <v>19</v>
      </c>
      <c r="P2462" t="s">
        <v>20</v>
      </c>
      <c r="Q2462">
        <v>20220725</v>
      </c>
    </row>
    <row r="2463" spans="1:17" x14ac:dyDescent="0.25">
      <c r="A2463" t="s">
        <v>476</v>
      </c>
      <c r="B2463" t="s">
        <v>477</v>
      </c>
      <c r="C2463">
        <v>93</v>
      </c>
      <c r="D2463">
        <v>20220725</v>
      </c>
      <c r="E2463">
        <f t="shared" si="38"/>
        <v>7</v>
      </c>
      <c r="F2463">
        <v>468200</v>
      </c>
      <c r="G2463" t="s">
        <v>421</v>
      </c>
      <c r="H2463" t="s">
        <v>401</v>
      </c>
      <c r="I2463" t="s">
        <v>402</v>
      </c>
      <c r="J2463" t="s">
        <v>2804</v>
      </c>
      <c r="K2463">
        <v>20220725</v>
      </c>
      <c r="L2463" t="s">
        <v>422</v>
      </c>
      <c r="M2463">
        <v>0</v>
      </c>
      <c r="N2463">
        <v>253.19</v>
      </c>
      <c r="O2463" t="s">
        <v>23</v>
      </c>
      <c r="P2463">
        <v>20230214</v>
      </c>
      <c r="Q2463">
        <v>20220725</v>
      </c>
    </row>
    <row r="2464" spans="1:17" x14ac:dyDescent="0.25">
      <c r="A2464" t="s">
        <v>476</v>
      </c>
      <c r="B2464" t="s">
        <v>477</v>
      </c>
      <c r="C2464">
        <v>93</v>
      </c>
      <c r="D2464">
        <v>20220725</v>
      </c>
      <c r="E2464">
        <f t="shared" si="38"/>
        <v>7</v>
      </c>
      <c r="F2464">
        <v>512000</v>
      </c>
      <c r="G2464" t="s">
        <v>428</v>
      </c>
      <c r="H2464" t="s">
        <v>401</v>
      </c>
      <c r="I2464" t="s">
        <v>402</v>
      </c>
      <c r="J2464" t="s">
        <v>2804</v>
      </c>
      <c r="K2464">
        <v>20220725</v>
      </c>
      <c r="L2464" t="s">
        <v>422</v>
      </c>
      <c r="M2464">
        <v>253.19</v>
      </c>
      <c r="N2464">
        <v>0</v>
      </c>
      <c r="O2464" t="s">
        <v>19</v>
      </c>
      <c r="P2464" t="s">
        <v>20</v>
      </c>
      <c r="Q2464">
        <v>20220725</v>
      </c>
    </row>
    <row r="2465" spans="1:17" x14ac:dyDescent="0.25">
      <c r="A2465" t="s">
        <v>476</v>
      </c>
      <c r="B2465" t="s">
        <v>477</v>
      </c>
      <c r="C2465">
        <v>93</v>
      </c>
      <c r="D2465">
        <v>20220726</v>
      </c>
      <c r="E2465">
        <f t="shared" si="38"/>
        <v>7</v>
      </c>
      <c r="F2465">
        <v>433100</v>
      </c>
      <c r="G2465" t="s">
        <v>411</v>
      </c>
      <c r="H2465" t="s">
        <v>401</v>
      </c>
      <c r="I2465" t="s">
        <v>402</v>
      </c>
      <c r="J2465" t="s">
        <v>2805</v>
      </c>
      <c r="K2465">
        <v>20220726</v>
      </c>
      <c r="L2465" t="s">
        <v>534</v>
      </c>
      <c r="M2465">
        <v>1420.75</v>
      </c>
      <c r="N2465">
        <v>0</v>
      </c>
      <c r="O2465" t="s">
        <v>23</v>
      </c>
      <c r="P2465">
        <v>20221005</v>
      </c>
      <c r="Q2465">
        <v>20220726</v>
      </c>
    </row>
    <row r="2466" spans="1:17" x14ac:dyDescent="0.25">
      <c r="A2466" t="s">
        <v>476</v>
      </c>
      <c r="B2466" t="s">
        <v>477</v>
      </c>
      <c r="C2466">
        <v>93</v>
      </c>
      <c r="D2466">
        <v>20220726</v>
      </c>
      <c r="E2466">
        <f t="shared" si="38"/>
        <v>7</v>
      </c>
      <c r="F2466">
        <v>512000</v>
      </c>
      <c r="G2466" t="s">
        <v>428</v>
      </c>
      <c r="H2466" t="s">
        <v>401</v>
      </c>
      <c r="I2466" t="s">
        <v>402</v>
      </c>
      <c r="J2466" t="s">
        <v>2805</v>
      </c>
      <c r="K2466">
        <v>20220726</v>
      </c>
      <c r="L2466" t="s">
        <v>534</v>
      </c>
      <c r="M2466">
        <v>0</v>
      </c>
      <c r="N2466">
        <v>1420.75</v>
      </c>
      <c r="O2466" t="s">
        <v>19</v>
      </c>
      <c r="P2466" t="s">
        <v>20</v>
      </c>
      <c r="Q2466">
        <v>20220726</v>
      </c>
    </row>
    <row r="2467" spans="1:17" x14ac:dyDescent="0.25">
      <c r="A2467" t="s">
        <v>476</v>
      </c>
      <c r="B2467" t="s">
        <v>477</v>
      </c>
      <c r="C2467">
        <v>93</v>
      </c>
      <c r="D2467">
        <v>20220727</v>
      </c>
      <c r="E2467">
        <f t="shared" si="38"/>
        <v>7</v>
      </c>
      <c r="F2467">
        <v>468740</v>
      </c>
      <c r="G2467" t="s">
        <v>426</v>
      </c>
      <c r="H2467" t="s">
        <v>401</v>
      </c>
      <c r="I2467" t="s">
        <v>402</v>
      </c>
      <c r="J2467" t="s">
        <v>2806</v>
      </c>
      <c r="K2467">
        <v>20220727</v>
      </c>
      <c r="L2467" t="s">
        <v>2807</v>
      </c>
      <c r="M2467">
        <v>0</v>
      </c>
      <c r="N2467">
        <v>1200</v>
      </c>
      <c r="O2467" t="s">
        <v>23</v>
      </c>
      <c r="P2467">
        <v>20221005</v>
      </c>
      <c r="Q2467">
        <v>20220727</v>
      </c>
    </row>
    <row r="2468" spans="1:17" x14ac:dyDescent="0.25">
      <c r="A2468" t="s">
        <v>476</v>
      </c>
      <c r="B2468" t="s">
        <v>477</v>
      </c>
      <c r="C2468">
        <v>93</v>
      </c>
      <c r="D2468">
        <v>20220727</v>
      </c>
      <c r="E2468">
        <f t="shared" si="38"/>
        <v>7</v>
      </c>
      <c r="F2468">
        <v>512000</v>
      </c>
      <c r="G2468" t="s">
        <v>428</v>
      </c>
      <c r="H2468" t="s">
        <v>401</v>
      </c>
      <c r="I2468" t="s">
        <v>402</v>
      </c>
      <c r="J2468" t="s">
        <v>2806</v>
      </c>
      <c r="K2468">
        <v>20220727</v>
      </c>
      <c r="L2468" t="s">
        <v>2807</v>
      </c>
      <c r="M2468">
        <v>1200</v>
      </c>
      <c r="N2468">
        <v>0</v>
      </c>
      <c r="O2468" t="s">
        <v>19</v>
      </c>
      <c r="P2468" t="s">
        <v>20</v>
      </c>
      <c r="Q2468">
        <v>20220727</v>
      </c>
    </row>
    <row r="2469" spans="1:17" x14ac:dyDescent="0.25">
      <c r="A2469" t="s">
        <v>476</v>
      </c>
      <c r="B2469" t="s">
        <v>477</v>
      </c>
      <c r="C2469">
        <v>93</v>
      </c>
      <c r="D2469">
        <v>20220727</v>
      </c>
      <c r="E2469">
        <f t="shared" si="38"/>
        <v>7</v>
      </c>
      <c r="F2469">
        <v>468200</v>
      </c>
      <c r="G2469" t="s">
        <v>421</v>
      </c>
      <c r="H2469" t="s">
        <v>401</v>
      </c>
      <c r="I2469" t="s">
        <v>402</v>
      </c>
      <c r="J2469" t="s">
        <v>2808</v>
      </c>
      <c r="K2469">
        <v>20220727</v>
      </c>
      <c r="L2469" t="s">
        <v>422</v>
      </c>
      <c r="M2469">
        <v>0</v>
      </c>
      <c r="N2469">
        <v>307.72000000000003</v>
      </c>
      <c r="O2469" t="s">
        <v>23</v>
      </c>
      <c r="P2469">
        <v>20230214</v>
      </c>
      <c r="Q2469">
        <v>20220727</v>
      </c>
    </row>
    <row r="2470" spans="1:17" x14ac:dyDescent="0.25">
      <c r="A2470" t="s">
        <v>476</v>
      </c>
      <c r="B2470" t="s">
        <v>477</v>
      </c>
      <c r="C2470">
        <v>93</v>
      </c>
      <c r="D2470">
        <v>20220727</v>
      </c>
      <c r="E2470">
        <f t="shared" si="38"/>
        <v>7</v>
      </c>
      <c r="F2470">
        <v>512000</v>
      </c>
      <c r="G2470" t="s">
        <v>428</v>
      </c>
      <c r="H2470" t="s">
        <v>401</v>
      </c>
      <c r="I2470" t="s">
        <v>402</v>
      </c>
      <c r="J2470" t="s">
        <v>2808</v>
      </c>
      <c r="K2470">
        <v>20220727</v>
      </c>
      <c r="L2470" t="s">
        <v>422</v>
      </c>
      <c r="M2470">
        <v>307.72000000000003</v>
      </c>
      <c r="N2470">
        <v>0</v>
      </c>
      <c r="O2470" t="s">
        <v>19</v>
      </c>
      <c r="P2470" t="s">
        <v>20</v>
      </c>
      <c r="Q2470">
        <v>20220727</v>
      </c>
    </row>
    <row r="2471" spans="1:17" x14ac:dyDescent="0.25">
      <c r="A2471" t="s">
        <v>476</v>
      </c>
      <c r="B2471" t="s">
        <v>477</v>
      </c>
      <c r="C2471">
        <v>93</v>
      </c>
      <c r="D2471">
        <v>20220728</v>
      </c>
      <c r="E2471">
        <f t="shared" si="38"/>
        <v>7</v>
      </c>
      <c r="F2471">
        <v>467100</v>
      </c>
      <c r="G2471" t="s">
        <v>160</v>
      </c>
      <c r="H2471" t="s">
        <v>185</v>
      </c>
      <c r="I2471" t="s">
        <v>186</v>
      </c>
      <c r="J2471" t="s">
        <v>2809</v>
      </c>
      <c r="K2471">
        <v>20220728</v>
      </c>
      <c r="L2471" t="s">
        <v>127</v>
      </c>
      <c r="M2471">
        <v>800</v>
      </c>
      <c r="N2471">
        <v>0</v>
      </c>
      <c r="O2471" t="s">
        <v>23</v>
      </c>
      <c r="P2471">
        <v>20220803</v>
      </c>
      <c r="Q2471">
        <v>20220728</v>
      </c>
    </row>
    <row r="2472" spans="1:17" x14ac:dyDescent="0.25">
      <c r="A2472" t="s">
        <v>476</v>
      </c>
      <c r="B2472" t="s">
        <v>477</v>
      </c>
      <c r="C2472">
        <v>93</v>
      </c>
      <c r="D2472">
        <v>20220728</v>
      </c>
      <c r="E2472">
        <f t="shared" si="38"/>
        <v>7</v>
      </c>
      <c r="F2472">
        <v>512000</v>
      </c>
      <c r="G2472" t="s">
        <v>428</v>
      </c>
      <c r="H2472" t="s">
        <v>401</v>
      </c>
      <c r="I2472" t="s">
        <v>402</v>
      </c>
      <c r="J2472" t="s">
        <v>2809</v>
      </c>
      <c r="K2472">
        <v>20220728</v>
      </c>
      <c r="L2472" t="s">
        <v>127</v>
      </c>
      <c r="M2472">
        <v>0</v>
      </c>
      <c r="N2472">
        <v>800</v>
      </c>
      <c r="O2472" t="s">
        <v>19</v>
      </c>
      <c r="P2472" t="s">
        <v>20</v>
      </c>
      <c r="Q2472">
        <v>20220728</v>
      </c>
    </row>
    <row r="2473" spans="1:17" x14ac:dyDescent="0.25">
      <c r="A2473" t="s">
        <v>476</v>
      </c>
      <c r="B2473" t="s">
        <v>477</v>
      </c>
      <c r="C2473">
        <v>93</v>
      </c>
      <c r="D2473">
        <v>20220729</v>
      </c>
      <c r="E2473">
        <f t="shared" si="38"/>
        <v>7</v>
      </c>
      <c r="F2473">
        <v>401000</v>
      </c>
      <c r="G2473" t="s">
        <v>41</v>
      </c>
      <c r="H2473" t="s">
        <v>42</v>
      </c>
      <c r="I2473" t="s">
        <v>43</v>
      </c>
      <c r="J2473" t="s">
        <v>2810</v>
      </c>
      <c r="K2473">
        <v>20220729</v>
      </c>
      <c r="L2473" t="s">
        <v>163</v>
      </c>
      <c r="M2473">
        <v>2100.54</v>
      </c>
      <c r="N2473">
        <v>0</v>
      </c>
      <c r="O2473" t="s">
        <v>23</v>
      </c>
      <c r="P2473">
        <v>20220831</v>
      </c>
      <c r="Q2473">
        <v>20220729</v>
      </c>
    </row>
    <row r="2474" spans="1:17" x14ac:dyDescent="0.25">
      <c r="A2474" t="s">
        <v>476</v>
      </c>
      <c r="B2474" t="s">
        <v>477</v>
      </c>
      <c r="C2474">
        <v>93</v>
      </c>
      <c r="D2474">
        <v>20220729</v>
      </c>
      <c r="E2474">
        <f t="shared" si="38"/>
        <v>7</v>
      </c>
      <c r="F2474">
        <v>401000</v>
      </c>
      <c r="G2474" t="s">
        <v>41</v>
      </c>
      <c r="H2474" t="s">
        <v>48</v>
      </c>
      <c r="I2474" t="s">
        <v>49</v>
      </c>
      <c r="J2474" t="s">
        <v>2810</v>
      </c>
      <c r="K2474">
        <v>20220729</v>
      </c>
      <c r="L2474" t="s">
        <v>163</v>
      </c>
      <c r="M2474">
        <v>2562.6999999999998</v>
      </c>
      <c r="N2474">
        <v>0</v>
      </c>
      <c r="O2474" t="s">
        <v>22</v>
      </c>
      <c r="P2474">
        <v>20220729</v>
      </c>
      <c r="Q2474">
        <v>20220729</v>
      </c>
    </row>
    <row r="2475" spans="1:17" x14ac:dyDescent="0.25">
      <c r="A2475" t="s">
        <v>476</v>
      </c>
      <c r="B2475" t="s">
        <v>477</v>
      </c>
      <c r="C2475">
        <v>93</v>
      </c>
      <c r="D2475">
        <v>20220729</v>
      </c>
      <c r="E2475">
        <f t="shared" si="38"/>
        <v>7</v>
      </c>
      <c r="F2475">
        <v>401000</v>
      </c>
      <c r="G2475" t="s">
        <v>41</v>
      </c>
      <c r="H2475" t="s">
        <v>450</v>
      </c>
      <c r="I2475" t="s">
        <v>451</v>
      </c>
      <c r="J2475" t="s">
        <v>2810</v>
      </c>
      <c r="K2475">
        <v>20220729</v>
      </c>
      <c r="L2475" t="s">
        <v>163</v>
      </c>
      <c r="M2475">
        <v>22.95</v>
      </c>
      <c r="N2475">
        <v>0</v>
      </c>
      <c r="O2475" t="s">
        <v>22</v>
      </c>
      <c r="P2475">
        <v>20220729</v>
      </c>
      <c r="Q2475">
        <v>20220729</v>
      </c>
    </row>
    <row r="2476" spans="1:17" x14ac:dyDescent="0.25">
      <c r="A2476" t="s">
        <v>476</v>
      </c>
      <c r="B2476" t="s">
        <v>477</v>
      </c>
      <c r="C2476">
        <v>93</v>
      </c>
      <c r="D2476">
        <v>20220729</v>
      </c>
      <c r="E2476">
        <f t="shared" si="38"/>
        <v>7</v>
      </c>
      <c r="F2476">
        <v>401000</v>
      </c>
      <c r="G2476" t="s">
        <v>41</v>
      </c>
      <c r="H2476" t="s">
        <v>71</v>
      </c>
      <c r="I2476" t="s">
        <v>72</v>
      </c>
      <c r="J2476" t="s">
        <v>2810</v>
      </c>
      <c r="K2476">
        <v>20220729</v>
      </c>
      <c r="L2476" t="s">
        <v>163</v>
      </c>
      <c r="M2476">
        <v>407.72</v>
      </c>
      <c r="N2476">
        <v>0</v>
      </c>
      <c r="O2476" t="s">
        <v>22</v>
      </c>
      <c r="P2476">
        <v>20220729</v>
      </c>
      <c r="Q2476">
        <v>20220729</v>
      </c>
    </row>
    <row r="2477" spans="1:17" x14ac:dyDescent="0.25">
      <c r="A2477" t="s">
        <v>476</v>
      </c>
      <c r="B2477" t="s">
        <v>477</v>
      </c>
      <c r="C2477">
        <v>93</v>
      </c>
      <c r="D2477">
        <v>20220729</v>
      </c>
      <c r="E2477">
        <f t="shared" si="38"/>
        <v>7</v>
      </c>
      <c r="F2477">
        <v>401000</v>
      </c>
      <c r="G2477" t="s">
        <v>41</v>
      </c>
      <c r="H2477" t="s">
        <v>75</v>
      </c>
      <c r="I2477" t="s">
        <v>76</v>
      </c>
      <c r="J2477" t="s">
        <v>2810</v>
      </c>
      <c r="K2477">
        <v>20220729</v>
      </c>
      <c r="L2477" t="s">
        <v>163</v>
      </c>
      <c r="M2477">
        <v>1080.02</v>
      </c>
      <c r="N2477">
        <v>0</v>
      </c>
      <c r="O2477" t="s">
        <v>22</v>
      </c>
      <c r="P2477">
        <v>20220729</v>
      </c>
      <c r="Q2477">
        <v>20220729</v>
      </c>
    </row>
    <row r="2478" spans="1:17" x14ac:dyDescent="0.25">
      <c r="A2478" t="s">
        <v>476</v>
      </c>
      <c r="B2478" t="s">
        <v>477</v>
      </c>
      <c r="C2478">
        <v>93</v>
      </c>
      <c r="D2478">
        <v>20220729</v>
      </c>
      <c r="E2478">
        <f t="shared" si="38"/>
        <v>7</v>
      </c>
      <c r="F2478">
        <v>401000</v>
      </c>
      <c r="G2478" t="s">
        <v>41</v>
      </c>
      <c r="H2478" t="s">
        <v>99</v>
      </c>
      <c r="I2478" t="s">
        <v>100</v>
      </c>
      <c r="J2478" t="s">
        <v>2810</v>
      </c>
      <c r="K2478">
        <v>20220729</v>
      </c>
      <c r="L2478" t="s">
        <v>163</v>
      </c>
      <c r="M2478">
        <v>4918.78</v>
      </c>
      <c r="N2478">
        <v>0</v>
      </c>
      <c r="O2478" t="s">
        <v>22</v>
      </c>
      <c r="P2478">
        <v>20220729</v>
      </c>
      <c r="Q2478">
        <v>20220729</v>
      </c>
    </row>
    <row r="2479" spans="1:17" x14ac:dyDescent="0.25">
      <c r="A2479" t="s">
        <v>476</v>
      </c>
      <c r="B2479" t="s">
        <v>477</v>
      </c>
      <c r="C2479">
        <v>93</v>
      </c>
      <c r="D2479">
        <v>20220729</v>
      </c>
      <c r="E2479">
        <f t="shared" si="38"/>
        <v>7</v>
      </c>
      <c r="F2479">
        <v>401000</v>
      </c>
      <c r="G2479" t="s">
        <v>41</v>
      </c>
      <c r="H2479" t="s">
        <v>125</v>
      </c>
      <c r="I2479" t="s">
        <v>126</v>
      </c>
      <c r="J2479" t="s">
        <v>2810</v>
      </c>
      <c r="K2479">
        <v>20220729</v>
      </c>
      <c r="L2479" t="s">
        <v>163</v>
      </c>
      <c r="M2479">
        <v>230</v>
      </c>
      <c r="N2479">
        <v>0</v>
      </c>
      <c r="O2479" t="s">
        <v>22</v>
      </c>
      <c r="P2479">
        <v>20220729</v>
      </c>
      <c r="Q2479">
        <v>20220729</v>
      </c>
    </row>
    <row r="2480" spans="1:17" x14ac:dyDescent="0.25">
      <c r="A2480" t="s">
        <v>476</v>
      </c>
      <c r="B2480" t="s">
        <v>477</v>
      </c>
      <c r="C2480">
        <v>93</v>
      </c>
      <c r="D2480">
        <v>20220729</v>
      </c>
      <c r="E2480">
        <f t="shared" si="38"/>
        <v>7</v>
      </c>
      <c r="F2480">
        <v>467100</v>
      </c>
      <c r="G2480" t="s">
        <v>160</v>
      </c>
      <c r="H2480" t="s">
        <v>183</v>
      </c>
      <c r="I2480" t="s">
        <v>184</v>
      </c>
      <c r="J2480" t="s">
        <v>2810</v>
      </c>
      <c r="K2480">
        <v>20220729</v>
      </c>
      <c r="L2480" t="s">
        <v>163</v>
      </c>
      <c r="M2480">
        <v>72.45</v>
      </c>
      <c r="N2480">
        <v>0</v>
      </c>
      <c r="O2480" t="s">
        <v>22</v>
      </c>
      <c r="P2480">
        <v>20220729</v>
      </c>
      <c r="Q2480">
        <v>20220729</v>
      </c>
    </row>
    <row r="2481" spans="1:17" x14ac:dyDescent="0.25">
      <c r="A2481" t="s">
        <v>476</v>
      </c>
      <c r="B2481" t="s">
        <v>477</v>
      </c>
      <c r="C2481">
        <v>93</v>
      </c>
      <c r="D2481">
        <v>20220729</v>
      </c>
      <c r="E2481">
        <f t="shared" si="38"/>
        <v>7</v>
      </c>
      <c r="F2481">
        <v>401000</v>
      </c>
      <c r="G2481" t="s">
        <v>41</v>
      </c>
      <c r="H2481" t="s">
        <v>1639</v>
      </c>
      <c r="I2481" t="s">
        <v>1640</v>
      </c>
      <c r="J2481" t="s">
        <v>2810</v>
      </c>
      <c r="K2481">
        <v>20220729</v>
      </c>
      <c r="L2481" t="s">
        <v>163</v>
      </c>
      <c r="M2481">
        <v>1348.5</v>
      </c>
      <c r="N2481">
        <v>0</v>
      </c>
      <c r="O2481" t="s">
        <v>22</v>
      </c>
      <c r="P2481">
        <v>20220729</v>
      </c>
      <c r="Q2481">
        <v>20220729</v>
      </c>
    </row>
    <row r="2482" spans="1:17" x14ac:dyDescent="0.25">
      <c r="A2482" t="s">
        <v>476</v>
      </c>
      <c r="B2482" t="s">
        <v>477</v>
      </c>
      <c r="C2482">
        <v>93</v>
      </c>
      <c r="D2482">
        <v>20220729</v>
      </c>
      <c r="E2482">
        <f t="shared" si="38"/>
        <v>7</v>
      </c>
      <c r="F2482">
        <v>467100</v>
      </c>
      <c r="G2482" t="s">
        <v>160</v>
      </c>
      <c r="H2482" t="s">
        <v>1628</v>
      </c>
      <c r="I2482" t="s">
        <v>1629</v>
      </c>
      <c r="J2482" t="s">
        <v>2810</v>
      </c>
      <c r="K2482">
        <v>20220729</v>
      </c>
      <c r="L2482" t="s">
        <v>163</v>
      </c>
      <c r="M2482">
        <v>140.05000000000001</v>
      </c>
      <c r="N2482">
        <v>0</v>
      </c>
      <c r="O2482" t="s">
        <v>22</v>
      </c>
      <c r="P2482">
        <v>20220729</v>
      </c>
      <c r="Q2482">
        <v>20220729</v>
      </c>
    </row>
    <row r="2483" spans="1:17" x14ac:dyDescent="0.25">
      <c r="A2483" t="s">
        <v>476</v>
      </c>
      <c r="B2483" t="s">
        <v>477</v>
      </c>
      <c r="C2483">
        <v>93</v>
      </c>
      <c r="D2483">
        <v>20220729</v>
      </c>
      <c r="E2483">
        <f t="shared" si="38"/>
        <v>7</v>
      </c>
      <c r="F2483">
        <v>401000</v>
      </c>
      <c r="G2483" t="s">
        <v>41</v>
      </c>
      <c r="H2483" t="s">
        <v>2057</v>
      </c>
      <c r="I2483" t="s">
        <v>2058</v>
      </c>
      <c r="J2483" t="s">
        <v>2810</v>
      </c>
      <c r="K2483">
        <v>20220729</v>
      </c>
      <c r="L2483" t="s">
        <v>163</v>
      </c>
      <c r="M2483">
        <v>450</v>
      </c>
      <c r="N2483">
        <v>0</v>
      </c>
      <c r="O2483" t="s">
        <v>23</v>
      </c>
      <c r="P2483">
        <v>20220905</v>
      </c>
      <c r="Q2483">
        <v>20220729</v>
      </c>
    </row>
    <row r="2484" spans="1:17" x14ac:dyDescent="0.25">
      <c r="A2484" t="s">
        <v>476</v>
      </c>
      <c r="B2484" t="s">
        <v>477</v>
      </c>
      <c r="C2484">
        <v>93</v>
      </c>
      <c r="D2484">
        <v>20220729</v>
      </c>
      <c r="E2484">
        <f t="shared" si="38"/>
        <v>7</v>
      </c>
      <c r="F2484">
        <v>401000</v>
      </c>
      <c r="G2484" t="s">
        <v>41</v>
      </c>
      <c r="H2484" t="s">
        <v>2745</v>
      </c>
      <c r="I2484" t="s">
        <v>2746</v>
      </c>
      <c r="J2484" t="s">
        <v>2810</v>
      </c>
      <c r="K2484">
        <v>20220729</v>
      </c>
      <c r="L2484" t="s">
        <v>163</v>
      </c>
      <c r="M2484">
        <v>223.31</v>
      </c>
      <c r="N2484">
        <v>0</v>
      </c>
      <c r="O2484" t="s">
        <v>22</v>
      </c>
      <c r="P2484">
        <v>20220729</v>
      </c>
      <c r="Q2484">
        <v>20220729</v>
      </c>
    </row>
    <row r="2485" spans="1:17" x14ac:dyDescent="0.25">
      <c r="A2485" t="s">
        <v>476</v>
      </c>
      <c r="B2485" t="s">
        <v>477</v>
      </c>
      <c r="C2485">
        <v>93</v>
      </c>
      <c r="D2485">
        <v>20220729</v>
      </c>
      <c r="E2485">
        <f t="shared" si="38"/>
        <v>7</v>
      </c>
      <c r="F2485">
        <v>401000</v>
      </c>
      <c r="G2485" t="s">
        <v>41</v>
      </c>
      <c r="H2485" t="s">
        <v>2765</v>
      </c>
      <c r="I2485" t="s">
        <v>2766</v>
      </c>
      <c r="J2485" t="s">
        <v>2810</v>
      </c>
      <c r="K2485">
        <v>20220729</v>
      </c>
      <c r="L2485" t="s">
        <v>163</v>
      </c>
      <c r="M2485">
        <v>80</v>
      </c>
      <c r="N2485">
        <v>0</v>
      </c>
      <c r="O2485" t="s">
        <v>22</v>
      </c>
      <c r="P2485">
        <v>20220729</v>
      </c>
      <c r="Q2485">
        <v>20220729</v>
      </c>
    </row>
    <row r="2486" spans="1:17" x14ac:dyDescent="0.25">
      <c r="A2486" t="s">
        <v>476</v>
      </c>
      <c r="B2486" t="s">
        <v>477</v>
      </c>
      <c r="C2486">
        <v>93</v>
      </c>
      <c r="D2486">
        <v>20220729</v>
      </c>
      <c r="E2486">
        <f t="shared" si="38"/>
        <v>7</v>
      </c>
      <c r="F2486">
        <v>512000</v>
      </c>
      <c r="G2486" t="s">
        <v>428</v>
      </c>
      <c r="H2486" t="s">
        <v>401</v>
      </c>
      <c r="I2486" t="s">
        <v>402</v>
      </c>
      <c r="J2486" t="s">
        <v>2810</v>
      </c>
      <c r="K2486">
        <v>20220729</v>
      </c>
      <c r="L2486" t="s">
        <v>163</v>
      </c>
      <c r="M2486">
        <v>0</v>
      </c>
      <c r="N2486">
        <v>13637.02</v>
      </c>
      <c r="O2486" t="s">
        <v>19</v>
      </c>
      <c r="P2486" t="s">
        <v>20</v>
      </c>
      <c r="Q2486">
        <v>20220729</v>
      </c>
    </row>
    <row r="2487" spans="1:17" x14ac:dyDescent="0.25">
      <c r="A2487" t="s">
        <v>476</v>
      </c>
      <c r="B2487" t="s">
        <v>477</v>
      </c>
      <c r="C2487">
        <v>93</v>
      </c>
      <c r="D2487">
        <v>20220729</v>
      </c>
      <c r="E2487">
        <f t="shared" si="38"/>
        <v>7</v>
      </c>
      <c r="F2487">
        <v>421000</v>
      </c>
      <c r="G2487" t="s">
        <v>403</v>
      </c>
      <c r="H2487" t="s">
        <v>401</v>
      </c>
      <c r="I2487" t="s">
        <v>402</v>
      </c>
      <c r="J2487" t="s">
        <v>2811</v>
      </c>
      <c r="K2487">
        <v>20220729</v>
      </c>
      <c r="L2487" t="s">
        <v>922</v>
      </c>
      <c r="M2487">
        <v>76843.8</v>
      </c>
      <c r="N2487">
        <v>0</v>
      </c>
      <c r="O2487" t="s">
        <v>23</v>
      </c>
      <c r="P2487">
        <v>20220921</v>
      </c>
      <c r="Q2487">
        <v>20220729</v>
      </c>
    </row>
    <row r="2488" spans="1:17" x14ac:dyDescent="0.25">
      <c r="A2488" t="s">
        <v>476</v>
      </c>
      <c r="B2488" t="s">
        <v>477</v>
      </c>
      <c r="C2488">
        <v>93</v>
      </c>
      <c r="D2488">
        <v>20220729</v>
      </c>
      <c r="E2488">
        <f t="shared" si="38"/>
        <v>7</v>
      </c>
      <c r="F2488">
        <v>512000</v>
      </c>
      <c r="G2488" t="s">
        <v>428</v>
      </c>
      <c r="H2488" t="s">
        <v>401</v>
      </c>
      <c r="I2488" t="s">
        <v>402</v>
      </c>
      <c r="J2488" t="s">
        <v>2811</v>
      </c>
      <c r="K2488">
        <v>20220729</v>
      </c>
      <c r="L2488" t="s">
        <v>922</v>
      </c>
      <c r="M2488">
        <v>0</v>
      </c>
      <c r="N2488">
        <v>76843.8</v>
      </c>
      <c r="O2488" t="s">
        <v>19</v>
      </c>
      <c r="P2488" t="s">
        <v>20</v>
      </c>
      <c r="Q2488">
        <v>20220729</v>
      </c>
    </row>
    <row r="2489" spans="1:17" x14ac:dyDescent="0.25">
      <c r="A2489" t="s">
        <v>476</v>
      </c>
      <c r="B2489" t="s">
        <v>477</v>
      </c>
      <c r="C2489">
        <v>93</v>
      </c>
      <c r="D2489">
        <v>20220729</v>
      </c>
      <c r="E2489">
        <f t="shared" si="38"/>
        <v>7</v>
      </c>
      <c r="F2489">
        <v>468200</v>
      </c>
      <c r="G2489" t="s">
        <v>421</v>
      </c>
      <c r="H2489" t="s">
        <v>401</v>
      </c>
      <c r="I2489" t="s">
        <v>402</v>
      </c>
      <c r="J2489" t="s">
        <v>2812</v>
      </c>
      <c r="K2489">
        <v>20220729</v>
      </c>
      <c r="L2489" t="s">
        <v>422</v>
      </c>
      <c r="M2489">
        <v>0</v>
      </c>
      <c r="N2489">
        <v>318.01</v>
      </c>
      <c r="O2489" t="s">
        <v>23</v>
      </c>
      <c r="P2489">
        <v>20230214</v>
      </c>
      <c r="Q2489">
        <v>20220729</v>
      </c>
    </row>
    <row r="2490" spans="1:17" x14ac:dyDescent="0.25">
      <c r="A2490" t="s">
        <v>476</v>
      </c>
      <c r="B2490" t="s">
        <v>477</v>
      </c>
      <c r="C2490">
        <v>93</v>
      </c>
      <c r="D2490">
        <v>20220729</v>
      </c>
      <c r="E2490">
        <f t="shared" si="38"/>
        <v>7</v>
      </c>
      <c r="F2490">
        <v>512000</v>
      </c>
      <c r="G2490" t="s">
        <v>428</v>
      </c>
      <c r="H2490" t="s">
        <v>401</v>
      </c>
      <c r="I2490" t="s">
        <v>402</v>
      </c>
      <c r="J2490" t="s">
        <v>2812</v>
      </c>
      <c r="K2490">
        <v>20220729</v>
      </c>
      <c r="L2490" t="s">
        <v>422</v>
      </c>
      <c r="M2490">
        <v>318.01</v>
      </c>
      <c r="N2490">
        <v>0</v>
      </c>
      <c r="O2490" t="s">
        <v>19</v>
      </c>
      <c r="P2490" t="s">
        <v>20</v>
      </c>
      <c r="Q2490">
        <v>20220729</v>
      </c>
    </row>
    <row r="2491" spans="1:17" x14ac:dyDescent="0.25">
      <c r="A2491" t="s">
        <v>548</v>
      </c>
      <c r="B2491" t="s">
        <v>429</v>
      </c>
      <c r="C2491">
        <v>94</v>
      </c>
      <c r="D2491">
        <v>20220707</v>
      </c>
      <c r="E2491">
        <f t="shared" si="38"/>
        <v>7</v>
      </c>
      <c r="F2491">
        <v>411100</v>
      </c>
      <c r="G2491" t="s">
        <v>18</v>
      </c>
      <c r="H2491" t="s">
        <v>592</v>
      </c>
      <c r="I2491" t="s">
        <v>593</v>
      </c>
      <c r="J2491" t="s">
        <v>2813</v>
      </c>
      <c r="K2491">
        <v>20220707</v>
      </c>
      <c r="L2491" t="s">
        <v>2814</v>
      </c>
      <c r="M2491">
        <v>0</v>
      </c>
      <c r="N2491">
        <v>222.45</v>
      </c>
      <c r="O2491" t="s">
        <v>19</v>
      </c>
      <c r="P2491" t="s">
        <v>20</v>
      </c>
      <c r="Q2491">
        <v>20220707</v>
      </c>
    </row>
    <row r="2492" spans="1:17" x14ac:dyDescent="0.25">
      <c r="A2492" t="s">
        <v>548</v>
      </c>
      <c r="B2492" t="s">
        <v>429</v>
      </c>
      <c r="C2492">
        <v>94</v>
      </c>
      <c r="D2492">
        <v>20220707</v>
      </c>
      <c r="E2492">
        <f t="shared" si="38"/>
        <v>7</v>
      </c>
      <c r="F2492">
        <v>411000</v>
      </c>
      <c r="G2492" t="s">
        <v>21</v>
      </c>
      <c r="H2492" t="s">
        <v>279</v>
      </c>
      <c r="I2492" t="s">
        <v>280</v>
      </c>
      <c r="J2492" t="s">
        <v>2813</v>
      </c>
      <c r="K2492">
        <v>20220707</v>
      </c>
      <c r="L2492" t="s">
        <v>2815</v>
      </c>
      <c r="M2492">
        <v>0</v>
      </c>
      <c r="N2492">
        <v>40</v>
      </c>
      <c r="O2492" t="s">
        <v>19</v>
      </c>
      <c r="P2492" t="s">
        <v>20</v>
      </c>
      <c r="Q2492">
        <v>20220707</v>
      </c>
    </row>
    <row r="2493" spans="1:17" x14ac:dyDescent="0.25">
      <c r="A2493" t="s">
        <v>548</v>
      </c>
      <c r="B2493" t="s">
        <v>429</v>
      </c>
      <c r="C2493">
        <v>94</v>
      </c>
      <c r="D2493">
        <v>20220707</v>
      </c>
      <c r="E2493">
        <f t="shared" si="38"/>
        <v>7</v>
      </c>
      <c r="F2493">
        <v>531105</v>
      </c>
      <c r="G2493" t="s">
        <v>429</v>
      </c>
      <c r="H2493" t="s">
        <v>401</v>
      </c>
      <c r="I2493" t="s">
        <v>402</v>
      </c>
      <c r="J2493" t="s">
        <v>2813</v>
      </c>
      <c r="K2493">
        <v>20220707</v>
      </c>
      <c r="L2493" t="s">
        <v>565</v>
      </c>
      <c r="M2493">
        <v>262.45</v>
      </c>
      <c r="N2493">
        <v>0</v>
      </c>
      <c r="O2493" t="s">
        <v>19</v>
      </c>
      <c r="P2493" t="s">
        <v>20</v>
      </c>
      <c r="Q2493">
        <v>20220707</v>
      </c>
    </row>
    <row r="2494" spans="1:17" x14ac:dyDescent="0.25">
      <c r="A2494" t="s">
        <v>548</v>
      </c>
      <c r="B2494" t="s">
        <v>429</v>
      </c>
      <c r="C2494">
        <v>95</v>
      </c>
      <c r="D2494">
        <v>20220701</v>
      </c>
      <c r="E2494">
        <f t="shared" si="38"/>
        <v>7</v>
      </c>
      <c r="F2494">
        <v>467100</v>
      </c>
      <c r="G2494" t="s">
        <v>160</v>
      </c>
      <c r="H2494" t="s">
        <v>1307</v>
      </c>
      <c r="I2494" t="s">
        <v>1308</v>
      </c>
      <c r="J2494" t="s">
        <v>2816</v>
      </c>
      <c r="K2494">
        <v>20220701</v>
      </c>
      <c r="L2494" t="s">
        <v>2505</v>
      </c>
      <c r="M2494">
        <v>0</v>
      </c>
      <c r="N2494">
        <v>5.89</v>
      </c>
      <c r="O2494" t="s">
        <v>23</v>
      </c>
      <c r="P2494">
        <v>20220905</v>
      </c>
      <c r="Q2494">
        <v>20220701</v>
      </c>
    </row>
    <row r="2495" spans="1:17" x14ac:dyDescent="0.25">
      <c r="A2495" t="s">
        <v>548</v>
      </c>
      <c r="B2495" t="s">
        <v>429</v>
      </c>
      <c r="C2495">
        <v>95</v>
      </c>
      <c r="D2495">
        <v>20220701</v>
      </c>
      <c r="E2495">
        <f t="shared" si="38"/>
        <v>7</v>
      </c>
      <c r="F2495">
        <v>531105</v>
      </c>
      <c r="G2495" t="s">
        <v>429</v>
      </c>
      <c r="H2495" t="s">
        <v>401</v>
      </c>
      <c r="I2495" t="s">
        <v>402</v>
      </c>
      <c r="J2495" t="s">
        <v>2816</v>
      </c>
      <c r="K2495">
        <v>20220701</v>
      </c>
      <c r="L2495" t="s">
        <v>2505</v>
      </c>
      <c r="M2495">
        <v>5.89</v>
      </c>
      <c r="N2495">
        <v>0</v>
      </c>
      <c r="O2495" t="s">
        <v>19</v>
      </c>
      <c r="P2495" t="s">
        <v>20</v>
      </c>
      <c r="Q2495">
        <v>20220701</v>
      </c>
    </row>
    <row r="2496" spans="1:17" x14ac:dyDescent="0.25">
      <c r="A2496" t="s">
        <v>548</v>
      </c>
      <c r="B2496" t="s">
        <v>429</v>
      </c>
      <c r="C2496">
        <v>95</v>
      </c>
      <c r="D2496">
        <v>20220701</v>
      </c>
      <c r="E2496">
        <f t="shared" si="38"/>
        <v>7</v>
      </c>
      <c r="F2496">
        <v>411100</v>
      </c>
      <c r="G2496" t="s">
        <v>18</v>
      </c>
      <c r="H2496" t="s">
        <v>947</v>
      </c>
      <c r="I2496" t="s">
        <v>948</v>
      </c>
      <c r="J2496">
        <v>345027</v>
      </c>
      <c r="K2496">
        <v>20220701</v>
      </c>
      <c r="L2496" t="s">
        <v>2817</v>
      </c>
      <c r="M2496">
        <v>0</v>
      </c>
      <c r="N2496">
        <v>346.9</v>
      </c>
      <c r="O2496" t="s">
        <v>19</v>
      </c>
      <c r="P2496" t="s">
        <v>20</v>
      </c>
      <c r="Q2496">
        <v>20220701</v>
      </c>
    </row>
    <row r="2497" spans="1:17" x14ac:dyDescent="0.25">
      <c r="A2497" t="s">
        <v>548</v>
      </c>
      <c r="B2497" t="s">
        <v>429</v>
      </c>
      <c r="C2497">
        <v>95</v>
      </c>
      <c r="D2497">
        <v>20220701</v>
      </c>
      <c r="E2497">
        <f t="shared" si="38"/>
        <v>7</v>
      </c>
      <c r="F2497">
        <v>411000</v>
      </c>
      <c r="G2497" t="s">
        <v>21</v>
      </c>
      <c r="H2497" t="s">
        <v>279</v>
      </c>
      <c r="I2497" t="s">
        <v>280</v>
      </c>
      <c r="J2497">
        <v>120100132</v>
      </c>
      <c r="K2497">
        <v>20220701</v>
      </c>
      <c r="L2497" t="s">
        <v>2818</v>
      </c>
      <c r="M2497">
        <v>0</v>
      </c>
      <c r="N2497">
        <v>10</v>
      </c>
      <c r="O2497" t="s">
        <v>19</v>
      </c>
      <c r="P2497" t="s">
        <v>20</v>
      </c>
      <c r="Q2497">
        <v>20220701</v>
      </c>
    </row>
    <row r="2498" spans="1:17" x14ac:dyDescent="0.25">
      <c r="A2498" t="s">
        <v>548</v>
      </c>
      <c r="B2498" t="s">
        <v>429</v>
      </c>
      <c r="C2498">
        <v>95</v>
      </c>
      <c r="D2498">
        <v>20220701</v>
      </c>
      <c r="E2498">
        <f t="shared" si="38"/>
        <v>7</v>
      </c>
      <c r="F2498">
        <v>531105</v>
      </c>
      <c r="G2498" t="s">
        <v>429</v>
      </c>
      <c r="H2498" t="s">
        <v>401</v>
      </c>
      <c r="I2498" t="s">
        <v>402</v>
      </c>
      <c r="J2498">
        <v>345029</v>
      </c>
      <c r="K2498">
        <v>20220701</v>
      </c>
      <c r="L2498" t="s">
        <v>565</v>
      </c>
      <c r="M2498">
        <v>356.9</v>
      </c>
      <c r="N2498">
        <v>0</v>
      </c>
      <c r="O2498" t="s">
        <v>19</v>
      </c>
      <c r="P2498" t="s">
        <v>20</v>
      </c>
      <c r="Q2498">
        <v>20220701</v>
      </c>
    </row>
    <row r="2499" spans="1:17" x14ac:dyDescent="0.25">
      <c r="A2499" t="s">
        <v>548</v>
      </c>
      <c r="B2499" t="s">
        <v>429</v>
      </c>
      <c r="C2499">
        <v>95</v>
      </c>
      <c r="D2499">
        <v>20220704</v>
      </c>
      <c r="E2499">
        <f t="shared" ref="E2499:E2562" si="39">VALUE(MID(D2499,5,2))</f>
        <v>7</v>
      </c>
      <c r="F2499">
        <v>467100</v>
      </c>
      <c r="G2499" t="s">
        <v>160</v>
      </c>
      <c r="H2499" t="s">
        <v>668</v>
      </c>
      <c r="I2499" t="s">
        <v>669</v>
      </c>
      <c r="J2499" t="s">
        <v>2819</v>
      </c>
      <c r="K2499">
        <v>20220704</v>
      </c>
      <c r="L2499" t="s">
        <v>2820</v>
      </c>
      <c r="M2499">
        <v>47.06</v>
      </c>
      <c r="N2499">
        <v>0</v>
      </c>
      <c r="O2499" t="s">
        <v>23</v>
      </c>
      <c r="P2499">
        <v>20220725</v>
      </c>
      <c r="Q2499">
        <v>20220704</v>
      </c>
    </row>
    <row r="2500" spans="1:17" x14ac:dyDescent="0.25">
      <c r="A2500" t="s">
        <v>548</v>
      </c>
      <c r="B2500" t="s">
        <v>429</v>
      </c>
      <c r="C2500">
        <v>95</v>
      </c>
      <c r="D2500">
        <v>20220704</v>
      </c>
      <c r="E2500">
        <f t="shared" si="39"/>
        <v>7</v>
      </c>
      <c r="F2500">
        <v>531105</v>
      </c>
      <c r="G2500" t="s">
        <v>429</v>
      </c>
      <c r="H2500" t="s">
        <v>401</v>
      </c>
      <c r="I2500" t="s">
        <v>402</v>
      </c>
      <c r="J2500" t="s">
        <v>2819</v>
      </c>
      <c r="K2500">
        <v>20220704</v>
      </c>
      <c r="L2500" t="s">
        <v>2820</v>
      </c>
      <c r="M2500">
        <v>0</v>
      </c>
      <c r="N2500">
        <v>47.06</v>
      </c>
      <c r="O2500" t="s">
        <v>19</v>
      </c>
      <c r="P2500" t="s">
        <v>20</v>
      </c>
      <c r="Q2500">
        <v>20220704</v>
      </c>
    </row>
    <row r="2501" spans="1:17" x14ac:dyDescent="0.25">
      <c r="A2501" t="s">
        <v>548</v>
      </c>
      <c r="B2501" t="s">
        <v>429</v>
      </c>
      <c r="C2501">
        <v>95</v>
      </c>
      <c r="D2501">
        <v>20220704</v>
      </c>
      <c r="E2501">
        <f t="shared" si="39"/>
        <v>7</v>
      </c>
      <c r="F2501">
        <v>467100</v>
      </c>
      <c r="G2501" t="s">
        <v>160</v>
      </c>
      <c r="H2501" t="s">
        <v>2740</v>
      </c>
      <c r="I2501" t="s">
        <v>151</v>
      </c>
      <c r="J2501" t="s">
        <v>2821</v>
      </c>
      <c r="K2501">
        <v>20220704</v>
      </c>
      <c r="L2501" t="s">
        <v>2822</v>
      </c>
      <c r="M2501">
        <v>9.1</v>
      </c>
      <c r="N2501">
        <v>0</v>
      </c>
      <c r="O2501" t="s">
        <v>23</v>
      </c>
      <c r="P2501">
        <v>20220905</v>
      </c>
      <c r="Q2501">
        <v>20220704</v>
      </c>
    </row>
    <row r="2502" spans="1:17" x14ac:dyDescent="0.25">
      <c r="A2502" t="s">
        <v>548</v>
      </c>
      <c r="B2502" t="s">
        <v>429</v>
      </c>
      <c r="C2502">
        <v>95</v>
      </c>
      <c r="D2502">
        <v>20220704</v>
      </c>
      <c r="E2502">
        <f t="shared" si="39"/>
        <v>7</v>
      </c>
      <c r="F2502">
        <v>531105</v>
      </c>
      <c r="G2502" t="s">
        <v>429</v>
      </c>
      <c r="H2502" t="s">
        <v>401</v>
      </c>
      <c r="I2502" t="s">
        <v>402</v>
      </c>
      <c r="J2502" t="s">
        <v>2821</v>
      </c>
      <c r="K2502">
        <v>20220704</v>
      </c>
      <c r="L2502" t="s">
        <v>2822</v>
      </c>
      <c r="M2502">
        <v>0</v>
      </c>
      <c r="N2502">
        <v>9.1</v>
      </c>
      <c r="O2502" t="s">
        <v>19</v>
      </c>
      <c r="P2502" t="s">
        <v>20</v>
      </c>
      <c r="Q2502">
        <v>20220704</v>
      </c>
    </row>
    <row r="2503" spans="1:17" x14ac:dyDescent="0.25">
      <c r="A2503" t="s">
        <v>548</v>
      </c>
      <c r="B2503" t="s">
        <v>429</v>
      </c>
      <c r="C2503">
        <v>95</v>
      </c>
      <c r="D2503">
        <v>20220704</v>
      </c>
      <c r="E2503">
        <f t="shared" si="39"/>
        <v>7</v>
      </c>
      <c r="F2503">
        <v>467100</v>
      </c>
      <c r="G2503" t="s">
        <v>160</v>
      </c>
      <c r="H2503" t="s">
        <v>183</v>
      </c>
      <c r="I2503" t="s">
        <v>184</v>
      </c>
      <c r="J2503" t="s">
        <v>2823</v>
      </c>
      <c r="K2503">
        <v>20220704</v>
      </c>
      <c r="L2503" t="s">
        <v>2824</v>
      </c>
      <c r="M2503">
        <v>17.899999999999999</v>
      </c>
      <c r="N2503">
        <v>0</v>
      </c>
      <c r="O2503" t="s">
        <v>23</v>
      </c>
      <c r="P2503">
        <v>20220830</v>
      </c>
      <c r="Q2503">
        <v>20220704</v>
      </c>
    </row>
    <row r="2504" spans="1:17" x14ac:dyDescent="0.25">
      <c r="A2504" t="s">
        <v>548</v>
      </c>
      <c r="B2504" t="s">
        <v>429</v>
      </c>
      <c r="C2504">
        <v>95</v>
      </c>
      <c r="D2504">
        <v>20220704</v>
      </c>
      <c r="E2504">
        <f t="shared" si="39"/>
        <v>7</v>
      </c>
      <c r="F2504">
        <v>531105</v>
      </c>
      <c r="G2504" t="s">
        <v>429</v>
      </c>
      <c r="H2504" t="s">
        <v>401</v>
      </c>
      <c r="I2504" t="s">
        <v>402</v>
      </c>
      <c r="J2504" t="s">
        <v>2823</v>
      </c>
      <c r="K2504">
        <v>20220704</v>
      </c>
      <c r="L2504" t="s">
        <v>2824</v>
      </c>
      <c r="M2504">
        <v>0</v>
      </c>
      <c r="N2504">
        <v>17.899999999999999</v>
      </c>
      <c r="O2504" t="s">
        <v>19</v>
      </c>
      <c r="P2504" t="s">
        <v>20</v>
      </c>
      <c r="Q2504">
        <v>20220704</v>
      </c>
    </row>
    <row r="2505" spans="1:17" x14ac:dyDescent="0.25">
      <c r="A2505" t="s">
        <v>548</v>
      </c>
      <c r="B2505" t="s">
        <v>429</v>
      </c>
      <c r="C2505">
        <v>95</v>
      </c>
      <c r="D2505">
        <v>20220704</v>
      </c>
      <c r="E2505">
        <f t="shared" si="39"/>
        <v>7</v>
      </c>
      <c r="F2505">
        <v>706105</v>
      </c>
      <c r="G2505" t="s">
        <v>2258</v>
      </c>
      <c r="H2505" t="s">
        <v>401</v>
      </c>
      <c r="I2505" t="s">
        <v>402</v>
      </c>
      <c r="J2505" t="s">
        <v>2825</v>
      </c>
      <c r="K2505">
        <v>20220704</v>
      </c>
      <c r="L2505" t="s">
        <v>2826</v>
      </c>
      <c r="M2505">
        <v>0</v>
      </c>
      <c r="N2505">
        <v>130</v>
      </c>
      <c r="O2505" t="s">
        <v>19</v>
      </c>
      <c r="P2505" t="s">
        <v>20</v>
      </c>
      <c r="Q2505">
        <v>20220704</v>
      </c>
    </row>
    <row r="2506" spans="1:17" x14ac:dyDescent="0.25">
      <c r="A2506" t="s">
        <v>548</v>
      </c>
      <c r="B2506" t="s">
        <v>429</v>
      </c>
      <c r="C2506">
        <v>95</v>
      </c>
      <c r="D2506">
        <v>20220704</v>
      </c>
      <c r="E2506">
        <f t="shared" si="39"/>
        <v>7</v>
      </c>
      <c r="F2506">
        <v>531105</v>
      </c>
      <c r="G2506" t="s">
        <v>429</v>
      </c>
      <c r="H2506" t="s">
        <v>401</v>
      </c>
      <c r="I2506" t="s">
        <v>402</v>
      </c>
      <c r="J2506" t="s">
        <v>2825</v>
      </c>
      <c r="K2506">
        <v>20220704</v>
      </c>
      <c r="L2506" t="s">
        <v>2826</v>
      </c>
      <c r="M2506">
        <v>130</v>
      </c>
      <c r="N2506">
        <v>0</v>
      </c>
      <c r="O2506" t="s">
        <v>19</v>
      </c>
      <c r="P2506" t="s">
        <v>20</v>
      </c>
      <c r="Q2506">
        <v>20220704</v>
      </c>
    </row>
    <row r="2507" spans="1:17" x14ac:dyDescent="0.25">
      <c r="A2507" t="s">
        <v>548</v>
      </c>
      <c r="B2507" t="s">
        <v>429</v>
      </c>
      <c r="C2507">
        <v>95</v>
      </c>
      <c r="D2507">
        <v>20220705</v>
      </c>
      <c r="E2507">
        <f t="shared" si="39"/>
        <v>7</v>
      </c>
      <c r="F2507">
        <v>467100</v>
      </c>
      <c r="G2507" t="s">
        <v>160</v>
      </c>
      <c r="H2507" t="s">
        <v>2827</v>
      </c>
      <c r="I2507" t="s">
        <v>2828</v>
      </c>
      <c r="J2507" t="s">
        <v>2829</v>
      </c>
      <c r="K2507">
        <v>20220705</v>
      </c>
      <c r="L2507" t="s">
        <v>2830</v>
      </c>
      <c r="M2507">
        <v>16.75</v>
      </c>
      <c r="N2507">
        <v>0</v>
      </c>
      <c r="O2507" t="s">
        <v>23</v>
      </c>
      <c r="P2507">
        <v>20220831</v>
      </c>
      <c r="Q2507">
        <v>20220705</v>
      </c>
    </row>
    <row r="2508" spans="1:17" x14ac:dyDescent="0.25">
      <c r="A2508" t="s">
        <v>548</v>
      </c>
      <c r="B2508" t="s">
        <v>429</v>
      </c>
      <c r="C2508">
        <v>95</v>
      </c>
      <c r="D2508">
        <v>20220705</v>
      </c>
      <c r="E2508">
        <f t="shared" si="39"/>
        <v>7</v>
      </c>
      <c r="F2508">
        <v>531105</v>
      </c>
      <c r="G2508" t="s">
        <v>429</v>
      </c>
      <c r="H2508" t="s">
        <v>401</v>
      </c>
      <c r="I2508" t="s">
        <v>402</v>
      </c>
      <c r="J2508" t="s">
        <v>2829</v>
      </c>
      <c r="K2508">
        <v>20220705</v>
      </c>
      <c r="L2508" t="s">
        <v>2830</v>
      </c>
      <c r="M2508">
        <v>0</v>
      </c>
      <c r="N2508">
        <v>16.75</v>
      </c>
      <c r="O2508" t="s">
        <v>19</v>
      </c>
      <c r="P2508" t="s">
        <v>20</v>
      </c>
      <c r="Q2508">
        <v>20220705</v>
      </c>
    </row>
    <row r="2509" spans="1:17" x14ac:dyDescent="0.25">
      <c r="A2509" t="s">
        <v>548</v>
      </c>
      <c r="B2509" t="s">
        <v>429</v>
      </c>
      <c r="C2509">
        <v>95</v>
      </c>
      <c r="D2509">
        <v>20220705</v>
      </c>
      <c r="E2509">
        <f t="shared" si="39"/>
        <v>7</v>
      </c>
      <c r="F2509">
        <v>467100</v>
      </c>
      <c r="G2509" t="s">
        <v>160</v>
      </c>
      <c r="H2509" t="s">
        <v>219</v>
      </c>
      <c r="I2509" t="s">
        <v>220</v>
      </c>
      <c r="J2509" t="s">
        <v>2831</v>
      </c>
      <c r="K2509">
        <v>20220705</v>
      </c>
      <c r="L2509" t="s">
        <v>2832</v>
      </c>
      <c r="M2509">
        <v>652.5</v>
      </c>
      <c r="N2509">
        <v>0</v>
      </c>
      <c r="O2509" t="s">
        <v>23</v>
      </c>
      <c r="P2509">
        <v>20220831</v>
      </c>
      <c r="Q2509">
        <v>20220705</v>
      </c>
    </row>
    <row r="2510" spans="1:17" x14ac:dyDescent="0.25">
      <c r="A2510" t="s">
        <v>548</v>
      </c>
      <c r="B2510" t="s">
        <v>429</v>
      </c>
      <c r="C2510">
        <v>95</v>
      </c>
      <c r="D2510">
        <v>20220705</v>
      </c>
      <c r="E2510">
        <f t="shared" si="39"/>
        <v>7</v>
      </c>
      <c r="F2510">
        <v>531105</v>
      </c>
      <c r="G2510" t="s">
        <v>429</v>
      </c>
      <c r="H2510" t="s">
        <v>401</v>
      </c>
      <c r="I2510" t="s">
        <v>402</v>
      </c>
      <c r="J2510" t="s">
        <v>2831</v>
      </c>
      <c r="K2510">
        <v>20220705</v>
      </c>
      <c r="L2510" t="s">
        <v>2832</v>
      </c>
      <c r="M2510">
        <v>0</v>
      </c>
      <c r="N2510">
        <v>652.5</v>
      </c>
      <c r="O2510" t="s">
        <v>19</v>
      </c>
      <c r="P2510" t="s">
        <v>20</v>
      </c>
      <c r="Q2510">
        <v>20220705</v>
      </c>
    </row>
    <row r="2511" spans="1:17" x14ac:dyDescent="0.25">
      <c r="A2511" t="s">
        <v>548</v>
      </c>
      <c r="B2511" t="s">
        <v>429</v>
      </c>
      <c r="C2511">
        <v>95</v>
      </c>
      <c r="D2511">
        <v>20220705</v>
      </c>
      <c r="E2511">
        <f t="shared" si="39"/>
        <v>7</v>
      </c>
      <c r="F2511">
        <v>467100</v>
      </c>
      <c r="G2511" t="s">
        <v>160</v>
      </c>
      <c r="H2511" t="s">
        <v>183</v>
      </c>
      <c r="I2511" t="s">
        <v>184</v>
      </c>
      <c r="J2511" t="s">
        <v>2833</v>
      </c>
      <c r="K2511">
        <v>20220705</v>
      </c>
      <c r="L2511" t="s">
        <v>2834</v>
      </c>
      <c r="M2511">
        <v>0</v>
      </c>
      <c r="N2511">
        <v>11</v>
      </c>
      <c r="O2511" t="s">
        <v>19</v>
      </c>
      <c r="P2511" t="s">
        <v>20</v>
      </c>
      <c r="Q2511">
        <v>20220705</v>
      </c>
    </row>
    <row r="2512" spans="1:17" x14ac:dyDescent="0.25">
      <c r="A2512" t="s">
        <v>548</v>
      </c>
      <c r="B2512" t="s">
        <v>429</v>
      </c>
      <c r="C2512">
        <v>95</v>
      </c>
      <c r="D2512">
        <v>20220705</v>
      </c>
      <c r="E2512">
        <f t="shared" si="39"/>
        <v>7</v>
      </c>
      <c r="F2512">
        <v>531105</v>
      </c>
      <c r="G2512" t="s">
        <v>429</v>
      </c>
      <c r="H2512" t="s">
        <v>401</v>
      </c>
      <c r="I2512" t="s">
        <v>402</v>
      </c>
      <c r="J2512" t="s">
        <v>2833</v>
      </c>
      <c r="K2512">
        <v>20220705</v>
      </c>
      <c r="L2512" t="s">
        <v>2834</v>
      </c>
      <c r="M2512">
        <v>11</v>
      </c>
      <c r="N2512">
        <v>0</v>
      </c>
      <c r="O2512" t="s">
        <v>19</v>
      </c>
      <c r="P2512" t="s">
        <v>20</v>
      </c>
      <c r="Q2512">
        <v>20220705</v>
      </c>
    </row>
    <row r="2513" spans="1:17" x14ac:dyDescent="0.25">
      <c r="A2513" t="s">
        <v>548</v>
      </c>
      <c r="B2513" t="s">
        <v>429</v>
      </c>
      <c r="C2513">
        <v>95</v>
      </c>
      <c r="D2513">
        <v>20220705</v>
      </c>
      <c r="E2513">
        <f t="shared" si="39"/>
        <v>7</v>
      </c>
      <c r="F2513">
        <v>411020</v>
      </c>
      <c r="G2513" t="s">
        <v>30</v>
      </c>
      <c r="H2513" t="s">
        <v>307</v>
      </c>
      <c r="I2513" t="s">
        <v>308</v>
      </c>
      <c r="J2513">
        <v>322030022</v>
      </c>
      <c r="K2513">
        <v>20220705</v>
      </c>
      <c r="L2513" t="s">
        <v>2835</v>
      </c>
      <c r="M2513">
        <v>0</v>
      </c>
      <c r="N2513">
        <v>92</v>
      </c>
      <c r="O2513" t="s">
        <v>19</v>
      </c>
      <c r="P2513" t="s">
        <v>20</v>
      </c>
      <c r="Q2513">
        <v>20220705</v>
      </c>
    </row>
    <row r="2514" spans="1:17" x14ac:dyDescent="0.25">
      <c r="A2514" t="s">
        <v>548</v>
      </c>
      <c r="B2514" t="s">
        <v>429</v>
      </c>
      <c r="C2514">
        <v>95</v>
      </c>
      <c r="D2514">
        <v>20220705</v>
      </c>
      <c r="E2514">
        <f t="shared" si="39"/>
        <v>7</v>
      </c>
      <c r="F2514">
        <v>531105</v>
      </c>
      <c r="G2514" t="s">
        <v>429</v>
      </c>
      <c r="H2514" t="s">
        <v>401</v>
      </c>
      <c r="I2514" t="s">
        <v>402</v>
      </c>
      <c r="J2514">
        <v>347956</v>
      </c>
      <c r="K2514">
        <v>20220705</v>
      </c>
      <c r="L2514" t="s">
        <v>565</v>
      </c>
      <c r="M2514">
        <v>92</v>
      </c>
      <c r="N2514">
        <v>0</v>
      </c>
      <c r="O2514" t="s">
        <v>19</v>
      </c>
      <c r="P2514" t="s">
        <v>20</v>
      </c>
      <c r="Q2514">
        <v>20220705</v>
      </c>
    </row>
    <row r="2515" spans="1:17" x14ac:dyDescent="0.25">
      <c r="A2515" t="s">
        <v>548</v>
      </c>
      <c r="B2515" t="s">
        <v>429</v>
      </c>
      <c r="C2515">
        <v>95</v>
      </c>
      <c r="D2515">
        <v>20220705</v>
      </c>
      <c r="E2515">
        <f t="shared" si="39"/>
        <v>7</v>
      </c>
      <c r="F2515">
        <v>411100</v>
      </c>
      <c r="G2515" t="s">
        <v>18</v>
      </c>
      <c r="H2515" t="s">
        <v>941</v>
      </c>
      <c r="I2515" t="s">
        <v>942</v>
      </c>
      <c r="J2515">
        <v>348222</v>
      </c>
      <c r="K2515">
        <v>20220705</v>
      </c>
      <c r="L2515" t="s">
        <v>2836</v>
      </c>
      <c r="M2515">
        <v>0</v>
      </c>
      <c r="N2515">
        <v>38.700000000000003</v>
      </c>
      <c r="O2515" t="s">
        <v>22</v>
      </c>
      <c r="P2515">
        <v>20230218</v>
      </c>
      <c r="Q2515">
        <v>20220705</v>
      </c>
    </row>
    <row r="2516" spans="1:17" x14ac:dyDescent="0.25">
      <c r="A2516" t="s">
        <v>548</v>
      </c>
      <c r="B2516" t="s">
        <v>429</v>
      </c>
      <c r="C2516">
        <v>95</v>
      </c>
      <c r="D2516">
        <v>20220705</v>
      </c>
      <c r="E2516">
        <f t="shared" si="39"/>
        <v>7</v>
      </c>
      <c r="F2516">
        <v>411100</v>
      </c>
      <c r="G2516" t="s">
        <v>18</v>
      </c>
      <c r="H2516" t="s">
        <v>352</v>
      </c>
      <c r="I2516" t="s">
        <v>353</v>
      </c>
      <c r="J2516">
        <v>348223</v>
      </c>
      <c r="K2516">
        <v>20220705</v>
      </c>
      <c r="L2516" t="s">
        <v>2837</v>
      </c>
      <c r="M2516">
        <v>0</v>
      </c>
      <c r="N2516">
        <v>93.24</v>
      </c>
      <c r="O2516" t="s">
        <v>22</v>
      </c>
      <c r="P2516">
        <v>20230218</v>
      </c>
      <c r="Q2516">
        <v>20220705</v>
      </c>
    </row>
    <row r="2517" spans="1:17" x14ac:dyDescent="0.25">
      <c r="A2517" t="s">
        <v>548</v>
      </c>
      <c r="B2517" t="s">
        <v>429</v>
      </c>
      <c r="C2517">
        <v>95</v>
      </c>
      <c r="D2517">
        <v>20220705</v>
      </c>
      <c r="E2517">
        <f t="shared" si="39"/>
        <v>7</v>
      </c>
      <c r="F2517">
        <v>411100</v>
      </c>
      <c r="G2517" t="s">
        <v>18</v>
      </c>
      <c r="H2517" t="s">
        <v>233</v>
      </c>
      <c r="I2517" t="s">
        <v>234</v>
      </c>
      <c r="J2517">
        <v>348224</v>
      </c>
      <c r="K2517">
        <v>20220705</v>
      </c>
      <c r="L2517" t="s">
        <v>2838</v>
      </c>
      <c r="M2517">
        <v>0</v>
      </c>
      <c r="N2517">
        <v>100</v>
      </c>
      <c r="O2517" t="s">
        <v>22</v>
      </c>
      <c r="P2517">
        <v>20230218</v>
      </c>
      <c r="Q2517">
        <v>20220705</v>
      </c>
    </row>
    <row r="2518" spans="1:17" x14ac:dyDescent="0.25">
      <c r="A2518" t="s">
        <v>548</v>
      </c>
      <c r="B2518" t="s">
        <v>429</v>
      </c>
      <c r="C2518">
        <v>95</v>
      </c>
      <c r="D2518">
        <v>20220705</v>
      </c>
      <c r="E2518">
        <f t="shared" si="39"/>
        <v>7</v>
      </c>
      <c r="F2518">
        <v>531105</v>
      </c>
      <c r="G2518" t="s">
        <v>429</v>
      </c>
      <c r="H2518" t="s">
        <v>401</v>
      </c>
      <c r="I2518" t="s">
        <v>402</v>
      </c>
      <c r="J2518">
        <v>348225</v>
      </c>
      <c r="K2518">
        <v>20220705</v>
      </c>
      <c r="L2518" t="s">
        <v>565</v>
      </c>
      <c r="M2518">
        <v>231.94</v>
      </c>
      <c r="N2518">
        <v>0</v>
      </c>
      <c r="O2518" t="s">
        <v>19</v>
      </c>
      <c r="P2518" t="s">
        <v>20</v>
      </c>
      <c r="Q2518">
        <v>20220705</v>
      </c>
    </row>
    <row r="2519" spans="1:17" x14ac:dyDescent="0.25">
      <c r="A2519" t="s">
        <v>548</v>
      </c>
      <c r="B2519" t="s">
        <v>429</v>
      </c>
      <c r="C2519">
        <v>95</v>
      </c>
      <c r="D2519">
        <v>20220705</v>
      </c>
      <c r="E2519">
        <f t="shared" si="39"/>
        <v>7</v>
      </c>
      <c r="F2519">
        <v>411100</v>
      </c>
      <c r="G2519" t="s">
        <v>18</v>
      </c>
      <c r="H2519" t="s">
        <v>941</v>
      </c>
      <c r="I2519" t="s">
        <v>942</v>
      </c>
      <c r="J2519">
        <v>349166</v>
      </c>
      <c r="K2519">
        <v>20220705</v>
      </c>
      <c r="L2519" t="s">
        <v>2836</v>
      </c>
      <c r="M2519">
        <v>0</v>
      </c>
      <c r="N2519">
        <v>38.700000000000003</v>
      </c>
      <c r="O2519" t="s">
        <v>19</v>
      </c>
      <c r="P2519" t="s">
        <v>20</v>
      </c>
      <c r="Q2519">
        <v>20220705</v>
      </c>
    </row>
    <row r="2520" spans="1:17" x14ac:dyDescent="0.25">
      <c r="A2520" t="s">
        <v>548</v>
      </c>
      <c r="B2520" t="s">
        <v>429</v>
      </c>
      <c r="C2520">
        <v>95</v>
      </c>
      <c r="D2520">
        <v>20220705</v>
      </c>
      <c r="E2520">
        <f t="shared" si="39"/>
        <v>7</v>
      </c>
      <c r="F2520">
        <v>411100</v>
      </c>
      <c r="G2520" t="s">
        <v>18</v>
      </c>
      <c r="H2520" t="s">
        <v>352</v>
      </c>
      <c r="I2520" t="s">
        <v>353</v>
      </c>
      <c r="J2520">
        <v>349167</v>
      </c>
      <c r="K2520">
        <v>20220705</v>
      </c>
      <c r="L2520" t="s">
        <v>2837</v>
      </c>
      <c r="M2520">
        <v>0</v>
      </c>
      <c r="N2520">
        <v>93.24</v>
      </c>
      <c r="O2520" t="s">
        <v>19</v>
      </c>
      <c r="P2520" t="s">
        <v>20</v>
      </c>
      <c r="Q2520">
        <v>20220705</v>
      </c>
    </row>
    <row r="2521" spans="1:17" x14ac:dyDescent="0.25">
      <c r="A2521" t="s">
        <v>548</v>
      </c>
      <c r="B2521" t="s">
        <v>429</v>
      </c>
      <c r="C2521">
        <v>95</v>
      </c>
      <c r="D2521">
        <v>20220705</v>
      </c>
      <c r="E2521">
        <f t="shared" si="39"/>
        <v>7</v>
      </c>
      <c r="F2521">
        <v>411100</v>
      </c>
      <c r="G2521" t="s">
        <v>18</v>
      </c>
      <c r="H2521" t="s">
        <v>233</v>
      </c>
      <c r="I2521" t="s">
        <v>234</v>
      </c>
      <c r="J2521">
        <v>349168</v>
      </c>
      <c r="K2521">
        <v>20220705</v>
      </c>
      <c r="L2521" t="s">
        <v>2838</v>
      </c>
      <c r="M2521">
        <v>0</v>
      </c>
      <c r="N2521">
        <v>100</v>
      </c>
      <c r="O2521" t="s">
        <v>19</v>
      </c>
      <c r="P2521" t="s">
        <v>20</v>
      </c>
      <c r="Q2521">
        <v>20220705</v>
      </c>
    </row>
    <row r="2522" spans="1:17" x14ac:dyDescent="0.25">
      <c r="A2522" t="s">
        <v>548</v>
      </c>
      <c r="B2522" t="s">
        <v>429</v>
      </c>
      <c r="C2522">
        <v>95</v>
      </c>
      <c r="D2522">
        <v>20220705</v>
      </c>
      <c r="E2522">
        <f t="shared" si="39"/>
        <v>7</v>
      </c>
      <c r="F2522">
        <v>531105</v>
      </c>
      <c r="G2522" t="s">
        <v>429</v>
      </c>
      <c r="H2522" t="s">
        <v>401</v>
      </c>
      <c r="I2522" t="s">
        <v>402</v>
      </c>
      <c r="J2522">
        <v>349169</v>
      </c>
      <c r="K2522">
        <v>20220705</v>
      </c>
      <c r="L2522" t="s">
        <v>565</v>
      </c>
      <c r="M2522">
        <v>231.94</v>
      </c>
      <c r="N2522">
        <v>0</v>
      </c>
      <c r="O2522" t="s">
        <v>19</v>
      </c>
      <c r="P2522" t="s">
        <v>20</v>
      </c>
      <c r="Q2522">
        <v>20220705</v>
      </c>
    </row>
    <row r="2523" spans="1:17" x14ac:dyDescent="0.25">
      <c r="A2523" t="s">
        <v>548</v>
      </c>
      <c r="B2523" t="s">
        <v>429</v>
      </c>
      <c r="C2523">
        <v>95</v>
      </c>
      <c r="D2523">
        <v>20220705</v>
      </c>
      <c r="E2523">
        <f t="shared" si="39"/>
        <v>7</v>
      </c>
      <c r="F2523">
        <v>411100</v>
      </c>
      <c r="G2523" t="s">
        <v>18</v>
      </c>
      <c r="H2523" t="s">
        <v>941</v>
      </c>
      <c r="I2523" t="s">
        <v>942</v>
      </c>
      <c r="J2523">
        <v>350110</v>
      </c>
      <c r="K2523">
        <v>20220705</v>
      </c>
      <c r="L2523" t="s">
        <v>2836</v>
      </c>
      <c r="M2523">
        <v>38.700000000000003</v>
      </c>
      <c r="N2523">
        <v>0</v>
      </c>
      <c r="O2523" t="s">
        <v>22</v>
      </c>
      <c r="P2523">
        <v>20230218</v>
      </c>
      <c r="Q2523">
        <v>20220705</v>
      </c>
    </row>
    <row r="2524" spans="1:17" x14ac:dyDescent="0.25">
      <c r="A2524" t="s">
        <v>548</v>
      </c>
      <c r="B2524" t="s">
        <v>429</v>
      </c>
      <c r="C2524">
        <v>95</v>
      </c>
      <c r="D2524">
        <v>20220705</v>
      </c>
      <c r="E2524">
        <f t="shared" si="39"/>
        <v>7</v>
      </c>
      <c r="F2524">
        <v>411100</v>
      </c>
      <c r="G2524" t="s">
        <v>18</v>
      </c>
      <c r="H2524" t="s">
        <v>352</v>
      </c>
      <c r="I2524" t="s">
        <v>353</v>
      </c>
      <c r="J2524">
        <v>350111</v>
      </c>
      <c r="K2524">
        <v>20220705</v>
      </c>
      <c r="L2524" t="s">
        <v>2837</v>
      </c>
      <c r="M2524">
        <v>93.24</v>
      </c>
      <c r="N2524">
        <v>0</v>
      </c>
      <c r="O2524" t="s">
        <v>22</v>
      </c>
      <c r="P2524">
        <v>20230218</v>
      </c>
      <c r="Q2524">
        <v>20220705</v>
      </c>
    </row>
    <row r="2525" spans="1:17" x14ac:dyDescent="0.25">
      <c r="A2525" t="s">
        <v>548</v>
      </c>
      <c r="B2525" t="s">
        <v>429</v>
      </c>
      <c r="C2525">
        <v>95</v>
      </c>
      <c r="D2525">
        <v>20220705</v>
      </c>
      <c r="E2525">
        <f t="shared" si="39"/>
        <v>7</v>
      </c>
      <c r="F2525">
        <v>411100</v>
      </c>
      <c r="G2525" t="s">
        <v>18</v>
      </c>
      <c r="H2525" t="s">
        <v>233</v>
      </c>
      <c r="I2525" t="s">
        <v>234</v>
      </c>
      <c r="J2525">
        <v>350112</v>
      </c>
      <c r="K2525">
        <v>20220705</v>
      </c>
      <c r="L2525" t="s">
        <v>2838</v>
      </c>
      <c r="M2525">
        <v>100</v>
      </c>
      <c r="N2525">
        <v>0</v>
      </c>
      <c r="O2525" t="s">
        <v>22</v>
      </c>
      <c r="P2525">
        <v>20230218</v>
      </c>
      <c r="Q2525">
        <v>20220705</v>
      </c>
    </row>
    <row r="2526" spans="1:17" x14ac:dyDescent="0.25">
      <c r="A2526" t="s">
        <v>548</v>
      </c>
      <c r="B2526" t="s">
        <v>429</v>
      </c>
      <c r="C2526">
        <v>95</v>
      </c>
      <c r="D2526">
        <v>20220705</v>
      </c>
      <c r="E2526">
        <f t="shared" si="39"/>
        <v>7</v>
      </c>
      <c r="F2526">
        <v>531105</v>
      </c>
      <c r="G2526" t="s">
        <v>429</v>
      </c>
      <c r="H2526" t="s">
        <v>401</v>
      </c>
      <c r="I2526" t="s">
        <v>402</v>
      </c>
      <c r="J2526">
        <v>350113</v>
      </c>
      <c r="K2526">
        <v>20220705</v>
      </c>
      <c r="L2526" t="s">
        <v>565</v>
      </c>
      <c r="M2526">
        <v>0</v>
      </c>
      <c r="N2526">
        <v>231.94</v>
      </c>
      <c r="O2526" t="s">
        <v>19</v>
      </c>
      <c r="P2526" t="s">
        <v>20</v>
      </c>
      <c r="Q2526">
        <v>20220705</v>
      </c>
    </row>
    <row r="2527" spans="1:17" x14ac:dyDescent="0.25">
      <c r="A2527" t="s">
        <v>548</v>
      </c>
      <c r="B2527" t="s">
        <v>429</v>
      </c>
      <c r="C2527">
        <v>95</v>
      </c>
      <c r="D2527">
        <v>20220706</v>
      </c>
      <c r="E2527">
        <f t="shared" si="39"/>
        <v>7</v>
      </c>
      <c r="F2527">
        <v>467100</v>
      </c>
      <c r="G2527" t="s">
        <v>160</v>
      </c>
      <c r="H2527" t="s">
        <v>2465</v>
      </c>
      <c r="I2527" t="s">
        <v>2466</v>
      </c>
      <c r="J2527" t="s">
        <v>2839</v>
      </c>
      <c r="K2527">
        <v>20220706</v>
      </c>
      <c r="L2527" t="s">
        <v>2840</v>
      </c>
      <c r="M2527">
        <v>24</v>
      </c>
      <c r="N2527">
        <v>0</v>
      </c>
      <c r="O2527" t="s">
        <v>23</v>
      </c>
      <c r="P2527">
        <v>20220831</v>
      </c>
      <c r="Q2527">
        <v>20220706</v>
      </c>
    </row>
    <row r="2528" spans="1:17" x14ac:dyDescent="0.25">
      <c r="A2528" t="s">
        <v>548</v>
      </c>
      <c r="B2528" t="s">
        <v>429</v>
      </c>
      <c r="C2528">
        <v>95</v>
      </c>
      <c r="D2528">
        <v>20220706</v>
      </c>
      <c r="E2528">
        <f t="shared" si="39"/>
        <v>7</v>
      </c>
      <c r="F2528">
        <v>531105</v>
      </c>
      <c r="G2528" t="s">
        <v>429</v>
      </c>
      <c r="H2528" t="s">
        <v>401</v>
      </c>
      <c r="I2528" t="s">
        <v>402</v>
      </c>
      <c r="J2528" t="s">
        <v>2839</v>
      </c>
      <c r="K2528">
        <v>20220706</v>
      </c>
      <c r="L2528" t="s">
        <v>2840</v>
      </c>
      <c r="M2528">
        <v>0</v>
      </c>
      <c r="N2528">
        <v>24</v>
      </c>
      <c r="O2528" t="s">
        <v>19</v>
      </c>
      <c r="P2528" t="s">
        <v>20</v>
      </c>
      <c r="Q2528">
        <v>20220706</v>
      </c>
    </row>
    <row r="2529" spans="1:17" x14ac:dyDescent="0.25">
      <c r="A2529" t="s">
        <v>548</v>
      </c>
      <c r="B2529" t="s">
        <v>429</v>
      </c>
      <c r="C2529">
        <v>95</v>
      </c>
      <c r="D2529">
        <v>20220706</v>
      </c>
      <c r="E2529">
        <f t="shared" si="39"/>
        <v>7</v>
      </c>
      <c r="F2529">
        <v>467100</v>
      </c>
      <c r="G2529" t="s">
        <v>160</v>
      </c>
      <c r="H2529" t="s">
        <v>219</v>
      </c>
      <c r="I2529" t="s">
        <v>220</v>
      </c>
      <c r="J2529" t="s">
        <v>2841</v>
      </c>
      <c r="K2529">
        <v>20220706</v>
      </c>
      <c r="L2529" t="s">
        <v>2842</v>
      </c>
      <c r="M2529">
        <v>0</v>
      </c>
      <c r="N2529">
        <v>15.43</v>
      </c>
      <c r="O2529" t="s">
        <v>19</v>
      </c>
      <c r="P2529" t="s">
        <v>20</v>
      </c>
      <c r="Q2529">
        <v>20220706</v>
      </c>
    </row>
    <row r="2530" spans="1:17" x14ac:dyDescent="0.25">
      <c r="A2530" t="s">
        <v>548</v>
      </c>
      <c r="B2530" t="s">
        <v>429</v>
      </c>
      <c r="C2530">
        <v>95</v>
      </c>
      <c r="D2530">
        <v>20220706</v>
      </c>
      <c r="E2530">
        <f t="shared" si="39"/>
        <v>7</v>
      </c>
      <c r="F2530">
        <v>531105</v>
      </c>
      <c r="G2530" t="s">
        <v>429</v>
      </c>
      <c r="H2530" t="s">
        <v>401</v>
      </c>
      <c r="I2530" t="s">
        <v>402</v>
      </c>
      <c r="J2530" t="s">
        <v>2841</v>
      </c>
      <c r="K2530">
        <v>20220706</v>
      </c>
      <c r="L2530" t="s">
        <v>2842</v>
      </c>
      <c r="M2530">
        <v>15.43</v>
      </c>
      <c r="N2530">
        <v>0</v>
      </c>
      <c r="O2530" t="s">
        <v>19</v>
      </c>
      <c r="P2530" t="s">
        <v>20</v>
      </c>
      <c r="Q2530">
        <v>20220706</v>
      </c>
    </row>
    <row r="2531" spans="1:17" x14ac:dyDescent="0.25">
      <c r="A2531" t="s">
        <v>548</v>
      </c>
      <c r="B2531" t="s">
        <v>429</v>
      </c>
      <c r="C2531">
        <v>95</v>
      </c>
      <c r="D2531">
        <v>20220706</v>
      </c>
      <c r="E2531">
        <f t="shared" si="39"/>
        <v>7</v>
      </c>
      <c r="F2531">
        <v>467100</v>
      </c>
      <c r="G2531" t="s">
        <v>160</v>
      </c>
      <c r="H2531" t="s">
        <v>183</v>
      </c>
      <c r="I2531" t="s">
        <v>184</v>
      </c>
      <c r="J2531" t="s">
        <v>2843</v>
      </c>
      <c r="K2531">
        <v>20220706</v>
      </c>
      <c r="L2531" t="s">
        <v>2844</v>
      </c>
      <c r="M2531">
        <v>300</v>
      </c>
      <c r="N2531">
        <v>0</v>
      </c>
      <c r="O2531" t="s">
        <v>23</v>
      </c>
      <c r="P2531">
        <v>20230218</v>
      </c>
      <c r="Q2531">
        <v>20220706</v>
      </c>
    </row>
    <row r="2532" spans="1:17" x14ac:dyDescent="0.25">
      <c r="A2532" t="s">
        <v>548</v>
      </c>
      <c r="B2532" t="s">
        <v>429</v>
      </c>
      <c r="C2532">
        <v>95</v>
      </c>
      <c r="D2532">
        <v>20220706</v>
      </c>
      <c r="E2532">
        <f t="shared" si="39"/>
        <v>7</v>
      </c>
      <c r="F2532">
        <v>531105</v>
      </c>
      <c r="G2532" t="s">
        <v>429</v>
      </c>
      <c r="H2532" t="s">
        <v>401</v>
      </c>
      <c r="I2532" t="s">
        <v>402</v>
      </c>
      <c r="J2532" t="s">
        <v>2843</v>
      </c>
      <c r="K2532">
        <v>20220706</v>
      </c>
      <c r="L2532" t="s">
        <v>2844</v>
      </c>
      <c r="M2532">
        <v>0</v>
      </c>
      <c r="N2532">
        <v>300</v>
      </c>
      <c r="O2532" t="s">
        <v>19</v>
      </c>
      <c r="P2532" t="s">
        <v>20</v>
      </c>
      <c r="Q2532">
        <v>20220706</v>
      </c>
    </row>
    <row r="2533" spans="1:17" x14ac:dyDescent="0.25">
      <c r="A2533" t="s">
        <v>548</v>
      </c>
      <c r="B2533" t="s">
        <v>429</v>
      </c>
      <c r="C2533">
        <v>95</v>
      </c>
      <c r="D2533">
        <v>20220706</v>
      </c>
      <c r="E2533">
        <f t="shared" si="39"/>
        <v>7</v>
      </c>
      <c r="F2533">
        <v>411100</v>
      </c>
      <c r="G2533" t="s">
        <v>18</v>
      </c>
      <c r="H2533" t="s">
        <v>352</v>
      </c>
      <c r="I2533" t="s">
        <v>353</v>
      </c>
      <c r="J2533">
        <v>222050025</v>
      </c>
      <c r="K2533">
        <v>20220706</v>
      </c>
      <c r="L2533" t="s">
        <v>2845</v>
      </c>
      <c r="M2533">
        <v>0</v>
      </c>
      <c r="N2533">
        <v>100</v>
      </c>
      <c r="O2533" t="s">
        <v>19</v>
      </c>
      <c r="P2533" t="s">
        <v>20</v>
      </c>
      <c r="Q2533">
        <v>20220706</v>
      </c>
    </row>
    <row r="2534" spans="1:17" x14ac:dyDescent="0.25">
      <c r="A2534" t="s">
        <v>548</v>
      </c>
      <c r="B2534" t="s">
        <v>429</v>
      </c>
      <c r="C2534">
        <v>95</v>
      </c>
      <c r="D2534">
        <v>20220706</v>
      </c>
      <c r="E2534">
        <f t="shared" si="39"/>
        <v>7</v>
      </c>
      <c r="F2534">
        <v>411100</v>
      </c>
      <c r="G2534" t="s">
        <v>18</v>
      </c>
      <c r="H2534" t="s">
        <v>352</v>
      </c>
      <c r="I2534" t="s">
        <v>353</v>
      </c>
      <c r="J2534">
        <v>222060002</v>
      </c>
      <c r="K2534">
        <v>20220706</v>
      </c>
      <c r="L2534" t="s">
        <v>2846</v>
      </c>
      <c r="M2534">
        <v>0</v>
      </c>
      <c r="N2534">
        <v>4.3</v>
      </c>
      <c r="O2534" t="s">
        <v>19</v>
      </c>
      <c r="P2534" t="s">
        <v>20</v>
      </c>
      <c r="Q2534">
        <v>20220706</v>
      </c>
    </row>
    <row r="2535" spans="1:17" x14ac:dyDescent="0.25">
      <c r="A2535" t="s">
        <v>548</v>
      </c>
      <c r="B2535" t="s">
        <v>429</v>
      </c>
      <c r="C2535">
        <v>95</v>
      </c>
      <c r="D2535">
        <v>20220706</v>
      </c>
      <c r="E2535">
        <f t="shared" si="39"/>
        <v>7</v>
      </c>
      <c r="F2535">
        <v>531105</v>
      </c>
      <c r="G2535" t="s">
        <v>429</v>
      </c>
      <c r="H2535" t="s">
        <v>401</v>
      </c>
      <c r="I2535" t="s">
        <v>402</v>
      </c>
      <c r="J2535">
        <v>347643</v>
      </c>
      <c r="K2535">
        <v>20220706</v>
      </c>
      <c r="L2535" t="s">
        <v>565</v>
      </c>
      <c r="M2535">
        <v>104.3</v>
      </c>
      <c r="N2535">
        <v>0</v>
      </c>
      <c r="O2535" t="s">
        <v>19</v>
      </c>
      <c r="P2535" t="s">
        <v>20</v>
      </c>
      <c r="Q2535">
        <v>20220706</v>
      </c>
    </row>
    <row r="2536" spans="1:17" x14ac:dyDescent="0.25">
      <c r="A2536" t="s">
        <v>548</v>
      </c>
      <c r="B2536" t="s">
        <v>429</v>
      </c>
      <c r="C2536">
        <v>95</v>
      </c>
      <c r="D2536">
        <v>20220707</v>
      </c>
      <c r="E2536">
        <f t="shared" si="39"/>
        <v>7</v>
      </c>
      <c r="F2536">
        <v>467100</v>
      </c>
      <c r="G2536" t="s">
        <v>160</v>
      </c>
      <c r="H2536" t="s">
        <v>1522</v>
      </c>
      <c r="I2536" t="s">
        <v>1523</v>
      </c>
      <c r="J2536" t="s">
        <v>2847</v>
      </c>
      <c r="K2536">
        <v>20220707</v>
      </c>
      <c r="L2536" t="s">
        <v>2848</v>
      </c>
      <c r="M2536">
        <v>10</v>
      </c>
      <c r="N2536">
        <v>0</v>
      </c>
      <c r="O2536" t="s">
        <v>23</v>
      </c>
      <c r="P2536">
        <v>20220831</v>
      </c>
      <c r="Q2536">
        <v>20220707</v>
      </c>
    </row>
    <row r="2537" spans="1:17" x14ac:dyDescent="0.25">
      <c r="A2537" t="s">
        <v>548</v>
      </c>
      <c r="B2537" t="s">
        <v>429</v>
      </c>
      <c r="C2537">
        <v>95</v>
      </c>
      <c r="D2537">
        <v>20220707</v>
      </c>
      <c r="E2537">
        <f t="shared" si="39"/>
        <v>7</v>
      </c>
      <c r="F2537">
        <v>531105</v>
      </c>
      <c r="G2537" t="s">
        <v>429</v>
      </c>
      <c r="H2537" t="s">
        <v>401</v>
      </c>
      <c r="I2537" t="s">
        <v>402</v>
      </c>
      <c r="J2537" t="s">
        <v>2847</v>
      </c>
      <c r="K2537">
        <v>20220707</v>
      </c>
      <c r="L2537" t="s">
        <v>2848</v>
      </c>
      <c r="M2537">
        <v>0</v>
      </c>
      <c r="N2537">
        <v>10</v>
      </c>
      <c r="O2537" t="s">
        <v>19</v>
      </c>
      <c r="P2537" t="s">
        <v>20</v>
      </c>
      <c r="Q2537">
        <v>20220707</v>
      </c>
    </row>
    <row r="2538" spans="1:17" x14ac:dyDescent="0.25">
      <c r="A2538" t="s">
        <v>548</v>
      </c>
      <c r="B2538" t="s">
        <v>429</v>
      </c>
      <c r="C2538">
        <v>95</v>
      </c>
      <c r="D2538">
        <v>20220707</v>
      </c>
      <c r="E2538">
        <f t="shared" si="39"/>
        <v>7</v>
      </c>
      <c r="F2538">
        <v>580000</v>
      </c>
      <c r="G2538" t="s">
        <v>532</v>
      </c>
      <c r="H2538" t="s">
        <v>401</v>
      </c>
      <c r="I2538" t="s">
        <v>402</v>
      </c>
      <c r="J2538" t="s">
        <v>2849</v>
      </c>
      <c r="K2538">
        <v>20220707</v>
      </c>
      <c r="L2538" t="s">
        <v>625</v>
      </c>
      <c r="M2538">
        <v>4342</v>
      </c>
      <c r="N2538">
        <v>0</v>
      </c>
      <c r="O2538" t="s">
        <v>22</v>
      </c>
      <c r="P2538">
        <v>20220707</v>
      </c>
      <c r="Q2538">
        <v>20220707</v>
      </c>
    </row>
    <row r="2539" spans="1:17" x14ac:dyDescent="0.25">
      <c r="A2539" t="s">
        <v>548</v>
      </c>
      <c r="B2539" t="s">
        <v>429</v>
      </c>
      <c r="C2539">
        <v>95</v>
      </c>
      <c r="D2539">
        <v>20220707</v>
      </c>
      <c r="E2539">
        <f t="shared" si="39"/>
        <v>7</v>
      </c>
      <c r="F2539">
        <v>531105</v>
      </c>
      <c r="G2539" t="s">
        <v>429</v>
      </c>
      <c r="H2539" t="s">
        <v>401</v>
      </c>
      <c r="I2539" t="s">
        <v>402</v>
      </c>
      <c r="J2539" t="s">
        <v>2849</v>
      </c>
      <c r="K2539">
        <v>20220707</v>
      </c>
      <c r="L2539" t="s">
        <v>625</v>
      </c>
      <c r="M2539">
        <v>0</v>
      </c>
      <c r="N2539">
        <v>4342</v>
      </c>
      <c r="O2539" t="s">
        <v>19</v>
      </c>
      <c r="P2539" t="s">
        <v>20</v>
      </c>
      <c r="Q2539">
        <v>20220707</v>
      </c>
    </row>
    <row r="2540" spans="1:17" x14ac:dyDescent="0.25">
      <c r="A2540" t="s">
        <v>548</v>
      </c>
      <c r="B2540" t="s">
        <v>429</v>
      </c>
      <c r="C2540">
        <v>95</v>
      </c>
      <c r="D2540">
        <v>20220707</v>
      </c>
      <c r="E2540">
        <f t="shared" si="39"/>
        <v>7</v>
      </c>
      <c r="F2540">
        <v>467100</v>
      </c>
      <c r="G2540" t="s">
        <v>160</v>
      </c>
      <c r="H2540" t="s">
        <v>316</v>
      </c>
      <c r="I2540" t="s">
        <v>317</v>
      </c>
      <c r="J2540" t="s">
        <v>2850</v>
      </c>
      <c r="K2540">
        <v>20220707</v>
      </c>
      <c r="L2540" t="s">
        <v>966</v>
      </c>
      <c r="M2540">
        <v>20</v>
      </c>
      <c r="N2540">
        <v>0</v>
      </c>
      <c r="O2540" t="s">
        <v>19</v>
      </c>
      <c r="P2540" t="s">
        <v>20</v>
      </c>
      <c r="Q2540">
        <v>20220707</v>
      </c>
    </row>
    <row r="2541" spans="1:17" x14ac:dyDescent="0.25">
      <c r="A2541" t="s">
        <v>548</v>
      </c>
      <c r="B2541" t="s">
        <v>429</v>
      </c>
      <c r="C2541">
        <v>95</v>
      </c>
      <c r="D2541">
        <v>20220707</v>
      </c>
      <c r="E2541">
        <f t="shared" si="39"/>
        <v>7</v>
      </c>
      <c r="F2541">
        <v>531105</v>
      </c>
      <c r="G2541" t="s">
        <v>429</v>
      </c>
      <c r="H2541" t="s">
        <v>401</v>
      </c>
      <c r="I2541" t="s">
        <v>402</v>
      </c>
      <c r="J2541" t="s">
        <v>2850</v>
      </c>
      <c r="K2541">
        <v>20220707</v>
      </c>
      <c r="L2541" t="s">
        <v>966</v>
      </c>
      <c r="M2541">
        <v>0</v>
      </c>
      <c r="N2541">
        <v>20</v>
      </c>
      <c r="O2541" t="s">
        <v>19</v>
      </c>
      <c r="P2541" t="s">
        <v>20</v>
      </c>
      <c r="Q2541">
        <v>20220707</v>
      </c>
    </row>
    <row r="2542" spans="1:17" x14ac:dyDescent="0.25">
      <c r="A2542" t="s">
        <v>548</v>
      </c>
      <c r="B2542" t="s">
        <v>429</v>
      </c>
      <c r="C2542">
        <v>95</v>
      </c>
      <c r="D2542">
        <v>20220707</v>
      </c>
      <c r="E2542">
        <f t="shared" si="39"/>
        <v>7</v>
      </c>
      <c r="F2542">
        <v>467100</v>
      </c>
      <c r="G2542" t="s">
        <v>160</v>
      </c>
      <c r="H2542" t="s">
        <v>172</v>
      </c>
      <c r="I2542" t="s">
        <v>173</v>
      </c>
      <c r="J2542" t="s">
        <v>2851</v>
      </c>
      <c r="K2542">
        <v>20220707</v>
      </c>
      <c r="L2542" t="s">
        <v>2852</v>
      </c>
      <c r="M2542">
        <v>200</v>
      </c>
      <c r="N2542">
        <v>0</v>
      </c>
      <c r="O2542" t="s">
        <v>23</v>
      </c>
      <c r="P2542">
        <v>20220801</v>
      </c>
      <c r="Q2542">
        <v>20220707</v>
      </c>
    </row>
    <row r="2543" spans="1:17" x14ac:dyDescent="0.25">
      <c r="A2543" t="s">
        <v>548</v>
      </c>
      <c r="B2543" t="s">
        <v>429</v>
      </c>
      <c r="C2543">
        <v>95</v>
      </c>
      <c r="D2543">
        <v>20220707</v>
      </c>
      <c r="E2543">
        <f t="shared" si="39"/>
        <v>7</v>
      </c>
      <c r="F2543">
        <v>531105</v>
      </c>
      <c r="G2543" t="s">
        <v>429</v>
      </c>
      <c r="H2543" t="s">
        <v>401</v>
      </c>
      <c r="I2543" t="s">
        <v>402</v>
      </c>
      <c r="J2543" t="s">
        <v>2851</v>
      </c>
      <c r="K2543">
        <v>20220707</v>
      </c>
      <c r="L2543" t="s">
        <v>2852</v>
      </c>
      <c r="M2543">
        <v>0</v>
      </c>
      <c r="N2543">
        <v>200</v>
      </c>
      <c r="O2543" t="s">
        <v>19</v>
      </c>
      <c r="P2543" t="s">
        <v>20</v>
      </c>
      <c r="Q2543">
        <v>20220707</v>
      </c>
    </row>
    <row r="2544" spans="1:17" x14ac:dyDescent="0.25">
      <c r="A2544" t="s">
        <v>548</v>
      </c>
      <c r="B2544" t="s">
        <v>429</v>
      </c>
      <c r="C2544">
        <v>95</v>
      </c>
      <c r="D2544">
        <v>20220707</v>
      </c>
      <c r="E2544">
        <f t="shared" si="39"/>
        <v>7</v>
      </c>
      <c r="F2544">
        <v>411100</v>
      </c>
      <c r="G2544" t="s">
        <v>18</v>
      </c>
      <c r="H2544" t="s">
        <v>592</v>
      </c>
      <c r="I2544" t="s">
        <v>593</v>
      </c>
      <c r="J2544">
        <v>348226</v>
      </c>
      <c r="K2544">
        <v>20220707</v>
      </c>
      <c r="L2544" t="s">
        <v>2814</v>
      </c>
      <c r="M2544">
        <v>0</v>
      </c>
      <c r="N2544">
        <v>222.45</v>
      </c>
      <c r="O2544" t="s">
        <v>22</v>
      </c>
      <c r="P2544">
        <v>20230218</v>
      </c>
      <c r="Q2544">
        <v>20220707</v>
      </c>
    </row>
    <row r="2545" spans="1:17" x14ac:dyDescent="0.25">
      <c r="A2545" t="s">
        <v>548</v>
      </c>
      <c r="B2545" t="s">
        <v>429</v>
      </c>
      <c r="C2545">
        <v>95</v>
      </c>
      <c r="D2545">
        <v>20220707</v>
      </c>
      <c r="E2545">
        <f t="shared" si="39"/>
        <v>7</v>
      </c>
      <c r="F2545">
        <v>411000</v>
      </c>
      <c r="G2545" t="s">
        <v>21</v>
      </c>
      <c r="H2545" t="s">
        <v>279</v>
      </c>
      <c r="I2545" t="s">
        <v>280</v>
      </c>
      <c r="J2545">
        <v>348227</v>
      </c>
      <c r="K2545">
        <v>20220707</v>
      </c>
      <c r="L2545" t="s">
        <v>2815</v>
      </c>
      <c r="M2545">
        <v>0</v>
      </c>
      <c r="N2545">
        <v>40</v>
      </c>
      <c r="O2545" t="s">
        <v>22</v>
      </c>
      <c r="P2545">
        <v>20230218</v>
      </c>
      <c r="Q2545">
        <v>20220707</v>
      </c>
    </row>
    <row r="2546" spans="1:17" x14ac:dyDescent="0.25">
      <c r="A2546" t="s">
        <v>548</v>
      </c>
      <c r="B2546" t="s">
        <v>429</v>
      </c>
      <c r="C2546">
        <v>95</v>
      </c>
      <c r="D2546">
        <v>20220707</v>
      </c>
      <c r="E2546">
        <f t="shared" si="39"/>
        <v>7</v>
      </c>
      <c r="F2546">
        <v>531105</v>
      </c>
      <c r="G2546" t="s">
        <v>429</v>
      </c>
      <c r="H2546" t="s">
        <v>401</v>
      </c>
      <c r="I2546" t="s">
        <v>402</v>
      </c>
      <c r="J2546">
        <v>349172</v>
      </c>
      <c r="K2546">
        <v>20220707</v>
      </c>
      <c r="L2546" t="s">
        <v>565</v>
      </c>
      <c r="M2546">
        <v>262.45</v>
      </c>
      <c r="N2546">
        <v>0</v>
      </c>
      <c r="O2546" t="s">
        <v>19</v>
      </c>
      <c r="P2546" t="s">
        <v>20</v>
      </c>
      <c r="Q2546">
        <v>20220707</v>
      </c>
    </row>
    <row r="2547" spans="1:17" x14ac:dyDescent="0.25">
      <c r="A2547" t="s">
        <v>548</v>
      </c>
      <c r="B2547" t="s">
        <v>429</v>
      </c>
      <c r="C2547">
        <v>95</v>
      </c>
      <c r="D2547">
        <v>20220707</v>
      </c>
      <c r="E2547">
        <f t="shared" si="39"/>
        <v>7</v>
      </c>
      <c r="F2547">
        <v>411100</v>
      </c>
      <c r="G2547" t="s">
        <v>18</v>
      </c>
      <c r="H2547" t="s">
        <v>592</v>
      </c>
      <c r="I2547" t="s">
        <v>593</v>
      </c>
      <c r="J2547" t="s">
        <v>2813</v>
      </c>
      <c r="K2547">
        <v>20220707</v>
      </c>
      <c r="L2547" t="s">
        <v>2814</v>
      </c>
      <c r="M2547">
        <v>222.45</v>
      </c>
      <c r="N2547">
        <v>0</v>
      </c>
      <c r="O2547" t="s">
        <v>22</v>
      </c>
      <c r="P2547">
        <v>20230218</v>
      </c>
      <c r="Q2547">
        <v>20220707</v>
      </c>
    </row>
    <row r="2548" spans="1:17" x14ac:dyDescent="0.25">
      <c r="A2548" t="s">
        <v>548</v>
      </c>
      <c r="B2548" t="s">
        <v>429</v>
      </c>
      <c r="C2548">
        <v>95</v>
      </c>
      <c r="D2548">
        <v>20220707</v>
      </c>
      <c r="E2548">
        <f t="shared" si="39"/>
        <v>7</v>
      </c>
      <c r="F2548">
        <v>411000</v>
      </c>
      <c r="G2548" t="s">
        <v>21</v>
      </c>
      <c r="H2548" t="s">
        <v>279</v>
      </c>
      <c r="I2548" t="s">
        <v>280</v>
      </c>
      <c r="J2548">
        <v>350115</v>
      </c>
      <c r="K2548">
        <v>20220707</v>
      </c>
      <c r="L2548" t="s">
        <v>2815</v>
      </c>
      <c r="M2548">
        <v>40</v>
      </c>
      <c r="N2548">
        <v>0</v>
      </c>
      <c r="O2548" t="s">
        <v>22</v>
      </c>
      <c r="P2548">
        <v>20230218</v>
      </c>
      <c r="Q2548">
        <v>20220707</v>
      </c>
    </row>
    <row r="2549" spans="1:17" x14ac:dyDescent="0.25">
      <c r="A2549" t="s">
        <v>548</v>
      </c>
      <c r="B2549" t="s">
        <v>429</v>
      </c>
      <c r="C2549">
        <v>95</v>
      </c>
      <c r="D2549">
        <v>20220707</v>
      </c>
      <c r="E2549">
        <f t="shared" si="39"/>
        <v>7</v>
      </c>
      <c r="F2549">
        <v>531105</v>
      </c>
      <c r="G2549" t="s">
        <v>429</v>
      </c>
      <c r="H2549" t="s">
        <v>401</v>
      </c>
      <c r="I2549" t="s">
        <v>402</v>
      </c>
      <c r="J2549">
        <v>350116</v>
      </c>
      <c r="K2549">
        <v>20220707</v>
      </c>
      <c r="L2549" t="s">
        <v>565</v>
      </c>
      <c r="M2549">
        <v>0</v>
      </c>
      <c r="N2549">
        <v>262.45</v>
      </c>
      <c r="O2549" t="s">
        <v>19</v>
      </c>
      <c r="P2549" t="s">
        <v>20</v>
      </c>
      <c r="Q2549">
        <v>20220707</v>
      </c>
    </row>
    <row r="2550" spans="1:17" x14ac:dyDescent="0.25">
      <c r="A2550" t="s">
        <v>548</v>
      </c>
      <c r="B2550" t="s">
        <v>429</v>
      </c>
      <c r="C2550">
        <v>95</v>
      </c>
      <c r="D2550">
        <v>20220708</v>
      </c>
      <c r="E2550">
        <f t="shared" si="39"/>
        <v>7</v>
      </c>
      <c r="F2550">
        <v>411020</v>
      </c>
      <c r="G2550" t="s">
        <v>30</v>
      </c>
      <c r="H2550" t="s">
        <v>385</v>
      </c>
      <c r="I2550" t="s">
        <v>386</v>
      </c>
      <c r="J2550">
        <v>322060019</v>
      </c>
      <c r="K2550">
        <v>20220708</v>
      </c>
      <c r="L2550" t="s">
        <v>2853</v>
      </c>
      <c r="M2550">
        <v>0</v>
      </c>
      <c r="N2550">
        <v>50.71</v>
      </c>
      <c r="O2550" t="s">
        <v>19</v>
      </c>
      <c r="P2550" t="s">
        <v>20</v>
      </c>
      <c r="Q2550">
        <v>20220708</v>
      </c>
    </row>
    <row r="2551" spans="1:17" x14ac:dyDescent="0.25">
      <c r="A2551" t="s">
        <v>548</v>
      </c>
      <c r="B2551" t="s">
        <v>429</v>
      </c>
      <c r="C2551">
        <v>95</v>
      </c>
      <c r="D2551">
        <v>20220708</v>
      </c>
      <c r="E2551">
        <f t="shared" si="39"/>
        <v>7</v>
      </c>
      <c r="F2551">
        <v>411020</v>
      </c>
      <c r="G2551" t="s">
        <v>30</v>
      </c>
      <c r="H2551" t="s">
        <v>385</v>
      </c>
      <c r="I2551" t="s">
        <v>386</v>
      </c>
      <c r="J2551">
        <v>322060019</v>
      </c>
      <c r="K2551">
        <v>20220708</v>
      </c>
      <c r="L2551" t="s">
        <v>2854</v>
      </c>
      <c r="M2551">
        <v>0</v>
      </c>
      <c r="N2551">
        <v>4.29</v>
      </c>
      <c r="O2551" t="s">
        <v>19</v>
      </c>
      <c r="P2551" t="s">
        <v>20</v>
      </c>
      <c r="Q2551">
        <v>20220708</v>
      </c>
    </row>
    <row r="2552" spans="1:17" x14ac:dyDescent="0.25">
      <c r="A2552" t="s">
        <v>548</v>
      </c>
      <c r="B2552" t="s">
        <v>429</v>
      </c>
      <c r="C2552">
        <v>95</v>
      </c>
      <c r="D2552">
        <v>20220708</v>
      </c>
      <c r="E2552">
        <f t="shared" si="39"/>
        <v>7</v>
      </c>
      <c r="F2552">
        <v>411100</v>
      </c>
      <c r="G2552" t="s">
        <v>18</v>
      </c>
      <c r="H2552" t="s">
        <v>198</v>
      </c>
      <c r="I2552" t="s">
        <v>199</v>
      </c>
      <c r="J2552">
        <v>322060015</v>
      </c>
      <c r="K2552">
        <v>20220708</v>
      </c>
      <c r="L2552" t="s">
        <v>2855</v>
      </c>
      <c r="M2552">
        <v>0</v>
      </c>
      <c r="N2552">
        <v>65.67</v>
      </c>
      <c r="O2552" t="s">
        <v>19</v>
      </c>
      <c r="P2552" t="s">
        <v>20</v>
      </c>
      <c r="Q2552">
        <v>20220708</v>
      </c>
    </row>
    <row r="2553" spans="1:17" x14ac:dyDescent="0.25">
      <c r="A2553" t="s">
        <v>548</v>
      </c>
      <c r="B2553" t="s">
        <v>429</v>
      </c>
      <c r="C2553">
        <v>95</v>
      </c>
      <c r="D2553">
        <v>20220708</v>
      </c>
      <c r="E2553">
        <f t="shared" si="39"/>
        <v>7</v>
      </c>
      <c r="F2553">
        <v>411100</v>
      </c>
      <c r="G2553" t="s">
        <v>18</v>
      </c>
      <c r="H2553" t="s">
        <v>198</v>
      </c>
      <c r="I2553" t="s">
        <v>199</v>
      </c>
      <c r="J2553">
        <v>322060015</v>
      </c>
      <c r="K2553">
        <v>20220708</v>
      </c>
      <c r="L2553" t="s">
        <v>2856</v>
      </c>
      <c r="M2553">
        <v>0</v>
      </c>
      <c r="N2553">
        <v>0.33</v>
      </c>
      <c r="O2553" t="s">
        <v>19</v>
      </c>
      <c r="P2553" t="s">
        <v>20</v>
      </c>
      <c r="Q2553">
        <v>20220708</v>
      </c>
    </row>
    <row r="2554" spans="1:17" x14ac:dyDescent="0.25">
      <c r="A2554" t="s">
        <v>548</v>
      </c>
      <c r="B2554" t="s">
        <v>429</v>
      </c>
      <c r="C2554">
        <v>95</v>
      </c>
      <c r="D2554">
        <v>20220708</v>
      </c>
      <c r="E2554">
        <f t="shared" si="39"/>
        <v>7</v>
      </c>
      <c r="F2554">
        <v>411020</v>
      </c>
      <c r="G2554" t="s">
        <v>30</v>
      </c>
      <c r="H2554" t="s">
        <v>324</v>
      </c>
      <c r="I2554" t="s">
        <v>325</v>
      </c>
      <c r="J2554">
        <v>322060004</v>
      </c>
      <c r="K2554">
        <v>20220708</v>
      </c>
      <c r="L2554" t="s">
        <v>2857</v>
      </c>
      <c r="M2554">
        <v>0</v>
      </c>
      <c r="N2554">
        <v>216.62</v>
      </c>
      <c r="O2554" t="s">
        <v>23</v>
      </c>
      <c r="P2554">
        <v>20230218</v>
      </c>
      <c r="Q2554">
        <v>20220708</v>
      </c>
    </row>
    <row r="2555" spans="1:17" x14ac:dyDescent="0.25">
      <c r="A2555" t="s">
        <v>548</v>
      </c>
      <c r="B2555" t="s">
        <v>429</v>
      </c>
      <c r="C2555">
        <v>95</v>
      </c>
      <c r="D2555">
        <v>20220708</v>
      </c>
      <c r="E2555">
        <f t="shared" si="39"/>
        <v>7</v>
      </c>
      <c r="F2555">
        <v>411020</v>
      </c>
      <c r="G2555" t="s">
        <v>30</v>
      </c>
      <c r="H2555" t="s">
        <v>324</v>
      </c>
      <c r="I2555" t="s">
        <v>325</v>
      </c>
      <c r="J2555">
        <v>322060004</v>
      </c>
      <c r="K2555">
        <v>20220708</v>
      </c>
      <c r="L2555" t="s">
        <v>2858</v>
      </c>
      <c r="M2555">
        <v>0</v>
      </c>
      <c r="N2555">
        <v>3.38</v>
      </c>
      <c r="O2555" t="s">
        <v>23</v>
      </c>
      <c r="P2555">
        <v>20230218</v>
      </c>
      <c r="Q2555">
        <v>20220708</v>
      </c>
    </row>
    <row r="2556" spans="1:17" x14ac:dyDescent="0.25">
      <c r="A2556" t="s">
        <v>548</v>
      </c>
      <c r="B2556" t="s">
        <v>429</v>
      </c>
      <c r="C2556">
        <v>95</v>
      </c>
      <c r="D2556">
        <v>20220708</v>
      </c>
      <c r="E2556">
        <f t="shared" si="39"/>
        <v>7</v>
      </c>
      <c r="F2556">
        <v>411020</v>
      </c>
      <c r="G2556" t="s">
        <v>30</v>
      </c>
      <c r="H2556" t="s">
        <v>371</v>
      </c>
      <c r="I2556" t="s">
        <v>372</v>
      </c>
      <c r="J2556">
        <v>322060017</v>
      </c>
      <c r="K2556">
        <v>20220708</v>
      </c>
      <c r="L2556" t="s">
        <v>2859</v>
      </c>
      <c r="M2556">
        <v>0</v>
      </c>
      <c r="N2556">
        <v>109.84</v>
      </c>
      <c r="O2556" t="s">
        <v>22</v>
      </c>
      <c r="P2556">
        <v>20230218</v>
      </c>
      <c r="Q2556">
        <v>20220708</v>
      </c>
    </row>
    <row r="2557" spans="1:17" x14ac:dyDescent="0.25">
      <c r="A2557" t="s">
        <v>548</v>
      </c>
      <c r="B2557" t="s">
        <v>429</v>
      </c>
      <c r="C2557">
        <v>95</v>
      </c>
      <c r="D2557">
        <v>20220708</v>
      </c>
      <c r="E2557">
        <f t="shared" si="39"/>
        <v>7</v>
      </c>
      <c r="F2557">
        <v>411020</v>
      </c>
      <c r="G2557" t="s">
        <v>30</v>
      </c>
      <c r="H2557" t="s">
        <v>371</v>
      </c>
      <c r="I2557" t="s">
        <v>372</v>
      </c>
      <c r="J2557">
        <v>322060017</v>
      </c>
      <c r="K2557">
        <v>20220708</v>
      </c>
      <c r="L2557" t="s">
        <v>2860</v>
      </c>
      <c r="M2557">
        <v>0</v>
      </c>
      <c r="N2557">
        <v>0.16</v>
      </c>
      <c r="O2557" t="s">
        <v>22</v>
      </c>
      <c r="P2557">
        <v>20230218</v>
      </c>
      <c r="Q2557">
        <v>20220708</v>
      </c>
    </row>
    <row r="2558" spans="1:17" x14ac:dyDescent="0.25">
      <c r="A2558" t="s">
        <v>548</v>
      </c>
      <c r="B2558" t="s">
        <v>429</v>
      </c>
      <c r="C2558">
        <v>95</v>
      </c>
      <c r="D2558">
        <v>20220708</v>
      </c>
      <c r="E2558">
        <f t="shared" si="39"/>
        <v>7</v>
      </c>
      <c r="F2558">
        <v>411020</v>
      </c>
      <c r="G2558" t="s">
        <v>30</v>
      </c>
      <c r="H2558" t="s">
        <v>309</v>
      </c>
      <c r="I2558" t="s">
        <v>310</v>
      </c>
      <c r="J2558">
        <v>322040002</v>
      </c>
      <c r="K2558">
        <v>20220708</v>
      </c>
      <c r="L2558" t="s">
        <v>2861</v>
      </c>
      <c r="M2558">
        <v>0</v>
      </c>
      <c r="N2558">
        <v>95.33</v>
      </c>
      <c r="O2558" t="s">
        <v>23</v>
      </c>
      <c r="P2558">
        <v>20230218</v>
      </c>
      <c r="Q2558">
        <v>20220708</v>
      </c>
    </row>
    <row r="2559" spans="1:17" x14ac:dyDescent="0.25">
      <c r="A2559" t="s">
        <v>548</v>
      </c>
      <c r="B2559" t="s">
        <v>429</v>
      </c>
      <c r="C2559">
        <v>95</v>
      </c>
      <c r="D2559">
        <v>20220708</v>
      </c>
      <c r="E2559">
        <f t="shared" si="39"/>
        <v>7</v>
      </c>
      <c r="F2559">
        <v>411020</v>
      </c>
      <c r="G2559" t="s">
        <v>30</v>
      </c>
      <c r="H2559" t="s">
        <v>309</v>
      </c>
      <c r="I2559" t="s">
        <v>310</v>
      </c>
      <c r="J2559">
        <v>322040002</v>
      </c>
      <c r="K2559">
        <v>20220708</v>
      </c>
      <c r="L2559" t="s">
        <v>2862</v>
      </c>
      <c r="M2559">
        <v>0</v>
      </c>
      <c r="N2559">
        <v>4.67</v>
      </c>
      <c r="O2559" t="s">
        <v>19</v>
      </c>
      <c r="P2559" t="s">
        <v>20</v>
      </c>
      <c r="Q2559">
        <v>20220708</v>
      </c>
    </row>
    <row r="2560" spans="1:17" x14ac:dyDescent="0.25">
      <c r="A2560" t="s">
        <v>548</v>
      </c>
      <c r="B2560" t="s">
        <v>429</v>
      </c>
      <c r="C2560">
        <v>95</v>
      </c>
      <c r="D2560">
        <v>20220708</v>
      </c>
      <c r="E2560">
        <f t="shared" si="39"/>
        <v>7</v>
      </c>
      <c r="F2560">
        <v>411020</v>
      </c>
      <c r="G2560" t="s">
        <v>30</v>
      </c>
      <c r="H2560" t="s">
        <v>338</v>
      </c>
      <c r="I2560" t="s">
        <v>339</v>
      </c>
      <c r="J2560">
        <v>322060024</v>
      </c>
      <c r="K2560">
        <v>20220708</v>
      </c>
      <c r="L2560" t="s">
        <v>2863</v>
      </c>
      <c r="M2560">
        <v>0</v>
      </c>
      <c r="N2560">
        <v>67.78</v>
      </c>
      <c r="O2560" t="s">
        <v>22</v>
      </c>
      <c r="P2560">
        <v>20230218</v>
      </c>
      <c r="Q2560">
        <v>20220708</v>
      </c>
    </row>
    <row r="2561" spans="1:17" x14ac:dyDescent="0.25">
      <c r="A2561" t="s">
        <v>548</v>
      </c>
      <c r="B2561" t="s">
        <v>429</v>
      </c>
      <c r="C2561">
        <v>95</v>
      </c>
      <c r="D2561">
        <v>20220708</v>
      </c>
      <c r="E2561">
        <f t="shared" si="39"/>
        <v>7</v>
      </c>
      <c r="F2561">
        <v>411020</v>
      </c>
      <c r="G2561" t="s">
        <v>30</v>
      </c>
      <c r="H2561" t="s">
        <v>338</v>
      </c>
      <c r="I2561" t="s">
        <v>339</v>
      </c>
      <c r="J2561">
        <v>322060024</v>
      </c>
      <c r="K2561">
        <v>20220708</v>
      </c>
      <c r="L2561" t="s">
        <v>2864</v>
      </c>
      <c r="M2561">
        <v>0</v>
      </c>
      <c r="N2561">
        <v>0.22</v>
      </c>
      <c r="O2561" t="s">
        <v>22</v>
      </c>
      <c r="P2561">
        <v>20230218</v>
      </c>
      <c r="Q2561">
        <v>20220708</v>
      </c>
    </row>
    <row r="2562" spans="1:17" x14ac:dyDescent="0.25">
      <c r="A2562" t="s">
        <v>548</v>
      </c>
      <c r="B2562" t="s">
        <v>429</v>
      </c>
      <c r="C2562">
        <v>95</v>
      </c>
      <c r="D2562">
        <v>20220708</v>
      </c>
      <c r="E2562">
        <f t="shared" si="39"/>
        <v>7</v>
      </c>
      <c r="F2562">
        <v>411020</v>
      </c>
      <c r="G2562" t="s">
        <v>30</v>
      </c>
      <c r="H2562" t="s">
        <v>346</v>
      </c>
      <c r="I2562" t="s">
        <v>347</v>
      </c>
      <c r="J2562">
        <v>322010022</v>
      </c>
      <c r="K2562">
        <v>20220708</v>
      </c>
      <c r="L2562" t="s">
        <v>2865</v>
      </c>
      <c r="M2562">
        <v>0</v>
      </c>
      <c r="N2562">
        <v>200</v>
      </c>
      <c r="O2562" t="s">
        <v>19</v>
      </c>
      <c r="P2562" t="s">
        <v>20</v>
      </c>
      <c r="Q2562">
        <v>20220708</v>
      </c>
    </row>
    <row r="2563" spans="1:17" x14ac:dyDescent="0.25">
      <c r="A2563" t="s">
        <v>548</v>
      </c>
      <c r="B2563" t="s">
        <v>429</v>
      </c>
      <c r="C2563">
        <v>95</v>
      </c>
      <c r="D2563">
        <v>20220708</v>
      </c>
      <c r="E2563">
        <f t="shared" ref="E2563:E2626" si="40">VALUE(MID(D2563,5,2))</f>
        <v>7</v>
      </c>
      <c r="F2563">
        <v>531105</v>
      </c>
      <c r="G2563" t="s">
        <v>429</v>
      </c>
      <c r="H2563" t="s">
        <v>401</v>
      </c>
      <c r="I2563" t="s">
        <v>402</v>
      </c>
      <c r="J2563">
        <v>347970</v>
      </c>
      <c r="K2563">
        <v>20220708</v>
      </c>
      <c r="L2563" t="s">
        <v>565</v>
      </c>
      <c r="M2563">
        <v>819</v>
      </c>
      <c r="N2563">
        <v>0</v>
      </c>
      <c r="O2563" t="s">
        <v>19</v>
      </c>
      <c r="P2563" t="s">
        <v>20</v>
      </c>
      <c r="Q2563">
        <v>20220708</v>
      </c>
    </row>
    <row r="2564" spans="1:17" x14ac:dyDescent="0.25">
      <c r="A2564" t="s">
        <v>548</v>
      </c>
      <c r="B2564" t="s">
        <v>429</v>
      </c>
      <c r="C2564">
        <v>95</v>
      </c>
      <c r="D2564">
        <v>20220708</v>
      </c>
      <c r="E2564">
        <f t="shared" si="40"/>
        <v>7</v>
      </c>
      <c r="F2564">
        <v>411100</v>
      </c>
      <c r="G2564" t="s">
        <v>18</v>
      </c>
      <c r="H2564" t="s">
        <v>1765</v>
      </c>
      <c r="I2564" t="s">
        <v>1766</v>
      </c>
      <c r="J2564">
        <v>348229</v>
      </c>
      <c r="K2564">
        <v>20220708</v>
      </c>
      <c r="L2564" t="s">
        <v>2866</v>
      </c>
      <c r="M2564">
        <v>0</v>
      </c>
      <c r="N2564">
        <v>142.49</v>
      </c>
      <c r="O2564" t="s">
        <v>23</v>
      </c>
      <c r="P2564">
        <v>20230218</v>
      </c>
      <c r="Q2564">
        <v>20220708</v>
      </c>
    </row>
    <row r="2565" spans="1:17" x14ac:dyDescent="0.25">
      <c r="A2565" t="s">
        <v>548</v>
      </c>
      <c r="B2565" t="s">
        <v>429</v>
      </c>
      <c r="C2565">
        <v>95</v>
      </c>
      <c r="D2565">
        <v>20220708</v>
      </c>
      <c r="E2565">
        <f t="shared" si="40"/>
        <v>7</v>
      </c>
      <c r="F2565">
        <v>411100</v>
      </c>
      <c r="G2565" t="s">
        <v>18</v>
      </c>
      <c r="H2565" t="s">
        <v>2734</v>
      </c>
      <c r="I2565" t="s">
        <v>2735</v>
      </c>
      <c r="J2565">
        <v>348230</v>
      </c>
      <c r="K2565">
        <v>20220708</v>
      </c>
      <c r="L2565" t="s">
        <v>2867</v>
      </c>
      <c r="M2565">
        <v>0</v>
      </c>
      <c r="N2565">
        <v>16</v>
      </c>
      <c r="O2565" t="s">
        <v>22</v>
      </c>
      <c r="P2565">
        <v>20230218</v>
      </c>
      <c r="Q2565">
        <v>20220708</v>
      </c>
    </row>
    <row r="2566" spans="1:17" x14ac:dyDescent="0.25">
      <c r="A2566" t="s">
        <v>548</v>
      </c>
      <c r="B2566" t="s">
        <v>429</v>
      </c>
      <c r="C2566">
        <v>95</v>
      </c>
      <c r="D2566">
        <v>20220708</v>
      </c>
      <c r="E2566">
        <f t="shared" si="40"/>
        <v>7</v>
      </c>
      <c r="F2566">
        <v>411100</v>
      </c>
      <c r="G2566" t="s">
        <v>18</v>
      </c>
      <c r="H2566" t="s">
        <v>277</v>
      </c>
      <c r="I2566" t="s">
        <v>278</v>
      </c>
      <c r="J2566">
        <v>348231</v>
      </c>
      <c r="K2566">
        <v>20220708</v>
      </c>
      <c r="L2566" t="s">
        <v>2868</v>
      </c>
      <c r="M2566">
        <v>0</v>
      </c>
      <c r="N2566">
        <v>20</v>
      </c>
      <c r="O2566" t="s">
        <v>22</v>
      </c>
      <c r="P2566">
        <v>20230218</v>
      </c>
      <c r="Q2566">
        <v>20220708</v>
      </c>
    </row>
    <row r="2567" spans="1:17" x14ac:dyDescent="0.25">
      <c r="A2567" t="s">
        <v>548</v>
      </c>
      <c r="B2567" t="s">
        <v>429</v>
      </c>
      <c r="C2567">
        <v>95</v>
      </c>
      <c r="D2567">
        <v>20220708</v>
      </c>
      <c r="E2567">
        <f t="shared" si="40"/>
        <v>7</v>
      </c>
      <c r="F2567">
        <v>411100</v>
      </c>
      <c r="G2567" t="s">
        <v>18</v>
      </c>
      <c r="H2567" t="s">
        <v>247</v>
      </c>
      <c r="I2567" t="s">
        <v>248</v>
      </c>
      <c r="J2567">
        <v>348232</v>
      </c>
      <c r="K2567">
        <v>20220708</v>
      </c>
      <c r="L2567" t="s">
        <v>2869</v>
      </c>
      <c r="M2567">
        <v>0</v>
      </c>
      <c r="N2567">
        <v>18</v>
      </c>
      <c r="O2567" t="s">
        <v>19</v>
      </c>
      <c r="P2567" t="s">
        <v>20</v>
      </c>
      <c r="Q2567">
        <v>20220708</v>
      </c>
    </row>
    <row r="2568" spans="1:17" x14ac:dyDescent="0.25">
      <c r="A2568" t="s">
        <v>548</v>
      </c>
      <c r="B2568" t="s">
        <v>429</v>
      </c>
      <c r="C2568">
        <v>95</v>
      </c>
      <c r="D2568">
        <v>20220708</v>
      </c>
      <c r="E2568">
        <f t="shared" si="40"/>
        <v>7</v>
      </c>
      <c r="F2568">
        <v>411100</v>
      </c>
      <c r="G2568" t="s">
        <v>18</v>
      </c>
      <c r="H2568" t="s">
        <v>2870</v>
      </c>
      <c r="I2568" t="s">
        <v>2871</v>
      </c>
      <c r="J2568">
        <v>348233</v>
      </c>
      <c r="K2568">
        <v>20220708</v>
      </c>
      <c r="L2568" t="s">
        <v>2872</v>
      </c>
      <c r="M2568">
        <v>0</v>
      </c>
      <c r="N2568">
        <v>18</v>
      </c>
      <c r="O2568" t="s">
        <v>22</v>
      </c>
      <c r="P2568">
        <v>20230218</v>
      </c>
      <c r="Q2568">
        <v>20220708</v>
      </c>
    </row>
    <row r="2569" spans="1:17" x14ac:dyDescent="0.25">
      <c r="A2569" t="s">
        <v>548</v>
      </c>
      <c r="B2569" t="s">
        <v>429</v>
      </c>
      <c r="C2569">
        <v>95</v>
      </c>
      <c r="D2569">
        <v>20220708</v>
      </c>
      <c r="E2569">
        <f t="shared" si="40"/>
        <v>7</v>
      </c>
      <c r="F2569">
        <v>411100</v>
      </c>
      <c r="G2569" t="s">
        <v>18</v>
      </c>
      <c r="H2569" t="s">
        <v>213</v>
      </c>
      <c r="I2569" t="s">
        <v>214</v>
      </c>
      <c r="J2569">
        <v>348234</v>
      </c>
      <c r="K2569">
        <v>20220708</v>
      </c>
      <c r="L2569" t="s">
        <v>2873</v>
      </c>
      <c r="M2569">
        <v>0</v>
      </c>
      <c r="N2569">
        <v>18</v>
      </c>
      <c r="O2569" t="s">
        <v>22</v>
      </c>
      <c r="P2569">
        <v>20230218</v>
      </c>
      <c r="Q2569">
        <v>20220708</v>
      </c>
    </row>
    <row r="2570" spans="1:17" x14ac:dyDescent="0.25">
      <c r="A2570" t="s">
        <v>548</v>
      </c>
      <c r="B2570" t="s">
        <v>429</v>
      </c>
      <c r="C2570">
        <v>95</v>
      </c>
      <c r="D2570">
        <v>20220708</v>
      </c>
      <c r="E2570">
        <f t="shared" si="40"/>
        <v>7</v>
      </c>
      <c r="F2570">
        <v>411100</v>
      </c>
      <c r="G2570" t="s">
        <v>18</v>
      </c>
      <c r="H2570" t="s">
        <v>215</v>
      </c>
      <c r="I2570" t="s">
        <v>216</v>
      </c>
      <c r="J2570">
        <v>348235</v>
      </c>
      <c r="K2570">
        <v>20220708</v>
      </c>
      <c r="L2570" t="s">
        <v>2874</v>
      </c>
      <c r="M2570">
        <v>0</v>
      </c>
      <c r="N2570">
        <v>14</v>
      </c>
      <c r="O2570" t="s">
        <v>22</v>
      </c>
      <c r="P2570">
        <v>20230218</v>
      </c>
      <c r="Q2570">
        <v>20220708</v>
      </c>
    </row>
    <row r="2571" spans="1:17" x14ac:dyDescent="0.25">
      <c r="A2571" t="s">
        <v>548</v>
      </c>
      <c r="B2571" t="s">
        <v>429</v>
      </c>
      <c r="C2571">
        <v>95</v>
      </c>
      <c r="D2571">
        <v>20220708</v>
      </c>
      <c r="E2571">
        <f t="shared" si="40"/>
        <v>7</v>
      </c>
      <c r="F2571">
        <v>411100</v>
      </c>
      <c r="G2571" t="s">
        <v>18</v>
      </c>
      <c r="H2571" t="s">
        <v>2173</v>
      </c>
      <c r="I2571" t="s">
        <v>2174</v>
      </c>
      <c r="J2571">
        <v>348236</v>
      </c>
      <c r="K2571">
        <v>20220708</v>
      </c>
      <c r="L2571" t="s">
        <v>2875</v>
      </c>
      <c r="M2571">
        <v>0</v>
      </c>
      <c r="N2571">
        <v>14</v>
      </c>
      <c r="O2571" t="s">
        <v>22</v>
      </c>
      <c r="P2571">
        <v>20230218</v>
      </c>
      <c r="Q2571">
        <v>20220708</v>
      </c>
    </row>
    <row r="2572" spans="1:17" x14ac:dyDescent="0.25">
      <c r="A2572" t="s">
        <v>548</v>
      </c>
      <c r="B2572" t="s">
        <v>429</v>
      </c>
      <c r="C2572">
        <v>95</v>
      </c>
      <c r="D2572">
        <v>20220708</v>
      </c>
      <c r="E2572">
        <f t="shared" si="40"/>
        <v>7</v>
      </c>
      <c r="F2572">
        <v>411100</v>
      </c>
      <c r="G2572" t="s">
        <v>18</v>
      </c>
      <c r="H2572" t="s">
        <v>2876</v>
      </c>
      <c r="I2572" t="s">
        <v>2877</v>
      </c>
      <c r="J2572">
        <v>348237</v>
      </c>
      <c r="K2572">
        <v>20220708</v>
      </c>
      <c r="L2572" t="s">
        <v>2878</v>
      </c>
      <c r="M2572">
        <v>0</v>
      </c>
      <c r="N2572">
        <v>14</v>
      </c>
      <c r="O2572" t="s">
        <v>22</v>
      </c>
      <c r="P2572">
        <v>20230218</v>
      </c>
      <c r="Q2572">
        <v>20220708</v>
      </c>
    </row>
    <row r="2573" spans="1:17" x14ac:dyDescent="0.25">
      <c r="A2573" t="s">
        <v>548</v>
      </c>
      <c r="B2573" t="s">
        <v>429</v>
      </c>
      <c r="C2573">
        <v>95</v>
      </c>
      <c r="D2573">
        <v>20220708</v>
      </c>
      <c r="E2573">
        <f t="shared" si="40"/>
        <v>7</v>
      </c>
      <c r="F2573">
        <v>411100</v>
      </c>
      <c r="G2573" t="s">
        <v>18</v>
      </c>
      <c r="H2573" t="s">
        <v>2173</v>
      </c>
      <c r="I2573" t="s">
        <v>2174</v>
      </c>
      <c r="J2573">
        <v>348238</v>
      </c>
      <c r="K2573">
        <v>20220708</v>
      </c>
      <c r="L2573" t="s">
        <v>2879</v>
      </c>
      <c r="M2573">
        <v>0</v>
      </c>
      <c r="N2573">
        <v>11</v>
      </c>
      <c r="O2573" t="s">
        <v>22</v>
      </c>
      <c r="P2573">
        <v>20230218</v>
      </c>
      <c r="Q2573">
        <v>20220708</v>
      </c>
    </row>
    <row r="2574" spans="1:17" x14ac:dyDescent="0.25">
      <c r="A2574" t="s">
        <v>548</v>
      </c>
      <c r="B2574" t="s">
        <v>429</v>
      </c>
      <c r="C2574">
        <v>95</v>
      </c>
      <c r="D2574">
        <v>20220708</v>
      </c>
      <c r="E2574">
        <f t="shared" si="40"/>
        <v>7</v>
      </c>
      <c r="F2574">
        <v>411100</v>
      </c>
      <c r="G2574" t="s">
        <v>18</v>
      </c>
      <c r="H2574" t="s">
        <v>215</v>
      </c>
      <c r="I2574" t="s">
        <v>216</v>
      </c>
      <c r="J2574">
        <v>348239</v>
      </c>
      <c r="K2574">
        <v>20220708</v>
      </c>
      <c r="L2574" t="s">
        <v>2880</v>
      </c>
      <c r="M2574">
        <v>0</v>
      </c>
      <c r="N2574">
        <v>11</v>
      </c>
      <c r="O2574" t="s">
        <v>22</v>
      </c>
      <c r="P2574">
        <v>20230218</v>
      </c>
      <c r="Q2574">
        <v>20220708</v>
      </c>
    </row>
    <row r="2575" spans="1:17" x14ac:dyDescent="0.25">
      <c r="A2575" t="s">
        <v>548</v>
      </c>
      <c r="B2575" t="s">
        <v>429</v>
      </c>
      <c r="C2575">
        <v>95</v>
      </c>
      <c r="D2575">
        <v>20220708</v>
      </c>
      <c r="E2575">
        <f t="shared" si="40"/>
        <v>7</v>
      </c>
      <c r="F2575">
        <v>411100</v>
      </c>
      <c r="G2575" t="s">
        <v>18</v>
      </c>
      <c r="H2575" t="s">
        <v>213</v>
      </c>
      <c r="I2575" t="s">
        <v>214</v>
      </c>
      <c r="J2575">
        <v>348240</v>
      </c>
      <c r="K2575">
        <v>20220708</v>
      </c>
      <c r="L2575" t="s">
        <v>2881</v>
      </c>
      <c r="M2575">
        <v>0</v>
      </c>
      <c r="N2575">
        <v>15</v>
      </c>
      <c r="O2575" t="s">
        <v>22</v>
      </c>
      <c r="P2575">
        <v>20230218</v>
      </c>
      <c r="Q2575">
        <v>20220708</v>
      </c>
    </row>
    <row r="2576" spans="1:17" x14ac:dyDescent="0.25">
      <c r="A2576" t="s">
        <v>548</v>
      </c>
      <c r="B2576" t="s">
        <v>429</v>
      </c>
      <c r="C2576">
        <v>95</v>
      </c>
      <c r="D2576">
        <v>20220708</v>
      </c>
      <c r="E2576">
        <f t="shared" si="40"/>
        <v>7</v>
      </c>
      <c r="F2576">
        <v>411100</v>
      </c>
      <c r="G2576" t="s">
        <v>18</v>
      </c>
      <c r="H2576" t="s">
        <v>277</v>
      </c>
      <c r="I2576" t="s">
        <v>278</v>
      </c>
      <c r="J2576">
        <v>348241</v>
      </c>
      <c r="K2576">
        <v>20220708</v>
      </c>
      <c r="L2576" t="s">
        <v>2882</v>
      </c>
      <c r="M2576">
        <v>0</v>
      </c>
      <c r="N2576">
        <v>10.5</v>
      </c>
      <c r="O2576" t="s">
        <v>22</v>
      </c>
      <c r="P2576">
        <v>20230218</v>
      </c>
      <c r="Q2576">
        <v>20220708</v>
      </c>
    </row>
    <row r="2577" spans="1:17" x14ac:dyDescent="0.25">
      <c r="A2577" t="s">
        <v>548</v>
      </c>
      <c r="B2577" t="s">
        <v>429</v>
      </c>
      <c r="C2577">
        <v>95</v>
      </c>
      <c r="D2577">
        <v>20220708</v>
      </c>
      <c r="E2577">
        <f t="shared" si="40"/>
        <v>7</v>
      </c>
      <c r="F2577">
        <v>411000</v>
      </c>
      <c r="G2577" t="s">
        <v>21</v>
      </c>
      <c r="H2577" t="s">
        <v>271</v>
      </c>
      <c r="I2577" t="s">
        <v>272</v>
      </c>
      <c r="J2577">
        <v>348242</v>
      </c>
      <c r="K2577">
        <v>20220708</v>
      </c>
      <c r="L2577" t="s">
        <v>2883</v>
      </c>
      <c r="M2577">
        <v>0</v>
      </c>
      <c r="N2577">
        <v>5</v>
      </c>
      <c r="O2577" t="s">
        <v>22</v>
      </c>
      <c r="P2577">
        <v>20230218</v>
      </c>
      <c r="Q2577">
        <v>20220708</v>
      </c>
    </row>
    <row r="2578" spans="1:17" x14ac:dyDescent="0.25">
      <c r="A2578" t="s">
        <v>548</v>
      </c>
      <c r="B2578" t="s">
        <v>429</v>
      </c>
      <c r="C2578">
        <v>95</v>
      </c>
      <c r="D2578">
        <v>20220708</v>
      </c>
      <c r="E2578">
        <f t="shared" si="40"/>
        <v>7</v>
      </c>
      <c r="F2578">
        <v>411100</v>
      </c>
      <c r="G2578" t="s">
        <v>18</v>
      </c>
      <c r="H2578" t="s">
        <v>2884</v>
      </c>
      <c r="I2578" t="s">
        <v>2885</v>
      </c>
      <c r="J2578">
        <v>348243</v>
      </c>
      <c r="K2578">
        <v>20220708</v>
      </c>
      <c r="L2578" t="s">
        <v>2886</v>
      </c>
      <c r="M2578">
        <v>0</v>
      </c>
      <c r="N2578">
        <v>13</v>
      </c>
      <c r="O2578" t="s">
        <v>22</v>
      </c>
      <c r="P2578">
        <v>20230218</v>
      </c>
      <c r="Q2578">
        <v>20220708</v>
      </c>
    </row>
    <row r="2579" spans="1:17" x14ac:dyDescent="0.25">
      <c r="A2579" t="s">
        <v>548</v>
      </c>
      <c r="B2579" t="s">
        <v>429</v>
      </c>
      <c r="C2579">
        <v>95</v>
      </c>
      <c r="D2579">
        <v>20220708</v>
      </c>
      <c r="E2579">
        <f t="shared" si="40"/>
        <v>7</v>
      </c>
      <c r="F2579">
        <v>531105</v>
      </c>
      <c r="G2579" t="s">
        <v>429</v>
      </c>
      <c r="H2579" t="s">
        <v>401</v>
      </c>
      <c r="I2579" t="s">
        <v>402</v>
      </c>
      <c r="J2579">
        <v>348244</v>
      </c>
      <c r="K2579">
        <v>20220708</v>
      </c>
      <c r="L2579" t="s">
        <v>565</v>
      </c>
      <c r="M2579">
        <v>339.99</v>
      </c>
      <c r="N2579">
        <v>0</v>
      </c>
      <c r="O2579" t="s">
        <v>19</v>
      </c>
      <c r="P2579" t="s">
        <v>20</v>
      </c>
      <c r="Q2579">
        <v>20220708</v>
      </c>
    </row>
    <row r="2580" spans="1:17" x14ac:dyDescent="0.25">
      <c r="A2580" t="s">
        <v>548</v>
      </c>
      <c r="B2580" t="s">
        <v>429</v>
      </c>
      <c r="C2580">
        <v>95</v>
      </c>
      <c r="D2580">
        <v>20220708</v>
      </c>
      <c r="E2580">
        <f t="shared" si="40"/>
        <v>7</v>
      </c>
      <c r="F2580">
        <v>411100</v>
      </c>
      <c r="G2580" t="s">
        <v>18</v>
      </c>
      <c r="H2580" t="s">
        <v>1765</v>
      </c>
      <c r="I2580" t="s">
        <v>1766</v>
      </c>
      <c r="J2580">
        <v>349173</v>
      </c>
      <c r="K2580">
        <v>20220708</v>
      </c>
      <c r="L2580" t="s">
        <v>2866</v>
      </c>
      <c r="M2580">
        <v>0</v>
      </c>
      <c r="N2580">
        <v>142.49</v>
      </c>
      <c r="O2580" t="s">
        <v>23</v>
      </c>
      <c r="P2580">
        <v>20221026</v>
      </c>
      <c r="Q2580">
        <v>20220708</v>
      </c>
    </row>
    <row r="2581" spans="1:17" x14ac:dyDescent="0.25">
      <c r="A2581" t="s">
        <v>548</v>
      </c>
      <c r="B2581" t="s">
        <v>429</v>
      </c>
      <c r="C2581">
        <v>95</v>
      </c>
      <c r="D2581">
        <v>20220708</v>
      </c>
      <c r="E2581">
        <f t="shared" si="40"/>
        <v>7</v>
      </c>
      <c r="F2581">
        <v>411100</v>
      </c>
      <c r="G2581" t="s">
        <v>18</v>
      </c>
      <c r="H2581" t="s">
        <v>2734</v>
      </c>
      <c r="I2581" t="s">
        <v>2735</v>
      </c>
      <c r="J2581">
        <v>349174</v>
      </c>
      <c r="K2581">
        <v>20220708</v>
      </c>
      <c r="L2581" t="s">
        <v>2867</v>
      </c>
      <c r="M2581">
        <v>0</v>
      </c>
      <c r="N2581">
        <v>16</v>
      </c>
      <c r="O2581" t="s">
        <v>22</v>
      </c>
      <c r="P2581">
        <v>20230218</v>
      </c>
      <c r="Q2581">
        <v>20220708</v>
      </c>
    </row>
    <row r="2582" spans="1:17" x14ac:dyDescent="0.25">
      <c r="A2582" t="s">
        <v>548</v>
      </c>
      <c r="B2582" t="s">
        <v>429</v>
      </c>
      <c r="C2582">
        <v>95</v>
      </c>
      <c r="D2582">
        <v>20220708</v>
      </c>
      <c r="E2582">
        <f t="shared" si="40"/>
        <v>7</v>
      </c>
      <c r="F2582">
        <v>411100</v>
      </c>
      <c r="G2582" t="s">
        <v>18</v>
      </c>
      <c r="H2582" t="s">
        <v>277</v>
      </c>
      <c r="I2582" t="s">
        <v>278</v>
      </c>
      <c r="J2582">
        <v>349175</v>
      </c>
      <c r="K2582">
        <v>20220708</v>
      </c>
      <c r="L2582" t="s">
        <v>2868</v>
      </c>
      <c r="M2582">
        <v>0</v>
      </c>
      <c r="N2582">
        <v>20</v>
      </c>
      <c r="O2582" t="s">
        <v>19</v>
      </c>
      <c r="P2582" t="s">
        <v>20</v>
      </c>
      <c r="Q2582">
        <v>20220708</v>
      </c>
    </row>
    <row r="2583" spans="1:17" x14ac:dyDescent="0.25">
      <c r="A2583" t="s">
        <v>548</v>
      </c>
      <c r="B2583" t="s">
        <v>429</v>
      </c>
      <c r="C2583">
        <v>95</v>
      </c>
      <c r="D2583">
        <v>20220708</v>
      </c>
      <c r="E2583">
        <f t="shared" si="40"/>
        <v>7</v>
      </c>
      <c r="F2583">
        <v>411100</v>
      </c>
      <c r="G2583" t="s">
        <v>18</v>
      </c>
      <c r="H2583" t="s">
        <v>247</v>
      </c>
      <c r="I2583" t="s">
        <v>248</v>
      </c>
      <c r="J2583">
        <v>349176</v>
      </c>
      <c r="K2583">
        <v>20220708</v>
      </c>
      <c r="L2583" t="s">
        <v>2869</v>
      </c>
      <c r="M2583">
        <v>0</v>
      </c>
      <c r="N2583">
        <v>18</v>
      </c>
      <c r="O2583" t="s">
        <v>19</v>
      </c>
      <c r="P2583" t="s">
        <v>20</v>
      </c>
      <c r="Q2583">
        <v>20220708</v>
      </c>
    </row>
    <row r="2584" spans="1:17" x14ac:dyDescent="0.25">
      <c r="A2584" t="s">
        <v>548</v>
      </c>
      <c r="B2584" t="s">
        <v>429</v>
      </c>
      <c r="C2584">
        <v>95</v>
      </c>
      <c r="D2584">
        <v>20220708</v>
      </c>
      <c r="E2584">
        <f t="shared" si="40"/>
        <v>7</v>
      </c>
      <c r="F2584">
        <v>411100</v>
      </c>
      <c r="G2584" t="s">
        <v>18</v>
      </c>
      <c r="H2584" t="s">
        <v>2870</v>
      </c>
      <c r="I2584" t="s">
        <v>2871</v>
      </c>
      <c r="J2584">
        <v>349177</v>
      </c>
      <c r="K2584">
        <v>20220708</v>
      </c>
      <c r="L2584" t="s">
        <v>2872</v>
      </c>
      <c r="M2584">
        <v>0</v>
      </c>
      <c r="N2584">
        <v>18</v>
      </c>
      <c r="O2584" t="s">
        <v>22</v>
      </c>
      <c r="P2584">
        <v>20230218</v>
      </c>
      <c r="Q2584">
        <v>20220708</v>
      </c>
    </row>
    <row r="2585" spans="1:17" x14ac:dyDescent="0.25">
      <c r="A2585" t="s">
        <v>548</v>
      </c>
      <c r="B2585" t="s">
        <v>429</v>
      </c>
      <c r="C2585">
        <v>95</v>
      </c>
      <c r="D2585">
        <v>20220708</v>
      </c>
      <c r="E2585">
        <f t="shared" si="40"/>
        <v>7</v>
      </c>
      <c r="F2585">
        <v>411100</v>
      </c>
      <c r="G2585" t="s">
        <v>18</v>
      </c>
      <c r="H2585" t="s">
        <v>213</v>
      </c>
      <c r="I2585" t="s">
        <v>214</v>
      </c>
      <c r="J2585">
        <v>349178</v>
      </c>
      <c r="K2585">
        <v>20220708</v>
      </c>
      <c r="L2585" t="s">
        <v>2873</v>
      </c>
      <c r="M2585">
        <v>0</v>
      </c>
      <c r="N2585">
        <v>18</v>
      </c>
      <c r="O2585" t="s">
        <v>22</v>
      </c>
      <c r="P2585">
        <v>20230218</v>
      </c>
      <c r="Q2585">
        <v>20220708</v>
      </c>
    </row>
    <row r="2586" spans="1:17" x14ac:dyDescent="0.25">
      <c r="A2586" t="s">
        <v>548</v>
      </c>
      <c r="B2586" t="s">
        <v>429</v>
      </c>
      <c r="C2586">
        <v>95</v>
      </c>
      <c r="D2586">
        <v>20220708</v>
      </c>
      <c r="E2586">
        <f t="shared" si="40"/>
        <v>7</v>
      </c>
      <c r="F2586">
        <v>411100</v>
      </c>
      <c r="G2586" t="s">
        <v>18</v>
      </c>
      <c r="H2586" t="s">
        <v>215</v>
      </c>
      <c r="I2586" t="s">
        <v>216</v>
      </c>
      <c r="J2586">
        <v>349179</v>
      </c>
      <c r="K2586">
        <v>20220708</v>
      </c>
      <c r="L2586" t="s">
        <v>2874</v>
      </c>
      <c r="M2586">
        <v>0</v>
      </c>
      <c r="N2586">
        <v>14</v>
      </c>
      <c r="O2586" t="s">
        <v>22</v>
      </c>
      <c r="P2586">
        <v>20230218</v>
      </c>
      <c r="Q2586">
        <v>20220708</v>
      </c>
    </row>
    <row r="2587" spans="1:17" x14ac:dyDescent="0.25">
      <c r="A2587" t="s">
        <v>548</v>
      </c>
      <c r="B2587" t="s">
        <v>429</v>
      </c>
      <c r="C2587">
        <v>95</v>
      </c>
      <c r="D2587">
        <v>20220708</v>
      </c>
      <c r="E2587">
        <f t="shared" si="40"/>
        <v>7</v>
      </c>
      <c r="F2587">
        <v>411100</v>
      </c>
      <c r="G2587" t="s">
        <v>18</v>
      </c>
      <c r="H2587" t="s">
        <v>2173</v>
      </c>
      <c r="I2587" t="s">
        <v>2174</v>
      </c>
      <c r="J2587">
        <v>349180</v>
      </c>
      <c r="K2587">
        <v>20220708</v>
      </c>
      <c r="L2587" t="s">
        <v>2875</v>
      </c>
      <c r="M2587">
        <v>0</v>
      </c>
      <c r="N2587">
        <v>14</v>
      </c>
      <c r="O2587" t="s">
        <v>23</v>
      </c>
      <c r="P2587">
        <v>20230329</v>
      </c>
      <c r="Q2587">
        <v>20220708</v>
      </c>
    </row>
    <row r="2588" spans="1:17" x14ac:dyDescent="0.25">
      <c r="A2588" t="s">
        <v>548</v>
      </c>
      <c r="B2588" t="s">
        <v>429</v>
      </c>
      <c r="C2588">
        <v>95</v>
      </c>
      <c r="D2588">
        <v>20220708</v>
      </c>
      <c r="E2588">
        <f t="shared" si="40"/>
        <v>7</v>
      </c>
      <c r="F2588">
        <v>411100</v>
      </c>
      <c r="G2588" t="s">
        <v>18</v>
      </c>
      <c r="H2588" t="s">
        <v>2876</v>
      </c>
      <c r="I2588" t="s">
        <v>2877</v>
      </c>
      <c r="J2588">
        <v>349181</v>
      </c>
      <c r="K2588">
        <v>20220708</v>
      </c>
      <c r="L2588" t="s">
        <v>2878</v>
      </c>
      <c r="M2588">
        <v>0</v>
      </c>
      <c r="N2588">
        <v>14</v>
      </c>
      <c r="O2588" t="s">
        <v>19</v>
      </c>
      <c r="P2588" t="s">
        <v>20</v>
      </c>
      <c r="Q2588">
        <v>20220708</v>
      </c>
    </row>
    <row r="2589" spans="1:17" x14ac:dyDescent="0.25">
      <c r="A2589" t="s">
        <v>548</v>
      </c>
      <c r="B2589" t="s">
        <v>429</v>
      </c>
      <c r="C2589">
        <v>95</v>
      </c>
      <c r="D2589">
        <v>20220708</v>
      </c>
      <c r="E2589">
        <f t="shared" si="40"/>
        <v>7</v>
      </c>
      <c r="F2589">
        <v>411100</v>
      </c>
      <c r="G2589" t="s">
        <v>18</v>
      </c>
      <c r="H2589" t="s">
        <v>2173</v>
      </c>
      <c r="I2589" t="s">
        <v>2174</v>
      </c>
      <c r="J2589">
        <v>349182</v>
      </c>
      <c r="K2589">
        <v>20220708</v>
      </c>
      <c r="L2589" t="s">
        <v>2879</v>
      </c>
      <c r="M2589">
        <v>0</v>
      </c>
      <c r="N2589">
        <v>11</v>
      </c>
      <c r="O2589" t="s">
        <v>23</v>
      </c>
      <c r="P2589">
        <v>20230329</v>
      </c>
      <c r="Q2589">
        <v>20220708</v>
      </c>
    </row>
    <row r="2590" spans="1:17" x14ac:dyDescent="0.25">
      <c r="A2590" t="s">
        <v>548</v>
      </c>
      <c r="B2590" t="s">
        <v>429</v>
      </c>
      <c r="C2590">
        <v>95</v>
      </c>
      <c r="D2590">
        <v>20220708</v>
      </c>
      <c r="E2590">
        <f t="shared" si="40"/>
        <v>7</v>
      </c>
      <c r="F2590">
        <v>411100</v>
      </c>
      <c r="G2590" t="s">
        <v>18</v>
      </c>
      <c r="H2590" t="s">
        <v>215</v>
      </c>
      <c r="I2590" t="s">
        <v>216</v>
      </c>
      <c r="J2590">
        <v>349183</v>
      </c>
      <c r="K2590">
        <v>20220708</v>
      </c>
      <c r="L2590" t="s">
        <v>2880</v>
      </c>
      <c r="M2590">
        <v>0</v>
      </c>
      <c r="N2590">
        <v>11</v>
      </c>
      <c r="O2590" t="s">
        <v>19</v>
      </c>
      <c r="P2590" t="s">
        <v>20</v>
      </c>
      <c r="Q2590">
        <v>20220708</v>
      </c>
    </row>
    <row r="2591" spans="1:17" x14ac:dyDescent="0.25">
      <c r="A2591" t="s">
        <v>548</v>
      </c>
      <c r="B2591" t="s">
        <v>429</v>
      </c>
      <c r="C2591">
        <v>95</v>
      </c>
      <c r="D2591">
        <v>20220708</v>
      </c>
      <c r="E2591">
        <f t="shared" si="40"/>
        <v>7</v>
      </c>
      <c r="F2591">
        <v>411100</v>
      </c>
      <c r="G2591" t="s">
        <v>18</v>
      </c>
      <c r="H2591" t="s">
        <v>213</v>
      </c>
      <c r="I2591" t="s">
        <v>214</v>
      </c>
      <c r="J2591">
        <v>349184</v>
      </c>
      <c r="K2591">
        <v>20220708</v>
      </c>
      <c r="L2591" t="s">
        <v>2881</v>
      </c>
      <c r="M2591">
        <v>0</v>
      </c>
      <c r="N2591">
        <v>15</v>
      </c>
      <c r="O2591" t="s">
        <v>19</v>
      </c>
      <c r="P2591" t="s">
        <v>20</v>
      </c>
      <c r="Q2591">
        <v>20220708</v>
      </c>
    </row>
    <row r="2592" spans="1:17" x14ac:dyDescent="0.25">
      <c r="A2592" t="s">
        <v>548</v>
      </c>
      <c r="B2592" t="s">
        <v>429</v>
      </c>
      <c r="C2592">
        <v>95</v>
      </c>
      <c r="D2592">
        <v>20220708</v>
      </c>
      <c r="E2592">
        <f t="shared" si="40"/>
        <v>7</v>
      </c>
      <c r="F2592">
        <v>411100</v>
      </c>
      <c r="G2592" t="s">
        <v>18</v>
      </c>
      <c r="H2592" t="s">
        <v>277</v>
      </c>
      <c r="I2592" t="s">
        <v>278</v>
      </c>
      <c r="J2592">
        <v>349185</v>
      </c>
      <c r="K2592">
        <v>20220708</v>
      </c>
      <c r="L2592" t="s">
        <v>2882</v>
      </c>
      <c r="M2592">
        <v>0</v>
      </c>
      <c r="N2592">
        <v>10.5</v>
      </c>
      <c r="O2592" t="s">
        <v>19</v>
      </c>
      <c r="P2592" t="s">
        <v>20</v>
      </c>
      <c r="Q2592">
        <v>20220708</v>
      </c>
    </row>
    <row r="2593" spans="1:17" x14ac:dyDescent="0.25">
      <c r="A2593" t="s">
        <v>548</v>
      </c>
      <c r="B2593" t="s">
        <v>429</v>
      </c>
      <c r="C2593">
        <v>95</v>
      </c>
      <c r="D2593">
        <v>20220708</v>
      </c>
      <c r="E2593">
        <f t="shared" si="40"/>
        <v>7</v>
      </c>
      <c r="F2593">
        <v>411000</v>
      </c>
      <c r="G2593" t="s">
        <v>21</v>
      </c>
      <c r="H2593" t="s">
        <v>271</v>
      </c>
      <c r="I2593" t="s">
        <v>272</v>
      </c>
      <c r="J2593">
        <v>349186</v>
      </c>
      <c r="K2593">
        <v>20220708</v>
      </c>
      <c r="L2593" t="s">
        <v>2883</v>
      </c>
      <c r="M2593">
        <v>0</v>
      </c>
      <c r="N2593">
        <v>5</v>
      </c>
      <c r="O2593" t="s">
        <v>19</v>
      </c>
      <c r="P2593" t="s">
        <v>20</v>
      </c>
      <c r="Q2593">
        <v>20220708</v>
      </c>
    </row>
    <row r="2594" spans="1:17" x14ac:dyDescent="0.25">
      <c r="A2594" t="s">
        <v>548</v>
      </c>
      <c r="B2594" t="s">
        <v>429</v>
      </c>
      <c r="C2594">
        <v>95</v>
      </c>
      <c r="D2594">
        <v>20220708</v>
      </c>
      <c r="E2594">
        <f t="shared" si="40"/>
        <v>7</v>
      </c>
      <c r="F2594">
        <v>411100</v>
      </c>
      <c r="G2594" t="s">
        <v>18</v>
      </c>
      <c r="H2594" t="s">
        <v>2884</v>
      </c>
      <c r="I2594" t="s">
        <v>2885</v>
      </c>
      <c r="J2594">
        <v>349187</v>
      </c>
      <c r="K2594">
        <v>20220708</v>
      </c>
      <c r="L2594" t="s">
        <v>2886</v>
      </c>
      <c r="M2594">
        <v>0</v>
      </c>
      <c r="N2594">
        <v>13</v>
      </c>
      <c r="O2594" t="s">
        <v>23</v>
      </c>
      <c r="P2594">
        <v>20230218</v>
      </c>
      <c r="Q2594">
        <v>20220708</v>
      </c>
    </row>
    <row r="2595" spans="1:17" x14ac:dyDescent="0.25">
      <c r="A2595" t="s">
        <v>548</v>
      </c>
      <c r="B2595" t="s">
        <v>429</v>
      </c>
      <c r="C2595">
        <v>95</v>
      </c>
      <c r="D2595">
        <v>20220708</v>
      </c>
      <c r="E2595">
        <f t="shared" si="40"/>
        <v>7</v>
      </c>
      <c r="F2595">
        <v>531105</v>
      </c>
      <c r="G2595" t="s">
        <v>429</v>
      </c>
      <c r="H2595" t="s">
        <v>401</v>
      </c>
      <c r="I2595" t="s">
        <v>402</v>
      </c>
      <c r="J2595">
        <v>349188</v>
      </c>
      <c r="K2595">
        <v>20220708</v>
      </c>
      <c r="L2595" t="s">
        <v>565</v>
      </c>
      <c r="M2595">
        <v>339.99</v>
      </c>
      <c r="N2595">
        <v>0</v>
      </c>
      <c r="O2595" t="s">
        <v>19</v>
      </c>
      <c r="P2595" t="s">
        <v>20</v>
      </c>
      <c r="Q2595">
        <v>20220708</v>
      </c>
    </row>
    <row r="2596" spans="1:17" x14ac:dyDescent="0.25">
      <c r="A2596" t="s">
        <v>548</v>
      </c>
      <c r="B2596" t="s">
        <v>429</v>
      </c>
      <c r="C2596">
        <v>95</v>
      </c>
      <c r="D2596">
        <v>20220708</v>
      </c>
      <c r="E2596">
        <f t="shared" si="40"/>
        <v>7</v>
      </c>
      <c r="F2596">
        <v>411100</v>
      </c>
      <c r="G2596" t="s">
        <v>18</v>
      </c>
      <c r="H2596" t="s">
        <v>1765</v>
      </c>
      <c r="I2596" t="s">
        <v>1766</v>
      </c>
      <c r="J2596">
        <v>350117</v>
      </c>
      <c r="K2596">
        <v>20220708</v>
      </c>
      <c r="L2596" t="s">
        <v>2866</v>
      </c>
      <c r="M2596">
        <v>142.49</v>
      </c>
      <c r="N2596">
        <v>0</v>
      </c>
      <c r="O2596" t="s">
        <v>23</v>
      </c>
      <c r="P2596">
        <v>20221026</v>
      </c>
      <c r="Q2596">
        <v>20220708</v>
      </c>
    </row>
    <row r="2597" spans="1:17" x14ac:dyDescent="0.25">
      <c r="A2597" t="s">
        <v>548</v>
      </c>
      <c r="B2597" t="s">
        <v>429</v>
      </c>
      <c r="C2597">
        <v>95</v>
      </c>
      <c r="D2597">
        <v>20220708</v>
      </c>
      <c r="E2597">
        <f t="shared" si="40"/>
        <v>7</v>
      </c>
      <c r="F2597">
        <v>411100</v>
      </c>
      <c r="G2597" t="s">
        <v>18</v>
      </c>
      <c r="H2597" t="s">
        <v>2734</v>
      </c>
      <c r="I2597" t="s">
        <v>2735</v>
      </c>
      <c r="J2597">
        <v>350118</v>
      </c>
      <c r="K2597">
        <v>20220708</v>
      </c>
      <c r="L2597" t="s">
        <v>2867</v>
      </c>
      <c r="M2597">
        <v>16</v>
      </c>
      <c r="N2597">
        <v>0</v>
      </c>
      <c r="O2597" t="s">
        <v>22</v>
      </c>
      <c r="P2597">
        <v>20230218</v>
      </c>
      <c r="Q2597">
        <v>20220708</v>
      </c>
    </row>
    <row r="2598" spans="1:17" x14ac:dyDescent="0.25">
      <c r="A2598" t="s">
        <v>548</v>
      </c>
      <c r="B2598" t="s">
        <v>429</v>
      </c>
      <c r="C2598">
        <v>95</v>
      </c>
      <c r="D2598">
        <v>20220708</v>
      </c>
      <c r="E2598">
        <f t="shared" si="40"/>
        <v>7</v>
      </c>
      <c r="F2598">
        <v>411100</v>
      </c>
      <c r="G2598" t="s">
        <v>18</v>
      </c>
      <c r="H2598" t="s">
        <v>277</v>
      </c>
      <c r="I2598" t="s">
        <v>278</v>
      </c>
      <c r="J2598">
        <v>350119</v>
      </c>
      <c r="K2598">
        <v>20220708</v>
      </c>
      <c r="L2598" t="s">
        <v>2868</v>
      </c>
      <c r="M2598">
        <v>20</v>
      </c>
      <c r="N2598">
        <v>0</v>
      </c>
      <c r="O2598" t="s">
        <v>22</v>
      </c>
      <c r="P2598">
        <v>20230218</v>
      </c>
      <c r="Q2598">
        <v>20220708</v>
      </c>
    </row>
    <row r="2599" spans="1:17" x14ac:dyDescent="0.25">
      <c r="A2599" t="s">
        <v>548</v>
      </c>
      <c r="B2599" t="s">
        <v>429</v>
      </c>
      <c r="C2599">
        <v>95</v>
      </c>
      <c r="D2599">
        <v>20220708</v>
      </c>
      <c r="E2599">
        <f t="shared" si="40"/>
        <v>7</v>
      </c>
      <c r="F2599">
        <v>411100</v>
      </c>
      <c r="G2599" t="s">
        <v>18</v>
      </c>
      <c r="H2599" t="s">
        <v>247</v>
      </c>
      <c r="I2599" t="s">
        <v>248</v>
      </c>
      <c r="J2599">
        <v>350120</v>
      </c>
      <c r="K2599">
        <v>20220708</v>
      </c>
      <c r="L2599" t="s">
        <v>2869</v>
      </c>
      <c r="M2599">
        <v>18</v>
      </c>
      <c r="N2599">
        <v>0</v>
      </c>
      <c r="O2599" t="s">
        <v>22</v>
      </c>
      <c r="P2599">
        <v>20230218</v>
      </c>
      <c r="Q2599">
        <v>20220708</v>
      </c>
    </row>
    <row r="2600" spans="1:17" x14ac:dyDescent="0.25">
      <c r="A2600" t="s">
        <v>548</v>
      </c>
      <c r="B2600" t="s">
        <v>429</v>
      </c>
      <c r="C2600">
        <v>95</v>
      </c>
      <c r="D2600">
        <v>20220708</v>
      </c>
      <c r="E2600">
        <f t="shared" si="40"/>
        <v>7</v>
      </c>
      <c r="F2600">
        <v>411100</v>
      </c>
      <c r="G2600" t="s">
        <v>18</v>
      </c>
      <c r="H2600" t="s">
        <v>2870</v>
      </c>
      <c r="I2600" t="s">
        <v>2871</v>
      </c>
      <c r="J2600">
        <v>350121</v>
      </c>
      <c r="K2600">
        <v>20220708</v>
      </c>
      <c r="L2600" t="s">
        <v>2872</v>
      </c>
      <c r="M2600">
        <v>18</v>
      </c>
      <c r="N2600">
        <v>0</v>
      </c>
      <c r="O2600" t="s">
        <v>22</v>
      </c>
      <c r="P2600">
        <v>20230218</v>
      </c>
      <c r="Q2600">
        <v>20220708</v>
      </c>
    </row>
    <row r="2601" spans="1:17" x14ac:dyDescent="0.25">
      <c r="A2601" t="s">
        <v>548</v>
      </c>
      <c r="B2601" t="s">
        <v>429</v>
      </c>
      <c r="C2601">
        <v>95</v>
      </c>
      <c r="D2601">
        <v>20220708</v>
      </c>
      <c r="E2601">
        <f t="shared" si="40"/>
        <v>7</v>
      </c>
      <c r="F2601">
        <v>411100</v>
      </c>
      <c r="G2601" t="s">
        <v>18</v>
      </c>
      <c r="H2601" t="s">
        <v>213</v>
      </c>
      <c r="I2601" t="s">
        <v>214</v>
      </c>
      <c r="J2601">
        <v>350122</v>
      </c>
      <c r="K2601">
        <v>20220708</v>
      </c>
      <c r="L2601" t="s">
        <v>2873</v>
      </c>
      <c r="M2601">
        <v>18</v>
      </c>
      <c r="N2601">
        <v>0</v>
      </c>
      <c r="O2601" t="s">
        <v>22</v>
      </c>
      <c r="P2601">
        <v>20230218</v>
      </c>
      <c r="Q2601">
        <v>20220708</v>
      </c>
    </row>
    <row r="2602" spans="1:17" x14ac:dyDescent="0.25">
      <c r="A2602" t="s">
        <v>548</v>
      </c>
      <c r="B2602" t="s">
        <v>429</v>
      </c>
      <c r="C2602">
        <v>95</v>
      </c>
      <c r="D2602">
        <v>20220708</v>
      </c>
      <c r="E2602">
        <f t="shared" si="40"/>
        <v>7</v>
      </c>
      <c r="F2602">
        <v>411100</v>
      </c>
      <c r="G2602" t="s">
        <v>18</v>
      </c>
      <c r="H2602" t="s">
        <v>215</v>
      </c>
      <c r="I2602" t="s">
        <v>216</v>
      </c>
      <c r="J2602">
        <v>350123</v>
      </c>
      <c r="K2602">
        <v>20220708</v>
      </c>
      <c r="L2602" t="s">
        <v>2874</v>
      </c>
      <c r="M2602">
        <v>14</v>
      </c>
      <c r="N2602">
        <v>0</v>
      </c>
      <c r="O2602" t="s">
        <v>22</v>
      </c>
      <c r="P2602">
        <v>20230218</v>
      </c>
      <c r="Q2602">
        <v>20220708</v>
      </c>
    </row>
    <row r="2603" spans="1:17" x14ac:dyDescent="0.25">
      <c r="A2603" t="s">
        <v>548</v>
      </c>
      <c r="B2603" t="s">
        <v>429</v>
      </c>
      <c r="C2603">
        <v>95</v>
      </c>
      <c r="D2603">
        <v>20220708</v>
      </c>
      <c r="E2603">
        <f t="shared" si="40"/>
        <v>7</v>
      </c>
      <c r="F2603">
        <v>411100</v>
      </c>
      <c r="G2603" t="s">
        <v>18</v>
      </c>
      <c r="H2603" t="s">
        <v>2173</v>
      </c>
      <c r="I2603" t="s">
        <v>2174</v>
      </c>
      <c r="J2603">
        <v>350124</v>
      </c>
      <c r="K2603">
        <v>20220708</v>
      </c>
      <c r="L2603" t="s">
        <v>2875</v>
      </c>
      <c r="M2603">
        <v>14</v>
      </c>
      <c r="N2603">
        <v>0</v>
      </c>
      <c r="O2603" t="s">
        <v>22</v>
      </c>
      <c r="P2603">
        <v>20230218</v>
      </c>
      <c r="Q2603">
        <v>20220708</v>
      </c>
    </row>
    <row r="2604" spans="1:17" x14ac:dyDescent="0.25">
      <c r="A2604" t="s">
        <v>548</v>
      </c>
      <c r="B2604" t="s">
        <v>429</v>
      </c>
      <c r="C2604">
        <v>95</v>
      </c>
      <c r="D2604">
        <v>20220708</v>
      </c>
      <c r="E2604">
        <f t="shared" si="40"/>
        <v>7</v>
      </c>
      <c r="F2604">
        <v>411100</v>
      </c>
      <c r="G2604" t="s">
        <v>18</v>
      </c>
      <c r="H2604" t="s">
        <v>2876</v>
      </c>
      <c r="I2604" t="s">
        <v>2877</v>
      </c>
      <c r="J2604">
        <v>350125</v>
      </c>
      <c r="K2604">
        <v>20220708</v>
      </c>
      <c r="L2604" t="s">
        <v>2878</v>
      </c>
      <c r="M2604">
        <v>14</v>
      </c>
      <c r="N2604">
        <v>0</v>
      </c>
      <c r="O2604" t="s">
        <v>22</v>
      </c>
      <c r="P2604">
        <v>20230218</v>
      </c>
      <c r="Q2604">
        <v>20220708</v>
      </c>
    </row>
    <row r="2605" spans="1:17" x14ac:dyDescent="0.25">
      <c r="A2605" t="s">
        <v>548</v>
      </c>
      <c r="B2605" t="s">
        <v>429</v>
      </c>
      <c r="C2605">
        <v>95</v>
      </c>
      <c r="D2605">
        <v>20220708</v>
      </c>
      <c r="E2605">
        <f t="shared" si="40"/>
        <v>7</v>
      </c>
      <c r="F2605">
        <v>411100</v>
      </c>
      <c r="G2605" t="s">
        <v>18</v>
      </c>
      <c r="H2605" t="s">
        <v>2173</v>
      </c>
      <c r="I2605" t="s">
        <v>2174</v>
      </c>
      <c r="J2605">
        <v>350126</v>
      </c>
      <c r="K2605">
        <v>20220708</v>
      </c>
      <c r="L2605" t="s">
        <v>2879</v>
      </c>
      <c r="M2605">
        <v>11</v>
      </c>
      <c r="N2605">
        <v>0</v>
      </c>
      <c r="O2605" t="s">
        <v>22</v>
      </c>
      <c r="P2605">
        <v>20230218</v>
      </c>
      <c r="Q2605">
        <v>20220708</v>
      </c>
    </row>
    <row r="2606" spans="1:17" x14ac:dyDescent="0.25">
      <c r="A2606" t="s">
        <v>548</v>
      </c>
      <c r="B2606" t="s">
        <v>429</v>
      </c>
      <c r="C2606">
        <v>95</v>
      </c>
      <c r="D2606">
        <v>20220708</v>
      </c>
      <c r="E2606">
        <f t="shared" si="40"/>
        <v>7</v>
      </c>
      <c r="F2606">
        <v>411100</v>
      </c>
      <c r="G2606" t="s">
        <v>18</v>
      </c>
      <c r="H2606" t="s">
        <v>215</v>
      </c>
      <c r="I2606" t="s">
        <v>216</v>
      </c>
      <c r="J2606">
        <v>350127</v>
      </c>
      <c r="K2606">
        <v>20220708</v>
      </c>
      <c r="L2606" t="s">
        <v>2880</v>
      </c>
      <c r="M2606">
        <v>11</v>
      </c>
      <c r="N2606">
        <v>0</v>
      </c>
      <c r="O2606" t="s">
        <v>22</v>
      </c>
      <c r="P2606">
        <v>20230218</v>
      </c>
      <c r="Q2606">
        <v>20220708</v>
      </c>
    </row>
    <row r="2607" spans="1:17" x14ac:dyDescent="0.25">
      <c r="A2607" t="s">
        <v>548</v>
      </c>
      <c r="B2607" t="s">
        <v>429</v>
      </c>
      <c r="C2607">
        <v>95</v>
      </c>
      <c r="D2607">
        <v>20220708</v>
      </c>
      <c r="E2607">
        <f t="shared" si="40"/>
        <v>7</v>
      </c>
      <c r="F2607">
        <v>411100</v>
      </c>
      <c r="G2607" t="s">
        <v>18</v>
      </c>
      <c r="H2607" t="s">
        <v>213</v>
      </c>
      <c r="I2607" t="s">
        <v>214</v>
      </c>
      <c r="J2607">
        <v>350128</v>
      </c>
      <c r="K2607">
        <v>20220708</v>
      </c>
      <c r="L2607" t="s">
        <v>2881</v>
      </c>
      <c r="M2607">
        <v>15</v>
      </c>
      <c r="N2607">
        <v>0</v>
      </c>
      <c r="O2607" t="s">
        <v>22</v>
      </c>
      <c r="P2607">
        <v>20230218</v>
      </c>
      <c r="Q2607">
        <v>20220708</v>
      </c>
    </row>
    <row r="2608" spans="1:17" x14ac:dyDescent="0.25">
      <c r="A2608" t="s">
        <v>548</v>
      </c>
      <c r="B2608" t="s">
        <v>429</v>
      </c>
      <c r="C2608">
        <v>95</v>
      </c>
      <c r="D2608">
        <v>20220708</v>
      </c>
      <c r="E2608">
        <f t="shared" si="40"/>
        <v>7</v>
      </c>
      <c r="F2608">
        <v>411100</v>
      </c>
      <c r="G2608" t="s">
        <v>18</v>
      </c>
      <c r="H2608" t="s">
        <v>277</v>
      </c>
      <c r="I2608" t="s">
        <v>278</v>
      </c>
      <c r="J2608">
        <v>350129</v>
      </c>
      <c r="K2608">
        <v>20220708</v>
      </c>
      <c r="L2608" t="s">
        <v>2882</v>
      </c>
      <c r="M2608">
        <v>10.5</v>
      </c>
      <c r="N2608">
        <v>0</v>
      </c>
      <c r="O2608" t="s">
        <v>22</v>
      </c>
      <c r="P2608">
        <v>20230218</v>
      </c>
      <c r="Q2608">
        <v>20220708</v>
      </c>
    </row>
    <row r="2609" spans="1:17" x14ac:dyDescent="0.25">
      <c r="A2609" t="s">
        <v>548</v>
      </c>
      <c r="B2609" t="s">
        <v>429</v>
      </c>
      <c r="C2609">
        <v>95</v>
      </c>
      <c r="D2609">
        <v>20220708</v>
      </c>
      <c r="E2609">
        <f t="shared" si="40"/>
        <v>7</v>
      </c>
      <c r="F2609">
        <v>411000</v>
      </c>
      <c r="G2609" t="s">
        <v>21</v>
      </c>
      <c r="H2609" t="s">
        <v>271</v>
      </c>
      <c r="I2609" t="s">
        <v>272</v>
      </c>
      <c r="J2609">
        <v>350130</v>
      </c>
      <c r="K2609">
        <v>20220708</v>
      </c>
      <c r="L2609" t="s">
        <v>2883</v>
      </c>
      <c r="M2609">
        <v>5</v>
      </c>
      <c r="N2609">
        <v>0</v>
      </c>
      <c r="O2609" t="s">
        <v>22</v>
      </c>
      <c r="P2609">
        <v>20230218</v>
      </c>
      <c r="Q2609">
        <v>20220708</v>
      </c>
    </row>
    <row r="2610" spans="1:17" x14ac:dyDescent="0.25">
      <c r="A2610" t="s">
        <v>548</v>
      </c>
      <c r="B2610" t="s">
        <v>429</v>
      </c>
      <c r="C2610">
        <v>95</v>
      </c>
      <c r="D2610">
        <v>20220708</v>
      </c>
      <c r="E2610">
        <f t="shared" si="40"/>
        <v>7</v>
      </c>
      <c r="F2610">
        <v>411100</v>
      </c>
      <c r="G2610" t="s">
        <v>18</v>
      </c>
      <c r="H2610" t="s">
        <v>2884</v>
      </c>
      <c r="I2610" t="s">
        <v>2885</v>
      </c>
      <c r="J2610">
        <v>350131</v>
      </c>
      <c r="K2610">
        <v>20220708</v>
      </c>
      <c r="L2610" t="s">
        <v>2886</v>
      </c>
      <c r="M2610">
        <v>13</v>
      </c>
      <c r="N2610">
        <v>0</v>
      </c>
      <c r="O2610" t="s">
        <v>22</v>
      </c>
      <c r="P2610">
        <v>20230218</v>
      </c>
      <c r="Q2610">
        <v>20220708</v>
      </c>
    </row>
    <row r="2611" spans="1:17" x14ac:dyDescent="0.25">
      <c r="A2611" t="s">
        <v>548</v>
      </c>
      <c r="B2611" t="s">
        <v>429</v>
      </c>
      <c r="C2611">
        <v>95</v>
      </c>
      <c r="D2611">
        <v>20220708</v>
      </c>
      <c r="E2611">
        <f t="shared" si="40"/>
        <v>7</v>
      </c>
      <c r="F2611">
        <v>531105</v>
      </c>
      <c r="G2611" t="s">
        <v>429</v>
      </c>
      <c r="H2611" t="s">
        <v>401</v>
      </c>
      <c r="I2611" t="s">
        <v>402</v>
      </c>
      <c r="J2611">
        <v>350132</v>
      </c>
      <c r="K2611">
        <v>20220708</v>
      </c>
      <c r="L2611" t="s">
        <v>565</v>
      </c>
      <c r="M2611">
        <v>0</v>
      </c>
      <c r="N2611">
        <v>339.99</v>
      </c>
      <c r="O2611" t="s">
        <v>19</v>
      </c>
      <c r="P2611" t="s">
        <v>20</v>
      </c>
      <c r="Q2611">
        <v>20220708</v>
      </c>
    </row>
    <row r="2612" spans="1:17" x14ac:dyDescent="0.25">
      <c r="A2612" t="s">
        <v>548</v>
      </c>
      <c r="B2612" t="s">
        <v>429</v>
      </c>
      <c r="C2612">
        <v>95</v>
      </c>
      <c r="D2612">
        <v>20220711</v>
      </c>
      <c r="E2612">
        <f t="shared" si="40"/>
        <v>7</v>
      </c>
      <c r="F2612">
        <v>467100</v>
      </c>
      <c r="G2612" t="s">
        <v>160</v>
      </c>
      <c r="H2612" t="s">
        <v>2827</v>
      </c>
      <c r="I2612" t="s">
        <v>2828</v>
      </c>
      <c r="J2612" t="s">
        <v>2887</v>
      </c>
      <c r="K2612">
        <v>20220711</v>
      </c>
      <c r="L2612" t="s">
        <v>2888</v>
      </c>
      <c r="M2612">
        <v>4.95</v>
      </c>
      <c r="N2612">
        <v>0</v>
      </c>
      <c r="O2612" t="s">
        <v>23</v>
      </c>
      <c r="P2612">
        <v>20220831</v>
      </c>
      <c r="Q2612">
        <v>20220711</v>
      </c>
    </row>
    <row r="2613" spans="1:17" x14ac:dyDescent="0.25">
      <c r="A2613" t="s">
        <v>548</v>
      </c>
      <c r="B2613" t="s">
        <v>429</v>
      </c>
      <c r="C2613">
        <v>95</v>
      </c>
      <c r="D2613">
        <v>20220711</v>
      </c>
      <c r="E2613">
        <f t="shared" si="40"/>
        <v>7</v>
      </c>
      <c r="F2613">
        <v>531105</v>
      </c>
      <c r="G2613" t="s">
        <v>429</v>
      </c>
      <c r="H2613" t="s">
        <v>401</v>
      </c>
      <c r="I2613" t="s">
        <v>402</v>
      </c>
      <c r="J2613" t="s">
        <v>2887</v>
      </c>
      <c r="K2613">
        <v>20220711</v>
      </c>
      <c r="L2613" t="s">
        <v>2888</v>
      </c>
      <c r="M2613">
        <v>0</v>
      </c>
      <c r="N2613">
        <v>4.95</v>
      </c>
      <c r="O2613" t="s">
        <v>19</v>
      </c>
      <c r="P2613" t="s">
        <v>20</v>
      </c>
      <c r="Q2613">
        <v>20220711</v>
      </c>
    </row>
    <row r="2614" spans="1:17" x14ac:dyDescent="0.25">
      <c r="A2614" t="s">
        <v>548</v>
      </c>
      <c r="B2614" t="s">
        <v>429</v>
      </c>
      <c r="C2614">
        <v>95</v>
      </c>
      <c r="D2614">
        <v>20220711</v>
      </c>
      <c r="E2614">
        <f t="shared" si="40"/>
        <v>7</v>
      </c>
      <c r="F2614">
        <v>467100</v>
      </c>
      <c r="G2614" t="s">
        <v>160</v>
      </c>
      <c r="H2614" t="s">
        <v>172</v>
      </c>
      <c r="I2614" t="s">
        <v>173</v>
      </c>
      <c r="J2614" t="s">
        <v>2889</v>
      </c>
      <c r="K2614">
        <v>20220711</v>
      </c>
      <c r="L2614" t="s">
        <v>2890</v>
      </c>
      <c r="M2614">
        <v>200</v>
      </c>
      <c r="N2614">
        <v>0</v>
      </c>
      <c r="O2614" t="s">
        <v>23</v>
      </c>
      <c r="P2614">
        <v>20220801</v>
      </c>
      <c r="Q2614">
        <v>20220711</v>
      </c>
    </row>
    <row r="2615" spans="1:17" x14ac:dyDescent="0.25">
      <c r="A2615" t="s">
        <v>548</v>
      </c>
      <c r="B2615" t="s">
        <v>429</v>
      </c>
      <c r="C2615">
        <v>95</v>
      </c>
      <c r="D2615">
        <v>20220711</v>
      </c>
      <c r="E2615">
        <f t="shared" si="40"/>
        <v>7</v>
      </c>
      <c r="F2615">
        <v>467100</v>
      </c>
      <c r="G2615" t="s">
        <v>160</v>
      </c>
      <c r="H2615" t="s">
        <v>172</v>
      </c>
      <c r="I2615" t="s">
        <v>173</v>
      </c>
      <c r="J2615" t="s">
        <v>2891</v>
      </c>
      <c r="K2615">
        <v>20220711</v>
      </c>
      <c r="L2615" t="s">
        <v>174</v>
      </c>
      <c r="M2615">
        <v>125</v>
      </c>
      <c r="N2615">
        <v>0</v>
      </c>
      <c r="O2615" t="s">
        <v>23</v>
      </c>
      <c r="P2615">
        <v>20220801</v>
      </c>
      <c r="Q2615">
        <v>20220711</v>
      </c>
    </row>
    <row r="2616" spans="1:17" x14ac:dyDescent="0.25">
      <c r="A2616" t="s">
        <v>548</v>
      </c>
      <c r="B2616" t="s">
        <v>429</v>
      </c>
      <c r="C2616">
        <v>95</v>
      </c>
      <c r="D2616">
        <v>20220711</v>
      </c>
      <c r="E2616">
        <f t="shared" si="40"/>
        <v>7</v>
      </c>
      <c r="F2616">
        <v>531105</v>
      </c>
      <c r="G2616" t="s">
        <v>429</v>
      </c>
      <c r="H2616" t="s">
        <v>401</v>
      </c>
      <c r="I2616" t="s">
        <v>402</v>
      </c>
      <c r="J2616" t="s">
        <v>2891</v>
      </c>
      <c r="K2616">
        <v>20220711</v>
      </c>
      <c r="L2616" t="s">
        <v>174</v>
      </c>
      <c r="M2616">
        <v>0</v>
      </c>
      <c r="N2616">
        <v>125</v>
      </c>
      <c r="O2616" t="s">
        <v>19</v>
      </c>
      <c r="P2616" t="s">
        <v>20</v>
      </c>
      <c r="Q2616">
        <v>20220711</v>
      </c>
    </row>
    <row r="2617" spans="1:17" x14ac:dyDescent="0.25">
      <c r="A2617" t="s">
        <v>548</v>
      </c>
      <c r="B2617" t="s">
        <v>429</v>
      </c>
      <c r="C2617">
        <v>95</v>
      </c>
      <c r="D2617">
        <v>20220711</v>
      </c>
      <c r="E2617">
        <f t="shared" si="40"/>
        <v>7</v>
      </c>
      <c r="F2617">
        <v>531105</v>
      </c>
      <c r="G2617" t="s">
        <v>429</v>
      </c>
      <c r="H2617" t="s">
        <v>401</v>
      </c>
      <c r="I2617" t="s">
        <v>402</v>
      </c>
      <c r="J2617" t="s">
        <v>2889</v>
      </c>
      <c r="K2617">
        <v>20220711</v>
      </c>
      <c r="L2617" t="s">
        <v>2890</v>
      </c>
      <c r="M2617">
        <v>0</v>
      </c>
      <c r="N2617">
        <v>200</v>
      </c>
      <c r="O2617" t="s">
        <v>19</v>
      </c>
      <c r="P2617" t="s">
        <v>20</v>
      </c>
      <c r="Q2617">
        <v>20220711</v>
      </c>
    </row>
    <row r="2618" spans="1:17" x14ac:dyDescent="0.25">
      <c r="A2618" t="s">
        <v>548</v>
      </c>
      <c r="B2618" t="s">
        <v>429</v>
      </c>
      <c r="C2618">
        <v>95</v>
      </c>
      <c r="D2618">
        <v>20220711</v>
      </c>
      <c r="E2618">
        <f t="shared" si="40"/>
        <v>7</v>
      </c>
      <c r="F2618">
        <v>467100</v>
      </c>
      <c r="G2618" t="s">
        <v>160</v>
      </c>
      <c r="H2618" t="s">
        <v>1307</v>
      </c>
      <c r="I2618" t="s">
        <v>1308</v>
      </c>
      <c r="J2618" t="s">
        <v>2892</v>
      </c>
      <c r="K2618">
        <v>20220711</v>
      </c>
      <c r="L2618" t="s">
        <v>2893</v>
      </c>
      <c r="M2618">
        <v>100</v>
      </c>
      <c r="N2618">
        <v>0</v>
      </c>
      <c r="O2618" t="s">
        <v>23</v>
      </c>
      <c r="P2618">
        <v>20220830</v>
      </c>
      <c r="Q2618">
        <v>20220711</v>
      </c>
    </row>
    <row r="2619" spans="1:17" x14ac:dyDescent="0.25">
      <c r="A2619" t="s">
        <v>548</v>
      </c>
      <c r="B2619" t="s">
        <v>429</v>
      </c>
      <c r="C2619">
        <v>95</v>
      </c>
      <c r="D2619">
        <v>20220711</v>
      </c>
      <c r="E2619">
        <f t="shared" si="40"/>
        <v>7</v>
      </c>
      <c r="F2619">
        <v>531105</v>
      </c>
      <c r="G2619" t="s">
        <v>429</v>
      </c>
      <c r="H2619" t="s">
        <v>401</v>
      </c>
      <c r="I2619" t="s">
        <v>402</v>
      </c>
      <c r="J2619" t="s">
        <v>2892</v>
      </c>
      <c r="K2619">
        <v>20220711</v>
      </c>
      <c r="L2619" t="s">
        <v>2893</v>
      </c>
      <c r="M2619">
        <v>0</v>
      </c>
      <c r="N2619">
        <v>100</v>
      </c>
      <c r="O2619" t="s">
        <v>19</v>
      </c>
      <c r="P2619" t="s">
        <v>20</v>
      </c>
      <c r="Q2619">
        <v>20220711</v>
      </c>
    </row>
    <row r="2620" spans="1:17" x14ac:dyDescent="0.25">
      <c r="A2620" t="s">
        <v>548</v>
      </c>
      <c r="B2620" t="s">
        <v>429</v>
      </c>
      <c r="C2620">
        <v>95</v>
      </c>
      <c r="D2620">
        <v>20220711</v>
      </c>
      <c r="E2620">
        <f t="shared" si="40"/>
        <v>7</v>
      </c>
      <c r="F2620">
        <v>411010</v>
      </c>
      <c r="G2620" t="s">
        <v>87</v>
      </c>
      <c r="H2620" t="s">
        <v>363</v>
      </c>
      <c r="I2620" t="s">
        <v>364</v>
      </c>
      <c r="J2620">
        <v>347644</v>
      </c>
      <c r="K2620">
        <v>20220711</v>
      </c>
      <c r="L2620" t="s">
        <v>2894</v>
      </c>
      <c r="M2620">
        <v>0</v>
      </c>
      <c r="N2620">
        <v>93.94</v>
      </c>
      <c r="O2620" t="s">
        <v>22</v>
      </c>
      <c r="P2620">
        <v>20230218</v>
      </c>
      <c r="Q2620">
        <v>20220711</v>
      </c>
    </row>
    <row r="2621" spans="1:17" x14ac:dyDescent="0.25">
      <c r="A2621" t="s">
        <v>548</v>
      </c>
      <c r="B2621" t="s">
        <v>429</v>
      </c>
      <c r="C2621">
        <v>95</v>
      </c>
      <c r="D2621">
        <v>20220711</v>
      </c>
      <c r="E2621">
        <f t="shared" si="40"/>
        <v>7</v>
      </c>
      <c r="F2621">
        <v>411010</v>
      </c>
      <c r="G2621" t="s">
        <v>87</v>
      </c>
      <c r="H2621" t="s">
        <v>379</v>
      </c>
      <c r="I2621" t="s">
        <v>380</v>
      </c>
      <c r="J2621">
        <v>222050027</v>
      </c>
      <c r="K2621">
        <v>20220711</v>
      </c>
      <c r="L2621" t="s">
        <v>2895</v>
      </c>
      <c r="M2621">
        <v>0</v>
      </c>
      <c r="N2621">
        <v>58.23</v>
      </c>
      <c r="O2621" t="s">
        <v>19</v>
      </c>
      <c r="P2621" t="s">
        <v>20</v>
      </c>
      <c r="Q2621">
        <v>20220711</v>
      </c>
    </row>
    <row r="2622" spans="1:17" x14ac:dyDescent="0.25">
      <c r="A2622" t="s">
        <v>548</v>
      </c>
      <c r="B2622" t="s">
        <v>429</v>
      </c>
      <c r="C2622">
        <v>95</v>
      </c>
      <c r="D2622">
        <v>20220711</v>
      </c>
      <c r="E2622">
        <f t="shared" si="40"/>
        <v>7</v>
      </c>
      <c r="F2622">
        <v>411010</v>
      </c>
      <c r="G2622" t="s">
        <v>87</v>
      </c>
      <c r="H2622" t="s">
        <v>379</v>
      </c>
      <c r="I2622" t="s">
        <v>380</v>
      </c>
      <c r="J2622">
        <v>222050027</v>
      </c>
      <c r="K2622">
        <v>20220711</v>
      </c>
      <c r="L2622" t="s">
        <v>2896</v>
      </c>
      <c r="M2622">
        <v>0</v>
      </c>
      <c r="N2622">
        <v>1.77</v>
      </c>
      <c r="O2622" t="s">
        <v>19</v>
      </c>
      <c r="P2622" t="s">
        <v>20</v>
      </c>
      <c r="Q2622">
        <v>20220711</v>
      </c>
    </row>
    <row r="2623" spans="1:17" x14ac:dyDescent="0.25">
      <c r="A2623" t="s">
        <v>548</v>
      </c>
      <c r="B2623" t="s">
        <v>429</v>
      </c>
      <c r="C2623">
        <v>95</v>
      </c>
      <c r="D2623">
        <v>20220711</v>
      </c>
      <c r="E2623">
        <f t="shared" si="40"/>
        <v>7</v>
      </c>
      <c r="F2623">
        <v>531105</v>
      </c>
      <c r="G2623" t="s">
        <v>429</v>
      </c>
      <c r="H2623" t="s">
        <v>401</v>
      </c>
      <c r="I2623" t="s">
        <v>402</v>
      </c>
      <c r="J2623">
        <v>347647</v>
      </c>
      <c r="K2623">
        <v>20220711</v>
      </c>
      <c r="L2623" t="s">
        <v>565</v>
      </c>
      <c r="M2623">
        <v>153.94</v>
      </c>
      <c r="N2623">
        <v>0</v>
      </c>
      <c r="O2623" t="s">
        <v>19</v>
      </c>
      <c r="P2623" t="s">
        <v>20</v>
      </c>
      <c r="Q2623">
        <v>20220711</v>
      </c>
    </row>
    <row r="2624" spans="1:17" x14ac:dyDescent="0.25">
      <c r="A2624" t="s">
        <v>548</v>
      </c>
      <c r="B2624" t="s">
        <v>429</v>
      </c>
      <c r="C2624">
        <v>95</v>
      </c>
      <c r="D2624">
        <v>20220711</v>
      </c>
      <c r="E2624">
        <f t="shared" si="40"/>
        <v>7</v>
      </c>
      <c r="F2624">
        <v>411100</v>
      </c>
      <c r="G2624" t="s">
        <v>18</v>
      </c>
      <c r="H2624" t="s">
        <v>928</v>
      </c>
      <c r="I2624" t="s">
        <v>929</v>
      </c>
      <c r="J2624">
        <v>348245</v>
      </c>
      <c r="K2624">
        <v>20220711</v>
      </c>
      <c r="L2624" t="s">
        <v>2897</v>
      </c>
      <c r="M2624">
        <v>0</v>
      </c>
      <c r="N2624">
        <v>17.5</v>
      </c>
      <c r="O2624" t="s">
        <v>22</v>
      </c>
      <c r="P2624">
        <v>20230218</v>
      </c>
      <c r="Q2624">
        <v>20220711</v>
      </c>
    </row>
    <row r="2625" spans="1:17" x14ac:dyDescent="0.25">
      <c r="A2625" t="s">
        <v>548</v>
      </c>
      <c r="B2625" t="s">
        <v>429</v>
      </c>
      <c r="C2625">
        <v>95</v>
      </c>
      <c r="D2625">
        <v>20220711</v>
      </c>
      <c r="E2625">
        <f t="shared" si="40"/>
        <v>7</v>
      </c>
      <c r="F2625">
        <v>411100</v>
      </c>
      <c r="G2625" t="s">
        <v>18</v>
      </c>
      <c r="H2625" t="s">
        <v>2898</v>
      </c>
      <c r="I2625" t="s">
        <v>2899</v>
      </c>
      <c r="J2625">
        <v>348246</v>
      </c>
      <c r="K2625">
        <v>20220711</v>
      </c>
      <c r="L2625" t="s">
        <v>2900</v>
      </c>
      <c r="M2625">
        <v>0</v>
      </c>
      <c r="N2625">
        <v>28.5</v>
      </c>
      <c r="O2625" t="s">
        <v>22</v>
      </c>
      <c r="P2625">
        <v>20230218</v>
      </c>
      <c r="Q2625">
        <v>20220711</v>
      </c>
    </row>
    <row r="2626" spans="1:17" x14ac:dyDescent="0.25">
      <c r="A2626" t="s">
        <v>548</v>
      </c>
      <c r="B2626" t="s">
        <v>429</v>
      </c>
      <c r="C2626">
        <v>95</v>
      </c>
      <c r="D2626">
        <v>20220711</v>
      </c>
      <c r="E2626">
        <f t="shared" si="40"/>
        <v>7</v>
      </c>
      <c r="F2626">
        <v>411100</v>
      </c>
      <c r="G2626" t="s">
        <v>18</v>
      </c>
      <c r="H2626" t="s">
        <v>2901</v>
      </c>
      <c r="I2626" t="s">
        <v>2902</v>
      </c>
      <c r="J2626">
        <v>348247</v>
      </c>
      <c r="K2626">
        <v>20220711</v>
      </c>
      <c r="L2626" t="s">
        <v>2903</v>
      </c>
      <c r="M2626">
        <v>0</v>
      </c>
      <c r="N2626">
        <v>16</v>
      </c>
      <c r="O2626" t="s">
        <v>22</v>
      </c>
      <c r="P2626">
        <v>20230218</v>
      </c>
      <c r="Q2626">
        <v>20220711</v>
      </c>
    </row>
    <row r="2627" spans="1:17" x14ac:dyDescent="0.25">
      <c r="A2627" t="s">
        <v>548</v>
      </c>
      <c r="B2627" t="s">
        <v>429</v>
      </c>
      <c r="C2627">
        <v>95</v>
      </c>
      <c r="D2627">
        <v>20220711</v>
      </c>
      <c r="E2627">
        <f t="shared" ref="E2627:E2690" si="41">VALUE(MID(D2627,5,2))</f>
        <v>7</v>
      </c>
      <c r="F2627">
        <v>411100</v>
      </c>
      <c r="G2627" t="s">
        <v>18</v>
      </c>
      <c r="H2627" t="s">
        <v>2246</v>
      </c>
      <c r="I2627" t="s">
        <v>2247</v>
      </c>
      <c r="J2627">
        <v>348248</v>
      </c>
      <c r="K2627">
        <v>20220711</v>
      </c>
      <c r="L2627" t="s">
        <v>2904</v>
      </c>
      <c r="M2627">
        <v>0</v>
      </c>
      <c r="N2627">
        <v>10</v>
      </c>
      <c r="O2627" t="s">
        <v>22</v>
      </c>
      <c r="P2627">
        <v>20230218</v>
      </c>
      <c r="Q2627">
        <v>20220711</v>
      </c>
    </row>
    <row r="2628" spans="1:17" x14ac:dyDescent="0.25">
      <c r="A2628" t="s">
        <v>548</v>
      </c>
      <c r="B2628" t="s">
        <v>429</v>
      </c>
      <c r="C2628">
        <v>95</v>
      </c>
      <c r="D2628">
        <v>20220711</v>
      </c>
      <c r="E2628">
        <f t="shared" si="41"/>
        <v>7</v>
      </c>
      <c r="F2628">
        <v>411100</v>
      </c>
      <c r="G2628" t="s">
        <v>18</v>
      </c>
      <c r="H2628" t="s">
        <v>1417</v>
      </c>
      <c r="I2628" t="s">
        <v>1418</v>
      </c>
      <c r="J2628">
        <v>348249</v>
      </c>
      <c r="K2628">
        <v>20220711</v>
      </c>
      <c r="L2628" t="s">
        <v>2905</v>
      </c>
      <c r="M2628">
        <v>0</v>
      </c>
      <c r="N2628">
        <v>5</v>
      </c>
      <c r="O2628" t="s">
        <v>22</v>
      </c>
      <c r="P2628">
        <v>20230218</v>
      </c>
      <c r="Q2628">
        <v>20220711</v>
      </c>
    </row>
    <row r="2629" spans="1:17" x14ac:dyDescent="0.25">
      <c r="A2629" t="s">
        <v>548</v>
      </c>
      <c r="B2629" t="s">
        <v>429</v>
      </c>
      <c r="C2629">
        <v>95</v>
      </c>
      <c r="D2629">
        <v>20220711</v>
      </c>
      <c r="E2629">
        <f t="shared" si="41"/>
        <v>7</v>
      </c>
      <c r="F2629">
        <v>411100</v>
      </c>
      <c r="G2629" t="s">
        <v>18</v>
      </c>
      <c r="H2629" t="s">
        <v>358</v>
      </c>
      <c r="I2629" t="s">
        <v>359</v>
      </c>
      <c r="J2629">
        <v>348250</v>
      </c>
      <c r="K2629">
        <v>20220711</v>
      </c>
      <c r="L2629" t="s">
        <v>2906</v>
      </c>
      <c r="M2629">
        <v>0</v>
      </c>
      <c r="N2629">
        <v>1.5</v>
      </c>
      <c r="O2629" t="s">
        <v>22</v>
      </c>
      <c r="P2629">
        <v>20230218</v>
      </c>
      <c r="Q2629">
        <v>20220711</v>
      </c>
    </row>
    <row r="2630" spans="1:17" x14ac:dyDescent="0.25">
      <c r="A2630" t="s">
        <v>548</v>
      </c>
      <c r="B2630" t="s">
        <v>429</v>
      </c>
      <c r="C2630">
        <v>95</v>
      </c>
      <c r="D2630">
        <v>20220711</v>
      </c>
      <c r="E2630">
        <f t="shared" si="41"/>
        <v>7</v>
      </c>
      <c r="F2630">
        <v>411100</v>
      </c>
      <c r="G2630" t="s">
        <v>18</v>
      </c>
      <c r="H2630" t="s">
        <v>2907</v>
      </c>
      <c r="I2630" t="s">
        <v>2908</v>
      </c>
      <c r="J2630">
        <v>348251</v>
      </c>
      <c r="K2630">
        <v>20220711</v>
      </c>
      <c r="L2630" t="s">
        <v>2909</v>
      </c>
      <c r="M2630">
        <v>0</v>
      </c>
      <c r="N2630">
        <v>9</v>
      </c>
      <c r="O2630" t="s">
        <v>22</v>
      </c>
      <c r="P2630">
        <v>20230218</v>
      </c>
      <c r="Q2630">
        <v>20220711</v>
      </c>
    </row>
    <row r="2631" spans="1:17" x14ac:dyDescent="0.25">
      <c r="A2631" t="s">
        <v>548</v>
      </c>
      <c r="B2631" t="s">
        <v>429</v>
      </c>
      <c r="C2631">
        <v>95</v>
      </c>
      <c r="D2631">
        <v>20220711</v>
      </c>
      <c r="E2631">
        <f t="shared" si="41"/>
        <v>7</v>
      </c>
      <c r="F2631">
        <v>411100</v>
      </c>
      <c r="G2631" t="s">
        <v>18</v>
      </c>
      <c r="H2631" t="s">
        <v>1774</v>
      </c>
      <c r="I2631" t="s">
        <v>1775</v>
      </c>
      <c r="J2631">
        <v>348252</v>
      </c>
      <c r="K2631">
        <v>20220711</v>
      </c>
      <c r="L2631" t="s">
        <v>2910</v>
      </c>
      <c r="M2631">
        <v>0</v>
      </c>
      <c r="N2631">
        <v>5</v>
      </c>
      <c r="O2631" t="s">
        <v>22</v>
      </c>
      <c r="P2631">
        <v>20230218</v>
      </c>
      <c r="Q2631">
        <v>20220711</v>
      </c>
    </row>
    <row r="2632" spans="1:17" x14ac:dyDescent="0.25">
      <c r="A2632" t="s">
        <v>548</v>
      </c>
      <c r="B2632" t="s">
        <v>429</v>
      </c>
      <c r="C2632">
        <v>95</v>
      </c>
      <c r="D2632">
        <v>20220711</v>
      </c>
      <c r="E2632">
        <f t="shared" si="41"/>
        <v>7</v>
      </c>
      <c r="F2632">
        <v>531105</v>
      </c>
      <c r="G2632" t="s">
        <v>429</v>
      </c>
      <c r="H2632" t="s">
        <v>401</v>
      </c>
      <c r="I2632" t="s">
        <v>402</v>
      </c>
      <c r="J2632">
        <v>348253</v>
      </c>
      <c r="K2632">
        <v>20220711</v>
      </c>
      <c r="L2632" t="s">
        <v>565</v>
      </c>
      <c r="M2632">
        <v>92.5</v>
      </c>
      <c r="N2632">
        <v>0</v>
      </c>
      <c r="O2632" t="s">
        <v>19</v>
      </c>
      <c r="P2632" t="s">
        <v>20</v>
      </c>
      <c r="Q2632">
        <v>20220711</v>
      </c>
    </row>
    <row r="2633" spans="1:17" x14ac:dyDescent="0.25">
      <c r="A2633" t="s">
        <v>548</v>
      </c>
      <c r="B2633" t="s">
        <v>429</v>
      </c>
      <c r="C2633">
        <v>95</v>
      </c>
      <c r="D2633">
        <v>20220711</v>
      </c>
      <c r="E2633">
        <f t="shared" si="41"/>
        <v>7</v>
      </c>
      <c r="F2633">
        <v>411100</v>
      </c>
      <c r="G2633" t="s">
        <v>18</v>
      </c>
      <c r="H2633" t="s">
        <v>928</v>
      </c>
      <c r="I2633" t="s">
        <v>929</v>
      </c>
      <c r="J2633">
        <v>349189</v>
      </c>
      <c r="K2633">
        <v>20220711</v>
      </c>
      <c r="L2633" t="s">
        <v>2897</v>
      </c>
      <c r="M2633">
        <v>0</v>
      </c>
      <c r="N2633">
        <v>17.5</v>
      </c>
      <c r="O2633" t="s">
        <v>19</v>
      </c>
      <c r="P2633" t="s">
        <v>20</v>
      </c>
      <c r="Q2633">
        <v>20220711</v>
      </c>
    </row>
    <row r="2634" spans="1:17" x14ac:dyDescent="0.25">
      <c r="A2634" t="s">
        <v>548</v>
      </c>
      <c r="B2634" t="s">
        <v>429</v>
      </c>
      <c r="C2634">
        <v>95</v>
      </c>
      <c r="D2634">
        <v>20220711</v>
      </c>
      <c r="E2634">
        <f t="shared" si="41"/>
        <v>7</v>
      </c>
      <c r="F2634">
        <v>411100</v>
      </c>
      <c r="G2634" t="s">
        <v>18</v>
      </c>
      <c r="H2634" t="s">
        <v>2898</v>
      </c>
      <c r="I2634" t="s">
        <v>2899</v>
      </c>
      <c r="J2634">
        <v>349190</v>
      </c>
      <c r="K2634">
        <v>20220711</v>
      </c>
      <c r="L2634" t="s">
        <v>2900</v>
      </c>
      <c r="M2634">
        <v>0</v>
      </c>
      <c r="N2634">
        <v>28.5</v>
      </c>
      <c r="O2634" t="s">
        <v>23</v>
      </c>
      <c r="P2634">
        <v>20230218</v>
      </c>
      <c r="Q2634">
        <v>20220711</v>
      </c>
    </row>
    <row r="2635" spans="1:17" x14ac:dyDescent="0.25">
      <c r="A2635" t="s">
        <v>548</v>
      </c>
      <c r="B2635" t="s">
        <v>429</v>
      </c>
      <c r="C2635">
        <v>95</v>
      </c>
      <c r="D2635">
        <v>20220711</v>
      </c>
      <c r="E2635">
        <f t="shared" si="41"/>
        <v>7</v>
      </c>
      <c r="F2635">
        <v>411100</v>
      </c>
      <c r="G2635" t="s">
        <v>18</v>
      </c>
      <c r="H2635" t="s">
        <v>2901</v>
      </c>
      <c r="I2635" t="s">
        <v>2902</v>
      </c>
      <c r="J2635">
        <v>349191</v>
      </c>
      <c r="K2635">
        <v>20220711</v>
      </c>
      <c r="L2635" t="s">
        <v>2903</v>
      </c>
      <c r="M2635">
        <v>0</v>
      </c>
      <c r="N2635">
        <v>16</v>
      </c>
      <c r="O2635" t="s">
        <v>23</v>
      </c>
      <c r="P2635">
        <v>20230218</v>
      </c>
      <c r="Q2635">
        <v>20220711</v>
      </c>
    </row>
    <row r="2636" spans="1:17" x14ac:dyDescent="0.25">
      <c r="A2636" t="s">
        <v>548</v>
      </c>
      <c r="B2636" t="s">
        <v>429</v>
      </c>
      <c r="C2636">
        <v>95</v>
      </c>
      <c r="D2636">
        <v>20220711</v>
      </c>
      <c r="E2636">
        <f t="shared" si="41"/>
        <v>7</v>
      </c>
      <c r="F2636">
        <v>411100</v>
      </c>
      <c r="G2636" t="s">
        <v>18</v>
      </c>
      <c r="H2636" t="s">
        <v>2246</v>
      </c>
      <c r="I2636" t="s">
        <v>2247</v>
      </c>
      <c r="J2636">
        <v>349192</v>
      </c>
      <c r="K2636">
        <v>20220711</v>
      </c>
      <c r="L2636" t="s">
        <v>2904</v>
      </c>
      <c r="M2636">
        <v>0</v>
      </c>
      <c r="N2636">
        <v>10</v>
      </c>
      <c r="O2636" t="s">
        <v>22</v>
      </c>
      <c r="P2636">
        <v>20230218</v>
      </c>
      <c r="Q2636">
        <v>20220711</v>
      </c>
    </row>
    <row r="2637" spans="1:17" x14ac:dyDescent="0.25">
      <c r="A2637" t="s">
        <v>548</v>
      </c>
      <c r="B2637" t="s">
        <v>429</v>
      </c>
      <c r="C2637">
        <v>95</v>
      </c>
      <c r="D2637">
        <v>20220711</v>
      </c>
      <c r="E2637">
        <f t="shared" si="41"/>
        <v>7</v>
      </c>
      <c r="F2637">
        <v>411100</v>
      </c>
      <c r="G2637" t="s">
        <v>18</v>
      </c>
      <c r="H2637" t="s">
        <v>1417</v>
      </c>
      <c r="I2637" t="s">
        <v>1418</v>
      </c>
      <c r="J2637">
        <v>349193</v>
      </c>
      <c r="K2637">
        <v>20220711</v>
      </c>
      <c r="L2637" t="s">
        <v>2905</v>
      </c>
      <c r="M2637">
        <v>0</v>
      </c>
      <c r="N2637">
        <v>5</v>
      </c>
      <c r="O2637" t="s">
        <v>23</v>
      </c>
      <c r="P2637">
        <v>20230329</v>
      </c>
      <c r="Q2637">
        <v>20220711</v>
      </c>
    </row>
    <row r="2638" spans="1:17" x14ac:dyDescent="0.25">
      <c r="A2638" t="s">
        <v>548</v>
      </c>
      <c r="B2638" t="s">
        <v>429</v>
      </c>
      <c r="C2638">
        <v>95</v>
      </c>
      <c r="D2638">
        <v>20220711</v>
      </c>
      <c r="E2638">
        <f t="shared" si="41"/>
        <v>7</v>
      </c>
      <c r="F2638">
        <v>411100</v>
      </c>
      <c r="G2638" t="s">
        <v>18</v>
      </c>
      <c r="H2638" t="s">
        <v>358</v>
      </c>
      <c r="I2638" t="s">
        <v>359</v>
      </c>
      <c r="J2638">
        <v>349194</v>
      </c>
      <c r="K2638">
        <v>20220711</v>
      </c>
      <c r="L2638" t="s">
        <v>2906</v>
      </c>
      <c r="M2638">
        <v>0</v>
      </c>
      <c r="N2638">
        <v>1.5</v>
      </c>
      <c r="O2638" t="s">
        <v>22</v>
      </c>
      <c r="P2638">
        <v>20230218</v>
      </c>
      <c r="Q2638">
        <v>20220711</v>
      </c>
    </row>
    <row r="2639" spans="1:17" x14ac:dyDescent="0.25">
      <c r="A2639" t="s">
        <v>548</v>
      </c>
      <c r="B2639" t="s">
        <v>429</v>
      </c>
      <c r="C2639">
        <v>95</v>
      </c>
      <c r="D2639">
        <v>20220711</v>
      </c>
      <c r="E2639">
        <f t="shared" si="41"/>
        <v>7</v>
      </c>
      <c r="F2639">
        <v>411100</v>
      </c>
      <c r="G2639" t="s">
        <v>18</v>
      </c>
      <c r="H2639" t="s">
        <v>2907</v>
      </c>
      <c r="I2639" t="s">
        <v>2908</v>
      </c>
      <c r="J2639">
        <v>349195</v>
      </c>
      <c r="K2639">
        <v>20220711</v>
      </c>
      <c r="L2639" t="s">
        <v>2909</v>
      </c>
      <c r="M2639">
        <v>0</v>
      </c>
      <c r="N2639">
        <v>9</v>
      </c>
      <c r="O2639" t="s">
        <v>23</v>
      </c>
      <c r="P2639">
        <v>20230218</v>
      </c>
      <c r="Q2639">
        <v>20220711</v>
      </c>
    </row>
    <row r="2640" spans="1:17" x14ac:dyDescent="0.25">
      <c r="A2640" t="s">
        <v>548</v>
      </c>
      <c r="B2640" t="s">
        <v>429</v>
      </c>
      <c r="C2640">
        <v>95</v>
      </c>
      <c r="D2640">
        <v>20220711</v>
      </c>
      <c r="E2640">
        <f t="shared" si="41"/>
        <v>7</v>
      </c>
      <c r="F2640">
        <v>411100</v>
      </c>
      <c r="G2640" t="s">
        <v>18</v>
      </c>
      <c r="H2640" t="s">
        <v>1774</v>
      </c>
      <c r="I2640" t="s">
        <v>1775</v>
      </c>
      <c r="J2640">
        <v>349196</v>
      </c>
      <c r="K2640">
        <v>20220711</v>
      </c>
      <c r="L2640" t="s">
        <v>2910</v>
      </c>
      <c r="M2640">
        <v>0</v>
      </c>
      <c r="N2640">
        <v>5</v>
      </c>
      <c r="O2640" t="s">
        <v>23</v>
      </c>
      <c r="P2640">
        <v>20230329</v>
      </c>
      <c r="Q2640">
        <v>20220711</v>
      </c>
    </row>
    <row r="2641" spans="1:17" x14ac:dyDescent="0.25">
      <c r="A2641" t="s">
        <v>548</v>
      </c>
      <c r="B2641" t="s">
        <v>429</v>
      </c>
      <c r="C2641">
        <v>95</v>
      </c>
      <c r="D2641">
        <v>20220711</v>
      </c>
      <c r="E2641">
        <f t="shared" si="41"/>
        <v>7</v>
      </c>
      <c r="F2641">
        <v>531105</v>
      </c>
      <c r="G2641" t="s">
        <v>429</v>
      </c>
      <c r="H2641" t="s">
        <v>401</v>
      </c>
      <c r="I2641" t="s">
        <v>402</v>
      </c>
      <c r="J2641">
        <v>349197</v>
      </c>
      <c r="K2641">
        <v>20220711</v>
      </c>
      <c r="L2641" t="s">
        <v>565</v>
      </c>
      <c r="M2641">
        <v>92.5</v>
      </c>
      <c r="N2641">
        <v>0</v>
      </c>
      <c r="O2641" t="s">
        <v>19</v>
      </c>
      <c r="P2641" t="s">
        <v>20</v>
      </c>
      <c r="Q2641">
        <v>20220711</v>
      </c>
    </row>
    <row r="2642" spans="1:17" x14ac:dyDescent="0.25">
      <c r="A2642" t="s">
        <v>548</v>
      </c>
      <c r="B2642" t="s">
        <v>429</v>
      </c>
      <c r="C2642">
        <v>95</v>
      </c>
      <c r="D2642">
        <v>20220711</v>
      </c>
      <c r="E2642">
        <f t="shared" si="41"/>
        <v>7</v>
      </c>
      <c r="F2642">
        <v>411100</v>
      </c>
      <c r="G2642" t="s">
        <v>18</v>
      </c>
      <c r="H2642" t="s">
        <v>928</v>
      </c>
      <c r="I2642" t="s">
        <v>929</v>
      </c>
      <c r="J2642">
        <v>350133</v>
      </c>
      <c r="K2642">
        <v>20220711</v>
      </c>
      <c r="L2642" t="s">
        <v>2897</v>
      </c>
      <c r="M2642">
        <v>17.5</v>
      </c>
      <c r="N2642">
        <v>0</v>
      </c>
      <c r="O2642" t="s">
        <v>22</v>
      </c>
      <c r="P2642">
        <v>20230218</v>
      </c>
      <c r="Q2642">
        <v>20220711</v>
      </c>
    </row>
    <row r="2643" spans="1:17" x14ac:dyDescent="0.25">
      <c r="A2643" t="s">
        <v>548</v>
      </c>
      <c r="B2643" t="s">
        <v>429</v>
      </c>
      <c r="C2643">
        <v>95</v>
      </c>
      <c r="D2643">
        <v>20220711</v>
      </c>
      <c r="E2643">
        <f t="shared" si="41"/>
        <v>7</v>
      </c>
      <c r="F2643">
        <v>411100</v>
      </c>
      <c r="G2643" t="s">
        <v>18</v>
      </c>
      <c r="H2643" t="s">
        <v>2898</v>
      </c>
      <c r="I2643" t="s">
        <v>2899</v>
      </c>
      <c r="J2643">
        <v>350134</v>
      </c>
      <c r="K2643">
        <v>20220711</v>
      </c>
      <c r="L2643" t="s">
        <v>2900</v>
      </c>
      <c r="M2643">
        <v>28.5</v>
      </c>
      <c r="N2643">
        <v>0</v>
      </c>
      <c r="O2643" t="s">
        <v>22</v>
      </c>
      <c r="P2643">
        <v>20230218</v>
      </c>
      <c r="Q2643">
        <v>20220711</v>
      </c>
    </row>
    <row r="2644" spans="1:17" x14ac:dyDescent="0.25">
      <c r="A2644" t="s">
        <v>548</v>
      </c>
      <c r="B2644" t="s">
        <v>429</v>
      </c>
      <c r="C2644">
        <v>95</v>
      </c>
      <c r="D2644">
        <v>20220711</v>
      </c>
      <c r="E2644">
        <f t="shared" si="41"/>
        <v>7</v>
      </c>
      <c r="F2644">
        <v>411100</v>
      </c>
      <c r="G2644" t="s">
        <v>18</v>
      </c>
      <c r="H2644" t="s">
        <v>2901</v>
      </c>
      <c r="I2644" t="s">
        <v>2902</v>
      </c>
      <c r="J2644">
        <v>350135</v>
      </c>
      <c r="K2644">
        <v>20220711</v>
      </c>
      <c r="L2644" t="s">
        <v>2903</v>
      </c>
      <c r="M2644">
        <v>16</v>
      </c>
      <c r="N2644">
        <v>0</v>
      </c>
      <c r="O2644" t="s">
        <v>22</v>
      </c>
      <c r="P2644">
        <v>20230218</v>
      </c>
      <c r="Q2644">
        <v>20220711</v>
      </c>
    </row>
    <row r="2645" spans="1:17" x14ac:dyDescent="0.25">
      <c r="A2645" t="s">
        <v>548</v>
      </c>
      <c r="B2645" t="s">
        <v>429</v>
      </c>
      <c r="C2645">
        <v>95</v>
      </c>
      <c r="D2645">
        <v>20220711</v>
      </c>
      <c r="E2645">
        <f t="shared" si="41"/>
        <v>7</v>
      </c>
      <c r="F2645">
        <v>411100</v>
      </c>
      <c r="G2645" t="s">
        <v>18</v>
      </c>
      <c r="H2645" t="s">
        <v>2246</v>
      </c>
      <c r="I2645" t="s">
        <v>2247</v>
      </c>
      <c r="J2645">
        <v>350136</v>
      </c>
      <c r="K2645">
        <v>20220711</v>
      </c>
      <c r="L2645" t="s">
        <v>2904</v>
      </c>
      <c r="M2645">
        <v>10</v>
      </c>
      <c r="N2645">
        <v>0</v>
      </c>
      <c r="O2645" t="s">
        <v>22</v>
      </c>
      <c r="P2645">
        <v>20230218</v>
      </c>
      <c r="Q2645">
        <v>20220711</v>
      </c>
    </row>
    <row r="2646" spans="1:17" x14ac:dyDescent="0.25">
      <c r="A2646" t="s">
        <v>548</v>
      </c>
      <c r="B2646" t="s">
        <v>429</v>
      </c>
      <c r="C2646">
        <v>95</v>
      </c>
      <c r="D2646">
        <v>20220711</v>
      </c>
      <c r="E2646">
        <f t="shared" si="41"/>
        <v>7</v>
      </c>
      <c r="F2646">
        <v>411100</v>
      </c>
      <c r="G2646" t="s">
        <v>18</v>
      </c>
      <c r="H2646" t="s">
        <v>1417</v>
      </c>
      <c r="I2646" t="s">
        <v>1418</v>
      </c>
      <c r="J2646">
        <v>350137</v>
      </c>
      <c r="K2646">
        <v>20220711</v>
      </c>
      <c r="L2646" t="s">
        <v>2905</v>
      </c>
      <c r="M2646">
        <v>5</v>
      </c>
      <c r="N2646">
        <v>0</v>
      </c>
      <c r="O2646" t="s">
        <v>22</v>
      </c>
      <c r="P2646">
        <v>20230218</v>
      </c>
      <c r="Q2646">
        <v>20220711</v>
      </c>
    </row>
    <row r="2647" spans="1:17" x14ac:dyDescent="0.25">
      <c r="A2647" t="s">
        <v>548</v>
      </c>
      <c r="B2647" t="s">
        <v>429</v>
      </c>
      <c r="C2647">
        <v>95</v>
      </c>
      <c r="D2647">
        <v>20220711</v>
      </c>
      <c r="E2647">
        <f t="shared" si="41"/>
        <v>7</v>
      </c>
      <c r="F2647">
        <v>411100</v>
      </c>
      <c r="G2647" t="s">
        <v>18</v>
      </c>
      <c r="H2647" t="s">
        <v>358</v>
      </c>
      <c r="I2647" t="s">
        <v>359</v>
      </c>
      <c r="J2647">
        <v>350138</v>
      </c>
      <c r="K2647">
        <v>20220711</v>
      </c>
      <c r="L2647" t="s">
        <v>2906</v>
      </c>
      <c r="M2647">
        <v>1.5</v>
      </c>
      <c r="N2647">
        <v>0</v>
      </c>
      <c r="O2647" t="s">
        <v>22</v>
      </c>
      <c r="P2647">
        <v>20230218</v>
      </c>
      <c r="Q2647">
        <v>20220711</v>
      </c>
    </row>
    <row r="2648" spans="1:17" x14ac:dyDescent="0.25">
      <c r="A2648" t="s">
        <v>548</v>
      </c>
      <c r="B2648" t="s">
        <v>429</v>
      </c>
      <c r="C2648">
        <v>95</v>
      </c>
      <c r="D2648">
        <v>20220711</v>
      </c>
      <c r="E2648">
        <f t="shared" si="41"/>
        <v>7</v>
      </c>
      <c r="F2648">
        <v>411100</v>
      </c>
      <c r="G2648" t="s">
        <v>18</v>
      </c>
      <c r="H2648" t="s">
        <v>2907</v>
      </c>
      <c r="I2648" t="s">
        <v>2908</v>
      </c>
      <c r="J2648">
        <v>350139</v>
      </c>
      <c r="K2648">
        <v>20220711</v>
      </c>
      <c r="L2648" t="s">
        <v>2909</v>
      </c>
      <c r="M2648">
        <v>9</v>
      </c>
      <c r="N2648">
        <v>0</v>
      </c>
      <c r="O2648" t="s">
        <v>22</v>
      </c>
      <c r="P2648">
        <v>20230218</v>
      </c>
      <c r="Q2648">
        <v>20220711</v>
      </c>
    </row>
    <row r="2649" spans="1:17" x14ac:dyDescent="0.25">
      <c r="A2649" t="s">
        <v>548</v>
      </c>
      <c r="B2649" t="s">
        <v>429</v>
      </c>
      <c r="C2649">
        <v>95</v>
      </c>
      <c r="D2649">
        <v>20220711</v>
      </c>
      <c r="E2649">
        <f t="shared" si="41"/>
        <v>7</v>
      </c>
      <c r="F2649">
        <v>411100</v>
      </c>
      <c r="G2649" t="s">
        <v>18</v>
      </c>
      <c r="H2649" t="s">
        <v>1774</v>
      </c>
      <c r="I2649" t="s">
        <v>1775</v>
      </c>
      <c r="J2649">
        <v>350140</v>
      </c>
      <c r="K2649">
        <v>20220711</v>
      </c>
      <c r="L2649" t="s">
        <v>2910</v>
      </c>
      <c r="M2649">
        <v>5</v>
      </c>
      <c r="N2649">
        <v>0</v>
      </c>
      <c r="O2649" t="s">
        <v>22</v>
      </c>
      <c r="P2649">
        <v>20230218</v>
      </c>
      <c r="Q2649">
        <v>20220711</v>
      </c>
    </row>
    <row r="2650" spans="1:17" x14ac:dyDescent="0.25">
      <c r="A2650" t="s">
        <v>548</v>
      </c>
      <c r="B2650" t="s">
        <v>429</v>
      </c>
      <c r="C2650">
        <v>95</v>
      </c>
      <c r="D2650">
        <v>20220711</v>
      </c>
      <c r="E2650">
        <f t="shared" si="41"/>
        <v>7</v>
      </c>
      <c r="F2650">
        <v>531105</v>
      </c>
      <c r="G2650" t="s">
        <v>429</v>
      </c>
      <c r="H2650" t="s">
        <v>401</v>
      </c>
      <c r="I2650" t="s">
        <v>402</v>
      </c>
      <c r="J2650">
        <v>350141</v>
      </c>
      <c r="K2650">
        <v>20220711</v>
      </c>
      <c r="L2650" t="s">
        <v>565</v>
      </c>
      <c r="M2650">
        <v>0</v>
      </c>
      <c r="N2650">
        <v>92.5</v>
      </c>
      <c r="O2650" t="s">
        <v>19</v>
      </c>
      <c r="P2650" t="s">
        <v>20</v>
      </c>
      <c r="Q2650">
        <v>20220711</v>
      </c>
    </row>
    <row r="2651" spans="1:17" x14ac:dyDescent="0.25">
      <c r="A2651" t="s">
        <v>548</v>
      </c>
      <c r="B2651" t="s">
        <v>429</v>
      </c>
      <c r="C2651">
        <v>95</v>
      </c>
      <c r="D2651">
        <v>20220712</v>
      </c>
      <c r="E2651">
        <f t="shared" si="41"/>
        <v>7</v>
      </c>
      <c r="F2651">
        <v>467100</v>
      </c>
      <c r="G2651" t="s">
        <v>160</v>
      </c>
      <c r="H2651" t="s">
        <v>1307</v>
      </c>
      <c r="I2651" t="s">
        <v>1308</v>
      </c>
      <c r="J2651" t="s">
        <v>2911</v>
      </c>
      <c r="K2651">
        <v>20220712</v>
      </c>
      <c r="L2651" t="s">
        <v>2912</v>
      </c>
      <c r="M2651">
        <v>0</v>
      </c>
      <c r="N2651">
        <v>30</v>
      </c>
      <c r="O2651" t="s">
        <v>23</v>
      </c>
      <c r="P2651">
        <v>20220830</v>
      </c>
      <c r="Q2651">
        <v>20220712</v>
      </c>
    </row>
    <row r="2652" spans="1:17" x14ac:dyDescent="0.25">
      <c r="A2652" t="s">
        <v>548</v>
      </c>
      <c r="B2652" t="s">
        <v>429</v>
      </c>
      <c r="C2652">
        <v>95</v>
      </c>
      <c r="D2652">
        <v>20220712</v>
      </c>
      <c r="E2652">
        <f t="shared" si="41"/>
        <v>7</v>
      </c>
      <c r="F2652">
        <v>531105</v>
      </c>
      <c r="G2652" t="s">
        <v>429</v>
      </c>
      <c r="H2652" t="s">
        <v>401</v>
      </c>
      <c r="I2652" t="s">
        <v>402</v>
      </c>
      <c r="J2652" t="s">
        <v>2911</v>
      </c>
      <c r="K2652">
        <v>20220712</v>
      </c>
      <c r="L2652" t="s">
        <v>2912</v>
      </c>
      <c r="M2652">
        <v>30</v>
      </c>
      <c r="N2652">
        <v>0</v>
      </c>
      <c r="O2652" t="s">
        <v>19</v>
      </c>
      <c r="P2652" t="s">
        <v>20</v>
      </c>
      <c r="Q2652">
        <v>20220712</v>
      </c>
    </row>
    <row r="2653" spans="1:17" x14ac:dyDescent="0.25">
      <c r="A2653" t="s">
        <v>548</v>
      </c>
      <c r="B2653" t="s">
        <v>429</v>
      </c>
      <c r="C2653">
        <v>95</v>
      </c>
      <c r="D2653">
        <v>20220712</v>
      </c>
      <c r="E2653">
        <f t="shared" si="41"/>
        <v>7</v>
      </c>
      <c r="F2653">
        <v>411100</v>
      </c>
      <c r="G2653" t="s">
        <v>18</v>
      </c>
      <c r="H2653" t="s">
        <v>2734</v>
      </c>
      <c r="I2653" t="s">
        <v>2735</v>
      </c>
      <c r="J2653">
        <v>348254</v>
      </c>
      <c r="K2653">
        <v>20220712</v>
      </c>
      <c r="L2653" t="s">
        <v>2913</v>
      </c>
      <c r="M2653">
        <v>0</v>
      </c>
      <c r="N2653">
        <v>6</v>
      </c>
      <c r="O2653" t="s">
        <v>22</v>
      </c>
      <c r="P2653">
        <v>20230218</v>
      </c>
      <c r="Q2653">
        <v>20220712</v>
      </c>
    </row>
    <row r="2654" spans="1:17" x14ac:dyDescent="0.25">
      <c r="A2654" t="s">
        <v>548</v>
      </c>
      <c r="B2654" t="s">
        <v>429</v>
      </c>
      <c r="C2654">
        <v>95</v>
      </c>
      <c r="D2654">
        <v>20220712</v>
      </c>
      <c r="E2654">
        <f t="shared" si="41"/>
        <v>7</v>
      </c>
      <c r="F2654">
        <v>411100</v>
      </c>
      <c r="G2654" t="s">
        <v>18</v>
      </c>
      <c r="H2654" t="s">
        <v>2914</v>
      </c>
      <c r="I2654" t="s">
        <v>2915</v>
      </c>
      <c r="J2654">
        <v>348255</v>
      </c>
      <c r="K2654">
        <v>20220712</v>
      </c>
      <c r="L2654" t="s">
        <v>2916</v>
      </c>
      <c r="M2654">
        <v>0</v>
      </c>
      <c r="N2654">
        <v>9</v>
      </c>
      <c r="O2654" t="s">
        <v>22</v>
      </c>
      <c r="P2654">
        <v>20230218</v>
      </c>
      <c r="Q2654">
        <v>20220712</v>
      </c>
    </row>
    <row r="2655" spans="1:17" x14ac:dyDescent="0.25">
      <c r="A2655" t="s">
        <v>548</v>
      </c>
      <c r="B2655" t="s">
        <v>429</v>
      </c>
      <c r="C2655">
        <v>95</v>
      </c>
      <c r="D2655">
        <v>20220712</v>
      </c>
      <c r="E2655">
        <f t="shared" si="41"/>
        <v>7</v>
      </c>
      <c r="F2655">
        <v>531105</v>
      </c>
      <c r="G2655" t="s">
        <v>429</v>
      </c>
      <c r="H2655" t="s">
        <v>401</v>
      </c>
      <c r="I2655" t="s">
        <v>402</v>
      </c>
      <c r="J2655">
        <v>348256</v>
      </c>
      <c r="K2655">
        <v>20220712</v>
      </c>
      <c r="L2655" t="s">
        <v>565</v>
      </c>
      <c r="M2655">
        <v>15</v>
      </c>
      <c r="N2655">
        <v>0</v>
      </c>
      <c r="O2655" t="s">
        <v>19</v>
      </c>
      <c r="P2655" t="s">
        <v>20</v>
      </c>
      <c r="Q2655">
        <v>20220712</v>
      </c>
    </row>
    <row r="2656" spans="1:17" x14ac:dyDescent="0.25">
      <c r="A2656" t="s">
        <v>548</v>
      </c>
      <c r="B2656" t="s">
        <v>429</v>
      </c>
      <c r="C2656">
        <v>95</v>
      </c>
      <c r="D2656">
        <v>20220712</v>
      </c>
      <c r="E2656">
        <f t="shared" si="41"/>
        <v>7</v>
      </c>
      <c r="F2656">
        <v>411100</v>
      </c>
      <c r="G2656" t="s">
        <v>18</v>
      </c>
      <c r="H2656" t="s">
        <v>2734</v>
      </c>
      <c r="I2656" t="s">
        <v>2735</v>
      </c>
      <c r="J2656">
        <v>349198</v>
      </c>
      <c r="K2656">
        <v>20220712</v>
      </c>
      <c r="L2656" t="s">
        <v>2913</v>
      </c>
      <c r="M2656">
        <v>0</v>
      </c>
      <c r="N2656">
        <v>6</v>
      </c>
      <c r="O2656" t="s">
        <v>23</v>
      </c>
      <c r="P2656">
        <v>20230329</v>
      </c>
      <c r="Q2656">
        <v>20220712</v>
      </c>
    </row>
    <row r="2657" spans="1:17" x14ac:dyDescent="0.25">
      <c r="A2657" t="s">
        <v>548</v>
      </c>
      <c r="B2657" t="s">
        <v>429</v>
      </c>
      <c r="C2657">
        <v>95</v>
      </c>
      <c r="D2657">
        <v>20220712</v>
      </c>
      <c r="E2657">
        <f t="shared" si="41"/>
        <v>7</v>
      </c>
      <c r="F2657">
        <v>411100</v>
      </c>
      <c r="G2657" t="s">
        <v>18</v>
      </c>
      <c r="H2657" t="s">
        <v>2914</v>
      </c>
      <c r="I2657" t="s">
        <v>2915</v>
      </c>
      <c r="J2657">
        <v>349199</v>
      </c>
      <c r="K2657">
        <v>20220712</v>
      </c>
      <c r="L2657" t="s">
        <v>2916</v>
      </c>
      <c r="M2657">
        <v>0</v>
      </c>
      <c r="N2657">
        <v>9</v>
      </c>
      <c r="O2657" t="s">
        <v>22</v>
      </c>
      <c r="P2657">
        <v>20230218</v>
      </c>
      <c r="Q2657">
        <v>20220712</v>
      </c>
    </row>
    <row r="2658" spans="1:17" x14ac:dyDescent="0.25">
      <c r="A2658" t="s">
        <v>548</v>
      </c>
      <c r="B2658" t="s">
        <v>429</v>
      </c>
      <c r="C2658">
        <v>95</v>
      </c>
      <c r="D2658">
        <v>20220712</v>
      </c>
      <c r="E2658">
        <f t="shared" si="41"/>
        <v>7</v>
      </c>
      <c r="F2658">
        <v>531105</v>
      </c>
      <c r="G2658" t="s">
        <v>429</v>
      </c>
      <c r="H2658" t="s">
        <v>401</v>
      </c>
      <c r="I2658" t="s">
        <v>402</v>
      </c>
      <c r="J2658">
        <v>349200</v>
      </c>
      <c r="K2658">
        <v>20220712</v>
      </c>
      <c r="L2658" t="s">
        <v>565</v>
      </c>
      <c r="M2658">
        <v>15</v>
      </c>
      <c r="N2658">
        <v>0</v>
      </c>
      <c r="O2658" t="s">
        <v>19</v>
      </c>
      <c r="P2658" t="s">
        <v>20</v>
      </c>
      <c r="Q2658">
        <v>20220712</v>
      </c>
    </row>
    <row r="2659" spans="1:17" x14ac:dyDescent="0.25">
      <c r="A2659" t="s">
        <v>548</v>
      </c>
      <c r="B2659" t="s">
        <v>429</v>
      </c>
      <c r="C2659">
        <v>95</v>
      </c>
      <c r="D2659">
        <v>20220712</v>
      </c>
      <c r="E2659">
        <f t="shared" si="41"/>
        <v>7</v>
      </c>
      <c r="F2659">
        <v>411100</v>
      </c>
      <c r="G2659" t="s">
        <v>18</v>
      </c>
      <c r="H2659" t="s">
        <v>2734</v>
      </c>
      <c r="I2659" t="s">
        <v>2735</v>
      </c>
      <c r="J2659">
        <v>350142</v>
      </c>
      <c r="K2659">
        <v>20220712</v>
      </c>
      <c r="L2659" t="s">
        <v>2913</v>
      </c>
      <c r="M2659">
        <v>6</v>
      </c>
      <c r="N2659">
        <v>0</v>
      </c>
      <c r="O2659" t="s">
        <v>22</v>
      </c>
      <c r="P2659">
        <v>20230218</v>
      </c>
      <c r="Q2659">
        <v>20220712</v>
      </c>
    </row>
    <row r="2660" spans="1:17" x14ac:dyDescent="0.25">
      <c r="A2660" t="s">
        <v>548</v>
      </c>
      <c r="B2660" t="s">
        <v>429</v>
      </c>
      <c r="C2660">
        <v>95</v>
      </c>
      <c r="D2660">
        <v>20220712</v>
      </c>
      <c r="E2660">
        <f t="shared" si="41"/>
        <v>7</v>
      </c>
      <c r="F2660">
        <v>411100</v>
      </c>
      <c r="G2660" t="s">
        <v>18</v>
      </c>
      <c r="H2660" t="s">
        <v>2914</v>
      </c>
      <c r="I2660" t="s">
        <v>2915</v>
      </c>
      <c r="J2660">
        <v>350143</v>
      </c>
      <c r="K2660">
        <v>20220712</v>
      </c>
      <c r="L2660" t="s">
        <v>2916</v>
      </c>
      <c r="M2660">
        <v>9</v>
      </c>
      <c r="N2660">
        <v>0</v>
      </c>
      <c r="O2660" t="s">
        <v>22</v>
      </c>
      <c r="P2660">
        <v>20230218</v>
      </c>
      <c r="Q2660">
        <v>20220712</v>
      </c>
    </row>
    <row r="2661" spans="1:17" x14ac:dyDescent="0.25">
      <c r="A2661" t="s">
        <v>548</v>
      </c>
      <c r="B2661" t="s">
        <v>429</v>
      </c>
      <c r="C2661">
        <v>95</v>
      </c>
      <c r="D2661">
        <v>20220712</v>
      </c>
      <c r="E2661">
        <f t="shared" si="41"/>
        <v>7</v>
      </c>
      <c r="F2661">
        <v>531105</v>
      </c>
      <c r="G2661" t="s">
        <v>429</v>
      </c>
      <c r="H2661" t="s">
        <v>401</v>
      </c>
      <c r="I2661" t="s">
        <v>402</v>
      </c>
      <c r="J2661">
        <v>350144</v>
      </c>
      <c r="K2661">
        <v>20220712</v>
      </c>
      <c r="L2661" t="s">
        <v>565</v>
      </c>
      <c r="M2661">
        <v>0</v>
      </c>
      <c r="N2661">
        <v>15</v>
      </c>
      <c r="O2661" t="s">
        <v>19</v>
      </c>
      <c r="P2661" t="s">
        <v>20</v>
      </c>
      <c r="Q2661">
        <v>20220712</v>
      </c>
    </row>
    <row r="2662" spans="1:17" x14ac:dyDescent="0.25">
      <c r="A2662" t="s">
        <v>548</v>
      </c>
      <c r="B2662" t="s">
        <v>429</v>
      </c>
      <c r="C2662">
        <v>95</v>
      </c>
      <c r="D2662">
        <v>20220713</v>
      </c>
      <c r="E2662">
        <f t="shared" si="41"/>
        <v>7</v>
      </c>
      <c r="F2662">
        <v>467100</v>
      </c>
      <c r="G2662" t="s">
        <v>160</v>
      </c>
      <c r="H2662" t="s">
        <v>2749</v>
      </c>
      <c r="I2662" t="s">
        <v>2750</v>
      </c>
      <c r="J2662" t="s">
        <v>2917</v>
      </c>
      <c r="K2662">
        <v>20220713</v>
      </c>
      <c r="L2662" t="s">
        <v>2918</v>
      </c>
      <c r="M2662">
        <v>22.1</v>
      </c>
      <c r="N2662">
        <v>0</v>
      </c>
      <c r="O2662" t="s">
        <v>23</v>
      </c>
      <c r="P2662">
        <v>20220830</v>
      </c>
      <c r="Q2662">
        <v>20220713</v>
      </c>
    </row>
    <row r="2663" spans="1:17" x14ac:dyDescent="0.25">
      <c r="A2663" t="s">
        <v>548</v>
      </c>
      <c r="B2663" t="s">
        <v>429</v>
      </c>
      <c r="C2663">
        <v>95</v>
      </c>
      <c r="D2663">
        <v>20220713</v>
      </c>
      <c r="E2663">
        <f t="shared" si="41"/>
        <v>7</v>
      </c>
      <c r="F2663">
        <v>531105</v>
      </c>
      <c r="G2663" t="s">
        <v>429</v>
      </c>
      <c r="H2663" t="s">
        <v>401</v>
      </c>
      <c r="I2663" t="s">
        <v>402</v>
      </c>
      <c r="J2663" t="s">
        <v>2917</v>
      </c>
      <c r="K2663">
        <v>20220713</v>
      </c>
      <c r="L2663" t="s">
        <v>2918</v>
      </c>
      <c r="M2663">
        <v>0</v>
      </c>
      <c r="N2663">
        <v>22.1</v>
      </c>
      <c r="O2663" t="s">
        <v>19</v>
      </c>
      <c r="P2663" t="s">
        <v>20</v>
      </c>
      <c r="Q2663">
        <v>20220713</v>
      </c>
    </row>
    <row r="2664" spans="1:17" x14ac:dyDescent="0.25">
      <c r="A2664" t="s">
        <v>548</v>
      </c>
      <c r="B2664" t="s">
        <v>429</v>
      </c>
      <c r="C2664">
        <v>95</v>
      </c>
      <c r="D2664">
        <v>20220713</v>
      </c>
      <c r="E2664">
        <f t="shared" si="41"/>
        <v>7</v>
      </c>
      <c r="F2664">
        <v>467100</v>
      </c>
      <c r="G2664" t="s">
        <v>160</v>
      </c>
      <c r="H2664" t="s">
        <v>2369</v>
      </c>
      <c r="I2664" t="s">
        <v>2370</v>
      </c>
      <c r="J2664" t="s">
        <v>2919</v>
      </c>
      <c r="K2664">
        <v>20220713</v>
      </c>
      <c r="L2664" t="s">
        <v>2920</v>
      </c>
      <c r="M2664">
        <v>21.73</v>
      </c>
      <c r="N2664">
        <v>0</v>
      </c>
      <c r="O2664" t="s">
        <v>23</v>
      </c>
      <c r="P2664">
        <v>20220831</v>
      </c>
      <c r="Q2664">
        <v>20220713</v>
      </c>
    </row>
    <row r="2665" spans="1:17" x14ac:dyDescent="0.25">
      <c r="A2665" t="s">
        <v>548</v>
      </c>
      <c r="B2665" t="s">
        <v>429</v>
      </c>
      <c r="C2665">
        <v>95</v>
      </c>
      <c r="D2665">
        <v>20220713</v>
      </c>
      <c r="E2665">
        <f t="shared" si="41"/>
        <v>7</v>
      </c>
      <c r="F2665">
        <v>467100</v>
      </c>
      <c r="G2665" t="s">
        <v>160</v>
      </c>
      <c r="H2665" t="s">
        <v>1522</v>
      </c>
      <c r="I2665" t="s">
        <v>1523</v>
      </c>
      <c r="J2665" t="s">
        <v>2921</v>
      </c>
      <c r="K2665">
        <v>20220713</v>
      </c>
      <c r="L2665" t="s">
        <v>2922</v>
      </c>
      <c r="M2665">
        <v>22.32</v>
      </c>
      <c r="N2665">
        <v>0</v>
      </c>
      <c r="O2665" t="s">
        <v>23</v>
      </c>
      <c r="P2665">
        <v>20220801</v>
      </c>
      <c r="Q2665">
        <v>20220713</v>
      </c>
    </row>
    <row r="2666" spans="1:17" x14ac:dyDescent="0.25">
      <c r="A2666" t="s">
        <v>548</v>
      </c>
      <c r="B2666" t="s">
        <v>429</v>
      </c>
      <c r="C2666">
        <v>95</v>
      </c>
      <c r="D2666">
        <v>20220713</v>
      </c>
      <c r="E2666">
        <f t="shared" si="41"/>
        <v>7</v>
      </c>
      <c r="F2666">
        <v>531105</v>
      </c>
      <c r="G2666" t="s">
        <v>429</v>
      </c>
      <c r="H2666" t="s">
        <v>401</v>
      </c>
      <c r="I2666" t="s">
        <v>402</v>
      </c>
      <c r="J2666" t="s">
        <v>2921</v>
      </c>
      <c r="K2666">
        <v>20220713</v>
      </c>
      <c r="L2666" t="s">
        <v>2922</v>
      </c>
      <c r="M2666">
        <v>0</v>
      </c>
      <c r="N2666">
        <v>22.32</v>
      </c>
      <c r="O2666" t="s">
        <v>19</v>
      </c>
      <c r="P2666" t="s">
        <v>20</v>
      </c>
      <c r="Q2666">
        <v>20220713</v>
      </c>
    </row>
    <row r="2667" spans="1:17" x14ac:dyDescent="0.25">
      <c r="A2667" t="s">
        <v>548</v>
      </c>
      <c r="B2667" t="s">
        <v>429</v>
      </c>
      <c r="C2667">
        <v>95</v>
      </c>
      <c r="D2667">
        <v>20220713</v>
      </c>
      <c r="E2667">
        <f t="shared" si="41"/>
        <v>7</v>
      </c>
      <c r="F2667">
        <v>531105</v>
      </c>
      <c r="G2667" t="s">
        <v>429</v>
      </c>
      <c r="H2667" t="s">
        <v>401</v>
      </c>
      <c r="I2667" t="s">
        <v>402</v>
      </c>
      <c r="J2667" t="s">
        <v>2919</v>
      </c>
      <c r="K2667">
        <v>20220713</v>
      </c>
      <c r="L2667" t="s">
        <v>2920</v>
      </c>
      <c r="M2667">
        <v>0</v>
      </c>
      <c r="N2667">
        <v>21.73</v>
      </c>
      <c r="O2667" t="s">
        <v>19</v>
      </c>
      <c r="P2667" t="s">
        <v>20</v>
      </c>
      <c r="Q2667">
        <v>20220713</v>
      </c>
    </row>
    <row r="2668" spans="1:17" x14ac:dyDescent="0.25">
      <c r="A2668" t="s">
        <v>548</v>
      </c>
      <c r="B2668" t="s">
        <v>429</v>
      </c>
      <c r="C2668">
        <v>95</v>
      </c>
      <c r="D2668">
        <v>20220713</v>
      </c>
      <c r="E2668">
        <f t="shared" si="41"/>
        <v>7</v>
      </c>
      <c r="F2668">
        <v>467100</v>
      </c>
      <c r="G2668" t="s">
        <v>160</v>
      </c>
      <c r="H2668" t="s">
        <v>183</v>
      </c>
      <c r="I2668" t="s">
        <v>184</v>
      </c>
      <c r="J2668" t="s">
        <v>2923</v>
      </c>
      <c r="K2668">
        <v>20220713</v>
      </c>
      <c r="L2668" t="s">
        <v>2924</v>
      </c>
      <c r="M2668">
        <v>0</v>
      </c>
      <c r="N2668">
        <v>27</v>
      </c>
      <c r="O2668" t="s">
        <v>23</v>
      </c>
      <c r="P2668">
        <v>20230218</v>
      </c>
      <c r="Q2668">
        <v>20220713</v>
      </c>
    </row>
    <row r="2669" spans="1:17" x14ac:dyDescent="0.25">
      <c r="A2669" t="s">
        <v>548</v>
      </c>
      <c r="B2669" t="s">
        <v>429</v>
      </c>
      <c r="C2669">
        <v>95</v>
      </c>
      <c r="D2669">
        <v>20220713</v>
      </c>
      <c r="E2669">
        <f t="shared" si="41"/>
        <v>7</v>
      </c>
      <c r="F2669">
        <v>531105</v>
      </c>
      <c r="G2669" t="s">
        <v>429</v>
      </c>
      <c r="H2669" t="s">
        <v>401</v>
      </c>
      <c r="I2669" t="s">
        <v>402</v>
      </c>
      <c r="J2669" t="s">
        <v>2923</v>
      </c>
      <c r="K2669">
        <v>20220713</v>
      </c>
      <c r="L2669" t="s">
        <v>2924</v>
      </c>
      <c r="M2669">
        <v>27</v>
      </c>
      <c r="N2669">
        <v>0</v>
      </c>
      <c r="O2669" t="s">
        <v>19</v>
      </c>
      <c r="P2669" t="s">
        <v>20</v>
      </c>
      <c r="Q2669">
        <v>20220713</v>
      </c>
    </row>
    <row r="2670" spans="1:17" x14ac:dyDescent="0.25">
      <c r="A2670" t="s">
        <v>548</v>
      </c>
      <c r="B2670" t="s">
        <v>429</v>
      </c>
      <c r="C2670">
        <v>95</v>
      </c>
      <c r="D2670">
        <v>20220713</v>
      </c>
      <c r="E2670">
        <f t="shared" si="41"/>
        <v>7</v>
      </c>
      <c r="F2670">
        <v>467100</v>
      </c>
      <c r="G2670" t="s">
        <v>160</v>
      </c>
      <c r="H2670" t="s">
        <v>1522</v>
      </c>
      <c r="I2670" t="s">
        <v>1523</v>
      </c>
      <c r="J2670" t="s">
        <v>2925</v>
      </c>
      <c r="K2670">
        <v>20220713</v>
      </c>
      <c r="L2670" t="s">
        <v>2926</v>
      </c>
      <c r="M2670">
        <v>0</v>
      </c>
      <c r="N2670">
        <v>6</v>
      </c>
      <c r="O2670" t="s">
        <v>23</v>
      </c>
      <c r="P2670">
        <v>20220831</v>
      </c>
      <c r="Q2670">
        <v>20220713</v>
      </c>
    </row>
    <row r="2671" spans="1:17" x14ac:dyDescent="0.25">
      <c r="A2671" t="s">
        <v>548</v>
      </c>
      <c r="B2671" t="s">
        <v>429</v>
      </c>
      <c r="C2671">
        <v>95</v>
      </c>
      <c r="D2671">
        <v>20220713</v>
      </c>
      <c r="E2671">
        <f t="shared" si="41"/>
        <v>7</v>
      </c>
      <c r="F2671">
        <v>467100</v>
      </c>
      <c r="G2671" t="s">
        <v>160</v>
      </c>
      <c r="H2671" t="s">
        <v>1522</v>
      </c>
      <c r="I2671" t="s">
        <v>1523</v>
      </c>
      <c r="J2671" t="s">
        <v>2927</v>
      </c>
      <c r="K2671">
        <v>20220713</v>
      </c>
      <c r="L2671" t="s">
        <v>2928</v>
      </c>
      <c r="M2671">
        <v>100</v>
      </c>
      <c r="N2671">
        <v>0</v>
      </c>
      <c r="O2671" t="s">
        <v>23</v>
      </c>
      <c r="P2671">
        <v>20220801</v>
      </c>
      <c r="Q2671">
        <v>20220713</v>
      </c>
    </row>
    <row r="2672" spans="1:17" x14ac:dyDescent="0.25">
      <c r="A2672" t="s">
        <v>548</v>
      </c>
      <c r="B2672" t="s">
        <v>429</v>
      </c>
      <c r="C2672">
        <v>95</v>
      </c>
      <c r="D2672">
        <v>20220713</v>
      </c>
      <c r="E2672">
        <f t="shared" si="41"/>
        <v>7</v>
      </c>
      <c r="F2672">
        <v>531105</v>
      </c>
      <c r="G2672" t="s">
        <v>429</v>
      </c>
      <c r="H2672" t="s">
        <v>401</v>
      </c>
      <c r="I2672" t="s">
        <v>402</v>
      </c>
      <c r="J2672" t="s">
        <v>2927</v>
      </c>
      <c r="K2672">
        <v>20220713</v>
      </c>
      <c r="L2672" t="s">
        <v>2928</v>
      </c>
      <c r="M2672">
        <v>0</v>
      </c>
      <c r="N2672">
        <v>100</v>
      </c>
      <c r="O2672" t="s">
        <v>19</v>
      </c>
      <c r="P2672" t="s">
        <v>20</v>
      </c>
      <c r="Q2672">
        <v>20220713</v>
      </c>
    </row>
    <row r="2673" spans="1:17" x14ac:dyDescent="0.25">
      <c r="A2673" t="s">
        <v>548</v>
      </c>
      <c r="B2673" t="s">
        <v>429</v>
      </c>
      <c r="C2673">
        <v>95</v>
      </c>
      <c r="D2673">
        <v>20220713</v>
      </c>
      <c r="E2673">
        <f t="shared" si="41"/>
        <v>7</v>
      </c>
      <c r="F2673">
        <v>531105</v>
      </c>
      <c r="G2673" t="s">
        <v>429</v>
      </c>
      <c r="H2673" t="s">
        <v>401</v>
      </c>
      <c r="I2673" t="s">
        <v>402</v>
      </c>
      <c r="J2673" t="s">
        <v>2925</v>
      </c>
      <c r="K2673">
        <v>20220713</v>
      </c>
      <c r="L2673" t="s">
        <v>2926</v>
      </c>
      <c r="M2673">
        <v>6</v>
      </c>
      <c r="N2673">
        <v>0</v>
      </c>
      <c r="O2673" t="s">
        <v>19</v>
      </c>
      <c r="P2673" t="s">
        <v>20</v>
      </c>
      <c r="Q2673">
        <v>20220713</v>
      </c>
    </row>
    <row r="2674" spans="1:17" x14ac:dyDescent="0.25">
      <c r="A2674" t="s">
        <v>548</v>
      </c>
      <c r="B2674" t="s">
        <v>429</v>
      </c>
      <c r="C2674">
        <v>95</v>
      </c>
      <c r="D2674">
        <v>20220713</v>
      </c>
      <c r="E2674">
        <f t="shared" si="41"/>
        <v>7</v>
      </c>
      <c r="F2674">
        <v>411100</v>
      </c>
      <c r="G2674" t="s">
        <v>18</v>
      </c>
      <c r="H2674" t="s">
        <v>35</v>
      </c>
      <c r="I2674" t="s">
        <v>36</v>
      </c>
      <c r="J2674">
        <v>348257</v>
      </c>
      <c r="K2674">
        <v>20220713</v>
      </c>
      <c r="L2674" t="s">
        <v>2929</v>
      </c>
      <c r="M2674">
        <v>0</v>
      </c>
      <c r="N2674">
        <v>16.5</v>
      </c>
      <c r="O2674" t="s">
        <v>22</v>
      </c>
      <c r="P2674">
        <v>20230218</v>
      </c>
      <c r="Q2674">
        <v>20220713</v>
      </c>
    </row>
    <row r="2675" spans="1:17" x14ac:dyDescent="0.25">
      <c r="A2675" t="s">
        <v>548</v>
      </c>
      <c r="B2675" t="s">
        <v>429</v>
      </c>
      <c r="C2675">
        <v>95</v>
      </c>
      <c r="D2675">
        <v>20220713</v>
      </c>
      <c r="E2675">
        <f t="shared" si="41"/>
        <v>7</v>
      </c>
      <c r="F2675">
        <v>411100</v>
      </c>
      <c r="G2675" t="s">
        <v>18</v>
      </c>
      <c r="H2675" t="s">
        <v>1774</v>
      </c>
      <c r="I2675" t="s">
        <v>1775</v>
      </c>
      <c r="J2675">
        <v>348258</v>
      </c>
      <c r="K2675">
        <v>20220713</v>
      </c>
      <c r="L2675" t="s">
        <v>2930</v>
      </c>
      <c r="M2675">
        <v>0</v>
      </c>
      <c r="N2675">
        <v>4</v>
      </c>
      <c r="O2675" t="s">
        <v>23</v>
      </c>
      <c r="P2675">
        <v>20230329</v>
      </c>
      <c r="Q2675">
        <v>20220713</v>
      </c>
    </row>
    <row r="2676" spans="1:17" x14ac:dyDescent="0.25">
      <c r="A2676" t="s">
        <v>548</v>
      </c>
      <c r="B2676" t="s">
        <v>429</v>
      </c>
      <c r="C2676">
        <v>95</v>
      </c>
      <c r="D2676">
        <v>20220713</v>
      </c>
      <c r="E2676">
        <f t="shared" si="41"/>
        <v>7</v>
      </c>
      <c r="F2676">
        <v>411100</v>
      </c>
      <c r="G2676" t="s">
        <v>18</v>
      </c>
      <c r="H2676" t="s">
        <v>2173</v>
      </c>
      <c r="I2676" t="s">
        <v>2174</v>
      </c>
      <c r="J2676">
        <v>348259</v>
      </c>
      <c r="K2676">
        <v>20220713</v>
      </c>
      <c r="L2676" t="s">
        <v>2931</v>
      </c>
      <c r="M2676">
        <v>0</v>
      </c>
      <c r="N2676">
        <v>1</v>
      </c>
      <c r="O2676" t="s">
        <v>22</v>
      </c>
      <c r="P2676">
        <v>20230218</v>
      </c>
      <c r="Q2676">
        <v>20220713</v>
      </c>
    </row>
    <row r="2677" spans="1:17" x14ac:dyDescent="0.25">
      <c r="A2677" t="s">
        <v>548</v>
      </c>
      <c r="B2677" t="s">
        <v>429</v>
      </c>
      <c r="C2677">
        <v>95</v>
      </c>
      <c r="D2677">
        <v>20220713</v>
      </c>
      <c r="E2677">
        <f t="shared" si="41"/>
        <v>7</v>
      </c>
      <c r="F2677">
        <v>411100</v>
      </c>
      <c r="G2677" t="s">
        <v>18</v>
      </c>
      <c r="H2677" t="s">
        <v>928</v>
      </c>
      <c r="I2677" t="s">
        <v>929</v>
      </c>
      <c r="J2677">
        <v>348260</v>
      </c>
      <c r="K2677">
        <v>20220713</v>
      </c>
      <c r="L2677" t="s">
        <v>2932</v>
      </c>
      <c r="M2677">
        <v>0</v>
      </c>
      <c r="N2677">
        <v>12.5</v>
      </c>
      <c r="O2677" t="s">
        <v>22</v>
      </c>
      <c r="P2677">
        <v>20230218</v>
      </c>
      <c r="Q2677">
        <v>20220713</v>
      </c>
    </row>
    <row r="2678" spans="1:17" x14ac:dyDescent="0.25">
      <c r="A2678" t="s">
        <v>548</v>
      </c>
      <c r="B2678" t="s">
        <v>429</v>
      </c>
      <c r="C2678">
        <v>95</v>
      </c>
      <c r="D2678">
        <v>20220713</v>
      </c>
      <c r="E2678">
        <f t="shared" si="41"/>
        <v>7</v>
      </c>
      <c r="F2678">
        <v>411100</v>
      </c>
      <c r="G2678" t="s">
        <v>18</v>
      </c>
      <c r="H2678" t="s">
        <v>2501</v>
      </c>
      <c r="I2678" t="s">
        <v>2502</v>
      </c>
      <c r="J2678">
        <v>348261</v>
      </c>
      <c r="K2678">
        <v>20220713</v>
      </c>
      <c r="L2678" t="s">
        <v>2933</v>
      </c>
      <c r="M2678">
        <v>0</v>
      </c>
      <c r="N2678">
        <v>9.5</v>
      </c>
      <c r="O2678" t="s">
        <v>22</v>
      </c>
      <c r="P2678">
        <v>20230218</v>
      </c>
      <c r="Q2678">
        <v>20220713</v>
      </c>
    </row>
    <row r="2679" spans="1:17" x14ac:dyDescent="0.25">
      <c r="A2679" t="s">
        <v>548</v>
      </c>
      <c r="B2679" t="s">
        <v>429</v>
      </c>
      <c r="C2679">
        <v>95</v>
      </c>
      <c r="D2679">
        <v>20220713</v>
      </c>
      <c r="E2679">
        <f t="shared" si="41"/>
        <v>7</v>
      </c>
      <c r="F2679">
        <v>411100</v>
      </c>
      <c r="G2679" t="s">
        <v>18</v>
      </c>
      <c r="H2679" t="s">
        <v>213</v>
      </c>
      <c r="I2679" t="s">
        <v>214</v>
      </c>
      <c r="J2679">
        <v>348262</v>
      </c>
      <c r="K2679">
        <v>20220713</v>
      </c>
      <c r="L2679" t="s">
        <v>2934</v>
      </c>
      <c r="M2679">
        <v>0</v>
      </c>
      <c r="N2679">
        <v>3.5</v>
      </c>
      <c r="O2679" t="s">
        <v>22</v>
      </c>
      <c r="P2679">
        <v>20230218</v>
      </c>
      <c r="Q2679">
        <v>20220713</v>
      </c>
    </row>
    <row r="2680" spans="1:17" x14ac:dyDescent="0.25">
      <c r="A2680" t="s">
        <v>548</v>
      </c>
      <c r="B2680" t="s">
        <v>429</v>
      </c>
      <c r="C2680">
        <v>95</v>
      </c>
      <c r="D2680">
        <v>20220713</v>
      </c>
      <c r="E2680">
        <f t="shared" si="41"/>
        <v>7</v>
      </c>
      <c r="F2680">
        <v>411100</v>
      </c>
      <c r="G2680" t="s">
        <v>18</v>
      </c>
      <c r="H2680" t="s">
        <v>215</v>
      </c>
      <c r="I2680" t="s">
        <v>216</v>
      </c>
      <c r="J2680">
        <v>348263</v>
      </c>
      <c r="K2680">
        <v>20220713</v>
      </c>
      <c r="L2680" t="s">
        <v>2935</v>
      </c>
      <c r="M2680">
        <v>0</v>
      </c>
      <c r="N2680">
        <v>1</v>
      </c>
      <c r="O2680" t="s">
        <v>22</v>
      </c>
      <c r="P2680">
        <v>20230218</v>
      </c>
      <c r="Q2680">
        <v>20220713</v>
      </c>
    </row>
    <row r="2681" spans="1:17" x14ac:dyDescent="0.25">
      <c r="A2681" t="s">
        <v>548</v>
      </c>
      <c r="B2681" t="s">
        <v>429</v>
      </c>
      <c r="C2681">
        <v>95</v>
      </c>
      <c r="D2681">
        <v>20220713</v>
      </c>
      <c r="E2681">
        <f t="shared" si="41"/>
        <v>7</v>
      </c>
      <c r="F2681">
        <v>411100</v>
      </c>
      <c r="G2681" t="s">
        <v>18</v>
      </c>
      <c r="H2681" t="s">
        <v>2901</v>
      </c>
      <c r="I2681" t="s">
        <v>2902</v>
      </c>
      <c r="J2681">
        <v>348264</v>
      </c>
      <c r="K2681">
        <v>20220713</v>
      </c>
      <c r="L2681" t="s">
        <v>2936</v>
      </c>
      <c r="M2681">
        <v>0</v>
      </c>
      <c r="N2681">
        <v>4</v>
      </c>
      <c r="O2681" t="s">
        <v>22</v>
      </c>
      <c r="P2681">
        <v>20230218</v>
      </c>
      <c r="Q2681">
        <v>20220713</v>
      </c>
    </row>
    <row r="2682" spans="1:17" x14ac:dyDescent="0.25">
      <c r="A2682" t="s">
        <v>548</v>
      </c>
      <c r="B2682" t="s">
        <v>429</v>
      </c>
      <c r="C2682">
        <v>95</v>
      </c>
      <c r="D2682">
        <v>20220713</v>
      </c>
      <c r="E2682">
        <f t="shared" si="41"/>
        <v>7</v>
      </c>
      <c r="F2682">
        <v>411100</v>
      </c>
      <c r="G2682" t="s">
        <v>18</v>
      </c>
      <c r="H2682" t="s">
        <v>2901</v>
      </c>
      <c r="I2682" t="s">
        <v>2902</v>
      </c>
      <c r="J2682">
        <v>348265</v>
      </c>
      <c r="K2682">
        <v>20220713</v>
      </c>
      <c r="L2682" t="s">
        <v>2937</v>
      </c>
      <c r="M2682">
        <v>0</v>
      </c>
      <c r="N2682">
        <v>7</v>
      </c>
      <c r="O2682" t="s">
        <v>22</v>
      </c>
      <c r="P2682">
        <v>20230218</v>
      </c>
      <c r="Q2682">
        <v>20220713</v>
      </c>
    </row>
    <row r="2683" spans="1:17" x14ac:dyDescent="0.25">
      <c r="A2683" t="s">
        <v>548</v>
      </c>
      <c r="B2683" t="s">
        <v>429</v>
      </c>
      <c r="C2683">
        <v>95</v>
      </c>
      <c r="D2683">
        <v>20220713</v>
      </c>
      <c r="E2683">
        <f t="shared" si="41"/>
        <v>7</v>
      </c>
      <c r="F2683">
        <v>411100</v>
      </c>
      <c r="G2683" t="s">
        <v>18</v>
      </c>
      <c r="H2683" t="s">
        <v>2938</v>
      </c>
      <c r="I2683" t="s">
        <v>2939</v>
      </c>
      <c r="J2683">
        <v>348266</v>
      </c>
      <c r="K2683">
        <v>20220713</v>
      </c>
      <c r="L2683" t="s">
        <v>2940</v>
      </c>
      <c r="M2683">
        <v>0</v>
      </c>
      <c r="N2683">
        <v>29</v>
      </c>
      <c r="O2683" t="s">
        <v>22</v>
      </c>
      <c r="P2683">
        <v>20230218</v>
      </c>
      <c r="Q2683">
        <v>20220713</v>
      </c>
    </row>
    <row r="2684" spans="1:17" x14ac:dyDescent="0.25">
      <c r="A2684" t="s">
        <v>548</v>
      </c>
      <c r="B2684" t="s">
        <v>429</v>
      </c>
      <c r="C2684">
        <v>95</v>
      </c>
      <c r="D2684">
        <v>20220713</v>
      </c>
      <c r="E2684">
        <f t="shared" si="41"/>
        <v>7</v>
      </c>
      <c r="F2684">
        <v>531105</v>
      </c>
      <c r="G2684" t="s">
        <v>429</v>
      </c>
      <c r="H2684" t="s">
        <v>401</v>
      </c>
      <c r="I2684" t="s">
        <v>402</v>
      </c>
      <c r="J2684">
        <v>348267</v>
      </c>
      <c r="K2684">
        <v>20220713</v>
      </c>
      <c r="L2684" t="s">
        <v>565</v>
      </c>
      <c r="M2684">
        <v>88</v>
      </c>
      <c r="N2684">
        <v>0</v>
      </c>
      <c r="O2684" t="s">
        <v>19</v>
      </c>
      <c r="P2684" t="s">
        <v>20</v>
      </c>
      <c r="Q2684">
        <v>20220713</v>
      </c>
    </row>
    <row r="2685" spans="1:17" x14ac:dyDescent="0.25">
      <c r="A2685" t="s">
        <v>548</v>
      </c>
      <c r="B2685" t="s">
        <v>429</v>
      </c>
      <c r="C2685">
        <v>95</v>
      </c>
      <c r="D2685">
        <v>20220713</v>
      </c>
      <c r="E2685">
        <f t="shared" si="41"/>
        <v>7</v>
      </c>
      <c r="F2685">
        <v>411100</v>
      </c>
      <c r="G2685" t="s">
        <v>18</v>
      </c>
      <c r="H2685" t="s">
        <v>35</v>
      </c>
      <c r="I2685" t="s">
        <v>36</v>
      </c>
      <c r="J2685">
        <v>349201</v>
      </c>
      <c r="K2685">
        <v>20220713</v>
      </c>
      <c r="L2685" t="s">
        <v>2929</v>
      </c>
      <c r="M2685">
        <v>0</v>
      </c>
      <c r="N2685">
        <v>16.5</v>
      </c>
      <c r="O2685" t="s">
        <v>19</v>
      </c>
      <c r="P2685" t="s">
        <v>20</v>
      </c>
      <c r="Q2685">
        <v>20220713</v>
      </c>
    </row>
    <row r="2686" spans="1:17" x14ac:dyDescent="0.25">
      <c r="A2686" t="s">
        <v>548</v>
      </c>
      <c r="B2686" t="s">
        <v>429</v>
      </c>
      <c r="C2686">
        <v>95</v>
      </c>
      <c r="D2686">
        <v>20220713</v>
      </c>
      <c r="E2686">
        <f t="shared" si="41"/>
        <v>7</v>
      </c>
      <c r="F2686">
        <v>411100</v>
      </c>
      <c r="G2686" t="s">
        <v>18</v>
      </c>
      <c r="H2686" t="s">
        <v>1774</v>
      </c>
      <c r="I2686" t="s">
        <v>1775</v>
      </c>
      <c r="J2686">
        <v>349202</v>
      </c>
      <c r="K2686">
        <v>20220713</v>
      </c>
      <c r="L2686" t="s">
        <v>2930</v>
      </c>
      <c r="M2686">
        <v>0</v>
      </c>
      <c r="N2686">
        <v>4</v>
      </c>
      <c r="O2686" t="s">
        <v>23</v>
      </c>
      <c r="P2686">
        <v>20230329</v>
      </c>
      <c r="Q2686">
        <v>20220713</v>
      </c>
    </row>
    <row r="2687" spans="1:17" x14ac:dyDescent="0.25">
      <c r="A2687" t="s">
        <v>548</v>
      </c>
      <c r="B2687" t="s">
        <v>429</v>
      </c>
      <c r="C2687">
        <v>95</v>
      </c>
      <c r="D2687">
        <v>20220713</v>
      </c>
      <c r="E2687">
        <f t="shared" si="41"/>
        <v>7</v>
      </c>
      <c r="F2687">
        <v>411100</v>
      </c>
      <c r="G2687" t="s">
        <v>18</v>
      </c>
      <c r="H2687" t="s">
        <v>2173</v>
      </c>
      <c r="I2687" t="s">
        <v>2174</v>
      </c>
      <c r="J2687">
        <v>349203</v>
      </c>
      <c r="K2687">
        <v>20220713</v>
      </c>
      <c r="L2687" t="s">
        <v>2931</v>
      </c>
      <c r="M2687">
        <v>0</v>
      </c>
      <c r="N2687">
        <v>1</v>
      </c>
      <c r="O2687" t="s">
        <v>22</v>
      </c>
      <c r="P2687">
        <v>20230218</v>
      </c>
      <c r="Q2687">
        <v>20220713</v>
      </c>
    </row>
    <row r="2688" spans="1:17" x14ac:dyDescent="0.25">
      <c r="A2688" t="s">
        <v>548</v>
      </c>
      <c r="B2688" t="s">
        <v>429</v>
      </c>
      <c r="C2688">
        <v>95</v>
      </c>
      <c r="D2688">
        <v>20220713</v>
      </c>
      <c r="E2688">
        <f t="shared" si="41"/>
        <v>7</v>
      </c>
      <c r="F2688">
        <v>411100</v>
      </c>
      <c r="G2688" t="s">
        <v>18</v>
      </c>
      <c r="H2688" t="s">
        <v>928</v>
      </c>
      <c r="I2688" t="s">
        <v>929</v>
      </c>
      <c r="J2688">
        <v>349204</v>
      </c>
      <c r="K2688">
        <v>20220713</v>
      </c>
      <c r="L2688" t="s">
        <v>2932</v>
      </c>
      <c r="M2688">
        <v>0</v>
      </c>
      <c r="N2688">
        <v>12.5</v>
      </c>
      <c r="O2688" t="s">
        <v>19</v>
      </c>
      <c r="P2688" t="s">
        <v>20</v>
      </c>
      <c r="Q2688">
        <v>20220713</v>
      </c>
    </row>
    <row r="2689" spans="1:17" x14ac:dyDescent="0.25">
      <c r="A2689" t="s">
        <v>548</v>
      </c>
      <c r="B2689" t="s">
        <v>429</v>
      </c>
      <c r="C2689">
        <v>95</v>
      </c>
      <c r="D2689">
        <v>20220713</v>
      </c>
      <c r="E2689">
        <f t="shared" si="41"/>
        <v>7</v>
      </c>
      <c r="F2689">
        <v>411100</v>
      </c>
      <c r="G2689" t="s">
        <v>18</v>
      </c>
      <c r="H2689" t="s">
        <v>2501</v>
      </c>
      <c r="I2689" t="s">
        <v>2502</v>
      </c>
      <c r="J2689">
        <v>349205</v>
      </c>
      <c r="K2689">
        <v>20220713</v>
      </c>
      <c r="L2689" t="s">
        <v>2933</v>
      </c>
      <c r="M2689">
        <v>0</v>
      </c>
      <c r="N2689">
        <v>9.5</v>
      </c>
      <c r="O2689" t="s">
        <v>23</v>
      </c>
      <c r="P2689">
        <v>20230329</v>
      </c>
      <c r="Q2689">
        <v>20220713</v>
      </c>
    </row>
    <row r="2690" spans="1:17" x14ac:dyDescent="0.25">
      <c r="A2690" t="s">
        <v>548</v>
      </c>
      <c r="B2690" t="s">
        <v>429</v>
      </c>
      <c r="C2690">
        <v>95</v>
      </c>
      <c r="D2690">
        <v>20220713</v>
      </c>
      <c r="E2690">
        <f t="shared" si="41"/>
        <v>7</v>
      </c>
      <c r="F2690">
        <v>411100</v>
      </c>
      <c r="G2690" t="s">
        <v>18</v>
      </c>
      <c r="H2690" t="s">
        <v>213</v>
      </c>
      <c r="I2690" t="s">
        <v>214</v>
      </c>
      <c r="J2690">
        <v>349206</v>
      </c>
      <c r="K2690">
        <v>20220713</v>
      </c>
      <c r="L2690" t="s">
        <v>2934</v>
      </c>
      <c r="M2690">
        <v>0</v>
      </c>
      <c r="N2690">
        <v>3.5</v>
      </c>
      <c r="O2690" t="s">
        <v>19</v>
      </c>
      <c r="P2690" t="s">
        <v>20</v>
      </c>
      <c r="Q2690">
        <v>20220713</v>
      </c>
    </row>
    <row r="2691" spans="1:17" x14ac:dyDescent="0.25">
      <c r="A2691" t="s">
        <v>548</v>
      </c>
      <c r="B2691" t="s">
        <v>429</v>
      </c>
      <c r="C2691">
        <v>95</v>
      </c>
      <c r="D2691">
        <v>20220713</v>
      </c>
      <c r="E2691">
        <f t="shared" ref="E2691:E2754" si="42">VALUE(MID(D2691,5,2))</f>
        <v>7</v>
      </c>
      <c r="F2691">
        <v>411100</v>
      </c>
      <c r="G2691" t="s">
        <v>18</v>
      </c>
      <c r="H2691" t="s">
        <v>215</v>
      </c>
      <c r="I2691" t="s">
        <v>216</v>
      </c>
      <c r="J2691">
        <v>349207</v>
      </c>
      <c r="K2691">
        <v>20220713</v>
      </c>
      <c r="L2691" t="s">
        <v>2935</v>
      </c>
      <c r="M2691">
        <v>0</v>
      </c>
      <c r="N2691">
        <v>1</v>
      </c>
      <c r="O2691" t="s">
        <v>22</v>
      </c>
      <c r="P2691">
        <v>20230218</v>
      </c>
      <c r="Q2691">
        <v>20220713</v>
      </c>
    </row>
    <row r="2692" spans="1:17" x14ac:dyDescent="0.25">
      <c r="A2692" t="s">
        <v>548</v>
      </c>
      <c r="B2692" t="s">
        <v>429</v>
      </c>
      <c r="C2692">
        <v>95</v>
      </c>
      <c r="D2692">
        <v>20220713</v>
      </c>
      <c r="E2692">
        <f t="shared" si="42"/>
        <v>7</v>
      </c>
      <c r="F2692">
        <v>411100</v>
      </c>
      <c r="G2692" t="s">
        <v>18</v>
      </c>
      <c r="H2692" t="s">
        <v>2901</v>
      </c>
      <c r="I2692" t="s">
        <v>2902</v>
      </c>
      <c r="J2692">
        <v>349208</v>
      </c>
      <c r="K2692">
        <v>20220713</v>
      </c>
      <c r="L2692" t="s">
        <v>2936</v>
      </c>
      <c r="M2692">
        <v>0</v>
      </c>
      <c r="N2692">
        <v>4</v>
      </c>
      <c r="O2692" t="s">
        <v>23</v>
      </c>
      <c r="P2692">
        <v>20230218</v>
      </c>
      <c r="Q2692">
        <v>20220713</v>
      </c>
    </row>
    <row r="2693" spans="1:17" x14ac:dyDescent="0.25">
      <c r="A2693" t="s">
        <v>548</v>
      </c>
      <c r="B2693" t="s">
        <v>429</v>
      </c>
      <c r="C2693">
        <v>95</v>
      </c>
      <c r="D2693">
        <v>20220713</v>
      </c>
      <c r="E2693">
        <f t="shared" si="42"/>
        <v>7</v>
      </c>
      <c r="F2693">
        <v>411100</v>
      </c>
      <c r="G2693" t="s">
        <v>18</v>
      </c>
      <c r="H2693" t="s">
        <v>2901</v>
      </c>
      <c r="I2693" t="s">
        <v>2902</v>
      </c>
      <c r="J2693">
        <v>349209</v>
      </c>
      <c r="K2693">
        <v>20220713</v>
      </c>
      <c r="L2693" t="s">
        <v>2937</v>
      </c>
      <c r="M2693">
        <v>0</v>
      </c>
      <c r="N2693">
        <v>7</v>
      </c>
      <c r="O2693" t="s">
        <v>23</v>
      </c>
      <c r="P2693">
        <v>20230218</v>
      </c>
      <c r="Q2693">
        <v>20220713</v>
      </c>
    </row>
    <row r="2694" spans="1:17" x14ac:dyDescent="0.25">
      <c r="A2694" t="s">
        <v>548</v>
      </c>
      <c r="B2694" t="s">
        <v>429</v>
      </c>
      <c r="C2694">
        <v>95</v>
      </c>
      <c r="D2694">
        <v>20220713</v>
      </c>
      <c r="E2694">
        <f t="shared" si="42"/>
        <v>7</v>
      </c>
      <c r="F2694">
        <v>411100</v>
      </c>
      <c r="G2694" t="s">
        <v>18</v>
      </c>
      <c r="H2694" t="s">
        <v>2938</v>
      </c>
      <c r="I2694" t="s">
        <v>2939</v>
      </c>
      <c r="J2694">
        <v>349210</v>
      </c>
      <c r="K2694">
        <v>20220713</v>
      </c>
      <c r="L2694" t="s">
        <v>2940</v>
      </c>
      <c r="M2694">
        <v>0</v>
      </c>
      <c r="N2694">
        <v>29</v>
      </c>
      <c r="O2694" t="s">
        <v>23</v>
      </c>
      <c r="P2694">
        <v>20230329</v>
      </c>
      <c r="Q2694">
        <v>20220713</v>
      </c>
    </row>
    <row r="2695" spans="1:17" x14ac:dyDescent="0.25">
      <c r="A2695" t="s">
        <v>548</v>
      </c>
      <c r="B2695" t="s">
        <v>429</v>
      </c>
      <c r="C2695">
        <v>95</v>
      </c>
      <c r="D2695">
        <v>20220713</v>
      </c>
      <c r="E2695">
        <f t="shared" si="42"/>
        <v>7</v>
      </c>
      <c r="F2695">
        <v>531105</v>
      </c>
      <c r="G2695" t="s">
        <v>429</v>
      </c>
      <c r="H2695" t="s">
        <v>401</v>
      </c>
      <c r="I2695" t="s">
        <v>402</v>
      </c>
      <c r="J2695">
        <v>349211</v>
      </c>
      <c r="K2695">
        <v>20220713</v>
      </c>
      <c r="L2695" t="s">
        <v>565</v>
      </c>
      <c r="M2695">
        <v>88</v>
      </c>
      <c r="N2695">
        <v>0</v>
      </c>
      <c r="O2695" t="s">
        <v>19</v>
      </c>
      <c r="P2695" t="s">
        <v>20</v>
      </c>
      <c r="Q2695">
        <v>20220713</v>
      </c>
    </row>
    <row r="2696" spans="1:17" x14ac:dyDescent="0.25">
      <c r="A2696" t="s">
        <v>548</v>
      </c>
      <c r="B2696" t="s">
        <v>429</v>
      </c>
      <c r="C2696">
        <v>95</v>
      </c>
      <c r="D2696">
        <v>20220713</v>
      </c>
      <c r="E2696">
        <f t="shared" si="42"/>
        <v>7</v>
      </c>
      <c r="F2696">
        <v>411100</v>
      </c>
      <c r="G2696" t="s">
        <v>18</v>
      </c>
      <c r="H2696" t="s">
        <v>35</v>
      </c>
      <c r="I2696" t="s">
        <v>36</v>
      </c>
      <c r="J2696">
        <v>350145</v>
      </c>
      <c r="K2696">
        <v>20220713</v>
      </c>
      <c r="L2696" t="s">
        <v>2929</v>
      </c>
      <c r="M2696">
        <v>16.5</v>
      </c>
      <c r="N2696">
        <v>0</v>
      </c>
      <c r="O2696" t="s">
        <v>22</v>
      </c>
      <c r="P2696">
        <v>20230218</v>
      </c>
      <c r="Q2696">
        <v>20220713</v>
      </c>
    </row>
    <row r="2697" spans="1:17" x14ac:dyDescent="0.25">
      <c r="A2697" t="s">
        <v>548</v>
      </c>
      <c r="B2697" t="s">
        <v>429</v>
      </c>
      <c r="C2697">
        <v>95</v>
      </c>
      <c r="D2697">
        <v>20220713</v>
      </c>
      <c r="E2697">
        <f t="shared" si="42"/>
        <v>7</v>
      </c>
      <c r="F2697">
        <v>411100</v>
      </c>
      <c r="G2697" t="s">
        <v>18</v>
      </c>
      <c r="H2697" t="s">
        <v>1774</v>
      </c>
      <c r="I2697" t="s">
        <v>1775</v>
      </c>
      <c r="J2697">
        <v>350146</v>
      </c>
      <c r="K2697">
        <v>20220713</v>
      </c>
      <c r="L2697" t="s">
        <v>2930</v>
      </c>
      <c r="M2697">
        <v>4</v>
      </c>
      <c r="N2697">
        <v>0</v>
      </c>
      <c r="O2697" t="s">
        <v>22</v>
      </c>
      <c r="P2697">
        <v>20230218</v>
      </c>
      <c r="Q2697">
        <v>20220713</v>
      </c>
    </row>
    <row r="2698" spans="1:17" x14ac:dyDescent="0.25">
      <c r="A2698" t="s">
        <v>548</v>
      </c>
      <c r="B2698" t="s">
        <v>429</v>
      </c>
      <c r="C2698">
        <v>95</v>
      </c>
      <c r="D2698">
        <v>20220713</v>
      </c>
      <c r="E2698">
        <f t="shared" si="42"/>
        <v>7</v>
      </c>
      <c r="F2698">
        <v>411100</v>
      </c>
      <c r="G2698" t="s">
        <v>18</v>
      </c>
      <c r="H2698" t="s">
        <v>2173</v>
      </c>
      <c r="I2698" t="s">
        <v>2174</v>
      </c>
      <c r="J2698">
        <v>350147</v>
      </c>
      <c r="K2698">
        <v>20220713</v>
      </c>
      <c r="L2698" t="s">
        <v>2931</v>
      </c>
      <c r="M2698">
        <v>1</v>
      </c>
      <c r="N2698">
        <v>0</v>
      </c>
      <c r="O2698" t="s">
        <v>22</v>
      </c>
      <c r="P2698">
        <v>20230218</v>
      </c>
      <c r="Q2698">
        <v>20220713</v>
      </c>
    </row>
    <row r="2699" spans="1:17" x14ac:dyDescent="0.25">
      <c r="A2699" t="s">
        <v>548</v>
      </c>
      <c r="B2699" t="s">
        <v>429</v>
      </c>
      <c r="C2699">
        <v>95</v>
      </c>
      <c r="D2699">
        <v>20220713</v>
      </c>
      <c r="E2699">
        <f t="shared" si="42"/>
        <v>7</v>
      </c>
      <c r="F2699">
        <v>411100</v>
      </c>
      <c r="G2699" t="s">
        <v>18</v>
      </c>
      <c r="H2699" t="s">
        <v>928</v>
      </c>
      <c r="I2699" t="s">
        <v>929</v>
      </c>
      <c r="J2699">
        <v>350148</v>
      </c>
      <c r="K2699">
        <v>20220713</v>
      </c>
      <c r="L2699" t="s">
        <v>2932</v>
      </c>
      <c r="M2699">
        <v>12.5</v>
      </c>
      <c r="N2699">
        <v>0</v>
      </c>
      <c r="O2699" t="s">
        <v>22</v>
      </c>
      <c r="P2699">
        <v>20230218</v>
      </c>
      <c r="Q2699">
        <v>20220713</v>
      </c>
    </row>
    <row r="2700" spans="1:17" x14ac:dyDescent="0.25">
      <c r="A2700" t="s">
        <v>548</v>
      </c>
      <c r="B2700" t="s">
        <v>429</v>
      </c>
      <c r="C2700">
        <v>95</v>
      </c>
      <c r="D2700">
        <v>20220713</v>
      </c>
      <c r="E2700">
        <f t="shared" si="42"/>
        <v>7</v>
      </c>
      <c r="F2700">
        <v>411100</v>
      </c>
      <c r="G2700" t="s">
        <v>18</v>
      </c>
      <c r="H2700" t="s">
        <v>2501</v>
      </c>
      <c r="I2700" t="s">
        <v>2502</v>
      </c>
      <c r="J2700">
        <v>350149</v>
      </c>
      <c r="K2700">
        <v>20220713</v>
      </c>
      <c r="L2700" t="s">
        <v>2933</v>
      </c>
      <c r="M2700">
        <v>9.5</v>
      </c>
      <c r="N2700">
        <v>0</v>
      </c>
      <c r="O2700" t="s">
        <v>22</v>
      </c>
      <c r="P2700">
        <v>20230218</v>
      </c>
      <c r="Q2700">
        <v>20220713</v>
      </c>
    </row>
    <row r="2701" spans="1:17" x14ac:dyDescent="0.25">
      <c r="A2701" t="s">
        <v>548</v>
      </c>
      <c r="B2701" t="s">
        <v>429</v>
      </c>
      <c r="C2701">
        <v>95</v>
      </c>
      <c r="D2701">
        <v>20220713</v>
      </c>
      <c r="E2701">
        <f t="shared" si="42"/>
        <v>7</v>
      </c>
      <c r="F2701">
        <v>411100</v>
      </c>
      <c r="G2701" t="s">
        <v>18</v>
      </c>
      <c r="H2701" t="s">
        <v>213</v>
      </c>
      <c r="I2701" t="s">
        <v>214</v>
      </c>
      <c r="J2701">
        <v>350150</v>
      </c>
      <c r="K2701">
        <v>20220713</v>
      </c>
      <c r="L2701" t="s">
        <v>2934</v>
      </c>
      <c r="M2701">
        <v>3.5</v>
      </c>
      <c r="N2701">
        <v>0</v>
      </c>
      <c r="O2701" t="s">
        <v>22</v>
      </c>
      <c r="P2701">
        <v>20230218</v>
      </c>
      <c r="Q2701">
        <v>20220713</v>
      </c>
    </row>
    <row r="2702" spans="1:17" x14ac:dyDescent="0.25">
      <c r="A2702" t="s">
        <v>548</v>
      </c>
      <c r="B2702" t="s">
        <v>429</v>
      </c>
      <c r="C2702">
        <v>95</v>
      </c>
      <c r="D2702">
        <v>20220713</v>
      </c>
      <c r="E2702">
        <f t="shared" si="42"/>
        <v>7</v>
      </c>
      <c r="F2702">
        <v>411100</v>
      </c>
      <c r="G2702" t="s">
        <v>18</v>
      </c>
      <c r="H2702" t="s">
        <v>215</v>
      </c>
      <c r="I2702" t="s">
        <v>216</v>
      </c>
      <c r="J2702">
        <v>350151</v>
      </c>
      <c r="K2702">
        <v>20220713</v>
      </c>
      <c r="L2702" t="s">
        <v>2935</v>
      </c>
      <c r="M2702">
        <v>1</v>
      </c>
      <c r="N2702">
        <v>0</v>
      </c>
      <c r="O2702" t="s">
        <v>22</v>
      </c>
      <c r="P2702">
        <v>20230218</v>
      </c>
      <c r="Q2702">
        <v>20220713</v>
      </c>
    </row>
    <row r="2703" spans="1:17" x14ac:dyDescent="0.25">
      <c r="A2703" t="s">
        <v>548</v>
      </c>
      <c r="B2703" t="s">
        <v>429</v>
      </c>
      <c r="C2703">
        <v>95</v>
      </c>
      <c r="D2703">
        <v>20220713</v>
      </c>
      <c r="E2703">
        <f t="shared" si="42"/>
        <v>7</v>
      </c>
      <c r="F2703">
        <v>411100</v>
      </c>
      <c r="G2703" t="s">
        <v>18</v>
      </c>
      <c r="H2703" t="s">
        <v>2901</v>
      </c>
      <c r="I2703" t="s">
        <v>2902</v>
      </c>
      <c r="J2703">
        <v>350152</v>
      </c>
      <c r="K2703">
        <v>20220713</v>
      </c>
      <c r="L2703" t="s">
        <v>2936</v>
      </c>
      <c r="M2703">
        <v>4</v>
      </c>
      <c r="N2703">
        <v>0</v>
      </c>
      <c r="O2703" t="s">
        <v>22</v>
      </c>
      <c r="P2703">
        <v>20230218</v>
      </c>
      <c r="Q2703">
        <v>20220713</v>
      </c>
    </row>
    <row r="2704" spans="1:17" x14ac:dyDescent="0.25">
      <c r="A2704" t="s">
        <v>548</v>
      </c>
      <c r="B2704" t="s">
        <v>429</v>
      </c>
      <c r="C2704">
        <v>95</v>
      </c>
      <c r="D2704">
        <v>20220713</v>
      </c>
      <c r="E2704">
        <f t="shared" si="42"/>
        <v>7</v>
      </c>
      <c r="F2704">
        <v>411100</v>
      </c>
      <c r="G2704" t="s">
        <v>18</v>
      </c>
      <c r="H2704" t="s">
        <v>2901</v>
      </c>
      <c r="I2704" t="s">
        <v>2902</v>
      </c>
      <c r="J2704">
        <v>350153</v>
      </c>
      <c r="K2704">
        <v>20220713</v>
      </c>
      <c r="L2704" t="s">
        <v>2937</v>
      </c>
      <c r="M2704">
        <v>7</v>
      </c>
      <c r="N2704">
        <v>0</v>
      </c>
      <c r="O2704" t="s">
        <v>22</v>
      </c>
      <c r="P2704">
        <v>20230218</v>
      </c>
      <c r="Q2704">
        <v>20220713</v>
      </c>
    </row>
    <row r="2705" spans="1:17" x14ac:dyDescent="0.25">
      <c r="A2705" t="s">
        <v>548</v>
      </c>
      <c r="B2705" t="s">
        <v>429</v>
      </c>
      <c r="C2705">
        <v>95</v>
      </c>
      <c r="D2705">
        <v>20220713</v>
      </c>
      <c r="E2705">
        <f t="shared" si="42"/>
        <v>7</v>
      </c>
      <c r="F2705">
        <v>411100</v>
      </c>
      <c r="G2705" t="s">
        <v>18</v>
      </c>
      <c r="H2705" t="s">
        <v>2938</v>
      </c>
      <c r="I2705" t="s">
        <v>2939</v>
      </c>
      <c r="J2705">
        <v>350154</v>
      </c>
      <c r="K2705">
        <v>20220713</v>
      </c>
      <c r="L2705" t="s">
        <v>2940</v>
      </c>
      <c r="M2705">
        <v>29</v>
      </c>
      <c r="N2705">
        <v>0</v>
      </c>
      <c r="O2705" t="s">
        <v>22</v>
      </c>
      <c r="P2705">
        <v>20230218</v>
      </c>
      <c r="Q2705">
        <v>20220713</v>
      </c>
    </row>
    <row r="2706" spans="1:17" x14ac:dyDescent="0.25">
      <c r="A2706" t="s">
        <v>548</v>
      </c>
      <c r="B2706" t="s">
        <v>429</v>
      </c>
      <c r="C2706">
        <v>95</v>
      </c>
      <c r="D2706">
        <v>20220713</v>
      </c>
      <c r="E2706">
        <f t="shared" si="42"/>
        <v>7</v>
      </c>
      <c r="F2706">
        <v>531105</v>
      </c>
      <c r="G2706" t="s">
        <v>429</v>
      </c>
      <c r="H2706" t="s">
        <v>401</v>
      </c>
      <c r="I2706" t="s">
        <v>402</v>
      </c>
      <c r="J2706">
        <v>350155</v>
      </c>
      <c r="K2706">
        <v>20220713</v>
      </c>
      <c r="L2706" t="s">
        <v>565</v>
      </c>
      <c r="M2706">
        <v>0</v>
      </c>
      <c r="N2706">
        <v>88</v>
      </c>
      <c r="O2706" t="s">
        <v>19</v>
      </c>
      <c r="P2706" t="s">
        <v>20</v>
      </c>
      <c r="Q2706">
        <v>20220713</v>
      </c>
    </row>
    <row r="2707" spans="1:17" x14ac:dyDescent="0.25">
      <c r="A2707" t="s">
        <v>548</v>
      </c>
      <c r="B2707" t="s">
        <v>429</v>
      </c>
      <c r="C2707">
        <v>95</v>
      </c>
      <c r="D2707">
        <v>20220718</v>
      </c>
      <c r="E2707">
        <f t="shared" si="42"/>
        <v>7</v>
      </c>
      <c r="F2707">
        <v>467100</v>
      </c>
      <c r="G2707" t="s">
        <v>160</v>
      </c>
      <c r="H2707" t="s">
        <v>172</v>
      </c>
      <c r="I2707" t="s">
        <v>173</v>
      </c>
      <c r="J2707" t="s">
        <v>2941</v>
      </c>
      <c r="K2707">
        <v>20220718</v>
      </c>
      <c r="L2707" t="s">
        <v>2942</v>
      </c>
      <c r="M2707">
        <v>100</v>
      </c>
      <c r="N2707">
        <v>0</v>
      </c>
      <c r="O2707" t="s">
        <v>23</v>
      </c>
      <c r="P2707">
        <v>20220801</v>
      </c>
      <c r="Q2707">
        <v>20220718</v>
      </c>
    </row>
    <row r="2708" spans="1:17" x14ac:dyDescent="0.25">
      <c r="A2708" t="s">
        <v>548</v>
      </c>
      <c r="B2708" t="s">
        <v>429</v>
      </c>
      <c r="C2708">
        <v>95</v>
      </c>
      <c r="D2708">
        <v>20220718</v>
      </c>
      <c r="E2708">
        <f t="shared" si="42"/>
        <v>7</v>
      </c>
      <c r="F2708">
        <v>531105</v>
      </c>
      <c r="G2708" t="s">
        <v>429</v>
      </c>
      <c r="H2708" t="s">
        <v>401</v>
      </c>
      <c r="I2708" t="s">
        <v>402</v>
      </c>
      <c r="J2708" t="s">
        <v>2941</v>
      </c>
      <c r="K2708">
        <v>20220718</v>
      </c>
      <c r="L2708" t="s">
        <v>2942</v>
      </c>
      <c r="M2708">
        <v>0</v>
      </c>
      <c r="N2708">
        <v>100</v>
      </c>
      <c r="O2708" t="s">
        <v>19</v>
      </c>
      <c r="P2708" t="s">
        <v>20</v>
      </c>
      <c r="Q2708">
        <v>20220718</v>
      </c>
    </row>
    <row r="2709" spans="1:17" x14ac:dyDescent="0.25">
      <c r="A2709" t="s">
        <v>548</v>
      </c>
      <c r="B2709" t="s">
        <v>429</v>
      </c>
      <c r="C2709">
        <v>95</v>
      </c>
      <c r="D2709">
        <v>20220718</v>
      </c>
      <c r="E2709">
        <f t="shared" si="42"/>
        <v>7</v>
      </c>
      <c r="F2709">
        <v>467100</v>
      </c>
      <c r="G2709" t="s">
        <v>160</v>
      </c>
      <c r="H2709" t="s">
        <v>1522</v>
      </c>
      <c r="I2709" t="s">
        <v>1523</v>
      </c>
      <c r="J2709" t="s">
        <v>2943</v>
      </c>
      <c r="K2709">
        <v>20220718</v>
      </c>
      <c r="L2709" t="s">
        <v>2926</v>
      </c>
      <c r="M2709">
        <v>0</v>
      </c>
      <c r="N2709">
        <v>20</v>
      </c>
      <c r="O2709" t="s">
        <v>23</v>
      </c>
      <c r="P2709">
        <v>20220801</v>
      </c>
      <c r="Q2709">
        <v>20220718</v>
      </c>
    </row>
    <row r="2710" spans="1:17" x14ac:dyDescent="0.25">
      <c r="A2710" t="s">
        <v>548</v>
      </c>
      <c r="B2710" t="s">
        <v>429</v>
      </c>
      <c r="C2710">
        <v>95</v>
      </c>
      <c r="D2710">
        <v>20220718</v>
      </c>
      <c r="E2710">
        <f t="shared" si="42"/>
        <v>7</v>
      </c>
      <c r="F2710">
        <v>531105</v>
      </c>
      <c r="G2710" t="s">
        <v>429</v>
      </c>
      <c r="H2710" t="s">
        <v>401</v>
      </c>
      <c r="I2710" t="s">
        <v>402</v>
      </c>
      <c r="J2710" t="s">
        <v>2943</v>
      </c>
      <c r="K2710">
        <v>20220718</v>
      </c>
      <c r="L2710" t="s">
        <v>2926</v>
      </c>
      <c r="M2710">
        <v>20</v>
      </c>
      <c r="N2710">
        <v>0</v>
      </c>
      <c r="O2710" t="s">
        <v>19</v>
      </c>
      <c r="P2710" t="s">
        <v>20</v>
      </c>
      <c r="Q2710">
        <v>20220718</v>
      </c>
    </row>
    <row r="2711" spans="1:17" x14ac:dyDescent="0.25">
      <c r="A2711" t="s">
        <v>548</v>
      </c>
      <c r="B2711" t="s">
        <v>429</v>
      </c>
      <c r="C2711">
        <v>95</v>
      </c>
      <c r="D2711">
        <v>20220718</v>
      </c>
      <c r="E2711">
        <f t="shared" si="42"/>
        <v>7</v>
      </c>
      <c r="F2711">
        <v>411000</v>
      </c>
      <c r="G2711" t="s">
        <v>21</v>
      </c>
      <c r="H2711" t="s">
        <v>271</v>
      </c>
      <c r="I2711" t="s">
        <v>272</v>
      </c>
      <c r="J2711">
        <v>347648</v>
      </c>
      <c r="K2711">
        <v>20220718</v>
      </c>
      <c r="L2711" t="s">
        <v>2944</v>
      </c>
      <c r="M2711">
        <v>0</v>
      </c>
      <c r="N2711">
        <v>45.29</v>
      </c>
      <c r="O2711" t="s">
        <v>22</v>
      </c>
      <c r="P2711">
        <v>20230218</v>
      </c>
      <c r="Q2711">
        <v>20220718</v>
      </c>
    </row>
    <row r="2712" spans="1:17" x14ac:dyDescent="0.25">
      <c r="A2712" t="s">
        <v>548</v>
      </c>
      <c r="B2712" t="s">
        <v>429</v>
      </c>
      <c r="C2712">
        <v>95</v>
      </c>
      <c r="D2712">
        <v>20220718</v>
      </c>
      <c r="E2712">
        <f t="shared" si="42"/>
        <v>7</v>
      </c>
      <c r="F2712">
        <v>531105</v>
      </c>
      <c r="G2712" t="s">
        <v>429</v>
      </c>
      <c r="H2712" t="s">
        <v>401</v>
      </c>
      <c r="I2712" t="s">
        <v>402</v>
      </c>
      <c r="J2712">
        <v>347649</v>
      </c>
      <c r="K2712">
        <v>20220718</v>
      </c>
      <c r="L2712" t="s">
        <v>565</v>
      </c>
      <c r="M2712">
        <v>45.29</v>
      </c>
      <c r="N2712">
        <v>0</v>
      </c>
      <c r="O2712" t="s">
        <v>19</v>
      </c>
      <c r="P2712" t="s">
        <v>20</v>
      </c>
      <c r="Q2712">
        <v>20220718</v>
      </c>
    </row>
    <row r="2713" spans="1:17" x14ac:dyDescent="0.25">
      <c r="A2713" t="s">
        <v>548</v>
      </c>
      <c r="B2713" t="s">
        <v>429</v>
      </c>
      <c r="C2713">
        <v>95</v>
      </c>
      <c r="D2713">
        <v>20220718</v>
      </c>
      <c r="E2713">
        <f t="shared" si="42"/>
        <v>7</v>
      </c>
      <c r="F2713">
        <v>411100</v>
      </c>
      <c r="G2713" t="s">
        <v>18</v>
      </c>
      <c r="H2713" t="s">
        <v>107</v>
      </c>
      <c r="I2713" t="s">
        <v>108</v>
      </c>
      <c r="J2713">
        <v>348268</v>
      </c>
      <c r="K2713">
        <v>20220718</v>
      </c>
      <c r="L2713" t="s">
        <v>2945</v>
      </c>
      <c r="M2713">
        <v>0</v>
      </c>
      <c r="N2713">
        <v>26</v>
      </c>
      <c r="O2713" t="s">
        <v>19</v>
      </c>
      <c r="P2713" t="s">
        <v>20</v>
      </c>
      <c r="Q2713">
        <v>20220718</v>
      </c>
    </row>
    <row r="2714" spans="1:17" x14ac:dyDescent="0.25">
      <c r="A2714" t="s">
        <v>548</v>
      </c>
      <c r="B2714" t="s">
        <v>429</v>
      </c>
      <c r="C2714">
        <v>95</v>
      </c>
      <c r="D2714">
        <v>20220718</v>
      </c>
      <c r="E2714">
        <f t="shared" si="42"/>
        <v>7</v>
      </c>
      <c r="F2714">
        <v>411100</v>
      </c>
      <c r="G2714" t="s">
        <v>18</v>
      </c>
      <c r="H2714" t="s">
        <v>2876</v>
      </c>
      <c r="I2714" t="s">
        <v>2877</v>
      </c>
      <c r="J2714">
        <v>348269</v>
      </c>
      <c r="K2714">
        <v>20220718</v>
      </c>
      <c r="L2714" t="s">
        <v>2946</v>
      </c>
      <c r="M2714">
        <v>0</v>
      </c>
      <c r="N2714">
        <v>2</v>
      </c>
      <c r="O2714" t="s">
        <v>22</v>
      </c>
      <c r="P2714">
        <v>20230218</v>
      </c>
      <c r="Q2714">
        <v>20220718</v>
      </c>
    </row>
    <row r="2715" spans="1:17" x14ac:dyDescent="0.25">
      <c r="A2715" t="s">
        <v>548</v>
      </c>
      <c r="B2715" t="s">
        <v>429</v>
      </c>
      <c r="C2715">
        <v>95</v>
      </c>
      <c r="D2715">
        <v>20220718</v>
      </c>
      <c r="E2715">
        <f t="shared" si="42"/>
        <v>7</v>
      </c>
      <c r="F2715">
        <v>531105</v>
      </c>
      <c r="G2715" t="s">
        <v>429</v>
      </c>
      <c r="H2715" t="s">
        <v>401</v>
      </c>
      <c r="I2715" t="s">
        <v>402</v>
      </c>
      <c r="J2715">
        <v>349214</v>
      </c>
      <c r="K2715">
        <v>20220718</v>
      </c>
      <c r="L2715" t="s">
        <v>565</v>
      </c>
      <c r="M2715">
        <v>28</v>
      </c>
      <c r="N2715">
        <v>0</v>
      </c>
      <c r="O2715" t="s">
        <v>19</v>
      </c>
      <c r="P2715" t="s">
        <v>20</v>
      </c>
      <c r="Q2715">
        <v>20220718</v>
      </c>
    </row>
    <row r="2716" spans="1:17" x14ac:dyDescent="0.25">
      <c r="A2716" t="s">
        <v>548</v>
      </c>
      <c r="B2716" t="s">
        <v>429</v>
      </c>
      <c r="C2716">
        <v>95</v>
      </c>
      <c r="D2716">
        <v>20220719</v>
      </c>
      <c r="E2716">
        <f t="shared" si="42"/>
        <v>7</v>
      </c>
      <c r="F2716">
        <v>467100</v>
      </c>
      <c r="G2716" t="s">
        <v>160</v>
      </c>
      <c r="H2716" t="s">
        <v>668</v>
      </c>
      <c r="I2716" t="s">
        <v>669</v>
      </c>
      <c r="J2716" t="s">
        <v>2947</v>
      </c>
      <c r="K2716">
        <v>20220719</v>
      </c>
      <c r="L2716" t="s">
        <v>2948</v>
      </c>
      <c r="M2716">
        <v>100</v>
      </c>
      <c r="N2716">
        <v>0</v>
      </c>
      <c r="O2716" t="s">
        <v>19</v>
      </c>
      <c r="P2716" t="s">
        <v>20</v>
      </c>
      <c r="Q2716">
        <v>20220719</v>
      </c>
    </row>
    <row r="2717" spans="1:17" x14ac:dyDescent="0.25">
      <c r="A2717" t="s">
        <v>548</v>
      </c>
      <c r="B2717" t="s">
        <v>429</v>
      </c>
      <c r="C2717">
        <v>95</v>
      </c>
      <c r="D2717">
        <v>20220719</v>
      </c>
      <c r="E2717">
        <f t="shared" si="42"/>
        <v>7</v>
      </c>
      <c r="F2717">
        <v>531105</v>
      </c>
      <c r="G2717" t="s">
        <v>429</v>
      </c>
      <c r="H2717" t="s">
        <v>401</v>
      </c>
      <c r="I2717" t="s">
        <v>402</v>
      </c>
      <c r="J2717" t="s">
        <v>2947</v>
      </c>
      <c r="K2717">
        <v>20220719</v>
      </c>
      <c r="L2717" t="s">
        <v>2948</v>
      </c>
      <c r="M2717">
        <v>0</v>
      </c>
      <c r="N2717">
        <v>100</v>
      </c>
      <c r="O2717" t="s">
        <v>19</v>
      </c>
      <c r="P2717" t="s">
        <v>20</v>
      </c>
      <c r="Q2717">
        <v>20220719</v>
      </c>
    </row>
    <row r="2718" spans="1:17" x14ac:dyDescent="0.25">
      <c r="A2718" t="s">
        <v>548</v>
      </c>
      <c r="B2718" t="s">
        <v>429</v>
      </c>
      <c r="C2718">
        <v>95</v>
      </c>
      <c r="D2718">
        <v>20220719</v>
      </c>
      <c r="E2718">
        <f t="shared" si="42"/>
        <v>7</v>
      </c>
      <c r="F2718">
        <v>467100</v>
      </c>
      <c r="G2718" t="s">
        <v>160</v>
      </c>
      <c r="H2718" t="s">
        <v>172</v>
      </c>
      <c r="I2718" t="s">
        <v>173</v>
      </c>
      <c r="J2718" t="s">
        <v>2949</v>
      </c>
      <c r="K2718">
        <v>20220719</v>
      </c>
      <c r="L2718" t="s">
        <v>174</v>
      </c>
      <c r="M2718">
        <v>200</v>
      </c>
      <c r="N2718">
        <v>0</v>
      </c>
      <c r="O2718" t="s">
        <v>23</v>
      </c>
      <c r="P2718">
        <v>20220801</v>
      </c>
      <c r="Q2718">
        <v>20220719</v>
      </c>
    </row>
    <row r="2719" spans="1:17" x14ac:dyDescent="0.25">
      <c r="A2719" t="s">
        <v>548</v>
      </c>
      <c r="B2719" t="s">
        <v>429</v>
      </c>
      <c r="C2719">
        <v>95</v>
      </c>
      <c r="D2719">
        <v>20220719</v>
      </c>
      <c r="E2719">
        <f t="shared" si="42"/>
        <v>7</v>
      </c>
      <c r="F2719">
        <v>531105</v>
      </c>
      <c r="G2719" t="s">
        <v>429</v>
      </c>
      <c r="H2719" t="s">
        <v>401</v>
      </c>
      <c r="I2719" t="s">
        <v>402</v>
      </c>
      <c r="J2719" t="s">
        <v>2949</v>
      </c>
      <c r="K2719">
        <v>20220719</v>
      </c>
      <c r="L2719" t="s">
        <v>174</v>
      </c>
      <c r="M2719">
        <v>0</v>
      </c>
      <c r="N2719">
        <v>200</v>
      </c>
      <c r="O2719" t="s">
        <v>19</v>
      </c>
      <c r="P2719" t="s">
        <v>20</v>
      </c>
      <c r="Q2719">
        <v>20220719</v>
      </c>
    </row>
    <row r="2720" spans="1:17" x14ac:dyDescent="0.25">
      <c r="A2720" t="s">
        <v>548</v>
      </c>
      <c r="B2720" t="s">
        <v>429</v>
      </c>
      <c r="C2720">
        <v>95</v>
      </c>
      <c r="D2720">
        <v>20220720</v>
      </c>
      <c r="E2720">
        <f t="shared" si="42"/>
        <v>7</v>
      </c>
      <c r="F2720">
        <v>467100</v>
      </c>
      <c r="G2720" t="s">
        <v>160</v>
      </c>
      <c r="H2720" t="s">
        <v>631</v>
      </c>
      <c r="I2720" t="s">
        <v>632</v>
      </c>
      <c r="J2720" t="s">
        <v>2950</v>
      </c>
      <c r="K2720">
        <v>20220720</v>
      </c>
      <c r="L2720" t="s">
        <v>2951</v>
      </c>
      <c r="M2720">
        <v>5.75</v>
      </c>
      <c r="N2720">
        <v>0</v>
      </c>
      <c r="O2720" t="s">
        <v>23</v>
      </c>
      <c r="P2720">
        <v>20220801</v>
      </c>
      <c r="Q2720">
        <v>20220720</v>
      </c>
    </row>
    <row r="2721" spans="1:17" x14ac:dyDescent="0.25">
      <c r="A2721" t="s">
        <v>548</v>
      </c>
      <c r="B2721" t="s">
        <v>429</v>
      </c>
      <c r="C2721">
        <v>95</v>
      </c>
      <c r="D2721">
        <v>20220720</v>
      </c>
      <c r="E2721">
        <f t="shared" si="42"/>
        <v>7</v>
      </c>
      <c r="F2721">
        <v>531105</v>
      </c>
      <c r="G2721" t="s">
        <v>429</v>
      </c>
      <c r="H2721" t="s">
        <v>401</v>
      </c>
      <c r="I2721" t="s">
        <v>402</v>
      </c>
      <c r="J2721" t="s">
        <v>2950</v>
      </c>
      <c r="K2721">
        <v>20220720</v>
      </c>
      <c r="L2721" t="s">
        <v>2951</v>
      </c>
      <c r="M2721">
        <v>0</v>
      </c>
      <c r="N2721">
        <v>5.75</v>
      </c>
      <c r="O2721" t="s">
        <v>19</v>
      </c>
      <c r="P2721" t="s">
        <v>20</v>
      </c>
      <c r="Q2721">
        <v>20220720</v>
      </c>
    </row>
    <row r="2722" spans="1:17" x14ac:dyDescent="0.25">
      <c r="A2722" t="s">
        <v>548</v>
      </c>
      <c r="B2722" t="s">
        <v>429</v>
      </c>
      <c r="C2722">
        <v>95</v>
      </c>
      <c r="D2722">
        <v>20220720</v>
      </c>
      <c r="E2722">
        <f t="shared" si="42"/>
        <v>7</v>
      </c>
      <c r="F2722">
        <v>467100</v>
      </c>
      <c r="G2722" t="s">
        <v>160</v>
      </c>
      <c r="H2722" t="s">
        <v>631</v>
      </c>
      <c r="I2722" t="s">
        <v>632</v>
      </c>
      <c r="J2722" t="s">
        <v>2952</v>
      </c>
      <c r="K2722">
        <v>20220720</v>
      </c>
      <c r="L2722" t="s">
        <v>2953</v>
      </c>
      <c r="M2722">
        <v>15.7</v>
      </c>
      <c r="N2722">
        <v>0</v>
      </c>
      <c r="O2722" t="s">
        <v>23</v>
      </c>
      <c r="P2722">
        <v>20220905</v>
      </c>
      <c r="Q2722">
        <v>20220720</v>
      </c>
    </row>
    <row r="2723" spans="1:17" x14ac:dyDescent="0.25">
      <c r="A2723" t="s">
        <v>548</v>
      </c>
      <c r="B2723" t="s">
        <v>429</v>
      </c>
      <c r="C2723">
        <v>95</v>
      </c>
      <c r="D2723">
        <v>20220720</v>
      </c>
      <c r="E2723">
        <f t="shared" si="42"/>
        <v>7</v>
      </c>
      <c r="F2723">
        <v>531105</v>
      </c>
      <c r="G2723" t="s">
        <v>429</v>
      </c>
      <c r="H2723" t="s">
        <v>401</v>
      </c>
      <c r="I2723" t="s">
        <v>402</v>
      </c>
      <c r="J2723" t="s">
        <v>2952</v>
      </c>
      <c r="K2723">
        <v>20220720</v>
      </c>
      <c r="L2723" t="s">
        <v>2953</v>
      </c>
      <c r="M2723">
        <v>0</v>
      </c>
      <c r="N2723">
        <v>15.7</v>
      </c>
      <c r="O2723" t="s">
        <v>19</v>
      </c>
      <c r="P2723" t="s">
        <v>20</v>
      </c>
      <c r="Q2723">
        <v>20220720</v>
      </c>
    </row>
    <row r="2724" spans="1:17" x14ac:dyDescent="0.25">
      <c r="A2724" t="s">
        <v>548</v>
      </c>
      <c r="B2724" t="s">
        <v>429</v>
      </c>
      <c r="C2724">
        <v>95</v>
      </c>
      <c r="D2724">
        <v>20220720</v>
      </c>
      <c r="E2724">
        <f t="shared" si="42"/>
        <v>7</v>
      </c>
      <c r="F2724">
        <v>467100</v>
      </c>
      <c r="G2724" t="s">
        <v>160</v>
      </c>
      <c r="H2724" t="s">
        <v>1522</v>
      </c>
      <c r="I2724" t="s">
        <v>1523</v>
      </c>
      <c r="J2724" t="s">
        <v>2954</v>
      </c>
      <c r="K2724">
        <v>20220720</v>
      </c>
      <c r="L2724" t="s">
        <v>2955</v>
      </c>
      <c r="M2724">
        <v>23</v>
      </c>
      <c r="N2724">
        <v>0</v>
      </c>
      <c r="O2724" t="s">
        <v>23</v>
      </c>
      <c r="P2724">
        <v>20220831</v>
      </c>
      <c r="Q2724">
        <v>20220720</v>
      </c>
    </row>
    <row r="2725" spans="1:17" x14ac:dyDescent="0.25">
      <c r="A2725" t="s">
        <v>548</v>
      </c>
      <c r="B2725" t="s">
        <v>429</v>
      </c>
      <c r="C2725">
        <v>95</v>
      </c>
      <c r="D2725">
        <v>20220720</v>
      </c>
      <c r="E2725">
        <f t="shared" si="42"/>
        <v>7</v>
      </c>
      <c r="F2725">
        <v>531105</v>
      </c>
      <c r="G2725" t="s">
        <v>429</v>
      </c>
      <c r="H2725" t="s">
        <v>401</v>
      </c>
      <c r="I2725" t="s">
        <v>402</v>
      </c>
      <c r="J2725" t="s">
        <v>2954</v>
      </c>
      <c r="K2725">
        <v>20220720</v>
      </c>
      <c r="L2725" t="s">
        <v>2955</v>
      </c>
      <c r="M2725">
        <v>0</v>
      </c>
      <c r="N2725">
        <v>23</v>
      </c>
      <c r="O2725" t="s">
        <v>19</v>
      </c>
      <c r="P2725" t="s">
        <v>20</v>
      </c>
      <c r="Q2725">
        <v>20220720</v>
      </c>
    </row>
    <row r="2726" spans="1:17" x14ac:dyDescent="0.25">
      <c r="A2726" t="s">
        <v>548</v>
      </c>
      <c r="B2726" t="s">
        <v>429</v>
      </c>
      <c r="C2726">
        <v>95</v>
      </c>
      <c r="D2726">
        <v>20220720</v>
      </c>
      <c r="E2726">
        <f t="shared" si="42"/>
        <v>7</v>
      </c>
      <c r="F2726">
        <v>467100</v>
      </c>
      <c r="G2726" t="s">
        <v>160</v>
      </c>
      <c r="H2726" t="s">
        <v>1522</v>
      </c>
      <c r="I2726" t="s">
        <v>1523</v>
      </c>
      <c r="J2726" t="s">
        <v>2956</v>
      </c>
      <c r="K2726">
        <v>20220720</v>
      </c>
      <c r="L2726" t="s">
        <v>2957</v>
      </c>
      <c r="M2726">
        <v>0</v>
      </c>
      <c r="N2726">
        <v>2.38</v>
      </c>
      <c r="O2726" t="s">
        <v>23</v>
      </c>
      <c r="P2726">
        <v>20220801</v>
      </c>
      <c r="Q2726">
        <v>20220720</v>
      </c>
    </row>
    <row r="2727" spans="1:17" x14ac:dyDescent="0.25">
      <c r="A2727" t="s">
        <v>548</v>
      </c>
      <c r="B2727" t="s">
        <v>429</v>
      </c>
      <c r="C2727">
        <v>95</v>
      </c>
      <c r="D2727">
        <v>20220720</v>
      </c>
      <c r="E2727">
        <f t="shared" si="42"/>
        <v>7</v>
      </c>
      <c r="F2727">
        <v>531105</v>
      </c>
      <c r="G2727" t="s">
        <v>429</v>
      </c>
      <c r="H2727" t="s">
        <v>401</v>
      </c>
      <c r="I2727" t="s">
        <v>402</v>
      </c>
      <c r="J2727" t="s">
        <v>2956</v>
      </c>
      <c r="K2727">
        <v>20220720</v>
      </c>
      <c r="L2727" t="s">
        <v>2957</v>
      </c>
      <c r="M2727">
        <v>2.38</v>
      </c>
      <c r="N2727">
        <v>0</v>
      </c>
      <c r="O2727" t="s">
        <v>19</v>
      </c>
      <c r="P2727" t="s">
        <v>20</v>
      </c>
      <c r="Q2727">
        <v>20220720</v>
      </c>
    </row>
    <row r="2728" spans="1:17" x14ac:dyDescent="0.25">
      <c r="A2728" t="s">
        <v>548</v>
      </c>
      <c r="B2728" t="s">
        <v>429</v>
      </c>
      <c r="C2728">
        <v>95</v>
      </c>
      <c r="D2728">
        <v>20220720</v>
      </c>
      <c r="E2728">
        <f t="shared" si="42"/>
        <v>7</v>
      </c>
      <c r="F2728">
        <v>467100</v>
      </c>
      <c r="G2728" t="s">
        <v>160</v>
      </c>
      <c r="H2728" t="s">
        <v>316</v>
      </c>
      <c r="I2728" t="s">
        <v>317</v>
      </c>
      <c r="J2728" t="s">
        <v>2958</v>
      </c>
      <c r="K2728">
        <v>20220720</v>
      </c>
      <c r="L2728" t="s">
        <v>2959</v>
      </c>
      <c r="M2728">
        <v>150</v>
      </c>
      <c r="N2728">
        <v>0</v>
      </c>
      <c r="O2728" t="s">
        <v>19</v>
      </c>
      <c r="P2728" t="s">
        <v>20</v>
      </c>
      <c r="Q2728">
        <v>20220720</v>
      </c>
    </row>
    <row r="2729" spans="1:17" x14ac:dyDescent="0.25">
      <c r="A2729" t="s">
        <v>548</v>
      </c>
      <c r="B2729" t="s">
        <v>429</v>
      </c>
      <c r="C2729">
        <v>95</v>
      </c>
      <c r="D2729">
        <v>20220720</v>
      </c>
      <c r="E2729">
        <f t="shared" si="42"/>
        <v>7</v>
      </c>
      <c r="F2729">
        <v>531105</v>
      </c>
      <c r="G2729" t="s">
        <v>429</v>
      </c>
      <c r="H2729" t="s">
        <v>401</v>
      </c>
      <c r="I2729" t="s">
        <v>402</v>
      </c>
      <c r="J2729" t="s">
        <v>2958</v>
      </c>
      <c r="K2729">
        <v>20220720</v>
      </c>
      <c r="L2729" t="s">
        <v>2959</v>
      </c>
      <c r="M2729">
        <v>0</v>
      </c>
      <c r="N2729">
        <v>150</v>
      </c>
      <c r="O2729" t="s">
        <v>19</v>
      </c>
      <c r="P2729" t="s">
        <v>20</v>
      </c>
      <c r="Q2729">
        <v>20220720</v>
      </c>
    </row>
    <row r="2730" spans="1:17" x14ac:dyDescent="0.25">
      <c r="A2730" t="s">
        <v>548</v>
      </c>
      <c r="B2730" t="s">
        <v>429</v>
      </c>
      <c r="C2730">
        <v>95</v>
      </c>
      <c r="D2730">
        <v>20220720</v>
      </c>
      <c r="E2730">
        <f t="shared" si="42"/>
        <v>7</v>
      </c>
      <c r="F2730">
        <v>467100</v>
      </c>
      <c r="G2730" t="s">
        <v>160</v>
      </c>
      <c r="H2730" t="s">
        <v>172</v>
      </c>
      <c r="I2730" t="s">
        <v>173</v>
      </c>
      <c r="J2730" t="s">
        <v>2960</v>
      </c>
      <c r="K2730">
        <v>20220720</v>
      </c>
      <c r="L2730" t="s">
        <v>2961</v>
      </c>
      <c r="M2730">
        <v>38</v>
      </c>
      <c r="N2730">
        <v>0</v>
      </c>
      <c r="O2730" t="s">
        <v>23</v>
      </c>
      <c r="P2730">
        <v>20220929</v>
      </c>
      <c r="Q2730">
        <v>20220720</v>
      </c>
    </row>
    <row r="2731" spans="1:17" x14ac:dyDescent="0.25">
      <c r="A2731" t="s">
        <v>548</v>
      </c>
      <c r="B2731" t="s">
        <v>429</v>
      </c>
      <c r="C2731">
        <v>95</v>
      </c>
      <c r="D2731">
        <v>20220720</v>
      </c>
      <c r="E2731">
        <f t="shared" si="42"/>
        <v>7</v>
      </c>
      <c r="F2731">
        <v>531105</v>
      </c>
      <c r="G2731" t="s">
        <v>429</v>
      </c>
      <c r="H2731" t="s">
        <v>401</v>
      </c>
      <c r="I2731" t="s">
        <v>402</v>
      </c>
      <c r="J2731" t="s">
        <v>2960</v>
      </c>
      <c r="K2731">
        <v>20220720</v>
      </c>
      <c r="L2731" t="s">
        <v>2961</v>
      </c>
      <c r="M2731">
        <v>0</v>
      </c>
      <c r="N2731">
        <v>38</v>
      </c>
      <c r="O2731" t="s">
        <v>19</v>
      </c>
      <c r="P2731" t="s">
        <v>20</v>
      </c>
      <c r="Q2731">
        <v>20220720</v>
      </c>
    </row>
    <row r="2732" spans="1:17" x14ac:dyDescent="0.25">
      <c r="A2732" t="s">
        <v>548</v>
      </c>
      <c r="B2732" t="s">
        <v>429</v>
      </c>
      <c r="C2732">
        <v>95</v>
      </c>
      <c r="D2732">
        <v>20220720</v>
      </c>
      <c r="E2732">
        <f t="shared" si="42"/>
        <v>7</v>
      </c>
      <c r="F2732">
        <v>467100</v>
      </c>
      <c r="G2732" t="s">
        <v>160</v>
      </c>
      <c r="H2732" t="s">
        <v>1522</v>
      </c>
      <c r="I2732" t="s">
        <v>1523</v>
      </c>
      <c r="J2732" t="s">
        <v>2962</v>
      </c>
      <c r="K2732">
        <v>20220720</v>
      </c>
      <c r="L2732" t="s">
        <v>2963</v>
      </c>
      <c r="M2732">
        <v>120</v>
      </c>
      <c r="N2732">
        <v>0</v>
      </c>
      <c r="O2732" t="s">
        <v>23</v>
      </c>
      <c r="P2732">
        <v>20220801</v>
      </c>
      <c r="Q2732">
        <v>20220720</v>
      </c>
    </row>
    <row r="2733" spans="1:17" x14ac:dyDescent="0.25">
      <c r="A2733" t="s">
        <v>548</v>
      </c>
      <c r="B2733" t="s">
        <v>429</v>
      </c>
      <c r="C2733">
        <v>95</v>
      </c>
      <c r="D2733">
        <v>20220720</v>
      </c>
      <c r="E2733">
        <f t="shared" si="42"/>
        <v>7</v>
      </c>
      <c r="F2733">
        <v>531105</v>
      </c>
      <c r="G2733" t="s">
        <v>429</v>
      </c>
      <c r="H2733" t="s">
        <v>401</v>
      </c>
      <c r="I2733" t="s">
        <v>402</v>
      </c>
      <c r="J2733" t="s">
        <v>2962</v>
      </c>
      <c r="K2733">
        <v>20220720</v>
      </c>
      <c r="L2733" t="s">
        <v>2963</v>
      </c>
      <c r="M2733">
        <v>0</v>
      </c>
      <c r="N2733">
        <v>120</v>
      </c>
      <c r="O2733" t="s">
        <v>19</v>
      </c>
      <c r="P2733" t="s">
        <v>20</v>
      </c>
      <c r="Q2733">
        <v>20220720</v>
      </c>
    </row>
    <row r="2734" spans="1:17" x14ac:dyDescent="0.25">
      <c r="A2734" t="s">
        <v>548</v>
      </c>
      <c r="B2734" t="s">
        <v>429</v>
      </c>
      <c r="C2734">
        <v>95</v>
      </c>
      <c r="D2734">
        <v>20220720</v>
      </c>
      <c r="E2734">
        <f t="shared" si="42"/>
        <v>7</v>
      </c>
      <c r="F2734">
        <v>411100</v>
      </c>
      <c r="G2734" t="s">
        <v>18</v>
      </c>
      <c r="H2734" t="s">
        <v>352</v>
      </c>
      <c r="I2734" t="s">
        <v>353</v>
      </c>
      <c r="J2734">
        <v>222060002</v>
      </c>
      <c r="K2734">
        <v>20220720</v>
      </c>
      <c r="L2734" t="s">
        <v>2964</v>
      </c>
      <c r="M2734">
        <v>0</v>
      </c>
      <c r="N2734">
        <v>50</v>
      </c>
      <c r="O2734" t="s">
        <v>19</v>
      </c>
      <c r="P2734" t="s">
        <v>20</v>
      </c>
      <c r="Q2734">
        <v>20220720</v>
      </c>
    </row>
    <row r="2735" spans="1:17" x14ac:dyDescent="0.25">
      <c r="A2735" t="s">
        <v>548</v>
      </c>
      <c r="B2735" t="s">
        <v>429</v>
      </c>
      <c r="C2735">
        <v>95</v>
      </c>
      <c r="D2735">
        <v>20220720</v>
      </c>
      <c r="E2735">
        <f t="shared" si="42"/>
        <v>7</v>
      </c>
      <c r="F2735">
        <v>531105</v>
      </c>
      <c r="G2735" t="s">
        <v>429</v>
      </c>
      <c r="H2735" t="s">
        <v>401</v>
      </c>
      <c r="I2735" t="s">
        <v>402</v>
      </c>
      <c r="J2735">
        <v>347651</v>
      </c>
      <c r="K2735">
        <v>20220720</v>
      </c>
      <c r="L2735" t="s">
        <v>565</v>
      </c>
      <c r="M2735">
        <v>50</v>
      </c>
      <c r="N2735">
        <v>0</v>
      </c>
      <c r="O2735" t="s">
        <v>19</v>
      </c>
      <c r="P2735" t="s">
        <v>20</v>
      </c>
      <c r="Q2735">
        <v>20220720</v>
      </c>
    </row>
    <row r="2736" spans="1:17" x14ac:dyDescent="0.25">
      <c r="A2736" t="s">
        <v>548</v>
      </c>
      <c r="B2736" t="s">
        <v>429</v>
      </c>
      <c r="C2736">
        <v>95</v>
      </c>
      <c r="D2736">
        <v>20220720</v>
      </c>
      <c r="E2736">
        <f t="shared" si="42"/>
        <v>7</v>
      </c>
      <c r="F2736">
        <v>411100</v>
      </c>
      <c r="G2736" t="s">
        <v>18</v>
      </c>
      <c r="H2736" t="s">
        <v>2246</v>
      </c>
      <c r="I2736" t="s">
        <v>2247</v>
      </c>
      <c r="J2736">
        <v>348271</v>
      </c>
      <c r="K2736">
        <v>20220720</v>
      </c>
      <c r="L2736" t="s">
        <v>2965</v>
      </c>
      <c r="M2736">
        <v>0</v>
      </c>
      <c r="N2736">
        <v>3</v>
      </c>
      <c r="O2736" t="s">
        <v>22</v>
      </c>
      <c r="P2736">
        <v>20230218</v>
      </c>
      <c r="Q2736">
        <v>20220720</v>
      </c>
    </row>
    <row r="2737" spans="1:17" x14ac:dyDescent="0.25">
      <c r="A2737" t="s">
        <v>548</v>
      </c>
      <c r="B2737" t="s">
        <v>429</v>
      </c>
      <c r="C2737">
        <v>95</v>
      </c>
      <c r="D2737">
        <v>20220720</v>
      </c>
      <c r="E2737">
        <f t="shared" si="42"/>
        <v>7</v>
      </c>
      <c r="F2737">
        <v>411100</v>
      </c>
      <c r="G2737" t="s">
        <v>18</v>
      </c>
      <c r="H2737" t="s">
        <v>2966</v>
      </c>
      <c r="I2737" t="s">
        <v>2967</v>
      </c>
      <c r="J2737">
        <v>348272</v>
      </c>
      <c r="K2737">
        <v>20220720</v>
      </c>
      <c r="L2737" t="s">
        <v>2968</v>
      </c>
      <c r="M2737">
        <v>0</v>
      </c>
      <c r="N2737">
        <v>3</v>
      </c>
      <c r="O2737" t="s">
        <v>22</v>
      </c>
      <c r="P2737">
        <v>20230218</v>
      </c>
      <c r="Q2737">
        <v>20220720</v>
      </c>
    </row>
    <row r="2738" spans="1:17" x14ac:dyDescent="0.25">
      <c r="A2738" t="s">
        <v>548</v>
      </c>
      <c r="B2738" t="s">
        <v>429</v>
      </c>
      <c r="C2738">
        <v>95</v>
      </c>
      <c r="D2738">
        <v>20220720</v>
      </c>
      <c r="E2738">
        <f t="shared" si="42"/>
        <v>7</v>
      </c>
      <c r="F2738">
        <v>411100</v>
      </c>
      <c r="G2738" t="s">
        <v>18</v>
      </c>
      <c r="H2738" t="s">
        <v>2969</v>
      </c>
      <c r="I2738" t="s">
        <v>2970</v>
      </c>
      <c r="J2738">
        <v>348273</v>
      </c>
      <c r="K2738">
        <v>20220720</v>
      </c>
      <c r="L2738" t="s">
        <v>2971</v>
      </c>
      <c r="M2738">
        <v>0</v>
      </c>
      <c r="N2738">
        <v>3</v>
      </c>
      <c r="O2738" t="s">
        <v>22</v>
      </c>
      <c r="P2738">
        <v>20230218</v>
      </c>
      <c r="Q2738">
        <v>20220720</v>
      </c>
    </row>
    <row r="2739" spans="1:17" x14ac:dyDescent="0.25">
      <c r="A2739" t="s">
        <v>548</v>
      </c>
      <c r="B2739" t="s">
        <v>429</v>
      </c>
      <c r="C2739">
        <v>95</v>
      </c>
      <c r="D2739">
        <v>20220720</v>
      </c>
      <c r="E2739">
        <f t="shared" si="42"/>
        <v>7</v>
      </c>
      <c r="F2739">
        <v>411100</v>
      </c>
      <c r="G2739" t="s">
        <v>18</v>
      </c>
      <c r="H2739" t="s">
        <v>2969</v>
      </c>
      <c r="I2739" t="s">
        <v>2970</v>
      </c>
      <c r="J2739">
        <v>348274</v>
      </c>
      <c r="K2739">
        <v>20220720</v>
      </c>
      <c r="L2739" t="s">
        <v>2972</v>
      </c>
      <c r="M2739">
        <v>0</v>
      </c>
      <c r="N2739">
        <v>10</v>
      </c>
      <c r="O2739" t="s">
        <v>22</v>
      </c>
      <c r="P2739">
        <v>20230218</v>
      </c>
      <c r="Q2739">
        <v>20220720</v>
      </c>
    </row>
    <row r="2740" spans="1:17" x14ac:dyDescent="0.25">
      <c r="A2740" t="s">
        <v>548</v>
      </c>
      <c r="B2740" t="s">
        <v>429</v>
      </c>
      <c r="C2740">
        <v>95</v>
      </c>
      <c r="D2740">
        <v>20220720</v>
      </c>
      <c r="E2740">
        <f t="shared" si="42"/>
        <v>7</v>
      </c>
      <c r="F2740">
        <v>411100</v>
      </c>
      <c r="G2740" t="s">
        <v>18</v>
      </c>
      <c r="H2740" t="s">
        <v>2165</v>
      </c>
      <c r="I2740" t="s">
        <v>2166</v>
      </c>
      <c r="J2740">
        <v>348275</v>
      </c>
      <c r="K2740">
        <v>20220720</v>
      </c>
      <c r="L2740" t="s">
        <v>2973</v>
      </c>
      <c r="M2740">
        <v>0</v>
      </c>
      <c r="N2740">
        <v>13</v>
      </c>
      <c r="O2740" t="s">
        <v>22</v>
      </c>
      <c r="P2740">
        <v>20230218</v>
      </c>
      <c r="Q2740">
        <v>20220720</v>
      </c>
    </row>
    <row r="2741" spans="1:17" x14ac:dyDescent="0.25">
      <c r="A2741" t="s">
        <v>548</v>
      </c>
      <c r="B2741" t="s">
        <v>429</v>
      </c>
      <c r="C2741">
        <v>95</v>
      </c>
      <c r="D2741">
        <v>20220720</v>
      </c>
      <c r="E2741">
        <f t="shared" si="42"/>
        <v>7</v>
      </c>
      <c r="F2741">
        <v>411100</v>
      </c>
      <c r="G2741" t="s">
        <v>18</v>
      </c>
      <c r="H2741" t="s">
        <v>1774</v>
      </c>
      <c r="I2741" t="s">
        <v>1775</v>
      </c>
      <c r="J2741">
        <v>348276</v>
      </c>
      <c r="K2741">
        <v>20220720</v>
      </c>
      <c r="L2741" t="s">
        <v>2974</v>
      </c>
      <c r="M2741">
        <v>0</v>
      </c>
      <c r="N2741">
        <v>2</v>
      </c>
      <c r="O2741" t="s">
        <v>22</v>
      </c>
      <c r="P2741">
        <v>20230218</v>
      </c>
      <c r="Q2741">
        <v>20220720</v>
      </c>
    </row>
    <row r="2742" spans="1:17" x14ac:dyDescent="0.25">
      <c r="A2742" t="s">
        <v>548</v>
      </c>
      <c r="B2742" t="s">
        <v>429</v>
      </c>
      <c r="C2742">
        <v>95</v>
      </c>
      <c r="D2742">
        <v>20220720</v>
      </c>
      <c r="E2742">
        <f t="shared" si="42"/>
        <v>7</v>
      </c>
      <c r="F2742">
        <v>411100</v>
      </c>
      <c r="G2742" t="s">
        <v>18</v>
      </c>
      <c r="H2742" t="s">
        <v>352</v>
      </c>
      <c r="I2742" t="s">
        <v>353</v>
      </c>
      <c r="J2742">
        <v>348277</v>
      </c>
      <c r="K2742">
        <v>20220720</v>
      </c>
      <c r="L2742" t="s">
        <v>2975</v>
      </c>
      <c r="M2742">
        <v>0</v>
      </c>
      <c r="N2742">
        <v>15.54</v>
      </c>
      <c r="O2742" t="s">
        <v>19</v>
      </c>
      <c r="P2742" t="s">
        <v>20</v>
      </c>
      <c r="Q2742">
        <v>20220720</v>
      </c>
    </row>
    <row r="2743" spans="1:17" x14ac:dyDescent="0.25">
      <c r="A2743" t="s">
        <v>548</v>
      </c>
      <c r="B2743" t="s">
        <v>429</v>
      </c>
      <c r="C2743">
        <v>95</v>
      </c>
      <c r="D2743">
        <v>20220720</v>
      </c>
      <c r="E2743">
        <f t="shared" si="42"/>
        <v>7</v>
      </c>
      <c r="F2743">
        <v>531105</v>
      </c>
      <c r="G2743" t="s">
        <v>429</v>
      </c>
      <c r="H2743" t="s">
        <v>401</v>
      </c>
      <c r="I2743" t="s">
        <v>402</v>
      </c>
      <c r="J2743" t="s">
        <v>2976</v>
      </c>
      <c r="K2743">
        <v>20220720</v>
      </c>
      <c r="L2743" t="s">
        <v>565</v>
      </c>
      <c r="M2743">
        <v>49.54</v>
      </c>
      <c r="N2743">
        <v>0</v>
      </c>
      <c r="O2743" t="s">
        <v>19</v>
      </c>
      <c r="P2743" t="s">
        <v>20</v>
      </c>
      <c r="Q2743">
        <v>20220720</v>
      </c>
    </row>
    <row r="2744" spans="1:17" x14ac:dyDescent="0.25">
      <c r="A2744" t="s">
        <v>548</v>
      </c>
      <c r="B2744" t="s">
        <v>429</v>
      </c>
      <c r="C2744">
        <v>95</v>
      </c>
      <c r="D2744">
        <v>20220720</v>
      </c>
      <c r="E2744">
        <f t="shared" si="42"/>
        <v>7</v>
      </c>
      <c r="F2744">
        <v>411100</v>
      </c>
      <c r="G2744" t="s">
        <v>18</v>
      </c>
      <c r="H2744" t="s">
        <v>2246</v>
      </c>
      <c r="I2744" t="s">
        <v>2247</v>
      </c>
      <c r="J2744">
        <v>349215</v>
      </c>
      <c r="K2744">
        <v>20220720</v>
      </c>
      <c r="L2744" t="s">
        <v>2965</v>
      </c>
      <c r="M2744">
        <v>0</v>
      </c>
      <c r="N2744">
        <v>3</v>
      </c>
      <c r="O2744" t="s">
        <v>23</v>
      </c>
      <c r="P2744">
        <v>20230329</v>
      </c>
      <c r="Q2744">
        <v>20220720</v>
      </c>
    </row>
    <row r="2745" spans="1:17" x14ac:dyDescent="0.25">
      <c r="A2745" t="s">
        <v>548</v>
      </c>
      <c r="B2745" t="s">
        <v>429</v>
      </c>
      <c r="C2745">
        <v>95</v>
      </c>
      <c r="D2745">
        <v>20220720</v>
      </c>
      <c r="E2745">
        <f t="shared" si="42"/>
        <v>7</v>
      </c>
      <c r="F2745">
        <v>411100</v>
      </c>
      <c r="G2745" t="s">
        <v>18</v>
      </c>
      <c r="H2745" t="s">
        <v>2966</v>
      </c>
      <c r="I2745" t="s">
        <v>2967</v>
      </c>
      <c r="J2745" t="s">
        <v>2977</v>
      </c>
      <c r="K2745">
        <v>20220720</v>
      </c>
      <c r="L2745" t="s">
        <v>2968</v>
      </c>
      <c r="M2745">
        <v>0</v>
      </c>
      <c r="N2745">
        <v>3</v>
      </c>
      <c r="O2745" t="s">
        <v>22</v>
      </c>
      <c r="P2745">
        <v>20230218</v>
      </c>
      <c r="Q2745">
        <v>20220720</v>
      </c>
    </row>
    <row r="2746" spans="1:17" x14ac:dyDescent="0.25">
      <c r="A2746" t="s">
        <v>548</v>
      </c>
      <c r="B2746" t="s">
        <v>429</v>
      </c>
      <c r="C2746">
        <v>95</v>
      </c>
      <c r="D2746">
        <v>20220720</v>
      </c>
      <c r="E2746">
        <f t="shared" si="42"/>
        <v>7</v>
      </c>
      <c r="F2746">
        <v>411100</v>
      </c>
      <c r="G2746" t="s">
        <v>18</v>
      </c>
      <c r="H2746" t="s">
        <v>352</v>
      </c>
      <c r="I2746" t="s">
        <v>353</v>
      </c>
      <c r="J2746" t="s">
        <v>2978</v>
      </c>
      <c r="K2746">
        <v>20220720</v>
      </c>
      <c r="L2746" t="s">
        <v>2975</v>
      </c>
      <c r="M2746">
        <v>0</v>
      </c>
      <c r="N2746">
        <v>15.54</v>
      </c>
      <c r="O2746" t="s">
        <v>19</v>
      </c>
      <c r="P2746" t="s">
        <v>20</v>
      </c>
      <c r="Q2746">
        <v>20220720</v>
      </c>
    </row>
    <row r="2747" spans="1:17" x14ac:dyDescent="0.25">
      <c r="A2747" t="s">
        <v>548</v>
      </c>
      <c r="B2747" t="s">
        <v>429</v>
      </c>
      <c r="C2747">
        <v>95</v>
      </c>
      <c r="D2747">
        <v>20220720</v>
      </c>
      <c r="E2747">
        <f t="shared" si="42"/>
        <v>7</v>
      </c>
      <c r="F2747">
        <v>411100</v>
      </c>
      <c r="G2747" t="s">
        <v>18</v>
      </c>
      <c r="H2747" t="s">
        <v>2969</v>
      </c>
      <c r="I2747" t="s">
        <v>2970</v>
      </c>
      <c r="J2747">
        <v>349217</v>
      </c>
      <c r="K2747">
        <v>20220720</v>
      </c>
      <c r="L2747" t="s">
        <v>2971</v>
      </c>
      <c r="M2747">
        <v>0</v>
      </c>
      <c r="N2747">
        <v>3</v>
      </c>
      <c r="O2747" t="s">
        <v>22</v>
      </c>
      <c r="P2747">
        <v>20230218</v>
      </c>
      <c r="Q2747">
        <v>20220720</v>
      </c>
    </row>
    <row r="2748" spans="1:17" x14ac:dyDescent="0.25">
      <c r="A2748" t="s">
        <v>548</v>
      </c>
      <c r="B2748" t="s">
        <v>429</v>
      </c>
      <c r="C2748">
        <v>95</v>
      </c>
      <c r="D2748">
        <v>20220720</v>
      </c>
      <c r="E2748">
        <f t="shared" si="42"/>
        <v>7</v>
      </c>
      <c r="F2748">
        <v>411100</v>
      </c>
      <c r="G2748" t="s">
        <v>18</v>
      </c>
      <c r="H2748" t="s">
        <v>2969</v>
      </c>
      <c r="I2748" t="s">
        <v>2970</v>
      </c>
      <c r="J2748">
        <v>349218</v>
      </c>
      <c r="K2748">
        <v>20220720</v>
      </c>
      <c r="L2748" t="s">
        <v>2972</v>
      </c>
      <c r="M2748">
        <v>0</v>
      </c>
      <c r="N2748">
        <v>10</v>
      </c>
      <c r="O2748" t="s">
        <v>22</v>
      </c>
      <c r="P2748">
        <v>20230218</v>
      </c>
      <c r="Q2748">
        <v>20220720</v>
      </c>
    </row>
    <row r="2749" spans="1:17" x14ac:dyDescent="0.25">
      <c r="A2749" t="s">
        <v>548</v>
      </c>
      <c r="B2749" t="s">
        <v>429</v>
      </c>
      <c r="C2749">
        <v>95</v>
      </c>
      <c r="D2749">
        <v>20220720</v>
      </c>
      <c r="E2749">
        <f t="shared" si="42"/>
        <v>7</v>
      </c>
      <c r="F2749">
        <v>411100</v>
      </c>
      <c r="G2749" t="s">
        <v>18</v>
      </c>
      <c r="H2749" t="s">
        <v>2165</v>
      </c>
      <c r="I2749" t="s">
        <v>2166</v>
      </c>
      <c r="J2749">
        <v>349219</v>
      </c>
      <c r="K2749">
        <v>20220720</v>
      </c>
      <c r="L2749" t="s">
        <v>2973</v>
      </c>
      <c r="M2749">
        <v>0</v>
      </c>
      <c r="N2749">
        <v>13</v>
      </c>
      <c r="O2749" t="s">
        <v>23</v>
      </c>
      <c r="P2749">
        <v>20230329</v>
      </c>
      <c r="Q2749">
        <v>20220720</v>
      </c>
    </row>
    <row r="2750" spans="1:17" x14ac:dyDescent="0.25">
      <c r="A2750" t="s">
        <v>548</v>
      </c>
      <c r="B2750" t="s">
        <v>429</v>
      </c>
      <c r="C2750">
        <v>95</v>
      </c>
      <c r="D2750">
        <v>20220720</v>
      </c>
      <c r="E2750">
        <f t="shared" si="42"/>
        <v>7</v>
      </c>
      <c r="F2750">
        <v>411100</v>
      </c>
      <c r="G2750" t="s">
        <v>18</v>
      </c>
      <c r="H2750" t="s">
        <v>1774</v>
      </c>
      <c r="I2750" t="s">
        <v>1775</v>
      </c>
      <c r="J2750">
        <v>349220</v>
      </c>
      <c r="K2750">
        <v>20220720</v>
      </c>
      <c r="L2750" t="s">
        <v>2974</v>
      </c>
      <c r="M2750">
        <v>0</v>
      </c>
      <c r="N2750">
        <v>2</v>
      </c>
      <c r="O2750" t="s">
        <v>22</v>
      </c>
      <c r="P2750">
        <v>20230218</v>
      </c>
      <c r="Q2750">
        <v>20220720</v>
      </c>
    </row>
    <row r="2751" spans="1:17" x14ac:dyDescent="0.25">
      <c r="A2751" t="s">
        <v>548</v>
      </c>
      <c r="B2751" t="s">
        <v>429</v>
      </c>
      <c r="C2751">
        <v>95</v>
      </c>
      <c r="D2751">
        <v>20220720</v>
      </c>
      <c r="E2751">
        <f t="shared" si="42"/>
        <v>7</v>
      </c>
      <c r="F2751">
        <v>531105</v>
      </c>
      <c r="G2751" t="s">
        <v>429</v>
      </c>
      <c r="H2751" t="s">
        <v>401</v>
      </c>
      <c r="I2751" t="s">
        <v>402</v>
      </c>
      <c r="J2751">
        <v>349222</v>
      </c>
      <c r="K2751">
        <v>20220720</v>
      </c>
      <c r="L2751" t="s">
        <v>565</v>
      </c>
      <c r="M2751">
        <v>49.54</v>
      </c>
      <c r="N2751">
        <v>0</v>
      </c>
      <c r="O2751" t="s">
        <v>19</v>
      </c>
      <c r="P2751" t="s">
        <v>20</v>
      </c>
      <c r="Q2751">
        <v>20220720</v>
      </c>
    </row>
    <row r="2752" spans="1:17" x14ac:dyDescent="0.25">
      <c r="A2752" t="s">
        <v>548</v>
      </c>
      <c r="B2752" t="s">
        <v>429</v>
      </c>
      <c r="C2752">
        <v>95</v>
      </c>
      <c r="D2752">
        <v>20220720</v>
      </c>
      <c r="E2752">
        <f t="shared" si="42"/>
        <v>7</v>
      </c>
      <c r="F2752">
        <v>411100</v>
      </c>
      <c r="G2752" t="s">
        <v>18</v>
      </c>
      <c r="H2752" t="s">
        <v>2246</v>
      </c>
      <c r="I2752" t="s">
        <v>2247</v>
      </c>
      <c r="J2752">
        <v>350159</v>
      </c>
      <c r="K2752">
        <v>20220720</v>
      </c>
      <c r="L2752" t="s">
        <v>2965</v>
      </c>
      <c r="M2752">
        <v>3</v>
      </c>
      <c r="N2752">
        <v>0</v>
      </c>
      <c r="O2752" t="s">
        <v>22</v>
      </c>
      <c r="P2752">
        <v>20230218</v>
      </c>
      <c r="Q2752">
        <v>20220720</v>
      </c>
    </row>
    <row r="2753" spans="1:17" x14ac:dyDescent="0.25">
      <c r="A2753" t="s">
        <v>548</v>
      </c>
      <c r="B2753" t="s">
        <v>429</v>
      </c>
      <c r="C2753">
        <v>95</v>
      </c>
      <c r="D2753">
        <v>20220720</v>
      </c>
      <c r="E2753">
        <f t="shared" si="42"/>
        <v>7</v>
      </c>
      <c r="F2753">
        <v>411100</v>
      </c>
      <c r="G2753" t="s">
        <v>18</v>
      </c>
      <c r="H2753" t="s">
        <v>2966</v>
      </c>
      <c r="I2753" t="s">
        <v>2967</v>
      </c>
      <c r="J2753">
        <v>350160</v>
      </c>
      <c r="K2753">
        <v>20220720</v>
      </c>
      <c r="L2753" t="s">
        <v>2968</v>
      </c>
      <c r="M2753">
        <v>3</v>
      </c>
      <c r="N2753">
        <v>0</v>
      </c>
      <c r="O2753" t="s">
        <v>22</v>
      </c>
      <c r="P2753">
        <v>20230218</v>
      </c>
      <c r="Q2753">
        <v>20220720</v>
      </c>
    </row>
    <row r="2754" spans="1:17" x14ac:dyDescent="0.25">
      <c r="A2754" t="s">
        <v>548</v>
      </c>
      <c r="B2754" t="s">
        <v>429</v>
      </c>
      <c r="C2754">
        <v>95</v>
      </c>
      <c r="D2754">
        <v>20220720</v>
      </c>
      <c r="E2754">
        <f t="shared" si="42"/>
        <v>7</v>
      </c>
      <c r="F2754">
        <v>411100</v>
      </c>
      <c r="G2754" t="s">
        <v>18</v>
      </c>
      <c r="H2754" t="s">
        <v>2969</v>
      </c>
      <c r="I2754" t="s">
        <v>2970</v>
      </c>
      <c r="J2754">
        <v>350161</v>
      </c>
      <c r="K2754">
        <v>20220720</v>
      </c>
      <c r="L2754" t="s">
        <v>2971</v>
      </c>
      <c r="M2754">
        <v>3</v>
      </c>
      <c r="N2754">
        <v>0</v>
      </c>
      <c r="O2754" t="s">
        <v>22</v>
      </c>
      <c r="P2754">
        <v>20230218</v>
      </c>
      <c r="Q2754">
        <v>20220720</v>
      </c>
    </row>
    <row r="2755" spans="1:17" x14ac:dyDescent="0.25">
      <c r="A2755" t="s">
        <v>548</v>
      </c>
      <c r="B2755" t="s">
        <v>429</v>
      </c>
      <c r="C2755">
        <v>95</v>
      </c>
      <c r="D2755">
        <v>20220720</v>
      </c>
      <c r="E2755">
        <f t="shared" ref="E2755:E2818" si="43">VALUE(MID(D2755,5,2))</f>
        <v>7</v>
      </c>
      <c r="F2755">
        <v>411100</v>
      </c>
      <c r="G2755" t="s">
        <v>18</v>
      </c>
      <c r="H2755" t="s">
        <v>2969</v>
      </c>
      <c r="I2755" t="s">
        <v>2970</v>
      </c>
      <c r="J2755">
        <v>350162</v>
      </c>
      <c r="K2755">
        <v>20220720</v>
      </c>
      <c r="L2755" t="s">
        <v>2972</v>
      </c>
      <c r="M2755">
        <v>10</v>
      </c>
      <c r="N2755">
        <v>0</v>
      </c>
      <c r="O2755" t="s">
        <v>22</v>
      </c>
      <c r="P2755">
        <v>20230218</v>
      </c>
      <c r="Q2755">
        <v>20220720</v>
      </c>
    </row>
    <row r="2756" spans="1:17" x14ac:dyDescent="0.25">
      <c r="A2756" t="s">
        <v>548</v>
      </c>
      <c r="B2756" t="s">
        <v>429</v>
      </c>
      <c r="C2756">
        <v>95</v>
      </c>
      <c r="D2756">
        <v>20220720</v>
      </c>
      <c r="E2756">
        <f t="shared" si="43"/>
        <v>7</v>
      </c>
      <c r="F2756">
        <v>411100</v>
      </c>
      <c r="G2756" t="s">
        <v>18</v>
      </c>
      <c r="H2756" t="s">
        <v>2165</v>
      </c>
      <c r="I2756" t="s">
        <v>2166</v>
      </c>
      <c r="J2756">
        <v>350163</v>
      </c>
      <c r="K2756">
        <v>20220720</v>
      </c>
      <c r="L2756" t="s">
        <v>2973</v>
      </c>
      <c r="M2756">
        <v>13</v>
      </c>
      <c r="N2756">
        <v>0</v>
      </c>
      <c r="O2756" t="s">
        <v>22</v>
      </c>
      <c r="P2756">
        <v>20230218</v>
      </c>
      <c r="Q2756">
        <v>20220720</v>
      </c>
    </row>
    <row r="2757" spans="1:17" x14ac:dyDescent="0.25">
      <c r="A2757" t="s">
        <v>548</v>
      </c>
      <c r="B2757" t="s">
        <v>429</v>
      </c>
      <c r="C2757">
        <v>95</v>
      </c>
      <c r="D2757">
        <v>20220720</v>
      </c>
      <c r="E2757">
        <f t="shared" si="43"/>
        <v>7</v>
      </c>
      <c r="F2757">
        <v>411100</v>
      </c>
      <c r="G2757" t="s">
        <v>18</v>
      </c>
      <c r="H2757" t="s">
        <v>1774</v>
      </c>
      <c r="I2757" t="s">
        <v>1775</v>
      </c>
      <c r="J2757">
        <v>350164</v>
      </c>
      <c r="K2757">
        <v>20220720</v>
      </c>
      <c r="L2757" t="s">
        <v>2974</v>
      </c>
      <c r="M2757">
        <v>2</v>
      </c>
      <c r="N2757">
        <v>0</v>
      </c>
      <c r="O2757" t="s">
        <v>22</v>
      </c>
      <c r="P2757">
        <v>20230218</v>
      </c>
      <c r="Q2757">
        <v>20220720</v>
      </c>
    </row>
    <row r="2758" spans="1:17" x14ac:dyDescent="0.25">
      <c r="A2758" t="s">
        <v>548</v>
      </c>
      <c r="B2758" t="s">
        <v>429</v>
      </c>
      <c r="C2758">
        <v>95</v>
      </c>
      <c r="D2758">
        <v>20220720</v>
      </c>
      <c r="E2758">
        <f t="shared" si="43"/>
        <v>7</v>
      </c>
      <c r="F2758">
        <v>411100</v>
      </c>
      <c r="G2758" t="s">
        <v>18</v>
      </c>
      <c r="H2758" t="s">
        <v>352</v>
      </c>
      <c r="I2758" t="s">
        <v>353</v>
      </c>
      <c r="J2758">
        <v>350165</v>
      </c>
      <c r="K2758">
        <v>20220720</v>
      </c>
      <c r="L2758" t="s">
        <v>2975</v>
      </c>
      <c r="M2758">
        <v>15.54</v>
      </c>
      <c r="N2758">
        <v>0</v>
      </c>
      <c r="O2758" t="s">
        <v>22</v>
      </c>
      <c r="P2758">
        <v>20230218</v>
      </c>
      <c r="Q2758">
        <v>20220720</v>
      </c>
    </row>
    <row r="2759" spans="1:17" x14ac:dyDescent="0.25">
      <c r="A2759" t="s">
        <v>548</v>
      </c>
      <c r="B2759" t="s">
        <v>429</v>
      </c>
      <c r="C2759">
        <v>95</v>
      </c>
      <c r="D2759">
        <v>20220720</v>
      </c>
      <c r="E2759">
        <f t="shared" si="43"/>
        <v>7</v>
      </c>
      <c r="F2759">
        <v>531105</v>
      </c>
      <c r="G2759" t="s">
        <v>429</v>
      </c>
      <c r="H2759" t="s">
        <v>401</v>
      </c>
      <c r="I2759" t="s">
        <v>402</v>
      </c>
      <c r="J2759">
        <v>350166</v>
      </c>
      <c r="K2759">
        <v>20220720</v>
      </c>
      <c r="L2759" t="s">
        <v>565</v>
      </c>
      <c r="M2759">
        <v>0</v>
      </c>
      <c r="N2759">
        <v>49.54</v>
      </c>
      <c r="O2759" t="s">
        <v>19</v>
      </c>
      <c r="P2759" t="s">
        <v>20</v>
      </c>
      <c r="Q2759">
        <v>20220720</v>
      </c>
    </row>
    <row r="2760" spans="1:17" x14ac:dyDescent="0.25">
      <c r="A2760" t="s">
        <v>548</v>
      </c>
      <c r="B2760" t="s">
        <v>429</v>
      </c>
      <c r="C2760">
        <v>95</v>
      </c>
      <c r="D2760">
        <v>20220721</v>
      </c>
      <c r="E2760">
        <f t="shared" si="43"/>
        <v>7</v>
      </c>
      <c r="F2760">
        <v>411020</v>
      </c>
      <c r="G2760" t="s">
        <v>30</v>
      </c>
      <c r="H2760" t="s">
        <v>332</v>
      </c>
      <c r="I2760" t="s">
        <v>333</v>
      </c>
      <c r="J2760" t="s">
        <v>2979</v>
      </c>
      <c r="K2760">
        <v>20220721</v>
      </c>
      <c r="L2760" t="s">
        <v>2980</v>
      </c>
      <c r="M2760">
        <v>0</v>
      </c>
      <c r="N2760">
        <v>57.66</v>
      </c>
      <c r="O2760" t="s">
        <v>22</v>
      </c>
      <c r="P2760">
        <v>20230218</v>
      </c>
      <c r="Q2760">
        <v>20220721</v>
      </c>
    </row>
    <row r="2761" spans="1:17" x14ac:dyDescent="0.25">
      <c r="A2761" t="s">
        <v>548</v>
      </c>
      <c r="B2761" t="s">
        <v>429</v>
      </c>
      <c r="C2761">
        <v>95</v>
      </c>
      <c r="D2761">
        <v>20220721</v>
      </c>
      <c r="E2761">
        <f t="shared" si="43"/>
        <v>7</v>
      </c>
      <c r="F2761">
        <v>411020</v>
      </c>
      <c r="G2761" t="s">
        <v>30</v>
      </c>
      <c r="H2761" t="s">
        <v>332</v>
      </c>
      <c r="I2761" t="s">
        <v>333</v>
      </c>
      <c r="J2761">
        <v>322060008</v>
      </c>
      <c r="K2761">
        <v>20220721</v>
      </c>
      <c r="L2761" t="s">
        <v>2981</v>
      </c>
      <c r="M2761">
        <v>0</v>
      </c>
      <c r="N2761">
        <v>2.34</v>
      </c>
      <c r="O2761" t="s">
        <v>19</v>
      </c>
      <c r="P2761" t="s">
        <v>20</v>
      </c>
      <c r="Q2761">
        <v>20220721</v>
      </c>
    </row>
    <row r="2762" spans="1:17" x14ac:dyDescent="0.25">
      <c r="A2762" t="s">
        <v>548</v>
      </c>
      <c r="B2762" t="s">
        <v>429</v>
      </c>
      <c r="C2762">
        <v>95</v>
      </c>
      <c r="D2762">
        <v>20220721</v>
      </c>
      <c r="E2762">
        <f t="shared" si="43"/>
        <v>7</v>
      </c>
      <c r="F2762">
        <v>411100</v>
      </c>
      <c r="G2762" t="s">
        <v>18</v>
      </c>
      <c r="H2762" t="s">
        <v>192</v>
      </c>
      <c r="I2762" t="s">
        <v>193</v>
      </c>
      <c r="J2762">
        <v>322060006</v>
      </c>
      <c r="K2762">
        <v>20220721</v>
      </c>
      <c r="L2762" t="s">
        <v>2982</v>
      </c>
      <c r="M2762">
        <v>0</v>
      </c>
      <c r="N2762">
        <v>35</v>
      </c>
      <c r="O2762" t="s">
        <v>23</v>
      </c>
      <c r="P2762">
        <v>20230218</v>
      </c>
      <c r="Q2762">
        <v>20220721</v>
      </c>
    </row>
    <row r="2763" spans="1:17" x14ac:dyDescent="0.25">
      <c r="A2763" t="s">
        <v>548</v>
      </c>
      <c r="B2763" t="s">
        <v>429</v>
      </c>
      <c r="C2763">
        <v>95</v>
      </c>
      <c r="D2763">
        <v>20220721</v>
      </c>
      <c r="E2763">
        <f t="shared" si="43"/>
        <v>7</v>
      </c>
      <c r="F2763">
        <v>531105</v>
      </c>
      <c r="G2763" t="s">
        <v>429</v>
      </c>
      <c r="H2763" t="s">
        <v>401</v>
      </c>
      <c r="I2763" t="s">
        <v>402</v>
      </c>
      <c r="J2763">
        <v>347974</v>
      </c>
      <c r="K2763">
        <v>20220721</v>
      </c>
      <c r="L2763" t="s">
        <v>565</v>
      </c>
      <c r="M2763">
        <v>95</v>
      </c>
      <c r="N2763">
        <v>0</v>
      </c>
      <c r="O2763" t="s">
        <v>19</v>
      </c>
      <c r="P2763" t="s">
        <v>20</v>
      </c>
      <c r="Q2763">
        <v>20220721</v>
      </c>
    </row>
    <row r="2764" spans="1:17" x14ac:dyDescent="0.25">
      <c r="A2764" t="s">
        <v>548</v>
      </c>
      <c r="B2764" t="s">
        <v>429</v>
      </c>
      <c r="C2764">
        <v>95</v>
      </c>
      <c r="D2764">
        <v>20220721</v>
      </c>
      <c r="E2764">
        <f t="shared" si="43"/>
        <v>7</v>
      </c>
      <c r="F2764">
        <v>411100</v>
      </c>
      <c r="G2764" t="s">
        <v>18</v>
      </c>
      <c r="H2764" t="s">
        <v>65</v>
      </c>
      <c r="I2764" t="s">
        <v>66</v>
      </c>
      <c r="J2764">
        <v>122020139</v>
      </c>
      <c r="K2764">
        <v>20220721</v>
      </c>
      <c r="L2764" t="s">
        <v>2983</v>
      </c>
      <c r="M2764">
        <v>0</v>
      </c>
      <c r="N2764">
        <v>3.5</v>
      </c>
      <c r="O2764" t="s">
        <v>22</v>
      </c>
      <c r="P2764">
        <v>20230218</v>
      </c>
      <c r="Q2764">
        <v>20220721</v>
      </c>
    </row>
    <row r="2765" spans="1:17" x14ac:dyDescent="0.25">
      <c r="A2765" t="s">
        <v>548</v>
      </c>
      <c r="B2765" t="s">
        <v>429</v>
      </c>
      <c r="C2765">
        <v>95</v>
      </c>
      <c r="D2765">
        <v>20220721</v>
      </c>
      <c r="E2765">
        <f t="shared" si="43"/>
        <v>7</v>
      </c>
      <c r="F2765">
        <v>411020</v>
      </c>
      <c r="G2765" t="s">
        <v>30</v>
      </c>
      <c r="H2765" t="s">
        <v>369</v>
      </c>
      <c r="I2765" t="s">
        <v>370</v>
      </c>
      <c r="J2765">
        <v>348280</v>
      </c>
      <c r="K2765">
        <v>20220721</v>
      </c>
      <c r="L2765" t="s">
        <v>2984</v>
      </c>
      <c r="M2765">
        <v>0</v>
      </c>
      <c r="N2765">
        <v>1.5</v>
      </c>
      <c r="O2765" t="s">
        <v>22</v>
      </c>
      <c r="P2765">
        <v>20230218</v>
      </c>
      <c r="Q2765">
        <v>20220721</v>
      </c>
    </row>
    <row r="2766" spans="1:17" x14ac:dyDescent="0.25">
      <c r="A2766" t="s">
        <v>548</v>
      </c>
      <c r="B2766" t="s">
        <v>429</v>
      </c>
      <c r="C2766">
        <v>95</v>
      </c>
      <c r="D2766">
        <v>20220721</v>
      </c>
      <c r="E2766">
        <f t="shared" si="43"/>
        <v>7</v>
      </c>
      <c r="F2766">
        <v>411100</v>
      </c>
      <c r="G2766" t="s">
        <v>18</v>
      </c>
      <c r="H2766" t="s">
        <v>2985</v>
      </c>
      <c r="I2766" t="s">
        <v>2986</v>
      </c>
      <c r="J2766">
        <v>348281</v>
      </c>
      <c r="K2766">
        <v>20220721</v>
      </c>
      <c r="L2766" t="s">
        <v>2987</v>
      </c>
      <c r="M2766">
        <v>0</v>
      </c>
      <c r="N2766">
        <v>3.5</v>
      </c>
      <c r="O2766" t="s">
        <v>22</v>
      </c>
      <c r="P2766">
        <v>20230218</v>
      </c>
      <c r="Q2766">
        <v>20220721</v>
      </c>
    </row>
    <row r="2767" spans="1:17" x14ac:dyDescent="0.25">
      <c r="A2767" t="s">
        <v>548</v>
      </c>
      <c r="B2767" t="s">
        <v>429</v>
      </c>
      <c r="C2767">
        <v>95</v>
      </c>
      <c r="D2767">
        <v>20220721</v>
      </c>
      <c r="E2767">
        <f t="shared" si="43"/>
        <v>7</v>
      </c>
      <c r="F2767">
        <v>411100</v>
      </c>
      <c r="G2767" t="s">
        <v>18</v>
      </c>
      <c r="H2767" t="s">
        <v>2985</v>
      </c>
      <c r="I2767" t="s">
        <v>2986</v>
      </c>
      <c r="J2767">
        <v>348282</v>
      </c>
      <c r="K2767">
        <v>20220721</v>
      </c>
      <c r="L2767" t="s">
        <v>2988</v>
      </c>
      <c r="M2767">
        <v>0</v>
      </c>
      <c r="N2767">
        <v>3.5</v>
      </c>
      <c r="O2767" t="s">
        <v>22</v>
      </c>
      <c r="P2767">
        <v>20230218</v>
      </c>
      <c r="Q2767">
        <v>20220721</v>
      </c>
    </row>
    <row r="2768" spans="1:17" x14ac:dyDescent="0.25">
      <c r="A2768" t="s">
        <v>548</v>
      </c>
      <c r="B2768" t="s">
        <v>429</v>
      </c>
      <c r="C2768">
        <v>95</v>
      </c>
      <c r="D2768">
        <v>20220721</v>
      </c>
      <c r="E2768">
        <f t="shared" si="43"/>
        <v>7</v>
      </c>
      <c r="F2768">
        <v>411100</v>
      </c>
      <c r="G2768" t="s">
        <v>18</v>
      </c>
      <c r="H2768" t="s">
        <v>2985</v>
      </c>
      <c r="I2768" t="s">
        <v>2986</v>
      </c>
      <c r="J2768">
        <v>348283</v>
      </c>
      <c r="K2768">
        <v>20220721</v>
      </c>
      <c r="L2768" t="s">
        <v>2989</v>
      </c>
      <c r="M2768">
        <v>0</v>
      </c>
      <c r="N2768">
        <v>3.5</v>
      </c>
      <c r="O2768" t="s">
        <v>22</v>
      </c>
      <c r="P2768">
        <v>20230218</v>
      </c>
      <c r="Q2768">
        <v>20220721</v>
      </c>
    </row>
    <row r="2769" spans="1:17" x14ac:dyDescent="0.25">
      <c r="A2769" t="s">
        <v>548</v>
      </c>
      <c r="B2769" t="s">
        <v>429</v>
      </c>
      <c r="C2769">
        <v>95</v>
      </c>
      <c r="D2769">
        <v>20220721</v>
      </c>
      <c r="E2769">
        <f t="shared" si="43"/>
        <v>7</v>
      </c>
      <c r="F2769">
        <v>411100</v>
      </c>
      <c r="G2769" t="s">
        <v>18</v>
      </c>
      <c r="H2769" t="s">
        <v>344</v>
      </c>
      <c r="I2769" t="s">
        <v>345</v>
      </c>
      <c r="J2769">
        <v>348284</v>
      </c>
      <c r="K2769">
        <v>20220721</v>
      </c>
      <c r="L2769" t="s">
        <v>2990</v>
      </c>
      <c r="M2769">
        <v>0</v>
      </c>
      <c r="N2769">
        <v>3.5</v>
      </c>
      <c r="O2769" t="s">
        <v>19</v>
      </c>
      <c r="P2769" t="s">
        <v>20</v>
      </c>
      <c r="Q2769">
        <v>20220721</v>
      </c>
    </row>
    <row r="2770" spans="1:17" x14ac:dyDescent="0.25">
      <c r="A2770" t="s">
        <v>548</v>
      </c>
      <c r="B2770" t="s">
        <v>429</v>
      </c>
      <c r="C2770">
        <v>95</v>
      </c>
      <c r="D2770">
        <v>20220721</v>
      </c>
      <c r="E2770">
        <f t="shared" si="43"/>
        <v>7</v>
      </c>
      <c r="F2770">
        <v>411100</v>
      </c>
      <c r="G2770" t="s">
        <v>18</v>
      </c>
      <c r="H2770" t="s">
        <v>85</v>
      </c>
      <c r="I2770" t="s">
        <v>86</v>
      </c>
      <c r="J2770">
        <v>348285</v>
      </c>
      <c r="K2770">
        <v>20220721</v>
      </c>
      <c r="L2770" t="s">
        <v>2991</v>
      </c>
      <c r="M2770">
        <v>0</v>
      </c>
      <c r="N2770">
        <v>3.5</v>
      </c>
      <c r="O2770" t="s">
        <v>22</v>
      </c>
      <c r="P2770">
        <v>20230218</v>
      </c>
      <c r="Q2770">
        <v>20220721</v>
      </c>
    </row>
    <row r="2771" spans="1:17" x14ac:dyDescent="0.25">
      <c r="A2771" t="s">
        <v>548</v>
      </c>
      <c r="B2771" t="s">
        <v>429</v>
      </c>
      <c r="C2771">
        <v>95</v>
      </c>
      <c r="D2771">
        <v>20220721</v>
      </c>
      <c r="E2771">
        <f t="shared" si="43"/>
        <v>7</v>
      </c>
      <c r="F2771">
        <v>411100</v>
      </c>
      <c r="G2771" t="s">
        <v>18</v>
      </c>
      <c r="H2771" t="s">
        <v>105</v>
      </c>
      <c r="I2771" t="s">
        <v>106</v>
      </c>
      <c r="J2771">
        <v>348286</v>
      </c>
      <c r="K2771">
        <v>20220721</v>
      </c>
      <c r="L2771" t="s">
        <v>2992</v>
      </c>
      <c r="M2771">
        <v>0</v>
      </c>
      <c r="N2771">
        <v>6</v>
      </c>
      <c r="O2771" t="s">
        <v>22</v>
      </c>
      <c r="P2771">
        <v>20230218</v>
      </c>
      <c r="Q2771">
        <v>20220721</v>
      </c>
    </row>
    <row r="2772" spans="1:17" x14ac:dyDescent="0.25">
      <c r="A2772" t="s">
        <v>548</v>
      </c>
      <c r="B2772" t="s">
        <v>429</v>
      </c>
      <c r="C2772">
        <v>95</v>
      </c>
      <c r="D2772">
        <v>20220721</v>
      </c>
      <c r="E2772">
        <f t="shared" si="43"/>
        <v>7</v>
      </c>
      <c r="F2772">
        <v>411100</v>
      </c>
      <c r="G2772" t="s">
        <v>18</v>
      </c>
      <c r="H2772" t="s">
        <v>1033</v>
      </c>
      <c r="I2772" t="s">
        <v>1034</v>
      </c>
      <c r="J2772">
        <v>348287</v>
      </c>
      <c r="K2772">
        <v>20220721</v>
      </c>
      <c r="L2772" t="s">
        <v>2993</v>
      </c>
      <c r="M2772">
        <v>0</v>
      </c>
      <c r="N2772">
        <v>2</v>
      </c>
      <c r="O2772" t="s">
        <v>22</v>
      </c>
      <c r="P2772">
        <v>20230218</v>
      </c>
      <c r="Q2772">
        <v>20220721</v>
      </c>
    </row>
    <row r="2773" spans="1:17" x14ac:dyDescent="0.25">
      <c r="A2773" t="s">
        <v>548</v>
      </c>
      <c r="B2773" t="s">
        <v>429</v>
      </c>
      <c r="C2773">
        <v>95</v>
      </c>
      <c r="D2773">
        <v>20220721</v>
      </c>
      <c r="E2773">
        <f t="shared" si="43"/>
        <v>7</v>
      </c>
      <c r="F2773">
        <v>411100</v>
      </c>
      <c r="G2773" t="s">
        <v>18</v>
      </c>
      <c r="H2773" t="s">
        <v>660</v>
      </c>
      <c r="I2773" t="s">
        <v>661</v>
      </c>
      <c r="J2773">
        <v>348288</v>
      </c>
      <c r="K2773">
        <v>20220721</v>
      </c>
      <c r="L2773" t="s">
        <v>2994</v>
      </c>
      <c r="M2773">
        <v>0</v>
      </c>
      <c r="N2773">
        <v>2</v>
      </c>
      <c r="O2773" t="s">
        <v>19</v>
      </c>
      <c r="P2773" t="s">
        <v>20</v>
      </c>
      <c r="Q2773">
        <v>20220721</v>
      </c>
    </row>
    <row r="2774" spans="1:17" x14ac:dyDescent="0.25">
      <c r="A2774" t="s">
        <v>548</v>
      </c>
      <c r="B2774" t="s">
        <v>429</v>
      </c>
      <c r="C2774">
        <v>95</v>
      </c>
      <c r="D2774">
        <v>20220721</v>
      </c>
      <c r="E2774">
        <f t="shared" si="43"/>
        <v>7</v>
      </c>
      <c r="F2774">
        <v>411100</v>
      </c>
      <c r="G2774" t="s">
        <v>18</v>
      </c>
      <c r="H2774" t="s">
        <v>2995</v>
      </c>
      <c r="I2774" t="s">
        <v>2996</v>
      </c>
      <c r="J2774">
        <v>348289</v>
      </c>
      <c r="K2774">
        <v>20220721</v>
      </c>
      <c r="L2774" t="s">
        <v>2997</v>
      </c>
      <c r="M2774">
        <v>0</v>
      </c>
      <c r="N2774">
        <v>2</v>
      </c>
      <c r="O2774" t="s">
        <v>22</v>
      </c>
      <c r="P2774">
        <v>20230218</v>
      </c>
      <c r="Q2774">
        <v>20220721</v>
      </c>
    </row>
    <row r="2775" spans="1:17" x14ac:dyDescent="0.25">
      <c r="A2775" t="s">
        <v>548</v>
      </c>
      <c r="B2775" t="s">
        <v>429</v>
      </c>
      <c r="C2775">
        <v>95</v>
      </c>
      <c r="D2775">
        <v>20220721</v>
      </c>
      <c r="E2775">
        <f t="shared" si="43"/>
        <v>7</v>
      </c>
      <c r="F2775">
        <v>411100</v>
      </c>
      <c r="G2775" t="s">
        <v>18</v>
      </c>
      <c r="H2775" t="s">
        <v>1911</v>
      </c>
      <c r="I2775" t="s">
        <v>1912</v>
      </c>
      <c r="J2775">
        <v>348290</v>
      </c>
      <c r="K2775">
        <v>20220721</v>
      </c>
      <c r="L2775" t="s">
        <v>2998</v>
      </c>
      <c r="M2775">
        <v>0</v>
      </c>
      <c r="N2775">
        <v>2</v>
      </c>
      <c r="O2775" t="s">
        <v>22</v>
      </c>
      <c r="P2775">
        <v>20230218</v>
      </c>
      <c r="Q2775">
        <v>20220721</v>
      </c>
    </row>
    <row r="2776" spans="1:17" x14ac:dyDescent="0.25">
      <c r="A2776" t="s">
        <v>548</v>
      </c>
      <c r="B2776" t="s">
        <v>429</v>
      </c>
      <c r="C2776">
        <v>95</v>
      </c>
      <c r="D2776">
        <v>20220721</v>
      </c>
      <c r="E2776">
        <f t="shared" si="43"/>
        <v>7</v>
      </c>
      <c r="F2776">
        <v>411100</v>
      </c>
      <c r="G2776" t="s">
        <v>18</v>
      </c>
      <c r="H2776" t="s">
        <v>1911</v>
      </c>
      <c r="I2776" t="s">
        <v>1912</v>
      </c>
      <c r="J2776">
        <v>348291</v>
      </c>
      <c r="K2776">
        <v>20220721</v>
      </c>
      <c r="L2776" t="s">
        <v>2999</v>
      </c>
      <c r="M2776">
        <v>0</v>
      </c>
      <c r="N2776">
        <v>2</v>
      </c>
      <c r="O2776" t="s">
        <v>19</v>
      </c>
      <c r="P2776" t="s">
        <v>20</v>
      </c>
      <c r="Q2776">
        <v>20220721</v>
      </c>
    </row>
    <row r="2777" spans="1:17" x14ac:dyDescent="0.25">
      <c r="A2777" t="s">
        <v>548</v>
      </c>
      <c r="B2777" t="s">
        <v>429</v>
      </c>
      <c r="C2777">
        <v>95</v>
      </c>
      <c r="D2777">
        <v>20220721</v>
      </c>
      <c r="E2777">
        <f t="shared" si="43"/>
        <v>7</v>
      </c>
      <c r="F2777">
        <v>411100</v>
      </c>
      <c r="G2777" t="s">
        <v>18</v>
      </c>
      <c r="H2777" t="s">
        <v>657</v>
      </c>
      <c r="I2777" t="s">
        <v>658</v>
      </c>
      <c r="J2777">
        <v>348292</v>
      </c>
      <c r="K2777">
        <v>20220721</v>
      </c>
      <c r="L2777" t="s">
        <v>3000</v>
      </c>
      <c r="M2777">
        <v>0</v>
      </c>
      <c r="N2777">
        <v>2</v>
      </c>
      <c r="O2777" t="s">
        <v>19</v>
      </c>
      <c r="P2777" t="s">
        <v>20</v>
      </c>
      <c r="Q2777">
        <v>20220721</v>
      </c>
    </row>
    <row r="2778" spans="1:17" x14ac:dyDescent="0.25">
      <c r="A2778" t="s">
        <v>548</v>
      </c>
      <c r="B2778" t="s">
        <v>429</v>
      </c>
      <c r="C2778">
        <v>95</v>
      </c>
      <c r="D2778">
        <v>20220721</v>
      </c>
      <c r="E2778">
        <f t="shared" si="43"/>
        <v>7</v>
      </c>
      <c r="F2778">
        <v>411100</v>
      </c>
      <c r="G2778" t="s">
        <v>18</v>
      </c>
      <c r="H2778" t="s">
        <v>3001</v>
      </c>
      <c r="I2778" t="s">
        <v>3002</v>
      </c>
      <c r="J2778">
        <v>348293</v>
      </c>
      <c r="K2778">
        <v>20220721</v>
      </c>
      <c r="L2778" t="s">
        <v>3003</v>
      </c>
      <c r="M2778">
        <v>0</v>
      </c>
      <c r="N2778">
        <v>2</v>
      </c>
      <c r="O2778" t="s">
        <v>22</v>
      </c>
      <c r="P2778">
        <v>20230218</v>
      </c>
      <c r="Q2778">
        <v>20220721</v>
      </c>
    </row>
    <row r="2779" spans="1:17" x14ac:dyDescent="0.25">
      <c r="A2779" t="s">
        <v>548</v>
      </c>
      <c r="B2779" t="s">
        <v>429</v>
      </c>
      <c r="C2779">
        <v>95</v>
      </c>
      <c r="D2779">
        <v>20220721</v>
      </c>
      <c r="E2779">
        <f t="shared" si="43"/>
        <v>7</v>
      </c>
      <c r="F2779">
        <v>411100</v>
      </c>
      <c r="G2779" t="s">
        <v>18</v>
      </c>
      <c r="H2779" t="s">
        <v>1029</v>
      </c>
      <c r="I2779" t="s">
        <v>1030</v>
      </c>
      <c r="J2779">
        <v>348294</v>
      </c>
      <c r="K2779">
        <v>20220721</v>
      </c>
      <c r="L2779" t="s">
        <v>3004</v>
      </c>
      <c r="M2779">
        <v>0</v>
      </c>
      <c r="N2779">
        <v>2</v>
      </c>
      <c r="O2779" t="s">
        <v>22</v>
      </c>
      <c r="P2779">
        <v>20230218</v>
      </c>
      <c r="Q2779">
        <v>20220721</v>
      </c>
    </row>
    <row r="2780" spans="1:17" x14ac:dyDescent="0.25">
      <c r="A2780" t="s">
        <v>548</v>
      </c>
      <c r="B2780" t="s">
        <v>429</v>
      </c>
      <c r="C2780">
        <v>95</v>
      </c>
      <c r="D2780">
        <v>20220721</v>
      </c>
      <c r="E2780">
        <f t="shared" si="43"/>
        <v>7</v>
      </c>
      <c r="F2780">
        <v>411100</v>
      </c>
      <c r="G2780" t="s">
        <v>18</v>
      </c>
      <c r="H2780" t="s">
        <v>154</v>
      </c>
      <c r="I2780" t="s">
        <v>155</v>
      </c>
      <c r="J2780">
        <v>348295</v>
      </c>
      <c r="K2780">
        <v>20220721</v>
      </c>
      <c r="L2780" t="s">
        <v>3005</v>
      </c>
      <c r="M2780">
        <v>0</v>
      </c>
      <c r="N2780">
        <v>4</v>
      </c>
      <c r="O2780" t="s">
        <v>22</v>
      </c>
      <c r="P2780">
        <v>20230218</v>
      </c>
      <c r="Q2780">
        <v>20220721</v>
      </c>
    </row>
    <row r="2781" spans="1:17" x14ac:dyDescent="0.25">
      <c r="A2781" t="s">
        <v>548</v>
      </c>
      <c r="B2781" t="s">
        <v>429</v>
      </c>
      <c r="C2781">
        <v>95</v>
      </c>
      <c r="D2781">
        <v>20220721</v>
      </c>
      <c r="E2781">
        <f t="shared" si="43"/>
        <v>7</v>
      </c>
      <c r="F2781">
        <v>411100</v>
      </c>
      <c r="G2781" t="s">
        <v>18</v>
      </c>
      <c r="H2781" t="s">
        <v>3006</v>
      </c>
      <c r="I2781" t="s">
        <v>3007</v>
      </c>
      <c r="J2781">
        <v>348296</v>
      </c>
      <c r="K2781">
        <v>20220721</v>
      </c>
      <c r="L2781" t="s">
        <v>3008</v>
      </c>
      <c r="M2781">
        <v>0</v>
      </c>
      <c r="N2781">
        <v>2</v>
      </c>
      <c r="O2781" t="s">
        <v>22</v>
      </c>
      <c r="P2781">
        <v>20230218</v>
      </c>
      <c r="Q2781">
        <v>20220721</v>
      </c>
    </row>
    <row r="2782" spans="1:17" x14ac:dyDescent="0.25">
      <c r="A2782" t="s">
        <v>548</v>
      </c>
      <c r="B2782" t="s">
        <v>429</v>
      </c>
      <c r="C2782">
        <v>95</v>
      </c>
      <c r="D2782">
        <v>20220721</v>
      </c>
      <c r="E2782">
        <f t="shared" si="43"/>
        <v>7</v>
      </c>
      <c r="F2782">
        <v>411100</v>
      </c>
      <c r="G2782" t="s">
        <v>18</v>
      </c>
      <c r="H2782" t="s">
        <v>85</v>
      </c>
      <c r="I2782" t="s">
        <v>86</v>
      </c>
      <c r="J2782">
        <v>348297</v>
      </c>
      <c r="K2782">
        <v>20220721</v>
      </c>
      <c r="L2782" t="s">
        <v>3009</v>
      </c>
      <c r="M2782">
        <v>0</v>
      </c>
      <c r="N2782">
        <v>2</v>
      </c>
      <c r="O2782" t="s">
        <v>19</v>
      </c>
      <c r="P2782" t="s">
        <v>20</v>
      </c>
      <c r="Q2782">
        <v>20220721</v>
      </c>
    </row>
    <row r="2783" spans="1:17" x14ac:dyDescent="0.25">
      <c r="A2783" t="s">
        <v>548</v>
      </c>
      <c r="B2783" t="s">
        <v>429</v>
      </c>
      <c r="C2783">
        <v>95</v>
      </c>
      <c r="D2783">
        <v>20220721</v>
      </c>
      <c r="E2783">
        <f t="shared" si="43"/>
        <v>7</v>
      </c>
      <c r="F2783">
        <v>411100</v>
      </c>
      <c r="G2783" t="s">
        <v>18</v>
      </c>
      <c r="H2783" t="s">
        <v>344</v>
      </c>
      <c r="I2783" t="s">
        <v>345</v>
      </c>
      <c r="J2783">
        <v>348298</v>
      </c>
      <c r="K2783">
        <v>20220721</v>
      </c>
      <c r="L2783" t="s">
        <v>3010</v>
      </c>
      <c r="M2783">
        <v>0</v>
      </c>
      <c r="N2783">
        <v>3.5</v>
      </c>
      <c r="O2783" t="s">
        <v>19</v>
      </c>
      <c r="P2783" t="s">
        <v>20</v>
      </c>
      <c r="Q2783">
        <v>20220721</v>
      </c>
    </row>
    <row r="2784" spans="1:17" x14ac:dyDescent="0.25">
      <c r="A2784" t="s">
        <v>548</v>
      </c>
      <c r="B2784" t="s">
        <v>429</v>
      </c>
      <c r="C2784">
        <v>95</v>
      </c>
      <c r="D2784">
        <v>20220721</v>
      </c>
      <c r="E2784">
        <f t="shared" si="43"/>
        <v>7</v>
      </c>
      <c r="F2784">
        <v>411100</v>
      </c>
      <c r="G2784" t="s">
        <v>18</v>
      </c>
      <c r="H2784" t="s">
        <v>105</v>
      </c>
      <c r="I2784" t="s">
        <v>106</v>
      </c>
      <c r="J2784">
        <v>348299</v>
      </c>
      <c r="K2784">
        <v>20220721</v>
      </c>
      <c r="L2784" t="s">
        <v>3011</v>
      </c>
      <c r="M2784">
        <v>0</v>
      </c>
      <c r="N2784">
        <v>4</v>
      </c>
      <c r="O2784" t="s">
        <v>19</v>
      </c>
      <c r="P2784" t="s">
        <v>20</v>
      </c>
      <c r="Q2784">
        <v>20220721</v>
      </c>
    </row>
    <row r="2785" spans="1:17" x14ac:dyDescent="0.25">
      <c r="A2785" t="s">
        <v>548</v>
      </c>
      <c r="B2785" t="s">
        <v>429</v>
      </c>
      <c r="C2785">
        <v>95</v>
      </c>
      <c r="D2785">
        <v>20220721</v>
      </c>
      <c r="E2785">
        <f t="shared" si="43"/>
        <v>7</v>
      </c>
      <c r="F2785">
        <v>411100</v>
      </c>
      <c r="G2785" t="s">
        <v>18</v>
      </c>
      <c r="H2785" t="s">
        <v>2501</v>
      </c>
      <c r="I2785" t="s">
        <v>2502</v>
      </c>
      <c r="J2785">
        <v>348300</v>
      </c>
      <c r="K2785">
        <v>20220721</v>
      </c>
      <c r="L2785" t="s">
        <v>3012</v>
      </c>
      <c r="M2785">
        <v>0</v>
      </c>
      <c r="N2785">
        <v>4.5</v>
      </c>
      <c r="O2785" t="s">
        <v>22</v>
      </c>
      <c r="P2785">
        <v>20230218</v>
      </c>
      <c r="Q2785">
        <v>20220721</v>
      </c>
    </row>
    <row r="2786" spans="1:17" x14ac:dyDescent="0.25">
      <c r="A2786" t="s">
        <v>548</v>
      </c>
      <c r="B2786" t="s">
        <v>429</v>
      </c>
      <c r="C2786">
        <v>95</v>
      </c>
      <c r="D2786">
        <v>20220721</v>
      </c>
      <c r="E2786">
        <f t="shared" si="43"/>
        <v>7</v>
      </c>
      <c r="F2786">
        <v>411100</v>
      </c>
      <c r="G2786" t="s">
        <v>18</v>
      </c>
      <c r="H2786" t="s">
        <v>35</v>
      </c>
      <c r="I2786" t="s">
        <v>36</v>
      </c>
      <c r="J2786">
        <v>348301</v>
      </c>
      <c r="K2786">
        <v>20220721</v>
      </c>
      <c r="L2786" t="s">
        <v>3013</v>
      </c>
      <c r="M2786">
        <v>0</v>
      </c>
      <c r="N2786">
        <v>3</v>
      </c>
      <c r="O2786" t="s">
        <v>22</v>
      </c>
      <c r="P2786">
        <v>20230218</v>
      </c>
      <c r="Q2786">
        <v>20220721</v>
      </c>
    </row>
    <row r="2787" spans="1:17" x14ac:dyDescent="0.25">
      <c r="A2787" t="s">
        <v>548</v>
      </c>
      <c r="B2787" t="s">
        <v>429</v>
      </c>
      <c r="C2787">
        <v>95</v>
      </c>
      <c r="D2787">
        <v>20220721</v>
      </c>
      <c r="E2787">
        <f t="shared" si="43"/>
        <v>7</v>
      </c>
      <c r="F2787">
        <v>411100</v>
      </c>
      <c r="G2787" t="s">
        <v>18</v>
      </c>
      <c r="H2787" t="s">
        <v>1774</v>
      </c>
      <c r="I2787" t="s">
        <v>1775</v>
      </c>
      <c r="J2787">
        <v>348302</v>
      </c>
      <c r="K2787">
        <v>20220721</v>
      </c>
      <c r="L2787" t="s">
        <v>3014</v>
      </c>
      <c r="M2787">
        <v>0</v>
      </c>
      <c r="N2787">
        <v>1</v>
      </c>
      <c r="O2787" t="s">
        <v>22</v>
      </c>
      <c r="P2787">
        <v>20230218</v>
      </c>
      <c r="Q2787">
        <v>20220721</v>
      </c>
    </row>
    <row r="2788" spans="1:17" x14ac:dyDescent="0.25">
      <c r="A2788" t="s">
        <v>548</v>
      </c>
      <c r="B2788" t="s">
        <v>429</v>
      </c>
      <c r="C2788">
        <v>95</v>
      </c>
      <c r="D2788">
        <v>20220721</v>
      </c>
      <c r="E2788">
        <f t="shared" si="43"/>
        <v>7</v>
      </c>
      <c r="F2788">
        <v>411100</v>
      </c>
      <c r="G2788" t="s">
        <v>18</v>
      </c>
      <c r="H2788" t="s">
        <v>81</v>
      </c>
      <c r="I2788" t="s">
        <v>82</v>
      </c>
      <c r="J2788">
        <v>348303</v>
      </c>
      <c r="K2788">
        <v>20220721</v>
      </c>
      <c r="L2788" t="s">
        <v>3015</v>
      </c>
      <c r="M2788">
        <v>0</v>
      </c>
      <c r="N2788">
        <v>3.5</v>
      </c>
      <c r="O2788" t="s">
        <v>22</v>
      </c>
      <c r="P2788">
        <v>20230218</v>
      </c>
      <c r="Q2788">
        <v>20220721</v>
      </c>
    </row>
    <row r="2789" spans="1:17" x14ac:dyDescent="0.25">
      <c r="A2789" t="s">
        <v>548</v>
      </c>
      <c r="B2789" t="s">
        <v>429</v>
      </c>
      <c r="C2789">
        <v>95</v>
      </c>
      <c r="D2789">
        <v>20220721</v>
      </c>
      <c r="E2789">
        <f t="shared" si="43"/>
        <v>7</v>
      </c>
      <c r="F2789">
        <v>411100</v>
      </c>
      <c r="G2789" t="s">
        <v>18</v>
      </c>
      <c r="H2789" t="s">
        <v>1911</v>
      </c>
      <c r="I2789" t="s">
        <v>1912</v>
      </c>
      <c r="J2789">
        <v>348304</v>
      </c>
      <c r="K2789">
        <v>20220721</v>
      </c>
      <c r="L2789" t="s">
        <v>3016</v>
      </c>
      <c r="M2789">
        <v>0</v>
      </c>
      <c r="N2789">
        <v>5</v>
      </c>
      <c r="O2789" t="s">
        <v>19</v>
      </c>
      <c r="P2789" t="s">
        <v>20</v>
      </c>
      <c r="Q2789">
        <v>20220721</v>
      </c>
    </row>
    <row r="2790" spans="1:17" x14ac:dyDescent="0.25">
      <c r="A2790" t="s">
        <v>548</v>
      </c>
      <c r="B2790" t="s">
        <v>429</v>
      </c>
      <c r="C2790">
        <v>95</v>
      </c>
      <c r="D2790">
        <v>20220721</v>
      </c>
      <c r="E2790">
        <f t="shared" si="43"/>
        <v>7</v>
      </c>
      <c r="F2790">
        <v>411100</v>
      </c>
      <c r="G2790" t="s">
        <v>18</v>
      </c>
      <c r="H2790" t="s">
        <v>3006</v>
      </c>
      <c r="I2790" t="s">
        <v>3007</v>
      </c>
      <c r="J2790">
        <v>348305</v>
      </c>
      <c r="K2790">
        <v>20220721</v>
      </c>
      <c r="L2790" t="s">
        <v>3017</v>
      </c>
      <c r="M2790">
        <v>0</v>
      </c>
      <c r="N2790">
        <v>3.5</v>
      </c>
      <c r="O2790" t="s">
        <v>22</v>
      </c>
      <c r="P2790">
        <v>20230218</v>
      </c>
      <c r="Q2790">
        <v>20220721</v>
      </c>
    </row>
    <row r="2791" spans="1:17" x14ac:dyDescent="0.25">
      <c r="A2791" t="s">
        <v>548</v>
      </c>
      <c r="B2791" t="s">
        <v>429</v>
      </c>
      <c r="C2791">
        <v>95</v>
      </c>
      <c r="D2791">
        <v>20220721</v>
      </c>
      <c r="E2791">
        <f t="shared" si="43"/>
        <v>7</v>
      </c>
      <c r="F2791">
        <v>411100</v>
      </c>
      <c r="G2791" t="s">
        <v>18</v>
      </c>
      <c r="H2791" t="s">
        <v>65</v>
      </c>
      <c r="I2791" t="s">
        <v>66</v>
      </c>
      <c r="J2791">
        <v>348306</v>
      </c>
      <c r="K2791">
        <v>20220721</v>
      </c>
      <c r="L2791" t="s">
        <v>3018</v>
      </c>
      <c r="M2791">
        <v>0</v>
      </c>
      <c r="N2791">
        <v>3.5</v>
      </c>
      <c r="O2791" t="s">
        <v>22</v>
      </c>
      <c r="P2791">
        <v>20230218</v>
      </c>
      <c r="Q2791">
        <v>20220721</v>
      </c>
    </row>
    <row r="2792" spans="1:17" x14ac:dyDescent="0.25">
      <c r="A2792" t="s">
        <v>548</v>
      </c>
      <c r="B2792" t="s">
        <v>429</v>
      </c>
      <c r="C2792">
        <v>95</v>
      </c>
      <c r="D2792">
        <v>20220721</v>
      </c>
      <c r="E2792">
        <f t="shared" si="43"/>
        <v>7</v>
      </c>
      <c r="F2792">
        <v>411100</v>
      </c>
      <c r="G2792" t="s">
        <v>18</v>
      </c>
      <c r="H2792" t="s">
        <v>657</v>
      </c>
      <c r="I2792" t="s">
        <v>658</v>
      </c>
      <c r="J2792">
        <v>348307</v>
      </c>
      <c r="K2792">
        <v>20220721</v>
      </c>
      <c r="L2792" t="s">
        <v>3019</v>
      </c>
      <c r="M2792">
        <v>0</v>
      </c>
      <c r="N2792">
        <v>3.5</v>
      </c>
      <c r="O2792" t="s">
        <v>19</v>
      </c>
      <c r="P2792" t="s">
        <v>20</v>
      </c>
      <c r="Q2792">
        <v>20220721</v>
      </c>
    </row>
    <row r="2793" spans="1:17" x14ac:dyDescent="0.25">
      <c r="A2793" t="s">
        <v>548</v>
      </c>
      <c r="B2793" t="s">
        <v>429</v>
      </c>
      <c r="C2793">
        <v>95</v>
      </c>
      <c r="D2793">
        <v>20220721</v>
      </c>
      <c r="E2793">
        <f t="shared" si="43"/>
        <v>7</v>
      </c>
      <c r="F2793">
        <v>411100</v>
      </c>
      <c r="G2793" t="s">
        <v>18</v>
      </c>
      <c r="H2793" t="s">
        <v>1033</v>
      </c>
      <c r="I2793" t="s">
        <v>1034</v>
      </c>
      <c r="J2793">
        <v>348308</v>
      </c>
      <c r="K2793">
        <v>20220721</v>
      </c>
      <c r="L2793" t="s">
        <v>3020</v>
      </c>
      <c r="M2793">
        <v>0</v>
      </c>
      <c r="N2793">
        <v>1.5</v>
      </c>
      <c r="O2793" t="s">
        <v>19</v>
      </c>
      <c r="P2793" t="s">
        <v>20</v>
      </c>
      <c r="Q2793">
        <v>20220721</v>
      </c>
    </row>
    <row r="2794" spans="1:17" x14ac:dyDescent="0.25">
      <c r="A2794" t="s">
        <v>548</v>
      </c>
      <c r="B2794" t="s">
        <v>429</v>
      </c>
      <c r="C2794">
        <v>95</v>
      </c>
      <c r="D2794">
        <v>20220721</v>
      </c>
      <c r="E2794">
        <f t="shared" si="43"/>
        <v>7</v>
      </c>
      <c r="F2794">
        <v>411100</v>
      </c>
      <c r="G2794" t="s">
        <v>18</v>
      </c>
      <c r="H2794" t="s">
        <v>3021</v>
      </c>
      <c r="I2794" t="s">
        <v>3022</v>
      </c>
      <c r="J2794">
        <v>348309</v>
      </c>
      <c r="K2794">
        <v>20220721</v>
      </c>
      <c r="L2794" t="s">
        <v>3023</v>
      </c>
      <c r="M2794">
        <v>0</v>
      </c>
      <c r="N2794">
        <v>3.5</v>
      </c>
      <c r="O2794" t="s">
        <v>22</v>
      </c>
      <c r="P2794">
        <v>20230218</v>
      </c>
      <c r="Q2794">
        <v>20220721</v>
      </c>
    </row>
    <row r="2795" spans="1:17" x14ac:dyDescent="0.25">
      <c r="A2795" t="s">
        <v>548</v>
      </c>
      <c r="B2795" t="s">
        <v>429</v>
      </c>
      <c r="C2795">
        <v>95</v>
      </c>
      <c r="D2795">
        <v>20220721</v>
      </c>
      <c r="E2795">
        <f t="shared" si="43"/>
        <v>7</v>
      </c>
      <c r="F2795">
        <v>531105</v>
      </c>
      <c r="G2795" t="s">
        <v>429</v>
      </c>
      <c r="H2795" t="s">
        <v>401</v>
      </c>
      <c r="I2795" t="s">
        <v>402</v>
      </c>
      <c r="J2795">
        <v>348310</v>
      </c>
      <c r="K2795">
        <v>20220721</v>
      </c>
      <c r="L2795" t="s">
        <v>565</v>
      </c>
      <c r="M2795">
        <v>92.5</v>
      </c>
      <c r="N2795">
        <v>0</v>
      </c>
      <c r="O2795" t="s">
        <v>19</v>
      </c>
      <c r="P2795" t="s">
        <v>20</v>
      </c>
      <c r="Q2795">
        <v>20220721</v>
      </c>
    </row>
    <row r="2796" spans="1:17" x14ac:dyDescent="0.25">
      <c r="A2796" t="s">
        <v>548</v>
      </c>
      <c r="B2796" t="s">
        <v>429</v>
      </c>
      <c r="C2796">
        <v>95</v>
      </c>
      <c r="D2796">
        <v>20220721</v>
      </c>
      <c r="E2796">
        <f t="shared" si="43"/>
        <v>7</v>
      </c>
      <c r="F2796">
        <v>411100</v>
      </c>
      <c r="G2796" t="s">
        <v>18</v>
      </c>
      <c r="H2796" t="s">
        <v>65</v>
      </c>
      <c r="I2796" t="s">
        <v>66</v>
      </c>
      <c r="J2796">
        <v>122020139</v>
      </c>
      <c r="K2796">
        <v>20220721</v>
      </c>
      <c r="L2796" t="s">
        <v>2983</v>
      </c>
      <c r="M2796">
        <v>0</v>
      </c>
      <c r="N2796">
        <v>3.5</v>
      </c>
      <c r="O2796" t="s">
        <v>19</v>
      </c>
      <c r="P2796" t="s">
        <v>20</v>
      </c>
      <c r="Q2796">
        <v>20220721</v>
      </c>
    </row>
    <row r="2797" spans="1:17" x14ac:dyDescent="0.25">
      <c r="A2797" t="s">
        <v>548</v>
      </c>
      <c r="B2797" t="s">
        <v>429</v>
      </c>
      <c r="C2797">
        <v>95</v>
      </c>
      <c r="D2797">
        <v>20220721</v>
      </c>
      <c r="E2797">
        <f t="shared" si="43"/>
        <v>7</v>
      </c>
      <c r="F2797">
        <v>411020</v>
      </c>
      <c r="G2797" t="s">
        <v>30</v>
      </c>
      <c r="H2797" t="s">
        <v>369</v>
      </c>
      <c r="I2797" t="s">
        <v>370</v>
      </c>
      <c r="J2797">
        <v>349224</v>
      </c>
      <c r="K2797">
        <v>20220721</v>
      </c>
      <c r="L2797" t="s">
        <v>2984</v>
      </c>
      <c r="M2797">
        <v>0</v>
      </c>
      <c r="N2797">
        <v>1.5</v>
      </c>
      <c r="O2797" t="s">
        <v>22</v>
      </c>
      <c r="P2797">
        <v>20230218</v>
      </c>
      <c r="Q2797">
        <v>20220721</v>
      </c>
    </row>
    <row r="2798" spans="1:17" x14ac:dyDescent="0.25">
      <c r="A2798" t="s">
        <v>548</v>
      </c>
      <c r="B2798" t="s">
        <v>429</v>
      </c>
      <c r="C2798">
        <v>95</v>
      </c>
      <c r="D2798">
        <v>20220721</v>
      </c>
      <c r="E2798">
        <f t="shared" si="43"/>
        <v>7</v>
      </c>
      <c r="F2798">
        <v>411100</v>
      </c>
      <c r="G2798" t="s">
        <v>18</v>
      </c>
      <c r="H2798" t="s">
        <v>2985</v>
      </c>
      <c r="I2798" t="s">
        <v>2986</v>
      </c>
      <c r="J2798">
        <v>349225</v>
      </c>
      <c r="K2798">
        <v>20220721</v>
      </c>
      <c r="L2798" t="s">
        <v>2987</v>
      </c>
      <c r="M2798">
        <v>0</v>
      </c>
      <c r="N2798">
        <v>3.5</v>
      </c>
      <c r="O2798" t="s">
        <v>22</v>
      </c>
      <c r="P2798">
        <v>20230218</v>
      </c>
      <c r="Q2798">
        <v>20220721</v>
      </c>
    </row>
    <row r="2799" spans="1:17" x14ac:dyDescent="0.25">
      <c r="A2799" t="s">
        <v>548</v>
      </c>
      <c r="B2799" t="s">
        <v>429</v>
      </c>
      <c r="C2799">
        <v>95</v>
      </c>
      <c r="D2799">
        <v>20220721</v>
      </c>
      <c r="E2799">
        <f t="shared" si="43"/>
        <v>7</v>
      </c>
      <c r="F2799">
        <v>411100</v>
      </c>
      <c r="G2799" t="s">
        <v>18</v>
      </c>
      <c r="H2799" t="s">
        <v>2985</v>
      </c>
      <c r="I2799" t="s">
        <v>2986</v>
      </c>
      <c r="J2799">
        <v>349226</v>
      </c>
      <c r="K2799">
        <v>20220721</v>
      </c>
      <c r="L2799" t="s">
        <v>2988</v>
      </c>
      <c r="M2799">
        <v>0</v>
      </c>
      <c r="N2799">
        <v>3.5</v>
      </c>
      <c r="O2799" t="s">
        <v>22</v>
      </c>
      <c r="P2799">
        <v>20230218</v>
      </c>
      <c r="Q2799">
        <v>20220721</v>
      </c>
    </row>
    <row r="2800" spans="1:17" x14ac:dyDescent="0.25">
      <c r="A2800" t="s">
        <v>548</v>
      </c>
      <c r="B2800" t="s">
        <v>429</v>
      </c>
      <c r="C2800">
        <v>95</v>
      </c>
      <c r="D2800">
        <v>20220721</v>
      </c>
      <c r="E2800">
        <f t="shared" si="43"/>
        <v>7</v>
      </c>
      <c r="F2800">
        <v>411100</v>
      </c>
      <c r="G2800" t="s">
        <v>18</v>
      </c>
      <c r="H2800" t="s">
        <v>2985</v>
      </c>
      <c r="I2800" t="s">
        <v>2986</v>
      </c>
      <c r="J2800">
        <v>349227</v>
      </c>
      <c r="K2800">
        <v>20220721</v>
      </c>
      <c r="L2800" t="s">
        <v>2989</v>
      </c>
      <c r="M2800">
        <v>0</v>
      </c>
      <c r="N2800">
        <v>3.5</v>
      </c>
      <c r="O2800" t="s">
        <v>23</v>
      </c>
      <c r="P2800">
        <v>20230329</v>
      </c>
      <c r="Q2800">
        <v>20220721</v>
      </c>
    </row>
    <row r="2801" spans="1:17" x14ac:dyDescent="0.25">
      <c r="A2801" t="s">
        <v>548</v>
      </c>
      <c r="B2801" t="s">
        <v>429</v>
      </c>
      <c r="C2801">
        <v>95</v>
      </c>
      <c r="D2801">
        <v>20220721</v>
      </c>
      <c r="E2801">
        <f t="shared" si="43"/>
        <v>7</v>
      </c>
      <c r="F2801">
        <v>411100</v>
      </c>
      <c r="G2801" t="s">
        <v>18</v>
      </c>
      <c r="H2801" t="s">
        <v>344</v>
      </c>
      <c r="I2801" t="s">
        <v>345</v>
      </c>
      <c r="J2801">
        <v>349228</v>
      </c>
      <c r="K2801">
        <v>20220721</v>
      </c>
      <c r="L2801" t="s">
        <v>2990</v>
      </c>
      <c r="M2801">
        <v>0</v>
      </c>
      <c r="N2801">
        <v>3.5</v>
      </c>
      <c r="O2801" t="s">
        <v>19</v>
      </c>
      <c r="P2801" t="s">
        <v>20</v>
      </c>
      <c r="Q2801">
        <v>20220721</v>
      </c>
    </row>
    <row r="2802" spans="1:17" x14ac:dyDescent="0.25">
      <c r="A2802" t="s">
        <v>548</v>
      </c>
      <c r="B2802" t="s">
        <v>429</v>
      </c>
      <c r="C2802">
        <v>95</v>
      </c>
      <c r="D2802">
        <v>20220721</v>
      </c>
      <c r="E2802">
        <f t="shared" si="43"/>
        <v>7</v>
      </c>
      <c r="F2802">
        <v>411100</v>
      </c>
      <c r="G2802" t="s">
        <v>18</v>
      </c>
      <c r="H2802" t="s">
        <v>85</v>
      </c>
      <c r="I2802" t="s">
        <v>86</v>
      </c>
      <c r="J2802">
        <v>349229</v>
      </c>
      <c r="K2802">
        <v>20220721</v>
      </c>
      <c r="L2802" t="s">
        <v>2991</v>
      </c>
      <c r="M2802">
        <v>0</v>
      </c>
      <c r="N2802">
        <v>3.5</v>
      </c>
      <c r="O2802" t="s">
        <v>19</v>
      </c>
      <c r="P2802" t="s">
        <v>20</v>
      </c>
      <c r="Q2802">
        <v>20220721</v>
      </c>
    </row>
    <row r="2803" spans="1:17" x14ac:dyDescent="0.25">
      <c r="A2803" t="s">
        <v>548</v>
      </c>
      <c r="B2803" t="s">
        <v>429</v>
      </c>
      <c r="C2803">
        <v>95</v>
      </c>
      <c r="D2803">
        <v>20220721</v>
      </c>
      <c r="E2803">
        <f t="shared" si="43"/>
        <v>7</v>
      </c>
      <c r="F2803">
        <v>411100</v>
      </c>
      <c r="G2803" t="s">
        <v>18</v>
      </c>
      <c r="H2803" t="s">
        <v>105</v>
      </c>
      <c r="I2803" t="s">
        <v>106</v>
      </c>
      <c r="J2803">
        <v>349230</v>
      </c>
      <c r="K2803">
        <v>20220721</v>
      </c>
      <c r="L2803" t="s">
        <v>2992</v>
      </c>
      <c r="M2803">
        <v>0</v>
      </c>
      <c r="N2803">
        <v>6</v>
      </c>
      <c r="O2803" t="s">
        <v>19</v>
      </c>
      <c r="P2803" t="s">
        <v>20</v>
      </c>
      <c r="Q2803">
        <v>20220721</v>
      </c>
    </row>
    <row r="2804" spans="1:17" x14ac:dyDescent="0.25">
      <c r="A2804" t="s">
        <v>548</v>
      </c>
      <c r="B2804" t="s">
        <v>429</v>
      </c>
      <c r="C2804">
        <v>95</v>
      </c>
      <c r="D2804">
        <v>20220721</v>
      </c>
      <c r="E2804">
        <f t="shared" si="43"/>
        <v>7</v>
      </c>
      <c r="F2804">
        <v>411100</v>
      </c>
      <c r="G2804" t="s">
        <v>18</v>
      </c>
      <c r="H2804" t="s">
        <v>1033</v>
      </c>
      <c r="I2804" t="s">
        <v>1034</v>
      </c>
      <c r="J2804">
        <v>349231</v>
      </c>
      <c r="K2804">
        <v>20220721</v>
      </c>
      <c r="L2804" t="s">
        <v>2993</v>
      </c>
      <c r="M2804">
        <v>0</v>
      </c>
      <c r="N2804">
        <v>2</v>
      </c>
      <c r="O2804" t="s">
        <v>22</v>
      </c>
      <c r="P2804">
        <v>20230218</v>
      </c>
      <c r="Q2804">
        <v>20220721</v>
      </c>
    </row>
    <row r="2805" spans="1:17" x14ac:dyDescent="0.25">
      <c r="A2805" t="s">
        <v>548</v>
      </c>
      <c r="B2805" t="s">
        <v>429</v>
      </c>
      <c r="C2805">
        <v>95</v>
      </c>
      <c r="D2805">
        <v>20220721</v>
      </c>
      <c r="E2805">
        <f t="shared" si="43"/>
        <v>7</v>
      </c>
      <c r="F2805">
        <v>411100</v>
      </c>
      <c r="G2805" t="s">
        <v>18</v>
      </c>
      <c r="H2805" t="s">
        <v>660</v>
      </c>
      <c r="I2805" t="s">
        <v>661</v>
      </c>
      <c r="J2805">
        <v>349232</v>
      </c>
      <c r="K2805">
        <v>20220721</v>
      </c>
      <c r="L2805" t="s">
        <v>2994</v>
      </c>
      <c r="M2805">
        <v>0</v>
      </c>
      <c r="N2805">
        <v>2</v>
      </c>
      <c r="O2805" t="s">
        <v>19</v>
      </c>
      <c r="P2805" t="s">
        <v>20</v>
      </c>
      <c r="Q2805">
        <v>20220721</v>
      </c>
    </row>
    <row r="2806" spans="1:17" x14ac:dyDescent="0.25">
      <c r="A2806" t="s">
        <v>548</v>
      </c>
      <c r="B2806" t="s">
        <v>429</v>
      </c>
      <c r="C2806">
        <v>95</v>
      </c>
      <c r="D2806">
        <v>20220721</v>
      </c>
      <c r="E2806">
        <f t="shared" si="43"/>
        <v>7</v>
      </c>
      <c r="F2806">
        <v>411100</v>
      </c>
      <c r="G2806" t="s">
        <v>18</v>
      </c>
      <c r="H2806" t="s">
        <v>2995</v>
      </c>
      <c r="I2806" t="s">
        <v>2996</v>
      </c>
      <c r="J2806">
        <v>349233</v>
      </c>
      <c r="K2806">
        <v>20220721</v>
      </c>
      <c r="L2806" t="s">
        <v>2997</v>
      </c>
      <c r="M2806">
        <v>0</v>
      </c>
      <c r="N2806">
        <v>2</v>
      </c>
      <c r="O2806" t="s">
        <v>22</v>
      </c>
      <c r="P2806">
        <v>20230218</v>
      </c>
      <c r="Q2806">
        <v>20220721</v>
      </c>
    </row>
    <row r="2807" spans="1:17" x14ac:dyDescent="0.25">
      <c r="A2807" t="s">
        <v>548</v>
      </c>
      <c r="B2807" t="s">
        <v>429</v>
      </c>
      <c r="C2807">
        <v>95</v>
      </c>
      <c r="D2807">
        <v>20220721</v>
      </c>
      <c r="E2807">
        <f t="shared" si="43"/>
        <v>7</v>
      </c>
      <c r="F2807">
        <v>411100</v>
      </c>
      <c r="G2807" t="s">
        <v>18</v>
      </c>
      <c r="H2807" t="s">
        <v>1911</v>
      </c>
      <c r="I2807" t="s">
        <v>1912</v>
      </c>
      <c r="J2807">
        <v>349234</v>
      </c>
      <c r="K2807">
        <v>20220721</v>
      </c>
      <c r="L2807" t="s">
        <v>2998</v>
      </c>
      <c r="M2807">
        <v>0</v>
      </c>
      <c r="N2807">
        <v>2</v>
      </c>
      <c r="O2807" t="s">
        <v>19</v>
      </c>
      <c r="P2807" t="s">
        <v>20</v>
      </c>
      <c r="Q2807">
        <v>20220721</v>
      </c>
    </row>
    <row r="2808" spans="1:17" x14ac:dyDescent="0.25">
      <c r="A2808" t="s">
        <v>548</v>
      </c>
      <c r="B2808" t="s">
        <v>429</v>
      </c>
      <c r="C2808">
        <v>95</v>
      </c>
      <c r="D2808">
        <v>20220721</v>
      </c>
      <c r="E2808">
        <f t="shared" si="43"/>
        <v>7</v>
      </c>
      <c r="F2808">
        <v>411100</v>
      </c>
      <c r="G2808" t="s">
        <v>18</v>
      </c>
      <c r="H2808" t="s">
        <v>1911</v>
      </c>
      <c r="I2808" t="s">
        <v>1912</v>
      </c>
      <c r="J2808">
        <v>349235</v>
      </c>
      <c r="K2808">
        <v>20220721</v>
      </c>
      <c r="L2808" t="s">
        <v>2999</v>
      </c>
      <c r="M2808">
        <v>0</v>
      </c>
      <c r="N2808">
        <v>2</v>
      </c>
      <c r="O2808" t="s">
        <v>19</v>
      </c>
      <c r="P2808" t="s">
        <v>20</v>
      </c>
      <c r="Q2808">
        <v>20220721</v>
      </c>
    </row>
    <row r="2809" spans="1:17" x14ac:dyDescent="0.25">
      <c r="A2809" t="s">
        <v>548</v>
      </c>
      <c r="B2809" t="s">
        <v>429</v>
      </c>
      <c r="C2809">
        <v>95</v>
      </c>
      <c r="D2809">
        <v>20220721</v>
      </c>
      <c r="E2809">
        <f t="shared" si="43"/>
        <v>7</v>
      </c>
      <c r="F2809">
        <v>411100</v>
      </c>
      <c r="G2809" t="s">
        <v>18</v>
      </c>
      <c r="H2809" t="s">
        <v>657</v>
      </c>
      <c r="I2809" t="s">
        <v>658</v>
      </c>
      <c r="J2809">
        <v>349236</v>
      </c>
      <c r="K2809">
        <v>20220721</v>
      </c>
      <c r="L2809" t="s">
        <v>3000</v>
      </c>
      <c r="M2809">
        <v>0</v>
      </c>
      <c r="N2809">
        <v>2</v>
      </c>
      <c r="O2809" t="s">
        <v>19</v>
      </c>
      <c r="P2809" t="s">
        <v>20</v>
      </c>
      <c r="Q2809">
        <v>20220721</v>
      </c>
    </row>
    <row r="2810" spans="1:17" x14ac:dyDescent="0.25">
      <c r="A2810" t="s">
        <v>548</v>
      </c>
      <c r="B2810" t="s">
        <v>429</v>
      </c>
      <c r="C2810">
        <v>95</v>
      </c>
      <c r="D2810">
        <v>20220721</v>
      </c>
      <c r="E2810">
        <f t="shared" si="43"/>
        <v>7</v>
      </c>
      <c r="F2810">
        <v>411100</v>
      </c>
      <c r="G2810" t="s">
        <v>18</v>
      </c>
      <c r="H2810" t="s">
        <v>3001</v>
      </c>
      <c r="I2810" t="s">
        <v>3002</v>
      </c>
      <c r="J2810">
        <v>349237</v>
      </c>
      <c r="K2810">
        <v>20220721</v>
      </c>
      <c r="L2810" t="s">
        <v>3003</v>
      </c>
      <c r="M2810">
        <v>0</v>
      </c>
      <c r="N2810">
        <v>2</v>
      </c>
      <c r="O2810" t="s">
        <v>22</v>
      </c>
      <c r="P2810">
        <v>20230218</v>
      </c>
      <c r="Q2810">
        <v>20220721</v>
      </c>
    </row>
    <row r="2811" spans="1:17" x14ac:dyDescent="0.25">
      <c r="A2811" t="s">
        <v>548</v>
      </c>
      <c r="B2811" t="s">
        <v>429</v>
      </c>
      <c r="C2811">
        <v>95</v>
      </c>
      <c r="D2811">
        <v>20220721</v>
      </c>
      <c r="E2811">
        <f t="shared" si="43"/>
        <v>7</v>
      </c>
      <c r="F2811">
        <v>411100</v>
      </c>
      <c r="G2811" t="s">
        <v>18</v>
      </c>
      <c r="H2811" t="s">
        <v>1029</v>
      </c>
      <c r="I2811" t="s">
        <v>1030</v>
      </c>
      <c r="J2811">
        <v>349238</v>
      </c>
      <c r="K2811">
        <v>20220721</v>
      </c>
      <c r="L2811" t="s">
        <v>3004</v>
      </c>
      <c r="M2811">
        <v>0</v>
      </c>
      <c r="N2811">
        <v>2</v>
      </c>
      <c r="O2811" t="s">
        <v>22</v>
      </c>
      <c r="P2811">
        <v>20230218</v>
      </c>
      <c r="Q2811">
        <v>20220721</v>
      </c>
    </row>
    <row r="2812" spans="1:17" x14ac:dyDescent="0.25">
      <c r="A2812" t="s">
        <v>548</v>
      </c>
      <c r="B2812" t="s">
        <v>429</v>
      </c>
      <c r="C2812">
        <v>95</v>
      </c>
      <c r="D2812">
        <v>20220721</v>
      </c>
      <c r="E2812">
        <f t="shared" si="43"/>
        <v>7</v>
      </c>
      <c r="F2812">
        <v>411100</v>
      </c>
      <c r="G2812" t="s">
        <v>18</v>
      </c>
      <c r="H2812" t="s">
        <v>154</v>
      </c>
      <c r="I2812" t="s">
        <v>155</v>
      </c>
      <c r="J2812">
        <v>349239</v>
      </c>
      <c r="K2812">
        <v>20220721</v>
      </c>
      <c r="L2812" t="s">
        <v>3005</v>
      </c>
      <c r="M2812">
        <v>0</v>
      </c>
      <c r="N2812">
        <v>4</v>
      </c>
      <c r="O2812" t="s">
        <v>19</v>
      </c>
      <c r="P2812" t="s">
        <v>20</v>
      </c>
      <c r="Q2812">
        <v>20220721</v>
      </c>
    </row>
    <row r="2813" spans="1:17" x14ac:dyDescent="0.25">
      <c r="A2813" t="s">
        <v>548</v>
      </c>
      <c r="B2813" t="s">
        <v>429</v>
      </c>
      <c r="C2813">
        <v>95</v>
      </c>
      <c r="D2813">
        <v>20220721</v>
      </c>
      <c r="E2813">
        <f t="shared" si="43"/>
        <v>7</v>
      </c>
      <c r="F2813">
        <v>411100</v>
      </c>
      <c r="G2813" t="s">
        <v>18</v>
      </c>
      <c r="H2813" t="s">
        <v>3006</v>
      </c>
      <c r="I2813" t="s">
        <v>3007</v>
      </c>
      <c r="J2813">
        <v>349240</v>
      </c>
      <c r="K2813">
        <v>20220721</v>
      </c>
      <c r="L2813" t="s">
        <v>3008</v>
      </c>
      <c r="M2813">
        <v>0</v>
      </c>
      <c r="N2813">
        <v>2</v>
      </c>
      <c r="O2813" t="s">
        <v>22</v>
      </c>
      <c r="P2813">
        <v>20230218</v>
      </c>
      <c r="Q2813">
        <v>20220721</v>
      </c>
    </row>
    <row r="2814" spans="1:17" x14ac:dyDescent="0.25">
      <c r="A2814" t="s">
        <v>548</v>
      </c>
      <c r="B2814" t="s">
        <v>429</v>
      </c>
      <c r="C2814">
        <v>95</v>
      </c>
      <c r="D2814">
        <v>20220721</v>
      </c>
      <c r="E2814">
        <f t="shared" si="43"/>
        <v>7</v>
      </c>
      <c r="F2814">
        <v>411100</v>
      </c>
      <c r="G2814" t="s">
        <v>18</v>
      </c>
      <c r="H2814" t="s">
        <v>85</v>
      </c>
      <c r="I2814" t="s">
        <v>86</v>
      </c>
      <c r="J2814">
        <v>349241</v>
      </c>
      <c r="K2814">
        <v>20220721</v>
      </c>
      <c r="L2814" t="s">
        <v>3009</v>
      </c>
      <c r="M2814">
        <v>0</v>
      </c>
      <c r="N2814">
        <v>2</v>
      </c>
      <c r="O2814" t="s">
        <v>19</v>
      </c>
      <c r="P2814" t="s">
        <v>20</v>
      </c>
      <c r="Q2814">
        <v>20220721</v>
      </c>
    </row>
    <row r="2815" spans="1:17" x14ac:dyDescent="0.25">
      <c r="A2815" t="s">
        <v>548</v>
      </c>
      <c r="B2815" t="s">
        <v>429</v>
      </c>
      <c r="C2815">
        <v>95</v>
      </c>
      <c r="D2815">
        <v>20220721</v>
      </c>
      <c r="E2815">
        <f t="shared" si="43"/>
        <v>7</v>
      </c>
      <c r="F2815">
        <v>411100</v>
      </c>
      <c r="G2815" t="s">
        <v>18</v>
      </c>
      <c r="H2815" t="s">
        <v>344</v>
      </c>
      <c r="I2815" t="s">
        <v>345</v>
      </c>
      <c r="J2815">
        <v>349242</v>
      </c>
      <c r="K2815">
        <v>20220721</v>
      </c>
      <c r="L2815" t="s">
        <v>3010</v>
      </c>
      <c r="M2815">
        <v>0</v>
      </c>
      <c r="N2815">
        <v>3.5</v>
      </c>
      <c r="O2815" t="s">
        <v>19</v>
      </c>
      <c r="P2815" t="s">
        <v>20</v>
      </c>
      <c r="Q2815">
        <v>20220721</v>
      </c>
    </row>
    <row r="2816" spans="1:17" x14ac:dyDescent="0.25">
      <c r="A2816" t="s">
        <v>548</v>
      </c>
      <c r="B2816" t="s">
        <v>429</v>
      </c>
      <c r="C2816">
        <v>95</v>
      </c>
      <c r="D2816">
        <v>20220721</v>
      </c>
      <c r="E2816">
        <f t="shared" si="43"/>
        <v>7</v>
      </c>
      <c r="F2816">
        <v>411100</v>
      </c>
      <c r="G2816" t="s">
        <v>18</v>
      </c>
      <c r="H2816" t="s">
        <v>105</v>
      </c>
      <c r="I2816" t="s">
        <v>106</v>
      </c>
      <c r="J2816">
        <v>349243</v>
      </c>
      <c r="K2816">
        <v>20220721</v>
      </c>
      <c r="L2816" t="s">
        <v>3011</v>
      </c>
      <c r="M2816">
        <v>0</v>
      </c>
      <c r="N2816">
        <v>4</v>
      </c>
      <c r="O2816" t="s">
        <v>19</v>
      </c>
      <c r="P2816" t="s">
        <v>20</v>
      </c>
      <c r="Q2816">
        <v>20220721</v>
      </c>
    </row>
    <row r="2817" spans="1:17" x14ac:dyDescent="0.25">
      <c r="A2817" t="s">
        <v>548</v>
      </c>
      <c r="B2817" t="s">
        <v>429</v>
      </c>
      <c r="C2817">
        <v>95</v>
      </c>
      <c r="D2817">
        <v>20220721</v>
      </c>
      <c r="E2817">
        <f t="shared" si="43"/>
        <v>7</v>
      </c>
      <c r="F2817">
        <v>411100</v>
      </c>
      <c r="G2817" t="s">
        <v>18</v>
      </c>
      <c r="H2817" t="s">
        <v>2501</v>
      </c>
      <c r="I2817" t="s">
        <v>2502</v>
      </c>
      <c r="J2817">
        <v>349244</v>
      </c>
      <c r="K2817">
        <v>20220721</v>
      </c>
      <c r="L2817" t="s">
        <v>3012</v>
      </c>
      <c r="M2817">
        <v>0</v>
      </c>
      <c r="N2817">
        <v>4.5</v>
      </c>
      <c r="O2817" t="s">
        <v>22</v>
      </c>
      <c r="P2817">
        <v>20230218</v>
      </c>
      <c r="Q2817">
        <v>20220721</v>
      </c>
    </row>
    <row r="2818" spans="1:17" x14ac:dyDescent="0.25">
      <c r="A2818" t="s">
        <v>548</v>
      </c>
      <c r="B2818" t="s">
        <v>429</v>
      </c>
      <c r="C2818">
        <v>95</v>
      </c>
      <c r="D2818">
        <v>20220721</v>
      </c>
      <c r="E2818">
        <f t="shared" si="43"/>
        <v>7</v>
      </c>
      <c r="F2818">
        <v>411100</v>
      </c>
      <c r="G2818" t="s">
        <v>18</v>
      </c>
      <c r="H2818" t="s">
        <v>35</v>
      </c>
      <c r="I2818" t="s">
        <v>36</v>
      </c>
      <c r="J2818">
        <v>349245</v>
      </c>
      <c r="K2818">
        <v>20220721</v>
      </c>
      <c r="L2818" t="s">
        <v>3013</v>
      </c>
      <c r="M2818">
        <v>0</v>
      </c>
      <c r="N2818">
        <v>3</v>
      </c>
      <c r="O2818" t="s">
        <v>22</v>
      </c>
      <c r="P2818">
        <v>20230218</v>
      </c>
      <c r="Q2818">
        <v>20220721</v>
      </c>
    </row>
    <row r="2819" spans="1:17" x14ac:dyDescent="0.25">
      <c r="A2819" t="s">
        <v>548</v>
      </c>
      <c r="B2819" t="s">
        <v>429</v>
      </c>
      <c r="C2819">
        <v>95</v>
      </c>
      <c r="D2819">
        <v>20220721</v>
      </c>
      <c r="E2819">
        <f t="shared" ref="E2819:E2882" si="44">VALUE(MID(D2819,5,2))</f>
        <v>7</v>
      </c>
      <c r="F2819">
        <v>411100</v>
      </c>
      <c r="G2819" t="s">
        <v>18</v>
      </c>
      <c r="H2819" t="s">
        <v>1774</v>
      </c>
      <c r="I2819" t="s">
        <v>1775</v>
      </c>
      <c r="J2819">
        <v>349246</v>
      </c>
      <c r="K2819">
        <v>20220721</v>
      </c>
      <c r="L2819" t="s">
        <v>3014</v>
      </c>
      <c r="M2819">
        <v>0</v>
      </c>
      <c r="N2819">
        <v>1</v>
      </c>
      <c r="O2819" t="s">
        <v>23</v>
      </c>
      <c r="P2819">
        <v>20230329</v>
      </c>
      <c r="Q2819">
        <v>20220721</v>
      </c>
    </row>
    <row r="2820" spans="1:17" x14ac:dyDescent="0.25">
      <c r="A2820" t="s">
        <v>548</v>
      </c>
      <c r="B2820" t="s">
        <v>429</v>
      </c>
      <c r="C2820">
        <v>95</v>
      </c>
      <c r="D2820">
        <v>20220721</v>
      </c>
      <c r="E2820">
        <f t="shared" si="44"/>
        <v>7</v>
      </c>
      <c r="F2820">
        <v>411100</v>
      </c>
      <c r="G2820" t="s">
        <v>18</v>
      </c>
      <c r="H2820" t="s">
        <v>81</v>
      </c>
      <c r="I2820" t="s">
        <v>82</v>
      </c>
      <c r="J2820">
        <v>349247</v>
      </c>
      <c r="K2820">
        <v>20220721</v>
      </c>
      <c r="L2820" t="s">
        <v>3015</v>
      </c>
      <c r="M2820">
        <v>0</v>
      </c>
      <c r="N2820">
        <v>3.5</v>
      </c>
      <c r="O2820" t="s">
        <v>19</v>
      </c>
      <c r="P2820" t="s">
        <v>20</v>
      </c>
      <c r="Q2820">
        <v>20220721</v>
      </c>
    </row>
    <row r="2821" spans="1:17" x14ac:dyDescent="0.25">
      <c r="A2821" t="s">
        <v>548</v>
      </c>
      <c r="B2821" t="s">
        <v>429</v>
      </c>
      <c r="C2821">
        <v>95</v>
      </c>
      <c r="D2821">
        <v>20220721</v>
      </c>
      <c r="E2821">
        <f t="shared" si="44"/>
        <v>7</v>
      </c>
      <c r="F2821">
        <v>411100</v>
      </c>
      <c r="G2821" t="s">
        <v>18</v>
      </c>
      <c r="H2821" t="s">
        <v>1911</v>
      </c>
      <c r="I2821" t="s">
        <v>1912</v>
      </c>
      <c r="J2821">
        <v>349248</v>
      </c>
      <c r="K2821">
        <v>20220721</v>
      </c>
      <c r="L2821" t="s">
        <v>3016</v>
      </c>
      <c r="M2821">
        <v>0</v>
      </c>
      <c r="N2821">
        <v>5</v>
      </c>
      <c r="O2821" t="s">
        <v>19</v>
      </c>
      <c r="P2821" t="s">
        <v>20</v>
      </c>
      <c r="Q2821">
        <v>20220721</v>
      </c>
    </row>
    <row r="2822" spans="1:17" x14ac:dyDescent="0.25">
      <c r="A2822" t="s">
        <v>548</v>
      </c>
      <c r="B2822" t="s">
        <v>429</v>
      </c>
      <c r="C2822">
        <v>95</v>
      </c>
      <c r="D2822">
        <v>20220721</v>
      </c>
      <c r="E2822">
        <f t="shared" si="44"/>
        <v>7</v>
      </c>
      <c r="F2822">
        <v>411100</v>
      </c>
      <c r="G2822" t="s">
        <v>18</v>
      </c>
      <c r="H2822" t="s">
        <v>3006</v>
      </c>
      <c r="I2822" t="s">
        <v>3007</v>
      </c>
      <c r="J2822">
        <v>349249</v>
      </c>
      <c r="K2822">
        <v>20220721</v>
      </c>
      <c r="L2822" t="s">
        <v>3017</v>
      </c>
      <c r="M2822">
        <v>0</v>
      </c>
      <c r="N2822">
        <v>3.5</v>
      </c>
      <c r="O2822" t="s">
        <v>22</v>
      </c>
      <c r="P2822">
        <v>20230218</v>
      </c>
      <c r="Q2822">
        <v>20220721</v>
      </c>
    </row>
    <row r="2823" spans="1:17" x14ac:dyDescent="0.25">
      <c r="A2823" t="s">
        <v>548</v>
      </c>
      <c r="B2823" t="s">
        <v>429</v>
      </c>
      <c r="C2823">
        <v>95</v>
      </c>
      <c r="D2823">
        <v>20220721</v>
      </c>
      <c r="E2823">
        <f t="shared" si="44"/>
        <v>7</v>
      </c>
      <c r="F2823">
        <v>411100</v>
      </c>
      <c r="G2823" t="s">
        <v>18</v>
      </c>
      <c r="H2823" t="s">
        <v>65</v>
      </c>
      <c r="I2823" t="s">
        <v>66</v>
      </c>
      <c r="J2823">
        <v>349250</v>
      </c>
      <c r="K2823">
        <v>20220721</v>
      </c>
      <c r="L2823" t="s">
        <v>3018</v>
      </c>
      <c r="M2823">
        <v>0</v>
      </c>
      <c r="N2823">
        <v>3.5</v>
      </c>
      <c r="O2823" t="s">
        <v>19</v>
      </c>
      <c r="P2823" t="s">
        <v>20</v>
      </c>
      <c r="Q2823">
        <v>20220721</v>
      </c>
    </row>
    <row r="2824" spans="1:17" x14ac:dyDescent="0.25">
      <c r="A2824" t="s">
        <v>548</v>
      </c>
      <c r="B2824" t="s">
        <v>429</v>
      </c>
      <c r="C2824">
        <v>95</v>
      </c>
      <c r="D2824">
        <v>20220721</v>
      </c>
      <c r="E2824">
        <f t="shared" si="44"/>
        <v>7</v>
      </c>
      <c r="F2824">
        <v>411100</v>
      </c>
      <c r="G2824" t="s">
        <v>18</v>
      </c>
      <c r="H2824" t="s">
        <v>657</v>
      </c>
      <c r="I2824" t="s">
        <v>658</v>
      </c>
      <c r="J2824">
        <v>349251</v>
      </c>
      <c r="K2824">
        <v>20220721</v>
      </c>
      <c r="L2824" t="s">
        <v>3019</v>
      </c>
      <c r="M2824">
        <v>0</v>
      </c>
      <c r="N2824">
        <v>3.5</v>
      </c>
      <c r="O2824" t="s">
        <v>19</v>
      </c>
      <c r="P2824" t="s">
        <v>20</v>
      </c>
      <c r="Q2824">
        <v>20220721</v>
      </c>
    </row>
    <row r="2825" spans="1:17" x14ac:dyDescent="0.25">
      <c r="A2825" t="s">
        <v>548</v>
      </c>
      <c r="B2825" t="s">
        <v>429</v>
      </c>
      <c r="C2825">
        <v>95</v>
      </c>
      <c r="D2825">
        <v>20220721</v>
      </c>
      <c r="E2825">
        <f t="shared" si="44"/>
        <v>7</v>
      </c>
      <c r="F2825">
        <v>411100</v>
      </c>
      <c r="G2825" t="s">
        <v>18</v>
      </c>
      <c r="H2825" t="s">
        <v>1033</v>
      </c>
      <c r="I2825" t="s">
        <v>1034</v>
      </c>
      <c r="J2825">
        <v>349252</v>
      </c>
      <c r="K2825">
        <v>20220721</v>
      </c>
      <c r="L2825" t="s">
        <v>3020</v>
      </c>
      <c r="M2825">
        <v>0</v>
      </c>
      <c r="N2825">
        <v>1.5</v>
      </c>
      <c r="O2825" t="s">
        <v>19</v>
      </c>
      <c r="P2825" t="s">
        <v>20</v>
      </c>
      <c r="Q2825">
        <v>20220721</v>
      </c>
    </row>
    <row r="2826" spans="1:17" x14ac:dyDescent="0.25">
      <c r="A2826" t="s">
        <v>548</v>
      </c>
      <c r="B2826" t="s">
        <v>429</v>
      </c>
      <c r="C2826">
        <v>95</v>
      </c>
      <c r="D2826">
        <v>20220721</v>
      </c>
      <c r="E2826">
        <f t="shared" si="44"/>
        <v>7</v>
      </c>
      <c r="F2826">
        <v>411100</v>
      </c>
      <c r="G2826" t="s">
        <v>18</v>
      </c>
      <c r="H2826" t="s">
        <v>3021</v>
      </c>
      <c r="I2826" t="s">
        <v>3022</v>
      </c>
      <c r="J2826">
        <v>349253</v>
      </c>
      <c r="K2826">
        <v>20220721</v>
      </c>
      <c r="L2826" t="s">
        <v>3023</v>
      </c>
      <c r="M2826">
        <v>0</v>
      </c>
      <c r="N2826">
        <v>3.5</v>
      </c>
      <c r="O2826" t="s">
        <v>22</v>
      </c>
      <c r="P2826">
        <v>20230218</v>
      </c>
      <c r="Q2826">
        <v>20220721</v>
      </c>
    </row>
    <row r="2827" spans="1:17" x14ac:dyDescent="0.25">
      <c r="A2827" t="s">
        <v>548</v>
      </c>
      <c r="B2827" t="s">
        <v>429</v>
      </c>
      <c r="C2827">
        <v>95</v>
      </c>
      <c r="D2827">
        <v>20220721</v>
      </c>
      <c r="E2827">
        <f t="shared" si="44"/>
        <v>7</v>
      </c>
      <c r="F2827">
        <v>531105</v>
      </c>
      <c r="G2827" t="s">
        <v>429</v>
      </c>
      <c r="H2827" t="s">
        <v>401</v>
      </c>
      <c r="I2827" t="s">
        <v>402</v>
      </c>
      <c r="J2827">
        <v>349254</v>
      </c>
      <c r="K2827">
        <v>20220721</v>
      </c>
      <c r="L2827" t="s">
        <v>565</v>
      </c>
      <c r="M2827">
        <v>92.5</v>
      </c>
      <c r="N2827">
        <v>0</v>
      </c>
      <c r="O2827" t="s">
        <v>19</v>
      </c>
      <c r="P2827" t="s">
        <v>20</v>
      </c>
      <c r="Q2827">
        <v>20220721</v>
      </c>
    </row>
    <row r="2828" spans="1:17" x14ac:dyDescent="0.25">
      <c r="A2828" t="s">
        <v>548</v>
      </c>
      <c r="B2828" t="s">
        <v>429</v>
      </c>
      <c r="C2828">
        <v>95</v>
      </c>
      <c r="D2828">
        <v>20220721</v>
      </c>
      <c r="E2828">
        <f t="shared" si="44"/>
        <v>7</v>
      </c>
      <c r="F2828">
        <v>411100</v>
      </c>
      <c r="G2828" t="s">
        <v>18</v>
      </c>
      <c r="H2828" t="s">
        <v>65</v>
      </c>
      <c r="I2828" t="s">
        <v>66</v>
      </c>
      <c r="J2828">
        <v>122020139</v>
      </c>
      <c r="K2828">
        <v>20220721</v>
      </c>
      <c r="L2828" t="s">
        <v>2983</v>
      </c>
      <c r="M2828">
        <v>3.5</v>
      </c>
      <c r="N2828">
        <v>0</v>
      </c>
      <c r="O2828" t="s">
        <v>22</v>
      </c>
      <c r="P2828">
        <v>20230218</v>
      </c>
      <c r="Q2828">
        <v>20220721</v>
      </c>
    </row>
    <row r="2829" spans="1:17" x14ac:dyDescent="0.25">
      <c r="A2829" t="s">
        <v>548</v>
      </c>
      <c r="B2829" t="s">
        <v>429</v>
      </c>
      <c r="C2829">
        <v>95</v>
      </c>
      <c r="D2829">
        <v>20220721</v>
      </c>
      <c r="E2829">
        <f t="shared" si="44"/>
        <v>7</v>
      </c>
      <c r="F2829">
        <v>411020</v>
      </c>
      <c r="G2829" t="s">
        <v>30</v>
      </c>
      <c r="H2829" t="s">
        <v>369</v>
      </c>
      <c r="I2829" t="s">
        <v>370</v>
      </c>
      <c r="J2829">
        <v>350168</v>
      </c>
      <c r="K2829">
        <v>20220721</v>
      </c>
      <c r="L2829" t="s">
        <v>2984</v>
      </c>
      <c r="M2829">
        <v>1.5</v>
      </c>
      <c r="N2829">
        <v>0</v>
      </c>
      <c r="O2829" t="s">
        <v>22</v>
      </c>
      <c r="P2829">
        <v>20230218</v>
      </c>
      <c r="Q2829">
        <v>20220721</v>
      </c>
    </row>
    <row r="2830" spans="1:17" x14ac:dyDescent="0.25">
      <c r="A2830" t="s">
        <v>548</v>
      </c>
      <c r="B2830" t="s">
        <v>429</v>
      </c>
      <c r="C2830">
        <v>95</v>
      </c>
      <c r="D2830">
        <v>20220721</v>
      </c>
      <c r="E2830">
        <f t="shared" si="44"/>
        <v>7</v>
      </c>
      <c r="F2830">
        <v>411100</v>
      </c>
      <c r="G2830" t="s">
        <v>18</v>
      </c>
      <c r="H2830" t="s">
        <v>2985</v>
      </c>
      <c r="I2830" t="s">
        <v>2986</v>
      </c>
      <c r="J2830">
        <v>350169</v>
      </c>
      <c r="K2830">
        <v>20220721</v>
      </c>
      <c r="L2830" t="s">
        <v>2987</v>
      </c>
      <c r="M2830">
        <v>3.5</v>
      </c>
      <c r="N2830">
        <v>0</v>
      </c>
      <c r="O2830" t="s">
        <v>22</v>
      </c>
      <c r="P2830">
        <v>20230218</v>
      </c>
      <c r="Q2830">
        <v>20220721</v>
      </c>
    </row>
    <row r="2831" spans="1:17" x14ac:dyDescent="0.25">
      <c r="A2831" t="s">
        <v>548</v>
      </c>
      <c r="B2831" t="s">
        <v>429</v>
      </c>
      <c r="C2831">
        <v>95</v>
      </c>
      <c r="D2831">
        <v>20220721</v>
      </c>
      <c r="E2831">
        <f t="shared" si="44"/>
        <v>7</v>
      </c>
      <c r="F2831">
        <v>411100</v>
      </c>
      <c r="G2831" t="s">
        <v>18</v>
      </c>
      <c r="H2831" t="s">
        <v>2985</v>
      </c>
      <c r="I2831" t="s">
        <v>2986</v>
      </c>
      <c r="J2831">
        <v>350170</v>
      </c>
      <c r="K2831">
        <v>20220721</v>
      </c>
      <c r="L2831" t="s">
        <v>2988</v>
      </c>
      <c r="M2831">
        <v>3.5</v>
      </c>
      <c r="N2831">
        <v>0</v>
      </c>
      <c r="O2831" t="s">
        <v>22</v>
      </c>
      <c r="P2831">
        <v>20230218</v>
      </c>
      <c r="Q2831">
        <v>20220721</v>
      </c>
    </row>
    <row r="2832" spans="1:17" x14ac:dyDescent="0.25">
      <c r="A2832" t="s">
        <v>548</v>
      </c>
      <c r="B2832" t="s">
        <v>429</v>
      </c>
      <c r="C2832">
        <v>95</v>
      </c>
      <c r="D2832">
        <v>20220721</v>
      </c>
      <c r="E2832">
        <f t="shared" si="44"/>
        <v>7</v>
      </c>
      <c r="F2832">
        <v>411100</v>
      </c>
      <c r="G2832" t="s">
        <v>18</v>
      </c>
      <c r="H2832" t="s">
        <v>2985</v>
      </c>
      <c r="I2832" t="s">
        <v>2986</v>
      </c>
      <c r="J2832">
        <v>350171</v>
      </c>
      <c r="K2832">
        <v>20220721</v>
      </c>
      <c r="L2832" t="s">
        <v>2989</v>
      </c>
      <c r="M2832">
        <v>3.5</v>
      </c>
      <c r="N2832">
        <v>0</v>
      </c>
      <c r="O2832" t="s">
        <v>22</v>
      </c>
      <c r="P2832">
        <v>20230218</v>
      </c>
      <c r="Q2832">
        <v>20220721</v>
      </c>
    </row>
    <row r="2833" spans="1:17" x14ac:dyDescent="0.25">
      <c r="A2833" t="s">
        <v>548</v>
      </c>
      <c r="B2833" t="s">
        <v>429</v>
      </c>
      <c r="C2833">
        <v>95</v>
      </c>
      <c r="D2833">
        <v>20220721</v>
      </c>
      <c r="E2833">
        <f t="shared" si="44"/>
        <v>7</v>
      </c>
      <c r="F2833">
        <v>411100</v>
      </c>
      <c r="G2833" t="s">
        <v>18</v>
      </c>
      <c r="H2833" t="s">
        <v>344</v>
      </c>
      <c r="I2833" t="s">
        <v>345</v>
      </c>
      <c r="J2833">
        <v>350172</v>
      </c>
      <c r="K2833">
        <v>20220721</v>
      </c>
      <c r="L2833" t="s">
        <v>2990</v>
      </c>
      <c r="M2833">
        <v>3.5</v>
      </c>
      <c r="N2833">
        <v>0</v>
      </c>
      <c r="O2833" t="s">
        <v>22</v>
      </c>
      <c r="P2833">
        <v>20230218</v>
      </c>
      <c r="Q2833">
        <v>20220721</v>
      </c>
    </row>
    <row r="2834" spans="1:17" x14ac:dyDescent="0.25">
      <c r="A2834" t="s">
        <v>548</v>
      </c>
      <c r="B2834" t="s">
        <v>429</v>
      </c>
      <c r="C2834">
        <v>95</v>
      </c>
      <c r="D2834">
        <v>20220721</v>
      </c>
      <c r="E2834">
        <f t="shared" si="44"/>
        <v>7</v>
      </c>
      <c r="F2834">
        <v>411100</v>
      </c>
      <c r="G2834" t="s">
        <v>18</v>
      </c>
      <c r="H2834" t="s">
        <v>85</v>
      </c>
      <c r="I2834" t="s">
        <v>86</v>
      </c>
      <c r="J2834">
        <v>350173</v>
      </c>
      <c r="K2834">
        <v>20220721</v>
      </c>
      <c r="L2834" t="s">
        <v>2991</v>
      </c>
      <c r="M2834">
        <v>3.5</v>
      </c>
      <c r="N2834">
        <v>0</v>
      </c>
      <c r="O2834" t="s">
        <v>22</v>
      </c>
      <c r="P2834">
        <v>20230218</v>
      </c>
      <c r="Q2834">
        <v>20220721</v>
      </c>
    </row>
    <row r="2835" spans="1:17" x14ac:dyDescent="0.25">
      <c r="A2835" t="s">
        <v>548</v>
      </c>
      <c r="B2835" t="s">
        <v>429</v>
      </c>
      <c r="C2835">
        <v>95</v>
      </c>
      <c r="D2835">
        <v>20220721</v>
      </c>
      <c r="E2835">
        <f t="shared" si="44"/>
        <v>7</v>
      </c>
      <c r="F2835">
        <v>411100</v>
      </c>
      <c r="G2835" t="s">
        <v>18</v>
      </c>
      <c r="H2835" t="s">
        <v>105</v>
      </c>
      <c r="I2835" t="s">
        <v>106</v>
      </c>
      <c r="J2835">
        <v>350174</v>
      </c>
      <c r="K2835">
        <v>20220721</v>
      </c>
      <c r="L2835" t="s">
        <v>2992</v>
      </c>
      <c r="M2835">
        <v>6</v>
      </c>
      <c r="N2835">
        <v>0</v>
      </c>
      <c r="O2835" t="s">
        <v>22</v>
      </c>
      <c r="P2835">
        <v>20230218</v>
      </c>
      <c r="Q2835">
        <v>20220721</v>
      </c>
    </row>
    <row r="2836" spans="1:17" x14ac:dyDescent="0.25">
      <c r="A2836" t="s">
        <v>548</v>
      </c>
      <c r="B2836" t="s">
        <v>429</v>
      </c>
      <c r="C2836">
        <v>95</v>
      </c>
      <c r="D2836">
        <v>20220721</v>
      </c>
      <c r="E2836">
        <f t="shared" si="44"/>
        <v>7</v>
      </c>
      <c r="F2836">
        <v>411100</v>
      </c>
      <c r="G2836" t="s">
        <v>18</v>
      </c>
      <c r="H2836" t="s">
        <v>1033</v>
      </c>
      <c r="I2836" t="s">
        <v>1034</v>
      </c>
      <c r="J2836">
        <v>350175</v>
      </c>
      <c r="K2836">
        <v>20220721</v>
      </c>
      <c r="L2836" t="s">
        <v>2993</v>
      </c>
      <c r="M2836">
        <v>2</v>
      </c>
      <c r="N2836">
        <v>0</v>
      </c>
      <c r="O2836" t="s">
        <v>22</v>
      </c>
      <c r="P2836">
        <v>20230218</v>
      </c>
      <c r="Q2836">
        <v>20220721</v>
      </c>
    </row>
    <row r="2837" spans="1:17" x14ac:dyDescent="0.25">
      <c r="A2837" t="s">
        <v>548</v>
      </c>
      <c r="B2837" t="s">
        <v>429</v>
      </c>
      <c r="C2837">
        <v>95</v>
      </c>
      <c r="D2837">
        <v>20220721</v>
      </c>
      <c r="E2837">
        <f t="shared" si="44"/>
        <v>7</v>
      </c>
      <c r="F2837">
        <v>411100</v>
      </c>
      <c r="G2837" t="s">
        <v>18</v>
      </c>
      <c r="H2837" t="s">
        <v>660</v>
      </c>
      <c r="I2837" t="s">
        <v>661</v>
      </c>
      <c r="J2837">
        <v>350176</v>
      </c>
      <c r="K2837">
        <v>20220721</v>
      </c>
      <c r="L2837" t="s">
        <v>2994</v>
      </c>
      <c r="M2837">
        <v>2</v>
      </c>
      <c r="N2837">
        <v>0</v>
      </c>
      <c r="O2837" t="s">
        <v>22</v>
      </c>
      <c r="P2837">
        <v>20230218</v>
      </c>
      <c r="Q2837">
        <v>20220721</v>
      </c>
    </row>
    <row r="2838" spans="1:17" x14ac:dyDescent="0.25">
      <c r="A2838" t="s">
        <v>548</v>
      </c>
      <c r="B2838" t="s">
        <v>429</v>
      </c>
      <c r="C2838">
        <v>95</v>
      </c>
      <c r="D2838">
        <v>20220721</v>
      </c>
      <c r="E2838">
        <f t="shared" si="44"/>
        <v>7</v>
      </c>
      <c r="F2838">
        <v>411100</v>
      </c>
      <c r="G2838" t="s">
        <v>18</v>
      </c>
      <c r="H2838" t="s">
        <v>2995</v>
      </c>
      <c r="I2838" t="s">
        <v>2996</v>
      </c>
      <c r="J2838">
        <v>350177</v>
      </c>
      <c r="K2838">
        <v>20220721</v>
      </c>
      <c r="L2838" t="s">
        <v>2997</v>
      </c>
      <c r="M2838">
        <v>2</v>
      </c>
      <c r="N2838">
        <v>0</v>
      </c>
      <c r="O2838" t="s">
        <v>22</v>
      </c>
      <c r="P2838">
        <v>20230218</v>
      </c>
      <c r="Q2838">
        <v>20220721</v>
      </c>
    </row>
    <row r="2839" spans="1:17" x14ac:dyDescent="0.25">
      <c r="A2839" t="s">
        <v>548</v>
      </c>
      <c r="B2839" t="s">
        <v>429</v>
      </c>
      <c r="C2839">
        <v>95</v>
      </c>
      <c r="D2839">
        <v>20220721</v>
      </c>
      <c r="E2839">
        <f t="shared" si="44"/>
        <v>7</v>
      </c>
      <c r="F2839">
        <v>411100</v>
      </c>
      <c r="G2839" t="s">
        <v>18</v>
      </c>
      <c r="H2839" t="s">
        <v>1911</v>
      </c>
      <c r="I2839" t="s">
        <v>1912</v>
      </c>
      <c r="J2839">
        <v>350178</v>
      </c>
      <c r="K2839">
        <v>20220721</v>
      </c>
      <c r="L2839" t="s">
        <v>2998</v>
      </c>
      <c r="M2839">
        <v>2</v>
      </c>
      <c r="N2839">
        <v>0</v>
      </c>
      <c r="O2839" t="s">
        <v>22</v>
      </c>
      <c r="P2839">
        <v>20230218</v>
      </c>
      <c r="Q2839">
        <v>20220721</v>
      </c>
    </row>
    <row r="2840" spans="1:17" x14ac:dyDescent="0.25">
      <c r="A2840" t="s">
        <v>548</v>
      </c>
      <c r="B2840" t="s">
        <v>429</v>
      </c>
      <c r="C2840">
        <v>95</v>
      </c>
      <c r="D2840">
        <v>20220721</v>
      </c>
      <c r="E2840">
        <f t="shared" si="44"/>
        <v>7</v>
      </c>
      <c r="F2840">
        <v>411100</v>
      </c>
      <c r="G2840" t="s">
        <v>18</v>
      </c>
      <c r="H2840" t="s">
        <v>1911</v>
      </c>
      <c r="I2840" t="s">
        <v>1912</v>
      </c>
      <c r="J2840">
        <v>350179</v>
      </c>
      <c r="K2840">
        <v>20220721</v>
      </c>
      <c r="L2840" t="s">
        <v>2999</v>
      </c>
      <c r="M2840">
        <v>2</v>
      </c>
      <c r="N2840">
        <v>0</v>
      </c>
      <c r="O2840" t="s">
        <v>22</v>
      </c>
      <c r="P2840">
        <v>20230218</v>
      </c>
      <c r="Q2840">
        <v>20220721</v>
      </c>
    </row>
    <row r="2841" spans="1:17" x14ac:dyDescent="0.25">
      <c r="A2841" t="s">
        <v>548</v>
      </c>
      <c r="B2841" t="s">
        <v>429</v>
      </c>
      <c r="C2841">
        <v>95</v>
      </c>
      <c r="D2841">
        <v>20220721</v>
      </c>
      <c r="E2841">
        <f t="shared" si="44"/>
        <v>7</v>
      </c>
      <c r="F2841">
        <v>411100</v>
      </c>
      <c r="G2841" t="s">
        <v>18</v>
      </c>
      <c r="H2841" t="s">
        <v>657</v>
      </c>
      <c r="I2841" t="s">
        <v>658</v>
      </c>
      <c r="J2841">
        <v>350180</v>
      </c>
      <c r="K2841">
        <v>20220721</v>
      </c>
      <c r="L2841" t="s">
        <v>3000</v>
      </c>
      <c r="M2841">
        <v>2</v>
      </c>
      <c r="N2841">
        <v>0</v>
      </c>
      <c r="O2841" t="s">
        <v>22</v>
      </c>
      <c r="P2841">
        <v>20230218</v>
      </c>
      <c r="Q2841">
        <v>20220721</v>
      </c>
    </row>
    <row r="2842" spans="1:17" x14ac:dyDescent="0.25">
      <c r="A2842" t="s">
        <v>548</v>
      </c>
      <c r="B2842" t="s">
        <v>429</v>
      </c>
      <c r="C2842">
        <v>95</v>
      </c>
      <c r="D2842">
        <v>20220721</v>
      </c>
      <c r="E2842">
        <f t="shared" si="44"/>
        <v>7</v>
      </c>
      <c r="F2842">
        <v>411100</v>
      </c>
      <c r="G2842" t="s">
        <v>18</v>
      </c>
      <c r="H2842" t="s">
        <v>3001</v>
      </c>
      <c r="I2842" t="s">
        <v>3002</v>
      </c>
      <c r="J2842">
        <v>350181</v>
      </c>
      <c r="K2842">
        <v>20220721</v>
      </c>
      <c r="L2842" t="s">
        <v>3003</v>
      </c>
      <c r="M2842">
        <v>2</v>
      </c>
      <c r="N2842">
        <v>0</v>
      </c>
      <c r="O2842" t="s">
        <v>22</v>
      </c>
      <c r="P2842">
        <v>20230218</v>
      </c>
      <c r="Q2842">
        <v>20220721</v>
      </c>
    </row>
    <row r="2843" spans="1:17" x14ac:dyDescent="0.25">
      <c r="A2843" t="s">
        <v>548</v>
      </c>
      <c r="B2843" t="s">
        <v>429</v>
      </c>
      <c r="C2843">
        <v>95</v>
      </c>
      <c r="D2843">
        <v>20220721</v>
      </c>
      <c r="E2843">
        <f t="shared" si="44"/>
        <v>7</v>
      </c>
      <c r="F2843">
        <v>411100</v>
      </c>
      <c r="G2843" t="s">
        <v>18</v>
      </c>
      <c r="H2843" t="s">
        <v>1029</v>
      </c>
      <c r="I2843" t="s">
        <v>1030</v>
      </c>
      <c r="J2843">
        <v>350182</v>
      </c>
      <c r="K2843">
        <v>20220721</v>
      </c>
      <c r="L2843" t="s">
        <v>3004</v>
      </c>
      <c r="M2843">
        <v>2</v>
      </c>
      <c r="N2843">
        <v>0</v>
      </c>
      <c r="O2843" t="s">
        <v>22</v>
      </c>
      <c r="P2843">
        <v>20230218</v>
      </c>
      <c r="Q2843">
        <v>20220721</v>
      </c>
    </row>
    <row r="2844" spans="1:17" x14ac:dyDescent="0.25">
      <c r="A2844" t="s">
        <v>548</v>
      </c>
      <c r="B2844" t="s">
        <v>429</v>
      </c>
      <c r="C2844">
        <v>95</v>
      </c>
      <c r="D2844">
        <v>20220721</v>
      </c>
      <c r="E2844">
        <f t="shared" si="44"/>
        <v>7</v>
      </c>
      <c r="F2844">
        <v>411100</v>
      </c>
      <c r="G2844" t="s">
        <v>18</v>
      </c>
      <c r="H2844" t="s">
        <v>154</v>
      </c>
      <c r="I2844" t="s">
        <v>155</v>
      </c>
      <c r="J2844">
        <v>350183</v>
      </c>
      <c r="K2844">
        <v>20220721</v>
      </c>
      <c r="L2844" t="s">
        <v>3005</v>
      </c>
      <c r="M2844">
        <v>4</v>
      </c>
      <c r="N2844">
        <v>0</v>
      </c>
      <c r="O2844" t="s">
        <v>22</v>
      </c>
      <c r="P2844">
        <v>20230218</v>
      </c>
      <c r="Q2844">
        <v>20220721</v>
      </c>
    </row>
    <row r="2845" spans="1:17" x14ac:dyDescent="0.25">
      <c r="A2845" t="s">
        <v>548</v>
      </c>
      <c r="B2845" t="s">
        <v>429</v>
      </c>
      <c r="C2845">
        <v>95</v>
      </c>
      <c r="D2845">
        <v>20220721</v>
      </c>
      <c r="E2845">
        <f t="shared" si="44"/>
        <v>7</v>
      </c>
      <c r="F2845">
        <v>411100</v>
      </c>
      <c r="G2845" t="s">
        <v>18</v>
      </c>
      <c r="H2845" t="s">
        <v>3006</v>
      </c>
      <c r="I2845" t="s">
        <v>3007</v>
      </c>
      <c r="J2845">
        <v>350184</v>
      </c>
      <c r="K2845">
        <v>20220721</v>
      </c>
      <c r="L2845" t="s">
        <v>3008</v>
      </c>
      <c r="M2845">
        <v>2</v>
      </c>
      <c r="N2845">
        <v>0</v>
      </c>
      <c r="O2845" t="s">
        <v>22</v>
      </c>
      <c r="P2845">
        <v>20230218</v>
      </c>
      <c r="Q2845">
        <v>20220721</v>
      </c>
    </row>
    <row r="2846" spans="1:17" x14ac:dyDescent="0.25">
      <c r="A2846" t="s">
        <v>548</v>
      </c>
      <c r="B2846" t="s">
        <v>429</v>
      </c>
      <c r="C2846">
        <v>95</v>
      </c>
      <c r="D2846">
        <v>20220721</v>
      </c>
      <c r="E2846">
        <f t="shared" si="44"/>
        <v>7</v>
      </c>
      <c r="F2846">
        <v>411100</v>
      </c>
      <c r="G2846" t="s">
        <v>18</v>
      </c>
      <c r="H2846" t="s">
        <v>85</v>
      </c>
      <c r="I2846" t="s">
        <v>86</v>
      </c>
      <c r="J2846">
        <v>350185</v>
      </c>
      <c r="K2846">
        <v>20220721</v>
      </c>
      <c r="L2846" t="s">
        <v>3009</v>
      </c>
      <c r="M2846">
        <v>2</v>
      </c>
      <c r="N2846">
        <v>0</v>
      </c>
      <c r="O2846" t="s">
        <v>22</v>
      </c>
      <c r="P2846">
        <v>20230218</v>
      </c>
      <c r="Q2846">
        <v>20220721</v>
      </c>
    </row>
    <row r="2847" spans="1:17" x14ac:dyDescent="0.25">
      <c r="A2847" t="s">
        <v>548</v>
      </c>
      <c r="B2847" t="s">
        <v>429</v>
      </c>
      <c r="C2847">
        <v>95</v>
      </c>
      <c r="D2847">
        <v>20220721</v>
      </c>
      <c r="E2847">
        <f t="shared" si="44"/>
        <v>7</v>
      </c>
      <c r="F2847">
        <v>411100</v>
      </c>
      <c r="G2847" t="s">
        <v>18</v>
      </c>
      <c r="H2847" t="s">
        <v>344</v>
      </c>
      <c r="I2847" t="s">
        <v>345</v>
      </c>
      <c r="J2847">
        <v>350186</v>
      </c>
      <c r="K2847">
        <v>20220721</v>
      </c>
      <c r="L2847" t="s">
        <v>3010</v>
      </c>
      <c r="M2847">
        <v>3.5</v>
      </c>
      <c r="N2847">
        <v>0</v>
      </c>
      <c r="O2847" t="s">
        <v>22</v>
      </c>
      <c r="P2847">
        <v>20230218</v>
      </c>
      <c r="Q2847">
        <v>20220721</v>
      </c>
    </row>
    <row r="2848" spans="1:17" x14ac:dyDescent="0.25">
      <c r="A2848" t="s">
        <v>548</v>
      </c>
      <c r="B2848" t="s">
        <v>429</v>
      </c>
      <c r="C2848">
        <v>95</v>
      </c>
      <c r="D2848">
        <v>20220721</v>
      </c>
      <c r="E2848">
        <f t="shared" si="44"/>
        <v>7</v>
      </c>
      <c r="F2848">
        <v>411100</v>
      </c>
      <c r="G2848" t="s">
        <v>18</v>
      </c>
      <c r="H2848" t="s">
        <v>105</v>
      </c>
      <c r="I2848" t="s">
        <v>106</v>
      </c>
      <c r="J2848">
        <v>350187</v>
      </c>
      <c r="K2848">
        <v>20220721</v>
      </c>
      <c r="L2848" t="s">
        <v>3011</v>
      </c>
      <c r="M2848">
        <v>4</v>
      </c>
      <c r="N2848">
        <v>0</v>
      </c>
      <c r="O2848" t="s">
        <v>22</v>
      </c>
      <c r="P2848">
        <v>20230218</v>
      </c>
      <c r="Q2848">
        <v>20220721</v>
      </c>
    </row>
    <row r="2849" spans="1:17" x14ac:dyDescent="0.25">
      <c r="A2849" t="s">
        <v>548</v>
      </c>
      <c r="B2849" t="s">
        <v>429</v>
      </c>
      <c r="C2849">
        <v>95</v>
      </c>
      <c r="D2849">
        <v>20220721</v>
      </c>
      <c r="E2849">
        <f t="shared" si="44"/>
        <v>7</v>
      </c>
      <c r="F2849">
        <v>411100</v>
      </c>
      <c r="G2849" t="s">
        <v>18</v>
      </c>
      <c r="H2849" t="s">
        <v>2501</v>
      </c>
      <c r="I2849" t="s">
        <v>2502</v>
      </c>
      <c r="J2849">
        <v>350188</v>
      </c>
      <c r="K2849">
        <v>20220721</v>
      </c>
      <c r="L2849" t="s">
        <v>3012</v>
      </c>
      <c r="M2849">
        <v>4.5</v>
      </c>
      <c r="N2849">
        <v>0</v>
      </c>
      <c r="O2849" t="s">
        <v>22</v>
      </c>
      <c r="P2849">
        <v>20230218</v>
      </c>
      <c r="Q2849">
        <v>20220721</v>
      </c>
    </row>
    <row r="2850" spans="1:17" x14ac:dyDescent="0.25">
      <c r="A2850" t="s">
        <v>548</v>
      </c>
      <c r="B2850" t="s">
        <v>429</v>
      </c>
      <c r="C2850">
        <v>95</v>
      </c>
      <c r="D2850">
        <v>20220721</v>
      </c>
      <c r="E2850">
        <f t="shared" si="44"/>
        <v>7</v>
      </c>
      <c r="F2850">
        <v>411100</v>
      </c>
      <c r="G2850" t="s">
        <v>18</v>
      </c>
      <c r="H2850" t="s">
        <v>35</v>
      </c>
      <c r="I2850" t="s">
        <v>36</v>
      </c>
      <c r="J2850">
        <v>350189</v>
      </c>
      <c r="K2850">
        <v>20220721</v>
      </c>
      <c r="L2850" t="s">
        <v>3013</v>
      </c>
      <c r="M2850">
        <v>3</v>
      </c>
      <c r="N2850">
        <v>0</v>
      </c>
      <c r="O2850" t="s">
        <v>22</v>
      </c>
      <c r="P2850">
        <v>20230218</v>
      </c>
      <c r="Q2850">
        <v>20220721</v>
      </c>
    </row>
    <row r="2851" spans="1:17" x14ac:dyDescent="0.25">
      <c r="A2851" t="s">
        <v>548</v>
      </c>
      <c r="B2851" t="s">
        <v>429</v>
      </c>
      <c r="C2851">
        <v>95</v>
      </c>
      <c r="D2851">
        <v>20220721</v>
      </c>
      <c r="E2851">
        <f t="shared" si="44"/>
        <v>7</v>
      </c>
      <c r="F2851">
        <v>411100</v>
      </c>
      <c r="G2851" t="s">
        <v>18</v>
      </c>
      <c r="H2851" t="s">
        <v>1774</v>
      </c>
      <c r="I2851" t="s">
        <v>1775</v>
      </c>
      <c r="J2851">
        <v>350190</v>
      </c>
      <c r="K2851">
        <v>20220721</v>
      </c>
      <c r="L2851" t="s">
        <v>3014</v>
      </c>
      <c r="M2851">
        <v>1</v>
      </c>
      <c r="N2851">
        <v>0</v>
      </c>
      <c r="O2851" t="s">
        <v>22</v>
      </c>
      <c r="P2851">
        <v>20230218</v>
      </c>
      <c r="Q2851">
        <v>20220721</v>
      </c>
    </row>
    <row r="2852" spans="1:17" x14ac:dyDescent="0.25">
      <c r="A2852" t="s">
        <v>548</v>
      </c>
      <c r="B2852" t="s">
        <v>429</v>
      </c>
      <c r="C2852">
        <v>95</v>
      </c>
      <c r="D2852">
        <v>20220721</v>
      </c>
      <c r="E2852">
        <f t="shared" si="44"/>
        <v>7</v>
      </c>
      <c r="F2852">
        <v>411100</v>
      </c>
      <c r="G2852" t="s">
        <v>18</v>
      </c>
      <c r="H2852" t="s">
        <v>81</v>
      </c>
      <c r="I2852" t="s">
        <v>82</v>
      </c>
      <c r="J2852">
        <v>350191</v>
      </c>
      <c r="K2852">
        <v>20220721</v>
      </c>
      <c r="L2852" t="s">
        <v>3015</v>
      </c>
      <c r="M2852">
        <v>3.5</v>
      </c>
      <c r="N2852">
        <v>0</v>
      </c>
      <c r="O2852" t="s">
        <v>22</v>
      </c>
      <c r="P2852">
        <v>20230218</v>
      </c>
      <c r="Q2852">
        <v>20220721</v>
      </c>
    </row>
    <row r="2853" spans="1:17" x14ac:dyDescent="0.25">
      <c r="A2853" t="s">
        <v>548</v>
      </c>
      <c r="B2853" t="s">
        <v>429</v>
      </c>
      <c r="C2853">
        <v>95</v>
      </c>
      <c r="D2853">
        <v>20220721</v>
      </c>
      <c r="E2853">
        <f t="shared" si="44"/>
        <v>7</v>
      </c>
      <c r="F2853">
        <v>411100</v>
      </c>
      <c r="G2853" t="s">
        <v>18</v>
      </c>
      <c r="H2853" t="s">
        <v>1911</v>
      </c>
      <c r="I2853" t="s">
        <v>1912</v>
      </c>
      <c r="J2853">
        <v>350192</v>
      </c>
      <c r="K2853">
        <v>20220721</v>
      </c>
      <c r="L2853" t="s">
        <v>3016</v>
      </c>
      <c r="M2853">
        <v>5</v>
      </c>
      <c r="N2853">
        <v>0</v>
      </c>
      <c r="O2853" t="s">
        <v>22</v>
      </c>
      <c r="P2853">
        <v>20230218</v>
      </c>
      <c r="Q2853">
        <v>20220721</v>
      </c>
    </row>
    <row r="2854" spans="1:17" x14ac:dyDescent="0.25">
      <c r="A2854" t="s">
        <v>548</v>
      </c>
      <c r="B2854" t="s">
        <v>429</v>
      </c>
      <c r="C2854">
        <v>95</v>
      </c>
      <c r="D2854">
        <v>20220721</v>
      </c>
      <c r="E2854">
        <f t="shared" si="44"/>
        <v>7</v>
      </c>
      <c r="F2854">
        <v>411100</v>
      </c>
      <c r="G2854" t="s">
        <v>18</v>
      </c>
      <c r="H2854" t="s">
        <v>3006</v>
      </c>
      <c r="I2854" t="s">
        <v>3007</v>
      </c>
      <c r="J2854">
        <v>350193</v>
      </c>
      <c r="K2854">
        <v>20220721</v>
      </c>
      <c r="L2854" t="s">
        <v>3017</v>
      </c>
      <c r="M2854">
        <v>3.5</v>
      </c>
      <c r="N2854">
        <v>0</v>
      </c>
      <c r="O2854" t="s">
        <v>22</v>
      </c>
      <c r="P2854">
        <v>20230218</v>
      </c>
      <c r="Q2854">
        <v>20220721</v>
      </c>
    </row>
    <row r="2855" spans="1:17" x14ac:dyDescent="0.25">
      <c r="A2855" t="s">
        <v>548</v>
      </c>
      <c r="B2855" t="s">
        <v>429</v>
      </c>
      <c r="C2855">
        <v>95</v>
      </c>
      <c r="D2855">
        <v>20220721</v>
      </c>
      <c r="E2855">
        <f t="shared" si="44"/>
        <v>7</v>
      </c>
      <c r="F2855">
        <v>411100</v>
      </c>
      <c r="G2855" t="s">
        <v>18</v>
      </c>
      <c r="H2855" t="s">
        <v>65</v>
      </c>
      <c r="I2855" t="s">
        <v>66</v>
      </c>
      <c r="J2855">
        <v>350194</v>
      </c>
      <c r="K2855">
        <v>20220721</v>
      </c>
      <c r="L2855" t="s">
        <v>3018</v>
      </c>
      <c r="M2855">
        <v>3.5</v>
      </c>
      <c r="N2855">
        <v>0</v>
      </c>
      <c r="O2855" t="s">
        <v>22</v>
      </c>
      <c r="P2855">
        <v>20230218</v>
      </c>
      <c r="Q2855">
        <v>20220721</v>
      </c>
    </row>
    <row r="2856" spans="1:17" x14ac:dyDescent="0.25">
      <c r="A2856" t="s">
        <v>548</v>
      </c>
      <c r="B2856" t="s">
        <v>429</v>
      </c>
      <c r="C2856">
        <v>95</v>
      </c>
      <c r="D2856">
        <v>20220721</v>
      </c>
      <c r="E2856">
        <f t="shared" si="44"/>
        <v>7</v>
      </c>
      <c r="F2856">
        <v>411100</v>
      </c>
      <c r="G2856" t="s">
        <v>18</v>
      </c>
      <c r="H2856" t="s">
        <v>657</v>
      </c>
      <c r="I2856" t="s">
        <v>658</v>
      </c>
      <c r="J2856">
        <v>350195</v>
      </c>
      <c r="K2856">
        <v>20220721</v>
      </c>
      <c r="L2856" t="s">
        <v>3019</v>
      </c>
      <c r="M2856">
        <v>3.5</v>
      </c>
      <c r="N2856">
        <v>0</v>
      </c>
      <c r="O2856" t="s">
        <v>22</v>
      </c>
      <c r="P2856">
        <v>20230218</v>
      </c>
      <c r="Q2856">
        <v>20220721</v>
      </c>
    </row>
    <row r="2857" spans="1:17" x14ac:dyDescent="0.25">
      <c r="A2857" t="s">
        <v>548</v>
      </c>
      <c r="B2857" t="s">
        <v>429</v>
      </c>
      <c r="C2857">
        <v>95</v>
      </c>
      <c r="D2857">
        <v>20220721</v>
      </c>
      <c r="E2857">
        <f t="shared" si="44"/>
        <v>7</v>
      </c>
      <c r="F2857">
        <v>411100</v>
      </c>
      <c r="G2857" t="s">
        <v>18</v>
      </c>
      <c r="H2857" t="s">
        <v>1033</v>
      </c>
      <c r="I2857" t="s">
        <v>1034</v>
      </c>
      <c r="J2857">
        <v>350196</v>
      </c>
      <c r="K2857">
        <v>20220721</v>
      </c>
      <c r="L2857" t="s">
        <v>3020</v>
      </c>
      <c r="M2857">
        <v>1.5</v>
      </c>
      <c r="N2857">
        <v>0</v>
      </c>
      <c r="O2857" t="s">
        <v>22</v>
      </c>
      <c r="P2857">
        <v>20230218</v>
      </c>
      <c r="Q2857">
        <v>20220721</v>
      </c>
    </row>
    <row r="2858" spans="1:17" x14ac:dyDescent="0.25">
      <c r="A2858" t="s">
        <v>548</v>
      </c>
      <c r="B2858" t="s">
        <v>429</v>
      </c>
      <c r="C2858">
        <v>95</v>
      </c>
      <c r="D2858">
        <v>20220721</v>
      </c>
      <c r="E2858">
        <f t="shared" si="44"/>
        <v>7</v>
      </c>
      <c r="F2858">
        <v>411100</v>
      </c>
      <c r="G2858" t="s">
        <v>18</v>
      </c>
      <c r="H2858" t="s">
        <v>3021</v>
      </c>
      <c r="I2858" t="s">
        <v>3022</v>
      </c>
      <c r="J2858">
        <v>350197</v>
      </c>
      <c r="K2858">
        <v>20220721</v>
      </c>
      <c r="L2858" t="s">
        <v>3023</v>
      </c>
      <c r="M2858">
        <v>3.5</v>
      </c>
      <c r="N2858">
        <v>0</v>
      </c>
      <c r="O2858" t="s">
        <v>22</v>
      </c>
      <c r="P2858">
        <v>20230218</v>
      </c>
      <c r="Q2858">
        <v>20220721</v>
      </c>
    </row>
    <row r="2859" spans="1:17" x14ac:dyDescent="0.25">
      <c r="A2859" t="s">
        <v>548</v>
      </c>
      <c r="B2859" t="s">
        <v>429</v>
      </c>
      <c r="C2859">
        <v>95</v>
      </c>
      <c r="D2859">
        <v>20220721</v>
      </c>
      <c r="E2859">
        <f t="shared" si="44"/>
        <v>7</v>
      </c>
      <c r="F2859">
        <v>531105</v>
      </c>
      <c r="G2859" t="s">
        <v>429</v>
      </c>
      <c r="H2859" t="s">
        <v>401</v>
      </c>
      <c r="I2859" t="s">
        <v>402</v>
      </c>
      <c r="J2859">
        <v>350198</v>
      </c>
      <c r="K2859">
        <v>20220721</v>
      </c>
      <c r="L2859" t="s">
        <v>565</v>
      </c>
      <c r="M2859">
        <v>0</v>
      </c>
      <c r="N2859">
        <v>92.5</v>
      </c>
      <c r="O2859" t="s">
        <v>19</v>
      </c>
      <c r="P2859" t="s">
        <v>20</v>
      </c>
      <c r="Q2859">
        <v>20220721</v>
      </c>
    </row>
    <row r="2860" spans="1:17" x14ac:dyDescent="0.25">
      <c r="A2860" t="s">
        <v>548</v>
      </c>
      <c r="B2860" t="s">
        <v>429</v>
      </c>
      <c r="C2860">
        <v>95</v>
      </c>
      <c r="D2860">
        <v>20220722</v>
      </c>
      <c r="E2860">
        <f t="shared" si="44"/>
        <v>7</v>
      </c>
      <c r="F2860">
        <v>628310</v>
      </c>
      <c r="G2860" t="s">
        <v>440</v>
      </c>
      <c r="H2860" t="s">
        <v>401</v>
      </c>
      <c r="I2860" t="s">
        <v>402</v>
      </c>
      <c r="J2860" t="s">
        <v>3024</v>
      </c>
      <c r="K2860">
        <v>20220722</v>
      </c>
      <c r="L2860" t="s">
        <v>3025</v>
      </c>
      <c r="M2860">
        <v>392</v>
      </c>
      <c r="N2860">
        <v>0</v>
      </c>
      <c r="O2860" t="s">
        <v>19</v>
      </c>
      <c r="P2860" t="s">
        <v>20</v>
      </c>
      <c r="Q2860">
        <v>20220722</v>
      </c>
    </row>
    <row r="2861" spans="1:17" x14ac:dyDescent="0.25">
      <c r="A2861" t="s">
        <v>548</v>
      </c>
      <c r="B2861" t="s">
        <v>429</v>
      </c>
      <c r="C2861">
        <v>95</v>
      </c>
      <c r="D2861">
        <v>20220722</v>
      </c>
      <c r="E2861">
        <f t="shared" si="44"/>
        <v>7</v>
      </c>
      <c r="F2861">
        <v>531105</v>
      </c>
      <c r="G2861" t="s">
        <v>429</v>
      </c>
      <c r="H2861" t="s">
        <v>401</v>
      </c>
      <c r="I2861" t="s">
        <v>402</v>
      </c>
      <c r="J2861" t="s">
        <v>3024</v>
      </c>
      <c r="K2861">
        <v>20220722</v>
      </c>
      <c r="L2861" t="s">
        <v>3025</v>
      </c>
      <c r="M2861">
        <v>0</v>
      </c>
      <c r="N2861">
        <v>392</v>
      </c>
      <c r="O2861" t="s">
        <v>19</v>
      </c>
      <c r="P2861" t="s">
        <v>20</v>
      </c>
      <c r="Q2861">
        <v>20220722</v>
      </c>
    </row>
    <row r="2862" spans="1:17" x14ac:dyDescent="0.25">
      <c r="A2862" t="s">
        <v>548</v>
      </c>
      <c r="B2862" t="s">
        <v>429</v>
      </c>
      <c r="C2862">
        <v>95</v>
      </c>
      <c r="D2862">
        <v>20220722</v>
      </c>
      <c r="E2862">
        <f t="shared" si="44"/>
        <v>7</v>
      </c>
      <c r="F2862">
        <v>706105</v>
      </c>
      <c r="G2862" t="s">
        <v>2258</v>
      </c>
      <c r="H2862" t="s">
        <v>401</v>
      </c>
      <c r="I2862" t="s">
        <v>402</v>
      </c>
      <c r="J2862" t="s">
        <v>3026</v>
      </c>
      <c r="K2862">
        <v>20220722</v>
      </c>
      <c r="L2862" t="s">
        <v>3027</v>
      </c>
      <c r="M2862">
        <v>0</v>
      </c>
      <c r="N2862">
        <v>600</v>
      </c>
      <c r="O2862" t="s">
        <v>19</v>
      </c>
      <c r="P2862" t="s">
        <v>20</v>
      </c>
      <c r="Q2862">
        <v>20220722</v>
      </c>
    </row>
    <row r="2863" spans="1:17" x14ac:dyDescent="0.25">
      <c r="A2863" t="s">
        <v>548</v>
      </c>
      <c r="B2863" t="s">
        <v>429</v>
      </c>
      <c r="C2863">
        <v>95</v>
      </c>
      <c r="D2863">
        <v>20220722</v>
      </c>
      <c r="E2863">
        <f t="shared" si="44"/>
        <v>7</v>
      </c>
      <c r="F2863">
        <v>531105</v>
      </c>
      <c r="G2863" t="s">
        <v>429</v>
      </c>
      <c r="H2863" t="s">
        <v>401</v>
      </c>
      <c r="I2863" t="s">
        <v>402</v>
      </c>
      <c r="J2863" t="s">
        <v>3026</v>
      </c>
      <c r="K2863">
        <v>20220722</v>
      </c>
      <c r="L2863" t="s">
        <v>3027</v>
      </c>
      <c r="M2863">
        <v>600</v>
      </c>
      <c r="N2863">
        <v>0</v>
      </c>
      <c r="O2863" t="s">
        <v>19</v>
      </c>
      <c r="P2863" t="s">
        <v>20</v>
      </c>
      <c r="Q2863">
        <v>20220722</v>
      </c>
    </row>
    <row r="2864" spans="1:17" x14ac:dyDescent="0.25">
      <c r="A2864" t="s">
        <v>548</v>
      </c>
      <c r="B2864" t="s">
        <v>429</v>
      </c>
      <c r="C2864">
        <v>95</v>
      </c>
      <c r="D2864">
        <v>20220722</v>
      </c>
      <c r="E2864">
        <f t="shared" si="44"/>
        <v>7</v>
      </c>
      <c r="F2864">
        <v>467100</v>
      </c>
      <c r="G2864" t="s">
        <v>160</v>
      </c>
      <c r="H2864" t="s">
        <v>1522</v>
      </c>
      <c r="I2864" t="s">
        <v>1523</v>
      </c>
      <c r="J2864" t="s">
        <v>3028</v>
      </c>
      <c r="K2864">
        <v>20220722</v>
      </c>
      <c r="L2864" t="s">
        <v>3029</v>
      </c>
      <c r="M2864">
        <v>0</v>
      </c>
      <c r="N2864">
        <v>30.4</v>
      </c>
      <c r="O2864" t="s">
        <v>23</v>
      </c>
      <c r="P2864">
        <v>20220801</v>
      </c>
      <c r="Q2864">
        <v>20220722</v>
      </c>
    </row>
    <row r="2865" spans="1:17" x14ac:dyDescent="0.25">
      <c r="A2865" t="s">
        <v>548</v>
      </c>
      <c r="B2865" t="s">
        <v>429</v>
      </c>
      <c r="C2865">
        <v>95</v>
      </c>
      <c r="D2865">
        <v>20220722</v>
      </c>
      <c r="E2865">
        <f t="shared" si="44"/>
        <v>7</v>
      </c>
      <c r="F2865">
        <v>531105</v>
      </c>
      <c r="G2865" t="s">
        <v>429</v>
      </c>
      <c r="H2865" t="s">
        <v>401</v>
      </c>
      <c r="I2865" t="s">
        <v>402</v>
      </c>
      <c r="J2865" t="s">
        <v>3028</v>
      </c>
      <c r="K2865">
        <v>20220722</v>
      </c>
      <c r="L2865" t="s">
        <v>3029</v>
      </c>
      <c r="M2865">
        <v>30.4</v>
      </c>
      <c r="N2865">
        <v>0</v>
      </c>
      <c r="O2865" t="s">
        <v>19</v>
      </c>
      <c r="P2865" t="s">
        <v>20</v>
      </c>
      <c r="Q2865">
        <v>20220722</v>
      </c>
    </row>
    <row r="2866" spans="1:17" x14ac:dyDescent="0.25">
      <c r="A2866" t="s">
        <v>548</v>
      </c>
      <c r="B2866" t="s">
        <v>429</v>
      </c>
      <c r="C2866">
        <v>95</v>
      </c>
      <c r="D2866">
        <v>20220722</v>
      </c>
      <c r="E2866">
        <f t="shared" si="44"/>
        <v>7</v>
      </c>
      <c r="F2866">
        <v>467100</v>
      </c>
      <c r="G2866" t="s">
        <v>160</v>
      </c>
      <c r="H2866" t="s">
        <v>1522</v>
      </c>
      <c r="I2866" t="s">
        <v>1523</v>
      </c>
      <c r="J2866" t="s">
        <v>3030</v>
      </c>
      <c r="K2866">
        <v>20220722</v>
      </c>
      <c r="L2866" t="s">
        <v>2240</v>
      </c>
      <c r="M2866">
        <v>9.6</v>
      </c>
      <c r="N2866">
        <v>0</v>
      </c>
      <c r="O2866" t="s">
        <v>23</v>
      </c>
      <c r="P2866">
        <v>20220801</v>
      </c>
      <c r="Q2866">
        <v>20220722</v>
      </c>
    </row>
    <row r="2867" spans="1:17" x14ac:dyDescent="0.25">
      <c r="A2867" t="s">
        <v>548</v>
      </c>
      <c r="B2867" t="s">
        <v>429</v>
      </c>
      <c r="C2867">
        <v>95</v>
      </c>
      <c r="D2867">
        <v>20220722</v>
      </c>
      <c r="E2867">
        <f t="shared" si="44"/>
        <v>7</v>
      </c>
      <c r="F2867">
        <v>531105</v>
      </c>
      <c r="G2867" t="s">
        <v>429</v>
      </c>
      <c r="H2867" t="s">
        <v>401</v>
      </c>
      <c r="I2867" t="s">
        <v>402</v>
      </c>
      <c r="J2867" t="s">
        <v>3030</v>
      </c>
      <c r="K2867">
        <v>20220722</v>
      </c>
      <c r="L2867" t="s">
        <v>2240</v>
      </c>
      <c r="M2867">
        <v>0</v>
      </c>
      <c r="N2867">
        <v>9.6</v>
      </c>
      <c r="O2867" t="s">
        <v>19</v>
      </c>
      <c r="P2867" t="s">
        <v>20</v>
      </c>
      <c r="Q2867">
        <v>20220722</v>
      </c>
    </row>
    <row r="2868" spans="1:17" x14ac:dyDescent="0.25">
      <c r="A2868" t="s">
        <v>548</v>
      </c>
      <c r="B2868" t="s">
        <v>429</v>
      </c>
      <c r="C2868">
        <v>95</v>
      </c>
      <c r="D2868">
        <v>20220722</v>
      </c>
      <c r="E2868">
        <f t="shared" si="44"/>
        <v>7</v>
      </c>
      <c r="F2868">
        <v>411100</v>
      </c>
      <c r="G2868" t="s">
        <v>18</v>
      </c>
      <c r="H2868" t="s">
        <v>154</v>
      </c>
      <c r="I2868" t="s">
        <v>155</v>
      </c>
      <c r="J2868">
        <v>348311</v>
      </c>
      <c r="K2868">
        <v>20220722</v>
      </c>
      <c r="L2868" t="s">
        <v>3031</v>
      </c>
      <c r="M2868">
        <v>0</v>
      </c>
      <c r="N2868">
        <v>4</v>
      </c>
      <c r="O2868" t="s">
        <v>19</v>
      </c>
      <c r="P2868" t="s">
        <v>20</v>
      </c>
      <c r="Q2868">
        <v>20220722</v>
      </c>
    </row>
    <row r="2869" spans="1:17" x14ac:dyDescent="0.25">
      <c r="A2869" t="s">
        <v>548</v>
      </c>
      <c r="B2869" t="s">
        <v>429</v>
      </c>
      <c r="C2869">
        <v>95</v>
      </c>
      <c r="D2869">
        <v>20220722</v>
      </c>
      <c r="E2869">
        <f t="shared" si="44"/>
        <v>7</v>
      </c>
      <c r="F2869">
        <v>411100</v>
      </c>
      <c r="G2869" t="s">
        <v>18</v>
      </c>
      <c r="H2869" t="s">
        <v>2985</v>
      </c>
      <c r="I2869" t="s">
        <v>2986</v>
      </c>
      <c r="J2869">
        <v>348312</v>
      </c>
      <c r="K2869">
        <v>20220722</v>
      </c>
      <c r="L2869" t="s">
        <v>3032</v>
      </c>
      <c r="M2869">
        <v>0</v>
      </c>
      <c r="N2869">
        <v>3.5</v>
      </c>
      <c r="O2869" t="s">
        <v>23</v>
      </c>
      <c r="P2869">
        <v>20230329</v>
      </c>
      <c r="Q2869">
        <v>20220722</v>
      </c>
    </row>
    <row r="2870" spans="1:17" x14ac:dyDescent="0.25">
      <c r="A2870" t="s">
        <v>548</v>
      </c>
      <c r="B2870" t="s">
        <v>429</v>
      </c>
      <c r="C2870">
        <v>95</v>
      </c>
      <c r="D2870">
        <v>20220722</v>
      </c>
      <c r="E2870">
        <f t="shared" si="44"/>
        <v>7</v>
      </c>
      <c r="F2870">
        <v>411100</v>
      </c>
      <c r="G2870" t="s">
        <v>18</v>
      </c>
      <c r="H2870" t="s">
        <v>1033</v>
      </c>
      <c r="I2870" t="s">
        <v>1034</v>
      </c>
      <c r="J2870">
        <v>348313</v>
      </c>
      <c r="K2870">
        <v>20220722</v>
      </c>
      <c r="L2870" t="s">
        <v>3033</v>
      </c>
      <c r="M2870">
        <v>0</v>
      </c>
      <c r="N2870">
        <v>2</v>
      </c>
      <c r="O2870" t="s">
        <v>19</v>
      </c>
      <c r="P2870" t="s">
        <v>20</v>
      </c>
      <c r="Q2870">
        <v>20220722</v>
      </c>
    </row>
    <row r="2871" spans="1:17" x14ac:dyDescent="0.25">
      <c r="A2871" t="s">
        <v>548</v>
      </c>
      <c r="B2871" t="s">
        <v>429</v>
      </c>
      <c r="C2871">
        <v>95</v>
      </c>
      <c r="D2871">
        <v>20220722</v>
      </c>
      <c r="E2871">
        <f t="shared" si="44"/>
        <v>7</v>
      </c>
      <c r="F2871">
        <v>411100</v>
      </c>
      <c r="G2871" t="s">
        <v>18</v>
      </c>
      <c r="H2871" t="s">
        <v>65</v>
      </c>
      <c r="I2871" t="s">
        <v>66</v>
      </c>
      <c r="J2871">
        <v>348314</v>
      </c>
      <c r="K2871">
        <v>20220722</v>
      </c>
      <c r="L2871" t="s">
        <v>3034</v>
      </c>
      <c r="M2871">
        <v>0</v>
      </c>
      <c r="N2871">
        <v>2</v>
      </c>
      <c r="O2871" t="s">
        <v>19</v>
      </c>
      <c r="P2871" t="s">
        <v>20</v>
      </c>
      <c r="Q2871">
        <v>20220722</v>
      </c>
    </row>
    <row r="2872" spans="1:17" x14ac:dyDescent="0.25">
      <c r="A2872" t="s">
        <v>548</v>
      </c>
      <c r="B2872" t="s">
        <v>429</v>
      </c>
      <c r="C2872">
        <v>95</v>
      </c>
      <c r="D2872">
        <v>20220722</v>
      </c>
      <c r="E2872">
        <f t="shared" si="44"/>
        <v>7</v>
      </c>
      <c r="F2872">
        <v>411100</v>
      </c>
      <c r="G2872" t="s">
        <v>18</v>
      </c>
      <c r="H2872" t="s">
        <v>3035</v>
      </c>
      <c r="I2872" t="s">
        <v>3036</v>
      </c>
      <c r="J2872">
        <v>348315</v>
      </c>
      <c r="K2872">
        <v>20220722</v>
      </c>
      <c r="L2872" t="s">
        <v>3037</v>
      </c>
      <c r="M2872">
        <v>0</v>
      </c>
      <c r="N2872">
        <v>2</v>
      </c>
      <c r="O2872" t="s">
        <v>22</v>
      </c>
      <c r="P2872">
        <v>20230218</v>
      </c>
      <c r="Q2872">
        <v>20220722</v>
      </c>
    </row>
    <row r="2873" spans="1:17" x14ac:dyDescent="0.25">
      <c r="A2873" t="s">
        <v>548</v>
      </c>
      <c r="B2873" t="s">
        <v>429</v>
      </c>
      <c r="C2873">
        <v>95</v>
      </c>
      <c r="D2873">
        <v>20220722</v>
      </c>
      <c r="E2873">
        <f t="shared" si="44"/>
        <v>7</v>
      </c>
      <c r="F2873">
        <v>411100</v>
      </c>
      <c r="G2873" t="s">
        <v>18</v>
      </c>
      <c r="H2873" t="s">
        <v>1029</v>
      </c>
      <c r="I2873" t="s">
        <v>1030</v>
      </c>
      <c r="J2873">
        <v>348316</v>
      </c>
      <c r="K2873">
        <v>20220722</v>
      </c>
      <c r="L2873" t="s">
        <v>3038</v>
      </c>
      <c r="M2873">
        <v>0</v>
      </c>
      <c r="N2873">
        <v>2</v>
      </c>
      <c r="O2873" t="s">
        <v>22</v>
      </c>
      <c r="P2873">
        <v>20230218</v>
      </c>
      <c r="Q2873">
        <v>20220722</v>
      </c>
    </row>
    <row r="2874" spans="1:17" x14ac:dyDescent="0.25">
      <c r="A2874" t="s">
        <v>548</v>
      </c>
      <c r="B2874" t="s">
        <v>429</v>
      </c>
      <c r="C2874">
        <v>95</v>
      </c>
      <c r="D2874">
        <v>20220722</v>
      </c>
      <c r="E2874">
        <f t="shared" si="44"/>
        <v>7</v>
      </c>
      <c r="F2874">
        <v>411100</v>
      </c>
      <c r="G2874" t="s">
        <v>18</v>
      </c>
      <c r="H2874" t="s">
        <v>81</v>
      </c>
      <c r="I2874" t="s">
        <v>82</v>
      </c>
      <c r="J2874">
        <v>348317</v>
      </c>
      <c r="K2874">
        <v>20220722</v>
      </c>
      <c r="L2874" t="s">
        <v>3039</v>
      </c>
      <c r="M2874">
        <v>0</v>
      </c>
      <c r="N2874">
        <v>15</v>
      </c>
      <c r="O2874" t="s">
        <v>22</v>
      </c>
      <c r="P2874">
        <v>20230218</v>
      </c>
      <c r="Q2874">
        <v>20220722</v>
      </c>
    </row>
    <row r="2875" spans="1:17" x14ac:dyDescent="0.25">
      <c r="A2875" t="s">
        <v>548</v>
      </c>
      <c r="B2875" t="s">
        <v>429</v>
      </c>
      <c r="C2875">
        <v>95</v>
      </c>
      <c r="D2875">
        <v>20220722</v>
      </c>
      <c r="E2875">
        <f t="shared" si="44"/>
        <v>7</v>
      </c>
      <c r="F2875">
        <v>411100</v>
      </c>
      <c r="G2875" t="s">
        <v>18</v>
      </c>
      <c r="H2875" t="s">
        <v>105</v>
      </c>
      <c r="I2875" t="s">
        <v>106</v>
      </c>
      <c r="J2875">
        <v>348318</v>
      </c>
      <c r="K2875">
        <v>20220722</v>
      </c>
      <c r="L2875" t="s">
        <v>3040</v>
      </c>
      <c r="M2875">
        <v>0</v>
      </c>
      <c r="N2875">
        <v>45</v>
      </c>
      <c r="O2875" t="s">
        <v>22</v>
      </c>
      <c r="P2875">
        <v>20230218</v>
      </c>
      <c r="Q2875">
        <v>20220722</v>
      </c>
    </row>
    <row r="2876" spans="1:17" x14ac:dyDescent="0.25">
      <c r="A2876" t="s">
        <v>548</v>
      </c>
      <c r="B2876" t="s">
        <v>429</v>
      </c>
      <c r="C2876">
        <v>95</v>
      </c>
      <c r="D2876">
        <v>20220722</v>
      </c>
      <c r="E2876">
        <f t="shared" si="44"/>
        <v>7</v>
      </c>
      <c r="F2876">
        <v>411100</v>
      </c>
      <c r="G2876" t="s">
        <v>18</v>
      </c>
      <c r="H2876" t="s">
        <v>154</v>
      </c>
      <c r="I2876" t="s">
        <v>155</v>
      </c>
      <c r="J2876">
        <v>348319</v>
      </c>
      <c r="K2876">
        <v>20220722</v>
      </c>
      <c r="L2876" t="s">
        <v>3041</v>
      </c>
      <c r="M2876">
        <v>0</v>
      </c>
      <c r="N2876">
        <v>30</v>
      </c>
      <c r="O2876" t="s">
        <v>22</v>
      </c>
      <c r="P2876">
        <v>20230218</v>
      </c>
      <c r="Q2876">
        <v>20220722</v>
      </c>
    </row>
    <row r="2877" spans="1:17" x14ac:dyDescent="0.25">
      <c r="A2877" t="s">
        <v>548</v>
      </c>
      <c r="B2877" t="s">
        <v>429</v>
      </c>
      <c r="C2877">
        <v>95</v>
      </c>
      <c r="D2877">
        <v>20220722</v>
      </c>
      <c r="E2877">
        <f t="shared" si="44"/>
        <v>7</v>
      </c>
      <c r="F2877">
        <v>411100</v>
      </c>
      <c r="G2877" t="s">
        <v>18</v>
      </c>
      <c r="H2877" t="s">
        <v>65</v>
      </c>
      <c r="I2877" t="s">
        <v>66</v>
      </c>
      <c r="J2877">
        <v>348320</v>
      </c>
      <c r="K2877">
        <v>20220722</v>
      </c>
      <c r="L2877" t="s">
        <v>3042</v>
      </c>
      <c r="M2877">
        <v>0</v>
      </c>
      <c r="N2877">
        <v>15</v>
      </c>
      <c r="O2877" t="s">
        <v>22</v>
      </c>
      <c r="P2877">
        <v>20230218</v>
      </c>
      <c r="Q2877">
        <v>20220722</v>
      </c>
    </row>
    <row r="2878" spans="1:17" x14ac:dyDescent="0.25">
      <c r="A2878" t="s">
        <v>548</v>
      </c>
      <c r="B2878" t="s">
        <v>429</v>
      </c>
      <c r="C2878">
        <v>95</v>
      </c>
      <c r="D2878">
        <v>20220722</v>
      </c>
      <c r="E2878">
        <f t="shared" si="44"/>
        <v>7</v>
      </c>
      <c r="F2878">
        <v>411100</v>
      </c>
      <c r="G2878" t="s">
        <v>18</v>
      </c>
      <c r="H2878" t="s">
        <v>660</v>
      </c>
      <c r="I2878" t="s">
        <v>661</v>
      </c>
      <c r="J2878">
        <v>348321</v>
      </c>
      <c r="K2878">
        <v>20220722</v>
      </c>
      <c r="L2878" t="s">
        <v>3043</v>
      </c>
      <c r="M2878">
        <v>0</v>
      </c>
      <c r="N2878">
        <v>15</v>
      </c>
      <c r="O2878" t="s">
        <v>22</v>
      </c>
      <c r="P2878">
        <v>20230218</v>
      </c>
      <c r="Q2878">
        <v>20220722</v>
      </c>
    </row>
    <row r="2879" spans="1:17" x14ac:dyDescent="0.25">
      <c r="A2879" t="s">
        <v>548</v>
      </c>
      <c r="B2879" t="s">
        <v>429</v>
      </c>
      <c r="C2879">
        <v>95</v>
      </c>
      <c r="D2879">
        <v>20220722</v>
      </c>
      <c r="E2879">
        <f t="shared" si="44"/>
        <v>7</v>
      </c>
      <c r="F2879">
        <v>411100</v>
      </c>
      <c r="G2879" t="s">
        <v>18</v>
      </c>
      <c r="H2879" t="s">
        <v>1911</v>
      </c>
      <c r="I2879" t="s">
        <v>1912</v>
      </c>
      <c r="J2879">
        <v>348322</v>
      </c>
      <c r="K2879">
        <v>20220722</v>
      </c>
      <c r="L2879" t="s">
        <v>3044</v>
      </c>
      <c r="M2879">
        <v>0</v>
      </c>
      <c r="N2879">
        <v>15</v>
      </c>
      <c r="O2879" t="s">
        <v>22</v>
      </c>
      <c r="P2879">
        <v>20230218</v>
      </c>
      <c r="Q2879">
        <v>20220722</v>
      </c>
    </row>
    <row r="2880" spans="1:17" x14ac:dyDescent="0.25">
      <c r="A2880" t="s">
        <v>548</v>
      </c>
      <c r="B2880" t="s">
        <v>429</v>
      </c>
      <c r="C2880">
        <v>95</v>
      </c>
      <c r="D2880">
        <v>20220722</v>
      </c>
      <c r="E2880">
        <f t="shared" si="44"/>
        <v>7</v>
      </c>
      <c r="F2880">
        <v>411100</v>
      </c>
      <c r="G2880" t="s">
        <v>18</v>
      </c>
      <c r="H2880" t="s">
        <v>1911</v>
      </c>
      <c r="I2880" t="s">
        <v>1912</v>
      </c>
      <c r="J2880">
        <v>348323</v>
      </c>
      <c r="K2880">
        <v>20220722</v>
      </c>
      <c r="L2880" t="s">
        <v>3045</v>
      </c>
      <c r="M2880">
        <v>0</v>
      </c>
      <c r="N2880">
        <v>15</v>
      </c>
      <c r="O2880" t="s">
        <v>22</v>
      </c>
      <c r="P2880">
        <v>20230218</v>
      </c>
      <c r="Q2880">
        <v>20220722</v>
      </c>
    </row>
    <row r="2881" spans="1:17" x14ac:dyDescent="0.25">
      <c r="A2881" t="s">
        <v>548</v>
      </c>
      <c r="B2881" t="s">
        <v>429</v>
      </c>
      <c r="C2881">
        <v>95</v>
      </c>
      <c r="D2881">
        <v>20220722</v>
      </c>
      <c r="E2881">
        <f t="shared" si="44"/>
        <v>7</v>
      </c>
      <c r="F2881">
        <v>411100</v>
      </c>
      <c r="G2881" t="s">
        <v>18</v>
      </c>
      <c r="H2881" t="s">
        <v>3006</v>
      </c>
      <c r="I2881" t="s">
        <v>3007</v>
      </c>
      <c r="J2881">
        <v>348324</v>
      </c>
      <c r="K2881">
        <v>20220722</v>
      </c>
      <c r="L2881" t="s">
        <v>3046</v>
      </c>
      <c r="M2881">
        <v>0</v>
      </c>
      <c r="N2881">
        <v>15</v>
      </c>
      <c r="O2881" t="s">
        <v>22</v>
      </c>
      <c r="P2881">
        <v>20230218</v>
      </c>
      <c r="Q2881">
        <v>20220722</v>
      </c>
    </row>
    <row r="2882" spans="1:17" x14ac:dyDescent="0.25">
      <c r="A2882" t="s">
        <v>548</v>
      </c>
      <c r="B2882" t="s">
        <v>429</v>
      </c>
      <c r="C2882">
        <v>95</v>
      </c>
      <c r="D2882">
        <v>20220722</v>
      </c>
      <c r="E2882">
        <f t="shared" si="44"/>
        <v>7</v>
      </c>
      <c r="F2882">
        <v>411100</v>
      </c>
      <c r="G2882" t="s">
        <v>18</v>
      </c>
      <c r="H2882" t="s">
        <v>187</v>
      </c>
      <c r="I2882" t="s">
        <v>188</v>
      </c>
      <c r="J2882">
        <v>348325</v>
      </c>
      <c r="K2882">
        <v>20220722</v>
      </c>
      <c r="L2882" t="s">
        <v>3047</v>
      </c>
      <c r="M2882">
        <v>0</v>
      </c>
      <c r="N2882">
        <v>30</v>
      </c>
      <c r="O2882" t="s">
        <v>22</v>
      </c>
      <c r="P2882">
        <v>20230218</v>
      </c>
      <c r="Q2882">
        <v>20220722</v>
      </c>
    </row>
    <row r="2883" spans="1:17" x14ac:dyDescent="0.25">
      <c r="A2883" t="s">
        <v>548</v>
      </c>
      <c r="B2883" t="s">
        <v>429</v>
      </c>
      <c r="C2883">
        <v>95</v>
      </c>
      <c r="D2883">
        <v>20220722</v>
      </c>
      <c r="E2883">
        <f t="shared" ref="E2883:E2946" si="45">VALUE(MID(D2883,5,2))</f>
        <v>7</v>
      </c>
      <c r="F2883">
        <v>411100</v>
      </c>
      <c r="G2883" t="s">
        <v>18</v>
      </c>
      <c r="H2883" t="s">
        <v>1033</v>
      </c>
      <c r="I2883" t="s">
        <v>1034</v>
      </c>
      <c r="J2883">
        <v>348326</v>
      </c>
      <c r="K2883">
        <v>20220722</v>
      </c>
      <c r="L2883" t="s">
        <v>3048</v>
      </c>
      <c r="M2883">
        <v>0</v>
      </c>
      <c r="N2883">
        <v>15</v>
      </c>
      <c r="O2883" t="s">
        <v>22</v>
      </c>
      <c r="P2883">
        <v>20230218</v>
      </c>
      <c r="Q2883">
        <v>20220722</v>
      </c>
    </row>
    <row r="2884" spans="1:17" x14ac:dyDescent="0.25">
      <c r="A2884" t="s">
        <v>548</v>
      </c>
      <c r="B2884" t="s">
        <v>429</v>
      </c>
      <c r="C2884">
        <v>95</v>
      </c>
      <c r="D2884">
        <v>20220722</v>
      </c>
      <c r="E2884">
        <f t="shared" si="45"/>
        <v>7</v>
      </c>
      <c r="F2884">
        <v>411100</v>
      </c>
      <c r="G2884" t="s">
        <v>18</v>
      </c>
      <c r="H2884" t="s">
        <v>2995</v>
      </c>
      <c r="I2884" t="s">
        <v>2996</v>
      </c>
      <c r="J2884">
        <v>348327</v>
      </c>
      <c r="K2884">
        <v>20220722</v>
      </c>
      <c r="L2884" t="s">
        <v>3049</v>
      </c>
      <c r="M2884">
        <v>0</v>
      </c>
      <c r="N2884">
        <v>15</v>
      </c>
      <c r="O2884" t="s">
        <v>22</v>
      </c>
      <c r="P2884">
        <v>20230218</v>
      </c>
      <c r="Q2884">
        <v>20220722</v>
      </c>
    </row>
    <row r="2885" spans="1:17" x14ac:dyDescent="0.25">
      <c r="A2885" t="s">
        <v>548</v>
      </c>
      <c r="B2885" t="s">
        <v>429</v>
      </c>
      <c r="C2885">
        <v>95</v>
      </c>
      <c r="D2885">
        <v>20220722</v>
      </c>
      <c r="E2885">
        <f t="shared" si="45"/>
        <v>7</v>
      </c>
      <c r="F2885">
        <v>411100</v>
      </c>
      <c r="G2885" t="s">
        <v>18</v>
      </c>
      <c r="H2885" t="s">
        <v>344</v>
      </c>
      <c r="I2885" t="s">
        <v>345</v>
      </c>
      <c r="J2885">
        <v>348328</v>
      </c>
      <c r="K2885">
        <v>20220722</v>
      </c>
      <c r="L2885" t="s">
        <v>3050</v>
      </c>
      <c r="M2885">
        <v>0</v>
      </c>
      <c r="N2885">
        <v>15</v>
      </c>
      <c r="O2885" t="s">
        <v>22</v>
      </c>
      <c r="P2885">
        <v>20230218</v>
      </c>
      <c r="Q2885">
        <v>20220722</v>
      </c>
    </row>
    <row r="2886" spans="1:17" x14ac:dyDescent="0.25">
      <c r="A2886" t="s">
        <v>548</v>
      </c>
      <c r="B2886" t="s">
        <v>429</v>
      </c>
      <c r="C2886">
        <v>95</v>
      </c>
      <c r="D2886">
        <v>20220722</v>
      </c>
      <c r="E2886">
        <f t="shared" si="45"/>
        <v>7</v>
      </c>
      <c r="F2886">
        <v>411100</v>
      </c>
      <c r="G2886" t="s">
        <v>18</v>
      </c>
      <c r="H2886" t="s">
        <v>3021</v>
      </c>
      <c r="I2886" t="s">
        <v>3022</v>
      </c>
      <c r="J2886">
        <v>348329</v>
      </c>
      <c r="K2886">
        <v>20220722</v>
      </c>
      <c r="L2886" t="s">
        <v>3051</v>
      </c>
      <c r="M2886">
        <v>0</v>
      </c>
      <c r="N2886">
        <v>15</v>
      </c>
      <c r="O2886" t="s">
        <v>22</v>
      </c>
      <c r="P2886">
        <v>20230218</v>
      </c>
      <c r="Q2886">
        <v>20220722</v>
      </c>
    </row>
    <row r="2887" spans="1:17" x14ac:dyDescent="0.25">
      <c r="A2887" t="s">
        <v>548</v>
      </c>
      <c r="B2887" t="s">
        <v>429</v>
      </c>
      <c r="C2887">
        <v>95</v>
      </c>
      <c r="D2887">
        <v>20220722</v>
      </c>
      <c r="E2887">
        <f t="shared" si="45"/>
        <v>7</v>
      </c>
      <c r="F2887">
        <v>411100</v>
      </c>
      <c r="G2887" t="s">
        <v>18</v>
      </c>
      <c r="H2887" t="s">
        <v>3001</v>
      </c>
      <c r="I2887" t="s">
        <v>3002</v>
      </c>
      <c r="J2887">
        <v>348330</v>
      </c>
      <c r="K2887">
        <v>20220722</v>
      </c>
      <c r="L2887" t="s">
        <v>3052</v>
      </c>
      <c r="M2887">
        <v>0</v>
      </c>
      <c r="N2887">
        <v>15</v>
      </c>
      <c r="O2887" t="s">
        <v>22</v>
      </c>
      <c r="P2887">
        <v>20230218</v>
      </c>
      <c r="Q2887">
        <v>20220722</v>
      </c>
    </row>
    <row r="2888" spans="1:17" x14ac:dyDescent="0.25">
      <c r="A2888" t="s">
        <v>548</v>
      </c>
      <c r="B2888" t="s">
        <v>429</v>
      </c>
      <c r="C2888">
        <v>95</v>
      </c>
      <c r="D2888">
        <v>20220722</v>
      </c>
      <c r="E2888">
        <f t="shared" si="45"/>
        <v>7</v>
      </c>
      <c r="F2888">
        <v>411100</v>
      </c>
      <c r="G2888" t="s">
        <v>18</v>
      </c>
      <c r="H2888" t="s">
        <v>3001</v>
      </c>
      <c r="I2888" t="s">
        <v>3002</v>
      </c>
      <c r="J2888">
        <v>348331</v>
      </c>
      <c r="K2888">
        <v>20220722</v>
      </c>
      <c r="L2888" t="s">
        <v>3053</v>
      </c>
      <c r="M2888">
        <v>0</v>
      </c>
      <c r="N2888">
        <v>15</v>
      </c>
      <c r="O2888" t="s">
        <v>22</v>
      </c>
      <c r="P2888">
        <v>20230218</v>
      </c>
      <c r="Q2888">
        <v>20220722</v>
      </c>
    </row>
    <row r="2889" spans="1:17" x14ac:dyDescent="0.25">
      <c r="A2889" t="s">
        <v>548</v>
      </c>
      <c r="B2889" t="s">
        <v>429</v>
      </c>
      <c r="C2889">
        <v>95</v>
      </c>
      <c r="D2889">
        <v>20220722</v>
      </c>
      <c r="E2889">
        <f t="shared" si="45"/>
        <v>7</v>
      </c>
      <c r="F2889">
        <v>411100</v>
      </c>
      <c r="G2889" t="s">
        <v>18</v>
      </c>
      <c r="H2889" t="s">
        <v>2985</v>
      </c>
      <c r="I2889" t="s">
        <v>2986</v>
      </c>
      <c r="J2889">
        <v>348332</v>
      </c>
      <c r="K2889">
        <v>20220722</v>
      </c>
      <c r="L2889" t="s">
        <v>3054</v>
      </c>
      <c r="M2889">
        <v>0</v>
      </c>
      <c r="N2889">
        <v>15</v>
      </c>
      <c r="O2889" t="s">
        <v>22</v>
      </c>
      <c r="P2889">
        <v>20230218</v>
      </c>
      <c r="Q2889">
        <v>20220722</v>
      </c>
    </row>
    <row r="2890" spans="1:17" x14ac:dyDescent="0.25">
      <c r="A2890" t="s">
        <v>548</v>
      </c>
      <c r="B2890" t="s">
        <v>429</v>
      </c>
      <c r="C2890">
        <v>95</v>
      </c>
      <c r="D2890">
        <v>20220722</v>
      </c>
      <c r="E2890">
        <f t="shared" si="45"/>
        <v>7</v>
      </c>
      <c r="F2890">
        <v>411100</v>
      </c>
      <c r="G2890" t="s">
        <v>18</v>
      </c>
      <c r="H2890" t="s">
        <v>73</v>
      </c>
      <c r="I2890" t="s">
        <v>74</v>
      </c>
      <c r="J2890">
        <v>348333</v>
      </c>
      <c r="K2890">
        <v>20220722</v>
      </c>
      <c r="L2890" t="s">
        <v>3055</v>
      </c>
      <c r="M2890">
        <v>0</v>
      </c>
      <c r="N2890">
        <v>30</v>
      </c>
      <c r="O2890" t="s">
        <v>22</v>
      </c>
      <c r="P2890">
        <v>20230218</v>
      </c>
      <c r="Q2890">
        <v>20220722</v>
      </c>
    </row>
    <row r="2891" spans="1:17" x14ac:dyDescent="0.25">
      <c r="A2891" t="s">
        <v>548</v>
      </c>
      <c r="B2891" t="s">
        <v>429</v>
      </c>
      <c r="C2891">
        <v>95</v>
      </c>
      <c r="D2891">
        <v>20220722</v>
      </c>
      <c r="E2891">
        <f t="shared" si="45"/>
        <v>7</v>
      </c>
      <c r="F2891">
        <v>411100</v>
      </c>
      <c r="G2891" t="s">
        <v>18</v>
      </c>
      <c r="H2891" t="s">
        <v>1172</v>
      </c>
      <c r="I2891" t="s">
        <v>1173</v>
      </c>
      <c r="J2891">
        <v>348334</v>
      </c>
      <c r="K2891">
        <v>20220722</v>
      </c>
      <c r="L2891" t="s">
        <v>3056</v>
      </c>
      <c r="M2891">
        <v>0</v>
      </c>
      <c r="N2891">
        <v>15</v>
      </c>
      <c r="O2891" t="s">
        <v>22</v>
      </c>
      <c r="P2891">
        <v>20230218</v>
      </c>
      <c r="Q2891">
        <v>20220722</v>
      </c>
    </row>
    <row r="2892" spans="1:17" x14ac:dyDescent="0.25">
      <c r="A2892" t="s">
        <v>548</v>
      </c>
      <c r="B2892" t="s">
        <v>429</v>
      </c>
      <c r="C2892">
        <v>95</v>
      </c>
      <c r="D2892">
        <v>20220722</v>
      </c>
      <c r="E2892">
        <f t="shared" si="45"/>
        <v>7</v>
      </c>
      <c r="F2892">
        <v>411100</v>
      </c>
      <c r="G2892" t="s">
        <v>18</v>
      </c>
      <c r="H2892" t="s">
        <v>1172</v>
      </c>
      <c r="I2892" t="s">
        <v>1173</v>
      </c>
      <c r="J2892">
        <v>348335</v>
      </c>
      <c r="K2892">
        <v>20220722</v>
      </c>
      <c r="L2892" t="s">
        <v>3057</v>
      </c>
      <c r="M2892">
        <v>0</v>
      </c>
      <c r="N2892">
        <v>15</v>
      </c>
      <c r="O2892" t="s">
        <v>22</v>
      </c>
      <c r="P2892">
        <v>20230218</v>
      </c>
      <c r="Q2892">
        <v>20220722</v>
      </c>
    </row>
    <row r="2893" spans="1:17" x14ac:dyDescent="0.25">
      <c r="A2893" t="s">
        <v>548</v>
      </c>
      <c r="B2893" t="s">
        <v>429</v>
      </c>
      <c r="C2893">
        <v>95</v>
      </c>
      <c r="D2893">
        <v>20220722</v>
      </c>
      <c r="E2893">
        <f t="shared" si="45"/>
        <v>7</v>
      </c>
      <c r="F2893">
        <v>411100</v>
      </c>
      <c r="G2893" t="s">
        <v>18</v>
      </c>
      <c r="H2893" t="s">
        <v>77</v>
      </c>
      <c r="I2893" t="s">
        <v>78</v>
      </c>
      <c r="J2893">
        <v>348336</v>
      </c>
      <c r="K2893">
        <v>20220722</v>
      </c>
      <c r="L2893" t="s">
        <v>3058</v>
      </c>
      <c r="M2893">
        <v>0</v>
      </c>
      <c r="N2893">
        <v>30</v>
      </c>
      <c r="O2893" t="s">
        <v>22</v>
      </c>
      <c r="P2893">
        <v>20230218</v>
      </c>
      <c r="Q2893">
        <v>20220722</v>
      </c>
    </row>
    <row r="2894" spans="1:17" x14ac:dyDescent="0.25">
      <c r="A2894" t="s">
        <v>548</v>
      </c>
      <c r="B2894" t="s">
        <v>429</v>
      </c>
      <c r="C2894">
        <v>95</v>
      </c>
      <c r="D2894">
        <v>20220722</v>
      </c>
      <c r="E2894">
        <f t="shared" si="45"/>
        <v>7</v>
      </c>
      <c r="F2894">
        <v>411100</v>
      </c>
      <c r="G2894" t="s">
        <v>18</v>
      </c>
      <c r="H2894" t="s">
        <v>109</v>
      </c>
      <c r="I2894" t="s">
        <v>110</v>
      </c>
      <c r="J2894">
        <v>348337</v>
      </c>
      <c r="K2894">
        <v>20220722</v>
      </c>
      <c r="L2894" t="s">
        <v>3059</v>
      </c>
      <c r="M2894">
        <v>0</v>
      </c>
      <c r="N2894">
        <v>4</v>
      </c>
      <c r="O2894" t="s">
        <v>22</v>
      </c>
      <c r="P2894">
        <v>20230218</v>
      </c>
      <c r="Q2894">
        <v>20220722</v>
      </c>
    </row>
    <row r="2895" spans="1:17" x14ac:dyDescent="0.25">
      <c r="A2895" t="s">
        <v>548</v>
      </c>
      <c r="B2895" t="s">
        <v>429</v>
      </c>
      <c r="C2895">
        <v>95</v>
      </c>
      <c r="D2895">
        <v>20220722</v>
      </c>
      <c r="E2895">
        <f t="shared" si="45"/>
        <v>7</v>
      </c>
      <c r="F2895">
        <v>411100</v>
      </c>
      <c r="G2895" t="s">
        <v>18</v>
      </c>
      <c r="H2895" t="s">
        <v>109</v>
      </c>
      <c r="I2895" t="s">
        <v>110</v>
      </c>
      <c r="J2895">
        <v>348338</v>
      </c>
      <c r="K2895">
        <v>20220722</v>
      </c>
      <c r="L2895" t="s">
        <v>3060</v>
      </c>
      <c r="M2895">
        <v>0</v>
      </c>
      <c r="N2895">
        <v>4</v>
      </c>
      <c r="O2895" t="s">
        <v>22</v>
      </c>
      <c r="P2895">
        <v>20230218</v>
      </c>
      <c r="Q2895">
        <v>20220722</v>
      </c>
    </row>
    <row r="2896" spans="1:17" x14ac:dyDescent="0.25">
      <c r="A2896" t="s">
        <v>548</v>
      </c>
      <c r="B2896" t="s">
        <v>429</v>
      </c>
      <c r="C2896">
        <v>95</v>
      </c>
      <c r="D2896">
        <v>20220722</v>
      </c>
      <c r="E2896">
        <f t="shared" si="45"/>
        <v>7</v>
      </c>
      <c r="F2896">
        <v>411100</v>
      </c>
      <c r="G2896" t="s">
        <v>18</v>
      </c>
      <c r="H2896" t="s">
        <v>3061</v>
      </c>
      <c r="I2896" t="s">
        <v>3062</v>
      </c>
      <c r="J2896">
        <v>348339</v>
      </c>
      <c r="K2896">
        <v>20220722</v>
      </c>
      <c r="L2896" t="s">
        <v>3063</v>
      </c>
      <c r="M2896">
        <v>0</v>
      </c>
      <c r="N2896">
        <v>4</v>
      </c>
      <c r="O2896" t="s">
        <v>22</v>
      </c>
      <c r="P2896">
        <v>20230218</v>
      </c>
      <c r="Q2896">
        <v>20220722</v>
      </c>
    </row>
    <row r="2897" spans="1:17" x14ac:dyDescent="0.25">
      <c r="A2897" t="s">
        <v>548</v>
      </c>
      <c r="B2897" t="s">
        <v>429</v>
      </c>
      <c r="C2897">
        <v>95</v>
      </c>
      <c r="D2897">
        <v>20220722</v>
      </c>
      <c r="E2897">
        <f t="shared" si="45"/>
        <v>7</v>
      </c>
      <c r="F2897">
        <v>411100</v>
      </c>
      <c r="G2897" t="s">
        <v>18</v>
      </c>
      <c r="H2897" t="s">
        <v>2907</v>
      </c>
      <c r="I2897" t="s">
        <v>2908</v>
      </c>
      <c r="J2897">
        <v>348340</v>
      </c>
      <c r="K2897">
        <v>20220722</v>
      </c>
      <c r="L2897" t="s">
        <v>3064</v>
      </c>
      <c r="M2897">
        <v>0</v>
      </c>
      <c r="N2897">
        <v>10</v>
      </c>
      <c r="O2897" t="s">
        <v>22</v>
      </c>
      <c r="P2897">
        <v>20230218</v>
      </c>
      <c r="Q2897">
        <v>20220722</v>
      </c>
    </row>
    <row r="2898" spans="1:17" x14ac:dyDescent="0.25">
      <c r="A2898" t="s">
        <v>548</v>
      </c>
      <c r="B2898" t="s">
        <v>429</v>
      </c>
      <c r="C2898">
        <v>95</v>
      </c>
      <c r="D2898">
        <v>20220722</v>
      </c>
      <c r="E2898">
        <f t="shared" si="45"/>
        <v>7</v>
      </c>
      <c r="F2898">
        <v>411100</v>
      </c>
      <c r="G2898" t="s">
        <v>18</v>
      </c>
      <c r="H2898" t="s">
        <v>277</v>
      </c>
      <c r="I2898" t="s">
        <v>278</v>
      </c>
      <c r="J2898">
        <v>348341</v>
      </c>
      <c r="K2898">
        <v>20220722</v>
      </c>
      <c r="L2898" t="s">
        <v>3065</v>
      </c>
      <c r="M2898">
        <v>0</v>
      </c>
      <c r="N2898">
        <v>25.5</v>
      </c>
      <c r="O2898" t="s">
        <v>22</v>
      </c>
      <c r="P2898">
        <v>20230218</v>
      </c>
      <c r="Q2898">
        <v>20220722</v>
      </c>
    </row>
    <row r="2899" spans="1:17" x14ac:dyDescent="0.25">
      <c r="A2899" t="s">
        <v>548</v>
      </c>
      <c r="B2899" t="s">
        <v>429</v>
      </c>
      <c r="C2899">
        <v>95</v>
      </c>
      <c r="D2899">
        <v>20220722</v>
      </c>
      <c r="E2899">
        <f t="shared" si="45"/>
        <v>7</v>
      </c>
      <c r="F2899">
        <v>411100</v>
      </c>
      <c r="G2899" t="s">
        <v>18</v>
      </c>
      <c r="H2899" t="s">
        <v>213</v>
      </c>
      <c r="I2899" t="s">
        <v>214</v>
      </c>
      <c r="J2899">
        <v>348342</v>
      </c>
      <c r="K2899">
        <v>20220722</v>
      </c>
      <c r="L2899" t="s">
        <v>3066</v>
      </c>
      <c r="M2899">
        <v>0</v>
      </c>
      <c r="N2899">
        <v>5</v>
      </c>
      <c r="O2899" t="s">
        <v>22</v>
      </c>
      <c r="P2899">
        <v>20230218</v>
      </c>
      <c r="Q2899">
        <v>20220722</v>
      </c>
    </row>
    <row r="2900" spans="1:17" x14ac:dyDescent="0.25">
      <c r="A2900" t="s">
        <v>548</v>
      </c>
      <c r="B2900" t="s">
        <v>429</v>
      </c>
      <c r="C2900">
        <v>95</v>
      </c>
      <c r="D2900">
        <v>20220722</v>
      </c>
      <c r="E2900">
        <f t="shared" si="45"/>
        <v>7</v>
      </c>
      <c r="F2900">
        <v>411100</v>
      </c>
      <c r="G2900" t="s">
        <v>18</v>
      </c>
      <c r="H2900" t="s">
        <v>2501</v>
      </c>
      <c r="I2900" t="s">
        <v>2502</v>
      </c>
      <c r="J2900">
        <v>348343</v>
      </c>
      <c r="K2900">
        <v>20220722</v>
      </c>
      <c r="L2900" t="s">
        <v>3067</v>
      </c>
      <c r="M2900">
        <v>0</v>
      </c>
      <c r="N2900">
        <v>14</v>
      </c>
      <c r="O2900" t="s">
        <v>22</v>
      </c>
      <c r="P2900">
        <v>20230218</v>
      </c>
      <c r="Q2900">
        <v>20220722</v>
      </c>
    </row>
    <row r="2901" spans="1:17" x14ac:dyDescent="0.25">
      <c r="A2901" t="s">
        <v>548</v>
      </c>
      <c r="B2901" t="s">
        <v>429</v>
      </c>
      <c r="C2901">
        <v>95</v>
      </c>
      <c r="D2901">
        <v>20220722</v>
      </c>
      <c r="E2901">
        <f t="shared" si="45"/>
        <v>7</v>
      </c>
      <c r="F2901">
        <v>531105</v>
      </c>
      <c r="G2901" t="s">
        <v>429</v>
      </c>
      <c r="H2901" t="s">
        <v>401</v>
      </c>
      <c r="I2901" t="s">
        <v>402</v>
      </c>
      <c r="J2901">
        <v>348344</v>
      </c>
      <c r="K2901">
        <v>20220722</v>
      </c>
      <c r="L2901" t="s">
        <v>565</v>
      </c>
      <c r="M2901">
        <v>472</v>
      </c>
      <c r="N2901">
        <v>0</v>
      </c>
      <c r="O2901" t="s">
        <v>19</v>
      </c>
      <c r="P2901" t="s">
        <v>20</v>
      </c>
      <c r="Q2901">
        <v>20220722</v>
      </c>
    </row>
    <row r="2902" spans="1:17" x14ac:dyDescent="0.25">
      <c r="A2902" t="s">
        <v>548</v>
      </c>
      <c r="B2902" t="s">
        <v>429</v>
      </c>
      <c r="C2902">
        <v>95</v>
      </c>
      <c r="D2902">
        <v>20220722</v>
      </c>
      <c r="E2902">
        <f t="shared" si="45"/>
        <v>7</v>
      </c>
      <c r="F2902">
        <v>411100</v>
      </c>
      <c r="G2902" t="s">
        <v>18</v>
      </c>
      <c r="H2902" t="s">
        <v>154</v>
      </c>
      <c r="I2902" t="s">
        <v>155</v>
      </c>
      <c r="J2902">
        <v>349255</v>
      </c>
      <c r="K2902">
        <v>20220722</v>
      </c>
      <c r="L2902" t="s">
        <v>3031</v>
      </c>
      <c r="M2902">
        <v>0</v>
      </c>
      <c r="N2902">
        <v>4</v>
      </c>
      <c r="O2902" t="s">
        <v>19</v>
      </c>
      <c r="P2902" t="s">
        <v>20</v>
      </c>
      <c r="Q2902">
        <v>20220722</v>
      </c>
    </row>
    <row r="2903" spans="1:17" x14ac:dyDescent="0.25">
      <c r="A2903" t="s">
        <v>548</v>
      </c>
      <c r="B2903" t="s">
        <v>429</v>
      </c>
      <c r="C2903">
        <v>95</v>
      </c>
      <c r="D2903">
        <v>20220722</v>
      </c>
      <c r="E2903">
        <f t="shared" si="45"/>
        <v>7</v>
      </c>
      <c r="F2903">
        <v>411100</v>
      </c>
      <c r="G2903" t="s">
        <v>18</v>
      </c>
      <c r="H2903" t="s">
        <v>2985</v>
      </c>
      <c r="I2903" t="s">
        <v>2986</v>
      </c>
      <c r="J2903">
        <v>349256</v>
      </c>
      <c r="K2903">
        <v>20220722</v>
      </c>
      <c r="L2903" t="s">
        <v>3032</v>
      </c>
      <c r="M2903">
        <v>0</v>
      </c>
      <c r="N2903">
        <v>3.5</v>
      </c>
      <c r="O2903" t="s">
        <v>23</v>
      </c>
      <c r="P2903">
        <v>20230329</v>
      </c>
      <c r="Q2903">
        <v>20220722</v>
      </c>
    </row>
    <row r="2904" spans="1:17" x14ac:dyDescent="0.25">
      <c r="A2904" t="s">
        <v>548</v>
      </c>
      <c r="B2904" t="s">
        <v>429</v>
      </c>
      <c r="C2904">
        <v>95</v>
      </c>
      <c r="D2904">
        <v>20220722</v>
      </c>
      <c r="E2904">
        <f t="shared" si="45"/>
        <v>7</v>
      </c>
      <c r="F2904">
        <v>411100</v>
      </c>
      <c r="G2904" t="s">
        <v>18</v>
      </c>
      <c r="H2904" t="s">
        <v>1033</v>
      </c>
      <c r="I2904" t="s">
        <v>1034</v>
      </c>
      <c r="J2904">
        <v>349257</v>
      </c>
      <c r="K2904">
        <v>20220722</v>
      </c>
      <c r="L2904" t="s">
        <v>3033</v>
      </c>
      <c r="M2904">
        <v>0</v>
      </c>
      <c r="N2904">
        <v>2</v>
      </c>
      <c r="O2904" t="s">
        <v>19</v>
      </c>
      <c r="P2904" t="s">
        <v>20</v>
      </c>
      <c r="Q2904">
        <v>20220722</v>
      </c>
    </row>
    <row r="2905" spans="1:17" x14ac:dyDescent="0.25">
      <c r="A2905" t="s">
        <v>548</v>
      </c>
      <c r="B2905" t="s">
        <v>429</v>
      </c>
      <c r="C2905">
        <v>95</v>
      </c>
      <c r="D2905">
        <v>20220722</v>
      </c>
      <c r="E2905">
        <f t="shared" si="45"/>
        <v>7</v>
      </c>
      <c r="F2905">
        <v>411100</v>
      </c>
      <c r="G2905" t="s">
        <v>18</v>
      </c>
      <c r="H2905" t="s">
        <v>65</v>
      </c>
      <c r="I2905" t="s">
        <v>66</v>
      </c>
      <c r="J2905">
        <v>349258</v>
      </c>
      <c r="K2905">
        <v>20220722</v>
      </c>
      <c r="L2905" t="s">
        <v>3034</v>
      </c>
      <c r="M2905">
        <v>0</v>
      </c>
      <c r="N2905">
        <v>2</v>
      </c>
      <c r="O2905" t="s">
        <v>19</v>
      </c>
      <c r="P2905" t="s">
        <v>20</v>
      </c>
      <c r="Q2905">
        <v>20220722</v>
      </c>
    </row>
    <row r="2906" spans="1:17" x14ac:dyDescent="0.25">
      <c r="A2906" t="s">
        <v>548</v>
      </c>
      <c r="B2906" t="s">
        <v>429</v>
      </c>
      <c r="C2906">
        <v>95</v>
      </c>
      <c r="D2906">
        <v>20220722</v>
      </c>
      <c r="E2906">
        <f t="shared" si="45"/>
        <v>7</v>
      </c>
      <c r="F2906">
        <v>411100</v>
      </c>
      <c r="G2906" t="s">
        <v>18</v>
      </c>
      <c r="H2906" t="s">
        <v>3035</v>
      </c>
      <c r="I2906" t="s">
        <v>3036</v>
      </c>
      <c r="J2906">
        <v>349259</v>
      </c>
      <c r="K2906">
        <v>20220722</v>
      </c>
      <c r="L2906" t="s">
        <v>3037</v>
      </c>
      <c r="M2906">
        <v>0</v>
      </c>
      <c r="N2906">
        <v>2</v>
      </c>
      <c r="O2906" t="s">
        <v>22</v>
      </c>
      <c r="P2906">
        <v>20230218</v>
      </c>
      <c r="Q2906">
        <v>20220722</v>
      </c>
    </row>
    <row r="2907" spans="1:17" x14ac:dyDescent="0.25">
      <c r="A2907" t="s">
        <v>548</v>
      </c>
      <c r="B2907" t="s">
        <v>429</v>
      </c>
      <c r="C2907">
        <v>95</v>
      </c>
      <c r="D2907">
        <v>20220722</v>
      </c>
      <c r="E2907">
        <f t="shared" si="45"/>
        <v>7</v>
      </c>
      <c r="F2907">
        <v>411100</v>
      </c>
      <c r="G2907" t="s">
        <v>18</v>
      </c>
      <c r="H2907" t="s">
        <v>1029</v>
      </c>
      <c r="I2907" t="s">
        <v>1030</v>
      </c>
      <c r="J2907">
        <v>349260</v>
      </c>
      <c r="K2907">
        <v>20220722</v>
      </c>
      <c r="L2907" t="s">
        <v>3038</v>
      </c>
      <c r="M2907">
        <v>0</v>
      </c>
      <c r="N2907">
        <v>2</v>
      </c>
      <c r="O2907" t="s">
        <v>22</v>
      </c>
      <c r="P2907">
        <v>20230218</v>
      </c>
      <c r="Q2907">
        <v>20220722</v>
      </c>
    </row>
    <row r="2908" spans="1:17" x14ac:dyDescent="0.25">
      <c r="A2908" t="s">
        <v>548</v>
      </c>
      <c r="B2908" t="s">
        <v>429</v>
      </c>
      <c r="C2908">
        <v>95</v>
      </c>
      <c r="D2908">
        <v>20220722</v>
      </c>
      <c r="E2908">
        <f t="shared" si="45"/>
        <v>7</v>
      </c>
      <c r="F2908">
        <v>411100</v>
      </c>
      <c r="G2908" t="s">
        <v>18</v>
      </c>
      <c r="H2908" t="s">
        <v>81</v>
      </c>
      <c r="I2908" t="s">
        <v>82</v>
      </c>
      <c r="J2908">
        <v>349261</v>
      </c>
      <c r="K2908">
        <v>20220722</v>
      </c>
      <c r="L2908" t="s">
        <v>3039</v>
      </c>
      <c r="M2908">
        <v>0</v>
      </c>
      <c r="N2908">
        <v>15</v>
      </c>
      <c r="O2908" t="s">
        <v>22</v>
      </c>
      <c r="P2908">
        <v>20230218</v>
      </c>
      <c r="Q2908">
        <v>20220722</v>
      </c>
    </row>
    <row r="2909" spans="1:17" x14ac:dyDescent="0.25">
      <c r="A2909" t="s">
        <v>548</v>
      </c>
      <c r="B2909" t="s">
        <v>429</v>
      </c>
      <c r="C2909">
        <v>95</v>
      </c>
      <c r="D2909">
        <v>20220722</v>
      </c>
      <c r="E2909">
        <f t="shared" si="45"/>
        <v>7</v>
      </c>
      <c r="F2909">
        <v>411100</v>
      </c>
      <c r="G2909" t="s">
        <v>18</v>
      </c>
      <c r="H2909" t="s">
        <v>105</v>
      </c>
      <c r="I2909" t="s">
        <v>106</v>
      </c>
      <c r="J2909">
        <v>349262</v>
      </c>
      <c r="K2909">
        <v>20220722</v>
      </c>
      <c r="L2909" t="s">
        <v>3040</v>
      </c>
      <c r="M2909">
        <v>0</v>
      </c>
      <c r="N2909">
        <v>45</v>
      </c>
      <c r="O2909" t="s">
        <v>19</v>
      </c>
      <c r="P2909" t="s">
        <v>20</v>
      </c>
      <c r="Q2909">
        <v>20220722</v>
      </c>
    </row>
    <row r="2910" spans="1:17" x14ac:dyDescent="0.25">
      <c r="A2910" t="s">
        <v>548</v>
      </c>
      <c r="B2910" t="s">
        <v>429</v>
      </c>
      <c r="C2910">
        <v>95</v>
      </c>
      <c r="D2910">
        <v>20220722</v>
      </c>
      <c r="E2910">
        <f t="shared" si="45"/>
        <v>7</v>
      </c>
      <c r="F2910">
        <v>411100</v>
      </c>
      <c r="G2910" t="s">
        <v>18</v>
      </c>
      <c r="H2910" t="s">
        <v>154</v>
      </c>
      <c r="I2910" t="s">
        <v>155</v>
      </c>
      <c r="J2910">
        <v>349263</v>
      </c>
      <c r="K2910">
        <v>20220722</v>
      </c>
      <c r="L2910" t="s">
        <v>3041</v>
      </c>
      <c r="M2910">
        <v>0</v>
      </c>
      <c r="N2910">
        <v>30</v>
      </c>
      <c r="O2910" t="s">
        <v>19</v>
      </c>
      <c r="P2910" t="s">
        <v>20</v>
      </c>
      <c r="Q2910">
        <v>20220722</v>
      </c>
    </row>
    <row r="2911" spans="1:17" x14ac:dyDescent="0.25">
      <c r="A2911" t="s">
        <v>548</v>
      </c>
      <c r="B2911" t="s">
        <v>429</v>
      </c>
      <c r="C2911">
        <v>95</v>
      </c>
      <c r="D2911">
        <v>20220722</v>
      </c>
      <c r="E2911">
        <f t="shared" si="45"/>
        <v>7</v>
      </c>
      <c r="F2911">
        <v>411100</v>
      </c>
      <c r="G2911" t="s">
        <v>18</v>
      </c>
      <c r="H2911" t="s">
        <v>65</v>
      </c>
      <c r="I2911" t="s">
        <v>66</v>
      </c>
      <c r="J2911">
        <v>349264</v>
      </c>
      <c r="K2911">
        <v>20220722</v>
      </c>
      <c r="L2911" t="s">
        <v>3042</v>
      </c>
      <c r="M2911">
        <v>0</v>
      </c>
      <c r="N2911">
        <v>15</v>
      </c>
      <c r="O2911" t="s">
        <v>19</v>
      </c>
      <c r="P2911" t="s">
        <v>20</v>
      </c>
      <c r="Q2911">
        <v>20220722</v>
      </c>
    </row>
    <row r="2912" spans="1:17" x14ac:dyDescent="0.25">
      <c r="A2912" t="s">
        <v>548</v>
      </c>
      <c r="B2912" t="s">
        <v>429</v>
      </c>
      <c r="C2912">
        <v>95</v>
      </c>
      <c r="D2912">
        <v>20220722</v>
      </c>
      <c r="E2912">
        <f t="shared" si="45"/>
        <v>7</v>
      </c>
      <c r="F2912">
        <v>411100</v>
      </c>
      <c r="G2912" t="s">
        <v>18</v>
      </c>
      <c r="H2912" t="s">
        <v>660</v>
      </c>
      <c r="I2912" t="s">
        <v>661</v>
      </c>
      <c r="J2912">
        <v>349265</v>
      </c>
      <c r="K2912">
        <v>20220722</v>
      </c>
      <c r="L2912" t="s">
        <v>3043</v>
      </c>
      <c r="M2912">
        <v>0</v>
      </c>
      <c r="N2912">
        <v>15</v>
      </c>
      <c r="O2912" t="s">
        <v>19</v>
      </c>
      <c r="P2912" t="s">
        <v>20</v>
      </c>
      <c r="Q2912">
        <v>20220722</v>
      </c>
    </row>
    <row r="2913" spans="1:17" x14ac:dyDescent="0.25">
      <c r="A2913" t="s">
        <v>548</v>
      </c>
      <c r="B2913" t="s">
        <v>429</v>
      </c>
      <c r="C2913">
        <v>95</v>
      </c>
      <c r="D2913">
        <v>20220722</v>
      </c>
      <c r="E2913">
        <f t="shared" si="45"/>
        <v>7</v>
      </c>
      <c r="F2913">
        <v>411100</v>
      </c>
      <c r="G2913" t="s">
        <v>18</v>
      </c>
      <c r="H2913" t="s">
        <v>1911</v>
      </c>
      <c r="I2913" t="s">
        <v>1912</v>
      </c>
      <c r="J2913">
        <v>349266</v>
      </c>
      <c r="K2913">
        <v>20220722</v>
      </c>
      <c r="L2913" t="s">
        <v>3044</v>
      </c>
      <c r="M2913">
        <v>0</v>
      </c>
      <c r="N2913">
        <v>15</v>
      </c>
      <c r="O2913" t="s">
        <v>19</v>
      </c>
      <c r="P2913" t="s">
        <v>20</v>
      </c>
      <c r="Q2913">
        <v>20220722</v>
      </c>
    </row>
    <row r="2914" spans="1:17" x14ac:dyDescent="0.25">
      <c r="A2914" t="s">
        <v>548</v>
      </c>
      <c r="B2914" t="s">
        <v>429</v>
      </c>
      <c r="C2914">
        <v>95</v>
      </c>
      <c r="D2914">
        <v>20220722</v>
      </c>
      <c r="E2914">
        <f t="shared" si="45"/>
        <v>7</v>
      </c>
      <c r="F2914">
        <v>411100</v>
      </c>
      <c r="G2914" t="s">
        <v>18</v>
      </c>
      <c r="H2914" t="s">
        <v>1911</v>
      </c>
      <c r="I2914" t="s">
        <v>1912</v>
      </c>
      <c r="J2914">
        <v>349267</v>
      </c>
      <c r="K2914">
        <v>20220722</v>
      </c>
      <c r="L2914" t="s">
        <v>3045</v>
      </c>
      <c r="M2914">
        <v>0</v>
      </c>
      <c r="N2914">
        <v>15</v>
      </c>
      <c r="O2914" t="s">
        <v>19</v>
      </c>
      <c r="P2914" t="s">
        <v>20</v>
      </c>
      <c r="Q2914">
        <v>20220722</v>
      </c>
    </row>
    <row r="2915" spans="1:17" x14ac:dyDescent="0.25">
      <c r="A2915" t="s">
        <v>548</v>
      </c>
      <c r="B2915" t="s">
        <v>429</v>
      </c>
      <c r="C2915">
        <v>95</v>
      </c>
      <c r="D2915">
        <v>20220722</v>
      </c>
      <c r="E2915">
        <f t="shared" si="45"/>
        <v>7</v>
      </c>
      <c r="F2915">
        <v>411100</v>
      </c>
      <c r="G2915" t="s">
        <v>18</v>
      </c>
      <c r="H2915" t="s">
        <v>3006</v>
      </c>
      <c r="I2915" t="s">
        <v>3007</v>
      </c>
      <c r="J2915">
        <v>349268</v>
      </c>
      <c r="K2915">
        <v>20220722</v>
      </c>
      <c r="L2915" t="s">
        <v>3046</v>
      </c>
      <c r="M2915">
        <v>0</v>
      </c>
      <c r="N2915">
        <v>15</v>
      </c>
      <c r="O2915" t="s">
        <v>22</v>
      </c>
      <c r="P2915">
        <v>20230218</v>
      </c>
      <c r="Q2915">
        <v>20220722</v>
      </c>
    </row>
    <row r="2916" spans="1:17" x14ac:dyDescent="0.25">
      <c r="A2916" t="s">
        <v>548</v>
      </c>
      <c r="B2916" t="s">
        <v>429</v>
      </c>
      <c r="C2916">
        <v>95</v>
      </c>
      <c r="D2916">
        <v>20220722</v>
      </c>
      <c r="E2916">
        <f t="shared" si="45"/>
        <v>7</v>
      </c>
      <c r="F2916">
        <v>411100</v>
      </c>
      <c r="G2916" t="s">
        <v>18</v>
      </c>
      <c r="H2916" t="s">
        <v>187</v>
      </c>
      <c r="I2916" t="s">
        <v>188</v>
      </c>
      <c r="J2916">
        <v>349269</v>
      </c>
      <c r="K2916">
        <v>20220722</v>
      </c>
      <c r="L2916" t="s">
        <v>3047</v>
      </c>
      <c r="M2916">
        <v>0</v>
      </c>
      <c r="N2916">
        <v>30</v>
      </c>
      <c r="O2916" t="s">
        <v>22</v>
      </c>
      <c r="P2916">
        <v>20230218</v>
      </c>
      <c r="Q2916">
        <v>20220722</v>
      </c>
    </row>
    <row r="2917" spans="1:17" x14ac:dyDescent="0.25">
      <c r="A2917" t="s">
        <v>548</v>
      </c>
      <c r="B2917" t="s">
        <v>429</v>
      </c>
      <c r="C2917">
        <v>95</v>
      </c>
      <c r="D2917">
        <v>20220722</v>
      </c>
      <c r="E2917">
        <f t="shared" si="45"/>
        <v>7</v>
      </c>
      <c r="F2917">
        <v>411100</v>
      </c>
      <c r="G2917" t="s">
        <v>18</v>
      </c>
      <c r="H2917" t="s">
        <v>1033</v>
      </c>
      <c r="I2917" t="s">
        <v>1034</v>
      </c>
      <c r="J2917">
        <v>349270</v>
      </c>
      <c r="K2917">
        <v>20220722</v>
      </c>
      <c r="L2917" t="s">
        <v>3048</v>
      </c>
      <c r="M2917">
        <v>0</v>
      </c>
      <c r="N2917">
        <v>15</v>
      </c>
      <c r="O2917" t="s">
        <v>19</v>
      </c>
      <c r="P2917" t="s">
        <v>20</v>
      </c>
      <c r="Q2917">
        <v>20220722</v>
      </c>
    </row>
    <row r="2918" spans="1:17" x14ac:dyDescent="0.25">
      <c r="A2918" t="s">
        <v>548</v>
      </c>
      <c r="B2918" t="s">
        <v>429</v>
      </c>
      <c r="C2918">
        <v>95</v>
      </c>
      <c r="D2918">
        <v>20220722</v>
      </c>
      <c r="E2918">
        <f t="shared" si="45"/>
        <v>7</v>
      </c>
      <c r="F2918">
        <v>411100</v>
      </c>
      <c r="G2918" t="s">
        <v>18</v>
      </c>
      <c r="H2918" t="s">
        <v>2995</v>
      </c>
      <c r="I2918" t="s">
        <v>2996</v>
      </c>
      <c r="J2918">
        <v>349271</v>
      </c>
      <c r="K2918">
        <v>20220722</v>
      </c>
      <c r="L2918" t="s">
        <v>3049</v>
      </c>
      <c r="M2918">
        <v>0</v>
      </c>
      <c r="N2918">
        <v>15</v>
      </c>
      <c r="O2918" t="s">
        <v>22</v>
      </c>
      <c r="P2918">
        <v>20230218</v>
      </c>
      <c r="Q2918">
        <v>20220722</v>
      </c>
    </row>
    <row r="2919" spans="1:17" x14ac:dyDescent="0.25">
      <c r="A2919" t="s">
        <v>548</v>
      </c>
      <c r="B2919" t="s">
        <v>429</v>
      </c>
      <c r="C2919">
        <v>95</v>
      </c>
      <c r="D2919">
        <v>20220722</v>
      </c>
      <c r="E2919">
        <f t="shared" si="45"/>
        <v>7</v>
      </c>
      <c r="F2919">
        <v>411100</v>
      </c>
      <c r="G2919" t="s">
        <v>18</v>
      </c>
      <c r="H2919" t="s">
        <v>344</v>
      </c>
      <c r="I2919" t="s">
        <v>345</v>
      </c>
      <c r="J2919">
        <v>349272</v>
      </c>
      <c r="K2919">
        <v>20220722</v>
      </c>
      <c r="L2919" t="s">
        <v>3050</v>
      </c>
      <c r="M2919">
        <v>0</v>
      </c>
      <c r="N2919">
        <v>15</v>
      </c>
      <c r="O2919" t="s">
        <v>19</v>
      </c>
      <c r="P2919" t="s">
        <v>20</v>
      </c>
      <c r="Q2919">
        <v>20220722</v>
      </c>
    </row>
    <row r="2920" spans="1:17" x14ac:dyDescent="0.25">
      <c r="A2920" t="s">
        <v>548</v>
      </c>
      <c r="B2920" t="s">
        <v>429</v>
      </c>
      <c r="C2920">
        <v>95</v>
      </c>
      <c r="D2920">
        <v>20220722</v>
      </c>
      <c r="E2920">
        <f t="shared" si="45"/>
        <v>7</v>
      </c>
      <c r="F2920">
        <v>411100</v>
      </c>
      <c r="G2920" t="s">
        <v>18</v>
      </c>
      <c r="H2920" t="s">
        <v>3021</v>
      </c>
      <c r="I2920" t="s">
        <v>3022</v>
      </c>
      <c r="J2920">
        <v>349273</v>
      </c>
      <c r="K2920">
        <v>20220722</v>
      </c>
      <c r="L2920" t="s">
        <v>3051</v>
      </c>
      <c r="M2920">
        <v>0</v>
      </c>
      <c r="N2920">
        <v>15</v>
      </c>
      <c r="O2920" t="s">
        <v>22</v>
      </c>
      <c r="P2920">
        <v>20230218</v>
      </c>
      <c r="Q2920">
        <v>20220722</v>
      </c>
    </row>
    <row r="2921" spans="1:17" x14ac:dyDescent="0.25">
      <c r="A2921" t="s">
        <v>548</v>
      </c>
      <c r="B2921" t="s">
        <v>429</v>
      </c>
      <c r="C2921">
        <v>95</v>
      </c>
      <c r="D2921">
        <v>20220722</v>
      </c>
      <c r="E2921">
        <f t="shared" si="45"/>
        <v>7</v>
      </c>
      <c r="F2921">
        <v>411100</v>
      </c>
      <c r="G2921" t="s">
        <v>18</v>
      </c>
      <c r="H2921" t="s">
        <v>3001</v>
      </c>
      <c r="I2921" t="s">
        <v>3002</v>
      </c>
      <c r="J2921">
        <v>349274</v>
      </c>
      <c r="K2921">
        <v>20220722</v>
      </c>
      <c r="L2921" t="s">
        <v>3052</v>
      </c>
      <c r="M2921">
        <v>0</v>
      </c>
      <c r="N2921">
        <v>15</v>
      </c>
      <c r="O2921" t="s">
        <v>22</v>
      </c>
      <c r="P2921">
        <v>20230218</v>
      </c>
      <c r="Q2921">
        <v>20220722</v>
      </c>
    </row>
    <row r="2922" spans="1:17" x14ac:dyDescent="0.25">
      <c r="A2922" t="s">
        <v>548</v>
      </c>
      <c r="B2922" t="s">
        <v>429</v>
      </c>
      <c r="C2922">
        <v>95</v>
      </c>
      <c r="D2922">
        <v>20220722</v>
      </c>
      <c r="E2922">
        <f t="shared" si="45"/>
        <v>7</v>
      </c>
      <c r="F2922">
        <v>411100</v>
      </c>
      <c r="G2922" t="s">
        <v>18</v>
      </c>
      <c r="H2922" t="s">
        <v>3001</v>
      </c>
      <c r="I2922" t="s">
        <v>3002</v>
      </c>
      <c r="J2922">
        <v>349275</v>
      </c>
      <c r="K2922">
        <v>20220722</v>
      </c>
      <c r="L2922" t="s">
        <v>3053</v>
      </c>
      <c r="M2922">
        <v>0</v>
      </c>
      <c r="N2922">
        <v>15</v>
      </c>
      <c r="O2922" t="s">
        <v>22</v>
      </c>
      <c r="P2922">
        <v>20230218</v>
      </c>
      <c r="Q2922">
        <v>20220722</v>
      </c>
    </row>
    <row r="2923" spans="1:17" x14ac:dyDescent="0.25">
      <c r="A2923" t="s">
        <v>548</v>
      </c>
      <c r="B2923" t="s">
        <v>429</v>
      </c>
      <c r="C2923">
        <v>95</v>
      </c>
      <c r="D2923">
        <v>20220722</v>
      </c>
      <c r="E2923">
        <f t="shared" si="45"/>
        <v>7</v>
      </c>
      <c r="F2923">
        <v>411100</v>
      </c>
      <c r="G2923" t="s">
        <v>18</v>
      </c>
      <c r="H2923" t="s">
        <v>2985</v>
      </c>
      <c r="I2923" t="s">
        <v>2986</v>
      </c>
      <c r="J2923">
        <v>349276</v>
      </c>
      <c r="K2923">
        <v>20220722</v>
      </c>
      <c r="L2923" t="s">
        <v>3054</v>
      </c>
      <c r="M2923">
        <v>0</v>
      </c>
      <c r="N2923">
        <v>15</v>
      </c>
      <c r="O2923" t="s">
        <v>23</v>
      </c>
      <c r="P2923">
        <v>20230329</v>
      </c>
      <c r="Q2923">
        <v>20220722</v>
      </c>
    </row>
    <row r="2924" spans="1:17" x14ac:dyDescent="0.25">
      <c r="A2924" t="s">
        <v>548</v>
      </c>
      <c r="B2924" t="s">
        <v>429</v>
      </c>
      <c r="C2924">
        <v>95</v>
      </c>
      <c r="D2924">
        <v>20220722</v>
      </c>
      <c r="E2924">
        <f t="shared" si="45"/>
        <v>7</v>
      </c>
      <c r="F2924">
        <v>411100</v>
      </c>
      <c r="G2924" t="s">
        <v>18</v>
      </c>
      <c r="H2924" t="s">
        <v>73</v>
      </c>
      <c r="I2924" t="s">
        <v>74</v>
      </c>
      <c r="J2924">
        <v>349277</v>
      </c>
      <c r="K2924">
        <v>20220722</v>
      </c>
      <c r="L2924" t="s">
        <v>3055</v>
      </c>
      <c r="M2924">
        <v>0</v>
      </c>
      <c r="N2924">
        <v>30</v>
      </c>
      <c r="O2924" t="s">
        <v>19</v>
      </c>
      <c r="P2924" t="s">
        <v>20</v>
      </c>
      <c r="Q2924">
        <v>20220722</v>
      </c>
    </row>
    <row r="2925" spans="1:17" x14ac:dyDescent="0.25">
      <c r="A2925" t="s">
        <v>548</v>
      </c>
      <c r="B2925" t="s">
        <v>429</v>
      </c>
      <c r="C2925">
        <v>95</v>
      </c>
      <c r="D2925">
        <v>20220722</v>
      </c>
      <c r="E2925">
        <f t="shared" si="45"/>
        <v>7</v>
      </c>
      <c r="F2925">
        <v>411100</v>
      </c>
      <c r="G2925" t="s">
        <v>18</v>
      </c>
      <c r="H2925" t="s">
        <v>1172</v>
      </c>
      <c r="I2925" t="s">
        <v>1173</v>
      </c>
      <c r="J2925">
        <v>349278</v>
      </c>
      <c r="K2925">
        <v>20220722</v>
      </c>
      <c r="L2925" t="s">
        <v>3056</v>
      </c>
      <c r="M2925">
        <v>0</v>
      </c>
      <c r="N2925">
        <v>15</v>
      </c>
      <c r="O2925" t="s">
        <v>19</v>
      </c>
      <c r="P2925" t="s">
        <v>20</v>
      </c>
      <c r="Q2925">
        <v>20220722</v>
      </c>
    </row>
    <row r="2926" spans="1:17" x14ac:dyDescent="0.25">
      <c r="A2926" t="s">
        <v>548</v>
      </c>
      <c r="B2926" t="s">
        <v>429</v>
      </c>
      <c r="C2926">
        <v>95</v>
      </c>
      <c r="D2926">
        <v>20220722</v>
      </c>
      <c r="E2926">
        <f t="shared" si="45"/>
        <v>7</v>
      </c>
      <c r="F2926">
        <v>411100</v>
      </c>
      <c r="G2926" t="s">
        <v>18</v>
      </c>
      <c r="H2926" t="s">
        <v>1172</v>
      </c>
      <c r="I2926" t="s">
        <v>1173</v>
      </c>
      <c r="J2926">
        <v>349279</v>
      </c>
      <c r="K2926">
        <v>20220722</v>
      </c>
      <c r="L2926" t="s">
        <v>3057</v>
      </c>
      <c r="M2926">
        <v>0</v>
      </c>
      <c r="N2926">
        <v>15</v>
      </c>
      <c r="O2926" t="s">
        <v>19</v>
      </c>
      <c r="P2926" t="s">
        <v>20</v>
      </c>
      <c r="Q2926">
        <v>20220722</v>
      </c>
    </row>
    <row r="2927" spans="1:17" x14ac:dyDescent="0.25">
      <c r="A2927" t="s">
        <v>548</v>
      </c>
      <c r="B2927" t="s">
        <v>429</v>
      </c>
      <c r="C2927">
        <v>95</v>
      </c>
      <c r="D2927">
        <v>20220722</v>
      </c>
      <c r="E2927">
        <f t="shared" si="45"/>
        <v>7</v>
      </c>
      <c r="F2927">
        <v>411100</v>
      </c>
      <c r="G2927" t="s">
        <v>18</v>
      </c>
      <c r="H2927" t="s">
        <v>77</v>
      </c>
      <c r="I2927" t="s">
        <v>78</v>
      </c>
      <c r="J2927">
        <v>349280</v>
      </c>
      <c r="K2927">
        <v>20220722</v>
      </c>
      <c r="L2927" t="s">
        <v>3058</v>
      </c>
      <c r="M2927">
        <v>0</v>
      </c>
      <c r="N2927">
        <v>30</v>
      </c>
      <c r="O2927" t="s">
        <v>19</v>
      </c>
      <c r="P2927" t="s">
        <v>20</v>
      </c>
      <c r="Q2927">
        <v>20220722</v>
      </c>
    </row>
    <row r="2928" spans="1:17" x14ac:dyDescent="0.25">
      <c r="A2928" t="s">
        <v>548</v>
      </c>
      <c r="B2928" t="s">
        <v>429</v>
      </c>
      <c r="C2928">
        <v>95</v>
      </c>
      <c r="D2928">
        <v>20220722</v>
      </c>
      <c r="E2928">
        <f t="shared" si="45"/>
        <v>7</v>
      </c>
      <c r="F2928">
        <v>411100</v>
      </c>
      <c r="G2928" t="s">
        <v>18</v>
      </c>
      <c r="H2928" t="s">
        <v>109</v>
      </c>
      <c r="I2928" t="s">
        <v>110</v>
      </c>
      <c r="J2928">
        <v>349281</v>
      </c>
      <c r="K2928">
        <v>20220722</v>
      </c>
      <c r="L2928" t="s">
        <v>3059</v>
      </c>
      <c r="M2928">
        <v>0</v>
      </c>
      <c r="N2928">
        <v>4</v>
      </c>
      <c r="O2928" t="s">
        <v>19</v>
      </c>
      <c r="P2928" t="s">
        <v>20</v>
      </c>
      <c r="Q2928">
        <v>20220722</v>
      </c>
    </row>
    <row r="2929" spans="1:17" x14ac:dyDescent="0.25">
      <c r="A2929" t="s">
        <v>548</v>
      </c>
      <c r="B2929" t="s">
        <v>429</v>
      </c>
      <c r="C2929">
        <v>95</v>
      </c>
      <c r="D2929">
        <v>20220722</v>
      </c>
      <c r="E2929">
        <f t="shared" si="45"/>
        <v>7</v>
      </c>
      <c r="F2929">
        <v>411100</v>
      </c>
      <c r="G2929" t="s">
        <v>18</v>
      </c>
      <c r="H2929" t="s">
        <v>109</v>
      </c>
      <c r="I2929" t="s">
        <v>110</v>
      </c>
      <c r="J2929">
        <v>349282</v>
      </c>
      <c r="K2929">
        <v>20220722</v>
      </c>
      <c r="L2929" t="s">
        <v>3060</v>
      </c>
      <c r="M2929">
        <v>0</v>
      </c>
      <c r="N2929">
        <v>4</v>
      </c>
      <c r="O2929" t="s">
        <v>19</v>
      </c>
      <c r="P2929" t="s">
        <v>20</v>
      </c>
      <c r="Q2929">
        <v>20220722</v>
      </c>
    </row>
    <row r="2930" spans="1:17" x14ac:dyDescent="0.25">
      <c r="A2930" t="s">
        <v>548</v>
      </c>
      <c r="B2930" t="s">
        <v>429</v>
      </c>
      <c r="C2930">
        <v>95</v>
      </c>
      <c r="D2930">
        <v>20220722</v>
      </c>
      <c r="E2930">
        <f t="shared" si="45"/>
        <v>7</v>
      </c>
      <c r="F2930">
        <v>411100</v>
      </c>
      <c r="G2930" t="s">
        <v>18</v>
      </c>
      <c r="H2930" t="s">
        <v>3061</v>
      </c>
      <c r="I2930" t="s">
        <v>3062</v>
      </c>
      <c r="J2930">
        <v>349283</v>
      </c>
      <c r="K2930">
        <v>20220722</v>
      </c>
      <c r="L2930" t="s">
        <v>3063</v>
      </c>
      <c r="M2930">
        <v>0</v>
      </c>
      <c r="N2930">
        <v>4</v>
      </c>
      <c r="O2930" t="s">
        <v>22</v>
      </c>
      <c r="P2930">
        <v>20230218</v>
      </c>
      <c r="Q2930">
        <v>20220722</v>
      </c>
    </row>
    <row r="2931" spans="1:17" x14ac:dyDescent="0.25">
      <c r="A2931" t="s">
        <v>548</v>
      </c>
      <c r="B2931" t="s">
        <v>429</v>
      </c>
      <c r="C2931">
        <v>95</v>
      </c>
      <c r="D2931">
        <v>20220722</v>
      </c>
      <c r="E2931">
        <f t="shared" si="45"/>
        <v>7</v>
      </c>
      <c r="F2931">
        <v>411100</v>
      </c>
      <c r="G2931" t="s">
        <v>18</v>
      </c>
      <c r="H2931" t="s">
        <v>2907</v>
      </c>
      <c r="I2931" t="s">
        <v>2908</v>
      </c>
      <c r="J2931">
        <v>349284</v>
      </c>
      <c r="K2931">
        <v>20220722</v>
      </c>
      <c r="L2931" t="s">
        <v>3064</v>
      </c>
      <c r="M2931">
        <v>0</v>
      </c>
      <c r="N2931">
        <v>10</v>
      </c>
      <c r="O2931" t="s">
        <v>22</v>
      </c>
      <c r="P2931">
        <v>20230218</v>
      </c>
      <c r="Q2931">
        <v>20220722</v>
      </c>
    </row>
    <row r="2932" spans="1:17" x14ac:dyDescent="0.25">
      <c r="A2932" t="s">
        <v>548</v>
      </c>
      <c r="B2932" t="s">
        <v>429</v>
      </c>
      <c r="C2932">
        <v>95</v>
      </c>
      <c r="D2932">
        <v>20220722</v>
      </c>
      <c r="E2932">
        <f t="shared" si="45"/>
        <v>7</v>
      </c>
      <c r="F2932">
        <v>411100</v>
      </c>
      <c r="G2932" t="s">
        <v>18</v>
      </c>
      <c r="H2932" t="s">
        <v>277</v>
      </c>
      <c r="I2932" t="s">
        <v>278</v>
      </c>
      <c r="J2932">
        <v>349285</v>
      </c>
      <c r="K2932">
        <v>20220722</v>
      </c>
      <c r="L2932" t="s">
        <v>3065</v>
      </c>
      <c r="M2932">
        <v>0</v>
      </c>
      <c r="N2932">
        <v>25.5</v>
      </c>
      <c r="O2932" t="s">
        <v>19</v>
      </c>
      <c r="P2932" t="s">
        <v>20</v>
      </c>
      <c r="Q2932">
        <v>20220722</v>
      </c>
    </row>
    <row r="2933" spans="1:17" x14ac:dyDescent="0.25">
      <c r="A2933" t="s">
        <v>548</v>
      </c>
      <c r="B2933" t="s">
        <v>429</v>
      </c>
      <c r="C2933">
        <v>95</v>
      </c>
      <c r="D2933">
        <v>20220722</v>
      </c>
      <c r="E2933">
        <f t="shared" si="45"/>
        <v>7</v>
      </c>
      <c r="F2933">
        <v>411100</v>
      </c>
      <c r="G2933" t="s">
        <v>18</v>
      </c>
      <c r="H2933" t="s">
        <v>213</v>
      </c>
      <c r="I2933" t="s">
        <v>214</v>
      </c>
      <c r="J2933">
        <v>349286</v>
      </c>
      <c r="K2933">
        <v>20220722</v>
      </c>
      <c r="L2933" t="s">
        <v>3066</v>
      </c>
      <c r="M2933">
        <v>0</v>
      </c>
      <c r="N2933">
        <v>5</v>
      </c>
      <c r="O2933" t="s">
        <v>19</v>
      </c>
      <c r="P2933" t="s">
        <v>20</v>
      </c>
      <c r="Q2933">
        <v>20220722</v>
      </c>
    </row>
    <row r="2934" spans="1:17" x14ac:dyDescent="0.25">
      <c r="A2934" t="s">
        <v>548</v>
      </c>
      <c r="B2934" t="s">
        <v>429</v>
      </c>
      <c r="C2934">
        <v>95</v>
      </c>
      <c r="D2934">
        <v>20220722</v>
      </c>
      <c r="E2934">
        <f t="shared" si="45"/>
        <v>7</v>
      </c>
      <c r="F2934">
        <v>411100</v>
      </c>
      <c r="G2934" t="s">
        <v>18</v>
      </c>
      <c r="H2934" t="s">
        <v>2501</v>
      </c>
      <c r="I2934" t="s">
        <v>2502</v>
      </c>
      <c r="J2934">
        <v>349287</v>
      </c>
      <c r="K2934">
        <v>20220722</v>
      </c>
      <c r="L2934" t="s">
        <v>3067</v>
      </c>
      <c r="M2934">
        <v>0</v>
      </c>
      <c r="N2934">
        <v>14</v>
      </c>
      <c r="O2934" t="s">
        <v>23</v>
      </c>
      <c r="P2934">
        <v>20230329</v>
      </c>
      <c r="Q2934">
        <v>20220722</v>
      </c>
    </row>
    <row r="2935" spans="1:17" x14ac:dyDescent="0.25">
      <c r="A2935" t="s">
        <v>548</v>
      </c>
      <c r="B2935" t="s">
        <v>429</v>
      </c>
      <c r="C2935">
        <v>95</v>
      </c>
      <c r="D2935">
        <v>20220722</v>
      </c>
      <c r="E2935">
        <f t="shared" si="45"/>
        <v>7</v>
      </c>
      <c r="F2935">
        <v>531105</v>
      </c>
      <c r="G2935" t="s">
        <v>429</v>
      </c>
      <c r="H2935" t="s">
        <v>401</v>
      </c>
      <c r="I2935" t="s">
        <v>402</v>
      </c>
      <c r="J2935">
        <v>349288</v>
      </c>
      <c r="K2935">
        <v>20220722</v>
      </c>
      <c r="L2935" t="s">
        <v>565</v>
      </c>
      <c r="M2935">
        <v>472</v>
      </c>
      <c r="N2935">
        <v>0</v>
      </c>
      <c r="O2935" t="s">
        <v>19</v>
      </c>
      <c r="P2935" t="s">
        <v>20</v>
      </c>
      <c r="Q2935">
        <v>20220722</v>
      </c>
    </row>
    <row r="2936" spans="1:17" x14ac:dyDescent="0.25">
      <c r="A2936" t="s">
        <v>548</v>
      </c>
      <c r="B2936" t="s">
        <v>429</v>
      </c>
      <c r="C2936">
        <v>95</v>
      </c>
      <c r="D2936">
        <v>20220722</v>
      </c>
      <c r="E2936">
        <f t="shared" si="45"/>
        <v>7</v>
      </c>
      <c r="F2936">
        <v>411100</v>
      </c>
      <c r="G2936" t="s">
        <v>18</v>
      </c>
      <c r="H2936" t="s">
        <v>154</v>
      </c>
      <c r="I2936" t="s">
        <v>155</v>
      </c>
      <c r="J2936">
        <v>350199</v>
      </c>
      <c r="K2936">
        <v>20220722</v>
      </c>
      <c r="L2936" t="s">
        <v>3031</v>
      </c>
      <c r="M2936">
        <v>4</v>
      </c>
      <c r="N2936">
        <v>0</v>
      </c>
      <c r="O2936" t="s">
        <v>22</v>
      </c>
      <c r="P2936">
        <v>20230218</v>
      </c>
      <c r="Q2936">
        <v>20220722</v>
      </c>
    </row>
    <row r="2937" spans="1:17" x14ac:dyDescent="0.25">
      <c r="A2937" t="s">
        <v>548</v>
      </c>
      <c r="B2937" t="s">
        <v>429</v>
      </c>
      <c r="C2937">
        <v>95</v>
      </c>
      <c r="D2937">
        <v>20220722</v>
      </c>
      <c r="E2937">
        <f t="shared" si="45"/>
        <v>7</v>
      </c>
      <c r="F2937">
        <v>411100</v>
      </c>
      <c r="G2937" t="s">
        <v>18</v>
      </c>
      <c r="H2937" t="s">
        <v>2985</v>
      </c>
      <c r="I2937" t="s">
        <v>2986</v>
      </c>
      <c r="J2937">
        <v>350200</v>
      </c>
      <c r="K2937">
        <v>20220722</v>
      </c>
      <c r="L2937" t="s">
        <v>3032</v>
      </c>
      <c r="M2937">
        <v>3.5</v>
      </c>
      <c r="N2937">
        <v>0</v>
      </c>
      <c r="O2937" t="s">
        <v>22</v>
      </c>
      <c r="P2937">
        <v>20230218</v>
      </c>
      <c r="Q2937">
        <v>20220722</v>
      </c>
    </row>
    <row r="2938" spans="1:17" x14ac:dyDescent="0.25">
      <c r="A2938" t="s">
        <v>548</v>
      </c>
      <c r="B2938" t="s">
        <v>429</v>
      </c>
      <c r="C2938">
        <v>95</v>
      </c>
      <c r="D2938">
        <v>20220722</v>
      </c>
      <c r="E2938">
        <f t="shared" si="45"/>
        <v>7</v>
      </c>
      <c r="F2938">
        <v>411100</v>
      </c>
      <c r="G2938" t="s">
        <v>18</v>
      </c>
      <c r="H2938" t="s">
        <v>1033</v>
      </c>
      <c r="I2938" t="s">
        <v>1034</v>
      </c>
      <c r="J2938">
        <v>350201</v>
      </c>
      <c r="K2938">
        <v>20220722</v>
      </c>
      <c r="L2938" t="s">
        <v>3033</v>
      </c>
      <c r="M2938">
        <v>2</v>
      </c>
      <c r="N2938">
        <v>0</v>
      </c>
      <c r="O2938" t="s">
        <v>22</v>
      </c>
      <c r="P2938">
        <v>20230218</v>
      </c>
      <c r="Q2938">
        <v>20220722</v>
      </c>
    </row>
    <row r="2939" spans="1:17" x14ac:dyDescent="0.25">
      <c r="A2939" t="s">
        <v>548</v>
      </c>
      <c r="B2939" t="s">
        <v>429</v>
      </c>
      <c r="C2939">
        <v>95</v>
      </c>
      <c r="D2939">
        <v>20220722</v>
      </c>
      <c r="E2939">
        <f t="shared" si="45"/>
        <v>7</v>
      </c>
      <c r="F2939">
        <v>411100</v>
      </c>
      <c r="G2939" t="s">
        <v>18</v>
      </c>
      <c r="H2939" t="s">
        <v>65</v>
      </c>
      <c r="I2939" t="s">
        <v>66</v>
      </c>
      <c r="J2939">
        <v>350202</v>
      </c>
      <c r="K2939">
        <v>20220722</v>
      </c>
      <c r="L2939" t="s">
        <v>3034</v>
      </c>
      <c r="M2939">
        <v>2</v>
      </c>
      <c r="N2939">
        <v>0</v>
      </c>
      <c r="O2939" t="s">
        <v>22</v>
      </c>
      <c r="P2939">
        <v>20230218</v>
      </c>
      <c r="Q2939">
        <v>20220722</v>
      </c>
    </row>
    <row r="2940" spans="1:17" x14ac:dyDescent="0.25">
      <c r="A2940" t="s">
        <v>548</v>
      </c>
      <c r="B2940" t="s">
        <v>429</v>
      </c>
      <c r="C2940">
        <v>95</v>
      </c>
      <c r="D2940">
        <v>20220722</v>
      </c>
      <c r="E2940">
        <f t="shared" si="45"/>
        <v>7</v>
      </c>
      <c r="F2940">
        <v>411100</v>
      </c>
      <c r="G2940" t="s">
        <v>18</v>
      </c>
      <c r="H2940" t="s">
        <v>3035</v>
      </c>
      <c r="I2940" t="s">
        <v>3036</v>
      </c>
      <c r="J2940">
        <v>350203</v>
      </c>
      <c r="K2940">
        <v>20220722</v>
      </c>
      <c r="L2940" t="s">
        <v>3037</v>
      </c>
      <c r="M2940">
        <v>2</v>
      </c>
      <c r="N2940">
        <v>0</v>
      </c>
      <c r="O2940" t="s">
        <v>22</v>
      </c>
      <c r="P2940">
        <v>20230218</v>
      </c>
      <c r="Q2940">
        <v>20220722</v>
      </c>
    </row>
    <row r="2941" spans="1:17" x14ac:dyDescent="0.25">
      <c r="A2941" t="s">
        <v>548</v>
      </c>
      <c r="B2941" t="s">
        <v>429</v>
      </c>
      <c r="C2941">
        <v>95</v>
      </c>
      <c r="D2941">
        <v>20220722</v>
      </c>
      <c r="E2941">
        <f t="shared" si="45"/>
        <v>7</v>
      </c>
      <c r="F2941">
        <v>411100</v>
      </c>
      <c r="G2941" t="s">
        <v>18</v>
      </c>
      <c r="H2941" t="s">
        <v>1029</v>
      </c>
      <c r="I2941" t="s">
        <v>1030</v>
      </c>
      <c r="J2941">
        <v>350204</v>
      </c>
      <c r="K2941">
        <v>20220722</v>
      </c>
      <c r="L2941" t="s">
        <v>3038</v>
      </c>
      <c r="M2941">
        <v>2</v>
      </c>
      <c r="N2941">
        <v>0</v>
      </c>
      <c r="O2941" t="s">
        <v>22</v>
      </c>
      <c r="P2941">
        <v>20230218</v>
      </c>
      <c r="Q2941">
        <v>20220722</v>
      </c>
    </row>
    <row r="2942" spans="1:17" x14ac:dyDescent="0.25">
      <c r="A2942" t="s">
        <v>548</v>
      </c>
      <c r="B2942" t="s">
        <v>429</v>
      </c>
      <c r="C2942">
        <v>95</v>
      </c>
      <c r="D2942">
        <v>20220722</v>
      </c>
      <c r="E2942">
        <f t="shared" si="45"/>
        <v>7</v>
      </c>
      <c r="F2942">
        <v>411100</v>
      </c>
      <c r="G2942" t="s">
        <v>18</v>
      </c>
      <c r="H2942" t="s">
        <v>81</v>
      </c>
      <c r="I2942" t="s">
        <v>82</v>
      </c>
      <c r="J2942">
        <v>350205</v>
      </c>
      <c r="K2942">
        <v>20220722</v>
      </c>
      <c r="L2942" t="s">
        <v>3039</v>
      </c>
      <c r="M2942">
        <v>15</v>
      </c>
      <c r="N2942">
        <v>0</v>
      </c>
      <c r="O2942" t="s">
        <v>22</v>
      </c>
      <c r="P2942">
        <v>20230218</v>
      </c>
      <c r="Q2942">
        <v>20220722</v>
      </c>
    </row>
    <row r="2943" spans="1:17" x14ac:dyDescent="0.25">
      <c r="A2943" t="s">
        <v>548</v>
      </c>
      <c r="B2943" t="s">
        <v>429</v>
      </c>
      <c r="C2943">
        <v>95</v>
      </c>
      <c r="D2943">
        <v>20220722</v>
      </c>
      <c r="E2943">
        <f t="shared" si="45"/>
        <v>7</v>
      </c>
      <c r="F2943">
        <v>411100</v>
      </c>
      <c r="G2943" t="s">
        <v>18</v>
      </c>
      <c r="H2943" t="s">
        <v>105</v>
      </c>
      <c r="I2943" t="s">
        <v>106</v>
      </c>
      <c r="J2943">
        <v>350206</v>
      </c>
      <c r="K2943">
        <v>20220722</v>
      </c>
      <c r="L2943" t="s">
        <v>3040</v>
      </c>
      <c r="M2943">
        <v>45</v>
      </c>
      <c r="N2943">
        <v>0</v>
      </c>
      <c r="O2943" t="s">
        <v>22</v>
      </c>
      <c r="P2943">
        <v>20230218</v>
      </c>
      <c r="Q2943">
        <v>20220722</v>
      </c>
    </row>
    <row r="2944" spans="1:17" x14ac:dyDescent="0.25">
      <c r="A2944" t="s">
        <v>548</v>
      </c>
      <c r="B2944" t="s">
        <v>429</v>
      </c>
      <c r="C2944">
        <v>95</v>
      </c>
      <c r="D2944">
        <v>20220722</v>
      </c>
      <c r="E2944">
        <f t="shared" si="45"/>
        <v>7</v>
      </c>
      <c r="F2944">
        <v>411100</v>
      </c>
      <c r="G2944" t="s">
        <v>18</v>
      </c>
      <c r="H2944" t="s">
        <v>154</v>
      </c>
      <c r="I2944" t="s">
        <v>155</v>
      </c>
      <c r="J2944">
        <v>350207</v>
      </c>
      <c r="K2944">
        <v>20220722</v>
      </c>
      <c r="L2944" t="s">
        <v>3041</v>
      </c>
      <c r="M2944">
        <v>30</v>
      </c>
      <c r="N2944">
        <v>0</v>
      </c>
      <c r="O2944" t="s">
        <v>22</v>
      </c>
      <c r="P2944">
        <v>20230218</v>
      </c>
      <c r="Q2944">
        <v>20220722</v>
      </c>
    </row>
    <row r="2945" spans="1:17" x14ac:dyDescent="0.25">
      <c r="A2945" t="s">
        <v>548</v>
      </c>
      <c r="B2945" t="s">
        <v>429</v>
      </c>
      <c r="C2945">
        <v>95</v>
      </c>
      <c r="D2945">
        <v>20220722</v>
      </c>
      <c r="E2945">
        <f t="shared" si="45"/>
        <v>7</v>
      </c>
      <c r="F2945">
        <v>411100</v>
      </c>
      <c r="G2945" t="s">
        <v>18</v>
      </c>
      <c r="H2945" t="s">
        <v>65</v>
      </c>
      <c r="I2945" t="s">
        <v>66</v>
      </c>
      <c r="J2945">
        <v>350208</v>
      </c>
      <c r="K2945">
        <v>20220722</v>
      </c>
      <c r="L2945" t="s">
        <v>3042</v>
      </c>
      <c r="M2945">
        <v>15</v>
      </c>
      <c r="N2945">
        <v>0</v>
      </c>
      <c r="O2945" t="s">
        <v>22</v>
      </c>
      <c r="P2945">
        <v>20230218</v>
      </c>
      <c r="Q2945">
        <v>20220722</v>
      </c>
    </row>
    <row r="2946" spans="1:17" x14ac:dyDescent="0.25">
      <c r="A2946" t="s">
        <v>548</v>
      </c>
      <c r="B2946" t="s">
        <v>429</v>
      </c>
      <c r="C2946">
        <v>95</v>
      </c>
      <c r="D2946">
        <v>20220722</v>
      </c>
      <c r="E2946">
        <f t="shared" si="45"/>
        <v>7</v>
      </c>
      <c r="F2946">
        <v>411100</v>
      </c>
      <c r="G2946" t="s">
        <v>18</v>
      </c>
      <c r="H2946" t="s">
        <v>660</v>
      </c>
      <c r="I2946" t="s">
        <v>661</v>
      </c>
      <c r="J2946">
        <v>350209</v>
      </c>
      <c r="K2946">
        <v>20220722</v>
      </c>
      <c r="L2946" t="s">
        <v>3043</v>
      </c>
      <c r="M2946">
        <v>15</v>
      </c>
      <c r="N2946">
        <v>0</v>
      </c>
      <c r="O2946" t="s">
        <v>22</v>
      </c>
      <c r="P2946">
        <v>20230218</v>
      </c>
      <c r="Q2946">
        <v>20220722</v>
      </c>
    </row>
    <row r="2947" spans="1:17" x14ac:dyDescent="0.25">
      <c r="A2947" t="s">
        <v>548</v>
      </c>
      <c r="B2947" t="s">
        <v>429</v>
      </c>
      <c r="C2947">
        <v>95</v>
      </c>
      <c r="D2947">
        <v>20220722</v>
      </c>
      <c r="E2947">
        <f t="shared" ref="E2947:E3010" si="46">VALUE(MID(D2947,5,2))</f>
        <v>7</v>
      </c>
      <c r="F2947">
        <v>411100</v>
      </c>
      <c r="G2947" t="s">
        <v>18</v>
      </c>
      <c r="H2947" t="s">
        <v>1911</v>
      </c>
      <c r="I2947" t="s">
        <v>1912</v>
      </c>
      <c r="J2947">
        <v>350210</v>
      </c>
      <c r="K2947">
        <v>20220722</v>
      </c>
      <c r="L2947" t="s">
        <v>3044</v>
      </c>
      <c r="M2947">
        <v>15</v>
      </c>
      <c r="N2947">
        <v>0</v>
      </c>
      <c r="O2947" t="s">
        <v>22</v>
      </c>
      <c r="P2947">
        <v>20230218</v>
      </c>
      <c r="Q2947">
        <v>20220722</v>
      </c>
    </row>
    <row r="2948" spans="1:17" x14ac:dyDescent="0.25">
      <c r="A2948" t="s">
        <v>548</v>
      </c>
      <c r="B2948" t="s">
        <v>429</v>
      </c>
      <c r="C2948">
        <v>95</v>
      </c>
      <c r="D2948">
        <v>20220722</v>
      </c>
      <c r="E2948">
        <f t="shared" si="46"/>
        <v>7</v>
      </c>
      <c r="F2948">
        <v>411100</v>
      </c>
      <c r="G2948" t="s">
        <v>18</v>
      </c>
      <c r="H2948" t="s">
        <v>1911</v>
      </c>
      <c r="I2948" t="s">
        <v>1912</v>
      </c>
      <c r="J2948">
        <v>350211</v>
      </c>
      <c r="K2948">
        <v>20220722</v>
      </c>
      <c r="L2948" t="s">
        <v>3045</v>
      </c>
      <c r="M2948">
        <v>15</v>
      </c>
      <c r="N2948">
        <v>0</v>
      </c>
      <c r="O2948" t="s">
        <v>22</v>
      </c>
      <c r="P2948">
        <v>20230218</v>
      </c>
      <c r="Q2948">
        <v>20220722</v>
      </c>
    </row>
    <row r="2949" spans="1:17" x14ac:dyDescent="0.25">
      <c r="A2949" t="s">
        <v>548</v>
      </c>
      <c r="B2949" t="s">
        <v>429</v>
      </c>
      <c r="C2949">
        <v>95</v>
      </c>
      <c r="D2949">
        <v>20220722</v>
      </c>
      <c r="E2949">
        <f t="shared" si="46"/>
        <v>7</v>
      </c>
      <c r="F2949">
        <v>411100</v>
      </c>
      <c r="G2949" t="s">
        <v>18</v>
      </c>
      <c r="H2949" t="s">
        <v>3006</v>
      </c>
      <c r="I2949" t="s">
        <v>3007</v>
      </c>
      <c r="J2949">
        <v>350212</v>
      </c>
      <c r="K2949">
        <v>20220722</v>
      </c>
      <c r="L2949" t="s">
        <v>3046</v>
      </c>
      <c r="M2949">
        <v>15</v>
      </c>
      <c r="N2949">
        <v>0</v>
      </c>
      <c r="O2949" t="s">
        <v>22</v>
      </c>
      <c r="P2949">
        <v>20230218</v>
      </c>
      <c r="Q2949">
        <v>20220722</v>
      </c>
    </row>
    <row r="2950" spans="1:17" x14ac:dyDescent="0.25">
      <c r="A2950" t="s">
        <v>548</v>
      </c>
      <c r="B2950" t="s">
        <v>429</v>
      </c>
      <c r="C2950">
        <v>95</v>
      </c>
      <c r="D2950">
        <v>20220722</v>
      </c>
      <c r="E2950">
        <f t="shared" si="46"/>
        <v>7</v>
      </c>
      <c r="F2950">
        <v>411100</v>
      </c>
      <c r="G2950" t="s">
        <v>18</v>
      </c>
      <c r="H2950" t="s">
        <v>187</v>
      </c>
      <c r="I2950" t="s">
        <v>188</v>
      </c>
      <c r="J2950">
        <v>350213</v>
      </c>
      <c r="K2950">
        <v>20220722</v>
      </c>
      <c r="L2950" t="s">
        <v>3047</v>
      </c>
      <c r="M2950">
        <v>30</v>
      </c>
      <c r="N2950">
        <v>0</v>
      </c>
      <c r="O2950" t="s">
        <v>22</v>
      </c>
      <c r="P2950">
        <v>20230218</v>
      </c>
      <c r="Q2950">
        <v>20220722</v>
      </c>
    </row>
    <row r="2951" spans="1:17" x14ac:dyDescent="0.25">
      <c r="A2951" t="s">
        <v>548</v>
      </c>
      <c r="B2951" t="s">
        <v>429</v>
      </c>
      <c r="C2951">
        <v>95</v>
      </c>
      <c r="D2951">
        <v>20220722</v>
      </c>
      <c r="E2951">
        <f t="shared" si="46"/>
        <v>7</v>
      </c>
      <c r="F2951">
        <v>411100</v>
      </c>
      <c r="G2951" t="s">
        <v>18</v>
      </c>
      <c r="H2951" t="s">
        <v>1033</v>
      </c>
      <c r="I2951" t="s">
        <v>1034</v>
      </c>
      <c r="J2951">
        <v>350214</v>
      </c>
      <c r="K2951">
        <v>20220722</v>
      </c>
      <c r="L2951" t="s">
        <v>3048</v>
      </c>
      <c r="M2951">
        <v>15</v>
      </c>
      <c r="N2951">
        <v>0</v>
      </c>
      <c r="O2951" t="s">
        <v>22</v>
      </c>
      <c r="P2951">
        <v>20230218</v>
      </c>
      <c r="Q2951">
        <v>20220722</v>
      </c>
    </row>
    <row r="2952" spans="1:17" x14ac:dyDescent="0.25">
      <c r="A2952" t="s">
        <v>548</v>
      </c>
      <c r="B2952" t="s">
        <v>429</v>
      </c>
      <c r="C2952">
        <v>95</v>
      </c>
      <c r="D2952">
        <v>20220722</v>
      </c>
      <c r="E2952">
        <f t="shared" si="46"/>
        <v>7</v>
      </c>
      <c r="F2952">
        <v>411100</v>
      </c>
      <c r="G2952" t="s">
        <v>18</v>
      </c>
      <c r="H2952" t="s">
        <v>2995</v>
      </c>
      <c r="I2952" t="s">
        <v>2996</v>
      </c>
      <c r="J2952">
        <v>350215</v>
      </c>
      <c r="K2952">
        <v>20220722</v>
      </c>
      <c r="L2952" t="s">
        <v>3049</v>
      </c>
      <c r="M2952">
        <v>15</v>
      </c>
      <c r="N2952">
        <v>0</v>
      </c>
      <c r="O2952" t="s">
        <v>22</v>
      </c>
      <c r="P2952">
        <v>20230218</v>
      </c>
      <c r="Q2952">
        <v>20220722</v>
      </c>
    </row>
    <row r="2953" spans="1:17" x14ac:dyDescent="0.25">
      <c r="A2953" t="s">
        <v>548</v>
      </c>
      <c r="B2953" t="s">
        <v>429</v>
      </c>
      <c r="C2953">
        <v>95</v>
      </c>
      <c r="D2953">
        <v>20220722</v>
      </c>
      <c r="E2953">
        <f t="shared" si="46"/>
        <v>7</v>
      </c>
      <c r="F2953">
        <v>411100</v>
      </c>
      <c r="G2953" t="s">
        <v>18</v>
      </c>
      <c r="H2953" t="s">
        <v>344</v>
      </c>
      <c r="I2953" t="s">
        <v>345</v>
      </c>
      <c r="J2953">
        <v>350216</v>
      </c>
      <c r="K2953">
        <v>20220722</v>
      </c>
      <c r="L2953" t="s">
        <v>3050</v>
      </c>
      <c r="M2953">
        <v>15</v>
      </c>
      <c r="N2953">
        <v>0</v>
      </c>
      <c r="O2953" t="s">
        <v>22</v>
      </c>
      <c r="P2953">
        <v>20230218</v>
      </c>
      <c r="Q2953">
        <v>20220722</v>
      </c>
    </row>
    <row r="2954" spans="1:17" x14ac:dyDescent="0.25">
      <c r="A2954" t="s">
        <v>548</v>
      </c>
      <c r="B2954" t="s">
        <v>429</v>
      </c>
      <c r="C2954">
        <v>95</v>
      </c>
      <c r="D2954">
        <v>20220722</v>
      </c>
      <c r="E2954">
        <f t="shared" si="46"/>
        <v>7</v>
      </c>
      <c r="F2954">
        <v>411100</v>
      </c>
      <c r="G2954" t="s">
        <v>18</v>
      </c>
      <c r="H2954" t="s">
        <v>3021</v>
      </c>
      <c r="I2954" t="s">
        <v>3022</v>
      </c>
      <c r="J2954">
        <v>350217</v>
      </c>
      <c r="K2954">
        <v>20220722</v>
      </c>
      <c r="L2954" t="s">
        <v>3051</v>
      </c>
      <c r="M2954">
        <v>15</v>
      </c>
      <c r="N2954">
        <v>0</v>
      </c>
      <c r="O2954" t="s">
        <v>22</v>
      </c>
      <c r="P2954">
        <v>20230218</v>
      </c>
      <c r="Q2954">
        <v>20220722</v>
      </c>
    </row>
    <row r="2955" spans="1:17" x14ac:dyDescent="0.25">
      <c r="A2955" t="s">
        <v>548</v>
      </c>
      <c r="B2955" t="s">
        <v>429</v>
      </c>
      <c r="C2955">
        <v>95</v>
      </c>
      <c r="D2955">
        <v>20220722</v>
      </c>
      <c r="E2955">
        <f t="shared" si="46"/>
        <v>7</v>
      </c>
      <c r="F2955">
        <v>411100</v>
      </c>
      <c r="G2955" t="s">
        <v>18</v>
      </c>
      <c r="H2955" t="s">
        <v>3001</v>
      </c>
      <c r="I2955" t="s">
        <v>3002</v>
      </c>
      <c r="J2955">
        <v>350218</v>
      </c>
      <c r="K2955">
        <v>20220722</v>
      </c>
      <c r="L2955" t="s">
        <v>3052</v>
      </c>
      <c r="M2955">
        <v>15</v>
      </c>
      <c r="N2955">
        <v>0</v>
      </c>
      <c r="O2955" t="s">
        <v>22</v>
      </c>
      <c r="P2955">
        <v>20230218</v>
      </c>
      <c r="Q2955">
        <v>20220722</v>
      </c>
    </row>
    <row r="2956" spans="1:17" x14ac:dyDescent="0.25">
      <c r="A2956" t="s">
        <v>548</v>
      </c>
      <c r="B2956" t="s">
        <v>429</v>
      </c>
      <c r="C2956">
        <v>95</v>
      </c>
      <c r="D2956">
        <v>20220722</v>
      </c>
      <c r="E2956">
        <f t="shared" si="46"/>
        <v>7</v>
      </c>
      <c r="F2956">
        <v>411100</v>
      </c>
      <c r="G2956" t="s">
        <v>18</v>
      </c>
      <c r="H2956" t="s">
        <v>3001</v>
      </c>
      <c r="I2956" t="s">
        <v>3002</v>
      </c>
      <c r="J2956">
        <v>350219</v>
      </c>
      <c r="K2956">
        <v>20220722</v>
      </c>
      <c r="L2956" t="s">
        <v>3053</v>
      </c>
      <c r="M2956">
        <v>15</v>
      </c>
      <c r="N2956">
        <v>0</v>
      </c>
      <c r="O2956" t="s">
        <v>22</v>
      </c>
      <c r="P2956">
        <v>20230218</v>
      </c>
      <c r="Q2956">
        <v>20220722</v>
      </c>
    </row>
    <row r="2957" spans="1:17" x14ac:dyDescent="0.25">
      <c r="A2957" t="s">
        <v>548</v>
      </c>
      <c r="B2957" t="s">
        <v>429</v>
      </c>
      <c r="C2957">
        <v>95</v>
      </c>
      <c r="D2957">
        <v>20220722</v>
      </c>
      <c r="E2957">
        <f t="shared" si="46"/>
        <v>7</v>
      </c>
      <c r="F2957">
        <v>411100</v>
      </c>
      <c r="G2957" t="s">
        <v>18</v>
      </c>
      <c r="H2957" t="s">
        <v>2985</v>
      </c>
      <c r="I2957" t="s">
        <v>2986</v>
      </c>
      <c r="J2957">
        <v>350220</v>
      </c>
      <c r="K2957">
        <v>20220722</v>
      </c>
      <c r="L2957" t="s">
        <v>3054</v>
      </c>
      <c r="M2957">
        <v>15</v>
      </c>
      <c r="N2957">
        <v>0</v>
      </c>
      <c r="O2957" t="s">
        <v>22</v>
      </c>
      <c r="P2957">
        <v>20230218</v>
      </c>
      <c r="Q2957">
        <v>20220722</v>
      </c>
    </row>
    <row r="2958" spans="1:17" x14ac:dyDescent="0.25">
      <c r="A2958" t="s">
        <v>548</v>
      </c>
      <c r="B2958" t="s">
        <v>429</v>
      </c>
      <c r="C2958">
        <v>95</v>
      </c>
      <c r="D2958">
        <v>20220722</v>
      </c>
      <c r="E2958">
        <f t="shared" si="46"/>
        <v>7</v>
      </c>
      <c r="F2958">
        <v>411100</v>
      </c>
      <c r="G2958" t="s">
        <v>18</v>
      </c>
      <c r="H2958" t="s">
        <v>73</v>
      </c>
      <c r="I2958" t="s">
        <v>74</v>
      </c>
      <c r="J2958">
        <v>350221</v>
      </c>
      <c r="K2958">
        <v>20220722</v>
      </c>
      <c r="L2958" t="s">
        <v>3055</v>
      </c>
      <c r="M2958">
        <v>30</v>
      </c>
      <c r="N2958">
        <v>0</v>
      </c>
      <c r="O2958" t="s">
        <v>22</v>
      </c>
      <c r="P2958">
        <v>20230218</v>
      </c>
      <c r="Q2958">
        <v>20220722</v>
      </c>
    </row>
    <row r="2959" spans="1:17" x14ac:dyDescent="0.25">
      <c r="A2959" t="s">
        <v>548</v>
      </c>
      <c r="B2959" t="s">
        <v>429</v>
      </c>
      <c r="C2959">
        <v>95</v>
      </c>
      <c r="D2959">
        <v>20220722</v>
      </c>
      <c r="E2959">
        <f t="shared" si="46"/>
        <v>7</v>
      </c>
      <c r="F2959">
        <v>411100</v>
      </c>
      <c r="G2959" t="s">
        <v>18</v>
      </c>
      <c r="H2959" t="s">
        <v>1172</v>
      </c>
      <c r="I2959" t="s">
        <v>1173</v>
      </c>
      <c r="J2959">
        <v>350222</v>
      </c>
      <c r="K2959">
        <v>20220722</v>
      </c>
      <c r="L2959" t="s">
        <v>3056</v>
      </c>
      <c r="M2959">
        <v>15</v>
      </c>
      <c r="N2959">
        <v>0</v>
      </c>
      <c r="O2959" t="s">
        <v>22</v>
      </c>
      <c r="P2959">
        <v>20230218</v>
      </c>
      <c r="Q2959">
        <v>20220722</v>
      </c>
    </row>
    <row r="2960" spans="1:17" x14ac:dyDescent="0.25">
      <c r="A2960" t="s">
        <v>548</v>
      </c>
      <c r="B2960" t="s">
        <v>429</v>
      </c>
      <c r="C2960">
        <v>95</v>
      </c>
      <c r="D2960">
        <v>20220722</v>
      </c>
      <c r="E2960">
        <f t="shared" si="46"/>
        <v>7</v>
      </c>
      <c r="F2960">
        <v>411100</v>
      </c>
      <c r="G2960" t="s">
        <v>18</v>
      </c>
      <c r="H2960" t="s">
        <v>1172</v>
      </c>
      <c r="I2960" t="s">
        <v>1173</v>
      </c>
      <c r="J2960">
        <v>350223</v>
      </c>
      <c r="K2960">
        <v>20220722</v>
      </c>
      <c r="L2960" t="s">
        <v>3057</v>
      </c>
      <c r="M2960">
        <v>15</v>
      </c>
      <c r="N2960">
        <v>0</v>
      </c>
      <c r="O2960" t="s">
        <v>22</v>
      </c>
      <c r="P2960">
        <v>20230218</v>
      </c>
      <c r="Q2960">
        <v>20220722</v>
      </c>
    </row>
    <row r="2961" spans="1:17" x14ac:dyDescent="0.25">
      <c r="A2961" t="s">
        <v>548</v>
      </c>
      <c r="B2961" t="s">
        <v>429</v>
      </c>
      <c r="C2961">
        <v>95</v>
      </c>
      <c r="D2961">
        <v>20220722</v>
      </c>
      <c r="E2961">
        <f t="shared" si="46"/>
        <v>7</v>
      </c>
      <c r="F2961">
        <v>411100</v>
      </c>
      <c r="G2961" t="s">
        <v>18</v>
      </c>
      <c r="H2961" t="s">
        <v>77</v>
      </c>
      <c r="I2961" t="s">
        <v>78</v>
      </c>
      <c r="J2961">
        <v>350224</v>
      </c>
      <c r="K2961">
        <v>20220722</v>
      </c>
      <c r="L2961" t="s">
        <v>3058</v>
      </c>
      <c r="M2961">
        <v>30</v>
      </c>
      <c r="N2961">
        <v>0</v>
      </c>
      <c r="O2961" t="s">
        <v>22</v>
      </c>
      <c r="P2961">
        <v>20230218</v>
      </c>
      <c r="Q2961">
        <v>20220722</v>
      </c>
    </row>
    <row r="2962" spans="1:17" x14ac:dyDescent="0.25">
      <c r="A2962" t="s">
        <v>548</v>
      </c>
      <c r="B2962" t="s">
        <v>429</v>
      </c>
      <c r="C2962">
        <v>95</v>
      </c>
      <c r="D2962">
        <v>20220722</v>
      </c>
      <c r="E2962">
        <f t="shared" si="46"/>
        <v>7</v>
      </c>
      <c r="F2962">
        <v>411100</v>
      </c>
      <c r="G2962" t="s">
        <v>18</v>
      </c>
      <c r="H2962" t="s">
        <v>109</v>
      </c>
      <c r="I2962" t="s">
        <v>110</v>
      </c>
      <c r="J2962">
        <v>350225</v>
      </c>
      <c r="K2962">
        <v>20220722</v>
      </c>
      <c r="L2962" t="s">
        <v>3059</v>
      </c>
      <c r="M2962">
        <v>4</v>
      </c>
      <c r="N2962">
        <v>0</v>
      </c>
      <c r="O2962" t="s">
        <v>22</v>
      </c>
      <c r="P2962">
        <v>20230218</v>
      </c>
      <c r="Q2962">
        <v>20220722</v>
      </c>
    </row>
    <row r="2963" spans="1:17" x14ac:dyDescent="0.25">
      <c r="A2963" t="s">
        <v>548</v>
      </c>
      <c r="B2963" t="s">
        <v>429</v>
      </c>
      <c r="C2963">
        <v>95</v>
      </c>
      <c r="D2963">
        <v>20220722</v>
      </c>
      <c r="E2963">
        <f t="shared" si="46"/>
        <v>7</v>
      </c>
      <c r="F2963">
        <v>411100</v>
      </c>
      <c r="G2963" t="s">
        <v>18</v>
      </c>
      <c r="H2963" t="s">
        <v>109</v>
      </c>
      <c r="I2963" t="s">
        <v>110</v>
      </c>
      <c r="J2963">
        <v>350226</v>
      </c>
      <c r="K2963">
        <v>20220722</v>
      </c>
      <c r="L2963" t="s">
        <v>3060</v>
      </c>
      <c r="M2963">
        <v>4</v>
      </c>
      <c r="N2963">
        <v>0</v>
      </c>
      <c r="O2963" t="s">
        <v>22</v>
      </c>
      <c r="P2963">
        <v>20230218</v>
      </c>
      <c r="Q2963">
        <v>20220722</v>
      </c>
    </row>
    <row r="2964" spans="1:17" x14ac:dyDescent="0.25">
      <c r="A2964" t="s">
        <v>548</v>
      </c>
      <c r="B2964" t="s">
        <v>429</v>
      </c>
      <c r="C2964">
        <v>95</v>
      </c>
      <c r="D2964">
        <v>20220722</v>
      </c>
      <c r="E2964">
        <f t="shared" si="46"/>
        <v>7</v>
      </c>
      <c r="F2964">
        <v>411100</v>
      </c>
      <c r="G2964" t="s">
        <v>18</v>
      </c>
      <c r="H2964" t="s">
        <v>3061</v>
      </c>
      <c r="I2964" t="s">
        <v>3062</v>
      </c>
      <c r="J2964">
        <v>350227</v>
      </c>
      <c r="K2964">
        <v>20220722</v>
      </c>
      <c r="L2964" t="s">
        <v>3063</v>
      </c>
      <c r="M2964">
        <v>4</v>
      </c>
      <c r="N2964">
        <v>0</v>
      </c>
      <c r="O2964" t="s">
        <v>22</v>
      </c>
      <c r="P2964">
        <v>20230218</v>
      </c>
      <c r="Q2964">
        <v>20220722</v>
      </c>
    </row>
    <row r="2965" spans="1:17" x14ac:dyDescent="0.25">
      <c r="A2965" t="s">
        <v>548</v>
      </c>
      <c r="B2965" t="s">
        <v>429</v>
      </c>
      <c r="C2965">
        <v>95</v>
      </c>
      <c r="D2965">
        <v>20220722</v>
      </c>
      <c r="E2965">
        <f t="shared" si="46"/>
        <v>7</v>
      </c>
      <c r="F2965">
        <v>411100</v>
      </c>
      <c r="G2965" t="s">
        <v>18</v>
      </c>
      <c r="H2965" t="s">
        <v>2907</v>
      </c>
      <c r="I2965" t="s">
        <v>2908</v>
      </c>
      <c r="J2965">
        <v>350228</v>
      </c>
      <c r="K2965">
        <v>20220722</v>
      </c>
      <c r="L2965" t="s">
        <v>3064</v>
      </c>
      <c r="M2965">
        <v>10</v>
      </c>
      <c r="N2965">
        <v>0</v>
      </c>
      <c r="O2965" t="s">
        <v>22</v>
      </c>
      <c r="P2965">
        <v>20230218</v>
      </c>
      <c r="Q2965">
        <v>20220722</v>
      </c>
    </row>
    <row r="2966" spans="1:17" x14ac:dyDescent="0.25">
      <c r="A2966" t="s">
        <v>548</v>
      </c>
      <c r="B2966" t="s">
        <v>429</v>
      </c>
      <c r="C2966">
        <v>95</v>
      </c>
      <c r="D2966">
        <v>20220722</v>
      </c>
      <c r="E2966">
        <f t="shared" si="46"/>
        <v>7</v>
      </c>
      <c r="F2966">
        <v>411100</v>
      </c>
      <c r="G2966" t="s">
        <v>18</v>
      </c>
      <c r="H2966" t="s">
        <v>277</v>
      </c>
      <c r="I2966" t="s">
        <v>278</v>
      </c>
      <c r="J2966">
        <v>350229</v>
      </c>
      <c r="K2966">
        <v>20220722</v>
      </c>
      <c r="L2966" t="s">
        <v>3065</v>
      </c>
      <c r="M2966">
        <v>25.5</v>
      </c>
      <c r="N2966">
        <v>0</v>
      </c>
      <c r="O2966" t="s">
        <v>22</v>
      </c>
      <c r="P2966">
        <v>20230218</v>
      </c>
      <c r="Q2966">
        <v>20220722</v>
      </c>
    </row>
    <row r="2967" spans="1:17" x14ac:dyDescent="0.25">
      <c r="A2967" t="s">
        <v>548</v>
      </c>
      <c r="B2967" t="s">
        <v>429</v>
      </c>
      <c r="C2967">
        <v>95</v>
      </c>
      <c r="D2967">
        <v>20220722</v>
      </c>
      <c r="E2967">
        <f t="shared" si="46"/>
        <v>7</v>
      </c>
      <c r="F2967">
        <v>411100</v>
      </c>
      <c r="G2967" t="s">
        <v>18</v>
      </c>
      <c r="H2967" t="s">
        <v>213</v>
      </c>
      <c r="I2967" t="s">
        <v>214</v>
      </c>
      <c r="J2967">
        <v>350230</v>
      </c>
      <c r="K2967">
        <v>20220722</v>
      </c>
      <c r="L2967" t="s">
        <v>3066</v>
      </c>
      <c r="M2967">
        <v>5</v>
      </c>
      <c r="N2967">
        <v>0</v>
      </c>
      <c r="O2967" t="s">
        <v>22</v>
      </c>
      <c r="P2967">
        <v>20230218</v>
      </c>
      <c r="Q2967">
        <v>20220722</v>
      </c>
    </row>
    <row r="2968" spans="1:17" x14ac:dyDescent="0.25">
      <c r="A2968" t="s">
        <v>548</v>
      </c>
      <c r="B2968" t="s">
        <v>429</v>
      </c>
      <c r="C2968">
        <v>95</v>
      </c>
      <c r="D2968">
        <v>20220722</v>
      </c>
      <c r="E2968">
        <f t="shared" si="46"/>
        <v>7</v>
      </c>
      <c r="F2968">
        <v>411100</v>
      </c>
      <c r="G2968" t="s">
        <v>18</v>
      </c>
      <c r="H2968" t="s">
        <v>2501</v>
      </c>
      <c r="I2968" t="s">
        <v>2502</v>
      </c>
      <c r="J2968">
        <v>350231</v>
      </c>
      <c r="K2968">
        <v>20220722</v>
      </c>
      <c r="L2968" t="s">
        <v>3067</v>
      </c>
      <c r="M2968">
        <v>14</v>
      </c>
      <c r="N2968">
        <v>0</v>
      </c>
      <c r="O2968" t="s">
        <v>22</v>
      </c>
      <c r="P2968">
        <v>20230218</v>
      </c>
      <c r="Q2968">
        <v>20220722</v>
      </c>
    </row>
    <row r="2969" spans="1:17" x14ac:dyDescent="0.25">
      <c r="A2969" t="s">
        <v>548</v>
      </c>
      <c r="B2969" t="s">
        <v>429</v>
      </c>
      <c r="C2969">
        <v>95</v>
      </c>
      <c r="D2969">
        <v>20220722</v>
      </c>
      <c r="E2969">
        <f t="shared" si="46"/>
        <v>7</v>
      </c>
      <c r="F2969">
        <v>531105</v>
      </c>
      <c r="G2969" t="s">
        <v>429</v>
      </c>
      <c r="H2969" t="s">
        <v>401</v>
      </c>
      <c r="I2969" t="s">
        <v>402</v>
      </c>
      <c r="J2969">
        <v>350232</v>
      </c>
      <c r="K2969">
        <v>20220722</v>
      </c>
      <c r="L2969" t="s">
        <v>565</v>
      </c>
      <c r="M2969">
        <v>0</v>
      </c>
      <c r="N2969">
        <v>472</v>
      </c>
      <c r="O2969" t="s">
        <v>19</v>
      </c>
      <c r="P2969" t="s">
        <v>20</v>
      </c>
      <c r="Q2969">
        <v>20220722</v>
      </c>
    </row>
    <row r="2970" spans="1:17" x14ac:dyDescent="0.25">
      <c r="A2970" t="s">
        <v>548</v>
      </c>
      <c r="B2970" t="s">
        <v>429</v>
      </c>
      <c r="C2970">
        <v>95</v>
      </c>
      <c r="D2970">
        <v>20220725</v>
      </c>
      <c r="E2970">
        <f t="shared" si="46"/>
        <v>7</v>
      </c>
      <c r="F2970">
        <v>467100</v>
      </c>
      <c r="G2970" t="s">
        <v>160</v>
      </c>
      <c r="H2970" t="s">
        <v>172</v>
      </c>
      <c r="I2970" t="s">
        <v>173</v>
      </c>
      <c r="J2970" t="s">
        <v>3068</v>
      </c>
      <c r="K2970">
        <v>20220725</v>
      </c>
      <c r="L2970" t="s">
        <v>550</v>
      </c>
      <c r="M2970">
        <v>0</v>
      </c>
      <c r="N2970">
        <v>12.76</v>
      </c>
      <c r="O2970" t="s">
        <v>23</v>
      </c>
      <c r="P2970">
        <v>20220801</v>
      </c>
      <c r="Q2970">
        <v>20220725</v>
      </c>
    </row>
    <row r="2971" spans="1:17" x14ac:dyDescent="0.25">
      <c r="A2971" t="s">
        <v>548</v>
      </c>
      <c r="B2971" t="s">
        <v>429</v>
      </c>
      <c r="C2971">
        <v>95</v>
      </c>
      <c r="D2971">
        <v>20220725</v>
      </c>
      <c r="E2971">
        <f t="shared" si="46"/>
        <v>7</v>
      </c>
      <c r="F2971">
        <v>531105</v>
      </c>
      <c r="G2971" t="s">
        <v>429</v>
      </c>
      <c r="H2971" t="s">
        <v>401</v>
      </c>
      <c r="I2971" t="s">
        <v>402</v>
      </c>
      <c r="J2971" t="s">
        <v>3068</v>
      </c>
      <c r="K2971">
        <v>20220725</v>
      </c>
      <c r="L2971" t="s">
        <v>550</v>
      </c>
      <c r="M2971">
        <v>12.76</v>
      </c>
      <c r="N2971">
        <v>0</v>
      </c>
      <c r="O2971" t="s">
        <v>19</v>
      </c>
      <c r="P2971" t="s">
        <v>20</v>
      </c>
      <c r="Q2971">
        <v>20220725</v>
      </c>
    </row>
    <row r="2972" spans="1:17" x14ac:dyDescent="0.25">
      <c r="A2972" t="s">
        <v>548</v>
      </c>
      <c r="B2972" t="s">
        <v>429</v>
      </c>
      <c r="C2972">
        <v>95</v>
      </c>
      <c r="D2972">
        <v>20220725</v>
      </c>
      <c r="E2972">
        <f t="shared" si="46"/>
        <v>7</v>
      </c>
      <c r="F2972">
        <v>411010</v>
      </c>
      <c r="G2972" t="s">
        <v>87</v>
      </c>
      <c r="H2972" t="s">
        <v>678</v>
      </c>
      <c r="I2972" t="s">
        <v>679</v>
      </c>
      <c r="J2972">
        <v>348345</v>
      </c>
      <c r="K2972">
        <v>20220725</v>
      </c>
      <c r="L2972" t="s">
        <v>3069</v>
      </c>
      <c r="M2972">
        <v>0</v>
      </c>
      <c r="N2972">
        <v>10</v>
      </c>
      <c r="O2972" t="s">
        <v>22</v>
      </c>
      <c r="P2972">
        <v>20230218</v>
      </c>
      <c r="Q2972">
        <v>20220725</v>
      </c>
    </row>
    <row r="2973" spans="1:17" x14ac:dyDescent="0.25">
      <c r="A2973" t="s">
        <v>548</v>
      </c>
      <c r="B2973" t="s">
        <v>429</v>
      </c>
      <c r="C2973">
        <v>95</v>
      </c>
      <c r="D2973">
        <v>20220725</v>
      </c>
      <c r="E2973">
        <f t="shared" si="46"/>
        <v>7</v>
      </c>
      <c r="F2973">
        <v>411100</v>
      </c>
      <c r="G2973" t="s">
        <v>18</v>
      </c>
      <c r="H2973" t="s">
        <v>28</v>
      </c>
      <c r="I2973" t="s">
        <v>29</v>
      </c>
      <c r="J2973">
        <v>348346</v>
      </c>
      <c r="K2973">
        <v>20220725</v>
      </c>
      <c r="L2973" t="s">
        <v>3070</v>
      </c>
      <c r="M2973">
        <v>0</v>
      </c>
      <c r="N2973">
        <v>1</v>
      </c>
      <c r="O2973" t="s">
        <v>22</v>
      </c>
      <c r="P2973">
        <v>20230218</v>
      </c>
      <c r="Q2973">
        <v>20220725</v>
      </c>
    </row>
    <row r="2974" spans="1:17" x14ac:dyDescent="0.25">
      <c r="A2974" t="s">
        <v>548</v>
      </c>
      <c r="B2974" t="s">
        <v>429</v>
      </c>
      <c r="C2974">
        <v>95</v>
      </c>
      <c r="D2974">
        <v>20220725</v>
      </c>
      <c r="E2974">
        <f t="shared" si="46"/>
        <v>7</v>
      </c>
      <c r="F2974">
        <v>411100</v>
      </c>
      <c r="G2974" t="s">
        <v>18</v>
      </c>
      <c r="H2974" t="s">
        <v>358</v>
      </c>
      <c r="I2974" t="s">
        <v>359</v>
      </c>
      <c r="J2974">
        <v>348347</v>
      </c>
      <c r="K2974">
        <v>20220725</v>
      </c>
      <c r="L2974" t="s">
        <v>3071</v>
      </c>
      <c r="M2974">
        <v>0</v>
      </c>
      <c r="N2974">
        <v>13.5</v>
      </c>
      <c r="O2974" t="s">
        <v>22</v>
      </c>
      <c r="P2974">
        <v>20230218</v>
      </c>
      <c r="Q2974">
        <v>20220725</v>
      </c>
    </row>
    <row r="2975" spans="1:17" x14ac:dyDescent="0.25">
      <c r="A2975" t="s">
        <v>548</v>
      </c>
      <c r="B2975" t="s">
        <v>429</v>
      </c>
      <c r="C2975">
        <v>95</v>
      </c>
      <c r="D2975">
        <v>20220725</v>
      </c>
      <c r="E2975">
        <f t="shared" si="46"/>
        <v>7</v>
      </c>
      <c r="F2975">
        <v>411100</v>
      </c>
      <c r="G2975" t="s">
        <v>18</v>
      </c>
      <c r="H2975" t="s">
        <v>2165</v>
      </c>
      <c r="I2975" t="s">
        <v>2166</v>
      </c>
      <c r="J2975">
        <v>348348</v>
      </c>
      <c r="K2975">
        <v>20220725</v>
      </c>
      <c r="L2975" t="s">
        <v>3072</v>
      </c>
      <c r="M2975">
        <v>0</v>
      </c>
      <c r="N2975">
        <v>18.5</v>
      </c>
      <c r="O2975" t="s">
        <v>22</v>
      </c>
      <c r="P2975">
        <v>20230218</v>
      </c>
      <c r="Q2975">
        <v>20220725</v>
      </c>
    </row>
    <row r="2976" spans="1:17" x14ac:dyDescent="0.25">
      <c r="A2976" t="s">
        <v>548</v>
      </c>
      <c r="B2976" t="s">
        <v>429</v>
      </c>
      <c r="C2976">
        <v>95</v>
      </c>
      <c r="D2976">
        <v>20220725</v>
      </c>
      <c r="E2976">
        <f t="shared" si="46"/>
        <v>7</v>
      </c>
      <c r="F2976">
        <v>411100</v>
      </c>
      <c r="G2976" t="s">
        <v>18</v>
      </c>
      <c r="H2976" t="s">
        <v>35</v>
      </c>
      <c r="I2976" t="s">
        <v>36</v>
      </c>
      <c r="J2976">
        <v>348349</v>
      </c>
      <c r="K2976">
        <v>20220725</v>
      </c>
      <c r="L2976" t="s">
        <v>3073</v>
      </c>
      <c r="M2976">
        <v>0</v>
      </c>
      <c r="N2976">
        <v>9.5</v>
      </c>
      <c r="O2976" t="s">
        <v>22</v>
      </c>
      <c r="P2976">
        <v>20230218</v>
      </c>
      <c r="Q2976">
        <v>20220725</v>
      </c>
    </row>
    <row r="2977" spans="1:17" x14ac:dyDescent="0.25">
      <c r="A2977" t="s">
        <v>548</v>
      </c>
      <c r="B2977" t="s">
        <v>429</v>
      </c>
      <c r="C2977">
        <v>95</v>
      </c>
      <c r="D2977">
        <v>20220725</v>
      </c>
      <c r="E2977">
        <f t="shared" si="46"/>
        <v>7</v>
      </c>
      <c r="F2977">
        <v>411100</v>
      </c>
      <c r="G2977" t="s">
        <v>18</v>
      </c>
      <c r="H2977" t="s">
        <v>1774</v>
      </c>
      <c r="I2977" t="s">
        <v>1775</v>
      </c>
      <c r="J2977">
        <v>348350</v>
      </c>
      <c r="K2977">
        <v>20220725</v>
      </c>
      <c r="L2977" t="s">
        <v>3074</v>
      </c>
      <c r="M2977">
        <v>0</v>
      </c>
      <c r="N2977">
        <v>14</v>
      </c>
      <c r="O2977" t="s">
        <v>22</v>
      </c>
      <c r="P2977">
        <v>20230218</v>
      </c>
      <c r="Q2977">
        <v>20220725</v>
      </c>
    </row>
    <row r="2978" spans="1:17" x14ac:dyDescent="0.25">
      <c r="A2978" t="s">
        <v>548</v>
      </c>
      <c r="B2978" t="s">
        <v>429</v>
      </c>
      <c r="C2978">
        <v>95</v>
      </c>
      <c r="D2978">
        <v>20220725</v>
      </c>
      <c r="E2978">
        <f t="shared" si="46"/>
        <v>7</v>
      </c>
      <c r="F2978">
        <v>531105</v>
      </c>
      <c r="G2978" t="s">
        <v>429</v>
      </c>
      <c r="H2978" t="s">
        <v>401</v>
      </c>
      <c r="I2978" t="s">
        <v>402</v>
      </c>
      <c r="J2978">
        <v>348351</v>
      </c>
      <c r="K2978">
        <v>20220725</v>
      </c>
      <c r="L2978" t="s">
        <v>565</v>
      </c>
      <c r="M2978">
        <v>66.5</v>
      </c>
      <c r="N2978">
        <v>0</v>
      </c>
      <c r="O2978" t="s">
        <v>19</v>
      </c>
      <c r="P2978" t="s">
        <v>20</v>
      </c>
      <c r="Q2978">
        <v>20220725</v>
      </c>
    </row>
    <row r="2979" spans="1:17" x14ac:dyDescent="0.25">
      <c r="A2979" t="s">
        <v>548</v>
      </c>
      <c r="B2979" t="s">
        <v>429</v>
      </c>
      <c r="C2979">
        <v>95</v>
      </c>
      <c r="D2979">
        <v>20220725</v>
      </c>
      <c r="E2979">
        <f t="shared" si="46"/>
        <v>7</v>
      </c>
      <c r="F2979">
        <v>411010</v>
      </c>
      <c r="G2979" t="s">
        <v>87</v>
      </c>
      <c r="H2979" t="s">
        <v>678</v>
      </c>
      <c r="I2979" t="s">
        <v>679</v>
      </c>
      <c r="J2979">
        <v>349289</v>
      </c>
      <c r="K2979">
        <v>20220725</v>
      </c>
      <c r="L2979" t="s">
        <v>3069</v>
      </c>
      <c r="M2979">
        <v>0</v>
      </c>
      <c r="N2979">
        <v>10</v>
      </c>
      <c r="O2979" t="s">
        <v>22</v>
      </c>
      <c r="P2979">
        <v>20230218</v>
      </c>
      <c r="Q2979">
        <v>20220725</v>
      </c>
    </row>
    <row r="2980" spans="1:17" x14ac:dyDescent="0.25">
      <c r="A2980" t="s">
        <v>548</v>
      </c>
      <c r="B2980" t="s">
        <v>429</v>
      </c>
      <c r="C2980">
        <v>95</v>
      </c>
      <c r="D2980">
        <v>20220725</v>
      </c>
      <c r="E2980">
        <f t="shared" si="46"/>
        <v>7</v>
      </c>
      <c r="F2980">
        <v>411100</v>
      </c>
      <c r="G2980" t="s">
        <v>18</v>
      </c>
      <c r="H2980" t="s">
        <v>28</v>
      </c>
      <c r="I2980" t="s">
        <v>29</v>
      </c>
      <c r="J2980">
        <v>349290</v>
      </c>
      <c r="K2980">
        <v>20220725</v>
      </c>
      <c r="L2980" t="s">
        <v>3070</v>
      </c>
      <c r="M2980">
        <v>0</v>
      </c>
      <c r="N2980">
        <v>1</v>
      </c>
      <c r="O2980" t="s">
        <v>22</v>
      </c>
      <c r="P2980">
        <v>20230218</v>
      </c>
      <c r="Q2980">
        <v>20220725</v>
      </c>
    </row>
    <row r="2981" spans="1:17" x14ac:dyDescent="0.25">
      <c r="A2981" t="s">
        <v>548</v>
      </c>
      <c r="B2981" t="s">
        <v>429</v>
      </c>
      <c r="C2981">
        <v>95</v>
      </c>
      <c r="D2981">
        <v>20220725</v>
      </c>
      <c r="E2981">
        <f t="shared" si="46"/>
        <v>7</v>
      </c>
      <c r="F2981">
        <v>411100</v>
      </c>
      <c r="G2981" t="s">
        <v>18</v>
      </c>
      <c r="H2981" t="s">
        <v>358</v>
      </c>
      <c r="I2981" t="s">
        <v>359</v>
      </c>
      <c r="J2981">
        <v>349291</v>
      </c>
      <c r="K2981">
        <v>20220725</v>
      </c>
      <c r="L2981" t="s">
        <v>3071</v>
      </c>
      <c r="M2981">
        <v>0</v>
      </c>
      <c r="N2981">
        <v>13.5</v>
      </c>
      <c r="O2981" t="s">
        <v>19</v>
      </c>
      <c r="P2981" t="s">
        <v>20</v>
      </c>
      <c r="Q2981">
        <v>20220725</v>
      </c>
    </row>
    <row r="2982" spans="1:17" x14ac:dyDescent="0.25">
      <c r="A2982" t="s">
        <v>548</v>
      </c>
      <c r="B2982" t="s">
        <v>429</v>
      </c>
      <c r="C2982">
        <v>95</v>
      </c>
      <c r="D2982">
        <v>20220725</v>
      </c>
      <c r="E2982">
        <f t="shared" si="46"/>
        <v>7</v>
      </c>
      <c r="F2982">
        <v>411100</v>
      </c>
      <c r="G2982" t="s">
        <v>18</v>
      </c>
      <c r="H2982" t="s">
        <v>2165</v>
      </c>
      <c r="I2982" t="s">
        <v>2166</v>
      </c>
      <c r="J2982">
        <v>349292</v>
      </c>
      <c r="K2982">
        <v>20220725</v>
      </c>
      <c r="L2982" t="s">
        <v>3072</v>
      </c>
      <c r="M2982">
        <v>0</v>
      </c>
      <c r="N2982">
        <v>18.5</v>
      </c>
      <c r="O2982" t="s">
        <v>23</v>
      </c>
      <c r="P2982">
        <v>20230329</v>
      </c>
      <c r="Q2982">
        <v>20220725</v>
      </c>
    </row>
    <row r="2983" spans="1:17" x14ac:dyDescent="0.25">
      <c r="A2983" t="s">
        <v>548</v>
      </c>
      <c r="B2983" t="s">
        <v>429</v>
      </c>
      <c r="C2983">
        <v>95</v>
      </c>
      <c r="D2983">
        <v>20220725</v>
      </c>
      <c r="E2983">
        <f t="shared" si="46"/>
        <v>7</v>
      </c>
      <c r="F2983">
        <v>411100</v>
      </c>
      <c r="G2983" t="s">
        <v>18</v>
      </c>
      <c r="H2983" t="s">
        <v>35</v>
      </c>
      <c r="I2983" t="s">
        <v>36</v>
      </c>
      <c r="J2983">
        <v>349293</v>
      </c>
      <c r="K2983">
        <v>20220725</v>
      </c>
      <c r="L2983" t="s">
        <v>3073</v>
      </c>
      <c r="M2983">
        <v>0</v>
      </c>
      <c r="N2983">
        <v>9.5</v>
      </c>
      <c r="O2983" t="s">
        <v>19</v>
      </c>
      <c r="P2983" t="s">
        <v>20</v>
      </c>
      <c r="Q2983">
        <v>20220725</v>
      </c>
    </row>
    <row r="2984" spans="1:17" x14ac:dyDescent="0.25">
      <c r="A2984" t="s">
        <v>548</v>
      </c>
      <c r="B2984" t="s">
        <v>429</v>
      </c>
      <c r="C2984">
        <v>95</v>
      </c>
      <c r="D2984">
        <v>20220725</v>
      </c>
      <c r="E2984">
        <f t="shared" si="46"/>
        <v>7</v>
      </c>
      <c r="F2984">
        <v>411100</v>
      </c>
      <c r="G2984" t="s">
        <v>18</v>
      </c>
      <c r="H2984" t="s">
        <v>1774</v>
      </c>
      <c r="I2984" t="s">
        <v>1775</v>
      </c>
      <c r="J2984">
        <v>349294</v>
      </c>
      <c r="K2984">
        <v>20220725</v>
      </c>
      <c r="L2984" t="s">
        <v>3074</v>
      </c>
      <c r="M2984">
        <v>0</v>
      </c>
      <c r="N2984">
        <v>14</v>
      </c>
      <c r="O2984" t="s">
        <v>23</v>
      </c>
      <c r="P2984">
        <v>20230329</v>
      </c>
      <c r="Q2984">
        <v>20220725</v>
      </c>
    </row>
    <row r="2985" spans="1:17" x14ac:dyDescent="0.25">
      <c r="A2985" t="s">
        <v>548</v>
      </c>
      <c r="B2985" t="s">
        <v>429</v>
      </c>
      <c r="C2985">
        <v>95</v>
      </c>
      <c r="D2985">
        <v>20220725</v>
      </c>
      <c r="E2985">
        <f t="shared" si="46"/>
        <v>7</v>
      </c>
      <c r="F2985">
        <v>531105</v>
      </c>
      <c r="G2985" t="s">
        <v>429</v>
      </c>
      <c r="H2985" t="s">
        <v>401</v>
      </c>
      <c r="I2985" t="s">
        <v>402</v>
      </c>
      <c r="J2985">
        <v>349295</v>
      </c>
      <c r="K2985">
        <v>20220725</v>
      </c>
      <c r="L2985" t="s">
        <v>565</v>
      </c>
      <c r="M2985">
        <v>66.5</v>
      </c>
      <c r="N2985">
        <v>0</v>
      </c>
      <c r="O2985" t="s">
        <v>19</v>
      </c>
      <c r="P2985" t="s">
        <v>20</v>
      </c>
      <c r="Q2985">
        <v>20220725</v>
      </c>
    </row>
    <row r="2986" spans="1:17" x14ac:dyDescent="0.25">
      <c r="A2986" t="s">
        <v>548</v>
      </c>
      <c r="B2986" t="s">
        <v>429</v>
      </c>
      <c r="C2986">
        <v>95</v>
      </c>
      <c r="D2986">
        <v>20220725</v>
      </c>
      <c r="E2986">
        <f t="shared" si="46"/>
        <v>7</v>
      </c>
      <c r="F2986">
        <v>411010</v>
      </c>
      <c r="G2986" t="s">
        <v>87</v>
      </c>
      <c r="H2986" t="s">
        <v>678</v>
      </c>
      <c r="I2986" t="s">
        <v>679</v>
      </c>
      <c r="J2986">
        <v>350233</v>
      </c>
      <c r="K2986">
        <v>20220725</v>
      </c>
      <c r="L2986" t="s">
        <v>3069</v>
      </c>
      <c r="M2986">
        <v>10</v>
      </c>
      <c r="N2986">
        <v>0</v>
      </c>
      <c r="O2986" t="s">
        <v>22</v>
      </c>
      <c r="P2986">
        <v>20230218</v>
      </c>
      <c r="Q2986">
        <v>20220725</v>
      </c>
    </row>
    <row r="2987" spans="1:17" x14ac:dyDescent="0.25">
      <c r="A2987" t="s">
        <v>548</v>
      </c>
      <c r="B2987" t="s">
        <v>429</v>
      </c>
      <c r="C2987">
        <v>95</v>
      </c>
      <c r="D2987">
        <v>20220725</v>
      </c>
      <c r="E2987">
        <f t="shared" si="46"/>
        <v>7</v>
      </c>
      <c r="F2987">
        <v>411100</v>
      </c>
      <c r="G2987" t="s">
        <v>18</v>
      </c>
      <c r="H2987" t="s">
        <v>28</v>
      </c>
      <c r="I2987" t="s">
        <v>29</v>
      </c>
      <c r="J2987">
        <v>350234</v>
      </c>
      <c r="K2987">
        <v>20220725</v>
      </c>
      <c r="L2987" t="s">
        <v>3070</v>
      </c>
      <c r="M2987">
        <v>1</v>
      </c>
      <c r="N2987">
        <v>0</v>
      </c>
      <c r="O2987" t="s">
        <v>22</v>
      </c>
      <c r="P2987">
        <v>20230218</v>
      </c>
      <c r="Q2987">
        <v>20220725</v>
      </c>
    </row>
    <row r="2988" spans="1:17" x14ac:dyDescent="0.25">
      <c r="A2988" t="s">
        <v>548</v>
      </c>
      <c r="B2988" t="s">
        <v>429</v>
      </c>
      <c r="C2988">
        <v>95</v>
      </c>
      <c r="D2988">
        <v>20220725</v>
      </c>
      <c r="E2988">
        <f t="shared" si="46"/>
        <v>7</v>
      </c>
      <c r="F2988">
        <v>411100</v>
      </c>
      <c r="G2988" t="s">
        <v>18</v>
      </c>
      <c r="H2988" t="s">
        <v>358</v>
      </c>
      <c r="I2988" t="s">
        <v>359</v>
      </c>
      <c r="J2988">
        <v>350235</v>
      </c>
      <c r="K2988">
        <v>20220725</v>
      </c>
      <c r="L2988" t="s">
        <v>3071</v>
      </c>
      <c r="M2988">
        <v>13.5</v>
      </c>
      <c r="N2988">
        <v>0</v>
      </c>
      <c r="O2988" t="s">
        <v>22</v>
      </c>
      <c r="P2988">
        <v>20230218</v>
      </c>
      <c r="Q2988">
        <v>20220725</v>
      </c>
    </row>
    <row r="2989" spans="1:17" x14ac:dyDescent="0.25">
      <c r="A2989" t="s">
        <v>548</v>
      </c>
      <c r="B2989" t="s">
        <v>429</v>
      </c>
      <c r="C2989">
        <v>95</v>
      </c>
      <c r="D2989">
        <v>20220725</v>
      </c>
      <c r="E2989">
        <f t="shared" si="46"/>
        <v>7</v>
      </c>
      <c r="F2989">
        <v>411100</v>
      </c>
      <c r="G2989" t="s">
        <v>18</v>
      </c>
      <c r="H2989" t="s">
        <v>2165</v>
      </c>
      <c r="I2989" t="s">
        <v>2166</v>
      </c>
      <c r="J2989">
        <v>350236</v>
      </c>
      <c r="K2989">
        <v>20220725</v>
      </c>
      <c r="L2989" t="s">
        <v>3072</v>
      </c>
      <c r="M2989">
        <v>18.5</v>
      </c>
      <c r="N2989">
        <v>0</v>
      </c>
      <c r="O2989" t="s">
        <v>22</v>
      </c>
      <c r="P2989">
        <v>20230218</v>
      </c>
      <c r="Q2989">
        <v>20220725</v>
      </c>
    </row>
    <row r="2990" spans="1:17" x14ac:dyDescent="0.25">
      <c r="A2990" t="s">
        <v>548</v>
      </c>
      <c r="B2990" t="s">
        <v>429</v>
      </c>
      <c r="C2990">
        <v>95</v>
      </c>
      <c r="D2990">
        <v>20220725</v>
      </c>
      <c r="E2990">
        <f t="shared" si="46"/>
        <v>7</v>
      </c>
      <c r="F2990">
        <v>411100</v>
      </c>
      <c r="G2990" t="s">
        <v>18</v>
      </c>
      <c r="H2990" t="s">
        <v>35</v>
      </c>
      <c r="I2990" t="s">
        <v>36</v>
      </c>
      <c r="J2990">
        <v>350237</v>
      </c>
      <c r="K2990">
        <v>20220725</v>
      </c>
      <c r="L2990" t="s">
        <v>3073</v>
      </c>
      <c r="M2990">
        <v>9.5</v>
      </c>
      <c r="N2990">
        <v>0</v>
      </c>
      <c r="O2990" t="s">
        <v>22</v>
      </c>
      <c r="P2990">
        <v>20230218</v>
      </c>
      <c r="Q2990">
        <v>20220725</v>
      </c>
    </row>
    <row r="2991" spans="1:17" x14ac:dyDescent="0.25">
      <c r="A2991" t="s">
        <v>548</v>
      </c>
      <c r="B2991" t="s">
        <v>429</v>
      </c>
      <c r="C2991">
        <v>95</v>
      </c>
      <c r="D2991">
        <v>20220725</v>
      </c>
      <c r="E2991">
        <f t="shared" si="46"/>
        <v>7</v>
      </c>
      <c r="F2991">
        <v>411100</v>
      </c>
      <c r="G2991" t="s">
        <v>18</v>
      </c>
      <c r="H2991" t="s">
        <v>1774</v>
      </c>
      <c r="I2991" t="s">
        <v>1775</v>
      </c>
      <c r="J2991">
        <v>350238</v>
      </c>
      <c r="K2991">
        <v>20220725</v>
      </c>
      <c r="L2991" t="s">
        <v>3074</v>
      </c>
      <c r="M2991">
        <v>14</v>
      </c>
      <c r="N2991">
        <v>0</v>
      </c>
      <c r="O2991" t="s">
        <v>22</v>
      </c>
      <c r="P2991">
        <v>20230218</v>
      </c>
      <c r="Q2991">
        <v>20220725</v>
      </c>
    </row>
    <row r="2992" spans="1:17" x14ac:dyDescent="0.25">
      <c r="A2992" t="s">
        <v>548</v>
      </c>
      <c r="B2992" t="s">
        <v>429</v>
      </c>
      <c r="C2992">
        <v>95</v>
      </c>
      <c r="D2992">
        <v>20220725</v>
      </c>
      <c r="E2992">
        <f t="shared" si="46"/>
        <v>7</v>
      </c>
      <c r="F2992">
        <v>531105</v>
      </c>
      <c r="G2992" t="s">
        <v>429</v>
      </c>
      <c r="H2992" t="s">
        <v>401</v>
      </c>
      <c r="I2992" t="s">
        <v>402</v>
      </c>
      <c r="J2992">
        <v>350239</v>
      </c>
      <c r="K2992">
        <v>20220725</v>
      </c>
      <c r="L2992" t="s">
        <v>565</v>
      </c>
      <c r="M2992">
        <v>0</v>
      </c>
      <c r="N2992">
        <v>66.5</v>
      </c>
      <c r="O2992" t="s">
        <v>19</v>
      </c>
      <c r="P2992" t="s">
        <v>20</v>
      </c>
      <c r="Q2992">
        <v>20220725</v>
      </c>
    </row>
    <row r="2993" spans="1:17" x14ac:dyDescent="0.25">
      <c r="A2993" t="s">
        <v>548</v>
      </c>
      <c r="B2993" t="s">
        <v>429</v>
      </c>
      <c r="C2993">
        <v>95</v>
      </c>
      <c r="D2993">
        <v>20220726</v>
      </c>
      <c r="E2993">
        <f t="shared" si="46"/>
        <v>7</v>
      </c>
      <c r="F2993">
        <v>467100</v>
      </c>
      <c r="G2993" t="s">
        <v>160</v>
      </c>
      <c r="H2993" t="s">
        <v>1014</v>
      </c>
      <c r="I2993" t="s">
        <v>1015</v>
      </c>
      <c r="J2993" t="s">
        <v>3075</v>
      </c>
      <c r="K2993">
        <v>20220726</v>
      </c>
      <c r="L2993" t="s">
        <v>3076</v>
      </c>
      <c r="M2993">
        <v>200</v>
      </c>
      <c r="N2993">
        <v>0</v>
      </c>
      <c r="O2993" t="s">
        <v>23</v>
      </c>
      <c r="P2993">
        <v>20220907</v>
      </c>
      <c r="Q2993">
        <v>20220726</v>
      </c>
    </row>
    <row r="2994" spans="1:17" x14ac:dyDescent="0.25">
      <c r="A2994" t="s">
        <v>548</v>
      </c>
      <c r="B2994" t="s">
        <v>429</v>
      </c>
      <c r="C2994">
        <v>95</v>
      </c>
      <c r="D2994">
        <v>20220726</v>
      </c>
      <c r="E2994">
        <f t="shared" si="46"/>
        <v>7</v>
      </c>
      <c r="F2994">
        <v>531105</v>
      </c>
      <c r="G2994" t="s">
        <v>429</v>
      </c>
      <c r="H2994" t="s">
        <v>401</v>
      </c>
      <c r="I2994" t="s">
        <v>402</v>
      </c>
      <c r="J2994" t="s">
        <v>3075</v>
      </c>
      <c r="K2994">
        <v>20220726</v>
      </c>
      <c r="L2994" t="s">
        <v>3076</v>
      </c>
      <c r="M2994">
        <v>0</v>
      </c>
      <c r="N2994">
        <v>200</v>
      </c>
      <c r="O2994" t="s">
        <v>19</v>
      </c>
      <c r="P2994" t="s">
        <v>20</v>
      </c>
      <c r="Q2994">
        <v>20220726</v>
      </c>
    </row>
    <row r="2995" spans="1:17" x14ac:dyDescent="0.25">
      <c r="A2995" t="s">
        <v>548</v>
      </c>
      <c r="B2995" t="s">
        <v>429</v>
      </c>
      <c r="C2995">
        <v>95</v>
      </c>
      <c r="D2995">
        <v>20220726</v>
      </c>
      <c r="E2995">
        <f t="shared" si="46"/>
        <v>7</v>
      </c>
      <c r="F2995">
        <v>467100</v>
      </c>
      <c r="G2995" t="s">
        <v>160</v>
      </c>
      <c r="H2995" t="s">
        <v>1014</v>
      </c>
      <c r="I2995" t="s">
        <v>1015</v>
      </c>
      <c r="J2995" t="s">
        <v>3077</v>
      </c>
      <c r="K2995">
        <v>20220726</v>
      </c>
      <c r="L2995" t="s">
        <v>3078</v>
      </c>
      <c r="M2995">
        <v>200</v>
      </c>
      <c r="N2995">
        <v>0</v>
      </c>
      <c r="O2995" t="s">
        <v>23</v>
      </c>
      <c r="P2995">
        <v>20220907</v>
      </c>
      <c r="Q2995">
        <v>20220726</v>
      </c>
    </row>
    <row r="2996" spans="1:17" x14ac:dyDescent="0.25">
      <c r="A2996" t="s">
        <v>548</v>
      </c>
      <c r="B2996" t="s">
        <v>429</v>
      </c>
      <c r="C2996">
        <v>95</v>
      </c>
      <c r="D2996">
        <v>20220726</v>
      </c>
      <c r="E2996">
        <f t="shared" si="46"/>
        <v>7</v>
      </c>
      <c r="F2996">
        <v>531105</v>
      </c>
      <c r="G2996" t="s">
        <v>429</v>
      </c>
      <c r="H2996" t="s">
        <v>401</v>
      </c>
      <c r="I2996" t="s">
        <v>402</v>
      </c>
      <c r="J2996" t="s">
        <v>3077</v>
      </c>
      <c r="K2996">
        <v>20220726</v>
      </c>
      <c r="L2996" t="s">
        <v>3078</v>
      </c>
      <c r="M2996">
        <v>0</v>
      </c>
      <c r="N2996">
        <v>200</v>
      </c>
      <c r="O2996" t="s">
        <v>19</v>
      </c>
      <c r="P2996" t="s">
        <v>20</v>
      </c>
      <c r="Q2996">
        <v>20220726</v>
      </c>
    </row>
    <row r="2997" spans="1:17" x14ac:dyDescent="0.25">
      <c r="A2997" t="s">
        <v>548</v>
      </c>
      <c r="B2997" t="s">
        <v>429</v>
      </c>
      <c r="C2997">
        <v>95</v>
      </c>
      <c r="D2997">
        <v>20220726</v>
      </c>
      <c r="E2997">
        <f t="shared" si="46"/>
        <v>7</v>
      </c>
      <c r="F2997">
        <v>467100</v>
      </c>
      <c r="G2997" t="s">
        <v>160</v>
      </c>
      <c r="H2997" t="s">
        <v>1014</v>
      </c>
      <c r="I2997" t="s">
        <v>1015</v>
      </c>
      <c r="J2997" t="s">
        <v>3079</v>
      </c>
      <c r="K2997">
        <v>20220726</v>
      </c>
      <c r="L2997" t="s">
        <v>3080</v>
      </c>
      <c r="M2997">
        <v>7.55</v>
      </c>
      <c r="N2997">
        <v>0</v>
      </c>
      <c r="O2997" t="s">
        <v>23</v>
      </c>
      <c r="P2997">
        <v>20220905</v>
      </c>
      <c r="Q2997">
        <v>20220726</v>
      </c>
    </row>
    <row r="2998" spans="1:17" x14ac:dyDescent="0.25">
      <c r="A2998" t="s">
        <v>548</v>
      </c>
      <c r="B2998" t="s">
        <v>429</v>
      </c>
      <c r="C2998">
        <v>95</v>
      </c>
      <c r="D2998">
        <v>20220726</v>
      </c>
      <c r="E2998">
        <f t="shared" si="46"/>
        <v>7</v>
      </c>
      <c r="F2998">
        <v>531105</v>
      </c>
      <c r="G2998" t="s">
        <v>429</v>
      </c>
      <c r="H2998" t="s">
        <v>401</v>
      </c>
      <c r="I2998" t="s">
        <v>402</v>
      </c>
      <c r="J2998" t="s">
        <v>3079</v>
      </c>
      <c r="K2998">
        <v>20220726</v>
      </c>
      <c r="L2998" t="s">
        <v>3080</v>
      </c>
      <c r="M2998">
        <v>0</v>
      </c>
      <c r="N2998">
        <v>7.55</v>
      </c>
      <c r="O2998" t="s">
        <v>19</v>
      </c>
      <c r="P2998" t="s">
        <v>20</v>
      </c>
      <c r="Q2998">
        <v>20220726</v>
      </c>
    </row>
    <row r="2999" spans="1:17" x14ac:dyDescent="0.25">
      <c r="A2999" t="s">
        <v>548</v>
      </c>
      <c r="B2999" t="s">
        <v>429</v>
      </c>
      <c r="C2999">
        <v>95</v>
      </c>
      <c r="D2999">
        <v>20220726</v>
      </c>
      <c r="E2999">
        <f t="shared" si="46"/>
        <v>7</v>
      </c>
      <c r="F2999">
        <v>467100</v>
      </c>
      <c r="G2999" t="s">
        <v>160</v>
      </c>
      <c r="H2999" t="s">
        <v>1014</v>
      </c>
      <c r="I2999" t="s">
        <v>1015</v>
      </c>
      <c r="J2999" t="s">
        <v>3081</v>
      </c>
      <c r="K2999">
        <v>20220726</v>
      </c>
      <c r="L2999" t="s">
        <v>3082</v>
      </c>
      <c r="M2999">
        <v>10.06</v>
      </c>
      <c r="N2999">
        <v>0</v>
      </c>
      <c r="O2999" t="s">
        <v>23</v>
      </c>
      <c r="P2999">
        <v>20220905</v>
      </c>
      <c r="Q2999">
        <v>20220726</v>
      </c>
    </row>
    <row r="3000" spans="1:17" x14ac:dyDescent="0.25">
      <c r="A3000" t="s">
        <v>548</v>
      </c>
      <c r="B3000" t="s">
        <v>429</v>
      </c>
      <c r="C3000">
        <v>95</v>
      </c>
      <c r="D3000">
        <v>20220726</v>
      </c>
      <c r="E3000">
        <f t="shared" si="46"/>
        <v>7</v>
      </c>
      <c r="F3000">
        <v>531105</v>
      </c>
      <c r="G3000" t="s">
        <v>429</v>
      </c>
      <c r="H3000" t="s">
        <v>401</v>
      </c>
      <c r="I3000" t="s">
        <v>402</v>
      </c>
      <c r="J3000" t="s">
        <v>3081</v>
      </c>
      <c r="K3000">
        <v>20220726</v>
      </c>
      <c r="L3000" t="s">
        <v>3082</v>
      </c>
      <c r="M3000">
        <v>0</v>
      </c>
      <c r="N3000">
        <v>10.06</v>
      </c>
      <c r="O3000" t="s">
        <v>19</v>
      </c>
      <c r="P3000" t="s">
        <v>20</v>
      </c>
      <c r="Q3000">
        <v>20220726</v>
      </c>
    </row>
    <row r="3001" spans="1:17" x14ac:dyDescent="0.25">
      <c r="A3001" t="s">
        <v>548</v>
      </c>
      <c r="B3001" t="s">
        <v>429</v>
      </c>
      <c r="C3001">
        <v>95</v>
      </c>
      <c r="D3001">
        <v>20220726</v>
      </c>
      <c r="E3001">
        <f t="shared" si="46"/>
        <v>7</v>
      </c>
      <c r="F3001">
        <v>467100</v>
      </c>
      <c r="G3001" t="s">
        <v>160</v>
      </c>
      <c r="H3001" t="s">
        <v>1014</v>
      </c>
      <c r="I3001" t="s">
        <v>1015</v>
      </c>
      <c r="J3001" t="s">
        <v>3083</v>
      </c>
      <c r="K3001">
        <v>20220726</v>
      </c>
      <c r="L3001" t="s">
        <v>3084</v>
      </c>
      <c r="M3001">
        <v>9.5500000000000007</v>
      </c>
      <c r="N3001">
        <v>0</v>
      </c>
      <c r="O3001" t="s">
        <v>23</v>
      </c>
      <c r="P3001">
        <v>20220905</v>
      </c>
      <c r="Q3001">
        <v>20220726</v>
      </c>
    </row>
    <row r="3002" spans="1:17" x14ac:dyDescent="0.25">
      <c r="A3002" t="s">
        <v>548</v>
      </c>
      <c r="B3002" t="s">
        <v>429</v>
      </c>
      <c r="C3002">
        <v>95</v>
      </c>
      <c r="D3002">
        <v>20220726</v>
      </c>
      <c r="E3002">
        <f t="shared" si="46"/>
        <v>7</v>
      </c>
      <c r="F3002">
        <v>531105</v>
      </c>
      <c r="G3002" t="s">
        <v>429</v>
      </c>
      <c r="H3002" t="s">
        <v>401</v>
      </c>
      <c r="I3002" t="s">
        <v>402</v>
      </c>
      <c r="J3002" t="s">
        <v>3083</v>
      </c>
      <c r="K3002">
        <v>20220726</v>
      </c>
      <c r="L3002" t="s">
        <v>3084</v>
      </c>
      <c r="M3002">
        <v>0</v>
      </c>
      <c r="N3002">
        <v>9.5500000000000007</v>
      </c>
      <c r="O3002" t="s">
        <v>19</v>
      </c>
      <c r="P3002" t="s">
        <v>20</v>
      </c>
      <c r="Q3002">
        <v>20220726</v>
      </c>
    </row>
    <row r="3003" spans="1:17" x14ac:dyDescent="0.25">
      <c r="A3003" t="s">
        <v>548</v>
      </c>
      <c r="B3003" t="s">
        <v>429</v>
      </c>
      <c r="C3003">
        <v>95</v>
      </c>
      <c r="D3003">
        <v>20220726</v>
      </c>
      <c r="E3003">
        <f t="shared" si="46"/>
        <v>7</v>
      </c>
      <c r="F3003">
        <v>467100</v>
      </c>
      <c r="G3003" t="s">
        <v>160</v>
      </c>
      <c r="H3003" t="s">
        <v>1305</v>
      </c>
      <c r="I3003" t="s">
        <v>1306</v>
      </c>
      <c r="J3003" t="s">
        <v>3085</v>
      </c>
      <c r="K3003">
        <v>20220726</v>
      </c>
      <c r="L3003" t="s">
        <v>3086</v>
      </c>
      <c r="M3003">
        <v>26.45</v>
      </c>
      <c r="N3003">
        <v>0</v>
      </c>
      <c r="O3003" t="s">
        <v>23</v>
      </c>
      <c r="P3003">
        <v>20220905</v>
      </c>
      <c r="Q3003">
        <v>20220726</v>
      </c>
    </row>
    <row r="3004" spans="1:17" x14ac:dyDescent="0.25">
      <c r="A3004" t="s">
        <v>548</v>
      </c>
      <c r="B3004" t="s">
        <v>429</v>
      </c>
      <c r="C3004">
        <v>95</v>
      </c>
      <c r="D3004">
        <v>20220726</v>
      </c>
      <c r="E3004">
        <f t="shared" si="46"/>
        <v>7</v>
      </c>
      <c r="F3004">
        <v>531105</v>
      </c>
      <c r="G3004" t="s">
        <v>429</v>
      </c>
      <c r="H3004" t="s">
        <v>401</v>
      </c>
      <c r="I3004" t="s">
        <v>402</v>
      </c>
      <c r="J3004" t="s">
        <v>3085</v>
      </c>
      <c r="K3004">
        <v>20220726</v>
      </c>
      <c r="L3004" t="s">
        <v>3086</v>
      </c>
      <c r="M3004">
        <v>0</v>
      </c>
      <c r="N3004">
        <v>26.45</v>
      </c>
      <c r="O3004" t="s">
        <v>19</v>
      </c>
      <c r="P3004" t="s">
        <v>20</v>
      </c>
      <c r="Q3004">
        <v>20220726</v>
      </c>
    </row>
    <row r="3005" spans="1:17" x14ac:dyDescent="0.25">
      <c r="A3005" t="s">
        <v>548</v>
      </c>
      <c r="B3005" t="s">
        <v>429</v>
      </c>
      <c r="C3005">
        <v>95</v>
      </c>
      <c r="D3005">
        <v>20220726</v>
      </c>
      <c r="E3005">
        <f t="shared" si="46"/>
        <v>7</v>
      </c>
      <c r="F3005">
        <v>467100</v>
      </c>
      <c r="G3005" t="s">
        <v>160</v>
      </c>
      <c r="H3005" t="s">
        <v>1305</v>
      </c>
      <c r="I3005" t="s">
        <v>1306</v>
      </c>
      <c r="J3005" t="s">
        <v>3087</v>
      </c>
      <c r="K3005">
        <v>20220726</v>
      </c>
      <c r="L3005" t="s">
        <v>3088</v>
      </c>
      <c r="M3005">
        <v>20.100000000000001</v>
      </c>
      <c r="N3005">
        <v>0</v>
      </c>
      <c r="O3005" t="s">
        <v>23</v>
      </c>
      <c r="P3005">
        <v>20220905</v>
      </c>
      <c r="Q3005">
        <v>20220726</v>
      </c>
    </row>
    <row r="3006" spans="1:17" x14ac:dyDescent="0.25">
      <c r="A3006" t="s">
        <v>548</v>
      </c>
      <c r="B3006" t="s">
        <v>429</v>
      </c>
      <c r="C3006">
        <v>95</v>
      </c>
      <c r="D3006">
        <v>20220726</v>
      </c>
      <c r="E3006">
        <f t="shared" si="46"/>
        <v>7</v>
      </c>
      <c r="F3006">
        <v>531105</v>
      </c>
      <c r="G3006" t="s">
        <v>429</v>
      </c>
      <c r="H3006" t="s">
        <v>401</v>
      </c>
      <c r="I3006" t="s">
        <v>402</v>
      </c>
      <c r="J3006" t="s">
        <v>3087</v>
      </c>
      <c r="K3006">
        <v>20220726</v>
      </c>
      <c r="L3006" t="s">
        <v>3088</v>
      </c>
      <c r="M3006">
        <v>0</v>
      </c>
      <c r="N3006">
        <v>20.100000000000001</v>
      </c>
      <c r="O3006" t="s">
        <v>19</v>
      </c>
      <c r="P3006" t="s">
        <v>20</v>
      </c>
      <c r="Q3006">
        <v>20220726</v>
      </c>
    </row>
    <row r="3007" spans="1:17" x14ac:dyDescent="0.25">
      <c r="A3007" t="s">
        <v>548</v>
      </c>
      <c r="B3007" t="s">
        <v>429</v>
      </c>
      <c r="C3007">
        <v>95</v>
      </c>
      <c r="D3007">
        <v>20220726</v>
      </c>
      <c r="E3007">
        <f t="shared" si="46"/>
        <v>7</v>
      </c>
      <c r="F3007">
        <v>411100</v>
      </c>
      <c r="G3007" t="s">
        <v>18</v>
      </c>
      <c r="H3007" t="s">
        <v>358</v>
      </c>
      <c r="I3007" t="s">
        <v>359</v>
      </c>
      <c r="J3007">
        <v>348352</v>
      </c>
      <c r="K3007">
        <v>20220726</v>
      </c>
      <c r="L3007" t="s">
        <v>3089</v>
      </c>
      <c r="M3007">
        <v>0</v>
      </c>
      <c r="N3007">
        <v>1.5</v>
      </c>
      <c r="O3007" t="s">
        <v>19</v>
      </c>
      <c r="P3007" t="s">
        <v>20</v>
      </c>
      <c r="Q3007">
        <v>20220726</v>
      </c>
    </row>
    <row r="3008" spans="1:17" x14ac:dyDescent="0.25">
      <c r="A3008" t="s">
        <v>548</v>
      </c>
      <c r="B3008" t="s">
        <v>429</v>
      </c>
      <c r="C3008">
        <v>95</v>
      </c>
      <c r="D3008">
        <v>20220726</v>
      </c>
      <c r="E3008">
        <f t="shared" si="46"/>
        <v>7</v>
      </c>
      <c r="F3008">
        <v>411100</v>
      </c>
      <c r="G3008" t="s">
        <v>18</v>
      </c>
      <c r="H3008" t="s">
        <v>2165</v>
      </c>
      <c r="I3008" t="s">
        <v>2166</v>
      </c>
      <c r="J3008">
        <v>348353</v>
      </c>
      <c r="K3008">
        <v>20220726</v>
      </c>
      <c r="L3008" t="s">
        <v>3090</v>
      </c>
      <c r="M3008">
        <v>0</v>
      </c>
      <c r="N3008">
        <v>3</v>
      </c>
      <c r="O3008" t="s">
        <v>22</v>
      </c>
      <c r="P3008">
        <v>20230218</v>
      </c>
      <c r="Q3008">
        <v>20220726</v>
      </c>
    </row>
    <row r="3009" spans="1:17" x14ac:dyDescent="0.25">
      <c r="A3009" t="s">
        <v>548</v>
      </c>
      <c r="B3009" t="s">
        <v>429</v>
      </c>
      <c r="C3009">
        <v>95</v>
      </c>
      <c r="D3009">
        <v>20220726</v>
      </c>
      <c r="E3009">
        <f t="shared" si="46"/>
        <v>7</v>
      </c>
      <c r="F3009">
        <v>411100</v>
      </c>
      <c r="G3009" t="s">
        <v>18</v>
      </c>
      <c r="H3009" t="s">
        <v>213</v>
      </c>
      <c r="I3009" t="s">
        <v>214</v>
      </c>
      <c r="J3009">
        <v>348354</v>
      </c>
      <c r="K3009">
        <v>20220726</v>
      </c>
      <c r="L3009" t="s">
        <v>3091</v>
      </c>
      <c r="M3009">
        <v>0</v>
      </c>
      <c r="N3009">
        <v>1.5</v>
      </c>
      <c r="O3009" t="s">
        <v>22</v>
      </c>
      <c r="P3009">
        <v>20230218</v>
      </c>
      <c r="Q3009">
        <v>20220726</v>
      </c>
    </row>
    <row r="3010" spans="1:17" x14ac:dyDescent="0.25">
      <c r="A3010" t="s">
        <v>548</v>
      </c>
      <c r="B3010" t="s">
        <v>429</v>
      </c>
      <c r="C3010">
        <v>95</v>
      </c>
      <c r="D3010">
        <v>20220726</v>
      </c>
      <c r="E3010">
        <f t="shared" si="46"/>
        <v>7</v>
      </c>
      <c r="F3010">
        <v>411100</v>
      </c>
      <c r="G3010" t="s">
        <v>18</v>
      </c>
      <c r="H3010" t="s">
        <v>2173</v>
      </c>
      <c r="I3010" t="s">
        <v>2174</v>
      </c>
      <c r="J3010">
        <v>348355</v>
      </c>
      <c r="K3010">
        <v>20220726</v>
      </c>
      <c r="L3010" t="s">
        <v>3092</v>
      </c>
      <c r="M3010">
        <v>0</v>
      </c>
      <c r="N3010">
        <v>1</v>
      </c>
      <c r="O3010" t="s">
        <v>23</v>
      </c>
      <c r="P3010">
        <v>20230329</v>
      </c>
      <c r="Q3010">
        <v>20220726</v>
      </c>
    </row>
    <row r="3011" spans="1:17" x14ac:dyDescent="0.25">
      <c r="A3011" t="s">
        <v>548</v>
      </c>
      <c r="B3011" t="s">
        <v>429</v>
      </c>
      <c r="C3011">
        <v>95</v>
      </c>
      <c r="D3011">
        <v>20220726</v>
      </c>
      <c r="E3011">
        <f t="shared" ref="E3011:E3074" si="47">VALUE(MID(D3011,5,2))</f>
        <v>7</v>
      </c>
      <c r="F3011">
        <v>411100</v>
      </c>
      <c r="G3011" t="s">
        <v>18</v>
      </c>
      <c r="H3011" t="s">
        <v>215</v>
      </c>
      <c r="I3011" t="s">
        <v>216</v>
      </c>
      <c r="J3011">
        <v>348356</v>
      </c>
      <c r="K3011">
        <v>20220726</v>
      </c>
      <c r="L3011" t="s">
        <v>3093</v>
      </c>
      <c r="M3011">
        <v>0</v>
      </c>
      <c r="N3011">
        <v>1</v>
      </c>
      <c r="O3011" t="s">
        <v>19</v>
      </c>
      <c r="P3011" t="s">
        <v>20</v>
      </c>
      <c r="Q3011">
        <v>20220726</v>
      </c>
    </row>
    <row r="3012" spans="1:17" x14ac:dyDescent="0.25">
      <c r="A3012" t="s">
        <v>548</v>
      </c>
      <c r="B3012" t="s">
        <v>429</v>
      </c>
      <c r="C3012">
        <v>95</v>
      </c>
      <c r="D3012">
        <v>20220726</v>
      </c>
      <c r="E3012">
        <f t="shared" si="47"/>
        <v>7</v>
      </c>
      <c r="F3012">
        <v>411100</v>
      </c>
      <c r="G3012" t="s">
        <v>18</v>
      </c>
      <c r="H3012" t="s">
        <v>2501</v>
      </c>
      <c r="I3012" t="s">
        <v>2502</v>
      </c>
      <c r="J3012">
        <v>348357</v>
      </c>
      <c r="K3012">
        <v>20220726</v>
      </c>
      <c r="L3012" t="s">
        <v>3094</v>
      </c>
      <c r="M3012">
        <v>0</v>
      </c>
      <c r="N3012">
        <v>4.5</v>
      </c>
      <c r="O3012" t="s">
        <v>23</v>
      </c>
      <c r="P3012">
        <v>20230329</v>
      </c>
      <c r="Q3012">
        <v>20220726</v>
      </c>
    </row>
    <row r="3013" spans="1:17" x14ac:dyDescent="0.25">
      <c r="A3013" t="s">
        <v>548</v>
      </c>
      <c r="B3013" t="s">
        <v>429</v>
      </c>
      <c r="C3013">
        <v>95</v>
      </c>
      <c r="D3013">
        <v>20220726</v>
      </c>
      <c r="E3013">
        <f t="shared" si="47"/>
        <v>7</v>
      </c>
      <c r="F3013">
        <v>411100</v>
      </c>
      <c r="G3013" t="s">
        <v>18</v>
      </c>
      <c r="H3013" t="s">
        <v>1295</v>
      </c>
      <c r="I3013" t="s">
        <v>1296</v>
      </c>
      <c r="J3013">
        <v>348358</v>
      </c>
      <c r="K3013">
        <v>20220726</v>
      </c>
      <c r="L3013" t="s">
        <v>3095</v>
      </c>
      <c r="M3013">
        <v>0</v>
      </c>
      <c r="N3013">
        <v>3</v>
      </c>
      <c r="O3013" t="s">
        <v>22</v>
      </c>
      <c r="P3013">
        <v>20230218</v>
      </c>
      <c r="Q3013">
        <v>20220726</v>
      </c>
    </row>
    <row r="3014" spans="1:17" x14ac:dyDescent="0.25">
      <c r="A3014" t="s">
        <v>548</v>
      </c>
      <c r="B3014" t="s">
        <v>429</v>
      </c>
      <c r="C3014">
        <v>95</v>
      </c>
      <c r="D3014">
        <v>20220726</v>
      </c>
      <c r="E3014">
        <f t="shared" si="47"/>
        <v>7</v>
      </c>
      <c r="F3014">
        <v>411100</v>
      </c>
      <c r="G3014" t="s">
        <v>18</v>
      </c>
      <c r="H3014" t="s">
        <v>35</v>
      </c>
      <c r="I3014" t="s">
        <v>36</v>
      </c>
      <c r="J3014">
        <v>348359</v>
      </c>
      <c r="K3014">
        <v>20220726</v>
      </c>
      <c r="L3014" t="s">
        <v>3096</v>
      </c>
      <c r="M3014">
        <v>0</v>
      </c>
      <c r="N3014">
        <v>3</v>
      </c>
      <c r="O3014" t="s">
        <v>22</v>
      </c>
      <c r="P3014">
        <v>20230218</v>
      </c>
      <c r="Q3014">
        <v>20220726</v>
      </c>
    </row>
    <row r="3015" spans="1:17" x14ac:dyDescent="0.25">
      <c r="A3015" t="s">
        <v>548</v>
      </c>
      <c r="B3015" t="s">
        <v>429</v>
      </c>
      <c r="C3015">
        <v>95</v>
      </c>
      <c r="D3015">
        <v>20220726</v>
      </c>
      <c r="E3015">
        <f t="shared" si="47"/>
        <v>7</v>
      </c>
      <c r="F3015">
        <v>411100</v>
      </c>
      <c r="G3015" t="s">
        <v>18</v>
      </c>
      <c r="H3015" t="s">
        <v>1774</v>
      </c>
      <c r="I3015" t="s">
        <v>1775</v>
      </c>
      <c r="J3015">
        <v>348360</v>
      </c>
      <c r="K3015">
        <v>20220726</v>
      </c>
      <c r="L3015" t="s">
        <v>3097</v>
      </c>
      <c r="M3015">
        <v>0</v>
      </c>
      <c r="N3015">
        <v>2</v>
      </c>
      <c r="O3015" t="s">
        <v>23</v>
      </c>
      <c r="P3015">
        <v>20230329</v>
      </c>
      <c r="Q3015">
        <v>20220726</v>
      </c>
    </row>
    <row r="3016" spans="1:17" x14ac:dyDescent="0.25">
      <c r="A3016" t="s">
        <v>548</v>
      </c>
      <c r="B3016" t="s">
        <v>429</v>
      </c>
      <c r="C3016">
        <v>95</v>
      </c>
      <c r="D3016">
        <v>20220726</v>
      </c>
      <c r="E3016">
        <f t="shared" si="47"/>
        <v>7</v>
      </c>
      <c r="F3016">
        <v>531105</v>
      </c>
      <c r="G3016" t="s">
        <v>429</v>
      </c>
      <c r="H3016" t="s">
        <v>401</v>
      </c>
      <c r="I3016" t="s">
        <v>402</v>
      </c>
      <c r="J3016">
        <v>348361</v>
      </c>
      <c r="K3016">
        <v>20220726</v>
      </c>
      <c r="L3016" t="s">
        <v>565</v>
      </c>
      <c r="M3016">
        <v>20.5</v>
      </c>
      <c r="N3016">
        <v>0</v>
      </c>
      <c r="O3016" t="s">
        <v>19</v>
      </c>
      <c r="P3016" t="s">
        <v>20</v>
      </c>
      <c r="Q3016">
        <v>20220726</v>
      </c>
    </row>
    <row r="3017" spans="1:17" x14ac:dyDescent="0.25">
      <c r="A3017" t="s">
        <v>548</v>
      </c>
      <c r="B3017" t="s">
        <v>429</v>
      </c>
      <c r="C3017">
        <v>95</v>
      </c>
      <c r="D3017">
        <v>20220726</v>
      </c>
      <c r="E3017">
        <f t="shared" si="47"/>
        <v>7</v>
      </c>
      <c r="F3017">
        <v>411100</v>
      </c>
      <c r="G3017" t="s">
        <v>18</v>
      </c>
      <c r="H3017" t="s">
        <v>358</v>
      </c>
      <c r="I3017" t="s">
        <v>359</v>
      </c>
      <c r="J3017">
        <v>349296</v>
      </c>
      <c r="K3017">
        <v>20220726</v>
      </c>
      <c r="L3017" t="s">
        <v>3089</v>
      </c>
      <c r="M3017">
        <v>0</v>
      </c>
      <c r="N3017">
        <v>1.5</v>
      </c>
      <c r="O3017" t="s">
        <v>19</v>
      </c>
      <c r="P3017" t="s">
        <v>20</v>
      </c>
      <c r="Q3017">
        <v>20220726</v>
      </c>
    </row>
    <row r="3018" spans="1:17" x14ac:dyDescent="0.25">
      <c r="A3018" t="s">
        <v>548</v>
      </c>
      <c r="B3018" t="s">
        <v>429</v>
      </c>
      <c r="C3018">
        <v>95</v>
      </c>
      <c r="D3018">
        <v>20220726</v>
      </c>
      <c r="E3018">
        <f t="shared" si="47"/>
        <v>7</v>
      </c>
      <c r="F3018">
        <v>411100</v>
      </c>
      <c r="G3018" t="s">
        <v>18</v>
      </c>
      <c r="H3018" t="s">
        <v>2165</v>
      </c>
      <c r="I3018" t="s">
        <v>2166</v>
      </c>
      <c r="J3018">
        <v>349297</v>
      </c>
      <c r="K3018">
        <v>20220726</v>
      </c>
      <c r="L3018" t="s">
        <v>3090</v>
      </c>
      <c r="M3018">
        <v>0</v>
      </c>
      <c r="N3018">
        <v>3</v>
      </c>
      <c r="O3018" t="s">
        <v>23</v>
      </c>
      <c r="P3018">
        <v>20230329</v>
      </c>
      <c r="Q3018">
        <v>20220726</v>
      </c>
    </row>
    <row r="3019" spans="1:17" x14ac:dyDescent="0.25">
      <c r="A3019" t="s">
        <v>548</v>
      </c>
      <c r="B3019" t="s">
        <v>429</v>
      </c>
      <c r="C3019">
        <v>95</v>
      </c>
      <c r="D3019">
        <v>20220726</v>
      </c>
      <c r="E3019">
        <f t="shared" si="47"/>
        <v>7</v>
      </c>
      <c r="F3019">
        <v>411100</v>
      </c>
      <c r="G3019" t="s">
        <v>18</v>
      </c>
      <c r="H3019" t="s">
        <v>213</v>
      </c>
      <c r="I3019" t="s">
        <v>214</v>
      </c>
      <c r="J3019">
        <v>349298</v>
      </c>
      <c r="K3019">
        <v>20220726</v>
      </c>
      <c r="L3019" t="s">
        <v>3091</v>
      </c>
      <c r="M3019">
        <v>0</v>
      </c>
      <c r="N3019">
        <v>1.5</v>
      </c>
      <c r="O3019" t="s">
        <v>19</v>
      </c>
      <c r="P3019" t="s">
        <v>20</v>
      </c>
      <c r="Q3019">
        <v>20220726</v>
      </c>
    </row>
    <row r="3020" spans="1:17" x14ac:dyDescent="0.25">
      <c r="A3020" t="s">
        <v>548</v>
      </c>
      <c r="B3020" t="s">
        <v>429</v>
      </c>
      <c r="C3020">
        <v>95</v>
      </c>
      <c r="D3020">
        <v>20220726</v>
      </c>
      <c r="E3020">
        <f t="shared" si="47"/>
        <v>7</v>
      </c>
      <c r="F3020">
        <v>411100</v>
      </c>
      <c r="G3020" t="s">
        <v>18</v>
      </c>
      <c r="H3020" t="s">
        <v>2173</v>
      </c>
      <c r="I3020" t="s">
        <v>2174</v>
      </c>
      <c r="J3020">
        <v>349299</v>
      </c>
      <c r="K3020">
        <v>20220726</v>
      </c>
      <c r="L3020" t="s">
        <v>3092</v>
      </c>
      <c r="M3020">
        <v>0</v>
      </c>
      <c r="N3020">
        <v>1</v>
      </c>
      <c r="O3020" t="s">
        <v>23</v>
      </c>
      <c r="P3020">
        <v>20230329</v>
      </c>
      <c r="Q3020">
        <v>20220726</v>
      </c>
    </row>
    <row r="3021" spans="1:17" x14ac:dyDescent="0.25">
      <c r="A3021" t="s">
        <v>548</v>
      </c>
      <c r="B3021" t="s">
        <v>429</v>
      </c>
      <c r="C3021">
        <v>95</v>
      </c>
      <c r="D3021">
        <v>20220726</v>
      </c>
      <c r="E3021">
        <f t="shared" si="47"/>
        <v>7</v>
      </c>
      <c r="F3021">
        <v>411100</v>
      </c>
      <c r="G3021" t="s">
        <v>18</v>
      </c>
      <c r="H3021" t="s">
        <v>215</v>
      </c>
      <c r="I3021" t="s">
        <v>216</v>
      </c>
      <c r="J3021">
        <v>349300</v>
      </c>
      <c r="K3021">
        <v>20220726</v>
      </c>
      <c r="L3021" t="s">
        <v>3093</v>
      </c>
      <c r="M3021">
        <v>0</v>
      </c>
      <c r="N3021">
        <v>1</v>
      </c>
      <c r="O3021" t="s">
        <v>19</v>
      </c>
      <c r="P3021" t="s">
        <v>20</v>
      </c>
      <c r="Q3021">
        <v>20220726</v>
      </c>
    </row>
    <row r="3022" spans="1:17" x14ac:dyDescent="0.25">
      <c r="A3022" t="s">
        <v>548</v>
      </c>
      <c r="B3022" t="s">
        <v>429</v>
      </c>
      <c r="C3022">
        <v>95</v>
      </c>
      <c r="D3022">
        <v>20220726</v>
      </c>
      <c r="E3022">
        <f t="shared" si="47"/>
        <v>7</v>
      </c>
      <c r="F3022">
        <v>411100</v>
      </c>
      <c r="G3022" t="s">
        <v>18</v>
      </c>
      <c r="H3022" t="s">
        <v>2501</v>
      </c>
      <c r="I3022" t="s">
        <v>2502</v>
      </c>
      <c r="J3022">
        <v>349301</v>
      </c>
      <c r="K3022">
        <v>20220726</v>
      </c>
      <c r="L3022" t="s">
        <v>3094</v>
      </c>
      <c r="M3022">
        <v>0</v>
      </c>
      <c r="N3022">
        <v>4.5</v>
      </c>
      <c r="O3022" t="s">
        <v>23</v>
      </c>
      <c r="P3022">
        <v>20230329</v>
      </c>
      <c r="Q3022">
        <v>20220726</v>
      </c>
    </row>
    <row r="3023" spans="1:17" x14ac:dyDescent="0.25">
      <c r="A3023" t="s">
        <v>548</v>
      </c>
      <c r="B3023" t="s">
        <v>429</v>
      </c>
      <c r="C3023">
        <v>95</v>
      </c>
      <c r="D3023">
        <v>20220726</v>
      </c>
      <c r="E3023">
        <f t="shared" si="47"/>
        <v>7</v>
      </c>
      <c r="F3023">
        <v>411100</v>
      </c>
      <c r="G3023" t="s">
        <v>18</v>
      </c>
      <c r="H3023" t="s">
        <v>1295</v>
      </c>
      <c r="I3023" t="s">
        <v>1296</v>
      </c>
      <c r="J3023">
        <v>349302</v>
      </c>
      <c r="K3023">
        <v>20220726</v>
      </c>
      <c r="L3023" t="s">
        <v>3095</v>
      </c>
      <c r="M3023">
        <v>0</v>
      </c>
      <c r="N3023">
        <v>3</v>
      </c>
      <c r="O3023" t="s">
        <v>19</v>
      </c>
      <c r="P3023" t="s">
        <v>20</v>
      </c>
      <c r="Q3023">
        <v>20220726</v>
      </c>
    </row>
    <row r="3024" spans="1:17" x14ac:dyDescent="0.25">
      <c r="A3024" t="s">
        <v>548</v>
      </c>
      <c r="B3024" t="s">
        <v>429</v>
      </c>
      <c r="C3024">
        <v>95</v>
      </c>
      <c r="D3024">
        <v>20220726</v>
      </c>
      <c r="E3024">
        <f t="shared" si="47"/>
        <v>7</v>
      </c>
      <c r="F3024">
        <v>411100</v>
      </c>
      <c r="G3024" t="s">
        <v>18</v>
      </c>
      <c r="H3024" t="s">
        <v>35</v>
      </c>
      <c r="I3024" t="s">
        <v>36</v>
      </c>
      <c r="J3024">
        <v>349303</v>
      </c>
      <c r="K3024">
        <v>20220726</v>
      </c>
      <c r="L3024" t="s">
        <v>3096</v>
      </c>
      <c r="M3024">
        <v>0</v>
      </c>
      <c r="N3024">
        <v>3</v>
      </c>
      <c r="O3024" t="s">
        <v>19</v>
      </c>
      <c r="P3024" t="s">
        <v>20</v>
      </c>
      <c r="Q3024">
        <v>20220726</v>
      </c>
    </row>
    <row r="3025" spans="1:17" x14ac:dyDescent="0.25">
      <c r="A3025" t="s">
        <v>548</v>
      </c>
      <c r="B3025" t="s">
        <v>429</v>
      </c>
      <c r="C3025">
        <v>95</v>
      </c>
      <c r="D3025">
        <v>20220726</v>
      </c>
      <c r="E3025">
        <f t="shared" si="47"/>
        <v>7</v>
      </c>
      <c r="F3025">
        <v>411100</v>
      </c>
      <c r="G3025" t="s">
        <v>18</v>
      </c>
      <c r="H3025" t="s">
        <v>1774</v>
      </c>
      <c r="I3025" t="s">
        <v>1775</v>
      </c>
      <c r="J3025">
        <v>349304</v>
      </c>
      <c r="K3025">
        <v>20220726</v>
      </c>
      <c r="L3025" t="s">
        <v>3097</v>
      </c>
      <c r="M3025">
        <v>0</v>
      </c>
      <c r="N3025">
        <v>2</v>
      </c>
      <c r="O3025" t="s">
        <v>23</v>
      </c>
      <c r="P3025">
        <v>20230329</v>
      </c>
      <c r="Q3025">
        <v>20220726</v>
      </c>
    </row>
    <row r="3026" spans="1:17" x14ac:dyDescent="0.25">
      <c r="A3026" t="s">
        <v>548</v>
      </c>
      <c r="B3026" t="s">
        <v>429</v>
      </c>
      <c r="C3026">
        <v>95</v>
      </c>
      <c r="D3026">
        <v>20220726</v>
      </c>
      <c r="E3026">
        <f t="shared" si="47"/>
        <v>7</v>
      </c>
      <c r="F3026">
        <v>531105</v>
      </c>
      <c r="G3026" t="s">
        <v>429</v>
      </c>
      <c r="H3026" t="s">
        <v>401</v>
      </c>
      <c r="I3026" t="s">
        <v>402</v>
      </c>
      <c r="J3026">
        <v>349305</v>
      </c>
      <c r="K3026">
        <v>20220726</v>
      </c>
      <c r="L3026" t="s">
        <v>565</v>
      </c>
      <c r="M3026">
        <v>20.5</v>
      </c>
      <c r="N3026">
        <v>0</v>
      </c>
      <c r="O3026" t="s">
        <v>19</v>
      </c>
      <c r="P3026" t="s">
        <v>20</v>
      </c>
      <c r="Q3026">
        <v>20220726</v>
      </c>
    </row>
    <row r="3027" spans="1:17" x14ac:dyDescent="0.25">
      <c r="A3027" t="s">
        <v>548</v>
      </c>
      <c r="B3027" t="s">
        <v>429</v>
      </c>
      <c r="C3027">
        <v>95</v>
      </c>
      <c r="D3027">
        <v>20220726</v>
      </c>
      <c r="E3027">
        <f t="shared" si="47"/>
        <v>7</v>
      </c>
      <c r="F3027">
        <v>411100</v>
      </c>
      <c r="G3027" t="s">
        <v>18</v>
      </c>
      <c r="H3027" t="s">
        <v>358</v>
      </c>
      <c r="I3027" t="s">
        <v>359</v>
      </c>
      <c r="J3027">
        <v>350240</v>
      </c>
      <c r="K3027">
        <v>20220726</v>
      </c>
      <c r="L3027" t="s">
        <v>3089</v>
      </c>
      <c r="M3027">
        <v>1.5</v>
      </c>
      <c r="N3027">
        <v>0</v>
      </c>
      <c r="O3027" t="s">
        <v>22</v>
      </c>
      <c r="P3027">
        <v>20230218</v>
      </c>
      <c r="Q3027">
        <v>20220726</v>
      </c>
    </row>
    <row r="3028" spans="1:17" x14ac:dyDescent="0.25">
      <c r="A3028" t="s">
        <v>548</v>
      </c>
      <c r="B3028" t="s">
        <v>429</v>
      </c>
      <c r="C3028">
        <v>95</v>
      </c>
      <c r="D3028">
        <v>20220726</v>
      </c>
      <c r="E3028">
        <f t="shared" si="47"/>
        <v>7</v>
      </c>
      <c r="F3028">
        <v>411100</v>
      </c>
      <c r="G3028" t="s">
        <v>18</v>
      </c>
      <c r="H3028" t="s">
        <v>2165</v>
      </c>
      <c r="I3028" t="s">
        <v>2166</v>
      </c>
      <c r="J3028">
        <v>350241</v>
      </c>
      <c r="K3028">
        <v>20220726</v>
      </c>
      <c r="L3028" t="s">
        <v>3090</v>
      </c>
      <c r="M3028">
        <v>3</v>
      </c>
      <c r="N3028">
        <v>0</v>
      </c>
      <c r="O3028" t="s">
        <v>22</v>
      </c>
      <c r="P3028">
        <v>20230218</v>
      </c>
      <c r="Q3028">
        <v>20220726</v>
      </c>
    </row>
    <row r="3029" spans="1:17" x14ac:dyDescent="0.25">
      <c r="A3029" t="s">
        <v>548</v>
      </c>
      <c r="B3029" t="s">
        <v>429</v>
      </c>
      <c r="C3029">
        <v>95</v>
      </c>
      <c r="D3029">
        <v>20220726</v>
      </c>
      <c r="E3029">
        <f t="shared" si="47"/>
        <v>7</v>
      </c>
      <c r="F3029">
        <v>411100</v>
      </c>
      <c r="G3029" t="s">
        <v>18</v>
      </c>
      <c r="H3029" t="s">
        <v>213</v>
      </c>
      <c r="I3029" t="s">
        <v>214</v>
      </c>
      <c r="J3029">
        <v>350242</v>
      </c>
      <c r="K3029">
        <v>20220726</v>
      </c>
      <c r="L3029" t="s">
        <v>3091</v>
      </c>
      <c r="M3029">
        <v>1.5</v>
      </c>
      <c r="N3029">
        <v>0</v>
      </c>
      <c r="O3029" t="s">
        <v>22</v>
      </c>
      <c r="P3029">
        <v>20230218</v>
      </c>
      <c r="Q3029">
        <v>20220726</v>
      </c>
    </row>
    <row r="3030" spans="1:17" x14ac:dyDescent="0.25">
      <c r="A3030" t="s">
        <v>548</v>
      </c>
      <c r="B3030" t="s">
        <v>429</v>
      </c>
      <c r="C3030">
        <v>95</v>
      </c>
      <c r="D3030">
        <v>20220726</v>
      </c>
      <c r="E3030">
        <f t="shared" si="47"/>
        <v>7</v>
      </c>
      <c r="F3030">
        <v>411100</v>
      </c>
      <c r="G3030" t="s">
        <v>18</v>
      </c>
      <c r="H3030" t="s">
        <v>2173</v>
      </c>
      <c r="I3030" t="s">
        <v>2174</v>
      </c>
      <c r="J3030">
        <v>350243</v>
      </c>
      <c r="K3030">
        <v>20220726</v>
      </c>
      <c r="L3030" t="s">
        <v>3092</v>
      </c>
      <c r="M3030">
        <v>1</v>
      </c>
      <c r="N3030">
        <v>0</v>
      </c>
      <c r="O3030" t="s">
        <v>22</v>
      </c>
      <c r="P3030">
        <v>20230218</v>
      </c>
      <c r="Q3030">
        <v>20220726</v>
      </c>
    </row>
    <row r="3031" spans="1:17" x14ac:dyDescent="0.25">
      <c r="A3031" t="s">
        <v>548</v>
      </c>
      <c r="B3031" t="s">
        <v>429</v>
      </c>
      <c r="C3031">
        <v>95</v>
      </c>
      <c r="D3031">
        <v>20220726</v>
      </c>
      <c r="E3031">
        <f t="shared" si="47"/>
        <v>7</v>
      </c>
      <c r="F3031">
        <v>411100</v>
      </c>
      <c r="G3031" t="s">
        <v>18</v>
      </c>
      <c r="H3031" t="s">
        <v>215</v>
      </c>
      <c r="I3031" t="s">
        <v>216</v>
      </c>
      <c r="J3031">
        <v>350244</v>
      </c>
      <c r="K3031">
        <v>20220726</v>
      </c>
      <c r="L3031" t="s">
        <v>3093</v>
      </c>
      <c r="M3031">
        <v>1</v>
      </c>
      <c r="N3031">
        <v>0</v>
      </c>
      <c r="O3031" t="s">
        <v>22</v>
      </c>
      <c r="P3031">
        <v>20230218</v>
      </c>
      <c r="Q3031">
        <v>20220726</v>
      </c>
    </row>
    <row r="3032" spans="1:17" x14ac:dyDescent="0.25">
      <c r="A3032" t="s">
        <v>548</v>
      </c>
      <c r="B3032" t="s">
        <v>429</v>
      </c>
      <c r="C3032">
        <v>95</v>
      </c>
      <c r="D3032">
        <v>20220726</v>
      </c>
      <c r="E3032">
        <f t="shared" si="47"/>
        <v>7</v>
      </c>
      <c r="F3032">
        <v>411100</v>
      </c>
      <c r="G3032" t="s">
        <v>18</v>
      </c>
      <c r="H3032" t="s">
        <v>2501</v>
      </c>
      <c r="I3032" t="s">
        <v>2502</v>
      </c>
      <c r="J3032">
        <v>350245</v>
      </c>
      <c r="K3032">
        <v>20220726</v>
      </c>
      <c r="L3032" t="s">
        <v>3094</v>
      </c>
      <c r="M3032">
        <v>4.5</v>
      </c>
      <c r="N3032">
        <v>0</v>
      </c>
      <c r="O3032" t="s">
        <v>22</v>
      </c>
      <c r="P3032">
        <v>20230218</v>
      </c>
      <c r="Q3032">
        <v>20220726</v>
      </c>
    </row>
    <row r="3033" spans="1:17" x14ac:dyDescent="0.25">
      <c r="A3033" t="s">
        <v>548</v>
      </c>
      <c r="B3033" t="s">
        <v>429</v>
      </c>
      <c r="C3033">
        <v>95</v>
      </c>
      <c r="D3033">
        <v>20220726</v>
      </c>
      <c r="E3033">
        <f t="shared" si="47"/>
        <v>7</v>
      </c>
      <c r="F3033">
        <v>411100</v>
      </c>
      <c r="G3033" t="s">
        <v>18</v>
      </c>
      <c r="H3033" t="s">
        <v>1295</v>
      </c>
      <c r="I3033" t="s">
        <v>1296</v>
      </c>
      <c r="J3033">
        <v>350246</v>
      </c>
      <c r="K3033">
        <v>20220726</v>
      </c>
      <c r="L3033" t="s">
        <v>3095</v>
      </c>
      <c r="M3033">
        <v>3</v>
      </c>
      <c r="N3033">
        <v>0</v>
      </c>
      <c r="O3033" t="s">
        <v>22</v>
      </c>
      <c r="P3033">
        <v>20230218</v>
      </c>
      <c r="Q3033">
        <v>20220726</v>
      </c>
    </row>
    <row r="3034" spans="1:17" x14ac:dyDescent="0.25">
      <c r="A3034" t="s">
        <v>548</v>
      </c>
      <c r="B3034" t="s">
        <v>429</v>
      </c>
      <c r="C3034">
        <v>95</v>
      </c>
      <c r="D3034">
        <v>20220726</v>
      </c>
      <c r="E3034">
        <f t="shared" si="47"/>
        <v>7</v>
      </c>
      <c r="F3034">
        <v>411100</v>
      </c>
      <c r="G3034" t="s">
        <v>18</v>
      </c>
      <c r="H3034" t="s">
        <v>35</v>
      </c>
      <c r="I3034" t="s">
        <v>36</v>
      </c>
      <c r="J3034">
        <v>350247</v>
      </c>
      <c r="K3034">
        <v>20220726</v>
      </c>
      <c r="L3034" t="s">
        <v>3096</v>
      </c>
      <c r="M3034">
        <v>3</v>
      </c>
      <c r="N3034">
        <v>0</v>
      </c>
      <c r="O3034" t="s">
        <v>22</v>
      </c>
      <c r="P3034">
        <v>20230218</v>
      </c>
      <c r="Q3034">
        <v>20220726</v>
      </c>
    </row>
    <row r="3035" spans="1:17" x14ac:dyDescent="0.25">
      <c r="A3035" t="s">
        <v>548</v>
      </c>
      <c r="B3035" t="s">
        <v>429</v>
      </c>
      <c r="C3035">
        <v>95</v>
      </c>
      <c r="D3035">
        <v>20220726</v>
      </c>
      <c r="E3035">
        <f t="shared" si="47"/>
        <v>7</v>
      </c>
      <c r="F3035">
        <v>411100</v>
      </c>
      <c r="G3035" t="s">
        <v>18</v>
      </c>
      <c r="H3035" t="s">
        <v>1774</v>
      </c>
      <c r="I3035" t="s">
        <v>1775</v>
      </c>
      <c r="J3035">
        <v>350248</v>
      </c>
      <c r="K3035">
        <v>20220726</v>
      </c>
      <c r="L3035" t="s">
        <v>3097</v>
      </c>
      <c r="M3035">
        <v>2</v>
      </c>
      <c r="N3035">
        <v>0</v>
      </c>
      <c r="O3035" t="s">
        <v>22</v>
      </c>
      <c r="P3035">
        <v>20230218</v>
      </c>
      <c r="Q3035">
        <v>20220726</v>
      </c>
    </row>
    <row r="3036" spans="1:17" x14ac:dyDescent="0.25">
      <c r="A3036" t="s">
        <v>548</v>
      </c>
      <c r="B3036" t="s">
        <v>429</v>
      </c>
      <c r="C3036">
        <v>95</v>
      </c>
      <c r="D3036">
        <v>20220726</v>
      </c>
      <c r="E3036">
        <f t="shared" si="47"/>
        <v>7</v>
      </c>
      <c r="F3036">
        <v>531105</v>
      </c>
      <c r="G3036" t="s">
        <v>429</v>
      </c>
      <c r="H3036" t="s">
        <v>401</v>
      </c>
      <c r="I3036" t="s">
        <v>402</v>
      </c>
      <c r="J3036">
        <v>350249</v>
      </c>
      <c r="K3036">
        <v>20220726</v>
      </c>
      <c r="L3036" t="s">
        <v>565</v>
      </c>
      <c r="M3036">
        <v>0</v>
      </c>
      <c r="N3036">
        <v>20.5</v>
      </c>
      <c r="O3036" t="s">
        <v>19</v>
      </c>
      <c r="P3036" t="s">
        <v>20</v>
      </c>
      <c r="Q3036">
        <v>20220726</v>
      </c>
    </row>
    <row r="3037" spans="1:17" x14ac:dyDescent="0.25">
      <c r="A3037" t="s">
        <v>548</v>
      </c>
      <c r="B3037" t="s">
        <v>429</v>
      </c>
      <c r="C3037">
        <v>95</v>
      </c>
      <c r="D3037">
        <v>20220727</v>
      </c>
      <c r="E3037">
        <f t="shared" si="47"/>
        <v>7</v>
      </c>
      <c r="F3037">
        <v>467100</v>
      </c>
      <c r="G3037" t="s">
        <v>160</v>
      </c>
      <c r="H3037" t="s">
        <v>626</v>
      </c>
      <c r="I3037" t="s">
        <v>627</v>
      </c>
      <c r="J3037" t="s">
        <v>3098</v>
      </c>
      <c r="K3037">
        <v>20220727</v>
      </c>
      <c r="L3037" t="s">
        <v>3099</v>
      </c>
      <c r="M3037">
        <v>172.37</v>
      </c>
      <c r="N3037">
        <v>0</v>
      </c>
      <c r="O3037" t="s">
        <v>23</v>
      </c>
      <c r="P3037">
        <v>20220831</v>
      </c>
      <c r="Q3037">
        <v>20220727</v>
      </c>
    </row>
    <row r="3038" spans="1:17" x14ac:dyDescent="0.25">
      <c r="A3038" t="s">
        <v>548</v>
      </c>
      <c r="B3038" t="s">
        <v>429</v>
      </c>
      <c r="C3038">
        <v>95</v>
      </c>
      <c r="D3038">
        <v>20220727</v>
      </c>
      <c r="E3038">
        <f t="shared" si="47"/>
        <v>7</v>
      </c>
      <c r="F3038">
        <v>531105</v>
      </c>
      <c r="G3038" t="s">
        <v>429</v>
      </c>
      <c r="H3038" t="s">
        <v>401</v>
      </c>
      <c r="I3038" t="s">
        <v>402</v>
      </c>
      <c r="J3038" t="s">
        <v>3098</v>
      </c>
      <c r="K3038">
        <v>20220727</v>
      </c>
      <c r="L3038" t="s">
        <v>3099</v>
      </c>
      <c r="M3038">
        <v>0</v>
      </c>
      <c r="N3038">
        <v>172.37</v>
      </c>
      <c r="O3038" t="s">
        <v>19</v>
      </c>
      <c r="P3038" t="s">
        <v>20</v>
      </c>
      <c r="Q3038">
        <v>20220727</v>
      </c>
    </row>
    <row r="3039" spans="1:17" x14ac:dyDescent="0.25">
      <c r="A3039" t="s">
        <v>548</v>
      </c>
      <c r="B3039" t="s">
        <v>429</v>
      </c>
      <c r="C3039">
        <v>95</v>
      </c>
      <c r="D3039">
        <v>20220727</v>
      </c>
      <c r="E3039">
        <f t="shared" si="47"/>
        <v>7</v>
      </c>
      <c r="F3039">
        <v>467100</v>
      </c>
      <c r="G3039" t="s">
        <v>160</v>
      </c>
      <c r="H3039" t="s">
        <v>183</v>
      </c>
      <c r="I3039" t="s">
        <v>184</v>
      </c>
      <c r="J3039" t="s">
        <v>3100</v>
      </c>
      <c r="K3039">
        <v>20220727</v>
      </c>
      <c r="L3039" t="s">
        <v>3101</v>
      </c>
      <c r="M3039">
        <v>300</v>
      </c>
      <c r="N3039">
        <v>0</v>
      </c>
      <c r="O3039" t="s">
        <v>23</v>
      </c>
      <c r="P3039">
        <v>20220830</v>
      </c>
      <c r="Q3039">
        <v>20220727</v>
      </c>
    </row>
    <row r="3040" spans="1:17" x14ac:dyDescent="0.25">
      <c r="A3040" t="s">
        <v>548</v>
      </c>
      <c r="B3040" t="s">
        <v>429</v>
      </c>
      <c r="C3040">
        <v>95</v>
      </c>
      <c r="D3040">
        <v>20220727</v>
      </c>
      <c r="E3040">
        <f t="shared" si="47"/>
        <v>7</v>
      </c>
      <c r="F3040">
        <v>531105</v>
      </c>
      <c r="G3040" t="s">
        <v>429</v>
      </c>
      <c r="H3040" t="s">
        <v>401</v>
      </c>
      <c r="I3040" t="s">
        <v>402</v>
      </c>
      <c r="J3040" t="s">
        <v>3100</v>
      </c>
      <c r="K3040">
        <v>20220727</v>
      </c>
      <c r="L3040" t="s">
        <v>3101</v>
      </c>
      <c r="M3040">
        <v>0</v>
      </c>
      <c r="N3040">
        <v>300</v>
      </c>
      <c r="O3040" t="s">
        <v>19</v>
      </c>
      <c r="P3040" t="s">
        <v>20</v>
      </c>
      <c r="Q3040">
        <v>20220727</v>
      </c>
    </row>
    <row r="3041" spans="1:17" x14ac:dyDescent="0.25">
      <c r="A3041" t="s">
        <v>548</v>
      </c>
      <c r="B3041" t="s">
        <v>429</v>
      </c>
      <c r="C3041">
        <v>95</v>
      </c>
      <c r="D3041">
        <v>20220727</v>
      </c>
      <c r="E3041">
        <f t="shared" si="47"/>
        <v>7</v>
      </c>
      <c r="F3041">
        <v>467100</v>
      </c>
      <c r="G3041" t="s">
        <v>160</v>
      </c>
      <c r="H3041" t="s">
        <v>1522</v>
      </c>
      <c r="I3041" t="s">
        <v>1523</v>
      </c>
      <c r="J3041" t="s">
        <v>3102</v>
      </c>
      <c r="K3041">
        <v>20220727</v>
      </c>
      <c r="L3041" t="s">
        <v>3103</v>
      </c>
      <c r="M3041">
        <v>108</v>
      </c>
      <c r="N3041">
        <v>0</v>
      </c>
      <c r="O3041" t="s">
        <v>23</v>
      </c>
      <c r="P3041">
        <v>20220830</v>
      </c>
      <c r="Q3041">
        <v>20220727</v>
      </c>
    </row>
    <row r="3042" spans="1:17" x14ac:dyDescent="0.25">
      <c r="A3042" t="s">
        <v>548</v>
      </c>
      <c r="B3042" t="s">
        <v>429</v>
      </c>
      <c r="C3042">
        <v>95</v>
      </c>
      <c r="D3042">
        <v>20220727</v>
      </c>
      <c r="E3042">
        <f t="shared" si="47"/>
        <v>7</v>
      </c>
      <c r="F3042">
        <v>531105</v>
      </c>
      <c r="G3042" t="s">
        <v>429</v>
      </c>
      <c r="H3042" t="s">
        <v>401</v>
      </c>
      <c r="I3042" t="s">
        <v>402</v>
      </c>
      <c r="J3042" t="s">
        <v>3102</v>
      </c>
      <c r="K3042">
        <v>20220727</v>
      </c>
      <c r="L3042" t="s">
        <v>3103</v>
      </c>
      <c r="M3042">
        <v>0</v>
      </c>
      <c r="N3042">
        <v>108</v>
      </c>
      <c r="O3042" t="s">
        <v>19</v>
      </c>
      <c r="P3042" t="s">
        <v>20</v>
      </c>
      <c r="Q3042">
        <v>20220727</v>
      </c>
    </row>
    <row r="3043" spans="1:17" x14ac:dyDescent="0.25">
      <c r="A3043" t="s">
        <v>548</v>
      </c>
      <c r="B3043" t="s">
        <v>429</v>
      </c>
      <c r="C3043">
        <v>95</v>
      </c>
      <c r="D3043">
        <v>20220727</v>
      </c>
      <c r="E3043">
        <f t="shared" si="47"/>
        <v>7</v>
      </c>
      <c r="F3043">
        <v>411100</v>
      </c>
      <c r="G3043" t="s">
        <v>18</v>
      </c>
      <c r="H3043" t="s">
        <v>1765</v>
      </c>
      <c r="I3043" t="s">
        <v>1766</v>
      </c>
      <c r="J3043">
        <v>350593</v>
      </c>
      <c r="K3043">
        <v>20220727</v>
      </c>
      <c r="L3043" t="s">
        <v>3104</v>
      </c>
      <c r="M3043">
        <v>0</v>
      </c>
      <c r="N3043">
        <v>7.87</v>
      </c>
      <c r="O3043" t="s">
        <v>23</v>
      </c>
      <c r="P3043">
        <v>20230218</v>
      </c>
      <c r="Q3043">
        <v>20220727</v>
      </c>
    </row>
    <row r="3044" spans="1:17" x14ac:dyDescent="0.25">
      <c r="A3044" t="s">
        <v>548</v>
      </c>
      <c r="B3044" t="s">
        <v>429</v>
      </c>
      <c r="C3044">
        <v>95</v>
      </c>
      <c r="D3044">
        <v>20220727</v>
      </c>
      <c r="E3044">
        <f t="shared" si="47"/>
        <v>7</v>
      </c>
      <c r="F3044">
        <v>531105</v>
      </c>
      <c r="G3044" t="s">
        <v>429</v>
      </c>
      <c r="H3044" t="s">
        <v>401</v>
      </c>
      <c r="I3044" t="s">
        <v>402</v>
      </c>
      <c r="J3044">
        <v>350594</v>
      </c>
      <c r="K3044">
        <v>20220727</v>
      </c>
      <c r="L3044" t="s">
        <v>565</v>
      </c>
      <c r="M3044">
        <v>7.87</v>
      </c>
      <c r="N3044">
        <v>0</v>
      </c>
      <c r="O3044" t="s">
        <v>19</v>
      </c>
      <c r="P3044" t="s">
        <v>20</v>
      </c>
      <c r="Q3044">
        <v>20220727</v>
      </c>
    </row>
    <row r="3045" spans="1:17" x14ac:dyDescent="0.25">
      <c r="A3045" t="s">
        <v>548</v>
      </c>
      <c r="B3045" t="s">
        <v>429</v>
      </c>
      <c r="C3045">
        <v>95</v>
      </c>
      <c r="D3045">
        <v>20220728</v>
      </c>
      <c r="E3045">
        <f t="shared" si="47"/>
        <v>7</v>
      </c>
      <c r="F3045">
        <v>411100</v>
      </c>
      <c r="G3045" t="s">
        <v>18</v>
      </c>
      <c r="H3045" t="s">
        <v>237</v>
      </c>
      <c r="I3045" t="s">
        <v>238</v>
      </c>
      <c r="J3045">
        <v>350595</v>
      </c>
      <c r="K3045">
        <v>20220728</v>
      </c>
      <c r="L3045" t="s">
        <v>3105</v>
      </c>
      <c r="M3045">
        <v>0</v>
      </c>
      <c r="N3045">
        <v>3.5</v>
      </c>
      <c r="O3045" t="s">
        <v>19</v>
      </c>
      <c r="P3045" t="s">
        <v>20</v>
      </c>
      <c r="Q3045">
        <v>20220728</v>
      </c>
    </row>
    <row r="3046" spans="1:17" x14ac:dyDescent="0.25">
      <c r="A3046" t="s">
        <v>548</v>
      </c>
      <c r="B3046" t="s">
        <v>429</v>
      </c>
      <c r="C3046">
        <v>95</v>
      </c>
      <c r="D3046">
        <v>20220728</v>
      </c>
      <c r="E3046">
        <f t="shared" si="47"/>
        <v>7</v>
      </c>
      <c r="F3046">
        <v>411100</v>
      </c>
      <c r="G3046" t="s">
        <v>18</v>
      </c>
      <c r="H3046" t="s">
        <v>3106</v>
      </c>
      <c r="I3046" t="s">
        <v>3107</v>
      </c>
      <c r="J3046">
        <v>350596</v>
      </c>
      <c r="K3046">
        <v>20220728</v>
      </c>
      <c r="L3046" t="s">
        <v>3108</v>
      </c>
      <c r="M3046">
        <v>0</v>
      </c>
      <c r="N3046">
        <v>3</v>
      </c>
      <c r="O3046" t="s">
        <v>22</v>
      </c>
      <c r="P3046">
        <v>20230218</v>
      </c>
      <c r="Q3046">
        <v>20220728</v>
      </c>
    </row>
    <row r="3047" spans="1:17" x14ac:dyDescent="0.25">
      <c r="A3047" t="s">
        <v>548</v>
      </c>
      <c r="B3047" t="s">
        <v>429</v>
      </c>
      <c r="C3047">
        <v>95</v>
      </c>
      <c r="D3047">
        <v>20220728</v>
      </c>
      <c r="E3047">
        <f t="shared" si="47"/>
        <v>7</v>
      </c>
      <c r="F3047">
        <v>411100</v>
      </c>
      <c r="G3047" t="s">
        <v>18</v>
      </c>
      <c r="H3047" t="s">
        <v>77</v>
      </c>
      <c r="I3047" t="s">
        <v>78</v>
      </c>
      <c r="J3047">
        <v>350597</v>
      </c>
      <c r="K3047">
        <v>20220728</v>
      </c>
      <c r="L3047" t="s">
        <v>3109</v>
      </c>
      <c r="M3047">
        <v>0</v>
      </c>
      <c r="N3047">
        <v>10.5</v>
      </c>
      <c r="O3047" t="s">
        <v>19</v>
      </c>
      <c r="P3047" t="s">
        <v>20</v>
      </c>
      <c r="Q3047">
        <v>20220728</v>
      </c>
    </row>
    <row r="3048" spans="1:17" x14ac:dyDescent="0.25">
      <c r="A3048" t="s">
        <v>548</v>
      </c>
      <c r="B3048" t="s">
        <v>429</v>
      </c>
      <c r="C3048">
        <v>95</v>
      </c>
      <c r="D3048">
        <v>20220728</v>
      </c>
      <c r="E3048">
        <f t="shared" si="47"/>
        <v>7</v>
      </c>
      <c r="F3048">
        <v>411100</v>
      </c>
      <c r="G3048" t="s">
        <v>18</v>
      </c>
      <c r="H3048" t="s">
        <v>3110</v>
      </c>
      <c r="I3048" t="s">
        <v>3111</v>
      </c>
      <c r="J3048">
        <v>350598</v>
      </c>
      <c r="K3048">
        <v>20220728</v>
      </c>
      <c r="L3048" t="s">
        <v>3112</v>
      </c>
      <c r="M3048">
        <v>0</v>
      </c>
      <c r="N3048">
        <v>7</v>
      </c>
      <c r="O3048" t="s">
        <v>19</v>
      </c>
      <c r="P3048" t="s">
        <v>20</v>
      </c>
      <c r="Q3048">
        <v>20220728</v>
      </c>
    </row>
    <row r="3049" spans="1:17" x14ac:dyDescent="0.25">
      <c r="A3049" t="s">
        <v>548</v>
      </c>
      <c r="B3049" t="s">
        <v>429</v>
      </c>
      <c r="C3049">
        <v>95</v>
      </c>
      <c r="D3049">
        <v>20220728</v>
      </c>
      <c r="E3049">
        <f t="shared" si="47"/>
        <v>7</v>
      </c>
      <c r="F3049">
        <v>411100</v>
      </c>
      <c r="G3049" t="s">
        <v>18</v>
      </c>
      <c r="H3049" t="s">
        <v>657</v>
      </c>
      <c r="I3049" t="s">
        <v>658</v>
      </c>
      <c r="J3049">
        <v>350599</v>
      </c>
      <c r="K3049">
        <v>20220728</v>
      </c>
      <c r="L3049" t="s">
        <v>3113</v>
      </c>
      <c r="M3049">
        <v>0</v>
      </c>
      <c r="N3049">
        <v>3.5</v>
      </c>
      <c r="O3049" t="s">
        <v>19</v>
      </c>
      <c r="P3049" t="s">
        <v>20</v>
      </c>
      <c r="Q3049">
        <v>20220728</v>
      </c>
    </row>
    <row r="3050" spans="1:17" x14ac:dyDescent="0.25">
      <c r="A3050" t="s">
        <v>548</v>
      </c>
      <c r="B3050" t="s">
        <v>429</v>
      </c>
      <c r="C3050">
        <v>95</v>
      </c>
      <c r="D3050">
        <v>20220728</v>
      </c>
      <c r="E3050">
        <f t="shared" si="47"/>
        <v>7</v>
      </c>
      <c r="F3050">
        <v>411100</v>
      </c>
      <c r="G3050" t="s">
        <v>18</v>
      </c>
      <c r="H3050" t="s">
        <v>1029</v>
      </c>
      <c r="I3050" t="s">
        <v>1030</v>
      </c>
      <c r="J3050">
        <v>350600</v>
      </c>
      <c r="K3050">
        <v>20220728</v>
      </c>
      <c r="L3050" t="s">
        <v>3114</v>
      </c>
      <c r="M3050">
        <v>0</v>
      </c>
      <c r="N3050">
        <v>2</v>
      </c>
      <c r="O3050" t="s">
        <v>19</v>
      </c>
      <c r="P3050" t="s">
        <v>20</v>
      </c>
      <c r="Q3050">
        <v>20220728</v>
      </c>
    </row>
    <row r="3051" spans="1:17" x14ac:dyDescent="0.25">
      <c r="A3051" t="s">
        <v>548</v>
      </c>
      <c r="B3051" t="s">
        <v>429</v>
      </c>
      <c r="C3051">
        <v>95</v>
      </c>
      <c r="D3051">
        <v>20220728</v>
      </c>
      <c r="E3051">
        <f t="shared" si="47"/>
        <v>7</v>
      </c>
      <c r="F3051">
        <v>411100</v>
      </c>
      <c r="G3051" t="s">
        <v>18</v>
      </c>
      <c r="H3051" t="s">
        <v>65</v>
      </c>
      <c r="I3051" t="s">
        <v>66</v>
      </c>
      <c r="J3051">
        <v>350601</v>
      </c>
      <c r="K3051">
        <v>20220728</v>
      </c>
      <c r="L3051" t="s">
        <v>3115</v>
      </c>
      <c r="M3051">
        <v>0</v>
      </c>
      <c r="N3051">
        <v>2</v>
      </c>
      <c r="O3051" t="s">
        <v>19</v>
      </c>
      <c r="P3051" t="s">
        <v>20</v>
      </c>
      <c r="Q3051">
        <v>20220728</v>
      </c>
    </row>
    <row r="3052" spans="1:17" x14ac:dyDescent="0.25">
      <c r="A3052" t="s">
        <v>548</v>
      </c>
      <c r="B3052" t="s">
        <v>429</v>
      </c>
      <c r="C3052">
        <v>95</v>
      </c>
      <c r="D3052">
        <v>20220728</v>
      </c>
      <c r="E3052">
        <f t="shared" si="47"/>
        <v>7</v>
      </c>
      <c r="F3052">
        <v>411100</v>
      </c>
      <c r="G3052" t="s">
        <v>18</v>
      </c>
      <c r="H3052" t="s">
        <v>154</v>
      </c>
      <c r="I3052" t="s">
        <v>155</v>
      </c>
      <c r="J3052">
        <v>350602</v>
      </c>
      <c r="K3052">
        <v>20220728</v>
      </c>
      <c r="L3052" t="s">
        <v>3116</v>
      </c>
      <c r="M3052">
        <v>0</v>
      </c>
      <c r="N3052">
        <v>7</v>
      </c>
      <c r="O3052" t="s">
        <v>19</v>
      </c>
      <c r="P3052" t="s">
        <v>20</v>
      </c>
      <c r="Q3052">
        <v>20220728</v>
      </c>
    </row>
    <row r="3053" spans="1:17" x14ac:dyDescent="0.25">
      <c r="A3053" t="s">
        <v>548</v>
      </c>
      <c r="B3053" t="s">
        <v>429</v>
      </c>
      <c r="C3053">
        <v>95</v>
      </c>
      <c r="D3053">
        <v>20220728</v>
      </c>
      <c r="E3053">
        <f t="shared" si="47"/>
        <v>7</v>
      </c>
      <c r="F3053">
        <v>411100</v>
      </c>
      <c r="G3053" t="s">
        <v>18</v>
      </c>
      <c r="H3053" t="s">
        <v>1033</v>
      </c>
      <c r="I3053" t="s">
        <v>1034</v>
      </c>
      <c r="J3053">
        <v>350603</v>
      </c>
      <c r="K3053">
        <v>20220728</v>
      </c>
      <c r="L3053" t="s">
        <v>3117</v>
      </c>
      <c r="M3053">
        <v>0</v>
      </c>
      <c r="N3053">
        <v>7</v>
      </c>
      <c r="O3053" t="s">
        <v>19</v>
      </c>
      <c r="P3053" t="s">
        <v>20</v>
      </c>
      <c r="Q3053">
        <v>20220728</v>
      </c>
    </row>
    <row r="3054" spans="1:17" x14ac:dyDescent="0.25">
      <c r="A3054" t="s">
        <v>548</v>
      </c>
      <c r="B3054" t="s">
        <v>429</v>
      </c>
      <c r="C3054">
        <v>95</v>
      </c>
      <c r="D3054">
        <v>20220728</v>
      </c>
      <c r="E3054">
        <f t="shared" si="47"/>
        <v>7</v>
      </c>
      <c r="F3054">
        <v>411100</v>
      </c>
      <c r="G3054" t="s">
        <v>18</v>
      </c>
      <c r="H3054" t="s">
        <v>81</v>
      </c>
      <c r="I3054" t="s">
        <v>82</v>
      </c>
      <c r="J3054">
        <v>350604</v>
      </c>
      <c r="K3054">
        <v>20220728</v>
      </c>
      <c r="L3054" t="s">
        <v>3118</v>
      </c>
      <c r="M3054">
        <v>0</v>
      </c>
      <c r="N3054">
        <v>7</v>
      </c>
      <c r="O3054" t="s">
        <v>19</v>
      </c>
      <c r="P3054" t="s">
        <v>20</v>
      </c>
      <c r="Q3054">
        <v>20220728</v>
      </c>
    </row>
    <row r="3055" spans="1:17" x14ac:dyDescent="0.25">
      <c r="A3055" t="s">
        <v>548</v>
      </c>
      <c r="B3055" t="s">
        <v>429</v>
      </c>
      <c r="C3055">
        <v>95</v>
      </c>
      <c r="D3055">
        <v>20220728</v>
      </c>
      <c r="E3055">
        <f t="shared" si="47"/>
        <v>7</v>
      </c>
      <c r="F3055">
        <v>411100</v>
      </c>
      <c r="G3055" t="s">
        <v>18</v>
      </c>
      <c r="H3055" t="s">
        <v>105</v>
      </c>
      <c r="I3055" t="s">
        <v>106</v>
      </c>
      <c r="J3055">
        <v>350605</v>
      </c>
      <c r="K3055">
        <v>20220728</v>
      </c>
      <c r="L3055" t="s">
        <v>3119</v>
      </c>
      <c r="M3055">
        <v>0</v>
      </c>
      <c r="N3055">
        <v>21</v>
      </c>
      <c r="O3055" t="s">
        <v>19</v>
      </c>
      <c r="P3055" t="s">
        <v>20</v>
      </c>
      <c r="Q3055">
        <v>20220728</v>
      </c>
    </row>
    <row r="3056" spans="1:17" x14ac:dyDescent="0.25">
      <c r="A3056" t="s">
        <v>548</v>
      </c>
      <c r="B3056" t="s">
        <v>429</v>
      </c>
      <c r="C3056">
        <v>95</v>
      </c>
      <c r="D3056">
        <v>20220728</v>
      </c>
      <c r="E3056">
        <f t="shared" si="47"/>
        <v>7</v>
      </c>
      <c r="F3056">
        <v>411100</v>
      </c>
      <c r="G3056" t="s">
        <v>18</v>
      </c>
      <c r="H3056" t="s">
        <v>65</v>
      </c>
      <c r="I3056" t="s">
        <v>66</v>
      </c>
      <c r="J3056">
        <v>350606</v>
      </c>
      <c r="K3056">
        <v>20220728</v>
      </c>
      <c r="L3056" t="s">
        <v>3120</v>
      </c>
      <c r="M3056">
        <v>0</v>
      </c>
      <c r="N3056">
        <v>7</v>
      </c>
      <c r="O3056" t="s">
        <v>19</v>
      </c>
      <c r="P3056" t="s">
        <v>20</v>
      </c>
      <c r="Q3056">
        <v>20220728</v>
      </c>
    </row>
    <row r="3057" spans="1:17" x14ac:dyDescent="0.25">
      <c r="A3057" t="s">
        <v>548</v>
      </c>
      <c r="B3057" t="s">
        <v>429</v>
      </c>
      <c r="C3057">
        <v>95</v>
      </c>
      <c r="D3057">
        <v>20220728</v>
      </c>
      <c r="E3057">
        <f t="shared" si="47"/>
        <v>7</v>
      </c>
      <c r="F3057">
        <v>411100</v>
      </c>
      <c r="G3057" t="s">
        <v>18</v>
      </c>
      <c r="H3057" t="s">
        <v>1911</v>
      </c>
      <c r="I3057" t="s">
        <v>1912</v>
      </c>
      <c r="J3057">
        <v>350607</v>
      </c>
      <c r="K3057">
        <v>20220728</v>
      </c>
      <c r="L3057" t="s">
        <v>3121</v>
      </c>
      <c r="M3057">
        <v>0</v>
      </c>
      <c r="N3057">
        <v>14</v>
      </c>
      <c r="O3057" t="s">
        <v>19</v>
      </c>
      <c r="P3057" t="s">
        <v>20</v>
      </c>
      <c r="Q3057">
        <v>20220728</v>
      </c>
    </row>
    <row r="3058" spans="1:17" x14ac:dyDescent="0.25">
      <c r="A3058" t="s">
        <v>548</v>
      </c>
      <c r="B3058" t="s">
        <v>429</v>
      </c>
      <c r="C3058">
        <v>95</v>
      </c>
      <c r="D3058">
        <v>20220728</v>
      </c>
      <c r="E3058">
        <f t="shared" si="47"/>
        <v>7</v>
      </c>
      <c r="F3058">
        <v>411100</v>
      </c>
      <c r="G3058" t="s">
        <v>18</v>
      </c>
      <c r="H3058" t="s">
        <v>187</v>
      </c>
      <c r="I3058" t="s">
        <v>188</v>
      </c>
      <c r="J3058">
        <v>350608</v>
      </c>
      <c r="K3058">
        <v>20220728</v>
      </c>
      <c r="L3058" t="s">
        <v>3122</v>
      </c>
      <c r="M3058">
        <v>0</v>
      </c>
      <c r="N3058">
        <v>14</v>
      </c>
      <c r="O3058" t="s">
        <v>22</v>
      </c>
      <c r="P3058">
        <v>20230218</v>
      </c>
      <c r="Q3058">
        <v>20220728</v>
      </c>
    </row>
    <row r="3059" spans="1:17" x14ac:dyDescent="0.25">
      <c r="A3059" t="s">
        <v>548</v>
      </c>
      <c r="B3059" t="s">
        <v>429</v>
      </c>
      <c r="C3059">
        <v>95</v>
      </c>
      <c r="D3059">
        <v>20220728</v>
      </c>
      <c r="E3059">
        <f t="shared" si="47"/>
        <v>7</v>
      </c>
      <c r="F3059">
        <v>411100</v>
      </c>
      <c r="G3059" t="s">
        <v>18</v>
      </c>
      <c r="H3059" t="s">
        <v>2995</v>
      </c>
      <c r="I3059" t="s">
        <v>2996</v>
      </c>
      <c r="J3059">
        <v>350609</v>
      </c>
      <c r="K3059">
        <v>20220728</v>
      </c>
      <c r="L3059" t="s">
        <v>3123</v>
      </c>
      <c r="M3059">
        <v>0</v>
      </c>
      <c r="N3059">
        <v>7</v>
      </c>
      <c r="O3059" t="s">
        <v>22</v>
      </c>
      <c r="P3059">
        <v>20230218</v>
      </c>
      <c r="Q3059">
        <v>20220728</v>
      </c>
    </row>
    <row r="3060" spans="1:17" x14ac:dyDescent="0.25">
      <c r="A3060" t="s">
        <v>548</v>
      </c>
      <c r="B3060" t="s">
        <v>429</v>
      </c>
      <c r="C3060">
        <v>95</v>
      </c>
      <c r="D3060">
        <v>20220728</v>
      </c>
      <c r="E3060">
        <f t="shared" si="47"/>
        <v>7</v>
      </c>
      <c r="F3060">
        <v>411100</v>
      </c>
      <c r="G3060" t="s">
        <v>18</v>
      </c>
      <c r="H3060" t="s">
        <v>344</v>
      </c>
      <c r="I3060" t="s">
        <v>345</v>
      </c>
      <c r="J3060">
        <v>350610</v>
      </c>
      <c r="K3060">
        <v>20220728</v>
      </c>
      <c r="L3060" t="s">
        <v>3124</v>
      </c>
      <c r="M3060">
        <v>0</v>
      </c>
      <c r="N3060">
        <v>7</v>
      </c>
      <c r="O3060" t="s">
        <v>19</v>
      </c>
      <c r="P3060" t="s">
        <v>20</v>
      </c>
      <c r="Q3060">
        <v>20220728</v>
      </c>
    </row>
    <row r="3061" spans="1:17" x14ac:dyDescent="0.25">
      <c r="A3061" t="s">
        <v>548</v>
      </c>
      <c r="B3061" t="s">
        <v>429</v>
      </c>
      <c r="C3061">
        <v>95</v>
      </c>
      <c r="D3061">
        <v>20220728</v>
      </c>
      <c r="E3061">
        <f t="shared" si="47"/>
        <v>7</v>
      </c>
      <c r="F3061">
        <v>411100</v>
      </c>
      <c r="G3061" t="s">
        <v>18</v>
      </c>
      <c r="H3061" t="s">
        <v>2985</v>
      </c>
      <c r="I3061" t="s">
        <v>2986</v>
      </c>
      <c r="J3061">
        <v>350611</v>
      </c>
      <c r="K3061">
        <v>20220728</v>
      </c>
      <c r="L3061" t="s">
        <v>3125</v>
      </c>
      <c r="M3061">
        <v>0</v>
      </c>
      <c r="N3061">
        <v>14</v>
      </c>
      <c r="O3061" t="s">
        <v>23</v>
      </c>
      <c r="P3061">
        <v>20230329</v>
      </c>
      <c r="Q3061">
        <v>20220728</v>
      </c>
    </row>
    <row r="3062" spans="1:17" x14ac:dyDescent="0.25">
      <c r="A3062" t="s">
        <v>548</v>
      </c>
      <c r="B3062" t="s">
        <v>429</v>
      </c>
      <c r="C3062">
        <v>95</v>
      </c>
      <c r="D3062">
        <v>20220728</v>
      </c>
      <c r="E3062">
        <f t="shared" si="47"/>
        <v>7</v>
      </c>
      <c r="F3062">
        <v>411100</v>
      </c>
      <c r="G3062" t="s">
        <v>18</v>
      </c>
      <c r="H3062" t="s">
        <v>73</v>
      </c>
      <c r="I3062" t="s">
        <v>74</v>
      </c>
      <c r="J3062">
        <v>350612</v>
      </c>
      <c r="K3062">
        <v>20220728</v>
      </c>
      <c r="L3062" t="s">
        <v>3126</v>
      </c>
      <c r="M3062">
        <v>0</v>
      </c>
      <c r="N3062">
        <v>7</v>
      </c>
      <c r="O3062" t="s">
        <v>19</v>
      </c>
      <c r="P3062" t="s">
        <v>20</v>
      </c>
      <c r="Q3062">
        <v>20220728</v>
      </c>
    </row>
    <row r="3063" spans="1:17" x14ac:dyDescent="0.25">
      <c r="A3063" t="s">
        <v>548</v>
      </c>
      <c r="B3063" t="s">
        <v>429</v>
      </c>
      <c r="C3063">
        <v>95</v>
      </c>
      <c r="D3063">
        <v>20220728</v>
      </c>
      <c r="E3063">
        <f t="shared" si="47"/>
        <v>7</v>
      </c>
      <c r="F3063">
        <v>411100</v>
      </c>
      <c r="G3063" t="s">
        <v>18</v>
      </c>
      <c r="H3063" t="s">
        <v>1172</v>
      </c>
      <c r="I3063" t="s">
        <v>1173</v>
      </c>
      <c r="J3063">
        <v>350613</v>
      </c>
      <c r="K3063">
        <v>20220728</v>
      </c>
      <c r="L3063" t="s">
        <v>3127</v>
      </c>
      <c r="M3063">
        <v>0</v>
      </c>
      <c r="N3063">
        <v>7</v>
      </c>
      <c r="O3063" t="s">
        <v>19</v>
      </c>
      <c r="P3063" t="s">
        <v>20</v>
      </c>
      <c r="Q3063">
        <v>20220728</v>
      </c>
    </row>
    <row r="3064" spans="1:17" x14ac:dyDescent="0.25">
      <c r="A3064" t="s">
        <v>548</v>
      </c>
      <c r="B3064" t="s">
        <v>429</v>
      </c>
      <c r="C3064">
        <v>95</v>
      </c>
      <c r="D3064">
        <v>20220728</v>
      </c>
      <c r="E3064">
        <f t="shared" si="47"/>
        <v>7</v>
      </c>
      <c r="F3064">
        <v>411100</v>
      </c>
      <c r="G3064" t="s">
        <v>18</v>
      </c>
      <c r="H3064" t="s">
        <v>1172</v>
      </c>
      <c r="I3064" t="s">
        <v>1173</v>
      </c>
      <c r="J3064">
        <v>350614</v>
      </c>
      <c r="K3064">
        <v>20220728</v>
      </c>
      <c r="L3064" t="s">
        <v>3128</v>
      </c>
      <c r="M3064">
        <v>0</v>
      </c>
      <c r="N3064">
        <v>7</v>
      </c>
      <c r="O3064" t="s">
        <v>19</v>
      </c>
      <c r="P3064" t="s">
        <v>20</v>
      </c>
      <c r="Q3064">
        <v>20220728</v>
      </c>
    </row>
    <row r="3065" spans="1:17" x14ac:dyDescent="0.25">
      <c r="A3065" t="s">
        <v>548</v>
      </c>
      <c r="B3065" t="s">
        <v>429</v>
      </c>
      <c r="C3065">
        <v>95</v>
      </c>
      <c r="D3065">
        <v>20220728</v>
      </c>
      <c r="E3065">
        <f t="shared" si="47"/>
        <v>7</v>
      </c>
      <c r="F3065">
        <v>411010</v>
      </c>
      <c r="G3065" t="s">
        <v>87</v>
      </c>
      <c r="H3065" t="s">
        <v>93</v>
      </c>
      <c r="I3065" t="s">
        <v>94</v>
      </c>
      <c r="J3065">
        <v>350615</v>
      </c>
      <c r="K3065">
        <v>20220728</v>
      </c>
      <c r="L3065" t="s">
        <v>3129</v>
      </c>
      <c r="M3065">
        <v>0</v>
      </c>
      <c r="N3065">
        <v>7</v>
      </c>
      <c r="O3065" t="s">
        <v>19</v>
      </c>
      <c r="P3065" t="s">
        <v>20</v>
      </c>
      <c r="Q3065">
        <v>20220728</v>
      </c>
    </row>
    <row r="3066" spans="1:17" x14ac:dyDescent="0.25">
      <c r="A3066" t="s">
        <v>548</v>
      </c>
      <c r="B3066" t="s">
        <v>429</v>
      </c>
      <c r="C3066">
        <v>95</v>
      </c>
      <c r="D3066">
        <v>20220728</v>
      </c>
      <c r="E3066">
        <f t="shared" si="47"/>
        <v>7</v>
      </c>
      <c r="F3066">
        <v>411100</v>
      </c>
      <c r="G3066" t="s">
        <v>18</v>
      </c>
      <c r="H3066" t="s">
        <v>2985</v>
      </c>
      <c r="I3066" t="s">
        <v>2986</v>
      </c>
      <c r="J3066">
        <v>350616</v>
      </c>
      <c r="K3066">
        <v>20220728</v>
      </c>
      <c r="L3066" t="s">
        <v>3130</v>
      </c>
      <c r="M3066">
        <v>0</v>
      </c>
      <c r="N3066">
        <v>1.5</v>
      </c>
      <c r="O3066" t="s">
        <v>23</v>
      </c>
      <c r="P3066">
        <v>20230329</v>
      </c>
      <c r="Q3066">
        <v>20220728</v>
      </c>
    </row>
    <row r="3067" spans="1:17" x14ac:dyDescent="0.25">
      <c r="A3067" t="s">
        <v>548</v>
      </c>
      <c r="B3067" t="s">
        <v>429</v>
      </c>
      <c r="C3067">
        <v>95</v>
      </c>
      <c r="D3067">
        <v>20220728</v>
      </c>
      <c r="E3067">
        <f t="shared" si="47"/>
        <v>7</v>
      </c>
      <c r="F3067">
        <v>411100</v>
      </c>
      <c r="G3067" t="s">
        <v>18</v>
      </c>
      <c r="H3067" t="s">
        <v>344</v>
      </c>
      <c r="I3067" t="s">
        <v>345</v>
      </c>
      <c r="J3067">
        <v>350617</v>
      </c>
      <c r="K3067">
        <v>20220728</v>
      </c>
      <c r="L3067" t="s">
        <v>3131</v>
      </c>
      <c r="M3067">
        <v>0</v>
      </c>
      <c r="N3067">
        <v>1.5</v>
      </c>
      <c r="O3067" t="s">
        <v>19</v>
      </c>
      <c r="P3067" t="s">
        <v>20</v>
      </c>
      <c r="Q3067">
        <v>20220728</v>
      </c>
    </row>
    <row r="3068" spans="1:17" x14ac:dyDescent="0.25">
      <c r="A3068" t="s">
        <v>548</v>
      </c>
      <c r="B3068" t="s">
        <v>429</v>
      </c>
      <c r="C3068">
        <v>95</v>
      </c>
      <c r="D3068">
        <v>20220728</v>
      </c>
      <c r="E3068">
        <f t="shared" si="47"/>
        <v>7</v>
      </c>
      <c r="F3068">
        <v>411100</v>
      </c>
      <c r="G3068" t="s">
        <v>18</v>
      </c>
      <c r="H3068" t="s">
        <v>77</v>
      </c>
      <c r="I3068" t="s">
        <v>78</v>
      </c>
      <c r="J3068">
        <v>350618</v>
      </c>
      <c r="K3068">
        <v>20220728</v>
      </c>
      <c r="L3068" t="s">
        <v>3132</v>
      </c>
      <c r="M3068">
        <v>0</v>
      </c>
      <c r="N3068">
        <v>12</v>
      </c>
      <c r="O3068" t="s">
        <v>19</v>
      </c>
      <c r="P3068" t="s">
        <v>20</v>
      </c>
      <c r="Q3068">
        <v>20220728</v>
      </c>
    </row>
    <row r="3069" spans="1:17" x14ac:dyDescent="0.25">
      <c r="A3069" t="s">
        <v>548</v>
      </c>
      <c r="B3069" t="s">
        <v>429</v>
      </c>
      <c r="C3069">
        <v>95</v>
      </c>
      <c r="D3069">
        <v>20220728</v>
      </c>
      <c r="E3069">
        <f t="shared" si="47"/>
        <v>7</v>
      </c>
      <c r="F3069">
        <v>411100</v>
      </c>
      <c r="G3069" t="s">
        <v>18</v>
      </c>
      <c r="H3069" t="s">
        <v>2995</v>
      </c>
      <c r="I3069" t="s">
        <v>2996</v>
      </c>
      <c r="J3069">
        <v>350619</v>
      </c>
      <c r="K3069">
        <v>20220728</v>
      </c>
      <c r="L3069" t="s">
        <v>3133</v>
      </c>
      <c r="M3069">
        <v>0</v>
      </c>
      <c r="N3069">
        <v>3</v>
      </c>
      <c r="O3069" t="s">
        <v>22</v>
      </c>
      <c r="P3069">
        <v>20230218</v>
      </c>
      <c r="Q3069">
        <v>20220728</v>
      </c>
    </row>
    <row r="3070" spans="1:17" x14ac:dyDescent="0.25">
      <c r="A3070" t="s">
        <v>548</v>
      </c>
      <c r="B3070" t="s">
        <v>429</v>
      </c>
      <c r="C3070">
        <v>95</v>
      </c>
      <c r="D3070">
        <v>20220728</v>
      </c>
      <c r="E3070">
        <f t="shared" si="47"/>
        <v>7</v>
      </c>
      <c r="F3070">
        <v>411100</v>
      </c>
      <c r="G3070" t="s">
        <v>18</v>
      </c>
      <c r="H3070" t="s">
        <v>3110</v>
      </c>
      <c r="I3070" t="s">
        <v>3111</v>
      </c>
      <c r="J3070">
        <v>350620</v>
      </c>
      <c r="K3070">
        <v>20220728</v>
      </c>
      <c r="L3070" t="s">
        <v>3134</v>
      </c>
      <c r="M3070">
        <v>0</v>
      </c>
      <c r="N3070">
        <v>6</v>
      </c>
      <c r="O3070" t="s">
        <v>22</v>
      </c>
      <c r="P3070">
        <v>20230218</v>
      </c>
      <c r="Q3070">
        <v>20220728</v>
      </c>
    </row>
    <row r="3071" spans="1:17" x14ac:dyDescent="0.25">
      <c r="A3071" t="s">
        <v>548</v>
      </c>
      <c r="B3071" t="s">
        <v>429</v>
      </c>
      <c r="C3071">
        <v>95</v>
      </c>
      <c r="D3071">
        <v>20220728</v>
      </c>
      <c r="E3071">
        <f t="shared" si="47"/>
        <v>7</v>
      </c>
      <c r="F3071">
        <v>411100</v>
      </c>
      <c r="G3071" t="s">
        <v>18</v>
      </c>
      <c r="H3071" t="s">
        <v>73</v>
      </c>
      <c r="I3071" t="s">
        <v>74</v>
      </c>
      <c r="J3071">
        <v>350621</v>
      </c>
      <c r="K3071">
        <v>20220728</v>
      </c>
      <c r="L3071" t="s">
        <v>3135</v>
      </c>
      <c r="M3071">
        <v>0</v>
      </c>
      <c r="N3071">
        <v>3</v>
      </c>
      <c r="O3071" t="s">
        <v>19</v>
      </c>
      <c r="P3071" t="s">
        <v>20</v>
      </c>
      <c r="Q3071">
        <v>20220728</v>
      </c>
    </row>
    <row r="3072" spans="1:17" x14ac:dyDescent="0.25">
      <c r="A3072" t="s">
        <v>548</v>
      </c>
      <c r="B3072" t="s">
        <v>429</v>
      </c>
      <c r="C3072">
        <v>95</v>
      </c>
      <c r="D3072">
        <v>20220728</v>
      </c>
      <c r="E3072">
        <f t="shared" si="47"/>
        <v>7</v>
      </c>
      <c r="F3072">
        <v>411100</v>
      </c>
      <c r="G3072" t="s">
        <v>18</v>
      </c>
      <c r="H3072" t="s">
        <v>65</v>
      </c>
      <c r="I3072" t="s">
        <v>66</v>
      </c>
      <c r="J3072">
        <v>350622</v>
      </c>
      <c r="K3072">
        <v>20220728</v>
      </c>
      <c r="L3072" t="s">
        <v>3136</v>
      </c>
      <c r="M3072">
        <v>0</v>
      </c>
      <c r="N3072">
        <v>3.5</v>
      </c>
      <c r="O3072" t="s">
        <v>19</v>
      </c>
      <c r="P3072" t="s">
        <v>20</v>
      </c>
      <c r="Q3072">
        <v>20220728</v>
      </c>
    </row>
    <row r="3073" spans="1:17" x14ac:dyDescent="0.25">
      <c r="A3073" t="s">
        <v>548</v>
      </c>
      <c r="B3073" t="s">
        <v>429</v>
      </c>
      <c r="C3073">
        <v>95</v>
      </c>
      <c r="D3073">
        <v>20220728</v>
      </c>
      <c r="E3073">
        <f t="shared" si="47"/>
        <v>7</v>
      </c>
      <c r="F3073">
        <v>411100</v>
      </c>
      <c r="G3073" t="s">
        <v>18</v>
      </c>
      <c r="H3073" t="s">
        <v>344</v>
      </c>
      <c r="I3073" t="s">
        <v>345</v>
      </c>
      <c r="J3073">
        <v>350623</v>
      </c>
      <c r="K3073">
        <v>20220728</v>
      </c>
      <c r="L3073" t="s">
        <v>3137</v>
      </c>
      <c r="M3073">
        <v>0</v>
      </c>
      <c r="N3073">
        <v>3.5</v>
      </c>
      <c r="O3073" t="s">
        <v>19</v>
      </c>
      <c r="P3073" t="s">
        <v>20</v>
      </c>
      <c r="Q3073">
        <v>20220728</v>
      </c>
    </row>
    <row r="3074" spans="1:17" x14ac:dyDescent="0.25">
      <c r="A3074" t="s">
        <v>548</v>
      </c>
      <c r="B3074" t="s">
        <v>429</v>
      </c>
      <c r="C3074">
        <v>95</v>
      </c>
      <c r="D3074">
        <v>20220728</v>
      </c>
      <c r="E3074">
        <f t="shared" si="47"/>
        <v>7</v>
      </c>
      <c r="F3074">
        <v>411100</v>
      </c>
      <c r="G3074" t="s">
        <v>18</v>
      </c>
      <c r="H3074" t="s">
        <v>657</v>
      </c>
      <c r="I3074" t="s">
        <v>658</v>
      </c>
      <c r="J3074">
        <v>350624</v>
      </c>
      <c r="K3074">
        <v>20220728</v>
      </c>
      <c r="L3074" t="s">
        <v>3138</v>
      </c>
      <c r="M3074">
        <v>0</v>
      </c>
      <c r="N3074">
        <v>2</v>
      </c>
      <c r="O3074" t="s">
        <v>19</v>
      </c>
      <c r="P3074" t="s">
        <v>20</v>
      </c>
      <c r="Q3074">
        <v>20220728</v>
      </c>
    </row>
    <row r="3075" spans="1:17" x14ac:dyDescent="0.25">
      <c r="A3075" t="s">
        <v>548</v>
      </c>
      <c r="B3075" t="s">
        <v>429</v>
      </c>
      <c r="C3075">
        <v>95</v>
      </c>
      <c r="D3075">
        <v>20220728</v>
      </c>
      <c r="E3075">
        <f t="shared" ref="E3075:E3138" si="48">VALUE(MID(D3075,5,2))</f>
        <v>7</v>
      </c>
      <c r="F3075">
        <v>531105</v>
      </c>
      <c r="G3075" t="s">
        <v>429</v>
      </c>
      <c r="H3075" t="s">
        <v>401</v>
      </c>
      <c r="I3075" t="s">
        <v>402</v>
      </c>
      <c r="J3075">
        <v>350625</v>
      </c>
      <c r="K3075">
        <v>20220728</v>
      </c>
      <c r="L3075" t="s">
        <v>565</v>
      </c>
      <c r="M3075">
        <v>200.5</v>
      </c>
      <c r="N3075">
        <v>0</v>
      </c>
      <c r="O3075" t="s">
        <v>19</v>
      </c>
      <c r="P3075" t="s">
        <v>20</v>
      </c>
      <c r="Q3075">
        <v>20220728</v>
      </c>
    </row>
    <row r="3076" spans="1:17" x14ac:dyDescent="0.25">
      <c r="A3076" t="s">
        <v>548</v>
      </c>
      <c r="B3076" t="s">
        <v>429</v>
      </c>
      <c r="C3076">
        <v>95</v>
      </c>
      <c r="D3076">
        <v>20220729</v>
      </c>
      <c r="E3076">
        <f t="shared" si="48"/>
        <v>7</v>
      </c>
      <c r="F3076">
        <v>467100</v>
      </c>
      <c r="G3076" t="s">
        <v>160</v>
      </c>
      <c r="H3076" t="s">
        <v>183</v>
      </c>
      <c r="I3076" t="s">
        <v>184</v>
      </c>
      <c r="J3076" t="s">
        <v>3139</v>
      </c>
      <c r="K3076">
        <v>20220729</v>
      </c>
      <c r="L3076" t="s">
        <v>3140</v>
      </c>
      <c r="M3076">
        <v>0</v>
      </c>
      <c r="N3076">
        <v>23.49</v>
      </c>
      <c r="O3076" t="s">
        <v>23</v>
      </c>
      <c r="P3076">
        <v>20220830</v>
      </c>
      <c r="Q3076">
        <v>20220729</v>
      </c>
    </row>
    <row r="3077" spans="1:17" x14ac:dyDescent="0.25">
      <c r="A3077" t="s">
        <v>548</v>
      </c>
      <c r="B3077" t="s">
        <v>429</v>
      </c>
      <c r="C3077">
        <v>95</v>
      </c>
      <c r="D3077">
        <v>20220729</v>
      </c>
      <c r="E3077">
        <f t="shared" si="48"/>
        <v>7</v>
      </c>
      <c r="F3077">
        <v>531105</v>
      </c>
      <c r="G3077" t="s">
        <v>429</v>
      </c>
      <c r="H3077" t="s">
        <v>401</v>
      </c>
      <c r="I3077" t="s">
        <v>402</v>
      </c>
      <c r="J3077" t="s">
        <v>3139</v>
      </c>
      <c r="K3077">
        <v>20220729</v>
      </c>
      <c r="L3077" t="s">
        <v>3140</v>
      </c>
      <c r="M3077">
        <v>23.49</v>
      </c>
      <c r="N3077">
        <v>0</v>
      </c>
      <c r="O3077" t="s">
        <v>19</v>
      </c>
      <c r="P3077" t="s">
        <v>20</v>
      </c>
      <c r="Q3077">
        <v>20220729</v>
      </c>
    </row>
    <row r="3078" spans="1:17" x14ac:dyDescent="0.25">
      <c r="A3078" t="s">
        <v>548</v>
      </c>
      <c r="B3078" t="s">
        <v>429</v>
      </c>
      <c r="C3078">
        <v>95</v>
      </c>
      <c r="D3078">
        <v>20220729</v>
      </c>
      <c r="E3078">
        <f t="shared" si="48"/>
        <v>7</v>
      </c>
      <c r="F3078">
        <v>411100</v>
      </c>
      <c r="G3078" t="s">
        <v>18</v>
      </c>
      <c r="H3078" t="s">
        <v>65</v>
      </c>
      <c r="I3078" t="s">
        <v>66</v>
      </c>
      <c r="J3078">
        <v>350626</v>
      </c>
      <c r="K3078">
        <v>20220729</v>
      </c>
      <c r="L3078" t="s">
        <v>3141</v>
      </c>
      <c r="M3078">
        <v>0</v>
      </c>
      <c r="N3078">
        <v>7</v>
      </c>
      <c r="O3078" t="s">
        <v>19</v>
      </c>
      <c r="P3078" t="s">
        <v>20</v>
      </c>
      <c r="Q3078">
        <v>20220729</v>
      </c>
    </row>
    <row r="3079" spans="1:17" x14ac:dyDescent="0.25">
      <c r="A3079" t="s">
        <v>548</v>
      </c>
      <c r="B3079" t="s">
        <v>429</v>
      </c>
      <c r="C3079">
        <v>95</v>
      </c>
      <c r="D3079">
        <v>20220729</v>
      </c>
      <c r="E3079">
        <f t="shared" si="48"/>
        <v>7</v>
      </c>
      <c r="F3079">
        <v>411100</v>
      </c>
      <c r="G3079" t="s">
        <v>18</v>
      </c>
      <c r="H3079" t="s">
        <v>1911</v>
      </c>
      <c r="I3079" t="s">
        <v>1912</v>
      </c>
      <c r="J3079">
        <v>350627</v>
      </c>
      <c r="K3079">
        <v>20220729</v>
      </c>
      <c r="L3079" t="s">
        <v>3142</v>
      </c>
      <c r="M3079">
        <v>0</v>
      </c>
      <c r="N3079">
        <v>14</v>
      </c>
      <c r="O3079" t="s">
        <v>19</v>
      </c>
      <c r="P3079" t="s">
        <v>20</v>
      </c>
      <c r="Q3079">
        <v>20220729</v>
      </c>
    </row>
    <row r="3080" spans="1:17" x14ac:dyDescent="0.25">
      <c r="A3080" t="s">
        <v>548</v>
      </c>
      <c r="B3080" t="s">
        <v>429</v>
      </c>
      <c r="C3080">
        <v>95</v>
      </c>
      <c r="D3080">
        <v>20220729</v>
      </c>
      <c r="E3080">
        <f t="shared" si="48"/>
        <v>7</v>
      </c>
      <c r="F3080">
        <v>411100</v>
      </c>
      <c r="G3080" t="s">
        <v>18</v>
      </c>
      <c r="H3080" t="s">
        <v>77</v>
      </c>
      <c r="I3080" t="s">
        <v>78</v>
      </c>
      <c r="J3080">
        <v>350628</v>
      </c>
      <c r="K3080">
        <v>20220729</v>
      </c>
      <c r="L3080" t="s">
        <v>3143</v>
      </c>
      <c r="M3080">
        <v>0</v>
      </c>
      <c r="N3080">
        <v>28</v>
      </c>
      <c r="O3080" t="s">
        <v>19</v>
      </c>
      <c r="P3080" t="s">
        <v>20</v>
      </c>
      <c r="Q3080">
        <v>20220729</v>
      </c>
    </row>
    <row r="3081" spans="1:17" x14ac:dyDescent="0.25">
      <c r="A3081" t="s">
        <v>548</v>
      </c>
      <c r="B3081" t="s">
        <v>429</v>
      </c>
      <c r="C3081">
        <v>95</v>
      </c>
      <c r="D3081">
        <v>20220729</v>
      </c>
      <c r="E3081">
        <f t="shared" si="48"/>
        <v>7</v>
      </c>
      <c r="F3081">
        <v>411100</v>
      </c>
      <c r="G3081" t="s">
        <v>18</v>
      </c>
      <c r="H3081" t="s">
        <v>81</v>
      </c>
      <c r="I3081" t="s">
        <v>82</v>
      </c>
      <c r="J3081">
        <v>350629</v>
      </c>
      <c r="K3081">
        <v>20220729</v>
      </c>
      <c r="L3081" t="s">
        <v>3144</v>
      </c>
      <c r="M3081">
        <v>0</v>
      </c>
      <c r="N3081">
        <v>7</v>
      </c>
      <c r="O3081" t="s">
        <v>19</v>
      </c>
      <c r="P3081" t="s">
        <v>20</v>
      </c>
      <c r="Q3081">
        <v>20220729</v>
      </c>
    </row>
    <row r="3082" spans="1:17" x14ac:dyDescent="0.25">
      <c r="A3082" t="s">
        <v>548</v>
      </c>
      <c r="B3082" t="s">
        <v>429</v>
      </c>
      <c r="C3082">
        <v>95</v>
      </c>
      <c r="D3082">
        <v>20220729</v>
      </c>
      <c r="E3082">
        <f t="shared" si="48"/>
        <v>7</v>
      </c>
      <c r="F3082">
        <v>411100</v>
      </c>
      <c r="G3082" t="s">
        <v>18</v>
      </c>
      <c r="H3082" t="s">
        <v>105</v>
      </c>
      <c r="I3082" t="s">
        <v>106</v>
      </c>
      <c r="J3082">
        <v>350630</v>
      </c>
      <c r="K3082">
        <v>20220729</v>
      </c>
      <c r="L3082" t="s">
        <v>3145</v>
      </c>
      <c r="M3082">
        <v>0</v>
      </c>
      <c r="N3082">
        <v>14</v>
      </c>
      <c r="O3082" t="s">
        <v>19</v>
      </c>
      <c r="P3082" t="s">
        <v>20</v>
      </c>
      <c r="Q3082">
        <v>20220729</v>
      </c>
    </row>
    <row r="3083" spans="1:17" x14ac:dyDescent="0.25">
      <c r="A3083" t="s">
        <v>548</v>
      </c>
      <c r="B3083" t="s">
        <v>429</v>
      </c>
      <c r="C3083">
        <v>95</v>
      </c>
      <c r="D3083">
        <v>20220729</v>
      </c>
      <c r="E3083">
        <f t="shared" si="48"/>
        <v>7</v>
      </c>
      <c r="F3083">
        <v>411100</v>
      </c>
      <c r="G3083" t="s">
        <v>18</v>
      </c>
      <c r="H3083" t="s">
        <v>2995</v>
      </c>
      <c r="I3083" t="s">
        <v>2996</v>
      </c>
      <c r="J3083">
        <v>350631</v>
      </c>
      <c r="K3083">
        <v>20220729</v>
      </c>
      <c r="L3083" t="s">
        <v>3146</v>
      </c>
      <c r="M3083">
        <v>0</v>
      </c>
      <c r="N3083">
        <v>7</v>
      </c>
      <c r="O3083" t="s">
        <v>22</v>
      </c>
      <c r="P3083">
        <v>20230218</v>
      </c>
      <c r="Q3083">
        <v>20220729</v>
      </c>
    </row>
    <row r="3084" spans="1:17" x14ac:dyDescent="0.25">
      <c r="A3084" t="s">
        <v>548</v>
      </c>
      <c r="B3084" t="s">
        <v>429</v>
      </c>
      <c r="C3084">
        <v>95</v>
      </c>
      <c r="D3084">
        <v>20220729</v>
      </c>
      <c r="E3084">
        <f t="shared" si="48"/>
        <v>7</v>
      </c>
      <c r="F3084">
        <v>411100</v>
      </c>
      <c r="G3084" t="s">
        <v>18</v>
      </c>
      <c r="H3084" t="s">
        <v>187</v>
      </c>
      <c r="I3084" t="s">
        <v>188</v>
      </c>
      <c r="J3084">
        <v>350632</v>
      </c>
      <c r="K3084">
        <v>20220729</v>
      </c>
      <c r="L3084" t="s">
        <v>3147</v>
      </c>
      <c r="M3084">
        <v>0</v>
      </c>
      <c r="N3084">
        <v>14</v>
      </c>
      <c r="O3084" t="s">
        <v>22</v>
      </c>
      <c r="P3084">
        <v>20230218</v>
      </c>
      <c r="Q3084">
        <v>20220729</v>
      </c>
    </row>
    <row r="3085" spans="1:17" x14ac:dyDescent="0.25">
      <c r="A3085" t="s">
        <v>548</v>
      </c>
      <c r="B3085" t="s">
        <v>429</v>
      </c>
      <c r="C3085">
        <v>95</v>
      </c>
      <c r="D3085">
        <v>20220729</v>
      </c>
      <c r="E3085">
        <f t="shared" si="48"/>
        <v>7</v>
      </c>
      <c r="F3085">
        <v>411100</v>
      </c>
      <c r="G3085" t="s">
        <v>18</v>
      </c>
      <c r="H3085" t="s">
        <v>344</v>
      </c>
      <c r="I3085" t="s">
        <v>345</v>
      </c>
      <c r="J3085">
        <v>350633</v>
      </c>
      <c r="K3085">
        <v>20220729</v>
      </c>
      <c r="L3085" t="s">
        <v>3148</v>
      </c>
      <c r="M3085">
        <v>0</v>
      </c>
      <c r="N3085">
        <v>7</v>
      </c>
      <c r="O3085" t="s">
        <v>19</v>
      </c>
      <c r="P3085" t="s">
        <v>20</v>
      </c>
      <c r="Q3085">
        <v>20220729</v>
      </c>
    </row>
    <row r="3086" spans="1:17" x14ac:dyDescent="0.25">
      <c r="A3086" t="s">
        <v>548</v>
      </c>
      <c r="B3086" t="s">
        <v>429</v>
      </c>
      <c r="C3086">
        <v>95</v>
      </c>
      <c r="D3086">
        <v>20220729</v>
      </c>
      <c r="E3086">
        <f t="shared" si="48"/>
        <v>7</v>
      </c>
      <c r="F3086">
        <v>411100</v>
      </c>
      <c r="G3086" t="s">
        <v>18</v>
      </c>
      <c r="H3086" t="s">
        <v>2985</v>
      </c>
      <c r="I3086" t="s">
        <v>2986</v>
      </c>
      <c r="J3086">
        <v>350634</v>
      </c>
      <c r="K3086">
        <v>20220729</v>
      </c>
      <c r="L3086" t="s">
        <v>3149</v>
      </c>
      <c r="M3086">
        <v>0</v>
      </c>
      <c r="N3086">
        <v>7</v>
      </c>
      <c r="O3086" t="s">
        <v>23</v>
      </c>
      <c r="P3086">
        <v>20230329</v>
      </c>
      <c r="Q3086">
        <v>20220729</v>
      </c>
    </row>
    <row r="3087" spans="1:17" x14ac:dyDescent="0.25">
      <c r="A3087" t="s">
        <v>548</v>
      </c>
      <c r="B3087" t="s">
        <v>429</v>
      </c>
      <c r="C3087">
        <v>95</v>
      </c>
      <c r="D3087">
        <v>20220729</v>
      </c>
      <c r="E3087">
        <f t="shared" si="48"/>
        <v>7</v>
      </c>
      <c r="F3087">
        <v>411100</v>
      </c>
      <c r="G3087" t="s">
        <v>18</v>
      </c>
      <c r="H3087" t="s">
        <v>73</v>
      </c>
      <c r="I3087" t="s">
        <v>74</v>
      </c>
      <c r="J3087">
        <v>350635</v>
      </c>
      <c r="K3087">
        <v>20220729</v>
      </c>
      <c r="L3087" t="s">
        <v>3150</v>
      </c>
      <c r="M3087">
        <v>0</v>
      </c>
      <c r="N3087">
        <v>14</v>
      </c>
      <c r="O3087" t="s">
        <v>19</v>
      </c>
      <c r="P3087" t="s">
        <v>20</v>
      </c>
      <c r="Q3087">
        <v>20220729</v>
      </c>
    </row>
    <row r="3088" spans="1:17" x14ac:dyDescent="0.25">
      <c r="A3088" t="s">
        <v>548</v>
      </c>
      <c r="B3088" t="s">
        <v>429</v>
      </c>
      <c r="C3088">
        <v>95</v>
      </c>
      <c r="D3088">
        <v>20220729</v>
      </c>
      <c r="E3088">
        <f t="shared" si="48"/>
        <v>7</v>
      </c>
      <c r="F3088">
        <v>411100</v>
      </c>
      <c r="G3088" t="s">
        <v>18</v>
      </c>
      <c r="H3088" t="s">
        <v>3001</v>
      </c>
      <c r="I3088" t="s">
        <v>3002</v>
      </c>
      <c r="J3088">
        <v>350636</v>
      </c>
      <c r="K3088">
        <v>20220729</v>
      </c>
      <c r="L3088" t="s">
        <v>3151</v>
      </c>
      <c r="M3088">
        <v>0</v>
      </c>
      <c r="N3088">
        <v>14</v>
      </c>
      <c r="O3088" t="s">
        <v>22</v>
      </c>
      <c r="P3088">
        <v>20230218</v>
      </c>
      <c r="Q3088">
        <v>20220729</v>
      </c>
    </row>
    <row r="3089" spans="1:17" x14ac:dyDescent="0.25">
      <c r="A3089" t="s">
        <v>548</v>
      </c>
      <c r="B3089" t="s">
        <v>429</v>
      </c>
      <c r="C3089">
        <v>95</v>
      </c>
      <c r="D3089">
        <v>20220729</v>
      </c>
      <c r="E3089">
        <f t="shared" si="48"/>
        <v>7</v>
      </c>
      <c r="F3089">
        <v>411010</v>
      </c>
      <c r="G3089" t="s">
        <v>87</v>
      </c>
      <c r="H3089" t="s">
        <v>93</v>
      </c>
      <c r="I3089" t="s">
        <v>94</v>
      </c>
      <c r="J3089">
        <v>350637</v>
      </c>
      <c r="K3089">
        <v>20220729</v>
      </c>
      <c r="L3089" t="s">
        <v>3152</v>
      </c>
      <c r="M3089">
        <v>0</v>
      </c>
      <c r="N3089">
        <v>7</v>
      </c>
      <c r="O3089" t="s">
        <v>19</v>
      </c>
      <c r="P3089" t="s">
        <v>20</v>
      </c>
      <c r="Q3089">
        <v>20220729</v>
      </c>
    </row>
    <row r="3090" spans="1:17" x14ac:dyDescent="0.25">
      <c r="A3090" t="s">
        <v>548</v>
      </c>
      <c r="B3090" t="s">
        <v>429</v>
      </c>
      <c r="C3090">
        <v>95</v>
      </c>
      <c r="D3090">
        <v>20220729</v>
      </c>
      <c r="E3090">
        <f t="shared" si="48"/>
        <v>7</v>
      </c>
      <c r="F3090">
        <v>411100</v>
      </c>
      <c r="G3090" t="s">
        <v>18</v>
      </c>
      <c r="H3090" t="s">
        <v>1029</v>
      </c>
      <c r="I3090" t="s">
        <v>1030</v>
      </c>
      <c r="J3090">
        <v>350638</v>
      </c>
      <c r="K3090">
        <v>20220729</v>
      </c>
      <c r="L3090" t="s">
        <v>3153</v>
      </c>
      <c r="M3090">
        <v>0</v>
      </c>
      <c r="N3090">
        <v>7</v>
      </c>
      <c r="O3090" t="s">
        <v>22</v>
      </c>
      <c r="P3090">
        <v>20230218</v>
      </c>
      <c r="Q3090">
        <v>20220729</v>
      </c>
    </row>
    <row r="3091" spans="1:17" x14ac:dyDescent="0.25">
      <c r="A3091" t="s">
        <v>548</v>
      </c>
      <c r="B3091" t="s">
        <v>429</v>
      </c>
      <c r="C3091">
        <v>95</v>
      </c>
      <c r="D3091">
        <v>20220729</v>
      </c>
      <c r="E3091">
        <f t="shared" si="48"/>
        <v>7</v>
      </c>
      <c r="F3091">
        <v>411100</v>
      </c>
      <c r="G3091" t="s">
        <v>18</v>
      </c>
      <c r="H3091" t="s">
        <v>1029</v>
      </c>
      <c r="I3091" t="s">
        <v>1030</v>
      </c>
      <c r="J3091">
        <v>350639</v>
      </c>
      <c r="K3091">
        <v>20220729</v>
      </c>
      <c r="L3091" t="s">
        <v>3154</v>
      </c>
      <c r="M3091">
        <v>0</v>
      </c>
      <c r="N3091">
        <v>7</v>
      </c>
      <c r="O3091" t="s">
        <v>19</v>
      </c>
      <c r="P3091" t="s">
        <v>20</v>
      </c>
      <c r="Q3091">
        <v>20220729</v>
      </c>
    </row>
    <row r="3092" spans="1:17" x14ac:dyDescent="0.25">
      <c r="A3092" t="s">
        <v>548</v>
      </c>
      <c r="B3092" t="s">
        <v>429</v>
      </c>
      <c r="C3092">
        <v>95</v>
      </c>
      <c r="D3092">
        <v>20220729</v>
      </c>
      <c r="E3092">
        <f t="shared" si="48"/>
        <v>7</v>
      </c>
      <c r="F3092">
        <v>411100</v>
      </c>
      <c r="G3092" t="s">
        <v>18</v>
      </c>
      <c r="H3092" t="s">
        <v>3035</v>
      </c>
      <c r="I3092" t="s">
        <v>3036</v>
      </c>
      <c r="J3092">
        <v>350640</v>
      </c>
      <c r="K3092">
        <v>20220729</v>
      </c>
      <c r="L3092" t="s">
        <v>3155</v>
      </c>
      <c r="M3092">
        <v>0</v>
      </c>
      <c r="N3092">
        <v>7</v>
      </c>
      <c r="O3092" t="s">
        <v>19</v>
      </c>
      <c r="P3092" t="s">
        <v>20</v>
      </c>
      <c r="Q3092">
        <v>20220729</v>
      </c>
    </row>
    <row r="3093" spans="1:17" x14ac:dyDescent="0.25">
      <c r="A3093" t="s">
        <v>548</v>
      </c>
      <c r="B3093" t="s">
        <v>429</v>
      </c>
      <c r="C3093">
        <v>95</v>
      </c>
      <c r="D3093">
        <v>20220729</v>
      </c>
      <c r="E3093">
        <f t="shared" si="48"/>
        <v>7</v>
      </c>
      <c r="F3093">
        <v>531105</v>
      </c>
      <c r="G3093" t="s">
        <v>429</v>
      </c>
      <c r="H3093" t="s">
        <v>401</v>
      </c>
      <c r="I3093" t="s">
        <v>402</v>
      </c>
      <c r="J3093">
        <v>350641</v>
      </c>
      <c r="K3093">
        <v>20220729</v>
      </c>
      <c r="L3093" t="s">
        <v>565</v>
      </c>
      <c r="M3093">
        <v>161</v>
      </c>
      <c r="N3093">
        <v>0</v>
      </c>
      <c r="O3093" t="s">
        <v>19</v>
      </c>
      <c r="P3093" t="s">
        <v>20</v>
      </c>
      <c r="Q3093">
        <v>20220729</v>
      </c>
    </row>
    <row r="3094" spans="1:17" x14ac:dyDescent="0.25">
      <c r="A3094" t="s">
        <v>548</v>
      </c>
      <c r="B3094" t="s">
        <v>429</v>
      </c>
      <c r="C3094">
        <v>95</v>
      </c>
      <c r="D3094">
        <v>20220729</v>
      </c>
      <c r="E3094">
        <f t="shared" si="48"/>
        <v>7</v>
      </c>
      <c r="F3094">
        <v>411010</v>
      </c>
      <c r="G3094" t="s">
        <v>87</v>
      </c>
      <c r="H3094" t="s">
        <v>381</v>
      </c>
      <c r="I3094" t="s">
        <v>382</v>
      </c>
      <c r="J3094">
        <v>350665</v>
      </c>
      <c r="K3094">
        <v>20220729</v>
      </c>
      <c r="L3094" t="s">
        <v>3156</v>
      </c>
      <c r="M3094">
        <v>0</v>
      </c>
      <c r="N3094">
        <v>379.05</v>
      </c>
      <c r="O3094" t="s">
        <v>19</v>
      </c>
      <c r="P3094" t="s">
        <v>20</v>
      </c>
      <c r="Q3094">
        <v>20220729</v>
      </c>
    </row>
    <row r="3095" spans="1:17" x14ac:dyDescent="0.25">
      <c r="A3095" t="s">
        <v>548</v>
      </c>
      <c r="B3095" t="s">
        <v>429</v>
      </c>
      <c r="C3095">
        <v>95</v>
      </c>
      <c r="D3095">
        <v>20220729</v>
      </c>
      <c r="E3095">
        <f t="shared" si="48"/>
        <v>7</v>
      </c>
      <c r="F3095">
        <v>411100</v>
      </c>
      <c r="G3095" t="s">
        <v>18</v>
      </c>
      <c r="H3095" t="s">
        <v>233</v>
      </c>
      <c r="I3095" t="s">
        <v>234</v>
      </c>
      <c r="J3095">
        <v>350666</v>
      </c>
      <c r="K3095">
        <v>20220729</v>
      </c>
      <c r="L3095" t="s">
        <v>3157</v>
      </c>
      <c r="M3095">
        <v>0</v>
      </c>
      <c r="N3095">
        <v>40</v>
      </c>
      <c r="O3095" t="s">
        <v>19</v>
      </c>
      <c r="P3095" t="s">
        <v>20</v>
      </c>
      <c r="Q3095">
        <v>20220729</v>
      </c>
    </row>
    <row r="3096" spans="1:17" x14ac:dyDescent="0.25">
      <c r="A3096" t="s">
        <v>548</v>
      </c>
      <c r="B3096" t="s">
        <v>429</v>
      </c>
      <c r="C3096">
        <v>95</v>
      </c>
      <c r="D3096">
        <v>20220729</v>
      </c>
      <c r="E3096">
        <f t="shared" si="48"/>
        <v>7</v>
      </c>
      <c r="F3096">
        <v>411000</v>
      </c>
      <c r="G3096" t="s">
        <v>21</v>
      </c>
      <c r="H3096" t="s">
        <v>271</v>
      </c>
      <c r="I3096" t="s">
        <v>272</v>
      </c>
      <c r="J3096">
        <v>350667</v>
      </c>
      <c r="K3096">
        <v>20220729</v>
      </c>
      <c r="L3096" t="s">
        <v>3158</v>
      </c>
      <c r="M3096">
        <v>0</v>
      </c>
      <c r="N3096">
        <v>46.24</v>
      </c>
      <c r="O3096" t="s">
        <v>22</v>
      </c>
      <c r="P3096">
        <v>20230218</v>
      </c>
      <c r="Q3096">
        <v>20220729</v>
      </c>
    </row>
    <row r="3097" spans="1:17" x14ac:dyDescent="0.25">
      <c r="A3097" t="s">
        <v>548</v>
      </c>
      <c r="B3097" t="s">
        <v>429</v>
      </c>
      <c r="C3097">
        <v>95</v>
      </c>
      <c r="D3097">
        <v>20220729</v>
      </c>
      <c r="E3097">
        <f t="shared" si="48"/>
        <v>7</v>
      </c>
      <c r="F3097">
        <v>531105</v>
      </c>
      <c r="G3097" t="s">
        <v>429</v>
      </c>
      <c r="H3097" t="s">
        <v>401</v>
      </c>
      <c r="I3097" t="s">
        <v>402</v>
      </c>
      <c r="J3097">
        <v>350668</v>
      </c>
      <c r="K3097">
        <v>20220729</v>
      </c>
      <c r="L3097" t="s">
        <v>565</v>
      </c>
      <c r="M3097">
        <v>465.29</v>
      </c>
      <c r="N3097">
        <v>0</v>
      </c>
      <c r="O3097" t="s">
        <v>19</v>
      </c>
      <c r="P3097" t="s">
        <v>20</v>
      </c>
      <c r="Q3097">
        <v>20220729</v>
      </c>
    </row>
    <row r="3098" spans="1:17" x14ac:dyDescent="0.25">
      <c r="A3098" t="s">
        <v>715</v>
      </c>
      <c r="B3098" t="s">
        <v>432</v>
      </c>
      <c r="C3098">
        <v>96</v>
      </c>
      <c r="D3098">
        <v>20220701</v>
      </c>
      <c r="E3098">
        <f t="shared" si="48"/>
        <v>7</v>
      </c>
      <c r="F3098">
        <v>401000</v>
      </c>
      <c r="G3098" t="s">
        <v>41</v>
      </c>
      <c r="H3098" t="s">
        <v>2741</v>
      </c>
      <c r="I3098" t="s">
        <v>2742</v>
      </c>
      <c r="J3098" t="s">
        <v>3159</v>
      </c>
      <c r="K3098">
        <v>20220701</v>
      </c>
      <c r="L3098" t="s">
        <v>3160</v>
      </c>
      <c r="M3098">
        <v>107</v>
      </c>
      <c r="N3098">
        <v>0</v>
      </c>
      <c r="O3098" t="s">
        <v>23</v>
      </c>
      <c r="P3098">
        <v>20220801</v>
      </c>
      <c r="Q3098">
        <v>20220701</v>
      </c>
    </row>
    <row r="3099" spans="1:17" x14ac:dyDescent="0.25">
      <c r="A3099" t="s">
        <v>715</v>
      </c>
      <c r="B3099" t="s">
        <v>432</v>
      </c>
      <c r="C3099">
        <v>96</v>
      </c>
      <c r="D3099">
        <v>20220701</v>
      </c>
      <c r="E3099">
        <f t="shared" si="48"/>
        <v>7</v>
      </c>
      <c r="F3099">
        <v>512200</v>
      </c>
      <c r="G3099" t="s">
        <v>432</v>
      </c>
      <c r="H3099" t="s">
        <v>401</v>
      </c>
      <c r="I3099" t="s">
        <v>402</v>
      </c>
      <c r="J3099" t="s">
        <v>3159</v>
      </c>
      <c r="K3099">
        <v>20220701</v>
      </c>
      <c r="L3099" t="s">
        <v>3160</v>
      </c>
      <c r="M3099">
        <v>0</v>
      </c>
      <c r="N3099">
        <v>107</v>
      </c>
      <c r="O3099" t="s">
        <v>19</v>
      </c>
      <c r="P3099" t="s">
        <v>20</v>
      </c>
      <c r="Q3099">
        <v>20220701</v>
      </c>
    </row>
    <row r="3100" spans="1:17" x14ac:dyDescent="0.25">
      <c r="A3100" t="s">
        <v>715</v>
      </c>
      <c r="B3100" t="s">
        <v>432</v>
      </c>
      <c r="C3100">
        <v>96</v>
      </c>
      <c r="D3100">
        <v>20220701</v>
      </c>
      <c r="E3100">
        <f t="shared" si="48"/>
        <v>7</v>
      </c>
      <c r="F3100">
        <v>401000</v>
      </c>
      <c r="G3100" t="s">
        <v>41</v>
      </c>
      <c r="H3100" t="s">
        <v>148</v>
      </c>
      <c r="I3100" t="s">
        <v>149</v>
      </c>
      <c r="J3100" t="s">
        <v>3161</v>
      </c>
      <c r="K3100">
        <v>20220701</v>
      </c>
      <c r="L3100" t="s">
        <v>3162</v>
      </c>
      <c r="M3100">
        <v>0</v>
      </c>
      <c r="N3100">
        <v>380</v>
      </c>
      <c r="O3100" t="s">
        <v>23</v>
      </c>
      <c r="P3100">
        <v>20220906</v>
      </c>
      <c r="Q3100">
        <v>20220701</v>
      </c>
    </row>
    <row r="3101" spans="1:17" x14ac:dyDescent="0.25">
      <c r="A3101" t="s">
        <v>715</v>
      </c>
      <c r="B3101" t="s">
        <v>432</v>
      </c>
      <c r="C3101">
        <v>96</v>
      </c>
      <c r="D3101">
        <v>20220701</v>
      </c>
      <c r="E3101">
        <f t="shared" si="48"/>
        <v>7</v>
      </c>
      <c r="F3101">
        <v>512200</v>
      </c>
      <c r="G3101" t="s">
        <v>432</v>
      </c>
      <c r="H3101" t="s">
        <v>401</v>
      </c>
      <c r="I3101" t="s">
        <v>402</v>
      </c>
      <c r="J3101" t="s">
        <v>3161</v>
      </c>
      <c r="K3101">
        <v>20220701</v>
      </c>
      <c r="L3101" t="s">
        <v>3162</v>
      </c>
      <c r="M3101">
        <v>380</v>
      </c>
      <c r="N3101">
        <v>0</v>
      </c>
      <c r="O3101" t="s">
        <v>19</v>
      </c>
      <c r="P3101" t="s">
        <v>20</v>
      </c>
      <c r="Q3101">
        <v>20220701</v>
      </c>
    </row>
    <row r="3102" spans="1:17" x14ac:dyDescent="0.25">
      <c r="A3102" t="s">
        <v>715</v>
      </c>
      <c r="B3102" t="s">
        <v>432</v>
      </c>
      <c r="C3102">
        <v>96</v>
      </c>
      <c r="D3102">
        <v>20220704</v>
      </c>
      <c r="E3102">
        <f t="shared" si="48"/>
        <v>7</v>
      </c>
      <c r="F3102">
        <v>401000</v>
      </c>
      <c r="G3102" t="s">
        <v>41</v>
      </c>
      <c r="H3102" t="s">
        <v>52</v>
      </c>
      <c r="I3102" t="s">
        <v>53</v>
      </c>
      <c r="J3102" t="s">
        <v>3163</v>
      </c>
      <c r="K3102">
        <v>20220704</v>
      </c>
      <c r="L3102" t="s">
        <v>3164</v>
      </c>
      <c r="M3102">
        <v>65.760000000000005</v>
      </c>
      <c r="N3102">
        <v>0</v>
      </c>
      <c r="O3102" t="s">
        <v>23</v>
      </c>
      <c r="P3102">
        <v>20220929</v>
      </c>
      <c r="Q3102">
        <v>20220704</v>
      </c>
    </row>
    <row r="3103" spans="1:17" x14ac:dyDescent="0.25">
      <c r="A3103" t="s">
        <v>715</v>
      </c>
      <c r="B3103" t="s">
        <v>432</v>
      </c>
      <c r="C3103">
        <v>96</v>
      </c>
      <c r="D3103">
        <v>20220704</v>
      </c>
      <c r="E3103">
        <f t="shared" si="48"/>
        <v>7</v>
      </c>
      <c r="F3103">
        <v>512200</v>
      </c>
      <c r="G3103" t="s">
        <v>432</v>
      </c>
      <c r="H3103" t="s">
        <v>401</v>
      </c>
      <c r="I3103" t="s">
        <v>402</v>
      </c>
      <c r="J3103" t="s">
        <v>3163</v>
      </c>
      <c r="K3103">
        <v>20220704</v>
      </c>
      <c r="L3103" t="s">
        <v>3164</v>
      </c>
      <c r="M3103">
        <v>0</v>
      </c>
      <c r="N3103">
        <v>65.760000000000005</v>
      </c>
      <c r="O3103" t="s">
        <v>19</v>
      </c>
      <c r="P3103" t="s">
        <v>20</v>
      </c>
      <c r="Q3103">
        <v>20220704</v>
      </c>
    </row>
    <row r="3104" spans="1:17" x14ac:dyDescent="0.25">
      <c r="A3104" t="s">
        <v>715</v>
      </c>
      <c r="B3104" t="s">
        <v>432</v>
      </c>
      <c r="C3104">
        <v>96</v>
      </c>
      <c r="D3104">
        <v>20220704</v>
      </c>
      <c r="E3104">
        <f t="shared" si="48"/>
        <v>7</v>
      </c>
      <c r="F3104">
        <v>401000</v>
      </c>
      <c r="G3104" t="s">
        <v>41</v>
      </c>
      <c r="H3104" t="s">
        <v>52</v>
      </c>
      <c r="I3104" t="s">
        <v>53</v>
      </c>
      <c r="J3104" t="s">
        <v>3165</v>
      </c>
      <c r="K3104">
        <v>20220704</v>
      </c>
      <c r="L3104" t="s">
        <v>3166</v>
      </c>
      <c r="M3104">
        <v>382.6</v>
      </c>
      <c r="N3104">
        <v>0</v>
      </c>
      <c r="O3104" t="s">
        <v>23</v>
      </c>
      <c r="P3104">
        <v>20220929</v>
      </c>
      <c r="Q3104">
        <v>20220704</v>
      </c>
    </row>
    <row r="3105" spans="1:17" x14ac:dyDescent="0.25">
      <c r="A3105" t="s">
        <v>715</v>
      </c>
      <c r="B3105" t="s">
        <v>432</v>
      </c>
      <c r="C3105">
        <v>96</v>
      </c>
      <c r="D3105">
        <v>20220704</v>
      </c>
      <c r="E3105">
        <f t="shared" si="48"/>
        <v>7</v>
      </c>
      <c r="F3105">
        <v>512200</v>
      </c>
      <c r="G3105" t="s">
        <v>432</v>
      </c>
      <c r="H3105" t="s">
        <v>401</v>
      </c>
      <c r="I3105" t="s">
        <v>402</v>
      </c>
      <c r="J3105" t="s">
        <v>3165</v>
      </c>
      <c r="K3105">
        <v>20220704</v>
      </c>
      <c r="L3105" t="s">
        <v>3166</v>
      </c>
      <c r="M3105">
        <v>0</v>
      </c>
      <c r="N3105">
        <v>382.6</v>
      </c>
      <c r="O3105" t="s">
        <v>19</v>
      </c>
      <c r="P3105" t="s">
        <v>20</v>
      </c>
      <c r="Q3105">
        <v>20220704</v>
      </c>
    </row>
    <row r="3106" spans="1:17" x14ac:dyDescent="0.25">
      <c r="A3106" t="s">
        <v>715</v>
      </c>
      <c r="B3106" t="s">
        <v>432</v>
      </c>
      <c r="C3106">
        <v>96</v>
      </c>
      <c r="D3106">
        <v>20220704</v>
      </c>
      <c r="E3106">
        <f t="shared" si="48"/>
        <v>7</v>
      </c>
      <c r="F3106">
        <v>401000</v>
      </c>
      <c r="G3106" t="s">
        <v>41</v>
      </c>
      <c r="H3106" t="s">
        <v>2741</v>
      </c>
      <c r="I3106" t="s">
        <v>2742</v>
      </c>
      <c r="J3106" t="s">
        <v>3167</v>
      </c>
      <c r="K3106">
        <v>20220704</v>
      </c>
      <c r="L3106" t="s">
        <v>3168</v>
      </c>
      <c r="M3106">
        <v>107</v>
      </c>
      <c r="N3106">
        <v>0</v>
      </c>
      <c r="O3106" t="s">
        <v>23</v>
      </c>
      <c r="P3106">
        <v>20220913</v>
      </c>
      <c r="Q3106">
        <v>20220704</v>
      </c>
    </row>
    <row r="3107" spans="1:17" x14ac:dyDescent="0.25">
      <c r="A3107" t="s">
        <v>715</v>
      </c>
      <c r="B3107" t="s">
        <v>432</v>
      </c>
      <c r="C3107">
        <v>96</v>
      </c>
      <c r="D3107">
        <v>20220704</v>
      </c>
      <c r="E3107">
        <f t="shared" si="48"/>
        <v>7</v>
      </c>
      <c r="F3107">
        <v>512200</v>
      </c>
      <c r="G3107" t="s">
        <v>432</v>
      </c>
      <c r="H3107" t="s">
        <v>401</v>
      </c>
      <c r="I3107" t="s">
        <v>402</v>
      </c>
      <c r="J3107" t="s">
        <v>3167</v>
      </c>
      <c r="K3107">
        <v>20220704</v>
      </c>
      <c r="L3107" t="s">
        <v>3168</v>
      </c>
      <c r="M3107">
        <v>0</v>
      </c>
      <c r="N3107">
        <v>107</v>
      </c>
      <c r="O3107" t="s">
        <v>19</v>
      </c>
      <c r="P3107" t="s">
        <v>20</v>
      </c>
      <c r="Q3107">
        <v>20220704</v>
      </c>
    </row>
    <row r="3108" spans="1:17" x14ac:dyDescent="0.25">
      <c r="A3108" t="s">
        <v>715</v>
      </c>
      <c r="B3108" t="s">
        <v>432</v>
      </c>
      <c r="C3108">
        <v>96</v>
      </c>
      <c r="D3108">
        <v>20220704</v>
      </c>
      <c r="E3108">
        <f t="shared" si="48"/>
        <v>7</v>
      </c>
      <c r="F3108">
        <v>401000</v>
      </c>
      <c r="G3108" t="s">
        <v>41</v>
      </c>
      <c r="H3108" t="s">
        <v>2741</v>
      </c>
      <c r="I3108" t="s">
        <v>2742</v>
      </c>
      <c r="J3108" t="s">
        <v>3167</v>
      </c>
      <c r="K3108">
        <v>20220704</v>
      </c>
      <c r="L3108" t="s">
        <v>3169</v>
      </c>
      <c r="M3108">
        <v>0</v>
      </c>
      <c r="N3108">
        <v>107</v>
      </c>
      <c r="O3108" t="s">
        <v>23</v>
      </c>
      <c r="P3108">
        <v>20220913</v>
      </c>
      <c r="Q3108">
        <v>20220704</v>
      </c>
    </row>
    <row r="3109" spans="1:17" x14ac:dyDescent="0.25">
      <c r="A3109" t="s">
        <v>715</v>
      </c>
      <c r="B3109" t="s">
        <v>432</v>
      </c>
      <c r="C3109">
        <v>96</v>
      </c>
      <c r="D3109">
        <v>20220704</v>
      </c>
      <c r="E3109">
        <f t="shared" si="48"/>
        <v>7</v>
      </c>
      <c r="F3109">
        <v>512200</v>
      </c>
      <c r="G3109" t="s">
        <v>432</v>
      </c>
      <c r="H3109" t="s">
        <v>401</v>
      </c>
      <c r="I3109" t="s">
        <v>402</v>
      </c>
      <c r="J3109" t="s">
        <v>3167</v>
      </c>
      <c r="K3109">
        <v>20220704</v>
      </c>
      <c r="L3109" t="s">
        <v>3169</v>
      </c>
      <c r="M3109">
        <v>107</v>
      </c>
      <c r="N3109">
        <v>0</v>
      </c>
      <c r="O3109" t="s">
        <v>19</v>
      </c>
      <c r="P3109" t="s">
        <v>20</v>
      </c>
      <c r="Q3109">
        <v>20220704</v>
      </c>
    </row>
    <row r="3110" spans="1:17" x14ac:dyDescent="0.25">
      <c r="A3110" t="s">
        <v>715</v>
      </c>
      <c r="B3110" t="s">
        <v>432</v>
      </c>
      <c r="C3110">
        <v>96</v>
      </c>
      <c r="D3110">
        <v>20220706</v>
      </c>
      <c r="E3110">
        <f t="shared" si="48"/>
        <v>7</v>
      </c>
      <c r="F3110">
        <v>401000</v>
      </c>
      <c r="G3110" t="s">
        <v>41</v>
      </c>
      <c r="H3110" t="s">
        <v>2390</v>
      </c>
      <c r="I3110" t="s">
        <v>2391</v>
      </c>
      <c r="J3110" t="s">
        <v>3170</v>
      </c>
      <c r="K3110">
        <v>20220706</v>
      </c>
      <c r="L3110" t="s">
        <v>3171</v>
      </c>
      <c r="M3110">
        <v>178.2</v>
      </c>
      <c r="N3110">
        <v>0</v>
      </c>
      <c r="O3110" t="s">
        <v>23</v>
      </c>
      <c r="P3110">
        <v>20220929</v>
      </c>
      <c r="Q3110">
        <v>20220706</v>
      </c>
    </row>
    <row r="3111" spans="1:17" x14ac:dyDescent="0.25">
      <c r="A3111" t="s">
        <v>715</v>
      </c>
      <c r="B3111" t="s">
        <v>432</v>
      </c>
      <c r="C3111">
        <v>96</v>
      </c>
      <c r="D3111">
        <v>20220706</v>
      </c>
      <c r="E3111">
        <f t="shared" si="48"/>
        <v>7</v>
      </c>
      <c r="F3111">
        <v>512200</v>
      </c>
      <c r="G3111" t="s">
        <v>432</v>
      </c>
      <c r="H3111" t="s">
        <v>401</v>
      </c>
      <c r="I3111" t="s">
        <v>402</v>
      </c>
      <c r="J3111" t="s">
        <v>3170</v>
      </c>
      <c r="K3111">
        <v>20220706</v>
      </c>
      <c r="L3111" t="s">
        <v>3171</v>
      </c>
      <c r="M3111">
        <v>0</v>
      </c>
      <c r="N3111">
        <v>178.2</v>
      </c>
      <c r="O3111" t="s">
        <v>19</v>
      </c>
      <c r="P3111" t="s">
        <v>20</v>
      </c>
      <c r="Q3111">
        <v>20220706</v>
      </c>
    </row>
    <row r="3112" spans="1:17" x14ac:dyDescent="0.25">
      <c r="A3112" t="s">
        <v>715</v>
      </c>
      <c r="B3112" t="s">
        <v>432</v>
      </c>
      <c r="C3112">
        <v>96</v>
      </c>
      <c r="D3112">
        <v>20220706</v>
      </c>
      <c r="E3112">
        <f t="shared" si="48"/>
        <v>7</v>
      </c>
      <c r="F3112">
        <v>401000</v>
      </c>
      <c r="G3112" t="s">
        <v>41</v>
      </c>
      <c r="H3112" t="s">
        <v>2396</v>
      </c>
      <c r="I3112" t="s">
        <v>2397</v>
      </c>
      <c r="J3112" t="s">
        <v>3172</v>
      </c>
      <c r="K3112">
        <v>20220706</v>
      </c>
      <c r="L3112" t="s">
        <v>3173</v>
      </c>
      <c r="M3112">
        <v>527.54999999999995</v>
      </c>
      <c r="N3112">
        <v>0</v>
      </c>
      <c r="O3112" t="s">
        <v>23</v>
      </c>
      <c r="P3112">
        <v>20220929</v>
      </c>
      <c r="Q3112">
        <v>20220706</v>
      </c>
    </row>
    <row r="3113" spans="1:17" x14ac:dyDescent="0.25">
      <c r="A3113" t="s">
        <v>715</v>
      </c>
      <c r="B3113" t="s">
        <v>432</v>
      </c>
      <c r="C3113">
        <v>96</v>
      </c>
      <c r="D3113">
        <v>20220706</v>
      </c>
      <c r="E3113">
        <f t="shared" si="48"/>
        <v>7</v>
      </c>
      <c r="F3113">
        <v>512200</v>
      </c>
      <c r="G3113" t="s">
        <v>432</v>
      </c>
      <c r="H3113" t="s">
        <v>401</v>
      </c>
      <c r="I3113" t="s">
        <v>402</v>
      </c>
      <c r="J3113" t="s">
        <v>3172</v>
      </c>
      <c r="K3113">
        <v>20220706</v>
      </c>
      <c r="L3113" t="s">
        <v>3173</v>
      </c>
      <c r="M3113">
        <v>0</v>
      </c>
      <c r="N3113">
        <v>527.54999999999995</v>
      </c>
      <c r="O3113" t="s">
        <v>19</v>
      </c>
      <c r="P3113" t="s">
        <v>20</v>
      </c>
      <c r="Q3113">
        <v>20220706</v>
      </c>
    </row>
    <row r="3114" spans="1:17" x14ac:dyDescent="0.25">
      <c r="A3114" t="s">
        <v>715</v>
      </c>
      <c r="B3114" t="s">
        <v>432</v>
      </c>
      <c r="C3114">
        <v>96</v>
      </c>
      <c r="D3114">
        <v>20220707</v>
      </c>
      <c r="E3114">
        <f t="shared" si="48"/>
        <v>7</v>
      </c>
      <c r="F3114">
        <v>512200</v>
      </c>
      <c r="G3114" t="s">
        <v>432</v>
      </c>
      <c r="H3114" t="s">
        <v>401</v>
      </c>
      <c r="I3114" t="s">
        <v>402</v>
      </c>
      <c r="J3114" t="s">
        <v>2849</v>
      </c>
      <c r="K3114">
        <v>20220707</v>
      </c>
      <c r="L3114" t="s">
        <v>625</v>
      </c>
      <c r="M3114">
        <v>4342</v>
      </c>
      <c r="N3114">
        <v>0</v>
      </c>
      <c r="O3114" t="s">
        <v>19</v>
      </c>
      <c r="P3114" t="s">
        <v>20</v>
      </c>
      <c r="Q3114">
        <v>20220707</v>
      </c>
    </row>
    <row r="3115" spans="1:17" x14ac:dyDescent="0.25">
      <c r="A3115" t="s">
        <v>715</v>
      </c>
      <c r="B3115" t="s">
        <v>432</v>
      </c>
      <c r="C3115">
        <v>96</v>
      </c>
      <c r="D3115">
        <v>20220707</v>
      </c>
      <c r="E3115">
        <f t="shared" si="48"/>
        <v>7</v>
      </c>
      <c r="F3115">
        <v>580000</v>
      </c>
      <c r="G3115" t="s">
        <v>532</v>
      </c>
      <c r="H3115" t="s">
        <v>401</v>
      </c>
      <c r="I3115" t="s">
        <v>402</v>
      </c>
      <c r="J3115" t="s">
        <v>2849</v>
      </c>
      <c r="K3115">
        <v>20220707</v>
      </c>
      <c r="L3115" t="s">
        <v>625</v>
      </c>
      <c r="M3115">
        <v>0</v>
      </c>
      <c r="N3115">
        <v>4342</v>
      </c>
      <c r="O3115" t="s">
        <v>22</v>
      </c>
      <c r="P3115">
        <v>20220707</v>
      </c>
      <c r="Q3115">
        <v>20220707</v>
      </c>
    </row>
    <row r="3116" spans="1:17" x14ac:dyDescent="0.25">
      <c r="A3116" t="s">
        <v>715</v>
      </c>
      <c r="B3116" t="s">
        <v>432</v>
      </c>
      <c r="C3116">
        <v>96</v>
      </c>
      <c r="D3116">
        <v>20220707</v>
      </c>
      <c r="E3116">
        <f t="shared" si="48"/>
        <v>7</v>
      </c>
      <c r="F3116">
        <v>602120</v>
      </c>
      <c r="G3116" t="s">
        <v>447</v>
      </c>
      <c r="H3116" t="s">
        <v>401</v>
      </c>
      <c r="I3116" t="s">
        <v>402</v>
      </c>
      <c r="J3116" t="s">
        <v>3174</v>
      </c>
      <c r="K3116">
        <v>20220707</v>
      </c>
      <c r="L3116" t="s">
        <v>3175</v>
      </c>
      <c r="M3116">
        <v>73.099999999999994</v>
      </c>
      <c r="N3116">
        <v>0</v>
      </c>
      <c r="O3116" t="s">
        <v>19</v>
      </c>
      <c r="P3116" t="s">
        <v>20</v>
      </c>
      <c r="Q3116">
        <v>20220707</v>
      </c>
    </row>
    <row r="3117" spans="1:17" x14ac:dyDescent="0.25">
      <c r="A3117" t="s">
        <v>715</v>
      </c>
      <c r="B3117" t="s">
        <v>432</v>
      </c>
      <c r="C3117">
        <v>96</v>
      </c>
      <c r="D3117">
        <v>20220707</v>
      </c>
      <c r="E3117">
        <f t="shared" si="48"/>
        <v>7</v>
      </c>
      <c r="F3117">
        <v>512200</v>
      </c>
      <c r="G3117" t="s">
        <v>432</v>
      </c>
      <c r="H3117" t="s">
        <v>401</v>
      </c>
      <c r="I3117" t="s">
        <v>402</v>
      </c>
      <c r="J3117" t="s">
        <v>3174</v>
      </c>
      <c r="K3117">
        <v>20220707</v>
      </c>
      <c r="L3117" t="s">
        <v>3175</v>
      </c>
      <c r="M3117">
        <v>0</v>
      </c>
      <c r="N3117">
        <v>73.099999999999994</v>
      </c>
      <c r="O3117" t="s">
        <v>19</v>
      </c>
      <c r="P3117" t="s">
        <v>20</v>
      </c>
      <c r="Q3117">
        <v>20220707</v>
      </c>
    </row>
    <row r="3118" spans="1:17" x14ac:dyDescent="0.25">
      <c r="A3118" t="s">
        <v>715</v>
      </c>
      <c r="B3118" t="s">
        <v>432</v>
      </c>
      <c r="C3118">
        <v>96</v>
      </c>
      <c r="D3118">
        <v>20220707</v>
      </c>
      <c r="E3118">
        <f t="shared" si="48"/>
        <v>7</v>
      </c>
      <c r="F3118">
        <v>401000</v>
      </c>
      <c r="G3118" t="s">
        <v>41</v>
      </c>
      <c r="H3118" t="s">
        <v>2747</v>
      </c>
      <c r="I3118" t="s">
        <v>2748</v>
      </c>
      <c r="J3118" t="s">
        <v>3176</v>
      </c>
      <c r="K3118">
        <v>20220707</v>
      </c>
      <c r="L3118" t="s">
        <v>3177</v>
      </c>
      <c r="M3118">
        <v>89.42</v>
      </c>
      <c r="N3118">
        <v>0</v>
      </c>
      <c r="O3118" t="s">
        <v>23</v>
      </c>
      <c r="P3118">
        <v>20220929</v>
      </c>
      <c r="Q3118">
        <v>20220707</v>
      </c>
    </row>
    <row r="3119" spans="1:17" x14ac:dyDescent="0.25">
      <c r="A3119" t="s">
        <v>715</v>
      </c>
      <c r="B3119" t="s">
        <v>432</v>
      </c>
      <c r="C3119">
        <v>96</v>
      </c>
      <c r="D3119">
        <v>20220707</v>
      </c>
      <c r="E3119">
        <f t="shared" si="48"/>
        <v>7</v>
      </c>
      <c r="F3119">
        <v>512200</v>
      </c>
      <c r="G3119" t="s">
        <v>432</v>
      </c>
      <c r="H3119" t="s">
        <v>401</v>
      </c>
      <c r="I3119" t="s">
        <v>402</v>
      </c>
      <c r="J3119" t="s">
        <v>3176</v>
      </c>
      <c r="K3119">
        <v>20220707</v>
      </c>
      <c r="L3119" t="s">
        <v>3177</v>
      </c>
      <c r="M3119">
        <v>0</v>
      </c>
      <c r="N3119">
        <v>89.42</v>
      </c>
      <c r="O3119" t="s">
        <v>19</v>
      </c>
      <c r="P3119" t="s">
        <v>20</v>
      </c>
      <c r="Q3119">
        <v>20220707</v>
      </c>
    </row>
    <row r="3120" spans="1:17" x14ac:dyDescent="0.25">
      <c r="A3120" t="s">
        <v>715</v>
      </c>
      <c r="B3120" t="s">
        <v>432</v>
      </c>
      <c r="C3120">
        <v>96</v>
      </c>
      <c r="D3120">
        <v>20220707</v>
      </c>
      <c r="E3120">
        <f t="shared" si="48"/>
        <v>7</v>
      </c>
      <c r="F3120">
        <v>401000</v>
      </c>
      <c r="G3120" t="s">
        <v>41</v>
      </c>
      <c r="H3120" t="s">
        <v>52</v>
      </c>
      <c r="I3120" t="s">
        <v>53</v>
      </c>
      <c r="J3120" t="s">
        <v>3178</v>
      </c>
      <c r="K3120">
        <v>20220707</v>
      </c>
      <c r="L3120" t="s">
        <v>3179</v>
      </c>
      <c r="M3120">
        <v>62.4</v>
      </c>
      <c r="N3120">
        <v>0</v>
      </c>
      <c r="O3120" t="s">
        <v>23</v>
      </c>
      <c r="P3120">
        <v>20220919</v>
      </c>
      <c r="Q3120">
        <v>20220707</v>
      </c>
    </row>
    <row r="3121" spans="1:17" x14ac:dyDescent="0.25">
      <c r="A3121" t="s">
        <v>715</v>
      </c>
      <c r="B3121" t="s">
        <v>432</v>
      </c>
      <c r="C3121">
        <v>96</v>
      </c>
      <c r="D3121">
        <v>20220707</v>
      </c>
      <c r="E3121">
        <f t="shared" si="48"/>
        <v>7</v>
      </c>
      <c r="F3121">
        <v>512200</v>
      </c>
      <c r="G3121" t="s">
        <v>432</v>
      </c>
      <c r="H3121" t="s">
        <v>401</v>
      </c>
      <c r="I3121" t="s">
        <v>402</v>
      </c>
      <c r="J3121" t="s">
        <v>3178</v>
      </c>
      <c r="K3121">
        <v>20220707</v>
      </c>
      <c r="L3121" t="s">
        <v>3179</v>
      </c>
      <c r="M3121">
        <v>0</v>
      </c>
      <c r="N3121">
        <v>62.4</v>
      </c>
      <c r="O3121" t="s">
        <v>19</v>
      </c>
      <c r="P3121" t="s">
        <v>20</v>
      </c>
      <c r="Q3121">
        <v>20220707</v>
      </c>
    </row>
    <row r="3122" spans="1:17" x14ac:dyDescent="0.25">
      <c r="A3122" t="s">
        <v>715</v>
      </c>
      <c r="B3122" t="s">
        <v>432</v>
      </c>
      <c r="C3122">
        <v>96</v>
      </c>
      <c r="D3122">
        <v>20220707</v>
      </c>
      <c r="E3122">
        <f t="shared" si="48"/>
        <v>7</v>
      </c>
      <c r="F3122">
        <v>401000</v>
      </c>
      <c r="G3122" t="s">
        <v>41</v>
      </c>
      <c r="H3122" t="s">
        <v>2388</v>
      </c>
      <c r="I3122" t="s">
        <v>2389</v>
      </c>
      <c r="J3122" t="s">
        <v>3180</v>
      </c>
      <c r="K3122">
        <v>20220707</v>
      </c>
      <c r="L3122" t="s">
        <v>3181</v>
      </c>
      <c r="M3122">
        <v>47.5</v>
      </c>
      <c r="N3122">
        <v>0</v>
      </c>
      <c r="O3122" t="s">
        <v>23</v>
      </c>
      <c r="P3122">
        <v>20220914</v>
      </c>
      <c r="Q3122">
        <v>20220707</v>
      </c>
    </row>
    <row r="3123" spans="1:17" x14ac:dyDescent="0.25">
      <c r="A3123" t="s">
        <v>715</v>
      </c>
      <c r="B3123" t="s">
        <v>432</v>
      </c>
      <c r="C3123">
        <v>96</v>
      </c>
      <c r="D3123">
        <v>20220707</v>
      </c>
      <c r="E3123">
        <f t="shared" si="48"/>
        <v>7</v>
      </c>
      <c r="F3123">
        <v>512200</v>
      </c>
      <c r="G3123" t="s">
        <v>432</v>
      </c>
      <c r="H3123" t="s">
        <v>401</v>
      </c>
      <c r="I3123" t="s">
        <v>402</v>
      </c>
      <c r="J3123" t="s">
        <v>3180</v>
      </c>
      <c r="K3123">
        <v>20220707</v>
      </c>
      <c r="L3123" t="s">
        <v>3181</v>
      </c>
      <c r="M3123">
        <v>0</v>
      </c>
      <c r="N3123">
        <v>47.5</v>
      </c>
      <c r="O3123" t="s">
        <v>19</v>
      </c>
      <c r="P3123" t="s">
        <v>20</v>
      </c>
      <c r="Q3123">
        <v>20220707</v>
      </c>
    </row>
    <row r="3124" spans="1:17" x14ac:dyDescent="0.25">
      <c r="A3124" t="s">
        <v>715</v>
      </c>
      <c r="B3124" t="s">
        <v>432</v>
      </c>
      <c r="C3124">
        <v>96</v>
      </c>
      <c r="D3124">
        <v>20220711</v>
      </c>
      <c r="E3124">
        <f t="shared" si="48"/>
        <v>7</v>
      </c>
      <c r="F3124">
        <v>627000</v>
      </c>
      <c r="G3124" t="s">
        <v>480</v>
      </c>
      <c r="H3124" t="s">
        <v>401</v>
      </c>
      <c r="I3124" t="s">
        <v>402</v>
      </c>
      <c r="J3124" t="s">
        <v>3182</v>
      </c>
      <c r="K3124">
        <v>20220711</v>
      </c>
      <c r="L3124" t="s">
        <v>482</v>
      </c>
      <c r="M3124">
        <v>15.78</v>
      </c>
      <c r="N3124">
        <v>0</v>
      </c>
      <c r="O3124" t="s">
        <v>19</v>
      </c>
      <c r="P3124" t="s">
        <v>20</v>
      </c>
      <c r="Q3124">
        <v>20220711</v>
      </c>
    </row>
    <row r="3125" spans="1:17" x14ac:dyDescent="0.25">
      <c r="A3125" t="s">
        <v>715</v>
      </c>
      <c r="B3125" t="s">
        <v>432</v>
      </c>
      <c r="C3125">
        <v>96</v>
      </c>
      <c r="D3125">
        <v>20220711</v>
      </c>
      <c r="E3125">
        <f t="shared" si="48"/>
        <v>7</v>
      </c>
      <c r="F3125">
        <v>512200</v>
      </c>
      <c r="G3125" t="s">
        <v>432</v>
      </c>
      <c r="H3125" t="s">
        <v>401</v>
      </c>
      <c r="I3125" t="s">
        <v>402</v>
      </c>
      <c r="J3125" t="s">
        <v>3182</v>
      </c>
      <c r="K3125">
        <v>20220711</v>
      </c>
      <c r="L3125" t="s">
        <v>482</v>
      </c>
      <c r="M3125">
        <v>0</v>
      </c>
      <c r="N3125">
        <v>15.78</v>
      </c>
      <c r="O3125" t="s">
        <v>19</v>
      </c>
      <c r="P3125" t="s">
        <v>20</v>
      </c>
      <c r="Q3125">
        <v>20220711</v>
      </c>
    </row>
    <row r="3126" spans="1:17" x14ac:dyDescent="0.25">
      <c r="A3126" t="s">
        <v>715</v>
      </c>
      <c r="B3126" t="s">
        <v>432</v>
      </c>
      <c r="C3126">
        <v>96</v>
      </c>
      <c r="D3126">
        <v>20220711</v>
      </c>
      <c r="E3126">
        <f t="shared" si="48"/>
        <v>7</v>
      </c>
      <c r="F3126">
        <v>401000</v>
      </c>
      <c r="G3126" t="s">
        <v>41</v>
      </c>
      <c r="H3126" t="s">
        <v>2743</v>
      </c>
      <c r="I3126" t="s">
        <v>2744</v>
      </c>
      <c r="J3126" t="s">
        <v>3183</v>
      </c>
      <c r="K3126">
        <v>20220711</v>
      </c>
      <c r="L3126" t="s">
        <v>3184</v>
      </c>
      <c r="M3126">
        <v>910</v>
      </c>
      <c r="N3126">
        <v>0</v>
      </c>
      <c r="O3126" t="s">
        <v>23</v>
      </c>
      <c r="P3126">
        <v>20220919</v>
      </c>
      <c r="Q3126">
        <v>20220711</v>
      </c>
    </row>
    <row r="3127" spans="1:17" x14ac:dyDescent="0.25">
      <c r="A3127" t="s">
        <v>715</v>
      </c>
      <c r="B3127" t="s">
        <v>432</v>
      </c>
      <c r="C3127">
        <v>96</v>
      </c>
      <c r="D3127">
        <v>20220711</v>
      </c>
      <c r="E3127">
        <f t="shared" si="48"/>
        <v>7</v>
      </c>
      <c r="F3127">
        <v>512200</v>
      </c>
      <c r="G3127" t="s">
        <v>432</v>
      </c>
      <c r="H3127" t="s">
        <v>401</v>
      </c>
      <c r="I3127" t="s">
        <v>402</v>
      </c>
      <c r="J3127" t="s">
        <v>3183</v>
      </c>
      <c r="K3127">
        <v>20220711</v>
      </c>
      <c r="L3127" t="s">
        <v>3184</v>
      </c>
      <c r="M3127">
        <v>0</v>
      </c>
      <c r="N3127">
        <v>910</v>
      </c>
      <c r="O3127" t="s">
        <v>19</v>
      </c>
      <c r="P3127" t="s">
        <v>20</v>
      </c>
      <c r="Q3127">
        <v>20220711</v>
      </c>
    </row>
    <row r="3128" spans="1:17" x14ac:dyDescent="0.25">
      <c r="A3128" t="s">
        <v>715</v>
      </c>
      <c r="B3128" t="s">
        <v>432</v>
      </c>
      <c r="C3128">
        <v>96</v>
      </c>
      <c r="D3128">
        <v>20220713</v>
      </c>
      <c r="E3128">
        <f t="shared" si="48"/>
        <v>7</v>
      </c>
      <c r="F3128">
        <v>401000</v>
      </c>
      <c r="G3128" t="s">
        <v>41</v>
      </c>
      <c r="H3128" t="s">
        <v>2755</v>
      </c>
      <c r="I3128" t="s">
        <v>2756</v>
      </c>
      <c r="J3128" t="s">
        <v>3185</v>
      </c>
      <c r="K3128">
        <v>20220713</v>
      </c>
      <c r="L3128" t="s">
        <v>3186</v>
      </c>
      <c r="M3128">
        <v>55</v>
      </c>
      <c r="N3128">
        <v>0</v>
      </c>
      <c r="O3128" t="s">
        <v>23</v>
      </c>
      <c r="P3128">
        <v>20220929</v>
      </c>
      <c r="Q3128">
        <v>20220713</v>
      </c>
    </row>
    <row r="3129" spans="1:17" x14ac:dyDescent="0.25">
      <c r="A3129" t="s">
        <v>715</v>
      </c>
      <c r="B3129" t="s">
        <v>432</v>
      </c>
      <c r="C3129">
        <v>96</v>
      </c>
      <c r="D3129">
        <v>20220713</v>
      </c>
      <c r="E3129">
        <f t="shared" si="48"/>
        <v>7</v>
      </c>
      <c r="F3129">
        <v>512200</v>
      </c>
      <c r="G3129" t="s">
        <v>432</v>
      </c>
      <c r="H3129" t="s">
        <v>401</v>
      </c>
      <c r="I3129" t="s">
        <v>402</v>
      </c>
      <c r="J3129" t="s">
        <v>3185</v>
      </c>
      <c r="K3129">
        <v>20220713</v>
      </c>
      <c r="L3129" t="s">
        <v>3186</v>
      </c>
      <c r="M3129">
        <v>0</v>
      </c>
      <c r="N3129">
        <v>55</v>
      </c>
      <c r="O3129" t="s">
        <v>19</v>
      </c>
      <c r="P3129" t="s">
        <v>20</v>
      </c>
      <c r="Q3129">
        <v>20220713</v>
      </c>
    </row>
    <row r="3130" spans="1:17" x14ac:dyDescent="0.25">
      <c r="A3130" t="s">
        <v>715</v>
      </c>
      <c r="B3130" t="s">
        <v>432</v>
      </c>
      <c r="C3130">
        <v>96</v>
      </c>
      <c r="D3130">
        <v>20220713</v>
      </c>
      <c r="E3130">
        <f t="shared" si="48"/>
        <v>7</v>
      </c>
      <c r="F3130">
        <v>401000</v>
      </c>
      <c r="G3130" t="s">
        <v>41</v>
      </c>
      <c r="H3130" t="s">
        <v>2755</v>
      </c>
      <c r="I3130" t="s">
        <v>2756</v>
      </c>
      <c r="J3130" t="s">
        <v>3187</v>
      </c>
      <c r="K3130">
        <v>20220713</v>
      </c>
      <c r="L3130" t="s">
        <v>3186</v>
      </c>
      <c r="M3130">
        <v>192</v>
      </c>
      <c r="N3130">
        <v>0</v>
      </c>
      <c r="O3130" t="s">
        <v>23</v>
      </c>
      <c r="P3130">
        <v>20220929</v>
      </c>
      <c r="Q3130">
        <v>20220713</v>
      </c>
    </row>
    <row r="3131" spans="1:17" x14ac:dyDescent="0.25">
      <c r="A3131" t="s">
        <v>715</v>
      </c>
      <c r="B3131" t="s">
        <v>432</v>
      </c>
      <c r="C3131">
        <v>96</v>
      </c>
      <c r="D3131">
        <v>20220713</v>
      </c>
      <c r="E3131">
        <f t="shared" si="48"/>
        <v>7</v>
      </c>
      <c r="F3131">
        <v>512200</v>
      </c>
      <c r="G3131" t="s">
        <v>432</v>
      </c>
      <c r="H3131" t="s">
        <v>401</v>
      </c>
      <c r="I3131" t="s">
        <v>402</v>
      </c>
      <c r="J3131" t="s">
        <v>3187</v>
      </c>
      <c r="K3131">
        <v>20220713</v>
      </c>
      <c r="L3131" t="s">
        <v>3186</v>
      </c>
      <c r="M3131">
        <v>0</v>
      </c>
      <c r="N3131">
        <v>192</v>
      </c>
      <c r="O3131" t="s">
        <v>19</v>
      </c>
      <c r="P3131" t="s">
        <v>20</v>
      </c>
      <c r="Q3131">
        <v>20220713</v>
      </c>
    </row>
    <row r="3132" spans="1:17" x14ac:dyDescent="0.25">
      <c r="A3132" t="s">
        <v>715</v>
      </c>
      <c r="B3132" t="s">
        <v>432</v>
      </c>
      <c r="C3132">
        <v>96</v>
      </c>
      <c r="D3132">
        <v>20220713</v>
      </c>
      <c r="E3132">
        <f t="shared" si="48"/>
        <v>7</v>
      </c>
      <c r="F3132">
        <v>602120</v>
      </c>
      <c r="G3132" t="s">
        <v>447</v>
      </c>
      <c r="H3132" t="s">
        <v>401</v>
      </c>
      <c r="I3132" t="s">
        <v>402</v>
      </c>
      <c r="J3132" t="s">
        <v>3188</v>
      </c>
      <c r="K3132">
        <v>20220713</v>
      </c>
      <c r="L3132" t="s">
        <v>3189</v>
      </c>
      <c r="M3132">
        <v>46.9</v>
      </c>
      <c r="N3132">
        <v>0</v>
      </c>
      <c r="O3132" t="s">
        <v>19</v>
      </c>
      <c r="P3132" t="s">
        <v>20</v>
      </c>
      <c r="Q3132">
        <v>20220713</v>
      </c>
    </row>
    <row r="3133" spans="1:17" x14ac:dyDescent="0.25">
      <c r="A3133" t="s">
        <v>715</v>
      </c>
      <c r="B3133" t="s">
        <v>432</v>
      </c>
      <c r="C3133">
        <v>96</v>
      </c>
      <c r="D3133">
        <v>20220713</v>
      </c>
      <c r="E3133">
        <f t="shared" si="48"/>
        <v>7</v>
      </c>
      <c r="F3133">
        <v>512200</v>
      </c>
      <c r="G3133" t="s">
        <v>432</v>
      </c>
      <c r="H3133" t="s">
        <v>401</v>
      </c>
      <c r="I3133" t="s">
        <v>402</v>
      </c>
      <c r="J3133" t="s">
        <v>3188</v>
      </c>
      <c r="K3133">
        <v>20220713</v>
      </c>
      <c r="L3133" t="s">
        <v>3189</v>
      </c>
      <c r="M3133">
        <v>0</v>
      </c>
      <c r="N3133">
        <v>46.9</v>
      </c>
      <c r="O3133" t="s">
        <v>19</v>
      </c>
      <c r="P3133" t="s">
        <v>20</v>
      </c>
      <c r="Q3133">
        <v>20220713</v>
      </c>
    </row>
    <row r="3134" spans="1:17" x14ac:dyDescent="0.25">
      <c r="A3134" t="s">
        <v>715</v>
      </c>
      <c r="B3134" t="s">
        <v>432</v>
      </c>
      <c r="C3134">
        <v>96</v>
      </c>
      <c r="D3134">
        <v>20220718</v>
      </c>
      <c r="E3134">
        <f t="shared" si="48"/>
        <v>7</v>
      </c>
      <c r="F3134">
        <v>401000</v>
      </c>
      <c r="G3134" t="s">
        <v>41</v>
      </c>
      <c r="H3134" t="s">
        <v>52</v>
      </c>
      <c r="I3134" t="s">
        <v>53</v>
      </c>
      <c r="J3134" t="s">
        <v>3190</v>
      </c>
      <c r="K3134">
        <v>20220718</v>
      </c>
      <c r="L3134" t="s">
        <v>3191</v>
      </c>
      <c r="M3134">
        <v>66</v>
      </c>
      <c r="N3134">
        <v>0</v>
      </c>
      <c r="O3134" t="s">
        <v>23</v>
      </c>
      <c r="P3134">
        <v>20220919</v>
      </c>
      <c r="Q3134">
        <v>20220718</v>
      </c>
    </row>
    <row r="3135" spans="1:17" x14ac:dyDescent="0.25">
      <c r="A3135" t="s">
        <v>715</v>
      </c>
      <c r="B3135" t="s">
        <v>432</v>
      </c>
      <c r="C3135">
        <v>96</v>
      </c>
      <c r="D3135">
        <v>20220718</v>
      </c>
      <c r="E3135">
        <f t="shared" si="48"/>
        <v>7</v>
      </c>
      <c r="F3135">
        <v>512200</v>
      </c>
      <c r="G3135" t="s">
        <v>432</v>
      </c>
      <c r="H3135" t="s">
        <v>401</v>
      </c>
      <c r="I3135" t="s">
        <v>402</v>
      </c>
      <c r="J3135" t="s">
        <v>3190</v>
      </c>
      <c r="K3135">
        <v>20220718</v>
      </c>
      <c r="L3135" t="s">
        <v>3191</v>
      </c>
      <c r="M3135">
        <v>0</v>
      </c>
      <c r="N3135">
        <v>66</v>
      </c>
      <c r="O3135" t="s">
        <v>19</v>
      </c>
      <c r="P3135" t="s">
        <v>20</v>
      </c>
      <c r="Q3135">
        <v>20220718</v>
      </c>
    </row>
    <row r="3136" spans="1:17" x14ac:dyDescent="0.25">
      <c r="A3136" t="s">
        <v>715</v>
      </c>
      <c r="B3136" t="s">
        <v>432</v>
      </c>
      <c r="C3136">
        <v>96</v>
      </c>
      <c r="D3136">
        <v>20220719</v>
      </c>
      <c r="E3136">
        <f t="shared" si="48"/>
        <v>7</v>
      </c>
      <c r="F3136">
        <v>627000</v>
      </c>
      <c r="G3136" t="s">
        <v>480</v>
      </c>
      <c r="H3136" t="s">
        <v>401</v>
      </c>
      <c r="I3136" t="s">
        <v>402</v>
      </c>
      <c r="J3136" t="s">
        <v>3192</v>
      </c>
      <c r="K3136">
        <v>20220719</v>
      </c>
      <c r="L3136" t="s">
        <v>482</v>
      </c>
      <c r="M3136">
        <v>6.45</v>
      </c>
      <c r="N3136">
        <v>0</v>
      </c>
      <c r="O3136" t="s">
        <v>19</v>
      </c>
      <c r="P3136" t="s">
        <v>20</v>
      </c>
      <c r="Q3136">
        <v>20220719</v>
      </c>
    </row>
    <row r="3137" spans="1:17" x14ac:dyDescent="0.25">
      <c r="A3137" t="s">
        <v>715</v>
      </c>
      <c r="B3137" t="s">
        <v>432</v>
      </c>
      <c r="C3137">
        <v>96</v>
      </c>
      <c r="D3137">
        <v>20220719</v>
      </c>
      <c r="E3137">
        <f t="shared" si="48"/>
        <v>7</v>
      </c>
      <c r="F3137">
        <v>512200</v>
      </c>
      <c r="G3137" t="s">
        <v>432</v>
      </c>
      <c r="H3137" t="s">
        <v>401</v>
      </c>
      <c r="I3137" t="s">
        <v>402</v>
      </c>
      <c r="J3137" t="s">
        <v>3192</v>
      </c>
      <c r="K3137">
        <v>20220719</v>
      </c>
      <c r="L3137" t="s">
        <v>482</v>
      </c>
      <c r="M3137">
        <v>0</v>
      </c>
      <c r="N3137">
        <v>6.45</v>
      </c>
      <c r="O3137" t="s">
        <v>19</v>
      </c>
      <c r="P3137" t="s">
        <v>20</v>
      </c>
      <c r="Q3137">
        <v>20220719</v>
      </c>
    </row>
    <row r="3138" spans="1:17" x14ac:dyDescent="0.25">
      <c r="A3138" t="s">
        <v>715</v>
      </c>
      <c r="B3138" t="s">
        <v>432</v>
      </c>
      <c r="C3138">
        <v>96</v>
      </c>
      <c r="D3138">
        <v>20220719</v>
      </c>
      <c r="E3138">
        <f t="shared" si="48"/>
        <v>7</v>
      </c>
      <c r="F3138">
        <v>401000</v>
      </c>
      <c r="G3138" t="s">
        <v>41</v>
      </c>
      <c r="H3138" t="s">
        <v>2761</v>
      </c>
      <c r="I3138" t="s">
        <v>2762</v>
      </c>
      <c r="J3138" t="s">
        <v>3193</v>
      </c>
      <c r="K3138">
        <v>20220719</v>
      </c>
      <c r="L3138" t="s">
        <v>3194</v>
      </c>
      <c r="M3138">
        <v>244.8</v>
      </c>
      <c r="N3138">
        <v>0</v>
      </c>
      <c r="O3138" t="s">
        <v>23</v>
      </c>
      <c r="P3138">
        <v>20230220</v>
      </c>
      <c r="Q3138">
        <v>20220719</v>
      </c>
    </row>
    <row r="3139" spans="1:17" x14ac:dyDescent="0.25">
      <c r="A3139" t="s">
        <v>715</v>
      </c>
      <c r="B3139" t="s">
        <v>432</v>
      </c>
      <c r="C3139">
        <v>96</v>
      </c>
      <c r="D3139">
        <v>20220719</v>
      </c>
      <c r="E3139">
        <f t="shared" ref="E3139:E3202" si="49">VALUE(MID(D3139,5,2))</f>
        <v>7</v>
      </c>
      <c r="F3139">
        <v>512200</v>
      </c>
      <c r="G3139" t="s">
        <v>432</v>
      </c>
      <c r="H3139" t="s">
        <v>401</v>
      </c>
      <c r="I3139" t="s">
        <v>402</v>
      </c>
      <c r="J3139" t="s">
        <v>3193</v>
      </c>
      <c r="K3139">
        <v>20220719</v>
      </c>
      <c r="L3139" t="s">
        <v>3194</v>
      </c>
      <c r="M3139">
        <v>0</v>
      </c>
      <c r="N3139">
        <v>244.8</v>
      </c>
      <c r="O3139" t="s">
        <v>19</v>
      </c>
      <c r="P3139" t="s">
        <v>20</v>
      </c>
      <c r="Q3139">
        <v>20220719</v>
      </c>
    </row>
    <row r="3140" spans="1:17" x14ac:dyDescent="0.25">
      <c r="A3140" t="s">
        <v>715</v>
      </c>
      <c r="B3140" t="s">
        <v>432</v>
      </c>
      <c r="C3140">
        <v>96</v>
      </c>
      <c r="D3140">
        <v>20220719</v>
      </c>
      <c r="E3140">
        <f t="shared" si="49"/>
        <v>7</v>
      </c>
      <c r="F3140">
        <v>401000</v>
      </c>
      <c r="G3140" t="s">
        <v>41</v>
      </c>
      <c r="H3140" t="s">
        <v>2388</v>
      </c>
      <c r="I3140" t="s">
        <v>2389</v>
      </c>
      <c r="J3140" t="s">
        <v>3195</v>
      </c>
      <c r="K3140">
        <v>20220719</v>
      </c>
      <c r="L3140" t="s">
        <v>3181</v>
      </c>
      <c r="M3140">
        <v>130.19999999999999</v>
      </c>
      <c r="N3140">
        <v>0</v>
      </c>
      <c r="O3140" t="s">
        <v>23</v>
      </c>
      <c r="P3140">
        <v>20220929</v>
      </c>
      <c r="Q3140">
        <v>20220719</v>
      </c>
    </row>
    <row r="3141" spans="1:17" x14ac:dyDescent="0.25">
      <c r="A3141" t="s">
        <v>715</v>
      </c>
      <c r="B3141" t="s">
        <v>432</v>
      </c>
      <c r="C3141">
        <v>96</v>
      </c>
      <c r="D3141">
        <v>20220719</v>
      </c>
      <c r="E3141">
        <f t="shared" si="49"/>
        <v>7</v>
      </c>
      <c r="F3141">
        <v>512200</v>
      </c>
      <c r="G3141" t="s">
        <v>432</v>
      </c>
      <c r="H3141" t="s">
        <v>401</v>
      </c>
      <c r="I3141" t="s">
        <v>402</v>
      </c>
      <c r="J3141" t="s">
        <v>3195</v>
      </c>
      <c r="K3141">
        <v>20220719</v>
      </c>
      <c r="L3141" t="s">
        <v>3181</v>
      </c>
      <c r="M3141">
        <v>0</v>
      </c>
      <c r="N3141">
        <v>130.19999999999999</v>
      </c>
      <c r="O3141" t="s">
        <v>19</v>
      </c>
      <c r="P3141" t="s">
        <v>20</v>
      </c>
      <c r="Q3141">
        <v>20220719</v>
      </c>
    </row>
    <row r="3142" spans="1:17" x14ac:dyDescent="0.25">
      <c r="A3142" t="s">
        <v>715</v>
      </c>
      <c r="B3142" t="s">
        <v>432</v>
      </c>
      <c r="C3142">
        <v>96</v>
      </c>
      <c r="D3142">
        <v>20220721</v>
      </c>
      <c r="E3142">
        <f t="shared" si="49"/>
        <v>7</v>
      </c>
      <c r="F3142">
        <v>411100</v>
      </c>
      <c r="G3142" t="s">
        <v>18</v>
      </c>
      <c r="H3142" t="s">
        <v>383</v>
      </c>
      <c r="I3142" t="s">
        <v>384</v>
      </c>
      <c r="J3142" t="s">
        <v>3196</v>
      </c>
      <c r="K3142">
        <v>20220721</v>
      </c>
      <c r="L3142" t="s">
        <v>3197</v>
      </c>
      <c r="M3142">
        <v>42.25</v>
      </c>
      <c r="N3142">
        <v>0</v>
      </c>
      <c r="O3142" t="s">
        <v>19</v>
      </c>
      <c r="P3142" t="s">
        <v>20</v>
      </c>
      <c r="Q3142">
        <v>20220721</v>
      </c>
    </row>
    <row r="3143" spans="1:17" x14ac:dyDescent="0.25">
      <c r="A3143" t="s">
        <v>715</v>
      </c>
      <c r="B3143" t="s">
        <v>432</v>
      </c>
      <c r="C3143">
        <v>96</v>
      </c>
      <c r="D3143">
        <v>20220721</v>
      </c>
      <c r="E3143">
        <f t="shared" si="49"/>
        <v>7</v>
      </c>
      <c r="F3143">
        <v>512200</v>
      </c>
      <c r="G3143" t="s">
        <v>432</v>
      </c>
      <c r="H3143" t="s">
        <v>401</v>
      </c>
      <c r="I3143" t="s">
        <v>402</v>
      </c>
      <c r="J3143" t="s">
        <v>3196</v>
      </c>
      <c r="K3143">
        <v>20220721</v>
      </c>
      <c r="L3143" t="s">
        <v>3197</v>
      </c>
      <c r="M3143">
        <v>0</v>
      </c>
      <c r="N3143">
        <v>42.25</v>
      </c>
      <c r="O3143" t="s">
        <v>19</v>
      </c>
      <c r="P3143" t="s">
        <v>20</v>
      </c>
      <c r="Q3143">
        <v>20220721</v>
      </c>
    </row>
    <row r="3144" spans="1:17" x14ac:dyDescent="0.25">
      <c r="A3144" t="s">
        <v>715</v>
      </c>
      <c r="B3144" t="s">
        <v>432</v>
      </c>
      <c r="C3144">
        <v>96</v>
      </c>
      <c r="D3144">
        <v>20220727</v>
      </c>
      <c r="E3144">
        <f t="shared" si="49"/>
        <v>7</v>
      </c>
      <c r="F3144">
        <v>401000</v>
      </c>
      <c r="G3144" t="s">
        <v>41</v>
      </c>
      <c r="H3144" t="s">
        <v>2759</v>
      </c>
      <c r="I3144" t="s">
        <v>2760</v>
      </c>
      <c r="J3144" t="s">
        <v>3198</v>
      </c>
      <c r="K3144">
        <v>20220727</v>
      </c>
      <c r="L3144" t="s">
        <v>3199</v>
      </c>
      <c r="M3144">
        <v>230</v>
      </c>
      <c r="N3144">
        <v>0</v>
      </c>
      <c r="O3144" t="s">
        <v>23</v>
      </c>
      <c r="P3144">
        <v>20220929</v>
      </c>
      <c r="Q3144">
        <v>20220727</v>
      </c>
    </row>
    <row r="3145" spans="1:17" x14ac:dyDescent="0.25">
      <c r="A3145" t="s">
        <v>715</v>
      </c>
      <c r="B3145" t="s">
        <v>432</v>
      </c>
      <c r="C3145">
        <v>96</v>
      </c>
      <c r="D3145">
        <v>20220727</v>
      </c>
      <c r="E3145">
        <f t="shared" si="49"/>
        <v>7</v>
      </c>
      <c r="F3145">
        <v>512200</v>
      </c>
      <c r="G3145" t="s">
        <v>432</v>
      </c>
      <c r="H3145" t="s">
        <v>401</v>
      </c>
      <c r="I3145" t="s">
        <v>402</v>
      </c>
      <c r="J3145" t="s">
        <v>3198</v>
      </c>
      <c r="K3145">
        <v>20220727</v>
      </c>
      <c r="L3145" t="s">
        <v>3199</v>
      </c>
      <c r="M3145">
        <v>0</v>
      </c>
      <c r="N3145">
        <v>230</v>
      </c>
      <c r="O3145" t="s">
        <v>19</v>
      </c>
      <c r="P3145" t="s">
        <v>20</v>
      </c>
      <c r="Q3145">
        <v>20220727</v>
      </c>
    </row>
    <row r="3146" spans="1:17" x14ac:dyDescent="0.25">
      <c r="A3146" t="s">
        <v>715</v>
      </c>
      <c r="B3146" t="s">
        <v>432</v>
      </c>
      <c r="C3146">
        <v>96</v>
      </c>
      <c r="D3146">
        <v>20220727</v>
      </c>
      <c r="E3146">
        <f t="shared" si="49"/>
        <v>7</v>
      </c>
      <c r="F3146">
        <v>401000</v>
      </c>
      <c r="G3146" t="s">
        <v>41</v>
      </c>
      <c r="H3146" t="s">
        <v>158</v>
      </c>
      <c r="I3146" t="s">
        <v>159</v>
      </c>
      <c r="J3146" t="s">
        <v>3200</v>
      </c>
      <c r="K3146">
        <v>20220727</v>
      </c>
      <c r="L3146" t="s">
        <v>3201</v>
      </c>
      <c r="M3146">
        <v>224</v>
      </c>
      <c r="N3146">
        <v>0</v>
      </c>
      <c r="O3146" t="s">
        <v>23</v>
      </c>
      <c r="P3146">
        <v>20220929</v>
      </c>
      <c r="Q3146">
        <v>20220727</v>
      </c>
    </row>
    <row r="3147" spans="1:17" x14ac:dyDescent="0.25">
      <c r="A3147" t="s">
        <v>715</v>
      </c>
      <c r="B3147" t="s">
        <v>432</v>
      </c>
      <c r="C3147">
        <v>96</v>
      </c>
      <c r="D3147">
        <v>20220727</v>
      </c>
      <c r="E3147">
        <f t="shared" si="49"/>
        <v>7</v>
      </c>
      <c r="F3147">
        <v>512200</v>
      </c>
      <c r="G3147" t="s">
        <v>432</v>
      </c>
      <c r="H3147" t="s">
        <v>401</v>
      </c>
      <c r="I3147" t="s">
        <v>402</v>
      </c>
      <c r="J3147" t="s">
        <v>3200</v>
      </c>
      <c r="K3147">
        <v>20220727</v>
      </c>
      <c r="L3147" t="s">
        <v>3201</v>
      </c>
      <c r="M3147">
        <v>0</v>
      </c>
      <c r="N3147">
        <v>224</v>
      </c>
      <c r="O3147" t="s">
        <v>19</v>
      </c>
      <c r="P3147" t="s">
        <v>20</v>
      </c>
      <c r="Q3147">
        <v>20220727</v>
      </c>
    </row>
    <row r="3148" spans="1:17" x14ac:dyDescent="0.25">
      <c r="A3148" t="s">
        <v>715</v>
      </c>
      <c r="B3148" t="s">
        <v>432</v>
      </c>
      <c r="C3148">
        <v>96</v>
      </c>
      <c r="D3148">
        <v>20220728</v>
      </c>
      <c r="E3148">
        <f t="shared" si="49"/>
        <v>7</v>
      </c>
      <c r="F3148">
        <v>401000</v>
      </c>
      <c r="G3148" t="s">
        <v>41</v>
      </c>
      <c r="H3148" t="s">
        <v>840</v>
      </c>
      <c r="I3148" t="s">
        <v>841</v>
      </c>
      <c r="J3148" t="s">
        <v>3202</v>
      </c>
      <c r="K3148">
        <v>20220728</v>
      </c>
      <c r="L3148" t="s">
        <v>2354</v>
      </c>
      <c r="M3148">
        <v>307.33</v>
      </c>
      <c r="N3148">
        <v>0</v>
      </c>
      <c r="O3148" t="s">
        <v>23</v>
      </c>
      <c r="P3148">
        <v>20220914</v>
      </c>
      <c r="Q3148">
        <v>20220728</v>
      </c>
    </row>
    <row r="3149" spans="1:17" x14ac:dyDescent="0.25">
      <c r="A3149" t="s">
        <v>715</v>
      </c>
      <c r="B3149" t="s">
        <v>432</v>
      </c>
      <c r="C3149">
        <v>96</v>
      </c>
      <c r="D3149">
        <v>20220728</v>
      </c>
      <c r="E3149">
        <f t="shared" si="49"/>
        <v>7</v>
      </c>
      <c r="F3149">
        <v>512200</v>
      </c>
      <c r="G3149" t="s">
        <v>432</v>
      </c>
      <c r="H3149" t="s">
        <v>401</v>
      </c>
      <c r="I3149" t="s">
        <v>402</v>
      </c>
      <c r="J3149" t="s">
        <v>3202</v>
      </c>
      <c r="K3149">
        <v>20220728</v>
      </c>
      <c r="L3149" t="s">
        <v>2354</v>
      </c>
      <c r="M3149">
        <v>0</v>
      </c>
      <c r="N3149">
        <v>307.33</v>
      </c>
      <c r="O3149" t="s">
        <v>19</v>
      </c>
      <c r="P3149" t="s">
        <v>20</v>
      </c>
      <c r="Q3149">
        <v>20220728</v>
      </c>
    </row>
    <row r="3150" spans="1:17" x14ac:dyDescent="0.25">
      <c r="A3150" t="s">
        <v>715</v>
      </c>
      <c r="B3150" t="s">
        <v>432</v>
      </c>
      <c r="C3150">
        <v>96</v>
      </c>
      <c r="D3150">
        <v>20220729</v>
      </c>
      <c r="E3150">
        <f t="shared" si="49"/>
        <v>7</v>
      </c>
      <c r="F3150">
        <v>401000</v>
      </c>
      <c r="G3150" t="s">
        <v>41</v>
      </c>
      <c r="H3150" t="s">
        <v>189</v>
      </c>
      <c r="I3150" t="s">
        <v>190</v>
      </c>
      <c r="J3150" t="s">
        <v>3203</v>
      </c>
      <c r="K3150">
        <v>20220729</v>
      </c>
      <c r="L3150" t="s">
        <v>191</v>
      </c>
      <c r="M3150">
        <v>403.75</v>
      </c>
      <c r="N3150">
        <v>0</v>
      </c>
      <c r="O3150" t="s">
        <v>19</v>
      </c>
      <c r="P3150" t="s">
        <v>20</v>
      </c>
      <c r="Q3150">
        <v>20220729</v>
      </c>
    </row>
    <row r="3151" spans="1:17" x14ac:dyDescent="0.25">
      <c r="A3151" t="s">
        <v>715</v>
      </c>
      <c r="B3151" t="s">
        <v>432</v>
      </c>
      <c r="C3151">
        <v>96</v>
      </c>
      <c r="D3151">
        <v>20220729</v>
      </c>
      <c r="E3151">
        <f t="shared" si="49"/>
        <v>7</v>
      </c>
      <c r="F3151">
        <v>512200</v>
      </c>
      <c r="G3151" t="s">
        <v>432</v>
      </c>
      <c r="H3151" t="s">
        <v>401</v>
      </c>
      <c r="I3151" t="s">
        <v>402</v>
      </c>
      <c r="J3151" t="s">
        <v>3203</v>
      </c>
      <c r="K3151">
        <v>20220729</v>
      </c>
      <c r="L3151" t="s">
        <v>191</v>
      </c>
      <c r="M3151">
        <v>0</v>
      </c>
      <c r="N3151">
        <v>403.75</v>
      </c>
      <c r="O3151" t="s">
        <v>19</v>
      </c>
      <c r="P3151" t="s">
        <v>20</v>
      </c>
      <c r="Q3151">
        <v>20220729</v>
      </c>
    </row>
    <row r="3152" spans="1:17" x14ac:dyDescent="0.25">
      <c r="A3152" t="s">
        <v>715</v>
      </c>
      <c r="B3152" t="s">
        <v>432</v>
      </c>
      <c r="C3152">
        <v>96</v>
      </c>
      <c r="D3152">
        <v>20220729</v>
      </c>
      <c r="E3152">
        <f t="shared" si="49"/>
        <v>7</v>
      </c>
      <c r="F3152">
        <v>401000</v>
      </c>
      <c r="G3152" t="s">
        <v>41</v>
      </c>
      <c r="H3152" t="s">
        <v>2409</v>
      </c>
      <c r="I3152" t="s">
        <v>2410</v>
      </c>
      <c r="J3152" t="s">
        <v>3204</v>
      </c>
      <c r="K3152">
        <v>20220729</v>
      </c>
      <c r="L3152" t="s">
        <v>3205</v>
      </c>
      <c r="M3152">
        <v>376.5</v>
      </c>
      <c r="N3152">
        <v>0</v>
      </c>
      <c r="O3152" t="s">
        <v>23</v>
      </c>
      <c r="P3152">
        <v>20220929</v>
      </c>
      <c r="Q3152">
        <v>20220729</v>
      </c>
    </row>
    <row r="3153" spans="1:17" x14ac:dyDescent="0.25">
      <c r="A3153" t="s">
        <v>715</v>
      </c>
      <c r="B3153" t="s">
        <v>432</v>
      </c>
      <c r="C3153">
        <v>96</v>
      </c>
      <c r="D3153">
        <v>20220729</v>
      </c>
      <c r="E3153">
        <f t="shared" si="49"/>
        <v>7</v>
      </c>
      <c r="F3153">
        <v>512200</v>
      </c>
      <c r="G3153" t="s">
        <v>432</v>
      </c>
      <c r="H3153" t="s">
        <v>401</v>
      </c>
      <c r="I3153" t="s">
        <v>402</v>
      </c>
      <c r="J3153" t="s">
        <v>3204</v>
      </c>
      <c r="K3153">
        <v>20220729</v>
      </c>
      <c r="L3153" t="s">
        <v>3205</v>
      </c>
      <c r="M3153">
        <v>0</v>
      </c>
      <c r="N3153">
        <v>376.5</v>
      </c>
      <c r="O3153" t="s">
        <v>19</v>
      </c>
      <c r="P3153" t="s">
        <v>20</v>
      </c>
      <c r="Q3153">
        <v>20220729</v>
      </c>
    </row>
    <row r="3154" spans="1:17" x14ac:dyDescent="0.25">
      <c r="A3154" t="s">
        <v>476</v>
      </c>
      <c r="B3154" t="s">
        <v>477</v>
      </c>
      <c r="C3154">
        <v>109</v>
      </c>
      <c r="D3154">
        <v>20220801</v>
      </c>
      <c r="E3154">
        <f t="shared" si="49"/>
        <v>8</v>
      </c>
      <c r="F3154">
        <v>421000</v>
      </c>
      <c r="G3154" t="s">
        <v>403</v>
      </c>
      <c r="H3154" t="s">
        <v>401</v>
      </c>
      <c r="I3154" t="s">
        <v>402</v>
      </c>
      <c r="J3154" t="s">
        <v>3234</v>
      </c>
      <c r="K3154">
        <v>20220801</v>
      </c>
      <c r="L3154" t="s">
        <v>127</v>
      </c>
      <c r="M3154">
        <v>1102.67</v>
      </c>
      <c r="N3154">
        <v>0</v>
      </c>
      <c r="O3154" t="s">
        <v>23</v>
      </c>
      <c r="P3154">
        <v>20220921</v>
      </c>
      <c r="Q3154">
        <v>20220801</v>
      </c>
    </row>
    <row r="3155" spans="1:17" x14ac:dyDescent="0.25">
      <c r="A3155" t="s">
        <v>476</v>
      </c>
      <c r="B3155" t="s">
        <v>477</v>
      </c>
      <c r="C3155">
        <v>109</v>
      </c>
      <c r="D3155">
        <v>20220801</v>
      </c>
      <c r="E3155">
        <f t="shared" si="49"/>
        <v>8</v>
      </c>
      <c r="F3155">
        <v>421000</v>
      </c>
      <c r="G3155" t="s">
        <v>403</v>
      </c>
      <c r="H3155" t="s">
        <v>401</v>
      </c>
      <c r="I3155" t="s">
        <v>402</v>
      </c>
      <c r="J3155" t="s">
        <v>3234</v>
      </c>
      <c r="K3155">
        <v>20220801</v>
      </c>
      <c r="L3155" t="s">
        <v>127</v>
      </c>
      <c r="M3155">
        <v>1264.5</v>
      </c>
      <c r="N3155">
        <v>0</v>
      </c>
      <c r="O3155" t="s">
        <v>23</v>
      </c>
      <c r="P3155">
        <v>20220921</v>
      </c>
      <c r="Q3155">
        <v>20220801</v>
      </c>
    </row>
    <row r="3156" spans="1:17" x14ac:dyDescent="0.25">
      <c r="A3156" t="s">
        <v>476</v>
      </c>
      <c r="B3156" t="s">
        <v>477</v>
      </c>
      <c r="C3156">
        <v>109</v>
      </c>
      <c r="D3156">
        <v>20220801</v>
      </c>
      <c r="E3156">
        <f t="shared" si="49"/>
        <v>8</v>
      </c>
      <c r="F3156">
        <v>512000</v>
      </c>
      <c r="G3156" t="s">
        <v>428</v>
      </c>
      <c r="H3156" t="s">
        <v>401</v>
      </c>
      <c r="I3156" t="s">
        <v>402</v>
      </c>
      <c r="J3156" t="s">
        <v>3234</v>
      </c>
      <c r="K3156">
        <v>20220801</v>
      </c>
      <c r="L3156" t="s">
        <v>127</v>
      </c>
      <c r="M3156">
        <v>0</v>
      </c>
      <c r="N3156">
        <v>2367.17</v>
      </c>
      <c r="O3156" t="s">
        <v>19</v>
      </c>
      <c r="P3156" t="s">
        <v>20</v>
      </c>
      <c r="Q3156">
        <v>20220801</v>
      </c>
    </row>
    <row r="3157" spans="1:17" x14ac:dyDescent="0.25">
      <c r="A3157" t="s">
        <v>476</v>
      </c>
      <c r="B3157" t="s">
        <v>477</v>
      </c>
      <c r="C3157">
        <v>109</v>
      </c>
      <c r="D3157">
        <v>20220801</v>
      </c>
      <c r="E3157">
        <f t="shared" si="49"/>
        <v>8</v>
      </c>
      <c r="F3157">
        <v>421000</v>
      </c>
      <c r="G3157" t="s">
        <v>403</v>
      </c>
      <c r="H3157" t="s">
        <v>401</v>
      </c>
      <c r="I3157" t="s">
        <v>402</v>
      </c>
      <c r="J3157" t="s">
        <v>3235</v>
      </c>
      <c r="K3157">
        <v>20220801</v>
      </c>
      <c r="L3157" t="s">
        <v>3236</v>
      </c>
      <c r="M3157">
        <v>20376.07</v>
      </c>
      <c r="N3157">
        <v>0</v>
      </c>
      <c r="O3157" t="s">
        <v>23</v>
      </c>
      <c r="P3157">
        <v>20220921</v>
      </c>
      <c r="Q3157">
        <v>20220801</v>
      </c>
    </row>
    <row r="3158" spans="1:17" x14ac:dyDescent="0.25">
      <c r="A3158" t="s">
        <v>476</v>
      </c>
      <c r="B3158" t="s">
        <v>477</v>
      </c>
      <c r="C3158">
        <v>109</v>
      </c>
      <c r="D3158">
        <v>20220801</v>
      </c>
      <c r="E3158">
        <f t="shared" si="49"/>
        <v>8</v>
      </c>
      <c r="F3158">
        <v>512000</v>
      </c>
      <c r="G3158" t="s">
        <v>428</v>
      </c>
      <c r="H3158" t="s">
        <v>401</v>
      </c>
      <c r="I3158" t="s">
        <v>402</v>
      </c>
      <c r="J3158" t="s">
        <v>3235</v>
      </c>
      <c r="K3158">
        <v>20220801</v>
      </c>
      <c r="L3158" t="s">
        <v>3236</v>
      </c>
      <c r="M3158">
        <v>0</v>
      </c>
      <c r="N3158">
        <v>20376.07</v>
      </c>
      <c r="O3158" t="s">
        <v>19</v>
      </c>
      <c r="P3158" t="s">
        <v>20</v>
      </c>
      <c r="Q3158">
        <v>20220801</v>
      </c>
    </row>
    <row r="3159" spans="1:17" x14ac:dyDescent="0.25">
      <c r="A3159" t="s">
        <v>476</v>
      </c>
      <c r="B3159" t="s">
        <v>477</v>
      </c>
      <c r="C3159">
        <v>109</v>
      </c>
      <c r="D3159">
        <v>20220801</v>
      </c>
      <c r="E3159">
        <f t="shared" si="49"/>
        <v>8</v>
      </c>
      <c r="F3159">
        <v>401000</v>
      </c>
      <c r="G3159" t="s">
        <v>41</v>
      </c>
      <c r="H3159" t="s">
        <v>458</v>
      </c>
      <c r="I3159" t="s">
        <v>459</v>
      </c>
      <c r="J3159" t="s">
        <v>3237</v>
      </c>
      <c r="K3159">
        <v>20220801</v>
      </c>
      <c r="L3159" t="s">
        <v>2072</v>
      </c>
      <c r="M3159">
        <v>669.6</v>
      </c>
      <c r="N3159">
        <v>0</v>
      </c>
      <c r="O3159" t="s">
        <v>23</v>
      </c>
      <c r="P3159">
        <v>20221005</v>
      </c>
      <c r="Q3159">
        <v>20220801</v>
      </c>
    </row>
    <row r="3160" spans="1:17" x14ac:dyDescent="0.25">
      <c r="A3160" t="s">
        <v>476</v>
      </c>
      <c r="B3160" t="s">
        <v>477</v>
      </c>
      <c r="C3160">
        <v>109</v>
      </c>
      <c r="D3160">
        <v>20220801</v>
      </c>
      <c r="E3160">
        <f t="shared" si="49"/>
        <v>8</v>
      </c>
      <c r="F3160">
        <v>512000</v>
      </c>
      <c r="G3160" t="s">
        <v>428</v>
      </c>
      <c r="H3160" t="s">
        <v>401</v>
      </c>
      <c r="I3160" t="s">
        <v>402</v>
      </c>
      <c r="J3160" t="s">
        <v>3237</v>
      </c>
      <c r="K3160">
        <v>20220801</v>
      </c>
      <c r="L3160" t="s">
        <v>2072</v>
      </c>
      <c r="M3160">
        <v>0</v>
      </c>
      <c r="N3160">
        <v>669.6</v>
      </c>
      <c r="O3160" t="s">
        <v>19</v>
      </c>
      <c r="P3160" t="s">
        <v>20</v>
      </c>
      <c r="Q3160">
        <v>20220801</v>
      </c>
    </row>
    <row r="3161" spans="1:17" x14ac:dyDescent="0.25">
      <c r="A3161" t="s">
        <v>476</v>
      </c>
      <c r="B3161" t="s">
        <v>477</v>
      </c>
      <c r="C3161">
        <v>109</v>
      </c>
      <c r="D3161">
        <v>20220801</v>
      </c>
      <c r="E3161">
        <f t="shared" si="49"/>
        <v>8</v>
      </c>
      <c r="F3161">
        <v>468200</v>
      </c>
      <c r="G3161" t="s">
        <v>421</v>
      </c>
      <c r="H3161" t="s">
        <v>401</v>
      </c>
      <c r="I3161" t="s">
        <v>402</v>
      </c>
      <c r="J3161" t="s">
        <v>3238</v>
      </c>
      <c r="K3161">
        <v>20220801</v>
      </c>
      <c r="L3161" t="s">
        <v>422</v>
      </c>
      <c r="M3161">
        <v>0</v>
      </c>
      <c r="N3161">
        <v>415.25</v>
      </c>
      <c r="O3161" t="s">
        <v>23</v>
      </c>
      <c r="P3161">
        <v>20230214</v>
      </c>
      <c r="Q3161">
        <v>20220801</v>
      </c>
    </row>
    <row r="3162" spans="1:17" x14ac:dyDescent="0.25">
      <c r="A3162" t="s">
        <v>476</v>
      </c>
      <c r="B3162" t="s">
        <v>477</v>
      </c>
      <c r="C3162">
        <v>109</v>
      </c>
      <c r="D3162">
        <v>20220801</v>
      </c>
      <c r="E3162">
        <f t="shared" si="49"/>
        <v>8</v>
      </c>
      <c r="F3162">
        <v>512000</v>
      </c>
      <c r="G3162" t="s">
        <v>428</v>
      </c>
      <c r="H3162" t="s">
        <v>401</v>
      </c>
      <c r="I3162" t="s">
        <v>402</v>
      </c>
      <c r="J3162" t="s">
        <v>3238</v>
      </c>
      <c r="K3162">
        <v>20220801</v>
      </c>
      <c r="L3162" t="s">
        <v>422</v>
      </c>
      <c r="M3162">
        <v>415.25</v>
      </c>
      <c r="N3162">
        <v>0</v>
      </c>
      <c r="O3162" t="s">
        <v>19</v>
      </c>
      <c r="P3162" t="s">
        <v>20</v>
      </c>
      <c r="Q3162">
        <v>20220801</v>
      </c>
    </row>
    <row r="3163" spans="1:17" x14ac:dyDescent="0.25">
      <c r="A3163" t="s">
        <v>476</v>
      </c>
      <c r="B3163" t="s">
        <v>477</v>
      </c>
      <c r="C3163">
        <v>109</v>
      </c>
      <c r="D3163">
        <v>20220802</v>
      </c>
      <c r="E3163">
        <f t="shared" si="49"/>
        <v>8</v>
      </c>
      <c r="F3163">
        <v>421000</v>
      </c>
      <c r="G3163" t="s">
        <v>403</v>
      </c>
      <c r="H3163" t="s">
        <v>401</v>
      </c>
      <c r="I3163" t="s">
        <v>402</v>
      </c>
      <c r="J3163" t="s">
        <v>3239</v>
      </c>
      <c r="K3163">
        <v>20220802</v>
      </c>
      <c r="L3163" t="s">
        <v>3240</v>
      </c>
      <c r="M3163">
        <v>0</v>
      </c>
      <c r="N3163">
        <v>1102.67</v>
      </c>
      <c r="O3163" t="s">
        <v>23</v>
      </c>
      <c r="P3163">
        <v>20220921</v>
      </c>
      <c r="Q3163">
        <v>20220802</v>
      </c>
    </row>
    <row r="3164" spans="1:17" x14ac:dyDescent="0.25">
      <c r="A3164" t="s">
        <v>476</v>
      </c>
      <c r="B3164" t="s">
        <v>477</v>
      </c>
      <c r="C3164">
        <v>109</v>
      </c>
      <c r="D3164">
        <v>20220802</v>
      </c>
      <c r="E3164">
        <f t="shared" si="49"/>
        <v>8</v>
      </c>
      <c r="F3164">
        <v>512000</v>
      </c>
      <c r="G3164" t="s">
        <v>428</v>
      </c>
      <c r="H3164" t="s">
        <v>401</v>
      </c>
      <c r="I3164" t="s">
        <v>402</v>
      </c>
      <c r="J3164" t="s">
        <v>3239</v>
      </c>
      <c r="K3164">
        <v>20220802</v>
      </c>
      <c r="L3164" t="s">
        <v>3240</v>
      </c>
      <c r="M3164">
        <v>1102.67</v>
      </c>
      <c r="N3164">
        <v>0</v>
      </c>
      <c r="O3164" t="s">
        <v>19</v>
      </c>
      <c r="P3164" t="s">
        <v>20</v>
      </c>
      <c r="Q3164">
        <v>20220802</v>
      </c>
    </row>
    <row r="3165" spans="1:17" x14ac:dyDescent="0.25">
      <c r="A3165" t="s">
        <v>476</v>
      </c>
      <c r="B3165" t="s">
        <v>477</v>
      </c>
      <c r="C3165">
        <v>109</v>
      </c>
      <c r="D3165">
        <v>20220803</v>
      </c>
      <c r="E3165">
        <f t="shared" si="49"/>
        <v>8</v>
      </c>
      <c r="F3165">
        <v>627000</v>
      </c>
      <c r="G3165" t="s">
        <v>480</v>
      </c>
      <c r="H3165" t="s">
        <v>401</v>
      </c>
      <c r="I3165" t="s">
        <v>402</v>
      </c>
      <c r="J3165" t="s">
        <v>3241</v>
      </c>
      <c r="K3165">
        <v>20220803</v>
      </c>
      <c r="L3165" t="s">
        <v>482</v>
      </c>
      <c r="M3165">
        <v>49</v>
      </c>
      <c r="N3165">
        <v>0</v>
      </c>
      <c r="O3165" t="s">
        <v>19</v>
      </c>
      <c r="P3165" t="s">
        <v>20</v>
      </c>
      <c r="Q3165">
        <v>20220803</v>
      </c>
    </row>
    <row r="3166" spans="1:17" x14ac:dyDescent="0.25">
      <c r="A3166" t="s">
        <v>476</v>
      </c>
      <c r="B3166" t="s">
        <v>477</v>
      </c>
      <c r="C3166">
        <v>109</v>
      </c>
      <c r="D3166">
        <v>20220803</v>
      </c>
      <c r="E3166">
        <f t="shared" si="49"/>
        <v>8</v>
      </c>
      <c r="F3166">
        <v>512000</v>
      </c>
      <c r="G3166" t="s">
        <v>428</v>
      </c>
      <c r="H3166" t="s">
        <v>401</v>
      </c>
      <c r="I3166" t="s">
        <v>402</v>
      </c>
      <c r="J3166" t="s">
        <v>3241</v>
      </c>
      <c r="K3166">
        <v>20220803</v>
      </c>
      <c r="L3166" t="s">
        <v>482</v>
      </c>
      <c r="M3166">
        <v>0</v>
      </c>
      <c r="N3166">
        <v>49</v>
      </c>
      <c r="O3166" t="s">
        <v>19</v>
      </c>
      <c r="P3166" t="s">
        <v>20</v>
      </c>
      <c r="Q3166">
        <v>20220803</v>
      </c>
    </row>
    <row r="3167" spans="1:17" x14ac:dyDescent="0.25">
      <c r="A3167" t="s">
        <v>476</v>
      </c>
      <c r="B3167" t="s">
        <v>477</v>
      </c>
      <c r="C3167">
        <v>109</v>
      </c>
      <c r="D3167">
        <v>20220803</v>
      </c>
      <c r="E3167">
        <f t="shared" si="49"/>
        <v>8</v>
      </c>
      <c r="F3167">
        <v>627000</v>
      </c>
      <c r="G3167" t="s">
        <v>480</v>
      </c>
      <c r="H3167" t="s">
        <v>401</v>
      </c>
      <c r="I3167" t="s">
        <v>402</v>
      </c>
      <c r="J3167" t="s">
        <v>3242</v>
      </c>
      <c r="K3167">
        <v>20220803</v>
      </c>
      <c r="L3167" t="s">
        <v>482</v>
      </c>
      <c r="M3167">
        <v>11.7</v>
      </c>
      <c r="N3167">
        <v>0</v>
      </c>
      <c r="O3167" t="s">
        <v>19</v>
      </c>
      <c r="P3167" t="s">
        <v>20</v>
      </c>
      <c r="Q3167">
        <v>20220803</v>
      </c>
    </row>
    <row r="3168" spans="1:17" x14ac:dyDescent="0.25">
      <c r="A3168" t="s">
        <v>476</v>
      </c>
      <c r="B3168" t="s">
        <v>477</v>
      </c>
      <c r="C3168">
        <v>109</v>
      </c>
      <c r="D3168">
        <v>20220803</v>
      </c>
      <c r="E3168">
        <f t="shared" si="49"/>
        <v>8</v>
      </c>
      <c r="F3168">
        <v>512000</v>
      </c>
      <c r="G3168" t="s">
        <v>428</v>
      </c>
      <c r="H3168" t="s">
        <v>401</v>
      </c>
      <c r="I3168" t="s">
        <v>402</v>
      </c>
      <c r="J3168" t="s">
        <v>3242</v>
      </c>
      <c r="K3168">
        <v>20220803</v>
      </c>
      <c r="L3168" t="s">
        <v>482</v>
      </c>
      <c r="M3168">
        <v>0</v>
      </c>
      <c r="N3168">
        <v>11.7</v>
      </c>
      <c r="O3168" t="s">
        <v>19</v>
      </c>
      <c r="P3168" t="s">
        <v>20</v>
      </c>
      <c r="Q3168">
        <v>20220803</v>
      </c>
    </row>
    <row r="3169" spans="1:17" x14ac:dyDescent="0.25">
      <c r="A3169" t="s">
        <v>476</v>
      </c>
      <c r="B3169" t="s">
        <v>477</v>
      </c>
      <c r="C3169">
        <v>109</v>
      </c>
      <c r="D3169">
        <v>20220803</v>
      </c>
      <c r="E3169">
        <f t="shared" si="49"/>
        <v>8</v>
      </c>
      <c r="F3169">
        <v>447000</v>
      </c>
      <c r="G3169" t="s">
        <v>419</v>
      </c>
      <c r="H3169" t="s">
        <v>401</v>
      </c>
      <c r="I3169" t="s">
        <v>402</v>
      </c>
      <c r="J3169" t="s">
        <v>3243</v>
      </c>
      <c r="K3169">
        <v>20220803</v>
      </c>
      <c r="L3169" t="s">
        <v>898</v>
      </c>
      <c r="M3169">
        <v>6961</v>
      </c>
      <c r="N3169">
        <v>0</v>
      </c>
      <c r="O3169" t="s">
        <v>23</v>
      </c>
      <c r="P3169">
        <v>20221005</v>
      </c>
      <c r="Q3169">
        <v>20220803</v>
      </c>
    </row>
    <row r="3170" spans="1:17" x14ac:dyDescent="0.25">
      <c r="A3170" t="s">
        <v>476</v>
      </c>
      <c r="B3170" t="s">
        <v>477</v>
      </c>
      <c r="C3170">
        <v>109</v>
      </c>
      <c r="D3170">
        <v>20220803</v>
      </c>
      <c r="E3170">
        <f t="shared" si="49"/>
        <v>8</v>
      </c>
      <c r="F3170">
        <v>512000</v>
      </c>
      <c r="G3170" t="s">
        <v>428</v>
      </c>
      <c r="H3170" t="s">
        <v>401</v>
      </c>
      <c r="I3170" t="s">
        <v>402</v>
      </c>
      <c r="J3170" t="s">
        <v>3243</v>
      </c>
      <c r="K3170">
        <v>20220803</v>
      </c>
      <c r="L3170" t="s">
        <v>898</v>
      </c>
      <c r="M3170">
        <v>0</v>
      </c>
      <c r="N3170">
        <v>6961</v>
      </c>
      <c r="O3170" t="s">
        <v>19</v>
      </c>
      <c r="P3170" t="s">
        <v>20</v>
      </c>
      <c r="Q3170">
        <v>20220803</v>
      </c>
    </row>
    <row r="3171" spans="1:17" x14ac:dyDescent="0.25">
      <c r="A3171" t="s">
        <v>476</v>
      </c>
      <c r="B3171" t="s">
        <v>477</v>
      </c>
      <c r="C3171">
        <v>109</v>
      </c>
      <c r="D3171">
        <v>20220804</v>
      </c>
      <c r="E3171">
        <f t="shared" si="49"/>
        <v>8</v>
      </c>
      <c r="F3171">
        <v>468200</v>
      </c>
      <c r="G3171" t="s">
        <v>421</v>
      </c>
      <c r="H3171" t="s">
        <v>401</v>
      </c>
      <c r="I3171" t="s">
        <v>402</v>
      </c>
      <c r="J3171" t="s">
        <v>3244</v>
      </c>
      <c r="K3171">
        <v>20220804</v>
      </c>
      <c r="L3171" t="s">
        <v>422</v>
      </c>
      <c r="M3171">
        <v>0</v>
      </c>
      <c r="N3171">
        <v>830.5</v>
      </c>
      <c r="O3171" t="s">
        <v>23</v>
      </c>
      <c r="P3171">
        <v>20230214</v>
      </c>
      <c r="Q3171">
        <v>20220804</v>
      </c>
    </row>
    <row r="3172" spans="1:17" x14ac:dyDescent="0.25">
      <c r="A3172" t="s">
        <v>476</v>
      </c>
      <c r="B3172" t="s">
        <v>477</v>
      </c>
      <c r="C3172">
        <v>109</v>
      </c>
      <c r="D3172">
        <v>20220804</v>
      </c>
      <c r="E3172">
        <f t="shared" si="49"/>
        <v>8</v>
      </c>
      <c r="F3172">
        <v>512000</v>
      </c>
      <c r="G3172" t="s">
        <v>428</v>
      </c>
      <c r="H3172" t="s">
        <v>401</v>
      </c>
      <c r="I3172" t="s">
        <v>402</v>
      </c>
      <c r="J3172" t="s">
        <v>3244</v>
      </c>
      <c r="K3172">
        <v>20220804</v>
      </c>
      <c r="L3172" t="s">
        <v>422</v>
      </c>
      <c r="M3172">
        <v>830.5</v>
      </c>
      <c r="N3172">
        <v>0</v>
      </c>
      <c r="O3172" t="s">
        <v>19</v>
      </c>
      <c r="P3172" t="s">
        <v>20</v>
      </c>
      <c r="Q3172">
        <v>20220804</v>
      </c>
    </row>
    <row r="3173" spans="1:17" x14ac:dyDescent="0.25">
      <c r="A3173" t="s">
        <v>476</v>
      </c>
      <c r="B3173" t="s">
        <v>477</v>
      </c>
      <c r="C3173">
        <v>109</v>
      </c>
      <c r="D3173">
        <v>20220805</v>
      </c>
      <c r="E3173">
        <f t="shared" si="49"/>
        <v>8</v>
      </c>
      <c r="F3173">
        <v>427003</v>
      </c>
      <c r="G3173" t="s">
        <v>905</v>
      </c>
      <c r="H3173" t="s">
        <v>401</v>
      </c>
      <c r="I3173" t="s">
        <v>402</v>
      </c>
      <c r="J3173" t="s">
        <v>3245</v>
      </c>
      <c r="K3173">
        <v>20220805</v>
      </c>
      <c r="L3173" t="s">
        <v>127</v>
      </c>
      <c r="M3173">
        <v>65</v>
      </c>
      <c r="N3173">
        <v>0</v>
      </c>
      <c r="O3173" t="s">
        <v>23</v>
      </c>
      <c r="P3173">
        <v>20221005</v>
      </c>
      <c r="Q3173">
        <v>20220805</v>
      </c>
    </row>
    <row r="3174" spans="1:17" x14ac:dyDescent="0.25">
      <c r="A3174" t="s">
        <v>476</v>
      </c>
      <c r="B3174" t="s">
        <v>477</v>
      </c>
      <c r="C3174">
        <v>109</v>
      </c>
      <c r="D3174">
        <v>20220805</v>
      </c>
      <c r="E3174">
        <f t="shared" si="49"/>
        <v>8</v>
      </c>
      <c r="F3174">
        <v>427003</v>
      </c>
      <c r="G3174" t="s">
        <v>905</v>
      </c>
      <c r="H3174" t="s">
        <v>401</v>
      </c>
      <c r="I3174" t="s">
        <v>402</v>
      </c>
      <c r="J3174" t="s">
        <v>3245</v>
      </c>
      <c r="K3174">
        <v>20220805</v>
      </c>
      <c r="L3174" t="s">
        <v>127</v>
      </c>
      <c r="M3174">
        <v>19.28</v>
      </c>
      <c r="N3174">
        <v>0</v>
      </c>
      <c r="O3174" t="s">
        <v>23</v>
      </c>
      <c r="P3174">
        <v>20221005</v>
      </c>
      <c r="Q3174">
        <v>20220805</v>
      </c>
    </row>
    <row r="3175" spans="1:17" x14ac:dyDescent="0.25">
      <c r="A3175" t="s">
        <v>476</v>
      </c>
      <c r="B3175" t="s">
        <v>477</v>
      </c>
      <c r="C3175">
        <v>109</v>
      </c>
      <c r="D3175">
        <v>20220805</v>
      </c>
      <c r="E3175">
        <f t="shared" si="49"/>
        <v>8</v>
      </c>
      <c r="F3175">
        <v>427004</v>
      </c>
      <c r="G3175" t="s">
        <v>908</v>
      </c>
      <c r="H3175" t="s">
        <v>401</v>
      </c>
      <c r="I3175" t="s">
        <v>402</v>
      </c>
      <c r="J3175" t="s">
        <v>3245</v>
      </c>
      <c r="K3175">
        <v>20220805</v>
      </c>
      <c r="L3175" t="s">
        <v>127</v>
      </c>
      <c r="M3175">
        <v>36</v>
      </c>
      <c r="N3175">
        <v>0</v>
      </c>
      <c r="O3175" t="s">
        <v>23</v>
      </c>
      <c r="P3175">
        <v>20221005</v>
      </c>
      <c r="Q3175">
        <v>20220805</v>
      </c>
    </row>
    <row r="3176" spans="1:17" x14ac:dyDescent="0.25">
      <c r="A3176" t="s">
        <v>476</v>
      </c>
      <c r="B3176" t="s">
        <v>477</v>
      </c>
      <c r="C3176">
        <v>109</v>
      </c>
      <c r="D3176">
        <v>20220805</v>
      </c>
      <c r="E3176">
        <f t="shared" si="49"/>
        <v>8</v>
      </c>
      <c r="F3176">
        <v>427004</v>
      </c>
      <c r="G3176" t="s">
        <v>908</v>
      </c>
      <c r="H3176" t="s">
        <v>401</v>
      </c>
      <c r="I3176" t="s">
        <v>402</v>
      </c>
      <c r="J3176" t="s">
        <v>3245</v>
      </c>
      <c r="K3176">
        <v>20220805</v>
      </c>
      <c r="L3176" t="s">
        <v>127</v>
      </c>
      <c r="M3176">
        <v>25</v>
      </c>
      <c r="N3176">
        <v>0</v>
      </c>
      <c r="O3176" t="s">
        <v>23</v>
      </c>
      <c r="P3176">
        <v>20221005</v>
      </c>
      <c r="Q3176">
        <v>20220805</v>
      </c>
    </row>
    <row r="3177" spans="1:17" x14ac:dyDescent="0.25">
      <c r="A3177" t="s">
        <v>476</v>
      </c>
      <c r="B3177" t="s">
        <v>477</v>
      </c>
      <c r="C3177">
        <v>109</v>
      </c>
      <c r="D3177">
        <v>20220805</v>
      </c>
      <c r="E3177">
        <f t="shared" si="49"/>
        <v>8</v>
      </c>
      <c r="F3177">
        <v>427004</v>
      </c>
      <c r="G3177" t="s">
        <v>908</v>
      </c>
      <c r="H3177" t="s">
        <v>401</v>
      </c>
      <c r="I3177" t="s">
        <v>402</v>
      </c>
      <c r="J3177" t="s">
        <v>3245</v>
      </c>
      <c r="K3177">
        <v>20220805</v>
      </c>
      <c r="L3177" t="s">
        <v>127</v>
      </c>
      <c r="M3177">
        <v>139</v>
      </c>
      <c r="N3177">
        <v>0</v>
      </c>
      <c r="O3177" t="s">
        <v>23</v>
      </c>
      <c r="P3177">
        <v>20221005</v>
      </c>
      <c r="Q3177">
        <v>20220805</v>
      </c>
    </row>
    <row r="3178" spans="1:17" x14ac:dyDescent="0.25">
      <c r="A3178" t="s">
        <v>476</v>
      </c>
      <c r="B3178" t="s">
        <v>477</v>
      </c>
      <c r="C3178">
        <v>109</v>
      </c>
      <c r="D3178">
        <v>20220805</v>
      </c>
      <c r="E3178">
        <f t="shared" si="49"/>
        <v>8</v>
      </c>
      <c r="F3178">
        <v>427004</v>
      </c>
      <c r="G3178" t="s">
        <v>908</v>
      </c>
      <c r="H3178" t="s">
        <v>401</v>
      </c>
      <c r="I3178" t="s">
        <v>402</v>
      </c>
      <c r="J3178" t="s">
        <v>3245</v>
      </c>
      <c r="K3178">
        <v>20220805</v>
      </c>
      <c r="L3178" t="s">
        <v>127</v>
      </c>
      <c r="M3178">
        <v>100</v>
      </c>
      <c r="N3178">
        <v>0</v>
      </c>
      <c r="O3178" t="s">
        <v>23</v>
      </c>
      <c r="P3178">
        <v>20221005</v>
      </c>
      <c r="Q3178">
        <v>20220805</v>
      </c>
    </row>
    <row r="3179" spans="1:17" x14ac:dyDescent="0.25">
      <c r="A3179" t="s">
        <v>476</v>
      </c>
      <c r="B3179" t="s">
        <v>477</v>
      </c>
      <c r="C3179">
        <v>109</v>
      </c>
      <c r="D3179">
        <v>20220805</v>
      </c>
      <c r="E3179">
        <f t="shared" si="49"/>
        <v>8</v>
      </c>
      <c r="F3179">
        <v>512000</v>
      </c>
      <c r="G3179" t="s">
        <v>428</v>
      </c>
      <c r="H3179" t="s">
        <v>401</v>
      </c>
      <c r="I3179" t="s">
        <v>402</v>
      </c>
      <c r="J3179" t="s">
        <v>3245</v>
      </c>
      <c r="K3179">
        <v>20220805</v>
      </c>
      <c r="L3179" t="s">
        <v>127</v>
      </c>
      <c r="M3179">
        <v>0</v>
      </c>
      <c r="N3179">
        <v>384.28</v>
      </c>
      <c r="O3179" t="s">
        <v>19</v>
      </c>
      <c r="P3179" t="s">
        <v>20</v>
      </c>
      <c r="Q3179">
        <v>20220805</v>
      </c>
    </row>
    <row r="3180" spans="1:17" x14ac:dyDescent="0.25">
      <c r="A3180" t="s">
        <v>476</v>
      </c>
      <c r="B3180" t="s">
        <v>477</v>
      </c>
      <c r="C3180">
        <v>109</v>
      </c>
      <c r="D3180">
        <v>20220805</v>
      </c>
      <c r="E3180">
        <f t="shared" si="49"/>
        <v>8</v>
      </c>
      <c r="F3180">
        <v>437100</v>
      </c>
      <c r="G3180" t="s">
        <v>436</v>
      </c>
      <c r="H3180" t="s">
        <v>401</v>
      </c>
      <c r="I3180" t="s">
        <v>402</v>
      </c>
      <c r="J3180" t="s">
        <v>3246</v>
      </c>
      <c r="K3180">
        <v>20220805</v>
      </c>
      <c r="L3180" t="s">
        <v>127</v>
      </c>
      <c r="M3180">
        <v>667.86</v>
      </c>
      <c r="N3180">
        <v>0</v>
      </c>
      <c r="O3180" t="s">
        <v>23</v>
      </c>
      <c r="P3180">
        <v>20220902</v>
      </c>
      <c r="Q3180">
        <v>20220805</v>
      </c>
    </row>
    <row r="3181" spans="1:17" x14ac:dyDescent="0.25">
      <c r="A3181" t="s">
        <v>476</v>
      </c>
      <c r="B3181" t="s">
        <v>477</v>
      </c>
      <c r="C3181">
        <v>109</v>
      </c>
      <c r="D3181">
        <v>20220805</v>
      </c>
      <c r="E3181">
        <f t="shared" si="49"/>
        <v>8</v>
      </c>
      <c r="F3181">
        <v>437100</v>
      </c>
      <c r="G3181" t="s">
        <v>436</v>
      </c>
      <c r="H3181" t="s">
        <v>401</v>
      </c>
      <c r="I3181" t="s">
        <v>402</v>
      </c>
      <c r="J3181" t="s">
        <v>3246</v>
      </c>
      <c r="K3181">
        <v>20220805</v>
      </c>
      <c r="L3181" t="s">
        <v>127</v>
      </c>
      <c r="M3181">
        <v>736.8</v>
      </c>
      <c r="N3181">
        <v>0</v>
      </c>
      <c r="O3181" t="s">
        <v>23</v>
      </c>
      <c r="P3181">
        <v>20220902</v>
      </c>
      <c r="Q3181">
        <v>20220805</v>
      </c>
    </row>
    <row r="3182" spans="1:17" x14ac:dyDescent="0.25">
      <c r="A3182" t="s">
        <v>476</v>
      </c>
      <c r="B3182" t="s">
        <v>477</v>
      </c>
      <c r="C3182">
        <v>109</v>
      </c>
      <c r="D3182">
        <v>20220805</v>
      </c>
      <c r="E3182">
        <f t="shared" si="49"/>
        <v>8</v>
      </c>
      <c r="F3182">
        <v>512000</v>
      </c>
      <c r="G3182" t="s">
        <v>428</v>
      </c>
      <c r="H3182" t="s">
        <v>401</v>
      </c>
      <c r="I3182" t="s">
        <v>402</v>
      </c>
      <c r="J3182" t="s">
        <v>3246</v>
      </c>
      <c r="K3182">
        <v>20220805</v>
      </c>
      <c r="L3182" t="s">
        <v>127</v>
      </c>
      <c r="M3182">
        <v>0</v>
      </c>
      <c r="N3182">
        <v>1404.66</v>
      </c>
      <c r="O3182" t="s">
        <v>19</v>
      </c>
      <c r="P3182" t="s">
        <v>20</v>
      </c>
      <c r="Q3182">
        <v>20220805</v>
      </c>
    </row>
    <row r="3183" spans="1:17" x14ac:dyDescent="0.25">
      <c r="A3183" t="s">
        <v>476</v>
      </c>
      <c r="B3183" t="s">
        <v>477</v>
      </c>
      <c r="C3183">
        <v>109</v>
      </c>
      <c r="D3183">
        <v>20220805</v>
      </c>
      <c r="E3183">
        <f t="shared" si="49"/>
        <v>8</v>
      </c>
      <c r="F3183">
        <v>401000</v>
      </c>
      <c r="G3183" t="s">
        <v>41</v>
      </c>
      <c r="H3183" t="s">
        <v>2767</v>
      </c>
      <c r="I3183" t="s">
        <v>2768</v>
      </c>
      <c r="J3183" t="s">
        <v>3247</v>
      </c>
      <c r="K3183">
        <v>20220805</v>
      </c>
      <c r="L3183" t="s">
        <v>163</v>
      </c>
      <c r="M3183">
        <v>2520</v>
      </c>
      <c r="N3183">
        <v>0</v>
      </c>
      <c r="O3183" t="s">
        <v>23</v>
      </c>
      <c r="P3183">
        <v>20220831</v>
      </c>
      <c r="Q3183">
        <v>20220805</v>
      </c>
    </row>
    <row r="3184" spans="1:17" x14ac:dyDescent="0.25">
      <c r="A3184" t="s">
        <v>476</v>
      </c>
      <c r="B3184" t="s">
        <v>477</v>
      </c>
      <c r="C3184">
        <v>109</v>
      </c>
      <c r="D3184">
        <v>20220805</v>
      </c>
      <c r="E3184">
        <f t="shared" si="49"/>
        <v>8</v>
      </c>
      <c r="F3184">
        <v>401000</v>
      </c>
      <c r="G3184" t="s">
        <v>41</v>
      </c>
      <c r="H3184" t="s">
        <v>58</v>
      </c>
      <c r="I3184" t="s">
        <v>59</v>
      </c>
      <c r="J3184" t="s">
        <v>3247</v>
      </c>
      <c r="K3184">
        <v>20220805</v>
      </c>
      <c r="L3184" t="s">
        <v>163</v>
      </c>
      <c r="M3184">
        <v>434.01</v>
      </c>
      <c r="N3184">
        <v>0</v>
      </c>
      <c r="O3184" t="s">
        <v>23</v>
      </c>
      <c r="P3184">
        <v>20220830</v>
      </c>
      <c r="Q3184">
        <v>20220805</v>
      </c>
    </row>
    <row r="3185" spans="1:17" x14ac:dyDescent="0.25">
      <c r="A3185" t="s">
        <v>476</v>
      </c>
      <c r="B3185" t="s">
        <v>477</v>
      </c>
      <c r="C3185">
        <v>109</v>
      </c>
      <c r="D3185">
        <v>20220805</v>
      </c>
      <c r="E3185">
        <f t="shared" si="49"/>
        <v>8</v>
      </c>
      <c r="F3185">
        <v>401000</v>
      </c>
      <c r="G3185" t="s">
        <v>41</v>
      </c>
      <c r="H3185" t="s">
        <v>842</v>
      </c>
      <c r="I3185" t="s">
        <v>843</v>
      </c>
      <c r="J3185" t="s">
        <v>3247</v>
      </c>
      <c r="K3185">
        <v>20220805</v>
      </c>
      <c r="L3185" t="s">
        <v>163</v>
      </c>
      <c r="M3185">
        <v>190</v>
      </c>
      <c r="N3185">
        <v>0</v>
      </c>
      <c r="O3185" t="s">
        <v>23</v>
      </c>
      <c r="P3185">
        <v>20220831</v>
      </c>
      <c r="Q3185">
        <v>20220805</v>
      </c>
    </row>
    <row r="3186" spans="1:17" x14ac:dyDescent="0.25">
      <c r="A3186" t="s">
        <v>476</v>
      </c>
      <c r="B3186" t="s">
        <v>477</v>
      </c>
      <c r="C3186">
        <v>109</v>
      </c>
      <c r="D3186">
        <v>20220805</v>
      </c>
      <c r="E3186">
        <f t="shared" si="49"/>
        <v>8</v>
      </c>
      <c r="F3186">
        <v>401000</v>
      </c>
      <c r="G3186" t="s">
        <v>41</v>
      </c>
      <c r="H3186" t="s">
        <v>67</v>
      </c>
      <c r="I3186" t="s">
        <v>68</v>
      </c>
      <c r="J3186" t="s">
        <v>3247</v>
      </c>
      <c r="K3186">
        <v>20220805</v>
      </c>
      <c r="L3186" t="s">
        <v>163</v>
      </c>
      <c r="M3186">
        <v>420.06</v>
      </c>
      <c r="N3186">
        <v>0</v>
      </c>
      <c r="O3186" t="s">
        <v>23</v>
      </c>
      <c r="P3186">
        <v>20220831</v>
      </c>
      <c r="Q3186">
        <v>20220805</v>
      </c>
    </row>
    <row r="3187" spans="1:17" x14ac:dyDescent="0.25">
      <c r="A3187" t="s">
        <v>476</v>
      </c>
      <c r="B3187" t="s">
        <v>477</v>
      </c>
      <c r="C3187">
        <v>109</v>
      </c>
      <c r="D3187">
        <v>20220805</v>
      </c>
      <c r="E3187">
        <f t="shared" si="49"/>
        <v>8</v>
      </c>
      <c r="F3187">
        <v>467100</v>
      </c>
      <c r="G3187" t="s">
        <v>160</v>
      </c>
      <c r="H3187" t="s">
        <v>172</v>
      </c>
      <c r="I3187" t="s">
        <v>173</v>
      </c>
      <c r="J3187" t="s">
        <v>3247</v>
      </c>
      <c r="K3187">
        <v>20220805</v>
      </c>
      <c r="L3187" t="s">
        <v>163</v>
      </c>
      <c r="M3187">
        <v>84.6</v>
      </c>
      <c r="N3187">
        <v>0</v>
      </c>
      <c r="O3187" t="s">
        <v>23</v>
      </c>
      <c r="P3187">
        <v>20220831</v>
      </c>
      <c r="Q3187">
        <v>20220805</v>
      </c>
    </row>
    <row r="3188" spans="1:17" x14ac:dyDescent="0.25">
      <c r="A3188" t="s">
        <v>476</v>
      </c>
      <c r="B3188" t="s">
        <v>477</v>
      </c>
      <c r="C3188">
        <v>109</v>
      </c>
      <c r="D3188">
        <v>20220805</v>
      </c>
      <c r="E3188">
        <f t="shared" si="49"/>
        <v>8</v>
      </c>
      <c r="F3188">
        <v>401000</v>
      </c>
      <c r="G3188" t="s">
        <v>41</v>
      </c>
      <c r="H3188" t="s">
        <v>1651</v>
      </c>
      <c r="I3188" t="s">
        <v>1652</v>
      </c>
      <c r="J3188" t="s">
        <v>3247</v>
      </c>
      <c r="K3188">
        <v>20220805</v>
      </c>
      <c r="L3188" t="s">
        <v>163</v>
      </c>
      <c r="M3188">
        <v>80</v>
      </c>
      <c r="N3188">
        <v>0</v>
      </c>
      <c r="O3188" t="s">
        <v>23</v>
      </c>
      <c r="P3188">
        <v>20220831</v>
      </c>
      <c r="Q3188">
        <v>20220805</v>
      </c>
    </row>
    <row r="3189" spans="1:17" x14ac:dyDescent="0.25">
      <c r="A3189" t="s">
        <v>476</v>
      </c>
      <c r="B3189" t="s">
        <v>477</v>
      </c>
      <c r="C3189">
        <v>109</v>
      </c>
      <c r="D3189">
        <v>20220805</v>
      </c>
      <c r="E3189">
        <f t="shared" si="49"/>
        <v>8</v>
      </c>
      <c r="F3189">
        <v>401000</v>
      </c>
      <c r="G3189" t="s">
        <v>41</v>
      </c>
      <c r="H3189" t="s">
        <v>2061</v>
      </c>
      <c r="I3189" t="s">
        <v>2062</v>
      </c>
      <c r="J3189" t="s">
        <v>3247</v>
      </c>
      <c r="K3189">
        <v>20220805</v>
      </c>
      <c r="L3189" t="s">
        <v>163</v>
      </c>
      <c r="M3189">
        <v>396</v>
      </c>
      <c r="N3189">
        <v>0</v>
      </c>
      <c r="O3189" t="s">
        <v>23</v>
      </c>
      <c r="P3189">
        <v>20220830</v>
      </c>
      <c r="Q3189">
        <v>20220805</v>
      </c>
    </row>
    <row r="3190" spans="1:17" x14ac:dyDescent="0.25">
      <c r="A3190" t="s">
        <v>476</v>
      </c>
      <c r="B3190" t="s">
        <v>477</v>
      </c>
      <c r="C3190">
        <v>109</v>
      </c>
      <c r="D3190">
        <v>20220805</v>
      </c>
      <c r="E3190">
        <f t="shared" si="49"/>
        <v>8</v>
      </c>
      <c r="F3190">
        <v>401000</v>
      </c>
      <c r="G3190" t="s">
        <v>41</v>
      </c>
      <c r="H3190" t="s">
        <v>393</v>
      </c>
      <c r="I3190" t="s">
        <v>394</v>
      </c>
      <c r="J3190" t="s">
        <v>3247</v>
      </c>
      <c r="K3190">
        <v>20220805</v>
      </c>
      <c r="L3190" t="s">
        <v>163</v>
      </c>
      <c r="M3190">
        <v>100</v>
      </c>
      <c r="N3190">
        <v>0</v>
      </c>
      <c r="O3190" t="s">
        <v>23</v>
      </c>
      <c r="P3190">
        <v>20230327</v>
      </c>
      <c r="Q3190">
        <v>20220805</v>
      </c>
    </row>
    <row r="3191" spans="1:17" x14ac:dyDescent="0.25">
      <c r="A3191" t="s">
        <v>476</v>
      </c>
      <c r="B3191" t="s">
        <v>477</v>
      </c>
      <c r="C3191">
        <v>109</v>
      </c>
      <c r="D3191">
        <v>20220805</v>
      </c>
      <c r="E3191">
        <f t="shared" si="49"/>
        <v>8</v>
      </c>
      <c r="F3191">
        <v>512000</v>
      </c>
      <c r="G3191" t="s">
        <v>428</v>
      </c>
      <c r="H3191" t="s">
        <v>401</v>
      </c>
      <c r="I3191" t="s">
        <v>402</v>
      </c>
      <c r="J3191" t="s">
        <v>3247</v>
      </c>
      <c r="K3191">
        <v>20220805</v>
      </c>
      <c r="L3191" t="s">
        <v>163</v>
      </c>
      <c r="M3191">
        <v>0</v>
      </c>
      <c r="N3191">
        <v>4224.67</v>
      </c>
      <c r="O3191" t="s">
        <v>19</v>
      </c>
      <c r="P3191" t="s">
        <v>20</v>
      </c>
      <c r="Q3191">
        <v>20220805</v>
      </c>
    </row>
    <row r="3192" spans="1:17" x14ac:dyDescent="0.25">
      <c r="A3192" t="s">
        <v>476</v>
      </c>
      <c r="B3192" t="s">
        <v>477</v>
      </c>
      <c r="C3192">
        <v>109</v>
      </c>
      <c r="D3192">
        <v>20220805</v>
      </c>
      <c r="E3192">
        <f t="shared" si="49"/>
        <v>8</v>
      </c>
      <c r="F3192">
        <v>401000</v>
      </c>
      <c r="G3192" t="s">
        <v>41</v>
      </c>
      <c r="H3192" t="s">
        <v>1649</v>
      </c>
      <c r="I3192" t="s">
        <v>1650</v>
      </c>
      <c r="J3192" t="s">
        <v>3248</v>
      </c>
      <c r="K3192">
        <v>20220805</v>
      </c>
      <c r="L3192" t="s">
        <v>163</v>
      </c>
      <c r="M3192">
        <v>203.22</v>
      </c>
      <c r="N3192">
        <v>0</v>
      </c>
      <c r="O3192" t="s">
        <v>22</v>
      </c>
      <c r="P3192">
        <v>20220805</v>
      </c>
      <c r="Q3192">
        <v>20220805</v>
      </c>
    </row>
    <row r="3193" spans="1:17" x14ac:dyDescent="0.25">
      <c r="A3193" t="s">
        <v>476</v>
      </c>
      <c r="B3193" t="s">
        <v>477</v>
      </c>
      <c r="C3193">
        <v>109</v>
      </c>
      <c r="D3193">
        <v>20220805</v>
      </c>
      <c r="E3193">
        <f t="shared" si="49"/>
        <v>8</v>
      </c>
      <c r="F3193">
        <v>512000</v>
      </c>
      <c r="G3193" t="s">
        <v>428</v>
      </c>
      <c r="H3193" t="s">
        <v>401</v>
      </c>
      <c r="I3193" t="s">
        <v>402</v>
      </c>
      <c r="J3193" t="s">
        <v>3248</v>
      </c>
      <c r="K3193">
        <v>20220805</v>
      </c>
      <c r="L3193" t="s">
        <v>163</v>
      </c>
      <c r="M3193">
        <v>0</v>
      </c>
      <c r="N3193">
        <v>203.22</v>
      </c>
      <c r="O3193" t="s">
        <v>19</v>
      </c>
      <c r="P3193" t="s">
        <v>20</v>
      </c>
      <c r="Q3193">
        <v>20220805</v>
      </c>
    </row>
    <row r="3194" spans="1:17" x14ac:dyDescent="0.25">
      <c r="A3194" t="s">
        <v>476</v>
      </c>
      <c r="B3194" t="s">
        <v>477</v>
      </c>
      <c r="C3194">
        <v>109</v>
      </c>
      <c r="D3194">
        <v>20220805</v>
      </c>
      <c r="E3194">
        <f t="shared" si="49"/>
        <v>8</v>
      </c>
      <c r="F3194">
        <v>401000</v>
      </c>
      <c r="G3194" t="s">
        <v>41</v>
      </c>
      <c r="H3194" t="s">
        <v>225</v>
      </c>
      <c r="I3194" t="s">
        <v>226</v>
      </c>
      <c r="J3194" t="s">
        <v>3249</v>
      </c>
      <c r="K3194">
        <v>20220805</v>
      </c>
      <c r="L3194" t="s">
        <v>488</v>
      </c>
      <c r="M3194">
        <v>475.4</v>
      </c>
      <c r="N3194">
        <v>0</v>
      </c>
      <c r="O3194" t="s">
        <v>23</v>
      </c>
      <c r="P3194">
        <v>20221005</v>
      </c>
      <c r="Q3194">
        <v>20220805</v>
      </c>
    </row>
    <row r="3195" spans="1:17" x14ac:dyDescent="0.25">
      <c r="A3195" t="s">
        <v>476</v>
      </c>
      <c r="B3195" t="s">
        <v>477</v>
      </c>
      <c r="C3195">
        <v>109</v>
      </c>
      <c r="D3195">
        <v>20220805</v>
      </c>
      <c r="E3195">
        <f t="shared" si="49"/>
        <v>8</v>
      </c>
      <c r="F3195">
        <v>512000</v>
      </c>
      <c r="G3195" t="s">
        <v>428</v>
      </c>
      <c r="H3195" t="s">
        <v>401</v>
      </c>
      <c r="I3195" t="s">
        <v>402</v>
      </c>
      <c r="J3195" t="s">
        <v>3249</v>
      </c>
      <c r="K3195">
        <v>20220805</v>
      </c>
      <c r="L3195" t="s">
        <v>488</v>
      </c>
      <c r="M3195">
        <v>0</v>
      </c>
      <c r="N3195">
        <v>475.4</v>
      </c>
      <c r="O3195" t="s">
        <v>19</v>
      </c>
      <c r="P3195" t="s">
        <v>20</v>
      </c>
      <c r="Q3195">
        <v>20220805</v>
      </c>
    </row>
    <row r="3196" spans="1:17" x14ac:dyDescent="0.25">
      <c r="A3196" t="s">
        <v>476</v>
      </c>
      <c r="B3196" t="s">
        <v>477</v>
      </c>
      <c r="C3196">
        <v>109</v>
      </c>
      <c r="D3196">
        <v>20220805</v>
      </c>
      <c r="E3196">
        <f t="shared" si="49"/>
        <v>8</v>
      </c>
      <c r="F3196">
        <v>468725</v>
      </c>
      <c r="G3196" t="s">
        <v>424</v>
      </c>
      <c r="H3196" t="s">
        <v>401</v>
      </c>
      <c r="I3196" t="s">
        <v>402</v>
      </c>
      <c r="J3196" t="s">
        <v>3250</v>
      </c>
      <c r="K3196">
        <v>20220805</v>
      </c>
      <c r="L3196" t="s">
        <v>901</v>
      </c>
      <c r="M3196">
        <v>0</v>
      </c>
      <c r="N3196">
        <v>666.66</v>
      </c>
      <c r="O3196" t="s">
        <v>23</v>
      </c>
      <c r="P3196">
        <v>20230105</v>
      </c>
      <c r="Q3196">
        <v>20220805</v>
      </c>
    </row>
    <row r="3197" spans="1:17" x14ac:dyDescent="0.25">
      <c r="A3197" t="s">
        <v>476</v>
      </c>
      <c r="B3197" t="s">
        <v>477</v>
      </c>
      <c r="C3197">
        <v>109</v>
      </c>
      <c r="D3197">
        <v>20220805</v>
      </c>
      <c r="E3197">
        <f t="shared" si="49"/>
        <v>8</v>
      </c>
      <c r="F3197">
        <v>512000</v>
      </c>
      <c r="G3197" t="s">
        <v>428</v>
      </c>
      <c r="H3197" t="s">
        <v>401</v>
      </c>
      <c r="I3197" t="s">
        <v>402</v>
      </c>
      <c r="J3197" t="s">
        <v>3250</v>
      </c>
      <c r="K3197">
        <v>20220805</v>
      </c>
      <c r="L3197" t="s">
        <v>901</v>
      </c>
      <c r="M3197">
        <v>666.66</v>
      </c>
      <c r="N3197">
        <v>0</v>
      </c>
      <c r="O3197" t="s">
        <v>19</v>
      </c>
      <c r="P3197" t="s">
        <v>20</v>
      </c>
      <c r="Q3197">
        <v>20220805</v>
      </c>
    </row>
    <row r="3198" spans="1:17" x14ac:dyDescent="0.25">
      <c r="A3198" t="s">
        <v>476</v>
      </c>
      <c r="B3198" t="s">
        <v>477</v>
      </c>
      <c r="C3198">
        <v>109</v>
      </c>
      <c r="D3198">
        <v>20220805</v>
      </c>
      <c r="E3198">
        <f t="shared" si="49"/>
        <v>8</v>
      </c>
      <c r="F3198">
        <v>468740</v>
      </c>
      <c r="G3198" t="s">
        <v>426</v>
      </c>
      <c r="H3198" t="s">
        <v>401</v>
      </c>
      <c r="I3198" t="s">
        <v>402</v>
      </c>
      <c r="J3198" t="s">
        <v>3251</v>
      </c>
      <c r="K3198">
        <v>20220805</v>
      </c>
      <c r="L3198" t="s">
        <v>3252</v>
      </c>
      <c r="M3198">
        <v>0</v>
      </c>
      <c r="N3198">
        <v>169.2</v>
      </c>
      <c r="O3198" t="s">
        <v>23</v>
      </c>
      <c r="P3198">
        <v>20221006</v>
      </c>
      <c r="Q3198">
        <v>20220805</v>
      </c>
    </row>
    <row r="3199" spans="1:17" x14ac:dyDescent="0.25">
      <c r="A3199" t="s">
        <v>476</v>
      </c>
      <c r="B3199" t="s">
        <v>477</v>
      </c>
      <c r="C3199">
        <v>109</v>
      </c>
      <c r="D3199">
        <v>20220805</v>
      </c>
      <c r="E3199">
        <f t="shared" si="49"/>
        <v>8</v>
      </c>
      <c r="F3199">
        <v>512000</v>
      </c>
      <c r="G3199" t="s">
        <v>428</v>
      </c>
      <c r="H3199" t="s">
        <v>401</v>
      </c>
      <c r="I3199" t="s">
        <v>402</v>
      </c>
      <c r="J3199" t="s">
        <v>3251</v>
      </c>
      <c r="K3199">
        <v>20220805</v>
      </c>
      <c r="L3199" t="s">
        <v>3252</v>
      </c>
      <c r="M3199">
        <v>169.2</v>
      </c>
      <c r="N3199">
        <v>0</v>
      </c>
      <c r="O3199" t="s">
        <v>19</v>
      </c>
      <c r="P3199" t="s">
        <v>20</v>
      </c>
      <c r="Q3199">
        <v>20220805</v>
      </c>
    </row>
    <row r="3200" spans="1:17" x14ac:dyDescent="0.25">
      <c r="A3200" t="s">
        <v>476</v>
      </c>
      <c r="B3200" t="s">
        <v>477</v>
      </c>
      <c r="C3200">
        <v>109</v>
      </c>
      <c r="D3200">
        <v>20220812</v>
      </c>
      <c r="E3200">
        <f t="shared" si="49"/>
        <v>8</v>
      </c>
      <c r="F3200">
        <v>437000</v>
      </c>
      <c r="G3200" t="s">
        <v>430</v>
      </c>
      <c r="H3200" t="s">
        <v>401</v>
      </c>
      <c r="I3200" t="s">
        <v>402</v>
      </c>
      <c r="J3200" t="s">
        <v>3253</v>
      </c>
      <c r="K3200">
        <v>20220812</v>
      </c>
      <c r="L3200" t="s">
        <v>497</v>
      </c>
      <c r="M3200">
        <v>1751.36</v>
      </c>
      <c r="N3200">
        <v>0</v>
      </c>
      <c r="O3200" t="s">
        <v>19</v>
      </c>
      <c r="P3200" t="s">
        <v>20</v>
      </c>
      <c r="Q3200">
        <v>20220812</v>
      </c>
    </row>
    <row r="3201" spans="1:17" x14ac:dyDescent="0.25">
      <c r="A3201" t="s">
        <v>476</v>
      </c>
      <c r="B3201" t="s">
        <v>477</v>
      </c>
      <c r="C3201">
        <v>109</v>
      </c>
      <c r="D3201">
        <v>20220812</v>
      </c>
      <c r="E3201">
        <f t="shared" si="49"/>
        <v>8</v>
      </c>
      <c r="F3201">
        <v>512000</v>
      </c>
      <c r="G3201" t="s">
        <v>428</v>
      </c>
      <c r="H3201" t="s">
        <v>401</v>
      </c>
      <c r="I3201" t="s">
        <v>402</v>
      </c>
      <c r="J3201" t="s">
        <v>3253</v>
      </c>
      <c r="K3201">
        <v>20220812</v>
      </c>
      <c r="L3201" t="s">
        <v>497</v>
      </c>
      <c r="M3201">
        <v>0</v>
      </c>
      <c r="N3201">
        <v>1751.36</v>
      </c>
      <c r="O3201" t="s">
        <v>19</v>
      </c>
      <c r="P3201" t="s">
        <v>20</v>
      </c>
      <c r="Q3201">
        <v>20220812</v>
      </c>
    </row>
    <row r="3202" spans="1:17" x14ac:dyDescent="0.25">
      <c r="A3202" t="s">
        <v>476</v>
      </c>
      <c r="B3202" t="s">
        <v>477</v>
      </c>
      <c r="C3202">
        <v>109</v>
      </c>
      <c r="D3202">
        <v>20220816</v>
      </c>
      <c r="E3202">
        <f t="shared" si="49"/>
        <v>8</v>
      </c>
      <c r="F3202">
        <v>447000</v>
      </c>
      <c r="G3202" t="s">
        <v>419</v>
      </c>
      <c r="H3202" t="s">
        <v>401</v>
      </c>
      <c r="I3202" t="s">
        <v>402</v>
      </c>
      <c r="J3202" t="s">
        <v>3254</v>
      </c>
      <c r="K3202">
        <v>20220816</v>
      </c>
      <c r="L3202" t="s">
        <v>898</v>
      </c>
      <c r="M3202">
        <v>7940</v>
      </c>
      <c r="N3202">
        <v>0</v>
      </c>
      <c r="O3202" t="s">
        <v>23</v>
      </c>
      <c r="P3202">
        <v>20221005</v>
      </c>
      <c r="Q3202">
        <v>20220816</v>
      </c>
    </row>
    <row r="3203" spans="1:17" x14ac:dyDescent="0.25">
      <c r="A3203" t="s">
        <v>476</v>
      </c>
      <c r="B3203" t="s">
        <v>477</v>
      </c>
      <c r="C3203">
        <v>109</v>
      </c>
      <c r="D3203">
        <v>20220816</v>
      </c>
      <c r="E3203">
        <f t="shared" ref="E3203:E3266" si="50">VALUE(MID(D3203,5,2))</f>
        <v>8</v>
      </c>
      <c r="F3203">
        <v>512000</v>
      </c>
      <c r="G3203" t="s">
        <v>428</v>
      </c>
      <c r="H3203" t="s">
        <v>401</v>
      </c>
      <c r="I3203" t="s">
        <v>402</v>
      </c>
      <c r="J3203" t="s">
        <v>3254</v>
      </c>
      <c r="K3203">
        <v>20220816</v>
      </c>
      <c r="L3203" t="s">
        <v>898</v>
      </c>
      <c r="M3203">
        <v>0</v>
      </c>
      <c r="N3203">
        <v>7940</v>
      </c>
      <c r="O3203" t="s">
        <v>19</v>
      </c>
      <c r="P3203" t="s">
        <v>20</v>
      </c>
      <c r="Q3203">
        <v>20220816</v>
      </c>
    </row>
    <row r="3204" spans="1:17" x14ac:dyDescent="0.25">
      <c r="A3204" t="s">
        <v>476</v>
      </c>
      <c r="B3204" t="s">
        <v>477</v>
      </c>
      <c r="C3204">
        <v>109</v>
      </c>
      <c r="D3204">
        <v>20220817</v>
      </c>
      <c r="E3204">
        <f t="shared" si="50"/>
        <v>8</v>
      </c>
      <c r="F3204">
        <v>431000</v>
      </c>
      <c r="G3204" t="s">
        <v>408</v>
      </c>
      <c r="H3204" t="s">
        <v>401</v>
      </c>
      <c r="I3204" t="s">
        <v>402</v>
      </c>
      <c r="J3204" t="s">
        <v>3255</v>
      </c>
      <c r="K3204">
        <v>20220817</v>
      </c>
      <c r="L3204" t="s">
        <v>409</v>
      </c>
      <c r="M3204">
        <v>44733</v>
      </c>
      <c r="N3204">
        <v>0</v>
      </c>
      <c r="O3204" t="s">
        <v>23</v>
      </c>
      <c r="P3204">
        <v>20230218</v>
      </c>
      <c r="Q3204">
        <v>20220817</v>
      </c>
    </row>
    <row r="3205" spans="1:17" x14ac:dyDescent="0.25">
      <c r="A3205" t="s">
        <v>476</v>
      </c>
      <c r="B3205" t="s">
        <v>477</v>
      </c>
      <c r="C3205">
        <v>109</v>
      </c>
      <c r="D3205">
        <v>20220817</v>
      </c>
      <c r="E3205">
        <f t="shared" si="50"/>
        <v>8</v>
      </c>
      <c r="F3205">
        <v>512000</v>
      </c>
      <c r="G3205" t="s">
        <v>428</v>
      </c>
      <c r="H3205" t="s">
        <v>401</v>
      </c>
      <c r="I3205" t="s">
        <v>402</v>
      </c>
      <c r="J3205" t="s">
        <v>3255</v>
      </c>
      <c r="K3205">
        <v>20220817</v>
      </c>
      <c r="L3205" t="s">
        <v>409</v>
      </c>
      <c r="M3205">
        <v>0</v>
      </c>
      <c r="N3205">
        <v>44733</v>
      </c>
      <c r="O3205" t="s">
        <v>19</v>
      </c>
      <c r="P3205" t="s">
        <v>20</v>
      </c>
      <c r="Q3205">
        <v>20220817</v>
      </c>
    </row>
    <row r="3206" spans="1:17" x14ac:dyDescent="0.25">
      <c r="A3206" t="s">
        <v>476</v>
      </c>
      <c r="B3206" t="s">
        <v>477</v>
      </c>
      <c r="C3206">
        <v>109</v>
      </c>
      <c r="D3206">
        <v>20220817</v>
      </c>
      <c r="E3206">
        <f t="shared" si="50"/>
        <v>8</v>
      </c>
      <c r="F3206">
        <v>468730</v>
      </c>
      <c r="G3206" t="s">
        <v>2371</v>
      </c>
      <c r="H3206" t="s">
        <v>401</v>
      </c>
      <c r="I3206" t="s">
        <v>402</v>
      </c>
      <c r="J3206" t="s">
        <v>3256</v>
      </c>
      <c r="K3206">
        <v>20220817</v>
      </c>
      <c r="L3206" t="s">
        <v>3257</v>
      </c>
      <c r="M3206">
        <v>0</v>
      </c>
      <c r="N3206">
        <v>21000</v>
      </c>
      <c r="O3206" t="s">
        <v>23</v>
      </c>
      <c r="P3206">
        <v>20221005</v>
      </c>
      <c r="Q3206">
        <v>20220817</v>
      </c>
    </row>
    <row r="3207" spans="1:17" x14ac:dyDescent="0.25">
      <c r="A3207" t="s">
        <v>476</v>
      </c>
      <c r="B3207" t="s">
        <v>477</v>
      </c>
      <c r="C3207">
        <v>109</v>
      </c>
      <c r="D3207">
        <v>20220817</v>
      </c>
      <c r="E3207">
        <f t="shared" si="50"/>
        <v>8</v>
      </c>
      <c r="F3207">
        <v>512000</v>
      </c>
      <c r="G3207" t="s">
        <v>428</v>
      </c>
      <c r="H3207" t="s">
        <v>401</v>
      </c>
      <c r="I3207" t="s">
        <v>402</v>
      </c>
      <c r="J3207" t="s">
        <v>3256</v>
      </c>
      <c r="K3207">
        <v>20220817</v>
      </c>
      <c r="L3207" t="s">
        <v>3257</v>
      </c>
      <c r="M3207">
        <v>21000</v>
      </c>
      <c r="N3207">
        <v>0</v>
      </c>
      <c r="O3207" t="s">
        <v>19</v>
      </c>
      <c r="P3207" t="s">
        <v>20</v>
      </c>
      <c r="Q3207">
        <v>20220817</v>
      </c>
    </row>
    <row r="3208" spans="1:17" x14ac:dyDescent="0.25">
      <c r="A3208" t="s">
        <v>476</v>
      </c>
      <c r="B3208" t="s">
        <v>477</v>
      </c>
      <c r="C3208">
        <v>109</v>
      </c>
      <c r="D3208">
        <v>20220817</v>
      </c>
      <c r="E3208">
        <f t="shared" si="50"/>
        <v>8</v>
      </c>
      <c r="F3208">
        <v>468730</v>
      </c>
      <c r="G3208" t="s">
        <v>2371</v>
      </c>
      <c r="H3208" t="s">
        <v>401</v>
      </c>
      <c r="I3208" t="s">
        <v>402</v>
      </c>
      <c r="J3208" t="s">
        <v>3258</v>
      </c>
      <c r="K3208">
        <v>20220817</v>
      </c>
      <c r="L3208" t="s">
        <v>3257</v>
      </c>
      <c r="M3208">
        <v>0</v>
      </c>
      <c r="N3208">
        <v>8000</v>
      </c>
      <c r="O3208" t="s">
        <v>23</v>
      </c>
      <c r="P3208">
        <v>20221005</v>
      </c>
      <c r="Q3208">
        <v>20220817</v>
      </c>
    </row>
    <row r="3209" spans="1:17" x14ac:dyDescent="0.25">
      <c r="A3209" t="s">
        <v>476</v>
      </c>
      <c r="B3209" t="s">
        <v>477</v>
      </c>
      <c r="C3209">
        <v>109</v>
      </c>
      <c r="D3209">
        <v>20220817</v>
      </c>
      <c r="E3209">
        <f t="shared" si="50"/>
        <v>8</v>
      </c>
      <c r="F3209">
        <v>512000</v>
      </c>
      <c r="G3209" t="s">
        <v>428</v>
      </c>
      <c r="H3209" t="s">
        <v>401</v>
      </c>
      <c r="I3209" t="s">
        <v>402</v>
      </c>
      <c r="J3209" t="s">
        <v>3258</v>
      </c>
      <c r="K3209">
        <v>20220817</v>
      </c>
      <c r="L3209" t="s">
        <v>3257</v>
      </c>
      <c r="M3209">
        <v>8000</v>
      </c>
      <c r="N3209">
        <v>0</v>
      </c>
      <c r="O3209" t="s">
        <v>19</v>
      </c>
      <c r="P3209" t="s">
        <v>20</v>
      </c>
      <c r="Q3209">
        <v>20220817</v>
      </c>
    </row>
    <row r="3210" spans="1:17" x14ac:dyDescent="0.25">
      <c r="A3210" t="s">
        <v>476</v>
      </c>
      <c r="B3210" t="s">
        <v>477</v>
      </c>
      <c r="C3210">
        <v>109</v>
      </c>
      <c r="D3210">
        <v>20220817</v>
      </c>
      <c r="E3210">
        <f t="shared" si="50"/>
        <v>8</v>
      </c>
      <c r="F3210">
        <v>468730</v>
      </c>
      <c r="G3210" t="s">
        <v>2371</v>
      </c>
      <c r="H3210" t="s">
        <v>401</v>
      </c>
      <c r="I3210" t="s">
        <v>402</v>
      </c>
      <c r="J3210" t="s">
        <v>3259</v>
      </c>
      <c r="K3210">
        <v>20220817</v>
      </c>
      <c r="L3210" t="s">
        <v>3257</v>
      </c>
      <c r="M3210">
        <v>0</v>
      </c>
      <c r="N3210">
        <v>7000</v>
      </c>
      <c r="O3210" t="s">
        <v>23</v>
      </c>
      <c r="P3210">
        <v>20221005</v>
      </c>
      <c r="Q3210">
        <v>20220817</v>
      </c>
    </row>
    <row r="3211" spans="1:17" x14ac:dyDescent="0.25">
      <c r="A3211" t="s">
        <v>476</v>
      </c>
      <c r="B3211" t="s">
        <v>477</v>
      </c>
      <c r="C3211">
        <v>109</v>
      </c>
      <c r="D3211">
        <v>20220817</v>
      </c>
      <c r="E3211">
        <f t="shared" si="50"/>
        <v>8</v>
      </c>
      <c r="F3211">
        <v>512000</v>
      </c>
      <c r="G3211" t="s">
        <v>428</v>
      </c>
      <c r="H3211" t="s">
        <v>401</v>
      </c>
      <c r="I3211" t="s">
        <v>402</v>
      </c>
      <c r="J3211" t="s">
        <v>3259</v>
      </c>
      <c r="K3211">
        <v>20220817</v>
      </c>
      <c r="L3211" t="s">
        <v>3257</v>
      </c>
      <c r="M3211">
        <v>7000</v>
      </c>
      <c r="N3211">
        <v>0</v>
      </c>
      <c r="O3211" t="s">
        <v>19</v>
      </c>
      <c r="P3211" t="s">
        <v>20</v>
      </c>
      <c r="Q3211">
        <v>20220817</v>
      </c>
    </row>
    <row r="3212" spans="1:17" x14ac:dyDescent="0.25">
      <c r="A3212" t="s">
        <v>476</v>
      </c>
      <c r="B3212" t="s">
        <v>477</v>
      </c>
      <c r="C3212">
        <v>109</v>
      </c>
      <c r="D3212">
        <v>20220817</v>
      </c>
      <c r="E3212">
        <f t="shared" si="50"/>
        <v>8</v>
      </c>
      <c r="F3212">
        <v>468730</v>
      </c>
      <c r="G3212" t="s">
        <v>2371</v>
      </c>
      <c r="H3212" t="s">
        <v>401</v>
      </c>
      <c r="I3212" t="s">
        <v>402</v>
      </c>
      <c r="J3212" t="s">
        <v>3260</v>
      </c>
      <c r="K3212">
        <v>20220817</v>
      </c>
      <c r="L3212" t="s">
        <v>3257</v>
      </c>
      <c r="M3212">
        <v>0</v>
      </c>
      <c r="N3212">
        <v>5000</v>
      </c>
      <c r="O3212" t="s">
        <v>23</v>
      </c>
      <c r="P3212">
        <v>20221005</v>
      </c>
      <c r="Q3212">
        <v>20220817</v>
      </c>
    </row>
    <row r="3213" spans="1:17" x14ac:dyDescent="0.25">
      <c r="A3213" t="s">
        <v>476</v>
      </c>
      <c r="B3213" t="s">
        <v>477</v>
      </c>
      <c r="C3213">
        <v>109</v>
      </c>
      <c r="D3213">
        <v>20220817</v>
      </c>
      <c r="E3213">
        <f t="shared" si="50"/>
        <v>8</v>
      </c>
      <c r="F3213">
        <v>512000</v>
      </c>
      <c r="G3213" t="s">
        <v>428</v>
      </c>
      <c r="H3213" t="s">
        <v>401</v>
      </c>
      <c r="I3213" t="s">
        <v>402</v>
      </c>
      <c r="J3213" t="s">
        <v>3260</v>
      </c>
      <c r="K3213">
        <v>20220817</v>
      </c>
      <c r="L3213" t="s">
        <v>3257</v>
      </c>
      <c r="M3213">
        <v>5000</v>
      </c>
      <c r="N3213">
        <v>0</v>
      </c>
      <c r="O3213" t="s">
        <v>19</v>
      </c>
      <c r="P3213" t="s">
        <v>20</v>
      </c>
      <c r="Q3213">
        <v>20220817</v>
      </c>
    </row>
    <row r="3214" spans="1:17" x14ac:dyDescent="0.25">
      <c r="A3214" t="s">
        <v>476</v>
      </c>
      <c r="B3214" t="s">
        <v>477</v>
      </c>
      <c r="C3214">
        <v>109</v>
      </c>
      <c r="D3214">
        <v>20220817</v>
      </c>
      <c r="E3214">
        <f t="shared" si="50"/>
        <v>8</v>
      </c>
      <c r="F3214">
        <v>468730</v>
      </c>
      <c r="G3214" t="s">
        <v>2371</v>
      </c>
      <c r="H3214" t="s">
        <v>401</v>
      </c>
      <c r="I3214" t="s">
        <v>402</v>
      </c>
      <c r="J3214" t="s">
        <v>3261</v>
      </c>
      <c r="K3214">
        <v>20220817</v>
      </c>
      <c r="L3214" t="s">
        <v>3257</v>
      </c>
      <c r="M3214">
        <v>0</v>
      </c>
      <c r="N3214">
        <v>10000</v>
      </c>
      <c r="O3214" t="s">
        <v>23</v>
      </c>
      <c r="P3214">
        <v>20221005</v>
      </c>
      <c r="Q3214">
        <v>20220817</v>
      </c>
    </row>
    <row r="3215" spans="1:17" x14ac:dyDescent="0.25">
      <c r="A3215" t="s">
        <v>476</v>
      </c>
      <c r="B3215" t="s">
        <v>477</v>
      </c>
      <c r="C3215">
        <v>109</v>
      </c>
      <c r="D3215">
        <v>20220818</v>
      </c>
      <c r="E3215">
        <f t="shared" si="50"/>
        <v>8</v>
      </c>
      <c r="F3215">
        <v>512000</v>
      </c>
      <c r="G3215" t="s">
        <v>428</v>
      </c>
      <c r="H3215" t="s">
        <v>401</v>
      </c>
      <c r="I3215" t="s">
        <v>402</v>
      </c>
      <c r="J3215" t="s">
        <v>3261</v>
      </c>
      <c r="K3215">
        <v>20220818</v>
      </c>
      <c r="L3215" t="s">
        <v>3257</v>
      </c>
      <c r="M3215">
        <v>10000</v>
      </c>
      <c r="N3215">
        <v>0</v>
      </c>
      <c r="O3215" t="s">
        <v>19</v>
      </c>
      <c r="P3215" t="s">
        <v>20</v>
      </c>
      <c r="Q3215">
        <v>20220818</v>
      </c>
    </row>
    <row r="3216" spans="1:17" x14ac:dyDescent="0.25">
      <c r="A3216" t="s">
        <v>476</v>
      </c>
      <c r="B3216" t="s">
        <v>477</v>
      </c>
      <c r="C3216">
        <v>109</v>
      </c>
      <c r="D3216">
        <v>20220818</v>
      </c>
      <c r="E3216">
        <f t="shared" si="50"/>
        <v>8</v>
      </c>
      <c r="F3216">
        <v>468200</v>
      </c>
      <c r="G3216" t="s">
        <v>421</v>
      </c>
      <c r="H3216" t="s">
        <v>401</v>
      </c>
      <c r="I3216" t="s">
        <v>402</v>
      </c>
      <c r="J3216" t="s">
        <v>3262</v>
      </c>
      <c r="K3216">
        <v>20220818</v>
      </c>
      <c r="L3216" t="s">
        <v>422</v>
      </c>
      <c r="M3216">
        <v>0</v>
      </c>
      <c r="N3216">
        <v>1162.7</v>
      </c>
      <c r="O3216" t="s">
        <v>23</v>
      </c>
      <c r="P3216">
        <v>20230214</v>
      </c>
      <c r="Q3216">
        <v>20220818</v>
      </c>
    </row>
    <row r="3217" spans="1:17" x14ac:dyDescent="0.25">
      <c r="A3217" t="s">
        <v>476</v>
      </c>
      <c r="B3217" t="s">
        <v>477</v>
      </c>
      <c r="C3217">
        <v>109</v>
      </c>
      <c r="D3217">
        <v>20220818</v>
      </c>
      <c r="E3217">
        <f t="shared" si="50"/>
        <v>8</v>
      </c>
      <c r="F3217">
        <v>512000</v>
      </c>
      <c r="G3217" t="s">
        <v>428</v>
      </c>
      <c r="H3217" t="s">
        <v>401</v>
      </c>
      <c r="I3217" t="s">
        <v>402</v>
      </c>
      <c r="J3217" t="s">
        <v>3262</v>
      </c>
      <c r="K3217">
        <v>20220818</v>
      </c>
      <c r="L3217" t="s">
        <v>422</v>
      </c>
      <c r="M3217">
        <v>1162.7</v>
      </c>
      <c r="N3217">
        <v>0</v>
      </c>
      <c r="O3217" t="s">
        <v>19</v>
      </c>
      <c r="P3217" t="s">
        <v>20</v>
      </c>
      <c r="Q3217">
        <v>20220818</v>
      </c>
    </row>
    <row r="3218" spans="1:17" x14ac:dyDescent="0.25">
      <c r="A3218" t="s">
        <v>476</v>
      </c>
      <c r="B3218" t="s">
        <v>477</v>
      </c>
      <c r="C3218">
        <v>109</v>
      </c>
      <c r="D3218">
        <v>20220822</v>
      </c>
      <c r="E3218">
        <f t="shared" si="50"/>
        <v>8</v>
      </c>
      <c r="F3218">
        <v>468725</v>
      </c>
      <c r="G3218" t="s">
        <v>424</v>
      </c>
      <c r="H3218" t="s">
        <v>401</v>
      </c>
      <c r="I3218" t="s">
        <v>402</v>
      </c>
      <c r="J3218" t="s">
        <v>3263</v>
      </c>
      <c r="K3218">
        <v>20220822</v>
      </c>
      <c r="L3218" t="s">
        <v>2457</v>
      </c>
      <c r="M3218">
        <v>0</v>
      </c>
      <c r="N3218">
        <v>181.38</v>
      </c>
      <c r="O3218" t="s">
        <v>23</v>
      </c>
      <c r="P3218">
        <v>20230105</v>
      </c>
      <c r="Q3218">
        <v>20220822</v>
      </c>
    </row>
    <row r="3219" spans="1:17" x14ac:dyDescent="0.25">
      <c r="A3219" t="s">
        <v>476</v>
      </c>
      <c r="B3219" t="s">
        <v>477</v>
      </c>
      <c r="C3219">
        <v>109</v>
      </c>
      <c r="D3219">
        <v>20220822</v>
      </c>
      <c r="E3219">
        <f t="shared" si="50"/>
        <v>8</v>
      </c>
      <c r="F3219">
        <v>512000</v>
      </c>
      <c r="G3219" t="s">
        <v>428</v>
      </c>
      <c r="H3219" t="s">
        <v>401</v>
      </c>
      <c r="I3219" t="s">
        <v>402</v>
      </c>
      <c r="J3219" t="s">
        <v>3263</v>
      </c>
      <c r="K3219">
        <v>20220822</v>
      </c>
      <c r="L3219" t="s">
        <v>2457</v>
      </c>
      <c r="M3219">
        <v>181.38</v>
      </c>
      <c r="N3219">
        <v>0</v>
      </c>
      <c r="O3219" t="s">
        <v>19</v>
      </c>
      <c r="P3219" t="s">
        <v>20</v>
      </c>
      <c r="Q3219">
        <v>20220822</v>
      </c>
    </row>
    <row r="3220" spans="1:17" x14ac:dyDescent="0.25">
      <c r="A3220" t="s">
        <v>476</v>
      </c>
      <c r="B3220" t="s">
        <v>477</v>
      </c>
      <c r="C3220">
        <v>109</v>
      </c>
      <c r="D3220">
        <v>20220824</v>
      </c>
      <c r="E3220">
        <f t="shared" si="50"/>
        <v>8</v>
      </c>
      <c r="F3220">
        <v>442100</v>
      </c>
      <c r="G3220" t="s">
        <v>435</v>
      </c>
      <c r="H3220" t="s">
        <v>401</v>
      </c>
      <c r="I3220" t="s">
        <v>402</v>
      </c>
      <c r="J3220" t="s">
        <v>3264</v>
      </c>
      <c r="K3220">
        <v>20220824</v>
      </c>
      <c r="L3220" t="s">
        <v>528</v>
      </c>
      <c r="M3220">
        <v>1892</v>
      </c>
      <c r="N3220">
        <v>0</v>
      </c>
      <c r="O3220" t="s">
        <v>23</v>
      </c>
      <c r="P3220">
        <v>20221005</v>
      </c>
      <c r="Q3220">
        <v>20220824</v>
      </c>
    </row>
    <row r="3221" spans="1:17" x14ac:dyDescent="0.25">
      <c r="A3221" t="s">
        <v>476</v>
      </c>
      <c r="B3221" t="s">
        <v>477</v>
      </c>
      <c r="C3221">
        <v>109</v>
      </c>
      <c r="D3221">
        <v>20220824</v>
      </c>
      <c r="E3221">
        <f t="shared" si="50"/>
        <v>8</v>
      </c>
      <c r="F3221">
        <v>512000</v>
      </c>
      <c r="G3221" t="s">
        <v>428</v>
      </c>
      <c r="H3221" t="s">
        <v>401</v>
      </c>
      <c r="I3221" t="s">
        <v>402</v>
      </c>
      <c r="J3221" t="s">
        <v>3264</v>
      </c>
      <c r="K3221">
        <v>20220824</v>
      </c>
      <c r="L3221" t="s">
        <v>528</v>
      </c>
      <c r="M3221">
        <v>0</v>
      </c>
      <c r="N3221">
        <v>1892</v>
      </c>
      <c r="O3221" t="s">
        <v>19</v>
      </c>
      <c r="P3221" t="s">
        <v>20</v>
      </c>
      <c r="Q3221">
        <v>20220824</v>
      </c>
    </row>
    <row r="3222" spans="1:17" x14ac:dyDescent="0.25">
      <c r="A3222" t="s">
        <v>476</v>
      </c>
      <c r="B3222" t="s">
        <v>477</v>
      </c>
      <c r="C3222">
        <v>109</v>
      </c>
      <c r="D3222">
        <v>20220824</v>
      </c>
      <c r="E3222">
        <f t="shared" si="50"/>
        <v>8</v>
      </c>
      <c r="F3222">
        <v>433100</v>
      </c>
      <c r="G3222" t="s">
        <v>411</v>
      </c>
      <c r="H3222" t="s">
        <v>401</v>
      </c>
      <c r="I3222" t="s">
        <v>402</v>
      </c>
      <c r="J3222" t="s">
        <v>3265</v>
      </c>
      <c r="K3222">
        <v>20220824</v>
      </c>
      <c r="L3222" t="s">
        <v>534</v>
      </c>
      <c r="M3222">
        <v>1410.47</v>
      </c>
      <c r="N3222">
        <v>0</v>
      </c>
      <c r="O3222" t="s">
        <v>23</v>
      </c>
      <c r="P3222">
        <v>20221005</v>
      </c>
      <c r="Q3222">
        <v>20220824</v>
      </c>
    </row>
    <row r="3223" spans="1:17" x14ac:dyDescent="0.25">
      <c r="A3223" t="s">
        <v>476</v>
      </c>
      <c r="B3223" t="s">
        <v>477</v>
      </c>
      <c r="C3223">
        <v>109</v>
      </c>
      <c r="D3223">
        <v>20220824</v>
      </c>
      <c r="E3223">
        <f t="shared" si="50"/>
        <v>8</v>
      </c>
      <c r="F3223">
        <v>512000</v>
      </c>
      <c r="G3223" t="s">
        <v>428</v>
      </c>
      <c r="H3223" t="s">
        <v>401</v>
      </c>
      <c r="I3223" t="s">
        <v>402</v>
      </c>
      <c r="J3223" t="s">
        <v>3265</v>
      </c>
      <c r="K3223">
        <v>20220824</v>
      </c>
      <c r="L3223" t="s">
        <v>534</v>
      </c>
      <c r="M3223">
        <v>0</v>
      </c>
      <c r="N3223">
        <v>1410.47</v>
      </c>
      <c r="O3223" t="s">
        <v>19</v>
      </c>
      <c r="P3223" t="s">
        <v>20</v>
      </c>
      <c r="Q3223">
        <v>20220824</v>
      </c>
    </row>
    <row r="3224" spans="1:17" x14ac:dyDescent="0.25">
      <c r="A3224" t="s">
        <v>476</v>
      </c>
      <c r="B3224" t="s">
        <v>477</v>
      </c>
      <c r="C3224">
        <v>109</v>
      </c>
      <c r="D3224">
        <v>20220825</v>
      </c>
      <c r="E3224">
        <f t="shared" si="50"/>
        <v>8</v>
      </c>
      <c r="F3224">
        <v>433000</v>
      </c>
      <c r="G3224" t="s">
        <v>410</v>
      </c>
      <c r="H3224" t="s">
        <v>401</v>
      </c>
      <c r="I3224" t="s">
        <v>402</v>
      </c>
      <c r="J3224" t="s">
        <v>3266</v>
      </c>
      <c r="K3224">
        <v>20220825</v>
      </c>
      <c r="L3224" t="s">
        <v>530</v>
      </c>
      <c r="M3224">
        <v>10818.08</v>
      </c>
      <c r="N3224">
        <v>0</v>
      </c>
      <c r="O3224" t="s">
        <v>23</v>
      </c>
      <c r="P3224">
        <v>20221005</v>
      </c>
      <c r="Q3224">
        <v>20220825</v>
      </c>
    </row>
    <row r="3225" spans="1:17" x14ac:dyDescent="0.25">
      <c r="A3225" t="s">
        <v>476</v>
      </c>
      <c r="B3225" t="s">
        <v>477</v>
      </c>
      <c r="C3225">
        <v>109</v>
      </c>
      <c r="D3225">
        <v>20220825</v>
      </c>
      <c r="E3225">
        <f t="shared" si="50"/>
        <v>8</v>
      </c>
      <c r="F3225">
        <v>512000</v>
      </c>
      <c r="G3225" t="s">
        <v>428</v>
      </c>
      <c r="H3225" t="s">
        <v>401</v>
      </c>
      <c r="I3225" t="s">
        <v>402</v>
      </c>
      <c r="J3225" t="s">
        <v>3266</v>
      </c>
      <c r="K3225">
        <v>20220825</v>
      </c>
      <c r="L3225" t="s">
        <v>530</v>
      </c>
      <c r="M3225">
        <v>0</v>
      </c>
      <c r="N3225">
        <v>10818.08</v>
      </c>
      <c r="O3225" t="s">
        <v>19</v>
      </c>
      <c r="P3225" t="s">
        <v>20</v>
      </c>
      <c r="Q3225">
        <v>20220825</v>
      </c>
    </row>
    <row r="3226" spans="1:17" x14ac:dyDescent="0.25">
      <c r="A3226" t="s">
        <v>476</v>
      </c>
      <c r="B3226" t="s">
        <v>477</v>
      </c>
      <c r="C3226">
        <v>109</v>
      </c>
      <c r="D3226">
        <v>20220826</v>
      </c>
      <c r="E3226">
        <f t="shared" si="50"/>
        <v>8</v>
      </c>
      <c r="F3226">
        <v>411100</v>
      </c>
      <c r="G3226" t="s">
        <v>18</v>
      </c>
      <c r="H3226" t="s">
        <v>203</v>
      </c>
      <c r="I3226" t="s">
        <v>204</v>
      </c>
      <c r="J3226">
        <v>121110222</v>
      </c>
      <c r="K3226">
        <v>20220826</v>
      </c>
      <c r="L3226" t="s">
        <v>3267</v>
      </c>
      <c r="M3226">
        <v>0</v>
      </c>
      <c r="N3226">
        <v>28.5</v>
      </c>
      <c r="O3226" t="s">
        <v>22</v>
      </c>
      <c r="P3226">
        <v>20230218</v>
      </c>
      <c r="Q3226">
        <v>20220826</v>
      </c>
    </row>
    <row r="3227" spans="1:17" x14ac:dyDescent="0.25">
      <c r="A3227" t="s">
        <v>476</v>
      </c>
      <c r="B3227" t="s">
        <v>477</v>
      </c>
      <c r="C3227">
        <v>109</v>
      </c>
      <c r="D3227">
        <v>20220826</v>
      </c>
      <c r="E3227">
        <f t="shared" si="50"/>
        <v>8</v>
      </c>
      <c r="F3227">
        <v>512000</v>
      </c>
      <c r="G3227" t="s">
        <v>428</v>
      </c>
      <c r="H3227" t="s">
        <v>401</v>
      </c>
      <c r="I3227" t="s">
        <v>402</v>
      </c>
      <c r="J3227">
        <v>355948</v>
      </c>
      <c r="K3227">
        <v>20220826</v>
      </c>
      <c r="L3227" t="s">
        <v>3268</v>
      </c>
      <c r="M3227">
        <v>28.5</v>
      </c>
      <c r="N3227">
        <v>0</v>
      </c>
      <c r="O3227" t="s">
        <v>19</v>
      </c>
      <c r="P3227" t="s">
        <v>20</v>
      </c>
      <c r="Q3227">
        <v>20220826</v>
      </c>
    </row>
    <row r="3228" spans="1:17" x14ac:dyDescent="0.25">
      <c r="A3228" t="s">
        <v>476</v>
      </c>
      <c r="B3228" t="s">
        <v>477</v>
      </c>
      <c r="C3228">
        <v>109</v>
      </c>
      <c r="D3228">
        <v>20220830</v>
      </c>
      <c r="E3228">
        <f t="shared" si="50"/>
        <v>8</v>
      </c>
      <c r="F3228">
        <v>421000</v>
      </c>
      <c r="G3228" t="s">
        <v>403</v>
      </c>
      <c r="H3228" t="s">
        <v>401</v>
      </c>
      <c r="I3228" t="s">
        <v>402</v>
      </c>
      <c r="J3228" t="s">
        <v>3269</v>
      </c>
      <c r="K3228">
        <v>20220830</v>
      </c>
      <c r="L3228" t="s">
        <v>922</v>
      </c>
      <c r="M3228">
        <v>53770.23</v>
      </c>
      <c r="N3228">
        <v>0</v>
      </c>
      <c r="O3228" t="s">
        <v>23</v>
      </c>
      <c r="P3228">
        <v>20230215</v>
      </c>
      <c r="Q3228">
        <v>20220830</v>
      </c>
    </row>
    <row r="3229" spans="1:17" x14ac:dyDescent="0.25">
      <c r="A3229" t="s">
        <v>476</v>
      </c>
      <c r="B3229" t="s">
        <v>477</v>
      </c>
      <c r="C3229">
        <v>109</v>
      </c>
      <c r="D3229">
        <v>20220830</v>
      </c>
      <c r="E3229">
        <f t="shared" si="50"/>
        <v>8</v>
      </c>
      <c r="F3229">
        <v>512000</v>
      </c>
      <c r="G3229" t="s">
        <v>428</v>
      </c>
      <c r="H3229" t="s">
        <v>401</v>
      </c>
      <c r="I3229" t="s">
        <v>402</v>
      </c>
      <c r="J3229" t="s">
        <v>3269</v>
      </c>
      <c r="K3229">
        <v>20220830</v>
      </c>
      <c r="L3229" t="s">
        <v>922</v>
      </c>
      <c r="M3229">
        <v>0</v>
      </c>
      <c r="N3229">
        <v>53770.23</v>
      </c>
      <c r="O3229" t="s">
        <v>19</v>
      </c>
      <c r="P3229" t="s">
        <v>20</v>
      </c>
      <c r="Q3229">
        <v>20220830</v>
      </c>
    </row>
    <row r="3230" spans="1:17" x14ac:dyDescent="0.25">
      <c r="A3230" t="s">
        <v>476</v>
      </c>
      <c r="B3230" t="s">
        <v>477</v>
      </c>
      <c r="C3230">
        <v>109</v>
      </c>
      <c r="D3230">
        <v>20220830</v>
      </c>
      <c r="E3230">
        <f t="shared" si="50"/>
        <v>8</v>
      </c>
      <c r="F3230">
        <v>791100</v>
      </c>
      <c r="G3230" t="s">
        <v>806</v>
      </c>
      <c r="H3230" t="s">
        <v>401</v>
      </c>
      <c r="I3230" t="s">
        <v>402</v>
      </c>
      <c r="J3230" t="s">
        <v>3270</v>
      </c>
      <c r="K3230">
        <v>20220830</v>
      </c>
      <c r="L3230" t="s">
        <v>3271</v>
      </c>
      <c r="M3230">
        <v>0</v>
      </c>
      <c r="N3230">
        <v>438</v>
      </c>
      <c r="O3230" t="s">
        <v>19</v>
      </c>
      <c r="P3230" t="s">
        <v>20</v>
      </c>
      <c r="Q3230">
        <v>20220830</v>
      </c>
    </row>
    <row r="3231" spans="1:17" x14ac:dyDescent="0.25">
      <c r="A3231" t="s">
        <v>476</v>
      </c>
      <c r="B3231" t="s">
        <v>477</v>
      </c>
      <c r="C3231">
        <v>109</v>
      </c>
      <c r="D3231">
        <v>20220830</v>
      </c>
      <c r="E3231">
        <f t="shared" si="50"/>
        <v>8</v>
      </c>
      <c r="F3231">
        <v>512000</v>
      </c>
      <c r="G3231" t="s">
        <v>428</v>
      </c>
      <c r="H3231" t="s">
        <v>401</v>
      </c>
      <c r="I3231" t="s">
        <v>402</v>
      </c>
      <c r="J3231" t="s">
        <v>3270</v>
      </c>
      <c r="K3231">
        <v>20220830</v>
      </c>
      <c r="L3231" t="s">
        <v>3271</v>
      </c>
      <c r="M3231">
        <v>438</v>
      </c>
      <c r="N3231">
        <v>0</v>
      </c>
      <c r="O3231" t="s">
        <v>19</v>
      </c>
      <c r="P3231" t="s">
        <v>20</v>
      </c>
      <c r="Q3231">
        <v>20220830</v>
      </c>
    </row>
    <row r="3232" spans="1:17" x14ac:dyDescent="0.25">
      <c r="A3232" t="s">
        <v>476</v>
      </c>
      <c r="B3232" t="s">
        <v>477</v>
      </c>
      <c r="C3232">
        <v>109</v>
      </c>
      <c r="D3232">
        <v>20220831</v>
      </c>
      <c r="E3232">
        <f t="shared" si="50"/>
        <v>8</v>
      </c>
      <c r="F3232">
        <v>401000</v>
      </c>
      <c r="G3232" t="s">
        <v>41</v>
      </c>
      <c r="H3232" t="s">
        <v>42</v>
      </c>
      <c r="I3232" t="s">
        <v>43</v>
      </c>
      <c r="J3232" t="s">
        <v>3272</v>
      </c>
      <c r="K3232">
        <v>20220831</v>
      </c>
      <c r="L3232" t="s">
        <v>163</v>
      </c>
      <c r="M3232">
        <v>2090.15</v>
      </c>
      <c r="N3232">
        <v>0</v>
      </c>
      <c r="O3232" t="s">
        <v>23</v>
      </c>
      <c r="P3232">
        <v>20220905</v>
      </c>
      <c r="Q3232">
        <v>20220831</v>
      </c>
    </row>
    <row r="3233" spans="1:17" x14ac:dyDescent="0.25">
      <c r="A3233" t="s">
        <v>476</v>
      </c>
      <c r="B3233" t="s">
        <v>477</v>
      </c>
      <c r="C3233">
        <v>109</v>
      </c>
      <c r="D3233">
        <v>20220831</v>
      </c>
      <c r="E3233">
        <f t="shared" si="50"/>
        <v>8</v>
      </c>
      <c r="F3233">
        <v>401000</v>
      </c>
      <c r="G3233" t="s">
        <v>41</v>
      </c>
      <c r="H3233" t="s">
        <v>46</v>
      </c>
      <c r="I3233" t="s">
        <v>47</v>
      </c>
      <c r="J3233" t="s">
        <v>3272</v>
      </c>
      <c r="K3233">
        <v>20220831</v>
      </c>
      <c r="L3233" t="s">
        <v>163</v>
      </c>
      <c r="M3233">
        <v>635</v>
      </c>
      <c r="N3233">
        <v>0</v>
      </c>
      <c r="O3233" t="s">
        <v>23</v>
      </c>
      <c r="P3233">
        <v>20220905</v>
      </c>
      <c r="Q3233">
        <v>20220831</v>
      </c>
    </row>
    <row r="3234" spans="1:17" x14ac:dyDescent="0.25">
      <c r="A3234" t="s">
        <v>476</v>
      </c>
      <c r="B3234" t="s">
        <v>477</v>
      </c>
      <c r="C3234">
        <v>109</v>
      </c>
      <c r="D3234">
        <v>20220831</v>
      </c>
      <c r="E3234">
        <f t="shared" si="50"/>
        <v>8</v>
      </c>
      <c r="F3234">
        <v>401000</v>
      </c>
      <c r="G3234" t="s">
        <v>41</v>
      </c>
      <c r="H3234" t="s">
        <v>54</v>
      </c>
      <c r="I3234" t="s">
        <v>55</v>
      </c>
      <c r="J3234" t="s">
        <v>3272</v>
      </c>
      <c r="K3234">
        <v>20220831</v>
      </c>
      <c r="L3234" t="s">
        <v>163</v>
      </c>
      <c r="M3234">
        <v>690.37</v>
      </c>
      <c r="N3234">
        <v>0</v>
      </c>
      <c r="O3234" t="s">
        <v>23</v>
      </c>
      <c r="P3234">
        <v>20220905</v>
      </c>
      <c r="Q3234">
        <v>20220831</v>
      </c>
    </row>
    <row r="3235" spans="1:17" x14ac:dyDescent="0.25">
      <c r="A3235" t="s">
        <v>476</v>
      </c>
      <c r="B3235" t="s">
        <v>477</v>
      </c>
      <c r="C3235">
        <v>109</v>
      </c>
      <c r="D3235">
        <v>20220831</v>
      </c>
      <c r="E3235">
        <f t="shared" si="50"/>
        <v>8</v>
      </c>
      <c r="F3235">
        <v>401000</v>
      </c>
      <c r="G3235" t="s">
        <v>41</v>
      </c>
      <c r="H3235" t="s">
        <v>56</v>
      </c>
      <c r="I3235" t="s">
        <v>57</v>
      </c>
      <c r="J3235" t="s">
        <v>3272</v>
      </c>
      <c r="K3235">
        <v>20220831</v>
      </c>
      <c r="L3235" t="s">
        <v>163</v>
      </c>
      <c r="M3235">
        <v>3572.76</v>
      </c>
      <c r="N3235">
        <v>0</v>
      </c>
      <c r="O3235" t="s">
        <v>23</v>
      </c>
      <c r="P3235">
        <v>20220905</v>
      </c>
      <c r="Q3235">
        <v>20220831</v>
      </c>
    </row>
    <row r="3236" spans="1:17" x14ac:dyDescent="0.25">
      <c r="A3236" t="s">
        <v>476</v>
      </c>
      <c r="B3236" t="s">
        <v>477</v>
      </c>
      <c r="C3236">
        <v>109</v>
      </c>
      <c r="D3236">
        <v>20220831</v>
      </c>
      <c r="E3236">
        <f t="shared" si="50"/>
        <v>8</v>
      </c>
      <c r="F3236">
        <v>401000</v>
      </c>
      <c r="G3236" t="s">
        <v>41</v>
      </c>
      <c r="H3236" t="s">
        <v>58</v>
      </c>
      <c r="I3236" t="s">
        <v>59</v>
      </c>
      <c r="J3236" t="s">
        <v>3272</v>
      </c>
      <c r="K3236">
        <v>20220831</v>
      </c>
      <c r="L3236" t="s">
        <v>163</v>
      </c>
      <c r="M3236">
        <v>248.05</v>
      </c>
      <c r="N3236">
        <v>0</v>
      </c>
      <c r="O3236" t="s">
        <v>23</v>
      </c>
      <c r="P3236">
        <v>20220905</v>
      </c>
      <c r="Q3236">
        <v>20220831</v>
      </c>
    </row>
    <row r="3237" spans="1:17" x14ac:dyDescent="0.25">
      <c r="A3237" t="s">
        <v>476</v>
      </c>
      <c r="B3237" t="s">
        <v>477</v>
      </c>
      <c r="C3237">
        <v>109</v>
      </c>
      <c r="D3237">
        <v>20220831</v>
      </c>
      <c r="E3237">
        <f t="shared" si="50"/>
        <v>8</v>
      </c>
      <c r="F3237">
        <v>401000</v>
      </c>
      <c r="G3237" t="s">
        <v>41</v>
      </c>
      <c r="H3237" t="s">
        <v>75</v>
      </c>
      <c r="I3237" t="s">
        <v>76</v>
      </c>
      <c r="J3237" t="s">
        <v>3272</v>
      </c>
      <c r="K3237">
        <v>20220831</v>
      </c>
      <c r="L3237" t="s">
        <v>163</v>
      </c>
      <c r="M3237">
        <v>2626.28</v>
      </c>
      <c r="N3237">
        <v>0</v>
      </c>
      <c r="O3237" t="s">
        <v>23</v>
      </c>
      <c r="P3237">
        <v>20220905</v>
      </c>
      <c r="Q3237">
        <v>20220831</v>
      </c>
    </row>
    <row r="3238" spans="1:17" x14ac:dyDescent="0.25">
      <c r="A3238" t="s">
        <v>476</v>
      </c>
      <c r="B3238" t="s">
        <v>477</v>
      </c>
      <c r="C3238">
        <v>109</v>
      </c>
      <c r="D3238">
        <v>20220831</v>
      </c>
      <c r="E3238">
        <f t="shared" si="50"/>
        <v>8</v>
      </c>
      <c r="F3238">
        <v>401000</v>
      </c>
      <c r="G3238" t="s">
        <v>41</v>
      </c>
      <c r="H3238" t="s">
        <v>97</v>
      </c>
      <c r="I3238" t="s">
        <v>98</v>
      </c>
      <c r="J3238" t="s">
        <v>3272</v>
      </c>
      <c r="K3238">
        <v>20220831</v>
      </c>
      <c r="L3238" t="s">
        <v>163</v>
      </c>
      <c r="M3238">
        <v>157.63</v>
      </c>
      <c r="N3238">
        <v>0</v>
      </c>
      <c r="O3238" t="s">
        <v>23</v>
      </c>
      <c r="P3238">
        <v>20220905</v>
      </c>
      <c r="Q3238">
        <v>20220831</v>
      </c>
    </row>
    <row r="3239" spans="1:17" x14ac:dyDescent="0.25">
      <c r="A3239" t="s">
        <v>476</v>
      </c>
      <c r="B3239" t="s">
        <v>477</v>
      </c>
      <c r="C3239">
        <v>109</v>
      </c>
      <c r="D3239">
        <v>20220831</v>
      </c>
      <c r="E3239">
        <f t="shared" si="50"/>
        <v>8</v>
      </c>
      <c r="F3239">
        <v>401000</v>
      </c>
      <c r="G3239" t="s">
        <v>41</v>
      </c>
      <c r="H3239" t="s">
        <v>99</v>
      </c>
      <c r="I3239" t="s">
        <v>100</v>
      </c>
      <c r="J3239" t="s">
        <v>3272</v>
      </c>
      <c r="K3239">
        <v>20220831</v>
      </c>
      <c r="L3239" t="s">
        <v>163</v>
      </c>
      <c r="M3239">
        <v>3287.74</v>
      </c>
      <c r="N3239">
        <v>0</v>
      </c>
      <c r="O3239" t="s">
        <v>23</v>
      </c>
      <c r="P3239">
        <v>20220902</v>
      </c>
      <c r="Q3239">
        <v>20220831</v>
      </c>
    </row>
    <row r="3240" spans="1:17" x14ac:dyDescent="0.25">
      <c r="A3240" t="s">
        <v>476</v>
      </c>
      <c r="B3240" t="s">
        <v>477</v>
      </c>
      <c r="C3240">
        <v>109</v>
      </c>
      <c r="D3240">
        <v>20220831</v>
      </c>
      <c r="E3240">
        <f t="shared" si="50"/>
        <v>8</v>
      </c>
      <c r="F3240">
        <v>467100</v>
      </c>
      <c r="G3240" t="s">
        <v>160</v>
      </c>
      <c r="H3240" t="s">
        <v>1748</v>
      </c>
      <c r="I3240" t="s">
        <v>1749</v>
      </c>
      <c r="J3240" t="s">
        <v>3272</v>
      </c>
      <c r="K3240">
        <v>20220831</v>
      </c>
      <c r="L3240" t="s">
        <v>163</v>
      </c>
      <c r="M3240">
        <v>99</v>
      </c>
      <c r="N3240">
        <v>0</v>
      </c>
      <c r="O3240" t="s">
        <v>23</v>
      </c>
      <c r="P3240">
        <v>20220905</v>
      </c>
      <c r="Q3240">
        <v>20220831</v>
      </c>
    </row>
    <row r="3241" spans="1:17" x14ac:dyDescent="0.25">
      <c r="A3241" t="s">
        <v>476</v>
      </c>
      <c r="B3241" t="s">
        <v>477</v>
      </c>
      <c r="C3241">
        <v>109</v>
      </c>
      <c r="D3241">
        <v>20220831</v>
      </c>
      <c r="E3241">
        <f t="shared" si="50"/>
        <v>8</v>
      </c>
      <c r="F3241">
        <v>401000</v>
      </c>
      <c r="G3241" t="s">
        <v>41</v>
      </c>
      <c r="H3241" t="s">
        <v>456</v>
      </c>
      <c r="I3241" t="s">
        <v>457</v>
      </c>
      <c r="J3241" t="s">
        <v>3272</v>
      </c>
      <c r="K3241">
        <v>20220831</v>
      </c>
      <c r="L3241" t="s">
        <v>163</v>
      </c>
      <c r="M3241">
        <v>525</v>
      </c>
      <c r="N3241">
        <v>0</v>
      </c>
      <c r="O3241" t="s">
        <v>23</v>
      </c>
      <c r="P3241">
        <v>20220905</v>
      </c>
      <c r="Q3241">
        <v>20220831</v>
      </c>
    </row>
    <row r="3242" spans="1:17" x14ac:dyDescent="0.25">
      <c r="A3242" t="s">
        <v>476</v>
      </c>
      <c r="B3242" t="s">
        <v>477</v>
      </c>
      <c r="C3242">
        <v>109</v>
      </c>
      <c r="D3242">
        <v>20220831</v>
      </c>
      <c r="E3242">
        <f t="shared" si="50"/>
        <v>8</v>
      </c>
      <c r="F3242">
        <v>401000</v>
      </c>
      <c r="G3242" t="s">
        <v>41</v>
      </c>
      <c r="H3242" t="s">
        <v>303</v>
      </c>
      <c r="I3242" t="s">
        <v>304</v>
      </c>
      <c r="J3242" t="s">
        <v>3272</v>
      </c>
      <c r="K3242">
        <v>20220831</v>
      </c>
      <c r="L3242" t="s">
        <v>163</v>
      </c>
      <c r="M3242">
        <v>100</v>
      </c>
      <c r="N3242">
        <v>0</v>
      </c>
      <c r="O3242" t="s">
        <v>23</v>
      </c>
      <c r="P3242">
        <v>20220905</v>
      </c>
      <c r="Q3242">
        <v>20220831</v>
      </c>
    </row>
    <row r="3243" spans="1:17" x14ac:dyDescent="0.25">
      <c r="A3243" t="s">
        <v>476</v>
      </c>
      <c r="B3243" t="s">
        <v>477</v>
      </c>
      <c r="C3243">
        <v>109</v>
      </c>
      <c r="D3243">
        <v>20220831</v>
      </c>
      <c r="E3243">
        <f t="shared" si="50"/>
        <v>8</v>
      </c>
      <c r="F3243">
        <v>512000</v>
      </c>
      <c r="G3243" t="s">
        <v>428</v>
      </c>
      <c r="H3243" t="s">
        <v>401</v>
      </c>
      <c r="I3243" t="s">
        <v>402</v>
      </c>
      <c r="J3243" t="s">
        <v>3272</v>
      </c>
      <c r="K3243">
        <v>20220831</v>
      </c>
      <c r="L3243" t="s">
        <v>163</v>
      </c>
      <c r="M3243">
        <v>0</v>
      </c>
      <c r="N3243">
        <v>14031.98</v>
      </c>
      <c r="O3243" t="s">
        <v>19</v>
      </c>
      <c r="P3243" t="s">
        <v>20</v>
      </c>
      <c r="Q3243">
        <v>20220831</v>
      </c>
    </row>
    <row r="3244" spans="1:17" x14ac:dyDescent="0.25">
      <c r="A3244" t="s">
        <v>476</v>
      </c>
      <c r="B3244" t="s">
        <v>477</v>
      </c>
      <c r="C3244">
        <v>109</v>
      </c>
      <c r="D3244">
        <v>20220831</v>
      </c>
      <c r="E3244">
        <f t="shared" si="50"/>
        <v>8</v>
      </c>
      <c r="F3244">
        <v>421000</v>
      </c>
      <c r="G3244" t="s">
        <v>403</v>
      </c>
      <c r="H3244" t="s">
        <v>401</v>
      </c>
      <c r="I3244" t="s">
        <v>402</v>
      </c>
      <c r="J3244" t="s">
        <v>3273</v>
      </c>
      <c r="K3244">
        <v>20220831</v>
      </c>
      <c r="L3244" t="s">
        <v>3274</v>
      </c>
      <c r="M3244">
        <v>1102.67</v>
      </c>
      <c r="N3244">
        <v>0</v>
      </c>
      <c r="O3244" t="s">
        <v>23</v>
      </c>
      <c r="P3244">
        <v>20220921</v>
      </c>
      <c r="Q3244">
        <v>20220831</v>
      </c>
    </row>
    <row r="3245" spans="1:17" x14ac:dyDescent="0.25">
      <c r="A3245" t="s">
        <v>476</v>
      </c>
      <c r="B3245" t="s">
        <v>477</v>
      </c>
      <c r="C3245">
        <v>109</v>
      </c>
      <c r="D3245">
        <v>20220831</v>
      </c>
      <c r="E3245">
        <f t="shared" si="50"/>
        <v>8</v>
      </c>
      <c r="F3245">
        <v>401000</v>
      </c>
      <c r="G3245" t="s">
        <v>41</v>
      </c>
      <c r="H3245" t="s">
        <v>56</v>
      </c>
      <c r="I3245" t="s">
        <v>57</v>
      </c>
      <c r="J3245" t="s">
        <v>3273</v>
      </c>
      <c r="K3245">
        <v>20220831</v>
      </c>
      <c r="L3245" t="s">
        <v>127</v>
      </c>
      <c r="M3245">
        <v>2681.99</v>
      </c>
      <c r="N3245">
        <v>0</v>
      </c>
      <c r="O3245" t="s">
        <v>23</v>
      </c>
      <c r="P3245">
        <v>20220905</v>
      </c>
      <c r="Q3245">
        <v>20220831</v>
      </c>
    </row>
    <row r="3246" spans="1:17" x14ac:dyDescent="0.25">
      <c r="A3246" t="s">
        <v>476</v>
      </c>
      <c r="B3246" t="s">
        <v>477</v>
      </c>
      <c r="C3246">
        <v>109</v>
      </c>
      <c r="D3246">
        <v>20220831</v>
      </c>
      <c r="E3246">
        <f t="shared" si="50"/>
        <v>8</v>
      </c>
      <c r="F3246">
        <v>512000</v>
      </c>
      <c r="G3246" t="s">
        <v>428</v>
      </c>
      <c r="H3246" t="s">
        <v>401</v>
      </c>
      <c r="I3246" t="s">
        <v>402</v>
      </c>
      <c r="J3246" t="s">
        <v>3273</v>
      </c>
      <c r="K3246">
        <v>20220831</v>
      </c>
      <c r="L3246" t="s">
        <v>127</v>
      </c>
      <c r="M3246">
        <v>0</v>
      </c>
      <c r="N3246">
        <v>3784.66</v>
      </c>
      <c r="O3246" t="s">
        <v>19</v>
      </c>
      <c r="P3246" t="s">
        <v>20</v>
      </c>
      <c r="Q3246">
        <v>20220831</v>
      </c>
    </row>
    <row r="3247" spans="1:17" x14ac:dyDescent="0.25">
      <c r="A3247" t="s">
        <v>476</v>
      </c>
      <c r="B3247" t="s">
        <v>477</v>
      </c>
      <c r="C3247">
        <v>109</v>
      </c>
      <c r="D3247">
        <v>20220831</v>
      </c>
      <c r="E3247">
        <f t="shared" si="50"/>
        <v>8</v>
      </c>
      <c r="F3247">
        <v>468200</v>
      </c>
      <c r="G3247" t="s">
        <v>421</v>
      </c>
      <c r="H3247" t="s">
        <v>401</v>
      </c>
      <c r="I3247" t="s">
        <v>402</v>
      </c>
      <c r="J3247" t="s">
        <v>3275</v>
      </c>
      <c r="K3247">
        <v>20220831</v>
      </c>
      <c r="L3247" t="s">
        <v>422</v>
      </c>
      <c r="M3247">
        <v>0</v>
      </c>
      <c r="N3247">
        <v>1162.7</v>
      </c>
      <c r="O3247" t="s">
        <v>23</v>
      </c>
      <c r="P3247">
        <v>20230214</v>
      </c>
      <c r="Q3247">
        <v>20220831</v>
      </c>
    </row>
    <row r="3248" spans="1:17" x14ac:dyDescent="0.25">
      <c r="A3248" t="s">
        <v>476</v>
      </c>
      <c r="B3248" t="s">
        <v>477</v>
      </c>
      <c r="C3248">
        <v>109</v>
      </c>
      <c r="D3248">
        <v>20220831</v>
      </c>
      <c r="E3248">
        <f t="shared" si="50"/>
        <v>8</v>
      </c>
      <c r="F3248">
        <v>512000</v>
      </c>
      <c r="G3248" t="s">
        <v>428</v>
      </c>
      <c r="H3248" t="s">
        <v>401</v>
      </c>
      <c r="I3248" t="s">
        <v>402</v>
      </c>
      <c r="J3248" t="s">
        <v>3275</v>
      </c>
      <c r="K3248">
        <v>20220831</v>
      </c>
      <c r="L3248" t="s">
        <v>422</v>
      </c>
      <c r="M3248">
        <v>1162.7</v>
      </c>
      <c r="N3248">
        <v>0</v>
      </c>
      <c r="O3248" t="s">
        <v>19</v>
      </c>
      <c r="P3248" t="s">
        <v>20</v>
      </c>
      <c r="Q3248">
        <v>20220831</v>
      </c>
    </row>
    <row r="3249" spans="1:17" x14ac:dyDescent="0.25">
      <c r="A3249" t="s">
        <v>548</v>
      </c>
      <c r="B3249" t="s">
        <v>429</v>
      </c>
      <c r="C3249">
        <v>110</v>
      </c>
      <c r="D3249">
        <v>20220801</v>
      </c>
      <c r="E3249">
        <f t="shared" si="50"/>
        <v>8</v>
      </c>
      <c r="F3249">
        <v>467100</v>
      </c>
      <c r="G3249" t="s">
        <v>160</v>
      </c>
      <c r="H3249" t="s">
        <v>1307</v>
      </c>
      <c r="I3249" t="s">
        <v>1308</v>
      </c>
      <c r="J3249" t="s">
        <v>3276</v>
      </c>
      <c r="K3249">
        <v>20220801</v>
      </c>
      <c r="L3249" t="s">
        <v>3277</v>
      </c>
      <c r="M3249">
        <v>7.05</v>
      </c>
      <c r="N3249">
        <v>0</v>
      </c>
      <c r="O3249" t="s">
        <v>23</v>
      </c>
      <c r="P3249">
        <v>20220905</v>
      </c>
      <c r="Q3249">
        <v>20220801</v>
      </c>
    </row>
    <row r="3250" spans="1:17" x14ac:dyDescent="0.25">
      <c r="A3250" t="s">
        <v>548</v>
      </c>
      <c r="B3250" t="s">
        <v>429</v>
      </c>
      <c r="C3250">
        <v>110</v>
      </c>
      <c r="D3250">
        <v>20220801</v>
      </c>
      <c r="E3250">
        <f t="shared" si="50"/>
        <v>8</v>
      </c>
      <c r="F3250">
        <v>531105</v>
      </c>
      <c r="G3250" t="s">
        <v>429</v>
      </c>
      <c r="H3250" t="s">
        <v>401</v>
      </c>
      <c r="I3250" t="s">
        <v>402</v>
      </c>
      <c r="J3250" t="s">
        <v>3276</v>
      </c>
      <c r="K3250">
        <v>20220801</v>
      </c>
      <c r="L3250" t="s">
        <v>3277</v>
      </c>
      <c r="M3250">
        <v>0</v>
      </c>
      <c r="N3250">
        <v>7.05</v>
      </c>
      <c r="O3250" t="s">
        <v>19</v>
      </c>
      <c r="P3250" t="s">
        <v>20</v>
      </c>
      <c r="Q3250">
        <v>20220801</v>
      </c>
    </row>
    <row r="3251" spans="1:17" x14ac:dyDescent="0.25">
      <c r="A3251" t="s">
        <v>548</v>
      </c>
      <c r="B3251" t="s">
        <v>429</v>
      </c>
      <c r="C3251">
        <v>110</v>
      </c>
      <c r="D3251">
        <v>20220801</v>
      </c>
      <c r="E3251">
        <f t="shared" si="50"/>
        <v>8</v>
      </c>
      <c r="F3251">
        <v>411100</v>
      </c>
      <c r="G3251" t="s">
        <v>18</v>
      </c>
      <c r="H3251" t="s">
        <v>2246</v>
      </c>
      <c r="I3251" t="s">
        <v>2247</v>
      </c>
      <c r="J3251">
        <v>350642</v>
      </c>
      <c r="K3251">
        <v>20220801</v>
      </c>
      <c r="L3251" t="s">
        <v>3278</v>
      </c>
      <c r="M3251">
        <v>0</v>
      </c>
      <c r="N3251">
        <v>3</v>
      </c>
      <c r="O3251" t="s">
        <v>23</v>
      </c>
      <c r="P3251">
        <v>20230329</v>
      </c>
      <c r="Q3251">
        <v>20220801</v>
      </c>
    </row>
    <row r="3252" spans="1:17" x14ac:dyDescent="0.25">
      <c r="A3252" t="s">
        <v>548</v>
      </c>
      <c r="B3252" t="s">
        <v>429</v>
      </c>
      <c r="C3252">
        <v>110</v>
      </c>
      <c r="D3252">
        <v>20220801</v>
      </c>
      <c r="E3252">
        <f t="shared" si="50"/>
        <v>8</v>
      </c>
      <c r="F3252">
        <v>411100</v>
      </c>
      <c r="G3252" t="s">
        <v>18</v>
      </c>
      <c r="H3252" t="s">
        <v>2173</v>
      </c>
      <c r="I3252" t="s">
        <v>2174</v>
      </c>
      <c r="J3252">
        <v>350643</v>
      </c>
      <c r="K3252">
        <v>20220801</v>
      </c>
      <c r="L3252" t="s">
        <v>3279</v>
      </c>
      <c r="M3252">
        <v>0</v>
      </c>
      <c r="N3252">
        <v>1</v>
      </c>
      <c r="O3252" t="s">
        <v>23</v>
      </c>
      <c r="P3252">
        <v>20230329</v>
      </c>
      <c r="Q3252">
        <v>20220801</v>
      </c>
    </row>
    <row r="3253" spans="1:17" x14ac:dyDescent="0.25">
      <c r="A3253" t="s">
        <v>548</v>
      </c>
      <c r="B3253" t="s">
        <v>429</v>
      </c>
      <c r="C3253">
        <v>110</v>
      </c>
      <c r="D3253">
        <v>20220801</v>
      </c>
      <c r="E3253">
        <f t="shared" si="50"/>
        <v>8</v>
      </c>
      <c r="F3253">
        <v>411100</v>
      </c>
      <c r="G3253" t="s">
        <v>18</v>
      </c>
      <c r="H3253" t="s">
        <v>358</v>
      </c>
      <c r="I3253" t="s">
        <v>359</v>
      </c>
      <c r="J3253">
        <v>350644</v>
      </c>
      <c r="K3253">
        <v>20220801</v>
      </c>
      <c r="L3253" t="s">
        <v>3280</v>
      </c>
      <c r="M3253">
        <v>0</v>
      </c>
      <c r="N3253">
        <v>1.5</v>
      </c>
      <c r="O3253" t="s">
        <v>19</v>
      </c>
      <c r="P3253" t="s">
        <v>20</v>
      </c>
      <c r="Q3253">
        <v>20220801</v>
      </c>
    </row>
    <row r="3254" spans="1:17" x14ac:dyDescent="0.25">
      <c r="A3254" t="s">
        <v>548</v>
      </c>
      <c r="B3254" t="s">
        <v>429</v>
      </c>
      <c r="C3254">
        <v>110</v>
      </c>
      <c r="D3254">
        <v>20220801</v>
      </c>
      <c r="E3254">
        <f t="shared" si="50"/>
        <v>8</v>
      </c>
      <c r="F3254">
        <v>411100</v>
      </c>
      <c r="G3254" t="s">
        <v>18</v>
      </c>
      <c r="H3254" t="s">
        <v>3222</v>
      </c>
      <c r="I3254" t="s">
        <v>3223</v>
      </c>
      <c r="J3254">
        <v>350645</v>
      </c>
      <c r="K3254">
        <v>20220801</v>
      </c>
      <c r="L3254" t="s">
        <v>3281</v>
      </c>
      <c r="M3254">
        <v>0</v>
      </c>
      <c r="N3254">
        <v>6</v>
      </c>
      <c r="O3254" t="s">
        <v>22</v>
      </c>
      <c r="P3254">
        <v>20230218</v>
      </c>
      <c r="Q3254">
        <v>20220801</v>
      </c>
    </row>
    <row r="3255" spans="1:17" x14ac:dyDescent="0.25">
      <c r="A3255" t="s">
        <v>548</v>
      </c>
      <c r="B3255" t="s">
        <v>429</v>
      </c>
      <c r="C3255">
        <v>110</v>
      </c>
      <c r="D3255">
        <v>20220801</v>
      </c>
      <c r="E3255">
        <f t="shared" si="50"/>
        <v>8</v>
      </c>
      <c r="F3255">
        <v>411100</v>
      </c>
      <c r="G3255" t="s">
        <v>18</v>
      </c>
      <c r="H3255" t="s">
        <v>1417</v>
      </c>
      <c r="I3255" t="s">
        <v>1418</v>
      </c>
      <c r="J3255">
        <v>350646</v>
      </c>
      <c r="K3255">
        <v>20220801</v>
      </c>
      <c r="L3255" t="s">
        <v>3282</v>
      </c>
      <c r="M3255">
        <v>0</v>
      </c>
      <c r="N3255">
        <v>1.5</v>
      </c>
      <c r="O3255" t="s">
        <v>23</v>
      </c>
      <c r="P3255">
        <v>20230329</v>
      </c>
      <c r="Q3255">
        <v>20220801</v>
      </c>
    </row>
    <row r="3256" spans="1:17" x14ac:dyDescent="0.25">
      <c r="A3256" t="s">
        <v>548</v>
      </c>
      <c r="B3256" t="s">
        <v>429</v>
      </c>
      <c r="C3256">
        <v>110</v>
      </c>
      <c r="D3256">
        <v>20220801</v>
      </c>
      <c r="E3256">
        <f t="shared" si="50"/>
        <v>8</v>
      </c>
      <c r="F3256">
        <v>411100</v>
      </c>
      <c r="G3256" t="s">
        <v>18</v>
      </c>
      <c r="H3256" t="s">
        <v>2907</v>
      </c>
      <c r="I3256" t="s">
        <v>2908</v>
      </c>
      <c r="J3256">
        <v>350647</v>
      </c>
      <c r="K3256">
        <v>20220801</v>
      </c>
      <c r="L3256" t="s">
        <v>3283</v>
      </c>
      <c r="M3256">
        <v>0</v>
      </c>
      <c r="N3256">
        <v>9</v>
      </c>
      <c r="O3256" t="s">
        <v>23</v>
      </c>
      <c r="P3256">
        <v>20230218</v>
      </c>
      <c r="Q3256">
        <v>20220801</v>
      </c>
    </row>
    <row r="3257" spans="1:17" x14ac:dyDescent="0.25">
      <c r="A3257" t="s">
        <v>548</v>
      </c>
      <c r="B3257" t="s">
        <v>429</v>
      </c>
      <c r="C3257">
        <v>110</v>
      </c>
      <c r="D3257">
        <v>20220801</v>
      </c>
      <c r="E3257">
        <f t="shared" si="50"/>
        <v>8</v>
      </c>
      <c r="F3257">
        <v>411100</v>
      </c>
      <c r="G3257" t="s">
        <v>18</v>
      </c>
      <c r="H3257" t="s">
        <v>1774</v>
      </c>
      <c r="I3257" t="s">
        <v>1775</v>
      </c>
      <c r="J3257">
        <v>350648</v>
      </c>
      <c r="K3257">
        <v>20220801</v>
      </c>
      <c r="L3257" t="s">
        <v>3284</v>
      </c>
      <c r="M3257">
        <v>0</v>
      </c>
      <c r="N3257">
        <v>3</v>
      </c>
      <c r="O3257" t="s">
        <v>23</v>
      </c>
      <c r="P3257">
        <v>20230329</v>
      </c>
      <c r="Q3257">
        <v>20220801</v>
      </c>
    </row>
    <row r="3258" spans="1:17" x14ac:dyDescent="0.25">
      <c r="A3258" t="s">
        <v>548</v>
      </c>
      <c r="B3258" t="s">
        <v>429</v>
      </c>
      <c r="C3258">
        <v>110</v>
      </c>
      <c r="D3258">
        <v>20220801</v>
      </c>
      <c r="E3258">
        <f t="shared" si="50"/>
        <v>8</v>
      </c>
      <c r="F3258">
        <v>411010</v>
      </c>
      <c r="G3258" t="s">
        <v>87</v>
      </c>
      <c r="H3258" t="s">
        <v>3226</v>
      </c>
      <c r="I3258" t="s">
        <v>3227</v>
      </c>
      <c r="J3258">
        <v>350649</v>
      </c>
      <c r="K3258">
        <v>20220801</v>
      </c>
      <c r="L3258" t="s">
        <v>3285</v>
      </c>
      <c r="M3258">
        <v>0</v>
      </c>
      <c r="N3258">
        <v>12</v>
      </c>
      <c r="O3258" t="s">
        <v>22</v>
      </c>
      <c r="P3258">
        <v>20230218</v>
      </c>
      <c r="Q3258">
        <v>20220801</v>
      </c>
    </row>
    <row r="3259" spans="1:17" x14ac:dyDescent="0.25">
      <c r="A3259" t="s">
        <v>548</v>
      </c>
      <c r="B3259" t="s">
        <v>429</v>
      </c>
      <c r="C3259">
        <v>110</v>
      </c>
      <c r="D3259">
        <v>20220801</v>
      </c>
      <c r="E3259">
        <f t="shared" si="50"/>
        <v>8</v>
      </c>
      <c r="F3259">
        <v>411100</v>
      </c>
      <c r="G3259" t="s">
        <v>18</v>
      </c>
      <c r="H3259" t="s">
        <v>2734</v>
      </c>
      <c r="I3259" t="s">
        <v>2735</v>
      </c>
      <c r="J3259">
        <v>350650</v>
      </c>
      <c r="K3259">
        <v>20220801</v>
      </c>
      <c r="L3259" t="s">
        <v>3286</v>
      </c>
      <c r="M3259">
        <v>0</v>
      </c>
      <c r="N3259">
        <v>4.5</v>
      </c>
      <c r="O3259" t="s">
        <v>23</v>
      </c>
      <c r="P3259">
        <v>20230329</v>
      </c>
      <c r="Q3259">
        <v>20220801</v>
      </c>
    </row>
    <row r="3260" spans="1:17" x14ac:dyDescent="0.25">
      <c r="A3260" t="s">
        <v>548</v>
      </c>
      <c r="B3260" t="s">
        <v>429</v>
      </c>
      <c r="C3260">
        <v>110</v>
      </c>
      <c r="D3260">
        <v>20220801</v>
      </c>
      <c r="E3260">
        <f t="shared" si="50"/>
        <v>8</v>
      </c>
      <c r="F3260">
        <v>411100</v>
      </c>
      <c r="G3260" t="s">
        <v>18</v>
      </c>
      <c r="H3260" t="s">
        <v>35</v>
      </c>
      <c r="I3260" t="s">
        <v>36</v>
      </c>
      <c r="J3260">
        <v>350651</v>
      </c>
      <c r="K3260">
        <v>20220801</v>
      </c>
      <c r="L3260" t="s">
        <v>3287</v>
      </c>
      <c r="M3260">
        <v>0</v>
      </c>
      <c r="N3260">
        <v>3</v>
      </c>
      <c r="O3260" t="s">
        <v>19</v>
      </c>
      <c r="P3260" t="s">
        <v>20</v>
      </c>
      <c r="Q3260">
        <v>20220801</v>
      </c>
    </row>
    <row r="3261" spans="1:17" x14ac:dyDescent="0.25">
      <c r="A3261" t="s">
        <v>548</v>
      </c>
      <c r="B3261" t="s">
        <v>429</v>
      </c>
      <c r="C3261">
        <v>110</v>
      </c>
      <c r="D3261">
        <v>20220801</v>
      </c>
      <c r="E3261">
        <f t="shared" si="50"/>
        <v>8</v>
      </c>
      <c r="F3261">
        <v>411100</v>
      </c>
      <c r="G3261" t="s">
        <v>18</v>
      </c>
      <c r="H3261" t="s">
        <v>213</v>
      </c>
      <c r="I3261" t="s">
        <v>214</v>
      </c>
      <c r="J3261">
        <v>350652</v>
      </c>
      <c r="K3261">
        <v>20220801</v>
      </c>
      <c r="L3261" t="s">
        <v>3288</v>
      </c>
      <c r="M3261">
        <v>0</v>
      </c>
      <c r="N3261">
        <v>1.5</v>
      </c>
      <c r="O3261" t="s">
        <v>19</v>
      </c>
      <c r="P3261" t="s">
        <v>20</v>
      </c>
      <c r="Q3261">
        <v>20220801</v>
      </c>
    </row>
    <row r="3262" spans="1:17" x14ac:dyDescent="0.25">
      <c r="A3262" t="s">
        <v>548</v>
      </c>
      <c r="B3262" t="s">
        <v>429</v>
      </c>
      <c r="C3262">
        <v>110</v>
      </c>
      <c r="D3262">
        <v>20220801</v>
      </c>
      <c r="E3262">
        <f t="shared" si="50"/>
        <v>8</v>
      </c>
      <c r="F3262">
        <v>411100</v>
      </c>
      <c r="G3262" t="s">
        <v>18</v>
      </c>
      <c r="H3262" t="s">
        <v>2501</v>
      </c>
      <c r="I3262" t="s">
        <v>2502</v>
      </c>
      <c r="J3262">
        <v>350653</v>
      </c>
      <c r="K3262">
        <v>20220801</v>
      </c>
      <c r="L3262" t="s">
        <v>3289</v>
      </c>
      <c r="M3262">
        <v>0</v>
      </c>
      <c r="N3262">
        <v>4.5</v>
      </c>
      <c r="O3262" t="s">
        <v>23</v>
      </c>
      <c r="P3262">
        <v>20230329</v>
      </c>
      <c r="Q3262">
        <v>20220801</v>
      </c>
    </row>
    <row r="3263" spans="1:17" x14ac:dyDescent="0.25">
      <c r="A3263" t="s">
        <v>548</v>
      </c>
      <c r="B3263" t="s">
        <v>429</v>
      </c>
      <c r="C3263">
        <v>110</v>
      </c>
      <c r="D3263">
        <v>20220801</v>
      </c>
      <c r="E3263">
        <f t="shared" si="50"/>
        <v>8</v>
      </c>
      <c r="F3263">
        <v>411100</v>
      </c>
      <c r="G3263" t="s">
        <v>18</v>
      </c>
      <c r="H3263" t="s">
        <v>3224</v>
      </c>
      <c r="I3263" t="s">
        <v>3225</v>
      </c>
      <c r="J3263">
        <v>350654</v>
      </c>
      <c r="K3263">
        <v>20220801</v>
      </c>
      <c r="L3263" t="s">
        <v>3290</v>
      </c>
      <c r="M3263">
        <v>0</v>
      </c>
      <c r="N3263">
        <v>4.5</v>
      </c>
      <c r="O3263" t="s">
        <v>22</v>
      </c>
      <c r="P3263">
        <v>20230218</v>
      </c>
      <c r="Q3263">
        <v>20220801</v>
      </c>
    </row>
    <row r="3264" spans="1:17" x14ac:dyDescent="0.25">
      <c r="A3264" t="s">
        <v>548</v>
      </c>
      <c r="B3264" t="s">
        <v>429</v>
      </c>
      <c r="C3264">
        <v>110</v>
      </c>
      <c r="D3264">
        <v>20220801</v>
      </c>
      <c r="E3264">
        <f t="shared" si="50"/>
        <v>8</v>
      </c>
      <c r="F3264">
        <v>411100</v>
      </c>
      <c r="G3264" t="s">
        <v>18</v>
      </c>
      <c r="H3264" t="s">
        <v>1417</v>
      </c>
      <c r="I3264" t="s">
        <v>1418</v>
      </c>
      <c r="J3264">
        <v>350655</v>
      </c>
      <c r="K3264">
        <v>20220801</v>
      </c>
      <c r="L3264" t="s">
        <v>3291</v>
      </c>
      <c r="M3264">
        <v>0</v>
      </c>
      <c r="N3264">
        <v>10</v>
      </c>
      <c r="O3264" t="s">
        <v>22</v>
      </c>
      <c r="P3264">
        <v>20230218</v>
      </c>
      <c r="Q3264">
        <v>20220801</v>
      </c>
    </row>
    <row r="3265" spans="1:17" x14ac:dyDescent="0.25">
      <c r="A3265" t="s">
        <v>548</v>
      </c>
      <c r="B3265" t="s">
        <v>429</v>
      </c>
      <c r="C3265">
        <v>110</v>
      </c>
      <c r="D3265">
        <v>20220801</v>
      </c>
      <c r="E3265">
        <f t="shared" si="50"/>
        <v>8</v>
      </c>
      <c r="F3265">
        <v>411100</v>
      </c>
      <c r="G3265" t="s">
        <v>18</v>
      </c>
      <c r="H3265" t="s">
        <v>261</v>
      </c>
      <c r="I3265" t="s">
        <v>262</v>
      </c>
      <c r="J3265">
        <v>122030033</v>
      </c>
      <c r="K3265">
        <v>20220801</v>
      </c>
      <c r="L3265" t="s">
        <v>3292</v>
      </c>
      <c r="M3265">
        <v>0</v>
      </c>
      <c r="N3265">
        <v>61.37</v>
      </c>
      <c r="O3265" t="s">
        <v>19</v>
      </c>
      <c r="P3265" t="s">
        <v>20</v>
      </c>
      <c r="Q3265">
        <v>20220801</v>
      </c>
    </row>
    <row r="3266" spans="1:17" x14ac:dyDescent="0.25">
      <c r="A3266" t="s">
        <v>548</v>
      </c>
      <c r="B3266" t="s">
        <v>429</v>
      </c>
      <c r="C3266">
        <v>110</v>
      </c>
      <c r="D3266">
        <v>20220801</v>
      </c>
      <c r="E3266">
        <f t="shared" si="50"/>
        <v>8</v>
      </c>
      <c r="F3266">
        <v>531105</v>
      </c>
      <c r="G3266" t="s">
        <v>429</v>
      </c>
      <c r="H3266" t="s">
        <v>401</v>
      </c>
      <c r="I3266" t="s">
        <v>402</v>
      </c>
      <c r="J3266">
        <v>350657</v>
      </c>
      <c r="K3266">
        <v>20220801</v>
      </c>
      <c r="L3266" t="s">
        <v>565</v>
      </c>
      <c r="M3266">
        <v>126.37</v>
      </c>
      <c r="N3266">
        <v>0</v>
      </c>
      <c r="O3266" t="s">
        <v>19</v>
      </c>
      <c r="P3266" t="s">
        <v>20</v>
      </c>
      <c r="Q3266">
        <v>20220801</v>
      </c>
    </row>
    <row r="3267" spans="1:17" x14ac:dyDescent="0.25">
      <c r="A3267" t="s">
        <v>548</v>
      </c>
      <c r="B3267" t="s">
        <v>429</v>
      </c>
      <c r="C3267">
        <v>110</v>
      </c>
      <c r="D3267">
        <v>20220802</v>
      </c>
      <c r="E3267">
        <f t="shared" ref="E3267:E3330" si="51">VALUE(MID(D3267,5,2))</f>
        <v>8</v>
      </c>
      <c r="F3267">
        <v>411100</v>
      </c>
      <c r="G3267" t="s">
        <v>18</v>
      </c>
      <c r="H3267" t="s">
        <v>237</v>
      </c>
      <c r="I3267" t="s">
        <v>238</v>
      </c>
      <c r="J3267">
        <v>350731</v>
      </c>
      <c r="K3267">
        <v>20220802</v>
      </c>
      <c r="L3267" t="s">
        <v>3293</v>
      </c>
      <c r="M3267">
        <v>0</v>
      </c>
      <c r="N3267">
        <v>3.5</v>
      </c>
      <c r="O3267" t="s">
        <v>19</v>
      </c>
      <c r="P3267" t="s">
        <v>20</v>
      </c>
      <c r="Q3267">
        <v>20220802</v>
      </c>
    </row>
    <row r="3268" spans="1:17" x14ac:dyDescent="0.25">
      <c r="A3268" t="s">
        <v>548</v>
      </c>
      <c r="B3268" t="s">
        <v>429</v>
      </c>
      <c r="C3268">
        <v>110</v>
      </c>
      <c r="D3268">
        <v>20220802</v>
      </c>
      <c r="E3268">
        <f t="shared" si="51"/>
        <v>8</v>
      </c>
      <c r="F3268">
        <v>411100</v>
      </c>
      <c r="G3268" t="s">
        <v>18</v>
      </c>
      <c r="H3268" t="s">
        <v>1029</v>
      </c>
      <c r="I3268" t="s">
        <v>1030</v>
      </c>
      <c r="J3268">
        <v>350732</v>
      </c>
      <c r="K3268">
        <v>20220802</v>
      </c>
      <c r="L3268" t="s">
        <v>3294</v>
      </c>
      <c r="M3268">
        <v>0</v>
      </c>
      <c r="N3268">
        <v>2</v>
      </c>
      <c r="O3268" t="s">
        <v>19</v>
      </c>
      <c r="P3268" t="s">
        <v>20</v>
      </c>
      <c r="Q3268">
        <v>20220802</v>
      </c>
    </row>
    <row r="3269" spans="1:17" x14ac:dyDescent="0.25">
      <c r="A3269" t="s">
        <v>548</v>
      </c>
      <c r="B3269" t="s">
        <v>429</v>
      </c>
      <c r="C3269">
        <v>110</v>
      </c>
      <c r="D3269">
        <v>20220802</v>
      </c>
      <c r="E3269">
        <f t="shared" si="51"/>
        <v>8</v>
      </c>
      <c r="F3269">
        <v>411100</v>
      </c>
      <c r="G3269" t="s">
        <v>18</v>
      </c>
      <c r="H3269" t="s">
        <v>3106</v>
      </c>
      <c r="I3269" t="s">
        <v>3107</v>
      </c>
      <c r="J3269">
        <v>350733</v>
      </c>
      <c r="K3269">
        <v>20220802</v>
      </c>
      <c r="L3269" t="s">
        <v>3295</v>
      </c>
      <c r="M3269">
        <v>0</v>
      </c>
      <c r="N3269">
        <v>7</v>
      </c>
      <c r="O3269" t="s">
        <v>22</v>
      </c>
      <c r="P3269">
        <v>20230218</v>
      </c>
      <c r="Q3269">
        <v>20220802</v>
      </c>
    </row>
    <row r="3270" spans="1:17" x14ac:dyDescent="0.25">
      <c r="A3270" t="s">
        <v>548</v>
      </c>
      <c r="B3270" t="s">
        <v>429</v>
      </c>
      <c r="C3270">
        <v>110</v>
      </c>
      <c r="D3270">
        <v>20220802</v>
      </c>
      <c r="E3270">
        <f t="shared" si="51"/>
        <v>8</v>
      </c>
      <c r="F3270">
        <v>411100</v>
      </c>
      <c r="G3270" t="s">
        <v>18</v>
      </c>
      <c r="H3270" t="s">
        <v>3110</v>
      </c>
      <c r="I3270" t="s">
        <v>3111</v>
      </c>
      <c r="J3270">
        <v>350734</v>
      </c>
      <c r="K3270">
        <v>20220802</v>
      </c>
      <c r="L3270" t="s">
        <v>3296</v>
      </c>
      <c r="M3270">
        <v>0</v>
      </c>
      <c r="N3270">
        <v>7</v>
      </c>
      <c r="O3270" t="s">
        <v>19</v>
      </c>
      <c r="P3270" t="s">
        <v>20</v>
      </c>
      <c r="Q3270">
        <v>20220802</v>
      </c>
    </row>
    <row r="3271" spans="1:17" x14ac:dyDescent="0.25">
      <c r="A3271" t="s">
        <v>548</v>
      </c>
      <c r="B3271" t="s">
        <v>429</v>
      </c>
      <c r="C3271">
        <v>110</v>
      </c>
      <c r="D3271">
        <v>20220802</v>
      </c>
      <c r="E3271">
        <f t="shared" si="51"/>
        <v>8</v>
      </c>
      <c r="F3271">
        <v>411100</v>
      </c>
      <c r="G3271" t="s">
        <v>18</v>
      </c>
      <c r="H3271" t="s">
        <v>187</v>
      </c>
      <c r="I3271" t="s">
        <v>188</v>
      </c>
      <c r="J3271">
        <v>350735</v>
      </c>
      <c r="K3271">
        <v>20220802</v>
      </c>
      <c r="L3271" t="s">
        <v>3297</v>
      </c>
      <c r="M3271">
        <v>0</v>
      </c>
      <c r="N3271">
        <v>1.5</v>
      </c>
      <c r="O3271" t="s">
        <v>22</v>
      </c>
      <c r="P3271">
        <v>20230218</v>
      </c>
      <c r="Q3271">
        <v>20220802</v>
      </c>
    </row>
    <row r="3272" spans="1:17" x14ac:dyDescent="0.25">
      <c r="A3272" t="s">
        <v>548</v>
      </c>
      <c r="B3272" t="s">
        <v>429</v>
      </c>
      <c r="C3272">
        <v>110</v>
      </c>
      <c r="D3272">
        <v>20220802</v>
      </c>
      <c r="E3272">
        <f t="shared" si="51"/>
        <v>8</v>
      </c>
      <c r="F3272">
        <v>411100</v>
      </c>
      <c r="G3272" t="s">
        <v>18</v>
      </c>
      <c r="H3272" t="s">
        <v>2985</v>
      </c>
      <c r="I3272" t="s">
        <v>2986</v>
      </c>
      <c r="J3272">
        <v>350736</v>
      </c>
      <c r="K3272">
        <v>20220802</v>
      </c>
      <c r="L3272" t="s">
        <v>3298</v>
      </c>
      <c r="M3272">
        <v>0</v>
      </c>
      <c r="N3272">
        <v>1.5</v>
      </c>
      <c r="O3272" t="s">
        <v>23</v>
      </c>
      <c r="P3272">
        <v>20230329</v>
      </c>
      <c r="Q3272">
        <v>20220802</v>
      </c>
    </row>
    <row r="3273" spans="1:17" x14ac:dyDescent="0.25">
      <c r="A3273" t="s">
        <v>548</v>
      </c>
      <c r="B3273" t="s">
        <v>429</v>
      </c>
      <c r="C3273">
        <v>110</v>
      </c>
      <c r="D3273">
        <v>20220802</v>
      </c>
      <c r="E3273">
        <f t="shared" si="51"/>
        <v>8</v>
      </c>
      <c r="F3273">
        <v>411100</v>
      </c>
      <c r="G3273" t="s">
        <v>18</v>
      </c>
      <c r="H3273" t="s">
        <v>237</v>
      </c>
      <c r="I3273" t="s">
        <v>238</v>
      </c>
      <c r="J3273">
        <v>350737</v>
      </c>
      <c r="K3273">
        <v>20220802</v>
      </c>
      <c r="L3273" t="s">
        <v>3299</v>
      </c>
      <c r="M3273">
        <v>0</v>
      </c>
      <c r="N3273">
        <v>3.5</v>
      </c>
      <c r="O3273" t="s">
        <v>19</v>
      </c>
      <c r="P3273" t="s">
        <v>20</v>
      </c>
      <c r="Q3273">
        <v>20220802</v>
      </c>
    </row>
    <row r="3274" spans="1:17" x14ac:dyDescent="0.25">
      <c r="A3274" t="s">
        <v>548</v>
      </c>
      <c r="B3274" t="s">
        <v>429</v>
      </c>
      <c r="C3274">
        <v>110</v>
      </c>
      <c r="D3274">
        <v>20220802</v>
      </c>
      <c r="E3274">
        <f t="shared" si="51"/>
        <v>8</v>
      </c>
      <c r="F3274">
        <v>411100</v>
      </c>
      <c r="G3274" t="s">
        <v>18</v>
      </c>
      <c r="H3274" t="s">
        <v>1911</v>
      </c>
      <c r="I3274" t="s">
        <v>1912</v>
      </c>
      <c r="J3274">
        <v>350738</v>
      </c>
      <c r="K3274">
        <v>20220802</v>
      </c>
      <c r="L3274" t="s">
        <v>3300</v>
      </c>
      <c r="M3274">
        <v>0</v>
      </c>
      <c r="N3274">
        <v>2</v>
      </c>
      <c r="O3274" t="s">
        <v>19</v>
      </c>
      <c r="P3274" t="s">
        <v>20</v>
      </c>
      <c r="Q3274">
        <v>20220802</v>
      </c>
    </row>
    <row r="3275" spans="1:17" x14ac:dyDescent="0.25">
      <c r="A3275" t="s">
        <v>548</v>
      </c>
      <c r="B3275" t="s">
        <v>429</v>
      </c>
      <c r="C3275">
        <v>110</v>
      </c>
      <c r="D3275">
        <v>20220802</v>
      </c>
      <c r="E3275">
        <f t="shared" si="51"/>
        <v>8</v>
      </c>
      <c r="F3275">
        <v>411100</v>
      </c>
      <c r="G3275" t="s">
        <v>18</v>
      </c>
      <c r="H3275" t="s">
        <v>1911</v>
      </c>
      <c r="I3275" t="s">
        <v>1912</v>
      </c>
      <c r="J3275">
        <v>350739</v>
      </c>
      <c r="K3275">
        <v>20220802</v>
      </c>
      <c r="L3275" t="s">
        <v>3301</v>
      </c>
      <c r="M3275">
        <v>0</v>
      </c>
      <c r="N3275">
        <v>2</v>
      </c>
      <c r="O3275" t="s">
        <v>19</v>
      </c>
      <c r="P3275" t="s">
        <v>20</v>
      </c>
      <c r="Q3275">
        <v>20220802</v>
      </c>
    </row>
    <row r="3276" spans="1:17" x14ac:dyDescent="0.25">
      <c r="A3276" t="s">
        <v>548</v>
      </c>
      <c r="B3276" t="s">
        <v>429</v>
      </c>
      <c r="C3276">
        <v>110</v>
      </c>
      <c r="D3276">
        <v>20220802</v>
      </c>
      <c r="E3276">
        <f t="shared" si="51"/>
        <v>8</v>
      </c>
      <c r="F3276">
        <v>411100</v>
      </c>
      <c r="G3276" t="s">
        <v>18</v>
      </c>
      <c r="H3276" t="s">
        <v>77</v>
      </c>
      <c r="I3276" t="s">
        <v>78</v>
      </c>
      <c r="J3276">
        <v>350740</v>
      </c>
      <c r="K3276">
        <v>20220802</v>
      </c>
      <c r="L3276" t="s">
        <v>3302</v>
      </c>
      <c r="M3276">
        <v>0</v>
      </c>
      <c r="N3276">
        <v>8</v>
      </c>
      <c r="O3276" t="s">
        <v>19</v>
      </c>
      <c r="P3276" t="s">
        <v>20</v>
      </c>
      <c r="Q3276">
        <v>20220802</v>
      </c>
    </row>
    <row r="3277" spans="1:17" x14ac:dyDescent="0.25">
      <c r="A3277" t="s">
        <v>548</v>
      </c>
      <c r="B3277" t="s">
        <v>429</v>
      </c>
      <c r="C3277">
        <v>110</v>
      </c>
      <c r="D3277">
        <v>20220802</v>
      </c>
      <c r="E3277">
        <f t="shared" si="51"/>
        <v>8</v>
      </c>
      <c r="F3277">
        <v>411100</v>
      </c>
      <c r="G3277" t="s">
        <v>18</v>
      </c>
      <c r="H3277" t="s">
        <v>2985</v>
      </c>
      <c r="I3277" t="s">
        <v>2986</v>
      </c>
      <c r="J3277">
        <v>350741</v>
      </c>
      <c r="K3277">
        <v>20220802</v>
      </c>
      <c r="L3277" t="s">
        <v>3303</v>
      </c>
      <c r="M3277">
        <v>0</v>
      </c>
      <c r="N3277">
        <v>2</v>
      </c>
      <c r="O3277" t="s">
        <v>23</v>
      </c>
      <c r="P3277">
        <v>20230329</v>
      </c>
      <c r="Q3277">
        <v>20220802</v>
      </c>
    </row>
    <row r="3278" spans="1:17" x14ac:dyDescent="0.25">
      <c r="A3278" t="s">
        <v>548</v>
      </c>
      <c r="B3278" t="s">
        <v>429</v>
      </c>
      <c r="C3278">
        <v>110</v>
      </c>
      <c r="D3278">
        <v>20220802</v>
      </c>
      <c r="E3278">
        <f t="shared" si="51"/>
        <v>8</v>
      </c>
      <c r="F3278">
        <v>411100</v>
      </c>
      <c r="G3278" t="s">
        <v>18</v>
      </c>
      <c r="H3278" t="s">
        <v>1029</v>
      </c>
      <c r="I3278" t="s">
        <v>1030</v>
      </c>
      <c r="J3278">
        <v>350742</v>
      </c>
      <c r="K3278">
        <v>20220802</v>
      </c>
      <c r="L3278" t="s">
        <v>3304</v>
      </c>
      <c r="M3278">
        <v>0</v>
      </c>
      <c r="N3278">
        <v>2</v>
      </c>
      <c r="O3278" t="s">
        <v>19</v>
      </c>
      <c r="P3278" t="s">
        <v>20</v>
      </c>
      <c r="Q3278">
        <v>20220802</v>
      </c>
    </row>
    <row r="3279" spans="1:17" x14ac:dyDescent="0.25">
      <c r="A3279" t="s">
        <v>548</v>
      </c>
      <c r="B3279" t="s">
        <v>429</v>
      </c>
      <c r="C3279">
        <v>110</v>
      </c>
      <c r="D3279">
        <v>20220802</v>
      </c>
      <c r="E3279">
        <f t="shared" si="51"/>
        <v>8</v>
      </c>
      <c r="F3279">
        <v>411100</v>
      </c>
      <c r="G3279" t="s">
        <v>18</v>
      </c>
      <c r="H3279" t="s">
        <v>3110</v>
      </c>
      <c r="I3279" t="s">
        <v>3111</v>
      </c>
      <c r="J3279">
        <v>350743</v>
      </c>
      <c r="K3279">
        <v>20220802</v>
      </c>
      <c r="L3279" t="s">
        <v>3305</v>
      </c>
      <c r="M3279">
        <v>0</v>
      </c>
      <c r="N3279">
        <v>4</v>
      </c>
      <c r="O3279" t="s">
        <v>19</v>
      </c>
      <c r="P3279" t="s">
        <v>20</v>
      </c>
      <c r="Q3279">
        <v>20220802</v>
      </c>
    </row>
    <row r="3280" spans="1:17" x14ac:dyDescent="0.25">
      <c r="A3280" t="s">
        <v>548</v>
      </c>
      <c r="B3280" t="s">
        <v>429</v>
      </c>
      <c r="C3280">
        <v>110</v>
      </c>
      <c r="D3280">
        <v>20220802</v>
      </c>
      <c r="E3280">
        <f t="shared" si="51"/>
        <v>8</v>
      </c>
      <c r="F3280">
        <v>531105</v>
      </c>
      <c r="G3280" t="s">
        <v>429</v>
      </c>
      <c r="H3280" t="s">
        <v>401</v>
      </c>
      <c r="I3280" t="s">
        <v>402</v>
      </c>
      <c r="J3280">
        <v>350744</v>
      </c>
      <c r="K3280">
        <v>20220802</v>
      </c>
      <c r="L3280" t="s">
        <v>565</v>
      </c>
      <c r="M3280">
        <v>46</v>
      </c>
      <c r="N3280">
        <v>0</v>
      </c>
      <c r="O3280" t="s">
        <v>19</v>
      </c>
      <c r="P3280" t="s">
        <v>20</v>
      </c>
      <c r="Q3280">
        <v>20220802</v>
      </c>
    </row>
    <row r="3281" spans="1:17" x14ac:dyDescent="0.25">
      <c r="A3281" t="s">
        <v>548</v>
      </c>
      <c r="B3281" t="s">
        <v>429</v>
      </c>
      <c r="C3281">
        <v>110</v>
      </c>
      <c r="D3281">
        <v>20220803</v>
      </c>
      <c r="E3281">
        <f t="shared" si="51"/>
        <v>8</v>
      </c>
      <c r="F3281">
        <v>580000</v>
      </c>
      <c r="G3281" t="s">
        <v>532</v>
      </c>
      <c r="H3281" t="s">
        <v>401</v>
      </c>
      <c r="I3281" t="s">
        <v>402</v>
      </c>
      <c r="J3281" t="s">
        <v>3306</v>
      </c>
      <c r="K3281">
        <v>20220803</v>
      </c>
      <c r="L3281" t="s">
        <v>625</v>
      </c>
      <c r="M3281">
        <v>1600</v>
      </c>
      <c r="N3281">
        <v>0</v>
      </c>
      <c r="O3281" t="s">
        <v>22</v>
      </c>
      <c r="P3281">
        <v>20220803</v>
      </c>
      <c r="Q3281">
        <v>20220803</v>
      </c>
    </row>
    <row r="3282" spans="1:17" x14ac:dyDescent="0.25">
      <c r="A3282" t="s">
        <v>548</v>
      </c>
      <c r="B3282" t="s">
        <v>429</v>
      </c>
      <c r="C3282">
        <v>110</v>
      </c>
      <c r="D3282">
        <v>20220803</v>
      </c>
      <c r="E3282">
        <f t="shared" si="51"/>
        <v>8</v>
      </c>
      <c r="F3282">
        <v>531105</v>
      </c>
      <c r="G3282" t="s">
        <v>429</v>
      </c>
      <c r="H3282" t="s">
        <v>401</v>
      </c>
      <c r="I3282" t="s">
        <v>402</v>
      </c>
      <c r="J3282" t="s">
        <v>3306</v>
      </c>
      <c r="K3282">
        <v>20220803</v>
      </c>
      <c r="L3282" t="s">
        <v>625</v>
      </c>
      <c r="M3282">
        <v>0</v>
      </c>
      <c r="N3282">
        <v>1600</v>
      </c>
      <c r="O3282" t="s">
        <v>19</v>
      </c>
      <c r="P3282" t="s">
        <v>20</v>
      </c>
      <c r="Q3282">
        <v>20220803</v>
      </c>
    </row>
    <row r="3283" spans="1:17" x14ac:dyDescent="0.25">
      <c r="A3283" t="s">
        <v>548</v>
      </c>
      <c r="B3283" t="s">
        <v>429</v>
      </c>
      <c r="C3283">
        <v>110</v>
      </c>
      <c r="D3283">
        <v>20220803</v>
      </c>
      <c r="E3283">
        <f t="shared" si="51"/>
        <v>8</v>
      </c>
      <c r="F3283">
        <v>411100</v>
      </c>
      <c r="G3283" t="s">
        <v>18</v>
      </c>
      <c r="H3283" t="s">
        <v>231</v>
      </c>
      <c r="I3283" t="s">
        <v>232</v>
      </c>
      <c r="J3283">
        <v>122080044</v>
      </c>
      <c r="K3283">
        <v>20220803</v>
      </c>
      <c r="L3283" t="s">
        <v>3307</v>
      </c>
      <c r="M3283">
        <v>0</v>
      </c>
      <c r="N3283">
        <v>0.4</v>
      </c>
      <c r="O3283" t="s">
        <v>23</v>
      </c>
      <c r="P3283">
        <v>20230329</v>
      </c>
      <c r="Q3283">
        <v>20220803</v>
      </c>
    </row>
    <row r="3284" spans="1:17" x14ac:dyDescent="0.25">
      <c r="A3284" t="s">
        <v>548</v>
      </c>
      <c r="B3284" t="s">
        <v>429</v>
      </c>
      <c r="C3284">
        <v>110</v>
      </c>
      <c r="D3284">
        <v>20220803</v>
      </c>
      <c r="E3284">
        <f t="shared" si="51"/>
        <v>8</v>
      </c>
      <c r="F3284">
        <v>531105</v>
      </c>
      <c r="G3284" t="s">
        <v>429</v>
      </c>
      <c r="H3284" t="s">
        <v>401</v>
      </c>
      <c r="I3284" t="s">
        <v>402</v>
      </c>
      <c r="J3284">
        <v>355950</v>
      </c>
      <c r="K3284">
        <v>20220803</v>
      </c>
      <c r="L3284" t="s">
        <v>565</v>
      </c>
      <c r="M3284">
        <v>0.4</v>
      </c>
      <c r="N3284">
        <v>0</v>
      </c>
      <c r="O3284" t="s">
        <v>19</v>
      </c>
      <c r="P3284" t="s">
        <v>20</v>
      </c>
      <c r="Q3284">
        <v>20220803</v>
      </c>
    </row>
    <row r="3285" spans="1:17" x14ac:dyDescent="0.25">
      <c r="A3285" t="s">
        <v>548</v>
      </c>
      <c r="B3285" t="s">
        <v>429</v>
      </c>
      <c r="C3285">
        <v>110</v>
      </c>
      <c r="D3285">
        <v>20220804</v>
      </c>
      <c r="E3285">
        <f t="shared" si="51"/>
        <v>8</v>
      </c>
      <c r="F3285">
        <v>411010</v>
      </c>
      <c r="G3285" t="s">
        <v>87</v>
      </c>
      <c r="H3285" t="s">
        <v>93</v>
      </c>
      <c r="I3285" t="s">
        <v>94</v>
      </c>
      <c r="J3285">
        <v>122030031</v>
      </c>
      <c r="K3285">
        <v>20220804</v>
      </c>
      <c r="L3285" t="s">
        <v>3308</v>
      </c>
      <c r="M3285">
        <v>0</v>
      </c>
      <c r="N3285">
        <v>350</v>
      </c>
      <c r="O3285" t="s">
        <v>19</v>
      </c>
      <c r="P3285" t="s">
        <v>20</v>
      </c>
      <c r="Q3285">
        <v>20220804</v>
      </c>
    </row>
    <row r="3286" spans="1:17" x14ac:dyDescent="0.25">
      <c r="A3286" t="s">
        <v>548</v>
      </c>
      <c r="B3286" t="s">
        <v>429</v>
      </c>
      <c r="C3286">
        <v>110</v>
      </c>
      <c r="D3286">
        <v>20220804</v>
      </c>
      <c r="E3286">
        <f t="shared" si="51"/>
        <v>8</v>
      </c>
      <c r="F3286">
        <v>531105</v>
      </c>
      <c r="G3286" t="s">
        <v>429</v>
      </c>
      <c r="H3286" t="s">
        <v>401</v>
      </c>
      <c r="I3286" t="s">
        <v>402</v>
      </c>
      <c r="J3286">
        <v>355952</v>
      </c>
      <c r="K3286">
        <v>20220804</v>
      </c>
      <c r="L3286" t="s">
        <v>565</v>
      </c>
      <c r="M3286">
        <v>350</v>
      </c>
      <c r="N3286">
        <v>0</v>
      </c>
      <c r="O3286" t="s">
        <v>19</v>
      </c>
      <c r="P3286" t="s">
        <v>20</v>
      </c>
      <c r="Q3286">
        <v>20220804</v>
      </c>
    </row>
    <row r="3287" spans="1:17" x14ac:dyDescent="0.25">
      <c r="A3287" t="s">
        <v>548</v>
      </c>
      <c r="B3287" t="s">
        <v>429</v>
      </c>
      <c r="C3287">
        <v>110</v>
      </c>
      <c r="D3287">
        <v>20220805</v>
      </c>
      <c r="E3287">
        <f t="shared" si="51"/>
        <v>8</v>
      </c>
      <c r="F3287">
        <v>467100</v>
      </c>
      <c r="G3287" t="s">
        <v>160</v>
      </c>
      <c r="H3287" t="s">
        <v>172</v>
      </c>
      <c r="I3287" t="s">
        <v>173</v>
      </c>
      <c r="J3287" t="s">
        <v>3309</v>
      </c>
      <c r="K3287">
        <v>20220805</v>
      </c>
      <c r="L3287" t="s">
        <v>3310</v>
      </c>
      <c r="M3287">
        <v>100</v>
      </c>
      <c r="N3287">
        <v>0</v>
      </c>
      <c r="O3287" t="s">
        <v>23</v>
      </c>
      <c r="P3287">
        <v>20221013</v>
      </c>
      <c r="Q3287">
        <v>20220805</v>
      </c>
    </row>
    <row r="3288" spans="1:17" x14ac:dyDescent="0.25">
      <c r="A3288" t="s">
        <v>548</v>
      </c>
      <c r="B3288" t="s">
        <v>429</v>
      </c>
      <c r="C3288">
        <v>110</v>
      </c>
      <c r="D3288">
        <v>20220805</v>
      </c>
      <c r="E3288">
        <f t="shared" si="51"/>
        <v>8</v>
      </c>
      <c r="F3288">
        <v>531105</v>
      </c>
      <c r="G3288" t="s">
        <v>429</v>
      </c>
      <c r="H3288" t="s">
        <v>401</v>
      </c>
      <c r="I3288" t="s">
        <v>402</v>
      </c>
      <c r="J3288" t="s">
        <v>3309</v>
      </c>
      <c r="K3288">
        <v>20220805</v>
      </c>
      <c r="L3288" t="s">
        <v>3310</v>
      </c>
      <c r="M3288">
        <v>0</v>
      </c>
      <c r="N3288">
        <v>100</v>
      </c>
      <c r="O3288" t="s">
        <v>19</v>
      </c>
      <c r="P3288" t="s">
        <v>20</v>
      </c>
      <c r="Q3288">
        <v>20220805</v>
      </c>
    </row>
    <row r="3289" spans="1:17" x14ac:dyDescent="0.25">
      <c r="A3289" t="s">
        <v>548</v>
      </c>
      <c r="B3289" t="s">
        <v>429</v>
      </c>
      <c r="C3289">
        <v>110</v>
      </c>
      <c r="D3289">
        <v>20220805</v>
      </c>
      <c r="E3289">
        <f t="shared" si="51"/>
        <v>8</v>
      </c>
      <c r="F3289">
        <v>411100</v>
      </c>
      <c r="G3289" t="s">
        <v>18</v>
      </c>
      <c r="H3289" t="s">
        <v>592</v>
      </c>
      <c r="I3289" t="s">
        <v>593</v>
      </c>
      <c r="J3289">
        <v>122060070</v>
      </c>
      <c r="K3289">
        <v>20220805</v>
      </c>
      <c r="L3289" t="s">
        <v>3311</v>
      </c>
      <c r="M3289">
        <v>0</v>
      </c>
      <c r="N3289">
        <v>158</v>
      </c>
      <c r="O3289" t="s">
        <v>19</v>
      </c>
      <c r="P3289" t="s">
        <v>20</v>
      </c>
      <c r="Q3289">
        <v>20220805</v>
      </c>
    </row>
    <row r="3290" spans="1:17" x14ac:dyDescent="0.25">
      <c r="A3290" t="s">
        <v>548</v>
      </c>
      <c r="B3290" t="s">
        <v>429</v>
      </c>
      <c r="C3290">
        <v>110</v>
      </c>
      <c r="D3290">
        <v>20220805</v>
      </c>
      <c r="E3290">
        <f t="shared" si="51"/>
        <v>8</v>
      </c>
      <c r="F3290">
        <v>411100</v>
      </c>
      <c r="G3290" t="s">
        <v>18</v>
      </c>
      <c r="H3290" t="s">
        <v>592</v>
      </c>
      <c r="I3290" t="s">
        <v>593</v>
      </c>
      <c r="J3290">
        <v>122080109</v>
      </c>
      <c r="K3290">
        <v>20220805</v>
      </c>
      <c r="L3290" t="s">
        <v>3312</v>
      </c>
      <c r="M3290">
        <v>0</v>
      </c>
      <c r="N3290">
        <v>1</v>
      </c>
      <c r="O3290" t="s">
        <v>19</v>
      </c>
      <c r="P3290" t="s">
        <v>20</v>
      </c>
      <c r="Q3290">
        <v>20220805</v>
      </c>
    </row>
    <row r="3291" spans="1:17" x14ac:dyDescent="0.25">
      <c r="A3291" t="s">
        <v>548</v>
      </c>
      <c r="B3291" t="s">
        <v>429</v>
      </c>
      <c r="C3291">
        <v>110</v>
      </c>
      <c r="D3291">
        <v>20220805</v>
      </c>
      <c r="E3291">
        <f t="shared" si="51"/>
        <v>8</v>
      </c>
      <c r="F3291">
        <v>411100</v>
      </c>
      <c r="G3291" t="s">
        <v>18</v>
      </c>
      <c r="H3291" t="s">
        <v>657</v>
      </c>
      <c r="I3291" t="s">
        <v>658</v>
      </c>
      <c r="J3291">
        <v>355955</v>
      </c>
      <c r="K3291">
        <v>20220805</v>
      </c>
      <c r="L3291" t="s">
        <v>3313</v>
      </c>
      <c r="M3291">
        <v>0</v>
      </c>
      <c r="N3291">
        <v>6</v>
      </c>
      <c r="O3291" t="s">
        <v>19</v>
      </c>
      <c r="P3291" t="s">
        <v>20</v>
      </c>
      <c r="Q3291">
        <v>20220805</v>
      </c>
    </row>
    <row r="3292" spans="1:17" x14ac:dyDescent="0.25">
      <c r="A3292" t="s">
        <v>548</v>
      </c>
      <c r="B3292" t="s">
        <v>429</v>
      </c>
      <c r="C3292">
        <v>110</v>
      </c>
      <c r="D3292">
        <v>20220805</v>
      </c>
      <c r="E3292">
        <f t="shared" si="51"/>
        <v>8</v>
      </c>
      <c r="F3292">
        <v>411100</v>
      </c>
      <c r="G3292" t="s">
        <v>18</v>
      </c>
      <c r="H3292" t="s">
        <v>1911</v>
      </c>
      <c r="I3292" t="s">
        <v>1912</v>
      </c>
      <c r="J3292">
        <v>355956</v>
      </c>
      <c r="K3292">
        <v>20220805</v>
      </c>
      <c r="L3292" t="s">
        <v>3314</v>
      </c>
      <c r="M3292">
        <v>0</v>
      </c>
      <c r="N3292">
        <v>12</v>
      </c>
      <c r="O3292" t="s">
        <v>19</v>
      </c>
      <c r="P3292" t="s">
        <v>20</v>
      </c>
      <c r="Q3292">
        <v>20220805</v>
      </c>
    </row>
    <row r="3293" spans="1:17" x14ac:dyDescent="0.25">
      <c r="A3293" t="s">
        <v>548</v>
      </c>
      <c r="B3293" t="s">
        <v>429</v>
      </c>
      <c r="C3293">
        <v>110</v>
      </c>
      <c r="D3293">
        <v>20220805</v>
      </c>
      <c r="E3293">
        <f t="shared" si="51"/>
        <v>8</v>
      </c>
      <c r="F3293">
        <v>411100</v>
      </c>
      <c r="G3293" t="s">
        <v>18</v>
      </c>
      <c r="H3293" t="s">
        <v>3035</v>
      </c>
      <c r="I3293" t="s">
        <v>3036</v>
      </c>
      <c r="J3293">
        <v>355957</v>
      </c>
      <c r="K3293">
        <v>20220805</v>
      </c>
      <c r="L3293" t="s">
        <v>3315</v>
      </c>
      <c r="M3293">
        <v>0</v>
      </c>
      <c r="N3293">
        <v>6</v>
      </c>
      <c r="O3293" t="s">
        <v>19</v>
      </c>
      <c r="P3293" t="s">
        <v>20</v>
      </c>
      <c r="Q3293">
        <v>20220805</v>
      </c>
    </row>
    <row r="3294" spans="1:17" x14ac:dyDescent="0.25">
      <c r="A3294" t="s">
        <v>548</v>
      </c>
      <c r="B3294" t="s">
        <v>429</v>
      </c>
      <c r="C3294">
        <v>110</v>
      </c>
      <c r="D3294">
        <v>20220805</v>
      </c>
      <c r="E3294">
        <f t="shared" si="51"/>
        <v>8</v>
      </c>
      <c r="F3294">
        <v>411100</v>
      </c>
      <c r="G3294" t="s">
        <v>18</v>
      </c>
      <c r="H3294" t="s">
        <v>73</v>
      </c>
      <c r="I3294" t="s">
        <v>74</v>
      </c>
      <c r="J3294">
        <v>355958</v>
      </c>
      <c r="K3294">
        <v>20220805</v>
      </c>
      <c r="L3294" t="s">
        <v>3316</v>
      </c>
      <c r="M3294">
        <v>0</v>
      </c>
      <c r="N3294">
        <v>6</v>
      </c>
      <c r="O3294" t="s">
        <v>19</v>
      </c>
      <c r="P3294" t="s">
        <v>20</v>
      </c>
      <c r="Q3294">
        <v>20220805</v>
      </c>
    </row>
    <row r="3295" spans="1:17" x14ac:dyDescent="0.25">
      <c r="A3295" t="s">
        <v>548</v>
      </c>
      <c r="B3295" t="s">
        <v>429</v>
      </c>
      <c r="C3295">
        <v>110</v>
      </c>
      <c r="D3295">
        <v>20220805</v>
      </c>
      <c r="E3295">
        <f t="shared" si="51"/>
        <v>8</v>
      </c>
      <c r="F3295">
        <v>411100</v>
      </c>
      <c r="G3295" t="s">
        <v>18</v>
      </c>
      <c r="H3295" t="s">
        <v>2985</v>
      </c>
      <c r="I3295" t="s">
        <v>2986</v>
      </c>
      <c r="J3295">
        <v>355959</v>
      </c>
      <c r="K3295">
        <v>20220805</v>
      </c>
      <c r="L3295" t="s">
        <v>3317</v>
      </c>
      <c r="M3295">
        <v>0</v>
      </c>
      <c r="N3295">
        <v>6</v>
      </c>
      <c r="O3295" t="s">
        <v>23</v>
      </c>
      <c r="P3295">
        <v>20230329</v>
      </c>
      <c r="Q3295">
        <v>20220805</v>
      </c>
    </row>
    <row r="3296" spans="1:17" x14ac:dyDescent="0.25">
      <c r="A3296" t="s">
        <v>548</v>
      </c>
      <c r="B3296" t="s">
        <v>429</v>
      </c>
      <c r="C3296">
        <v>110</v>
      </c>
      <c r="D3296">
        <v>20220805</v>
      </c>
      <c r="E3296">
        <f t="shared" si="51"/>
        <v>8</v>
      </c>
      <c r="F3296">
        <v>411100</v>
      </c>
      <c r="G3296" t="s">
        <v>18</v>
      </c>
      <c r="H3296" t="s">
        <v>65</v>
      </c>
      <c r="I3296" t="s">
        <v>66</v>
      </c>
      <c r="J3296">
        <v>355960</v>
      </c>
      <c r="K3296">
        <v>20220805</v>
      </c>
      <c r="L3296" t="s">
        <v>3318</v>
      </c>
      <c r="M3296">
        <v>0</v>
      </c>
      <c r="N3296">
        <v>6</v>
      </c>
      <c r="O3296" t="s">
        <v>19</v>
      </c>
      <c r="P3296" t="s">
        <v>20</v>
      </c>
      <c r="Q3296">
        <v>20220805</v>
      </c>
    </row>
    <row r="3297" spans="1:17" x14ac:dyDescent="0.25">
      <c r="A3297" t="s">
        <v>548</v>
      </c>
      <c r="B3297" t="s">
        <v>429</v>
      </c>
      <c r="C3297">
        <v>110</v>
      </c>
      <c r="D3297">
        <v>20220805</v>
      </c>
      <c r="E3297">
        <f t="shared" si="51"/>
        <v>8</v>
      </c>
      <c r="F3297">
        <v>411100</v>
      </c>
      <c r="G3297" t="s">
        <v>18</v>
      </c>
      <c r="H3297" t="s">
        <v>3106</v>
      </c>
      <c r="I3297" t="s">
        <v>3107</v>
      </c>
      <c r="J3297">
        <v>355961</v>
      </c>
      <c r="K3297">
        <v>20220805</v>
      </c>
      <c r="L3297" t="s">
        <v>3319</v>
      </c>
      <c r="M3297">
        <v>0</v>
      </c>
      <c r="N3297">
        <v>12</v>
      </c>
      <c r="O3297" t="s">
        <v>22</v>
      </c>
      <c r="P3297">
        <v>20230218</v>
      </c>
      <c r="Q3297">
        <v>20220805</v>
      </c>
    </row>
    <row r="3298" spans="1:17" x14ac:dyDescent="0.25">
      <c r="A3298" t="s">
        <v>548</v>
      </c>
      <c r="B3298" t="s">
        <v>429</v>
      </c>
      <c r="C3298">
        <v>110</v>
      </c>
      <c r="D3298">
        <v>20220805</v>
      </c>
      <c r="E3298">
        <f t="shared" si="51"/>
        <v>8</v>
      </c>
      <c r="F3298">
        <v>411100</v>
      </c>
      <c r="G3298" t="s">
        <v>18</v>
      </c>
      <c r="H3298" t="s">
        <v>150</v>
      </c>
      <c r="I3298" t="s">
        <v>151</v>
      </c>
      <c r="J3298">
        <v>355962</v>
      </c>
      <c r="K3298">
        <v>20220805</v>
      </c>
      <c r="L3298" t="s">
        <v>3320</v>
      </c>
      <c r="M3298">
        <v>0</v>
      </c>
      <c r="N3298">
        <v>6</v>
      </c>
      <c r="O3298" t="s">
        <v>19</v>
      </c>
      <c r="P3298" t="s">
        <v>20</v>
      </c>
      <c r="Q3298">
        <v>20220805</v>
      </c>
    </row>
    <row r="3299" spans="1:17" x14ac:dyDescent="0.25">
      <c r="A3299" t="s">
        <v>548</v>
      </c>
      <c r="B3299" t="s">
        <v>429</v>
      </c>
      <c r="C3299">
        <v>110</v>
      </c>
      <c r="D3299">
        <v>20220805</v>
      </c>
      <c r="E3299">
        <f t="shared" si="51"/>
        <v>8</v>
      </c>
      <c r="F3299">
        <v>411100</v>
      </c>
      <c r="G3299" t="s">
        <v>18</v>
      </c>
      <c r="H3299" t="s">
        <v>3321</v>
      </c>
      <c r="I3299" t="s">
        <v>3322</v>
      </c>
      <c r="J3299">
        <v>355963</v>
      </c>
      <c r="K3299">
        <v>20220805</v>
      </c>
      <c r="L3299" t="s">
        <v>3323</v>
      </c>
      <c r="M3299">
        <v>0</v>
      </c>
      <c r="N3299">
        <v>6</v>
      </c>
      <c r="O3299" t="s">
        <v>22</v>
      </c>
      <c r="P3299">
        <v>20230218</v>
      </c>
      <c r="Q3299">
        <v>20220805</v>
      </c>
    </row>
    <row r="3300" spans="1:17" x14ac:dyDescent="0.25">
      <c r="A3300" t="s">
        <v>548</v>
      </c>
      <c r="B3300" t="s">
        <v>429</v>
      </c>
      <c r="C3300">
        <v>110</v>
      </c>
      <c r="D3300">
        <v>20220805</v>
      </c>
      <c r="E3300">
        <f t="shared" si="51"/>
        <v>8</v>
      </c>
      <c r="F3300">
        <v>411100</v>
      </c>
      <c r="G3300" t="s">
        <v>18</v>
      </c>
      <c r="H3300" t="s">
        <v>237</v>
      </c>
      <c r="I3300" t="s">
        <v>238</v>
      </c>
      <c r="J3300">
        <v>122080019</v>
      </c>
      <c r="K3300">
        <v>20220805</v>
      </c>
      <c r="L3300" t="s">
        <v>3324</v>
      </c>
      <c r="M3300">
        <v>0</v>
      </c>
      <c r="N3300">
        <v>2.85</v>
      </c>
      <c r="O3300" t="s">
        <v>19</v>
      </c>
      <c r="P3300" t="s">
        <v>20</v>
      </c>
      <c r="Q3300">
        <v>20220805</v>
      </c>
    </row>
    <row r="3301" spans="1:17" x14ac:dyDescent="0.25">
      <c r="A3301" t="s">
        <v>548</v>
      </c>
      <c r="B3301" t="s">
        <v>429</v>
      </c>
      <c r="C3301">
        <v>110</v>
      </c>
      <c r="D3301">
        <v>20220805</v>
      </c>
      <c r="E3301">
        <f t="shared" si="51"/>
        <v>8</v>
      </c>
      <c r="F3301">
        <v>411100</v>
      </c>
      <c r="G3301" t="s">
        <v>18</v>
      </c>
      <c r="H3301" t="s">
        <v>1029</v>
      </c>
      <c r="I3301" t="s">
        <v>1030</v>
      </c>
      <c r="J3301">
        <v>355965</v>
      </c>
      <c r="K3301">
        <v>20220805</v>
      </c>
      <c r="L3301" t="s">
        <v>3325</v>
      </c>
      <c r="M3301">
        <v>0</v>
      </c>
      <c r="N3301">
        <v>6</v>
      </c>
      <c r="O3301" t="s">
        <v>19</v>
      </c>
      <c r="P3301" t="s">
        <v>20</v>
      </c>
      <c r="Q3301">
        <v>20220805</v>
      </c>
    </row>
    <row r="3302" spans="1:17" x14ac:dyDescent="0.25">
      <c r="A3302" t="s">
        <v>548</v>
      </c>
      <c r="B3302" t="s">
        <v>429</v>
      </c>
      <c r="C3302">
        <v>110</v>
      </c>
      <c r="D3302">
        <v>20220805</v>
      </c>
      <c r="E3302">
        <f t="shared" si="51"/>
        <v>8</v>
      </c>
      <c r="F3302">
        <v>411100</v>
      </c>
      <c r="G3302" t="s">
        <v>18</v>
      </c>
      <c r="H3302" t="s">
        <v>77</v>
      </c>
      <c r="I3302" t="s">
        <v>78</v>
      </c>
      <c r="J3302">
        <v>355966</v>
      </c>
      <c r="K3302">
        <v>20220805</v>
      </c>
      <c r="L3302" t="s">
        <v>3326</v>
      </c>
      <c r="M3302">
        <v>0</v>
      </c>
      <c r="N3302">
        <v>26</v>
      </c>
      <c r="O3302" t="s">
        <v>19</v>
      </c>
      <c r="P3302" t="s">
        <v>20</v>
      </c>
      <c r="Q3302">
        <v>20220805</v>
      </c>
    </row>
    <row r="3303" spans="1:17" x14ac:dyDescent="0.25">
      <c r="A3303" t="s">
        <v>548</v>
      </c>
      <c r="B3303" t="s">
        <v>429</v>
      </c>
      <c r="C3303">
        <v>110</v>
      </c>
      <c r="D3303">
        <v>20220805</v>
      </c>
      <c r="E3303">
        <f t="shared" si="51"/>
        <v>8</v>
      </c>
      <c r="F3303">
        <v>411100</v>
      </c>
      <c r="G3303" t="s">
        <v>18</v>
      </c>
      <c r="H3303" t="s">
        <v>73</v>
      </c>
      <c r="I3303" t="s">
        <v>74</v>
      </c>
      <c r="J3303">
        <v>355967</v>
      </c>
      <c r="K3303">
        <v>20220805</v>
      </c>
      <c r="L3303" t="s">
        <v>3327</v>
      </c>
      <c r="M3303">
        <v>0</v>
      </c>
      <c r="N3303">
        <v>8</v>
      </c>
      <c r="O3303" t="s">
        <v>19</v>
      </c>
      <c r="P3303" t="s">
        <v>20</v>
      </c>
      <c r="Q3303">
        <v>20220805</v>
      </c>
    </row>
    <row r="3304" spans="1:17" x14ac:dyDescent="0.25">
      <c r="A3304" t="s">
        <v>548</v>
      </c>
      <c r="B3304" t="s">
        <v>429</v>
      </c>
      <c r="C3304">
        <v>110</v>
      </c>
      <c r="D3304">
        <v>20220805</v>
      </c>
      <c r="E3304">
        <f t="shared" si="51"/>
        <v>8</v>
      </c>
      <c r="F3304">
        <v>411100</v>
      </c>
      <c r="G3304" t="s">
        <v>18</v>
      </c>
      <c r="H3304" t="s">
        <v>3328</v>
      </c>
      <c r="I3304" t="s">
        <v>3329</v>
      </c>
      <c r="J3304">
        <v>355968</v>
      </c>
      <c r="K3304">
        <v>20220805</v>
      </c>
      <c r="L3304" t="s">
        <v>3330</v>
      </c>
      <c r="M3304">
        <v>0</v>
      </c>
      <c r="N3304">
        <v>3.5</v>
      </c>
      <c r="O3304" t="s">
        <v>22</v>
      </c>
      <c r="P3304">
        <v>20230218</v>
      </c>
      <c r="Q3304">
        <v>20220805</v>
      </c>
    </row>
    <row r="3305" spans="1:17" x14ac:dyDescent="0.25">
      <c r="A3305" t="s">
        <v>548</v>
      </c>
      <c r="B3305" t="s">
        <v>429</v>
      </c>
      <c r="C3305">
        <v>110</v>
      </c>
      <c r="D3305">
        <v>20220805</v>
      </c>
      <c r="E3305">
        <f t="shared" si="51"/>
        <v>8</v>
      </c>
      <c r="F3305">
        <v>531105</v>
      </c>
      <c r="G3305" t="s">
        <v>429</v>
      </c>
      <c r="H3305" t="s">
        <v>401</v>
      </c>
      <c r="I3305" t="s">
        <v>402</v>
      </c>
      <c r="J3305">
        <v>355969</v>
      </c>
      <c r="K3305">
        <v>20220805</v>
      </c>
      <c r="L3305" t="s">
        <v>565</v>
      </c>
      <c r="M3305">
        <v>271.35000000000002</v>
      </c>
      <c r="N3305">
        <v>0</v>
      </c>
      <c r="O3305" t="s">
        <v>19</v>
      </c>
      <c r="P3305" t="s">
        <v>20</v>
      </c>
      <c r="Q3305">
        <v>20220805</v>
      </c>
    </row>
    <row r="3306" spans="1:17" x14ac:dyDescent="0.25">
      <c r="A3306" t="s">
        <v>548</v>
      </c>
      <c r="B3306" t="s">
        <v>429</v>
      </c>
      <c r="C3306">
        <v>110</v>
      </c>
      <c r="D3306">
        <v>20220829</v>
      </c>
      <c r="E3306">
        <f t="shared" si="51"/>
        <v>8</v>
      </c>
      <c r="F3306">
        <v>467100</v>
      </c>
      <c r="G3306" t="s">
        <v>160</v>
      </c>
      <c r="H3306" t="s">
        <v>183</v>
      </c>
      <c r="I3306" t="s">
        <v>184</v>
      </c>
      <c r="J3306" t="s">
        <v>3331</v>
      </c>
      <c r="K3306">
        <v>20220829</v>
      </c>
      <c r="L3306" t="s">
        <v>3332</v>
      </c>
      <c r="M3306">
        <v>30</v>
      </c>
      <c r="N3306">
        <v>0</v>
      </c>
      <c r="O3306" t="s">
        <v>23</v>
      </c>
      <c r="P3306">
        <v>20220907</v>
      </c>
      <c r="Q3306">
        <v>20220829</v>
      </c>
    </row>
    <row r="3307" spans="1:17" x14ac:dyDescent="0.25">
      <c r="A3307" t="s">
        <v>548</v>
      </c>
      <c r="B3307" t="s">
        <v>429</v>
      </c>
      <c r="C3307">
        <v>110</v>
      </c>
      <c r="D3307">
        <v>20220829</v>
      </c>
      <c r="E3307">
        <f t="shared" si="51"/>
        <v>8</v>
      </c>
      <c r="F3307">
        <v>531105</v>
      </c>
      <c r="G3307" t="s">
        <v>429</v>
      </c>
      <c r="H3307" t="s">
        <v>401</v>
      </c>
      <c r="I3307" t="s">
        <v>402</v>
      </c>
      <c r="J3307" t="s">
        <v>3331</v>
      </c>
      <c r="K3307">
        <v>20220829</v>
      </c>
      <c r="L3307" t="s">
        <v>3332</v>
      </c>
      <c r="M3307">
        <v>0</v>
      </c>
      <c r="N3307">
        <v>30</v>
      </c>
      <c r="O3307" t="s">
        <v>19</v>
      </c>
      <c r="P3307" t="s">
        <v>20</v>
      </c>
      <c r="Q3307">
        <v>20220829</v>
      </c>
    </row>
    <row r="3308" spans="1:17" x14ac:dyDescent="0.25">
      <c r="A3308" t="s">
        <v>548</v>
      </c>
      <c r="B3308" t="s">
        <v>429</v>
      </c>
      <c r="C3308">
        <v>110</v>
      </c>
      <c r="D3308">
        <v>20220829</v>
      </c>
      <c r="E3308">
        <f t="shared" si="51"/>
        <v>8</v>
      </c>
      <c r="F3308">
        <v>467100</v>
      </c>
      <c r="G3308" t="s">
        <v>160</v>
      </c>
      <c r="H3308" t="s">
        <v>183</v>
      </c>
      <c r="I3308" t="s">
        <v>184</v>
      </c>
      <c r="J3308" t="s">
        <v>3333</v>
      </c>
      <c r="K3308">
        <v>20220829</v>
      </c>
      <c r="L3308" t="s">
        <v>3334</v>
      </c>
      <c r="M3308">
        <v>100</v>
      </c>
      <c r="N3308">
        <v>0</v>
      </c>
      <c r="O3308" t="s">
        <v>23</v>
      </c>
      <c r="P3308">
        <v>20220907</v>
      </c>
      <c r="Q3308">
        <v>20220829</v>
      </c>
    </row>
    <row r="3309" spans="1:17" x14ac:dyDescent="0.25">
      <c r="A3309" t="s">
        <v>548</v>
      </c>
      <c r="B3309" t="s">
        <v>429</v>
      </c>
      <c r="C3309">
        <v>110</v>
      </c>
      <c r="D3309">
        <v>20220829</v>
      </c>
      <c r="E3309">
        <f t="shared" si="51"/>
        <v>8</v>
      </c>
      <c r="F3309">
        <v>531105</v>
      </c>
      <c r="G3309" t="s">
        <v>429</v>
      </c>
      <c r="H3309" t="s">
        <v>401</v>
      </c>
      <c r="I3309" t="s">
        <v>402</v>
      </c>
      <c r="J3309" t="s">
        <v>3333</v>
      </c>
      <c r="K3309">
        <v>20220829</v>
      </c>
      <c r="L3309" t="s">
        <v>3334</v>
      </c>
      <c r="M3309">
        <v>0</v>
      </c>
      <c r="N3309">
        <v>100</v>
      </c>
      <c r="O3309" t="s">
        <v>19</v>
      </c>
      <c r="P3309" t="s">
        <v>20</v>
      </c>
      <c r="Q3309">
        <v>20220829</v>
      </c>
    </row>
    <row r="3310" spans="1:17" x14ac:dyDescent="0.25">
      <c r="A3310" t="s">
        <v>715</v>
      </c>
      <c r="B3310" t="s">
        <v>432</v>
      </c>
      <c r="C3310">
        <v>111</v>
      </c>
      <c r="D3310">
        <v>20220801</v>
      </c>
      <c r="E3310">
        <f t="shared" si="51"/>
        <v>8</v>
      </c>
      <c r="F3310">
        <v>512200</v>
      </c>
      <c r="G3310" t="s">
        <v>432</v>
      </c>
      <c r="H3310" t="s">
        <v>401</v>
      </c>
      <c r="I3310" t="s">
        <v>402</v>
      </c>
      <c r="J3310" t="s">
        <v>3335</v>
      </c>
      <c r="K3310">
        <v>20220801</v>
      </c>
      <c r="L3310" t="s">
        <v>3336</v>
      </c>
      <c r="M3310">
        <v>7478.7</v>
      </c>
      <c r="N3310">
        <v>0</v>
      </c>
      <c r="O3310" t="s">
        <v>19</v>
      </c>
      <c r="P3310" t="s">
        <v>20</v>
      </c>
      <c r="Q3310">
        <v>20220801</v>
      </c>
    </row>
    <row r="3311" spans="1:17" x14ac:dyDescent="0.25">
      <c r="A3311" t="s">
        <v>715</v>
      </c>
      <c r="B3311" t="s">
        <v>432</v>
      </c>
      <c r="C3311">
        <v>111</v>
      </c>
      <c r="D3311">
        <v>20220801</v>
      </c>
      <c r="E3311">
        <f t="shared" si="51"/>
        <v>8</v>
      </c>
      <c r="F3311">
        <v>511000</v>
      </c>
      <c r="G3311" t="s">
        <v>431</v>
      </c>
      <c r="H3311" t="s">
        <v>401</v>
      </c>
      <c r="I3311" t="s">
        <v>402</v>
      </c>
      <c r="J3311" t="s">
        <v>3335</v>
      </c>
      <c r="K3311">
        <v>20220801</v>
      </c>
      <c r="L3311" t="s">
        <v>3336</v>
      </c>
      <c r="M3311">
        <v>0</v>
      </c>
      <c r="N3311">
        <v>7478.7</v>
      </c>
      <c r="O3311" t="s">
        <v>23</v>
      </c>
      <c r="P3311">
        <v>20230113</v>
      </c>
      <c r="Q3311">
        <v>20220801</v>
      </c>
    </row>
    <row r="3312" spans="1:17" x14ac:dyDescent="0.25">
      <c r="A3312" t="s">
        <v>715</v>
      </c>
      <c r="B3312" t="s">
        <v>432</v>
      </c>
      <c r="C3312">
        <v>111</v>
      </c>
      <c r="D3312">
        <v>20220801</v>
      </c>
      <c r="E3312">
        <f t="shared" si="51"/>
        <v>8</v>
      </c>
      <c r="F3312">
        <v>401000</v>
      </c>
      <c r="G3312" t="s">
        <v>41</v>
      </c>
      <c r="H3312" t="s">
        <v>189</v>
      </c>
      <c r="I3312" t="s">
        <v>190</v>
      </c>
      <c r="J3312" t="s">
        <v>3337</v>
      </c>
      <c r="K3312">
        <v>20220801</v>
      </c>
      <c r="L3312" t="s">
        <v>191</v>
      </c>
      <c r="M3312">
        <v>149.85</v>
      </c>
      <c r="N3312">
        <v>0</v>
      </c>
      <c r="O3312" t="s">
        <v>23</v>
      </c>
      <c r="P3312">
        <v>20221005</v>
      </c>
      <c r="Q3312">
        <v>20220801</v>
      </c>
    </row>
    <row r="3313" spans="1:17" x14ac:dyDescent="0.25">
      <c r="A3313" t="s">
        <v>715</v>
      </c>
      <c r="B3313" t="s">
        <v>432</v>
      </c>
      <c r="C3313">
        <v>111</v>
      </c>
      <c r="D3313">
        <v>20220801</v>
      </c>
      <c r="E3313">
        <f t="shared" si="51"/>
        <v>8</v>
      </c>
      <c r="F3313">
        <v>512200</v>
      </c>
      <c r="G3313" t="s">
        <v>432</v>
      </c>
      <c r="H3313" t="s">
        <v>401</v>
      </c>
      <c r="I3313" t="s">
        <v>402</v>
      </c>
      <c r="J3313" t="s">
        <v>3337</v>
      </c>
      <c r="K3313">
        <v>20220801</v>
      </c>
      <c r="L3313" t="s">
        <v>191</v>
      </c>
      <c r="M3313">
        <v>0</v>
      </c>
      <c r="N3313">
        <v>149.85</v>
      </c>
      <c r="O3313" t="s">
        <v>19</v>
      </c>
      <c r="P3313" t="s">
        <v>20</v>
      </c>
      <c r="Q3313">
        <v>20220801</v>
      </c>
    </row>
    <row r="3314" spans="1:17" x14ac:dyDescent="0.25">
      <c r="A3314" t="s">
        <v>715</v>
      </c>
      <c r="B3314" t="s">
        <v>432</v>
      </c>
      <c r="C3314">
        <v>111</v>
      </c>
      <c r="D3314">
        <v>20220801</v>
      </c>
      <c r="E3314">
        <f t="shared" si="51"/>
        <v>8</v>
      </c>
      <c r="F3314">
        <v>401000</v>
      </c>
      <c r="G3314" t="s">
        <v>41</v>
      </c>
      <c r="H3314" t="s">
        <v>52</v>
      </c>
      <c r="I3314" t="s">
        <v>53</v>
      </c>
      <c r="J3314" t="s">
        <v>3338</v>
      </c>
      <c r="K3314">
        <v>20220801</v>
      </c>
      <c r="L3314" t="s">
        <v>3339</v>
      </c>
      <c r="M3314">
        <v>65.760000000000005</v>
      </c>
      <c r="N3314">
        <v>0</v>
      </c>
      <c r="O3314" t="s">
        <v>23</v>
      </c>
      <c r="P3314">
        <v>20220929</v>
      </c>
      <c r="Q3314">
        <v>20220801</v>
      </c>
    </row>
    <row r="3315" spans="1:17" x14ac:dyDescent="0.25">
      <c r="A3315" t="s">
        <v>715</v>
      </c>
      <c r="B3315" t="s">
        <v>432</v>
      </c>
      <c r="C3315">
        <v>111</v>
      </c>
      <c r="D3315">
        <v>20220801</v>
      </c>
      <c r="E3315">
        <f t="shared" si="51"/>
        <v>8</v>
      </c>
      <c r="F3315">
        <v>512200</v>
      </c>
      <c r="G3315" t="s">
        <v>432</v>
      </c>
      <c r="H3315" t="s">
        <v>401</v>
      </c>
      <c r="I3315" t="s">
        <v>402</v>
      </c>
      <c r="J3315" t="s">
        <v>3338</v>
      </c>
      <c r="K3315">
        <v>20220801</v>
      </c>
      <c r="L3315" t="s">
        <v>3339</v>
      </c>
      <c r="M3315">
        <v>0</v>
      </c>
      <c r="N3315">
        <v>65.760000000000005</v>
      </c>
      <c r="O3315" t="s">
        <v>19</v>
      </c>
      <c r="P3315" t="s">
        <v>20</v>
      </c>
      <c r="Q3315">
        <v>20220801</v>
      </c>
    </row>
    <row r="3316" spans="1:17" x14ac:dyDescent="0.25">
      <c r="A3316" t="s">
        <v>715</v>
      </c>
      <c r="B3316" t="s">
        <v>432</v>
      </c>
      <c r="C3316">
        <v>111</v>
      </c>
      <c r="D3316">
        <v>20220801</v>
      </c>
      <c r="E3316">
        <f t="shared" si="51"/>
        <v>8</v>
      </c>
      <c r="F3316">
        <v>401000</v>
      </c>
      <c r="G3316" t="s">
        <v>41</v>
      </c>
      <c r="H3316" t="s">
        <v>52</v>
      </c>
      <c r="I3316" t="s">
        <v>53</v>
      </c>
      <c r="J3316" t="s">
        <v>3340</v>
      </c>
      <c r="K3316">
        <v>20220801</v>
      </c>
      <c r="L3316" t="s">
        <v>3341</v>
      </c>
      <c r="M3316">
        <v>325.8</v>
      </c>
      <c r="N3316">
        <v>0</v>
      </c>
      <c r="O3316" t="s">
        <v>23</v>
      </c>
      <c r="P3316">
        <v>20220929</v>
      </c>
      <c r="Q3316">
        <v>20220801</v>
      </c>
    </row>
    <row r="3317" spans="1:17" x14ac:dyDescent="0.25">
      <c r="A3317" t="s">
        <v>715</v>
      </c>
      <c r="B3317" t="s">
        <v>432</v>
      </c>
      <c r="C3317">
        <v>111</v>
      </c>
      <c r="D3317">
        <v>20220801</v>
      </c>
      <c r="E3317">
        <f t="shared" si="51"/>
        <v>8</v>
      </c>
      <c r="F3317">
        <v>512200</v>
      </c>
      <c r="G3317" t="s">
        <v>432</v>
      </c>
      <c r="H3317" t="s">
        <v>401</v>
      </c>
      <c r="I3317" t="s">
        <v>402</v>
      </c>
      <c r="J3317" t="s">
        <v>3340</v>
      </c>
      <c r="K3317">
        <v>20220801</v>
      </c>
      <c r="L3317" t="s">
        <v>3341</v>
      </c>
      <c r="M3317">
        <v>0</v>
      </c>
      <c r="N3317">
        <v>325.8</v>
      </c>
      <c r="O3317" t="s">
        <v>19</v>
      </c>
      <c r="P3317" t="s">
        <v>20</v>
      </c>
      <c r="Q3317">
        <v>20220801</v>
      </c>
    </row>
    <row r="3318" spans="1:17" x14ac:dyDescent="0.25">
      <c r="A3318" t="s">
        <v>715</v>
      </c>
      <c r="B3318" t="s">
        <v>432</v>
      </c>
      <c r="C3318">
        <v>111</v>
      </c>
      <c r="D3318">
        <v>20220801</v>
      </c>
      <c r="E3318">
        <f t="shared" si="51"/>
        <v>8</v>
      </c>
      <c r="F3318">
        <v>401000</v>
      </c>
      <c r="G3318" t="s">
        <v>41</v>
      </c>
      <c r="H3318" t="s">
        <v>52</v>
      </c>
      <c r="I3318" t="s">
        <v>53</v>
      </c>
      <c r="J3318" t="s">
        <v>3342</v>
      </c>
      <c r="K3318">
        <v>20220801</v>
      </c>
      <c r="L3318" t="s">
        <v>3343</v>
      </c>
      <c r="M3318">
        <v>29</v>
      </c>
      <c r="N3318">
        <v>0</v>
      </c>
      <c r="O3318" t="s">
        <v>23</v>
      </c>
      <c r="P3318">
        <v>20220919</v>
      </c>
      <c r="Q3318">
        <v>20220801</v>
      </c>
    </row>
    <row r="3319" spans="1:17" x14ac:dyDescent="0.25">
      <c r="A3319" t="s">
        <v>715</v>
      </c>
      <c r="B3319" t="s">
        <v>432</v>
      </c>
      <c r="C3319">
        <v>111</v>
      </c>
      <c r="D3319">
        <v>20220801</v>
      </c>
      <c r="E3319">
        <f t="shared" si="51"/>
        <v>8</v>
      </c>
      <c r="F3319">
        <v>512200</v>
      </c>
      <c r="G3319" t="s">
        <v>432</v>
      </c>
      <c r="H3319" t="s">
        <v>401</v>
      </c>
      <c r="I3319" t="s">
        <v>402</v>
      </c>
      <c r="J3319" t="s">
        <v>3342</v>
      </c>
      <c r="K3319">
        <v>20220801</v>
      </c>
      <c r="L3319" t="s">
        <v>3343</v>
      </c>
      <c r="M3319">
        <v>0</v>
      </c>
      <c r="N3319">
        <v>29</v>
      </c>
      <c r="O3319" t="s">
        <v>19</v>
      </c>
      <c r="P3319" t="s">
        <v>20</v>
      </c>
      <c r="Q3319">
        <v>20220801</v>
      </c>
    </row>
    <row r="3320" spans="1:17" x14ac:dyDescent="0.25">
      <c r="A3320" t="s">
        <v>715</v>
      </c>
      <c r="B3320" t="s">
        <v>432</v>
      </c>
      <c r="C3320">
        <v>111</v>
      </c>
      <c r="D3320">
        <v>20220802</v>
      </c>
      <c r="E3320">
        <f t="shared" si="51"/>
        <v>8</v>
      </c>
      <c r="F3320">
        <v>401000</v>
      </c>
      <c r="G3320" t="s">
        <v>41</v>
      </c>
      <c r="H3320" t="s">
        <v>3228</v>
      </c>
      <c r="I3320" t="s">
        <v>3229</v>
      </c>
      <c r="J3320" t="s">
        <v>3344</v>
      </c>
      <c r="K3320">
        <v>20220802</v>
      </c>
      <c r="L3320" t="s">
        <v>3345</v>
      </c>
      <c r="M3320">
        <v>352</v>
      </c>
      <c r="N3320">
        <v>0</v>
      </c>
      <c r="O3320" t="s">
        <v>23</v>
      </c>
      <c r="P3320">
        <v>20230327</v>
      </c>
      <c r="Q3320">
        <v>20220802</v>
      </c>
    </row>
    <row r="3321" spans="1:17" x14ac:dyDescent="0.25">
      <c r="A3321" t="s">
        <v>715</v>
      </c>
      <c r="B3321" t="s">
        <v>432</v>
      </c>
      <c r="C3321">
        <v>111</v>
      </c>
      <c r="D3321">
        <v>20220802</v>
      </c>
      <c r="E3321">
        <f t="shared" si="51"/>
        <v>8</v>
      </c>
      <c r="F3321">
        <v>512200</v>
      </c>
      <c r="G3321" t="s">
        <v>432</v>
      </c>
      <c r="H3321" t="s">
        <v>401</v>
      </c>
      <c r="I3321" t="s">
        <v>402</v>
      </c>
      <c r="J3321" t="s">
        <v>3344</v>
      </c>
      <c r="K3321">
        <v>20220802</v>
      </c>
      <c r="L3321" t="s">
        <v>3345</v>
      </c>
      <c r="M3321">
        <v>0</v>
      </c>
      <c r="N3321">
        <v>352</v>
      </c>
      <c r="O3321" t="s">
        <v>19</v>
      </c>
      <c r="P3321" t="s">
        <v>20</v>
      </c>
      <c r="Q3321">
        <v>20220802</v>
      </c>
    </row>
    <row r="3322" spans="1:17" x14ac:dyDescent="0.25">
      <c r="A3322" t="s">
        <v>715</v>
      </c>
      <c r="B3322" t="s">
        <v>432</v>
      </c>
      <c r="C3322">
        <v>111</v>
      </c>
      <c r="D3322">
        <v>20220803</v>
      </c>
      <c r="E3322">
        <f t="shared" si="51"/>
        <v>8</v>
      </c>
      <c r="F3322">
        <v>512200</v>
      </c>
      <c r="G3322" t="s">
        <v>432</v>
      </c>
      <c r="H3322" t="s">
        <v>401</v>
      </c>
      <c r="I3322" t="s">
        <v>402</v>
      </c>
      <c r="J3322" t="s">
        <v>3306</v>
      </c>
      <c r="K3322">
        <v>20220803</v>
      </c>
      <c r="L3322" t="s">
        <v>625</v>
      </c>
      <c r="M3322">
        <v>1600</v>
      </c>
      <c r="N3322">
        <v>0</v>
      </c>
      <c r="O3322" t="s">
        <v>19</v>
      </c>
      <c r="P3322" t="s">
        <v>20</v>
      </c>
      <c r="Q3322">
        <v>20220803</v>
      </c>
    </row>
    <row r="3323" spans="1:17" x14ac:dyDescent="0.25">
      <c r="A3323" t="s">
        <v>715</v>
      </c>
      <c r="B3323" t="s">
        <v>432</v>
      </c>
      <c r="C3323">
        <v>111</v>
      </c>
      <c r="D3323">
        <v>20220803</v>
      </c>
      <c r="E3323">
        <f t="shared" si="51"/>
        <v>8</v>
      </c>
      <c r="F3323">
        <v>580000</v>
      </c>
      <c r="G3323" t="s">
        <v>532</v>
      </c>
      <c r="H3323" t="s">
        <v>401</v>
      </c>
      <c r="I3323" t="s">
        <v>402</v>
      </c>
      <c r="J3323" t="s">
        <v>3306</v>
      </c>
      <c r="K3323">
        <v>20220803</v>
      </c>
      <c r="L3323" t="s">
        <v>625</v>
      </c>
      <c r="M3323">
        <v>0</v>
      </c>
      <c r="N3323">
        <v>1600</v>
      </c>
      <c r="O3323" t="s">
        <v>22</v>
      </c>
      <c r="P3323">
        <v>20220803</v>
      </c>
      <c r="Q3323">
        <v>20220803</v>
      </c>
    </row>
    <row r="3324" spans="1:17" x14ac:dyDescent="0.25">
      <c r="A3324" t="s">
        <v>715</v>
      </c>
      <c r="B3324" t="s">
        <v>432</v>
      </c>
      <c r="C3324">
        <v>111</v>
      </c>
      <c r="D3324">
        <v>20220803</v>
      </c>
      <c r="E3324">
        <f t="shared" si="51"/>
        <v>8</v>
      </c>
      <c r="F3324">
        <v>512200</v>
      </c>
      <c r="G3324" t="s">
        <v>432</v>
      </c>
      <c r="H3324" t="s">
        <v>401</v>
      </c>
      <c r="I3324" t="s">
        <v>402</v>
      </c>
      <c r="J3324" t="s">
        <v>3346</v>
      </c>
      <c r="K3324">
        <v>20220803</v>
      </c>
      <c r="L3324" t="s">
        <v>3347</v>
      </c>
      <c r="M3324">
        <v>2247.7399999999998</v>
      </c>
      <c r="N3324">
        <v>0</v>
      </c>
      <c r="O3324" t="s">
        <v>19</v>
      </c>
      <c r="P3324" t="s">
        <v>20</v>
      </c>
      <c r="Q3324">
        <v>20220803</v>
      </c>
    </row>
    <row r="3325" spans="1:17" x14ac:dyDescent="0.25">
      <c r="A3325" t="s">
        <v>715</v>
      </c>
      <c r="B3325" t="s">
        <v>432</v>
      </c>
      <c r="C3325">
        <v>111</v>
      </c>
      <c r="D3325">
        <v>20220803</v>
      </c>
      <c r="E3325">
        <f t="shared" si="51"/>
        <v>8</v>
      </c>
      <c r="F3325">
        <v>511002</v>
      </c>
      <c r="G3325" t="s">
        <v>786</v>
      </c>
      <c r="H3325" t="s">
        <v>401</v>
      </c>
      <c r="I3325" t="s">
        <v>402</v>
      </c>
      <c r="J3325" t="s">
        <v>3346</v>
      </c>
      <c r="K3325">
        <v>20220803</v>
      </c>
      <c r="L3325" t="s">
        <v>3347</v>
      </c>
      <c r="M3325">
        <v>0</v>
      </c>
      <c r="N3325">
        <v>2315</v>
      </c>
      <c r="O3325" t="s">
        <v>23</v>
      </c>
      <c r="P3325">
        <v>20220914</v>
      </c>
      <c r="Q3325">
        <v>20220803</v>
      </c>
    </row>
    <row r="3326" spans="1:17" x14ac:dyDescent="0.25">
      <c r="A3326" t="s">
        <v>715</v>
      </c>
      <c r="B3326" t="s">
        <v>432</v>
      </c>
      <c r="C3326">
        <v>111</v>
      </c>
      <c r="D3326">
        <v>20220803</v>
      </c>
      <c r="E3326">
        <f t="shared" si="51"/>
        <v>8</v>
      </c>
      <c r="F3326">
        <v>627500</v>
      </c>
      <c r="G3326" t="s">
        <v>729</v>
      </c>
      <c r="H3326" t="s">
        <v>401</v>
      </c>
      <c r="I3326" t="s">
        <v>402</v>
      </c>
      <c r="J3326" t="s">
        <v>3346</v>
      </c>
      <c r="K3326">
        <v>20220803</v>
      </c>
      <c r="L3326" t="s">
        <v>731</v>
      </c>
      <c r="M3326">
        <v>67.260000000000005</v>
      </c>
      <c r="N3326">
        <v>0</v>
      </c>
      <c r="O3326" t="s">
        <v>19</v>
      </c>
      <c r="P3326" t="s">
        <v>20</v>
      </c>
      <c r="Q3326">
        <v>20220803</v>
      </c>
    </row>
    <row r="3327" spans="1:17" x14ac:dyDescent="0.25">
      <c r="A3327" t="s">
        <v>715</v>
      </c>
      <c r="B3327" t="s">
        <v>432</v>
      </c>
      <c r="C3327">
        <v>111</v>
      </c>
      <c r="D3327">
        <v>20220804</v>
      </c>
      <c r="E3327">
        <f t="shared" si="51"/>
        <v>8</v>
      </c>
      <c r="F3327">
        <v>411100</v>
      </c>
      <c r="G3327" t="s">
        <v>18</v>
      </c>
      <c r="H3327" t="s">
        <v>793</v>
      </c>
      <c r="I3327" t="s">
        <v>794</v>
      </c>
      <c r="J3327">
        <v>355970</v>
      </c>
      <c r="K3327">
        <v>20220804</v>
      </c>
      <c r="L3327" t="s">
        <v>3348</v>
      </c>
      <c r="M3327">
        <v>70.83</v>
      </c>
      <c r="N3327">
        <v>0</v>
      </c>
      <c r="O3327" t="s">
        <v>22</v>
      </c>
      <c r="P3327">
        <v>20230218</v>
      </c>
      <c r="Q3327">
        <v>20220804</v>
      </c>
    </row>
    <row r="3328" spans="1:17" x14ac:dyDescent="0.25">
      <c r="A3328" t="s">
        <v>715</v>
      </c>
      <c r="B3328" t="s">
        <v>432</v>
      </c>
      <c r="C3328">
        <v>111</v>
      </c>
      <c r="D3328">
        <v>20220804</v>
      </c>
      <c r="E3328">
        <f t="shared" si="51"/>
        <v>8</v>
      </c>
      <c r="F3328">
        <v>512200</v>
      </c>
      <c r="G3328" t="s">
        <v>432</v>
      </c>
      <c r="H3328" t="s">
        <v>401</v>
      </c>
      <c r="I3328" t="s">
        <v>402</v>
      </c>
      <c r="J3328">
        <v>355971</v>
      </c>
      <c r="K3328">
        <v>20220804</v>
      </c>
      <c r="L3328" t="s">
        <v>1607</v>
      </c>
      <c r="M3328">
        <v>0</v>
      </c>
      <c r="N3328">
        <v>70.83</v>
      </c>
      <c r="O3328" t="s">
        <v>19</v>
      </c>
      <c r="P3328" t="s">
        <v>20</v>
      </c>
      <c r="Q3328">
        <v>20220804</v>
      </c>
    </row>
    <row r="3329" spans="1:17" x14ac:dyDescent="0.25">
      <c r="A3329" t="s">
        <v>715</v>
      </c>
      <c r="B3329" t="s">
        <v>432</v>
      </c>
      <c r="C3329">
        <v>111</v>
      </c>
      <c r="D3329">
        <v>20220804</v>
      </c>
      <c r="E3329">
        <f t="shared" si="51"/>
        <v>8</v>
      </c>
      <c r="F3329">
        <v>401000</v>
      </c>
      <c r="G3329" t="s">
        <v>41</v>
      </c>
      <c r="H3329" t="s">
        <v>448</v>
      </c>
      <c r="I3329" t="s">
        <v>449</v>
      </c>
      <c r="J3329" t="s">
        <v>3349</v>
      </c>
      <c r="K3329">
        <v>20220804</v>
      </c>
      <c r="L3329" t="s">
        <v>1283</v>
      </c>
      <c r="M3329">
        <v>1337.99</v>
      </c>
      <c r="N3329">
        <v>0</v>
      </c>
      <c r="O3329" t="s">
        <v>23</v>
      </c>
      <c r="P3329">
        <v>20230220</v>
      </c>
      <c r="Q3329">
        <v>20220804</v>
      </c>
    </row>
    <row r="3330" spans="1:17" x14ac:dyDescent="0.25">
      <c r="A3330" t="s">
        <v>715</v>
      </c>
      <c r="B3330" t="s">
        <v>432</v>
      </c>
      <c r="C3330">
        <v>111</v>
      </c>
      <c r="D3330">
        <v>20220804</v>
      </c>
      <c r="E3330">
        <f t="shared" si="51"/>
        <v>8</v>
      </c>
      <c r="F3330">
        <v>512200</v>
      </c>
      <c r="G3330" t="s">
        <v>432</v>
      </c>
      <c r="H3330" t="s">
        <v>401</v>
      </c>
      <c r="I3330" t="s">
        <v>402</v>
      </c>
      <c r="J3330" t="s">
        <v>3349</v>
      </c>
      <c r="K3330">
        <v>20220804</v>
      </c>
      <c r="L3330" t="s">
        <v>1283</v>
      </c>
      <c r="M3330">
        <v>0</v>
      </c>
      <c r="N3330">
        <v>1337.99</v>
      </c>
      <c r="O3330" t="s">
        <v>19</v>
      </c>
      <c r="P3330" t="s">
        <v>20</v>
      </c>
      <c r="Q3330">
        <v>20220804</v>
      </c>
    </row>
    <row r="3331" spans="1:17" x14ac:dyDescent="0.25">
      <c r="A3331" t="s">
        <v>715</v>
      </c>
      <c r="B3331" t="s">
        <v>432</v>
      </c>
      <c r="C3331">
        <v>111</v>
      </c>
      <c r="D3331">
        <v>20220805</v>
      </c>
      <c r="E3331">
        <f t="shared" ref="E3331:E3394" si="52">VALUE(MID(D3331,5,2))</f>
        <v>8</v>
      </c>
      <c r="F3331">
        <v>401000</v>
      </c>
      <c r="G3331" t="s">
        <v>41</v>
      </c>
      <c r="H3331" t="s">
        <v>2771</v>
      </c>
      <c r="I3331" t="s">
        <v>2772</v>
      </c>
      <c r="J3331" t="s">
        <v>3350</v>
      </c>
      <c r="K3331">
        <v>20220805</v>
      </c>
      <c r="L3331" t="s">
        <v>3351</v>
      </c>
      <c r="M3331">
        <v>124.7</v>
      </c>
      <c r="N3331">
        <v>0</v>
      </c>
      <c r="O3331" t="s">
        <v>23</v>
      </c>
      <c r="P3331">
        <v>20221005</v>
      </c>
      <c r="Q3331">
        <v>20220805</v>
      </c>
    </row>
    <row r="3332" spans="1:17" x14ac:dyDescent="0.25">
      <c r="A3332" t="s">
        <v>715</v>
      </c>
      <c r="B3332" t="s">
        <v>432</v>
      </c>
      <c r="C3332">
        <v>111</v>
      </c>
      <c r="D3332">
        <v>20220805</v>
      </c>
      <c r="E3332">
        <f t="shared" si="52"/>
        <v>8</v>
      </c>
      <c r="F3332">
        <v>512200</v>
      </c>
      <c r="G3332" t="s">
        <v>432</v>
      </c>
      <c r="H3332" t="s">
        <v>401</v>
      </c>
      <c r="I3332" t="s">
        <v>402</v>
      </c>
      <c r="J3332" t="s">
        <v>3350</v>
      </c>
      <c r="K3332">
        <v>20220805</v>
      </c>
      <c r="L3332" t="s">
        <v>3351</v>
      </c>
      <c r="M3332">
        <v>0</v>
      </c>
      <c r="N3332">
        <v>124.7</v>
      </c>
      <c r="O3332" t="s">
        <v>19</v>
      </c>
      <c r="P3332" t="s">
        <v>20</v>
      </c>
      <c r="Q3332">
        <v>20220805</v>
      </c>
    </row>
    <row r="3333" spans="1:17" x14ac:dyDescent="0.25">
      <c r="A3333" t="s">
        <v>715</v>
      </c>
      <c r="B3333" t="s">
        <v>432</v>
      </c>
      <c r="C3333">
        <v>111</v>
      </c>
      <c r="D3333">
        <v>20220808</v>
      </c>
      <c r="E3333">
        <f t="shared" si="52"/>
        <v>8</v>
      </c>
      <c r="F3333">
        <v>401000</v>
      </c>
      <c r="G3333" t="s">
        <v>41</v>
      </c>
      <c r="H3333" t="s">
        <v>52</v>
      </c>
      <c r="I3333" t="s">
        <v>53</v>
      </c>
      <c r="J3333" t="s">
        <v>3352</v>
      </c>
      <c r="K3333">
        <v>20220808</v>
      </c>
      <c r="L3333" t="s">
        <v>3353</v>
      </c>
      <c r="M3333">
        <v>61.44</v>
      </c>
      <c r="N3333">
        <v>0</v>
      </c>
      <c r="O3333" t="s">
        <v>23</v>
      </c>
      <c r="P3333">
        <v>20220929</v>
      </c>
      <c r="Q3333">
        <v>20220808</v>
      </c>
    </row>
    <row r="3334" spans="1:17" x14ac:dyDescent="0.25">
      <c r="A3334" t="s">
        <v>715</v>
      </c>
      <c r="B3334" t="s">
        <v>432</v>
      </c>
      <c r="C3334">
        <v>111</v>
      </c>
      <c r="D3334">
        <v>20220808</v>
      </c>
      <c r="E3334">
        <f t="shared" si="52"/>
        <v>8</v>
      </c>
      <c r="F3334">
        <v>512200</v>
      </c>
      <c r="G3334" t="s">
        <v>432</v>
      </c>
      <c r="H3334" t="s">
        <v>401</v>
      </c>
      <c r="I3334" t="s">
        <v>402</v>
      </c>
      <c r="J3334" t="s">
        <v>3352</v>
      </c>
      <c r="K3334">
        <v>20220808</v>
      </c>
      <c r="L3334" t="s">
        <v>3353</v>
      </c>
      <c r="M3334">
        <v>0</v>
      </c>
      <c r="N3334">
        <v>61.44</v>
      </c>
      <c r="O3334" t="s">
        <v>19</v>
      </c>
      <c r="P3334" t="s">
        <v>20</v>
      </c>
      <c r="Q3334">
        <v>20220808</v>
      </c>
    </row>
    <row r="3335" spans="1:17" x14ac:dyDescent="0.25">
      <c r="A3335" t="s">
        <v>715</v>
      </c>
      <c r="B3335" t="s">
        <v>432</v>
      </c>
      <c r="C3335">
        <v>111</v>
      </c>
      <c r="D3335">
        <v>20220808</v>
      </c>
      <c r="E3335">
        <f t="shared" si="52"/>
        <v>8</v>
      </c>
      <c r="F3335">
        <v>401000</v>
      </c>
      <c r="G3335" t="s">
        <v>41</v>
      </c>
      <c r="H3335" t="s">
        <v>2743</v>
      </c>
      <c r="I3335" t="s">
        <v>2744</v>
      </c>
      <c r="J3335" t="s">
        <v>3354</v>
      </c>
      <c r="K3335">
        <v>20220808</v>
      </c>
      <c r="L3335" t="s">
        <v>3355</v>
      </c>
      <c r="M3335">
        <v>682</v>
      </c>
      <c r="N3335">
        <v>0</v>
      </c>
      <c r="O3335" t="s">
        <v>23</v>
      </c>
      <c r="P3335">
        <v>20221109</v>
      </c>
      <c r="Q3335">
        <v>20220808</v>
      </c>
    </row>
    <row r="3336" spans="1:17" x14ac:dyDescent="0.25">
      <c r="A3336" t="s">
        <v>715</v>
      </c>
      <c r="B3336" t="s">
        <v>432</v>
      </c>
      <c r="C3336">
        <v>111</v>
      </c>
      <c r="D3336">
        <v>20220808</v>
      </c>
      <c r="E3336">
        <f t="shared" si="52"/>
        <v>8</v>
      </c>
      <c r="F3336">
        <v>512200</v>
      </c>
      <c r="G3336" t="s">
        <v>432</v>
      </c>
      <c r="H3336" t="s">
        <v>401</v>
      </c>
      <c r="I3336" t="s">
        <v>402</v>
      </c>
      <c r="J3336" t="s">
        <v>3354</v>
      </c>
      <c r="K3336">
        <v>20220808</v>
      </c>
      <c r="L3336" t="s">
        <v>3355</v>
      </c>
      <c r="M3336">
        <v>0</v>
      </c>
      <c r="N3336">
        <v>682</v>
      </c>
      <c r="O3336" t="s">
        <v>19</v>
      </c>
      <c r="P3336" t="s">
        <v>20</v>
      </c>
      <c r="Q3336">
        <v>20220808</v>
      </c>
    </row>
    <row r="3337" spans="1:17" x14ac:dyDescent="0.25">
      <c r="A3337" t="s">
        <v>715</v>
      </c>
      <c r="B3337" t="s">
        <v>432</v>
      </c>
      <c r="C3337">
        <v>111</v>
      </c>
      <c r="D3337">
        <v>20220808</v>
      </c>
      <c r="E3337">
        <f t="shared" si="52"/>
        <v>8</v>
      </c>
      <c r="F3337">
        <v>401000</v>
      </c>
      <c r="G3337" t="s">
        <v>41</v>
      </c>
      <c r="H3337" t="s">
        <v>2378</v>
      </c>
      <c r="I3337" t="s">
        <v>2379</v>
      </c>
      <c r="J3337" t="s">
        <v>3356</v>
      </c>
      <c r="K3337">
        <v>20220808</v>
      </c>
      <c r="L3337" t="s">
        <v>3357</v>
      </c>
      <c r="M3337">
        <v>238</v>
      </c>
      <c r="N3337">
        <v>0</v>
      </c>
      <c r="O3337" t="s">
        <v>23</v>
      </c>
      <c r="P3337">
        <v>20220929</v>
      </c>
      <c r="Q3337">
        <v>20220808</v>
      </c>
    </row>
    <row r="3338" spans="1:17" x14ac:dyDescent="0.25">
      <c r="A3338" t="s">
        <v>715</v>
      </c>
      <c r="B3338" t="s">
        <v>432</v>
      </c>
      <c r="C3338">
        <v>111</v>
      </c>
      <c r="D3338">
        <v>20220808</v>
      </c>
      <c r="E3338">
        <f t="shared" si="52"/>
        <v>8</v>
      </c>
      <c r="F3338">
        <v>512200</v>
      </c>
      <c r="G3338" t="s">
        <v>432</v>
      </c>
      <c r="H3338" t="s">
        <v>401</v>
      </c>
      <c r="I3338" t="s">
        <v>402</v>
      </c>
      <c r="J3338" t="s">
        <v>3356</v>
      </c>
      <c r="K3338">
        <v>20220808</v>
      </c>
      <c r="L3338" t="s">
        <v>3357</v>
      </c>
      <c r="M3338">
        <v>0</v>
      </c>
      <c r="N3338">
        <v>238</v>
      </c>
      <c r="O3338" t="s">
        <v>19</v>
      </c>
      <c r="P3338" t="s">
        <v>20</v>
      </c>
      <c r="Q3338">
        <v>20220808</v>
      </c>
    </row>
    <row r="3339" spans="1:17" x14ac:dyDescent="0.25">
      <c r="A3339" t="s">
        <v>715</v>
      </c>
      <c r="B3339" t="s">
        <v>432</v>
      </c>
      <c r="C3339">
        <v>111</v>
      </c>
      <c r="D3339">
        <v>20220808</v>
      </c>
      <c r="E3339">
        <f t="shared" si="52"/>
        <v>8</v>
      </c>
      <c r="F3339">
        <v>401000</v>
      </c>
      <c r="G3339" t="s">
        <v>41</v>
      </c>
      <c r="H3339" t="s">
        <v>2388</v>
      </c>
      <c r="I3339" t="s">
        <v>2389</v>
      </c>
      <c r="J3339" t="s">
        <v>3358</v>
      </c>
      <c r="K3339">
        <v>20220808</v>
      </c>
      <c r="L3339" t="s">
        <v>3359</v>
      </c>
      <c r="M3339">
        <v>100</v>
      </c>
      <c r="N3339">
        <v>0</v>
      </c>
      <c r="O3339" t="s">
        <v>23</v>
      </c>
      <c r="P3339">
        <v>20220914</v>
      </c>
      <c r="Q3339">
        <v>20220808</v>
      </c>
    </row>
    <row r="3340" spans="1:17" x14ac:dyDescent="0.25">
      <c r="A3340" t="s">
        <v>715</v>
      </c>
      <c r="B3340" t="s">
        <v>432</v>
      </c>
      <c r="C3340">
        <v>111</v>
      </c>
      <c r="D3340">
        <v>20220808</v>
      </c>
      <c r="E3340">
        <f t="shared" si="52"/>
        <v>8</v>
      </c>
      <c r="F3340">
        <v>512200</v>
      </c>
      <c r="G3340" t="s">
        <v>432</v>
      </c>
      <c r="H3340" t="s">
        <v>401</v>
      </c>
      <c r="I3340" t="s">
        <v>402</v>
      </c>
      <c r="J3340" t="s">
        <v>3358</v>
      </c>
      <c r="K3340">
        <v>20220808</v>
      </c>
      <c r="L3340" t="s">
        <v>3359</v>
      </c>
      <c r="M3340">
        <v>0</v>
      </c>
      <c r="N3340">
        <v>100</v>
      </c>
      <c r="O3340" t="s">
        <v>19</v>
      </c>
      <c r="P3340" t="s">
        <v>20</v>
      </c>
      <c r="Q3340">
        <v>20220808</v>
      </c>
    </row>
    <row r="3341" spans="1:17" x14ac:dyDescent="0.25">
      <c r="A3341" t="s">
        <v>715</v>
      </c>
      <c r="B3341" t="s">
        <v>432</v>
      </c>
      <c r="C3341">
        <v>111</v>
      </c>
      <c r="D3341">
        <v>20220808</v>
      </c>
      <c r="E3341">
        <f t="shared" si="52"/>
        <v>8</v>
      </c>
      <c r="F3341">
        <v>401000</v>
      </c>
      <c r="G3341" t="s">
        <v>41</v>
      </c>
      <c r="H3341" t="s">
        <v>52</v>
      </c>
      <c r="I3341" t="s">
        <v>53</v>
      </c>
      <c r="J3341" t="s">
        <v>3360</v>
      </c>
      <c r="K3341">
        <v>20220808</v>
      </c>
      <c r="L3341" t="s">
        <v>3361</v>
      </c>
      <c r="M3341">
        <v>62.4</v>
      </c>
      <c r="N3341">
        <v>0</v>
      </c>
      <c r="O3341" t="s">
        <v>23</v>
      </c>
      <c r="P3341">
        <v>20220919</v>
      </c>
      <c r="Q3341">
        <v>20220808</v>
      </c>
    </row>
    <row r="3342" spans="1:17" x14ac:dyDescent="0.25">
      <c r="A3342" t="s">
        <v>715</v>
      </c>
      <c r="B3342" t="s">
        <v>432</v>
      </c>
      <c r="C3342">
        <v>111</v>
      </c>
      <c r="D3342">
        <v>20220808</v>
      </c>
      <c r="E3342">
        <f t="shared" si="52"/>
        <v>8</v>
      </c>
      <c r="F3342">
        <v>512200</v>
      </c>
      <c r="G3342" t="s">
        <v>432</v>
      </c>
      <c r="H3342" t="s">
        <v>401</v>
      </c>
      <c r="I3342" t="s">
        <v>402</v>
      </c>
      <c r="J3342" t="s">
        <v>3360</v>
      </c>
      <c r="K3342">
        <v>20220808</v>
      </c>
      <c r="L3342" t="s">
        <v>3361</v>
      </c>
      <c r="M3342">
        <v>0</v>
      </c>
      <c r="N3342">
        <v>62.4</v>
      </c>
      <c r="O3342" t="s">
        <v>19</v>
      </c>
      <c r="P3342" t="s">
        <v>20</v>
      </c>
      <c r="Q3342">
        <v>20220808</v>
      </c>
    </row>
    <row r="3343" spans="1:17" x14ac:dyDescent="0.25">
      <c r="A3343" t="s">
        <v>715</v>
      </c>
      <c r="B3343" t="s">
        <v>432</v>
      </c>
      <c r="C3343">
        <v>111</v>
      </c>
      <c r="D3343">
        <v>20220808</v>
      </c>
      <c r="E3343">
        <f t="shared" si="52"/>
        <v>8</v>
      </c>
      <c r="F3343">
        <v>401000</v>
      </c>
      <c r="G3343" t="s">
        <v>41</v>
      </c>
      <c r="H3343" t="s">
        <v>2769</v>
      </c>
      <c r="I3343" t="s">
        <v>2770</v>
      </c>
      <c r="J3343" t="s">
        <v>3362</v>
      </c>
      <c r="K3343">
        <v>20220808</v>
      </c>
      <c r="L3343" t="s">
        <v>3363</v>
      </c>
      <c r="M3343">
        <v>193.2</v>
      </c>
      <c r="N3343">
        <v>0</v>
      </c>
      <c r="O3343" t="s">
        <v>23</v>
      </c>
      <c r="P3343">
        <v>20220921</v>
      </c>
      <c r="Q3343">
        <v>20220808</v>
      </c>
    </row>
    <row r="3344" spans="1:17" x14ac:dyDescent="0.25">
      <c r="A3344" t="s">
        <v>715</v>
      </c>
      <c r="B3344" t="s">
        <v>432</v>
      </c>
      <c r="C3344">
        <v>111</v>
      </c>
      <c r="D3344">
        <v>20220808</v>
      </c>
      <c r="E3344">
        <f t="shared" si="52"/>
        <v>8</v>
      </c>
      <c r="F3344">
        <v>512200</v>
      </c>
      <c r="G3344" t="s">
        <v>432</v>
      </c>
      <c r="H3344" t="s">
        <v>401</v>
      </c>
      <c r="I3344" t="s">
        <v>402</v>
      </c>
      <c r="J3344" t="s">
        <v>3362</v>
      </c>
      <c r="K3344">
        <v>20220808</v>
      </c>
      <c r="L3344" t="s">
        <v>3363</v>
      </c>
      <c r="M3344">
        <v>0</v>
      </c>
      <c r="N3344">
        <v>193.2</v>
      </c>
      <c r="O3344" t="s">
        <v>19</v>
      </c>
      <c r="P3344" t="s">
        <v>20</v>
      </c>
      <c r="Q3344">
        <v>20220808</v>
      </c>
    </row>
    <row r="3345" spans="1:17" x14ac:dyDescent="0.25">
      <c r="A3345" t="s">
        <v>715</v>
      </c>
      <c r="B3345" t="s">
        <v>432</v>
      </c>
      <c r="C3345">
        <v>111</v>
      </c>
      <c r="D3345">
        <v>20220809</v>
      </c>
      <c r="E3345">
        <f t="shared" si="52"/>
        <v>8</v>
      </c>
      <c r="F3345">
        <v>401000</v>
      </c>
      <c r="G3345" t="s">
        <v>41</v>
      </c>
      <c r="H3345" t="s">
        <v>2388</v>
      </c>
      <c r="I3345" t="s">
        <v>2389</v>
      </c>
      <c r="J3345" t="s">
        <v>3364</v>
      </c>
      <c r="K3345">
        <v>20220809</v>
      </c>
      <c r="L3345" t="s">
        <v>3365</v>
      </c>
      <c r="M3345">
        <v>64</v>
      </c>
      <c r="N3345">
        <v>0</v>
      </c>
      <c r="O3345" t="s">
        <v>23</v>
      </c>
      <c r="P3345">
        <v>20230222</v>
      </c>
      <c r="Q3345">
        <v>20220809</v>
      </c>
    </row>
    <row r="3346" spans="1:17" x14ac:dyDescent="0.25">
      <c r="A3346" t="s">
        <v>715</v>
      </c>
      <c r="B3346" t="s">
        <v>432</v>
      </c>
      <c r="C3346">
        <v>111</v>
      </c>
      <c r="D3346">
        <v>20220809</v>
      </c>
      <c r="E3346">
        <f t="shared" si="52"/>
        <v>8</v>
      </c>
      <c r="F3346">
        <v>512200</v>
      </c>
      <c r="G3346" t="s">
        <v>432</v>
      </c>
      <c r="H3346" t="s">
        <v>401</v>
      </c>
      <c r="I3346" t="s">
        <v>402</v>
      </c>
      <c r="J3346" t="s">
        <v>3364</v>
      </c>
      <c r="K3346">
        <v>20220809</v>
      </c>
      <c r="L3346" t="s">
        <v>3365</v>
      </c>
      <c r="M3346">
        <v>0</v>
      </c>
      <c r="N3346">
        <v>64</v>
      </c>
      <c r="O3346" t="s">
        <v>19</v>
      </c>
      <c r="P3346" t="s">
        <v>20</v>
      </c>
      <c r="Q3346">
        <v>20220809</v>
      </c>
    </row>
    <row r="3347" spans="1:17" x14ac:dyDescent="0.25">
      <c r="A3347" t="s">
        <v>715</v>
      </c>
      <c r="B3347" t="s">
        <v>432</v>
      </c>
      <c r="C3347">
        <v>111</v>
      </c>
      <c r="D3347">
        <v>20220809</v>
      </c>
      <c r="E3347">
        <f t="shared" si="52"/>
        <v>8</v>
      </c>
      <c r="F3347">
        <v>401000</v>
      </c>
      <c r="G3347" t="s">
        <v>41</v>
      </c>
      <c r="H3347" t="s">
        <v>2388</v>
      </c>
      <c r="I3347" t="s">
        <v>2389</v>
      </c>
      <c r="J3347" t="s">
        <v>3366</v>
      </c>
      <c r="K3347">
        <v>20220809</v>
      </c>
      <c r="L3347" t="s">
        <v>3359</v>
      </c>
      <c r="M3347">
        <v>42.5</v>
      </c>
      <c r="N3347">
        <v>0</v>
      </c>
      <c r="O3347" t="s">
        <v>23</v>
      </c>
      <c r="P3347">
        <v>20220914</v>
      </c>
      <c r="Q3347">
        <v>20220809</v>
      </c>
    </row>
    <row r="3348" spans="1:17" x14ac:dyDescent="0.25">
      <c r="A3348" t="s">
        <v>715</v>
      </c>
      <c r="B3348" t="s">
        <v>432</v>
      </c>
      <c r="C3348">
        <v>111</v>
      </c>
      <c r="D3348">
        <v>20220809</v>
      </c>
      <c r="E3348">
        <f t="shared" si="52"/>
        <v>8</v>
      </c>
      <c r="F3348">
        <v>512200</v>
      </c>
      <c r="G3348" t="s">
        <v>432</v>
      </c>
      <c r="H3348" t="s">
        <v>401</v>
      </c>
      <c r="I3348" t="s">
        <v>402</v>
      </c>
      <c r="J3348" t="s">
        <v>3366</v>
      </c>
      <c r="K3348">
        <v>20220809</v>
      </c>
      <c r="L3348" t="s">
        <v>3359</v>
      </c>
      <c r="M3348">
        <v>0</v>
      </c>
      <c r="N3348">
        <v>42.5</v>
      </c>
      <c r="O3348" t="s">
        <v>19</v>
      </c>
      <c r="P3348" t="s">
        <v>20</v>
      </c>
      <c r="Q3348">
        <v>20220809</v>
      </c>
    </row>
    <row r="3349" spans="1:17" x14ac:dyDescent="0.25">
      <c r="A3349" t="s">
        <v>715</v>
      </c>
      <c r="B3349" t="s">
        <v>432</v>
      </c>
      <c r="C3349">
        <v>111</v>
      </c>
      <c r="D3349">
        <v>20220810</v>
      </c>
      <c r="E3349">
        <f t="shared" si="52"/>
        <v>8</v>
      </c>
      <c r="F3349">
        <v>627000</v>
      </c>
      <c r="G3349" t="s">
        <v>480</v>
      </c>
      <c r="H3349" t="s">
        <v>401</v>
      </c>
      <c r="I3349" t="s">
        <v>402</v>
      </c>
      <c r="J3349" t="s">
        <v>3367</v>
      </c>
      <c r="K3349">
        <v>20220810</v>
      </c>
      <c r="L3349" t="s">
        <v>482</v>
      </c>
      <c r="M3349">
        <v>15.78</v>
      </c>
      <c r="N3349">
        <v>0</v>
      </c>
      <c r="O3349" t="s">
        <v>19</v>
      </c>
      <c r="P3349" t="s">
        <v>20</v>
      </c>
      <c r="Q3349">
        <v>20220810</v>
      </c>
    </row>
    <row r="3350" spans="1:17" x14ac:dyDescent="0.25">
      <c r="A3350" t="s">
        <v>715</v>
      </c>
      <c r="B3350" t="s">
        <v>432</v>
      </c>
      <c r="C3350">
        <v>111</v>
      </c>
      <c r="D3350">
        <v>20220810</v>
      </c>
      <c r="E3350">
        <f t="shared" si="52"/>
        <v>8</v>
      </c>
      <c r="F3350">
        <v>512200</v>
      </c>
      <c r="G3350" t="s">
        <v>432</v>
      </c>
      <c r="H3350" t="s">
        <v>401</v>
      </c>
      <c r="I3350" t="s">
        <v>402</v>
      </c>
      <c r="J3350" t="s">
        <v>3367</v>
      </c>
      <c r="K3350">
        <v>20220810</v>
      </c>
      <c r="L3350" t="s">
        <v>482</v>
      </c>
      <c r="M3350">
        <v>0</v>
      </c>
      <c r="N3350">
        <v>15.78</v>
      </c>
      <c r="O3350" t="s">
        <v>19</v>
      </c>
      <c r="P3350" t="s">
        <v>20</v>
      </c>
      <c r="Q3350">
        <v>20220810</v>
      </c>
    </row>
    <row r="3351" spans="1:17" x14ac:dyDescent="0.25">
      <c r="A3351" t="s">
        <v>715</v>
      </c>
      <c r="B3351" t="s">
        <v>432</v>
      </c>
      <c r="C3351">
        <v>111</v>
      </c>
      <c r="D3351">
        <v>20220810</v>
      </c>
      <c r="E3351">
        <f t="shared" si="52"/>
        <v>8</v>
      </c>
      <c r="F3351">
        <v>401000</v>
      </c>
      <c r="G3351" t="s">
        <v>41</v>
      </c>
      <c r="H3351" t="s">
        <v>2047</v>
      </c>
      <c r="I3351" t="s">
        <v>2048</v>
      </c>
      <c r="J3351" t="s">
        <v>3368</v>
      </c>
      <c r="K3351">
        <v>20220810</v>
      </c>
      <c r="L3351" t="s">
        <v>3369</v>
      </c>
      <c r="M3351">
        <v>238.7</v>
      </c>
      <c r="N3351">
        <v>0</v>
      </c>
      <c r="O3351" t="s">
        <v>23</v>
      </c>
      <c r="P3351">
        <v>20220929</v>
      </c>
      <c r="Q3351">
        <v>20220810</v>
      </c>
    </row>
    <row r="3352" spans="1:17" x14ac:dyDescent="0.25">
      <c r="A3352" t="s">
        <v>715</v>
      </c>
      <c r="B3352" t="s">
        <v>432</v>
      </c>
      <c r="C3352">
        <v>111</v>
      </c>
      <c r="D3352">
        <v>20220810</v>
      </c>
      <c r="E3352">
        <f t="shared" si="52"/>
        <v>8</v>
      </c>
      <c r="F3352">
        <v>512200</v>
      </c>
      <c r="G3352" t="s">
        <v>432</v>
      </c>
      <c r="H3352" t="s">
        <v>401</v>
      </c>
      <c r="I3352" t="s">
        <v>402</v>
      </c>
      <c r="J3352" t="s">
        <v>3368</v>
      </c>
      <c r="K3352">
        <v>20220810</v>
      </c>
      <c r="L3352" t="s">
        <v>3369</v>
      </c>
      <c r="M3352">
        <v>0</v>
      </c>
      <c r="N3352">
        <v>238.7</v>
      </c>
      <c r="O3352" t="s">
        <v>19</v>
      </c>
      <c r="P3352" t="s">
        <v>20</v>
      </c>
      <c r="Q3352">
        <v>20220810</v>
      </c>
    </row>
    <row r="3353" spans="1:17" x14ac:dyDescent="0.25">
      <c r="A3353" t="s">
        <v>715</v>
      </c>
      <c r="B3353" t="s">
        <v>432</v>
      </c>
      <c r="C3353">
        <v>111</v>
      </c>
      <c r="D3353">
        <v>20220811</v>
      </c>
      <c r="E3353">
        <f t="shared" si="52"/>
        <v>8</v>
      </c>
      <c r="F3353">
        <v>401000</v>
      </c>
      <c r="G3353" t="s">
        <v>41</v>
      </c>
      <c r="H3353" t="s">
        <v>448</v>
      </c>
      <c r="I3353" t="s">
        <v>449</v>
      </c>
      <c r="J3353" t="s">
        <v>3370</v>
      </c>
      <c r="K3353">
        <v>20220811</v>
      </c>
      <c r="L3353" t="s">
        <v>1283</v>
      </c>
      <c r="M3353">
        <v>36</v>
      </c>
      <c r="N3353">
        <v>0</v>
      </c>
      <c r="O3353" t="s">
        <v>23</v>
      </c>
      <c r="P3353">
        <v>20220929</v>
      </c>
      <c r="Q3353">
        <v>20220811</v>
      </c>
    </row>
    <row r="3354" spans="1:17" x14ac:dyDescent="0.25">
      <c r="A3354" t="s">
        <v>715</v>
      </c>
      <c r="B3354" t="s">
        <v>432</v>
      </c>
      <c r="C3354">
        <v>111</v>
      </c>
      <c r="D3354">
        <v>20220811</v>
      </c>
      <c r="E3354">
        <f t="shared" si="52"/>
        <v>8</v>
      </c>
      <c r="F3354">
        <v>512200</v>
      </c>
      <c r="G3354" t="s">
        <v>432</v>
      </c>
      <c r="H3354" t="s">
        <v>401</v>
      </c>
      <c r="I3354" t="s">
        <v>402</v>
      </c>
      <c r="J3354" t="s">
        <v>3370</v>
      </c>
      <c r="K3354">
        <v>20220811</v>
      </c>
      <c r="L3354" t="s">
        <v>1283</v>
      </c>
      <c r="M3354">
        <v>0</v>
      </c>
      <c r="N3354">
        <v>36</v>
      </c>
      <c r="O3354" t="s">
        <v>19</v>
      </c>
      <c r="P3354" t="s">
        <v>20</v>
      </c>
      <c r="Q3354">
        <v>20220811</v>
      </c>
    </row>
    <row r="3355" spans="1:17" x14ac:dyDescent="0.25">
      <c r="A3355" t="s">
        <v>715</v>
      </c>
      <c r="B3355" t="s">
        <v>432</v>
      </c>
      <c r="C3355">
        <v>111</v>
      </c>
      <c r="D3355">
        <v>20220811</v>
      </c>
      <c r="E3355">
        <f t="shared" si="52"/>
        <v>8</v>
      </c>
      <c r="F3355">
        <v>401000</v>
      </c>
      <c r="G3355" t="s">
        <v>41</v>
      </c>
      <c r="H3355" t="s">
        <v>2382</v>
      </c>
      <c r="I3355" t="s">
        <v>2383</v>
      </c>
      <c r="J3355" t="s">
        <v>3371</v>
      </c>
      <c r="K3355">
        <v>20220811</v>
      </c>
      <c r="L3355" t="s">
        <v>3372</v>
      </c>
      <c r="M3355">
        <v>224.4</v>
      </c>
      <c r="N3355">
        <v>0</v>
      </c>
      <c r="O3355" t="s">
        <v>23</v>
      </c>
      <c r="P3355">
        <v>20220929</v>
      </c>
      <c r="Q3355">
        <v>20220811</v>
      </c>
    </row>
    <row r="3356" spans="1:17" x14ac:dyDescent="0.25">
      <c r="A3356" t="s">
        <v>715</v>
      </c>
      <c r="B3356" t="s">
        <v>432</v>
      </c>
      <c r="C3356">
        <v>111</v>
      </c>
      <c r="D3356">
        <v>20220811</v>
      </c>
      <c r="E3356">
        <f t="shared" si="52"/>
        <v>8</v>
      </c>
      <c r="F3356">
        <v>512200</v>
      </c>
      <c r="G3356" t="s">
        <v>432</v>
      </c>
      <c r="H3356" t="s">
        <v>401</v>
      </c>
      <c r="I3356" t="s">
        <v>402</v>
      </c>
      <c r="J3356" t="s">
        <v>3371</v>
      </c>
      <c r="K3356">
        <v>20220811</v>
      </c>
      <c r="L3356" t="s">
        <v>3372</v>
      </c>
      <c r="M3356">
        <v>0</v>
      </c>
      <c r="N3356">
        <v>224.4</v>
      </c>
      <c r="O3356" t="s">
        <v>19</v>
      </c>
      <c r="P3356" t="s">
        <v>20</v>
      </c>
      <c r="Q3356">
        <v>20220811</v>
      </c>
    </row>
    <row r="3357" spans="1:17" x14ac:dyDescent="0.25">
      <c r="A3357" t="s">
        <v>715</v>
      </c>
      <c r="B3357" t="s">
        <v>432</v>
      </c>
      <c r="C3357">
        <v>111</v>
      </c>
      <c r="D3357">
        <v>20220812</v>
      </c>
      <c r="E3357">
        <f t="shared" si="52"/>
        <v>8</v>
      </c>
      <c r="F3357">
        <v>401000</v>
      </c>
      <c r="G3357" t="s">
        <v>41</v>
      </c>
      <c r="H3357" t="s">
        <v>132</v>
      </c>
      <c r="I3357" t="s">
        <v>133</v>
      </c>
      <c r="J3357" t="s">
        <v>3373</v>
      </c>
      <c r="K3357">
        <v>20220812</v>
      </c>
      <c r="L3357" t="s">
        <v>3374</v>
      </c>
      <c r="M3357">
        <v>290.25</v>
      </c>
      <c r="N3357">
        <v>0</v>
      </c>
      <c r="O3357" t="s">
        <v>23</v>
      </c>
      <c r="P3357">
        <v>20230207</v>
      </c>
      <c r="Q3357">
        <v>20220812</v>
      </c>
    </row>
    <row r="3358" spans="1:17" x14ac:dyDescent="0.25">
      <c r="A3358" t="s">
        <v>715</v>
      </c>
      <c r="B3358" t="s">
        <v>432</v>
      </c>
      <c r="C3358">
        <v>111</v>
      </c>
      <c r="D3358">
        <v>20220812</v>
      </c>
      <c r="E3358">
        <f t="shared" si="52"/>
        <v>8</v>
      </c>
      <c r="F3358">
        <v>512200</v>
      </c>
      <c r="G3358" t="s">
        <v>432</v>
      </c>
      <c r="H3358" t="s">
        <v>401</v>
      </c>
      <c r="I3358" t="s">
        <v>402</v>
      </c>
      <c r="J3358" t="s">
        <v>3373</v>
      </c>
      <c r="K3358">
        <v>20220812</v>
      </c>
      <c r="L3358" t="s">
        <v>3374</v>
      </c>
      <c r="M3358">
        <v>0</v>
      </c>
      <c r="N3358">
        <v>290.25</v>
      </c>
      <c r="O3358" t="s">
        <v>19</v>
      </c>
      <c r="P3358" t="s">
        <v>20</v>
      </c>
      <c r="Q3358">
        <v>20220812</v>
      </c>
    </row>
    <row r="3359" spans="1:17" x14ac:dyDescent="0.25">
      <c r="A3359" t="s">
        <v>715</v>
      </c>
      <c r="B3359" t="s">
        <v>432</v>
      </c>
      <c r="C3359">
        <v>111</v>
      </c>
      <c r="D3359">
        <v>20220818</v>
      </c>
      <c r="E3359">
        <f t="shared" si="52"/>
        <v>8</v>
      </c>
      <c r="F3359">
        <v>627400</v>
      </c>
      <c r="G3359" t="s">
        <v>722</v>
      </c>
      <c r="H3359" t="s">
        <v>401</v>
      </c>
      <c r="I3359" t="s">
        <v>402</v>
      </c>
      <c r="J3359" t="s">
        <v>3375</v>
      </c>
      <c r="K3359">
        <v>20220818</v>
      </c>
      <c r="L3359" t="s">
        <v>3376</v>
      </c>
      <c r="M3359">
        <v>28.47</v>
      </c>
      <c r="N3359">
        <v>0</v>
      </c>
      <c r="O3359" t="s">
        <v>19</v>
      </c>
      <c r="P3359" t="s">
        <v>20</v>
      </c>
      <c r="Q3359">
        <v>20220818</v>
      </c>
    </row>
    <row r="3360" spans="1:17" x14ac:dyDescent="0.25">
      <c r="A3360" t="s">
        <v>715</v>
      </c>
      <c r="B3360" t="s">
        <v>432</v>
      </c>
      <c r="C3360">
        <v>111</v>
      </c>
      <c r="D3360">
        <v>20220818</v>
      </c>
      <c r="E3360">
        <f t="shared" si="52"/>
        <v>8</v>
      </c>
      <c r="F3360">
        <v>512200</v>
      </c>
      <c r="G3360" t="s">
        <v>432</v>
      </c>
      <c r="H3360" t="s">
        <v>401</v>
      </c>
      <c r="I3360" t="s">
        <v>402</v>
      </c>
      <c r="J3360" t="s">
        <v>3375</v>
      </c>
      <c r="K3360">
        <v>20220818</v>
      </c>
      <c r="L3360" t="s">
        <v>3376</v>
      </c>
      <c r="M3360">
        <v>0</v>
      </c>
      <c r="N3360">
        <v>28.47</v>
      </c>
      <c r="O3360" t="s">
        <v>19</v>
      </c>
      <c r="P3360" t="s">
        <v>20</v>
      </c>
      <c r="Q3360">
        <v>20220818</v>
      </c>
    </row>
    <row r="3361" spans="1:17" x14ac:dyDescent="0.25">
      <c r="A3361" t="s">
        <v>715</v>
      </c>
      <c r="B3361" t="s">
        <v>432</v>
      </c>
      <c r="C3361">
        <v>111</v>
      </c>
      <c r="D3361">
        <v>20220819</v>
      </c>
      <c r="E3361">
        <f t="shared" si="52"/>
        <v>8</v>
      </c>
      <c r="F3361">
        <v>401000</v>
      </c>
      <c r="G3361" t="s">
        <v>41</v>
      </c>
      <c r="H3361" t="s">
        <v>52</v>
      </c>
      <c r="I3361" t="s">
        <v>53</v>
      </c>
      <c r="J3361" t="s">
        <v>3377</v>
      </c>
      <c r="K3361">
        <v>20220819</v>
      </c>
      <c r="L3361" t="s">
        <v>3378</v>
      </c>
      <c r="M3361">
        <v>66</v>
      </c>
      <c r="N3361">
        <v>0</v>
      </c>
      <c r="O3361" t="s">
        <v>23</v>
      </c>
      <c r="P3361">
        <v>20220919</v>
      </c>
      <c r="Q3361">
        <v>20220819</v>
      </c>
    </row>
    <row r="3362" spans="1:17" x14ac:dyDescent="0.25">
      <c r="A3362" t="s">
        <v>715</v>
      </c>
      <c r="B3362" t="s">
        <v>432</v>
      </c>
      <c r="C3362">
        <v>111</v>
      </c>
      <c r="D3362">
        <v>20220819</v>
      </c>
      <c r="E3362">
        <f t="shared" si="52"/>
        <v>8</v>
      </c>
      <c r="F3362">
        <v>512200</v>
      </c>
      <c r="G3362" t="s">
        <v>432</v>
      </c>
      <c r="H3362" t="s">
        <v>401</v>
      </c>
      <c r="I3362" t="s">
        <v>402</v>
      </c>
      <c r="J3362" t="s">
        <v>3377</v>
      </c>
      <c r="K3362">
        <v>20220819</v>
      </c>
      <c r="L3362" t="s">
        <v>3378</v>
      </c>
      <c r="M3362">
        <v>0</v>
      </c>
      <c r="N3362">
        <v>66</v>
      </c>
      <c r="O3362" t="s">
        <v>19</v>
      </c>
      <c r="P3362" t="s">
        <v>20</v>
      </c>
      <c r="Q3362">
        <v>20220819</v>
      </c>
    </row>
    <row r="3363" spans="1:17" x14ac:dyDescent="0.25">
      <c r="A3363" t="s">
        <v>715</v>
      </c>
      <c r="B3363" t="s">
        <v>432</v>
      </c>
      <c r="C3363">
        <v>111</v>
      </c>
      <c r="D3363">
        <v>20220822</v>
      </c>
      <c r="E3363">
        <f t="shared" si="52"/>
        <v>8</v>
      </c>
      <c r="F3363">
        <v>401000</v>
      </c>
      <c r="G3363" t="s">
        <v>41</v>
      </c>
      <c r="H3363" t="s">
        <v>2757</v>
      </c>
      <c r="I3363" t="s">
        <v>2758</v>
      </c>
      <c r="J3363" t="s">
        <v>3379</v>
      </c>
      <c r="K3363">
        <v>20220822</v>
      </c>
      <c r="L3363" t="s">
        <v>3380</v>
      </c>
      <c r="M3363">
        <v>91</v>
      </c>
      <c r="N3363">
        <v>0</v>
      </c>
      <c r="O3363" t="s">
        <v>23</v>
      </c>
      <c r="P3363">
        <v>20221109</v>
      </c>
      <c r="Q3363">
        <v>20220822</v>
      </c>
    </row>
    <row r="3364" spans="1:17" x14ac:dyDescent="0.25">
      <c r="A3364" t="s">
        <v>715</v>
      </c>
      <c r="B3364" t="s">
        <v>432</v>
      </c>
      <c r="C3364">
        <v>111</v>
      </c>
      <c r="D3364">
        <v>20220822</v>
      </c>
      <c r="E3364">
        <f t="shared" si="52"/>
        <v>8</v>
      </c>
      <c r="F3364">
        <v>512200</v>
      </c>
      <c r="G3364" t="s">
        <v>432</v>
      </c>
      <c r="H3364" t="s">
        <v>401</v>
      </c>
      <c r="I3364" t="s">
        <v>402</v>
      </c>
      <c r="J3364" t="s">
        <v>3379</v>
      </c>
      <c r="K3364">
        <v>20220822</v>
      </c>
      <c r="L3364" t="s">
        <v>3380</v>
      </c>
      <c r="M3364">
        <v>0</v>
      </c>
      <c r="N3364">
        <v>91</v>
      </c>
      <c r="O3364" t="s">
        <v>19</v>
      </c>
      <c r="P3364" t="s">
        <v>20</v>
      </c>
      <c r="Q3364">
        <v>20220822</v>
      </c>
    </row>
    <row r="3365" spans="1:17" x14ac:dyDescent="0.25">
      <c r="A3365" t="s">
        <v>715</v>
      </c>
      <c r="B3365" t="s">
        <v>432</v>
      </c>
      <c r="C3365">
        <v>111</v>
      </c>
      <c r="D3365">
        <v>20220828</v>
      </c>
      <c r="E3365">
        <f t="shared" si="52"/>
        <v>8</v>
      </c>
      <c r="F3365">
        <v>401000</v>
      </c>
      <c r="G3365" t="s">
        <v>41</v>
      </c>
      <c r="H3365" t="s">
        <v>2444</v>
      </c>
      <c r="I3365" t="s">
        <v>2445</v>
      </c>
      <c r="J3365" t="s">
        <v>3381</v>
      </c>
      <c r="K3365">
        <v>20220828</v>
      </c>
      <c r="L3365" t="s">
        <v>3382</v>
      </c>
      <c r="M3365">
        <v>465</v>
      </c>
      <c r="N3365">
        <v>0</v>
      </c>
      <c r="O3365" t="s">
        <v>23</v>
      </c>
      <c r="P3365">
        <v>20221109</v>
      </c>
      <c r="Q3365">
        <v>20220828</v>
      </c>
    </row>
    <row r="3366" spans="1:17" x14ac:dyDescent="0.25">
      <c r="A3366" t="s">
        <v>715</v>
      </c>
      <c r="B3366" t="s">
        <v>432</v>
      </c>
      <c r="C3366">
        <v>111</v>
      </c>
      <c r="D3366">
        <v>20220828</v>
      </c>
      <c r="E3366">
        <f t="shared" si="52"/>
        <v>8</v>
      </c>
      <c r="F3366">
        <v>512200</v>
      </c>
      <c r="G3366" t="s">
        <v>432</v>
      </c>
      <c r="H3366" t="s">
        <v>401</v>
      </c>
      <c r="I3366" t="s">
        <v>402</v>
      </c>
      <c r="J3366" t="s">
        <v>3381</v>
      </c>
      <c r="K3366">
        <v>20220828</v>
      </c>
      <c r="L3366" t="s">
        <v>3382</v>
      </c>
      <c r="M3366">
        <v>0</v>
      </c>
      <c r="N3366">
        <v>465</v>
      </c>
      <c r="O3366" t="s">
        <v>19</v>
      </c>
      <c r="P3366" t="s">
        <v>20</v>
      </c>
      <c r="Q3366">
        <v>20220828</v>
      </c>
    </row>
    <row r="3367" spans="1:17" x14ac:dyDescent="0.25">
      <c r="A3367" t="s">
        <v>715</v>
      </c>
      <c r="B3367" t="s">
        <v>432</v>
      </c>
      <c r="C3367">
        <v>111</v>
      </c>
      <c r="D3367">
        <v>20220829</v>
      </c>
      <c r="E3367">
        <f t="shared" si="52"/>
        <v>8</v>
      </c>
      <c r="F3367">
        <v>401000</v>
      </c>
      <c r="G3367" t="s">
        <v>41</v>
      </c>
      <c r="H3367" t="s">
        <v>189</v>
      </c>
      <c r="I3367" t="s">
        <v>190</v>
      </c>
      <c r="J3367" t="s">
        <v>3383</v>
      </c>
      <c r="K3367">
        <v>20220829</v>
      </c>
      <c r="L3367" t="s">
        <v>191</v>
      </c>
      <c r="M3367">
        <v>403.75</v>
      </c>
      <c r="N3367">
        <v>0</v>
      </c>
      <c r="O3367" t="s">
        <v>19</v>
      </c>
      <c r="P3367" t="s">
        <v>20</v>
      </c>
      <c r="Q3367">
        <v>20220829</v>
      </c>
    </row>
    <row r="3368" spans="1:17" x14ac:dyDescent="0.25">
      <c r="A3368" t="s">
        <v>715</v>
      </c>
      <c r="B3368" t="s">
        <v>432</v>
      </c>
      <c r="C3368">
        <v>111</v>
      </c>
      <c r="D3368">
        <v>20220829</v>
      </c>
      <c r="E3368">
        <f t="shared" si="52"/>
        <v>8</v>
      </c>
      <c r="F3368">
        <v>512200</v>
      </c>
      <c r="G3368" t="s">
        <v>432</v>
      </c>
      <c r="H3368" t="s">
        <v>401</v>
      </c>
      <c r="I3368" t="s">
        <v>402</v>
      </c>
      <c r="J3368" t="s">
        <v>3383</v>
      </c>
      <c r="K3368">
        <v>20220829</v>
      </c>
      <c r="L3368" t="s">
        <v>191</v>
      </c>
      <c r="M3368">
        <v>0</v>
      </c>
      <c r="N3368">
        <v>403.75</v>
      </c>
      <c r="O3368" t="s">
        <v>19</v>
      </c>
      <c r="P3368" t="s">
        <v>20</v>
      </c>
      <c r="Q3368">
        <v>20220829</v>
      </c>
    </row>
    <row r="3369" spans="1:17" x14ac:dyDescent="0.25">
      <c r="A3369" t="s">
        <v>715</v>
      </c>
      <c r="B3369" t="s">
        <v>432</v>
      </c>
      <c r="C3369">
        <v>111</v>
      </c>
      <c r="D3369">
        <v>20220829</v>
      </c>
      <c r="E3369">
        <f t="shared" si="52"/>
        <v>8</v>
      </c>
      <c r="F3369">
        <v>401000</v>
      </c>
      <c r="G3369" t="s">
        <v>41</v>
      </c>
      <c r="H3369" t="s">
        <v>52</v>
      </c>
      <c r="I3369" t="s">
        <v>53</v>
      </c>
      <c r="J3369" t="s">
        <v>3384</v>
      </c>
      <c r="K3369">
        <v>20220829</v>
      </c>
      <c r="L3369" t="s">
        <v>3385</v>
      </c>
      <c r="M3369">
        <v>29</v>
      </c>
      <c r="N3369">
        <v>0</v>
      </c>
      <c r="O3369" t="s">
        <v>23</v>
      </c>
      <c r="P3369">
        <v>20220919</v>
      </c>
      <c r="Q3369">
        <v>20220829</v>
      </c>
    </row>
    <row r="3370" spans="1:17" x14ac:dyDescent="0.25">
      <c r="A3370" t="s">
        <v>715</v>
      </c>
      <c r="B3370" t="s">
        <v>432</v>
      </c>
      <c r="C3370">
        <v>111</v>
      </c>
      <c r="D3370">
        <v>20220829</v>
      </c>
      <c r="E3370">
        <f t="shared" si="52"/>
        <v>8</v>
      </c>
      <c r="F3370">
        <v>512200</v>
      </c>
      <c r="G3370" t="s">
        <v>432</v>
      </c>
      <c r="H3370" t="s">
        <v>401</v>
      </c>
      <c r="I3370" t="s">
        <v>402</v>
      </c>
      <c r="J3370" t="s">
        <v>3384</v>
      </c>
      <c r="K3370">
        <v>20220829</v>
      </c>
      <c r="L3370" t="s">
        <v>3385</v>
      </c>
      <c r="M3370">
        <v>0</v>
      </c>
      <c r="N3370">
        <v>29</v>
      </c>
      <c r="O3370" t="s">
        <v>19</v>
      </c>
      <c r="P3370" t="s">
        <v>20</v>
      </c>
      <c r="Q3370">
        <v>20220829</v>
      </c>
    </row>
    <row r="3371" spans="1:17" x14ac:dyDescent="0.25">
      <c r="A3371" t="s">
        <v>715</v>
      </c>
      <c r="B3371" t="s">
        <v>432</v>
      </c>
      <c r="C3371">
        <v>111</v>
      </c>
      <c r="D3371">
        <v>20220829</v>
      </c>
      <c r="E3371">
        <f t="shared" si="52"/>
        <v>8</v>
      </c>
      <c r="F3371">
        <v>401000</v>
      </c>
      <c r="G3371" t="s">
        <v>41</v>
      </c>
      <c r="H3371" t="s">
        <v>2392</v>
      </c>
      <c r="I3371" t="s">
        <v>2393</v>
      </c>
      <c r="J3371" t="s">
        <v>3386</v>
      </c>
      <c r="K3371">
        <v>20220829</v>
      </c>
      <c r="L3371" t="s">
        <v>3387</v>
      </c>
      <c r="M3371">
        <v>464</v>
      </c>
      <c r="N3371">
        <v>0</v>
      </c>
      <c r="O3371" t="s">
        <v>23</v>
      </c>
      <c r="P3371">
        <v>20221118</v>
      </c>
      <c r="Q3371">
        <v>20220829</v>
      </c>
    </row>
    <row r="3372" spans="1:17" x14ac:dyDescent="0.25">
      <c r="A3372" t="s">
        <v>715</v>
      </c>
      <c r="B3372" t="s">
        <v>432</v>
      </c>
      <c r="C3372">
        <v>111</v>
      </c>
      <c r="D3372">
        <v>20220829</v>
      </c>
      <c r="E3372">
        <f t="shared" si="52"/>
        <v>8</v>
      </c>
      <c r="F3372">
        <v>512200</v>
      </c>
      <c r="G3372" t="s">
        <v>432</v>
      </c>
      <c r="H3372" t="s">
        <v>401</v>
      </c>
      <c r="I3372" t="s">
        <v>402</v>
      </c>
      <c r="J3372" t="s">
        <v>3386</v>
      </c>
      <c r="K3372">
        <v>20220829</v>
      </c>
      <c r="L3372" t="s">
        <v>3387</v>
      </c>
      <c r="M3372">
        <v>0</v>
      </c>
      <c r="N3372">
        <v>464</v>
      </c>
      <c r="O3372" t="s">
        <v>19</v>
      </c>
      <c r="P3372" t="s">
        <v>20</v>
      </c>
      <c r="Q3372">
        <v>20220829</v>
      </c>
    </row>
    <row r="3373" spans="1:17" x14ac:dyDescent="0.25">
      <c r="A3373" t="s">
        <v>715</v>
      </c>
      <c r="B3373" t="s">
        <v>432</v>
      </c>
      <c r="C3373">
        <v>111</v>
      </c>
      <c r="D3373">
        <v>20220830</v>
      </c>
      <c r="E3373">
        <f t="shared" si="52"/>
        <v>8</v>
      </c>
      <c r="F3373">
        <v>411100</v>
      </c>
      <c r="G3373" t="s">
        <v>18</v>
      </c>
      <c r="H3373" t="s">
        <v>175</v>
      </c>
      <c r="I3373" t="s">
        <v>176</v>
      </c>
      <c r="J3373" t="s">
        <v>3335</v>
      </c>
      <c r="K3373">
        <v>20220830</v>
      </c>
      <c r="L3373" t="s">
        <v>3388</v>
      </c>
      <c r="M3373">
        <v>40.9</v>
      </c>
      <c r="N3373">
        <v>0</v>
      </c>
      <c r="O3373" t="s">
        <v>19</v>
      </c>
      <c r="P3373" t="s">
        <v>20</v>
      </c>
      <c r="Q3373">
        <v>20220830</v>
      </c>
    </row>
    <row r="3374" spans="1:17" x14ac:dyDescent="0.25">
      <c r="A3374" t="s">
        <v>715</v>
      </c>
      <c r="B3374" t="s">
        <v>432</v>
      </c>
      <c r="C3374">
        <v>111</v>
      </c>
      <c r="D3374">
        <v>20220830</v>
      </c>
      <c r="E3374">
        <f t="shared" si="52"/>
        <v>8</v>
      </c>
      <c r="F3374">
        <v>512200</v>
      </c>
      <c r="G3374" t="s">
        <v>432</v>
      </c>
      <c r="H3374" t="s">
        <v>401</v>
      </c>
      <c r="I3374" t="s">
        <v>402</v>
      </c>
      <c r="J3374" t="s">
        <v>3335</v>
      </c>
      <c r="K3374">
        <v>20220830</v>
      </c>
      <c r="L3374" t="s">
        <v>3389</v>
      </c>
      <c r="M3374">
        <v>0</v>
      </c>
      <c r="N3374">
        <v>40.9</v>
      </c>
      <c r="O3374" t="s">
        <v>19</v>
      </c>
      <c r="P3374" t="s">
        <v>20</v>
      </c>
      <c r="Q3374">
        <v>20220830</v>
      </c>
    </row>
    <row r="3375" spans="1:17" x14ac:dyDescent="0.25">
      <c r="A3375" t="s">
        <v>715</v>
      </c>
      <c r="B3375" t="s">
        <v>432</v>
      </c>
      <c r="C3375">
        <v>111</v>
      </c>
      <c r="D3375">
        <v>20220831</v>
      </c>
      <c r="E3375">
        <f t="shared" si="52"/>
        <v>8</v>
      </c>
      <c r="F3375">
        <v>401000</v>
      </c>
      <c r="G3375" t="s">
        <v>41</v>
      </c>
      <c r="H3375" t="s">
        <v>3230</v>
      </c>
      <c r="I3375" t="s">
        <v>3231</v>
      </c>
      <c r="J3375" t="s">
        <v>3390</v>
      </c>
      <c r="K3375">
        <v>20220831</v>
      </c>
      <c r="L3375" t="s">
        <v>3391</v>
      </c>
      <c r="M3375">
        <v>238.48</v>
      </c>
      <c r="N3375">
        <v>0</v>
      </c>
      <c r="O3375" t="s">
        <v>23</v>
      </c>
      <c r="P3375">
        <v>20220929</v>
      </c>
      <c r="Q3375">
        <v>20220831</v>
      </c>
    </row>
    <row r="3376" spans="1:17" x14ac:dyDescent="0.25">
      <c r="A3376" t="s">
        <v>715</v>
      </c>
      <c r="B3376" t="s">
        <v>432</v>
      </c>
      <c r="C3376">
        <v>111</v>
      </c>
      <c r="D3376">
        <v>20220831</v>
      </c>
      <c r="E3376">
        <f t="shared" si="52"/>
        <v>8</v>
      </c>
      <c r="F3376">
        <v>512200</v>
      </c>
      <c r="G3376" t="s">
        <v>432</v>
      </c>
      <c r="H3376" t="s">
        <v>401</v>
      </c>
      <c r="I3376" t="s">
        <v>402</v>
      </c>
      <c r="J3376" t="s">
        <v>3390</v>
      </c>
      <c r="K3376">
        <v>20220831</v>
      </c>
      <c r="L3376" t="s">
        <v>3391</v>
      </c>
      <c r="M3376">
        <v>0</v>
      </c>
      <c r="N3376">
        <v>238.48</v>
      </c>
      <c r="O3376" t="s">
        <v>19</v>
      </c>
      <c r="P3376" t="s">
        <v>20</v>
      </c>
      <c r="Q3376">
        <v>20220831</v>
      </c>
    </row>
    <row r="3377" spans="1:17" x14ac:dyDescent="0.25">
      <c r="A3377" t="s">
        <v>476</v>
      </c>
      <c r="B3377" t="s">
        <v>477</v>
      </c>
      <c r="C3377">
        <v>122</v>
      </c>
      <c r="D3377">
        <v>20220902</v>
      </c>
      <c r="E3377">
        <f t="shared" si="52"/>
        <v>9</v>
      </c>
      <c r="F3377">
        <v>421000</v>
      </c>
      <c r="G3377" t="s">
        <v>403</v>
      </c>
      <c r="H3377" t="s">
        <v>401</v>
      </c>
      <c r="I3377" t="s">
        <v>402</v>
      </c>
      <c r="J3377" t="s">
        <v>3398</v>
      </c>
      <c r="K3377">
        <v>20220902</v>
      </c>
      <c r="L3377" t="s">
        <v>3399</v>
      </c>
      <c r="M3377">
        <v>5405.75</v>
      </c>
      <c r="N3377">
        <v>0</v>
      </c>
      <c r="O3377" t="s">
        <v>23</v>
      </c>
      <c r="P3377">
        <v>20230215</v>
      </c>
      <c r="Q3377">
        <v>20220902</v>
      </c>
    </row>
    <row r="3378" spans="1:17" x14ac:dyDescent="0.25">
      <c r="A3378" t="s">
        <v>476</v>
      </c>
      <c r="B3378" t="s">
        <v>477</v>
      </c>
      <c r="C3378">
        <v>122</v>
      </c>
      <c r="D3378">
        <v>20220902</v>
      </c>
      <c r="E3378">
        <f t="shared" si="52"/>
        <v>9</v>
      </c>
      <c r="F3378">
        <v>512000</v>
      </c>
      <c r="G3378" t="s">
        <v>428</v>
      </c>
      <c r="H3378" t="s">
        <v>401</v>
      </c>
      <c r="I3378" t="s">
        <v>402</v>
      </c>
      <c r="J3378" t="s">
        <v>3398</v>
      </c>
      <c r="K3378">
        <v>20220902</v>
      </c>
      <c r="L3378" t="s">
        <v>3399</v>
      </c>
      <c r="M3378">
        <v>0</v>
      </c>
      <c r="N3378">
        <v>5405.75</v>
      </c>
      <c r="O3378" t="s">
        <v>19</v>
      </c>
      <c r="P3378" t="s">
        <v>20</v>
      </c>
      <c r="Q3378">
        <v>20220902</v>
      </c>
    </row>
    <row r="3379" spans="1:17" x14ac:dyDescent="0.25">
      <c r="A3379" t="s">
        <v>476</v>
      </c>
      <c r="B3379" t="s">
        <v>477</v>
      </c>
      <c r="C3379">
        <v>122</v>
      </c>
      <c r="D3379">
        <v>20220903</v>
      </c>
      <c r="E3379">
        <f t="shared" si="52"/>
        <v>9</v>
      </c>
      <c r="F3379">
        <v>627000</v>
      </c>
      <c r="G3379" t="s">
        <v>480</v>
      </c>
      <c r="H3379" t="s">
        <v>401</v>
      </c>
      <c r="I3379" t="s">
        <v>402</v>
      </c>
      <c r="J3379" t="s">
        <v>3400</v>
      </c>
      <c r="K3379">
        <v>20220903</v>
      </c>
      <c r="L3379" t="s">
        <v>482</v>
      </c>
      <c r="M3379">
        <v>49</v>
      </c>
      <c r="N3379">
        <v>0</v>
      </c>
      <c r="O3379" t="s">
        <v>19</v>
      </c>
      <c r="P3379" t="s">
        <v>20</v>
      </c>
      <c r="Q3379">
        <v>20220903</v>
      </c>
    </row>
    <row r="3380" spans="1:17" x14ac:dyDescent="0.25">
      <c r="A3380" t="s">
        <v>476</v>
      </c>
      <c r="B3380" t="s">
        <v>477</v>
      </c>
      <c r="C3380">
        <v>122</v>
      </c>
      <c r="D3380">
        <v>20220903</v>
      </c>
      <c r="E3380">
        <f t="shared" si="52"/>
        <v>9</v>
      </c>
      <c r="F3380">
        <v>512000</v>
      </c>
      <c r="G3380" t="s">
        <v>428</v>
      </c>
      <c r="H3380" t="s">
        <v>401</v>
      </c>
      <c r="I3380" t="s">
        <v>402</v>
      </c>
      <c r="J3380" t="s">
        <v>3400</v>
      </c>
      <c r="K3380">
        <v>20220903</v>
      </c>
      <c r="L3380" t="s">
        <v>482</v>
      </c>
      <c r="M3380">
        <v>0</v>
      </c>
      <c r="N3380">
        <v>49</v>
      </c>
      <c r="O3380" t="s">
        <v>19</v>
      </c>
      <c r="P3380" t="s">
        <v>20</v>
      </c>
      <c r="Q3380">
        <v>20220903</v>
      </c>
    </row>
    <row r="3381" spans="1:17" x14ac:dyDescent="0.25">
      <c r="A3381" t="s">
        <v>476</v>
      </c>
      <c r="B3381" t="s">
        <v>477</v>
      </c>
      <c r="C3381">
        <v>122</v>
      </c>
      <c r="D3381">
        <v>20220903</v>
      </c>
      <c r="E3381">
        <f t="shared" si="52"/>
        <v>9</v>
      </c>
      <c r="F3381">
        <v>627000</v>
      </c>
      <c r="G3381" t="s">
        <v>480</v>
      </c>
      <c r="H3381" t="s">
        <v>401</v>
      </c>
      <c r="I3381" t="s">
        <v>402</v>
      </c>
      <c r="J3381" t="s">
        <v>3401</v>
      </c>
      <c r="K3381">
        <v>20220903</v>
      </c>
      <c r="L3381" t="s">
        <v>482</v>
      </c>
      <c r="M3381">
        <v>13.52</v>
      </c>
      <c r="N3381">
        <v>0</v>
      </c>
      <c r="O3381" t="s">
        <v>19</v>
      </c>
      <c r="P3381" t="s">
        <v>20</v>
      </c>
      <c r="Q3381">
        <v>20220903</v>
      </c>
    </row>
    <row r="3382" spans="1:17" x14ac:dyDescent="0.25">
      <c r="A3382" t="s">
        <v>476</v>
      </c>
      <c r="B3382" t="s">
        <v>477</v>
      </c>
      <c r="C3382">
        <v>122</v>
      </c>
      <c r="D3382">
        <v>20220903</v>
      </c>
      <c r="E3382">
        <f t="shared" si="52"/>
        <v>9</v>
      </c>
      <c r="F3382">
        <v>512000</v>
      </c>
      <c r="G3382" t="s">
        <v>428</v>
      </c>
      <c r="H3382" t="s">
        <v>401</v>
      </c>
      <c r="I3382" t="s">
        <v>402</v>
      </c>
      <c r="J3382" t="s">
        <v>3401</v>
      </c>
      <c r="K3382">
        <v>20220903</v>
      </c>
      <c r="L3382" t="s">
        <v>482</v>
      </c>
      <c r="M3382">
        <v>0</v>
      </c>
      <c r="N3382">
        <v>13.52</v>
      </c>
      <c r="O3382" t="s">
        <v>19</v>
      </c>
      <c r="P3382" t="s">
        <v>20</v>
      </c>
      <c r="Q3382">
        <v>20220903</v>
      </c>
    </row>
    <row r="3383" spans="1:17" x14ac:dyDescent="0.25">
      <c r="A3383" t="s">
        <v>476</v>
      </c>
      <c r="B3383" t="s">
        <v>477</v>
      </c>
      <c r="C3383">
        <v>122</v>
      </c>
      <c r="D3383">
        <v>20220906</v>
      </c>
      <c r="E3383">
        <f t="shared" si="52"/>
        <v>9</v>
      </c>
      <c r="F3383">
        <v>401000</v>
      </c>
      <c r="G3383" t="s">
        <v>41</v>
      </c>
      <c r="H3383" t="s">
        <v>225</v>
      </c>
      <c r="I3383" t="s">
        <v>226</v>
      </c>
      <c r="J3383" t="s">
        <v>3402</v>
      </c>
      <c r="K3383">
        <v>20220906</v>
      </c>
      <c r="L3383" t="s">
        <v>488</v>
      </c>
      <c r="M3383">
        <v>475.4</v>
      </c>
      <c r="N3383">
        <v>0</v>
      </c>
      <c r="O3383" t="s">
        <v>23</v>
      </c>
      <c r="P3383">
        <v>20221109</v>
      </c>
      <c r="Q3383">
        <v>20220906</v>
      </c>
    </row>
    <row r="3384" spans="1:17" x14ac:dyDescent="0.25">
      <c r="A3384" t="s">
        <v>476</v>
      </c>
      <c r="B3384" t="s">
        <v>477</v>
      </c>
      <c r="C3384">
        <v>122</v>
      </c>
      <c r="D3384">
        <v>20220906</v>
      </c>
      <c r="E3384">
        <f t="shared" si="52"/>
        <v>9</v>
      </c>
      <c r="F3384">
        <v>512000</v>
      </c>
      <c r="G3384" t="s">
        <v>428</v>
      </c>
      <c r="H3384" t="s">
        <v>401</v>
      </c>
      <c r="I3384" t="s">
        <v>402</v>
      </c>
      <c r="J3384" t="s">
        <v>3402</v>
      </c>
      <c r="K3384">
        <v>20220906</v>
      </c>
      <c r="L3384" t="s">
        <v>488</v>
      </c>
      <c r="M3384">
        <v>0</v>
      </c>
      <c r="N3384">
        <v>475.4</v>
      </c>
      <c r="O3384" t="s">
        <v>19</v>
      </c>
      <c r="P3384" t="s">
        <v>20</v>
      </c>
      <c r="Q3384">
        <v>20220906</v>
      </c>
    </row>
    <row r="3385" spans="1:17" x14ac:dyDescent="0.25">
      <c r="A3385" t="s">
        <v>476</v>
      </c>
      <c r="B3385" t="s">
        <v>477</v>
      </c>
      <c r="C3385">
        <v>122</v>
      </c>
      <c r="D3385">
        <v>20220906</v>
      </c>
      <c r="E3385">
        <f t="shared" si="52"/>
        <v>9</v>
      </c>
      <c r="F3385">
        <v>401000</v>
      </c>
      <c r="G3385" t="s">
        <v>41</v>
      </c>
      <c r="H3385" t="s">
        <v>458</v>
      </c>
      <c r="I3385" t="s">
        <v>459</v>
      </c>
      <c r="J3385" t="s">
        <v>3403</v>
      </c>
      <c r="K3385">
        <v>20220906</v>
      </c>
      <c r="L3385" t="s">
        <v>2072</v>
      </c>
      <c r="M3385">
        <v>669.6</v>
      </c>
      <c r="N3385">
        <v>0</v>
      </c>
      <c r="O3385" t="s">
        <v>23</v>
      </c>
      <c r="P3385">
        <v>20221109</v>
      </c>
      <c r="Q3385">
        <v>20220906</v>
      </c>
    </row>
    <row r="3386" spans="1:17" x14ac:dyDescent="0.25">
      <c r="A3386" t="s">
        <v>476</v>
      </c>
      <c r="B3386" t="s">
        <v>477</v>
      </c>
      <c r="C3386">
        <v>122</v>
      </c>
      <c r="D3386">
        <v>20220906</v>
      </c>
      <c r="E3386">
        <f t="shared" si="52"/>
        <v>9</v>
      </c>
      <c r="F3386">
        <v>512000</v>
      </c>
      <c r="G3386" t="s">
        <v>428</v>
      </c>
      <c r="H3386" t="s">
        <v>401</v>
      </c>
      <c r="I3386" t="s">
        <v>402</v>
      </c>
      <c r="J3386" t="s">
        <v>3403</v>
      </c>
      <c r="K3386">
        <v>20220906</v>
      </c>
      <c r="L3386" t="s">
        <v>2072</v>
      </c>
      <c r="M3386">
        <v>0</v>
      </c>
      <c r="N3386">
        <v>669.6</v>
      </c>
      <c r="O3386" t="s">
        <v>19</v>
      </c>
      <c r="P3386" t="s">
        <v>20</v>
      </c>
      <c r="Q3386">
        <v>20220906</v>
      </c>
    </row>
    <row r="3387" spans="1:17" x14ac:dyDescent="0.25">
      <c r="A3387" t="s">
        <v>476</v>
      </c>
      <c r="B3387" t="s">
        <v>477</v>
      </c>
      <c r="C3387">
        <v>122</v>
      </c>
      <c r="D3387">
        <v>20220906</v>
      </c>
      <c r="E3387">
        <f t="shared" si="52"/>
        <v>9</v>
      </c>
      <c r="F3387">
        <v>445020</v>
      </c>
      <c r="G3387" t="s">
        <v>414</v>
      </c>
      <c r="H3387" t="s">
        <v>401</v>
      </c>
      <c r="I3387" t="s">
        <v>402</v>
      </c>
      <c r="J3387" t="s">
        <v>3404</v>
      </c>
      <c r="K3387">
        <v>20220906</v>
      </c>
      <c r="L3387" t="s">
        <v>3405</v>
      </c>
      <c r="M3387">
        <v>0</v>
      </c>
      <c r="N3387">
        <v>3808</v>
      </c>
      <c r="O3387" t="s">
        <v>23</v>
      </c>
      <c r="P3387">
        <v>20230221</v>
      </c>
      <c r="Q3387">
        <v>20220906</v>
      </c>
    </row>
    <row r="3388" spans="1:17" x14ac:dyDescent="0.25">
      <c r="A3388" t="s">
        <v>476</v>
      </c>
      <c r="B3388" t="s">
        <v>477</v>
      </c>
      <c r="C3388">
        <v>122</v>
      </c>
      <c r="D3388">
        <v>20220906</v>
      </c>
      <c r="E3388">
        <f t="shared" si="52"/>
        <v>9</v>
      </c>
      <c r="F3388">
        <v>512000</v>
      </c>
      <c r="G3388" t="s">
        <v>428</v>
      </c>
      <c r="H3388" t="s">
        <v>401</v>
      </c>
      <c r="I3388" t="s">
        <v>402</v>
      </c>
      <c r="J3388" t="s">
        <v>3404</v>
      </c>
      <c r="K3388">
        <v>20220906</v>
      </c>
      <c r="L3388" t="s">
        <v>3405</v>
      </c>
      <c r="M3388">
        <v>3808</v>
      </c>
      <c r="N3388">
        <v>0</v>
      </c>
      <c r="O3388" t="s">
        <v>19</v>
      </c>
      <c r="P3388" t="s">
        <v>20</v>
      </c>
      <c r="Q3388">
        <v>20220906</v>
      </c>
    </row>
    <row r="3389" spans="1:17" x14ac:dyDescent="0.25">
      <c r="A3389" t="s">
        <v>476</v>
      </c>
      <c r="B3389" t="s">
        <v>477</v>
      </c>
      <c r="C3389">
        <v>122</v>
      </c>
      <c r="D3389">
        <v>20220906</v>
      </c>
      <c r="E3389">
        <f t="shared" si="52"/>
        <v>9</v>
      </c>
      <c r="F3389">
        <v>445030</v>
      </c>
      <c r="G3389" t="s">
        <v>415</v>
      </c>
      <c r="H3389" t="s">
        <v>401</v>
      </c>
      <c r="I3389" t="s">
        <v>402</v>
      </c>
      <c r="J3389" t="s">
        <v>3406</v>
      </c>
      <c r="K3389">
        <v>20220906</v>
      </c>
      <c r="L3389" t="s">
        <v>3407</v>
      </c>
      <c r="M3389">
        <v>0</v>
      </c>
      <c r="N3389">
        <v>3808</v>
      </c>
      <c r="O3389" t="s">
        <v>23</v>
      </c>
      <c r="P3389">
        <v>20230221</v>
      </c>
      <c r="Q3389">
        <v>20220906</v>
      </c>
    </row>
    <row r="3390" spans="1:17" x14ac:dyDescent="0.25">
      <c r="A3390" t="s">
        <v>476</v>
      </c>
      <c r="B3390" t="s">
        <v>477</v>
      </c>
      <c r="C3390">
        <v>122</v>
      </c>
      <c r="D3390">
        <v>20220906</v>
      </c>
      <c r="E3390">
        <f t="shared" si="52"/>
        <v>9</v>
      </c>
      <c r="F3390">
        <v>512000</v>
      </c>
      <c r="G3390" t="s">
        <v>428</v>
      </c>
      <c r="H3390" t="s">
        <v>401</v>
      </c>
      <c r="I3390" t="s">
        <v>402</v>
      </c>
      <c r="J3390" t="s">
        <v>3406</v>
      </c>
      <c r="K3390">
        <v>20220906</v>
      </c>
      <c r="L3390" t="s">
        <v>3407</v>
      </c>
      <c r="M3390">
        <v>3808</v>
      </c>
      <c r="N3390">
        <v>0</v>
      </c>
      <c r="O3390" t="s">
        <v>19</v>
      </c>
      <c r="P3390" t="s">
        <v>20</v>
      </c>
      <c r="Q3390">
        <v>20220906</v>
      </c>
    </row>
    <row r="3391" spans="1:17" x14ac:dyDescent="0.25">
      <c r="A3391" t="s">
        <v>476</v>
      </c>
      <c r="B3391" t="s">
        <v>477</v>
      </c>
      <c r="C3391">
        <v>122</v>
      </c>
      <c r="D3391">
        <v>20220907</v>
      </c>
      <c r="E3391">
        <f t="shared" si="52"/>
        <v>9</v>
      </c>
      <c r="F3391">
        <v>401000</v>
      </c>
      <c r="G3391" t="s">
        <v>41</v>
      </c>
      <c r="H3391" t="s">
        <v>46</v>
      </c>
      <c r="I3391" t="s">
        <v>47</v>
      </c>
      <c r="J3391" t="s">
        <v>3408</v>
      </c>
      <c r="K3391">
        <v>20220907</v>
      </c>
      <c r="L3391" t="s">
        <v>163</v>
      </c>
      <c r="M3391">
        <v>2575</v>
      </c>
      <c r="N3391">
        <v>0</v>
      </c>
      <c r="O3391" t="s">
        <v>22</v>
      </c>
      <c r="P3391">
        <v>20220907</v>
      </c>
      <c r="Q3391">
        <v>20220907</v>
      </c>
    </row>
    <row r="3392" spans="1:17" x14ac:dyDescent="0.25">
      <c r="A3392" t="s">
        <v>476</v>
      </c>
      <c r="B3392" t="s">
        <v>477</v>
      </c>
      <c r="C3392">
        <v>122</v>
      </c>
      <c r="D3392">
        <v>20220907</v>
      </c>
      <c r="E3392">
        <f t="shared" si="52"/>
        <v>9</v>
      </c>
      <c r="F3392">
        <v>401000</v>
      </c>
      <c r="G3392" t="s">
        <v>41</v>
      </c>
      <c r="H3392" t="s">
        <v>54</v>
      </c>
      <c r="I3392" t="s">
        <v>55</v>
      </c>
      <c r="J3392" t="s">
        <v>3408</v>
      </c>
      <c r="K3392">
        <v>20220907</v>
      </c>
      <c r="L3392" t="s">
        <v>163</v>
      </c>
      <c r="M3392">
        <v>18</v>
      </c>
      <c r="N3392">
        <v>0</v>
      </c>
      <c r="O3392" t="s">
        <v>22</v>
      </c>
      <c r="P3392">
        <v>20220907</v>
      </c>
      <c r="Q3392">
        <v>20220907</v>
      </c>
    </row>
    <row r="3393" spans="1:17" x14ac:dyDescent="0.25">
      <c r="A3393" t="s">
        <v>476</v>
      </c>
      <c r="B3393" t="s">
        <v>477</v>
      </c>
      <c r="C3393">
        <v>122</v>
      </c>
      <c r="D3393">
        <v>20220907</v>
      </c>
      <c r="E3393">
        <f t="shared" si="52"/>
        <v>9</v>
      </c>
      <c r="F3393">
        <v>401000</v>
      </c>
      <c r="G3393" t="s">
        <v>41</v>
      </c>
      <c r="H3393" t="s">
        <v>69</v>
      </c>
      <c r="I3393" t="s">
        <v>70</v>
      </c>
      <c r="J3393" t="s">
        <v>3408</v>
      </c>
      <c r="K3393">
        <v>20220907</v>
      </c>
      <c r="L3393" t="s">
        <v>163</v>
      </c>
      <c r="M3393">
        <v>1398.4</v>
      </c>
      <c r="N3393">
        <v>0</v>
      </c>
      <c r="O3393" t="s">
        <v>22</v>
      </c>
      <c r="P3393">
        <v>20220907</v>
      </c>
      <c r="Q3393">
        <v>20220907</v>
      </c>
    </row>
    <row r="3394" spans="1:17" x14ac:dyDescent="0.25">
      <c r="A3394" t="s">
        <v>476</v>
      </c>
      <c r="B3394" t="s">
        <v>477</v>
      </c>
      <c r="C3394">
        <v>122</v>
      </c>
      <c r="D3394">
        <v>20220907</v>
      </c>
      <c r="E3394">
        <f t="shared" si="52"/>
        <v>9</v>
      </c>
      <c r="F3394">
        <v>467100</v>
      </c>
      <c r="G3394" t="s">
        <v>160</v>
      </c>
      <c r="H3394" t="s">
        <v>1201</v>
      </c>
      <c r="I3394" t="s">
        <v>1202</v>
      </c>
      <c r="J3394" t="s">
        <v>3408</v>
      </c>
      <c r="K3394">
        <v>20220907</v>
      </c>
      <c r="L3394" t="s">
        <v>163</v>
      </c>
      <c r="M3394">
        <v>56.96</v>
      </c>
      <c r="N3394">
        <v>0</v>
      </c>
      <c r="O3394" t="s">
        <v>22</v>
      </c>
      <c r="P3394">
        <v>20220907</v>
      </c>
      <c r="Q3394">
        <v>20220907</v>
      </c>
    </row>
    <row r="3395" spans="1:17" x14ac:dyDescent="0.25">
      <c r="A3395" t="s">
        <v>476</v>
      </c>
      <c r="B3395" t="s">
        <v>477</v>
      </c>
      <c r="C3395">
        <v>122</v>
      </c>
      <c r="D3395">
        <v>20220907</v>
      </c>
      <c r="E3395">
        <f t="shared" ref="E3395:E3458" si="53">VALUE(MID(D3395,5,2))</f>
        <v>9</v>
      </c>
      <c r="F3395">
        <v>401000</v>
      </c>
      <c r="G3395" t="s">
        <v>41</v>
      </c>
      <c r="H3395" t="s">
        <v>181</v>
      </c>
      <c r="I3395" t="s">
        <v>182</v>
      </c>
      <c r="J3395" t="s">
        <v>3408</v>
      </c>
      <c r="K3395">
        <v>20220907</v>
      </c>
      <c r="L3395" t="s">
        <v>163</v>
      </c>
      <c r="M3395">
        <v>55.56</v>
      </c>
      <c r="N3395">
        <v>0</v>
      </c>
      <c r="O3395" t="s">
        <v>22</v>
      </c>
      <c r="P3395">
        <v>20220907</v>
      </c>
      <c r="Q3395">
        <v>20220907</v>
      </c>
    </row>
    <row r="3396" spans="1:17" x14ac:dyDescent="0.25">
      <c r="A3396" t="s">
        <v>476</v>
      </c>
      <c r="B3396" t="s">
        <v>477</v>
      </c>
      <c r="C3396">
        <v>122</v>
      </c>
      <c r="D3396">
        <v>20220907</v>
      </c>
      <c r="E3396">
        <f t="shared" si="53"/>
        <v>9</v>
      </c>
      <c r="F3396">
        <v>467100</v>
      </c>
      <c r="G3396" t="s">
        <v>160</v>
      </c>
      <c r="H3396" t="s">
        <v>316</v>
      </c>
      <c r="I3396" t="s">
        <v>317</v>
      </c>
      <c r="J3396" t="s">
        <v>3408</v>
      </c>
      <c r="K3396">
        <v>20220907</v>
      </c>
      <c r="L3396" t="s">
        <v>163</v>
      </c>
      <c r="M3396">
        <v>29.94</v>
      </c>
      <c r="N3396">
        <v>0</v>
      </c>
      <c r="O3396" t="s">
        <v>22</v>
      </c>
      <c r="P3396">
        <v>20220907</v>
      </c>
      <c r="Q3396">
        <v>20220907</v>
      </c>
    </row>
    <row r="3397" spans="1:17" x14ac:dyDescent="0.25">
      <c r="A3397" t="s">
        <v>476</v>
      </c>
      <c r="B3397" t="s">
        <v>477</v>
      </c>
      <c r="C3397">
        <v>122</v>
      </c>
      <c r="D3397">
        <v>20220907</v>
      </c>
      <c r="E3397">
        <f t="shared" si="53"/>
        <v>9</v>
      </c>
      <c r="F3397">
        <v>467100</v>
      </c>
      <c r="G3397" t="s">
        <v>160</v>
      </c>
      <c r="H3397" t="s">
        <v>3392</v>
      </c>
      <c r="I3397" t="s">
        <v>3393</v>
      </c>
      <c r="J3397" t="s">
        <v>3408</v>
      </c>
      <c r="K3397">
        <v>20220907</v>
      </c>
      <c r="L3397" t="s">
        <v>163</v>
      </c>
      <c r="M3397">
        <v>9.9</v>
      </c>
      <c r="N3397">
        <v>0</v>
      </c>
      <c r="O3397" t="s">
        <v>22</v>
      </c>
      <c r="P3397">
        <v>20220907</v>
      </c>
      <c r="Q3397">
        <v>20220907</v>
      </c>
    </row>
    <row r="3398" spans="1:17" x14ac:dyDescent="0.25">
      <c r="A3398" t="s">
        <v>476</v>
      </c>
      <c r="B3398" t="s">
        <v>477</v>
      </c>
      <c r="C3398">
        <v>122</v>
      </c>
      <c r="D3398">
        <v>20220907</v>
      </c>
      <c r="E3398">
        <f t="shared" si="53"/>
        <v>9</v>
      </c>
      <c r="F3398">
        <v>512000</v>
      </c>
      <c r="G3398" t="s">
        <v>428</v>
      </c>
      <c r="H3398" t="s">
        <v>401</v>
      </c>
      <c r="I3398" t="s">
        <v>402</v>
      </c>
      <c r="J3398" t="s">
        <v>3408</v>
      </c>
      <c r="K3398">
        <v>20220907</v>
      </c>
      <c r="L3398" t="s">
        <v>163</v>
      </c>
      <c r="M3398">
        <v>0</v>
      </c>
      <c r="N3398">
        <v>4143.76</v>
      </c>
      <c r="O3398" t="s">
        <v>19</v>
      </c>
      <c r="P3398" t="s">
        <v>20</v>
      </c>
      <c r="Q3398">
        <v>20220907</v>
      </c>
    </row>
    <row r="3399" spans="1:17" x14ac:dyDescent="0.25">
      <c r="A3399" t="s">
        <v>476</v>
      </c>
      <c r="B3399" t="s">
        <v>477</v>
      </c>
      <c r="C3399">
        <v>122</v>
      </c>
      <c r="D3399">
        <v>20220907</v>
      </c>
      <c r="E3399">
        <f t="shared" si="53"/>
        <v>9</v>
      </c>
      <c r="F3399">
        <v>437100</v>
      </c>
      <c r="G3399" t="s">
        <v>436</v>
      </c>
      <c r="H3399" t="s">
        <v>401</v>
      </c>
      <c r="I3399" t="s">
        <v>402</v>
      </c>
      <c r="J3399" t="s">
        <v>3409</v>
      </c>
      <c r="K3399">
        <v>20220907</v>
      </c>
      <c r="L3399" t="s">
        <v>127</v>
      </c>
      <c r="M3399">
        <v>667.86</v>
      </c>
      <c r="N3399">
        <v>0</v>
      </c>
      <c r="O3399" t="s">
        <v>23</v>
      </c>
      <c r="P3399">
        <v>20221005</v>
      </c>
      <c r="Q3399">
        <v>20220907</v>
      </c>
    </row>
    <row r="3400" spans="1:17" x14ac:dyDescent="0.25">
      <c r="A3400" t="s">
        <v>476</v>
      </c>
      <c r="B3400" t="s">
        <v>477</v>
      </c>
      <c r="C3400">
        <v>122</v>
      </c>
      <c r="D3400">
        <v>20220907</v>
      </c>
      <c r="E3400">
        <f t="shared" si="53"/>
        <v>9</v>
      </c>
      <c r="F3400">
        <v>437100</v>
      </c>
      <c r="G3400" t="s">
        <v>436</v>
      </c>
      <c r="H3400" t="s">
        <v>401</v>
      </c>
      <c r="I3400" t="s">
        <v>402</v>
      </c>
      <c r="J3400" t="s">
        <v>3409</v>
      </c>
      <c r="K3400">
        <v>20220907</v>
      </c>
      <c r="L3400" t="s">
        <v>127</v>
      </c>
      <c r="M3400">
        <v>736.8</v>
      </c>
      <c r="N3400">
        <v>0</v>
      </c>
      <c r="O3400" t="s">
        <v>23</v>
      </c>
      <c r="P3400">
        <v>20221005</v>
      </c>
      <c r="Q3400">
        <v>20220907</v>
      </c>
    </row>
    <row r="3401" spans="1:17" x14ac:dyDescent="0.25">
      <c r="A3401" t="s">
        <v>476</v>
      </c>
      <c r="B3401" t="s">
        <v>477</v>
      </c>
      <c r="C3401">
        <v>122</v>
      </c>
      <c r="D3401">
        <v>20220907</v>
      </c>
      <c r="E3401">
        <f t="shared" si="53"/>
        <v>9</v>
      </c>
      <c r="F3401">
        <v>437100</v>
      </c>
      <c r="G3401" t="s">
        <v>436</v>
      </c>
      <c r="H3401" t="s">
        <v>401</v>
      </c>
      <c r="I3401" t="s">
        <v>402</v>
      </c>
      <c r="J3401" t="s">
        <v>3409</v>
      </c>
      <c r="K3401">
        <v>20220907</v>
      </c>
      <c r="L3401" t="s">
        <v>127</v>
      </c>
      <c r="M3401">
        <v>762.6</v>
      </c>
      <c r="N3401">
        <v>0</v>
      </c>
      <c r="O3401" t="s">
        <v>23</v>
      </c>
      <c r="P3401">
        <v>20221005</v>
      </c>
      <c r="Q3401">
        <v>20220907</v>
      </c>
    </row>
    <row r="3402" spans="1:17" x14ac:dyDescent="0.25">
      <c r="A3402" t="s">
        <v>476</v>
      </c>
      <c r="B3402" t="s">
        <v>477</v>
      </c>
      <c r="C3402">
        <v>122</v>
      </c>
      <c r="D3402">
        <v>20220907</v>
      </c>
      <c r="E3402">
        <f t="shared" si="53"/>
        <v>9</v>
      </c>
      <c r="F3402">
        <v>437100</v>
      </c>
      <c r="G3402" t="s">
        <v>436</v>
      </c>
      <c r="H3402" t="s">
        <v>401</v>
      </c>
      <c r="I3402" t="s">
        <v>402</v>
      </c>
      <c r="J3402" t="s">
        <v>3409</v>
      </c>
      <c r="K3402">
        <v>20220907</v>
      </c>
      <c r="L3402" t="s">
        <v>127</v>
      </c>
      <c r="M3402">
        <v>691.23</v>
      </c>
      <c r="N3402">
        <v>0</v>
      </c>
      <c r="O3402" t="s">
        <v>23</v>
      </c>
      <c r="P3402">
        <v>20221005</v>
      </c>
      <c r="Q3402">
        <v>20220907</v>
      </c>
    </row>
    <row r="3403" spans="1:17" x14ac:dyDescent="0.25">
      <c r="A3403" t="s">
        <v>476</v>
      </c>
      <c r="B3403" t="s">
        <v>477</v>
      </c>
      <c r="C3403">
        <v>122</v>
      </c>
      <c r="D3403">
        <v>20220907</v>
      </c>
      <c r="E3403">
        <f t="shared" si="53"/>
        <v>9</v>
      </c>
      <c r="F3403">
        <v>512000</v>
      </c>
      <c r="G3403" t="s">
        <v>428</v>
      </c>
      <c r="H3403" t="s">
        <v>401</v>
      </c>
      <c r="I3403" t="s">
        <v>402</v>
      </c>
      <c r="J3403" t="s">
        <v>3409</v>
      </c>
      <c r="K3403">
        <v>20220907</v>
      </c>
      <c r="L3403" t="s">
        <v>127</v>
      </c>
      <c r="M3403">
        <v>0</v>
      </c>
      <c r="N3403">
        <v>2858.49</v>
      </c>
      <c r="O3403" t="s">
        <v>19</v>
      </c>
      <c r="P3403" t="s">
        <v>20</v>
      </c>
      <c r="Q3403">
        <v>20220907</v>
      </c>
    </row>
    <row r="3404" spans="1:17" x14ac:dyDescent="0.25">
      <c r="A3404" t="s">
        <v>476</v>
      </c>
      <c r="B3404" t="s">
        <v>477</v>
      </c>
      <c r="C3404">
        <v>122</v>
      </c>
      <c r="D3404">
        <v>20220907</v>
      </c>
      <c r="E3404">
        <f t="shared" si="53"/>
        <v>9</v>
      </c>
      <c r="F3404">
        <v>467100</v>
      </c>
      <c r="G3404" t="s">
        <v>160</v>
      </c>
      <c r="H3404" t="s">
        <v>185</v>
      </c>
      <c r="I3404" t="s">
        <v>186</v>
      </c>
      <c r="J3404" t="s">
        <v>3410</v>
      </c>
      <c r="K3404">
        <v>20220907</v>
      </c>
      <c r="L3404" t="s">
        <v>127</v>
      </c>
      <c r="M3404">
        <v>400</v>
      </c>
      <c r="N3404">
        <v>0</v>
      </c>
      <c r="O3404" t="s">
        <v>23</v>
      </c>
      <c r="P3404">
        <v>20221027</v>
      </c>
      <c r="Q3404">
        <v>20220907</v>
      </c>
    </row>
    <row r="3405" spans="1:17" x14ac:dyDescent="0.25">
      <c r="A3405" t="s">
        <v>476</v>
      </c>
      <c r="B3405" t="s">
        <v>477</v>
      </c>
      <c r="C3405">
        <v>122</v>
      </c>
      <c r="D3405">
        <v>20220907</v>
      </c>
      <c r="E3405">
        <f t="shared" si="53"/>
        <v>9</v>
      </c>
      <c r="F3405">
        <v>512000</v>
      </c>
      <c r="G3405" t="s">
        <v>428</v>
      </c>
      <c r="H3405" t="s">
        <v>401</v>
      </c>
      <c r="I3405" t="s">
        <v>402</v>
      </c>
      <c r="J3405" t="s">
        <v>3410</v>
      </c>
      <c r="K3405">
        <v>20220907</v>
      </c>
      <c r="L3405" t="s">
        <v>127</v>
      </c>
      <c r="M3405">
        <v>0</v>
      </c>
      <c r="N3405">
        <v>400</v>
      </c>
      <c r="O3405" t="s">
        <v>19</v>
      </c>
      <c r="P3405" t="s">
        <v>20</v>
      </c>
      <c r="Q3405">
        <v>20220907</v>
      </c>
    </row>
    <row r="3406" spans="1:17" x14ac:dyDescent="0.25">
      <c r="A3406" t="s">
        <v>476</v>
      </c>
      <c r="B3406" t="s">
        <v>477</v>
      </c>
      <c r="C3406">
        <v>122</v>
      </c>
      <c r="D3406">
        <v>20220912</v>
      </c>
      <c r="E3406">
        <f t="shared" si="53"/>
        <v>9</v>
      </c>
      <c r="F3406">
        <v>401000</v>
      </c>
      <c r="G3406" t="s">
        <v>41</v>
      </c>
      <c r="H3406" t="s">
        <v>3411</v>
      </c>
      <c r="I3406" t="s">
        <v>3412</v>
      </c>
      <c r="J3406" t="s">
        <v>3413</v>
      </c>
      <c r="K3406">
        <v>20220912</v>
      </c>
      <c r="L3406" t="s">
        <v>127</v>
      </c>
      <c r="M3406">
        <v>60.75</v>
      </c>
      <c r="N3406">
        <v>0</v>
      </c>
      <c r="O3406" t="s">
        <v>23</v>
      </c>
      <c r="P3406">
        <v>20221109</v>
      </c>
      <c r="Q3406">
        <v>20220912</v>
      </c>
    </row>
    <row r="3407" spans="1:17" x14ac:dyDescent="0.25">
      <c r="A3407" t="s">
        <v>476</v>
      </c>
      <c r="B3407" t="s">
        <v>477</v>
      </c>
      <c r="C3407">
        <v>122</v>
      </c>
      <c r="D3407">
        <v>20220912</v>
      </c>
      <c r="E3407">
        <f t="shared" si="53"/>
        <v>9</v>
      </c>
      <c r="F3407">
        <v>467100</v>
      </c>
      <c r="G3407" t="s">
        <v>160</v>
      </c>
      <c r="H3407" t="s">
        <v>164</v>
      </c>
      <c r="I3407" t="s">
        <v>165</v>
      </c>
      <c r="J3407" t="s">
        <v>3413</v>
      </c>
      <c r="K3407">
        <v>20220912</v>
      </c>
      <c r="L3407" t="s">
        <v>127</v>
      </c>
      <c r="M3407">
        <v>500</v>
      </c>
      <c r="N3407">
        <v>0</v>
      </c>
      <c r="O3407" t="s">
        <v>23</v>
      </c>
      <c r="P3407">
        <v>20221027</v>
      </c>
      <c r="Q3407">
        <v>20220912</v>
      </c>
    </row>
    <row r="3408" spans="1:17" x14ac:dyDescent="0.25">
      <c r="A3408" t="s">
        <v>476</v>
      </c>
      <c r="B3408" t="s">
        <v>477</v>
      </c>
      <c r="C3408">
        <v>122</v>
      </c>
      <c r="D3408">
        <v>20220912</v>
      </c>
      <c r="E3408">
        <f t="shared" si="53"/>
        <v>9</v>
      </c>
      <c r="F3408">
        <v>512000</v>
      </c>
      <c r="G3408" t="s">
        <v>428</v>
      </c>
      <c r="H3408" t="s">
        <v>401</v>
      </c>
      <c r="I3408" t="s">
        <v>402</v>
      </c>
      <c r="J3408" t="s">
        <v>3413</v>
      </c>
      <c r="K3408">
        <v>20220912</v>
      </c>
      <c r="L3408" t="s">
        <v>127</v>
      </c>
      <c r="M3408">
        <v>0</v>
      </c>
      <c r="N3408">
        <v>560.75</v>
      </c>
      <c r="O3408" t="s">
        <v>19</v>
      </c>
      <c r="P3408" t="s">
        <v>20</v>
      </c>
      <c r="Q3408">
        <v>20220912</v>
      </c>
    </row>
    <row r="3409" spans="1:17" x14ac:dyDescent="0.25">
      <c r="A3409" t="s">
        <v>476</v>
      </c>
      <c r="B3409" t="s">
        <v>477</v>
      </c>
      <c r="C3409">
        <v>122</v>
      </c>
      <c r="D3409">
        <v>20220912</v>
      </c>
      <c r="E3409">
        <f t="shared" si="53"/>
        <v>9</v>
      </c>
      <c r="F3409">
        <v>437000</v>
      </c>
      <c r="G3409" t="s">
        <v>430</v>
      </c>
      <c r="H3409" t="s">
        <v>401</v>
      </c>
      <c r="I3409" t="s">
        <v>402</v>
      </c>
      <c r="J3409" t="s">
        <v>3414</v>
      </c>
      <c r="K3409">
        <v>20220912</v>
      </c>
      <c r="L3409" t="s">
        <v>497</v>
      </c>
      <c r="M3409">
        <v>1643.72</v>
      </c>
      <c r="N3409">
        <v>0</v>
      </c>
      <c r="O3409" t="s">
        <v>19</v>
      </c>
      <c r="P3409" t="s">
        <v>20</v>
      </c>
      <c r="Q3409">
        <v>20220912</v>
      </c>
    </row>
    <row r="3410" spans="1:17" x14ac:dyDescent="0.25">
      <c r="A3410" t="s">
        <v>476</v>
      </c>
      <c r="B3410" t="s">
        <v>477</v>
      </c>
      <c r="C3410">
        <v>122</v>
      </c>
      <c r="D3410">
        <v>20220912</v>
      </c>
      <c r="E3410">
        <f t="shared" si="53"/>
        <v>9</v>
      </c>
      <c r="F3410">
        <v>512000</v>
      </c>
      <c r="G3410" t="s">
        <v>428</v>
      </c>
      <c r="H3410" t="s">
        <v>401</v>
      </c>
      <c r="I3410" t="s">
        <v>402</v>
      </c>
      <c r="J3410" t="s">
        <v>3414</v>
      </c>
      <c r="K3410">
        <v>20220912</v>
      </c>
      <c r="L3410" t="s">
        <v>497</v>
      </c>
      <c r="M3410">
        <v>0</v>
      </c>
      <c r="N3410">
        <v>1643.72</v>
      </c>
      <c r="O3410" t="s">
        <v>19</v>
      </c>
      <c r="P3410" t="s">
        <v>20</v>
      </c>
      <c r="Q3410">
        <v>20220912</v>
      </c>
    </row>
    <row r="3411" spans="1:17" x14ac:dyDescent="0.25">
      <c r="A3411" t="s">
        <v>476</v>
      </c>
      <c r="B3411" t="s">
        <v>477</v>
      </c>
      <c r="C3411">
        <v>122</v>
      </c>
      <c r="D3411">
        <v>20220914</v>
      </c>
      <c r="E3411">
        <f t="shared" si="53"/>
        <v>9</v>
      </c>
      <c r="F3411">
        <v>627000</v>
      </c>
      <c r="G3411" t="s">
        <v>480</v>
      </c>
      <c r="H3411" t="s">
        <v>401</v>
      </c>
      <c r="I3411" t="s">
        <v>402</v>
      </c>
      <c r="J3411" t="s">
        <v>3415</v>
      </c>
      <c r="K3411">
        <v>20220914</v>
      </c>
      <c r="L3411" t="s">
        <v>3416</v>
      </c>
      <c r="M3411">
        <v>10.5</v>
      </c>
      <c r="N3411">
        <v>0</v>
      </c>
      <c r="O3411" t="s">
        <v>19</v>
      </c>
      <c r="P3411" t="s">
        <v>20</v>
      </c>
      <c r="Q3411">
        <v>20220914</v>
      </c>
    </row>
    <row r="3412" spans="1:17" x14ac:dyDescent="0.25">
      <c r="A3412" t="s">
        <v>476</v>
      </c>
      <c r="B3412" t="s">
        <v>477</v>
      </c>
      <c r="C3412">
        <v>122</v>
      </c>
      <c r="D3412">
        <v>20220914</v>
      </c>
      <c r="E3412">
        <f t="shared" si="53"/>
        <v>9</v>
      </c>
      <c r="F3412">
        <v>512000</v>
      </c>
      <c r="G3412" t="s">
        <v>428</v>
      </c>
      <c r="H3412" t="s">
        <v>401</v>
      </c>
      <c r="I3412" t="s">
        <v>402</v>
      </c>
      <c r="J3412" t="s">
        <v>3415</v>
      </c>
      <c r="K3412">
        <v>20220914</v>
      </c>
      <c r="L3412" t="s">
        <v>3416</v>
      </c>
      <c r="M3412">
        <v>0</v>
      </c>
      <c r="N3412">
        <v>10.5</v>
      </c>
      <c r="O3412" t="s">
        <v>19</v>
      </c>
      <c r="P3412" t="s">
        <v>20</v>
      </c>
      <c r="Q3412">
        <v>20220914</v>
      </c>
    </row>
    <row r="3413" spans="1:17" x14ac:dyDescent="0.25">
      <c r="A3413" t="s">
        <v>476</v>
      </c>
      <c r="B3413" t="s">
        <v>477</v>
      </c>
      <c r="C3413">
        <v>122</v>
      </c>
      <c r="D3413">
        <v>20220914</v>
      </c>
      <c r="E3413">
        <f t="shared" si="53"/>
        <v>9</v>
      </c>
      <c r="F3413">
        <v>468200</v>
      </c>
      <c r="G3413" t="s">
        <v>421</v>
      </c>
      <c r="H3413" t="s">
        <v>401</v>
      </c>
      <c r="I3413" t="s">
        <v>402</v>
      </c>
      <c r="J3413" t="s">
        <v>3417</v>
      </c>
      <c r="K3413">
        <v>20220914</v>
      </c>
      <c r="L3413" t="s">
        <v>422</v>
      </c>
      <c r="M3413">
        <v>0</v>
      </c>
      <c r="N3413">
        <v>913.55</v>
      </c>
      <c r="O3413" t="s">
        <v>23</v>
      </c>
      <c r="P3413">
        <v>20230214</v>
      </c>
      <c r="Q3413">
        <v>20220914</v>
      </c>
    </row>
    <row r="3414" spans="1:17" x14ac:dyDescent="0.25">
      <c r="A3414" t="s">
        <v>476</v>
      </c>
      <c r="B3414" t="s">
        <v>477</v>
      </c>
      <c r="C3414">
        <v>122</v>
      </c>
      <c r="D3414">
        <v>20220914</v>
      </c>
      <c r="E3414">
        <f t="shared" si="53"/>
        <v>9</v>
      </c>
      <c r="F3414">
        <v>512000</v>
      </c>
      <c r="G3414" t="s">
        <v>428</v>
      </c>
      <c r="H3414" t="s">
        <v>401</v>
      </c>
      <c r="I3414" t="s">
        <v>402</v>
      </c>
      <c r="J3414" t="s">
        <v>3417</v>
      </c>
      <c r="K3414">
        <v>20220914</v>
      </c>
      <c r="L3414" t="s">
        <v>422</v>
      </c>
      <c r="M3414">
        <v>913.55</v>
      </c>
      <c r="N3414">
        <v>0</v>
      </c>
      <c r="O3414" t="s">
        <v>19</v>
      </c>
      <c r="P3414" t="s">
        <v>20</v>
      </c>
      <c r="Q3414">
        <v>20220914</v>
      </c>
    </row>
    <row r="3415" spans="1:17" x14ac:dyDescent="0.25">
      <c r="A3415" t="s">
        <v>476</v>
      </c>
      <c r="B3415" t="s">
        <v>477</v>
      </c>
      <c r="C3415">
        <v>122</v>
      </c>
      <c r="D3415">
        <v>20220915</v>
      </c>
      <c r="E3415">
        <f t="shared" si="53"/>
        <v>9</v>
      </c>
      <c r="F3415">
        <v>645100</v>
      </c>
      <c r="G3415" t="s">
        <v>813</v>
      </c>
      <c r="H3415" t="s">
        <v>401</v>
      </c>
      <c r="I3415" t="s">
        <v>402</v>
      </c>
      <c r="J3415" t="s">
        <v>3418</v>
      </c>
      <c r="K3415">
        <v>20220915</v>
      </c>
      <c r="L3415" t="s">
        <v>3419</v>
      </c>
      <c r="M3415">
        <v>188</v>
      </c>
      <c r="N3415">
        <v>0</v>
      </c>
      <c r="O3415" t="s">
        <v>19</v>
      </c>
      <c r="P3415" t="s">
        <v>20</v>
      </c>
      <c r="Q3415">
        <v>20220915</v>
      </c>
    </row>
    <row r="3416" spans="1:17" x14ac:dyDescent="0.25">
      <c r="A3416" t="s">
        <v>476</v>
      </c>
      <c r="B3416" t="s">
        <v>477</v>
      </c>
      <c r="C3416">
        <v>122</v>
      </c>
      <c r="D3416">
        <v>20220915</v>
      </c>
      <c r="E3416">
        <f t="shared" si="53"/>
        <v>9</v>
      </c>
      <c r="F3416">
        <v>512000</v>
      </c>
      <c r="G3416" t="s">
        <v>428</v>
      </c>
      <c r="H3416" t="s">
        <v>401</v>
      </c>
      <c r="I3416" t="s">
        <v>402</v>
      </c>
      <c r="J3416" t="s">
        <v>3418</v>
      </c>
      <c r="K3416">
        <v>20220915</v>
      </c>
      <c r="L3416" t="s">
        <v>409</v>
      </c>
      <c r="M3416">
        <v>0</v>
      </c>
      <c r="N3416">
        <v>188</v>
      </c>
      <c r="O3416" t="s">
        <v>19</v>
      </c>
      <c r="P3416" t="s">
        <v>20</v>
      </c>
      <c r="Q3416">
        <v>20220915</v>
      </c>
    </row>
    <row r="3417" spans="1:17" x14ac:dyDescent="0.25">
      <c r="A3417" t="s">
        <v>476</v>
      </c>
      <c r="B3417" t="s">
        <v>477</v>
      </c>
      <c r="C3417">
        <v>122</v>
      </c>
      <c r="D3417">
        <v>20220916</v>
      </c>
      <c r="E3417">
        <f t="shared" si="53"/>
        <v>9</v>
      </c>
      <c r="F3417">
        <v>580000</v>
      </c>
      <c r="G3417" t="s">
        <v>532</v>
      </c>
      <c r="H3417" t="s">
        <v>401</v>
      </c>
      <c r="I3417" t="s">
        <v>402</v>
      </c>
      <c r="J3417" t="s">
        <v>3420</v>
      </c>
      <c r="K3417">
        <v>20220916</v>
      </c>
      <c r="L3417" t="s">
        <v>3421</v>
      </c>
      <c r="M3417">
        <v>0</v>
      </c>
      <c r="N3417">
        <v>50000</v>
      </c>
      <c r="O3417" t="s">
        <v>23</v>
      </c>
      <c r="P3417">
        <v>20230131</v>
      </c>
      <c r="Q3417">
        <v>20220916</v>
      </c>
    </row>
    <row r="3418" spans="1:17" x14ac:dyDescent="0.25">
      <c r="A3418" t="s">
        <v>476</v>
      </c>
      <c r="B3418" t="s">
        <v>477</v>
      </c>
      <c r="C3418">
        <v>122</v>
      </c>
      <c r="D3418">
        <v>20220916</v>
      </c>
      <c r="E3418">
        <f t="shared" si="53"/>
        <v>9</v>
      </c>
      <c r="F3418">
        <v>512000</v>
      </c>
      <c r="G3418" t="s">
        <v>428</v>
      </c>
      <c r="H3418" t="s">
        <v>401</v>
      </c>
      <c r="I3418" t="s">
        <v>402</v>
      </c>
      <c r="J3418" t="s">
        <v>3420</v>
      </c>
      <c r="K3418">
        <v>20220916</v>
      </c>
      <c r="L3418" t="s">
        <v>3421</v>
      </c>
      <c r="M3418">
        <v>50000</v>
      </c>
      <c r="N3418">
        <v>0</v>
      </c>
      <c r="O3418" t="s">
        <v>19</v>
      </c>
      <c r="P3418" t="s">
        <v>20</v>
      </c>
      <c r="Q3418">
        <v>20220916</v>
      </c>
    </row>
    <row r="3419" spans="1:17" x14ac:dyDescent="0.25">
      <c r="A3419" t="s">
        <v>476</v>
      </c>
      <c r="B3419" t="s">
        <v>477</v>
      </c>
      <c r="C3419">
        <v>122</v>
      </c>
      <c r="D3419">
        <v>20220916</v>
      </c>
      <c r="E3419">
        <f t="shared" si="53"/>
        <v>9</v>
      </c>
      <c r="F3419">
        <v>447000</v>
      </c>
      <c r="G3419" t="s">
        <v>419</v>
      </c>
      <c r="H3419" t="s">
        <v>401</v>
      </c>
      <c r="I3419" t="s">
        <v>402</v>
      </c>
      <c r="J3419" t="s">
        <v>3422</v>
      </c>
      <c r="K3419">
        <v>20220916</v>
      </c>
      <c r="L3419" t="s">
        <v>898</v>
      </c>
      <c r="M3419">
        <v>5636</v>
      </c>
      <c r="N3419">
        <v>0</v>
      </c>
      <c r="O3419" t="s">
        <v>23</v>
      </c>
      <c r="P3419">
        <v>20230120</v>
      </c>
      <c r="Q3419">
        <v>20220916</v>
      </c>
    </row>
    <row r="3420" spans="1:17" x14ac:dyDescent="0.25">
      <c r="A3420" t="s">
        <v>476</v>
      </c>
      <c r="B3420" t="s">
        <v>477</v>
      </c>
      <c r="C3420">
        <v>122</v>
      </c>
      <c r="D3420">
        <v>20220916</v>
      </c>
      <c r="E3420">
        <f t="shared" si="53"/>
        <v>9</v>
      </c>
      <c r="F3420">
        <v>512000</v>
      </c>
      <c r="G3420" t="s">
        <v>428</v>
      </c>
      <c r="H3420" t="s">
        <v>401</v>
      </c>
      <c r="I3420" t="s">
        <v>402</v>
      </c>
      <c r="J3420" t="s">
        <v>3422</v>
      </c>
      <c r="K3420">
        <v>20220916</v>
      </c>
      <c r="L3420" t="s">
        <v>898</v>
      </c>
      <c r="M3420">
        <v>0</v>
      </c>
      <c r="N3420">
        <v>5636</v>
      </c>
      <c r="O3420" t="s">
        <v>19</v>
      </c>
      <c r="P3420" t="s">
        <v>20</v>
      </c>
      <c r="Q3420">
        <v>20220916</v>
      </c>
    </row>
    <row r="3421" spans="1:17" x14ac:dyDescent="0.25">
      <c r="A3421" t="s">
        <v>476</v>
      </c>
      <c r="B3421" t="s">
        <v>477</v>
      </c>
      <c r="C3421">
        <v>122</v>
      </c>
      <c r="D3421">
        <v>20220916</v>
      </c>
      <c r="E3421">
        <f t="shared" si="53"/>
        <v>9</v>
      </c>
      <c r="F3421">
        <v>431000</v>
      </c>
      <c r="G3421" t="s">
        <v>408</v>
      </c>
      <c r="H3421" t="s">
        <v>401</v>
      </c>
      <c r="I3421" t="s">
        <v>402</v>
      </c>
      <c r="J3421" t="s">
        <v>3423</v>
      </c>
      <c r="K3421">
        <v>20220916</v>
      </c>
      <c r="L3421" t="s">
        <v>409</v>
      </c>
      <c r="M3421">
        <v>32802</v>
      </c>
      <c r="N3421">
        <v>0</v>
      </c>
      <c r="O3421" t="s">
        <v>23</v>
      </c>
      <c r="P3421">
        <v>20230221</v>
      </c>
      <c r="Q3421">
        <v>20220916</v>
      </c>
    </row>
    <row r="3422" spans="1:17" x14ac:dyDescent="0.25">
      <c r="A3422" t="s">
        <v>476</v>
      </c>
      <c r="B3422" t="s">
        <v>477</v>
      </c>
      <c r="C3422">
        <v>122</v>
      </c>
      <c r="D3422">
        <v>20220916</v>
      </c>
      <c r="E3422">
        <f t="shared" si="53"/>
        <v>9</v>
      </c>
      <c r="F3422">
        <v>512000</v>
      </c>
      <c r="G3422" t="s">
        <v>428</v>
      </c>
      <c r="H3422" t="s">
        <v>401</v>
      </c>
      <c r="I3422" t="s">
        <v>402</v>
      </c>
      <c r="J3422" t="s">
        <v>3423</v>
      </c>
      <c r="K3422">
        <v>20220916</v>
      </c>
      <c r="L3422" t="s">
        <v>409</v>
      </c>
      <c r="M3422">
        <v>0</v>
      </c>
      <c r="N3422">
        <v>32802</v>
      </c>
      <c r="O3422" t="s">
        <v>19</v>
      </c>
      <c r="P3422" t="s">
        <v>20</v>
      </c>
      <c r="Q3422">
        <v>20220916</v>
      </c>
    </row>
    <row r="3423" spans="1:17" x14ac:dyDescent="0.25">
      <c r="A3423" t="s">
        <v>476</v>
      </c>
      <c r="B3423" t="s">
        <v>477</v>
      </c>
      <c r="C3423">
        <v>122</v>
      </c>
      <c r="D3423">
        <v>20220921</v>
      </c>
      <c r="E3423">
        <f t="shared" si="53"/>
        <v>9</v>
      </c>
      <c r="F3423">
        <v>401000</v>
      </c>
      <c r="G3423" t="s">
        <v>41</v>
      </c>
      <c r="H3423" t="s">
        <v>46</v>
      </c>
      <c r="I3423" t="s">
        <v>47</v>
      </c>
      <c r="J3423" t="s">
        <v>3424</v>
      </c>
      <c r="K3423">
        <v>20220921</v>
      </c>
      <c r="L3423" t="s">
        <v>163</v>
      </c>
      <c r="M3423">
        <v>7412</v>
      </c>
      <c r="N3423">
        <v>0</v>
      </c>
      <c r="O3423" t="s">
        <v>23</v>
      </c>
      <c r="P3423">
        <v>20220929</v>
      </c>
      <c r="Q3423">
        <v>20220921</v>
      </c>
    </row>
    <row r="3424" spans="1:17" x14ac:dyDescent="0.25">
      <c r="A3424" t="s">
        <v>476</v>
      </c>
      <c r="B3424" t="s">
        <v>477</v>
      </c>
      <c r="C3424">
        <v>122</v>
      </c>
      <c r="D3424">
        <v>20220921</v>
      </c>
      <c r="E3424">
        <f t="shared" si="53"/>
        <v>9</v>
      </c>
      <c r="F3424">
        <v>401000</v>
      </c>
      <c r="G3424" t="s">
        <v>41</v>
      </c>
      <c r="H3424" t="s">
        <v>56</v>
      </c>
      <c r="I3424" t="s">
        <v>57</v>
      </c>
      <c r="J3424" t="s">
        <v>3424</v>
      </c>
      <c r="K3424">
        <v>20220921</v>
      </c>
      <c r="L3424" t="s">
        <v>163</v>
      </c>
      <c r="M3424">
        <v>924.04</v>
      </c>
      <c r="N3424">
        <v>0</v>
      </c>
      <c r="O3424" t="s">
        <v>23</v>
      </c>
      <c r="P3424">
        <v>20220929</v>
      </c>
      <c r="Q3424">
        <v>20220921</v>
      </c>
    </row>
    <row r="3425" spans="1:17" x14ac:dyDescent="0.25">
      <c r="A3425" t="s">
        <v>476</v>
      </c>
      <c r="B3425" t="s">
        <v>477</v>
      </c>
      <c r="C3425">
        <v>122</v>
      </c>
      <c r="D3425">
        <v>20220921</v>
      </c>
      <c r="E3425">
        <f t="shared" si="53"/>
        <v>9</v>
      </c>
      <c r="F3425">
        <v>401000</v>
      </c>
      <c r="G3425" t="s">
        <v>41</v>
      </c>
      <c r="H3425" t="s">
        <v>71</v>
      </c>
      <c r="I3425" t="s">
        <v>72</v>
      </c>
      <c r="J3425" t="s">
        <v>3424</v>
      </c>
      <c r="K3425">
        <v>20220921</v>
      </c>
      <c r="L3425" t="s">
        <v>163</v>
      </c>
      <c r="M3425">
        <v>373.1</v>
      </c>
      <c r="N3425">
        <v>0</v>
      </c>
      <c r="O3425" t="s">
        <v>23</v>
      </c>
      <c r="P3425">
        <v>20220929</v>
      </c>
      <c r="Q3425">
        <v>20220921</v>
      </c>
    </row>
    <row r="3426" spans="1:17" x14ac:dyDescent="0.25">
      <c r="A3426" t="s">
        <v>476</v>
      </c>
      <c r="B3426" t="s">
        <v>477</v>
      </c>
      <c r="C3426">
        <v>122</v>
      </c>
      <c r="D3426">
        <v>20220921</v>
      </c>
      <c r="E3426">
        <f t="shared" si="53"/>
        <v>9</v>
      </c>
      <c r="F3426">
        <v>401000</v>
      </c>
      <c r="G3426" t="s">
        <v>41</v>
      </c>
      <c r="H3426" t="s">
        <v>99</v>
      </c>
      <c r="I3426" t="s">
        <v>100</v>
      </c>
      <c r="J3426" t="s">
        <v>3424</v>
      </c>
      <c r="K3426">
        <v>20220921</v>
      </c>
      <c r="L3426" t="s">
        <v>163</v>
      </c>
      <c r="M3426">
        <v>917.1</v>
      </c>
      <c r="N3426">
        <v>0</v>
      </c>
      <c r="O3426" t="s">
        <v>23</v>
      </c>
      <c r="P3426">
        <v>20220929</v>
      </c>
      <c r="Q3426">
        <v>20220921</v>
      </c>
    </row>
    <row r="3427" spans="1:17" x14ac:dyDescent="0.25">
      <c r="A3427" t="s">
        <v>476</v>
      </c>
      <c r="B3427" t="s">
        <v>477</v>
      </c>
      <c r="C3427">
        <v>122</v>
      </c>
      <c r="D3427">
        <v>20220921</v>
      </c>
      <c r="E3427">
        <f t="shared" si="53"/>
        <v>9</v>
      </c>
      <c r="F3427">
        <v>401000</v>
      </c>
      <c r="G3427" t="s">
        <v>41</v>
      </c>
      <c r="H3427" t="s">
        <v>2442</v>
      </c>
      <c r="I3427" t="s">
        <v>2443</v>
      </c>
      <c r="J3427" t="s">
        <v>3424</v>
      </c>
      <c r="K3427">
        <v>20220921</v>
      </c>
      <c r="L3427" t="s">
        <v>163</v>
      </c>
      <c r="M3427">
        <v>417.7</v>
      </c>
      <c r="N3427">
        <v>0</v>
      </c>
      <c r="O3427" t="s">
        <v>23</v>
      </c>
      <c r="P3427">
        <v>20220929</v>
      </c>
      <c r="Q3427">
        <v>20220921</v>
      </c>
    </row>
    <row r="3428" spans="1:17" x14ac:dyDescent="0.25">
      <c r="A3428" t="s">
        <v>476</v>
      </c>
      <c r="B3428" t="s">
        <v>477</v>
      </c>
      <c r="C3428">
        <v>122</v>
      </c>
      <c r="D3428">
        <v>20220921</v>
      </c>
      <c r="E3428">
        <f t="shared" si="53"/>
        <v>9</v>
      </c>
      <c r="F3428">
        <v>467100</v>
      </c>
      <c r="G3428" t="s">
        <v>160</v>
      </c>
      <c r="H3428" t="s">
        <v>1201</v>
      </c>
      <c r="I3428" t="s">
        <v>1202</v>
      </c>
      <c r="J3428" t="s">
        <v>3424</v>
      </c>
      <c r="K3428">
        <v>20220921</v>
      </c>
      <c r="L3428" t="s">
        <v>163</v>
      </c>
      <c r="M3428">
        <v>105.05</v>
      </c>
      <c r="N3428">
        <v>0</v>
      </c>
      <c r="O3428" t="s">
        <v>23</v>
      </c>
      <c r="P3428">
        <v>20220929</v>
      </c>
      <c r="Q3428">
        <v>20220921</v>
      </c>
    </row>
    <row r="3429" spans="1:17" x14ac:dyDescent="0.25">
      <c r="A3429" t="s">
        <v>476</v>
      </c>
      <c r="B3429" t="s">
        <v>477</v>
      </c>
      <c r="C3429">
        <v>122</v>
      </c>
      <c r="D3429">
        <v>20220921</v>
      </c>
      <c r="E3429">
        <f t="shared" si="53"/>
        <v>9</v>
      </c>
      <c r="F3429">
        <v>401000</v>
      </c>
      <c r="G3429" t="s">
        <v>41</v>
      </c>
      <c r="H3429" t="s">
        <v>1649</v>
      </c>
      <c r="I3429" t="s">
        <v>1650</v>
      </c>
      <c r="J3429" t="s">
        <v>3424</v>
      </c>
      <c r="K3429">
        <v>20220921</v>
      </c>
      <c r="L3429" t="s">
        <v>163</v>
      </c>
      <c r="M3429">
        <v>428.78</v>
      </c>
      <c r="N3429">
        <v>0</v>
      </c>
      <c r="O3429" t="s">
        <v>23</v>
      </c>
      <c r="P3429">
        <v>20220929</v>
      </c>
      <c r="Q3429">
        <v>20220921</v>
      </c>
    </row>
    <row r="3430" spans="1:17" x14ac:dyDescent="0.25">
      <c r="A3430" t="s">
        <v>476</v>
      </c>
      <c r="B3430" t="s">
        <v>477</v>
      </c>
      <c r="C3430">
        <v>122</v>
      </c>
      <c r="D3430">
        <v>20220921</v>
      </c>
      <c r="E3430">
        <f t="shared" si="53"/>
        <v>9</v>
      </c>
      <c r="F3430">
        <v>512000</v>
      </c>
      <c r="G3430" t="s">
        <v>428</v>
      </c>
      <c r="H3430" t="s">
        <v>401</v>
      </c>
      <c r="I3430" t="s">
        <v>402</v>
      </c>
      <c r="J3430" t="s">
        <v>3424</v>
      </c>
      <c r="K3430">
        <v>20220921</v>
      </c>
      <c r="L3430" t="s">
        <v>163</v>
      </c>
      <c r="M3430">
        <v>0</v>
      </c>
      <c r="N3430">
        <v>10577.77</v>
      </c>
      <c r="O3430" t="s">
        <v>19</v>
      </c>
      <c r="P3430" t="s">
        <v>20</v>
      </c>
      <c r="Q3430">
        <v>20220921</v>
      </c>
    </row>
    <row r="3431" spans="1:17" x14ac:dyDescent="0.25">
      <c r="A3431" t="s">
        <v>476</v>
      </c>
      <c r="B3431" t="s">
        <v>477</v>
      </c>
      <c r="C3431">
        <v>122</v>
      </c>
      <c r="D3431">
        <v>20220921</v>
      </c>
      <c r="E3431">
        <f t="shared" si="53"/>
        <v>9</v>
      </c>
      <c r="F3431">
        <v>467100</v>
      </c>
      <c r="G3431" t="s">
        <v>160</v>
      </c>
      <c r="H3431" t="s">
        <v>3425</v>
      </c>
      <c r="I3431" t="s">
        <v>3426</v>
      </c>
      <c r="J3431" t="s">
        <v>3427</v>
      </c>
      <c r="K3431">
        <v>20220921</v>
      </c>
      <c r="L3431" t="s">
        <v>127</v>
      </c>
      <c r="M3431">
        <v>1200</v>
      </c>
      <c r="N3431">
        <v>0</v>
      </c>
      <c r="O3431" t="s">
        <v>23</v>
      </c>
      <c r="P3431">
        <v>20221027</v>
      </c>
      <c r="Q3431">
        <v>20220921</v>
      </c>
    </row>
    <row r="3432" spans="1:17" x14ac:dyDescent="0.25">
      <c r="A3432" t="s">
        <v>476</v>
      </c>
      <c r="B3432" t="s">
        <v>477</v>
      </c>
      <c r="C3432">
        <v>122</v>
      </c>
      <c r="D3432">
        <v>20220921</v>
      </c>
      <c r="E3432">
        <f t="shared" si="53"/>
        <v>9</v>
      </c>
      <c r="F3432">
        <v>467100</v>
      </c>
      <c r="G3432" t="s">
        <v>160</v>
      </c>
      <c r="H3432" t="s">
        <v>316</v>
      </c>
      <c r="I3432" t="s">
        <v>317</v>
      </c>
      <c r="J3432" t="s">
        <v>3427</v>
      </c>
      <c r="K3432">
        <v>20220921</v>
      </c>
      <c r="L3432" t="s">
        <v>127</v>
      </c>
      <c r="M3432">
        <v>180</v>
      </c>
      <c r="N3432">
        <v>0</v>
      </c>
      <c r="O3432" t="s">
        <v>23</v>
      </c>
      <c r="P3432">
        <v>20221027</v>
      </c>
      <c r="Q3432">
        <v>20220921</v>
      </c>
    </row>
    <row r="3433" spans="1:17" x14ac:dyDescent="0.25">
      <c r="A3433" t="s">
        <v>476</v>
      </c>
      <c r="B3433" t="s">
        <v>477</v>
      </c>
      <c r="C3433">
        <v>122</v>
      </c>
      <c r="D3433">
        <v>20220921</v>
      </c>
      <c r="E3433">
        <f t="shared" si="53"/>
        <v>9</v>
      </c>
      <c r="F3433">
        <v>401000</v>
      </c>
      <c r="G3433" t="s">
        <v>41</v>
      </c>
      <c r="H3433" t="s">
        <v>2049</v>
      </c>
      <c r="I3433" t="s">
        <v>2050</v>
      </c>
      <c r="J3433" t="s">
        <v>3427</v>
      </c>
      <c r="K3433">
        <v>20220921</v>
      </c>
      <c r="L3433" t="s">
        <v>127</v>
      </c>
      <c r="M3433">
        <v>374.25</v>
      </c>
      <c r="N3433">
        <v>0</v>
      </c>
      <c r="O3433" t="s">
        <v>23</v>
      </c>
      <c r="P3433">
        <v>20221109</v>
      </c>
      <c r="Q3433">
        <v>20220921</v>
      </c>
    </row>
    <row r="3434" spans="1:17" x14ac:dyDescent="0.25">
      <c r="A3434" t="s">
        <v>476</v>
      </c>
      <c r="B3434" t="s">
        <v>477</v>
      </c>
      <c r="C3434">
        <v>122</v>
      </c>
      <c r="D3434">
        <v>20220921</v>
      </c>
      <c r="E3434">
        <f t="shared" si="53"/>
        <v>9</v>
      </c>
      <c r="F3434">
        <v>512000</v>
      </c>
      <c r="G3434" t="s">
        <v>428</v>
      </c>
      <c r="H3434" t="s">
        <v>401</v>
      </c>
      <c r="I3434" t="s">
        <v>402</v>
      </c>
      <c r="J3434" t="s">
        <v>3427</v>
      </c>
      <c r="K3434">
        <v>20220921</v>
      </c>
      <c r="L3434" t="s">
        <v>127</v>
      </c>
      <c r="M3434">
        <v>0</v>
      </c>
      <c r="N3434">
        <v>1754.25</v>
      </c>
      <c r="O3434" t="s">
        <v>19</v>
      </c>
      <c r="P3434" t="s">
        <v>20</v>
      </c>
      <c r="Q3434">
        <v>20220921</v>
      </c>
    </row>
    <row r="3435" spans="1:17" x14ac:dyDescent="0.25">
      <c r="A3435" t="s">
        <v>476</v>
      </c>
      <c r="B3435" t="s">
        <v>477</v>
      </c>
      <c r="C3435">
        <v>122</v>
      </c>
      <c r="D3435">
        <v>20220921</v>
      </c>
      <c r="E3435">
        <f t="shared" si="53"/>
        <v>9</v>
      </c>
      <c r="F3435">
        <v>442100</v>
      </c>
      <c r="G3435" t="s">
        <v>435</v>
      </c>
      <c r="H3435" t="s">
        <v>401</v>
      </c>
      <c r="I3435" t="s">
        <v>402</v>
      </c>
      <c r="J3435" t="s">
        <v>3428</v>
      </c>
      <c r="K3435">
        <v>20220921</v>
      </c>
      <c r="L3435" t="s">
        <v>528</v>
      </c>
      <c r="M3435">
        <v>1407</v>
      </c>
      <c r="N3435">
        <v>0</v>
      </c>
      <c r="O3435" t="s">
        <v>23</v>
      </c>
      <c r="P3435">
        <v>20230117</v>
      </c>
      <c r="Q3435">
        <v>20220921</v>
      </c>
    </row>
    <row r="3436" spans="1:17" x14ac:dyDescent="0.25">
      <c r="A3436" t="s">
        <v>476</v>
      </c>
      <c r="B3436" t="s">
        <v>477</v>
      </c>
      <c r="C3436">
        <v>122</v>
      </c>
      <c r="D3436">
        <v>20220921</v>
      </c>
      <c r="E3436">
        <f t="shared" si="53"/>
        <v>9</v>
      </c>
      <c r="F3436">
        <v>512000</v>
      </c>
      <c r="G3436" t="s">
        <v>428</v>
      </c>
      <c r="H3436" t="s">
        <v>401</v>
      </c>
      <c r="I3436" t="s">
        <v>402</v>
      </c>
      <c r="J3436" t="s">
        <v>3428</v>
      </c>
      <c r="K3436">
        <v>20220921</v>
      </c>
      <c r="L3436" t="s">
        <v>528</v>
      </c>
      <c r="M3436">
        <v>0</v>
      </c>
      <c r="N3436">
        <v>1407</v>
      </c>
      <c r="O3436" t="s">
        <v>19</v>
      </c>
      <c r="P3436" t="s">
        <v>20</v>
      </c>
      <c r="Q3436">
        <v>20220921</v>
      </c>
    </row>
    <row r="3437" spans="1:17" x14ac:dyDescent="0.25">
      <c r="A3437" t="s">
        <v>476</v>
      </c>
      <c r="B3437" t="s">
        <v>477</v>
      </c>
      <c r="C3437">
        <v>122</v>
      </c>
      <c r="D3437">
        <v>20220921</v>
      </c>
      <c r="E3437">
        <f t="shared" si="53"/>
        <v>9</v>
      </c>
      <c r="F3437">
        <v>791100</v>
      </c>
      <c r="G3437" t="s">
        <v>806</v>
      </c>
      <c r="H3437" t="s">
        <v>401</v>
      </c>
      <c r="I3437" t="s">
        <v>402</v>
      </c>
      <c r="J3437" t="s">
        <v>3429</v>
      </c>
      <c r="K3437">
        <v>20220921</v>
      </c>
      <c r="L3437" t="s">
        <v>3271</v>
      </c>
      <c r="M3437">
        <v>0</v>
      </c>
      <c r="N3437">
        <v>6270</v>
      </c>
      <c r="O3437" t="s">
        <v>19</v>
      </c>
      <c r="P3437" t="s">
        <v>20</v>
      </c>
      <c r="Q3437">
        <v>20220921</v>
      </c>
    </row>
    <row r="3438" spans="1:17" x14ac:dyDescent="0.25">
      <c r="A3438" t="s">
        <v>476</v>
      </c>
      <c r="B3438" t="s">
        <v>477</v>
      </c>
      <c r="C3438">
        <v>122</v>
      </c>
      <c r="D3438">
        <v>20220921</v>
      </c>
      <c r="E3438">
        <f t="shared" si="53"/>
        <v>9</v>
      </c>
      <c r="F3438">
        <v>512000</v>
      </c>
      <c r="G3438" t="s">
        <v>428</v>
      </c>
      <c r="H3438" t="s">
        <v>401</v>
      </c>
      <c r="I3438" t="s">
        <v>402</v>
      </c>
      <c r="J3438" t="s">
        <v>3429</v>
      </c>
      <c r="K3438">
        <v>20220921</v>
      </c>
      <c r="L3438" t="s">
        <v>3271</v>
      </c>
      <c r="M3438">
        <v>6270</v>
      </c>
      <c r="N3438">
        <v>0</v>
      </c>
      <c r="O3438" t="s">
        <v>19</v>
      </c>
      <c r="P3438" t="s">
        <v>20</v>
      </c>
      <c r="Q3438">
        <v>20220921</v>
      </c>
    </row>
    <row r="3439" spans="1:17" x14ac:dyDescent="0.25">
      <c r="A3439" t="s">
        <v>476</v>
      </c>
      <c r="B3439" t="s">
        <v>477</v>
      </c>
      <c r="C3439">
        <v>122</v>
      </c>
      <c r="D3439">
        <v>20220921</v>
      </c>
      <c r="E3439">
        <f t="shared" si="53"/>
        <v>9</v>
      </c>
      <c r="F3439">
        <v>580000</v>
      </c>
      <c r="G3439" t="s">
        <v>532</v>
      </c>
      <c r="H3439" t="s">
        <v>401</v>
      </c>
      <c r="I3439" t="s">
        <v>402</v>
      </c>
      <c r="J3439" t="s">
        <v>3430</v>
      </c>
      <c r="K3439">
        <v>20220921</v>
      </c>
      <c r="L3439" t="s">
        <v>3431</v>
      </c>
      <c r="M3439">
        <v>0</v>
      </c>
      <c r="N3439">
        <v>50000</v>
      </c>
      <c r="O3439" t="s">
        <v>23</v>
      </c>
      <c r="P3439">
        <v>20230116</v>
      </c>
      <c r="Q3439">
        <v>20220921</v>
      </c>
    </row>
    <row r="3440" spans="1:17" x14ac:dyDescent="0.25">
      <c r="A3440" t="s">
        <v>476</v>
      </c>
      <c r="B3440" t="s">
        <v>477</v>
      </c>
      <c r="C3440">
        <v>122</v>
      </c>
      <c r="D3440">
        <v>20220921</v>
      </c>
      <c r="E3440">
        <f t="shared" si="53"/>
        <v>9</v>
      </c>
      <c r="F3440">
        <v>512000</v>
      </c>
      <c r="G3440" t="s">
        <v>428</v>
      </c>
      <c r="H3440" t="s">
        <v>401</v>
      </c>
      <c r="I3440" t="s">
        <v>402</v>
      </c>
      <c r="J3440" t="s">
        <v>3430</v>
      </c>
      <c r="K3440">
        <v>20220921</v>
      </c>
      <c r="L3440" t="s">
        <v>3431</v>
      </c>
      <c r="M3440">
        <v>50000</v>
      </c>
      <c r="N3440">
        <v>0</v>
      </c>
      <c r="O3440" t="s">
        <v>19</v>
      </c>
      <c r="P3440" t="s">
        <v>20</v>
      </c>
      <c r="Q3440">
        <v>20220921</v>
      </c>
    </row>
    <row r="3441" spans="1:17" x14ac:dyDescent="0.25">
      <c r="A3441" t="s">
        <v>476</v>
      </c>
      <c r="B3441" t="s">
        <v>477</v>
      </c>
      <c r="C3441">
        <v>122</v>
      </c>
      <c r="D3441">
        <v>20220922</v>
      </c>
      <c r="E3441">
        <f t="shared" si="53"/>
        <v>9</v>
      </c>
      <c r="F3441">
        <v>580000</v>
      </c>
      <c r="G3441" t="s">
        <v>532</v>
      </c>
      <c r="H3441" t="s">
        <v>401</v>
      </c>
      <c r="I3441" t="s">
        <v>402</v>
      </c>
      <c r="J3441" t="s">
        <v>3432</v>
      </c>
      <c r="K3441">
        <v>20220922</v>
      </c>
      <c r="L3441" t="s">
        <v>3433</v>
      </c>
      <c r="M3441">
        <v>0</v>
      </c>
      <c r="N3441">
        <v>40000</v>
      </c>
      <c r="O3441" t="s">
        <v>23</v>
      </c>
      <c r="P3441">
        <v>20230131</v>
      </c>
      <c r="Q3441">
        <v>20220922</v>
      </c>
    </row>
    <row r="3442" spans="1:17" x14ac:dyDescent="0.25">
      <c r="A3442" t="s">
        <v>476</v>
      </c>
      <c r="B3442" t="s">
        <v>477</v>
      </c>
      <c r="C3442">
        <v>122</v>
      </c>
      <c r="D3442">
        <v>20220922</v>
      </c>
      <c r="E3442">
        <f t="shared" si="53"/>
        <v>9</v>
      </c>
      <c r="F3442">
        <v>512000</v>
      </c>
      <c r="G3442" t="s">
        <v>428</v>
      </c>
      <c r="H3442" t="s">
        <v>401</v>
      </c>
      <c r="I3442" t="s">
        <v>402</v>
      </c>
      <c r="J3442" t="s">
        <v>3432</v>
      </c>
      <c r="K3442">
        <v>20220922</v>
      </c>
      <c r="L3442" t="s">
        <v>3433</v>
      </c>
      <c r="M3442">
        <v>40000</v>
      </c>
      <c r="N3442">
        <v>0</v>
      </c>
      <c r="O3442" t="s">
        <v>19</v>
      </c>
      <c r="P3442" t="s">
        <v>20</v>
      </c>
      <c r="Q3442">
        <v>20220922</v>
      </c>
    </row>
    <row r="3443" spans="1:17" x14ac:dyDescent="0.25">
      <c r="A3443" t="s">
        <v>476</v>
      </c>
      <c r="B3443" t="s">
        <v>477</v>
      </c>
      <c r="C3443">
        <v>122</v>
      </c>
      <c r="D3443">
        <v>20220926</v>
      </c>
      <c r="E3443">
        <f t="shared" si="53"/>
        <v>9</v>
      </c>
      <c r="F3443">
        <v>433000</v>
      </c>
      <c r="G3443" t="s">
        <v>410</v>
      </c>
      <c r="H3443" t="s">
        <v>401</v>
      </c>
      <c r="I3443" t="s">
        <v>402</v>
      </c>
      <c r="J3443" t="s">
        <v>3434</v>
      </c>
      <c r="K3443">
        <v>20220926</v>
      </c>
      <c r="L3443" t="s">
        <v>1722</v>
      </c>
      <c r="M3443">
        <v>7256.46</v>
      </c>
      <c r="N3443">
        <v>0</v>
      </c>
      <c r="O3443" t="s">
        <v>23</v>
      </c>
      <c r="P3443">
        <v>20230218</v>
      </c>
      <c r="Q3443">
        <v>20220926</v>
      </c>
    </row>
    <row r="3444" spans="1:17" x14ac:dyDescent="0.25">
      <c r="A3444" t="s">
        <v>476</v>
      </c>
      <c r="B3444" t="s">
        <v>477</v>
      </c>
      <c r="C3444">
        <v>122</v>
      </c>
      <c r="D3444">
        <v>20220926</v>
      </c>
      <c r="E3444">
        <f t="shared" si="53"/>
        <v>9</v>
      </c>
      <c r="F3444">
        <v>512000</v>
      </c>
      <c r="G3444" t="s">
        <v>428</v>
      </c>
      <c r="H3444" t="s">
        <v>401</v>
      </c>
      <c r="I3444" t="s">
        <v>402</v>
      </c>
      <c r="J3444" t="s">
        <v>3434</v>
      </c>
      <c r="K3444">
        <v>20220926</v>
      </c>
      <c r="L3444" t="s">
        <v>1722</v>
      </c>
      <c r="M3444">
        <v>0</v>
      </c>
      <c r="N3444">
        <v>7256.46</v>
      </c>
      <c r="O3444" t="s">
        <v>19</v>
      </c>
      <c r="P3444" t="s">
        <v>20</v>
      </c>
      <c r="Q3444">
        <v>20220926</v>
      </c>
    </row>
    <row r="3445" spans="1:17" x14ac:dyDescent="0.25">
      <c r="A3445" t="s">
        <v>476</v>
      </c>
      <c r="B3445" t="s">
        <v>477</v>
      </c>
      <c r="C3445">
        <v>122</v>
      </c>
      <c r="D3445">
        <v>20220926</v>
      </c>
      <c r="E3445">
        <f t="shared" si="53"/>
        <v>9</v>
      </c>
      <c r="F3445">
        <v>433100</v>
      </c>
      <c r="G3445" t="s">
        <v>411</v>
      </c>
      <c r="H3445" t="s">
        <v>401</v>
      </c>
      <c r="I3445" t="s">
        <v>402</v>
      </c>
      <c r="J3445" t="s">
        <v>3435</v>
      </c>
      <c r="K3445">
        <v>20220926</v>
      </c>
      <c r="L3445" t="s">
        <v>534</v>
      </c>
      <c r="M3445">
        <v>1266.93</v>
      </c>
      <c r="N3445">
        <v>0</v>
      </c>
      <c r="O3445" t="s">
        <v>23</v>
      </c>
      <c r="P3445">
        <v>20230218</v>
      </c>
      <c r="Q3445">
        <v>20220926</v>
      </c>
    </row>
    <row r="3446" spans="1:17" x14ac:dyDescent="0.25">
      <c r="A3446" t="s">
        <v>476</v>
      </c>
      <c r="B3446" t="s">
        <v>477</v>
      </c>
      <c r="C3446">
        <v>122</v>
      </c>
      <c r="D3446">
        <v>20220926</v>
      </c>
      <c r="E3446">
        <f t="shared" si="53"/>
        <v>9</v>
      </c>
      <c r="F3446">
        <v>512000</v>
      </c>
      <c r="G3446" t="s">
        <v>428</v>
      </c>
      <c r="H3446" t="s">
        <v>401</v>
      </c>
      <c r="I3446" t="s">
        <v>402</v>
      </c>
      <c r="J3446" t="s">
        <v>3435</v>
      </c>
      <c r="K3446">
        <v>20220926</v>
      </c>
      <c r="L3446" t="s">
        <v>534</v>
      </c>
      <c r="M3446">
        <v>0</v>
      </c>
      <c r="N3446">
        <v>1266.93</v>
      </c>
      <c r="O3446" t="s">
        <v>19</v>
      </c>
      <c r="P3446" t="s">
        <v>20</v>
      </c>
      <c r="Q3446">
        <v>20220926</v>
      </c>
    </row>
    <row r="3447" spans="1:17" x14ac:dyDescent="0.25">
      <c r="A3447" t="s">
        <v>476</v>
      </c>
      <c r="B3447" t="s">
        <v>477</v>
      </c>
      <c r="C3447">
        <v>122</v>
      </c>
      <c r="D3447">
        <v>20220927</v>
      </c>
      <c r="E3447">
        <f t="shared" si="53"/>
        <v>9</v>
      </c>
      <c r="F3447">
        <v>468780</v>
      </c>
      <c r="G3447" t="s">
        <v>433</v>
      </c>
      <c r="H3447" t="s">
        <v>401</v>
      </c>
      <c r="I3447" t="s">
        <v>402</v>
      </c>
      <c r="J3447" t="s">
        <v>3436</v>
      </c>
      <c r="K3447">
        <v>20220927</v>
      </c>
      <c r="L3447" t="s">
        <v>3437</v>
      </c>
      <c r="M3447">
        <v>0</v>
      </c>
      <c r="N3447">
        <v>750</v>
      </c>
      <c r="O3447" t="s">
        <v>23</v>
      </c>
      <c r="P3447">
        <v>20230218</v>
      </c>
      <c r="Q3447">
        <v>20220927</v>
      </c>
    </row>
    <row r="3448" spans="1:17" x14ac:dyDescent="0.25">
      <c r="A3448" t="s">
        <v>476</v>
      </c>
      <c r="B3448" t="s">
        <v>477</v>
      </c>
      <c r="C3448">
        <v>122</v>
      </c>
      <c r="D3448">
        <v>20220927</v>
      </c>
      <c r="E3448">
        <f t="shared" si="53"/>
        <v>9</v>
      </c>
      <c r="F3448">
        <v>512000</v>
      </c>
      <c r="G3448" t="s">
        <v>428</v>
      </c>
      <c r="H3448" t="s">
        <v>401</v>
      </c>
      <c r="I3448" t="s">
        <v>402</v>
      </c>
      <c r="J3448" t="s">
        <v>3436</v>
      </c>
      <c r="K3448">
        <v>20220927</v>
      </c>
      <c r="L3448" t="s">
        <v>3437</v>
      </c>
      <c r="M3448">
        <v>750</v>
      </c>
      <c r="N3448">
        <v>0</v>
      </c>
      <c r="O3448" t="s">
        <v>19</v>
      </c>
      <c r="P3448" t="s">
        <v>20</v>
      </c>
      <c r="Q3448">
        <v>20220927</v>
      </c>
    </row>
    <row r="3449" spans="1:17" x14ac:dyDescent="0.25">
      <c r="A3449" t="s">
        <v>476</v>
      </c>
      <c r="B3449" t="s">
        <v>477</v>
      </c>
      <c r="C3449">
        <v>122</v>
      </c>
      <c r="D3449">
        <v>20220927</v>
      </c>
      <c r="E3449">
        <f t="shared" si="53"/>
        <v>9</v>
      </c>
      <c r="F3449">
        <v>468200</v>
      </c>
      <c r="G3449" t="s">
        <v>421</v>
      </c>
      <c r="H3449" t="s">
        <v>401</v>
      </c>
      <c r="I3449" t="s">
        <v>402</v>
      </c>
      <c r="J3449" t="s">
        <v>3438</v>
      </c>
      <c r="K3449">
        <v>20220927</v>
      </c>
      <c r="L3449" t="s">
        <v>422</v>
      </c>
      <c r="M3449">
        <v>0</v>
      </c>
      <c r="N3449">
        <v>1162.7</v>
      </c>
      <c r="O3449" t="s">
        <v>19</v>
      </c>
      <c r="P3449" t="s">
        <v>20</v>
      </c>
      <c r="Q3449">
        <v>20220927</v>
      </c>
    </row>
    <row r="3450" spans="1:17" x14ac:dyDescent="0.25">
      <c r="A3450" t="s">
        <v>476</v>
      </c>
      <c r="B3450" t="s">
        <v>477</v>
      </c>
      <c r="C3450">
        <v>122</v>
      </c>
      <c r="D3450">
        <v>20220927</v>
      </c>
      <c r="E3450">
        <f t="shared" si="53"/>
        <v>9</v>
      </c>
      <c r="F3450">
        <v>512000</v>
      </c>
      <c r="G3450" t="s">
        <v>428</v>
      </c>
      <c r="H3450" t="s">
        <v>401</v>
      </c>
      <c r="I3450" t="s">
        <v>402</v>
      </c>
      <c r="J3450" t="s">
        <v>3438</v>
      </c>
      <c r="K3450">
        <v>20220927</v>
      </c>
      <c r="L3450" t="s">
        <v>422</v>
      </c>
      <c r="M3450">
        <v>1162.7</v>
      </c>
      <c r="N3450">
        <v>0</v>
      </c>
      <c r="O3450" t="s">
        <v>19</v>
      </c>
      <c r="P3450" t="s">
        <v>20</v>
      </c>
      <c r="Q3450">
        <v>20220927</v>
      </c>
    </row>
    <row r="3451" spans="1:17" x14ac:dyDescent="0.25">
      <c r="A3451" t="s">
        <v>476</v>
      </c>
      <c r="B3451" t="s">
        <v>477</v>
      </c>
      <c r="C3451">
        <v>122</v>
      </c>
      <c r="D3451">
        <v>20220927</v>
      </c>
      <c r="E3451">
        <f t="shared" si="53"/>
        <v>9</v>
      </c>
      <c r="F3451">
        <v>791100</v>
      </c>
      <c r="G3451" t="s">
        <v>806</v>
      </c>
      <c r="H3451" t="s">
        <v>401</v>
      </c>
      <c r="I3451" t="s">
        <v>402</v>
      </c>
      <c r="J3451" t="s">
        <v>3439</v>
      </c>
      <c r="K3451">
        <v>20220927</v>
      </c>
      <c r="L3451" t="s">
        <v>3271</v>
      </c>
      <c r="M3451">
        <v>0</v>
      </c>
      <c r="N3451">
        <v>1800</v>
      </c>
      <c r="O3451" t="s">
        <v>19</v>
      </c>
      <c r="P3451" t="s">
        <v>20</v>
      </c>
      <c r="Q3451">
        <v>20220927</v>
      </c>
    </row>
    <row r="3452" spans="1:17" x14ac:dyDescent="0.25">
      <c r="A3452" t="s">
        <v>476</v>
      </c>
      <c r="B3452" t="s">
        <v>477</v>
      </c>
      <c r="C3452">
        <v>122</v>
      </c>
      <c r="D3452">
        <v>20220927</v>
      </c>
      <c r="E3452">
        <f t="shared" si="53"/>
        <v>9</v>
      </c>
      <c r="F3452">
        <v>512000</v>
      </c>
      <c r="G3452" t="s">
        <v>428</v>
      </c>
      <c r="H3452" t="s">
        <v>401</v>
      </c>
      <c r="I3452" t="s">
        <v>402</v>
      </c>
      <c r="J3452" t="s">
        <v>3439</v>
      </c>
      <c r="K3452">
        <v>20220927</v>
      </c>
      <c r="L3452" t="s">
        <v>3271</v>
      </c>
      <c r="M3452">
        <v>1800</v>
      </c>
      <c r="N3452">
        <v>0</v>
      </c>
      <c r="O3452" t="s">
        <v>19</v>
      </c>
      <c r="P3452" t="s">
        <v>20</v>
      </c>
      <c r="Q3452">
        <v>20220927</v>
      </c>
    </row>
    <row r="3453" spans="1:17" x14ac:dyDescent="0.25">
      <c r="A3453" t="s">
        <v>476</v>
      </c>
      <c r="B3453" t="s">
        <v>477</v>
      </c>
      <c r="C3453">
        <v>122</v>
      </c>
      <c r="D3453">
        <v>20220928</v>
      </c>
      <c r="E3453">
        <f t="shared" si="53"/>
        <v>9</v>
      </c>
      <c r="F3453">
        <v>421000</v>
      </c>
      <c r="G3453" t="s">
        <v>403</v>
      </c>
      <c r="H3453" t="s">
        <v>401</v>
      </c>
      <c r="I3453" t="s">
        <v>402</v>
      </c>
      <c r="J3453" t="s">
        <v>3440</v>
      </c>
      <c r="K3453">
        <v>20220928</v>
      </c>
      <c r="L3453" t="s">
        <v>922</v>
      </c>
      <c r="M3453">
        <v>52493.53</v>
      </c>
      <c r="N3453">
        <v>0</v>
      </c>
      <c r="O3453" t="s">
        <v>23</v>
      </c>
      <c r="P3453">
        <v>20230215</v>
      </c>
      <c r="Q3453">
        <v>20220928</v>
      </c>
    </row>
    <row r="3454" spans="1:17" x14ac:dyDescent="0.25">
      <c r="A3454" t="s">
        <v>476</v>
      </c>
      <c r="B3454" t="s">
        <v>477</v>
      </c>
      <c r="C3454">
        <v>122</v>
      </c>
      <c r="D3454">
        <v>20220928</v>
      </c>
      <c r="E3454">
        <f t="shared" si="53"/>
        <v>9</v>
      </c>
      <c r="F3454">
        <v>512000</v>
      </c>
      <c r="G3454" t="s">
        <v>428</v>
      </c>
      <c r="H3454" t="s">
        <v>401</v>
      </c>
      <c r="I3454" t="s">
        <v>402</v>
      </c>
      <c r="J3454" t="s">
        <v>3440</v>
      </c>
      <c r="K3454">
        <v>20220928</v>
      </c>
      <c r="L3454" t="s">
        <v>922</v>
      </c>
      <c r="M3454">
        <v>0</v>
      </c>
      <c r="N3454">
        <v>52493.53</v>
      </c>
      <c r="O3454" t="s">
        <v>19</v>
      </c>
      <c r="P3454" t="s">
        <v>20</v>
      </c>
      <c r="Q3454">
        <v>20220928</v>
      </c>
    </row>
    <row r="3455" spans="1:17" x14ac:dyDescent="0.25">
      <c r="A3455" t="s">
        <v>476</v>
      </c>
      <c r="B3455" t="s">
        <v>477</v>
      </c>
      <c r="C3455">
        <v>122</v>
      </c>
      <c r="D3455">
        <v>20220928</v>
      </c>
      <c r="E3455">
        <f t="shared" si="53"/>
        <v>9</v>
      </c>
      <c r="F3455">
        <v>445055</v>
      </c>
      <c r="G3455" t="s">
        <v>3441</v>
      </c>
      <c r="H3455" t="s">
        <v>401</v>
      </c>
      <c r="I3455" t="s">
        <v>402</v>
      </c>
      <c r="J3455" t="s">
        <v>3442</v>
      </c>
      <c r="K3455">
        <v>20220928</v>
      </c>
      <c r="L3455" t="s">
        <v>3443</v>
      </c>
      <c r="M3455">
        <v>0</v>
      </c>
      <c r="N3455">
        <v>831</v>
      </c>
      <c r="O3455" t="s">
        <v>23</v>
      </c>
      <c r="P3455">
        <v>20221028</v>
      </c>
      <c r="Q3455">
        <v>20220928</v>
      </c>
    </row>
    <row r="3456" spans="1:17" x14ac:dyDescent="0.25">
      <c r="A3456" t="s">
        <v>476</v>
      </c>
      <c r="B3456" t="s">
        <v>477</v>
      </c>
      <c r="C3456">
        <v>122</v>
      </c>
      <c r="D3456">
        <v>20220928</v>
      </c>
      <c r="E3456">
        <f t="shared" si="53"/>
        <v>9</v>
      </c>
      <c r="F3456">
        <v>512000</v>
      </c>
      <c r="G3456" t="s">
        <v>428</v>
      </c>
      <c r="H3456" t="s">
        <v>401</v>
      </c>
      <c r="I3456" t="s">
        <v>402</v>
      </c>
      <c r="J3456" t="s">
        <v>3442</v>
      </c>
      <c r="K3456">
        <v>20220928</v>
      </c>
      <c r="L3456" t="s">
        <v>3443</v>
      </c>
      <c r="M3456">
        <v>831</v>
      </c>
      <c r="N3456">
        <v>0</v>
      </c>
      <c r="O3456" t="s">
        <v>19</v>
      </c>
      <c r="P3456" t="s">
        <v>20</v>
      </c>
      <c r="Q3456">
        <v>20220928</v>
      </c>
    </row>
    <row r="3457" spans="1:17" x14ac:dyDescent="0.25">
      <c r="A3457" t="s">
        <v>476</v>
      </c>
      <c r="B3457" t="s">
        <v>477</v>
      </c>
      <c r="C3457">
        <v>122</v>
      </c>
      <c r="D3457">
        <v>20220929</v>
      </c>
      <c r="E3457">
        <f t="shared" si="53"/>
        <v>9</v>
      </c>
      <c r="F3457">
        <v>421000</v>
      </c>
      <c r="G3457" t="s">
        <v>403</v>
      </c>
      <c r="H3457" t="s">
        <v>401</v>
      </c>
      <c r="I3457" t="s">
        <v>402</v>
      </c>
      <c r="J3457" t="s">
        <v>3444</v>
      </c>
      <c r="K3457">
        <v>20220929</v>
      </c>
      <c r="L3457" t="s">
        <v>3445</v>
      </c>
      <c r="M3457">
        <v>1213.1400000000001</v>
      </c>
      <c r="N3457">
        <v>0</v>
      </c>
      <c r="O3457" t="s">
        <v>23</v>
      </c>
      <c r="P3457">
        <v>20230215</v>
      </c>
      <c r="Q3457">
        <v>20220929</v>
      </c>
    </row>
    <row r="3458" spans="1:17" x14ac:dyDescent="0.25">
      <c r="A3458" t="s">
        <v>476</v>
      </c>
      <c r="B3458" t="s">
        <v>477</v>
      </c>
      <c r="C3458">
        <v>122</v>
      </c>
      <c r="D3458">
        <v>20220929</v>
      </c>
      <c r="E3458">
        <f t="shared" si="53"/>
        <v>9</v>
      </c>
      <c r="F3458">
        <v>512000</v>
      </c>
      <c r="G3458" t="s">
        <v>428</v>
      </c>
      <c r="H3458" t="s">
        <v>401</v>
      </c>
      <c r="I3458" t="s">
        <v>402</v>
      </c>
      <c r="J3458" t="s">
        <v>3444</v>
      </c>
      <c r="K3458">
        <v>20220929</v>
      </c>
      <c r="L3458" t="s">
        <v>127</v>
      </c>
      <c r="M3458">
        <v>0</v>
      </c>
      <c r="N3458">
        <v>1213.1400000000001</v>
      </c>
      <c r="O3458" t="s">
        <v>19</v>
      </c>
      <c r="P3458" t="s">
        <v>20</v>
      </c>
      <c r="Q3458">
        <v>20220929</v>
      </c>
    </row>
    <row r="3459" spans="1:17" x14ac:dyDescent="0.25">
      <c r="A3459" t="s">
        <v>476</v>
      </c>
      <c r="B3459" t="s">
        <v>477</v>
      </c>
      <c r="C3459">
        <v>122</v>
      </c>
      <c r="D3459">
        <v>20220930</v>
      </c>
      <c r="E3459">
        <f t="shared" ref="E3459:E3522" si="54">VALUE(MID(D3459,5,2))</f>
        <v>9</v>
      </c>
      <c r="F3459">
        <v>401000</v>
      </c>
      <c r="G3459" t="s">
        <v>41</v>
      </c>
      <c r="H3459" t="s">
        <v>42</v>
      </c>
      <c r="I3459" t="s">
        <v>43</v>
      </c>
      <c r="J3459" t="s">
        <v>3446</v>
      </c>
      <c r="K3459">
        <v>20220930</v>
      </c>
      <c r="L3459" t="s">
        <v>163</v>
      </c>
      <c r="M3459">
        <v>1557.31</v>
      </c>
      <c r="N3459">
        <v>0</v>
      </c>
      <c r="O3459" t="s">
        <v>23</v>
      </c>
      <c r="P3459">
        <v>20221005</v>
      </c>
      <c r="Q3459">
        <v>20220930</v>
      </c>
    </row>
    <row r="3460" spans="1:17" x14ac:dyDescent="0.25">
      <c r="A3460" t="s">
        <v>476</v>
      </c>
      <c r="B3460" t="s">
        <v>477</v>
      </c>
      <c r="C3460">
        <v>122</v>
      </c>
      <c r="D3460">
        <v>20220930</v>
      </c>
      <c r="E3460">
        <f t="shared" si="54"/>
        <v>9</v>
      </c>
      <c r="F3460">
        <v>401000</v>
      </c>
      <c r="G3460" t="s">
        <v>41</v>
      </c>
      <c r="H3460" t="s">
        <v>97</v>
      </c>
      <c r="I3460" t="s">
        <v>98</v>
      </c>
      <c r="J3460" t="s">
        <v>3446</v>
      </c>
      <c r="K3460">
        <v>20220930</v>
      </c>
      <c r="L3460" t="s">
        <v>163</v>
      </c>
      <c r="M3460">
        <v>973.7</v>
      </c>
      <c r="N3460">
        <v>0</v>
      </c>
      <c r="O3460" t="s">
        <v>23</v>
      </c>
      <c r="P3460">
        <v>20221006</v>
      </c>
      <c r="Q3460">
        <v>20220930</v>
      </c>
    </row>
    <row r="3461" spans="1:17" x14ac:dyDescent="0.25">
      <c r="A3461" t="s">
        <v>476</v>
      </c>
      <c r="B3461" t="s">
        <v>477</v>
      </c>
      <c r="C3461">
        <v>122</v>
      </c>
      <c r="D3461">
        <v>20220930</v>
      </c>
      <c r="E3461">
        <f t="shared" si="54"/>
        <v>9</v>
      </c>
      <c r="F3461">
        <v>401000</v>
      </c>
      <c r="G3461" t="s">
        <v>41</v>
      </c>
      <c r="H3461" t="s">
        <v>166</v>
      </c>
      <c r="I3461" t="s">
        <v>167</v>
      </c>
      <c r="J3461" t="s">
        <v>3446</v>
      </c>
      <c r="K3461">
        <v>20220930</v>
      </c>
      <c r="L3461" t="s">
        <v>163</v>
      </c>
      <c r="M3461">
        <v>110</v>
      </c>
      <c r="N3461">
        <v>0</v>
      </c>
      <c r="O3461" t="s">
        <v>23</v>
      </c>
      <c r="P3461">
        <v>20221005</v>
      </c>
      <c r="Q3461">
        <v>20220930</v>
      </c>
    </row>
    <row r="3462" spans="1:17" x14ac:dyDescent="0.25">
      <c r="A3462" t="s">
        <v>476</v>
      </c>
      <c r="B3462" t="s">
        <v>477</v>
      </c>
      <c r="C3462">
        <v>122</v>
      </c>
      <c r="D3462">
        <v>20220930</v>
      </c>
      <c r="E3462">
        <f t="shared" si="54"/>
        <v>9</v>
      </c>
      <c r="F3462">
        <v>401000</v>
      </c>
      <c r="G3462" t="s">
        <v>41</v>
      </c>
      <c r="H3462" t="s">
        <v>456</v>
      </c>
      <c r="I3462" t="s">
        <v>457</v>
      </c>
      <c r="J3462" t="s">
        <v>3446</v>
      </c>
      <c r="K3462">
        <v>20220930</v>
      </c>
      <c r="L3462" t="s">
        <v>163</v>
      </c>
      <c r="M3462">
        <v>262.5</v>
      </c>
      <c r="N3462">
        <v>0</v>
      </c>
      <c r="O3462" t="s">
        <v>23</v>
      </c>
      <c r="P3462">
        <v>20221005</v>
      </c>
      <c r="Q3462">
        <v>20220930</v>
      </c>
    </row>
    <row r="3463" spans="1:17" x14ac:dyDescent="0.25">
      <c r="A3463" t="s">
        <v>476</v>
      </c>
      <c r="B3463" t="s">
        <v>477</v>
      </c>
      <c r="C3463">
        <v>122</v>
      </c>
      <c r="D3463">
        <v>20220930</v>
      </c>
      <c r="E3463">
        <f t="shared" si="54"/>
        <v>9</v>
      </c>
      <c r="F3463">
        <v>401000</v>
      </c>
      <c r="G3463" t="s">
        <v>41</v>
      </c>
      <c r="H3463" t="s">
        <v>303</v>
      </c>
      <c r="I3463" t="s">
        <v>304</v>
      </c>
      <c r="J3463" t="s">
        <v>3446</v>
      </c>
      <c r="K3463">
        <v>20220930</v>
      </c>
      <c r="L3463" t="s">
        <v>163</v>
      </c>
      <c r="M3463">
        <v>180</v>
      </c>
      <c r="N3463">
        <v>0</v>
      </c>
      <c r="O3463" t="s">
        <v>23</v>
      </c>
      <c r="P3463">
        <v>20221005</v>
      </c>
      <c r="Q3463">
        <v>20220930</v>
      </c>
    </row>
    <row r="3464" spans="1:17" x14ac:dyDescent="0.25">
      <c r="A3464" t="s">
        <v>476</v>
      </c>
      <c r="B3464" t="s">
        <v>477</v>
      </c>
      <c r="C3464">
        <v>122</v>
      </c>
      <c r="D3464">
        <v>20220930</v>
      </c>
      <c r="E3464">
        <f t="shared" si="54"/>
        <v>9</v>
      </c>
      <c r="F3464">
        <v>467100</v>
      </c>
      <c r="G3464" t="s">
        <v>160</v>
      </c>
      <c r="H3464" t="s">
        <v>316</v>
      </c>
      <c r="I3464" t="s">
        <v>317</v>
      </c>
      <c r="J3464" t="s">
        <v>3446</v>
      </c>
      <c r="K3464">
        <v>20220930</v>
      </c>
      <c r="L3464" t="s">
        <v>163</v>
      </c>
      <c r="M3464">
        <v>30.3</v>
      </c>
      <c r="N3464">
        <v>0</v>
      </c>
      <c r="O3464" t="s">
        <v>23</v>
      </c>
      <c r="P3464">
        <v>20221013</v>
      </c>
      <c r="Q3464">
        <v>20220930</v>
      </c>
    </row>
    <row r="3465" spans="1:17" x14ac:dyDescent="0.25">
      <c r="A3465" t="s">
        <v>476</v>
      </c>
      <c r="B3465" t="s">
        <v>477</v>
      </c>
      <c r="C3465">
        <v>122</v>
      </c>
      <c r="D3465">
        <v>20220930</v>
      </c>
      <c r="E3465">
        <f t="shared" si="54"/>
        <v>9</v>
      </c>
      <c r="F3465">
        <v>401000</v>
      </c>
      <c r="G3465" t="s">
        <v>41</v>
      </c>
      <c r="H3465" t="s">
        <v>3232</v>
      </c>
      <c r="I3465" t="s">
        <v>3233</v>
      </c>
      <c r="J3465" t="s">
        <v>3446</v>
      </c>
      <c r="K3465">
        <v>20220930</v>
      </c>
      <c r="L3465" t="s">
        <v>163</v>
      </c>
      <c r="M3465">
        <v>2400</v>
      </c>
      <c r="N3465">
        <v>0</v>
      </c>
      <c r="O3465" t="s">
        <v>23</v>
      </c>
      <c r="P3465">
        <v>20221005</v>
      </c>
      <c r="Q3465">
        <v>20220930</v>
      </c>
    </row>
    <row r="3466" spans="1:17" x14ac:dyDescent="0.25">
      <c r="A3466" t="s">
        <v>476</v>
      </c>
      <c r="B3466" t="s">
        <v>477</v>
      </c>
      <c r="C3466">
        <v>122</v>
      </c>
      <c r="D3466">
        <v>20220930</v>
      </c>
      <c r="E3466">
        <f t="shared" si="54"/>
        <v>9</v>
      </c>
      <c r="F3466">
        <v>512000</v>
      </c>
      <c r="G3466" t="s">
        <v>428</v>
      </c>
      <c r="H3466" t="s">
        <v>401</v>
      </c>
      <c r="I3466" t="s">
        <v>402</v>
      </c>
      <c r="J3466" t="s">
        <v>3446</v>
      </c>
      <c r="K3466">
        <v>20220930</v>
      </c>
      <c r="L3466" t="s">
        <v>163</v>
      </c>
      <c r="M3466">
        <v>0</v>
      </c>
      <c r="N3466">
        <v>5513.81</v>
      </c>
      <c r="O3466" t="s">
        <v>19</v>
      </c>
      <c r="P3466" t="s">
        <v>20</v>
      </c>
      <c r="Q3466">
        <v>20220930</v>
      </c>
    </row>
    <row r="3467" spans="1:17" x14ac:dyDescent="0.25">
      <c r="A3467" t="s">
        <v>476</v>
      </c>
      <c r="B3467" t="s">
        <v>477</v>
      </c>
      <c r="C3467">
        <v>122</v>
      </c>
      <c r="D3467">
        <v>20220930</v>
      </c>
      <c r="E3467">
        <f t="shared" si="54"/>
        <v>9</v>
      </c>
      <c r="F3467">
        <v>421000</v>
      </c>
      <c r="G3467" t="s">
        <v>403</v>
      </c>
      <c r="H3467" t="s">
        <v>401</v>
      </c>
      <c r="I3467" t="s">
        <v>402</v>
      </c>
      <c r="J3467" t="s">
        <v>3447</v>
      </c>
      <c r="K3467">
        <v>20220930</v>
      </c>
      <c r="L3467" t="s">
        <v>127</v>
      </c>
      <c r="M3467">
        <v>43.39</v>
      </c>
      <c r="N3467">
        <v>0</v>
      </c>
      <c r="O3467" t="s">
        <v>23</v>
      </c>
      <c r="P3467">
        <v>20230215</v>
      </c>
      <c r="Q3467">
        <v>20220930</v>
      </c>
    </row>
    <row r="3468" spans="1:17" x14ac:dyDescent="0.25">
      <c r="A3468" t="s">
        <v>476</v>
      </c>
      <c r="B3468" t="s">
        <v>477</v>
      </c>
      <c r="C3468">
        <v>122</v>
      </c>
      <c r="D3468">
        <v>20220930</v>
      </c>
      <c r="E3468">
        <f t="shared" si="54"/>
        <v>9</v>
      </c>
      <c r="F3468">
        <v>421000</v>
      </c>
      <c r="G3468" t="s">
        <v>403</v>
      </c>
      <c r="H3468" t="s">
        <v>401</v>
      </c>
      <c r="I3468" t="s">
        <v>402</v>
      </c>
      <c r="J3468" t="s">
        <v>3447</v>
      </c>
      <c r="K3468">
        <v>20220930</v>
      </c>
      <c r="L3468" t="s">
        <v>127</v>
      </c>
      <c r="M3468">
        <v>106.94</v>
      </c>
      <c r="N3468">
        <v>0</v>
      </c>
      <c r="O3468" t="s">
        <v>23</v>
      </c>
      <c r="P3468">
        <v>20230215</v>
      </c>
      <c r="Q3468">
        <v>20220930</v>
      </c>
    </row>
    <row r="3469" spans="1:17" x14ac:dyDescent="0.25">
      <c r="A3469" t="s">
        <v>476</v>
      </c>
      <c r="B3469" t="s">
        <v>477</v>
      </c>
      <c r="C3469">
        <v>122</v>
      </c>
      <c r="D3469">
        <v>20220930</v>
      </c>
      <c r="E3469">
        <f t="shared" si="54"/>
        <v>9</v>
      </c>
      <c r="F3469">
        <v>421000</v>
      </c>
      <c r="G3469" t="s">
        <v>403</v>
      </c>
      <c r="H3469" t="s">
        <v>401</v>
      </c>
      <c r="I3469" t="s">
        <v>402</v>
      </c>
      <c r="J3469" t="s">
        <v>3447</v>
      </c>
      <c r="K3469">
        <v>20220930</v>
      </c>
      <c r="L3469" t="s">
        <v>127</v>
      </c>
      <c r="M3469">
        <v>107.33</v>
      </c>
      <c r="N3469">
        <v>0</v>
      </c>
      <c r="O3469" t="s">
        <v>23</v>
      </c>
      <c r="P3469">
        <v>20230215</v>
      </c>
      <c r="Q3469">
        <v>20220930</v>
      </c>
    </row>
    <row r="3470" spans="1:17" x14ac:dyDescent="0.25">
      <c r="A3470" t="s">
        <v>476</v>
      </c>
      <c r="B3470" t="s">
        <v>477</v>
      </c>
      <c r="C3470">
        <v>122</v>
      </c>
      <c r="D3470">
        <v>20220930</v>
      </c>
      <c r="E3470">
        <f t="shared" si="54"/>
        <v>9</v>
      </c>
      <c r="F3470">
        <v>512000</v>
      </c>
      <c r="G3470" t="s">
        <v>428</v>
      </c>
      <c r="H3470" t="s">
        <v>401</v>
      </c>
      <c r="I3470" t="s">
        <v>402</v>
      </c>
      <c r="J3470" t="s">
        <v>3447</v>
      </c>
      <c r="K3470">
        <v>20220930</v>
      </c>
      <c r="L3470" t="s">
        <v>127</v>
      </c>
      <c r="M3470">
        <v>0</v>
      </c>
      <c r="N3470">
        <v>257.66000000000003</v>
      </c>
      <c r="O3470" t="s">
        <v>19</v>
      </c>
      <c r="P3470" t="s">
        <v>20</v>
      </c>
      <c r="Q3470">
        <v>20220930</v>
      </c>
    </row>
    <row r="3471" spans="1:17" x14ac:dyDescent="0.25">
      <c r="A3471" t="s">
        <v>476</v>
      </c>
      <c r="B3471" t="s">
        <v>477</v>
      </c>
      <c r="C3471">
        <v>122</v>
      </c>
      <c r="D3471">
        <v>20220930</v>
      </c>
      <c r="E3471">
        <f t="shared" si="54"/>
        <v>9</v>
      </c>
      <c r="F3471">
        <v>468740</v>
      </c>
      <c r="G3471" t="s">
        <v>426</v>
      </c>
      <c r="H3471" t="s">
        <v>401</v>
      </c>
      <c r="I3471" t="s">
        <v>402</v>
      </c>
      <c r="J3471" t="s">
        <v>3448</v>
      </c>
      <c r="K3471">
        <v>20220930</v>
      </c>
      <c r="L3471" t="s">
        <v>3449</v>
      </c>
      <c r="M3471">
        <v>0</v>
      </c>
      <c r="N3471">
        <v>16139</v>
      </c>
      <c r="O3471" t="s">
        <v>23</v>
      </c>
      <c r="P3471">
        <v>20221028</v>
      </c>
      <c r="Q3471">
        <v>20220930</v>
      </c>
    </row>
    <row r="3472" spans="1:17" x14ac:dyDescent="0.25">
      <c r="A3472" t="s">
        <v>476</v>
      </c>
      <c r="B3472" t="s">
        <v>477</v>
      </c>
      <c r="C3472">
        <v>122</v>
      </c>
      <c r="D3472">
        <v>20220930</v>
      </c>
      <c r="E3472">
        <f t="shared" si="54"/>
        <v>9</v>
      </c>
      <c r="F3472">
        <v>512000</v>
      </c>
      <c r="G3472" t="s">
        <v>428</v>
      </c>
      <c r="H3472" t="s">
        <v>401</v>
      </c>
      <c r="I3472" t="s">
        <v>402</v>
      </c>
      <c r="J3472" t="s">
        <v>3448</v>
      </c>
      <c r="K3472">
        <v>20220930</v>
      </c>
      <c r="L3472" t="s">
        <v>3449</v>
      </c>
      <c r="M3472">
        <v>16139</v>
      </c>
      <c r="N3472">
        <v>0</v>
      </c>
      <c r="O3472" t="s">
        <v>19</v>
      </c>
      <c r="P3472" t="s">
        <v>20</v>
      </c>
      <c r="Q3472">
        <v>20220930</v>
      </c>
    </row>
    <row r="3473" spans="1:17" x14ac:dyDescent="0.25">
      <c r="A3473" t="s">
        <v>476</v>
      </c>
      <c r="B3473" t="s">
        <v>477</v>
      </c>
      <c r="C3473">
        <v>122</v>
      </c>
      <c r="D3473">
        <v>20220930</v>
      </c>
      <c r="E3473">
        <f t="shared" si="54"/>
        <v>9</v>
      </c>
      <c r="F3473">
        <v>468200</v>
      </c>
      <c r="G3473" t="s">
        <v>421</v>
      </c>
      <c r="H3473" t="s">
        <v>401</v>
      </c>
      <c r="I3473" t="s">
        <v>402</v>
      </c>
      <c r="J3473" t="s">
        <v>3450</v>
      </c>
      <c r="K3473">
        <v>20220930</v>
      </c>
      <c r="L3473" t="s">
        <v>422</v>
      </c>
      <c r="M3473">
        <v>0</v>
      </c>
      <c r="N3473">
        <v>464.53</v>
      </c>
      <c r="O3473" t="s">
        <v>19</v>
      </c>
      <c r="P3473" t="s">
        <v>20</v>
      </c>
      <c r="Q3473">
        <v>20220930</v>
      </c>
    </row>
    <row r="3474" spans="1:17" x14ac:dyDescent="0.25">
      <c r="A3474" t="s">
        <v>476</v>
      </c>
      <c r="B3474" t="s">
        <v>477</v>
      </c>
      <c r="C3474">
        <v>122</v>
      </c>
      <c r="D3474">
        <v>20220930</v>
      </c>
      <c r="E3474">
        <f t="shared" si="54"/>
        <v>9</v>
      </c>
      <c r="F3474">
        <v>512000</v>
      </c>
      <c r="G3474" t="s">
        <v>428</v>
      </c>
      <c r="H3474" t="s">
        <v>401</v>
      </c>
      <c r="I3474" t="s">
        <v>402</v>
      </c>
      <c r="J3474" t="s">
        <v>3450</v>
      </c>
      <c r="K3474">
        <v>20220930</v>
      </c>
      <c r="L3474" t="s">
        <v>422</v>
      </c>
      <c r="M3474">
        <v>464.53</v>
      </c>
      <c r="N3474">
        <v>0</v>
      </c>
      <c r="O3474" t="s">
        <v>19</v>
      </c>
      <c r="P3474" t="s">
        <v>20</v>
      </c>
      <c r="Q3474">
        <v>20220930</v>
      </c>
    </row>
    <row r="3475" spans="1:17" x14ac:dyDescent="0.25">
      <c r="A3475" t="s">
        <v>548</v>
      </c>
      <c r="B3475" t="s">
        <v>429</v>
      </c>
      <c r="C3475">
        <v>123</v>
      </c>
      <c r="D3475">
        <v>20220901</v>
      </c>
      <c r="E3475">
        <f t="shared" si="54"/>
        <v>9</v>
      </c>
      <c r="F3475">
        <v>411010</v>
      </c>
      <c r="G3475" t="s">
        <v>87</v>
      </c>
      <c r="H3475" t="s">
        <v>363</v>
      </c>
      <c r="I3475" t="s">
        <v>364</v>
      </c>
      <c r="J3475">
        <v>355980</v>
      </c>
      <c r="K3475">
        <v>20220901</v>
      </c>
      <c r="L3475" t="s">
        <v>3451</v>
      </c>
      <c r="M3475">
        <v>0</v>
      </c>
      <c r="N3475">
        <v>86.93</v>
      </c>
      <c r="O3475" t="s">
        <v>22</v>
      </c>
      <c r="P3475">
        <v>20230218</v>
      </c>
      <c r="Q3475">
        <v>20220901</v>
      </c>
    </row>
    <row r="3476" spans="1:17" x14ac:dyDescent="0.25">
      <c r="A3476" t="s">
        <v>548</v>
      </c>
      <c r="B3476" t="s">
        <v>429</v>
      </c>
      <c r="C3476">
        <v>123</v>
      </c>
      <c r="D3476">
        <v>20220901</v>
      </c>
      <c r="E3476">
        <f t="shared" si="54"/>
        <v>9</v>
      </c>
      <c r="F3476">
        <v>531105</v>
      </c>
      <c r="G3476" t="s">
        <v>429</v>
      </c>
      <c r="H3476" t="s">
        <v>401</v>
      </c>
      <c r="I3476" t="s">
        <v>402</v>
      </c>
      <c r="J3476">
        <v>355981</v>
      </c>
      <c r="K3476">
        <v>20220901</v>
      </c>
      <c r="L3476" t="s">
        <v>565</v>
      </c>
      <c r="M3476">
        <v>86.93</v>
      </c>
      <c r="N3476">
        <v>0</v>
      </c>
      <c r="O3476" t="s">
        <v>19</v>
      </c>
      <c r="P3476" t="s">
        <v>20</v>
      </c>
      <c r="Q3476">
        <v>20220901</v>
      </c>
    </row>
    <row r="3477" spans="1:17" x14ac:dyDescent="0.25">
      <c r="A3477" t="s">
        <v>548</v>
      </c>
      <c r="B3477" t="s">
        <v>429</v>
      </c>
      <c r="C3477">
        <v>123</v>
      </c>
      <c r="D3477">
        <v>20220901</v>
      </c>
      <c r="E3477">
        <f t="shared" si="54"/>
        <v>9</v>
      </c>
      <c r="F3477">
        <v>411020</v>
      </c>
      <c r="G3477" t="s">
        <v>30</v>
      </c>
      <c r="H3477" t="s">
        <v>399</v>
      </c>
      <c r="I3477" t="s">
        <v>400</v>
      </c>
      <c r="J3477">
        <v>322050021</v>
      </c>
      <c r="K3477">
        <v>20220901</v>
      </c>
      <c r="L3477" t="s">
        <v>3452</v>
      </c>
      <c r="M3477">
        <v>0</v>
      </c>
      <c r="N3477">
        <v>50</v>
      </c>
      <c r="O3477" t="s">
        <v>19</v>
      </c>
      <c r="P3477" t="s">
        <v>20</v>
      </c>
      <c r="Q3477">
        <v>20220901</v>
      </c>
    </row>
    <row r="3478" spans="1:17" x14ac:dyDescent="0.25">
      <c r="A3478" t="s">
        <v>548</v>
      </c>
      <c r="B3478" t="s">
        <v>429</v>
      </c>
      <c r="C3478">
        <v>123</v>
      </c>
      <c r="D3478">
        <v>20220901</v>
      </c>
      <c r="E3478">
        <f t="shared" si="54"/>
        <v>9</v>
      </c>
      <c r="F3478">
        <v>531105</v>
      </c>
      <c r="G3478" t="s">
        <v>429</v>
      </c>
      <c r="H3478" t="s">
        <v>401</v>
      </c>
      <c r="I3478" t="s">
        <v>402</v>
      </c>
      <c r="J3478">
        <v>356001</v>
      </c>
      <c r="K3478">
        <v>20220901</v>
      </c>
      <c r="L3478" t="s">
        <v>565</v>
      </c>
      <c r="M3478">
        <v>50</v>
      </c>
      <c r="N3478">
        <v>0</v>
      </c>
      <c r="O3478" t="s">
        <v>19</v>
      </c>
      <c r="P3478" t="s">
        <v>20</v>
      </c>
      <c r="Q3478">
        <v>20220901</v>
      </c>
    </row>
    <row r="3479" spans="1:17" x14ac:dyDescent="0.25">
      <c r="A3479" t="s">
        <v>548</v>
      </c>
      <c r="B3479" t="s">
        <v>429</v>
      </c>
      <c r="C3479">
        <v>123</v>
      </c>
      <c r="D3479">
        <v>20220902</v>
      </c>
      <c r="E3479">
        <f t="shared" si="54"/>
        <v>9</v>
      </c>
      <c r="F3479">
        <v>411100</v>
      </c>
      <c r="G3479" t="s">
        <v>18</v>
      </c>
      <c r="H3479" t="s">
        <v>237</v>
      </c>
      <c r="I3479" t="s">
        <v>238</v>
      </c>
      <c r="J3479">
        <v>122040002</v>
      </c>
      <c r="K3479">
        <v>20220902</v>
      </c>
      <c r="L3479" t="s">
        <v>3453</v>
      </c>
      <c r="M3479">
        <v>0</v>
      </c>
      <c r="N3479">
        <v>212.16</v>
      </c>
      <c r="O3479" t="s">
        <v>19</v>
      </c>
      <c r="P3479" t="s">
        <v>20</v>
      </c>
      <c r="Q3479">
        <v>20220902</v>
      </c>
    </row>
    <row r="3480" spans="1:17" x14ac:dyDescent="0.25">
      <c r="A3480" t="s">
        <v>548</v>
      </c>
      <c r="B3480" t="s">
        <v>429</v>
      </c>
      <c r="C3480">
        <v>123</v>
      </c>
      <c r="D3480">
        <v>20220902</v>
      </c>
      <c r="E3480">
        <f t="shared" si="54"/>
        <v>9</v>
      </c>
      <c r="F3480">
        <v>411100</v>
      </c>
      <c r="G3480" t="s">
        <v>18</v>
      </c>
      <c r="H3480" t="s">
        <v>237</v>
      </c>
      <c r="I3480" t="s">
        <v>238</v>
      </c>
      <c r="J3480">
        <v>122040002</v>
      </c>
      <c r="K3480">
        <v>20220902</v>
      </c>
      <c r="L3480" t="s">
        <v>3454</v>
      </c>
      <c r="M3480">
        <v>11.78</v>
      </c>
      <c r="N3480">
        <v>0</v>
      </c>
      <c r="O3480" t="s">
        <v>19</v>
      </c>
      <c r="P3480" t="s">
        <v>20</v>
      </c>
      <c r="Q3480">
        <v>20220902</v>
      </c>
    </row>
    <row r="3481" spans="1:17" x14ac:dyDescent="0.25">
      <c r="A3481" t="s">
        <v>548</v>
      </c>
      <c r="B3481" t="s">
        <v>429</v>
      </c>
      <c r="C3481">
        <v>123</v>
      </c>
      <c r="D3481">
        <v>20220902</v>
      </c>
      <c r="E3481">
        <f t="shared" si="54"/>
        <v>9</v>
      </c>
      <c r="F3481">
        <v>411100</v>
      </c>
      <c r="G3481" t="s">
        <v>18</v>
      </c>
      <c r="H3481" t="s">
        <v>237</v>
      </c>
      <c r="I3481" t="s">
        <v>238</v>
      </c>
      <c r="J3481">
        <v>122080019</v>
      </c>
      <c r="K3481">
        <v>20220902</v>
      </c>
      <c r="L3481" t="s">
        <v>3455</v>
      </c>
      <c r="M3481">
        <v>0</v>
      </c>
      <c r="N3481">
        <v>11.23</v>
      </c>
      <c r="O3481" t="s">
        <v>19</v>
      </c>
      <c r="P3481" t="s">
        <v>20</v>
      </c>
      <c r="Q3481">
        <v>20220902</v>
      </c>
    </row>
    <row r="3482" spans="1:17" x14ac:dyDescent="0.25">
      <c r="A3482" t="s">
        <v>548</v>
      </c>
      <c r="B3482" t="s">
        <v>429</v>
      </c>
      <c r="C3482">
        <v>123</v>
      </c>
      <c r="D3482">
        <v>20220902</v>
      </c>
      <c r="E3482">
        <f t="shared" si="54"/>
        <v>9</v>
      </c>
      <c r="F3482">
        <v>531105</v>
      </c>
      <c r="G3482" t="s">
        <v>429</v>
      </c>
      <c r="H3482" t="s">
        <v>401</v>
      </c>
      <c r="I3482" t="s">
        <v>402</v>
      </c>
      <c r="J3482">
        <v>356425</v>
      </c>
      <c r="K3482">
        <v>20220902</v>
      </c>
      <c r="L3482" t="s">
        <v>565</v>
      </c>
      <c r="M3482">
        <v>211.61</v>
      </c>
      <c r="N3482">
        <v>0</v>
      </c>
      <c r="O3482" t="s">
        <v>19</v>
      </c>
      <c r="P3482" t="s">
        <v>20</v>
      </c>
      <c r="Q3482">
        <v>20220902</v>
      </c>
    </row>
    <row r="3483" spans="1:17" x14ac:dyDescent="0.25">
      <c r="A3483" t="s">
        <v>548</v>
      </c>
      <c r="B3483" t="s">
        <v>429</v>
      </c>
      <c r="C3483">
        <v>123</v>
      </c>
      <c r="D3483">
        <v>20220905</v>
      </c>
      <c r="E3483">
        <f t="shared" si="54"/>
        <v>9</v>
      </c>
      <c r="F3483">
        <v>467100</v>
      </c>
      <c r="G3483" t="s">
        <v>160</v>
      </c>
      <c r="H3483" t="s">
        <v>1014</v>
      </c>
      <c r="I3483" t="s">
        <v>1015</v>
      </c>
      <c r="J3483" t="s">
        <v>3456</v>
      </c>
      <c r="K3483">
        <v>20220905</v>
      </c>
      <c r="L3483" t="s">
        <v>3457</v>
      </c>
      <c r="M3483">
        <v>0</v>
      </c>
      <c r="N3483">
        <v>71</v>
      </c>
      <c r="O3483" t="s">
        <v>23</v>
      </c>
      <c r="P3483">
        <v>20220907</v>
      </c>
      <c r="Q3483">
        <v>20220905</v>
      </c>
    </row>
    <row r="3484" spans="1:17" x14ac:dyDescent="0.25">
      <c r="A3484" t="s">
        <v>548</v>
      </c>
      <c r="B3484" t="s">
        <v>429</v>
      </c>
      <c r="C3484">
        <v>123</v>
      </c>
      <c r="D3484">
        <v>20220905</v>
      </c>
      <c r="E3484">
        <f t="shared" si="54"/>
        <v>9</v>
      </c>
      <c r="F3484">
        <v>531105</v>
      </c>
      <c r="G3484" t="s">
        <v>429</v>
      </c>
      <c r="H3484" t="s">
        <v>401</v>
      </c>
      <c r="I3484" t="s">
        <v>402</v>
      </c>
      <c r="J3484" t="s">
        <v>3456</v>
      </c>
      <c r="K3484">
        <v>20220905</v>
      </c>
      <c r="L3484" t="s">
        <v>3457</v>
      </c>
      <c r="M3484">
        <v>71</v>
      </c>
      <c r="N3484">
        <v>0</v>
      </c>
      <c r="O3484" t="s">
        <v>19</v>
      </c>
      <c r="P3484" t="s">
        <v>20</v>
      </c>
      <c r="Q3484">
        <v>20220905</v>
      </c>
    </row>
    <row r="3485" spans="1:17" x14ac:dyDescent="0.25">
      <c r="A3485" t="s">
        <v>548</v>
      </c>
      <c r="B3485" t="s">
        <v>429</v>
      </c>
      <c r="C3485">
        <v>123</v>
      </c>
      <c r="D3485">
        <v>20220905</v>
      </c>
      <c r="E3485">
        <f t="shared" si="54"/>
        <v>9</v>
      </c>
      <c r="F3485">
        <v>467100</v>
      </c>
      <c r="G3485" t="s">
        <v>160</v>
      </c>
      <c r="H3485" t="s">
        <v>1014</v>
      </c>
      <c r="I3485" t="s">
        <v>1015</v>
      </c>
      <c r="J3485" t="s">
        <v>3458</v>
      </c>
      <c r="K3485">
        <v>20220905</v>
      </c>
      <c r="L3485" t="s">
        <v>3459</v>
      </c>
      <c r="M3485">
        <v>0</v>
      </c>
      <c r="N3485">
        <v>58.1</v>
      </c>
      <c r="O3485" t="s">
        <v>23</v>
      </c>
      <c r="P3485">
        <v>20220907</v>
      </c>
      <c r="Q3485">
        <v>20220905</v>
      </c>
    </row>
    <row r="3486" spans="1:17" x14ac:dyDescent="0.25">
      <c r="A3486" t="s">
        <v>548</v>
      </c>
      <c r="B3486" t="s">
        <v>429</v>
      </c>
      <c r="C3486">
        <v>123</v>
      </c>
      <c r="D3486">
        <v>20220905</v>
      </c>
      <c r="E3486">
        <f t="shared" si="54"/>
        <v>9</v>
      </c>
      <c r="F3486">
        <v>531105</v>
      </c>
      <c r="G3486" t="s">
        <v>429</v>
      </c>
      <c r="H3486" t="s">
        <v>401</v>
      </c>
      <c r="I3486" t="s">
        <v>402</v>
      </c>
      <c r="J3486" t="s">
        <v>3458</v>
      </c>
      <c r="K3486">
        <v>20220905</v>
      </c>
      <c r="L3486" t="s">
        <v>3459</v>
      </c>
      <c r="M3486">
        <v>58.1</v>
      </c>
      <c r="N3486">
        <v>0</v>
      </c>
      <c r="O3486" t="s">
        <v>19</v>
      </c>
      <c r="P3486" t="s">
        <v>20</v>
      </c>
      <c r="Q3486">
        <v>20220905</v>
      </c>
    </row>
    <row r="3487" spans="1:17" x14ac:dyDescent="0.25">
      <c r="A3487" t="s">
        <v>548</v>
      </c>
      <c r="B3487" t="s">
        <v>429</v>
      </c>
      <c r="C3487">
        <v>123</v>
      </c>
      <c r="D3487">
        <v>20220905</v>
      </c>
      <c r="E3487">
        <f t="shared" si="54"/>
        <v>9</v>
      </c>
      <c r="F3487">
        <v>411100</v>
      </c>
      <c r="G3487" t="s">
        <v>18</v>
      </c>
      <c r="H3487" t="s">
        <v>233</v>
      </c>
      <c r="I3487" t="s">
        <v>234</v>
      </c>
      <c r="J3487">
        <v>356459</v>
      </c>
      <c r="K3487">
        <v>20220905</v>
      </c>
      <c r="L3487" t="s">
        <v>3460</v>
      </c>
      <c r="M3487">
        <v>0</v>
      </c>
      <c r="N3487">
        <v>76.39</v>
      </c>
      <c r="O3487" t="s">
        <v>19</v>
      </c>
      <c r="P3487" t="s">
        <v>20</v>
      </c>
      <c r="Q3487">
        <v>20220905</v>
      </c>
    </row>
    <row r="3488" spans="1:17" x14ac:dyDescent="0.25">
      <c r="A3488" t="s">
        <v>548</v>
      </c>
      <c r="B3488" t="s">
        <v>429</v>
      </c>
      <c r="C3488">
        <v>123</v>
      </c>
      <c r="D3488">
        <v>20220905</v>
      </c>
      <c r="E3488">
        <f t="shared" si="54"/>
        <v>9</v>
      </c>
      <c r="F3488">
        <v>531105</v>
      </c>
      <c r="G3488" t="s">
        <v>429</v>
      </c>
      <c r="H3488" t="s">
        <v>401</v>
      </c>
      <c r="I3488" t="s">
        <v>402</v>
      </c>
      <c r="J3488">
        <v>356460</v>
      </c>
      <c r="K3488">
        <v>20220905</v>
      </c>
      <c r="L3488" t="s">
        <v>565</v>
      </c>
      <c r="M3488">
        <v>76.39</v>
      </c>
      <c r="N3488">
        <v>0</v>
      </c>
      <c r="O3488" t="s">
        <v>19</v>
      </c>
      <c r="P3488" t="s">
        <v>20</v>
      </c>
      <c r="Q3488">
        <v>20220905</v>
      </c>
    </row>
    <row r="3489" spans="1:17" x14ac:dyDescent="0.25">
      <c r="A3489" t="s">
        <v>548</v>
      </c>
      <c r="B3489" t="s">
        <v>429</v>
      </c>
      <c r="C3489">
        <v>123</v>
      </c>
      <c r="D3489">
        <v>20220906</v>
      </c>
      <c r="E3489">
        <f t="shared" si="54"/>
        <v>9</v>
      </c>
      <c r="F3489">
        <v>467100</v>
      </c>
      <c r="G3489" t="s">
        <v>160</v>
      </c>
      <c r="H3489" t="s">
        <v>183</v>
      </c>
      <c r="I3489" t="s">
        <v>184</v>
      </c>
      <c r="J3489" t="s">
        <v>3461</v>
      </c>
      <c r="K3489">
        <v>20220906</v>
      </c>
      <c r="L3489" t="s">
        <v>3462</v>
      </c>
      <c r="M3489">
        <v>0</v>
      </c>
      <c r="N3489">
        <v>3.87</v>
      </c>
      <c r="O3489" t="s">
        <v>23</v>
      </c>
      <c r="P3489">
        <v>20220907</v>
      </c>
      <c r="Q3489">
        <v>20220906</v>
      </c>
    </row>
    <row r="3490" spans="1:17" x14ac:dyDescent="0.25">
      <c r="A3490" t="s">
        <v>548</v>
      </c>
      <c r="B3490" t="s">
        <v>429</v>
      </c>
      <c r="C3490">
        <v>123</v>
      </c>
      <c r="D3490">
        <v>20220906</v>
      </c>
      <c r="E3490">
        <f t="shared" si="54"/>
        <v>9</v>
      </c>
      <c r="F3490">
        <v>531105</v>
      </c>
      <c r="G3490" t="s">
        <v>429</v>
      </c>
      <c r="H3490" t="s">
        <v>401</v>
      </c>
      <c r="I3490" t="s">
        <v>402</v>
      </c>
      <c r="J3490" t="s">
        <v>3461</v>
      </c>
      <c r="K3490">
        <v>20220906</v>
      </c>
      <c r="L3490" t="s">
        <v>3462</v>
      </c>
      <c r="M3490">
        <v>3.87</v>
      </c>
      <c r="N3490">
        <v>0</v>
      </c>
      <c r="O3490" t="s">
        <v>19</v>
      </c>
      <c r="P3490" t="s">
        <v>20</v>
      </c>
      <c r="Q3490">
        <v>20220906</v>
      </c>
    </row>
    <row r="3491" spans="1:17" x14ac:dyDescent="0.25">
      <c r="A3491" t="s">
        <v>548</v>
      </c>
      <c r="B3491" t="s">
        <v>429</v>
      </c>
      <c r="C3491">
        <v>123</v>
      </c>
      <c r="D3491">
        <v>20220906</v>
      </c>
      <c r="E3491">
        <f t="shared" si="54"/>
        <v>9</v>
      </c>
      <c r="F3491">
        <v>467100</v>
      </c>
      <c r="G3491" t="s">
        <v>160</v>
      </c>
      <c r="H3491" t="s">
        <v>183</v>
      </c>
      <c r="I3491" t="s">
        <v>184</v>
      </c>
      <c r="J3491" t="s">
        <v>3463</v>
      </c>
      <c r="K3491">
        <v>20220906</v>
      </c>
      <c r="L3491" t="s">
        <v>3464</v>
      </c>
      <c r="M3491">
        <v>0</v>
      </c>
      <c r="N3491">
        <v>7</v>
      </c>
      <c r="O3491" t="s">
        <v>23</v>
      </c>
      <c r="P3491">
        <v>20220907</v>
      </c>
      <c r="Q3491">
        <v>20220906</v>
      </c>
    </row>
    <row r="3492" spans="1:17" x14ac:dyDescent="0.25">
      <c r="A3492" t="s">
        <v>548</v>
      </c>
      <c r="B3492" t="s">
        <v>429</v>
      </c>
      <c r="C3492">
        <v>123</v>
      </c>
      <c r="D3492">
        <v>20220906</v>
      </c>
      <c r="E3492">
        <f t="shared" si="54"/>
        <v>9</v>
      </c>
      <c r="F3492">
        <v>531105</v>
      </c>
      <c r="G3492" t="s">
        <v>429</v>
      </c>
      <c r="H3492" t="s">
        <v>401</v>
      </c>
      <c r="I3492" t="s">
        <v>402</v>
      </c>
      <c r="J3492" t="s">
        <v>3463</v>
      </c>
      <c r="K3492">
        <v>20220906</v>
      </c>
      <c r="L3492" t="s">
        <v>3464</v>
      </c>
      <c r="M3492">
        <v>7</v>
      </c>
      <c r="N3492">
        <v>0</v>
      </c>
      <c r="O3492" t="s">
        <v>19</v>
      </c>
      <c r="P3492" t="s">
        <v>20</v>
      </c>
      <c r="Q3492">
        <v>20220906</v>
      </c>
    </row>
    <row r="3493" spans="1:17" x14ac:dyDescent="0.25">
      <c r="A3493" t="s">
        <v>548</v>
      </c>
      <c r="B3493" t="s">
        <v>429</v>
      </c>
      <c r="C3493">
        <v>123</v>
      </c>
      <c r="D3493">
        <v>20220906</v>
      </c>
      <c r="E3493">
        <f t="shared" si="54"/>
        <v>9</v>
      </c>
      <c r="F3493">
        <v>467100</v>
      </c>
      <c r="G3493" t="s">
        <v>160</v>
      </c>
      <c r="H3493" t="s">
        <v>631</v>
      </c>
      <c r="I3493" t="s">
        <v>632</v>
      </c>
      <c r="J3493" t="s">
        <v>3465</v>
      </c>
      <c r="K3493">
        <v>20220906</v>
      </c>
      <c r="L3493" t="s">
        <v>3466</v>
      </c>
      <c r="M3493">
        <v>255</v>
      </c>
      <c r="N3493">
        <v>0</v>
      </c>
      <c r="O3493" t="s">
        <v>23</v>
      </c>
      <c r="P3493">
        <v>20221109</v>
      </c>
      <c r="Q3493">
        <v>20220906</v>
      </c>
    </row>
    <row r="3494" spans="1:17" x14ac:dyDescent="0.25">
      <c r="A3494" t="s">
        <v>548</v>
      </c>
      <c r="B3494" t="s">
        <v>429</v>
      </c>
      <c r="C3494">
        <v>123</v>
      </c>
      <c r="D3494">
        <v>20220906</v>
      </c>
      <c r="E3494">
        <f t="shared" si="54"/>
        <v>9</v>
      </c>
      <c r="F3494">
        <v>531105</v>
      </c>
      <c r="G3494" t="s">
        <v>429</v>
      </c>
      <c r="H3494" t="s">
        <v>401</v>
      </c>
      <c r="I3494" t="s">
        <v>402</v>
      </c>
      <c r="J3494" t="s">
        <v>3465</v>
      </c>
      <c r="K3494">
        <v>20220906</v>
      </c>
      <c r="L3494" t="s">
        <v>3466</v>
      </c>
      <c r="M3494">
        <v>0</v>
      </c>
      <c r="N3494">
        <v>255</v>
      </c>
      <c r="O3494" t="s">
        <v>19</v>
      </c>
      <c r="P3494" t="s">
        <v>20</v>
      </c>
      <c r="Q3494">
        <v>20220906</v>
      </c>
    </row>
    <row r="3495" spans="1:17" x14ac:dyDescent="0.25">
      <c r="A3495" t="s">
        <v>548</v>
      </c>
      <c r="B3495" t="s">
        <v>429</v>
      </c>
      <c r="C3495">
        <v>123</v>
      </c>
      <c r="D3495">
        <v>20220906</v>
      </c>
      <c r="E3495">
        <f t="shared" si="54"/>
        <v>9</v>
      </c>
      <c r="F3495">
        <v>467100</v>
      </c>
      <c r="G3495" t="s">
        <v>160</v>
      </c>
      <c r="H3495" t="s">
        <v>1014</v>
      </c>
      <c r="I3495" t="s">
        <v>1015</v>
      </c>
      <c r="J3495" t="s">
        <v>3467</v>
      </c>
      <c r="K3495">
        <v>20220906</v>
      </c>
      <c r="L3495" t="s">
        <v>3468</v>
      </c>
      <c r="M3495">
        <v>12.99</v>
      </c>
      <c r="N3495">
        <v>0</v>
      </c>
      <c r="O3495" t="s">
        <v>23</v>
      </c>
      <c r="P3495">
        <v>20220907</v>
      </c>
      <c r="Q3495">
        <v>20220906</v>
      </c>
    </row>
    <row r="3496" spans="1:17" x14ac:dyDescent="0.25">
      <c r="A3496" t="s">
        <v>548</v>
      </c>
      <c r="B3496" t="s">
        <v>429</v>
      </c>
      <c r="C3496">
        <v>123</v>
      </c>
      <c r="D3496">
        <v>20220906</v>
      </c>
      <c r="E3496">
        <f t="shared" si="54"/>
        <v>9</v>
      </c>
      <c r="F3496">
        <v>531105</v>
      </c>
      <c r="G3496" t="s">
        <v>429</v>
      </c>
      <c r="H3496" t="s">
        <v>401</v>
      </c>
      <c r="I3496" t="s">
        <v>402</v>
      </c>
      <c r="J3496" t="s">
        <v>3467</v>
      </c>
      <c r="K3496">
        <v>20220906</v>
      </c>
      <c r="L3496" t="s">
        <v>3468</v>
      </c>
      <c r="M3496">
        <v>0</v>
      </c>
      <c r="N3496">
        <v>12.99</v>
      </c>
      <c r="O3496" t="s">
        <v>19</v>
      </c>
      <c r="P3496" t="s">
        <v>20</v>
      </c>
      <c r="Q3496">
        <v>20220906</v>
      </c>
    </row>
    <row r="3497" spans="1:17" x14ac:dyDescent="0.25">
      <c r="A3497" t="s">
        <v>548</v>
      </c>
      <c r="B3497" t="s">
        <v>429</v>
      </c>
      <c r="C3497">
        <v>123</v>
      </c>
      <c r="D3497">
        <v>20220906</v>
      </c>
      <c r="E3497">
        <f t="shared" si="54"/>
        <v>9</v>
      </c>
      <c r="F3497">
        <v>467100</v>
      </c>
      <c r="G3497" t="s">
        <v>160</v>
      </c>
      <c r="H3497" t="s">
        <v>3392</v>
      </c>
      <c r="I3497" t="s">
        <v>3393</v>
      </c>
      <c r="J3497" t="s">
        <v>3469</v>
      </c>
      <c r="K3497">
        <v>20220906</v>
      </c>
      <c r="L3497" t="s">
        <v>3470</v>
      </c>
      <c r="M3497">
        <v>84.95</v>
      </c>
      <c r="N3497">
        <v>0</v>
      </c>
      <c r="O3497" t="s">
        <v>23</v>
      </c>
      <c r="P3497">
        <v>20220907</v>
      </c>
      <c r="Q3497">
        <v>20220906</v>
      </c>
    </row>
    <row r="3498" spans="1:17" x14ac:dyDescent="0.25">
      <c r="A3498" t="s">
        <v>548</v>
      </c>
      <c r="B3498" t="s">
        <v>429</v>
      </c>
      <c r="C3498">
        <v>123</v>
      </c>
      <c r="D3498">
        <v>20220906</v>
      </c>
      <c r="E3498">
        <f t="shared" si="54"/>
        <v>9</v>
      </c>
      <c r="F3498">
        <v>531105</v>
      </c>
      <c r="G3498" t="s">
        <v>429</v>
      </c>
      <c r="H3498" t="s">
        <v>401</v>
      </c>
      <c r="I3498" t="s">
        <v>402</v>
      </c>
      <c r="J3498" t="s">
        <v>3469</v>
      </c>
      <c r="K3498">
        <v>20220906</v>
      </c>
      <c r="L3498" t="s">
        <v>3470</v>
      </c>
      <c r="M3498">
        <v>0</v>
      </c>
      <c r="N3498">
        <v>84.95</v>
      </c>
      <c r="O3498" t="s">
        <v>19</v>
      </c>
      <c r="P3498" t="s">
        <v>20</v>
      </c>
      <c r="Q3498">
        <v>20220906</v>
      </c>
    </row>
    <row r="3499" spans="1:17" x14ac:dyDescent="0.25">
      <c r="A3499" t="s">
        <v>548</v>
      </c>
      <c r="B3499" t="s">
        <v>429</v>
      </c>
      <c r="C3499">
        <v>123</v>
      </c>
      <c r="D3499">
        <v>20220912</v>
      </c>
      <c r="E3499">
        <f t="shared" si="54"/>
        <v>9</v>
      </c>
      <c r="F3499">
        <v>411100</v>
      </c>
      <c r="G3499" t="s">
        <v>18</v>
      </c>
      <c r="H3499" t="s">
        <v>237</v>
      </c>
      <c r="I3499" t="s">
        <v>238</v>
      </c>
      <c r="J3499">
        <v>122080156</v>
      </c>
      <c r="K3499">
        <v>20220912</v>
      </c>
      <c r="L3499" t="s">
        <v>3471</v>
      </c>
      <c r="M3499">
        <v>0</v>
      </c>
      <c r="N3499">
        <v>5</v>
      </c>
      <c r="O3499" t="s">
        <v>19</v>
      </c>
      <c r="P3499" t="s">
        <v>20</v>
      </c>
      <c r="Q3499">
        <v>20220912</v>
      </c>
    </row>
    <row r="3500" spans="1:17" x14ac:dyDescent="0.25">
      <c r="A3500" t="s">
        <v>548</v>
      </c>
      <c r="B3500" t="s">
        <v>429</v>
      </c>
      <c r="C3500">
        <v>123</v>
      </c>
      <c r="D3500">
        <v>20220912</v>
      </c>
      <c r="E3500">
        <f t="shared" si="54"/>
        <v>9</v>
      </c>
      <c r="F3500">
        <v>411100</v>
      </c>
      <c r="G3500" t="s">
        <v>18</v>
      </c>
      <c r="H3500" t="s">
        <v>3328</v>
      </c>
      <c r="I3500" t="s">
        <v>3329</v>
      </c>
      <c r="J3500">
        <v>356427</v>
      </c>
      <c r="K3500">
        <v>20220912</v>
      </c>
      <c r="L3500" t="s">
        <v>3472</v>
      </c>
      <c r="M3500">
        <v>0</v>
      </c>
      <c r="N3500">
        <v>5</v>
      </c>
      <c r="O3500" t="s">
        <v>22</v>
      </c>
      <c r="P3500">
        <v>20230218</v>
      </c>
      <c r="Q3500">
        <v>20220912</v>
      </c>
    </row>
    <row r="3501" spans="1:17" x14ac:dyDescent="0.25">
      <c r="A3501" t="s">
        <v>548</v>
      </c>
      <c r="B3501" t="s">
        <v>429</v>
      </c>
      <c r="C3501">
        <v>123</v>
      </c>
      <c r="D3501">
        <v>20220912</v>
      </c>
      <c r="E3501">
        <f t="shared" si="54"/>
        <v>9</v>
      </c>
      <c r="F3501">
        <v>411100</v>
      </c>
      <c r="G3501" t="s">
        <v>18</v>
      </c>
      <c r="H3501" t="s">
        <v>1911</v>
      </c>
      <c r="I3501" t="s">
        <v>1912</v>
      </c>
      <c r="J3501">
        <v>356428</v>
      </c>
      <c r="K3501">
        <v>20220912</v>
      </c>
      <c r="L3501" t="s">
        <v>3473</v>
      </c>
      <c r="M3501">
        <v>0</v>
      </c>
      <c r="N3501">
        <v>3</v>
      </c>
      <c r="O3501" t="s">
        <v>19</v>
      </c>
      <c r="P3501" t="s">
        <v>20</v>
      </c>
      <c r="Q3501">
        <v>20220912</v>
      </c>
    </row>
    <row r="3502" spans="1:17" x14ac:dyDescent="0.25">
      <c r="A3502" t="s">
        <v>548</v>
      </c>
      <c r="B3502" t="s">
        <v>429</v>
      </c>
      <c r="C3502">
        <v>123</v>
      </c>
      <c r="D3502">
        <v>20220912</v>
      </c>
      <c r="E3502">
        <f t="shared" si="54"/>
        <v>9</v>
      </c>
      <c r="F3502">
        <v>411100</v>
      </c>
      <c r="G3502" t="s">
        <v>18</v>
      </c>
      <c r="H3502" t="s">
        <v>657</v>
      </c>
      <c r="I3502" t="s">
        <v>658</v>
      </c>
      <c r="J3502">
        <v>356429</v>
      </c>
      <c r="K3502">
        <v>20220912</v>
      </c>
      <c r="L3502" t="s">
        <v>3474</v>
      </c>
      <c r="M3502">
        <v>0</v>
      </c>
      <c r="N3502">
        <v>6.75</v>
      </c>
      <c r="O3502" t="s">
        <v>19</v>
      </c>
      <c r="P3502" t="s">
        <v>20</v>
      </c>
      <c r="Q3502">
        <v>20220912</v>
      </c>
    </row>
    <row r="3503" spans="1:17" x14ac:dyDescent="0.25">
      <c r="A3503" t="s">
        <v>548</v>
      </c>
      <c r="B3503" t="s">
        <v>429</v>
      </c>
      <c r="C3503">
        <v>123</v>
      </c>
      <c r="D3503">
        <v>20220912</v>
      </c>
      <c r="E3503">
        <f t="shared" si="54"/>
        <v>9</v>
      </c>
      <c r="F3503">
        <v>411100</v>
      </c>
      <c r="G3503" t="s">
        <v>18</v>
      </c>
      <c r="H3503" t="s">
        <v>657</v>
      </c>
      <c r="I3503" t="s">
        <v>658</v>
      </c>
      <c r="J3503">
        <v>356430</v>
      </c>
      <c r="K3503">
        <v>20220912</v>
      </c>
      <c r="L3503" t="s">
        <v>3475</v>
      </c>
      <c r="M3503">
        <v>3.75</v>
      </c>
      <c r="N3503">
        <v>0</v>
      </c>
      <c r="O3503" t="s">
        <v>22</v>
      </c>
      <c r="P3503">
        <v>20230218</v>
      </c>
      <c r="Q3503">
        <v>20220912</v>
      </c>
    </row>
    <row r="3504" spans="1:17" x14ac:dyDescent="0.25">
      <c r="A3504" t="s">
        <v>548</v>
      </c>
      <c r="B3504" t="s">
        <v>429</v>
      </c>
      <c r="C3504">
        <v>123</v>
      </c>
      <c r="D3504">
        <v>20220912</v>
      </c>
      <c r="E3504">
        <f t="shared" si="54"/>
        <v>9</v>
      </c>
      <c r="F3504">
        <v>411100</v>
      </c>
      <c r="G3504" t="s">
        <v>18</v>
      </c>
      <c r="H3504" t="s">
        <v>291</v>
      </c>
      <c r="I3504" t="s">
        <v>292</v>
      </c>
      <c r="J3504">
        <v>122070181</v>
      </c>
      <c r="K3504">
        <v>20220912</v>
      </c>
      <c r="L3504" t="s">
        <v>3476</v>
      </c>
      <c r="M3504">
        <v>0</v>
      </c>
      <c r="N3504">
        <v>37.4</v>
      </c>
      <c r="O3504" t="s">
        <v>19</v>
      </c>
      <c r="P3504" t="s">
        <v>20</v>
      </c>
      <c r="Q3504">
        <v>20220912</v>
      </c>
    </row>
    <row r="3505" spans="1:17" x14ac:dyDescent="0.25">
      <c r="A3505" t="s">
        <v>548</v>
      </c>
      <c r="B3505" t="s">
        <v>429</v>
      </c>
      <c r="C3505">
        <v>123</v>
      </c>
      <c r="D3505">
        <v>20220912</v>
      </c>
      <c r="E3505">
        <f t="shared" si="54"/>
        <v>9</v>
      </c>
      <c r="F3505">
        <v>411100</v>
      </c>
      <c r="G3505" t="s">
        <v>18</v>
      </c>
      <c r="H3505" t="s">
        <v>291</v>
      </c>
      <c r="I3505" t="s">
        <v>292</v>
      </c>
      <c r="J3505">
        <v>122070181</v>
      </c>
      <c r="K3505">
        <v>20220912</v>
      </c>
      <c r="L3505" t="s">
        <v>3477</v>
      </c>
      <c r="M3505">
        <v>0</v>
      </c>
      <c r="N3505">
        <v>2.6</v>
      </c>
      <c r="O3505" t="s">
        <v>19</v>
      </c>
      <c r="P3505" t="s">
        <v>20</v>
      </c>
      <c r="Q3505">
        <v>20220912</v>
      </c>
    </row>
    <row r="3506" spans="1:17" x14ac:dyDescent="0.25">
      <c r="A3506" t="s">
        <v>548</v>
      </c>
      <c r="B3506" t="s">
        <v>429</v>
      </c>
      <c r="C3506">
        <v>123</v>
      </c>
      <c r="D3506">
        <v>20220912</v>
      </c>
      <c r="E3506">
        <f t="shared" si="54"/>
        <v>9</v>
      </c>
      <c r="F3506">
        <v>411100</v>
      </c>
      <c r="G3506" t="s">
        <v>18</v>
      </c>
      <c r="H3506" t="s">
        <v>352</v>
      </c>
      <c r="I3506" t="s">
        <v>353</v>
      </c>
      <c r="J3506">
        <v>122080069</v>
      </c>
      <c r="K3506">
        <v>20220912</v>
      </c>
      <c r="L3506" t="s">
        <v>3478</v>
      </c>
      <c r="M3506">
        <v>0</v>
      </c>
      <c r="N3506">
        <v>43.47</v>
      </c>
      <c r="O3506" t="s">
        <v>19</v>
      </c>
      <c r="P3506" t="s">
        <v>20</v>
      </c>
      <c r="Q3506">
        <v>20220912</v>
      </c>
    </row>
    <row r="3507" spans="1:17" x14ac:dyDescent="0.25">
      <c r="A3507" t="s">
        <v>548</v>
      </c>
      <c r="B3507" t="s">
        <v>429</v>
      </c>
      <c r="C3507">
        <v>123</v>
      </c>
      <c r="D3507">
        <v>20220912</v>
      </c>
      <c r="E3507">
        <f t="shared" si="54"/>
        <v>9</v>
      </c>
      <c r="F3507">
        <v>411100</v>
      </c>
      <c r="G3507" t="s">
        <v>18</v>
      </c>
      <c r="H3507" t="s">
        <v>352</v>
      </c>
      <c r="I3507" t="s">
        <v>353</v>
      </c>
      <c r="J3507">
        <v>122080069</v>
      </c>
      <c r="K3507">
        <v>20220912</v>
      </c>
      <c r="L3507" t="s">
        <v>3479</v>
      </c>
      <c r="M3507">
        <v>0</v>
      </c>
      <c r="N3507">
        <v>4.03</v>
      </c>
      <c r="O3507" t="s">
        <v>22</v>
      </c>
      <c r="P3507">
        <v>20230218</v>
      </c>
      <c r="Q3507">
        <v>20220912</v>
      </c>
    </row>
    <row r="3508" spans="1:17" x14ac:dyDescent="0.25">
      <c r="A3508" t="s">
        <v>548</v>
      </c>
      <c r="B3508" t="s">
        <v>429</v>
      </c>
      <c r="C3508">
        <v>123</v>
      </c>
      <c r="D3508">
        <v>20220912</v>
      </c>
      <c r="E3508">
        <f t="shared" si="54"/>
        <v>9</v>
      </c>
      <c r="F3508">
        <v>411100</v>
      </c>
      <c r="G3508" t="s">
        <v>18</v>
      </c>
      <c r="H3508" t="s">
        <v>352</v>
      </c>
      <c r="I3508" t="s">
        <v>353</v>
      </c>
      <c r="J3508">
        <v>122070171</v>
      </c>
      <c r="K3508">
        <v>20220912</v>
      </c>
      <c r="L3508" t="s">
        <v>3480</v>
      </c>
      <c r="M3508">
        <v>0</v>
      </c>
      <c r="N3508">
        <v>10</v>
      </c>
      <c r="O3508" t="s">
        <v>22</v>
      </c>
      <c r="P3508">
        <v>20230218</v>
      </c>
      <c r="Q3508">
        <v>20220912</v>
      </c>
    </row>
    <row r="3509" spans="1:17" x14ac:dyDescent="0.25">
      <c r="A3509" t="s">
        <v>548</v>
      </c>
      <c r="B3509" t="s">
        <v>429</v>
      </c>
      <c r="C3509">
        <v>123</v>
      </c>
      <c r="D3509">
        <v>20220912</v>
      </c>
      <c r="E3509">
        <f t="shared" si="54"/>
        <v>9</v>
      </c>
      <c r="F3509">
        <v>411100</v>
      </c>
      <c r="G3509" t="s">
        <v>18</v>
      </c>
      <c r="H3509" t="s">
        <v>352</v>
      </c>
      <c r="I3509" t="s">
        <v>353</v>
      </c>
      <c r="J3509">
        <v>122070171</v>
      </c>
      <c r="K3509">
        <v>20220912</v>
      </c>
      <c r="L3509" t="s">
        <v>3481</v>
      </c>
      <c r="M3509">
        <v>4.03</v>
      </c>
      <c r="N3509">
        <v>0</v>
      </c>
      <c r="O3509" t="s">
        <v>22</v>
      </c>
      <c r="P3509">
        <v>20230218</v>
      </c>
      <c r="Q3509">
        <v>20220912</v>
      </c>
    </row>
    <row r="3510" spans="1:17" x14ac:dyDescent="0.25">
      <c r="A3510" t="s">
        <v>548</v>
      </c>
      <c r="B3510" t="s">
        <v>429</v>
      </c>
      <c r="C3510">
        <v>123</v>
      </c>
      <c r="D3510">
        <v>20220912</v>
      </c>
      <c r="E3510">
        <f t="shared" si="54"/>
        <v>9</v>
      </c>
      <c r="F3510">
        <v>531105</v>
      </c>
      <c r="G3510" t="s">
        <v>429</v>
      </c>
      <c r="H3510" t="s">
        <v>401</v>
      </c>
      <c r="I3510" t="s">
        <v>402</v>
      </c>
      <c r="J3510">
        <v>356437</v>
      </c>
      <c r="K3510">
        <v>20220912</v>
      </c>
      <c r="L3510" t="s">
        <v>565</v>
      </c>
      <c r="M3510">
        <v>109.47</v>
      </c>
      <c r="N3510">
        <v>0</v>
      </c>
      <c r="O3510" t="s">
        <v>19</v>
      </c>
      <c r="P3510" t="s">
        <v>20</v>
      </c>
      <c r="Q3510">
        <v>20220912</v>
      </c>
    </row>
    <row r="3511" spans="1:17" x14ac:dyDescent="0.25">
      <c r="A3511" t="s">
        <v>548</v>
      </c>
      <c r="B3511" t="s">
        <v>429</v>
      </c>
      <c r="C3511">
        <v>123</v>
      </c>
      <c r="D3511">
        <v>20220912</v>
      </c>
      <c r="E3511">
        <f t="shared" si="54"/>
        <v>9</v>
      </c>
      <c r="F3511">
        <v>411100</v>
      </c>
      <c r="G3511" t="s">
        <v>18</v>
      </c>
      <c r="H3511" t="s">
        <v>352</v>
      </c>
      <c r="I3511" t="s">
        <v>353</v>
      </c>
      <c r="J3511">
        <v>356461</v>
      </c>
      <c r="K3511">
        <v>20220912</v>
      </c>
      <c r="L3511" t="s">
        <v>3482</v>
      </c>
      <c r="M3511">
        <v>0</v>
      </c>
      <c r="N3511">
        <v>152.5</v>
      </c>
      <c r="O3511" t="s">
        <v>22</v>
      </c>
      <c r="P3511">
        <v>20230218</v>
      </c>
      <c r="Q3511">
        <v>20220912</v>
      </c>
    </row>
    <row r="3512" spans="1:17" x14ac:dyDescent="0.25">
      <c r="A3512" t="s">
        <v>548</v>
      </c>
      <c r="B3512" t="s">
        <v>429</v>
      </c>
      <c r="C3512">
        <v>123</v>
      </c>
      <c r="D3512">
        <v>20220912</v>
      </c>
      <c r="E3512">
        <f t="shared" si="54"/>
        <v>9</v>
      </c>
      <c r="F3512">
        <v>531105</v>
      </c>
      <c r="G3512" t="s">
        <v>429</v>
      </c>
      <c r="H3512" t="s">
        <v>401</v>
      </c>
      <c r="I3512" t="s">
        <v>402</v>
      </c>
      <c r="J3512">
        <v>356462</v>
      </c>
      <c r="K3512">
        <v>20220912</v>
      </c>
      <c r="L3512" t="s">
        <v>565</v>
      </c>
      <c r="M3512">
        <v>152.5</v>
      </c>
      <c r="N3512">
        <v>0</v>
      </c>
      <c r="O3512" t="s">
        <v>19</v>
      </c>
      <c r="P3512" t="s">
        <v>20</v>
      </c>
      <c r="Q3512">
        <v>20220912</v>
      </c>
    </row>
    <row r="3513" spans="1:17" x14ac:dyDescent="0.25">
      <c r="A3513" t="s">
        <v>548</v>
      </c>
      <c r="B3513" t="s">
        <v>429</v>
      </c>
      <c r="C3513">
        <v>123</v>
      </c>
      <c r="D3513">
        <v>20220913</v>
      </c>
      <c r="E3513">
        <f t="shared" si="54"/>
        <v>9</v>
      </c>
      <c r="F3513">
        <v>467100</v>
      </c>
      <c r="G3513" t="s">
        <v>160</v>
      </c>
      <c r="H3513" t="s">
        <v>1307</v>
      </c>
      <c r="I3513" t="s">
        <v>1308</v>
      </c>
      <c r="J3513" t="s">
        <v>3483</v>
      </c>
      <c r="K3513">
        <v>20220913</v>
      </c>
      <c r="L3513" t="s">
        <v>3484</v>
      </c>
      <c r="M3513">
        <v>110</v>
      </c>
      <c r="N3513">
        <v>0</v>
      </c>
      <c r="O3513" t="s">
        <v>23</v>
      </c>
      <c r="P3513">
        <v>20220920</v>
      </c>
      <c r="Q3513">
        <v>20220913</v>
      </c>
    </row>
    <row r="3514" spans="1:17" x14ac:dyDescent="0.25">
      <c r="A3514" t="s">
        <v>548</v>
      </c>
      <c r="B3514" t="s">
        <v>429</v>
      </c>
      <c r="C3514">
        <v>123</v>
      </c>
      <c r="D3514">
        <v>20220913</v>
      </c>
      <c r="E3514">
        <f t="shared" si="54"/>
        <v>9</v>
      </c>
      <c r="F3514">
        <v>531105</v>
      </c>
      <c r="G3514" t="s">
        <v>429</v>
      </c>
      <c r="H3514" t="s">
        <v>401</v>
      </c>
      <c r="I3514" t="s">
        <v>402</v>
      </c>
      <c r="J3514" t="s">
        <v>3483</v>
      </c>
      <c r="K3514">
        <v>20220913</v>
      </c>
      <c r="L3514" t="s">
        <v>3484</v>
      </c>
      <c r="M3514">
        <v>0</v>
      </c>
      <c r="N3514">
        <v>110</v>
      </c>
      <c r="O3514" t="s">
        <v>19</v>
      </c>
      <c r="P3514" t="s">
        <v>20</v>
      </c>
      <c r="Q3514">
        <v>20220913</v>
      </c>
    </row>
    <row r="3515" spans="1:17" x14ac:dyDescent="0.25">
      <c r="A3515" t="s">
        <v>548</v>
      </c>
      <c r="B3515" t="s">
        <v>429</v>
      </c>
      <c r="C3515">
        <v>123</v>
      </c>
      <c r="D3515">
        <v>20220913</v>
      </c>
      <c r="E3515">
        <f t="shared" si="54"/>
        <v>9</v>
      </c>
      <c r="F3515">
        <v>467100</v>
      </c>
      <c r="G3515" t="s">
        <v>160</v>
      </c>
      <c r="H3515" t="s">
        <v>668</v>
      </c>
      <c r="I3515" t="s">
        <v>669</v>
      </c>
      <c r="J3515" t="s">
        <v>3485</v>
      </c>
      <c r="K3515">
        <v>20220913</v>
      </c>
      <c r="L3515" t="s">
        <v>3486</v>
      </c>
      <c r="M3515">
        <v>33.979999999999997</v>
      </c>
      <c r="N3515">
        <v>0</v>
      </c>
      <c r="O3515" t="s">
        <v>23</v>
      </c>
      <c r="P3515">
        <v>20221005</v>
      </c>
      <c r="Q3515">
        <v>20220913</v>
      </c>
    </row>
    <row r="3516" spans="1:17" x14ac:dyDescent="0.25">
      <c r="A3516" t="s">
        <v>548</v>
      </c>
      <c r="B3516" t="s">
        <v>429</v>
      </c>
      <c r="C3516">
        <v>123</v>
      </c>
      <c r="D3516">
        <v>20220913</v>
      </c>
      <c r="E3516">
        <f t="shared" si="54"/>
        <v>9</v>
      </c>
      <c r="F3516">
        <v>531105</v>
      </c>
      <c r="G3516" t="s">
        <v>429</v>
      </c>
      <c r="H3516" t="s">
        <v>401</v>
      </c>
      <c r="I3516" t="s">
        <v>402</v>
      </c>
      <c r="J3516" t="s">
        <v>3485</v>
      </c>
      <c r="K3516">
        <v>20220913</v>
      </c>
      <c r="L3516" t="s">
        <v>3486</v>
      </c>
      <c r="M3516">
        <v>0</v>
      </c>
      <c r="N3516">
        <v>33.979999999999997</v>
      </c>
      <c r="O3516" t="s">
        <v>19</v>
      </c>
      <c r="P3516" t="s">
        <v>20</v>
      </c>
      <c r="Q3516">
        <v>20220913</v>
      </c>
    </row>
    <row r="3517" spans="1:17" x14ac:dyDescent="0.25">
      <c r="A3517" t="s">
        <v>548</v>
      </c>
      <c r="B3517" t="s">
        <v>429</v>
      </c>
      <c r="C3517">
        <v>123</v>
      </c>
      <c r="D3517">
        <v>20220913</v>
      </c>
      <c r="E3517">
        <f t="shared" si="54"/>
        <v>9</v>
      </c>
      <c r="F3517">
        <v>411100</v>
      </c>
      <c r="G3517" t="s">
        <v>18</v>
      </c>
      <c r="H3517" t="s">
        <v>3106</v>
      </c>
      <c r="I3517" t="s">
        <v>3107</v>
      </c>
      <c r="J3517">
        <v>356438</v>
      </c>
      <c r="K3517">
        <v>20220913</v>
      </c>
      <c r="L3517" t="s">
        <v>3487</v>
      </c>
      <c r="M3517">
        <v>0</v>
      </c>
      <c r="N3517">
        <v>4</v>
      </c>
      <c r="O3517" t="s">
        <v>22</v>
      </c>
      <c r="P3517">
        <v>20230218</v>
      </c>
      <c r="Q3517">
        <v>20220913</v>
      </c>
    </row>
    <row r="3518" spans="1:17" x14ac:dyDescent="0.25">
      <c r="A3518" t="s">
        <v>548</v>
      </c>
      <c r="B3518" t="s">
        <v>429</v>
      </c>
      <c r="C3518">
        <v>123</v>
      </c>
      <c r="D3518">
        <v>20220913</v>
      </c>
      <c r="E3518">
        <f t="shared" si="54"/>
        <v>9</v>
      </c>
      <c r="F3518">
        <v>411100</v>
      </c>
      <c r="G3518" t="s">
        <v>18</v>
      </c>
      <c r="H3518" t="s">
        <v>150</v>
      </c>
      <c r="I3518" t="s">
        <v>151</v>
      </c>
      <c r="J3518">
        <v>122020157</v>
      </c>
      <c r="K3518">
        <v>20220913</v>
      </c>
      <c r="L3518" t="s">
        <v>3488</v>
      </c>
      <c r="M3518">
        <v>0</v>
      </c>
      <c r="N3518">
        <v>10.38</v>
      </c>
      <c r="O3518" t="s">
        <v>19</v>
      </c>
      <c r="P3518" t="s">
        <v>20</v>
      </c>
      <c r="Q3518">
        <v>20220913</v>
      </c>
    </row>
    <row r="3519" spans="1:17" x14ac:dyDescent="0.25">
      <c r="A3519" t="s">
        <v>548</v>
      </c>
      <c r="B3519" t="s">
        <v>429</v>
      </c>
      <c r="C3519">
        <v>123</v>
      </c>
      <c r="D3519">
        <v>20220913</v>
      </c>
      <c r="E3519">
        <f t="shared" si="54"/>
        <v>9</v>
      </c>
      <c r="F3519">
        <v>411100</v>
      </c>
      <c r="G3519" t="s">
        <v>18</v>
      </c>
      <c r="H3519" t="s">
        <v>150</v>
      </c>
      <c r="I3519" t="s">
        <v>151</v>
      </c>
      <c r="J3519">
        <v>122020157</v>
      </c>
      <c r="K3519">
        <v>20220913</v>
      </c>
      <c r="L3519" t="s">
        <v>3489</v>
      </c>
      <c r="M3519">
        <v>3.38</v>
      </c>
      <c r="N3519">
        <v>0</v>
      </c>
      <c r="O3519" t="s">
        <v>22</v>
      </c>
      <c r="P3519">
        <v>20230218</v>
      </c>
      <c r="Q3519">
        <v>20220913</v>
      </c>
    </row>
    <row r="3520" spans="1:17" x14ac:dyDescent="0.25">
      <c r="A3520" t="s">
        <v>548</v>
      </c>
      <c r="B3520" t="s">
        <v>429</v>
      </c>
      <c r="C3520">
        <v>123</v>
      </c>
      <c r="D3520">
        <v>20220913</v>
      </c>
      <c r="E3520">
        <f t="shared" si="54"/>
        <v>9</v>
      </c>
      <c r="F3520">
        <v>411100</v>
      </c>
      <c r="G3520" t="s">
        <v>18</v>
      </c>
      <c r="H3520" t="s">
        <v>3106</v>
      </c>
      <c r="I3520" t="s">
        <v>3107</v>
      </c>
      <c r="J3520">
        <v>356441</v>
      </c>
      <c r="K3520">
        <v>20220913</v>
      </c>
      <c r="L3520" t="s">
        <v>3490</v>
      </c>
      <c r="M3520">
        <v>0</v>
      </c>
      <c r="N3520">
        <v>14</v>
      </c>
      <c r="O3520" t="s">
        <v>22</v>
      </c>
      <c r="P3520">
        <v>20230218</v>
      </c>
      <c r="Q3520">
        <v>20220913</v>
      </c>
    </row>
    <row r="3521" spans="1:17" x14ac:dyDescent="0.25">
      <c r="A3521" t="s">
        <v>548</v>
      </c>
      <c r="B3521" t="s">
        <v>429</v>
      </c>
      <c r="C3521">
        <v>123</v>
      </c>
      <c r="D3521">
        <v>20220913</v>
      </c>
      <c r="E3521">
        <f t="shared" si="54"/>
        <v>9</v>
      </c>
      <c r="F3521">
        <v>411100</v>
      </c>
      <c r="G3521" t="s">
        <v>18</v>
      </c>
      <c r="H3521" t="s">
        <v>73</v>
      </c>
      <c r="I3521" t="s">
        <v>74</v>
      </c>
      <c r="J3521">
        <v>356442</v>
      </c>
      <c r="K3521">
        <v>20220913</v>
      </c>
      <c r="L3521" t="s">
        <v>3491</v>
      </c>
      <c r="M3521">
        <v>0</v>
      </c>
      <c r="N3521">
        <v>14</v>
      </c>
      <c r="O3521" t="s">
        <v>19</v>
      </c>
      <c r="P3521" t="s">
        <v>20</v>
      </c>
      <c r="Q3521">
        <v>20220913</v>
      </c>
    </row>
    <row r="3522" spans="1:17" x14ac:dyDescent="0.25">
      <c r="A3522" t="s">
        <v>548</v>
      </c>
      <c r="B3522" t="s">
        <v>429</v>
      </c>
      <c r="C3522">
        <v>123</v>
      </c>
      <c r="D3522">
        <v>20220913</v>
      </c>
      <c r="E3522">
        <f t="shared" si="54"/>
        <v>9</v>
      </c>
      <c r="F3522">
        <v>411100</v>
      </c>
      <c r="G3522" t="s">
        <v>18</v>
      </c>
      <c r="H3522" t="s">
        <v>237</v>
      </c>
      <c r="I3522" t="s">
        <v>238</v>
      </c>
      <c r="J3522">
        <v>122080156</v>
      </c>
      <c r="K3522">
        <v>20220913</v>
      </c>
      <c r="L3522" t="s">
        <v>3492</v>
      </c>
      <c r="M3522">
        <v>0</v>
      </c>
      <c r="N3522">
        <v>7</v>
      </c>
      <c r="O3522" t="s">
        <v>19</v>
      </c>
      <c r="P3522" t="s">
        <v>20</v>
      </c>
      <c r="Q3522">
        <v>20220913</v>
      </c>
    </row>
    <row r="3523" spans="1:17" x14ac:dyDescent="0.25">
      <c r="A3523" t="s">
        <v>548</v>
      </c>
      <c r="B3523" t="s">
        <v>429</v>
      </c>
      <c r="C3523">
        <v>123</v>
      </c>
      <c r="D3523">
        <v>20220913</v>
      </c>
      <c r="E3523">
        <f t="shared" ref="E3523:E3586" si="55">VALUE(MID(D3523,5,2))</f>
        <v>9</v>
      </c>
      <c r="F3523">
        <v>411100</v>
      </c>
      <c r="G3523" t="s">
        <v>18</v>
      </c>
      <c r="H3523" t="s">
        <v>3328</v>
      </c>
      <c r="I3523" t="s">
        <v>3329</v>
      </c>
      <c r="J3523">
        <v>356444</v>
      </c>
      <c r="K3523">
        <v>20220913</v>
      </c>
      <c r="L3523" t="s">
        <v>3493</v>
      </c>
      <c r="M3523">
        <v>0</v>
      </c>
      <c r="N3523">
        <v>7</v>
      </c>
      <c r="O3523" t="s">
        <v>22</v>
      </c>
      <c r="P3523">
        <v>20230218</v>
      </c>
      <c r="Q3523">
        <v>20220913</v>
      </c>
    </row>
    <row r="3524" spans="1:17" x14ac:dyDescent="0.25">
      <c r="A3524" t="s">
        <v>548</v>
      </c>
      <c r="B3524" t="s">
        <v>429</v>
      </c>
      <c r="C3524">
        <v>123</v>
      </c>
      <c r="D3524">
        <v>20220913</v>
      </c>
      <c r="E3524">
        <f t="shared" si="55"/>
        <v>9</v>
      </c>
      <c r="F3524">
        <v>411100</v>
      </c>
      <c r="G3524" t="s">
        <v>18</v>
      </c>
      <c r="H3524" t="s">
        <v>81</v>
      </c>
      <c r="I3524" t="s">
        <v>82</v>
      </c>
      <c r="J3524">
        <v>122080157</v>
      </c>
      <c r="K3524">
        <v>20220913</v>
      </c>
      <c r="L3524" t="s">
        <v>3494</v>
      </c>
      <c r="M3524">
        <v>0</v>
      </c>
      <c r="N3524">
        <v>7</v>
      </c>
      <c r="O3524" t="s">
        <v>19</v>
      </c>
      <c r="P3524" t="s">
        <v>20</v>
      </c>
      <c r="Q3524">
        <v>20220913</v>
      </c>
    </row>
    <row r="3525" spans="1:17" x14ac:dyDescent="0.25">
      <c r="A3525" t="s">
        <v>548</v>
      </c>
      <c r="B3525" t="s">
        <v>429</v>
      </c>
      <c r="C3525">
        <v>123</v>
      </c>
      <c r="D3525">
        <v>20220913</v>
      </c>
      <c r="E3525">
        <f t="shared" si="55"/>
        <v>9</v>
      </c>
      <c r="F3525">
        <v>411100</v>
      </c>
      <c r="G3525" t="s">
        <v>18</v>
      </c>
      <c r="H3525" t="s">
        <v>2985</v>
      </c>
      <c r="I3525" t="s">
        <v>2986</v>
      </c>
      <c r="J3525">
        <v>356446</v>
      </c>
      <c r="K3525">
        <v>20220913</v>
      </c>
      <c r="L3525" t="s">
        <v>3495</v>
      </c>
      <c r="M3525">
        <v>0</v>
      </c>
      <c r="N3525">
        <v>7</v>
      </c>
      <c r="O3525" t="s">
        <v>23</v>
      </c>
      <c r="P3525">
        <v>20230329</v>
      </c>
      <c r="Q3525">
        <v>20220913</v>
      </c>
    </row>
    <row r="3526" spans="1:17" x14ac:dyDescent="0.25">
      <c r="A3526" t="s">
        <v>548</v>
      </c>
      <c r="B3526" t="s">
        <v>429</v>
      </c>
      <c r="C3526">
        <v>123</v>
      </c>
      <c r="D3526">
        <v>20220913</v>
      </c>
      <c r="E3526">
        <f t="shared" si="55"/>
        <v>9</v>
      </c>
      <c r="F3526">
        <v>411100</v>
      </c>
      <c r="G3526" t="s">
        <v>18</v>
      </c>
      <c r="H3526" t="s">
        <v>1911</v>
      </c>
      <c r="I3526" t="s">
        <v>1912</v>
      </c>
      <c r="J3526">
        <v>356447</v>
      </c>
      <c r="K3526">
        <v>20220913</v>
      </c>
      <c r="L3526" t="s">
        <v>3496</v>
      </c>
      <c r="M3526">
        <v>0</v>
      </c>
      <c r="N3526">
        <v>14</v>
      </c>
      <c r="O3526" t="s">
        <v>19</v>
      </c>
      <c r="P3526" t="s">
        <v>20</v>
      </c>
      <c r="Q3526">
        <v>20220913</v>
      </c>
    </row>
    <row r="3527" spans="1:17" x14ac:dyDescent="0.25">
      <c r="A3527" t="s">
        <v>548</v>
      </c>
      <c r="B3527" t="s">
        <v>429</v>
      </c>
      <c r="C3527">
        <v>123</v>
      </c>
      <c r="D3527">
        <v>20220913</v>
      </c>
      <c r="E3527">
        <f t="shared" si="55"/>
        <v>9</v>
      </c>
      <c r="F3527">
        <v>411100</v>
      </c>
      <c r="G3527" t="s">
        <v>18</v>
      </c>
      <c r="H3527" t="s">
        <v>187</v>
      </c>
      <c r="I3527" t="s">
        <v>188</v>
      </c>
      <c r="J3527">
        <v>356448</v>
      </c>
      <c r="K3527">
        <v>20220913</v>
      </c>
      <c r="L3527" t="s">
        <v>3497</v>
      </c>
      <c r="M3527">
        <v>0</v>
      </c>
      <c r="N3527">
        <v>7</v>
      </c>
      <c r="O3527" t="s">
        <v>22</v>
      </c>
      <c r="P3527">
        <v>20230218</v>
      </c>
      <c r="Q3527">
        <v>20220913</v>
      </c>
    </row>
    <row r="3528" spans="1:17" x14ac:dyDescent="0.25">
      <c r="A3528" t="s">
        <v>548</v>
      </c>
      <c r="B3528" t="s">
        <v>429</v>
      </c>
      <c r="C3528">
        <v>123</v>
      </c>
      <c r="D3528">
        <v>20220913</v>
      </c>
      <c r="E3528">
        <f t="shared" si="55"/>
        <v>9</v>
      </c>
      <c r="F3528">
        <v>411100</v>
      </c>
      <c r="G3528" t="s">
        <v>18</v>
      </c>
      <c r="H3528" t="s">
        <v>3110</v>
      </c>
      <c r="I3528" t="s">
        <v>3111</v>
      </c>
      <c r="J3528">
        <v>356449</v>
      </c>
      <c r="K3528">
        <v>20220913</v>
      </c>
      <c r="L3528" t="s">
        <v>3498</v>
      </c>
      <c r="M3528">
        <v>0</v>
      </c>
      <c r="N3528">
        <v>14</v>
      </c>
      <c r="O3528" t="s">
        <v>19</v>
      </c>
      <c r="P3528" t="s">
        <v>20</v>
      </c>
      <c r="Q3528">
        <v>20220913</v>
      </c>
    </row>
    <row r="3529" spans="1:17" x14ac:dyDescent="0.25">
      <c r="A3529" t="s">
        <v>548</v>
      </c>
      <c r="B3529" t="s">
        <v>429</v>
      </c>
      <c r="C3529">
        <v>123</v>
      </c>
      <c r="D3529">
        <v>20220913</v>
      </c>
      <c r="E3529">
        <f t="shared" si="55"/>
        <v>9</v>
      </c>
      <c r="F3529">
        <v>411100</v>
      </c>
      <c r="G3529" t="s">
        <v>18</v>
      </c>
      <c r="H3529" t="s">
        <v>657</v>
      </c>
      <c r="I3529" t="s">
        <v>658</v>
      </c>
      <c r="J3529">
        <v>356450</v>
      </c>
      <c r="K3529">
        <v>20220913</v>
      </c>
      <c r="L3529" t="s">
        <v>3499</v>
      </c>
      <c r="M3529">
        <v>0</v>
      </c>
      <c r="N3529">
        <v>7</v>
      </c>
      <c r="O3529" t="s">
        <v>19</v>
      </c>
      <c r="P3529" t="s">
        <v>20</v>
      </c>
      <c r="Q3529">
        <v>20220913</v>
      </c>
    </row>
    <row r="3530" spans="1:17" x14ac:dyDescent="0.25">
      <c r="A3530" t="s">
        <v>548</v>
      </c>
      <c r="B3530" t="s">
        <v>429</v>
      </c>
      <c r="C3530">
        <v>123</v>
      </c>
      <c r="D3530">
        <v>20220913</v>
      </c>
      <c r="E3530">
        <f t="shared" si="55"/>
        <v>9</v>
      </c>
      <c r="F3530">
        <v>411100</v>
      </c>
      <c r="G3530" t="s">
        <v>18</v>
      </c>
      <c r="H3530" t="s">
        <v>1029</v>
      </c>
      <c r="I3530" t="s">
        <v>1030</v>
      </c>
      <c r="J3530">
        <v>122020175</v>
      </c>
      <c r="K3530">
        <v>20220913</v>
      </c>
      <c r="L3530" t="s">
        <v>3500</v>
      </c>
      <c r="M3530">
        <v>0</v>
      </c>
      <c r="N3530">
        <v>14</v>
      </c>
      <c r="O3530" t="s">
        <v>19</v>
      </c>
      <c r="P3530" t="s">
        <v>20</v>
      </c>
      <c r="Q3530">
        <v>20220913</v>
      </c>
    </row>
    <row r="3531" spans="1:17" x14ac:dyDescent="0.25">
      <c r="A3531" t="s">
        <v>548</v>
      </c>
      <c r="B3531" t="s">
        <v>429</v>
      </c>
      <c r="C3531">
        <v>123</v>
      </c>
      <c r="D3531">
        <v>20220913</v>
      </c>
      <c r="E3531">
        <f t="shared" si="55"/>
        <v>9</v>
      </c>
      <c r="F3531">
        <v>411100</v>
      </c>
      <c r="G3531" t="s">
        <v>18</v>
      </c>
      <c r="H3531" t="s">
        <v>65</v>
      </c>
      <c r="I3531" t="s">
        <v>66</v>
      </c>
      <c r="J3531">
        <v>356452</v>
      </c>
      <c r="K3531">
        <v>20220913</v>
      </c>
      <c r="L3531" t="s">
        <v>3501</v>
      </c>
      <c r="M3531">
        <v>0</v>
      </c>
      <c r="N3531">
        <v>7</v>
      </c>
      <c r="O3531" t="s">
        <v>19</v>
      </c>
      <c r="P3531" t="s">
        <v>20</v>
      </c>
      <c r="Q3531">
        <v>20220913</v>
      </c>
    </row>
    <row r="3532" spans="1:17" x14ac:dyDescent="0.25">
      <c r="A3532" t="s">
        <v>548</v>
      </c>
      <c r="B3532" t="s">
        <v>429</v>
      </c>
      <c r="C3532">
        <v>123</v>
      </c>
      <c r="D3532">
        <v>20220913</v>
      </c>
      <c r="E3532">
        <f t="shared" si="55"/>
        <v>9</v>
      </c>
      <c r="F3532">
        <v>531105</v>
      </c>
      <c r="G3532" t="s">
        <v>429</v>
      </c>
      <c r="H3532" t="s">
        <v>401</v>
      </c>
      <c r="I3532" t="s">
        <v>402</v>
      </c>
      <c r="J3532">
        <v>356453</v>
      </c>
      <c r="K3532">
        <v>20220913</v>
      </c>
      <c r="L3532" t="s">
        <v>565</v>
      </c>
      <c r="M3532">
        <v>130</v>
      </c>
      <c r="N3532">
        <v>0</v>
      </c>
      <c r="O3532" t="s">
        <v>19</v>
      </c>
      <c r="P3532" t="s">
        <v>20</v>
      </c>
      <c r="Q3532">
        <v>20220913</v>
      </c>
    </row>
    <row r="3533" spans="1:17" x14ac:dyDescent="0.25">
      <c r="A3533" t="s">
        <v>548</v>
      </c>
      <c r="B3533" t="s">
        <v>429</v>
      </c>
      <c r="C3533">
        <v>123</v>
      </c>
      <c r="D3533">
        <v>20220913</v>
      </c>
      <c r="E3533">
        <f t="shared" si="55"/>
        <v>9</v>
      </c>
      <c r="F3533">
        <v>411100</v>
      </c>
      <c r="G3533" t="s">
        <v>18</v>
      </c>
      <c r="H3533" t="s">
        <v>85</v>
      </c>
      <c r="I3533" t="s">
        <v>86</v>
      </c>
      <c r="J3533">
        <v>322070001</v>
      </c>
      <c r="K3533">
        <v>20220913</v>
      </c>
      <c r="L3533" t="s">
        <v>3502</v>
      </c>
      <c r="M3533">
        <v>0</v>
      </c>
      <c r="N3533">
        <v>62.52</v>
      </c>
      <c r="O3533" t="s">
        <v>22</v>
      </c>
      <c r="P3533">
        <v>20230218</v>
      </c>
      <c r="Q3533">
        <v>20220913</v>
      </c>
    </row>
    <row r="3534" spans="1:17" x14ac:dyDescent="0.25">
      <c r="A3534" t="s">
        <v>548</v>
      </c>
      <c r="B3534" t="s">
        <v>429</v>
      </c>
      <c r="C3534">
        <v>123</v>
      </c>
      <c r="D3534">
        <v>20220913</v>
      </c>
      <c r="E3534">
        <f t="shared" si="55"/>
        <v>9</v>
      </c>
      <c r="F3534">
        <v>411100</v>
      </c>
      <c r="G3534" t="s">
        <v>18</v>
      </c>
      <c r="H3534" t="s">
        <v>85</v>
      </c>
      <c r="I3534" t="s">
        <v>86</v>
      </c>
      <c r="J3534">
        <v>322070001</v>
      </c>
      <c r="K3534">
        <v>20220913</v>
      </c>
      <c r="L3534" t="s">
        <v>3503</v>
      </c>
      <c r="M3534">
        <v>0</v>
      </c>
      <c r="N3534">
        <v>2.48</v>
      </c>
      <c r="O3534" t="s">
        <v>23</v>
      </c>
      <c r="P3534">
        <v>20230218</v>
      </c>
      <c r="Q3534">
        <v>20220913</v>
      </c>
    </row>
    <row r="3535" spans="1:17" x14ac:dyDescent="0.25">
      <c r="A3535" t="s">
        <v>548</v>
      </c>
      <c r="B3535" t="s">
        <v>429</v>
      </c>
      <c r="C3535">
        <v>123</v>
      </c>
      <c r="D3535">
        <v>20220913</v>
      </c>
      <c r="E3535">
        <f t="shared" si="55"/>
        <v>9</v>
      </c>
      <c r="F3535">
        <v>411020</v>
      </c>
      <c r="G3535" t="s">
        <v>30</v>
      </c>
      <c r="H3535" t="s">
        <v>332</v>
      </c>
      <c r="I3535" t="s">
        <v>333</v>
      </c>
      <c r="J3535">
        <v>322070008</v>
      </c>
      <c r="K3535">
        <v>20220913</v>
      </c>
      <c r="L3535" t="s">
        <v>3504</v>
      </c>
      <c r="M3535">
        <v>0</v>
      </c>
      <c r="N3535">
        <v>35.22</v>
      </c>
      <c r="O3535" t="s">
        <v>19</v>
      </c>
      <c r="P3535" t="s">
        <v>20</v>
      </c>
      <c r="Q3535">
        <v>20220913</v>
      </c>
    </row>
    <row r="3536" spans="1:17" x14ac:dyDescent="0.25">
      <c r="A3536" t="s">
        <v>548</v>
      </c>
      <c r="B3536" t="s">
        <v>429</v>
      </c>
      <c r="C3536">
        <v>123</v>
      </c>
      <c r="D3536">
        <v>20220913</v>
      </c>
      <c r="E3536">
        <f t="shared" si="55"/>
        <v>9</v>
      </c>
      <c r="F3536">
        <v>531105</v>
      </c>
      <c r="G3536" t="s">
        <v>429</v>
      </c>
      <c r="H3536" t="s">
        <v>401</v>
      </c>
      <c r="I3536" t="s">
        <v>402</v>
      </c>
      <c r="J3536">
        <v>356484</v>
      </c>
      <c r="K3536">
        <v>20220913</v>
      </c>
      <c r="L3536" t="s">
        <v>565</v>
      </c>
      <c r="M3536">
        <v>100.22</v>
      </c>
      <c r="N3536">
        <v>0</v>
      </c>
      <c r="O3536" t="s">
        <v>19</v>
      </c>
      <c r="P3536" t="s">
        <v>20</v>
      </c>
      <c r="Q3536">
        <v>20220913</v>
      </c>
    </row>
    <row r="3537" spans="1:17" x14ac:dyDescent="0.25">
      <c r="A3537" t="s">
        <v>548</v>
      </c>
      <c r="B3537" t="s">
        <v>429</v>
      </c>
      <c r="C3537">
        <v>123</v>
      </c>
      <c r="D3537">
        <v>20220914</v>
      </c>
      <c r="E3537">
        <f t="shared" si="55"/>
        <v>9</v>
      </c>
      <c r="F3537">
        <v>467100</v>
      </c>
      <c r="G3537" t="s">
        <v>160</v>
      </c>
      <c r="H3537" t="s">
        <v>1307</v>
      </c>
      <c r="I3537" t="s">
        <v>1308</v>
      </c>
      <c r="J3537" t="s">
        <v>3505</v>
      </c>
      <c r="K3537">
        <v>20220914</v>
      </c>
      <c r="L3537" t="s">
        <v>3506</v>
      </c>
      <c r="M3537">
        <v>0</v>
      </c>
      <c r="N3537">
        <v>5</v>
      </c>
      <c r="O3537" t="s">
        <v>23</v>
      </c>
      <c r="P3537">
        <v>20220920</v>
      </c>
      <c r="Q3537">
        <v>20220914</v>
      </c>
    </row>
    <row r="3538" spans="1:17" x14ac:dyDescent="0.25">
      <c r="A3538" t="s">
        <v>548</v>
      </c>
      <c r="B3538" t="s">
        <v>429</v>
      </c>
      <c r="C3538">
        <v>123</v>
      </c>
      <c r="D3538">
        <v>20220914</v>
      </c>
      <c r="E3538">
        <f t="shared" si="55"/>
        <v>9</v>
      </c>
      <c r="F3538">
        <v>531105</v>
      </c>
      <c r="G3538" t="s">
        <v>429</v>
      </c>
      <c r="H3538" t="s">
        <v>401</v>
      </c>
      <c r="I3538" t="s">
        <v>402</v>
      </c>
      <c r="J3538" t="s">
        <v>3505</v>
      </c>
      <c r="K3538">
        <v>20220914</v>
      </c>
      <c r="L3538" t="s">
        <v>3506</v>
      </c>
      <c r="M3538">
        <v>5</v>
      </c>
      <c r="N3538">
        <v>0</v>
      </c>
      <c r="O3538" t="s">
        <v>19</v>
      </c>
      <c r="P3538" t="s">
        <v>20</v>
      </c>
      <c r="Q3538">
        <v>20220914</v>
      </c>
    </row>
    <row r="3539" spans="1:17" x14ac:dyDescent="0.25">
      <c r="A3539" t="s">
        <v>548</v>
      </c>
      <c r="B3539" t="s">
        <v>429</v>
      </c>
      <c r="C3539">
        <v>123</v>
      </c>
      <c r="D3539">
        <v>20220914</v>
      </c>
      <c r="E3539">
        <f t="shared" si="55"/>
        <v>9</v>
      </c>
      <c r="F3539">
        <v>467100</v>
      </c>
      <c r="G3539" t="s">
        <v>160</v>
      </c>
      <c r="H3539" t="s">
        <v>1201</v>
      </c>
      <c r="I3539" t="s">
        <v>1202</v>
      </c>
      <c r="J3539" t="s">
        <v>3507</v>
      </c>
      <c r="K3539">
        <v>20220914</v>
      </c>
      <c r="L3539" t="s">
        <v>3508</v>
      </c>
      <c r="M3539">
        <v>7.5</v>
      </c>
      <c r="N3539">
        <v>0</v>
      </c>
      <c r="O3539" t="s">
        <v>23</v>
      </c>
      <c r="P3539">
        <v>20220929</v>
      </c>
      <c r="Q3539">
        <v>20220914</v>
      </c>
    </row>
    <row r="3540" spans="1:17" x14ac:dyDescent="0.25">
      <c r="A3540" t="s">
        <v>548</v>
      </c>
      <c r="B3540" t="s">
        <v>429</v>
      </c>
      <c r="C3540">
        <v>123</v>
      </c>
      <c r="D3540">
        <v>20220914</v>
      </c>
      <c r="E3540">
        <f t="shared" si="55"/>
        <v>9</v>
      </c>
      <c r="F3540">
        <v>531105</v>
      </c>
      <c r="G3540" t="s">
        <v>429</v>
      </c>
      <c r="H3540" t="s">
        <v>401</v>
      </c>
      <c r="I3540" t="s">
        <v>402</v>
      </c>
      <c r="J3540" t="s">
        <v>3507</v>
      </c>
      <c r="K3540">
        <v>20220914</v>
      </c>
      <c r="L3540" t="s">
        <v>3508</v>
      </c>
      <c r="M3540">
        <v>0</v>
      </c>
      <c r="N3540">
        <v>7.5</v>
      </c>
      <c r="O3540" t="s">
        <v>19</v>
      </c>
      <c r="P3540" t="s">
        <v>20</v>
      </c>
      <c r="Q3540">
        <v>20220914</v>
      </c>
    </row>
    <row r="3541" spans="1:17" x14ac:dyDescent="0.25">
      <c r="A3541" t="s">
        <v>548</v>
      </c>
      <c r="B3541" t="s">
        <v>429</v>
      </c>
      <c r="C3541">
        <v>123</v>
      </c>
      <c r="D3541">
        <v>20220914</v>
      </c>
      <c r="E3541">
        <f t="shared" si="55"/>
        <v>9</v>
      </c>
      <c r="F3541">
        <v>467100</v>
      </c>
      <c r="G3541" t="s">
        <v>160</v>
      </c>
      <c r="H3541" t="s">
        <v>1201</v>
      </c>
      <c r="I3541" t="s">
        <v>1202</v>
      </c>
      <c r="J3541" t="s">
        <v>3509</v>
      </c>
      <c r="K3541">
        <v>20220914</v>
      </c>
      <c r="L3541" t="s">
        <v>3510</v>
      </c>
      <c r="M3541">
        <v>29.52</v>
      </c>
      <c r="N3541">
        <v>0</v>
      </c>
      <c r="O3541" t="s">
        <v>23</v>
      </c>
      <c r="P3541">
        <v>20220929</v>
      </c>
      <c r="Q3541">
        <v>20220914</v>
      </c>
    </row>
    <row r="3542" spans="1:17" x14ac:dyDescent="0.25">
      <c r="A3542" t="s">
        <v>548</v>
      </c>
      <c r="B3542" t="s">
        <v>429</v>
      </c>
      <c r="C3542">
        <v>123</v>
      </c>
      <c r="D3542">
        <v>20220914</v>
      </c>
      <c r="E3542">
        <f t="shared" si="55"/>
        <v>9</v>
      </c>
      <c r="F3542">
        <v>531105</v>
      </c>
      <c r="G3542" t="s">
        <v>429</v>
      </c>
      <c r="H3542" t="s">
        <v>401</v>
      </c>
      <c r="I3542" t="s">
        <v>402</v>
      </c>
      <c r="J3542" t="s">
        <v>3509</v>
      </c>
      <c r="K3542">
        <v>20220914</v>
      </c>
      <c r="L3542" t="s">
        <v>3510</v>
      </c>
      <c r="M3542">
        <v>0</v>
      </c>
      <c r="N3542">
        <v>29.52</v>
      </c>
      <c r="O3542" t="s">
        <v>19</v>
      </c>
      <c r="P3542" t="s">
        <v>20</v>
      </c>
      <c r="Q3542">
        <v>20220914</v>
      </c>
    </row>
    <row r="3543" spans="1:17" x14ac:dyDescent="0.25">
      <c r="A3543" t="s">
        <v>548</v>
      </c>
      <c r="B3543" t="s">
        <v>429</v>
      </c>
      <c r="C3543">
        <v>123</v>
      </c>
      <c r="D3543">
        <v>20220914</v>
      </c>
      <c r="E3543">
        <f t="shared" si="55"/>
        <v>9</v>
      </c>
      <c r="F3543">
        <v>467100</v>
      </c>
      <c r="G3543" t="s">
        <v>160</v>
      </c>
      <c r="H3543" t="s">
        <v>2465</v>
      </c>
      <c r="I3543" t="s">
        <v>2466</v>
      </c>
      <c r="J3543" t="s">
        <v>3511</v>
      </c>
      <c r="K3543">
        <v>20220914</v>
      </c>
      <c r="L3543" t="s">
        <v>3512</v>
      </c>
      <c r="M3543">
        <v>9.07</v>
      </c>
      <c r="N3543">
        <v>0</v>
      </c>
      <c r="O3543" t="s">
        <v>23</v>
      </c>
      <c r="P3543">
        <v>20220921</v>
      </c>
      <c r="Q3543">
        <v>20220914</v>
      </c>
    </row>
    <row r="3544" spans="1:17" x14ac:dyDescent="0.25">
      <c r="A3544" t="s">
        <v>548</v>
      </c>
      <c r="B3544" t="s">
        <v>429</v>
      </c>
      <c r="C3544">
        <v>123</v>
      </c>
      <c r="D3544">
        <v>20220914</v>
      </c>
      <c r="E3544">
        <f t="shared" si="55"/>
        <v>9</v>
      </c>
      <c r="F3544">
        <v>531105</v>
      </c>
      <c r="G3544" t="s">
        <v>429</v>
      </c>
      <c r="H3544" t="s">
        <v>401</v>
      </c>
      <c r="I3544" t="s">
        <v>402</v>
      </c>
      <c r="J3544" t="s">
        <v>3511</v>
      </c>
      <c r="K3544">
        <v>20220914</v>
      </c>
      <c r="L3544" t="s">
        <v>3512</v>
      </c>
      <c r="M3544">
        <v>0</v>
      </c>
      <c r="N3544">
        <v>9.07</v>
      </c>
      <c r="O3544" t="s">
        <v>19</v>
      </c>
      <c r="P3544" t="s">
        <v>20</v>
      </c>
      <c r="Q3544">
        <v>20220914</v>
      </c>
    </row>
    <row r="3545" spans="1:17" x14ac:dyDescent="0.25">
      <c r="A3545" t="s">
        <v>548</v>
      </c>
      <c r="B3545" t="s">
        <v>429</v>
      </c>
      <c r="C3545">
        <v>123</v>
      </c>
      <c r="D3545">
        <v>20220915</v>
      </c>
      <c r="E3545">
        <f t="shared" si="55"/>
        <v>9</v>
      </c>
      <c r="F3545">
        <v>411100</v>
      </c>
      <c r="G3545" t="s">
        <v>18</v>
      </c>
      <c r="H3545" t="s">
        <v>928</v>
      </c>
      <c r="I3545" t="s">
        <v>929</v>
      </c>
      <c r="J3545">
        <v>356454</v>
      </c>
      <c r="K3545">
        <v>20220915</v>
      </c>
      <c r="L3545" t="s">
        <v>3513</v>
      </c>
      <c r="M3545">
        <v>0</v>
      </c>
      <c r="N3545">
        <v>60</v>
      </c>
      <c r="O3545" t="s">
        <v>22</v>
      </c>
      <c r="P3545">
        <v>20230218</v>
      </c>
      <c r="Q3545">
        <v>20220915</v>
      </c>
    </row>
    <row r="3546" spans="1:17" x14ac:dyDescent="0.25">
      <c r="A3546" t="s">
        <v>548</v>
      </c>
      <c r="B3546" t="s">
        <v>429</v>
      </c>
      <c r="C3546">
        <v>123</v>
      </c>
      <c r="D3546">
        <v>20220915</v>
      </c>
      <c r="E3546">
        <f t="shared" si="55"/>
        <v>9</v>
      </c>
      <c r="F3546">
        <v>411100</v>
      </c>
      <c r="G3546" t="s">
        <v>18</v>
      </c>
      <c r="H3546" t="s">
        <v>179</v>
      </c>
      <c r="I3546" t="s">
        <v>180</v>
      </c>
      <c r="J3546">
        <v>356455</v>
      </c>
      <c r="K3546">
        <v>20220915</v>
      </c>
      <c r="L3546" t="s">
        <v>3514</v>
      </c>
      <c r="M3546">
        <v>0</v>
      </c>
      <c r="N3546">
        <v>10</v>
      </c>
      <c r="O3546" t="s">
        <v>22</v>
      </c>
      <c r="P3546">
        <v>20230218</v>
      </c>
      <c r="Q3546">
        <v>20220915</v>
      </c>
    </row>
    <row r="3547" spans="1:17" x14ac:dyDescent="0.25">
      <c r="A3547" t="s">
        <v>548</v>
      </c>
      <c r="B3547" t="s">
        <v>429</v>
      </c>
      <c r="C3547">
        <v>123</v>
      </c>
      <c r="D3547">
        <v>20220915</v>
      </c>
      <c r="E3547">
        <f t="shared" si="55"/>
        <v>9</v>
      </c>
      <c r="F3547">
        <v>531105</v>
      </c>
      <c r="G3547" t="s">
        <v>429</v>
      </c>
      <c r="H3547" t="s">
        <v>401</v>
      </c>
      <c r="I3547" t="s">
        <v>402</v>
      </c>
      <c r="J3547">
        <v>356456</v>
      </c>
      <c r="K3547">
        <v>20220915</v>
      </c>
      <c r="L3547" t="s">
        <v>565</v>
      </c>
      <c r="M3547">
        <v>70</v>
      </c>
      <c r="N3547">
        <v>0</v>
      </c>
      <c r="O3547" t="s">
        <v>19</v>
      </c>
      <c r="P3547" t="s">
        <v>20</v>
      </c>
      <c r="Q3547">
        <v>20220915</v>
      </c>
    </row>
    <row r="3548" spans="1:17" x14ac:dyDescent="0.25">
      <c r="A3548" t="s">
        <v>548</v>
      </c>
      <c r="B3548" t="s">
        <v>429</v>
      </c>
      <c r="C3548">
        <v>123</v>
      </c>
      <c r="D3548">
        <v>20220915</v>
      </c>
      <c r="E3548">
        <f t="shared" si="55"/>
        <v>9</v>
      </c>
      <c r="F3548">
        <v>580000</v>
      </c>
      <c r="G3548" t="s">
        <v>532</v>
      </c>
      <c r="H3548" t="s">
        <v>401</v>
      </c>
      <c r="I3548" t="s">
        <v>402</v>
      </c>
      <c r="J3548" t="s">
        <v>3515</v>
      </c>
      <c r="K3548">
        <v>20220915</v>
      </c>
      <c r="L3548" t="s">
        <v>625</v>
      </c>
      <c r="M3548">
        <v>1100</v>
      </c>
      <c r="N3548">
        <v>0</v>
      </c>
      <c r="O3548" t="s">
        <v>22</v>
      </c>
      <c r="P3548">
        <v>20220915</v>
      </c>
      <c r="Q3548">
        <v>20220915</v>
      </c>
    </row>
    <row r="3549" spans="1:17" x14ac:dyDescent="0.25">
      <c r="A3549" t="s">
        <v>548</v>
      </c>
      <c r="B3549" t="s">
        <v>429</v>
      </c>
      <c r="C3549">
        <v>123</v>
      </c>
      <c r="D3549">
        <v>20220915</v>
      </c>
      <c r="E3549">
        <f t="shared" si="55"/>
        <v>9</v>
      </c>
      <c r="F3549">
        <v>531105</v>
      </c>
      <c r="G3549" t="s">
        <v>429</v>
      </c>
      <c r="H3549" t="s">
        <v>401</v>
      </c>
      <c r="I3549" t="s">
        <v>402</v>
      </c>
      <c r="J3549" t="s">
        <v>3515</v>
      </c>
      <c r="K3549">
        <v>20220915</v>
      </c>
      <c r="L3549" t="s">
        <v>625</v>
      </c>
      <c r="M3549">
        <v>0</v>
      </c>
      <c r="N3549">
        <v>1100</v>
      </c>
      <c r="O3549" t="s">
        <v>19</v>
      </c>
      <c r="P3549" t="s">
        <v>20</v>
      </c>
      <c r="Q3549">
        <v>20220915</v>
      </c>
    </row>
    <row r="3550" spans="1:17" x14ac:dyDescent="0.25">
      <c r="A3550" t="s">
        <v>548</v>
      </c>
      <c r="B3550" t="s">
        <v>429</v>
      </c>
      <c r="C3550">
        <v>123</v>
      </c>
      <c r="D3550">
        <v>20220915</v>
      </c>
      <c r="E3550">
        <f t="shared" si="55"/>
        <v>9</v>
      </c>
      <c r="F3550">
        <v>411100</v>
      </c>
      <c r="G3550" t="s">
        <v>18</v>
      </c>
      <c r="H3550" t="s">
        <v>401</v>
      </c>
      <c r="I3550" t="s">
        <v>3516</v>
      </c>
      <c r="J3550">
        <v>122090001</v>
      </c>
      <c r="K3550">
        <v>20220915</v>
      </c>
      <c r="L3550" t="s">
        <v>3517</v>
      </c>
      <c r="M3550">
        <v>0</v>
      </c>
      <c r="N3550">
        <v>90</v>
      </c>
      <c r="O3550" t="s">
        <v>23</v>
      </c>
      <c r="P3550">
        <v>20220926</v>
      </c>
      <c r="Q3550">
        <v>20220915</v>
      </c>
    </row>
    <row r="3551" spans="1:17" x14ac:dyDescent="0.25">
      <c r="A3551" t="s">
        <v>548</v>
      </c>
      <c r="B3551" t="s">
        <v>429</v>
      </c>
      <c r="C3551">
        <v>123</v>
      </c>
      <c r="D3551">
        <v>20220915</v>
      </c>
      <c r="E3551">
        <f t="shared" si="55"/>
        <v>9</v>
      </c>
      <c r="F3551">
        <v>531105</v>
      </c>
      <c r="G3551" t="s">
        <v>429</v>
      </c>
      <c r="H3551" t="s">
        <v>401</v>
      </c>
      <c r="I3551" t="s">
        <v>402</v>
      </c>
      <c r="J3551">
        <v>356960</v>
      </c>
      <c r="K3551">
        <v>20220915</v>
      </c>
      <c r="L3551" t="s">
        <v>565</v>
      </c>
      <c r="M3551">
        <v>90</v>
      </c>
      <c r="N3551">
        <v>0</v>
      </c>
      <c r="O3551" t="s">
        <v>19</v>
      </c>
      <c r="P3551" t="s">
        <v>20</v>
      </c>
      <c r="Q3551">
        <v>20220915</v>
      </c>
    </row>
    <row r="3552" spans="1:17" x14ac:dyDescent="0.25">
      <c r="A3552" t="s">
        <v>548</v>
      </c>
      <c r="B3552" t="s">
        <v>429</v>
      </c>
      <c r="C3552">
        <v>123</v>
      </c>
      <c r="D3552">
        <v>20220916</v>
      </c>
      <c r="E3552">
        <f t="shared" si="55"/>
        <v>9</v>
      </c>
      <c r="F3552">
        <v>411000</v>
      </c>
      <c r="G3552" t="s">
        <v>21</v>
      </c>
      <c r="H3552" t="s">
        <v>279</v>
      </c>
      <c r="I3552" t="s">
        <v>280</v>
      </c>
      <c r="J3552">
        <v>120100132</v>
      </c>
      <c r="K3552">
        <v>20220916</v>
      </c>
      <c r="L3552" t="s">
        <v>3518</v>
      </c>
      <c r="M3552">
        <v>0</v>
      </c>
      <c r="N3552">
        <v>95</v>
      </c>
      <c r="O3552" t="s">
        <v>22</v>
      </c>
      <c r="P3552">
        <v>20230218</v>
      </c>
      <c r="Q3552">
        <v>20220916</v>
      </c>
    </row>
    <row r="3553" spans="1:17" x14ac:dyDescent="0.25">
      <c r="A3553" t="s">
        <v>548</v>
      </c>
      <c r="B3553" t="s">
        <v>429</v>
      </c>
      <c r="C3553">
        <v>123</v>
      </c>
      <c r="D3553">
        <v>20220916</v>
      </c>
      <c r="E3553">
        <f t="shared" si="55"/>
        <v>9</v>
      </c>
      <c r="F3553">
        <v>531105</v>
      </c>
      <c r="G3553" t="s">
        <v>429</v>
      </c>
      <c r="H3553" t="s">
        <v>401</v>
      </c>
      <c r="I3553" t="s">
        <v>402</v>
      </c>
      <c r="J3553">
        <v>356962</v>
      </c>
      <c r="K3553">
        <v>20220916</v>
      </c>
      <c r="L3553" t="s">
        <v>565</v>
      </c>
      <c r="M3553">
        <v>95</v>
      </c>
      <c r="N3553">
        <v>0</v>
      </c>
      <c r="O3553" t="s">
        <v>19</v>
      </c>
      <c r="P3553" t="s">
        <v>20</v>
      </c>
      <c r="Q3553">
        <v>20220916</v>
      </c>
    </row>
    <row r="3554" spans="1:17" x14ac:dyDescent="0.25">
      <c r="A3554" t="s">
        <v>548</v>
      </c>
      <c r="B3554" t="s">
        <v>429</v>
      </c>
      <c r="C3554">
        <v>123</v>
      </c>
      <c r="D3554">
        <v>20220919</v>
      </c>
      <c r="E3554">
        <f t="shared" si="55"/>
        <v>9</v>
      </c>
      <c r="F3554">
        <v>467100</v>
      </c>
      <c r="G3554" t="s">
        <v>160</v>
      </c>
      <c r="H3554" t="s">
        <v>631</v>
      </c>
      <c r="I3554" t="s">
        <v>632</v>
      </c>
      <c r="J3554" t="s">
        <v>3519</v>
      </c>
      <c r="K3554">
        <v>20220919</v>
      </c>
      <c r="L3554" t="s">
        <v>3520</v>
      </c>
      <c r="M3554">
        <v>11.99</v>
      </c>
      <c r="N3554">
        <v>0</v>
      </c>
      <c r="O3554" t="s">
        <v>23</v>
      </c>
      <c r="P3554">
        <v>20221118</v>
      </c>
      <c r="Q3554">
        <v>20220919</v>
      </c>
    </row>
    <row r="3555" spans="1:17" x14ac:dyDescent="0.25">
      <c r="A3555" t="s">
        <v>548</v>
      </c>
      <c r="B3555" t="s">
        <v>429</v>
      </c>
      <c r="C3555">
        <v>123</v>
      </c>
      <c r="D3555">
        <v>20220919</v>
      </c>
      <c r="E3555">
        <f t="shared" si="55"/>
        <v>9</v>
      </c>
      <c r="F3555">
        <v>531105</v>
      </c>
      <c r="G3555" t="s">
        <v>429</v>
      </c>
      <c r="H3555" t="s">
        <v>401</v>
      </c>
      <c r="I3555" t="s">
        <v>402</v>
      </c>
      <c r="J3555" t="s">
        <v>3519</v>
      </c>
      <c r="K3555">
        <v>20220919</v>
      </c>
      <c r="L3555" t="s">
        <v>3520</v>
      </c>
      <c r="M3555">
        <v>0</v>
      </c>
      <c r="N3555">
        <v>11.99</v>
      </c>
      <c r="O3555" t="s">
        <v>19</v>
      </c>
      <c r="P3555" t="s">
        <v>20</v>
      </c>
      <c r="Q3555">
        <v>20220919</v>
      </c>
    </row>
    <row r="3556" spans="1:17" x14ac:dyDescent="0.25">
      <c r="A3556" t="s">
        <v>548</v>
      </c>
      <c r="B3556" t="s">
        <v>429</v>
      </c>
      <c r="C3556">
        <v>123</v>
      </c>
      <c r="D3556">
        <v>20220920</v>
      </c>
      <c r="E3556">
        <f t="shared" si="55"/>
        <v>9</v>
      </c>
      <c r="F3556">
        <v>467100</v>
      </c>
      <c r="G3556" t="s">
        <v>160</v>
      </c>
      <c r="H3556" t="s">
        <v>183</v>
      </c>
      <c r="I3556" t="s">
        <v>184</v>
      </c>
      <c r="J3556" t="s">
        <v>3521</v>
      </c>
      <c r="K3556">
        <v>20220920</v>
      </c>
      <c r="L3556" t="s">
        <v>3522</v>
      </c>
      <c r="M3556">
        <v>9.26</v>
      </c>
      <c r="N3556">
        <v>0</v>
      </c>
      <c r="O3556" t="s">
        <v>23</v>
      </c>
      <c r="P3556">
        <v>20221118</v>
      </c>
      <c r="Q3556">
        <v>20220920</v>
      </c>
    </row>
    <row r="3557" spans="1:17" x14ac:dyDescent="0.25">
      <c r="A3557" t="s">
        <v>548</v>
      </c>
      <c r="B3557" t="s">
        <v>429</v>
      </c>
      <c r="C3557">
        <v>123</v>
      </c>
      <c r="D3557">
        <v>20220920</v>
      </c>
      <c r="E3557">
        <f t="shared" si="55"/>
        <v>9</v>
      </c>
      <c r="F3557">
        <v>531105</v>
      </c>
      <c r="G3557" t="s">
        <v>429</v>
      </c>
      <c r="H3557" t="s">
        <v>401</v>
      </c>
      <c r="I3557" t="s">
        <v>402</v>
      </c>
      <c r="J3557" t="s">
        <v>3521</v>
      </c>
      <c r="K3557">
        <v>20220920</v>
      </c>
      <c r="L3557" t="s">
        <v>3522</v>
      </c>
      <c r="M3557">
        <v>0</v>
      </c>
      <c r="N3557">
        <v>9.26</v>
      </c>
      <c r="O3557" t="s">
        <v>19</v>
      </c>
      <c r="P3557" t="s">
        <v>20</v>
      </c>
      <c r="Q3557">
        <v>20220920</v>
      </c>
    </row>
    <row r="3558" spans="1:17" x14ac:dyDescent="0.25">
      <c r="A3558" t="s">
        <v>548</v>
      </c>
      <c r="B3558" t="s">
        <v>429</v>
      </c>
      <c r="C3558">
        <v>123</v>
      </c>
      <c r="D3558">
        <v>20220920</v>
      </c>
      <c r="E3558">
        <f t="shared" si="55"/>
        <v>9</v>
      </c>
      <c r="F3558">
        <v>467100</v>
      </c>
      <c r="G3558" t="s">
        <v>160</v>
      </c>
      <c r="H3558" t="s">
        <v>3523</v>
      </c>
      <c r="I3558" t="s">
        <v>3524</v>
      </c>
      <c r="J3558" t="s">
        <v>3525</v>
      </c>
      <c r="K3558">
        <v>20220920</v>
      </c>
      <c r="L3558" t="s">
        <v>3526</v>
      </c>
      <c r="M3558">
        <v>3.8</v>
      </c>
      <c r="N3558">
        <v>0</v>
      </c>
      <c r="O3558" t="s">
        <v>23</v>
      </c>
      <c r="P3558">
        <v>20221118</v>
      </c>
      <c r="Q3558">
        <v>20220920</v>
      </c>
    </row>
    <row r="3559" spans="1:17" x14ac:dyDescent="0.25">
      <c r="A3559" t="s">
        <v>548</v>
      </c>
      <c r="B3559" t="s">
        <v>429</v>
      </c>
      <c r="C3559">
        <v>123</v>
      </c>
      <c r="D3559">
        <v>20220920</v>
      </c>
      <c r="E3559">
        <f t="shared" si="55"/>
        <v>9</v>
      </c>
      <c r="F3559">
        <v>531105</v>
      </c>
      <c r="G3559" t="s">
        <v>429</v>
      </c>
      <c r="H3559" t="s">
        <v>401</v>
      </c>
      <c r="I3559" t="s">
        <v>402</v>
      </c>
      <c r="J3559" t="s">
        <v>3525</v>
      </c>
      <c r="K3559">
        <v>20220920</v>
      </c>
      <c r="L3559" t="s">
        <v>3526</v>
      </c>
      <c r="M3559">
        <v>0</v>
      </c>
      <c r="N3559">
        <v>3.8</v>
      </c>
      <c r="O3559" t="s">
        <v>19</v>
      </c>
      <c r="P3559" t="s">
        <v>20</v>
      </c>
      <c r="Q3559">
        <v>20220920</v>
      </c>
    </row>
    <row r="3560" spans="1:17" x14ac:dyDescent="0.25">
      <c r="A3560" t="s">
        <v>548</v>
      </c>
      <c r="B3560" t="s">
        <v>429</v>
      </c>
      <c r="C3560">
        <v>123</v>
      </c>
      <c r="D3560">
        <v>20220920</v>
      </c>
      <c r="E3560">
        <f t="shared" si="55"/>
        <v>9</v>
      </c>
      <c r="F3560">
        <v>467100</v>
      </c>
      <c r="G3560" t="s">
        <v>160</v>
      </c>
      <c r="H3560" t="s">
        <v>1014</v>
      </c>
      <c r="I3560" t="s">
        <v>1015</v>
      </c>
      <c r="J3560" t="s">
        <v>3527</v>
      </c>
      <c r="K3560">
        <v>20220920</v>
      </c>
      <c r="L3560" t="s">
        <v>3528</v>
      </c>
      <c r="M3560">
        <v>6.61</v>
      </c>
      <c r="N3560">
        <v>0</v>
      </c>
      <c r="O3560" t="s">
        <v>23</v>
      </c>
      <c r="P3560">
        <v>20221011</v>
      </c>
      <c r="Q3560">
        <v>20220920</v>
      </c>
    </row>
    <row r="3561" spans="1:17" x14ac:dyDescent="0.25">
      <c r="A3561" t="s">
        <v>548</v>
      </c>
      <c r="B3561" t="s">
        <v>429</v>
      </c>
      <c r="C3561">
        <v>123</v>
      </c>
      <c r="D3561">
        <v>20220920</v>
      </c>
      <c r="E3561">
        <f t="shared" si="55"/>
        <v>9</v>
      </c>
      <c r="F3561">
        <v>531105</v>
      </c>
      <c r="G3561" t="s">
        <v>429</v>
      </c>
      <c r="H3561" t="s">
        <v>401</v>
      </c>
      <c r="I3561" t="s">
        <v>402</v>
      </c>
      <c r="J3561" t="s">
        <v>3527</v>
      </c>
      <c r="K3561">
        <v>20220920</v>
      </c>
      <c r="L3561" t="s">
        <v>3528</v>
      </c>
      <c r="M3561">
        <v>0</v>
      </c>
      <c r="N3561">
        <v>6.61</v>
      </c>
      <c r="O3561" t="s">
        <v>19</v>
      </c>
      <c r="P3561" t="s">
        <v>20</v>
      </c>
      <c r="Q3561">
        <v>20220920</v>
      </c>
    </row>
    <row r="3562" spans="1:17" x14ac:dyDescent="0.25">
      <c r="A3562" t="s">
        <v>548</v>
      </c>
      <c r="B3562" t="s">
        <v>429</v>
      </c>
      <c r="C3562">
        <v>123</v>
      </c>
      <c r="D3562">
        <v>20220920</v>
      </c>
      <c r="E3562">
        <f t="shared" si="55"/>
        <v>9</v>
      </c>
      <c r="F3562">
        <v>411020</v>
      </c>
      <c r="G3562" t="s">
        <v>30</v>
      </c>
      <c r="H3562" t="s">
        <v>285</v>
      </c>
      <c r="I3562" t="s">
        <v>286</v>
      </c>
      <c r="J3562">
        <v>322040003</v>
      </c>
      <c r="K3562">
        <v>20220920</v>
      </c>
      <c r="L3562" t="s">
        <v>3529</v>
      </c>
      <c r="M3562">
        <v>0</v>
      </c>
      <c r="N3562">
        <v>95</v>
      </c>
      <c r="O3562" t="s">
        <v>19</v>
      </c>
      <c r="P3562" t="s">
        <v>20</v>
      </c>
      <c r="Q3562">
        <v>20220920</v>
      </c>
    </row>
    <row r="3563" spans="1:17" x14ac:dyDescent="0.25">
      <c r="A3563" t="s">
        <v>548</v>
      </c>
      <c r="B3563" t="s">
        <v>429</v>
      </c>
      <c r="C3563">
        <v>123</v>
      </c>
      <c r="D3563">
        <v>20220920</v>
      </c>
      <c r="E3563">
        <f t="shared" si="55"/>
        <v>9</v>
      </c>
      <c r="F3563">
        <v>531105</v>
      </c>
      <c r="G3563" t="s">
        <v>429</v>
      </c>
      <c r="H3563" t="s">
        <v>401</v>
      </c>
      <c r="I3563" t="s">
        <v>402</v>
      </c>
      <c r="J3563">
        <v>356926</v>
      </c>
      <c r="K3563">
        <v>20220920</v>
      </c>
      <c r="L3563" t="s">
        <v>565</v>
      </c>
      <c r="M3563">
        <v>95</v>
      </c>
      <c r="N3563">
        <v>0</v>
      </c>
      <c r="O3563" t="s">
        <v>19</v>
      </c>
      <c r="P3563" t="s">
        <v>20</v>
      </c>
      <c r="Q3563">
        <v>20220920</v>
      </c>
    </row>
    <row r="3564" spans="1:17" x14ac:dyDescent="0.25">
      <c r="A3564" t="s">
        <v>548</v>
      </c>
      <c r="B3564" t="s">
        <v>429</v>
      </c>
      <c r="C3564">
        <v>123</v>
      </c>
      <c r="D3564">
        <v>20220921</v>
      </c>
      <c r="E3564">
        <f t="shared" si="55"/>
        <v>9</v>
      </c>
      <c r="F3564">
        <v>411000</v>
      </c>
      <c r="G3564" t="s">
        <v>21</v>
      </c>
      <c r="H3564" t="s">
        <v>271</v>
      </c>
      <c r="I3564" t="s">
        <v>272</v>
      </c>
      <c r="J3564">
        <v>356963</v>
      </c>
      <c r="K3564">
        <v>20220921</v>
      </c>
      <c r="L3564" t="s">
        <v>3530</v>
      </c>
      <c r="M3564">
        <v>0</v>
      </c>
      <c r="N3564">
        <v>3</v>
      </c>
      <c r="O3564" t="s">
        <v>22</v>
      </c>
      <c r="P3564">
        <v>20230218</v>
      </c>
      <c r="Q3564">
        <v>20220921</v>
      </c>
    </row>
    <row r="3565" spans="1:17" x14ac:dyDescent="0.25">
      <c r="A3565" t="s">
        <v>548</v>
      </c>
      <c r="B3565" t="s">
        <v>429</v>
      </c>
      <c r="C3565">
        <v>123</v>
      </c>
      <c r="D3565">
        <v>20220921</v>
      </c>
      <c r="E3565">
        <f t="shared" si="55"/>
        <v>9</v>
      </c>
      <c r="F3565">
        <v>531105</v>
      </c>
      <c r="G3565" t="s">
        <v>429</v>
      </c>
      <c r="H3565" t="s">
        <v>401</v>
      </c>
      <c r="I3565" t="s">
        <v>402</v>
      </c>
      <c r="J3565">
        <v>356964</v>
      </c>
      <c r="K3565">
        <v>20220921</v>
      </c>
      <c r="L3565" t="s">
        <v>565</v>
      </c>
      <c r="M3565">
        <v>3</v>
      </c>
      <c r="N3565">
        <v>0</v>
      </c>
      <c r="O3565" t="s">
        <v>19</v>
      </c>
      <c r="P3565" t="s">
        <v>20</v>
      </c>
      <c r="Q3565">
        <v>20220921</v>
      </c>
    </row>
    <row r="3566" spans="1:17" x14ac:dyDescent="0.25">
      <c r="A3566" t="s">
        <v>548</v>
      </c>
      <c r="B3566" t="s">
        <v>429</v>
      </c>
      <c r="C3566">
        <v>123</v>
      </c>
      <c r="D3566">
        <v>20220922</v>
      </c>
      <c r="E3566">
        <f t="shared" si="55"/>
        <v>9</v>
      </c>
      <c r="F3566">
        <v>467100</v>
      </c>
      <c r="G3566" t="s">
        <v>160</v>
      </c>
      <c r="H3566" t="s">
        <v>2516</v>
      </c>
      <c r="I3566" t="s">
        <v>2517</v>
      </c>
      <c r="J3566" t="s">
        <v>3531</v>
      </c>
      <c r="K3566">
        <v>20220922</v>
      </c>
      <c r="L3566" t="s">
        <v>3532</v>
      </c>
      <c r="M3566">
        <v>7.2</v>
      </c>
      <c r="N3566">
        <v>0</v>
      </c>
      <c r="O3566" t="s">
        <v>23</v>
      </c>
      <c r="P3566">
        <v>20230218</v>
      </c>
      <c r="Q3566">
        <v>20220922</v>
      </c>
    </row>
    <row r="3567" spans="1:17" x14ac:dyDescent="0.25">
      <c r="A3567" t="s">
        <v>548</v>
      </c>
      <c r="B3567" t="s">
        <v>429</v>
      </c>
      <c r="C3567">
        <v>123</v>
      </c>
      <c r="D3567">
        <v>20220922</v>
      </c>
      <c r="E3567">
        <f t="shared" si="55"/>
        <v>9</v>
      </c>
      <c r="F3567">
        <v>531105</v>
      </c>
      <c r="G3567" t="s">
        <v>429</v>
      </c>
      <c r="H3567" t="s">
        <v>401</v>
      </c>
      <c r="I3567" t="s">
        <v>402</v>
      </c>
      <c r="J3567" t="s">
        <v>3531</v>
      </c>
      <c r="K3567">
        <v>20220922</v>
      </c>
      <c r="L3567" t="s">
        <v>3532</v>
      </c>
      <c r="M3567">
        <v>0</v>
      </c>
      <c r="N3567">
        <v>7.2</v>
      </c>
      <c r="O3567" t="s">
        <v>19</v>
      </c>
      <c r="P3567" t="s">
        <v>20</v>
      </c>
      <c r="Q3567">
        <v>20220922</v>
      </c>
    </row>
    <row r="3568" spans="1:17" x14ac:dyDescent="0.25">
      <c r="A3568" t="s">
        <v>548</v>
      </c>
      <c r="B3568" t="s">
        <v>429</v>
      </c>
      <c r="C3568">
        <v>123</v>
      </c>
      <c r="D3568">
        <v>20220923</v>
      </c>
      <c r="E3568">
        <f t="shared" si="55"/>
        <v>9</v>
      </c>
      <c r="F3568">
        <v>411100</v>
      </c>
      <c r="G3568" t="s">
        <v>18</v>
      </c>
      <c r="H3568" t="s">
        <v>638</v>
      </c>
      <c r="I3568" t="s">
        <v>639</v>
      </c>
      <c r="J3568">
        <v>356969</v>
      </c>
      <c r="K3568">
        <v>20220923</v>
      </c>
      <c r="L3568" t="s">
        <v>3533</v>
      </c>
      <c r="M3568">
        <v>0</v>
      </c>
      <c r="N3568">
        <v>38.4</v>
      </c>
      <c r="O3568" t="s">
        <v>22</v>
      </c>
      <c r="P3568">
        <v>20230218</v>
      </c>
      <c r="Q3568">
        <v>20220923</v>
      </c>
    </row>
    <row r="3569" spans="1:17" x14ac:dyDescent="0.25">
      <c r="A3569" t="s">
        <v>548</v>
      </c>
      <c r="B3569" t="s">
        <v>429</v>
      </c>
      <c r="C3569">
        <v>123</v>
      </c>
      <c r="D3569">
        <v>20220923</v>
      </c>
      <c r="E3569">
        <f t="shared" si="55"/>
        <v>9</v>
      </c>
      <c r="F3569">
        <v>531105</v>
      </c>
      <c r="G3569" t="s">
        <v>429</v>
      </c>
      <c r="H3569" t="s">
        <v>401</v>
      </c>
      <c r="I3569" t="s">
        <v>402</v>
      </c>
      <c r="J3569">
        <v>356970</v>
      </c>
      <c r="K3569">
        <v>20220923</v>
      </c>
      <c r="L3569" t="s">
        <v>565</v>
      </c>
      <c r="M3569">
        <v>38.4</v>
      </c>
      <c r="N3569">
        <v>0</v>
      </c>
      <c r="O3569" t="s">
        <v>19</v>
      </c>
      <c r="P3569" t="s">
        <v>20</v>
      </c>
      <c r="Q3569">
        <v>20220923</v>
      </c>
    </row>
    <row r="3570" spans="1:17" x14ac:dyDescent="0.25">
      <c r="A3570" t="s">
        <v>548</v>
      </c>
      <c r="B3570" t="s">
        <v>429</v>
      </c>
      <c r="C3570">
        <v>123</v>
      </c>
      <c r="D3570">
        <v>20220923</v>
      </c>
      <c r="E3570">
        <f t="shared" si="55"/>
        <v>9</v>
      </c>
      <c r="F3570">
        <v>411100</v>
      </c>
      <c r="G3570" t="s">
        <v>18</v>
      </c>
      <c r="H3570" t="s">
        <v>340</v>
      </c>
      <c r="I3570" t="s">
        <v>341</v>
      </c>
      <c r="J3570">
        <v>122070202</v>
      </c>
      <c r="K3570">
        <v>20220923</v>
      </c>
      <c r="L3570" t="s">
        <v>3534</v>
      </c>
      <c r="M3570">
        <v>0</v>
      </c>
      <c r="N3570">
        <v>16.05</v>
      </c>
      <c r="O3570" t="s">
        <v>23</v>
      </c>
      <c r="P3570">
        <v>20230329</v>
      </c>
      <c r="Q3570">
        <v>20220923</v>
      </c>
    </row>
    <row r="3571" spans="1:17" x14ac:dyDescent="0.25">
      <c r="A3571" t="s">
        <v>548</v>
      </c>
      <c r="B3571" t="s">
        <v>429</v>
      </c>
      <c r="C3571">
        <v>123</v>
      </c>
      <c r="D3571">
        <v>20220923</v>
      </c>
      <c r="E3571">
        <f t="shared" si="55"/>
        <v>9</v>
      </c>
      <c r="F3571">
        <v>531105</v>
      </c>
      <c r="G3571" t="s">
        <v>429</v>
      </c>
      <c r="H3571" t="s">
        <v>401</v>
      </c>
      <c r="I3571" t="s">
        <v>402</v>
      </c>
      <c r="J3571">
        <v>357195</v>
      </c>
      <c r="K3571">
        <v>20220923</v>
      </c>
      <c r="L3571" t="s">
        <v>565</v>
      </c>
      <c r="M3571">
        <v>16.05</v>
      </c>
      <c r="N3571">
        <v>0</v>
      </c>
      <c r="O3571" t="s">
        <v>19</v>
      </c>
      <c r="P3571" t="s">
        <v>20</v>
      </c>
      <c r="Q3571">
        <v>20220923</v>
      </c>
    </row>
    <row r="3572" spans="1:17" x14ac:dyDescent="0.25">
      <c r="A3572" t="s">
        <v>548</v>
      </c>
      <c r="B3572" t="s">
        <v>429</v>
      </c>
      <c r="C3572">
        <v>123</v>
      </c>
      <c r="D3572">
        <v>20220926</v>
      </c>
      <c r="E3572">
        <f t="shared" si="55"/>
        <v>9</v>
      </c>
      <c r="F3572">
        <v>411100</v>
      </c>
      <c r="G3572" t="s">
        <v>18</v>
      </c>
      <c r="H3572" t="s">
        <v>237</v>
      </c>
      <c r="I3572" t="s">
        <v>238</v>
      </c>
      <c r="J3572">
        <v>122080019</v>
      </c>
      <c r="K3572">
        <v>20220926</v>
      </c>
      <c r="L3572" t="s">
        <v>3535</v>
      </c>
      <c r="M3572">
        <v>0</v>
      </c>
      <c r="N3572">
        <v>48.9</v>
      </c>
      <c r="O3572" t="s">
        <v>19</v>
      </c>
      <c r="P3572" t="s">
        <v>20</v>
      </c>
      <c r="Q3572">
        <v>20220926</v>
      </c>
    </row>
    <row r="3573" spans="1:17" x14ac:dyDescent="0.25">
      <c r="A3573" t="s">
        <v>548</v>
      </c>
      <c r="B3573" t="s">
        <v>429</v>
      </c>
      <c r="C3573">
        <v>123</v>
      </c>
      <c r="D3573">
        <v>20220926</v>
      </c>
      <c r="E3573">
        <f t="shared" si="55"/>
        <v>9</v>
      </c>
      <c r="F3573">
        <v>411100</v>
      </c>
      <c r="G3573" t="s">
        <v>18</v>
      </c>
      <c r="H3573" t="s">
        <v>3536</v>
      </c>
      <c r="I3573" t="s">
        <v>3537</v>
      </c>
      <c r="J3573">
        <v>357197</v>
      </c>
      <c r="K3573">
        <v>20220926</v>
      </c>
      <c r="L3573" t="s">
        <v>3538</v>
      </c>
      <c r="M3573">
        <v>0</v>
      </c>
      <c r="N3573">
        <v>29.2</v>
      </c>
      <c r="O3573" t="s">
        <v>22</v>
      </c>
      <c r="P3573">
        <v>20230218</v>
      </c>
      <c r="Q3573">
        <v>20220926</v>
      </c>
    </row>
    <row r="3574" spans="1:17" x14ac:dyDescent="0.25">
      <c r="A3574" t="s">
        <v>548</v>
      </c>
      <c r="B3574" t="s">
        <v>429</v>
      </c>
      <c r="C3574">
        <v>123</v>
      </c>
      <c r="D3574">
        <v>20220926</v>
      </c>
      <c r="E3574">
        <f t="shared" si="55"/>
        <v>9</v>
      </c>
      <c r="F3574">
        <v>411100</v>
      </c>
      <c r="G3574" t="s">
        <v>18</v>
      </c>
      <c r="H3574" t="s">
        <v>800</v>
      </c>
      <c r="I3574" t="s">
        <v>801</v>
      </c>
      <c r="J3574">
        <v>357198</v>
      </c>
      <c r="K3574">
        <v>20220926</v>
      </c>
      <c r="L3574" t="s">
        <v>3539</v>
      </c>
      <c r="M3574">
        <v>0</v>
      </c>
      <c r="N3574">
        <v>10</v>
      </c>
      <c r="O3574" t="s">
        <v>22</v>
      </c>
      <c r="P3574">
        <v>20230218</v>
      </c>
      <c r="Q3574">
        <v>20220926</v>
      </c>
    </row>
    <row r="3575" spans="1:17" x14ac:dyDescent="0.25">
      <c r="A3575" t="s">
        <v>548</v>
      </c>
      <c r="B3575" t="s">
        <v>429</v>
      </c>
      <c r="C3575">
        <v>123</v>
      </c>
      <c r="D3575">
        <v>20220926</v>
      </c>
      <c r="E3575">
        <f t="shared" si="55"/>
        <v>9</v>
      </c>
      <c r="F3575">
        <v>411100</v>
      </c>
      <c r="G3575" t="s">
        <v>18</v>
      </c>
      <c r="H3575" t="s">
        <v>599</v>
      </c>
      <c r="I3575" t="s">
        <v>600</v>
      </c>
      <c r="J3575">
        <v>357199</v>
      </c>
      <c r="K3575">
        <v>20220926</v>
      </c>
      <c r="L3575" t="s">
        <v>3540</v>
      </c>
      <c r="M3575">
        <v>0</v>
      </c>
      <c r="N3575">
        <v>10</v>
      </c>
      <c r="O3575" t="s">
        <v>22</v>
      </c>
      <c r="P3575">
        <v>20230218</v>
      </c>
      <c r="Q3575">
        <v>20220926</v>
      </c>
    </row>
    <row r="3576" spans="1:17" x14ac:dyDescent="0.25">
      <c r="A3576" t="s">
        <v>548</v>
      </c>
      <c r="B3576" t="s">
        <v>429</v>
      </c>
      <c r="C3576">
        <v>123</v>
      </c>
      <c r="D3576">
        <v>20220926</v>
      </c>
      <c r="E3576">
        <f t="shared" si="55"/>
        <v>9</v>
      </c>
      <c r="F3576">
        <v>531105</v>
      </c>
      <c r="G3576" t="s">
        <v>429</v>
      </c>
      <c r="H3576" t="s">
        <v>401</v>
      </c>
      <c r="I3576" t="s">
        <v>402</v>
      </c>
      <c r="J3576">
        <v>357200</v>
      </c>
      <c r="K3576">
        <v>20220926</v>
      </c>
      <c r="L3576" t="s">
        <v>565</v>
      </c>
      <c r="M3576">
        <v>98.1</v>
      </c>
      <c r="N3576">
        <v>0</v>
      </c>
      <c r="O3576" t="s">
        <v>19</v>
      </c>
      <c r="P3576" t="s">
        <v>20</v>
      </c>
      <c r="Q3576">
        <v>20220926</v>
      </c>
    </row>
    <row r="3577" spans="1:17" x14ac:dyDescent="0.25">
      <c r="A3577" t="s">
        <v>548</v>
      </c>
      <c r="B3577" t="s">
        <v>429</v>
      </c>
      <c r="C3577">
        <v>123</v>
      </c>
      <c r="D3577">
        <v>20220927</v>
      </c>
      <c r="E3577">
        <f t="shared" si="55"/>
        <v>9</v>
      </c>
      <c r="F3577">
        <v>411100</v>
      </c>
      <c r="G3577" t="s">
        <v>18</v>
      </c>
      <c r="H3577" t="s">
        <v>320</v>
      </c>
      <c r="I3577" t="s">
        <v>321</v>
      </c>
      <c r="J3577">
        <v>122040093</v>
      </c>
      <c r="K3577">
        <v>20220927</v>
      </c>
      <c r="L3577" t="s">
        <v>3541</v>
      </c>
      <c r="M3577">
        <v>0</v>
      </c>
      <c r="N3577">
        <v>74.349999999999994</v>
      </c>
      <c r="O3577" t="s">
        <v>19</v>
      </c>
      <c r="P3577" t="s">
        <v>20</v>
      </c>
      <c r="Q3577">
        <v>20220927</v>
      </c>
    </row>
    <row r="3578" spans="1:17" x14ac:dyDescent="0.25">
      <c r="A3578" t="s">
        <v>548</v>
      </c>
      <c r="B3578" t="s">
        <v>429</v>
      </c>
      <c r="C3578">
        <v>123</v>
      </c>
      <c r="D3578">
        <v>20220927</v>
      </c>
      <c r="E3578">
        <f t="shared" si="55"/>
        <v>9</v>
      </c>
      <c r="F3578">
        <v>411100</v>
      </c>
      <c r="G3578" t="s">
        <v>18</v>
      </c>
      <c r="H3578" t="s">
        <v>320</v>
      </c>
      <c r="I3578" t="s">
        <v>321</v>
      </c>
      <c r="J3578">
        <v>122040093</v>
      </c>
      <c r="K3578">
        <v>20220927</v>
      </c>
      <c r="L3578" t="s">
        <v>3542</v>
      </c>
      <c r="M3578">
        <v>40.72</v>
      </c>
      <c r="N3578">
        <v>0</v>
      </c>
      <c r="O3578" t="s">
        <v>22</v>
      </c>
      <c r="P3578">
        <v>20230218</v>
      </c>
      <c r="Q3578">
        <v>20220927</v>
      </c>
    </row>
    <row r="3579" spans="1:17" x14ac:dyDescent="0.25">
      <c r="A3579" t="s">
        <v>548</v>
      </c>
      <c r="B3579" t="s">
        <v>429</v>
      </c>
      <c r="C3579">
        <v>123</v>
      </c>
      <c r="D3579">
        <v>20220927</v>
      </c>
      <c r="E3579">
        <f t="shared" si="55"/>
        <v>9</v>
      </c>
      <c r="F3579">
        <v>411100</v>
      </c>
      <c r="G3579" t="s">
        <v>18</v>
      </c>
      <c r="H3579" t="s">
        <v>3212</v>
      </c>
      <c r="I3579" t="s">
        <v>3213</v>
      </c>
      <c r="J3579">
        <v>122070038</v>
      </c>
      <c r="K3579">
        <v>20220927</v>
      </c>
      <c r="L3579" t="s">
        <v>3543</v>
      </c>
      <c r="M3579">
        <v>0</v>
      </c>
      <c r="N3579">
        <v>3</v>
      </c>
      <c r="O3579" t="s">
        <v>22</v>
      </c>
      <c r="P3579">
        <v>20230218</v>
      </c>
      <c r="Q3579">
        <v>20220927</v>
      </c>
    </row>
    <row r="3580" spans="1:17" x14ac:dyDescent="0.25">
      <c r="A3580" t="s">
        <v>548</v>
      </c>
      <c r="B3580" t="s">
        <v>429</v>
      </c>
      <c r="C3580">
        <v>123</v>
      </c>
      <c r="D3580">
        <v>20220927</v>
      </c>
      <c r="E3580">
        <f t="shared" si="55"/>
        <v>9</v>
      </c>
      <c r="F3580">
        <v>411100</v>
      </c>
      <c r="G3580" t="s">
        <v>18</v>
      </c>
      <c r="H3580" t="s">
        <v>3544</v>
      </c>
      <c r="I3580" t="s">
        <v>3545</v>
      </c>
      <c r="J3580">
        <v>357204</v>
      </c>
      <c r="K3580">
        <v>20220927</v>
      </c>
      <c r="L3580" t="s">
        <v>3546</v>
      </c>
      <c r="M3580">
        <v>0</v>
      </c>
      <c r="N3580">
        <v>10</v>
      </c>
      <c r="O3580" t="s">
        <v>22</v>
      </c>
      <c r="P3580">
        <v>20230218</v>
      </c>
      <c r="Q3580">
        <v>20220927</v>
      </c>
    </row>
    <row r="3581" spans="1:17" x14ac:dyDescent="0.25">
      <c r="A3581" t="s">
        <v>548</v>
      </c>
      <c r="B3581" t="s">
        <v>429</v>
      </c>
      <c r="C3581">
        <v>123</v>
      </c>
      <c r="D3581">
        <v>20220927</v>
      </c>
      <c r="E3581">
        <f t="shared" si="55"/>
        <v>9</v>
      </c>
      <c r="F3581">
        <v>411100</v>
      </c>
      <c r="G3581" t="s">
        <v>18</v>
      </c>
      <c r="H3581" t="s">
        <v>3547</v>
      </c>
      <c r="I3581" t="s">
        <v>3548</v>
      </c>
      <c r="J3581">
        <v>357205</v>
      </c>
      <c r="K3581">
        <v>20220927</v>
      </c>
      <c r="L3581" t="s">
        <v>3549</v>
      </c>
      <c r="M3581">
        <v>0</v>
      </c>
      <c r="N3581">
        <v>12</v>
      </c>
      <c r="O3581" t="s">
        <v>22</v>
      </c>
      <c r="P3581">
        <v>20230218</v>
      </c>
      <c r="Q3581">
        <v>20220927</v>
      </c>
    </row>
    <row r="3582" spans="1:17" x14ac:dyDescent="0.25">
      <c r="A3582" t="s">
        <v>548</v>
      </c>
      <c r="B3582" t="s">
        <v>429</v>
      </c>
      <c r="C3582">
        <v>123</v>
      </c>
      <c r="D3582">
        <v>20220927</v>
      </c>
      <c r="E3582">
        <f t="shared" si="55"/>
        <v>9</v>
      </c>
      <c r="F3582">
        <v>411100</v>
      </c>
      <c r="G3582" t="s">
        <v>18</v>
      </c>
      <c r="H3582" t="s">
        <v>3550</v>
      </c>
      <c r="I3582" t="s">
        <v>3551</v>
      </c>
      <c r="J3582">
        <v>357206</v>
      </c>
      <c r="K3582">
        <v>20220927</v>
      </c>
      <c r="L3582" t="s">
        <v>3552</v>
      </c>
      <c r="M3582">
        <v>0</v>
      </c>
      <c r="N3582">
        <v>13</v>
      </c>
      <c r="O3582" t="s">
        <v>22</v>
      </c>
      <c r="P3582">
        <v>20230218</v>
      </c>
      <c r="Q3582">
        <v>20220927</v>
      </c>
    </row>
    <row r="3583" spans="1:17" x14ac:dyDescent="0.25">
      <c r="A3583" t="s">
        <v>548</v>
      </c>
      <c r="B3583" t="s">
        <v>429</v>
      </c>
      <c r="C3583">
        <v>123</v>
      </c>
      <c r="D3583">
        <v>20220927</v>
      </c>
      <c r="E3583">
        <f t="shared" si="55"/>
        <v>9</v>
      </c>
      <c r="F3583">
        <v>411100</v>
      </c>
      <c r="G3583" t="s">
        <v>18</v>
      </c>
      <c r="H3583" t="s">
        <v>3553</v>
      </c>
      <c r="I3583" t="s">
        <v>3554</v>
      </c>
      <c r="J3583">
        <v>357207</v>
      </c>
      <c r="K3583">
        <v>20220927</v>
      </c>
      <c r="L3583" t="s">
        <v>3555</v>
      </c>
      <c r="M3583">
        <v>0</v>
      </c>
      <c r="N3583">
        <v>22</v>
      </c>
      <c r="O3583" t="s">
        <v>22</v>
      </c>
      <c r="P3583">
        <v>20230218</v>
      </c>
      <c r="Q3583">
        <v>20220927</v>
      </c>
    </row>
    <row r="3584" spans="1:17" x14ac:dyDescent="0.25">
      <c r="A3584" t="s">
        <v>548</v>
      </c>
      <c r="B3584" t="s">
        <v>429</v>
      </c>
      <c r="C3584">
        <v>123</v>
      </c>
      <c r="D3584">
        <v>20220927</v>
      </c>
      <c r="E3584">
        <f t="shared" si="55"/>
        <v>9</v>
      </c>
      <c r="F3584">
        <v>411010</v>
      </c>
      <c r="G3584" t="s">
        <v>87</v>
      </c>
      <c r="H3584" t="s">
        <v>3226</v>
      </c>
      <c r="I3584" t="s">
        <v>3227</v>
      </c>
      <c r="J3584">
        <v>357208</v>
      </c>
      <c r="K3584">
        <v>20220927</v>
      </c>
      <c r="L3584" t="s">
        <v>3556</v>
      </c>
      <c r="M3584">
        <v>0</v>
      </c>
      <c r="N3584">
        <v>12</v>
      </c>
      <c r="O3584" t="s">
        <v>23</v>
      </c>
      <c r="P3584">
        <v>20230329</v>
      </c>
      <c r="Q3584">
        <v>20220927</v>
      </c>
    </row>
    <row r="3585" spans="1:17" x14ac:dyDescent="0.25">
      <c r="A3585" t="s">
        <v>548</v>
      </c>
      <c r="B3585" t="s">
        <v>429</v>
      </c>
      <c r="C3585">
        <v>123</v>
      </c>
      <c r="D3585">
        <v>20220927</v>
      </c>
      <c r="E3585">
        <f t="shared" si="55"/>
        <v>9</v>
      </c>
      <c r="F3585">
        <v>411020</v>
      </c>
      <c r="G3585" t="s">
        <v>30</v>
      </c>
      <c r="H3585" t="s">
        <v>3557</v>
      </c>
      <c r="I3585" t="s">
        <v>3558</v>
      </c>
      <c r="J3585">
        <v>357209</v>
      </c>
      <c r="K3585">
        <v>20220927</v>
      </c>
      <c r="L3585" t="s">
        <v>3559</v>
      </c>
      <c r="M3585">
        <v>0</v>
      </c>
      <c r="N3585">
        <v>22</v>
      </c>
      <c r="O3585" t="s">
        <v>22</v>
      </c>
      <c r="P3585">
        <v>20230218</v>
      </c>
      <c r="Q3585">
        <v>20220927</v>
      </c>
    </row>
    <row r="3586" spans="1:17" x14ac:dyDescent="0.25">
      <c r="A3586" t="s">
        <v>548</v>
      </c>
      <c r="B3586" t="s">
        <v>429</v>
      </c>
      <c r="C3586">
        <v>123</v>
      </c>
      <c r="D3586">
        <v>20220927</v>
      </c>
      <c r="E3586">
        <f t="shared" si="55"/>
        <v>9</v>
      </c>
      <c r="F3586">
        <v>411020</v>
      </c>
      <c r="G3586" t="s">
        <v>30</v>
      </c>
      <c r="H3586" t="s">
        <v>3560</v>
      </c>
      <c r="I3586" t="s">
        <v>3561</v>
      </c>
      <c r="J3586">
        <v>357210</v>
      </c>
      <c r="K3586">
        <v>20220927</v>
      </c>
      <c r="L3586" t="s">
        <v>3562</v>
      </c>
      <c r="M3586">
        <v>0</v>
      </c>
      <c r="N3586">
        <v>22</v>
      </c>
      <c r="O3586" t="s">
        <v>22</v>
      </c>
      <c r="P3586">
        <v>20230218</v>
      </c>
      <c r="Q3586">
        <v>20220927</v>
      </c>
    </row>
    <row r="3587" spans="1:17" x14ac:dyDescent="0.25">
      <c r="A3587" t="s">
        <v>548</v>
      </c>
      <c r="B3587" t="s">
        <v>429</v>
      </c>
      <c r="C3587">
        <v>123</v>
      </c>
      <c r="D3587">
        <v>20220927</v>
      </c>
      <c r="E3587">
        <f t="shared" ref="E3587:E3650" si="56">VALUE(MID(D3587,5,2))</f>
        <v>9</v>
      </c>
      <c r="F3587">
        <v>411100</v>
      </c>
      <c r="G3587" t="s">
        <v>18</v>
      </c>
      <c r="H3587" t="s">
        <v>2246</v>
      </c>
      <c r="I3587" t="s">
        <v>2247</v>
      </c>
      <c r="J3587">
        <v>357211</v>
      </c>
      <c r="K3587">
        <v>20220927</v>
      </c>
      <c r="L3587" t="s">
        <v>3563</v>
      </c>
      <c r="M3587">
        <v>0</v>
      </c>
      <c r="N3587">
        <v>12</v>
      </c>
      <c r="O3587" t="s">
        <v>23</v>
      </c>
      <c r="P3587">
        <v>20230329</v>
      </c>
      <c r="Q3587">
        <v>20220927</v>
      </c>
    </row>
    <row r="3588" spans="1:17" x14ac:dyDescent="0.25">
      <c r="A3588" t="s">
        <v>548</v>
      </c>
      <c r="B3588" t="s">
        <v>429</v>
      </c>
      <c r="C3588">
        <v>123</v>
      </c>
      <c r="D3588">
        <v>20220927</v>
      </c>
      <c r="E3588">
        <f t="shared" si="56"/>
        <v>9</v>
      </c>
      <c r="F3588">
        <v>411100</v>
      </c>
      <c r="G3588" t="s">
        <v>18</v>
      </c>
      <c r="H3588" t="s">
        <v>95</v>
      </c>
      <c r="I3588" t="s">
        <v>96</v>
      </c>
      <c r="J3588">
        <v>357212</v>
      </c>
      <c r="K3588">
        <v>20220927</v>
      </c>
      <c r="L3588" t="s">
        <v>3564</v>
      </c>
      <c r="M3588">
        <v>0</v>
      </c>
      <c r="N3588">
        <v>22</v>
      </c>
      <c r="O3588" t="s">
        <v>23</v>
      </c>
      <c r="P3588">
        <v>20230329</v>
      </c>
      <c r="Q3588">
        <v>20220927</v>
      </c>
    </row>
    <row r="3589" spans="1:17" x14ac:dyDescent="0.25">
      <c r="A3589" t="s">
        <v>548</v>
      </c>
      <c r="B3589" t="s">
        <v>429</v>
      </c>
      <c r="C3589">
        <v>123</v>
      </c>
      <c r="D3589">
        <v>20220927</v>
      </c>
      <c r="E3589">
        <f t="shared" si="56"/>
        <v>9</v>
      </c>
      <c r="F3589">
        <v>411000</v>
      </c>
      <c r="G3589" t="s">
        <v>21</v>
      </c>
      <c r="H3589" t="s">
        <v>3210</v>
      </c>
      <c r="I3589" t="s">
        <v>3211</v>
      </c>
      <c r="J3589">
        <v>357213</v>
      </c>
      <c r="K3589">
        <v>20220927</v>
      </c>
      <c r="L3589" t="s">
        <v>3565</v>
      </c>
      <c r="M3589">
        <v>0</v>
      </c>
      <c r="N3589">
        <v>12</v>
      </c>
      <c r="O3589" t="s">
        <v>22</v>
      </c>
      <c r="P3589">
        <v>20230218</v>
      </c>
      <c r="Q3589">
        <v>20220927</v>
      </c>
    </row>
    <row r="3590" spans="1:17" x14ac:dyDescent="0.25">
      <c r="A3590" t="s">
        <v>548</v>
      </c>
      <c r="B3590" t="s">
        <v>429</v>
      </c>
      <c r="C3590">
        <v>123</v>
      </c>
      <c r="D3590">
        <v>20220927</v>
      </c>
      <c r="E3590">
        <f t="shared" si="56"/>
        <v>9</v>
      </c>
      <c r="F3590">
        <v>411100</v>
      </c>
      <c r="G3590" t="s">
        <v>18</v>
      </c>
      <c r="H3590" t="s">
        <v>3566</v>
      </c>
      <c r="I3590" t="s">
        <v>3567</v>
      </c>
      <c r="J3590">
        <v>357214</v>
      </c>
      <c r="K3590">
        <v>20220927</v>
      </c>
      <c r="L3590" t="s">
        <v>3568</v>
      </c>
      <c r="M3590">
        <v>0</v>
      </c>
      <c r="N3590">
        <v>22</v>
      </c>
      <c r="O3590" t="s">
        <v>22</v>
      </c>
      <c r="P3590">
        <v>20230218</v>
      </c>
      <c r="Q3590">
        <v>20220927</v>
      </c>
    </row>
    <row r="3591" spans="1:17" x14ac:dyDescent="0.25">
      <c r="A3591" t="s">
        <v>548</v>
      </c>
      <c r="B3591" t="s">
        <v>429</v>
      </c>
      <c r="C3591">
        <v>123</v>
      </c>
      <c r="D3591">
        <v>20220927</v>
      </c>
      <c r="E3591">
        <f t="shared" si="56"/>
        <v>9</v>
      </c>
      <c r="F3591">
        <v>411100</v>
      </c>
      <c r="G3591" t="s">
        <v>18</v>
      </c>
      <c r="H3591" t="s">
        <v>3569</v>
      </c>
      <c r="I3591" t="s">
        <v>3570</v>
      </c>
      <c r="J3591">
        <v>357215</v>
      </c>
      <c r="K3591">
        <v>20220927</v>
      </c>
      <c r="L3591" t="s">
        <v>3571</v>
      </c>
      <c r="M3591">
        <v>0</v>
      </c>
      <c r="N3591">
        <v>22</v>
      </c>
      <c r="O3591" t="s">
        <v>22</v>
      </c>
      <c r="P3591">
        <v>20230218</v>
      </c>
      <c r="Q3591">
        <v>20220927</v>
      </c>
    </row>
    <row r="3592" spans="1:17" x14ac:dyDescent="0.25">
      <c r="A3592" t="s">
        <v>548</v>
      </c>
      <c r="B3592" t="s">
        <v>429</v>
      </c>
      <c r="C3592">
        <v>123</v>
      </c>
      <c r="D3592">
        <v>20220927</v>
      </c>
      <c r="E3592">
        <f t="shared" si="56"/>
        <v>9</v>
      </c>
      <c r="F3592">
        <v>411100</v>
      </c>
      <c r="G3592" t="s">
        <v>18</v>
      </c>
      <c r="H3592" t="s">
        <v>3572</v>
      </c>
      <c r="I3592" t="s">
        <v>3573</v>
      </c>
      <c r="J3592">
        <v>357216</v>
      </c>
      <c r="K3592">
        <v>20220927</v>
      </c>
      <c r="L3592" t="s">
        <v>3574</v>
      </c>
      <c r="M3592">
        <v>0</v>
      </c>
      <c r="N3592">
        <v>22</v>
      </c>
      <c r="O3592" t="s">
        <v>19</v>
      </c>
      <c r="P3592" t="s">
        <v>20</v>
      </c>
      <c r="Q3592">
        <v>20220927</v>
      </c>
    </row>
    <row r="3593" spans="1:17" x14ac:dyDescent="0.25">
      <c r="A3593" t="s">
        <v>548</v>
      </c>
      <c r="B3593" t="s">
        <v>429</v>
      </c>
      <c r="C3593">
        <v>123</v>
      </c>
      <c r="D3593">
        <v>20220927</v>
      </c>
      <c r="E3593">
        <f t="shared" si="56"/>
        <v>9</v>
      </c>
      <c r="F3593">
        <v>411100</v>
      </c>
      <c r="G3593" t="s">
        <v>18</v>
      </c>
      <c r="H3593" t="s">
        <v>2173</v>
      </c>
      <c r="I3593" t="s">
        <v>2174</v>
      </c>
      <c r="J3593">
        <v>357217</v>
      </c>
      <c r="K3593">
        <v>20220927</v>
      </c>
      <c r="L3593" t="s">
        <v>3575</v>
      </c>
      <c r="M3593">
        <v>0</v>
      </c>
      <c r="N3593">
        <v>12</v>
      </c>
      <c r="O3593" t="s">
        <v>23</v>
      </c>
      <c r="P3593">
        <v>20230329</v>
      </c>
      <c r="Q3593">
        <v>20220927</v>
      </c>
    </row>
    <row r="3594" spans="1:17" x14ac:dyDescent="0.25">
      <c r="A3594" t="s">
        <v>548</v>
      </c>
      <c r="B3594" t="s">
        <v>429</v>
      </c>
      <c r="C3594">
        <v>123</v>
      </c>
      <c r="D3594">
        <v>20220927</v>
      </c>
      <c r="E3594">
        <f t="shared" si="56"/>
        <v>9</v>
      </c>
      <c r="F3594">
        <v>411100</v>
      </c>
      <c r="G3594" t="s">
        <v>18</v>
      </c>
      <c r="H3594" t="s">
        <v>1774</v>
      </c>
      <c r="I3594" t="s">
        <v>1775</v>
      </c>
      <c r="J3594">
        <v>357218</v>
      </c>
      <c r="K3594">
        <v>20220927</v>
      </c>
      <c r="L3594" t="s">
        <v>3576</v>
      </c>
      <c r="M3594">
        <v>0</v>
      </c>
      <c r="N3594">
        <v>12</v>
      </c>
      <c r="O3594" t="s">
        <v>23</v>
      </c>
      <c r="P3594">
        <v>20230329</v>
      </c>
      <c r="Q3594">
        <v>20220927</v>
      </c>
    </row>
    <row r="3595" spans="1:17" x14ac:dyDescent="0.25">
      <c r="A3595" t="s">
        <v>548</v>
      </c>
      <c r="B3595" t="s">
        <v>429</v>
      </c>
      <c r="C3595">
        <v>123</v>
      </c>
      <c r="D3595">
        <v>20220927</v>
      </c>
      <c r="E3595">
        <f t="shared" si="56"/>
        <v>9</v>
      </c>
      <c r="F3595">
        <v>411100</v>
      </c>
      <c r="G3595" t="s">
        <v>18</v>
      </c>
      <c r="H3595" t="s">
        <v>2666</v>
      </c>
      <c r="I3595" t="s">
        <v>2667</v>
      </c>
      <c r="J3595">
        <v>357219</v>
      </c>
      <c r="K3595">
        <v>20220927</v>
      </c>
      <c r="L3595" t="s">
        <v>3577</v>
      </c>
      <c r="M3595">
        <v>0</v>
      </c>
      <c r="N3595">
        <v>13</v>
      </c>
      <c r="O3595" t="s">
        <v>22</v>
      </c>
      <c r="P3595">
        <v>20230218</v>
      </c>
      <c r="Q3595">
        <v>20220927</v>
      </c>
    </row>
    <row r="3596" spans="1:17" x14ac:dyDescent="0.25">
      <c r="A3596" t="s">
        <v>548</v>
      </c>
      <c r="B3596" t="s">
        <v>429</v>
      </c>
      <c r="C3596">
        <v>123</v>
      </c>
      <c r="D3596">
        <v>20220927</v>
      </c>
      <c r="E3596">
        <f t="shared" si="56"/>
        <v>9</v>
      </c>
      <c r="F3596">
        <v>531105</v>
      </c>
      <c r="G3596" t="s">
        <v>429</v>
      </c>
      <c r="H3596" t="s">
        <v>401</v>
      </c>
      <c r="I3596" t="s">
        <v>402</v>
      </c>
      <c r="J3596">
        <v>357220</v>
      </c>
      <c r="K3596">
        <v>20220927</v>
      </c>
      <c r="L3596" t="s">
        <v>565</v>
      </c>
      <c r="M3596">
        <v>298.63</v>
      </c>
      <c r="N3596">
        <v>0</v>
      </c>
      <c r="O3596" t="s">
        <v>19</v>
      </c>
      <c r="P3596" t="s">
        <v>20</v>
      </c>
      <c r="Q3596">
        <v>20220927</v>
      </c>
    </row>
    <row r="3597" spans="1:17" x14ac:dyDescent="0.25">
      <c r="A3597" t="s">
        <v>548</v>
      </c>
      <c r="B3597" t="s">
        <v>429</v>
      </c>
      <c r="C3597">
        <v>123</v>
      </c>
      <c r="D3597">
        <v>20220928</v>
      </c>
      <c r="E3597">
        <f t="shared" si="56"/>
        <v>9</v>
      </c>
      <c r="F3597">
        <v>467100</v>
      </c>
      <c r="G3597" t="s">
        <v>160</v>
      </c>
      <c r="H3597" t="s">
        <v>183</v>
      </c>
      <c r="I3597" t="s">
        <v>184</v>
      </c>
      <c r="J3597" t="s">
        <v>3578</v>
      </c>
      <c r="K3597">
        <v>20220928</v>
      </c>
      <c r="L3597" t="s">
        <v>3579</v>
      </c>
      <c r="M3597">
        <v>50</v>
      </c>
      <c r="N3597">
        <v>0</v>
      </c>
      <c r="O3597" t="s">
        <v>23</v>
      </c>
      <c r="P3597">
        <v>20221118</v>
      </c>
      <c r="Q3597">
        <v>20220928</v>
      </c>
    </row>
    <row r="3598" spans="1:17" x14ac:dyDescent="0.25">
      <c r="A3598" t="s">
        <v>548</v>
      </c>
      <c r="B3598" t="s">
        <v>429</v>
      </c>
      <c r="C3598">
        <v>123</v>
      </c>
      <c r="D3598">
        <v>20220928</v>
      </c>
      <c r="E3598">
        <f t="shared" si="56"/>
        <v>9</v>
      </c>
      <c r="F3598">
        <v>531105</v>
      </c>
      <c r="G3598" t="s">
        <v>429</v>
      </c>
      <c r="H3598" t="s">
        <v>401</v>
      </c>
      <c r="I3598" t="s">
        <v>402</v>
      </c>
      <c r="J3598" t="s">
        <v>3578</v>
      </c>
      <c r="K3598">
        <v>20220928</v>
      </c>
      <c r="L3598" t="s">
        <v>3579</v>
      </c>
      <c r="M3598">
        <v>0</v>
      </c>
      <c r="N3598">
        <v>50</v>
      </c>
      <c r="O3598" t="s">
        <v>19</v>
      </c>
      <c r="P3598" t="s">
        <v>20</v>
      </c>
      <c r="Q3598">
        <v>20220928</v>
      </c>
    </row>
    <row r="3599" spans="1:17" x14ac:dyDescent="0.25">
      <c r="A3599" t="s">
        <v>548</v>
      </c>
      <c r="B3599" t="s">
        <v>429</v>
      </c>
      <c r="C3599">
        <v>123</v>
      </c>
      <c r="D3599">
        <v>20220928</v>
      </c>
      <c r="E3599">
        <f t="shared" si="56"/>
        <v>9</v>
      </c>
      <c r="F3599">
        <v>467100</v>
      </c>
      <c r="G3599" t="s">
        <v>160</v>
      </c>
      <c r="H3599" t="s">
        <v>631</v>
      </c>
      <c r="I3599" t="s">
        <v>632</v>
      </c>
      <c r="J3599" t="s">
        <v>3580</v>
      </c>
      <c r="K3599">
        <v>20220928</v>
      </c>
      <c r="L3599" t="s">
        <v>3581</v>
      </c>
      <c r="M3599">
        <v>5.75</v>
      </c>
      <c r="N3599">
        <v>0</v>
      </c>
      <c r="O3599" t="s">
        <v>23</v>
      </c>
      <c r="P3599">
        <v>20221118</v>
      </c>
      <c r="Q3599">
        <v>20220928</v>
      </c>
    </row>
    <row r="3600" spans="1:17" x14ac:dyDescent="0.25">
      <c r="A3600" t="s">
        <v>548</v>
      </c>
      <c r="B3600" t="s">
        <v>429</v>
      </c>
      <c r="C3600">
        <v>123</v>
      </c>
      <c r="D3600">
        <v>20220928</v>
      </c>
      <c r="E3600">
        <f t="shared" si="56"/>
        <v>9</v>
      </c>
      <c r="F3600">
        <v>531105</v>
      </c>
      <c r="G3600" t="s">
        <v>429</v>
      </c>
      <c r="H3600" t="s">
        <v>401</v>
      </c>
      <c r="I3600" t="s">
        <v>402</v>
      </c>
      <c r="J3600" t="s">
        <v>3580</v>
      </c>
      <c r="K3600">
        <v>20220928</v>
      </c>
      <c r="L3600" t="s">
        <v>3581</v>
      </c>
      <c r="M3600">
        <v>0</v>
      </c>
      <c r="N3600">
        <v>5.75</v>
      </c>
      <c r="O3600" t="s">
        <v>19</v>
      </c>
      <c r="P3600" t="s">
        <v>20</v>
      </c>
      <c r="Q3600">
        <v>20220928</v>
      </c>
    </row>
    <row r="3601" spans="1:17" x14ac:dyDescent="0.25">
      <c r="A3601" t="s">
        <v>548</v>
      </c>
      <c r="B3601" t="s">
        <v>429</v>
      </c>
      <c r="C3601">
        <v>123</v>
      </c>
      <c r="D3601">
        <v>20220928</v>
      </c>
      <c r="E3601">
        <f t="shared" si="56"/>
        <v>9</v>
      </c>
      <c r="F3601">
        <v>411100</v>
      </c>
      <c r="G3601" t="s">
        <v>18</v>
      </c>
      <c r="H3601" t="s">
        <v>154</v>
      </c>
      <c r="I3601" t="s">
        <v>155</v>
      </c>
      <c r="J3601">
        <v>357221</v>
      </c>
      <c r="K3601">
        <v>20220928</v>
      </c>
      <c r="L3601" t="s">
        <v>3582</v>
      </c>
      <c r="M3601">
        <v>0</v>
      </c>
      <c r="N3601">
        <v>10</v>
      </c>
      <c r="O3601" t="s">
        <v>22</v>
      </c>
      <c r="P3601">
        <v>20230218</v>
      </c>
      <c r="Q3601">
        <v>20220928</v>
      </c>
    </row>
    <row r="3602" spans="1:17" x14ac:dyDescent="0.25">
      <c r="A3602" t="s">
        <v>548</v>
      </c>
      <c r="B3602" t="s">
        <v>429</v>
      </c>
      <c r="C3602">
        <v>123</v>
      </c>
      <c r="D3602">
        <v>20220928</v>
      </c>
      <c r="E3602">
        <f t="shared" si="56"/>
        <v>9</v>
      </c>
      <c r="F3602">
        <v>411100</v>
      </c>
      <c r="G3602" t="s">
        <v>18</v>
      </c>
      <c r="H3602" t="s">
        <v>3583</v>
      </c>
      <c r="I3602" t="s">
        <v>3584</v>
      </c>
      <c r="J3602">
        <v>357222</v>
      </c>
      <c r="K3602">
        <v>20220928</v>
      </c>
      <c r="L3602" t="s">
        <v>3585</v>
      </c>
      <c r="M3602">
        <v>0</v>
      </c>
      <c r="N3602">
        <v>10</v>
      </c>
      <c r="O3602" t="s">
        <v>22</v>
      </c>
      <c r="P3602">
        <v>20230218</v>
      </c>
      <c r="Q3602">
        <v>20220928</v>
      </c>
    </row>
    <row r="3603" spans="1:17" x14ac:dyDescent="0.25">
      <c r="A3603" t="s">
        <v>548</v>
      </c>
      <c r="B3603" t="s">
        <v>429</v>
      </c>
      <c r="C3603">
        <v>123</v>
      </c>
      <c r="D3603">
        <v>20220928</v>
      </c>
      <c r="E3603">
        <f t="shared" si="56"/>
        <v>9</v>
      </c>
      <c r="F3603">
        <v>411100</v>
      </c>
      <c r="G3603" t="s">
        <v>18</v>
      </c>
      <c r="H3603" t="s">
        <v>3586</v>
      </c>
      <c r="I3603" t="s">
        <v>3587</v>
      </c>
      <c r="J3603">
        <v>357223</v>
      </c>
      <c r="K3603">
        <v>20220928</v>
      </c>
      <c r="L3603" t="s">
        <v>3588</v>
      </c>
      <c r="M3603">
        <v>0</v>
      </c>
      <c r="N3603">
        <v>10</v>
      </c>
      <c r="O3603" t="s">
        <v>22</v>
      </c>
      <c r="P3603">
        <v>20230218</v>
      </c>
      <c r="Q3603">
        <v>20220928</v>
      </c>
    </row>
    <row r="3604" spans="1:17" x14ac:dyDescent="0.25">
      <c r="A3604" t="s">
        <v>548</v>
      </c>
      <c r="B3604" t="s">
        <v>429</v>
      </c>
      <c r="C3604">
        <v>123</v>
      </c>
      <c r="D3604">
        <v>20220928</v>
      </c>
      <c r="E3604">
        <f t="shared" si="56"/>
        <v>9</v>
      </c>
      <c r="F3604">
        <v>411100</v>
      </c>
      <c r="G3604" t="s">
        <v>18</v>
      </c>
      <c r="H3604" t="s">
        <v>344</v>
      </c>
      <c r="I3604" t="s">
        <v>345</v>
      </c>
      <c r="J3604">
        <v>357224</v>
      </c>
      <c r="K3604">
        <v>20220928</v>
      </c>
      <c r="L3604" t="s">
        <v>3589</v>
      </c>
      <c r="M3604">
        <v>0</v>
      </c>
      <c r="N3604">
        <v>10</v>
      </c>
      <c r="O3604" t="s">
        <v>22</v>
      </c>
      <c r="P3604">
        <v>20230218</v>
      </c>
      <c r="Q3604">
        <v>20220928</v>
      </c>
    </row>
    <row r="3605" spans="1:17" x14ac:dyDescent="0.25">
      <c r="A3605" t="s">
        <v>548</v>
      </c>
      <c r="B3605" t="s">
        <v>429</v>
      </c>
      <c r="C3605">
        <v>123</v>
      </c>
      <c r="D3605">
        <v>20220928</v>
      </c>
      <c r="E3605">
        <f t="shared" si="56"/>
        <v>9</v>
      </c>
      <c r="F3605">
        <v>411020</v>
      </c>
      <c r="G3605" t="s">
        <v>30</v>
      </c>
      <c r="H3605" t="s">
        <v>307</v>
      </c>
      <c r="I3605" t="s">
        <v>308</v>
      </c>
      <c r="J3605">
        <v>357225</v>
      </c>
      <c r="K3605">
        <v>20220928</v>
      </c>
      <c r="L3605" t="s">
        <v>3590</v>
      </c>
      <c r="M3605">
        <v>0</v>
      </c>
      <c r="N3605">
        <v>25</v>
      </c>
      <c r="O3605" t="s">
        <v>19</v>
      </c>
      <c r="P3605" t="s">
        <v>20</v>
      </c>
      <c r="Q3605">
        <v>20220928</v>
      </c>
    </row>
    <row r="3606" spans="1:17" x14ac:dyDescent="0.25">
      <c r="A3606" t="s">
        <v>548</v>
      </c>
      <c r="B3606" t="s">
        <v>429</v>
      </c>
      <c r="C3606">
        <v>123</v>
      </c>
      <c r="D3606">
        <v>20220928</v>
      </c>
      <c r="E3606">
        <f t="shared" si="56"/>
        <v>9</v>
      </c>
      <c r="F3606">
        <v>531105</v>
      </c>
      <c r="G3606" t="s">
        <v>429</v>
      </c>
      <c r="H3606" t="s">
        <v>401</v>
      </c>
      <c r="I3606" t="s">
        <v>402</v>
      </c>
      <c r="J3606">
        <v>357226</v>
      </c>
      <c r="K3606">
        <v>20220928</v>
      </c>
      <c r="L3606" t="s">
        <v>565</v>
      </c>
      <c r="M3606">
        <v>65</v>
      </c>
      <c r="N3606">
        <v>0</v>
      </c>
      <c r="O3606" t="s">
        <v>19</v>
      </c>
      <c r="P3606" t="s">
        <v>20</v>
      </c>
      <c r="Q3606">
        <v>20220928</v>
      </c>
    </row>
    <row r="3607" spans="1:17" x14ac:dyDescent="0.25">
      <c r="A3607" t="s">
        <v>548</v>
      </c>
      <c r="B3607" t="s">
        <v>429</v>
      </c>
      <c r="C3607">
        <v>123</v>
      </c>
      <c r="D3607">
        <v>20220929</v>
      </c>
      <c r="E3607">
        <f t="shared" si="56"/>
        <v>9</v>
      </c>
      <c r="F3607">
        <v>467100</v>
      </c>
      <c r="G3607" t="s">
        <v>160</v>
      </c>
      <c r="H3607" t="s">
        <v>316</v>
      </c>
      <c r="I3607" t="s">
        <v>317</v>
      </c>
      <c r="J3607" t="s">
        <v>3591</v>
      </c>
      <c r="K3607">
        <v>20220929</v>
      </c>
      <c r="L3607" t="s">
        <v>3592</v>
      </c>
      <c r="M3607">
        <v>50</v>
      </c>
      <c r="N3607">
        <v>0</v>
      </c>
      <c r="O3607" t="s">
        <v>19</v>
      </c>
      <c r="P3607" t="s">
        <v>20</v>
      </c>
      <c r="Q3607">
        <v>20220929</v>
      </c>
    </row>
    <row r="3608" spans="1:17" x14ac:dyDescent="0.25">
      <c r="A3608" t="s">
        <v>548</v>
      </c>
      <c r="B3608" t="s">
        <v>429</v>
      </c>
      <c r="C3608">
        <v>123</v>
      </c>
      <c r="D3608">
        <v>20220929</v>
      </c>
      <c r="E3608">
        <f t="shared" si="56"/>
        <v>9</v>
      </c>
      <c r="F3608">
        <v>531105</v>
      </c>
      <c r="G3608" t="s">
        <v>429</v>
      </c>
      <c r="H3608" t="s">
        <v>401</v>
      </c>
      <c r="I3608" t="s">
        <v>402</v>
      </c>
      <c r="J3608" t="s">
        <v>3591</v>
      </c>
      <c r="K3608">
        <v>20220929</v>
      </c>
      <c r="L3608" t="s">
        <v>3592</v>
      </c>
      <c r="M3608">
        <v>0</v>
      </c>
      <c r="N3608">
        <v>50</v>
      </c>
      <c r="O3608" t="s">
        <v>19</v>
      </c>
      <c r="P3608" t="s">
        <v>20</v>
      </c>
      <c r="Q3608">
        <v>20220929</v>
      </c>
    </row>
    <row r="3609" spans="1:17" x14ac:dyDescent="0.25">
      <c r="A3609" t="s">
        <v>548</v>
      </c>
      <c r="B3609" t="s">
        <v>429</v>
      </c>
      <c r="C3609">
        <v>123</v>
      </c>
      <c r="D3609">
        <v>20220929</v>
      </c>
      <c r="E3609">
        <f t="shared" si="56"/>
        <v>9</v>
      </c>
      <c r="F3609">
        <v>467100</v>
      </c>
      <c r="G3609" t="s">
        <v>160</v>
      </c>
      <c r="H3609" t="s">
        <v>172</v>
      </c>
      <c r="I3609" t="s">
        <v>173</v>
      </c>
      <c r="J3609" t="s">
        <v>3593</v>
      </c>
      <c r="K3609">
        <v>20220929</v>
      </c>
      <c r="L3609" t="s">
        <v>550</v>
      </c>
      <c r="M3609">
        <v>0</v>
      </c>
      <c r="N3609">
        <v>35.44</v>
      </c>
      <c r="O3609" t="s">
        <v>23</v>
      </c>
      <c r="P3609">
        <v>20221013</v>
      </c>
      <c r="Q3609">
        <v>20220929</v>
      </c>
    </row>
    <row r="3610" spans="1:17" x14ac:dyDescent="0.25">
      <c r="A3610" t="s">
        <v>548</v>
      </c>
      <c r="B3610" t="s">
        <v>429</v>
      </c>
      <c r="C3610">
        <v>123</v>
      </c>
      <c r="D3610">
        <v>20220929</v>
      </c>
      <c r="E3610">
        <f t="shared" si="56"/>
        <v>9</v>
      </c>
      <c r="F3610">
        <v>531105</v>
      </c>
      <c r="G3610" t="s">
        <v>429</v>
      </c>
      <c r="H3610" t="s">
        <v>401</v>
      </c>
      <c r="I3610" t="s">
        <v>402</v>
      </c>
      <c r="J3610" t="s">
        <v>3593</v>
      </c>
      <c r="K3610">
        <v>20220929</v>
      </c>
      <c r="L3610" t="s">
        <v>550</v>
      </c>
      <c r="M3610">
        <v>35.44</v>
      </c>
      <c r="N3610">
        <v>0</v>
      </c>
      <c r="O3610" t="s">
        <v>19</v>
      </c>
      <c r="P3610" t="s">
        <v>20</v>
      </c>
      <c r="Q3610">
        <v>20220929</v>
      </c>
    </row>
    <row r="3611" spans="1:17" x14ac:dyDescent="0.25">
      <c r="A3611" t="s">
        <v>548</v>
      </c>
      <c r="B3611" t="s">
        <v>429</v>
      </c>
      <c r="C3611">
        <v>123</v>
      </c>
      <c r="D3611">
        <v>20220930</v>
      </c>
      <c r="E3611">
        <f t="shared" si="56"/>
        <v>9</v>
      </c>
      <c r="F3611">
        <v>411100</v>
      </c>
      <c r="G3611" t="s">
        <v>18</v>
      </c>
      <c r="H3611" t="s">
        <v>3594</v>
      </c>
      <c r="I3611" t="s">
        <v>3595</v>
      </c>
      <c r="J3611">
        <v>357227</v>
      </c>
      <c r="K3611">
        <v>20220930</v>
      </c>
      <c r="L3611" t="s">
        <v>3596</v>
      </c>
      <c r="M3611">
        <v>0</v>
      </c>
      <c r="N3611">
        <v>10</v>
      </c>
      <c r="O3611" t="s">
        <v>22</v>
      </c>
      <c r="P3611">
        <v>20230218</v>
      </c>
      <c r="Q3611">
        <v>20220930</v>
      </c>
    </row>
    <row r="3612" spans="1:17" x14ac:dyDescent="0.25">
      <c r="A3612" t="s">
        <v>548</v>
      </c>
      <c r="B3612" t="s">
        <v>429</v>
      </c>
      <c r="C3612">
        <v>123</v>
      </c>
      <c r="D3612">
        <v>20220930</v>
      </c>
      <c r="E3612">
        <f t="shared" si="56"/>
        <v>9</v>
      </c>
      <c r="F3612">
        <v>411100</v>
      </c>
      <c r="G3612" t="s">
        <v>18</v>
      </c>
      <c r="H3612" t="s">
        <v>3597</v>
      </c>
      <c r="I3612" t="s">
        <v>3598</v>
      </c>
      <c r="J3612">
        <v>357228</v>
      </c>
      <c r="K3612">
        <v>20220930</v>
      </c>
      <c r="L3612" t="s">
        <v>3599</v>
      </c>
      <c r="M3612">
        <v>0</v>
      </c>
      <c r="N3612">
        <v>10</v>
      </c>
      <c r="O3612" t="s">
        <v>22</v>
      </c>
      <c r="P3612">
        <v>20230218</v>
      </c>
      <c r="Q3612">
        <v>20220930</v>
      </c>
    </row>
    <row r="3613" spans="1:17" x14ac:dyDescent="0.25">
      <c r="A3613" t="s">
        <v>548</v>
      </c>
      <c r="B3613" t="s">
        <v>429</v>
      </c>
      <c r="C3613">
        <v>123</v>
      </c>
      <c r="D3613">
        <v>20220930</v>
      </c>
      <c r="E3613">
        <f t="shared" si="56"/>
        <v>9</v>
      </c>
      <c r="F3613">
        <v>531105</v>
      </c>
      <c r="G3613" t="s">
        <v>429</v>
      </c>
      <c r="H3613" t="s">
        <v>401</v>
      </c>
      <c r="I3613" t="s">
        <v>402</v>
      </c>
      <c r="J3613">
        <v>357229</v>
      </c>
      <c r="K3613">
        <v>20220930</v>
      </c>
      <c r="L3613" t="s">
        <v>565</v>
      </c>
      <c r="M3613">
        <v>20</v>
      </c>
      <c r="N3613">
        <v>0</v>
      </c>
      <c r="O3613" t="s">
        <v>19</v>
      </c>
      <c r="P3613" t="s">
        <v>20</v>
      </c>
      <c r="Q3613">
        <v>20220930</v>
      </c>
    </row>
    <row r="3614" spans="1:17" x14ac:dyDescent="0.25">
      <c r="A3614" t="s">
        <v>715</v>
      </c>
      <c r="B3614" t="s">
        <v>432</v>
      </c>
      <c r="C3614">
        <v>124</v>
      </c>
      <c r="D3614">
        <v>20220901</v>
      </c>
      <c r="E3614">
        <f t="shared" si="56"/>
        <v>9</v>
      </c>
      <c r="F3614">
        <v>401000</v>
      </c>
      <c r="G3614" t="s">
        <v>41</v>
      </c>
      <c r="H3614" t="s">
        <v>470</v>
      </c>
      <c r="I3614" t="s">
        <v>471</v>
      </c>
      <c r="J3614" t="s">
        <v>3600</v>
      </c>
      <c r="K3614">
        <v>20220901</v>
      </c>
      <c r="L3614" t="s">
        <v>1597</v>
      </c>
      <c r="M3614">
        <v>29.99</v>
      </c>
      <c r="N3614">
        <v>0</v>
      </c>
      <c r="O3614" t="s">
        <v>23</v>
      </c>
      <c r="P3614">
        <v>20230123</v>
      </c>
      <c r="Q3614">
        <v>20220901</v>
      </c>
    </row>
    <row r="3615" spans="1:17" x14ac:dyDescent="0.25">
      <c r="A3615" t="s">
        <v>715</v>
      </c>
      <c r="B3615" t="s">
        <v>432</v>
      </c>
      <c r="C3615">
        <v>124</v>
      </c>
      <c r="D3615">
        <v>20220901</v>
      </c>
      <c r="E3615">
        <f t="shared" si="56"/>
        <v>9</v>
      </c>
      <c r="F3615">
        <v>512200</v>
      </c>
      <c r="G3615" t="s">
        <v>432</v>
      </c>
      <c r="H3615" t="s">
        <v>401</v>
      </c>
      <c r="I3615" t="s">
        <v>402</v>
      </c>
      <c r="J3615" t="s">
        <v>3600</v>
      </c>
      <c r="K3615">
        <v>20220901</v>
      </c>
      <c r="L3615" t="s">
        <v>1597</v>
      </c>
      <c r="M3615">
        <v>0</v>
      </c>
      <c r="N3615">
        <v>29.99</v>
      </c>
      <c r="O3615" t="s">
        <v>19</v>
      </c>
      <c r="P3615" t="s">
        <v>20</v>
      </c>
      <c r="Q3615">
        <v>20220901</v>
      </c>
    </row>
    <row r="3616" spans="1:17" x14ac:dyDescent="0.25">
      <c r="A3616" t="s">
        <v>715</v>
      </c>
      <c r="B3616" t="s">
        <v>432</v>
      </c>
      <c r="C3616">
        <v>124</v>
      </c>
      <c r="D3616">
        <v>20220905</v>
      </c>
      <c r="E3616">
        <f t="shared" si="56"/>
        <v>9</v>
      </c>
      <c r="F3616">
        <v>401000</v>
      </c>
      <c r="G3616" t="s">
        <v>41</v>
      </c>
      <c r="H3616" t="s">
        <v>52</v>
      </c>
      <c r="I3616" t="s">
        <v>53</v>
      </c>
      <c r="J3616" t="s">
        <v>3601</v>
      </c>
      <c r="K3616">
        <v>20220905</v>
      </c>
      <c r="L3616" t="s">
        <v>3602</v>
      </c>
      <c r="M3616">
        <v>65.760000000000005</v>
      </c>
      <c r="N3616">
        <v>0</v>
      </c>
      <c r="O3616" t="s">
        <v>23</v>
      </c>
      <c r="P3616">
        <v>20230123</v>
      </c>
      <c r="Q3616">
        <v>20220905</v>
      </c>
    </row>
    <row r="3617" spans="1:17" x14ac:dyDescent="0.25">
      <c r="A3617" t="s">
        <v>715</v>
      </c>
      <c r="B3617" t="s">
        <v>432</v>
      </c>
      <c r="C3617">
        <v>124</v>
      </c>
      <c r="D3617">
        <v>20220905</v>
      </c>
      <c r="E3617">
        <f t="shared" si="56"/>
        <v>9</v>
      </c>
      <c r="F3617">
        <v>512200</v>
      </c>
      <c r="G3617" t="s">
        <v>432</v>
      </c>
      <c r="H3617" t="s">
        <v>401</v>
      </c>
      <c r="I3617" t="s">
        <v>402</v>
      </c>
      <c r="J3617" t="s">
        <v>3601</v>
      </c>
      <c r="K3617">
        <v>20220905</v>
      </c>
      <c r="L3617" t="s">
        <v>3602</v>
      </c>
      <c r="M3617">
        <v>0</v>
      </c>
      <c r="N3617">
        <v>65.760000000000005</v>
      </c>
      <c r="O3617" t="s">
        <v>19</v>
      </c>
      <c r="P3617" t="s">
        <v>20</v>
      </c>
      <c r="Q3617">
        <v>20220905</v>
      </c>
    </row>
    <row r="3618" spans="1:17" x14ac:dyDescent="0.25">
      <c r="A3618" t="s">
        <v>715</v>
      </c>
      <c r="B3618" t="s">
        <v>432</v>
      </c>
      <c r="C3618">
        <v>124</v>
      </c>
      <c r="D3618">
        <v>20220905</v>
      </c>
      <c r="E3618">
        <f t="shared" si="56"/>
        <v>9</v>
      </c>
      <c r="F3618">
        <v>401000</v>
      </c>
      <c r="G3618" t="s">
        <v>41</v>
      </c>
      <c r="H3618" t="s">
        <v>52</v>
      </c>
      <c r="I3618" t="s">
        <v>53</v>
      </c>
      <c r="J3618" t="s">
        <v>3603</v>
      </c>
      <c r="K3618">
        <v>20220905</v>
      </c>
      <c r="L3618" t="s">
        <v>3604</v>
      </c>
      <c r="M3618">
        <v>322.8</v>
      </c>
      <c r="N3618">
        <v>0</v>
      </c>
      <c r="O3618" t="s">
        <v>23</v>
      </c>
      <c r="P3618">
        <v>20230123</v>
      </c>
      <c r="Q3618">
        <v>20220905</v>
      </c>
    </row>
    <row r="3619" spans="1:17" x14ac:dyDescent="0.25">
      <c r="A3619" t="s">
        <v>715</v>
      </c>
      <c r="B3619" t="s">
        <v>432</v>
      </c>
      <c r="C3619">
        <v>124</v>
      </c>
      <c r="D3619">
        <v>20220905</v>
      </c>
      <c r="E3619">
        <f t="shared" si="56"/>
        <v>9</v>
      </c>
      <c r="F3619">
        <v>512200</v>
      </c>
      <c r="G3619" t="s">
        <v>432</v>
      </c>
      <c r="H3619" t="s">
        <v>401</v>
      </c>
      <c r="I3619" t="s">
        <v>402</v>
      </c>
      <c r="J3619" t="s">
        <v>3603</v>
      </c>
      <c r="K3619">
        <v>20220905</v>
      </c>
      <c r="L3619" t="s">
        <v>3604</v>
      </c>
      <c r="M3619">
        <v>0</v>
      </c>
      <c r="N3619">
        <v>322.8</v>
      </c>
      <c r="O3619" t="s">
        <v>19</v>
      </c>
      <c r="P3619" t="s">
        <v>20</v>
      </c>
      <c r="Q3619">
        <v>20220905</v>
      </c>
    </row>
    <row r="3620" spans="1:17" x14ac:dyDescent="0.25">
      <c r="A3620" t="s">
        <v>715</v>
      </c>
      <c r="B3620" t="s">
        <v>432</v>
      </c>
      <c r="C3620">
        <v>124</v>
      </c>
      <c r="D3620">
        <v>20220909</v>
      </c>
      <c r="E3620">
        <f t="shared" si="56"/>
        <v>9</v>
      </c>
      <c r="F3620">
        <v>401000</v>
      </c>
      <c r="G3620" t="s">
        <v>41</v>
      </c>
      <c r="H3620" t="s">
        <v>3396</v>
      </c>
      <c r="I3620" t="s">
        <v>3397</v>
      </c>
      <c r="J3620" t="s">
        <v>3605</v>
      </c>
      <c r="K3620">
        <v>20220909</v>
      </c>
      <c r="L3620" t="s">
        <v>3606</v>
      </c>
      <c r="M3620">
        <v>41.75</v>
      </c>
      <c r="N3620">
        <v>0</v>
      </c>
      <c r="O3620" t="s">
        <v>23</v>
      </c>
      <c r="P3620">
        <v>20230222</v>
      </c>
      <c r="Q3620">
        <v>20220909</v>
      </c>
    </row>
    <row r="3621" spans="1:17" x14ac:dyDescent="0.25">
      <c r="A3621" t="s">
        <v>715</v>
      </c>
      <c r="B3621" t="s">
        <v>432</v>
      </c>
      <c r="C3621">
        <v>124</v>
      </c>
      <c r="D3621">
        <v>20220909</v>
      </c>
      <c r="E3621">
        <f t="shared" si="56"/>
        <v>9</v>
      </c>
      <c r="F3621">
        <v>512200</v>
      </c>
      <c r="G3621" t="s">
        <v>432</v>
      </c>
      <c r="H3621" t="s">
        <v>401</v>
      </c>
      <c r="I3621" t="s">
        <v>402</v>
      </c>
      <c r="J3621" t="s">
        <v>3605</v>
      </c>
      <c r="K3621">
        <v>20220909</v>
      </c>
      <c r="L3621" t="s">
        <v>3606</v>
      </c>
      <c r="M3621">
        <v>0</v>
      </c>
      <c r="N3621">
        <v>41.75</v>
      </c>
      <c r="O3621" t="s">
        <v>19</v>
      </c>
      <c r="P3621" t="s">
        <v>20</v>
      </c>
      <c r="Q3621">
        <v>20220909</v>
      </c>
    </row>
    <row r="3622" spans="1:17" x14ac:dyDescent="0.25">
      <c r="A3622" t="s">
        <v>715</v>
      </c>
      <c r="B3622" t="s">
        <v>432</v>
      </c>
      <c r="C3622">
        <v>124</v>
      </c>
      <c r="D3622">
        <v>20220912</v>
      </c>
      <c r="E3622">
        <f t="shared" si="56"/>
        <v>9</v>
      </c>
      <c r="F3622">
        <v>627000</v>
      </c>
      <c r="G3622" t="s">
        <v>480</v>
      </c>
      <c r="H3622" t="s">
        <v>401</v>
      </c>
      <c r="I3622" t="s">
        <v>402</v>
      </c>
      <c r="J3622" t="s">
        <v>3607</v>
      </c>
      <c r="K3622">
        <v>20220912</v>
      </c>
      <c r="L3622" t="s">
        <v>482</v>
      </c>
      <c r="M3622">
        <v>15.88</v>
      </c>
      <c r="N3622">
        <v>0</v>
      </c>
      <c r="O3622" t="s">
        <v>19</v>
      </c>
      <c r="P3622" t="s">
        <v>20</v>
      </c>
      <c r="Q3622">
        <v>20220912</v>
      </c>
    </row>
    <row r="3623" spans="1:17" x14ac:dyDescent="0.25">
      <c r="A3623" t="s">
        <v>715</v>
      </c>
      <c r="B3623" t="s">
        <v>432</v>
      </c>
      <c r="C3623">
        <v>124</v>
      </c>
      <c r="D3623">
        <v>20220912</v>
      </c>
      <c r="E3623">
        <f t="shared" si="56"/>
        <v>9</v>
      </c>
      <c r="F3623">
        <v>512200</v>
      </c>
      <c r="G3623" t="s">
        <v>432</v>
      </c>
      <c r="H3623" t="s">
        <v>401</v>
      </c>
      <c r="I3623" t="s">
        <v>402</v>
      </c>
      <c r="J3623" t="s">
        <v>3607</v>
      </c>
      <c r="K3623">
        <v>20220912</v>
      </c>
      <c r="L3623" t="s">
        <v>482</v>
      </c>
      <c r="M3623">
        <v>0</v>
      </c>
      <c r="N3623">
        <v>15.88</v>
      </c>
      <c r="O3623" t="s">
        <v>19</v>
      </c>
      <c r="P3623" t="s">
        <v>20</v>
      </c>
      <c r="Q3623">
        <v>20220912</v>
      </c>
    </row>
    <row r="3624" spans="1:17" x14ac:dyDescent="0.25">
      <c r="A3624" t="s">
        <v>715</v>
      </c>
      <c r="B3624" t="s">
        <v>432</v>
      </c>
      <c r="C3624">
        <v>124</v>
      </c>
      <c r="D3624">
        <v>20220912</v>
      </c>
      <c r="E3624">
        <f t="shared" si="56"/>
        <v>9</v>
      </c>
      <c r="F3624">
        <v>625700</v>
      </c>
      <c r="G3624" t="s">
        <v>810</v>
      </c>
      <c r="H3624" t="s">
        <v>401</v>
      </c>
      <c r="I3624" t="s">
        <v>402</v>
      </c>
      <c r="J3624" t="s">
        <v>3608</v>
      </c>
      <c r="K3624">
        <v>20220912</v>
      </c>
      <c r="L3624" t="s">
        <v>3609</v>
      </c>
      <c r="M3624">
        <v>78.03</v>
      </c>
      <c r="N3624">
        <v>0</v>
      </c>
      <c r="O3624" t="s">
        <v>19</v>
      </c>
      <c r="P3624" t="s">
        <v>20</v>
      </c>
      <c r="Q3624">
        <v>20220912</v>
      </c>
    </row>
    <row r="3625" spans="1:17" x14ac:dyDescent="0.25">
      <c r="A3625" t="s">
        <v>715</v>
      </c>
      <c r="B3625" t="s">
        <v>432</v>
      </c>
      <c r="C3625">
        <v>124</v>
      </c>
      <c r="D3625">
        <v>20220912</v>
      </c>
      <c r="E3625">
        <f t="shared" si="56"/>
        <v>9</v>
      </c>
      <c r="F3625">
        <v>512200</v>
      </c>
      <c r="G3625" t="s">
        <v>432</v>
      </c>
      <c r="H3625" t="s">
        <v>401</v>
      </c>
      <c r="I3625" t="s">
        <v>402</v>
      </c>
      <c r="J3625" t="s">
        <v>3608</v>
      </c>
      <c r="K3625">
        <v>20220912</v>
      </c>
      <c r="L3625" t="s">
        <v>3609</v>
      </c>
      <c r="M3625">
        <v>0</v>
      </c>
      <c r="N3625">
        <v>78.03</v>
      </c>
      <c r="O3625" t="s">
        <v>19</v>
      </c>
      <c r="P3625" t="s">
        <v>20</v>
      </c>
      <c r="Q3625">
        <v>20220912</v>
      </c>
    </row>
    <row r="3626" spans="1:17" x14ac:dyDescent="0.25">
      <c r="A3626" t="s">
        <v>715</v>
      </c>
      <c r="B3626" t="s">
        <v>432</v>
      </c>
      <c r="C3626">
        <v>124</v>
      </c>
      <c r="D3626">
        <v>20220913</v>
      </c>
      <c r="E3626">
        <f t="shared" si="56"/>
        <v>9</v>
      </c>
      <c r="F3626">
        <v>411100</v>
      </c>
      <c r="G3626" t="s">
        <v>18</v>
      </c>
      <c r="H3626" t="s">
        <v>3220</v>
      </c>
      <c r="I3626" t="s">
        <v>3221</v>
      </c>
      <c r="J3626">
        <v>122070110</v>
      </c>
      <c r="K3626">
        <v>20220913</v>
      </c>
      <c r="L3626" t="s">
        <v>3610</v>
      </c>
      <c r="M3626">
        <v>0</v>
      </c>
      <c r="N3626">
        <v>25</v>
      </c>
      <c r="O3626" t="s">
        <v>19</v>
      </c>
      <c r="P3626" t="s">
        <v>20</v>
      </c>
      <c r="Q3626">
        <v>20220913</v>
      </c>
    </row>
    <row r="3627" spans="1:17" x14ac:dyDescent="0.25">
      <c r="A3627" t="s">
        <v>715</v>
      </c>
      <c r="B3627" t="s">
        <v>432</v>
      </c>
      <c r="C3627">
        <v>124</v>
      </c>
      <c r="D3627">
        <v>20220913</v>
      </c>
      <c r="E3627">
        <f t="shared" si="56"/>
        <v>9</v>
      </c>
      <c r="F3627">
        <v>512200</v>
      </c>
      <c r="G3627" t="s">
        <v>432</v>
      </c>
      <c r="H3627" t="s">
        <v>401</v>
      </c>
      <c r="I3627" t="s">
        <v>402</v>
      </c>
      <c r="J3627">
        <v>356458</v>
      </c>
      <c r="K3627">
        <v>20220913</v>
      </c>
      <c r="L3627" t="s">
        <v>2035</v>
      </c>
      <c r="M3627">
        <v>25</v>
      </c>
      <c r="N3627">
        <v>0</v>
      </c>
      <c r="O3627" t="s">
        <v>19</v>
      </c>
      <c r="P3627" t="s">
        <v>20</v>
      </c>
      <c r="Q3627">
        <v>20220913</v>
      </c>
    </row>
    <row r="3628" spans="1:17" x14ac:dyDescent="0.25">
      <c r="A3628" t="s">
        <v>715</v>
      </c>
      <c r="B3628" t="s">
        <v>432</v>
      </c>
      <c r="C3628">
        <v>124</v>
      </c>
      <c r="D3628">
        <v>20220915</v>
      </c>
      <c r="E3628">
        <f t="shared" si="56"/>
        <v>9</v>
      </c>
      <c r="F3628">
        <v>512200</v>
      </c>
      <c r="G3628" t="s">
        <v>432</v>
      </c>
      <c r="H3628" t="s">
        <v>401</v>
      </c>
      <c r="I3628" t="s">
        <v>402</v>
      </c>
      <c r="J3628" t="s">
        <v>3611</v>
      </c>
      <c r="K3628">
        <v>20220915</v>
      </c>
      <c r="L3628" t="s">
        <v>3612</v>
      </c>
      <c r="M3628">
        <v>4374.8</v>
      </c>
      <c r="N3628">
        <v>0</v>
      </c>
      <c r="O3628" t="s">
        <v>19</v>
      </c>
      <c r="P3628" t="s">
        <v>20</v>
      </c>
      <c r="Q3628">
        <v>20220915</v>
      </c>
    </row>
    <row r="3629" spans="1:17" x14ac:dyDescent="0.25">
      <c r="A3629" t="s">
        <v>715</v>
      </c>
      <c r="B3629" t="s">
        <v>432</v>
      </c>
      <c r="C3629">
        <v>124</v>
      </c>
      <c r="D3629">
        <v>20220915</v>
      </c>
      <c r="E3629">
        <f t="shared" si="56"/>
        <v>9</v>
      </c>
      <c r="F3629">
        <v>511000</v>
      </c>
      <c r="G3629" t="s">
        <v>431</v>
      </c>
      <c r="H3629" t="s">
        <v>401</v>
      </c>
      <c r="I3629" t="s">
        <v>402</v>
      </c>
      <c r="J3629" t="s">
        <v>3611</v>
      </c>
      <c r="K3629">
        <v>20220915</v>
      </c>
      <c r="L3629" t="s">
        <v>3612</v>
      </c>
      <c r="M3629">
        <v>0</v>
      </c>
      <c r="N3629">
        <v>4374.8</v>
      </c>
      <c r="O3629" t="s">
        <v>23</v>
      </c>
      <c r="P3629">
        <v>20230116</v>
      </c>
      <c r="Q3629">
        <v>20220915</v>
      </c>
    </row>
    <row r="3630" spans="1:17" x14ac:dyDescent="0.25">
      <c r="A3630" t="s">
        <v>715</v>
      </c>
      <c r="B3630" t="s">
        <v>432</v>
      </c>
      <c r="C3630">
        <v>124</v>
      </c>
      <c r="D3630">
        <v>20220915</v>
      </c>
      <c r="E3630">
        <f t="shared" si="56"/>
        <v>9</v>
      </c>
      <c r="F3630">
        <v>512200</v>
      </c>
      <c r="G3630" t="s">
        <v>432</v>
      </c>
      <c r="H3630" t="s">
        <v>401</v>
      </c>
      <c r="I3630" t="s">
        <v>402</v>
      </c>
      <c r="J3630" t="s">
        <v>3515</v>
      </c>
      <c r="K3630">
        <v>20220915</v>
      </c>
      <c r="L3630" t="s">
        <v>625</v>
      </c>
      <c r="M3630">
        <v>1100</v>
      </c>
      <c r="N3630">
        <v>0</v>
      </c>
      <c r="O3630" t="s">
        <v>19</v>
      </c>
      <c r="P3630" t="s">
        <v>20</v>
      </c>
      <c r="Q3630">
        <v>20220915</v>
      </c>
    </row>
    <row r="3631" spans="1:17" x14ac:dyDescent="0.25">
      <c r="A3631" t="s">
        <v>715</v>
      </c>
      <c r="B3631" t="s">
        <v>432</v>
      </c>
      <c r="C3631">
        <v>124</v>
      </c>
      <c r="D3631">
        <v>20220915</v>
      </c>
      <c r="E3631">
        <f t="shared" si="56"/>
        <v>9</v>
      </c>
      <c r="F3631">
        <v>580000</v>
      </c>
      <c r="G3631" t="s">
        <v>532</v>
      </c>
      <c r="H3631" t="s">
        <v>401</v>
      </c>
      <c r="I3631" t="s">
        <v>402</v>
      </c>
      <c r="J3631" t="s">
        <v>3515</v>
      </c>
      <c r="K3631">
        <v>20220915</v>
      </c>
      <c r="L3631" t="s">
        <v>625</v>
      </c>
      <c r="M3631">
        <v>0</v>
      </c>
      <c r="N3631">
        <v>1100</v>
      </c>
      <c r="O3631" t="s">
        <v>22</v>
      </c>
      <c r="P3631">
        <v>20220915</v>
      </c>
      <c r="Q3631">
        <v>20220915</v>
      </c>
    </row>
    <row r="3632" spans="1:17" x14ac:dyDescent="0.25">
      <c r="A3632" t="s">
        <v>715</v>
      </c>
      <c r="B3632" t="s">
        <v>432</v>
      </c>
      <c r="C3632">
        <v>124</v>
      </c>
      <c r="D3632">
        <v>20220916</v>
      </c>
      <c r="E3632">
        <f t="shared" si="56"/>
        <v>9</v>
      </c>
      <c r="F3632">
        <v>401000</v>
      </c>
      <c r="G3632" t="s">
        <v>41</v>
      </c>
      <c r="H3632" t="s">
        <v>3394</v>
      </c>
      <c r="I3632" t="s">
        <v>3395</v>
      </c>
      <c r="J3632" t="s">
        <v>3613</v>
      </c>
      <c r="K3632">
        <v>20220916</v>
      </c>
      <c r="L3632" t="s">
        <v>3614</v>
      </c>
      <c r="M3632">
        <v>152</v>
      </c>
      <c r="N3632">
        <v>0</v>
      </c>
      <c r="O3632" t="s">
        <v>23</v>
      </c>
      <c r="P3632">
        <v>20230218</v>
      </c>
      <c r="Q3632">
        <v>20220916</v>
      </c>
    </row>
    <row r="3633" spans="1:17" x14ac:dyDescent="0.25">
      <c r="A3633" t="s">
        <v>715</v>
      </c>
      <c r="B3633" t="s">
        <v>432</v>
      </c>
      <c r="C3633">
        <v>124</v>
      </c>
      <c r="D3633">
        <v>20220916</v>
      </c>
      <c r="E3633">
        <f t="shared" si="56"/>
        <v>9</v>
      </c>
      <c r="F3633">
        <v>512200</v>
      </c>
      <c r="G3633" t="s">
        <v>432</v>
      </c>
      <c r="H3633" t="s">
        <v>401</v>
      </c>
      <c r="I3633" t="s">
        <v>402</v>
      </c>
      <c r="J3633" t="s">
        <v>3613</v>
      </c>
      <c r="K3633">
        <v>20220916</v>
      </c>
      <c r="L3633" t="s">
        <v>3614</v>
      </c>
      <c r="M3633">
        <v>0</v>
      </c>
      <c r="N3633">
        <v>152</v>
      </c>
      <c r="O3633" t="s">
        <v>19</v>
      </c>
      <c r="P3633" t="s">
        <v>20</v>
      </c>
      <c r="Q3633">
        <v>20220916</v>
      </c>
    </row>
    <row r="3634" spans="1:17" x14ac:dyDescent="0.25">
      <c r="A3634" t="s">
        <v>715</v>
      </c>
      <c r="B3634" t="s">
        <v>432</v>
      </c>
      <c r="C3634">
        <v>124</v>
      </c>
      <c r="D3634">
        <v>20220919</v>
      </c>
      <c r="E3634">
        <f t="shared" si="56"/>
        <v>9</v>
      </c>
      <c r="F3634">
        <v>401000</v>
      </c>
      <c r="G3634" t="s">
        <v>41</v>
      </c>
      <c r="H3634" t="s">
        <v>52</v>
      </c>
      <c r="I3634" t="s">
        <v>53</v>
      </c>
      <c r="J3634" t="s">
        <v>3615</v>
      </c>
      <c r="K3634">
        <v>20220919</v>
      </c>
      <c r="L3634" t="s">
        <v>3616</v>
      </c>
      <c r="M3634">
        <v>66</v>
      </c>
      <c r="N3634">
        <v>0</v>
      </c>
      <c r="O3634" t="s">
        <v>23</v>
      </c>
      <c r="P3634">
        <v>20230220</v>
      </c>
      <c r="Q3634">
        <v>20220919</v>
      </c>
    </row>
    <row r="3635" spans="1:17" x14ac:dyDescent="0.25">
      <c r="A3635" t="s">
        <v>715</v>
      </c>
      <c r="B3635" t="s">
        <v>432</v>
      </c>
      <c r="C3635">
        <v>124</v>
      </c>
      <c r="D3635">
        <v>20220919</v>
      </c>
      <c r="E3635">
        <f t="shared" si="56"/>
        <v>9</v>
      </c>
      <c r="F3635">
        <v>512200</v>
      </c>
      <c r="G3635" t="s">
        <v>432</v>
      </c>
      <c r="H3635" t="s">
        <v>401</v>
      </c>
      <c r="I3635" t="s">
        <v>402</v>
      </c>
      <c r="J3635" t="s">
        <v>3615</v>
      </c>
      <c r="K3635">
        <v>20220919</v>
      </c>
      <c r="L3635" t="s">
        <v>3616</v>
      </c>
      <c r="M3635">
        <v>0</v>
      </c>
      <c r="N3635">
        <v>66</v>
      </c>
      <c r="O3635" t="s">
        <v>19</v>
      </c>
      <c r="P3635" t="s">
        <v>20</v>
      </c>
      <c r="Q3635">
        <v>20220919</v>
      </c>
    </row>
    <row r="3636" spans="1:17" x14ac:dyDescent="0.25">
      <c r="A3636" t="s">
        <v>715</v>
      </c>
      <c r="B3636" t="s">
        <v>432</v>
      </c>
      <c r="C3636">
        <v>124</v>
      </c>
      <c r="D3636">
        <v>20220920</v>
      </c>
      <c r="E3636">
        <f t="shared" si="56"/>
        <v>9</v>
      </c>
      <c r="F3636">
        <v>580000</v>
      </c>
      <c r="G3636" t="s">
        <v>532</v>
      </c>
      <c r="H3636" t="s">
        <v>401</v>
      </c>
      <c r="I3636" t="s">
        <v>402</v>
      </c>
      <c r="J3636" t="s">
        <v>3617</v>
      </c>
      <c r="K3636">
        <v>20220920</v>
      </c>
      <c r="L3636" t="s">
        <v>879</v>
      </c>
      <c r="M3636">
        <v>50000</v>
      </c>
      <c r="N3636">
        <v>0</v>
      </c>
      <c r="O3636" t="s">
        <v>23</v>
      </c>
      <c r="P3636">
        <v>20230116</v>
      </c>
      <c r="Q3636">
        <v>20220920</v>
      </c>
    </row>
    <row r="3637" spans="1:17" x14ac:dyDescent="0.25">
      <c r="A3637" t="s">
        <v>715</v>
      </c>
      <c r="B3637" t="s">
        <v>432</v>
      </c>
      <c r="C3637">
        <v>124</v>
      </c>
      <c r="D3637">
        <v>20220920</v>
      </c>
      <c r="E3637">
        <f t="shared" si="56"/>
        <v>9</v>
      </c>
      <c r="F3637">
        <v>512200</v>
      </c>
      <c r="G3637" t="s">
        <v>432</v>
      </c>
      <c r="H3637" t="s">
        <v>401</v>
      </c>
      <c r="I3637" t="s">
        <v>402</v>
      </c>
      <c r="J3637" t="s">
        <v>3617</v>
      </c>
      <c r="K3637">
        <v>20220920</v>
      </c>
      <c r="L3637" t="s">
        <v>879</v>
      </c>
      <c r="M3637">
        <v>0</v>
      </c>
      <c r="N3637">
        <v>50000</v>
      </c>
      <c r="O3637" t="s">
        <v>19</v>
      </c>
      <c r="P3637" t="s">
        <v>20</v>
      </c>
      <c r="Q3637">
        <v>20220920</v>
      </c>
    </row>
    <row r="3638" spans="1:17" x14ac:dyDescent="0.25">
      <c r="A3638" t="s">
        <v>715</v>
      </c>
      <c r="B3638" t="s">
        <v>432</v>
      </c>
      <c r="C3638">
        <v>124</v>
      </c>
      <c r="D3638">
        <v>20220920</v>
      </c>
      <c r="E3638">
        <f t="shared" si="56"/>
        <v>9</v>
      </c>
      <c r="F3638">
        <v>401000</v>
      </c>
      <c r="G3638" t="s">
        <v>41</v>
      </c>
      <c r="H3638" t="s">
        <v>2047</v>
      </c>
      <c r="I3638" t="s">
        <v>2048</v>
      </c>
      <c r="J3638" t="s">
        <v>3618</v>
      </c>
      <c r="K3638">
        <v>20220920</v>
      </c>
      <c r="L3638" t="s">
        <v>3369</v>
      </c>
      <c r="M3638">
        <v>51.77</v>
      </c>
      <c r="N3638">
        <v>0</v>
      </c>
      <c r="O3638" t="s">
        <v>23</v>
      </c>
      <c r="P3638">
        <v>20230123</v>
      </c>
      <c r="Q3638">
        <v>20220920</v>
      </c>
    </row>
    <row r="3639" spans="1:17" x14ac:dyDescent="0.25">
      <c r="A3639" t="s">
        <v>715</v>
      </c>
      <c r="B3639" t="s">
        <v>432</v>
      </c>
      <c r="C3639">
        <v>124</v>
      </c>
      <c r="D3639">
        <v>20220920</v>
      </c>
      <c r="E3639">
        <f t="shared" si="56"/>
        <v>9</v>
      </c>
      <c r="F3639">
        <v>512200</v>
      </c>
      <c r="G3639" t="s">
        <v>432</v>
      </c>
      <c r="H3639" t="s">
        <v>401</v>
      </c>
      <c r="I3639" t="s">
        <v>402</v>
      </c>
      <c r="J3639" t="s">
        <v>3618</v>
      </c>
      <c r="K3639">
        <v>20220920</v>
      </c>
      <c r="L3639" t="s">
        <v>3369</v>
      </c>
      <c r="M3639">
        <v>0</v>
      </c>
      <c r="N3639">
        <v>51.77</v>
      </c>
      <c r="O3639" t="s">
        <v>19</v>
      </c>
      <c r="P3639" t="s">
        <v>20</v>
      </c>
      <c r="Q3639">
        <v>20220920</v>
      </c>
    </row>
    <row r="3640" spans="1:17" x14ac:dyDescent="0.25">
      <c r="A3640" t="s">
        <v>715</v>
      </c>
      <c r="B3640" t="s">
        <v>432</v>
      </c>
      <c r="C3640">
        <v>124</v>
      </c>
      <c r="D3640">
        <v>20220928</v>
      </c>
      <c r="E3640">
        <f t="shared" si="56"/>
        <v>9</v>
      </c>
      <c r="F3640">
        <v>401000</v>
      </c>
      <c r="G3640" t="s">
        <v>41</v>
      </c>
      <c r="H3640" t="s">
        <v>464</v>
      </c>
      <c r="I3640" t="s">
        <v>465</v>
      </c>
      <c r="J3640" t="s">
        <v>3619</v>
      </c>
      <c r="K3640">
        <v>20220928</v>
      </c>
      <c r="L3640" t="s">
        <v>3620</v>
      </c>
      <c r="M3640">
        <v>228.4</v>
      </c>
      <c r="N3640">
        <v>0</v>
      </c>
      <c r="O3640" t="s">
        <v>23</v>
      </c>
      <c r="P3640">
        <v>20230218</v>
      </c>
      <c r="Q3640">
        <v>20220928</v>
      </c>
    </row>
    <row r="3641" spans="1:17" x14ac:dyDescent="0.25">
      <c r="A3641" t="s">
        <v>715</v>
      </c>
      <c r="B3641" t="s">
        <v>432</v>
      </c>
      <c r="C3641">
        <v>124</v>
      </c>
      <c r="D3641">
        <v>20220928</v>
      </c>
      <c r="E3641">
        <f t="shared" si="56"/>
        <v>9</v>
      </c>
      <c r="F3641">
        <v>512200</v>
      </c>
      <c r="G3641" t="s">
        <v>432</v>
      </c>
      <c r="H3641" t="s">
        <v>401</v>
      </c>
      <c r="I3641" t="s">
        <v>402</v>
      </c>
      <c r="J3641" t="s">
        <v>3619</v>
      </c>
      <c r="K3641">
        <v>20220928</v>
      </c>
      <c r="L3641" t="s">
        <v>3620</v>
      </c>
      <c r="M3641">
        <v>0</v>
      </c>
      <c r="N3641">
        <v>228.4</v>
      </c>
      <c r="O3641" t="s">
        <v>19</v>
      </c>
      <c r="P3641" t="s">
        <v>20</v>
      </c>
      <c r="Q3641">
        <v>20220928</v>
      </c>
    </row>
    <row r="3642" spans="1:17" x14ac:dyDescent="0.25">
      <c r="A3642" t="s">
        <v>715</v>
      </c>
      <c r="B3642" t="s">
        <v>432</v>
      </c>
      <c r="C3642">
        <v>124</v>
      </c>
      <c r="D3642">
        <v>20220929</v>
      </c>
      <c r="E3642">
        <f t="shared" si="56"/>
        <v>9</v>
      </c>
      <c r="F3642">
        <v>401000</v>
      </c>
      <c r="G3642" t="s">
        <v>41</v>
      </c>
      <c r="H3642" t="s">
        <v>189</v>
      </c>
      <c r="I3642" t="s">
        <v>190</v>
      </c>
      <c r="J3642" t="s">
        <v>3621</v>
      </c>
      <c r="K3642">
        <v>20220929</v>
      </c>
      <c r="L3642" t="s">
        <v>191</v>
      </c>
      <c r="M3642">
        <v>403.75</v>
      </c>
      <c r="N3642">
        <v>0</v>
      </c>
      <c r="O3642" t="s">
        <v>19</v>
      </c>
      <c r="P3642" t="s">
        <v>20</v>
      </c>
      <c r="Q3642">
        <v>20220929</v>
      </c>
    </row>
    <row r="3643" spans="1:17" x14ac:dyDescent="0.25">
      <c r="A3643" t="s">
        <v>715</v>
      </c>
      <c r="B3643" t="s">
        <v>432</v>
      </c>
      <c r="C3643">
        <v>124</v>
      </c>
      <c r="D3643">
        <v>20220929</v>
      </c>
      <c r="E3643">
        <f t="shared" si="56"/>
        <v>9</v>
      </c>
      <c r="F3643">
        <v>512200</v>
      </c>
      <c r="G3643" t="s">
        <v>432</v>
      </c>
      <c r="H3643" t="s">
        <v>401</v>
      </c>
      <c r="I3643" t="s">
        <v>402</v>
      </c>
      <c r="J3643" t="s">
        <v>3621</v>
      </c>
      <c r="K3643">
        <v>20220929</v>
      </c>
      <c r="L3643" t="s">
        <v>191</v>
      </c>
      <c r="M3643">
        <v>0</v>
      </c>
      <c r="N3643">
        <v>403.75</v>
      </c>
      <c r="O3643" t="s">
        <v>19</v>
      </c>
      <c r="P3643" t="s">
        <v>20</v>
      </c>
      <c r="Q3643">
        <v>20220929</v>
      </c>
    </row>
    <row r="3644" spans="1:17" x14ac:dyDescent="0.25">
      <c r="A3644" t="s">
        <v>715</v>
      </c>
      <c r="B3644" t="s">
        <v>432</v>
      </c>
      <c r="C3644">
        <v>124</v>
      </c>
      <c r="D3644">
        <v>20220929</v>
      </c>
      <c r="E3644">
        <f t="shared" si="56"/>
        <v>9</v>
      </c>
      <c r="F3644">
        <v>401000</v>
      </c>
      <c r="G3644" t="s">
        <v>41</v>
      </c>
      <c r="H3644" t="s">
        <v>1643</v>
      </c>
      <c r="I3644" t="s">
        <v>1644</v>
      </c>
      <c r="J3644" t="s">
        <v>3622</v>
      </c>
      <c r="K3644">
        <v>20220929</v>
      </c>
      <c r="L3644" t="s">
        <v>3623</v>
      </c>
      <c r="M3644">
        <v>0</v>
      </c>
      <c r="N3644">
        <v>113.9</v>
      </c>
      <c r="O3644" t="s">
        <v>23</v>
      </c>
      <c r="P3644">
        <v>20230222</v>
      </c>
      <c r="Q3644">
        <v>20220929</v>
      </c>
    </row>
    <row r="3645" spans="1:17" x14ac:dyDescent="0.25">
      <c r="A3645" t="s">
        <v>715</v>
      </c>
      <c r="B3645" t="s">
        <v>432</v>
      </c>
      <c r="C3645">
        <v>124</v>
      </c>
      <c r="D3645">
        <v>20220929</v>
      </c>
      <c r="E3645">
        <f t="shared" si="56"/>
        <v>9</v>
      </c>
      <c r="F3645">
        <v>512200</v>
      </c>
      <c r="G3645" t="s">
        <v>432</v>
      </c>
      <c r="H3645" t="s">
        <v>401</v>
      </c>
      <c r="I3645" t="s">
        <v>402</v>
      </c>
      <c r="J3645" t="s">
        <v>3622</v>
      </c>
      <c r="K3645">
        <v>20220929</v>
      </c>
      <c r="L3645" t="s">
        <v>3623</v>
      </c>
      <c r="M3645">
        <v>113.9</v>
      </c>
      <c r="N3645">
        <v>0</v>
      </c>
      <c r="O3645" t="s">
        <v>19</v>
      </c>
      <c r="P3645" t="s">
        <v>20</v>
      </c>
      <c r="Q3645">
        <v>20220929</v>
      </c>
    </row>
    <row r="3646" spans="1:17" x14ac:dyDescent="0.25">
      <c r="A3646" t="s">
        <v>715</v>
      </c>
      <c r="B3646" t="s">
        <v>432</v>
      </c>
      <c r="C3646">
        <v>124</v>
      </c>
      <c r="D3646">
        <v>20220930</v>
      </c>
      <c r="E3646">
        <f t="shared" si="56"/>
        <v>9</v>
      </c>
      <c r="F3646">
        <v>401000</v>
      </c>
      <c r="G3646" t="s">
        <v>41</v>
      </c>
      <c r="H3646" t="s">
        <v>189</v>
      </c>
      <c r="I3646" t="s">
        <v>190</v>
      </c>
      <c r="J3646" t="s">
        <v>3624</v>
      </c>
      <c r="K3646">
        <v>20220930</v>
      </c>
      <c r="L3646" t="s">
        <v>191</v>
      </c>
      <c r="M3646">
        <v>133.33000000000001</v>
      </c>
      <c r="N3646">
        <v>0</v>
      </c>
      <c r="O3646" t="s">
        <v>23</v>
      </c>
      <c r="P3646">
        <v>20230220</v>
      </c>
      <c r="Q3646">
        <v>20220930</v>
      </c>
    </row>
    <row r="3647" spans="1:17" x14ac:dyDescent="0.25">
      <c r="A3647" t="s">
        <v>715</v>
      </c>
      <c r="B3647" t="s">
        <v>432</v>
      </c>
      <c r="C3647">
        <v>124</v>
      </c>
      <c r="D3647">
        <v>20220930</v>
      </c>
      <c r="E3647">
        <f t="shared" si="56"/>
        <v>9</v>
      </c>
      <c r="F3647">
        <v>512200</v>
      </c>
      <c r="G3647" t="s">
        <v>432</v>
      </c>
      <c r="H3647" t="s">
        <v>401</v>
      </c>
      <c r="I3647" t="s">
        <v>402</v>
      </c>
      <c r="J3647" t="s">
        <v>3624</v>
      </c>
      <c r="K3647">
        <v>20220930</v>
      </c>
      <c r="L3647" t="s">
        <v>191</v>
      </c>
      <c r="M3647">
        <v>0</v>
      </c>
      <c r="N3647">
        <v>133.33000000000001</v>
      </c>
      <c r="O3647" t="s">
        <v>19</v>
      </c>
      <c r="P3647" t="s">
        <v>20</v>
      </c>
      <c r="Q3647">
        <v>20220930</v>
      </c>
    </row>
    <row r="3648" spans="1:17" x14ac:dyDescent="0.25">
      <c r="A3648" t="s">
        <v>715</v>
      </c>
      <c r="B3648" t="s">
        <v>432</v>
      </c>
      <c r="C3648">
        <v>124</v>
      </c>
      <c r="D3648">
        <v>20220930</v>
      </c>
      <c r="E3648">
        <f t="shared" si="56"/>
        <v>9</v>
      </c>
      <c r="F3648">
        <v>401000</v>
      </c>
      <c r="G3648" t="s">
        <v>41</v>
      </c>
      <c r="H3648" t="s">
        <v>52</v>
      </c>
      <c r="I3648" t="s">
        <v>53</v>
      </c>
      <c r="J3648" t="s">
        <v>3625</v>
      </c>
      <c r="K3648">
        <v>20220930</v>
      </c>
      <c r="L3648" t="s">
        <v>3626</v>
      </c>
      <c r="M3648">
        <v>29</v>
      </c>
      <c r="N3648">
        <v>0</v>
      </c>
      <c r="O3648" t="s">
        <v>23</v>
      </c>
      <c r="P3648">
        <v>20230220</v>
      </c>
      <c r="Q3648">
        <v>20220930</v>
      </c>
    </row>
    <row r="3649" spans="1:17" x14ac:dyDescent="0.25">
      <c r="A3649" t="s">
        <v>715</v>
      </c>
      <c r="B3649" t="s">
        <v>432</v>
      </c>
      <c r="C3649">
        <v>124</v>
      </c>
      <c r="D3649">
        <v>20220930</v>
      </c>
      <c r="E3649">
        <f t="shared" si="56"/>
        <v>9</v>
      </c>
      <c r="F3649">
        <v>512200</v>
      </c>
      <c r="G3649" t="s">
        <v>432</v>
      </c>
      <c r="H3649" t="s">
        <v>401</v>
      </c>
      <c r="I3649" t="s">
        <v>402</v>
      </c>
      <c r="J3649" t="s">
        <v>3625</v>
      </c>
      <c r="K3649">
        <v>20220930</v>
      </c>
      <c r="L3649" t="s">
        <v>3626</v>
      </c>
      <c r="M3649">
        <v>0</v>
      </c>
      <c r="N3649">
        <v>29</v>
      </c>
      <c r="O3649" t="s">
        <v>19</v>
      </c>
      <c r="P3649" t="s">
        <v>20</v>
      </c>
      <c r="Q3649">
        <v>20220930</v>
      </c>
    </row>
    <row r="3650" spans="1:17" x14ac:dyDescent="0.25">
      <c r="A3650" t="s">
        <v>476</v>
      </c>
      <c r="B3650" t="s">
        <v>477</v>
      </c>
      <c r="C3650">
        <v>134</v>
      </c>
      <c r="D3650">
        <v>20221001</v>
      </c>
      <c r="E3650">
        <f t="shared" si="56"/>
        <v>10</v>
      </c>
      <c r="F3650">
        <v>627000</v>
      </c>
      <c r="G3650" t="s">
        <v>480</v>
      </c>
      <c r="H3650" t="s">
        <v>401</v>
      </c>
      <c r="I3650" t="s">
        <v>402</v>
      </c>
      <c r="J3650" t="s">
        <v>3672</v>
      </c>
      <c r="K3650">
        <v>20221001</v>
      </c>
      <c r="L3650" t="s">
        <v>1255</v>
      </c>
      <c r="M3650">
        <v>7.5</v>
      </c>
      <c r="N3650">
        <v>0</v>
      </c>
      <c r="O3650" t="s">
        <v>19</v>
      </c>
      <c r="P3650" t="s">
        <v>20</v>
      </c>
      <c r="Q3650">
        <v>20221001</v>
      </c>
    </row>
    <row r="3651" spans="1:17" x14ac:dyDescent="0.25">
      <c r="A3651" t="s">
        <v>476</v>
      </c>
      <c r="B3651" t="s">
        <v>477</v>
      </c>
      <c r="C3651">
        <v>134</v>
      </c>
      <c r="D3651">
        <v>20221001</v>
      </c>
      <c r="E3651">
        <f t="shared" ref="E3651:E3714" si="57">VALUE(MID(D3651,5,2))</f>
        <v>10</v>
      </c>
      <c r="F3651">
        <v>512000</v>
      </c>
      <c r="G3651" t="s">
        <v>428</v>
      </c>
      <c r="H3651" t="s">
        <v>401</v>
      </c>
      <c r="I3651" t="s">
        <v>402</v>
      </c>
      <c r="J3651" t="s">
        <v>3672</v>
      </c>
      <c r="K3651">
        <v>20221001</v>
      </c>
      <c r="L3651" t="s">
        <v>1255</v>
      </c>
      <c r="M3651">
        <v>0</v>
      </c>
      <c r="N3651">
        <v>7.5</v>
      </c>
      <c r="O3651" t="s">
        <v>19</v>
      </c>
      <c r="P3651" t="s">
        <v>20</v>
      </c>
      <c r="Q3651">
        <v>20221001</v>
      </c>
    </row>
    <row r="3652" spans="1:17" x14ac:dyDescent="0.25">
      <c r="A3652" t="s">
        <v>476</v>
      </c>
      <c r="B3652" t="s">
        <v>477</v>
      </c>
      <c r="C3652">
        <v>134</v>
      </c>
      <c r="D3652">
        <v>20221003</v>
      </c>
      <c r="E3652">
        <f t="shared" si="57"/>
        <v>10</v>
      </c>
      <c r="F3652">
        <v>421000</v>
      </c>
      <c r="G3652" t="s">
        <v>403</v>
      </c>
      <c r="H3652" t="s">
        <v>401</v>
      </c>
      <c r="I3652" t="s">
        <v>402</v>
      </c>
      <c r="J3652" t="s">
        <v>3673</v>
      </c>
      <c r="K3652">
        <v>20221003</v>
      </c>
      <c r="L3652" t="s">
        <v>3399</v>
      </c>
      <c r="M3652">
        <v>768.63</v>
      </c>
      <c r="N3652">
        <v>0</v>
      </c>
      <c r="O3652" t="s">
        <v>23</v>
      </c>
      <c r="P3652">
        <v>20230215</v>
      </c>
      <c r="Q3652">
        <v>20221003</v>
      </c>
    </row>
    <row r="3653" spans="1:17" x14ac:dyDescent="0.25">
      <c r="A3653" t="s">
        <v>476</v>
      </c>
      <c r="B3653" t="s">
        <v>477</v>
      </c>
      <c r="C3653">
        <v>134</v>
      </c>
      <c r="D3653">
        <v>20221003</v>
      </c>
      <c r="E3653">
        <f t="shared" si="57"/>
        <v>10</v>
      </c>
      <c r="F3653">
        <v>512000</v>
      </c>
      <c r="G3653" t="s">
        <v>428</v>
      </c>
      <c r="H3653" t="s">
        <v>401</v>
      </c>
      <c r="I3653" t="s">
        <v>402</v>
      </c>
      <c r="J3653" t="s">
        <v>3673</v>
      </c>
      <c r="K3653">
        <v>20221003</v>
      </c>
      <c r="L3653" t="s">
        <v>3399</v>
      </c>
      <c r="M3653">
        <v>0</v>
      </c>
      <c r="N3653">
        <v>768.63</v>
      </c>
      <c r="O3653" t="s">
        <v>19</v>
      </c>
      <c r="P3653" t="s">
        <v>20</v>
      </c>
      <c r="Q3653">
        <v>20221003</v>
      </c>
    </row>
    <row r="3654" spans="1:17" x14ac:dyDescent="0.25">
      <c r="A3654" t="s">
        <v>476</v>
      </c>
      <c r="B3654" t="s">
        <v>477</v>
      </c>
      <c r="C3654">
        <v>134</v>
      </c>
      <c r="D3654">
        <v>20221003</v>
      </c>
      <c r="E3654">
        <f t="shared" si="57"/>
        <v>10</v>
      </c>
      <c r="F3654">
        <v>627000</v>
      </c>
      <c r="G3654" t="s">
        <v>480</v>
      </c>
      <c r="H3654" t="s">
        <v>401</v>
      </c>
      <c r="I3654" t="s">
        <v>402</v>
      </c>
      <c r="J3654" t="s">
        <v>3674</v>
      </c>
      <c r="K3654">
        <v>20221003</v>
      </c>
      <c r="L3654" t="s">
        <v>3675</v>
      </c>
      <c r="M3654">
        <v>0.14000000000000001</v>
      </c>
      <c r="N3654">
        <v>0</v>
      </c>
      <c r="O3654" t="s">
        <v>19</v>
      </c>
      <c r="P3654" t="s">
        <v>20</v>
      </c>
      <c r="Q3654">
        <v>20221003</v>
      </c>
    </row>
    <row r="3655" spans="1:17" x14ac:dyDescent="0.25">
      <c r="A3655" t="s">
        <v>476</v>
      </c>
      <c r="B3655" t="s">
        <v>477</v>
      </c>
      <c r="C3655">
        <v>134</v>
      </c>
      <c r="D3655">
        <v>20221003</v>
      </c>
      <c r="E3655">
        <f t="shared" si="57"/>
        <v>10</v>
      </c>
      <c r="F3655">
        <v>512000</v>
      </c>
      <c r="G3655" t="s">
        <v>428</v>
      </c>
      <c r="H3655" t="s">
        <v>401</v>
      </c>
      <c r="I3655" t="s">
        <v>402</v>
      </c>
      <c r="J3655" t="s">
        <v>3674</v>
      </c>
      <c r="K3655">
        <v>20221003</v>
      </c>
      <c r="L3655" t="s">
        <v>3675</v>
      </c>
      <c r="M3655">
        <v>0</v>
      </c>
      <c r="N3655">
        <v>0.14000000000000001</v>
      </c>
      <c r="O3655" t="s">
        <v>19</v>
      </c>
      <c r="P3655" t="s">
        <v>20</v>
      </c>
      <c r="Q3655">
        <v>20221003</v>
      </c>
    </row>
    <row r="3656" spans="1:17" x14ac:dyDescent="0.25">
      <c r="A3656" t="s">
        <v>476</v>
      </c>
      <c r="B3656" t="s">
        <v>477</v>
      </c>
      <c r="C3656">
        <v>134</v>
      </c>
      <c r="D3656">
        <v>20221003</v>
      </c>
      <c r="E3656">
        <f t="shared" si="57"/>
        <v>10</v>
      </c>
      <c r="F3656">
        <v>627000</v>
      </c>
      <c r="G3656" t="s">
        <v>480</v>
      </c>
      <c r="H3656" t="s">
        <v>401</v>
      </c>
      <c r="I3656" t="s">
        <v>402</v>
      </c>
      <c r="J3656" t="s">
        <v>3676</v>
      </c>
      <c r="K3656">
        <v>20221003</v>
      </c>
      <c r="L3656" t="s">
        <v>3677</v>
      </c>
      <c r="M3656">
        <v>7.0000000000000007E-2</v>
      </c>
      <c r="N3656">
        <v>0</v>
      </c>
      <c r="O3656" t="s">
        <v>19</v>
      </c>
      <c r="P3656" t="s">
        <v>20</v>
      </c>
      <c r="Q3656">
        <v>20221003</v>
      </c>
    </row>
    <row r="3657" spans="1:17" x14ac:dyDescent="0.25">
      <c r="A3657" t="s">
        <v>476</v>
      </c>
      <c r="B3657" t="s">
        <v>477</v>
      </c>
      <c r="C3657">
        <v>134</v>
      </c>
      <c r="D3657">
        <v>20221003</v>
      </c>
      <c r="E3657">
        <f t="shared" si="57"/>
        <v>10</v>
      </c>
      <c r="F3657">
        <v>512000</v>
      </c>
      <c r="G3657" t="s">
        <v>428</v>
      </c>
      <c r="H3657" t="s">
        <v>401</v>
      </c>
      <c r="I3657" t="s">
        <v>402</v>
      </c>
      <c r="J3657" t="s">
        <v>3676</v>
      </c>
      <c r="K3657">
        <v>20221003</v>
      </c>
      <c r="L3657" t="s">
        <v>3677</v>
      </c>
      <c r="M3657">
        <v>0</v>
      </c>
      <c r="N3657">
        <v>7.0000000000000007E-2</v>
      </c>
      <c r="O3657" t="s">
        <v>19</v>
      </c>
      <c r="P3657" t="s">
        <v>20</v>
      </c>
      <c r="Q3657">
        <v>20221003</v>
      </c>
    </row>
    <row r="3658" spans="1:17" x14ac:dyDescent="0.25">
      <c r="A3658" t="s">
        <v>476</v>
      </c>
      <c r="B3658" t="s">
        <v>477</v>
      </c>
      <c r="C3658">
        <v>134</v>
      </c>
      <c r="D3658">
        <v>20221003</v>
      </c>
      <c r="E3658">
        <f t="shared" si="57"/>
        <v>10</v>
      </c>
      <c r="F3658">
        <v>627000</v>
      </c>
      <c r="G3658" t="s">
        <v>480</v>
      </c>
      <c r="H3658" t="s">
        <v>401</v>
      </c>
      <c r="I3658" t="s">
        <v>402</v>
      </c>
      <c r="J3658" t="s">
        <v>3678</v>
      </c>
      <c r="K3658">
        <v>20221003</v>
      </c>
      <c r="L3658" t="s">
        <v>1255</v>
      </c>
      <c r="M3658">
        <v>50.62</v>
      </c>
      <c r="N3658">
        <v>0</v>
      </c>
      <c r="O3658" t="s">
        <v>19</v>
      </c>
      <c r="P3658" t="s">
        <v>20</v>
      </c>
      <c r="Q3658">
        <v>20221003</v>
      </c>
    </row>
    <row r="3659" spans="1:17" x14ac:dyDescent="0.25">
      <c r="A3659" t="s">
        <v>476</v>
      </c>
      <c r="B3659" t="s">
        <v>477</v>
      </c>
      <c r="C3659">
        <v>134</v>
      </c>
      <c r="D3659">
        <v>20221003</v>
      </c>
      <c r="E3659">
        <f t="shared" si="57"/>
        <v>10</v>
      </c>
      <c r="F3659">
        <v>512000</v>
      </c>
      <c r="G3659" t="s">
        <v>428</v>
      </c>
      <c r="H3659" t="s">
        <v>401</v>
      </c>
      <c r="I3659" t="s">
        <v>402</v>
      </c>
      <c r="J3659" t="s">
        <v>3678</v>
      </c>
      <c r="K3659">
        <v>20221003</v>
      </c>
      <c r="L3659" t="s">
        <v>1255</v>
      </c>
      <c r="M3659">
        <v>0</v>
      </c>
      <c r="N3659">
        <v>50.62</v>
      </c>
      <c r="O3659" t="s">
        <v>19</v>
      </c>
      <c r="P3659" t="s">
        <v>20</v>
      </c>
      <c r="Q3659">
        <v>20221003</v>
      </c>
    </row>
    <row r="3660" spans="1:17" x14ac:dyDescent="0.25">
      <c r="A3660" t="s">
        <v>476</v>
      </c>
      <c r="B3660" t="s">
        <v>477</v>
      </c>
      <c r="C3660">
        <v>134</v>
      </c>
      <c r="D3660">
        <v>20221004</v>
      </c>
      <c r="E3660">
        <f t="shared" si="57"/>
        <v>10</v>
      </c>
      <c r="F3660">
        <v>468740</v>
      </c>
      <c r="G3660" t="s">
        <v>426</v>
      </c>
      <c r="H3660" t="s">
        <v>401</v>
      </c>
      <c r="I3660" t="s">
        <v>402</v>
      </c>
      <c r="J3660" t="s">
        <v>3679</v>
      </c>
      <c r="K3660">
        <v>20221004</v>
      </c>
      <c r="L3660" t="s">
        <v>3680</v>
      </c>
      <c r="M3660">
        <v>0</v>
      </c>
      <c r="N3660">
        <v>73620</v>
      </c>
      <c r="O3660" t="s">
        <v>23</v>
      </c>
      <c r="P3660">
        <v>20221028</v>
      </c>
      <c r="Q3660">
        <v>20221004</v>
      </c>
    </row>
    <row r="3661" spans="1:17" x14ac:dyDescent="0.25">
      <c r="A3661" t="s">
        <v>476</v>
      </c>
      <c r="B3661" t="s">
        <v>477</v>
      </c>
      <c r="C3661">
        <v>134</v>
      </c>
      <c r="D3661">
        <v>20221004</v>
      </c>
      <c r="E3661">
        <f t="shared" si="57"/>
        <v>10</v>
      </c>
      <c r="F3661">
        <v>512000</v>
      </c>
      <c r="G3661" t="s">
        <v>428</v>
      </c>
      <c r="H3661" t="s">
        <v>401</v>
      </c>
      <c r="I3661" t="s">
        <v>402</v>
      </c>
      <c r="J3661" t="s">
        <v>3679</v>
      </c>
      <c r="K3661">
        <v>20221004</v>
      </c>
      <c r="L3661" t="s">
        <v>3680</v>
      </c>
      <c r="M3661">
        <v>73620</v>
      </c>
      <c r="N3661">
        <v>0</v>
      </c>
      <c r="O3661" t="s">
        <v>19</v>
      </c>
      <c r="P3661" t="s">
        <v>20</v>
      </c>
      <c r="Q3661">
        <v>20221004</v>
      </c>
    </row>
    <row r="3662" spans="1:17" x14ac:dyDescent="0.25">
      <c r="A3662" t="s">
        <v>476</v>
      </c>
      <c r="B3662" t="s">
        <v>477</v>
      </c>
      <c r="C3662">
        <v>134</v>
      </c>
      <c r="D3662">
        <v>20221004</v>
      </c>
      <c r="E3662">
        <f t="shared" si="57"/>
        <v>10</v>
      </c>
      <c r="F3662">
        <v>401000</v>
      </c>
      <c r="G3662" t="s">
        <v>41</v>
      </c>
      <c r="H3662" t="s">
        <v>458</v>
      </c>
      <c r="I3662" t="s">
        <v>459</v>
      </c>
      <c r="J3662" t="s">
        <v>3681</v>
      </c>
      <c r="K3662">
        <v>20221004</v>
      </c>
      <c r="L3662" t="s">
        <v>2072</v>
      </c>
      <c r="M3662">
        <v>669.6</v>
      </c>
      <c r="N3662">
        <v>0</v>
      </c>
      <c r="O3662" t="s">
        <v>23</v>
      </c>
      <c r="P3662">
        <v>20230218</v>
      </c>
      <c r="Q3662">
        <v>20221004</v>
      </c>
    </row>
    <row r="3663" spans="1:17" x14ac:dyDescent="0.25">
      <c r="A3663" t="s">
        <v>476</v>
      </c>
      <c r="B3663" t="s">
        <v>477</v>
      </c>
      <c r="C3663">
        <v>134</v>
      </c>
      <c r="D3663">
        <v>20221004</v>
      </c>
      <c r="E3663">
        <f t="shared" si="57"/>
        <v>10</v>
      </c>
      <c r="F3663">
        <v>512000</v>
      </c>
      <c r="G3663" t="s">
        <v>428</v>
      </c>
      <c r="H3663" t="s">
        <v>401</v>
      </c>
      <c r="I3663" t="s">
        <v>402</v>
      </c>
      <c r="J3663" t="s">
        <v>3681</v>
      </c>
      <c r="K3663">
        <v>20221004</v>
      </c>
      <c r="L3663" t="s">
        <v>2072</v>
      </c>
      <c r="M3663">
        <v>0</v>
      </c>
      <c r="N3663">
        <v>669.6</v>
      </c>
      <c r="O3663" t="s">
        <v>19</v>
      </c>
      <c r="P3663" t="s">
        <v>20</v>
      </c>
      <c r="Q3663">
        <v>20221004</v>
      </c>
    </row>
    <row r="3664" spans="1:17" x14ac:dyDescent="0.25">
      <c r="A3664" t="s">
        <v>476</v>
      </c>
      <c r="B3664" t="s">
        <v>477</v>
      </c>
      <c r="C3664">
        <v>134</v>
      </c>
      <c r="D3664">
        <v>20221004</v>
      </c>
      <c r="E3664">
        <f t="shared" si="57"/>
        <v>10</v>
      </c>
      <c r="F3664">
        <v>627000</v>
      </c>
      <c r="G3664" t="s">
        <v>480</v>
      </c>
      <c r="H3664" t="s">
        <v>401</v>
      </c>
      <c r="I3664" t="s">
        <v>402</v>
      </c>
      <c r="J3664" t="s">
        <v>3682</v>
      </c>
      <c r="K3664">
        <v>20221004</v>
      </c>
      <c r="L3664" t="s">
        <v>1255</v>
      </c>
      <c r="M3664">
        <v>49</v>
      </c>
      <c r="N3664">
        <v>0</v>
      </c>
      <c r="O3664" t="s">
        <v>19</v>
      </c>
      <c r="P3664" t="s">
        <v>20</v>
      </c>
      <c r="Q3664">
        <v>20221004</v>
      </c>
    </row>
    <row r="3665" spans="1:17" x14ac:dyDescent="0.25">
      <c r="A3665" t="s">
        <v>476</v>
      </c>
      <c r="B3665" t="s">
        <v>477</v>
      </c>
      <c r="C3665">
        <v>134</v>
      </c>
      <c r="D3665">
        <v>20221004</v>
      </c>
      <c r="E3665">
        <f t="shared" si="57"/>
        <v>10</v>
      </c>
      <c r="F3665">
        <v>512000</v>
      </c>
      <c r="G3665" t="s">
        <v>428</v>
      </c>
      <c r="H3665" t="s">
        <v>401</v>
      </c>
      <c r="I3665" t="s">
        <v>402</v>
      </c>
      <c r="J3665" t="s">
        <v>3682</v>
      </c>
      <c r="K3665">
        <v>20221004</v>
      </c>
      <c r="L3665" t="s">
        <v>1255</v>
      </c>
      <c r="M3665">
        <v>0</v>
      </c>
      <c r="N3665">
        <v>49</v>
      </c>
      <c r="O3665" t="s">
        <v>19</v>
      </c>
      <c r="P3665" t="s">
        <v>20</v>
      </c>
      <c r="Q3665">
        <v>20221004</v>
      </c>
    </row>
    <row r="3666" spans="1:17" x14ac:dyDescent="0.25">
      <c r="A3666" t="s">
        <v>476</v>
      </c>
      <c r="B3666" t="s">
        <v>477</v>
      </c>
      <c r="C3666">
        <v>134</v>
      </c>
      <c r="D3666">
        <v>20221004</v>
      </c>
      <c r="E3666">
        <f t="shared" si="57"/>
        <v>10</v>
      </c>
      <c r="F3666">
        <v>627000</v>
      </c>
      <c r="G3666" t="s">
        <v>480</v>
      </c>
      <c r="H3666" t="s">
        <v>401</v>
      </c>
      <c r="I3666" t="s">
        <v>402</v>
      </c>
      <c r="J3666" t="s">
        <v>3683</v>
      </c>
      <c r="K3666">
        <v>20221004</v>
      </c>
      <c r="L3666" t="s">
        <v>1255</v>
      </c>
      <c r="M3666">
        <v>13.26</v>
      </c>
      <c r="N3666">
        <v>0</v>
      </c>
      <c r="O3666" t="s">
        <v>19</v>
      </c>
      <c r="P3666" t="s">
        <v>20</v>
      </c>
      <c r="Q3666">
        <v>20221004</v>
      </c>
    </row>
    <row r="3667" spans="1:17" x14ac:dyDescent="0.25">
      <c r="A3667" t="s">
        <v>476</v>
      </c>
      <c r="B3667" t="s">
        <v>477</v>
      </c>
      <c r="C3667">
        <v>134</v>
      </c>
      <c r="D3667">
        <v>20221004</v>
      </c>
      <c r="E3667">
        <f t="shared" si="57"/>
        <v>10</v>
      </c>
      <c r="F3667">
        <v>512000</v>
      </c>
      <c r="G3667" t="s">
        <v>428</v>
      </c>
      <c r="H3667" t="s">
        <v>401</v>
      </c>
      <c r="I3667" t="s">
        <v>402</v>
      </c>
      <c r="J3667" t="s">
        <v>3683</v>
      </c>
      <c r="K3667">
        <v>20221004</v>
      </c>
      <c r="L3667" t="s">
        <v>1255</v>
      </c>
      <c r="M3667">
        <v>0</v>
      </c>
      <c r="N3667">
        <v>13.26</v>
      </c>
      <c r="O3667" t="s">
        <v>19</v>
      </c>
      <c r="P3667" t="s">
        <v>20</v>
      </c>
      <c r="Q3667">
        <v>20221004</v>
      </c>
    </row>
    <row r="3668" spans="1:17" x14ac:dyDescent="0.25">
      <c r="A3668" t="s">
        <v>476</v>
      </c>
      <c r="B3668" t="s">
        <v>477</v>
      </c>
      <c r="C3668">
        <v>134</v>
      </c>
      <c r="D3668">
        <v>20221005</v>
      </c>
      <c r="E3668">
        <f t="shared" si="57"/>
        <v>10</v>
      </c>
      <c r="F3668">
        <v>467100</v>
      </c>
      <c r="G3668" t="s">
        <v>160</v>
      </c>
      <c r="H3668" t="s">
        <v>185</v>
      </c>
      <c r="I3668" t="s">
        <v>186</v>
      </c>
      <c r="J3668" t="s">
        <v>3684</v>
      </c>
      <c r="K3668">
        <v>20221005</v>
      </c>
      <c r="L3668" t="s">
        <v>127</v>
      </c>
      <c r="M3668">
        <v>1000</v>
      </c>
      <c r="N3668">
        <v>0</v>
      </c>
      <c r="O3668" t="s">
        <v>23</v>
      </c>
      <c r="P3668">
        <v>20221027</v>
      </c>
      <c r="Q3668">
        <v>20221005</v>
      </c>
    </row>
    <row r="3669" spans="1:17" x14ac:dyDescent="0.25">
      <c r="A3669" t="s">
        <v>476</v>
      </c>
      <c r="B3669" t="s">
        <v>477</v>
      </c>
      <c r="C3669">
        <v>134</v>
      </c>
      <c r="D3669">
        <v>20221005</v>
      </c>
      <c r="E3669">
        <f t="shared" si="57"/>
        <v>10</v>
      </c>
      <c r="F3669">
        <v>512000</v>
      </c>
      <c r="G3669" t="s">
        <v>428</v>
      </c>
      <c r="H3669" t="s">
        <v>401</v>
      </c>
      <c r="I3669" t="s">
        <v>402</v>
      </c>
      <c r="J3669" t="s">
        <v>3684</v>
      </c>
      <c r="K3669">
        <v>20221005</v>
      </c>
      <c r="L3669" t="s">
        <v>127</v>
      </c>
      <c r="M3669">
        <v>0</v>
      </c>
      <c r="N3669">
        <v>1000</v>
      </c>
      <c r="O3669" t="s">
        <v>19</v>
      </c>
      <c r="P3669" t="s">
        <v>20</v>
      </c>
      <c r="Q3669">
        <v>20221005</v>
      </c>
    </row>
    <row r="3670" spans="1:17" x14ac:dyDescent="0.25">
      <c r="A3670" t="s">
        <v>476</v>
      </c>
      <c r="B3670" t="s">
        <v>477</v>
      </c>
      <c r="C3670">
        <v>134</v>
      </c>
      <c r="D3670">
        <v>20221005</v>
      </c>
      <c r="E3670">
        <f t="shared" si="57"/>
        <v>10</v>
      </c>
      <c r="F3670">
        <v>445060</v>
      </c>
      <c r="G3670" t="s">
        <v>2452</v>
      </c>
      <c r="H3670" t="s">
        <v>401</v>
      </c>
      <c r="I3670" t="s">
        <v>402</v>
      </c>
      <c r="J3670" t="s">
        <v>3685</v>
      </c>
      <c r="K3670">
        <v>20221005</v>
      </c>
      <c r="L3670" t="s">
        <v>3686</v>
      </c>
      <c r="M3670">
        <v>0</v>
      </c>
      <c r="N3670">
        <v>45101</v>
      </c>
      <c r="O3670" t="s">
        <v>23</v>
      </c>
      <c r="P3670">
        <v>20230221</v>
      </c>
      <c r="Q3670">
        <v>20221005</v>
      </c>
    </row>
    <row r="3671" spans="1:17" x14ac:dyDescent="0.25">
      <c r="A3671" t="s">
        <v>476</v>
      </c>
      <c r="B3671" t="s">
        <v>477</v>
      </c>
      <c r="C3671">
        <v>134</v>
      </c>
      <c r="D3671">
        <v>20221005</v>
      </c>
      <c r="E3671">
        <f t="shared" si="57"/>
        <v>10</v>
      </c>
      <c r="F3671">
        <v>512000</v>
      </c>
      <c r="G3671" t="s">
        <v>428</v>
      </c>
      <c r="H3671" t="s">
        <v>401</v>
      </c>
      <c r="I3671" t="s">
        <v>402</v>
      </c>
      <c r="J3671" t="s">
        <v>3685</v>
      </c>
      <c r="K3671">
        <v>20221005</v>
      </c>
      <c r="L3671" t="s">
        <v>3686</v>
      </c>
      <c r="M3671">
        <v>45101</v>
      </c>
      <c r="N3671">
        <v>0</v>
      </c>
      <c r="O3671" t="s">
        <v>19</v>
      </c>
      <c r="P3671" t="s">
        <v>20</v>
      </c>
      <c r="Q3671">
        <v>20221005</v>
      </c>
    </row>
    <row r="3672" spans="1:17" x14ac:dyDescent="0.25">
      <c r="A3672" t="s">
        <v>476</v>
      </c>
      <c r="B3672" t="s">
        <v>477</v>
      </c>
      <c r="C3672">
        <v>134</v>
      </c>
      <c r="D3672">
        <v>20221005</v>
      </c>
      <c r="E3672">
        <f t="shared" si="57"/>
        <v>10</v>
      </c>
      <c r="F3672">
        <v>401000</v>
      </c>
      <c r="G3672" t="s">
        <v>41</v>
      </c>
      <c r="H3672" t="s">
        <v>225</v>
      </c>
      <c r="I3672" t="s">
        <v>226</v>
      </c>
      <c r="J3672" t="s">
        <v>3687</v>
      </c>
      <c r="K3672">
        <v>20221005</v>
      </c>
      <c r="L3672" t="s">
        <v>488</v>
      </c>
      <c r="M3672">
        <v>475.4</v>
      </c>
      <c r="N3672">
        <v>0</v>
      </c>
      <c r="O3672" t="s">
        <v>23</v>
      </c>
      <c r="P3672">
        <v>20230218</v>
      </c>
      <c r="Q3672">
        <v>20221005</v>
      </c>
    </row>
    <row r="3673" spans="1:17" x14ac:dyDescent="0.25">
      <c r="A3673" t="s">
        <v>476</v>
      </c>
      <c r="B3673" t="s">
        <v>477</v>
      </c>
      <c r="C3673">
        <v>134</v>
      </c>
      <c r="D3673">
        <v>20221005</v>
      </c>
      <c r="E3673">
        <f t="shared" si="57"/>
        <v>10</v>
      </c>
      <c r="F3673">
        <v>512000</v>
      </c>
      <c r="G3673" t="s">
        <v>428</v>
      </c>
      <c r="H3673" t="s">
        <v>401</v>
      </c>
      <c r="I3673" t="s">
        <v>402</v>
      </c>
      <c r="J3673" t="s">
        <v>3687</v>
      </c>
      <c r="K3673">
        <v>20221005</v>
      </c>
      <c r="L3673" t="s">
        <v>488</v>
      </c>
      <c r="M3673">
        <v>0</v>
      </c>
      <c r="N3673">
        <v>475.4</v>
      </c>
      <c r="O3673" t="s">
        <v>19</v>
      </c>
      <c r="P3673" t="s">
        <v>20</v>
      </c>
      <c r="Q3673">
        <v>20221005</v>
      </c>
    </row>
    <row r="3674" spans="1:17" x14ac:dyDescent="0.25">
      <c r="A3674" t="s">
        <v>476</v>
      </c>
      <c r="B3674" t="s">
        <v>477</v>
      </c>
      <c r="C3674">
        <v>134</v>
      </c>
      <c r="D3674">
        <v>20221007</v>
      </c>
      <c r="E3674">
        <f t="shared" si="57"/>
        <v>10</v>
      </c>
      <c r="F3674">
        <v>468740</v>
      </c>
      <c r="G3674" t="s">
        <v>426</v>
      </c>
      <c r="H3674" t="s">
        <v>401</v>
      </c>
      <c r="I3674" t="s">
        <v>402</v>
      </c>
      <c r="J3674" t="s">
        <v>3688</v>
      </c>
      <c r="K3674">
        <v>20221007</v>
      </c>
      <c r="L3674" t="s">
        <v>3689</v>
      </c>
      <c r="M3674">
        <v>0</v>
      </c>
      <c r="N3674">
        <v>67755</v>
      </c>
      <c r="O3674" t="s">
        <v>23</v>
      </c>
      <c r="P3674">
        <v>20230221</v>
      </c>
      <c r="Q3674">
        <v>20221007</v>
      </c>
    </row>
    <row r="3675" spans="1:17" x14ac:dyDescent="0.25">
      <c r="A3675" t="s">
        <v>476</v>
      </c>
      <c r="B3675" t="s">
        <v>477</v>
      </c>
      <c r="C3675">
        <v>134</v>
      </c>
      <c r="D3675">
        <v>20221007</v>
      </c>
      <c r="E3675">
        <f t="shared" si="57"/>
        <v>10</v>
      </c>
      <c r="F3675">
        <v>512000</v>
      </c>
      <c r="G3675" t="s">
        <v>428</v>
      </c>
      <c r="H3675" t="s">
        <v>401</v>
      </c>
      <c r="I3675" t="s">
        <v>402</v>
      </c>
      <c r="J3675" t="s">
        <v>3688</v>
      </c>
      <c r="K3675">
        <v>20221007</v>
      </c>
      <c r="L3675" t="s">
        <v>3689</v>
      </c>
      <c r="M3675">
        <v>67755</v>
      </c>
      <c r="N3675">
        <v>0</v>
      </c>
      <c r="O3675" t="s">
        <v>19</v>
      </c>
      <c r="P3675" t="s">
        <v>20</v>
      </c>
      <c r="Q3675">
        <v>20221007</v>
      </c>
    </row>
    <row r="3676" spans="1:17" x14ac:dyDescent="0.25">
      <c r="A3676" t="s">
        <v>476</v>
      </c>
      <c r="B3676" t="s">
        <v>477</v>
      </c>
      <c r="C3676">
        <v>134</v>
      </c>
      <c r="D3676">
        <v>20221007</v>
      </c>
      <c r="E3676">
        <f t="shared" si="57"/>
        <v>10</v>
      </c>
      <c r="F3676">
        <v>468740</v>
      </c>
      <c r="G3676" t="s">
        <v>426</v>
      </c>
      <c r="H3676" t="s">
        <v>401</v>
      </c>
      <c r="I3676" t="s">
        <v>402</v>
      </c>
      <c r="J3676" t="s">
        <v>3690</v>
      </c>
      <c r="K3676">
        <v>20221007</v>
      </c>
      <c r="L3676" t="s">
        <v>3689</v>
      </c>
      <c r="M3676">
        <v>0</v>
      </c>
      <c r="N3676">
        <v>51041</v>
      </c>
      <c r="O3676" t="s">
        <v>23</v>
      </c>
      <c r="P3676">
        <v>20230221</v>
      </c>
      <c r="Q3676">
        <v>20221007</v>
      </c>
    </row>
    <row r="3677" spans="1:17" x14ac:dyDescent="0.25">
      <c r="A3677" t="s">
        <v>476</v>
      </c>
      <c r="B3677" t="s">
        <v>477</v>
      </c>
      <c r="C3677">
        <v>134</v>
      </c>
      <c r="D3677">
        <v>20221007</v>
      </c>
      <c r="E3677">
        <f t="shared" si="57"/>
        <v>10</v>
      </c>
      <c r="F3677">
        <v>512000</v>
      </c>
      <c r="G3677" t="s">
        <v>428</v>
      </c>
      <c r="H3677" t="s">
        <v>401</v>
      </c>
      <c r="I3677" t="s">
        <v>402</v>
      </c>
      <c r="J3677" t="s">
        <v>3690</v>
      </c>
      <c r="K3677">
        <v>20221007</v>
      </c>
      <c r="L3677" t="s">
        <v>3689</v>
      </c>
      <c r="M3677">
        <v>51041</v>
      </c>
      <c r="N3677">
        <v>0</v>
      </c>
      <c r="O3677" t="s">
        <v>19</v>
      </c>
      <c r="P3677" t="s">
        <v>20</v>
      </c>
      <c r="Q3677">
        <v>20221007</v>
      </c>
    </row>
    <row r="3678" spans="1:17" x14ac:dyDescent="0.25">
      <c r="A3678" t="s">
        <v>476</v>
      </c>
      <c r="B3678" t="s">
        <v>477</v>
      </c>
      <c r="C3678">
        <v>134</v>
      </c>
      <c r="D3678">
        <v>20221011</v>
      </c>
      <c r="E3678">
        <f t="shared" si="57"/>
        <v>10</v>
      </c>
      <c r="F3678">
        <v>468200</v>
      </c>
      <c r="G3678" t="s">
        <v>421</v>
      </c>
      <c r="H3678" t="s">
        <v>401</v>
      </c>
      <c r="I3678" t="s">
        <v>402</v>
      </c>
      <c r="J3678" t="s">
        <v>3691</v>
      </c>
      <c r="K3678">
        <v>20221011</v>
      </c>
      <c r="L3678" t="s">
        <v>422</v>
      </c>
      <c r="M3678">
        <v>0</v>
      </c>
      <c r="N3678">
        <v>1162.7</v>
      </c>
      <c r="O3678" t="s">
        <v>19</v>
      </c>
      <c r="P3678" t="s">
        <v>20</v>
      </c>
      <c r="Q3678">
        <v>20221011</v>
      </c>
    </row>
    <row r="3679" spans="1:17" x14ac:dyDescent="0.25">
      <c r="A3679" t="s">
        <v>476</v>
      </c>
      <c r="B3679" t="s">
        <v>477</v>
      </c>
      <c r="C3679">
        <v>134</v>
      </c>
      <c r="D3679">
        <v>20221011</v>
      </c>
      <c r="E3679">
        <f t="shared" si="57"/>
        <v>10</v>
      </c>
      <c r="F3679">
        <v>512000</v>
      </c>
      <c r="G3679" t="s">
        <v>428</v>
      </c>
      <c r="H3679" t="s">
        <v>401</v>
      </c>
      <c r="I3679" t="s">
        <v>402</v>
      </c>
      <c r="J3679" t="s">
        <v>3691</v>
      </c>
      <c r="K3679">
        <v>20221011</v>
      </c>
      <c r="L3679" t="s">
        <v>422</v>
      </c>
      <c r="M3679">
        <v>1162.7</v>
      </c>
      <c r="N3679">
        <v>0</v>
      </c>
      <c r="O3679" t="s">
        <v>19</v>
      </c>
      <c r="P3679" t="s">
        <v>20</v>
      </c>
      <c r="Q3679">
        <v>20221011</v>
      </c>
    </row>
    <row r="3680" spans="1:17" x14ac:dyDescent="0.25">
      <c r="A3680" t="s">
        <v>476</v>
      </c>
      <c r="B3680" t="s">
        <v>477</v>
      </c>
      <c r="C3680">
        <v>134</v>
      </c>
      <c r="D3680">
        <v>20221012</v>
      </c>
      <c r="E3680">
        <f t="shared" si="57"/>
        <v>10</v>
      </c>
      <c r="F3680">
        <v>437000</v>
      </c>
      <c r="G3680" t="s">
        <v>430</v>
      </c>
      <c r="H3680" t="s">
        <v>401</v>
      </c>
      <c r="I3680" t="s">
        <v>402</v>
      </c>
      <c r="J3680" t="s">
        <v>3692</v>
      </c>
      <c r="K3680">
        <v>20221012</v>
      </c>
      <c r="L3680" t="s">
        <v>497</v>
      </c>
      <c r="M3680">
        <v>1616.64</v>
      </c>
      <c r="N3680">
        <v>0</v>
      </c>
      <c r="O3680" t="s">
        <v>19</v>
      </c>
      <c r="P3680" t="s">
        <v>20</v>
      </c>
      <c r="Q3680">
        <v>20221012</v>
      </c>
    </row>
    <row r="3681" spans="1:17" x14ac:dyDescent="0.25">
      <c r="A3681" t="s">
        <v>476</v>
      </c>
      <c r="B3681" t="s">
        <v>477</v>
      </c>
      <c r="C3681">
        <v>134</v>
      </c>
      <c r="D3681">
        <v>20221012</v>
      </c>
      <c r="E3681">
        <f t="shared" si="57"/>
        <v>10</v>
      </c>
      <c r="F3681">
        <v>512000</v>
      </c>
      <c r="G3681" t="s">
        <v>428</v>
      </c>
      <c r="H3681" t="s">
        <v>401</v>
      </c>
      <c r="I3681" t="s">
        <v>402</v>
      </c>
      <c r="J3681" t="s">
        <v>3692</v>
      </c>
      <c r="K3681">
        <v>20221012</v>
      </c>
      <c r="L3681" t="s">
        <v>497</v>
      </c>
      <c r="M3681">
        <v>0</v>
      </c>
      <c r="N3681">
        <v>1616.64</v>
      </c>
      <c r="O3681" t="s">
        <v>19</v>
      </c>
      <c r="P3681" t="s">
        <v>20</v>
      </c>
      <c r="Q3681">
        <v>20221012</v>
      </c>
    </row>
    <row r="3682" spans="1:17" x14ac:dyDescent="0.25">
      <c r="A3682" t="s">
        <v>476</v>
      </c>
      <c r="B3682" t="s">
        <v>477</v>
      </c>
      <c r="C3682">
        <v>134</v>
      </c>
      <c r="D3682">
        <v>20221013</v>
      </c>
      <c r="E3682">
        <f t="shared" si="57"/>
        <v>10</v>
      </c>
      <c r="F3682">
        <v>401000</v>
      </c>
      <c r="G3682" t="s">
        <v>41</v>
      </c>
      <c r="H3682" t="s">
        <v>42</v>
      </c>
      <c r="I3682" t="s">
        <v>43</v>
      </c>
      <c r="J3682" t="s">
        <v>3693</v>
      </c>
      <c r="K3682">
        <v>20221013</v>
      </c>
      <c r="L3682" t="s">
        <v>163</v>
      </c>
      <c r="M3682">
        <v>337.6</v>
      </c>
      <c r="N3682">
        <v>0</v>
      </c>
      <c r="O3682" t="s">
        <v>22</v>
      </c>
      <c r="P3682">
        <v>20221013</v>
      </c>
      <c r="Q3682">
        <v>20221013</v>
      </c>
    </row>
    <row r="3683" spans="1:17" x14ac:dyDescent="0.25">
      <c r="A3683" t="s">
        <v>476</v>
      </c>
      <c r="B3683" t="s">
        <v>477</v>
      </c>
      <c r="C3683">
        <v>134</v>
      </c>
      <c r="D3683">
        <v>20221013</v>
      </c>
      <c r="E3683">
        <f t="shared" si="57"/>
        <v>10</v>
      </c>
      <c r="F3683">
        <v>401000</v>
      </c>
      <c r="G3683" t="s">
        <v>41</v>
      </c>
      <c r="H3683" t="s">
        <v>46</v>
      </c>
      <c r="I3683" t="s">
        <v>47</v>
      </c>
      <c r="J3683" t="s">
        <v>3693</v>
      </c>
      <c r="K3683">
        <v>20221013</v>
      </c>
      <c r="L3683" t="s">
        <v>163</v>
      </c>
      <c r="M3683">
        <v>1261</v>
      </c>
      <c r="N3683">
        <v>0</v>
      </c>
      <c r="O3683" t="s">
        <v>22</v>
      </c>
      <c r="P3683">
        <v>20221013</v>
      </c>
      <c r="Q3683">
        <v>20221013</v>
      </c>
    </row>
    <row r="3684" spans="1:17" x14ac:dyDescent="0.25">
      <c r="A3684" t="s">
        <v>476</v>
      </c>
      <c r="B3684" t="s">
        <v>477</v>
      </c>
      <c r="C3684">
        <v>134</v>
      </c>
      <c r="D3684">
        <v>20221013</v>
      </c>
      <c r="E3684">
        <f t="shared" si="57"/>
        <v>10</v>
      </c>
      <c r="F3684">
        <v>401000</v>
      </c>
      <c r="G3684" t="s">
        <v>41</v>
      </c>
      <c r="H3684" t="s">
        <v>56</v>
      </c>
      <c r="I3684" t="s">
        <v>57</v>
      </c>
      <c r="J3684" t="s">
        <v>3693</v>
      </c>
      <c r="K3684">
        <v>20221013</v>
      </c>
      <c r="L3684" t="s">
        <v>163</v>
      </c>
      <c r="M3684">
        <v>861.93</v>
      </c>
      <c r="N3684">
        <v>0</v>
      </c>
      <c r="O3684" t="s">
        <v>22</v>
      </c>
      <c r="P3684">
        <v>20221013</v>
      </c>
      <c r="Q3684">
        <v>20221013</v>
      </c>
    </row>
    <row r="3685" spans="1:17" x14ac:dyDescent="0.25">
      <c r="A3685" t="s">
        <v>476</v>
      </c>
      <c r="B3685" t="s">
        <v>477</v>
      </c>
      <c r="C3685">
        <v>134</v>
      </c>
      <c r="D3685">
        <v>20221013</v>
      </c>
      <c r="E3685">
        <f t="shared" si="57"/>
        <v>10</v>
      </c>
      <c r="F3685">
        <v>401000</v>
      </c>
      <c r="G3685" t="s">
        <v>41</v>
      </c>
      <c r="H3685" t="s">
        <v>71</v>
      </c>
      <c r="I3685" t="s">
        <v>72</v>
      </c>
      <c r="J3685" t="s">
        <v>3693</v>
      </c>
      <c r="K3685">
        <v>20221013</v>
      </c>
      <c r="L3685" t="s">
        <v>163</v>
      </c>
      <c r="M3685">
        <v>420.32</v>
      </c>
      <c r="N3685">
        <v>0</v>
      </c>
      <c r="O3685" t="s">
        <v>22</v>
      </c>
      <c r="P3685">
        <v>20221013</v>
      </c>
      <c r="Q3685">
        <v>20221013</v>
      </c>
    </row>
    <row r="3686" spans="1:17" x14ac:dyDescent="0.25">
      <c r="A3686" t="s">
        <v>476</v>
      </c>
      <c r="B3686" t="s">
        <v>477</v>
      </c>
      <c r="C3686">
        <v>134</v>
      </c>
      <c r="D3686">
        <v>20221013</v>
      </c>
      <c r="E3686">
        <f t="shared" si="57"/>
        <v>10</v>
      </c>
      <c r="F3686">
        <v>401000</v>
      </c>
      <c r="G3686" t="s">
        <v>41</v>
      </c>
      <c r="H3686" t="s">
        <v>75</v>
      </c>
      <c r="I3686" t="s">
        <v>76</v>
      </c>
      <c r="J3686" t="s">
        <v>3693</v>
      </c>
      <c r="K3686">
        <v>20221013</v>
      </c>
      <c r="L3686" t="s">
        <v>163</v>
      </c>
      <c r="M3686">
        <v>196.06</v>
      </c>
      <c r="N3686">
        <v>0</v>
      </c>
      <c r="O3686" t="s">
        <v>22</v>
      </c>
      <c r="P3686">
        <v>20221013</v>
      </c>
      <c r="Q3686">
        <v>20221013</v>
      </c>
    </row>
    <row r="3687" spans="1:17" x14ac:dyDescent="0.25">
      <c r="A3687" t="s">
        <v>476</v>
      </c>
      <c r="B3687" t="s">
        <v>477</v>
      </c>
      <c r="C3687">
        <v>134</v>
      </c>
      <c r="D3687">
        <v>20221013</v>
      </c>
      <c r="E3687">
        <f t="shared" si="57"/>
        <v>10</v>
      </c>
      <c r="F3687">
        <v>401000</v>
      </c>
      <c r="G3687" t="s">
        <v>41</v>
      </c>
      <c r="H3687" t="s">
        <v>99</v>
      </c>
      <c r="I3687" t="s">
        <v>100</v>
      </c>
      <c r="J3687" t="s">
        <v>3693</v>
      </c>
      <c r="K3687">
        <v>20221013</v>
      </c>
      <c r="L3687" t="s">
        <v>163</v>
      </c>
      <c r="M3687">
        <v>1774.34</v>
      </c>
      <c r="N3687">
        <v>0</v>
      </c>
      <c r="O3687" t="s">
        <v>22</v>
      </c>
      <c r="P3687">
        <v>20221013</v>
      </c>
      <c r="Q3687">
        <v>20221013</v>
      </c>
    </row>
    <row r="3688" spans="1:17" x14ac:dyDescent="0.25">
      <c r="A3688" t="s">
        <v>476</v>
      </c>
      <c r="B3688" t="s">
        <v>477</v>
      </c>
      <c r="C3688">
        <v>134</v>
      </c>
      <c r="D3688">
        <v>20221013</v>
      </c>
      <c r="E3688">
        <f t="shared" si="57"/>
        <v>10</v>
      </c>
      <c r="F3688">
        <v>401000</v>
      </c>
      <c r="G3688" t="s">
        <v>41</v>
      </c>
      <c r="H3688" t="s">
        <v>474</v>
      </c>
      <c r="I3688" t="s">
        <v>475</v>
      </c>
      <c r="J3688" t="s">
        <v>3693</v>
      </c>
      <c r="K3688">
        <v>20221013</v>
      </c>
      <c r="L3688" t="s">
        <v>163</v>
      </c>
      <c r="M3688">
        <v>90</v>
      </c>
      <c r="N3688">
        <v>0</v>
      </c>
      <c r="O3688" t="s">
        <v>22</v>
      </c>
      <c r="P3688">
        <v>20221013</v>
      </c>
      <c r="Q3688">
        <v>20221013</v>
      </c>
    </row>
    <row r="3689" spans="1:17" x14ac:dyDescent="0.25">
      <c r="A3689" t="s">
        <v>476</v>
      </c>
      <c r="B3689" t="s">
        <v>477</v>
      </c>
      <c r="C3689">
        <v>134</v>
      </c>
      <c r="D3689">
        <v>20221013</v>
      </c>
      <c r="E3689">
        <f t="shared" si="57"/>
        <v>10</v>
      </c>
      <c r="F3689">
        <v>401000</v>
      </c>
      <c r="G3689" t="s">
        <v>41</v>
      </c>
      <c r="H3689" t="s">
        <v>827</v>
      </c>
      <c r="I3689" t="s">
        <v>828</v>
      </c>
      <c r="J3689" t="s">
        <v>3693</v>
      </c>
      <c r="K3689">
        <v>20221013</v>
      </c>
      <c r="L3689" t="s">
        <v>163</v>
      </c>
      <c r="M3689">
        <v>61.5</v>
      </c>
      <c r="N3689">
        <v>0</v>
      </c>
      <c r="O3689" t="s">
        <v>22</v>
      </c>
      <c r="P3689">
        <v>20221013</v>
      </c>
      <c r="Q3689">
        <v>20221013</v>
      </c>
    </row>
    <row r="3690" spans="1:17" x14ac:dyDescent="0.25">
      <c r="A3690" t="s">
        <v>476</v>
      </c>
      <c r="B3690" t="s">
        <v>477</v>
      </c>
      <c r="C3690">
        <v>134</v>
      </c>
      <c r="D3690">
        <v>20221013</v>
      </c>
      <c r="E3690">
        <f t="shared" si="57"/>
        <v>10</v>
      </c>
      <c r="F3690">
        <v>467100</v>
      </c>
      <c r="G3690" t="s">
        <v>160</v>
      </c>
      <c r="H3690" t="s">
        <v>1305</v>
      </c>
      <c r="I3690" t="s">
        <v>1306</v>
      </c>
      <c r="J3690" t="s">
        <v>3693</v>
      </c>
      <c r="K3690">
        <v>20221013</v>
      </c>
      <c r="L3690" t="s">
        <v>163</v>
      </c>
      <c r="M3690">
        <v>105.89</v>
      </c>
      <c r="N3690">
        <v>0</v>
      </c>
      <c r="O3690" t="s">
        <v>22</v>
      </c>
      <c r="P3690">
        <v>20221013</v>
      </c>
      <c r="Q3690">
        <v>20221013</v>
      </c>
    </row>
    <row r="3691" spans="1:17" x14ac:dyDescent="0.25">
      <c r="A3691" t="s">
        <v>476</v>
      </c>
      <c r="B3691" t="s">
        <v>477</v>
      </c>
      <c r="C3691">
        <v>134</v>
      </c>
      <c r="D3691">
        <v>20221013</v>
      </c>
      <c r="E3691">
        <f t="shared" si="57"/>
        <v>10</v>
      </c>
      <c r="F3691">
        <v>401000</v>
      </c>
      <c r="G3691" t="s">
        <v>41</v>
      </c>
      <c r="H3691" t="s">
        <v>854</v>
      </c>
      <c r="I3691" t="s">
        <v>855</v>
      </c>
      <c r="J3691" t="s">
        <v>3693</v>
      </c>
      <c r="K3691">
        <v>20221013</v>
      </c>
      <c r="L3691" t="s">
        <v>163</v>
      </c>
      <c r="M3691">
        <v>45</v>
      </c>
      <c r="N3691">
        <v>0</v>
      </c>
      <c r="O3691" t="s">
        <v>22</v>
      </c>
      <c r="P3691">
        <v>20221013</v>
      </c>
      <c r="Q3691">
        <v>20221013</v>
      </c>
    </row>
    <row r="3692" spans="1:17" x14ac:dyDescent="0.25">
      <c r="A3692" t="s">
        <v>476</v>
      </c>
      <c r="B3692" t="s">
        <v>477</v>
      </c>
      <c r="C3692">
        <v>134</v>
      </c>
      <c r="D3692">
        <v>20221013</v>
      </c>
      <c r="E3692">
        <f t="shared" si="57"/>
        <v>10</v>
      </c>
      <c r="F3692">
        <v>401000</v>
      </c>
      <c r="G3692" t="s">
        <v>41</v>
      </c>
      <c r="H3692" t="s">
        <v>1659</v>
      </c>
      <c r="I3692" t="s">
        <v>1660</v>
      </c>
      <c r="J3692" t="s">
        <v>3693</v>
      </c>
      <c r="K3692">
        <v>20221013</v>
      </c>
      <c r="L3692" t="s">
        <v>163</v>
      </c>
      <c r="M3692">
        <v>100</v>
      </c>
      <c r="N3692">
        <v>0</v>
      </c>
      <c r="O3692" t="s">
        <v>22</v>
      </c>
      <c r="P3692">
        <v>20221013</v>
      </c>
      <c r="Q3692">
        <v>20221013</v>
      </c>
    </row>
    <row r="3693" spans="1:17" x14ac:dyDescent="0.25">
      <c r="A3693" t="s">
        <v>476</v>
      </c>
      <c r="B3693" t="s">
        <v>477</v>
      </c>
      <c r="C3693">
        <v>134</v>
      </c>
      <c r="D3693">
        <v>20221013</v>
      </c>
      <c r="E3693">
        <f t="shared" si="57"/>
        <v>10</v>
      </c>
      <c r="F3693">
        <v>512000</v>
      </c>
      <c r="G3693" t="s">
        <v>428</v>
      </c>
      <c r="H3693" t="s">
        <v>401</v>
      </c>
      <c r="I3693" t="s">
        <v>402</v>
      </c>
      <c r="J3693" t="s">
        <v>3693</v>
      </c>
      <c r="K3693">
        <v>20221013</v>
      </c>
      <c r="L3693" t="s">
        <v>163</v>
      </c>
      <c r="M3693">
        <v>0</v>
      </c>
      <c r="N3693">
        <v>5253.64</v>
      </c>
      <c r="O3693" t="s">
        <v>19</v>
      </c>
      <c r="P3693" t="s">
        <v>20</v>
      </c>
      <c r="Q3693">
        <v>20221013</v>
      </c>
    </row>
    <row r="3694" spans="1:17" x14ac:dyDescent="0.25">
      <c r="A3694" t="s">
        <v>476</v>
      </c>
      <c r="B3694" t="s">
        <v>477</v>
      </c>
      <c r="C3694">
        <v>134</v>
      </c>
      <c r="D3694">
        <v>20221013</v>
      </c>
      <c r="E3694">
        <f t="shared" si="57"/>
        <v>10</v>
      </c>
      <c r="F3694">
        <v>445055</v>
      </c>
      <c r="G3694" t="s">
        <v>3441</v>
      </c>
      <c r="H3694" t="s">
        <v>401</v>
      </c>
      <c r="I3694" t="s">
        <v>402</v>
      </c>
      <c r="J3694" t="s">
        <v>3694</v>
      </c>
      <c r="K3694">
        <v>20221013</v>
      </c>
      <c r="L3694" t="s">
        <v>3695</v>
      </c>
      <c r="M3694">
        <v>0</v>
      </c>
      <c r="N3694">
        <v>2213</v>
      </c>
      <c r="O3694" t="s">
        <v>23</v>
      </c>
      <c r="P3694">
        <v>20230214</v>
      </c>
      <c r="Q3694">
        <v>20221013</v>
      </c>
    </row>
    <row r="3695" spans="1:17" x14ac:dyDescent="0.25">
      <c r="A3695" t="s">
        <v>476</v>
      </c>
      <c r="B3695" t="s">
        <v>477</v>
      </c>
      <c r="C3695">
        <v>134</v>
      </c>
      <c r="D3695">
        <v>20221013</v>
      </c>
      <c r="E3695">
        <f t="shared" si="57"/>
        <v>10</v>
      </c>
      <c r="F3695">
        <v>512000</v>
      </c>
      <c r="G3695" t="s">
        <v>428</v>
      </c>
      <c r="H3695" t="s">
        <v>401</v>
      </c>
      <c r="I3695" t="s">
        <v>402</v>
      </c>
      <c r="J3695" t="s">
        <v>3694</v>
      </c>
      <c r="K3695">
        <v>20221013</v>
      </c>
      <c r="L3695" t="s">
        <v>3695</v>
      </c>
      <c r="M3695">
        <v>2213</v>
      </c>
      <c r="N3695">
        <v>0</v>
      </c>
      <c r="O3695" t="s">
        <v>19</v>
      </c>
      <c r="P3695" t="s">
        <v>20</v>
      </c>
      <c r="Q3695">
        <v>20221013</v>
      </c>
    </row>
    <row r="3696" spans="1:17" x14ac:dyDescent="0.25">
      <c r="A3696" t="s">
        <v>476</v>
      </c>
      <c r="B3696" t="s">
        <v>477</v>
      </c>
      <c r="C3696">
        <v>134</v>
      </c>
      <c r="D3696">
        <v>20221017</v>
      </c>
      <c r="E3696">
        <f t="shared" si="57"/>
        <v>10</v>
      </c>
      <c r="F3696">
        <v>447000</v>
      </c>
      <c r="G3696" t="s">
        <v>419</v>
      </c>
      <c r="H3696" t="s">
        <v>401</v>
      </c>
      <c r="I3696" t="s">
        <v>402</v>
      </c>
      <c r="J3696" t="s">
        <v>3696</v>
      </c>
      <c r="K3696">
        <v>20221017</v>
      </c>
      <c r="L3696" t="s">
        <v>2435</v>
      </c>
      <c r="M3696">
        <v>4252</v>
      </c>
      <c r="N3696">
        <v>0</v>
      </c>
      <c r="O3696" t="s">
        <v>23</v>
      </c>
      <c r="P3696">
        <v>20230218</v>
      </c>
      <c r="Q3696">
        <v>20221017</v>
      </c>
    </row>
    <row r="3697" spans="1:17" x14ac:dyDescent="0.25">
      <c r="A3697" t="s">
        <v>476</v>
      </c>
      <c r="B3697" t="s">
        <v>477</v>
      </c>
      <c r="C3697">
        <v>134</v>
      </c>
      <c r="D3697">
        <v>20221017</v>
      </c>
      <c r="E3697">
        <f t="shared" si="57"/>
        <v>10</v>
      </c>
      <c r="F3697">
        <v>512000</v>
      </c>
      <c r="G3697" t="s">
        <v>428</v>
      </c>
      <c r="H3697" t="s">
        <v>401</v>
      </c>
      <c r="I3697" t="s">
        <v>402</v>
      </c>
      <c r="J3697" t="s">
        <v>3696</v>
      </c>
      <c r="K3697">
        <v>20221017</v>
      </c>
      <c r="L3697" t="s">
        <v>2435</v>
      </c>
      <c r="M3697">
        <v>0</v>
      </c>
      <c r="N3697">
        <v>4252</v>
      </c>
      <c r="O3697" t="s">
        <v>19</v>
      </c>
      <c r="P3697" t="s">
        <v>20</v>
      </c>
      <c r="Q3697">
        <v>20221017</v>
      </c>
    </row>
    <row r="3698" spans="1:17" x14ac:dyDescent="0.25">
      <c r="A3698" t="s">
        <v>476</v>
      </c>
      <c r="B3698" t="s">
        <v>477</v>
      </c>
      <c r="C3698">
        <v>134</v>
      </c>
      <c r="D3698">
        <v>20221017</v>
      </c>
      <c r="E3698">
        <f t="shared" si="57"/>
        <v>10</v>
      </c>
      <c r="F3698">
        <v>468200</v>
      </c>
      <c r="G3698" t="s">
        <v>421</v>
      </c>
      <c r="H3698" t="s">
        <v>401</v>
      </c>
      <c r="I3698" t="s">
        <v>402</v>
      </c>
      <c r="J3698" t="s">
        <v>3697</v>
      </c>
      <c r="K3698">
        <v>20221017</v>
      </c>
      <c r="L3698" t="s">
        <v>422</v>
      </c>
      <c r="M3698">
        <v>0</v>
      </c>
      <c r="N3698">
        <v>243.8</v>
      </c>
      <c r="O3698" t="s">
        <v>19</v>
      </c>
      <c r="P3698" t="s">
        <v>20</v>
      </c>
      <c r="Q3698">
        <v>20221017</v>
      </c>
    </row>
    <row r="3699" spans="1:17" x14ac:dyDescent="0.25">
      <c r="A3699" t="s">
        <v>476</v>
      </c>
      <c r="B3699" t="s">
        <v>477</v>
      </c>
      <c r="C3699">
        <v>134</v>
      </c>
      <c r="D3699">
        <v>20221017</v>
      </c>
      <c r="E3699">
        <f t="shared" si="57"/>
        <v>10</v>
      </c>
      <c r="F3699">
        <v>512000</v>
      </c>
      <c r="G3699" t="s">
        <v>428</v>
      </c>
      <c r="H3699" t="s">
        <v>401</v>
      </c>
      <c r="I3699" t="s">
        <v>402</v>
      </c>
      <c r="J3699" t="s">
        <v>3697</v>
      </c>
      <c r="K3699">
        <v>20221017</v>
      </c>
      <c r="L3699" t="s">
        <v>422</v>
      </c>
      <c r="M3699">
        <v>243.8</v>
      </c>
      <c r="N3699">
        <v>0</v>
      </c>
      <c r="O3699" t="s">
        <v>19</v>
      </c>
      <c r="P3699" t="s">
        <v>20</v>
      </c>
      <c r="Q3699">
        <v>20221017</v>
      </c>
    </row>
    <row r="3700" spans="1:17" x14ac:dyDescent="0.25">
      <c r="A3700" t="s">
        <v>476</v>
      </c>
      <c r="B3700" t="s">
        <v>477</v>
      </c>
      <c r="C3700">
        <v>134</v>
      </c>
      <c r="D3700">
        <v>20221018</v>
      </c>
      <c r="E3700">
        <f t="shared" si="57"/>
        <v>10</v>
      </c>
      <c r="F3700">
        <v>431000</v>
      </c>
      <c r="G3700" t="s">
        <v>408</v>
      </c>
      <c r="H3700" t="s">
        <v>401</v>
      </c>
      <c r="I3700" t="s">
        <v>402</v>
      </c>
      <c r="J3700" t="s">
        <v>3698</v>
      </c>
      <c r="K3700">
        <v>20221018</v>
      </c>
      <c r="L3700" t="s">
        <v>409</v>
      </c>
      <c r="M3700">
        <v>24654</v>
      </c>
      <c r="N3700">
        <v>0</v>
      </c>
      <c r="O3700" t="s">
        <v>23</v>
      </c>
      <c r="P3700">
        <v>20230218</v>
      </c>
      <c r="Q3700">
        <v>20221018</v>
      </c>
    </row>
    <row r="3701" spans="1:17" x14ac:dyDescent="0.25">
      <c r="A3701" t="s">
        <v>476</v>
      </c>
      <c r="B3701" t="s">
        <v>477</v>
      </c>
      <c r="C3701">
        <v>134</v>
      </c>
      <c r="D3701">
        <v>20221018</v>
      </c>
      <c r="E3701">
        <f t="shared" si="57"/>
        <v>10</v>
      </c>
      <c r="F3701">
        <v>512000</v>
      </c>
      <c r="G3701" t="s">
        <v>428</v>
      </c>
      <c r="H3701" t="s">
        <v>401</v>
      </c>
      <c r="I3701" t="s">
        <v>402</v>
      </c>
      <c r="J3701" t="s">
        <v>3698</v>
      </c>
      <c r="K3701">
        <v>20221018</v>
      </c>
      <c r="L3701" t="s">
        <v>409</v>
      </c>
      <c r="M3701">
        <v>0</v>
      </c>
      <c r="N3701">
        <v>24654</v>
      </c>
      <c r="O3701" t="s">
        <v>19</v>
      </c>
      <c r="P3701" t="s">
        <v>20</v>
      </c>
      <c r="Q3701">
        <v>20221018</v>
      </c>
    </row>
    <row r="3702" spans="1:17" x14ac:dyDescent="0.25">
      <c r="A3702" t="s">
        <v>476</v>
      </c>
      <c r="B3702" t="s">
        <v>477</v>
      </c>
      <c r="C3702">
        <v>134</v>
      </c>
      <c r="D3702">
        <v>20221018</v>
      </c>
      <c r="E3702">
        <f t="shared" si="57"/>
        <v>10</v>
      </c>
      <c r="F3702">
        <v>468735</v>
      </c>
      <c r="G3702" t="s">
        <v>425</v>
      </c>
      <c r="H3702" t="s">
        <v>401</v>
      </c>
      <c r="I3702" t="s">
        <v>402</v>
      </c>
      <c r="J3702" t="s">
        <v>3699</v>
      </c>
      <c r="K3702">
        <v>20221018</v>
      </c>
      <c r="L3702" t="s">
        <v>3700</v>
      </c>
      <c r="M3702">
        <v>0</v>
      </c>
      <c r="N3702">
        <v>26.73</v>
      </c>
      <c r="O3702" t="s">
        <v>19</v>
      </c>
      <c r="P3702" t="s">
        <v>20</v>
      </c>
      <c r="Q3702">
        <v>20221018</v>
      </c>
    </row>
    <row r="3703" spans="1:17" x14ac:dyDescent="0.25">
      <c r="A3703" t="s">
        <v>476</v>
      </c>
      <c r="B3703" t="s">
        <v>477</v>
      </c>
      <c r="C3703">
        <v>134</v>
      </c>
      <c r="D3703">
        <v>20221018</v>
      </c>
      <c r="E3703">
        <f t="shared" si="57"/>
        <v>10</v>
      </c>
      <c r="F3703">
        <v>512000</v>
      </c>
      <c r="G3703" t="s">
        <v>428</v>
      </c>
      <c r="H3703" t="s">
        <v>401</v>
      </c>
      <c r="I3703" t="s">
        <v>402</v>
      </c>
      <c r="J3703" t="s">
        <v>3699</v>
      </c>
      <c r="K3703">
        <v>20221018</v>
      </c>
      <c r="L3703" t="s">
        <v>3700</v>
      </c>
      <c r="M3703">
        <v>26.73</v>
      </c>
      <c r="N3703">
        <v>0</v>
      </c>
      <c r="O3703" t="s">
        <v>19</v>
      </c>
      <c r="P3703" t="s">
        <v>20</v>
      </c>
      <c r="Q3703">
        <v>20221018</v>
      </c>
    </row>
    <row r="3704" spans="1:17" x14ac:dyDescent="0.25">
      <c r="A3704" t="s">
        <v>476</v>
      </c>
      <c r="B3704" t="s">
        <v>477</v>
      </c>
      <c r="C3704">
        <v>134</v>
      </c>
      <c r="D3704">
        <v>20221018</v>
      </c>
      <c r="E3704">
        <f t="shared" si="57"/>
        <v>10</v>
      </c>
      <c r="F3704">
        <v>468200</v>
      </c>
      <c r="G3704" t="s">
        <v>421</v>
      </c>
      <c r="H3704" t="s">
        <v>401</v>
      </c>
      <c r="I3704" t="s">
        <v>402</v>
      </c>
      <c r="J3704" t="s">
        <v>3701</v>
      </c>
      <c r="K3704">
        <v>20221018</v>
      </c>
      <c r="L3704" t="s">
        <v>422</v>
      </c>
      <c r="M3704">
        <v>0</v>
      </c>
      <c r="N3704">
        <v>178.55</v>
      </c>
      <c r="O3704" t="s">
        <v>19</v>
      </c>
      <c r="P3704" t="s">
        <v>20</v>
      </c>
      <c r="Q3704">
        <v>20221018</v>
      </c>
    </row>
    <row r="3705" spans="1:17" x14ac:dyDescent="0.25">
      <c r="A3705" t="s">
        <v>476</v>
      </c>
      <c r="B3705" t="s">
        <v>477</v>
      </c>
      <c r="C3705">
        <v>134</v>
      </c>
      <c r="D3705">
        <v>20221018</v>
      </c>
      <c r="E3705">
        <f t="shared" si="57"/>
        <v>10</v>
      </c>
      <c r="F3705">
        <v>512000</v>
      </c>
      <c r="G3705" t="s">
        <v>428</v>
      </c>
      <c r="H3705" t="s">
        <v>401</v>
      </c>
      <c r="I3705" t="s">
        <v>402</v>
      </c>
      <c r="J3705" t="s">
        <v>3701</v>
      </c>
      <c r="K3705">
        <v>20221018</v>
      </c>
      <c r="L3705" t="s">
        <v>422</v>
      </c>
      <c r="M3705">
        <v>178.55</v>
      </c>
      <c r="N3705">
        <v>0</v>
      </c>
      <c r="O3705" t="s">
        <v>19</v>
      </c>
      <c r="P3705" t="s">
        <v>20</v>
      </c>
      <c r="Q3705">
        <v>20221018</v>
      </c>
    </row>
    <row r="3706" spans="1:17" x14ac:dyDescent="0.25">
      <c r="A3706" t="s">
        <v>476</v>
      </c>
      <c r="B3706" t="s">
        <v>477</v>
      </c>
      <c r="C3706">
        <v>134</v>
      </c>
      <c r="D3706">
        <v>20221019</v>
      </c>
      <c r="E3706">
        <f t="shared" si="57"/>
        <v>10</v>
      </c>
      <c r="F3706">
        <v>468710</v>
      </c>
      <c r="G3706" t="s">
        <v>423</v>
      </c>
      <c r="H3706" t="s">
        <v>401</v>
      </c>
      <c r="I3706" t="s">
        <v>402</v>
      </c>
      <c r="J3706" t="s">
        <v>3702</v>
      </c>
      <c r="K3706">
        <v>20221019</v>
      </c>
      <c r="L3706" t="s">
        <v>3703</v>
      </c>
      <c r="M3706">
        <v>0</v>
      </c>
      <c r="N3706">
        <v>23740</v>
      </c>
      <c r="O3706" t="s">
        <v>23</v>
      </c>
      <c r="P3706">
        <v>20230214</v>
      </c>
      <c r="Q3706">
        <v>20221019</v>
      </c>
    </row>
    <row r="3707" spans="1:17" x14ac:dyDescent="0.25">
      <c r="A3707" t="s">
        <v>476</v>
      </c>
      <c r="B3707" t="s">
        <v>477</v>
      </c>
      <c r="C3707">
        <v>134</v>
      </c>
      <c r="D3707">
        <v>20221019</v>
      </c>
      <c r="E3707">
        <f t="shared" si="57"/>
        <v>10</v>
      </c>
      <c r="F3707">
        <v>512000</v>
      </c>
      <c r="G3707" t="s">
        <v>428</v>
      </c>
      <c r="H3707" t="s">
        <v>401</v>
      </c>
      <c r="I3707" t="s">
        <v>402</v>
      </c>
      <c r="J3707" t="s">
        <v>3702</v>
      </c>
      <c r="K3707">
        <v>20221019</v>
      </c>
      <c r="L3707" t="s">
        <v>3703</v>
      </c>
      <c r="M3707">
        <v>23740</v>
      </c>
      <c r="N3707">
        <v>0</v>
      </c>
      <c r="O3707" t="s">
        <v>19</v>
      </c>
      <c r="P3707" t="s">
        <v>20</v>
      </c>
      <c r="Q3707">
        <v>20221019</v>
      </c>
    </row>
    <row r="3708" spans="1:17" x14ac:dyDescent="0.25">
      <c r="A3708" t="s">
        <v>476</v>
      </c>
      <c r="B3708" t="s">
        <v>477</v>
      </c>
      <c r="C3708">
        <v>134</v>
      </c>
      <c r="D3708">
        <v>20221020</v>
      </c>
      <c r="E3708">
        <f t="shared" si="57"/>
        <v>10</v>
      </c>
      <c r="F3708">
        <v>411100</v>
      </c>
      <c r="G3708" t="s">
        <v>18</v>
      </c>
      <c r="H3708" t="s">
        <v>3704</v>
      </c>
      <c r="I3708" t="s">
        <v>3705</v>
      </c>
      <c r="J3708" t="s">
        <v>3702</v>
      </c>
      <c r="K3708">
        <v>20221020</v>
      </c>
      <c r="L3708" t="s">
        <v>3706</v>
      </c>
      <c r="M3708">
        <v>0</v>
      </c>
      <c r="N3708">
        <v>90</v>
      </c>
      <c r="O3708" t="s">
        <v>22</v>
      </c>
      <c r="P3708">
        <v>20230218</v>
      </c>
      <c r="Q3708">
        <v>20221020</v>
      </c>
    </row>
    <row r="3709" spans="1:17" x14ac:dyDescent="0.25">
      <c r="A3709" t="s">
        <v>476</v>
      </c>
      <c r="B3709" t="s">
        <v>477</v>
      </c>
      <c r="C3709">
        <v>134</v>
      </c>
      <c r="D3709">
        <v>20221020</v>
      </c>
      <c r="E3709">
        <f t="shared" si="57"/>
        <v>10</v>
      </c>
      <c r="F3709">
        <v>512000</v>
      </c>
      <c r="G3709" t="s">
        <v>428</v>
      </c>
      <c r="H3709" t="s">
        <v>401</v>
      </c>
      <c r="I3709" t="s">
        <v>402</v>
      </c>
      <c r="J3709" t="s">
        <v>3702</v>
      </c>
      <c r="K3709">
        <v>20221020</v>
      </c>
      <c r="L3709" t="s">
        <v>3706</v>
      </c>
      <c r="M3709">
        <v>90</v>
      </c>
      <c r="N3709">
        <v>0</v>
      </c>
      <c r="O3709" t="s">
        <v>19</v>
      </c>
      <c r="P3709" t="s">
        <v>20</v>
      </c>
      <c r="Q3709">
        <v>20221020</v>
      </c>
    </row>
    <row r="3710" spans="1:17" x14ac:dyDescent="0.25">
      <c r="A3710" t="s">
        <v>476</v>
      </c>
      <c r="B3710" t="s">
        <v>477</v>
      </c>
      <c r="C3710">
        <v>134</v>
      </c>
      <c r="D3710">
        <v>20221020</v>
      </c>
      <c r="E3710">
        <f t="shared" si="57"/>
        <v>10</v>
      </c>
      <c r="F3710">
        <v>468200</v>
      </c>
      <c r="G3710" t="s">
        <v>421</v>
      </c>
      <c r="H3710" t="s">
        <v>401</v>
      </c>
      <c r="I3710" t="s">
        <v>402</v>
      </c>
      <c r="J3710" t="s">
        <v>3707</v>
      </c>
      <c r="K3710">
        <v>20221020</v>
      </c>
      <c r="L3710" t="s">
        <v>422</v>
      </c>
      <c r="M3710">
        <v>0</v>
      </c>
      <c r="N3710">
        <v>3261.25</v>
      </c>
      <c r="O3710" t="s">
        <v>19</v>
      </c>
      <c r="P3710" t="s">
        <v>20</v>
      </c>
      <c r="Q3710">
        <v>20221020</v>
      </c>
    </row>
    <row r="3711" spans="1:17" x14ac:dyDescent="0.25">
      <c r="A3711" t="s">
        <v>476</v>
      </c>
      <c r="B3711" t="s">
        <v>477</v>
      </c>
      <c r="C3711">
        <v>134</v>
      </c>
      <c r="D3711">
        <v>20221020</v>
      </c>
      <c r="E3711">
        <f t="shared" si="57"/>
        <v>10</v>
      </c>
      <c r="F3711">
        <v>512000</v>
      </c>
      <c r="G3711" t="s">
        <v>428</v>
      </c>
      <c r="H3711" t="s">
        <v>401</v>
      </c>
      <c r="I3711" t="s">
        <v>402</v>
      </c>
      <c r="J3711" t="s">
        <v>3707</v>
      </c>
      <c r="K3711">
        <v>20221020</v>
      </c>
      <c r="L3711" t="s">
        <v>422</v>
      </c>
      <c r="M3711">
        <v>3261.25</v>
      </c>
      <c r="N3711">
        <v>0</v>
      </c>
      <c r="O3711" t="s">
        <v>19</v>
      </c>
      <c r="P3711" t="s">
        <v>20</v>
      </c>
      <c r="Q3711">
        <v>20221020</v>
      </c>
    </row>
    <row r="3712" spans="1:17" x14ac:dyDescent="0.25">
      <c r="A3712" t="s">
        <v>476</v>
      </c>
      <c r="B3712" t="s">
        <v>477</v>
      </c>
      <c r="C3712">
        <v>134</v>
      </c>
      <c r="D3712">
        <v>20221021</v>
      </c>
      <c r="E3712">
        <f t="shared" si="57"/>
        <v>10</v>
      </c>
      <c r="F3712">
        <v>467100</v>
      </c>
      <c r="G3712" t="s">
        <v>160</v>
      </c>
      <c r="H3712" t="s">
        <v>3425</v>
      </c>
      <c r="I3712" t="s">
        <v>3426</v>
      </c>
      <c r="J3712" t="s">
        <v>3708</v>
      </c>
      <c r="K3712">
        <v>20221021</v>
      </c>
      <c r="L3712" t="s">
        <v>127</v>
      </c>
      <c r="M3712">
        <v>2000</v>
      </c>
      <c r="N3712">
        <v>0</v>
      </c>
      <c r="O3712" t="s">
        <v>23</v>
      </c>
      <c r="P3712">
        <v>20221027</v>
      </c>
      <c r="Q3712">
        <v>20221021</v>
      </c>
    </row>
    <row r="3713" spans="1:17" x14ac:dyDescent="0.25">
      <c r="A3713" t="s">
        <v>476</v>
      </c>
      <c r="B3713" t="s">
        <v>477</v>
      </c>
      <c r="C3713">
        <v>134</v>
      </c>
      <c r="D3713">
        <v>20221021</v>
      </c>
      <c r="E3713">
        <f t="shared" si="57"/>
        <v>10</v>
      </c>
      <c r="F3713">
        <v>467100</v>
      </c>
      <c r="G3713" t="s">
        <v>160</v>
      </c>
      <c r="H3713" t="s">
        <v>164</v>
      </c>
      <c r="I3713" t="s">
        <v>165</v>
      </c>
      <c r="J3713" t="s">
        <v>3708</v>
      </c>
      <c r="K3713">
        <v>20221021</v>
      </c>
      <c r="L3713" t="s">
        <v>127</v>
      </c>
      <c r="M3713">
        <v>300</v>
      </c>
      <c r="N3713">
        <v>0</v>
      </c>
      <c r="O3713" t="s">
        <v>23</v>
      </c>
      <c r="P3713">
        <v>20221027</v>
      </c>
      <c r="Q3713">
        <v>20221021</v>
      </c>
    </row>
    <row r="3714" spans="1:17" x14ac:dyDescent="0.25">
      <c r="A3714" t="s">
        <v>476</v>
      </c>
      <c r="B3714" t="s">
        <v>477</v>
      </c>
      <c r="C3714">
        <v>134</v>
      </c>
      <c r="D3714">
        <v>20221021</v>
      </c>
      <c r="E3714">
        <f t="shared" si="57"/>
        <v>10</v>
      </c>
      <c r="F3714">
        <v>401000</v>
      </c>
      <c r="G3714" t="s">
        <v>41</v>
      </c>
      <c r="H3714" t="s">
        <v>472</v>
      </c>
      <c r="I3714" t="s">
        <v>473</v>
      </c>
      <c r="J3714" t="s">
        <v>3708</v>
      </c>
      <c r="K3714">
        <v>20221021</v>
      </c>
      <c r="L3714" t="s">
        <v>127</v>
      </c>
      <c r="M3714">
        <v>70</v>
      </c>
      <c r="N3714">
        <v>0</v>
      </c>
      <c r="O3714" t="s">
        <v>23</v>
      </c>
      <c r="P3714">
        <v>20221025</v>
      </c>
      <c r="Q3714">
        <v>20221021</v>
      </c>
    </row>
    <row r="3715" spans="1:17" x14ac:dyDescent="0.25">
      <c r="A3715" t="s">
        <v>476</v>
      </c>
      <c r="B3715" t="s">
        <v>477</v>
      </c>
      <c r="C3715">
        <v>134</v>
      </c>
      <c r="D3715">
        <v>20221021</v>
      </c>
      <c r="E3715">
        <f t="shared" ref="E3715:E3778" si="58">VALUE(MID(D3715,5,2))</f>
        <v>10</v>
      </c>
      <c r="F3715">
        <v>512000</v>
      </c>
      <c r="G3715" t="s">
        <v>428</v>
      </c>
      <c r="H3715" t="s">
        <v>401</v>
      </c>
      <c r="I3715" t="s">
        <v>402</v>
      </c>
      <c r="J3715" t="s">
        <v>3708</v>
      </c>
      <c r="K3715">
        <v>20221021</v>
      </c>
      <c r="L3715" t="s">
        <v>127</v>
      </c>
      <c r="M3715">
        <v>0</v>
      </c>
      <c r="N3715">
        <v>2370</v>
      </c>
      <c r="O3715" t="s">
        <v>19</v>
      </c>
      <c r="P3715" t="s">
        <v>20</v>
      </c>
      <c r="Q3715">
        <v>20221021</v>
      </c>
    </row>
    <row r="3716" spans="1:17" x14ac:dyDescent="0.25">
      <c r="A3716" t="s">
        <v>476</v>
      </c>
      <c r="B3716" t="s">
        <v>477</v>
      </c>
      <c r="C3716">
        <v>134</v>
      </c>
      <c r="D3716">
        <v>20221021</v>
      </c>
      <c r="E3716">
        <f t="shared" si="58"/>
        <v>10</v>
      </c>
      <c r="F3716">
        <v>468740</v>
      </c>
      <c r="G3716" t="s">
        <v>426</v>
      </c>
      <c r="H3716" t="s">
        <v>401</v>
      </c>
      <c r="I3716" t="s">
        <v>402</v>
      </c>
      <c r="J3716" t="s">
        <v>3709</v>
      </c>
      <c r="K3716">
        <v>20221021</v>
      </c>
      <c r="L3716" t="s">
        <v>3710</v>
      </c>
      <c r="M3716">
        <v>0</v>
      </c>
      <c r="N3716">
        <v>6000</v>
      </c>
      <c r="O3716" t="s">
        <v>23</v>
      </c>
      <c r="P3716">
        <v>20230215</v>
      </c>
      <c r="Q3716">
        <v>20221021</v>
      </c>
    </row>
    <row r="3717" spans="1:17" x14ac:dyDescent="0.25">
      <c r="A3717" t="s">
        <v>476</v>
      </c>
      <c r="B3717" t="s">
        <v>477</v>
      </c>
      <c r="C3717">
        <v>134</v>
      </c>
      <c r="D3717">
        <v>20221021</v>
      </c>
      <c r="E3717">
        <f t="shared" si="58"/>
        <v>10</v>
      </c>
      <c r="F3717">
        <v>512000</v>
      </c>
      <c r="G3717" t="s">
        <v>428</v>
      </c>
      <c r="H3717" t="s">
        <v>401</v>
      </c>
      <c r="I3717" t="s">
        <v>402</v>
      </c>
      <c r="J3717" t="s">
        <v>3709</v>
      </c>
      <c r="K3717">
        <v>20221021</v>
      </c>
      <c r="L3717" t="s">
        <v>3710</v>
      </c>
      <c r="M3717">
        <v>6000</v>
      </c>
      <c r="N3717">
        <v>0</v>
      </c>
      <c r="O3717" t="s">
        <v>19</v>
      </c>
      <c r="P3717" t="s">
        <v>20</v>
      </c>
      <c r="Q3717">
        <v>20221021</v>
      </c>
    </row>
    <row r="3718" spans="1:17" x14ac:dyDescent="0.25">
      <c r="A3718" t="s">
        <v>476</v>
      </c>
      <c r="B3718" t="s">
        <v>477</v>
      </c>
      <c r="C3718">
        <v>134</v>
      </c>
      <c r="D3718">
        <v>20221021</v>
      </c>
      <c r="E3718">
        <f t="shared" si="58"/>
        <v>10</v>
      </c>
      <c r="F3718">
        <v>468200</v>
      </c>
      <c r="G3718" t="s">
        <v>421</v>
      </c>
      <c r="H3718" t="s">
        <v>401</v>
      </c>
      <c r="I3718" t="s">
        <v>402</v>
      </c>
      <c r="J3718" t="s">
        <v>3711</v>
      </c>
      <c r="K3718">
        <v>20221021</v>
      </c>
      <c r="L3718" t="s">
        <v>422</v>
      </c>
      <c r="M3718">
        <v>0</v>
      </c>
      <c r="N3718">
        <v>163.72999999999999</v>
      </c>
      <c r="O3718" t="s">
        <v>19</v>
      </c>
      <c r="P3718" t="s">
        <v>20</v>
      </c>
      <c r="Q3718">
        <v>20221021</v>
      </c>
    </row>
    <row r="3719" spans="1:17" x14ac:dyDescent="0.25">
      <c r="A3719" t="s">
        <v>476</v>
      </c>
      <c r="B3719" t="s">
        <v>477</v>
      </c>
      <c r="C3719">
        <v>134</v>
      </c>
      <c r="D3719">
        <v>20221021</v>
      </c>
      <c r="E3719">
        <f t="shared" si="58"/>
        <v>10</v>
      </c>
      <c r="F3719">
        <v>512000</v>
      </c>
      <c r="G3719" t="s">
        <v>428</v>
      </c>
      <c r="H3719" t="s">
        <v>401</v>
      </c>
      <c r="I3719" t="s">
        <v>402</v>
      </c>
      <c r="J3719" t="s">
        <v>3711</v>
      </c>
      <c r="K3719">
        <v>20221021</v>
      </c>
      <c r="L3719" t="s">
        <v>422</v>
      </c>
      <c r="M3719">
        <v>163.72999999999999</v>
      </c>
      <c r="N3719">
        <v>0</v>
      </c>
      <c r="O3719" t="s">
        <v>19</v>
      </c>
      <c r="P3719" t="s">
        <v>20</v>
      </c>
      <c r="Q3719">
        <v>20221021</v>
      </c>
    </row>
    <row r="3720" spans="1:17" x14ac:dyDescent="0.25">
      <c r="A3720" t="s">
        <v>476</v>
      </c>
      <c r="B3720" t="s">
        <v>477</v>
      </c>
      <c r="C3720">
        <v>134</v>
      </c>
      <c r="D3720">
        <v>20221025</v>
      </c>
      <c r="E3720">
        <f t="shared" si="58"/>
        <v>10</v>
      </c>
      <c r="F3720">
        <v>401000</v>
      </c>
      <c r="G3720" t="s">
        <v>41</v>
      </c>
      <c r="H3720" t="s">
        <v>69</v>
      </c>
      <c r="I3720" t="s">
        <v>70</v>
      </c>
      <c r="J3720" t="s">
        <v>3712</v>
      </c>
      <c r="K3720">
        <v>20221025</v>
      </c>
      <c r="L3720" t="s">
        <v>163</v>
      </c>
      <c r="M3720">
        <v>836</v>
      </c>
      <c r="N3720">
        <v>0</v>
      </c>
      <c r="O3720" t="s">
        <v>23</v>
      </c>
      <c r="P3720">
        <v>20221028</v>
      </c>
      <c r="Q3720">
        <v>20221025</v>
      </c>
    </row>
    <row r="3721" spans="1:17" x14ac:dyDescent="0.25">
      <c r="A3721" t="s">
        <v>476</v>
      </c>
      <c r="B3721" t="s">
        <v>477</v>
      </c>
      <c r="C3721">
        <v>134</v>
      </c>
      <c r="D3721">
        <v>20221025</v>
      </c>
      <c r="E3721">
        <f t="shared" si="58"/>
        <v>10</v>
      </c>
      <c r="F3721">
        <v>401000</v>
      </c>
      <c r="G3721" t="s">
        <v>41</v>
      </c>
      <c r="H3721" t="s">
        <v>3664</v>
      </c>
      <c r="I3721" t="s">
        <v>3665</v>
      </c>
      <c r="J3721" t="s">
        <v>3712</v>
      </c>
      <c r="K3721">
        <v>20221025</v>
      </c>
      <c r="L3721" t="s">
        <v>163</v>
      </c>
      <c r="M3721">
        <v>140</v>
      </c>
      <c r="N3721">
        <v>0</v>
      </c>
      <c r="O3721" t="s">
        <v>23</v>
      </c>
      <c r="P3721">
        <v>20221109</v>
      </c>
      <c r="Q3721">
        <v>20221025</v>
      </c>
    </row>
    <row r="3722" spans="1:17" x14ac:dyDescent="0.25">
      <c r="A3722" t="s">
        <v>476</v>
      </c>
      <c r="B3722" t="s">
        <v>477</v>
      </c>
      <c r="C3722">
        <v>134</v>
      </c>
      <c r="D3722">
        <v>20221025</v>
      </c>
      <c r="E3722">
        <f t="shared" si="58"/>
        <v>10</v>
      </c>
      <c r="F3722">
        <v>467100</v>
      </c>
      <c r="G3722" t="s">
        <v>160</v>
      </c>
      <c r="H3722" t="s">
        <v>164</v>
      </c>
      <c r="I3722" t="s">
        <v>165</v>
      </c>
      <c r="J3722" t="s">
        <v>3712</v>
      </c>
      <c r="K3722">
        <v>20221025</v>
      </c>
      <c r="L3722" t="s">
        <v>163</v>
      </c>
      <c r="M3722">
        <v>92.32</v>
      </c>
      <c r="N3722">
        <v>0</v>
      </c>
      <c r="O3722" t="s">
        <v>23</v>
      </c>
      <c r="P3722">
        <v>20221027</v>
      </c>
      <c r="Q3722">
        <v>20221025</v>
      </c>
    </row>
    <row r="3723" spans="1:17" x14ac:dyDescent="0.25">
      <c r="A3723" t="s">
        <v>476</v>
      </c>
      <c r="B3723" t="s">
        <v>477</v>
      </c>
      <c r="C3723">
        <v>134</v>
      </c>
      <c r="D3723">
        <v>20221025</v>
      </c>
      <c r="E3723">
        <f t="shared" si="58"/>
        <v>10</v>
      </c>
      <c r="F3723">
        <v>401000</v>
      </c>
      <c r="G3723" t="s">
        <v>41</v>
      </c>
      <c r="H3723" t="s">
        <v>3411</v>
      </c>
      <c r="I3723" t="s">
        <v>3412</v>
      </c>
      <c r="J3723" t="s">
        <v>3712</v>
      </c>
      <c r="K3723">
        <v>20221025</v>
      </c>
      <c r="L3723" t="s">
        <v>163</v>
      </c>
      <c r="M3723">
        <v>335.25</v>
      </c>
      <c r="N3723">
        <v>0</v>
      </c>
      <c r="O3723" t="s">
        <v>23</v>
      </c>
      <c r="P3723">
        <v>20221109</v>
      </c>
      <c r="Q3723">
        <v>20221025</v>
      </c>
    </row>
    <row r="3724" spans="1:17" x14ac:dyDescent="0.25">
      <c r="A3724" t="s">
        <v>476</v>
      </c>
      <c r="B3724" t="s">
        <v>477</v>
      </c>
      <c r="C3724">
        <v>134</v>
      </c>
      <c r="D3724">
        <v>20221025</v>
      </c>
      <c r="E3724">
        <f t="shared" si="58"/>
        <v>10</v>
      </c>
      <c r="F3724">
        <v>401000</v>
      </c>
      <c r="G3724" t="s">
        <v>41</v>
      </c>
      <c r="H3724" t="s">
        <v>443</v>
      </c>
      <c r="I3724" t="s">
        <v>444</v>
      </c>
      <c r="J3724" t="s">
        <v>3712</v>
      </c>
      <c r="K3724">
        <v>20221025</v>
      </c>
      <c r="L3724" t="s">
        <v>163</v>
      </c>
      <c r="M3724">
        <v>849.14</v>
      </c>
      <c r="N3724">
        <v>0</v>
      </c>
      <c r="O3724" t="s">
        <v>23</v>
      </c>
      <c r="P3724">
        <v>20221108</v>
      </c>
      <c r="Q3724">
        <v>20221025</v>
      </c>
    </row>
    <row r="3725" spans="1:17" x14ac:dyDescent="0.25">
      <c r="A3725" t="s">
        <v>476</v>
      </c>
      <c r="B3725" t="s">
        <v>477</v>
      </c>
      <c r="C3725">
        <v>134</v>
      </c>
      <c r="D3725">
        <v>20221025</v>
      </c>
      <c r="E3725">
        <f t="shared" si="58"/>
        <v>10</v>
      </c>
      <c r="F3725">
        <v>401000</v>
      </c>
      <c r="G3725" t="s">
        <v>41</v>
      </c>
      <c r="H3725" t="s">
        <v>827</v>
      </c>
      <c r="I3725" t="s">
        <v>828</v>
      </c>
      <c r="J3725" t="s">
        <v>3712</v>
      </c>
      <c r="K3725">
        <v>20221025</v>
      </c>
      <c r="L3725" t="s">
        <v>163</v>
      </c>
      <c r="M3725">
        <v>184.5</v>
      </c>
      <c r="N3725">
        <v>0</v>
      </c>
      <c r="O3725" t="s">
        <v>23</v>
      </c>
      <c r="P3725">
        <v>20221109</v>
      </c>
      <c r="Q3725">
        <v>20221025</v>
      </c>
    </row>
    <row r="3726" spans="1:17" x14ac:dyDescent="0.25">
      <c r="A3726" t="s">
        <v>476</v>
      </c>
      <c r="B3726" t="s">
        <v>477</v>
      </c>
      <c r="C3726">
        <v>134</v>
      </c>
      <c r="D3726">
        <v>20221025</v>
      </c>
      <c r="E3726">
        <f t="shared" si="58"/>
        <v>10</v>
      </c>
      <c r="F3726">
        <v>401000</v>
      </c>
      <c r="G3726" t="s">
        <v>41</v>
      </c>
      <c r="H3726" t="s">
        <v>830</v>
      </c>
      <c r="I3726" t="s">
        <v>831</v>
      </c>
      <c r="J3726" t="s">
        <v>3712</v>
      </c>
      <c r="K3726">
        <v>20221025</v>
      </c>
      <c r="L3726" t="s">
        <v>163</v>
      </c>
      <c r="M3726">
        <v>240</v>
      </c>
      <c r="N3726">
        <v>0</v>
      </c>
      <c r="O3726" t="s">
        <v>23</v>
      </c>
      <c r="P3726">
        <v>20221109</v>
      </c>
      <c r="Q3726">
        <v>20221025</v>
      </c>
    </row>
    <row r="3727" spans="1:17" x14ac:dyDescent="0.25">
      <c r="A3727" t="s">
        <v>476</v>
      </c>
      <c r="B3727" t="s">
        <v>477</v>
      </c>
      <c r="C3727">
        <v>134</v>
      </c>
      <c r="D3727">
        <v>20221025</v>
      </c>
      <c r="E3727">
        <f t="shared" si="58"/>
        <v>10</v>
      </c>
      <c r="F3727">
        <v>512000</v>
      </c>
      <c r="G3727" t="s">
        <v>428</v>
      </c>
      <c r="H3727" t="s">
        <v>401</v>
      </c>
      <c r="I3727" t="s">
        <v>402</v>
      </c>
      <c r="J3727" t="s">
        <v>3712</v>
      </c>
      <c r="K3727">
        <v>20221025</v>
      </c>
      <c r="L3727" t="s">
        <v>163</v>
      </c>
      <c r="M3727">
        <v>0</v>
      </c>
      <c r="N3727">
        <v>2677.21</v>
      </c>
      <c r="O3727" t="s">
        <v>19</v>
      </c>
      <c r="P3727" t="s">
        <v>20</v>
      </c>
      <c r="Q3727">
        <v>20221025</v>
      </c>
    </row>
    <row r="3728" spans="1:17" x14ac:dyDescent="0.25">
      <c r="A3728" t="s">
        <v>476</v>
      </c>
      <c r="B3728" t="s">
        <v>477</v>
      </c>
      <c r="C3728">
        <v>134</v>
      </c>
      <c r="D3728">
        <v>20221025</v>
      </c>
      <c r="E3728">
        <f t="shared" si="58"/>
        <v>10</v>
      </c>
      <c r="F3728">
        <v>433000</v>
      </c>
      <c r="G3728" t="s">
        <v>410</v>
      </c>
      <c r="H3728" t="s">
        <v>401</v>
      </c>
      <c r="I3728" t="s">
        <v>402</v>
      </c>
      <c r="J3728" t="s">
        <v>3713</v>
      </c>
      <c r="K3728">
        <v>20221025</v>
      </c>
      <c r="L3728" t="s">
        <v>530</v>
      </c>
      <c r="M3728">
        <v>4107.63</v>
      </c>
      <c r="N3728">
        <v>0</v>
      </c>
      <c r="O3728" t="s">
        <v>23</v>
      </c>
      <c r="P3728">
        <v>20230218</v>
      </c>
      <c r="Q3728">
        <v>20221025</v>
      </c>
    </row>
    <row r="3729" spans="1:17" x14ac:dyDescent="0.25">
      <c r="A3729" t="s">
        <v>476</v>
      </c>
      <c r="B3729" t="s">
        <v>477</v>
      </c>
      <c r="C3729">
        <v>134</v>
      </c>
      <c r="D3729">
        <v>20221025</v>
      </c>
      <c r="E3729">
        <f t="shared" si="58"/>
        <v>10</v>
      </c>
      <c r="F3729">
        <v>512000</v>
      </c>
      <c r="G3729" t="s">
        <v>428</v>
      </c>
      <c r="H3729" t="s">
        <v>401</v>
      </c>
      <c r="I3729" t="s">
        <v>402</v>
      </c>
      <c r="J3729" t="s">
        <v>3713</v>
      </c>
      <c r="K3729">
        <v>20221025</v>
      </c>
      <c r="L3729" t="s">
        <v>530</v>
      </c>
      <c r="M3729">
        <v>0</v>
      </c>
      <c r="N3729">
        <v>4107.63</v>
      </c>
      <c r="O3729" t="s">
        <v>19</v>
      </c>
      <c r="P3729" t="s">
        <v>20</v>
      </c>
      <c r="Q3729">
        <v>20221025</v>
      </c>
    </row>
    <row r="3730" spans="1:17" x14ac:dyDescent="0.25">
      <c r="A3730" t="s">
        <v>476</v>
      </c>
      <c r="B3730" t="s">
        <v>477</v>
      </c>
      <c r="C3730">
        <v>134</v>
      </c>
      <c r="D3730">
        <v>20221025</v>
      </c>
      <c r="E3730">
        <f t="shared" si="58"/>
        <v>10</v>
      </c>
      <c r="F3730">
        <v>442100</v>
      </c>
      <c r="G3730" t="s">
        <v>435</v>
      </c>
      <c r="H3730" t="s">
        <v>401</v>
      </c>
      <c r="I3730" t="s">
        <v>402</v>
      </c>
      <c r="J3730" t="s">
        <v>3714</v>
      </c>
      <c r="K3730">
        <v>20221025</v>
      </c>
      <c r="L3730" t="s">
        <v>3715</v>
      </c>
      <c r="M3730">
        <v>1338</v>
      </c>
      <c r="N3730">
        <v>0</v>
      </c>
      <c r="O3730" t="s">
        <v>23</v>
      </c>
      <c r="P3730">
        <v>20230218</v>
      </c>
      <c r="Q3730">
        <v>20221025</v>
      </c>
    </row>
    <row r="3731" spans="1:17" x14ac:dyDescent="0.25">
      <c r="A3731" t="s">
        <v>476</v>
      </c>
      <c r="B3731" t="s">
        <v>477</v>
      </c>
      <c r="C3731">
        <v>134</v>
      </c>
      <c r="D3731">
        <v>20221025</v>
      </c>
      <c r="E3731">
        <f t="shared" si="58"/>
        <v>10</v>
      </c>
      <c r="F3731">
        <v>512000</v>
      </c>
      <c r="G3731" t="s">
        <v>428</v>
      </c>
      <c r="H3731" t="s">
        <v>401</v>
      </c>
      <c r="I3731" t="s">
        <v>402</v>
      </c>
      <c r="J3731" t="s">
        <v>3714</v>
      </c>
      <c r="K3731">
        <v>20221025</v>
      </c>
      <c r="L3731" t="s">
        <v>3715</v>
      </c>
      <c r="M3731">
        <v>0</v>
      </c>
      <c r="N3731">
        <v>1338</v>
      </c>
      <c r="O3731" t="s">
        <v>19</v>
      </c>
      <c r="P3731" t="s">
        <v>20</v>
      </c>
      <c r="Q3731">
        <v>20221025</v>
      </c>
    </row>
    <row r="3732" spans="1:17" x14ac:dyDescent="0.25">
      <c r="A3732" t="s">
        <v>476</v>
      </c>
      <c r="B3732" t="s">
        <v>477</v>
      </c>
      <c r="C3732">
        <v>134</v>
      </c>
      <c r="D3732">
        <v>20221025</v>
      </c>
      <c r="E3732">
        <f t="shared" si="58"/>
        <v>10</v>
      </c>
      <c r="F3732">
        <v>468200</v>
      </c>
      <c r="G3732" t="s">
        <v>421</v>
      </c>
      <c r="H3732" t="s">
        <v>401</v>
      </c>
      <c r="I3732" t="s">
        <v>402</v>
      </c>
      <c r="J3732" t="s">
        <v>3716</v>
      </c>
      <c r="K3732">
        <v>20221025</v>
      </c>
      <c r="L3732" t="s">
        <v>422</v>
      </c>
      <c r="M3732">
        <v>0</v>
      </c>
      <c r="N3732">
        <v>1341.25</v>
      </c>
      <c r="O3732" t="s">
        <v>19</v>
      </c>
      <c r="P3732" t="s">
        <v>20</v>
      </c>
      <c r="Q3732">
        <v>20221025</v>
      </c>
    </row>
    <row r="3733" spans="1:17" x14ac:dyDescent="0.25">
      <c r="A3733" t="s">
        <v>476</v>
      </c>
      <c r="B3733" t="s">
        <v>477</v>
      </c>
      <c r="C3733">
        <v>134</v>
      </c>
      <c r="D3733">
        <v>20221025</v>
      </c>
      <c r="E3733">
        <f t="shared" si="58"/>
        <v>10</v>
      </c>
      <c r="F3733">
        <v>512000</v>
      </c>
      <c r="G3733" t="s">
        <v>428</v>
      </c>
      <c r="H3733" t="s">
        <v>401</v>
      </c>
      <c r="I3733" t="s">
        <v>402</v>
      </c>
      <c r="J3733" t="s">
        <v>3716</v>
      </c>
      <c r="K3733">
        <v>20221025</v>
      </c>
      <c r="L3733" t="s">
        <v>422</v>
      </c>
      <c r="M3733">
        <v>1341.25</v>
      </c>
      <c r="N3733">
        <v>0</v>
      </c>
      <c r="O3733" t="s">
        <v>19</v>
      </c>
      <c r="P3733" t="s">
        <v>20</v>
      </c>
      <c r="Q3733">
        <v>20221025</v>
      </c>
    </row>
    <row r="3734" spans="1:17" x14ac:dyDescent="0.25">
      <c r="A3734" t="s">
        <v>476</v>
      </c>
      <c r="B3734" t="s">
        <v>477</v>
      </c>
      <c r="C3734">
        <v>134</v>
      </c>
      <c r="D3734">
        <v>20221026</v>
      </c>
      <c r="E3734">
        <f t="shared" si="58"/>
        <v>10</v>
      </c>
      <c r="F3734">
        <v>421000</v>
      </c>
      <c r="G3734" t="s">
        <v>403</v>
      </c>
      <c r="H3734" t="s">
        <v>401</v>
      </c>
      <c r="I3734" t="s">
        <v>402</v>
      </c>
      <c r="J3734" t="s">
        <v>3717</v>
      </c>
      <c r="K3734">
        <v>20221026</v>
      </c>
      <c r="L3734" t="s">
        <v>3718</v>
      </c>
      <c r="M3734">
        <v>148.44999999999999</v>
      </c>
      <c r="N3734">
        <v>0</v>
      </c>
      <c r="O3734" t="s">
        <v>23</v>
      </c>
      <c r="P3734">
        <v>20230215</v>
      </c>
      <c r="Q3734">
        <v>20221026</v>
      </c>
    </row>
    <row r="3735" spans="1:17" x14ac:dyDescent="0.25">
      <c r="A3735" t="s">
        <v>476</v>
      </c>
      <c r="B3735" t="s">
        <v>477</v>
      </c>
      <c r="C3735">
        <v>134</v>
      </c>
      <c r="D3735">
        <v>20221026</v>
      </c>
      <c r="E3735">
        <f t="shared" si="58"/>
        <v>10</v>
      </c>
      <c r="F3735">
        <v>512000</v>
      </c>
      <c r="G3735" t="s">
        <v>428</v>
      </c>
      <c r="H3735" t="s">
        <v>401</v>
      </c>
      <c r="I3735" t="s">
        <v>402</v>
      </c>
      <c r="J3735" t="s">
        <v>3717</v>
      </c>
      <c r="K3735">
        <v>20221026</v>
      </c>
      <c r="L3735" t="s">
        <v>3718</v>
      </c>
      <c r="M3735">
        <v>0</v>
      </c>
      <c r="N3735">
        <v>148.44999999999999</v>
      </c>
      <c r="O3735" t="s">
        <v>19</v>
      </c>
      <c r="P3735" t="s">
        <v>20</v>
      </c>
      <c r="Q3735">
        <v>20221026</v>
      </c>
    </row>
    <row r="3736" spans="1:17" x14ac:dyDescent="0.25">
      <c r="A3736" t="s">
        <v>476</v>
      </c>
      <c r="B3736" t="s">
        <v>477</v>
      </c>
      <c r="C3736">
        <v>134</v>
      </c>
      <c r="D3736">
        <v>20221027</v>
      </c>
      <c r="E3736">
        <f t="shared" si="58"/>
        <v>10</v>
      </c>
      <c r="F3736">
        <v>427000</v>
      </c>
      <c r="G3736" t="s">
        <v>406</v>
      </c>
      <c r="H3736" t="s">
        <v>401</v>
      </c>
      <c r="I3736" t="s">
        <v>402</v>
      </c>
      <c r="J3736" t="s">
        <v>3719</v>
      </c>
      <c r="K3736">
        <v>20221027</v>
      </c>
      <c r="L3736" t="s">
        <v>3720</v>
      </c>
      <c r="M3736">
        <v>33.46</v>
      </c>
      <c r="N3736">
        <v>0</v>
      </c>
      <c r="O3736" t="s">
        <v>23</v>
      </c>
      <c r="P3736">
        <v>20221027</v>
      </c>
      <c r="Q3736">
        <v>20221027</v>
      </c>
    </row>
    <row r="3737" spans="1:17" x14ac:dyDescent="0.25">
      <c r="A3737" t="s">
        <v>476</v>
      </c>
      <c r="B3737" t="s">
        <v>477</v>
      </c>
      <c r="C3737">
        <v>134</v>
      </c>
      <c r="D3737">
        <v>20221027</v>
      </c>
      <c r="E3737">
        <f t="shared" si="58"/>
        <v>10</v>
      </c>
      <c r="F3737">
        <v>512000</v>
      </c>
      <c r="G3737" t="s">
        <v>428</v>
      </c>
      <c r="H3737" t="s">
        <v>401</v>
      </c>
      <c r="I3737" t="s">
        <v>402</v>
      </c>
      <c r="J3737" t="s">
        <v>3719</v>
      </c>
      <c r="K3737">
        <v>20221027</v>
      </c>
      <c r="L3737" t="s">
        <v>3720</v>
      </c>
      <c r="M3737">
        <v>0</v>
      </c>
      <c r="N3737">
        <v>33.46</v>
      </c>
      <c r="O3737" t="s">
        <v>19</v>
      </c>
      <c r="P3737" t="s">
        <v>20</v>
      </c>
      <c r="Q3737">
        <v>20221027</v>
      </c>
    </row>
    <row r="3738" spans="1:17" x14ac:dyDescent="0.25">
      <c r="A3738" t="s">
        <v>476</v>
      </c>
      <c r="B3738" t="s">
        <v>477</v>
      </c>
      <c r="C3738">
        <v>134</v>
      </c>
      <c r="D3738">
        <v>20221027</v>
      </c>
      <c r="E3738">
        <f t="shared" si="58"/>
        <v>10</v>
      </c>
      <c r="F3738">
        <v>421000</v>
      </c>
      <c r="G3738" t="s">
        <v>403</v>
      </c>
      <c r="H3738" t="s">
        <v>401</v>
      </c>
      <c r="I3738" t="s">
        <v>402</v>
      </c>
      <c r="J3738" t="s">
        <v>3721</v>
      </c>
      <c r="K3738">
        <v>20221027</v>
      </c>
      <c r="L3738" t="s">
        <v>3722</v>
      </c>
      <c r="M3738">
        <v>1191.9000000000001</v>
      </c>
      <c r="N3738">
        <v>0</v>
      </c>
      <c r="O3738" t="s">
        <v>23</v>
      </c>
      <c r="P3738">
        <v>20230215</v>
      </c>
      <c r="Q3738">
        <v>20221027</v>
      </c>
    </row>
    <row r="3739" spans="1:17" x14ac:dyDescent="0.25">
      <c r="A3739" t="s">
        <v>476</v>
      </c>
      <c r="B3739" t="s">
        <v>477</v>
      </c>
      <c r="C3739">
        <v>134</v>
      </c>
      <c r="D3739">
        <v>20221027</v>
      </c>
      <c r="E3739">
        <f t="shared" si="58"/>
        <v>10</v>
      </c>
      <c r="F3739">
        <v>512000</v>
      </c>
      <c r="G3739" t="s">
        <v>428</v>
      </c>
      <c r="H3739" t="s">
        <v>401</v>
      </c>
      <c r="I3739" t="s">
        <v>402</v>
      </c>
      <c r="J3739" t="s">
        <v>3721</v>
      </c>
      <c r="K3739">
        <v>20221027</v>
      </c>
      <c r="L3739" t="s">
        <v>3722</v>
      </c>
      <c r="M3739">
        <v>0</v>
      </c>
      <c r="N3739">
        <v>1191.9000000000001</v>
      </c>
      <c r="O3739" t="s">
        <v>19</v>
      </c>
      <c r="P3739" t="s">
        <v>20</v>
      </c>
      <c r="Q3739">
        <v>20221027</v>
      </c>
    </row>
    <row r="3740" spans="1:17" x14ac:dyDescent="0.25">
      <c r="A3740" t="s">
        <v>476</v>
      </c>
      <c r="B3740" t="s">
        <v>477</v>
      </c>
      <c r="C3740">
        <v>134</v>
      </c>
      <c r="D3740">
        <v>20221027</v>
      </c>
      <c r="E3740">
        <f t="shared" si="58"/>
        <v>10</v>
      </c>
      <c r="F3740">
        <v>433100</v>
      </c>
      <c r="G3740" t="s">
        <v>411</v>
      </c>
      <c r="H3740" t="s">
        <v>401</v>
      </c>
      <c r="I3740" t="s">
        <v>402</v>
      </c>
      <c r="J3740" t="s">
        <v>3723</v>
      </c>
      <c r="K3740">
        <v>20221027</v>
      </c>
      <c r="L3740" t="s">
        <v>534</v>
      </c>
      <c r="M3740">
        <v>1017.05</v>
      </c>
      <c r="N3740">
        <v>0</v>
      </c>
      <c r="O3740" t="s">
        <v>23</v>
      </c>
      <c r="P3740">
        <v>20230218</v>
      </c>
      <c r="Q3740">
        <v>20221027</v>
      </c>
    </row>
    <row r="3741" spans="1:17" x14ac:dyDescent="0.25">
      <c r="A3741" t="s">
        <v>476</v>
      </c>
      <c r="B3741" t="s">
        <v>477</v>
      </c>
      <c r="C3741">
        <v>134</v>
      </c>
      <c r="D3741">
        <v>20221027</v>
      </c>
      <c r="E3741">
        <f t="shared" si="58"/>
        <v>10</v>
      </c>
      <c r="F3741">
        <v>512000</v>
      </c>
      <c r="G3741" t="s">
        <v>428</v>
      </c>
      <c r="H3741" t="s">
        <v>401</v>
      </c>
      <c r="I3741" t="s">
        <v>402</v>
      </c>
      <c r="J3741" t="s">
        <v>3723</v>
      </c>
      <c r="K3741">
        <v>20221027</v>
      </c>
      <c r="L3741" t="s">
        <v>534</v>
      </c>
      <c r="M3741">
        <v>0</v>
      </c>
      <c r="N3741">
        <v>1017.05</v>
      </c>
      <c r="O3741" t="s">
        <v>19</v>
      </c>
      <c r="P3741" t="s">
        <v>20</v>
      </c>
      <c r="Q3741">
        <v>20221027</v>
      </c>
    </row>
    <row r="3742" spans="1:17" x14ac:dyDescent="0.25">
      <c r="A3742" t="s">
        <v>476</v>
      </c>
      <c r="B3742" t="s">
        <v>477</v>
      </c>
      <c r="C3742">
        <v>134</v>
      </c>
      <c r="D3742">
        <v>20221027</v>
      </c>
      <c r="E3742">
        <f t="shared" si="58"/>
        <v>10</v>
      </c>
      <c r="F3742">
        <v>445053</v>
      </c>
      <c r="G3742" t="s">
        <v>3724</v>
      </c>
      <c r="H3742" t="s">
        <v>401</v>
      </c>
      <c r="I3742" t="s">
        <v>402</v>
      </c>
      <c r="J3742" t="s">
        <v>3725</v>
      </c>
      <c r="K3742">
        <v>20221027</v>
      </c>
      <c r="L3742" t="s">
        <v>3726</v>
      </c>
      <c r="M3742">
        <v>0</v>
      </c>
      <c r="N3742">
        <v>1306</v>
      </c>
      <c r="O3742" t="s">
        <v>23</v>
      </c>
      <c r="P3742">
        <v>20230217</v>
      </c>
      <c r="Q3742">
        <v>20221027</v>
      </c>
    </row>
    <row r="3743" spans="1:17" x14ac:dyDescent="0.25">
      <c r="A3743" t="s">
        <v>476</v>
      </c>
      <c r="B3743" t="s">
        <v>477</v>
      </c>
      <c r="C3743">
        <v>134</v>
      </c>
      <c r="D3743">
        <v>20221027</v>
      </c>
      <c r="E3743">
        <f t="shared" si="58"/>
        <v>10</v>
      </c>
      <c r="F3743">
        <v>512000</v>
      </c>
      <c r="G3743" t="s">
        <v>428</v>
      </c>
      <c r="H3743" t="s">
        <v>401</v>
      </c>
      <c r="I3743" t="s">
        <v>402</v>
      </c>
      <c r="J3743" t="s">
        <v>3725</v>
      </c>
      <c r="K3743">
        <v>20221027</v>
      </c>
      <c r="L3743" t="s">
        <v>3726</v>
      </c>
      <c r="M3743">
        <v>1306</v>
      </c>
      <c r="N3743">
        <v>0</v>
      </c>
      <c r="O3743" t="s">
        <v>19</v>
      </c>
      <c r="P3743" t="s">
        <v>20</v>
      </c>
      <c r="Q3743">
        <v>20221027</v>
      </c>
    </row>
    <row r="3744" spans="1:17" x14ac:dyDescent="0.25">
      <c r="A3744" t="s">
        <v>476</v>
      </c>
      <c r="B3744" t="s">
        <v>477</v>
      </c>
      <c r="C3744">
        <v>134</v>
      </c>
      <c r="D3744">
        <v>20221027</v>
      </c>
      <c r="E3744">
        <f t="shared" si="58"/>
        <v>10</v>
      </c>
      <c r="F3744">
        <v>468736</v>
      </c>
      <c r="G3744" t="s">
        <v>1284</v>
      </c>
      <c r="H3744" t="s">
        <v>401</v>
      </c>
      <c r="I3744" t="s">
        <v>402</v>
      </c>
      <c r="J3744" t="s">
        <v>3727</v>
      </c>
      <c r="K3744">
        <v>20221027</v>
      </c>
      <c r="L3744" t="s">
        <v>1286</v>
      </c>
      <c r="M3744">
        <v>0</v>
      </c>
      <c r="N3744">
        <v>142.5</v>
      </c>
      <c r="O3744" t="s">
        <v>19</v>
      </c>
      <c r="P3744" t="s">
        <v>20</v>
      </c>
      <c r="Q3744">
        <v>20221027</v>
      </c>
    </row>
    <row r="3745" spans="1:17" x14ac:dyDescent="0.25">
      <c r="A3745" t="s">
        <v>476</v>
      </c>
      <c r="B3745" t="s">
        <v>477</v>
      </c>
      <c r="C3745">
        <v>134</v>
      </c>
      <c r="D3745">
        <v>20221027</v>
      </c>
      <c r="E3745">
        <f t="shared" si="58"/>
        <v>10</v>
      </c>
      <c r="F3745">
        <v>512000</v>
      </c>
      <c r="G3745" t="s">
        <v>428</v>
      </c>
      <c r="H3745" t="s">
        <v>401</v>
      </c>
      <c r="I3745" t="s">
        <v>402</v>
      </c>
      <c r="J3745" t="s">
        <v>3727</v>
      </c>
      <c r="K3745">
        <v>20221027</v>
      </c>
      <c r="L3745" t="s">
        <v>1286</v>
      </c>
      <c r="M3745">
        <v>142.5</v>
      </c>
      <c r="N3745">
        <v>0</v>
      </c>
      <c r="O3745" t="s">
        <v>19</v>
      </c>
      <c r="P3745" t="s">
        <v>20</v>
      </c>
      <c r="Q3745">
        <v>20221027</v>
      </c>
    </row>
    <row r="3746" spans="1:17" x14ac:dyDescent="0.25">
      <c r="A3746" t="s">
        <v>476</v>
      </c>
      <c r="B3746" t="s">
        <v>477</v>
      </c>
      <c r="C3746">
        <v>134</v>
      </c>
      <c r="D3746">
        <v>20221028</v>
      </c>
      <c r="E3746">
        <f t="shared" si="58"/>
        <v>10</v>
      </c>
      <c r="F3746">
        <v>401000</v>
      </c>
      <c r="G3746" t="s">
        <v>41</v>
      </c>
      <c r="H3746" t="s">
        <v>46</v>
      </c>
      <c r="I3746" t="s">
        <v>47</v>
      </c>
      <c r="J3746" t="s">
        <v>3728</v>
      </c>
      <c r="K3746">
        <v>20221028</v>
      </c>
      <c r="L3746" t="s">
        <v>163</v>
      </c>
      <c r="M3746">
        <v>1821</v>
      </c>
      <c r="N3746">
        <v>0</v>
      </c>
      <c r="O3746" t="s">
        <v>23</v>
      </c>
      <c r="P3746">
        <v>20221109</v>
      </c>
      <c r="Q3746">
        <v>20221028</v>
      </c>
    </row>
    <row r="3747" spans="1:17" x14ac:dyDescent="0.25">
      <c r="A3747" t="s">
        <v>476</v>
      </c>
      <c r="B3747" t="s">
        <v>477</v>
      </c>
      <c r="C3747">
        <v>134</v>
      </c>
      <c r="D3747">
        <v>20221028</v>
      </c>
      <c r="E3747">
        <f t="shared" si="58"/>
        <v>10</v>
      </c>
      <c r="F3747">
        <v>401000</v>
      </c>
      <c r="G3747" t="s">
        <v>41</v>
      </c>
      <c r="H3747" t="s">
        <v>48</v>
      </c>
      <c r="I3747" t="s">
        <v>49</v>
      </c>
      <c r="J3747" t="s">
        <v>3728</v>
      </c>
      <c r="K3747">
        <v>20221028</v>
      </c>
      <c r="L3747" t="s">
        <v>163</v>
      </c>
      <c r="M3747">
        <v>2689.54</v>
      </c>
      <c r="N3747">
        <v>0</v>
      </c>
      <c r="O3747" t="s">
        <v>23</v>
      </c>
      <c r="P3747">
        <v>20221109</v>
      </c>
      <c r="Q3747">
        <v>20221028</v>
      </c>
    </row>
    <row r="3748" spans="1:17" x14ac:dyDescent="0.25">
      <c r="A3748" t="s">
        <v>476</v>
      </c>
      <c r="B3748" t="s">
        <v>477</v>
      </c>
      <c r="C3748">
        <v>134</v>
      </c>
      <c r="D3748">
        <v>20221028</v>
      </c>
      <c r="E3748">
        <f t="shared" si="58"/>
        <v>10</v>
      </c>
      <c r="F3748">
        <v>401000</v>
      </c>
      <c r="G3748" t="s">
        <v>41</v>
      </c>
      <c r="H3748" t="s">
        <v>67</v>
      </c>
      <c r="I3748" t="s">
        <v>68</v>
      </c>
      <c r="J3748" t="s">
        <v>3728</v>
      </c>
      <c r="K3748">
        <v>20221028</v>
      </c>
      <c r="L3748" t="s">
        <v>163</v>
      </c>
      <c r="M3748">
        <v>557.52</v>
      </c>
      <c r="N3748">
        <v>0</v>
      </c>
      <c r="O3748" t="s">
        <v>23</v>
      </c>
      <c r="P3748">
        <v>20221109</v>
      </c>
      <c r="Q3748">
        <v>20221028</v>
      </c>
    </row>
    <row r="3749" spans="1:17" x14ac:dyDescent="0.25">
      <c r="A3749" t="s">
        <v>476</v>
      </c>
      <c r="B3749" t="s">
        <v>477</v>
      </c>
      <c r="C3749">
        <v>134</v>
      </c>
      <c r="D3749">
        <v>20221028</v>
      </c>
      <c r="E3749">
        <f t="shared" si="58"/>
        <v>10</v>
      </c>
      <c r="F3749">
        <v>401000</v>
      </c>
      <c r="G3749" t="s">
        <v>41</v>
      </c>
      <c r="H3749" t="s">
        <v>69</v>
      </c>
      <c r="I3749" t="s">
        <v>70</v>
      </c>
      <c r="J3749" t="s">
        <v>3728</v>
      </c>
      <c r="K3749">
        <v>20221028</v>
      </c>
      <c r="L3749" t="s">
        <v>163</v>
      </c>
      <c r="M3749">
        <v>1257.8</v>
      </c>
      <c r="N3749">
        <v>0</v>
      </c>
      <c r="O3749" t="s">
        <v>23</v>
      </c>
      <c r="P3749">
        <v>20221109</v>
      </c>
      <c r="Q3749">
        <v>20221028</v>
      </c>
    </row>
    <row r="3750" spans="1:17" x14ac:dyDescent="0.25">
      <c r="A3750" t="s">
        <v>476</v>
      </c>
      <c r="B3750" t="s">
        <v>477</v>
      </c>
      <c r="C3750">
        <v>134</v>
      </c>
      <c r="D3750">
        <v>20221028</v>
      </c>
      <c r="E3750">
        <f t="shared" si="58"/>
        <v>10</v>
      </c>
      <c r="F3750">
        <v>401000</v>
      </c>
      <c r="G3750" t="s">
        <v>41</v>
      </c>
      <c r="H3750" t="s">
        <v>2049</v>
      </c>
      <c r="I3750" t="s">
        <v>2050</v>
      </c>
      <c r="J3750" t="s">
        <v>3728</v>
      </c>
      <c r="K3750">
        <v>20221028</v>
      </c>
      <c r="L3750" t="s">
        <v>163</v>
      </c>
      <c r="M3750">
        <v>45.31</v>
      </c>
      <c r="N3750">
        <v>0</v>
      </c>
      <c r="O3750" t="s">
        <v>23</v>
      </c>
      <c r="P3750">
        <v>20221109</v>
      </c>
      <c r="Q3750">
        <v>20221028</v>
      </c>
    </row>
    <row r="3751" spans="1:17" x14ac:dyDescent="0.25">
      <c r="A3751" t="s">
        <v>476</v>
      </c>
      <c r="B3751" t="s">
        <v>477</v>
      </c>
      <c r="C3751">
        <v>134</v>
      </c>
      <c r="D3751">
        <v>20221028</v>
      </c>
      <c r="E3751">
        <f t="shared" si="58"/>
        <v>10</v>
      </c>
      <c r="F3751">
        <v>401000</v>
      </c>
      <c r="G3751" t="s">
        <v>41</v>
      </c>
      <c r="H3751" t="s">
        <v>472</v>
      </c>
      <c r="I3751" t="s">
        <v>473</v>
      </c>
      <c r="J3751" t="s">
        <v>3728</v>
      </c>
      <c r="K3751">
        <v>20221028</v>
      </c>
      <c r="L3751" t="s">
        <v>163</v>
      </c>
      <c r="M3751">
        <v>210</v>
      </c>
      <c r="N3751">
        <v>0</v>
      </c>
      <c r="O3751" t="s">
        <v>23</v>
      </c>
      <c r="P3751">
        <v>20221109</v>
      </c>
      <c r="Q3751">
        <v>20221028</v>
      </c>
    </row>
    <row r="3752" spans="1:17" x14ac:dyDescent="0.25">
      <c r="A3752" t="s">
        <v>476</v>
      </c>
      <c r="B3752" t="s">
        <v>477</v>
      </c>
      <c r="C3752">
        <v>134</v>
      </c>
      <c r="D3752">
        <v>20221028</v>
      </c>
      <c r="E3752">
        <f t="shared" si="58"/>
        <v>10</v>
      </c>
      <c r="F3752">
        <v>401000</v>
      </c>
      <c r="G3752" t="s">
        <v>41</v>
      </c>
      <c r="H3752" t="s">
        <v>303</v>
      </c>
      <c r="I3752" t="s">
        <v>304</v>
      </c>
      <c r="J3752" t="s">
        <v>3728</v>
      </c>
      <c r="K3752">
        <v>20221028</v>
      </c>
      <c r="L3752" t="s">
        <v>163</v>
      </c>
      <c r="M3752">
        <v>540</v>
      </c>
      <c r="N3752">
        <v>0</v>
      </c>
      <c r="O3752" t="s">
        <v>23</v>
      </c>
      <c r="P3752">
        <v>20221109</v>
      </c>
      <c r="Q3752">
        <v>20221028</v>
      </c>
    </row>
    <row r="3753" spans="1:17" x14ac:dyDescent="0.25">
      <c r="A3753" t="s">
        <v>476</v>
      </c>
      <c r="B3753" t="s">
        <v>477</v>
      </c>
      <c r="C3753">
        <v>134</v>
      </c>
      <c r="D3753">
        <v>20221028</v>
      </c>
      <c r="E3753">
        <f t="shared" si="58"/>
        <v>10</v>
      </c>
      <c r="F3753">
        <v>401000</v>
      </c>
      <c r="G3753" t="s">
        <v>41</v>
      </c>
      <c r="H3753" t="s">
        <v>827</v>
      </c>
      <c r="I3753" t="s">
        <v>828</v>
      </c>
      <c r="J3753" t="s">
        <v>3728</v>
      </c>
      <c r="K3753">
        <v>20221028</v>
      </c>
      <c r="L3753" t="s">
        <v>163</v>
      </c>
      <c r="M3753">
        <v>124</v>
      </c>
      <c r="N3753">
        <v>0</v>
      </c>
      <c r="O3753" t="s">
        <v>23</v>
      </c>
      <c r="P3753">
        <v>20221109</v>
      </c>
      <c r="Q3753">
        <v>20221028</v>
      </c>
    </row>
    <row r="3754" spans="1:17" x14ac:dyDescent="0.25">
      <c r="A3754" t="s">
        <v>476</v>
      </c>
      <c r="B3754" t="s">
        <v>477</v>
      </c>
      <c r="C3754">
        <v>134</v>
      </c>
      <c r="D3754">
        <v>20221028</v>
      </c>
      <c r="E3754">
        <f t="shared" si="58"/>
        <v>10</v>
      </c>
      <c r="F3754">
        <v>512000</v>
      </c>
      <c r="G3754" t="s">
        <v>428</v>
      </c>
      <c r="H3754" t="s">
        <v>401</v>
      </c>
      <c r="I3754" t="s">
        <v>402</v>
      </c>
      <c r="J3754" t="s">
        <v>3728</v>
      </c>
      <c r="K3754">
        <v>20221028</v>
      </c>
      <c r="L3754" t="s">
        <v>163</v>
      </c>
      <c r="M3754">
        <v>0</v>
      </c>
      <c r="N3754">
        <v>7245.17</v>
      </c>
      <c r="O3754" t="s">
        <v>19</v>
      </c>
      <c r="P3754" t="s">
        <v>20</v>
      </c>
      <c r="Q3754">
        <v>20221028</v>
      </c>
    </row>
    <row r="3755" spans="1:17" x14ac:dyDescent="0.25">
      <c r="A3755" t="s">
        <v>476</v>
      </c>
      <c r="B3755" t="s">
        <v>477</v>
      </c>
      <c r="C3755">
        <v>134</v>
      </c>
      <c r="D3755">
        <v>20221028</v>
      </c>
      <c r="E3755">
        <f t="shared" si="58"/>
        <v>10</v>
      </c>
      <c r="F3755">
        <v>437100</v>
      </c>
      <c r="G3755" t="s">
        <v>436</v>
      </c>
      <c r="H3755" t="s">
        <v>401</v>
      </c>
      <c r="I3755" t="s">
        <v>402</v>
      </c>
      <c r="J3755" t="s">
        <v>3729</v>
      </c>
      <c r="K3755">
        <v>20221028</v>
      </c>
      <c r="L3755" t="s">
        <v>127</v>
      </c>
      <c r="M3755">
        <v>691.23</v>
      </c>
      <c r="N3755">
        <v>0</v>
      </c>
      <c r="O3755" t="s">
        <v>23</v>
      </c>
      <c r="P3755">
        <v>20230109</v>
      </c>
      <c r="Q3755">
        <v>20221028</v>
      </c>
    </row>
    <row r="3756" spans="1:17" x14ac:dyDescent="0.25">
      <c r="A3756" t="s">
        <v>476</v>
      </c>
      <c r="B3756" t="s">
        <v>477</v>
      </c>
      <c r="C3756">
        <v>134</v>
      </c>
      <c r="D3756">
        <v>20221028</v>
      </c>
      <c r="E3756">
        <f t="shared" si="58"/>
        <v>10</v>
      </c>
      <c r="F3756">
        <v>437100</v>
      </c>
      <c r="G3756" t="s">
        <v>436</v>
      </c>
      <c r="H3756" t="s">
        <v>401</v>
      </c>
      <c r="I3756" t="s">
        <v>402</v>
      </c>
      <c r="J3756" t="s">
        <v>3729</v>
      </c>
      <c r="K3756">
        <v>20221028</v>
      </c>
      <c r="L3756" t="s">
        <v>127</v>
      </c>
      <c r="M3756">
        <v>1291.25</v>
      </c>
      <c r="N3756">
        <v>0</v>
      </c>
      <c r="O3756" t="s">
        <v>23</v>
      </c>
      <c r="P3756">
        <v>20230109</v>
      </c>
      <c r="Q3756">
        <v>20221028</v>
      </c>
    </row>
    <row r="3757" spans="1:17" x14ac:dyDescent="0.25">
      <c r="A3757" t="s">
        <v>476</v>
      </c>
      <c r="B3757" t="s">
        <v>477</v>
      </c>
      <c r="C3757">
        <v>134</v>
      </c>
      <c r="D3757">
        <v>20221028</v>
      </c>
      <c r="E3757">
        <f t="shared" si="58"/>
        <v>10</v>
      </c>
      <c r="F3757">
        <v>512000</v>
      </c>
      <c r="G3757" t="s">
        <v>428</v>
      </c>
      <c r="H3757" t="s">
        <v>401</v>
      </c>
      <c r="I3757" t="s">
        <v>402</v>
      </c>
      <c r="J3757" t="s">
        <v>3729</v>
      </c>
      <c r="K3757">
        <v>20221028</v>
      </c>
      <c r="L3757" t="s">
        <v>127</v>
      </c>
      <c r="M3757">
        <v>0</v>
      </c>
      <c r="N3757">
        <v>1982.48</v>
      </c>
      <c r="O3757" t="s">
        <v>19</v>
      </c>
      <c r="P3757" t="s">
        <v>20</v>
      </c>
      <c r="Q3757">
        <v>20221028</v>
      </c>
    </row>
    <row r="3758" spans="1:17" x14ac:dyDescent="0.25">
      <c r="A3758" t="s">
        <v>476</v>
      </c>
      <c r="B3758" t="s">
        <v>477</v>
      </c>
      <c r="C3758">
        <v>134</v>
      </c>
      <c r="D3758">
        <v>20221028</v>
      </c>
      <c r="E3758">
        <f t="shared" si="58"/>
        <v>10</v>
      </c>
      <c r="F3758">
        <v>468740</v>
      </c>
      <c r="G3758" t="s">
        <v>426</v>
      </c>
      <c r="H3758" t="s">
        <v>401</v>
      </c>
      <c r="I3758" t="s">
        <v>402</v>
      </c>
      <c r="J3758" t="s">
        <v>3730</v>
      </c>
      <c r="K3758">
        <v>20221028</v>
      </c>
      <c r="L3758" t="s">
        <v>3731</v>
      </c>
      <c r="M3758">
        <v>0</v>
      </c>
      <c r="N3758">
        <v>10150</v>
      </c>
      <c r="O3758" t="s">
        <v>23</v>
      </c>
      <c r="P3758">
        <v>20230215</v>
      </c>
      <c r="Q3758">
        <v>20221028</v>
      </c>
    </row>
    <row r="3759" spans="1:17" x14ac:dyDescent="0.25">
      <c r="A3759" t="s">
        <v>476</v>
      </c>
      <c r="B3759" t="s">
        <v>477</v>
      </c>
      <c r="C3759">
        <v>134</v>
      </c>
      <c r="D3759">
        <v>20221028</v>
      </c>
      <c r="E3759">
        <f t="shared" si="58"/>
        <v>10</v>
      </c>
      <c r="F3759">
        <v>421000</v>
      </c>
      <c r="G3759" t="s">
        <v>403</v>
      </c>
      <c r="H3759" t="s">
        <v>401</v>
      </c>
      <c r="I3759" t="s">
        <v>402</v>
      </c>
      <c r="J3759" t="s">
        <v>3732</v>
      </c>
      <c r="K3759">
        <v>20221028</v>
      </c>
      <c r="L3759" t="s">
        <v>922</v>
      </c>
      <c r="M3759">
        <v>53855.72</v>
      </c>
      <c r="N3759">
        <v>0</v>
      </c>
      <c r="O3759" t="s">
        <v>23</v>
      </c>
      <c r="P3759">
        <v>20230215</v>
      </c>
      <c r="Q3759">
        <v>20221028</v>
      </c>
    </row>
    <row r="3760" spans="1:17" x14ac:dyDescent="0.25">
      <c r="A3760" t="s">
        <v>476</v>
      </c>
      <c r="B3760" t="s">
        <v>477</v>
      </c>
      <c r="C3760">
        <v>134</v>
      </c>
      <c r="D3760">
        <v>20221028</v>
      </c>
      <c r="E3760">
        <f t="shared" si="58"/>
        <v>10</v>
      </c>
      <c r="F3760">
        <v>512000</v>
      </c>
      <c r="G3760" t="s">
        <v>428</v>
      </c>
      <c r="H3760" t="s">
        <v>401</v>
      </c>
      <c r="I3760" t="s">
        <v>402</v>
      </c>
      <c r="J3760" t="s">
        <v>3732</v>
      </c>
      <c r="K3760">
        <v>20221028</v>
      </c>
      <c r="L3760" t="s">
        <v>922</v>
      </c>
      <c r="M3760">
        <v>0</v>
      </c>
      <c r="N3760">
        <v>53855.72</v>
      </c>
      <c r="O3760" t="s">
        <v>19</v>
      </c>
      <c r="P3760" t="s">
        <v>20</v>
      </c>
      <c r="Q3760">
        <v>20221028</v>
      </c>
    </row>
    <row r="3761" spans="1:17" x14ac:dyDescent="0.25">
      <c r="A3761" t="s">
        <v>476</v>
      </c>
      <c r="B3761" t="s">
        <v>477</v>
      </c>
      <c r="C3761">
        <v>134</v>
      </c>
      <c r="D3761">
        <v>20221028</v>
      </c>
      <c r="E3761">
        <f t="shared" si="58"/>
        <v>10</v>
      </c>
      <c r="F3761">
        <v>512000</v>
      </c>
      <c r="G3761" t="s">
        <v>428</v>
      </c>
      <c r="H3761" t="s">
        <v>401</v>
      </c>
      <c r="I3761" t="s">
        <v>402</v>
      </c>
      <c r="J3761" t="s">
        <v>3730</v>
      </c>
      <c r="K3761">
        <v>20221028</v>
      </c>
      <c r="L3761" t="s">
        <v>3731</v>
      </c>
      <c r="M3761">
        <v>10150</v>
      </c>
      <c r="N3761">
        <v>0</v>
      </c>
      <c r="O3761" t="s">
        <v>19</v>
      </c>
      <c r="P3761" t="s">
        <v>20</v>
      </c>
      <c r="Q3761">
        <v>20221028</v>
      </c>
    </row>
    <row r="3762" spans="1:17" x14ac:dyDescent="0.25">
      <c r="A3762" t="s">
        <v>476</v>
      </c>
      <c r="B3762" t="s">
        <v>477</v>
      </c>
      <c r="C3762">
        <v>134</v>
      </c>
      <c r="D3762">
        <v>20221031</v>
      </c>
      <c r="E3762">
        <f t="shared" si="58"/>
        <v>10</v>
      </c>
      <c r="F3762">
        <v>421000</v>
      </c>
      <c r="G3762" t="s">
        <v>403</v>
      </c>
      <c r="H3762" t="s">
        <v>401</v>
      </c>
      <c r="I3762" t="s">
        <v>402</v>
      </c>
      <c r="J3762" t="s">
        <v>3733</v>
      </c>
      <c r="K3762">
        <v>20221031</v>
      </c>
      <c r="L3762" t="s">
        <v>3734</v>
      </c>
      <c r="M3762">
        <v>1409.17</v>
      </c>
      <c r="N3762">
        <v>0</v>
      </c>
      <c r="O3762" t="s">
        <v>23</v>
      </c>
      <c r="P3762">
        <v>20230215</v>
      </c>
      <c r="Q3762">
        <v>20221031</v>
      </c>
    </row>
    <row r="3763" spans="1:17" x14ac:dyDescent="0.25">
      <c r="A3763" t="s">
        <v>476</v>
      </c>
      <c r="B3763" t="s">
        <v>477</v>
      </c>
      <c r="C3763">
        <v>134</v>
      </c>
      <c r="D3763">
        <v>20221031</v>
      </c>
      <c r="E3763">
        <f t="shared" si="58"/>
        <v>10</v>
      </c>
      <c r="F3763">
        <v>512000</v>
      </c>
      <c r="G3763" t="s">
        <v>428</v>
      </c>
      <c r="H3763" t="s">
        <v>401</v>
      </c>
      <c r="I3763" t="s">
        <v>402</v>
      </c>
      <c r="J3763" t="s">
        <v>3733</v>
      </c>
      <c r="K3763">
        <v>20221031</v>
      </c>
      <c r="L3763" t="s">
        <v>127</v>
      </c>
      <c r="M3763">
        <v>0</v>
      </c>
      <c r="N3763">
        <v>1409.17</v>
      </c>
      <c r="O3763" t="s">
        <v>19</v>
      </c>
      <c r="P3763" t="s">
        <v>20</v>
      </c>
      <c r="Q3763">
        <v>20221031</v>
      </c>
    </row>
    <row r="3764" spans="1:17" x14ac:dyDescent="0.25">
      <c r="A3764" t="s">
        <v>548</v>
      </c>
      <c r="B3764" t="s">
        <v>429</v>
      </c>
      <c r="C3764">
        <v>135</v>
      </c>
      <c r="D3764">
        <v>20221001</v>
      </c>
      <c r="E3764">
        <f t="shared" si="58"/>
        <v>10</v>
      </c>
      <c r="F3764">
        <v>467100</v>
      </c>
      <c r="G3764" t="s">
        <v>160</v>
      </c>
      <c r="H3764" t="s">
        <v>1307</v>
      </c>
      <c r="I3764" t="s">
        <v>1308</v>
      </c>
      <c r="J3764" t="s">
        <v>3735</v>
      </c>
      <c r="K3764">
        <v>20221001</v>
      </c>
      <c r="L3764" t="s">
        <v>3736</v>
      </c>
      <c r="M3764">
        <v>100</v>
      </c>
      <c r="N3764">
        <v>0</v>
      </c>
      <c r="O3764" t="s">
        <v>23</v>
      </c>
      <c r="P3764">
        <v>20221118</v>
      </c>
      <c r="Q3764">
        <v>20221001</v>
      </c>
    </row>
    <row r="3765" spans="1:17" x14ac:dyDescent="0.25">
      <c r="A3765" t="s">
        <v>548</v>
      </c>
      <c r="B3765" t="s">
        <v>429</v>
      </c>
      <c r="C3765">
        <v>135</v>
      </c>
      <c r="D3765">
        <v>20221001</v>
      </c>
      <c r="E3765">
        <f t="shared" si="58"/>
        <v>10</v>
      </c>
      <c r="F3765">
        <v>531105</v>
      </c>
      <c r="G3765" t="s">
        <v>429</v>
      </c>
      <c r="H3765" t="s">
        <v>401</v>
      </c>
      <c r="I3765" t="s">
        <v>402</v>
      </c>
      <c r="J3765" t="s">
        <v>3735</v>
      </c>
      <c r="K3765">
        <v>20221001</v>
      </c>
      <c r="L3765" t="s">
        <v>3736</v>
      </c>
      <c r="M3765">
        <v>0</v>
      </c>
      <c r="N3765">
        <v>100</v>
      </c>
      <c r="O3765" t="s">
        <v>19</v>
      </c>
      <c r="P3765" t="s">
        <v>20</v>
      </c>
      <c r="Q3765">
        <v>20221001</v>
      </c>
    </row>
    <row r="3766" spans="1:17" x14ac:dyDescent="0.25">
      <c r="A3766" t="s">
        <v>548</v>
      </c>
      <c r="B3766" t="s">
        <v>429</v>
      </c>
      <c r="C3766">
        <v>135</v>
      </c>
      <c r="D3766">
        <v>20221003</v>
      </c>
      <c r="E3766">
        <f t="shared" si="58"/>
        <v>10</v>
      </c>
      <c r="F3766">
        <v>467100</v>
      </c>
      <c r="G3766" t="s">
        <v>160</v>
      </c>
      <c r="H3766" t="s">
        <v>1201</v>
      </c>
      <c r="I3766" t="s">
        <v>1202</v>
      </c>
      <c r="J3766" t="s">
        <v>3737</v>
      </c>
      <c r="K3766">
        <v>20221003</v>
      </c>
      <c r="L3766" t="s">
        <v>3738</v>
      </c>
      <c r="M3766">
        <v>4</v>
      </c>
      <c r="N3766">
        <v>0</v>
      </c>
      <c r="O3766" t="s">
        <v>23</v>
      </c>
      <c r="P3766">
        <v>20221118</v>
      </c>
      <c r="Q3766">
        <v>20221003</v>
      </c>
    </row>
    <row r="3767" spans="1:17" x14ac:dyDescent="0.25">
      <c r="A3767" t="s">
        <v>548</v>
      </c>
      <c r="B3767" t="s">
        <v>429</v>
      </c>
      <c r="C3767">
        <v>135</v>
      </c>
      <c r="D3767">
        <v>20221003</v>
      </c>
      <c r="E3767">
        <f t="shared" si="58"/>
        <v>10</v>
      </c>
      <c r="F3767">
        <v>531105</v>
      </c>
      <c r="G3767" t="s">
        <v>429</v>
      </c>
      <c r="H3767" t="s">
        <v>401</v>
      </c>
      <c r="I3767" t="s">
        <v>402</v>
      </c>
      <c r="J3767" t="s">
        <v>3737</v>
      </c>
      <c r="K3767">
        <v>20221003</v>
      </c>
      <c r="L3767" t="s">
        <v>3738</v>
      </c>
      <c r="M3767">
        <v>0</v>
      </c>
      <c r="N3767">
        <v>4</v>
      </c>
      <c r="O3767" t="s">
        <v>19</v>
      </c>
      <c r="P3767" t="s">
        <v>20</v>
      </c>
      <c r="Q3767">
        <v>20221003</v>
      </c>
    </row>
    <row r="3768" spans="1:17" x14ac:dyDescent="0.25">
      <c r="A3768" t="s">
        <v>548</v>
      </c>
      <c r="B3768" t="s">
        <v>429</v>
      </c>
      <c r="C3768">
        <v>135</v>
      </c>
      <c r="D3768">
        <v>20221003</v>
      </c>
      <c r="E3768">
        <f t="shared" si="58"/>
        <v>10</v>
      </c>
      <c r="F3768">
        <v>467100</v>
      </c>
      <c r="G3768" t="s">
        <v>160</v>
      </c>
      <c r="H3768" t="s">
        <v>316</v>
      </c>
      <c r="I3768" t="s">
        <v>317</v>
      </c>
      <c r="J3768" t="s">
        <v>3739</v>
      </c>
      <c r="K3768">
        <v>20221003</v>
      </c>
      <c r="L3768" t="s">
        <v>3740</v>
      </c>
      <c r="M3768">
        <v>0</v>
      </c>
      <c r="N3768">
        <v>6.09</v>
      </c>
      <c r="O3768" t="s">
        <v>19</v>
      </c>
      <c r="P3768" t="s">
        <v>20</v>
      </c>
      <c r="Q3768">
        <v>20221003</v>
      </c>
    </row>
    <row r="3769" spans="1:17" x14ac:dyDescent="0.25">
      <c r="A3769" t="s">
        <v>548</v>
      </c>
      <c r="B3769" t="s">
        <v>429</v>
      </c>
      <c r="C3769">
        <v>135</v>
      </c>
      <c r="D3769">
        <v>20221003</v>
      </c>
      <c r="E3769">
        <f t="shared" si="58"/>
        <v>10</v>
      </c>
      <c r="F3769">
        <v>531105</v>
      </c>
      <c r="G3769" t="s">
        <v>429</v>
      </c>
      <c r="H3769" t="s">
        <v>401</v>
      </c>
      <c r="I3769" t="s">
        <v>402</v>
      </c>
      <c r="J3769" t="s">
        <v>3739</v>
      </c>
      <c r="K3769">
        <v>20221003</v>
      </c>
      <c r="L3769" t="s">
        <v>3740</v>
      </c>
      <c r="M3769">
        <v>6.09</v>
      </c>
      <c r="N3769">
        <v>0</v>
      </c>
      <c r="O3769" t="s">
        <v>19</v>
      </c>
      <c r="P3769" t="s">
        <v>20</v>
      </c>
      <c r="Q3769">
        <v>20221003</v>
      </c>
    </row>
    <row r="3770" spans="1:17" x14ac:dyDescent="0.25">
      <c r="A3770" t="s">
        <v>548</v>
      </c>
      <c r="B3770" t="s">
        <v>429</v>
      </c>
      <c r="C3770">
        <v>135</v>
      </c>
      <c r="D3770">
        <v>20221003</v>
      </c>
      <c r="E3770">
        <f t="shared" si="58"/>
        <v>10</v>
      </c>
      <c r="F3770">
        <v>411100</v>
      </c>
      <c r="G3770" t="s">
        <v>18</v>
      </c>
      <c r="H3770" t="s">
        <v>387</v>
      </c>
      <c r="I3770" t="s">
        <v>388</v>
      </c>
      <c r="J3770">
        <v>122080015</v>
      </c>
      <c r="K3770">
        <v>20221003</v>
      </c>
      <c r="L3770" t="s">
        <v>3741</v>
      </c>
      <c r="M3770">
        <v>0</v>
      </c>
      <c r="N3770">
        <v>23.5</v>
      </c>
      <c r="O3770" t="s">
        <v>19</v>
      </c>
      <c r="P3770" t="s">
        <v>20</v>
      </c>
      <c r="Q3770">
        <v>20221003</v>
      </c>
    </row>
    <row r="3771" spans="1:17" x14ac:dyDescent="0.25">
      <c r="A3771" t="s">
        <v>548</v>
      </c>
      <c r="B3771" t="s">
        <v>429</v>
      </c>
      <c r="C3771">
        <v>135</v>
      </c>
      <c r="D3771">
        <v>20221003</v>
      </c>
      <c r="E3771">
        <f t="shared" si="58"/>
        <v>10</v>
      </c>
      <c r="F3771">
        <v>411000</v>
      </c>
      <c r="G3771" t="s">
        <v>21</v>
      </c>
      <c r="H3771" t="s">
        <v>271</v>
      </c>
      <c r="I3771" t="s">
        <v>272</v>
      </c>
      <c r="J3771">
        <v>357231</v>
      </c>
      <c r="K3771">
        <v>20221003</v>
      </c>
      <c r="L3771" t="s">
        <v>3742</v>
      </c>
      <c r="M3771">
        <v>0</v>
      </c>
      <c r="N3771">
        <v>48</v>
      </c>
      <c r="O3771" t="s">
        <v>19</v>
      </c>
      <c r="P3771" t="s">
        <v>20</v>
      </c>
      <c r="Q3771">
        <v>20221003</v>
      </c>
    </row>
    <row r="3772" spans="1:17" x14ac:dyDescent="0.25">
      <c r="A3772" t="s">
        <v>548</v>
      </c>
      <c r="B3772" t="s">
        <v>429</v>
      </c>
      <c r="C3772">
        <v>135</v>
      </c>
      <c r="D3772">
        <v>20221003</v>
      </c>
      <c r="E3772">
        <f t="shared" si="58"/>
        <v>10</v>
      </c>
      <c r="F3772">
        <v>411100</v>
      </c>
      <c r="G3772" t="s">
        <v>18</v>
      </c>
      <c r="H3772" t="s">
        <v>209</v>
      </c>
      <c r="I3772" t="s">
        <v>210</v>
      </c>
      <c r="J3772">
        <v>119050025</v>
      </c>
      <c r="K3772">
        <v>20221003</v>
      </c>
      <c r="L3772" t="s">
        <v>3743</v>
      </c>
      <c r="M3772">
        <v>0</v>
      </c>
      <c r="N3772">
        <v>100</v>
      </c>
      <c r="O3772" t="s">
        <v>19</v>
      </c>
      <c r="P3772" t="s">
        <v>20</v>
      </c>
      <c r="Q3772">
        <v>20221003</v>
      </c>
    </row>
    <row r="3773" spans="1:17" x14ac:dyDescent="0.25">
      <c r="A3773" t="s">
        <v>548</v>
      </c>
      <c r="B3773" t="s">
        <v>429</v>
      </c>
      <c r="C3773">
        <v>135</v>
      </c>
      <c r="D3773">
        <v>20221003</v>
      </c>
      <c r="E3773">
        <f t="shared" si="58"/>
        <v>10</v>
      </c>
      <c r="F3773">
        <v>411100</v>
      </c>
      <c r="G3773" t="s">
        <v>18</v>
      </c>
      <c r="H3773" t="s">
        <v>233</v>
      </c>
      <c r="I3773" t="s">
        <v>234</v>
      </c>
      <c r="J3773">
        <v>122080125</v>
      </c>
      <c r="K3773">
        <v>20221003</v>
      </c>
      <c r="L3773" t="s">
        <v>3744</v>
      </c>
      <c r="M3773">
        <v>0</v>
      </c>
      <c r="N3773">
        <v>98.09</v>
      </c>
      <c r="O3773" t="s">
        <v>19</v>
      </c>
      <c r="P3773" t="s">
        <v>20</v>
      </c>
      <c r="Q3773">
        <v>20221003</v>
      </c>
    </row>
    <row r="3774" spans="1:17" x14ac:dyDescent="0.25">
      <c r="A3774" t="s">
        <v>548</v>
      </c>
      <c r="B3774" t="s">
        <v>429</v>
      </c>
      <c r="C3774">
        <v>135</v>
      </c>
      <c r="D3774">
        <v>20221003</v>
      </c>
      <c r="E3774">
        <f t="shared" si="58"/>
        <v>10</v>
      </c>
      <c r="F3774">
        <v>411100</v>
      </c>
      <c r="G3774" t="s">
        <v>18</v>
      </c>
      <c r="H3774" t="s">
        <v>156</v>
      </c>
      <c r="I3774" t="s">
        <v>157</v>
      </c>
      <c r="J3774">
        <v>357234</v>
      </c>
      <c r="K3774">
        <v>20221003</v>
      </c>
      <c r="L3774" t="s">
        <v>3745</v>
      </c>
      <c r="M3774">
        <v>0</v>
      </c>
      <c r="N3774">
        <v>212.14</v>
      </c>
      <c r="O3774" t="s">
        <v>19</v>
      </c>
      <c r="P3774" t="s">
        <v>20</v>
      </c>
      <c r="Q3774">
        <v>20221003</v>
      </c>
    </row>
    <row r="3775" spans="1:17" x14ac:dyDescent="0.25">
      <c r="A3775" t="s">
        <v>548</v>
      </c>
      <c r="B3775" t="s">
        <v>429</v>
      </c>
      <c r="C3775">
        <v>135</v>
      </c>
      <c r="D3775">
        <v>20221003</v>
      </c>
      <c r="E3775">
        <f t="shared" si="58"/>
        <v>10</v>
      </c>
      <c r="F3775">
        <v>411100</v>
      </c>
      <c r="G3775" t="s">
        <v>18</v>
      </c>
      <c r="H3775" t="s">
        <v>156</v>
      </c>
      <c r="I3775" t="s">
        <v>157</v>
      </c>
      <c r="J3775">
        <v>357235</v>
      </c>
      <c r="K3775">
        <v>20221003</v>
      </c>
      <c r="L3775" t="s">
        <v>3746</v>
      </c>
      <c r="M3775">
        <v>0.16</v>
      </c>
      <c r="N3775">
        <v>0</v>
      </c>
      <c r="O3775" t="s">
        <v>22</v>
      </c>
      <c r="P3775">
        <v>20230218</v>
      </c>
      <c r="Q3775">
        <v>20221003</v>
      </c>
    </row>
    <row r="3776" spans="1:17" x14ac:dyDescent="0.25">
      <c r="A3776" t="s">
        <v>548</v>
      </c>
      <c r="B3776" t="s">
        <v>429</v>
      </c>
      <c r="C3776">
        <v>135</v>
      </c>
      <c r="D3776">
        <v>20221003</v>
      </c>
      <c r="E3776">
        <f t="shared" si="58"/>
        <v>10</v>
      </c>
      <c r="F3776">
        <v>531105</v>
      </c>
      <c r="G3776" t="s">
        <v>429</v>
      </c>
      <c r="H3776" t="s">
        <v>401</v>
      </c>
      <c r="I3776" t="s">
        <v>402</v>
      </c>
      <c r="J3776">
        <v>357236</v>
      </c>
      <c r="K3776">
        <v>20221003</v>
      </c>
      <c r="L3776" t="s">
        <v>565</v>
      </c>
      <c r="M3776">
        <v>481.57</v>
      </c>
      <c r="N3776">
        <v>0</v>
      </c>
      <c r="O3776" t="s">
        <v>19</v>
      </c>
      <c r="P3776" t="s">
        <v>20</v>
      </c>
      <c r="Q3776">
        <v>20221003</v>
      </c>
    </row>
    <row r="3777" spans="1:17" x14ac:dyDescent="0.25">
      <c r="A3777" t="s">
        <v>548</v>
      </c>
      <c r="B3777" t="s">
        <v>429</v>
      </c>
      <c r="C3777">
        <v>135</v>
      </c>
      <c r="D3777">
        <v>20221004</v>
      </c>
      <c r="E3777">
        <f t="shared" si="58"/>
        <v>10</v>
      </c>
      <c r="F3777">
        <v>411100</v>
      </c>
      <c r="G3777" t="s">
        <v>18</v>
      </c>
      <c r="H3777" t="s">
        <v>33</v>
      </c>
      <c r="I3777" t="s">
        <v>34</v>
      </c>
      <c r="J3777">
        <v>357237</v>
      </c>
      <c r="K3777">
        <v>20221004</v>
      </c>
      <c r="L3777" t="s">
        <v>3747</v>
      </c>
      <c r="M3777">
        <v>0</v>
      </c>
      <c r="N3777">
        <v>62.96</v>
      </c>
      <c r="O3777" t="s">
        <v>19</v>
      </c>
      <c r="P3777" t="s">
        <v>20</v>
      </c>
      <c r="Q3777">
        <v>20221004</v>
      </c>
    </row>
    <row r="3778" spans="1:17" x14ac:dyDescent="0.25">
      <c r="A3778" t="s">
        <v>548</v>
      </c>
      <c r="B3778" t="s">
        <v>429</v>
      </c>
      <c r="C3778">
        <v>135</v>
      </c>
      <c r="D3778">
        <v>20221004</v>
      </c>
      <c r="E3778">
        <f t="shared" si="58"/>
        <v>10</v>
      </c>
      <c r="F3778">
        <v>411100</v>
      </c>
      <c r="G3778" t="s">
        <v>18</v>
      </c>
      <c r="H3778" t="s">
        <v>267</v>
      </c>
      <c r="I3778" t="s">
        <v>268</v>
      </c>
      <c r="J3778">
        <v>357238</v>
      </c>
      <c r="K3778">
        <v>20221004</v>
      </c>
      <c r="L3778" t="s">
        <v>3748</v>
      </c>
      <c r="M3778">
        <v>0</v>
      </c>
      <c r="N3778">
        <v>18</v>
      </c>
      <c r="O3778" t="s">
        <v>22</v>
      </c>
      <c r="P3778">
        <v>20230218</v>
      </c>
      <c r="Q3778">
        <v>20221004</v>
      </c>
    </row>
    <row r="3779" spans="1:17" x14ac:dyDescent="0.25">
      <c r="A3779" t="s">
        <v>548</v>
      </c>
      <c r="B3779" t="s">
        <v>429</v>
      </c>
      <c r="C3779">
        <v>135</v>
      </c>
      <c r="D3779">
        <v>20221004</v>
      </c>
      <c r="E3779">
        <f t="shared" ref="E3779:E3842" si="59">VALUE(MID(D3779,5,2))</f>
        <v>10</v>
      </c>
      <c r="F3779">
        <v>411100</v>
      </c>
      <c r="G3779" t="s">
        <v>18</v>
      </c>
      <c r="H3779" t="s">
        <v>283</v>
      </c>
      <c r="I3779" t="s">
        <v>284</v>
      </c>
      <c r="J3779">
        <v>357239</v>
      </c>
      <c r="K3779">
        <v>20221004</v>
      </c>
      <c r="L3779" t="s">
        <v>3749</v>
      </c>
      <c r="M3779">
        <v>0</v>
      </c>
      <c r="N3779">
        <v>19</v>
      </c>
      <c r="O3779" t="s">
        <v>19</v>
      </c>
      <c r="P3779" t="s">
        <v>20</v>
      </c>
      <c r="Q3779">
        <v>20221004</v>
      </c>
    </row>
    <row r="3780" spans="1:17" x14ac:dyDescent="0.25">
      <c r="A3780" t="s">
        <v>548</v>
      </c>
      <c r="B3780" t="s">
        <v>429</v>
      </c>
      <c r="C3780">
        <v>135</v>
      </c>
      <c r="D3780">
        <v>20221004</v>
      </c>
      <c r="E3780">
        <f t="shared" si="59"/>
        <v>10</v>
      </c>
      <c r="F3780">
        <v>411100</v>
      </c>
      <c r="G3780" t="s">
        <v>18</v>
      </c>
      <c r="H3780" t="s">
        <v>789</v>
      </c>
      <c r="I3780" t="s">
        <v>790</v>
      </c>
      <c r="J3780">
        <v>357240</v>
      </c>
      <c r="K3780">
        <v>20221004</v>
      </c>
      <c r="L3780" t="s">
        <v>3750</v>
      </c>
      <c r="M3780">
        <v>0</v>
      </c>
      <c r="N3780">
        <v>119.35</v>
      </c>
      <c r="O3780" t="s">
        <v>22</v>
      </c>
      <c r="P3780">
        <v>20230218</v>
      </c>
      <c r="Q3780">
        <v>20221004</v>
      </c>
    </row>
    <row r="3781" spans="1:17" x14ac:dyDescent="0.25">
      <c r="A3781" t="s">
        <v>548</v>
      </c>
      <c r="B3781" t="s">
        <v>429</v>
      </c>
      <c r="C3781">
        <v>135</v>
      </c>
      <c r="D3781">
        <v>20221004</v>
      </c>
      <c r="E3781">
        <f t="shared" si="59"/>
        <v>10</v>
      </c>
      <c r="F3781">
        <v>411100</v>
      </c>
      <c r="G3781" t="s">
        <v>18</v>
      </c>
      <c r="H3781" t="s">
        <v>209</v>
      </c>
      <c r="I3781" t="s">
        <v>210</v>
      </c>
      <c r="J3781">
        <v>120100181</v>
      </c>
      <c r="K3781">
        <v>20221004</v>
      </c>
      <c r="L3781" t="s">
        <v>3751</v>
      </c>
      <c r="M3781">
        <v>0</v>
      </c>
      <c r="N3781">
        <v>140</v>
      </c>
      <c r="O3781" t="s">
        <v>19</v>
      </c>
      <c r="P3781" t="s">
        <v>20</v>
      </c>
      <c r="Q3781">
        <v>20221004</v>
      </c>
    </row>
    <row r="3782" spans="1:17" x14ac:dyDescent="0.25">
      <c r="A3782" t="s">
        <v>548</v>
      </c>
      <c r="B3782" t="s">
        <v>429</v>
      </c>
      <c r="C3782">
        <v>135</v>
      </c>
      <c r="D3782">
        <v>20221004</v>
      </c>
      <c r="E3782">
        <f t="shared" si="59"/>
        <v>10</v>
      </c>
      <c r="F3782">
        <v>531105</v>
      </c>
      <c r="G3782" t="s">
        <v>429</v>
      </c>
      <c r="H3782" t="s">
        <v>401</v>
      </c>
      <c r="I3782" t="s">
        <v>402</v>
      </c>
      <c r="J3782">
        <v>357242</v>
      </c>
      <c r="K3782">
        <v>20221004</v>
      </c>
      <c r="L3782" t="s">
        <v>565</v>
      </c>
      <c r="M3782">
        <v>359.31</v>
      </c>
      <c r="N3782">
        <v>0</v>
      </c>
      <c r="O3782" t="s">
        <v>19</v>
      </c>
      <c r="P3782" t="s">
        <v>20</v>
      </c>
      <c r="Q3782">
        <v>20221004</v>
      </c>
    </row>
    <row r="3783" spans="1:17" x14ac:dyDescent="0.25">
      <c r="A3783" t="s">
        <v>548</v>
      </c>
      <c r="B3783" t="s">
        <v>429</v>
      </c>
      <c r="C3783">
        <v>135</v>
      </c>
      <c r="D3783">
        <v>20221004</v>
      </c>
      <c r="E3783">
        <f t="shared" si="59"/>
        <v>10</v>
      </c>
      <c r="F3783">
        <v>411020</v>
      </c>
      <c r="G3783" t="s">
        <v>30</v>
      </c>
      <c r="H3783" t="s">
        <v>399</v>
      </c>
      <c r="I3783" t="s">
        <v>400</v>
      </c>
      <c r="J3783">
        <v>322070021</v>
      </c>
      <c r="K3783">
        <v>20221004</v>
      </c>
      <c r="L3783" t="s">
        <v>3752</v>
      </c>
      <c r="M3783">
        <v>0</v>
      </c>
      <c r="N3783">
        <v>70</v>
      </c>
      <c r="O3783" t="s">
        <v>19</v>
      </c>
      <c r="P3783" t="s">
        <v>20</v>
      </c>
      <c r="Q3783">
        <v>20221004</v>
      </c>
    </row>
    <row r="3784" spans="1:17" x14ac:dyDescent="0.25">
      <c r="A3784" t="s">
        <v>548</v>
      </c>
      <c r="B3784" t="s">
        <v>429</v>
      </c>
      <c r="C3784">
        <v>135</v>
      </c>
      <c r="D3784">
        <v>20221004</v>
      </c>
      <c r="E3784">
        <f t="shared" si="59"/>
        <v>10</v>
      </c>
      <c r="F3784">
        <v>411100</v>
      </c>
      <c r="G3784" t="s">
        <v>18</v>
      </c>
      <c r="H3784" t="s">
        <v>192</v>
      </c>
      <c r="I3784" t="s">
        <v>193</v>
      </c>
      <c r="J3784">
        <v>322070006</v>
      </c>
      <c r="K3784">
        <v>20221004</v>
      </c>
      <c r="L3784" t="s">
        <v>3753</v>
      </c>
      <c r="M3784">
        <v>0</v>
      </c>
      <c r="N3784">
        <v>30</v>
      </c>
      <c r="O3784" t="s">
        <v>23</v>
      </c>
      <c r="P3784">
        <v>20230218</v>
      </c>
      <c r="Q3784">
        <v>20221004</v>
      </c>
    </row>
    <row r="3785" spans="1:17" x14ac:dyDescent="0.25">
      <c r="A3785" t="s">
        <v>548</v>
      </c>
      <c r="B3785" t="s">
        <v>429</v>
      </c>
      <c r="C3785">
        <v>135</v>
      </c>
      <c r="D3785">
        <v>20221004</v>
      </c>
      <c r="E3785">
        <f t="shared" si="59"/>
        <v>10</v>
      </c>
      <c r="F3785">
        <v>531105</v>
      </c>
      <c r="G3785" t="s">
        <v>429</v>
      </c>
      <c r="H3785" t="s">
        <v>401</v>
      </c>
      <c r="I3785" t="s">
        <v>402</v>
      </c>
      <c r="J3785">
        <v>357408</v>
      </c>
      <c r="K3785">
        <v>20221004</v>
      </c>
      <c r="L3785" t="s">
        <v>565</v>
      </c>
      <c r="M3785">
        <v>100</v>
      </c>
      <c r="N3785">
        <v>0</v>
      </c>
      <c r="O3785" t="s">
        <v>19</v>
      </c>
      <c r="P3785" t="s">
        <v>20</v>
      </c>
      <c r="Q3785">
        <v>20221004</v>
      </c>
    </row>
    <row r="3786" spans="1:17" x14ac:dyDescent="0.25">
      <c r="A3786" t="s">
        <v>548</v>
      </c>
      <c r="B3786" t="s">
        <v>429</v>
      </c>
      <c r="C3786">
        <v>135</v>
      </c>
      <c r="D3786">
        <v>20221005</v>
      </c>
      <c r="E3786">
        <f t="shared" si="59"/>
        <v>10</v>
      </c>
      <c r="F3786">
        <v>411100</v>
      </c>
      <c r="G3786" t="s">
        <v>18</v>
      </c>
      <c r="H3786" t="s">
        <v>3754</v>
      </c>
      <c r="I3786" t="s">
        <v>3755</v>
      </c>
      <c r="J3786">
        <v>357243</v>
      </c>
      <c r="K3786">
        <v>20221005</v>
      </c>
      <c r="L3786" t="s">
        <v>3756</v>
      </c>
      <c r="M3786">
        <v>0</v>
      </c>
      <c r="N3786">
        <v>10</v>
      </c>
      <c r="O3786" t="s">
        <v>22</v>
      </c>
      <c r="P3786">
        <v>20230218</v>
      </c>
      <c r="Q3786">
        <v>20221005</v>
      </c>
    </row>
    <row r="3787" spans="1:17" x14ac:dyDescent="0.25">
      <c r="A3787" t="s">
        <v>548</v>
      </c>
      <c r="B3787" t="s">
        <v>429</v>
      </c>
      <c r="C3787">
        <v>135</v>
      </c>
      <c r="D3787">
        <v>20221005</v>
      </c>
      <c r="E3787">
        <f t="shared" si="59"/>
        <v>10</v>
      </c>
      <c r="F3787">
        <v>411100</v>
      </c>
      <c r="G3787" t="s">
        <v>18</v>
      </c>
      <c r="H3787" t="s">
        <v>3658</v>
      </c>
      <c r="I3787" t="s">
        <v>3659</v>
      </c>
      <c r="J3787">
        <v>357244</v>
      </c>
      <c r="K3787">
        <v>20221005</v>
      </c>
      <c r="L3787" t="s">
        <v>3757</v>
      </c>
      <c r="M3787">
        <v>0</v>
      </c>
      <c r="N3787">
        <v>29.2</v>
      </c>
      <c r="O3787" t="s">
        <v>22</v>
      </c>
      <c r="P3787">
        <v>20230218</v>
      </c>
      <c r="Q3787">
        <v>20221005</v>
      </c>
    </row>
    <row r="3788" spans="1:17" x14ac:dyDescent="0.25">
      <c r="A3788" t="s">
        <v>548</v>
      </c>
      <c r="B3788" t="s">
        <v>429</v>
      </c>
      <c r="C3788">
        <v>135</v>
      </c>
      <c r="D3788">
        <v>20221005</v>
      </c>
      <c r="E3788">
        <f t="shared" si="59"/>
        <v>10</v>
      </c>
      <c r="F3788">
        <v>411100</v>
      </c>
      <c r="G3788" t="s">
        <v>18</v>
      </c>
      <c r="H3788" t="s">
        <v>194</v>
      </c>
      <c r="I3788" t="s">
        <v>195</v>
      </c>
      <c r="J3788">
        <v>122070101</v>
      </c>
      <c r="K3788">
        <v>20221005</v>
      </c>
      <c r="L3788" t="s">
        <v>3758</v>
      </c>
      <c r="M3788">
        <v>0</v>
      </c>
      <c r="N3788">
        <v>27.1</v>
      </c>
      <c r="O3788" t="s">
        <v>23</v>
      </c>
      <c r="P3788">
        <v>20230329</v>
      </c>
      <c r="Q3788">
        <v>20221005</v>
      </c>
    </row>
    <row r="3789" spans="1:17" x14ac:dyDescent="0.25">
      <c r="A3789" t="s">
        <v>548</v>
      </c>
      <c r="B3789" t="s">
        <v>429</v>
      </c>
      <c r="C3789">
        <v>135</v>
      </c>
      <c r="D3789">
        <v>20221005</v>
      </c>
      <c r="E3789">
        <f t="shared" si="59"/>
        <v>10</v>
      </c>
      <c r="F3789">
        <v>411100</v>
      </c>
      <c r="G3789" t="s">
        <v>18</v>
      </c>
      <c r="H3789" t="s">
        <v>1765</v>
      </c>
      <c r="I3789" t="s">
        <v>1766</v>
      </c>
      <c r="J3789">
        <v>357246</v>
      </c>
      <c r="K3789">
        <v>20221005</v>
      </c>
      <c r="L3789" t="s">
        <v>3759</v>
      </c>
      <c r="M3789">
        <v>0</v>
      </c>
      <c r="N3789">
        <v>123.27</v>
      </c>
      <c r="O3789" t="s">
        <v>23</v>
      </c>
      <c r="P3789">
        <v>20230218</v>
      </c>
      <c r="Q3789">
        <v>20221005</v>
      </c>
    </row>
    <row r="3790" spans="1:17" x14ac:dyDescent="0.25">
      <c r="A3790" t="s">
        <v>548</v>
      </c>
      <c r="B3790" t="s">
        <v>429</v>
      </c>
      <c r="C3790">
        <v>135</v>
      </c>
      <c r="D3790">
        <v>20221005</v>
      </c>
      <c r="E3790">
        <f t="shared" si="59"/>
        <v>10</v>
      </c>
      <c r="F3790">
        <v>531105</v>
      </c>
      <c r="G3790" t="s">
        <v>429</v>
      </c>
      <c r="H3790" t="s">
        <v>401</v>
      </c>
      <c r="I3790" t="s">
        <v>402</v>
      </c>
      <c r="J3790">
        <v>357247</v>
      </c>
      <c r="K3790">
        <v>20221005</v>
      </c>
      <c r="L3790" t="s">
        <v>565</v>
      </c>
      <c r="M3790">
        <v>189.57</v>
      </c>
      <c r="N3790">
        <v>0</v>
      </c>
      <c r="O3790" t="s">
        <v>19</v>
      </c>
      <c r="P3790" t="s">
        <v>20</v>
      </c>
      <c r="Q3790">
        <v>20221005</v>
      </c>
    </row>
    <row r="3791" spans="1:17" x14ac:dyDescent="0.25">
      <c r="A3791" t="s">
        <v>548</v>
      </c>
      <c r="B3791" t="s">
        <v>429</v>
      </c>
      <c r="C3791">
        <v>135</v>
      </c>
      <c r="D3791">
        <v>20221005</v>
      </c>
      <c r="E3791">
        <f t="shared" si="59"/>
        <v>10</v>
      </c>
      <c r="F3791">
        <v>411020</v>
      </c>
      <c r="G3791" t="s">
        <v>30</v>
      </c>
      <c r="H3791" t="s">
        <v>318</v>
      </c>
      <c r="I3791" t="s">
        <v>319</v>
      </c>
      <c r="J3791">
        <v>322020019</v>
      </c>
      <c r="K3791">
        <v>20221005</v>
      </c>
      <c r="L3791" t="s">
        <v>3760</v>
      </c>
      <c r="M3791">
        <v>0</v>
      </c>
      <c r="N3791">
        <v>178.64</v>
      </c>
      <c r="O3791" t="s">
        <v>22</v>
      </c>
      <c r="P3791">
        <v>20230218</v>
      </c>
      <c r="Q3791">
        <v>20221005</v>
      </c>
    </row>
    <row r="3792" spans="1:17" x14ac:dyDescent="0.25">
      <c r="A3792" t="s">
        <v>548</v>
      </c>
      <c r="B3792" t="s">
        <v>429</v>
      </c>
      <c r="C3792">
        <v>135</v>
      </c>
      <c r="D3792">
        <v>20221005</v>
      </c>
      <c r="E3792">
        <f t="shared" si="59"/>
        <v>10</v>
      </c>
      <c r="F3792">
        <v>531105</v>
      </c>
      <c r="G3792" t="s">
        <v>429</v>
      </c>
      <c r="H3792" t="s">
        <v>401</v>
      </c>
      <c r="I3792" t="s">
        <v>402</v>
      </c>
      <c r="J3792">
        <v>357410</v>
      </c>
      <c r="K3792">
        <v>20221005</v>
      </c>
      <c r="L3792" t="s">
        <v>565</v>
      </c>
      <c r="M3792">
        <v>178.64</v>
      </c>
      <c r="N3792">
        <v>0</v>
      </c>
      <c r="O3792" t="s">
        <v>19</v>
      </c>
      <c r="P3792" t="s">
        <v>20</v>
      </c>
      <c r="Q3792">
        <v>20221005</v>
      </c>
    </row>
    <row r="3793" spans="1:17" x14ac:dyDescent="0.25">
      <c r="A3793" t="s">
        <v>548</v>
      </c>
      <c r="B3793" t="s">
        <v>429</v>
      </c>
      <c r="C3793">
        <v>135</v>
      </c>
      <c r="D3793">
        <v>20221006</v>
      </c>
      <c r="E3793">
        <f t="shared" si="59"/>
        <v>10</v>
      </c>
      <c r="F3793">
        <v>411100</v>
      </c>
      <c r="G3793" t="s">
        <v>18</v>
      </c>
      <c r="H3793" t="s">
        <v>373</v>
      </c>
      <c r="I3793" t="s">
        <v>374</v>
      </c>
      <c r="J3793">
        <v>122080077</v>
      </c>
      <c r="K3793">
        <v>20221006</v>
      </c>
      <c r="L3793" t="s">
        <v>3761</v>
      </c>
      <c r="M3793">
        <v>0</v>
      </c>
      <c r="N3793">
        <v>40.1</v>
      </c>
      <c r="O3793" t="s">
        <v>19</v>
      </c>
      <c r="P3793" t="s">
        <v>20</v>
      </c>
      <c r="Q3793">
        <v>20221006</v>
      </c>
    </row>
    <row r="3794" spans="1:17" x14ac:dyDescent="0.25">
      <c r="A3794" t="s">
        <v>548</v>
      </c>
      <c r="B3794" t="s">
        <v>429</v>
      </c>
      <c r="C3794">
        <v>135</v>
      </c>
      <c r="D3794">
        <v>20221006</v>
      </c>
      <c r="E3794">
        <f t="shared" si="59"/>
        <v>10</v>
      </c>
      <c r="F3794">
        <v>531105</v>
      </c>
      <c r="G3794" t="s">
        <v>429</v>
      </c>
      <c r="H3794" t="s">
        <v>401</v>
      </c>
      <c r="I3794" t="s">
        <v>402</v>
      </c>
      <c r="J3794">
        <v>357249</v>
      </c>
      <c r="K3794">
        <v>20221006</v>
      </c>
      <c r="L3794" t="s">
        <v>565</v>
      </c>
      <c r="M3794">
        <v>40.1</v>
      </c>
      <c r="N3794">
        <v>0</v>
      </c>
      <c r="O3794" t="s">
        <v>19</v>
      </c>
      <c r="P3794" t="s">
        <v>20</v>
      </c>
      <c r="Q3794">
        <v>20221006</v>
      </c>
    </row>
    <row r="3795" spans="1:17" x14ac:dyDescent="0.25">
      <c r="A3795" t="s">
        <v>548</v>
      </c>
      <c r="B3795" t="s">
        <v>429</v>
      </c>
      <c r="C3795">
        <v>135</v>
      </c>
      <c r="D3795">
        <v>20221006</v>
      </c>
      <c r="E3795">
        <f t="shared" si="59"/>
        <v>10</v>
      </c>
      <c r="F3795">
        <v>580000</v>
      </c>
      <c r="G3795" t="s">
        <v>532</v>
      </c>
      <c r="H3795" t="s">
        <v>401</v>
      </c>
      <c r="I3795" t="s">
        <v>402</v>
      </c>
      <c r="J3795" t="s">
        <v>3762</v>
      </c>
      <c r="K3795">
        <v>20221006</v>
      </c>
      <c r="L3795" t="s">
        <v>625</v>
      </c>
      <c r="M3795">
        <v>1600</v>
      </c>
      <c r="N3795">
        <v>0</v>
      </c>
      <c r="O3795" t="s">
        <v>22</v>
      </c>
      <c r="P3795">
        <v>20221006</v>
      </c>
      <c r="Q3795">
        <v>20221006</v>
      </c>
    </row>
    <row r="3796" spans="1:17" x14ac:dyDescent="0.25">
      <c r="A3796" t="s">
        <v>548</v>
      </c>
      <c r="B3796" t="s">
        <v>429</v>
      </c>
      <c r="C3796">
        <v>135</v>
      </c>
      <c r="D3796">
        <v>20221006</v>
      </c>
      <c r="E3796">
        <f t="shared" si="59"/>
        <v>10</v>
      </c>
      <c r="F3796">
        <v>531105</v>
      </c>
      <c r="G3796" t="s">
        <v>429</v>
      </c>
      <c r="H3796" t="s">
        <v>401</v>
      </c>
      <c r="I3796" t="s">
        <v>402</v>
      </c>
      <c r="J3796" t="s">
        <v>3762</v>
      </c>
      <c r="K3796">
        <v>20221006</v>
      </c>
      <c r="L3796" t="s">
        <v>625</v>
      </c>
      <c r="M3796">
        <v>0</v>
      </c>
      <c r="N3796">
        <v>1600</v>
      </c>
      <c r="O3796" t="s">
        <v>19</v>
      </c>
      <c r="P3796" t="s">
        <v>20</v>
      </c>
      <c r="Q3796">
        <v>20221006</v>
      </c>
    </row>
    <row r="3797" spans="1:17" x14ac:dyDescent="0.25">
      <c r="A3797" t="s">
        <v>548</v>
      </c>
      <c r="B3797" t="s">
        <v>429</v>
      </c>
      <c r="C3797">
        <v>135</v>
      </c>
      <c r="D3797">
        <v>20221006</v>
      </c>
      <c r="E3797">
        <f t="shared" si="59"/>
        <v>10</v>
      </c>
      <c r="F3797">
        <v>411100</v>
      </c>
      <c r="G3797" t="s">
        <v>18</v>
      </c>
      <c r="H3797" t="s">
        <v>3763</v>
      </c>
      <c r="I3797" t="s">
        <v>3764</v>
      </c>
      <c r="J3797">
        <v>358143</v>
      </c>
      <c r="K3797">
        <v>20221006</v>
      </c>
      <c r="L3797" t="s">
        <v>3765</v>
      </c>
      <c r="M3797">
        <v>0</v>
      </c>
      <c r="N3797">
        <v>10</v>
      </c>
      <c r="O3797" t="s">
        <v>22</v>
      </c>
      <c r="P3797">
        <v>20230218</v>
      </c>
      <c r="Q3797">
        <v>20221006</v>
      </c>
    </row>
    <row r="3798" spans="1:17" x14ac:dyDescent="0.25">
      <c r="A3798" t="s">
        <v>548</v>
      </c>
      <c r="B3798" t="s">
        <v>429</v>
      </c>
      <c r="C3798">
        <v>135</v>
      </c>
      <c r="D3798">
        <v>20221006</v>
      </c>
      <c r="E3798">
        <f t="shared" si="59"/>
        <v>10</v>
      </c>
      <c r="F3798">
        <v>531105</v>
      </c>
      <c r="G3798" t="s">
        <v>429</v>
      </c>
      <c r="H3798" t="s">
        <v>401</v>
      </c>
      <c r="I3798" t="s">
        <v>402</v>
      </c>
      <c r="J3798">
        <v>358144</v>
      </c>
      <c r="K3798">
        <v>20221006</v>
      </c>
      <c r="L3798" t="s">
        <v>565</v>
      </c>
      <c r="M3798">
        <v>10</v>
      </c>
      <c r="N3798">
        <v>0</v>
      </c>
      <c r="O3798" t="s">
        <v>19</v>
      </c>
      <c r="P3798" t="s">
        <v>20</v>
      </c>
      <c r="Q3798">
        <v>20221006</v>
      </c>
    </row>
    <row r="3799" spans="1:17" x14ac:dyDescent="0.25">
      <c r="A3799" t="s">
        <v>548</v>
      </c>
      <c r="B3799" t="s">
        <v>429</v>
      </c>
      <c r="C3799">
        <v>135</v>
      </c>
      <c r="D3799">
        <v>20221007</v>
      </c>
      <c r="E3799">
        <f t="shared" si="59"/>
        <v>10</v>
      </c>
      <c r="F3799">
        <v>411100</v>
      </c>
      <c r="G3799" t="s">
        <v>18</v>
      </c>
      <c r="H3799" t="s">
        <v>237</v>
      </c>
      <c r="I3799" t="s">
        <v>238</v>
      </c>
      <c r="J3799">
        <v>358145</v>
      </c>
      <c r="K3799">
        <v>20221007</v>
      </c>
      <c r="L3799" t="s">
        <v>3766</v>
      </c>
      <c r="M3799">
        <v>0</v>
      </c>
      <c r="N3799">
        <v>10.35</v>
      </c>
      <c r="O3799" t="s">
        <v>19</v>
      </c>
      <c r="P3799" t="s">
        <v>20</v>
      </c>
      <c r="Q3799">
        <v>20221007</v>
      </c>
    </row>
    <row r="3800" spans="1:17" x14ac:dyDescent="0.25">
      <c r="A3800" t="s">
        <v>548</v>
      </c>
      <c r="B3800" t="s">
        <v>429</v>
      </c>
      <c r="C3800">
        <v>135</v>
      </c>
      <c r="D3800">
        <v>20221007</v>
      </c>
      <c r="E3800">
        <f t="shared" si="59"/>
        <v>10</v>
      </c>
      <c r="F3800">
        <v>411100</v>
      </c>
      <c r="G3800" t="s">
        <v>18</v>
      </c>
      <c r="H3800" t="s">
        <v>823</v>
      </c>
      <c r="I3800" t="s">
        <v>824</v>
      </c>
      <c r="J3800">
        <v>122080144</v>
      </c>
      <c r="K3800">
        <v>20221007</v>
      </c>
      <c r="L3800" t="s">
        <v>3767</v>
      </c>
      <c r="M3800">
        <v>0</v>
      </c>
      <c r="N3800">
        <v>38.92</v>
      </c>
      <c r="O3800" t="s">
        <v>19</v>
      </c>
      <c r="P3800" t="s">
        <v>20</v>
      </c>
      <c r="Q3800">
        <v>20221007</v>
      </c>
    </row>
    <row r="3801" spans="1:17" x14ac:dyDescent="0.25">
      <c r="A3801" t="s">
        <v>548</v>
      </c>
      <c r="B3801" t="s">
        <v>429</v>
      </c>
      <c r="C3801">
        <v>135</v>
      </c>
      <c r="D3801">
        <v>20221007</v>
      </c>
      <c r="E3801">
        <f t="shared" si="59"/>
        <v>10</v>
      </c>
      <c r="F3801">
        <v>411100</v>
      </c>
      <c r="G3801" t="s">
        <v>18</v>
      </c>
      <c r="H3801" t="s">
        <v>641</v>
      </c>
      <c r="I3801" t="s">
        <v>642</v>
      </c>
      <c r="J3801">
        <v>358147</v>
      </c>
      <c r="K3801">
        <v>20221007</v>
      </c>
      <c r="L3801" t="s">
        <v>3768</v>
      </c>
      <c r="M3801">
        <v>0</v>
      </c>
      <c r="N3801">
        <v>10</v>
      </c>
      <c r="O3801" t="s">
        <v>22</v>
      </c>
      <c r="P3801">
        <v>20230218</v>
      </c>
      <c r="Q3801">
        <v>20221007</v>
      </c>
    </row>
    <row r="3802" spans="1:17" x14ac:dyDescent="0.25">
      <c r="A3802" t="s">
        <v>548</v>
      </c>
      <c r="B3802" t="s">
        <v>429</v>
      </c>
      <c r="C3802">
        <v>135</v>
      </c>
      <c r="D3802">
        <v>20221007</v>
      </c>
      <c r="E3802">
        <f t="shared" si="59"/>
        <v>10</v>
      </c>
      <c r="F3802">
        <v>411100</v>
      </c>
      <c r="G3802" t="s">
        <v>18</v>
      </c>
      <c r="H3802" t="s">
        <v>291</v>
      </c>
      <c r="I3802" t="s">
        <v>292</v>
      </c>
      <c r="J3802">
        <v>358148</v>
      </c>
      <c r="K3802">
        <v>20221007</v>
      </c>
      <c r="L3802" t="s">
        <v>3769</v>
      </c>
      <c r="M3802">
        <v>0</v>
      </c>
      <c r="N3802">
        <v>90</v>
      </c>
      <c r="O3802" t="s">
        <v>19</v>
      </c>
      <c r="P3802" t="s">
        <v>20</v>
      </c>
      <c r="Q3802">
        <v>20221007</v>
      </c>
    </row>
    <row r="3803" spans="1:17" x14ac:dyDescent="0.25">
      <c r="A3803" t="s">
        <v>548</v>
      </c>
      <c r="B3803" t="s">
        <v>429</v>
      </c>
      <c r="C3803">
        <v>135</v>
      </c>
      <c r="D3803">
        <v>20221007</v>
      </c>
      <c r="E3803">
        <f t="shared" si="59"/>
        <v>10</v>
      </c>
      <c r="F3803">
        <v>411000</v>
      </c>
      <c r="G3803" t="s">
        <v>21</v>
      </c>
      <c r="H3803" t="s">
        <v>279</v>
      </c>
      <c r="I3803" t="s">
        <v>280</v>
      </c>
      <c r="J3803">
        <v>358149</v>
      </c>
      <c r="K3803">
        <v>20221007</v>
      </c>
      <c r="L3803" t="s">
        <v>3770</v>
      </c>
      <c r="M3803">
        <v>0</v>
      </c>
      <c r="N3803">
        <v>95</v>
      </c>
      <c r="O3803" t="s">
        <v>19</v>
      </c>
      <c r="P3803" t="s">
        <v>20</v>
      </c>
      <c r="Q3803">
        <v>20221007</v>
      </c>
    </row>
    <row r="3804" spans="1:17" x14ac:dyDescent="0.25">
      <c r="A3804" t="s">
        <v>548</v>
      </c>
      <c r="B3804" t="s">
        <v>429</v>
      </c>
      <c r="C3804">
        <v>135</v>
      </c>
      <c r="D3804">
        <v>20221007</v>
      </c>
      <c r="E3804">
        <f t="shared" si="59"/>
        <v>10</v>
      </c>
      <c r="F3804">
        <v>531105</v>
      </c>
      <c r="G3804" t="s">
        <v>429</v>
      </c>
      <c r="H3804" t="s">
        <v>401</v>
      </c>
      <c r="I3804" t="s">
        <v>402</v>
      </c>
      <c r="J3804">
        <v>358150</v>
      </c>
      <c r="K3804">
        <v>20221007</v>
      </c>
      <c r="L3804" t="s">
        <v>565</v>
      </c>
      <c r="M3804">
        <v>244.27</v>
      </c>
      <c r="N3804">
        <v>0</v>
      </c>
      <c r="O3804" t="s">
        <v>19</v>
      </c>
      <c r="P3804" t="s">
        <v>20</v>
      </c>
      <c r="Q3804">
        <v>20221007</v>
      </c>
    </row>
    <row r="3805" spans="1:17" x14ac:dyDescent="0.25">
      <c r="A3805" t="s">
        <v>548</v>
      </c>
      <c r="B3805" t="s">
        <v>429</v>
      </c>
      <c r="C3805">
        <v>135</v>
      </c>
      <c r="D3805">
        <v>20221010</v>
      </c>
      <c r="E3805">
        <f t="shared" si="59"/>
        <v>10</v>
      </c>
      <c r="F3805">
        <v>411100</v>
      </c>
      <c r="G3805" t="s">
        <v>18</v>
      </c>
      <c r="H3805" t="s">
        <v>3536</v>
      </c>
      <c r="I3805" t="s">
        <v>3537</v>
      </c>
      <c r="J3805">
        <v>358151</v>
      </c>
      <c r="K3805">
        <v>20221010</v>
      </c>
      <c r="L3805" t="s">
        <v>3771</v>
      </c>
      <c r="M3805">
        <v>0</v>
      </c>
      <c r="N3805">
        <v>126</v>
      </c>
      <c r="O3805" t="s">
        <v>19</v>
      </c>
      <c r="P3805" t="s">
        <v>20</v>
      </c>
      <c r="Q3805">
        <v>20221010</v>
      </c>
    </row>
    <row r="3806" spans="1:17" x14ac:dyDescent="0.25">
      <c r="A3806" t="s">
        <v>548</v>
      </c>
      <c r="B3806" t="s">
        <v>429</v>
      </c>
      <c r="C3806">
        <v>135</v>
      </c>
      <c r="D3806">
        <v>20221010</v>
      </c>
      <c r="E3806">
        <f t="shared" si="59"/>
        <v>10</v>
      </c>
      <c r="F3806">
        <v>411100</v>
      </c>
      <c r="G3806" t="s">
        <v>18</v>
      </c>
      <c r="H3806" t="s">
        <v>3648</v>
      </c>
      <c r="I3806" t="s">
        <v>3649</v>
      </c>
      <c r="J3806">
        <v>358152</v>
      </c>
      <c r="K3806">
        <v>20221010</v>
      </c>
      <c r="L3806" t="s">
        <v>3772</v>
      </c>
      <c r="M3806">
        <v>0</v>
      </c>
      <c r="N3806">
        <v>32.5</v>
      </c>
      <c r="O3806" t="s">
        <v>19</v>
      </c>
      <c r="P3806" t="s">
        <v>20</v>
      </c>
      <c r="Q3806">
        <v>20221010</v>
      </c>
    </row>
    <row r="3807" spans="1:17" x14ac:dyDescent="0.25">
      <c r="A3807" t="s">
        <v>548</v>
      </c>
      <c r="B3807" t="s">
        <v>429</v>
      </c>
      <c r="C3807">
        <v>135</v>
      </c>
      <c r="D3807">
        <v>20221010</v>
      </c>
      <c r="E3807">
        <f t="shared" si="59"/>
        <v>10</v>
      </c>
      <c r="F3807">
        <v>411100</v>
      </c>
      <c r="G3807" t="s">
        <v>18</v>
      </c>
      <c r="H3807" t="s">
        <v>3648</v>
      </c>
      <c r="I3807" t="s">
        <v>3649</v>
      </c>
      <c r="J3807">
        <v>358153</v>
      </c>
      <c r="K3807">
        <v>20221010</v>
      </c>
      <c r="L3807" t="s">
        <v>3773</v>
      </c>
      <c r="M3807">
        <v>0</v>
      </c>
      <c r="N3807">
        <v>7.5</v>
      </c>
      <c r="O3807" t="s">
        <v>22</v>
      </c>
      <c r="P3807">
        <v>20230218</v>
      </c>
      <c r="Q3807">
        <v>20221010</v>
      </c>
    </row>
    <row r="3808" spans="1:17" x14ac:dyDescent="0.25">
      <c r="A3808" t="s">
        <v>548</v>
      </c>
      <c r="B3808" t="s">
        <v>429</v>
      </c>
      <c r="C3808">
        <v>135</v>
      </c>
      <c r="D3808">
        <v>20221010</v>
      </c>
      <c r="E3808">
        <f t="shared" si="59"/>
        <v>10</v>
      </c>
      <c r="F3808">
        <v>411100</v>
      </c>
      <c r="G3808" t="s">
        <v>18</v>
      </c>
      <c r="H3808" t="s">
        <v>253</v>
      </c>
      <c r="I3808" t="s">
        <v>254</v>
      </c>
      <c r="J3808">
        <v>122070155</v>
      </c>
      <c r="K3808">
        <v>20221010</v>
      </c>
      <c r="L3808" t="s">
        <v>3774</v>
      </c>
      <c r="M3808">
        <v>0</v>
      </c>
      <c r="N3808">
        <v>143.79</v>
      </c>
      <c r="O3808" t="s">
        <v>23</v>
      </c>
      <c r="P3808">
        <v>20230329</v>
      </c>
      <c r="Q3808">
        <v>20221010</v>
      </c>
    </row>
    <row r="3809" spans="1:17" x14ac:dyDescent="0.25">
      <c r="A3809" t="s">
        <v>548</v>
      </c>
      <c r="B3809" t="s">
        <v>429</v>
      </c>
      <c r="C3809">
        <v>135</v>
      </c>
      <c r="D3809">
        <v>20221010</v>
      </c>
      <c r="E3809">
        <f t="shared" si="59"/>
        <v>10</v>
      </c>
      <c r="F3809">
        <v>411100</v>
      </c>
      <c r="G3809" t="s">
        <v>18</v>
      </c>
      <c r="H3809" t="s">
        <v>77</v>
      </c>
      <c r="I3809" t="s">
        <v>78</v>
      </c>
      <c r="J3809">
        <v>122080053</v>
      </c>
      <c r="K3809">
        <v>20221010</v>
      </c>
      <c r="L3809" t="s">
        <v>3775</v>
      </c>
      <c r="M3809">
        <v>0</v>
      </c>
      <c r="N3809">
        <v>75.459999999999994</v>
      </c>
      <c r="O3809" t="s">
        <v>19</v>
      </c>
      <c r="P3809" t="s">
        <v>20</v>
      </c>
      <c r="Q3809">
        <v>20221010</v>
      </c>
    </row>
    <row r="3810" spans="1:17" x14ac:dyDescent="0.25">
      <c r="A3810" t="s">
        <v>548</v>
      </c>
      <c r="B3810" t="s">
        <v>429</v>
      </c>
      <c r="C3810">
        <v>135</v>
      </c>
      <c r="D3810">
        <v>20221010</v>
      </c>
      <c r="E3810">
        <f t="shared" si="59"/>
        <v>10</v>
      </c>
      <c r="F3810">
        <v>411100</v>
      </c>
      <c r="G3810" t="s">
        <v>18</v>
      </c>
      <c r="H3810" t="s">
        <v>1774</v>
      </c>
      <c r="I3810" t="s">
        <v>1775</v>
      </c>
      <c r="J3810">
        <v>358156</v>
      </c>
      <c r="K3810">
        <v>20221010</v>
      </c>
      <c r="L3810" t="s">
        <v>3776</v>
      </c>
      <c r="M3810">
        <v>0</v>
      </c>
      <c r="N3810">
        <v>50</v>
      </c>
      <c r="O3810" t="s">
        <v>22</v>
      </c>
      <c r="P3810">
        <v>20230218</v>
      </c>
      <c r="Q3810">
        <v>20221010</v>
      </c>
    </row>
    <row r="3811" spans="1:17" x14ac:dyDescent="0.25">
      <c r="A3811" t="s">
        <v>548</v>
      </c>
      <c r="B3811" t="s">
        <v>429</v>
      </c>
      <c r="C3811">
        <v>135</v>
      </c>
      <c r="D3811">
        <v>20221010</v>
      </c>
      <c r="E3811">
        <f t="shared" si="59"/>
        <v>10</v>
      </c>
      <c r="F3811">
        <v>411100</v>
      </c>
      <c r="G3811" t="s">
        <v>18</v>
      </c>
      <c r="H3811" t="s">
        <v>3777</v>
      </c>
      <c r="I3811" t="s">
        <v>3778</v>
      </c>
      <c r="J3811">
        <v>358157</v>
      </c>
      <c r="K3811">
        <v>20221010</v>
      </c>
      <c r="L3811" t="s">
        <v>3779</v>
      </c>
      <c r="M3811">
        <v>0</v>
      </c>
      <c r="N3811">
        <v>10</v>
      </c>
      <c r="O3811" t="s">
        <v>22</v>
      </c>
      <c r="P3811">
        <v>20230218</v>
      </c>
      <c r="Q3811">
        <v>20221010</v>
      </c>
    </row>
    <row r="3812" spans="1:17" x14ac:dyDescent="0.25">
      <c r="A3812" t="s">
        <v>548</v>
      </c>
      <c r="B3812" t="s">
        <v>429</v>
      </c>
      <c r="C3812">
        <v>135</v>
      </c>
      <c r="D3812">
        <v>20221010</v>
      </c>
      <c r="E3812">
        <f t="shared" si="59"/>
        <v>10</v>
      </c>
      <c r="F3812">
        <v>531105</v>
      </c>
      <c r="G3812" t="s">
        <v>429</v>
      </c>
      <c r="H3812" t="s">
        <v>401</v>
      </c>
      <c r="I3812" t="s">
        <v>402</v>
      </c>
      <c r="J3812">
        <v>358158</v>
      </c>
      <c r="K3812">
        <v>20221010</v>
      </c>
      <c r="L3812" t="s">
        <v>565</v>
      </c>
      <c r="M3812">
        <v>445.25</v>
      </c>
      <c r="N3812">
        <v>0</v>
      </c>
      <c r="O3812" t="s">
        <v>19</v>
      </c>
      <c r="P3812" t="s">
        <v>20</v>
      </c>
      <c r="Q3812">
        <v>20221010</v>
      </c>
    </row>
    <row r="3813" spans="1:17" x14ac:dyDescent="0.25">
      <c r="A3813" t="s">
        <v>548</v>
      </c>
      <c r="B3813" t="s">
        <v>429</v>
      </c>
      <c r="C3813">
        <v>135</v>
      </c>
      <c r="D3813">
        <v>20221010</v>
      </c>
      <c r="E3813">
        <f t="shared" si="59"/>
        <v>10</v>
      </c>
      <c r="F3813">
        <v>411100</v>
      </c>
      <c r="G3813" t="s">
        <v>18</v>
      </c>
      <c r="H3813" t="s">
        <v>77</v>
      </c>
      <c r="I3813" t="s">
        <v>78</v>
      </c>
      <c r="J3813">
        <v>222060019</v>
      </c>
      <c r="K3813">
        <v>20221010</v>
      </c>
      <c r="L3813" t="s">
        <v>3780</v>
      </c>
      <c r="M3813">
        <v>0</v>
      </c>
      <c r="N3813">
        <v>155.62</v>
      </c>
      <c r="O3813" t="s">
        <v>19</v>
      </c>
      <c r="P3813" t="s">
        <v>20</v>
      </c>
      <c r="Q3813">
        <v>20221010</v>
      </c>
    </row>
    <row r="3814" spans="1:17" x14ac:dyDescent="0.25">
      <c r="A3814" t="s">
        <v>548</v>
      </c>
      <c r="B3814" t="s">
        <v>429</v>
      </c>
      <c r="C3814">
        <v>135</v>
      </c>
      <c r="D3814">
        <v>20221010</v>
      </c>
      <c r="E3814">
        <f t="shared" si="59"/>
        <v>10</v>
      </c>
      <c r="F3814">
        <v>531105</v>
      </c>
      <c r="G3814" t="s">
        <v>429</v>
      </c>
      <c r="H3814" t="s">
        <v>401</v>
      </c>
      <c r="I3814" t="s">
        <v>402</v>
      </c>
      <c r="J3814">
        <v>358313</v>
      </c>
      <c r="K3814">
        <v>20221010</v>
      </c>
      <c r="L3814" t="s">
        <v>565</v>
      </c>
      <c r="M3814">
        <v>155.62</v>
      </c>
      <c r="N3814">
        <v>0</v>
      </c>
      <c r="O3814" t="s">
        <v>19</v>
      </c>
      <c r="P3814" t="s">
        <v>20</v>
      </c>
      <c r="Q3814">
        <v>20221010</v>
      </c>
    </row>
    <row r="3815" spans="1:17" x14ac:dyDescent="0.25">
      <c r="A3815" t="s">
        <v>548</v>
      </c>
      <c r="B3815" t="s">
        <v>429</v>
      </c>
      <c r="C3815">
        <v>135</v>
      </c>
      <c r="D3815">
        <v>20221011</v>
      </c>
      <c r="E3815">
        <f t="shared" si="59"/>
        <v>10</v>
      </c>
      <c r="F3815">
        <v>411100</v>
      </c>
      <c r="G3815" t="s">
        <v>18</v>
      </c>
      <c r="H3815" t="s">
        <v>289</v>
      </c>
      <c r="I3815" t="s">
        <v>290</v>
      </c>
      <c r="J3815">
        <v>122070136</v>
      </c>
      <c r="K3815">
        <v>20221011</v>
      </c>
      <c r="L3815" t="s">
        <v>3781</v>
      </c>
      <c r="M3815">
        <v>0</v>
      </c>
      <c r="N3815">
        <v>16.2</v>
      </c>
      <c r="O3815" t="s">
        <v>19</v>
      </c>
      <c r="P3815" t="s">
        <v>20</v>
      </c>
      <c r="Q3815">
        <v>20221011</v>
      </c>
    </row>
    <row r="3816" spans="1:17" x14ac:dyDescent="0.25">
      <c r="A3816" t="s">
        <v>548</v>
      </c>
      <c r="B3816" t="s">
        <v>429</v>
      </c>
      <c r="C3816">
        <v>135</v>
      </c>
      <c r="D3816">
        <v>20221011</v>
      </c>
      <c r="E3816">
        <f t="shared" si="59"/>
        <v>10</v>
      </c>
      <c r="F3816">
        <v>411100</v>
      </c>
      <c r="G3816" t="s">
        <v>18</v>
      </c>
      <c r="H3816" t="s">
        <v>3218</v>
      </c>
      <c r="I3816" t="s">
        <v>3219</v>
      </c>
      <c r="J3816">
        <v>122070107</v>
      </c>
      <c r="K3816">
        <v>20221011</v>
      </c>
      <c r="L3816" t="s">
        <v>3782</v>
      </c>
      <c r="M3816">
        <v>0</v>
      </c>
      <c r="N3816">
        <v>31</v>
      </c>
      <c r="O3816" t="s">
        <v>23</v>
      </c>
      <c r="P3816">
        <v>20230329</v>
      </c>
      <c r="Q3816">
        <v>20221011</v>
      </c>
    </row>
    <row r="3817" spans="1:17" x14ac:dyDescent="0.25">
      <c r="A3817" t="s">
        <v>548</v>
      </c>
      <c r="B3817" t="s">
        <v>429</v>
      </c>
      <c r="C3817">
        <v>135</v>
      </c>
      <c r="D3817">
        <v>20221011</v>
      </c>
      <c r="E3817">
        <f t="shared" si="59"/>
        <v>10</v>
      </c>
      <c r="F3817">
        <v>411100</v>
      </c>
      <c r="G3817" t="s">
        <v>18</v>
      </c>
      <c r="H3817" t="s">
        <v>289</v>
      </c>
      <c r="I3817" t="s">
        <v>290</v>
      </c>
      <c r="J3817">
        <v>358161</v>
      </c>
      <c r="K3817">
        <v>20221011</v>
      </c>
      <c r="L3817" t="s">
        <v>3783</v>
      </c>
      <c r="M3817">
        <v>0</v>
      </c>
      <c r="N3817">
        <v>31.5</v>
      </c>
      <c r="O3817" t="s">
        <v>19</v>
      </c>
      <c r="P3817" t="s">
        <v>20</v>
      </c>
      <c r="Q3817">
        <v>20221011</v>
      </c>
    </row>
    <row r="3818" spans="1:17" x14ac:dyDescent="0.25">
      <c r="A3818" t="s">
        <v>548</v>
      </c>
      <c r="B3818" t="s">
        <v>429</v>
      </c>
      <c r="C3818">
        <v>135</v>
      </c>
      <c r="D3818">
        <v>20221011</v>
      </c>
      <c r="E3818">
        <f t="shared" si="59"/>
        <v>10</v>
      </c>
      <c r="F3818">
        <v>411100</v>
      </c>
      <c r="G3818" t="s">
        <v>18</v>
      </c>
      <c r="H3818" t="s">
        <v>3784</v>
      </c>
      <c r="I3818" t="s">
        <v>3785</v>
      </c>
      <c r="J3818">
        <v>358162</v>
      </c>
      <c r="K3818">
        <v>20221011</v>
      </c>
      <c r="L3818" t="s">
        <v>3786</v>
      </c>
      <c r="M3818">
        <v>0</v>
      </c>
      <c r="N3818">
        <v>23.5</v>
      </c>
      <c r="O3818" t="s">
        <v>22</v>
      </c>
      <c r="P3818">
        <v>20230218</v>
      </c>
      <c r="Q3818">
        <v>20221011</v>
      </c>
    </row>
    <row r="3819" spans="1:17" x14ac:dyDescent="0.25">
      <c r="A3819" t="s">
        <v>548</v>
      </c>
      <c r="B3819" t="s">
        <v>429</v>
      </c>
      <c r="C3819">
        <v>135</v>
      </c>
      <c r="D3819">
        <v>20221011</v>
      </c>
      <c r="E3819">
        <f t="shared" si="59"/>
        <v>10</v>
      </c>
      <c r="F3819">
        <v>531105</v>
      </c>
      <c r="G3819" t="s">
        <v>429</v>
      </c>
      <c r="H3819" t="s">
        <v>401</v>
      </c>
      <c r="I3819" t="s">
        <v>402</v>
      </c>
      <c r="J3819">
        <v>358163</v>
      </c>
      <c r="K3819">
        <v>20221011</v>
      </c>
      <c r="L3819" t="s">
        <v>565</v>
      </c>
      <c r="M3819">
        <v>102.2</v>
      </c>
      <c r="N3819">
        <v>0</v>
      </c>
      <c r="O3819" t="s">
        <v>19</v>
      </c>
      <c r="P3819" t="s">
        <v>20</v>
      </c>
      <c r="Q3819">
        <v>20221011</v>
      </c>
    </row>
    <row r="3820" spans="1:17" x14ac:dyDescent="0.25">
      <c r="A3820" t="s">
        <v>548</v>
      </c>
      <c r="B3820" t="s">
        <v>429</v>
      </c>
      <c r="C3820">
        <v>135</v>
      </c>
      <c r="D3820">
        <v>20221012</v>
      </c>
      <c r="E3820">
        <f t="shared" si="59"/>
        <v>10</v>
      </c>
      <c r="F3820">
        <v>411100</v>
      </c>
      <c r="G3820" t="s">
        <v>18</v>
      </c>
      <c r="H3820" t="s">
        <v>33</v>
      </c>
      <c r="I3820" t="s">
        <v>34</v>
      </c>
      <c r="J3820">
        <v>358141</v>
      </c>
      <c r="K3820">
        <v>20221012</v>
      </c>
      <c r="L3820" t="s">
        <v>3787</v>
      </c>
      <c r="M3820">
        <v>31.48</v>
      </c>
      <c r="N3820">
        <v>0</v>
      </c>
      <c r="O3820" t="s">
        <v>19</v>
      </c>
      <c r="P3820" t="s">
        <v>20</v>
      </c>
      <c r="Q3820">
        <v>20221012</v>
      </c>
    </row>
    <row r="3821" spans="1:17" x14ac:dyDescent="0.25">
      <c r="A3821" t="s">
        <v>548</v>
      </c>
      <c r="B3821" t="s">
        <v>429</v>
      </c>
      <c r="C3821">
        <v>135</v>
      </c>
      <c r="D3821">
        <v>20221012</v>
      </c>
      <c r="E3821">
        <f t="shared" si="59"/>
        <v>10</v>
      </c>
      <c r="F3821">
        <v>531105</v>
      </c>
      <c r="G3821" t="s">
        <v>429</v>
      </c>
      <c r="H3821" t="s">
        <v>401</v>
      </c>
      <c r="I3821" t="s">
        <v>402</v>
      </c>
      <c r="J3821">
        <v>358142</v>
      </c>
      <c r="K3821">
        <v>20221012</v>
      </c>
      <c r="L3821" t="s">
        <v>3787</v>
      </c>
      <c r="M3821">
        <v>0</v>
      </c>
      <c r="N3821">
        <v>31.48</v>
      </c>
      <c r="O3821" t="s">
        <v>19</v>
      </c>
      <c r="P3821" t="s">
        <v>20</v>
      </c>
      <c r="Q3821">
        <v>20221012</v>
      </c>
    </row>
    <row r="3822" spans="1:17" x14ac:dyDescent="0.25">
      <c r="A3822" t="s">
        <v>548</v>
      </c>
      <c r="B3822" t="s">
        <v>429</v>
      </c>
      <c r="C3822">
        <v>135</v>
      </c>
      <c r="D3822">
        <v>20221012</v>
      </c>
      <c r="E3822">
        <f t="shared" si="59"/>
        <v>10</v>
      </c>
      <c r="F3822">
        <v>411100</v>
      </c>
      <c r="G3822" t="s">
        <v>18</v>
      </c>
      <c r="H3822" t="s">
        <v>3788</v>
      </c>
      <c r="I3822" t="s">
        <v>3789</v>
      </c>
      <c r="J3822">
        <v>358164</v>
      </c>
      <c r="K3822">
        <v>20221012</v>
      </c>
      <c r="L3822" t="s">
        <v>3790</v>
      </c>
      <c r="M3822">
        <v>0</v>
      </c>
      <c r="N3822">
        <v>50</v>
      </c>
      <c r="O3822" t="s">
        <v>22</v>
      </c>
      <c r="P3822">
        <v>20230218</v>
      </c>
      <c r="Q3822">
        <v>20221012</v>
      </c>
    </row>
    <row r="3823" spans="1:17" x14ac:dyDescent="0.25">
      <c r="A3823" t="s">
        <v>548</v>
      </c>
      <c r="B3823" t="s">
        <v>429</v>
      </c>
      <c r="C3823">
        <v>135</v>
      </c>
      <c r="D3823">
        <v>20221012</v>
      </c>
      <c r="E3823">
        <f t="shared" si="59"/>
        <v>10</v>
      </c>
      <c r="F3823">
        <v>411100</v>
      </c>
      <c r="G3823" t="s">
        <v>18</v>
      </c>
      <c r="H3823" t="s">
        <v>291</v>
      </c>
      <c r="I3823" t="s">
        <v>292</v>
      </c>
      <c r="J3823">
        <v>358165</v>
      </c>
      <c r="K3823">
        <v>20221012</v>
      </c>
      <c r="L3823" t="s">
        <v>3791</v>
      </c>
      <c r="M3823">
        <v>0</v>
      </c>
      <c r="N3823">
        <v>160</v>
      </c>
      <c r="O3823" t="s">
        <v>19</v>
      </c>
      <c r="P3823" t="s">
        <v>20</v>
      </c>
      <c r="Q3823">
        <v>20221012</v>
      </c>
    </row>
    <row r="3824" spans="1:17" x14ac:dyDescent="0.25">
      <c r="A3824" t="s">
        <v>548</v>
      </c>
      <c r="B3824" t="s">
        <v>429</v>
      </c>
      <c r="C3824">
        <v>135</v>
      </c>
      <c r="D3824">
        <v>20221012</v>
      </c>
      <c r="E3824">
        <f t="shared" si="59"/>
        <v>10</v>
      </c>
      <c r="F3824">
        <v>411100</v>
      </c>
      <c r="G3824" t="s">
        <v>18</v>
      </c>
      <c r="H3824" t="s">
        <v>322</v>
      </c>
      <c r="I3824" t="s">
        <v>323</v>
      </c>
      <c r="J3824">
        <v>358166</v>
      </c>
      <c r="K3824">
        <v>20221012</v>
      </c>
      <c r="L3824" t="s">
        <v>3792</v>
      </c>
      <c r="M3824">
        <v>0</v>
      </c>
      <c r="N3824">
        <v>18</v>
      </c>
      <c r="O3824" t="s">
        <v>19</v>
      </c>
      <c r="P3824" t="s">
        <v>20</v>
      </c>
      <c r="Q3824">
        <v>20221012</v>
      </c>
    </row>
    <row r="3825" spans="1:17" x14ac:dyDescent="0.25">
      <c r="A3825" t="s">
        <v>548</v>
      </c>
      <c r="B3825" t="s">
        <v>429</v>
      </c>
      <c r="C3825">
        <v>135</v>
      </c>
      <c r="D3825">
        <v>20221012</v>
      </c>
      <c r="E3825">
        <f t="shared" si="59"/>
        <v>10</v>
      </c>
      <c r="F3825">
        <v>411100</v>
      </c>
      <c r="G3825" t="s">
        <v>18</v>
      </c>
      <c r="H3825" t="s">
        <v>3793</v>
      </c>
      <c r="I3825" t="s">
        <v>3794</v>
      </c>
      <c r="J3825">
        <v>358167</v>
      </c>
      <c r="K3825">
        <v>20221012</v>
      </c>
      <c r="L3825" t="s">
        <v>3795</v>
      </c>
      <c r="M3825">
        <v>0</v>
      </c>
      <c r="N3825">
        <v>149.86000000000001</v>
      </c>
      <c r="O3825" t="s">
        <v>19</v>
      </c>
      <c r="P3825" t="s">
        <v>20</v>
      </c>
      <c r="Q3825">
        <v>20221012</v>
      </c>
    </row>
    <row r="3826" spans="1:17" x14ac:dyDescent="0.25">
      <c r="A3826" t="s">
        <v>548</v>
      </c>
      <c r="B3826" t="s">
        <v>429</v>
      </c>
      <c r="C3826">
        <v>135</v>
      </c>
      <c r="D3826">
        <v>20221012</v>
      </c>
      <c r="E3826">
        <f t="shared" si="59"/>
        <v>10</v>
      </c>
      <c r="F3826">
        <v>411100</v>
      </c>
      <c r="G3826" t="s">
        <v>18</v>
      </c>
      <c r="H3826" t="s">
        <v>352</v>
      </c>
      <c r="I3826" t="s">
        <v>353</v>
      </c>
      <c r="J3826">
        <v>358168</v>
      </c>
      <c r="K3826">
        <v>20221012</v>
      </c>
      <c r="L3826" t="s">
        <v>3796</v>
      </c>
      <c r="M3826">
        <v>0</v>
      </c>
      <c r="N3826">
        <v>130</v>
      </c>
      <c r="O3826" t="s">
        <v>19</v>
      </c>
      <c r="P3826" t="s">
        <v>20</v>
      </c>
      <c r="Q3826">
        <v>20221012</v>
      </c>
    </row>
    <row r="3827" spans="1:17" x14ac:dyDescent="0.25">
      <c r="A3827" t="s">
        <v>548</v>
      </c>
      <c r="B3827" t="s">
        <v>429</v>
      </c>
      <c r="C3827">
        <v>135</v>
      </c>
      <c r="D3827">
        <v>20221012</v>
      </c>
      <c r="E3827">
        <f t="shared" si="59"/>
        <v>10</v>
      </c>
      <c r="F3827">
        <v>531105</v>
      </c>
      <c r="G3827" t="s">
        <v>429</v>
      </c>
      <c r="H3827" t="s">
        <v>401</v>
      </c>
      <c r="I3827" t="s">
        <v>402</v>
      </c>
      <c r="J3827">
        <v>358169</v>
      </c>
      <c r="K3827">
        <v>20221012</v>
      </c>
      <c r="L3827" t="s">
        <v>565</v>
      </c>
      <c r="M3827">
        <v>507.86</v>
      </c>
      <c r="N3827">
        <v>0</v>
      </c>
      <c r="O3827" t="s">
        <v>19</v>
      </c>
      <c r="P3827" t="s">
        <v>20</v>
      </c>
      <c r="Q3827">
        <v>20221012</v>
      </c>
    </row>
    <row r="3828" spans="1:17" x14ac:dyDescent="0.25">
      <c r="A3828" t="s">
        <v>548</v>
      </c>
      <c r="B3828" t="s">
        <v>429</v>
      </c>
      <c r="C3828">
        <v>135</v>
      </c>
      <c r="D3828">
        <v>20221012</v>
      </c>
      <c r="E3828">
        <f t="shared" si="59"/>
        <v>10</v>
      </c>
      <c r="F3828">
        <v>411020</v>
      </c>
      <c r="G3828" t="s">
        <v>30</v>
      </c>
      <c r="H3828" t="s">
        <v>3633</v>
      </c>
      <c r="I3828" t="s">
        <v>3634</v>
      </c>
      <c r="J3828">
        <v>322090004</v>
      </c>
      <c r="K3828">
        <v>20221012</v>
      </c>
      <c r="L3828" t="s">
        <v>3797</v>
      </c>
      <c r="M3828">
        <v>0</v>
      </c>
      <c r="N3828">
        <v>62.72</v>
      </c>
      <c r="O3828" t="s">
        <v>22</v>
      </c>
      <c r="P3828">
        <v>20230218</v>
      </c>
      <c r="Q3828">
        <v>20221012</v>
      </c>
    </row>
    <row r="3829" spans="1:17" x14ac:dyDescent="0.25">
      <c r="A3829" t="s">
        <v>548</v>
      </c>
      <c r="B3829" t="s">
        <v>429</v>
      </c>
      <c r="C3829">
        <v>135</v>
      </c>
      <c r="D3829">
        <v>20221012</v>
      </c>
      <c r="E3829">
        <f t="shared" si="59"/>
        <v>10</v>
      </c>
      <c r="F3829">
        <v>411100</v>
      </c>
      <c r="G3829" t="s">
        <v>18</v>
      </c>
      <c r="H3829" t="s">
        <v>209</v>
      </c>
      <c r="I3829" t="s">
        <v>210</v>
      </c>
      <c r="J3829">
        <v>322090012</v>
      </c>
      <c r="K3829">
        <v>20221012</v>
      </c>
      <c r="L3829" t="s">
        <v>3798</v>
      </c>
      <c r="M3829">
        <v>0</v>
      </c>
      <c r="N3829">
        <v>80.09</v>
      </c>
      <c r="O3829" t="s">
        <v>22</v>
      </c>
      <c r="P3829">
        <v>20230218</v>
      </c>
      <c r="Q3829">
        <v>20221012</v>
      </c>
    </row>
    <row r="3830" spans="1:17" x14ac:dyDescent="0.25">
      <c r="A3830" t="s">
        <v>548</v>
      </c>
      <c r="B3830" t="s">
        <v>429</v>
      </c>
      <c r="C3830">
        <v>135</v>
      </c>
      <c r="D3830">
        <v>20221012</v>
      </c>
      <c r="E3830">
        <f t="shared" si="59"/>
        <v>10</v>
      </c>
      <c r="F3830">
        <v>411020</v>
      </c>
      <c r="G3830" t="s">
        <v>30</v>
      </c>
      <c r="H3830" t="s">
        <v>324</v>
      </c>
      <c r="I3830" t="s">
        <v>325</v>
      </c>
      <c r="J3830">
        <v>322070004</v>
      </c>
      <c r="K3830">
        <v>20221012</v>
      </c>
      <c r="L3830" t="s">
        <v>3799</v>
      </c>
      <c r="M3830">
        <v>0</v>
      </c>
      <c r="N3830">
        <v>297.42</v>
      </c>
      <c r="O3830" t="s">
        <v>23</v>
      </c>
      <c r="P3830">
        <v>20230218</v>
      </c>
      <c r="Q3830">
        <v>20221012</v>
      </c>
    </row>
    <row r="3831" spans="1:17" x14ac:dyDescent="0.25">
      <c r="A3831" t="s">
        <v>548</v>
      </c>
      <c r="B3831" t="s">
        <v>429</v>
      </c>
      <c r="C3831">
        <v>135</v>
      </c>
      <c r="D3831">
        <v>20221012</v>
      </c>
      <c r="E3831">
        <f t="shared" si="59"/>
        <v>10</v>
      </c>
      <c r="F3831">
        <v>411020</v>
      </c>
      <c r="G3831" t="s">
        <v>30</v>
      </c>
      <c r="H3831" t="s">
        <v>324</v>
      </c>
      <c r="I3831" t="s">
        <v>325</v>
      </c>
      <c r="J3831">
        <v>322070004</v>
      </c>
      <c r="K3831">
        <v>20221012</v>
      </c>
      <c r="L3831" t="s">
        <v>3800</v>
      </c>
      <c r="M3831">
        <v>0</v>
      </c>
      <c r="N3831">
        <v>2.58</v>
      </c>
      <c r="O3831" t="s">
        <v>23</v>
      </c>
      <c r="P3831">
        <v>20230218</v>
      </c>
      <c r="Q3831">
        <v>20221012</v>
      </c>
    </row>
    <row r="3832" spans="1:17" x14ac:dyDescent="0.25">
      <c r="A3832" t="s">
        <v>548</v>
      </c>
      <c r="B3832" t="s">
        <v>429</v>
      </c>
      <c r="C3832">
        <v>135</v>
      </c>
      <c r="D3832">
        <v>20221012</v>
      </c>
      <c r="E3832">
        <f t="shared" si="59"/>
        <v>10</v>
      </c>
      <c r="F3832">
        <v>411100</v>
      </c>
      <c r="G3832" t="s">
        <v>18</v>
      </c>
      <c r="H3832" t="s">
        <v>3641</v>
      </c>
      <c r="I3832" t="s">
        <v>3642</v>
      </c>
      <c r="J3832">
        <v>322090015</v>
      </c>
      <c r="K3832">
        <v>20221012</v>
      </c>
      <c r="L3832" t="s">
        <v>3801</v>
      </c>
      <c r="M3832">
        <v>0</v>
      </c>
      <c r="N3832">
        <v>31.1</v>
      </c>
      <c r="O3832" t="s">
        <v>22</v>
      </c>
      <c r="P3832">
        <v>20230218</v>
      </c>
      <c r="Q3832">
        <v>20221012</v>
      </c>
    </row>
    <row r="3833" spans="1:17" x14ac:dyDescent="0.25">
      <c r="A3833" t="s">
        <v>548</v>
      </c>
      <c r="B3833" t="s">
        <v>429</v>
      </c>
      <c r="C3833">
        <v>135</v>
      </c>
      <c r="D3833">
        <v>20221012</v>
      </c>
      <c r="E3833">
        <f t="shared" si="59"/>
        <v>10</v>
      </c>
      <c r="F3833">
        <v>411020</v>
      </c>
      <c r="G3833" t="s">
        <v>30</v>
      </c>
      <c r="H3833" t="s">
        <v>3631</v>
      </c>
      <c r="I3833" t="s">
        <v>3632</v>
      </c>
      <c r="J3833">
        <v>322090002</v>
      </c>
      <c r="K3833">
        <v>20221012</v>
      </c>
      <c r="L3833" t="s">
        <v>3802</v>
      </c>
      <c r="M3833">
        <v>0</v>
      </c>
      <c r="N3833">
        <v>39.99</v>
      </c>
      <c r="O3833" t="s">
        <v>22</v>
      </c>
      <c r="P3833">
        <v>20230218</v>
      </c>
      <c r="Q3833">
        <v>20221012</v>
      </c>
    </row>
    <row r="3834" spans="1:17" x14ac:dyDescent="0.25">
      <c r="A3834" t="s">
        <v>548</v>
      </c>
      <c r="B3834" t="s">
        <v>429</v>
      </c>
      <c r="C3834">
        <v>135</v>
      </c>
      <c r="D3834">
        <v>20221012</v>
      </c>
      <c r="E3834">
        <f t="shared" si="59"/>
        <v>10</v>
      </c>
      <c r="F3834">
        <v>411020</v>
      </c>
      <c r="G3834" t="s">
        <v>30</v>
      </c>
      <c r="H3834" t="s">
        <v>3631</v>
      </c>
      <c r="I3834" t="s">
        <v>3632</v>
      </c>
      <c r="J3834">
        <v>322090002</v>
      </c>
      <c r="K3834">
        <v>20221012</v>
      </c>
      <c r="L3834" t="s">
        <v>3803</v>
      </c>
      <c r="M3834">
        <v>0</v>
      </c>
      <c r="N3834">
        <v>0.01</v>
      </c>
      <c r="O3834" t="s">
        <v>23</v>
      </c>
      <c r="P3834">
        <v>20230218</v>
      </c>
      <c r="Q3834">
        <v>20221012</v>
      </c>
    </row>
    <row r="3835" spans="1:17" x14ac:dyDescent="0.25">
      <c r="A3835" t="s">
        <v>548</v>
      </c>
      <c r="B3835" t="s">
        <v>429</v>
      </c>
      <c r="C3835">
        <v>135</v>
      </c>
      <c r="D3835">
        <v>20221012</v>
      </c>
      <c r="E3835">
        <f t="shared" si="59"/>
        <v>10</v>
      </c>
      <c r="F3835">
        <v>411020</v>
      </c>
      <c r="G3835" t="s">
        <v>30</v>
      </c>
      <c r="H3835" t="s">
        <v>332</v>
      </c>
      <c r="I3835" t="s">
        <v>333</v>
      </c>
      <c r="J3835">
        <v>322090006</v>
      </c>
      <c r="K3835">
        <v>20221012</v>
      </c>
      <c r="L3835" t="s">
        <v>3804</v>
      </c>
      <c r="M3835">
        <v>0</v>
      </c>
      <c r="N3835">
        <v>63.44</v>
      </c>
      <c r="O3835" t="s">
        <v>19</v>
      </c>
      <c r="P3835" t="s">
        <v>20</v>
      </c>
      <c r="Q3835">
        <v>20221012</v>
      </c>
    </row>
    <row r="3836" spans="1:17" x14ac:dyDescent="0.25">
      <c r="A3836" t="s">
        <v>548</v>
      </c>
      <c r="B3836" t="s">
        <v>429</v>
      </c>
      <c r="C3836">
        <v>135</v>
      </c>
      <c r="D3836">
        <v>20221012</v>
      </c>
      <c r="E3836">
        <f t="shared" si="59"/>
        <v>10</v>
      </c>
      <c r="F3836">
        <v>411020</v>
      </c>
      <c r="G3836" t="s">
        <v>30</v>
      </c>
      <c r="H3836" t="s">
        <v>307</v>
      </c>
      <c r="I3836" t="s">
        <v>308</v>
      </c>
      <c r="J3836">
        <v>322060022</v>
      </c>
      <c r="K3836">
        <v>20221012</v>
      </c>
      <c r="L3836" t="s">
        <v>3805</v>
      </c>
      <c r="M3836">
        <v>0</v>
      </c>
      <c r="N3836">
        <v>32</v>
      </c>
      <c r="O3836" t="s">
        <v>19</v>
      </c>
      <c r="P3836" t="s">
        <v>20</v>
      </c>
      <c r="Q3836">
        <v>20221012</v>
      </c>
    </row>
    <row r="3837" spans="1:17" x14ac:dyDescent="0.25">
      <c r="A3837" t="s">
        <v>548</v>
      </c>
      <c r="B3837" t="s">
        <v>429</v>
      </c>
      <c r="C3837">
        <v>135</v>
      </c>
      <c r="D3837">
        <v>20221012</v>
      </c>
      <c r="E3837">
        <f t="shared" si="59"/>
        <v>10</v>
      </c>
      <c r="F3837">
        <v>531105</v>
      </c>
      <c r="G3837" t="s">
        <v>429</v>
      </c>
      <c r="H3837" t="s">
        <v>401</v>
      </c>
      <c r="I3837" t="s">
        <v>402</v>
      </c>
      <c r="J3837">
        <v>358303</v>
      </c>
      <c r="K3837">
        <v>20221012</v>
      </c>
      <c r="L3837" t="s">
        <v>565</v>
      </c>
      <c r="M3837">
        <v>609.35</v>
      </c>
      <c r="N3837">
        <v>0</v>
      </c>
      <c r="O3837" t="s">
        <v>19</v>
      </c>
      <c r="P3837" t="s">
        <v>20</v>
      </c>
      <c r="Q3837">
        <v>20221012</v>
      </c>
    </row>
    <row r="3838" spans="1:17" x14ac:dyDescent="0.25">
      <c r="A3838" t="s">
        <v>548</v>
      </c>
      <c r="B3838" t="s">
        <v>429</v>
      </c>
      <c r="C3838">
        <v>135</v>
      </c>
      <c r="D3838">
        <v>20221012</v>
      </c>
      <c r="E3838">
        <f t="shared" si="59"/>
        <v>10</v>
      </c>
      <c r="F3838">
        <v>411010</v>
      </c>
      <c r="G3838" t="s">
        <v>87</v>
      </c>
      <c r="H3838" t="s">
        <v>381</v>
      </c>
      <c r="I3838" t="s">
        <v>382</v>
      </c>
      <c r="J3838">
        <v>222070013</v>
      </c>
      <c r="K3838">
        <v>20221012</v>
      </c>
      <c r="L3838" t="s">
        <v>3806</v>
      </c>
      <c r="M3838">
        <v>0</v>
      </c>
      <c r="N3838">
        <v>781.04</v>
      </c>
      <c r="O3838" t="s">
        <v>19</v>
      </c>
      <c r="P3838" t="s">
        <v>20</v>
      </c>
      <c r="Q3838">
        <v>20221012</v>
      </c>
    </row>
    <row r="3839" spans="1:17" x14ac:dyDescent="0.25">
      <c r="A3839" t="s">
        <v>548</v>
      </c>
      <c r="B3839" t="s">
        <v>429</v>
      </c>
      <c r="C3839">
        <v>135</v>
      </c>
      <c r="D3839">
        <v>20221012</v>
      </c>
      <c r="E3839">
        <f t="shared" si="59"/>
        <v>10</v>
      </c>
      <c r="F3839">
        <v>411010</v>
      </c>
      <c r="G3839" t="s">
        <v>87</v>
      </c>
      <c r="H3839" t="s">
        <v>381</v>
      </c>
      <c r="I3839" t="s">
        <v>382</v>
      </c>
      <c r="J3839">
        <v>222070013</v>
      </c>
      <c r="K3839">
        <v>20221012</v>
      </c>
      <c r="L3839" t="s">
        <v>3807</v>
      </c>
      <c r="M3839">
        <v>0</v>
      </c>
      <c r="N3839">
        <v>0.96</v>
      </c>
      <c r="O3839" t="s">
        <v>19</v>
      </c>
      <c r="P3839" t="s">
        <v>20</v>
      </c>
      <c r="Q3839">
        <v>20221012</v>
      </c>
    </row>
    <row r="3840" spans="1:17" x14ac:dyDescent="0.25">
      <c r="A3840" t="s">
        <v>548</v>
      </c>
      <c r="B3840" t="s">
        <v>429</v>
      </c>
      <c r="C3840">
        <v>135</v>
      </c>
      <c r="D3840">
        <v>20221012</v>
      </c>
      <c r="E3840">
        <f t="shared" si="59"/>
        <v>10</v>
      </c>
      <c r="F3840">
        <v>411100</v>
      </c>
      <c r="G3840" t="s">
        <v>18</v>
      </c>
      <c r="H3840" t="s">
        <v>352</v>
      </c>
      <c r="I3840" t="s">
        <v>353</v>
      </c>
      <c r="J3840">
        <v>358316</v>
      </c>
      <c r="K3840">
        <v>20221012</v>
      </c>
      <c r="L3840" t="s">
        <v>3808</v>
      </c>
      <c r="M3840">
        <v>0</v>
      </c>
      <c r="N3840">
        <v>280</v>
      </c>
      <c r="O3840" t="s">
        <v>19</v>
      </c>
      <c r="P3840" t="s">
        <v>20</v>
      </c>
      <c r="Q3840">
        <v>20221012</v>
      </c>
    </row>
    <row r="3841" spans="1:17" x14ac:dyDescent="0.25">
      <c r="A3841" t="s">
        <v>548</v>
      </c>
      <c r="B3841" t="s">
        <v>429</v>
      </c>
      <c r="C3841">
        <v>135</v>
      </c>
      <c r="D3841">
        <v>20221012</v>
      </c>
      <c r="E3841">
        <f t="shared" si="59"/>
        <v>10</v>
      </c>
      <c r="F3841">
        <v>411010</v>
      </c>
      <c r="G3841" t="s">
        <v>87</v>
      </c>
      <c r="H3841" t="s">
        <v>363</v>
      </c>
      <c r="I3841" t="s">
        <v>364</v>
      </c>
      <c r="J3841">
        <v>222080011</v>
      </c>
      <c r="K3841">
        <v>20221012</v>
      </c>
      <c r="L3841" t="s">
        <v>3809</v>
      </c>
      <c r="M3841">
        <v>0</v>
      </c>
      <c r="N3841">
        <v>128.03</v>
      </c>
      <c r="O3841" t="s">
        <v>19</v>
      </c>
      <c r="P3841" t="s">
        <v>20</v>
      </c>
      <c r="Q3841">
        <v>20221012</v>
      </c>
    </row>
    <row r="3842" spans="1:17" x14ac:dyDescent="0.25">
      <c r="A3842" t="s">
        <v>548</v>
      </c>
      <c r="B3842" t="s">
        <v>429</v>
      </c>
      <c r="C3842">
        <v>135</v>
      </c>
      <c r="D3842">
        <v>20221012</v>
      </c>
      <c r="E3842">
        <f t="shared" si="59"/>
        <v>10</v>
      </c>
      <c r="F3842">
        <v>411010</v>
      </c>
      <c r="G3842" t="s">
        <v>87</v>
      </c>
      <c r="H3842" t="s">
        <v>379</v>
      </c>
      <c r="I3842" t="s">
        <v>380</v>
      </c>
      <c r="J3842">
        <v>222070029</v>
      </c>
      <c r="K3842">
        <v>20221012</v>
      </c>
      <c r="L3842" t="s">
        <v>3810</v>
      </c>
      <c r="M3842">
        <v>0</v>
      </c>
      <c r="N3842">
        <v>43</v>
      </c>
      <c r="O3842" t="s">
        <v>19</v>
      </c>
      <c r="P3842" t="s">
        <v>20</v>
      </c>
      <c r="Q3842">
        <v>20221012</v>
      </c>
    </row>
    <row r="3843" spans="1:17" x14ac:dyDescent="0.25">
      <c r="A3843" t="s">
        <v>548</v>
      </c>
      <c r="B3843" t="s">
        <v>429</v>
      </c>
      <c r="C3843">
        <v>135</v>
      </c>
      <c r="D3843">
        <v>20221012</v>
      </c>
      <c r="E3843">
        <f t="shared" ref="E3843:E3906" si="60">VALUE(MID(D3843,5,2))</f>
        <v>10</v>
      </c>
      <c r="F3843">
        <v>531105</v>
      </c>
      <c r="G3843" t="s">
        <v>429</v>
      </c>
      <c r="H3843" t="s">
        <v>401</v>
      </c>
      <c r="I3843" t="s">
        <v>402</v>
      </c>
      <c r="J3843">
        <v>358319</v>
      </c>
      <c r="K3843">
        <v>20221012</v>
      </c>
      <c r="L3843" t="s">
        <v>565</v>
      </c>
      <c r="M3843">
        <v>1233.03</v>
      </c>
      <c r="N3843">
        <v>0</v>
      </c>
      <c r="O3843" t="s">
        <v>19</v>
      </c>
      <c r="P3843" t="s">
        <v>20</v>
      </c>
      <c r="Q3843">
        <v>20221012</v>
      </c>
    </row>
    <row r="3844" spans="1:17" x14ac:dyDescent="0.25">
      <c r="A3844" t="s">
        <v>548</v>
      </c>
      <c r="B3844" t="s">
        <v>429</v>
      </c>
      <c r="C3844">
        <v>135</v>
      </c>
      <c r="D3844">
        <v>20221013</v>
      </c>
      <c r="E3844">
        <f t="shared" si="60"/>
        <v>10</v>
      </c>
      <c r="F3844">
        <v>411100</v>
      </c>
      <c r="G3844" t="s">
        <v>18</v>
      </c>
      <c r="H3844" t="s">
        <v>3652</v>
      </c>
      <c r="I3844" t="s">
        <v>3653</v>
      </c>
      <c r="J3844">
        <v>358170</v>
      </c>
      <c r="K3844">
        <v>20221013</v>
      </c>
      <c r="L3844" t="s">
        <v>3811</v>
      </c>
      <c r="M3844">
        <v>0</v>
      </c>
      <c r="N3844">
        <v>155.68</v>
      </c>
      <c r="O3844" t="s">
        <v>19</v>
      </c>
      <c r="P3844" t="s">
        <v>20</v>
      </c>
      <c r="Q3844">
        <v>20221013</v>
      </c>
    </row>
    <row r="3845" spans="1:17" x14ac:dyDescent="0.25">
      <c r="A3845" t="s">
        <v>548</v>
      </c>
      <c r="B3845" t="s">
        <v>429</v>
      </c>
      <c r="C3845">
        <v>135</v>
      </c>
      <c r="D3845">
        <v>20221013</v>
      </c>
      <c r="E3845">
        <f t="shared" si="60"/>
        <v>10</v>
      </c>
      <c r="F3845">
        <v>411100</v>
      </c>
      <c r="G3845" t="s">
        <v>18</v>
      </c>
      <c r="H3845" t="s">
        <v>694</v>
      </c>
      <c r="I3845" t="s">
        <v>695</v>
      </c>
      <c r="J3845">
        <v>122050018</v>
      </c>
      <c r="K3845">
        <v>20221013</v>
      </c>
      <c r="L3845" t="s">
        <v>3812</v>
      </c>
      <c r="M3845">
        <v>0</v>
      </c>
      <c r="N3845">
        <v>170</v>
      </c>
      <c r="O3845" t="s">
        <v>19</v>
      </c>
      <c r="P3845" t="s">
        <v>20</v>
      </c>
      <c r="Q3845">
        <v>20221013</v>
      </c>
    </row>
    <row r="3846" spans="1:17" x14ac:dyDescent="0.25">
      <c r="A3846" t="s">
        <v>548</v>
      </c>
      <c r="B3846" t="s">
        <v>429</v>
      </c>
      <c r="C3846">
        <v>135</v>
      </c>
      <c r="D3846">
        <v>20221013</v>
      </c>
      <c r="E3846">
        <f t="shared" si="60"/>
        <v>10</v>
      </c>
      <c r="F3846">
        <v>411100</v>
      </c>
      <c r="G3846" t="s">
        <v>18</v>
      </c>
      <c r="H3846" t="s">
        <v>311</v>
      </c>
      <c r="I3846" t="s">
        <v>312</v>
      </c>
      <c r="J3846">
        <v>122050055</v>
      </c>
      <c r="K3846">
        <v>20221013</v>
      </c>
      <c r="L3846" t="s">
        <v>3813</v>
      </c>
      <c r="M3846">
        <v>0</v>
      </c>
      <c r="N3846">
        <v>145</v>
      </c>
      <c r="O3846" t="s">
        <v>19</v>
      </c>
      <c r="P3846" t="s">
        <v>20</v>
      </c>
      <c r="Q3846">
        <v>20221013</v>
      </c>
    </row>
    <row r="3847" spans="1:17" x14ac:dyDescent="0.25">
      <c r="A3847" t="s">
        <v>548</v>
      </c>
      <c r="B3847" t="s">
        <v>429</v>
      </c>
      <c r="C3847">
        <v>135</v>
      </c>
      <c r="D3847">
        <v>20221013</v>
      </c>
      <c r="E3847">
        <f t="shared" si="60"/>
        <v>10</v>
      </c>
      <c r="F3847">
        <v>411010</v>
      </c>
      <c r="G3847" t="s">
        <v>87</v>
      </c>
      <c r="H3847" t="s">
        <v>93</v>
      </c>
      <c r="I3847" t="s">
        <v>94</v>
      </c>
      <c r="J3847">
        <v>122080102</v>
      </c>
      <c r="K3847">
        <v>20221013</v>
      </c>
      <c r="L3847" t="s">
        <v>3814</v>
      </c>
      <c r="M3847">
        <v>0</v>
      </c>
      <c r="N3847">
        <v>250</v>
      </c>
      <c r="O3847" t="s">
        <v>19</v>
      </c>
      <c r="P3847" t="s">
        <v>20</v>
      </c>
      <c r="Q3847">
        <v>20221013</v>
      </c>
    </row>
    <row r="3848" spans="1:17" x14ac:dyDescent="0.25">
      <c r="A3848" t="s">
        <v>548</v>
      </c>
      <c r="B3848" t="s">
        <v>429</v>
      </c>
      <c r="C3848">
        <v>135</v>
      </c>
      <c r="D3848">
        <v>20221013</v>
      </c>
      <c r="E3848">
        <f t="shared" si="60"/>
        <v>10</v>
      </c>
      <c r="F3848">
        <v>531105</v>
      </c>
      <c r="G3848" t="s">
        <v>429</v>
      </c>
      <c r="H3848" t="s">
        <v>401</v>
      </c>
      <c r="I3848" t="s">
        <v>402</v>
      </c>
      <c r="J3848">
        <v>358174</v>
      </c>
      <c r="K3848">
        <v>20221013</v>
      </c>
      <c r="L3848" t="s">
        <v>565</v>
      </c>
      <c r="M3848">
        <v>720.68</v>
      </c>
      <c r="N3848">
        <v>0</v>
      </c>
      <c r="O3848" t="s">
        <v>19</v>
      </c>
      <c r="P3848" t="s">
        <v>20</v>
      </c>
      <c r="Q3848">
        <v>20221013</v>
      </c>
    </row>
    <row r="3849" spans="1:17" x14ac:dyDescent="0.25">
      <c r="A3849" t="s">
        <v>548</v>
      </c>
      <c r="B3849" t="s">
        <v>429</v>
      </c>
      <c r="C3849">
        <v>135</v>
      </c>
      <c r="D3849">
        <v>20221014</v>
      </c>
      <c r="E3849">
        <f t="shared" si="60"/>
        <v>10</v>
      </c>
      <c r="F3849">
        <v>467100</v>
      </c>
      <c r="G3849" t="s">
        <v>160</v>
      </c>
      <c r="H3849" t="s">
        <v>3815</v>
      </c>
      <c r="I3849" t="s">
        <v>202</v>
      </c>
      <c r="J3849" t="s">
        <v>3816</v>
      </c>
      <c r="K3849">
        <v>20221014</v>
      </c>
      <c r="L3849" t="s">
        <v>3817</v>
      </c>
      <c r="M3849">
        <v>13.76</v>
      </c>
      <c r="N3849">
        <v>0</v>
      </c>
      <c r="O3849" t="s">
        <v>23</v>
      </c>
      <c r="P3849">
        <v>20221118</v>
      </c>
      <c r="Q3849">
        <v>20221014</v>
      </c>
    </row>
    <row r="3850" spans="1:17" x14ac:dyDescent="0.25">
      <c r="A3850" t="s">
        <v>548</v>
      </c>
      <c r="B3850" t="s">
        <v>429</v>
      </c>
      <c r="C3850">
        <v>135</v>
      </c>
      <c r="D3850">
        <v>20221014</v>
      </c>
      <c r="E3850">
        <f t="shared" si="60"/>
        <v>10</v>
      </c>
      <c r="F3850">
        <v>531105</v>
      </c>
      <c r="G3850" t="s">
        <v>429</v>
      </c>
      <c r="H3850" t="s">
        <v>401</v>
      </c>
      <c r="I3850" t="s">
        <v>402</v>
      </c>
      <c r="J3850" t="s">
        <v>3816</v>
      </c>
      <c r="K3850">
        <v>20221014</v>
      </c>
      <c r="L3850" t="s">
        <v>3817</v>
      </c>
      <c r="M3850">
        <v>0</v>
      </c>
      <c r="N3850">
        <v>13.76</v>
      </c>
      <c r="O3850" t="s">
        <v>19</v>
      </c>
      <c r="P3850" t="s">
        <v>20</v>
      </c>
      <c r="Q3850">
        <v>20221014</v>
      </c>
    </row>
    <row r="3851" spans="1:17" x14ac:dyDescent="0.25">
      <c r="A3851" t="s">
        <v>548</v>
      </c>
      <c r="B3851" t="s">
        <v>429</v>
      </c>
      <c r="C3851">
        <v>135</v>
      </c>
      <c r="D3851">
        <v>20221014</v>
      </c>
      <c r="E3851">
        <f t="shared" si="60"/>
        <v>10</v>
      </c>
      <c r="F3851">
        <v>411100</v>
      </c>
      <c r="G3851" t="s">
        <v>18</v>
      </c>
      <c r="H3851" t="s">
        <v>305</v>
      </c>
      <c r="I3851" t="s">
        <v>306</v>
      </c>
      <c r="J3851">
        <v>358175</v>
      </c>
      <c r="K3851">
        <v>20221014</v>
      </c>
      <c r="L3851" t="s">
        <v>3818</v>
      </c>
      <c r="M3851">
        <v>0</v>
      </c>
      <c r="N3851">
        <v>37.25</v>
      </c>
      <c r="O3851" t="s">
        <v>22</v>
      </c>
      <c r="P3851">
        <v>20230218</v>
      </c>
      <c r="Q3851">
        <v>20221014</v>
      </c>
    </row>
    <row r="3852" spans="1:17" x14ac:dyDescent="0.25">
      <c r="A3852" t="s">
        <v>548</v>
      </c>
      <c r="B3852" t="s">
        <v>429</v>
      </c>
      <c r="C3852">
        <v>135</v>
      </c>
      <c r="D3852">
        <v>20221014</v>
      </c>
      <c r="E3852">
        <f t="shared" si="60"/>
        <v>10</v>
      </c>
      <c r="F3852">
        <v>411100</v>
      </c>
      <c r="G3852" t="s">
        <v>18</v>
      </c>
      <c r="H3852" t="s">
        <v>710</v>
      </c>
      <c r="I3852" t="s">
        <v>711</v>
      </c>
      <c r="J3852">
        <v>358176</v>
      </c>
      <c r="K3852">
        <v>20221014</v>
      </c>
      <c r="L3852" t="s">
        <v>3819</v>
      </c>
      <c r="M3852">
        <v>0</v>
      </c>
      <c r="N3852">
        <v>112.3</v>
      </c>
      <c r="O3852" t="s">
        <v>19</v>
      </c>
      <c r="P3852" t="s">
        <v>20</v>
      </c>
      <c r="Q3852">
        <v>20221014</v>
      </c>
    </row>
    <row r="3853" spans="1:17" x14ac:dyDescent="0.25">
      <c r="A3853" t="s">
        <v>548</v>
      </c>
      <c r="B3853" t="s">
        <v>429</v>
      </c>
      <c r="C3853">
        <v>135</v>
      </c>
      <c r="D3853">
        <v>20221014</v>
      </c>
      <c r="E3853">
        <f t="shared" si="60"/>
        <v>10</v>
      </c>
      <c r="F3853">
        <v>411100</v>
      </c>
      <c r="G3853" t="s">
        <v>18</v>
      </c>
      <c r="H3853" t="s">
        <v>269</v>
      </c>
      <c r="I3853" t="s">
        <v>270</v>
      </c>
      <c r="J3853">
        <v>358177</v>
      </c>
      <c r="K3853">
        <v>20221014</v>
      </c>
      <c r="L3853" t="s">
        <v>3820</v>
      </c>
      <c r="M3853">
        <v>0</v>
      </c>
      <c r="N3853">
        <v>10</v>
      </c>
      <c r="O3853" t="s">
        <v>22</v>
      </c>
      <c r="P3853">
        <v>20230218</v>
      </c>
      <c r="Q3853">
        <v>20221014</v>
      </c>
    </row>
    <row r="3854" spans="1:17" x14ac:dyDescent="0.25">
      <c r="A3854" t="s">
        <v>548</v>
      </c>
      <c r="B3854" t="s">
        <v>429</v>
      </c>
      <c r="C3854">
        <v>135</v>
      </c>
      <c r="D3854">
        <v>20221014</v>
      </c>
      <c r="E3854">
        <f t="shared" si="60"/>
        <v>10</v>
      </c>
      <c r="F3854">
        <v>411100</v>
      </c>
      <c r="G3854" t="s">
        <v>18</v>
      </c>
      <c r="H3854" t="s">
        <v>320</v>
      </c>
      <c r="I3854" t="s">
        <v>321</v>
      </c>
      <c r="J3854">
        <v>358178</v>
      </c>
      <c r="K3854">
        <v>20221014</v>
      </c>
      <c r="L3854" t="s">
        <v>3821</v>
      </c>
      <c r="M3854">
        <v>0</v>
      </c>
      <c r="N3854">
        <v>120</v>
      </c>
      <c r="O3854" t="s">
        <v>19</v>
      </c>
      <c r="P3854" t="s">
        <v>20</v>
      </c>
      <c r="Q3854">
        <v>20221014</v>
      </c>
    </row>
    <row r="3855" spans="1:17" x14ac:dyDescent="0.25">
      <c r="A3855" t="s">
        <v>548</v>
      </c>
      <c r="B3855" t="s">
        <v>429</v>
      </c>
      <c r="C3855">
        <v>135</v>
      </c>
      <c r="D3855">
        <v>20221014</v>
      </c>
      <c r="E3855">
        <f t="shared" si="60"/>
        <v>10</v>
      </c>
      <c r="F3855">
        <v>531105</v>
      </c>
      <c r="G3855" t="s">
        <v>429</v>
      </c>
      <c r="H3855" t="s">
        <v>401</v>
      </c>
      <c r="I3855" t="s">
        <v>402</v>
      </c>
      <c r="J3855">
        <v>358179</v>
      </c>
      <c r="K3855">
        <v>20221014</v>
      </c>
      <c r="L3855" t="s">
        <v>565</v>
      </c>
      <c r="M3855">
        <v>279.55</v>
      </c>
      <c r="N3855">
        <v>0</v>
      </c>
      <c r="O3855" t="s">
        <v>19</v>
      </c>
      <c r="P3855" t="s">
        <v>20</v>
      </c>
      <c r="Q3855">
        <v>20221014</v>
      </c>
    </row>
    <row r="3856" spans="1:17" x14ac:dyDescent="0.25">
      <c r="A3856" t="s">
        <v>548</v>
      </c>
      <c r="B3856" t="s">
        <v>429</v>
      </c>
      <c r="C3856">
        <v>135</v>
      </c>
      <c r="D3856">
        <v>20221014</v>
      </c>
      <c r="E3856">
        <f t="shared" si="60"/>
        <v>10</v>
      </c>
      <c r="F3856">
        <v>411100</v>
      </c>
      <c r="G3856" t="s">
        <v>18</v>
      </c>
      <c r="H3856" t="s">
        <v>352</v>
      </c>
      <c r="I3856" t="s">
        <v>353</v>
      </c>
      <c r="J3856">
        <v>358320</v>
      </c>
      <c r="K3856">
        <v>20221014</v>
      </c>
      <c r="L3856" t="s">
        <v>3822</v>
      </c>
      <c r="M3856">
        <v>0</v>
      </c>
      <c r="N3856">
        <v>170</v>
      </c>
      <c r="O3856" t="s">
        <v>19</v>
      </c>
      <c r="P3856" t="s">
        <v>20</v>
      </c>
      <c r="Q3856">
        <v>20221014</v>
      </c>
    </row>
    <row r="3857" spans="1:17" x14ac:dyDescent="0.25">
      <c r="A3857" t="s">
        <v>548</v>
      </c>
      <c r="B3857" t="s">
        <v>429</v>
      </c>
      <c r="C3857">
        <v>135</v>
      </c>
      <c r="D3857">
        <v>20221014</v>
      </c>
      <c r="E3857">
        <f t="shared" si="60"/>
        <v>10</v>
      </c>
      <c r="F3857">
        <v>411100</v>
      </c>
      <c r="G3857" t="s">
        <v>18</v>
      </c>
      <c r="H3857" t="s">
        <v>233</v>
      </c>
      <c r="I3857" t="s">
        <v>234</v>
      </c>
      <c r="J3857">
        <v>222080009</v>
      </c>
      <c r="K3857">
        <v>20221014</v>
      </c>
      <c r="L3857" t="s">
        <v>3823</v>
      </c>
      <c r="M3857">
        <v>0</v>
      </c>
      <c r="N3857">
        <v>93.47</v>
      </c>
      <c r="O3857" t="s">
        <v>19</v>
      </c>
      <c r="P3857" t="s">
        <v>20</v>
      </c>
      <c r="Q3857">
        <v>20221014</v>
      </c>
    </row>
    <row r="3858" spans="1:17" x14ac:dyDescent="0.25">
      <c r="A3858" t="s">
        <v>548</v>
      </c>
      <c r="B3858" t="s">
        <v>429</v>
      </c>
      <c r="C3858">
        <v>135</v>
      </c>
      <c r="D3858">
        <v>20221014</v>
      </c>
      <c r="E3858">
        <f t="shared" si="60"/>
        <v>10</v>
      </c>
      <c r="F3858">
        <v>531105</v>
      </c>
      <c r="G3858" t="s">
        <v>429</v>
      </c>
      <c r="H3858" t="s">
        <v>401</v>
      </c>
      <c r="I3858" t="s">
        <v>402</v>
      </c>
      <c r="J3858">
        <v>358322</v>
      </c>
      <c r="K3858">
        <v>20221014</v>
      </c>
      <c r="L3858" t="s">
        <v>565</v>
      </c>
      <c r="M3858">
        <v>263.47000000000003</v>
      </c>
      <c r="N3858">
        <v>0</v>
      </c>
      <c r="O3858" t="s">
        <v>19</v>
      </c>
      <c r="P3858" t="s">
        <v>20</v>
      </c>
      <c r="Q3858">
        <v>20221014</v>
      </c>
    </row>
    <row r="3859" spans="1:17" x14ac:dyDescent="0.25">
      <c r="A3859" t="s">
        <v>548</v>
      </c>
      <c r="B3859" t="s">
        <v>429</v>
      </c>
      <c r="C3859">
        <v>135</v>
      </c>
      <c r="D3859">
        <v>20221017</v>
      </c>
      <c r="E3859">
        <f t="shared" si="60"/>
        <v>10</v>
      </c>
      <c r="F3859">
        <v>580000</v>
      </c>
      <c r="G3859" t="s">
        <v>532</v>
      </c>
      <c r="H3859" t="s">
        <v>401</v>
      </c>
      <c r="I3859" t="s">
        <v>402</v>
      </c>
      <c r="J3859" t="s">
        <v>3824</v>
      </c>
      <c r="K3859">
        <v>20221017</v>
      </c>
      <c r="L3859" t="s">
        <v>625</v>
      </c>
      <c r="M3859">
        <v>4600</v>
      </c>
      <c r="N3859">
        <v>0</v>
      </c>
      <c r="O3859" t="s">
        <v>22</v>
      </c>
      <c r="P3859">
        <v>20221017</v>
      </c>
      <c r="Q3859">
        <v>20221017</v>
      </c>
    </row>
    <row r="3860" spans="1:17" x14ac:dyDescent="0.25">
      <c r="A3860" t="s">
        <v>548</v>
      </c>
      <c r="B3860" t="s">
        <v>429</v>
      </c>
      <c r="C3860">
        <v>135</v>
      </c>
      <c r="D3860">
        <v>20221017</v>
      </c>
      <c r="E3860">
        <f t="shared" si="60"/>
        <v>10</v>
      </c>
      <c r="F3860">
        <v>531105</v>
      </c>
      <c r="G3860" t="s">
        <v>429</v>
      </c>
      <c r="H3860" t="s">
        <v>401</v>
      </c>
      <c r="I3860" t="s">
        <v>402</v>
      </c>
      <c r="J3860" t="s">
        <v>3824</v>
      </c>
      <c r="K3860">
        <v>20221017</v>
      </c>
      <c r="L3860" t="s">
        <v>625</v>
      </c>
      <c r="M3860">
        <v>0</v>
      </c>
      <c r="N3860">
        <v>4600</v>
      </c>
      <c r="O3860" t="s">
        <v>19</v>
      </c>
      <c r="P3860" t="s">
        <v>20</v>
      </c>
      <c r="Q3860">
        <v>20221017</v>
      </c>
    </row>
    <row r="3861" spans="1:17" x14ac:dyDescent="0.25">
      <c r="A3861" t="s">
        <v>548</v>
      </c>
      <c r="B3861" t="s">
        <v>429</v>
      </c>
      <c r="C3861">
        <v>135</v>
      </c>
      <c r="D3861">
        <v>20221017</v>
      </c>
      <c r="E3861">
        <f t="shared" si="60"/>
        <v>10</v>
      </c>
      <c r="F3861">
        <v>411100</v>
      </c>
      <c r="G3861" t="s">
        <v>18</v>
      </c>
      <c r="H3861" t="s">
        <v>592</v>
      </c>
      <c r="I3861" t="s">
        <v>593</v>
      </c>
      <c r="J3861">
        <v>122080109</v>
      </c>
      <c r="K3861">
        <v>20221017</v>
      </c>
      <c r="L3861" t="s">
        <v>3825</v>
      </c>
      <c r="M3861">
        <v>0</v>
      </c>
      <c r="N3861">
        <v>100</v>
      </c>
      <c r="O3861" t="s">
        <v>19</v>
      </c>
      <c r="P3861" t="s">
        <v>20</v>
      </c>
      <c r="Q3861">
        <v>20221017</v>
      </c>
    </row>
    <row r="3862" spans="1:17" x14ac:dyDescent="0.25">
      <c r="A3862" t="s">
        <v>548</v>
      </c>
      <c r="B3862" t="s">
        <v>429</v>
      </c>
      <c r="C3862">
        <v>135</v>
      </c>
      <c r="D3862">
        <v>20221017</v>
      </c>
      <c r="E3862">
        <f t="shared" si="60"/>
        <v>10</v>
      </c>
      <c r="F3862">
        <v>411100</v>
      </c>
      <c r="G3862" t="s">
        <v>18</v>
      </c>
      <c r="H3862" t="s">
        <v>1006</v>
      </c>
      <c r="I3862" t="s">
        <v>1007</v>
      </c>
      <c r="J3862">
        <v>358181</v>
      </c>
      <c r="K3862">
        <v>20221017</v>
      </c>
      <c r="L3862" t="s">
        <v>3826</v>
      </c>
      <c r="M3862">
        <v>0</v>
      </c>
      <c r="N3862">
        <v>10</v>
      </c>
      <c r="O3862" t="s">
        <v>22</v>
      </c>
      <c r="P3862">
        <v>20230218</v>
      </c>
      <c r="Q3862">
        <v>20221017</v>
      </c>
    </row>
    <row r="3863" spans="1:17" x14ac:dyDescent="0.25">
      <c r="A3863" t="s">
        <v>548</v>
      </c>
      <c r="B3863" t="s">
        <v>429</v>
      </c>
      <c r="C3863">
        <v>135</v>
      </c>
      <c r="D3863">
        <v>20221017</v>
      </c>
      <c r="E3863">
        <f t="shared" si="60"/>
        <v>10</v>
      </c>
      <c r="F3863">
        <v>411100</v>
      </c>
      <c r="G3863" t="s">
        <v>18</v>
      </c>
      <c r="H3863" t="s">
        <v>3658</v>
      </c>
      <c r="I3863" t="s">
        <v>3659</v>
      </c>
      <c r="J3863">
        <v>358182</v>
      </c>
      <c r="K3863">
        <v>20221017</v>
      </c>
      <c r="L3863" t="s">
        <v>3827</v>
      </c>
      <c r="M3863">
        <v>0</v>
      </c>
      <c r="N3863">
        <v>65.819999999999993</v>
      </c>
      <c r="O3863" t="s">
        <v>19</v>
      </c>
      <c r="P3863" t="s">
        <v>20</v>
      </c>
      <c r="Q3863">
        <v>20221017</v>
      </c>
    </row>
    <row r="3864" spans="1:17" x14ac:dyDescent="0.25">
      <c r="A3864" t="s">
        <v>548</v>
      </c>
      <c r="B3864" t="s">
        <v>429</v>
      </c>
      <c r="C3864">
        <v>135</v>
      </c>
      <c r="D3864">
        <v>20221017</v>
      </c>
      <c r="E3864">
        <f t="shared" si="60"/>
        <v>10</v>
      </c>
      <c r="F3864">
        <v>531105</v>
      </c>
      <c r="G3864" t="s">
        <v>429</v>
      </c>
      <c r="H3864" t="s">
        <v>401</v>
      </c>
      <c r="I3864" t="s">
        <v>402</v>
      </c>
      <c r="J3864">
        <v>358183</v>
      </c>
      <c r="K3864">
        <v>20221017</v>
      </c>
      <c r="L3864" t="s">
        <v>565</v>
      </c>
      <c r="M3864">
        <v>175.82</v>
      </c>
      <c r="N3864">
        <v>0</v>
      </c>
      <c r="O3864" t="s">
        <v>19</v>
      </c>
      <c r="P3864" t="s">
        <v>20</v>
      </c>
      <c r="Q3864">
        <v>20221017</v>
      </c>
    </row>
    <row r="3865" spans="1:17" x14ac:dyDescent="0.25">
      <c r="A3865" t="s">
        <v>548</v>
      </c>
      <c r="B3865" t="s">
        <v>429</v>
      </c>
      <c r="C3865">
        <v>135</v>
      </c>
      <c r="D3865">
        <v>20221017</v>
      </c>
      <c r="E3865">
        <f t="shared" si="60"/>
        <v>10</v>
      </c>
      <c r="F3865">
        <v>467100</v>
      </c>
      <c r="G3865" t="s">
        <v>160</v>
      </c>
      <c r="H3865" t="s">
        <v>183</v>
      </c>
      <c r="I3865" t="s">
        <v>184</v>
      </c>
      <c r="J3865" t="s">
        <v>3828</v>
      </c>
      <c r="K3865">
        <v>20221017</v>
      </c>
      <c r="L3865" t="s">
        <v>623</v>
      </c>
      <c r="M3865">
        <v>42.56</v>
      </c>
      <c r="N3865">
        <v>0</v>
      </c>
      <c r="O3865" t="s">
        <v>23</v>
      </c>
      <c r="P3865">
        <v>20221109</v>
      </c>
      <c r="Q3865">
        <v>20221017</v>
      </c>
    </row>
    <row r="3866" spans="1:17" x14ac:dyDescent="0.25">
      <c r="A3866" t="s">
        <v>548</v>
      </c>
      <c r="B3866" t="s">
        <v>429</v>
      </c>
      <c r="C3866">
        <v>135</v>
      </c>
      <c r="D3866">
        <v>20221017</v>
      </c>
      <c r="E3866">
        <f t="shared" si="60"/>
        <v>10</v>
      </c>
      <c r="F3866">
        <v>531105</v>
      </c>
      <c r="G3866" t="s">
        <v>429</v>
      </c>
      <c r="H3866" t="s">
        <v>401</v>
      </c>
      <c r="I3866" t="s">
        <v>402</v>
      </c>
      <c r="J3866" t="s">
        <v>3828</v>
      </c>
      <c r="K3866">
        <v>20221017</v>
      </c>
      <c r="L3866" t="s">
        <v>623</v>
      </c>
      <c r="M3866">
        <v>0</v>
      </c>
      <c r="N3866">
        <v>42.56</v>
      </c>
      <c r="O3866" t="s">
        <v>19</v>
      </c>
      <c r="P3866" t="s">
        <v>20</v>
      </c>
      <c r="Q3866">
        <v>20221017</v>
      </c>
    </row>
    <row r="3867" spans="1:17" x14ac:dyDescent="0.25">
      <c r="A3867" t="s">
        <v>548</v>
      </c>
      <c r="B3867" t="s">
        <v>429</v>
      </c>
      <c r="C3867">
        <v>135</v>
      </c>
      <c r="D3867">
        <v>20221017</v>
      </c>
      <c r="E3867">
        <f t="shared" si="60"/>
        <v>10</v>
      </c>
      <c r="F3867">
        <v>467100</v>
      </c>
      <c r="G3867" t="s">
        <v>160</v>
      </c>
      <c r="H3867" t="s">
        <v>183</v>
      </c>
      <c r="I3867" t="s">
        <v>184</v>
      </c>
      <c r="J3867" t="s">
        <v>3829</v>
      </c>
      <c r="K3867">
        <v>20221017</v>
      </c>
      <c r="L3867" t="s">
        <v>622</v>
      </c>
      <c r="M3867">
        <v>0</v>
      </c>
      <c r="N3867">
        <v>6.63</v>
      </c>
      <c r="O3867" t="s">
        <v>23</v>
      </c>
      <c r="P3867">
        <v>20221118</v>
      </c>
      <c r="Q3867">
        <v>20221017</v>
      </c>
    </row>
    <row r="3868" spans="1:17" x14ac:dyDescent="0.25">
      <c r="A3868" t="s">
        <v>548</v>
      </c>
      <c r="B3868" t="s">
        <v>429</v>
      </c>
      <c r="C3868">
        <v>135</v>
      </c>
      <c r="D3868">
        <v>20221017</v>
      </c>
      <c r="E3868">
        <f t="shared" si="60"/>
        <v>10</v>
      </c>
      <c r="F3868">
        <v>531105</v>
      </c>
      <c r="G3868" t="s">
        <v>429</v>
      </c>
      <c r="H3868" t="s">
        <v>401</v>
      </c>
      <c r="I3868" t="s">
        <v>402</v>
      </c>
      <c r="J3868" t="s">
        <v>3829</v>
      </c>
      <c r="K3868">
        <v>20221017</v>
      </c>
      <c r="L3868" t="s">
        <v>622</v>
      </c>
      <c r="M3868">
        <v>6.63</v>
      </c>
      <c r="N3868">
        <v>0</v>
      </c>
      <c r="O3868" t="s">
        <v>19</v>
      </c>
      <c r="P3868" t="s">
        <v>20</v>
      </c>
      <c r="Q3868">
        <v>20221017</v>
      </c>
    </row>
    <row r="3869" spans="1:17" x14ac:dyDescent="0.25">
      <c r="A3869" t="s">
        <v>548</v>
      </c>
      <c r="B3869" t="s">
        <v>429</v>
      </c>
      <c r="C3869">
        <v>135</v>
      </c>
      <c r="D3869">
        <v>20221017</v>
      </c>
      <c r="E3869">
        <f t="shared" si="60"/>
        <v>10</v>
      </c>
      <c r="F3869">
        <v>411100</v>
      </c>
      <c r="G3869" t="s">
        <v>18</v>
      </c>
      <c r="H3869" t="s">
        <v>2162</v>
      </c>
      <c r="I3869" t="s">
        <v>2163</v>
      </c>
      <c r="J3869">
        <v>358719</v>
      </c>
      <c r="K3869">
        <v>20221017</v>
      </c>
      <c r="L3869" t="s">
        <v>3830</v>
      </c>
      <c r="M3869">
        <v>0</v>
      </c>
      <c r="N3869">
        <v>50</v>
      </c>
      <c r="O3869" t="s">
        <v>22</v>
      </c>
      <c r="P3869">
        <v>20230218</v>
      </c>
      <c r="Q3869">
        <v>20221017</v>
      </c>
    </row>
    <row r="3870" spans="1:17" x14ac:dyDescent="0.25">
      <c r="A3870" t="s">
        <v>548</v>
      </c>
      <c r="B3870" t="s">
        <v>429</v>
      </c>
      <c r="C3870">
        <v>135</v>
      </c>
      <c r="D3870">
        <v>20221017</v>
      </c>
      <c r="E3870">
        <f t="shared" si="60"/>
        <v>10</v>
      </c>
      <c r="F3870">
        <v>411100</v>
      </c>
      <c r="G3870" t="s">
        <v>18</v>
      </c>
      <c r="H3870" t="s">
        <v>941</v>
      </c>
      <c r="I3870" t="s">
        <v>942</v>
      </c>
      <c r="J3870">
        <v>122080146</v>
      </c>
      <c r="K3870">
        <v>20221017</v>
      </c>
      <c r="L3870" t="s">
        <v>3831</v>
      </c>
      <c r="M3870">
        <v>0</v>
      </c>
      <c r="N3870">
        <v>44.74</v>
      </c>
      <c r="O3870" t="s">
        <v>19</v>
      </c>
      <c r="P3870" t="s">
        <v>20</v>
      </c>
      <c r="Q3870">
        <v>20221017</v>
      </c>
    </row>
    <row r="3871" spans="1:17" x14ac:dyDescent="0.25">
      <c r="A3871" t="s">
        <v>548</v>
      </c>
      <c r="B3871" t="s">
        <v>429</v>
      </c>
      <c r="C3871">
        <v>135</v>
      </c>
      <c r="D3871">
        <v>20221017</v>
      </c>
      <c r="E3871">
        <f t="shared" si="60"/>
        <v>10</v>
      </c>
      <c r="F3871">
        <v>411100</v>
      </c>
      <c r="G3871" t="s">
        <v>18</v>
      </c>
      <c r="H3871" t="s">
        <v>305</v>
      </c>
      <c r="I3871" t="s">
        <v>306</v>
      </c>
      <c r="J3871">
        <v>358721</v>
      </c>
      <c r="K3871">
        <v>20221017</v>
      </c>
      <c r="L3871" t="s">
        <v>3832</v>
      </c>
      <c r="M3871">
        <v>0</v>
      </c>
      <c r="N3871">
        <v>134.76</v>
      </c>
      <c r="O3871" t="s">
        <v>23</v>
      </c>
      <c r="P3871">
        <v>20230329</v>
      </c>
      <c r="Q3871">
        <v>20221017</v>
      </c>
    </row>
    <row r="3872" spans="1:17" x14ac:dyDescent="0.25">
      <c r="A3872" t="s">
        <v>548</v>
      </c>
      <c r="B3872" t="s">
        <v>429</v>
      </c>
      <c r="C3872">
        <v>135</v>
      </c>
      <c r="D3872">
        <v>20221017</v>
      </c>
      <c r="E3872">
        <f t="shared" si="60"/>
        <v>10</v>
      </c>
      <c r="F3872">
        <v>531105</v>
      </c>
      <c r="G3872" t="s">
        <v>429</v>
      </c>
      <c r="H3872" t="s">
        <v>401</v>
      </c>
      <c r="I3872" t="s">
        <v>402</v>
      </c>
      <c r="J3872">
        <v>358722</v>
      </c>
      <c r="K3872">
        <v>20221017</v>
      </c>
      <c r="L3872" t="s">
        <v>565</v>
      </c>
      <c r="M3872">
        <v>229.5</v>
      </c>
      <c r="N3872">
        <v>0</v>
      </c>
      <c r="O3872" t="s">
        <v>19</v>
      </c>
      <c r="P3872" t="s">
        <v>20</v>
      </c>
      <c r="Q3872">
        <v>20221017</v>
      </c>
    </row>
    <row r="3873" spans="1:17" x14ac:dyDescent="0.25">
      <c r="A3873" t="s">
        <v>548</v>
      </c>
      <c r="B3873" t="s">
        <v>429</v>
      </c>
      <c r="C3873">
        <v>135</v>
      </c>
      <c r="D3873">
        <v>20221018</v>
      </c>
      <c r="E3873">
        <f t="shared" si="60"/>
        <v>10</v>
      </c>
      <c r="F3873">
        <v>411100</v>
      </c>
      <c r="G3873" t="s">
        <v>18</v>
      </c>
      <c r="H3873" t="s">
        <v>944</v>
      </c>
      <c r="I3873" t="s">
        <v>945</v>
      </c>
      <c r="J3873">
        <v>358723</v>
      </c>
      <c r="K3873">
        <v>20221018</v>
      </c>
      <c r="L3873" t="s">
        <v>3833</v>
      </c>
      <c r="M3873">
        <v>0</v>
      </c>
      <c r="N3873">
        <v>39.35</v>
      </c>
      <c r="O3873" t="s">
        <v>23</v>
      </c>
      <c r="P3873">
        <v>20230329</v>
      </c>
      <c r="Q3873">
        <v>20221018</v>
      </c>
    </row>
    <row r="3874" spans="1:17" x14ac:dyDescent="0.25">
      <c r="A3874" t="s">
        <v>548</v>
      </c>
      <c r="B3874" t="s">
        <v>429</v>
      </c>
      <c r="C3874">
        <v>135</v>
      </c>
      <c r="D3874">
        <v>20221018</v>
      </c>
      <c r="E3874">
        <f t="shared" si="60"/>
        <v>10</v>
      </c>
      <c r="F3874">
        <v>411100</v>
      </c>
      <c r="G3874" t="s">
        <v>18</v>
      </c>
      <c r="H3874" t="s">
        <v>787</v>
      </c>
      <c r="I3874" t="s">
        <v>788</v>
      </c>
      <c r="J3874">
        <v>122070065</v>
      </c>
      <c r="K3874">
        <v>20221018</v>
      </c>
      <c r="L3874" t="s">
        <v>3834</v>
      </c>
      <c r="M3874">
        <v>0</v>
      </c>
      <c r="N3874">
        <v>150.15</v>
      </c>
      <c r="O3874" t="s">
        <v>19</v>
      </c>
      <c r="P3874" t="s">
        <v>20</v>
      </c>
      <c r="Q3874">
        <v>20221018</v>
      </c>
    </row>
    <row r="3875" spans="1:17" x14ac:dyDescent="0.25">
      <c r="A3875" t="s">
        <v>548</v>
      </c>
      <c r="B3875" t="s">
        <v>429</v>
      </c>
      <c r="C3875">
        <v>135</v>
      </c>
      <c r="D3875">
        <v>20221018</v>
      </c>
      <c r="E3875">
        <f t="shared" si="60"/>
        <v>10</v>
      </c>
      <c r="F3875">
        <v>411100</v>
      </c>
      <c r="G3875" t="s">
        <v>18</v>
      </c>
      <c r="H3875" t="s">
        <v>638</v>
      </c>
      <c r="I3875" t="s">
        <v>639</v>
      </c>
      <c r="J3875">
        <v>358725</v>
      </c>
      <c r="K3875">
        <v>20221018</v>
      </c>
      <c r="L3875" t="s">
        <v>3835</v>
      </c>
      <c r="M3875">
        <v>0</v>
      </c>
      <c r="N3875">
        <v>35.5</v>
      </c>
      <c r="O3875" t="s">
        <v>22</v>
      </c>
      <c r="P3875">
        <v>20230218</v>
      </c>
      <c r="Q3875">
        <v>20221018</v>
      </c>
    </row>
    <row r="3876" spans="1:17" x14ac:dyDescent="0.25">
      <c r="A3876" t="s">
        <v>548</v>
      </c>
      <c r="B3876" t="s">
        <v>429</v>
      </c>
      <c r="C3876">
        <v>135</v>
      </c>
      <c r="D3876">
        <v>20221018</v>
      </c>
      <c r="E3876">
        <f t="shared" si="60"/>
        <v>10</v>
      </c>
      <c r="F3876">
        <v>531105</v>
      </c>
      <c r="G3876" t="s">
        <v>429</v>
      </c>
      <c r="H3876" t="s">
        <v>401</v>
      </c>
      <c r="I3876" t="s">
        <v>402</v>
      </c>
      <c r="J3876">
        <v>358726</v>
      </c>
      <c r="K3876">
        <v>20221018</v>
      </c>
      <c r="L3876" t="s">
        <v>565</v>
      </c>
      <c r="M3876">
        <v>225</v>
      </c>
      <c r="N3876">
        <v>0</v>
      </c>
      <c r="O3876" t="s">
        <v>19</v>
      </c>
      <c r="P3876" t="s">
        <v>20</v>
      </c>
      <c r="Q3876">
        <v>20221018</v>
      </c>
    </row>
    <row r="3877" spans="1:17" x14ac:dyDescent="0.25">
      <c r="A3877" t="s">
        <v>548</v>
      </c>
      <c r="B3877" t="s">
        <v>429</v>
      </c>
      <c r="C3877">
        <v>135</v>
      </c>
      <c r="D3877">
        <v>20221018</v>
      </c>
      <c r="E3877">
        <f t="shared" si="60"/>
        <v>10</v>
      </c>
      <c r="F3877">
        <v>411020</v>
      </c>
      <c r="G3877" t="s">
        <v>30</v>
      </c>
      <c r="H3877" t="s">
        <v>385</v>
      </c>
      <c r="I3877" t="s">
        <v>386</v>
      </c>
      <c r="J3877">
        <v>322070019</v>
      </c>
      <c r="K3877">
        <v>20221018</v>
      </c>
      <c r="L3877" t="s">
        <v>3836</v>
      </c>
      <c r="M3877">
        <v>0</v>
      </c>
      <c r="N3877">
        <v>23.45</v>
      </c>
      <c r="O3877" t="s">
        <v>19</v>
      </c>
      <c r="P3877" t="s">
        <v>20</v>
      </c>
      <c r="Q3877">
        <v>20221018</v>
      </c>
    </row>
    <row r="3878" spans="1:17" x14ac:dyDescent="0.25">
      <c r="A3878" t="s">
        <v>548</v>
      </c>
      <c r="B3878" t="s">
        <v>429</v>
      </c>
      <c r="C3878">
        <v>135</v>
      </c>
      <c r="D3878">
        <v>20221018</v>
      </c>
      <c r="E3878">
        <f t="shared" si="60"/>
        <v>10</v>
      </c>
      <c r="F3878">
        <v>531105</v>
      </c>
      <c r="G3878" t="s">
        <v>429</v>
      </c>
      <c r="H3878" t="s">
        <v>401</v>
      </c>
      <c r="I3878" t="s">
        <v>402</v>
      </c>
      <c r="J3878">
        <v>359022</v>
      </c>
      <c r="K3878">
        <v>20221018</v>
      </c>
      <c r="L3878" t="s">
        <v>565</v>
      </c>
      <c r="M3878">
        <v>23.45</v>
      </c>
      <c r="N3878">
        <v>0</v>
      </c>
      <c r="O3878" t="s">
        <v>19</v>
      </c>
      <c r="P3878" t="s">
        <v>20</v>
      </c>
      <c r="Q3878">
        <v>20221018</v>
      </c>
    </row>
    <row r="3879" spans="1:17" x14ac:dyDescent="0.25">
      <c r="A3879" t="s">
        <v>548</v>
      </c>
      <c r="B3879" t="s">
        <v>429</v>
      </c>
      <c r="C3879">
        <v>135</v>
      </c>
      <c r="D3879">
        <v>20221019</v>
      </c>
      <c r="E3879">
        <f t="shared" si="60"/>
        <v>10</v>
      </c>
      <c r="F3879">
        <v>467100</v>
      </c>
      <c r="G3879" t="s">
        <v>160</v>
      </c>
      <c r="H3879" t="s">
        <v>316</v>
      </c>
      <c r="I3879" t="s">
        <v>317</v>
      </c>
      <c r="J3879" t="s">
        <v>3837</v>
      </c>
      <c r="K3879">
        <v>20221019</v>
      </c>
      <c r="L3879" t="s">
        <v>3838</v>
      </c>
      <c r="M3879">
        <v>102</v>
      </c>
      <c r="N3879">
        <v>0</v>
      </c>
      <c r="O3879" t="s">
        <v>19</v>
      </c>
      <c r="P3879" t="s">
        <v>20</v>
      </c>
      <c r="Q3879">
        <v>20221019</v>
      </c>
    </row>
    <row r="3880" spans="1:17" x14ac:dyDescent="0.25">
      <c r="A3880" t="s">
        <v>548</v>
      </c>
      <c r="B3880" t="s">
        <v>429</v>
      </c>
      <c r="C3880">
        <v>135</v>
      </c>
      <c r="D3880">
        <v>20221019</v>
      </c>
      <c r="E3880">
        <f t="shared" si="60"/>
        <v>10</v>
      </c>
      <c r="F3880">
        <v>531105</v>
      </c>
      <c r="G3880" t="s">
        <v>429</v>
      </c>
      <c r="H3880" t="s">
        <v>401</v>
      </c>
      <c r="I3880" t="s">
        <v>402</v>
      </c>
      <c r="J3880" t="s">
        <v>3837</v>
      </c>
      <c r="K3880">
        <v>20221019</v>
      </c>
      <c r="L3880" t="s">
        <v>3838</v>
      </c>
      <c r="M3880">
        <v>0</v>
      </c>
      <c r="N3880">
        <v>102</v>
      </c>
      <c r="O3880" t="s">
        <v>19</v>
      </c>
      <c r="P3880" t="s">
        <v>20</v>
      </c>
      <c r="Q3880">
        <v>20221019</v>
      </c>
    </row>
    <row r="3881" spans="1:17" x14ac:dyDescent="0.25">
      <c r="A3881" t="s">
        <v>548</v>
      </c>
      <c r="B3881" t="s">
        <v>429</v>
      </c>
      <c r="C3881">
        <v>135</v>
      </c>
      <c r="D3881">
        <v>20221019</v>
      </c>
      <c r="E3881">
        <f t="shared" si="60"/>
        <v>10</v>
      </c>
      <c r="F3881">
        <v>411100</v>
      </c>
      <c r="G3881" t="s">
        <v>18</v>
      </c>
      <c r="H3881" t="s">
        <v>313</v>
      </c>
      <c r="I3881" t="s">
        <v>314</v>
      </c>
      <c r="J3881">
        <v>121070087</v>
      </c>
      <c r="K3881">
        <v>20221019</v>
      </c>
      <c r="L3881" t="s">
        <v>3839</v>
      </c>
      <c r="M3881">
        <v>0</v>
      </c>
      <c r="N3881">
        <v>50</v>
      </c>
      <c r="O3881" t="s">
        <v>19</v>
      </c>
      <c r="P3881" t="s">
        <v>20</v>
      </c>
      <c r="Q3881">
        <v>20221019</v>
      </c>
    </row>
    <row r="3882" spans="1:17" x14ac:dyDescent="0.25">
      <c r="A3882" t="s">
        <v>548</v>
      </c>
      <c r="B3882" t="s">
        <v>429</v>
      </c>
      <c r="C3882">
        <v>135</v>
      </c>
      <c r="D3882">
        <v>20221019</v>
      </c>
      <c r="E3882">
        <f t="shared" si="60"/>
        <v>10</v>
      </c>
      <c r="F3882">
        <v>411100</v>
      </c>
      <c r="G3882" t="s">
        <v>18</v>
      </c>
      <c r="H3882" t="s">
        <v>2969</v>
      </c>
      <c r="I3882" t="s">
        <v>2970</v>
      </c>
      <c r="J3882">
        <v>358728</v>
      </c>
      <c r="K3882">
        <v>20221019</v>
      </c>
      <c r="L3882" t="s">
        <v>3840</v>
      </c>
      <c r="M3882">
        <v>0</v>
      </c>
      <c r="N3882">
        <v>57</v>
      </c>
      <c r="O3882" t="s">
        <v>19</v>
      </c>
      <c r="P3882" t="s">
        <v>20</v>
      </c>
      <c r="Q3882">
        <v>20221019</v>
      </c>
    </row>
    <row r="3883" spans="1:17" x14ac:dyDescent="0.25">
      <c r="A3883" t="s">
        <v>548</v>
      </c>
      <c r="B3883" t="s">
        <v>429</v>
      </c>
      <c r="C3883">
        <v>135</v>
      </c>
      <c r="D3883">
        <v>20221019</v>
      </c>
      <c r="E3883">
        <f t="shared" si="60"/>
        <v>10</v>
      </c>
      <c r="F3883">
        <v>411100</v>
      </c>
      <c r="G3883" t="s">
        <v>18</v>
      </c>
      <c r="H3883" t="s">
        <v>291</v>
      </c>
      <c r="I3883" t="s">
        <v>292</v>
      </c>
      <c r="J3883">
        <v>358729</v>
      </c>
      <c r="K3883">
        <v>20221019</v>
      </c>
      <c r="L3883" t="s">
        <v>3841</v>
      </c>
      <c r="M3883">
        <v>0</v>
      </c>
      <c r="N3883">
        <v>170</v>
      </c>
      <c r="O3883" t="s">
        <v>19</v>
      </c>
      <c r="P3883" t="s">
        <v>20</v>
      </c>
      <c r="Q3883">
        <v>20221019</v>
      </c>
    </row>
    <row r="3884" spans="1:17" x14ac:dyDescent="0.25">
      <c r="A3884" t="s">
        <v>548</v>
      </c>
      <c r="B3884" t="s">
        <v>429</v>
      </c>
      <c r="C3884">
        <v>135</v>
      </c>
      <c r="D3884">
        <v>20221019</v>
      </c>
      <c r="E3884">
        <f t="shared" si="60"/>
        <v>10</v>
      </c>
      <c r="F3884">
        <v>411100</v>
      </c>
      <c r="G3884" t="s">
        <v>18</v>
      </c>
      <c r="H3884" t="s">
        <v>3842</v>
      </c>
      <c r="I3884" t="s">
        <v>3843</v>
      </c>
      <c r="J3884">
        <v>358730</v>
      </c>
      <c r="K3884">
        <v>20221019</v>
      </c>
      <c r="L3884" t="s">
        <v>3844</v>
      </c>
      <c r="M3884">
        <v>0</v>
      </c>
      <c r="N3884">
        <v>170</v>
      </c>
      <c r="O3884" t="s">
        <v>19</v>
      </c>
      <c r="P3884" t="s">
        <v>20</v>
      </c>
      <c r="Q3884">
        <v>20221019</v>
      </c>
    </row>
    <row r="3885" spans="1:17" x14ac:dyDescent="0.25">
      <c r="A3885" t="s">
        <v>548</v>
      </c>
      <c r="B3885" t="s">
        <v>429</v>
      </c>
      <c r="C3885">
        <v>135</v>
      </c>
      <c r="D3885">
        <v>20221019</v>
      </c>
      <c r="E3885">
        <f t="shared" si="60"/>
        <v>10</v>
      </c>
      <c r="F3885">
        <v>411100</v>
      </c>
      <c r="G3885" t="s">
        <v>18</v>
      </c>
      <c r="H3885" t="s">
        <v>3845</v>
      </c>
      <c r="I3885" t="s">
        <v>3846</v>
      </c>
      <c r="J3885">
        <v>358731</v>
      </c>
      <c r="K3885">
        <v>20221019</v>
      </c>
      <c r="L3885" t="s">
        <v>3847</v>
      </c>
      <c r="M3885">
        <v>0</v>
      </c>
      <c r="N3885">
        <v>10</v>
      </c>
      <c r="O3885" t="s">
        <v>22</v>
      </c>
      <c r="P3885">
        <v>20230218</v>
      </c>
      <c r="Q3885">
        <v>20221019</v>
      </c>
    </row>
    <row r="3886" spans="1:17" x14ac:dyDescent="0.25">
      <c r="A3886" t="s">
        <v>548</v>
      </c>
      <c r="B3886" t="s">
        <v>429</v>
      </c>
      <c r="C3886">
        <v>135</v>
      </c>
      <c r="D3886">
        <v>20221019</v>
      </c>
      <c r="E3886">
        <f t="shared" si="60"/>
        <v>10</v>
      </c>
      <c r="F3886">
        <v>531105</v>
      </c>
      <c r="G3886" t="s">
        <v>429</v>
      </c>
      <c r="H3886" t="s">
        <v>401</v>
      </c>
      <c r="I3886" t="s">
        <v>402</v>
      </c>
      <c r="J3886">
        <v>358732</v>
      </c>
      <c r="K3886">
        <v>20221019</v>
      </c>
      <c r="L3886" t="s">
        <v>565</v>
      </c>
      <c r="M3886">
        <v>457</v>
      </c>
      <c r="N3886">
        <v>0</v>
      </c>
      <c r="O3886" t="s">
        <v>19</v>
      </c>
      <c r="P3886" t="s">
        <v>20</v>
      </c>
      <c r="Q3886">
        <v>20221019</v>
      </c>
    </row>
    <row r="3887" spans="1:17" x14ac:dyDescent="0.25">
      <c r="A3887" t="s">
        <v>548</v>
      </c>
      <c r="B3887" t="s">
        <v>429</v>
      </c>
      <c r="C3887">
        <v>135</v>
      </c>
      <c r="D3887">
        <v>20221020</v>
      </c>
      <c r="E3887">
        <f t="shared" si="60"/>
        <v>10</v>
      </c>
      <c r="F3887">
        <v>411100</v>
      </c>
      <c r="G3887" t="s">
        <v>18</v>
      </c>
      <c r="H3887" t="s">
        <v>257</v>
      </c>
      <c r="I3887" t="s">
        <v>258</v>
      </c>
      <c r="J3887">
        <v>358733</v>
      </c>
      <c r="K3887">
        <v>20221020</v>
      </c>
      <c r="L3887" t="s">
        <v>3848</v>
      </c>
      <c r="M3887">
        <v>0</v>
      </c>
      <c r="N3887">
        <v>2.65</v>
      </c>
      <c r="O3887" t="s">
        <v>19</v>
      </c>
      <c r="P3887" t="s">
        <v>20</v>
      </c>
      <c r="Q3887">
        <v>20221020</v>
      </c>
    </row>
    <row r="3888" spans="1:17" x14ac:dyDescent="0.25">
      <c r="A3888" t="s">
        <v>548</v>
      </c>
      <c r="B3888" t="s">
        <v>429</v>
      </c>
      <c r="C3888">
        <v>135</v>
      </c>
      <c r="D3888">
        <v>20221020</v>
      </c>
      <c r="E3888">
        <f t="shared" si="60"/>
        <v>10</v>
      </c>
      <c r="F3888">
        <v>411100</v>
      </c>
      <c r="G3888" t="s">
        <v>18</v>
      </c>
      <c r="H3888" t="s">
        <v>3849</v>
      </c>
      <c r="I3888" t="s">
        <v>3850</v>
      </c>
      <c r="J3888">
        <v>358734</v>
      </c>
      <c r="K3888">
        <v>20221020</v>
      </c>
      <c r="L3888" t="s">
        <v>3851</v>
      </c>
      <c r="M3888">
        <v>0</v>
      </c>
      <c r="N3888">
        <v>149.65</v>
      </c>
      <c r="O3888" t="s">
        <v>22</v>
      </c>
      <c r="P3888">
        <v>20230218</v>
      </c>
      <c r="Q3888">
        <v>20221020</v>
      </c>
    </row>
    <row r="3889" spans="1:17" x14ac:dyDescent="0.25">
      <c r="A3889" t="s">
        <v>548</v>
      </c>
      <c r="B3889" t="s">
        <v>429</v>
      </c>
      <c r="C3889">
        <v>135</v>
      </c>
      <c r="D3889">
        <v>20221020</v>
      </c>
      <c r="E3889">
        <f t="shared" si="60"/>
        <v>10</v>
      </c>
      <c r="F3889">
        <v>531105</v>
      </c>
      <c r="G3889" t="s">
        <v>429</v>
      </c>
      <c r="H3889" t="s">
        <v>401</v>
      </c>
      <c r="I3889" t="s">
        <v>402</v>
      </c>
      <c r="J3889">
        <v>358735</v>
      </c>
      <c r="K3889">
        <v>20221020</v>
      </c>
      <c r="L3889" t="s">
        <v>565</v>
      </c>
      <c r="M3889">
        <v>152.30000000000001</v>
      </c>
      <c r="N3889">
        <v>0</v>
      </c>
      <c r="O3889" t="s">
        <v>19</v>
      </c>
      <c r="P3889" t="s">
        <v>20</v>
      </c>
      <c r="Q3889">
        <v>20221020</v>
      </c>
    </row>
    <row r="3890" spans="1:17" x14ac:dyDescent="0.25">
      <c r="A3890" t="s">
        <v>548</v>
      </c>
      <c r="B3890" t="s">
        <v>429</v>
      </c>
      <c r="C3890">
        <v>135</v>
      </c>
      <c r="D3890">
        <v>20221021</v>
      </c>
      <c r="E3890">
        <f t="shared" si="60"/>
        <v>10</v>
      </c>
      <c r="F3890">
        <v>411100</v>
      </c>
      <c r="G3890" t="s">
        <v>18</v>
      </c>
      <c r="H3890" t="s">
        <v>3852</v>
      </c>
      <c r="I3890" t="s">
        <v>3853</v>
      </c>
      <c r="J3890">
        <v>358736</v>
      </c>
      <c r="K3890">
        <v>20221021</v>
      </c>
      <c r="L3890" t="s">
        <v>3854</v>
      </c>
      <c r="M3890">
        <v>0</v>
      </c>
      <c r="N3890">
        <v>6</v>
      </c>
      <c r="O3890" t="s">
        <v>19</v>
      </c>
      <c r="P3890" t="s">
        <v>20</v>
      </c>
      <c r="Q3890">
        <v>20221021</v>
      </c>
    </row>
    <row r="3891" spans="1:17" x14ac:dyDescent="0.25">
      <c r="A3891" t="s">
        <v>548</v>
      </c>
      <c r="B3891" t="s">
        <v>429</v>
      </c>
      <c r="C3891">
        <v>135</v>
      </c>
      <c r="D3891">
        <v>20221021</v>
      </c>
      <c r="E3891">
        <f t="shared" si="60"/>
        <v>10</v>
      </c>
      <c r="F3891">
        <v>411100</v>
      </c>
      <c r="G3891" t="s">
        <v>18</v>
      </c>
      <c r="H3891" t="s">
        <v>179</v>
      </c>
      <c r="I3891" t="s">
        <v>180</v>
      </c>
      <c r="J3891">
        <v>120090261</v>
      </c>
      <c r="K3891">
        <v>20221021</v>
      </c>
      <c r="L3891" t="s">
        <v>3855</v>
      </c>
      <c r="M3891">
        <v>0</v>
      </c>
      <c r="N3891">
        <v>10</v>
      </c>
      <c r="O3891" t="s">
        <v>19</v>
      </c>
      <c r="P3891" t="s">
        <v>20</v>
      </c>
      <c r="Q3891">
        <v>20221021</v>
      </c>
    </row>
    <row r="3892" spans="1:17" x14ac:dyDescent="0.25">
      <c r="A3892" t="s">
        <v>548</v>
      </c>
      <c r="B3892" t="s">
        <v>429</v>
      </c>
      <c r="C3892">
        <v>135</v>
      </c>
      <c r="D3892">
        <v>20221021</v>
      </c>
      <c r="E3892">
        <f t="shared" si="60"/>
        <v>10</v>
      </c>
      <c r="F3892">
        <v>411100</v>
      </c>
      <c r="G3892" t="s">
        <v>18</v>
      </c>
      <c r="H3892" t="s">
        <v>3856</v>
      </c>
      <c r="I3892" t="s">
        <v>3857</v>
      </c>
      <c r="J3892">
        <v>358738</v>
      </c>
      <c r="K3892">
        <v>20221021</v>
      </c>
      <c r="L3892" t="s">
        <v>3858</v>
      </c>
      <c r="M3892">
        <v>0</v>
      </c>
      <c r="N3892">
        <v>107.85</v>
      </c>
      <c r="O3892" t="s">
        <v>22</v>
      </c>
      <c r="P3892">
        <v>20230218</v>
      </c>
      <c r="Q3892">
        <v>20221021</v>
      </c>
    </row>
    <row r="3893" spans="1:17" x14ac:dyDescent="0.25">
      <c r="A3893" t="s">
        <v>548</v>
      </c>
      <c r="B3893" t="s">
        <v>429</v>
      </c>
      <c r="C3893">
        <v>135</v>
      </c>
      <c r="D3893">
        <v>20221021</v>
      </c>
      <c r="E3893">
        <f t="shared" si="60"/>
        <v>10</v>
      </c>
      <c r="F3893">
        <v>411100</v>
      </c>
      <c r="G3893" t="s">
        <v>18</v>
      </c>
      <c r="H3893" t="s">
        <v>3859</v>
      </c>
      <c r="I3893" t="s">
        <v>3860</v>
      </c>
      <c r="J3893">
        <v>358739</v>
      </c>
      <c r="K3893">
        <v>20221021</v>
      </c>
      <c r="L3893" t="s">
        <v>3861</v>
      </c>
      <c r="M3893">
        <v>0</v>
      </c>
      <c r="N3893">
        <v>10</v>
      </c>
      <c r="O3893" t="s">
        <v>22</v>
      </c>
      <c r="P3893">
        <v>20230218</v>
      </c>
      <c r="Q3893">
        <v>20221021</v>
      </c>
    </row>
    <row r="3894" spans="1:17" x14ac:dyDescent="0.25">
      <c r="A3894" t="s">
        <v>548</v>
      </c>
      <c r="B3894" t="s">
        <v>429</v>
      </c>
      <c r="C3894">
        <v>135</v>
      </c>
      <c r="D3894">
        <v>20221021</v>
      </c>
      <c r="E3894">
        <f t="shared" si="60"/>
        <v>10</v>
      </c>
      <c r="F3894">
        <v>411000</v>
      </c>
      <c r="G3894" t="s">
        <v>21</v>
      </c>
      <c r="H3894" t="s">
        <v>3862</v>
      </c>
      <c r="I3894" t="s">
        <v>3863</v>
      </c>
      <c r="J3894">
        <v>358740</v>
      </c>
      <c r="K3894">
        <v>20221021</v>
      </c>
      <c r="L3894" t="s">
        <v>3864</v>
      </c>
      <c r="M3894">
        <v>0</v>
      </c>
      <c r="N3894">
        <v>10</v>
      </c>
      <c r="O3894" t="s">
        <v>22</v>
      </c>
      <c r="P3894">
        <v>20230218</v>
      </c>
      <c r="Q3894">
        <v>20221021</v>
      </c>
    </row>
    <row r="3895" spans="1:17" x14ac:dyDescent="0.25">
      <c r="A3895" t="s">
        <v>548</v>
      </c>
      <c r="B3895" t="s">
        <v>429</v>
      </c>
      <c r="C3895">
        <v>135</v>
      </c>
      <c r="D3895">
        <v>20221021</v>
      </c>
      <c r="E3895">
        <f t="shared" si="60"/>
        <v>10</v>
      </c>
      <c r="F3895">
        <v>411100</v>
      </c>
      <c r="G3895" t="s">
        <v>18</v>
      </c>
      <c r="H3895" t="s">
        <v>3865</v>
      </c>
      <c r="I3895" t="s">
        <v>3866</v>
      </c>
      <c r="J3895">
        <v>358741</v>
      </c>
      <c r="K3895">
        <v>20221021</v>
      </c>
      <c r="L3895" t="s">
        <v>3867</v>
      </c>
      <c r="M3895">
        <v>0</v>
      </c>
      <c r="N3895">
        <v>10</v>
      </c>
      <c r="O3895" t="s">
        <v>22</v>
      </c>
      <c r="P3895">
        <v>20230218</v>
      </c>
      <c r="Q3895">
        <v>20221021</v>
      </c>
    </row>
    <row r="3896" spans="1:17" x14ac:dyDescent="0.25">
      <c r="A3896" t="s">
        <v>548</v>
      </c>
      <c r="B3896" t="s">
        <v>429</v>
      </c>
      <c r="C3896">
        <v>135</v>
      </c>
      <c r="D3896">
        <v>20221021</v>
      </c>
      <c r="E3896">
        <f t="shared" si="60"/>
        <v>10</v>
      </c>
      <c r="F3896">
        <v>411100</v>
      </c>
      <c r="G3896" t="s">
        <v>18</v>
      </c>
      <c r="H3896" t="s">
        <v>3868</v>
      </c>
      <c r="I3896" t="s">
        <v>3869</v>
      </c>
      <c r="J3896">
        <v>358742</v>
      </c>
      <c r="K3896">
        <v>20221021</v>
      </c>
      <c r="L3896" t="s">
        <v>3870</v>
      </c>
      <c r="M3896">
        <v>0</v>
      </c>
      <c r="N3896">
        <v>10</v>
      </c>
      <c r="O3896" t="s">
        <v>22</v>
      </c>
      <c r="P3896">
        <v>20230218</v>
      </c>
      <c r="Q3896">
        <v>20221021</v>
      </c>
    </row>
    <row r="3897" spans="1:17" x14ac:dyDescent="0.25">
      <c r="A3897" t="s">
        <v>548</v>
      </c>
      <c r="B3897" t="s">
        <v>429</v>
      </c>
      <c r="C3897">
        <v>135</v>
      </c>
      <c r="D3897">
        <v>20221021</v>
      </c>
      <c r="E3897">
        <f t="shared" si="60"/>
        <v>10</v>
      </c>
      <c r="F3897">
        <v>531105</v>
      </c>
      <c r="G3897" t="s">
        <v>429</v>
      </c>
      <c r="H3897" t="s">
        <v>401</v>
      </c>
      <c r="I3897" t="s">
        <v>402</v>
      </c>
      <c r="J3897">
        <v>358743</v>
      </c>
      <c r="K3897">
        <v>20221021</v>
      </c>
      <c r="L3897" t="s">
        <v>565</v>
      </c>
      <c r="M3897">
        <v>163.85</v>
      </c>
      <c r="N3897">
        <v>0</v>
      </c>
      <c r="O3897" t="s">
        <v>19</v>
      </c>
      <c r="P3897" t="s">
        <v>20</v>
      </c>
      <c r="Q3897">
        <v>20221021</v>
      </c>
    </row>
    <row r="3898" spans="1:17" x14ac:dyDescent="0.25">
      <c r="A3898" t="s">
        <v>548</v>
      </c>
      <c r="B3898" t="s">
        <v>429</v>
      </c>
      <c r="C3898">
        <v>135</v>
      </c>
      <c r="D3898">
        <v>20221024</v>
      </c>
      <c r="E3898">
        <f t="shared" si="60"/>
        <v>10</v>
      </c>
      <c r="F3898">
        <v>411100</v>
      </c>
      <c r="G3898" t="s">
        <v>18</v>
      </c>
      <c r="H3898" t="s">
        <v>947</v>
      </c>
      <c r="I3898" t="s">
        <v>948</v>
      </c>
      <c r="J3898">
        <v>122080014</v>
      </c>
      <c r="K3898">
        <v>20221024</v>
      </c>
      <c r="L3898" t="s">
        <v>3871</v>
      </c>
      <c r="M3898">
        <v>0</v>
      </c>
      <c r="N3898">
        <v>264.04000000000002</v>
      </c>
      <c r="O3898" t="s">
        <v>19</v>
      </c>
      <c r="P3898" t="s">
        <v>20</v>
      </c>
      <c r="Q3898">
        <v>20221024</v>
      </c>
    </row>
    <row r="3899" spans="1:17" x14ac:dyDescent="0.25">
      <c r="A3899" t="s">
        <v>548</v>
      </c>
      <c r="B3899" t="s">
        <v>429</v>
      </c>
      <c r="C3899">
        <v>135</v>
      </c>
      <c r="D3899">
        <v>20221024</v>
      </c>
      <c r="E3899">
        <f t="shared" si="60"/>
        <v>10</v>
      </c>
      <c r="F3899">
        <v>411000</v>
      </c>
      <c r="G3899" t="s">
        <v>21</v>
      </c>
      <c r="H3899" t="s">
        <v>279</v>
      </c>
      <c r="I3899" t="s">
        <v>280</v>
      </c>
      <c r="J3899">
        <v>121070140</v>
      </c>
      <c r="K3899">
        <v>20221024</v>
      </c>
      <c r="L3899" t="s">
        <v>3872</v>
      </c>
      <c r="M3899">
        <v>0</v>
      </c>
      <c r="N3899">
        <v>95</v>
      </c>
      <c r="O3899" t="s">
        <v>19</v>
      </c>
      <c r="P3899" t="s">
        <v>20</v>
      </c>
      <c r="Q3899">
        <v>20221024</v>
      </c>
    </row>
    <row r="3900" spans="1:17" x14ac:dyDescent="0.25">
      <c r="A3900" t="s">
        <v>548</v>
      </c>
      <c r="B3900" t="s">
        <v>429</v>
      </c>
      <c r="C3900">
        <v>135</v>
      </c>
      <c r="D3900">
        <v>20221024</v>
      </c>
      <c r="E3900">
        <f t="shared" si="60"/>
        <v>10</v>
      </c>
      <c r="F3900">
        <v>411100</v>
      </c>
      <c r="G3900" t="s">
        <v>18</v>
      </c>
      <c r="H3900" t="s">
        <v>3873</v>
      </c>
      <c r="I3900" t="s">
        <v>3874</v>
      </c>
      <c r="J3900">
        <v>358746</v>
      </c>
      <c r="K3900">
        <v>20221024</v>
      </c>
      <c r="L3900" t="s">
        <v>3875</v>
      </c>
      <c r="M3900">
        <v>0</v>
      </c>
      <c r="N3900">
        <v>10</v>
      </c>
      <c r="O3900" t="s">
        <v>22</v>
      </c>
      <c r="P3900">
        <v>20230218</v>
      </c>
      <c r="Q3900">
        <v>20221024</v>
      </c>
    </row>
    <row r="3901" spans="1:17" x14ac:dyDescent="0.25">
      <c r="A3901" t="s">
        <v>548</v>
      </c>
      <c r="B3901" t="s">
        <v>429</v>
      </c>
      <c r="C3901">
        <v>135</v>
      </c>
      <c r="D3901">
        <v>20221024</v>
      </c>
      <c r="E3901">
        <f t="shared" si="60"/>
        <v>10</v>
      </c>
      <c r="F3901">
        <v>411000</v>
      </c>
      <c r="G3901" t="s">
        <v>21</v>
      </c>
      <c r="H3901" t="s">
        <v>279</v>
      </c>
      <c r="I3901" t="s">
        <v>280</v>
      </c>
      <c r="J3901">
        <v>122090077</v>
      </c>
      <c r="K3901">
        <v>20221024</v>
      </c>
      <c r="L3901" t="s">
        <v>3876</v>
      </c>
      <c r="M3901">
        <v>0</v>
      </c>
      <c r="N3901">
        <v>95</v>
      </c>
      <c r="O3901" t="s">
        <v>19</v>
      </c>
      <c r="P3901" t="s">
        <v>20</v>
      </c>
      <c r="Q3901">
        <v>20221024</v>
      </c>
    </row>
    <row r="3902" spans="1:17" x14ac:dyDescent="0.25">
      <c r="A3902" t="s">
        <v>548</v>
      </c>
      <c r="B3902" t="s">
        <v>429</v>
      </c>
      <c r="C3902">
        <v>135</v>
      </c>
      <c r="D3902">
        <v>20221024</v>
      </c>
      <c r="E3902">
        <f t="shared" si="60"/>
        <v>10</v>
      </c>
      <c r="F3902">
        <v>531105</v>
      </c>
      <c r="G3902" t="s">
        <v>429</v>
      </c>
      <c r="H3902" t="s">
        <v>401</v>
      </c>
      <c r="I3902" t="s">
        <v>402</v>
      </c>
      <c r="J3902">
        <v>358748</v>
      </c>
      <c r="K3902">
        <v>20221024</v>
      </c>
      <c r="L3902" t="s">
        <v>565</v>
      </c>
      <c r="M3902">
        <v>464.04</v>
      </c>
      <c r="N3902">
        <v>0</v>
      </c>
      <c r="O3902" t="s">
        <v>19</v>
      </c>
      <c r="P3902" t="s">
        <v>20</v>
      </c>
      <c r="Q3902">
        <v>20221024</v>
      </c>
    </row>
    <row r="3903" spans="1:17" x14ac:dyDescent="0.25">
      <c r="A3903" t="s">
        <v>548</v>
      </c>
      <c r="B3903" t="s">
        <v>429</v>
      </c>
      <c r="C3903">
        <v>135</v>
      </c>
      <c r="D3903">
        <v>20221024</v>
      </c>
      <c r="E3903">
        <f t="shared" si="60"/>
        <v>10</v>
      </c>
      <c r="F3903">
        <v>411000</v>
      </c>
      <c r="G3903" t="s">
        <v>21</v>
      </c>
      <c r="H3903" t="s">
        <v>279</v>
      </c>
      <c r="I3903" t="s">
        <v>280</v>
      </c>
      <c r="J3903">
        <v>358795</v>
      </c>
      <c r="K3903">
        <v>20221024</v>
      </c>
      <c r="L3903" t="s">
        <v>3877</v>
      </c>
      <c r="M3903">
        <v>95</v>
      </c>
      <c r="N3903">
        <v>0</v>
      </c>
      <c r="O3903" t="s">
        <v>22</v>
      </c>
      <c r="P3903">
        <v>20230218</v>
      </c>
      <c r="Q3903">
        <v>20221024</v>
      </c>
    </row>
    <row r="3904" spans="1:17" x14ac:dyDescent="0.25">
      <c r="A3904" t="s">
        <v>548</v>
      </c>
      <c r="B3904" t="s">
        <v>429</v>
      </c>
      <c r="C3904">
        <v>135</v>
      </c>
      <c r="D3904">
        <v>20221024</v>
      </c>
      <c r="E3904">
        <f t="shared" si="60"/>
        <v>10</v>
      </c>
      <c r="F3904">
        <v>531105</v>
      </c>
      <c r="G3904" t="s">
        <v>429</v>
      </c>
      <c r="H3904" t="s">
        <v>401</v>
      </c>
      <c r="I3904" t="s">
        <v>402</v>
      </c>
      <c r="J3904">
        <v>358796</v>
      </c>
      <c r="K3904">
        <v>20221024</v>
      </c>
      <c r="L3904" t="s">
        <v>565</v>
      </c>
      <c r="M3904">
        <v>0</v>
      </c>
      <c r="N3904">
        <v>95</v>
      </c>
      <c r="O3904" t="s">
        <v>19</v>
      </c>
      <c r="P3904" t="s">
        <v>20</v>
      </c>
      <c r="Q3904">
        <v>20221024</v>
      </c>
    </row>
    <row r="3905" spans="1:17" x14ac:dyDescent="0.25">
      <c r="A3905" t="s">
        <v>548</v>
      </c>
      <c r="B3905" t="s">
        <v>429</v>
      </c>
      <c r="C3905">
        <v>135</v>
      </c>
      <c r="D3905">
        <v>20221025</v>
      </c>
      <c r="E3905">
        <f t="shared" si="60"/>
        <v>10</v>
      </c>
      <c r="F3905">
        <v>467100</v>
      </c>
      <c r="G3905" t="s">
        <v>160</v>
      </c>
      <c r="H3905" t="s">
        <v>2740</v>
      </c>
      <c r="I3905" t="s">
        <v>151</v>
      </c>
      <c r="J3905" t="s">
        <v>3878</v>
      </c>
      <c r="K3905">
        <v>20221025</v>
      </c>
      <c r="L3905" t="s">
        <v>3879</v>
      </c>
      <c r="M3905">
        <v>60.96</v>
      </c>
      <c r="N3905">
        <v>0</v>
      </c>
      <c r="O3905" t="s">
        <v>23</v>
      </c>
      <c r="P3905">
        <v>20230206</v>
      </c>
      <c r="Q3905">
        <v>20221025</v>
      </c>
    </row>
    <row r="3906" spans="1:17" x14ac:dyDescent="0.25">
      <c r="A3906" t="s">
        <v>548</v>
      </c>
      <c r="B3906" t="s">
        <v>429</v>
      </c>
      <c r="C3906">
        <v>135</v>
      </c>
      <c r="D3906">
        <v>20221025</v>
      </c>
      <c r="E3906">
        <f t="shared" si="60"/>
        <v>10</v>
      </c>
      <c r="F3906">
        <v>531105</v>
      </c>
      <c r="G3906" t="s">
        <v>429</v>
      </c>
      <c r="H3906" t="s">
        <v>401</v>
      </c>
      <c r="I3906" t="s">
        <v>402</v>
      </c>
      <c r="J3906" t="s">
        <v>3878</v>
      </c>
      <c r="K3906">
        <v>20221025</v>
      </c>
      <c r="L3906" t="s">
        <v>3879</v>
      </c>
      <c r="M3906">
        <v>0</v>
      </c>
      <c r="N3906">
        <v>60.96</v>
      </c>
      <c r="O3906" t="s">
        <v>19</v>
      </c>
      <c r="P3906" t="s">
        <v>20</v>
      </c>
      <c r="Q3906">
        <v>20221025</v>
      </c>
    </row>
    <row r="3907" spans="1:17" x14ac:dyDescent="0.25">
      <c r="A3907" t="s">
        <v>548</v>
      </c>
      <c r="B3907" t="s">
        <v>429</v>
      </c>
      <c r="C3907">
        <v>135</v>
      </c>
      <c r="D3907">
        <v>20221025</v>
      </c>
      <c r="E3907">
        <f t="shared" ref="E3907:E3970" si="61">VALUE(MID(D3907,5,2))</f>
        <v>10</v>
      </c>
      <c r="F3907">
        <v>467100</v>
      </c>
      <c r="G3907" t="s">
        <v>160</v>
      </c>
      <c r="H3907" t="s">
        <v>1305</v>
      </c>
      <c r="I3907" t="s">
        <v>1306</v>
      </c>
      <c r="J3907" t="s">
        <v>3880</v>
      </c>
      <c r="K3907">
        <v>20221025</v>
      </c>
      <c r="L3907" t="s">
        <v>3881</v>
      </c>
      <c r="M3907">
        <v>59.83</v>
      </c>
      <c r="N3907">
        <v>0</v>
      </c>
      <c r="O3907" t="s">
        <v>23</v>
      </c>
      <c r="P3907">
        <v>20221118</v>
      </c>
      <c r="Q3907">
        <v>20221025</v>
      </c>
    </row>
    <row r="3908" spans="1:17" x14ac:dyDescent="0.25">
      <c r="A3908" t="s">
        <v>548</v>
      </c>
      <c r="B3908" t="s">
        <v>429</v>
      </c>
      <c r="C3908">
        <v>135</v>
      </c>
      <c r="D3908">
        <v>20221025</v>
      </c>
      <c r="E3908">
        <f t="shared" si="61"/>
        <v>10</v>
      </c>
      <c r="F3908">
        <v>531105</v>
      </c>
      <c r="G3908" t="s">
        <v>429</v>
      </c>
      <c r="H3908" t="s">
        <v>401</v>
      </c>
      <c r="I3908" t="s">
        <v>402</v>
      </c>
      <c r="J3908" t="s">
        <v>3880</v>
      </c>
      <c r="K3908">
        <v>20221025</v>
      </c>
      <c r="L3908" t="s">
        <v>3881</v>
      </c>
      <c r="M3908">
        <v>0</v>
      </c>
      <c r="N3908">
        <v>59.83</v>
      </c>
      <c r="O3908" t="s">
        <v>19</v>
      </c>
      <c r="P3908" t="s">
        <v>20</v>
      </c>
      <c r="Q3908">
        <v>20221025</v>
      </c>
    </row>
    <row r="3909" spans="1:17" x14ac:dyDescent="0.25">
      <c r="A3909" t="s">
        <v>548</v>
      </c>
      <c r="B3909" t="s">
        <v>429</v>
      </c>
      <c r="C3909">
        <v>135</v>
      </c>
      <c r="D3909">
        <v>20221025</v>
      </c>
      <c r="E3909">
        <f t="shared" si="61"/>
        <v>10</v>
      </c>
      <c r="F3909">
        <v>467100</v>
      </c>
      <c r="G3909" t="s">
        <v>160</v>
      </c>
      <c r="H3909" t="s">
        <v>1305</v>
      </c>
      <c r="I3909" t="s">
        <v>1306</v>
      </c>
      <c r="J3909" t="s">
        <v>3882</v>
      </c>
      <c r="K3909">
        <v>20221025</v>
      </c>
      <c r="L3909" t="s">
        <v>3883</v>
      </c>
      <c r="M3909">
        <v>6.8</v>
      </c>
      <c r="N3909">
        <v>0</v>
      </c>
      <c r="O3909" t="s">
        <v>23</v>
      </c>
      <c r="P3909">
        <v>20230218</v>
      </c>
      <c r="Q3909">
        <v>20221025</v>
      </c>
    </row>
    <row r="3910" spans="1:17" x14ac:dyDescent="0.25">
      <c r="A3910" t="s">
        <v>548</v>
      </c>
      <c r="B3910" t="s">
        <v>429</v>
      </c>
      <c r="C3910">
        <v>135</v>
      </c>
      <c r="D3910">
        <v>20221025</v>
      </c>
      <c r="E3910">
        <f t="shared" si="61"/>
        <v>10</v>
      </c>
      <c r="F3910">
        <v>531105</v>
      </c>
      <c r="G3910" t="s">
        <v>429</v>
      </c>
      <c r="H3910" t="s">
        <v>401</v>
      </c>
      <c r="I3910" t="s">
        <v>402</v>
      </c>
      <c r="J3910" t="s">
        <v>3882</v>
      </c>
      <c r="K3910">
        <v>20221025</v>
      </c>
      <c r="L3910" t="s">
        <v>3883</v>
      </c>
      <c r="M3910">
        <v>0</v>
      </c>
      <c r="N3910">
        <v>6.8</v>
      </c>
      <c r="O3910" t="s">
        <v>19</v>
      </c>
      <c r="P3910" t="s">
        <v>20</v>
      </c>
      <c r="Q3910">
        <v>20221025</v>
      </c>
    </row>
    <row r="3911" spans="1:17" x14ac:dyDescent="0.25">
      <c r="A3911" t="s">
        <v>548</v>
      </c>
      <c r="B3911" t="s">
        <v>429</v>
      </c>
      <c r="C3911">
        <v>135</v>
      </c>
      <c r="D3911">
        <v>20221025</v>
      </c>
      <c r="E3911">
        <f t="shared" si="61"/>
        <v>10</v>
      </c>
      <c r="F3911">
        <v>467100</v>
      </c>
      <c r="G3911" t="s">
        <v>160</v>
      </c>
      <c r="H3911" t="s">
        <v>1014</v>
      </c>
      <c r="I3911" t="s">
        <v>1015</v>
      </c>
      <c r="J3911" t="s">
        <v>3884</v>
      </c>
      <c r="K3911">
        <v>20221025</v>
      </c>
      <c r="L3911" t="s">
        <v>3885</v>
      </c>
      <c r="M3911">
        <v>12.4</v>
      </c>
      <c r="N3911">
        <v>0</v>
      </c>
      <c r="O3911" t="s">
        <v>23</v>
      </c>
      <c r="P3911">
        <v>20230218</v>
      </c>
      <c r="Q3911">
        <v>20221025</v>
      </c>
    </row>
    <row r="3912" spans="1:17" x14ac:dyDescent="0.25">
      <c r="A3912" t="s">
        <v>548</v>
      </c>
      <c r="B3912" t="s">
        <v>429</v>
      </c>
      <c r="C3912">
        <v>135</v>
      </c>
      <c r="D3912">
        <v>20221025</v>
      </c>
      <c r="E3912">
        <f t="shared" si="61"/>
        <v>10</v>
      </c>
      <c r="F3912">
        <v>531105</v>
      </c>
      <c r="G3912" t="s">
        <v>429</v>
      </c>
      <c r="H3912" t="s">
        <v>401</v>
      </c>
      <c r="I3912" t="s">
        <v>402</v>
      </c>
      <c r="J3912" t="s">
        <v>3884</v>
      </c>
      <c r="K3912">
        <v>20221025</v>
      </c>
      <c r="L3912" t="s">
        <v>3885</v>
      </c>
      <c r="M3912">
        <v>0</v>
      </c>
      <c r="N3912">
        <v>12.4</v>
      </c>
      <c r="O3912" t="s">
        <v>19</v>
      </c>
      <c r="P3912" t="s">
        <v>20</v>
      </c>
      <c r="Q3912">
        <v>20221025</v>
      </c>
    </row>
    <row r="3913" spans="1:17" x14ac:dyDescent="0.25">
      <c r="A3913" t="s">
        <v>548</v>
      </c>
      <c r="B3913" t="s">
        <v>429</v>
      </c>
      <c r="C3913">
        <v>135</v>
      </c>
      <c r="D3913">
        <v>20221025</v>
      </c>
      <c r="E3913">
        <f t="shared" si="61"/>
        <v>10</v>
      </c>
      <c r="F3913">
        <v>467100</v>
      </c>
      <c r="G3913" t="s">
        <v>160</v>
      </c>
      <c r="H3913" t="s">
        <v>631</v>
      </c>
      <c r="I3913" t="s">
        <v>632</v>
      </c>
      <c r="J3913" t="s">
        <v>3886</v>
      </c>
      <c r="K3913">
        <v>20221025</v>
      </c>
      <c r="L3913" t="s">
        <v>3887</v>
      </c>
      <c r="M3913">
        <v>0</v>
      </c>
      <c r="N3913">
        <v>255</v>
      </c>
      <c r="O3913" t="s">
        <v>23</v>
      </c>
      <c r="P3913">
        <v>20221109</v>
      </c>
      <c r="Q3913">
        <v>20221025</v>
      </c>
    </row>
    <row r="3914" spans="1:17" x14ac:dyDescent="0.25">
      <c r="A3914" t="s">
        <v>548</v>
      </c>
      <c r="B3914" t="s">
        <v>429</v>
      </c>
      <c r="C3914">
        <v>135</v>
      </c>
      <c r="D3914">
        <v>20221025</v>
      </c>
      <c r="E3914">
        <f t="shared" si="61"/>
        <v>10</v>
      </c>
      <c r="F3914">
        <v>531105</v>
      </c>
      <c r="G3914" t="s">
        <v>429</v>
      </c>
      <c r="H3914" t="s">
        <v>401</v>
      </c>
      <c r="I3914" t="s">
        <v>402</v>
      </c>
      <c r="J3914" t="s">
        <v>3886</v>
      </c>
      <c r="K3914">
        <v>20221025</v>
      </c>
      <c r="L3914" t="s">
        <v>3887</v>
      </c>
      <c r="M3914">
        <v>255</v>
      </c>
      <c r="N3914">
        <v>0</v>
      </c>
      <c r="O3914" t="s">
        <v>19</v>
      </c>
      <c r="P3914" t="s">
        <v>20</v>
      </c>
      <c r="Q3914">
        <v>20221025</v>
      </c>
    </row>
    <row r="3915" spans="1:17" x14ac:dyDescent="0.25">
      <c r="A3915" t="s">
        <v>548</v>
      </c>
      <c r="B3915" t="s">
        <v>429</v>
      </c>
      <c r="C3915">
        <v>135</v>
      </c>
      <c r="D3915">
        <v>20221025</v>
      </c>
      <c r="E3915">
        <f t="shared" si="61"/>
        <v>10</v>
      </c>
      <c r="F3915">
        <v>411100</v>
      </c>
      <c r="G3915" t="s">
        <v>18</v>
      </c>
      <c r="H3915" t="s">
        <v>291</v>
      </c>
      <c r="I3915" t="s">
        <v>292</v>
      </c>
      <c r="J3915">
        <v>358749</v>
      </c>
      <c r="K3915">
        <v>20221025</v>
      </c>
      <c r="L3915" t="s">
        <v>3888</v>
      </c>
      <c r="M3915">
        <v>0</v>
      </c>
      <c r="N3915">
        <v>7.06</v>
      </c>
      <c r="O3915" t="s">
        <v>19</v>
      </c>
      <c r="P3915" t="s">
        <v>20</v>
      </c>
      <c r="Q3915">
        <v>20221025</v>
      </c>
    </row>
    <row r="3916" spans="1:17" x14ac:dyDescent="0.25">
      <c r="A3916" t="s">
        <v>548</v>
      </c>
      <c r="B3916" t="s">
        <v>429</v>
      </c>
      <c r="C3916">
        <v>135</v>
      </c>
      <c r="D3916">
        <v>20221025</v>
      </c>
      <c r="E3916">
        <f t="shared" si="61"/>
        <v>10</v>
      </c>
      <c r="F3916">
        <v>411100</v>
      </c>
      <c r="G3916" t="s">
        <v>18</v>
      </c>
      <c r="H3916" t="s">
        <v>291</v>
      </c>
      <c r="I3916" t="s">
        <v>292</v>
      </c>
      <c r="J3916">
        <v>358750</v>
      </c>
      <c r="K3916">
        <v>20221025</v>
      </c>
      <c r="L3916" t="s">
        <v>3889</v>
      </c>
      <c r="M3916">
        <v>0</v>
      </c>
      <c r="N3916">
        <v>12.94</v>
      </c>
      <c r="O3916" t="s">
        <v>19</v>
      </c>
      <c r="P3916" t="s">
        <v>20</v>
      </c>
      <c r="Q3916">
        <v>20221025</v>
      </c>
    </row>
    <row r="3917" spans="1:17" x14ac:dyDescent="0.25">
      <c r="A3917" t="s">
        <v>548</v>
      </c>
      <c r="B3917" t="s">
        <v>429</v>
      </c>
      <c r="C3917">
        <v>135</v>
      </c>
      <c r="D3917">
        <v>20221025</v>
      </c>
      <c r="E3917">
        <f t="shared" si="61"/>
        <v>10</v>
      </c>
      <c r="F3917">
        <v>411100</v>
      </c>
      <c r="G3917" t="s">
        <v>18</v>
      </c>
      <c r="H3917" t="s">
        <v>3890</v>
      </c>
      <c r="I3917" t="s">
        <v>3891</v>
      </c>
      <c r="J3917">
        <v>358751</v>
      </c>
      <c r="K3917">
        <v>20221025</v>
      </c>
      <c r="L3917" t="s">
        <v>3892</v>
      </c>
      <c r="M3917">
        <v>0</v>
      </c>
      <c r="N3917">
        <v>10</v>
      </c>
      <c r="O3917" t="s">
        <v>22</v>
      </c>
      <c r="P3917">
        <v>20230218</v>
      </c>
      <c r="Q3917">
        <v>20221025</v>
      </c>
    </row>
    <row r="3918" spans="1:17" x14ac:dyDescent="0.25">
      <c r="A3918" t="s">
        <v>548</v>
      </c>
      <c r="B3918" t="s">
        <v>429</v>
      </c>
      <c r="C3918">
        <v>135</v>
      </c>
      <c r="D3918">
        <v>20221025</v>
      </c>
      <c r="E3918">
        <f t="shared" si="61"/>
        <v>10</v>
      </c>
      <c r="F3918">
        <v>411100</v>
      </c>
      <c r="G3918" t="s">
        <v>18</v>
      </c>
      <c r="H3918" t="s">
        <v>1765</v>
      </c>
      <c r="I3918" t="s">
        <v>1766</v>
      </c>
      <c r="J3918">
        <v>358752</v>
      </c>
      <c r="K3918">
        <v>20221025</v>
      </c>
      <c r="L3918" t="s">
        <v>3893</v>
      </c>
      <c r="M3918">
        <v>0</v>
      </c>
      <c r="N3918">
        <v>5.87</v>
      </c>
      <c r="O3918" t="s">
        <v>23</v>
      </c>
      <c r="P3918">
        <v>20230218</v>
      </c>
      <c r="Q3918">
        <v>20221025</v>
      </c>
    </row>
    <row r="3919" spans="1:17" x14ac:dyDescent="0.25">
      <c r="A3919" t="s">
        <v>548</v>
      </c>
      <c r="B3919" t="s">
        <v>429</v>
      </c>
      <c r="C3919">
        <v>135</v>
      </c>
      <c r="D3919">
        <v>20221025</v>
      </c>
      <c r="E3919">
        <f t="shared" si="61"/>
        <v>10</v>
      </c>
      <c r="F3919">
        <v>411100</v>
      </c>
      <c r="G3919" t="s">
        <v>18</v>
      </c>
      <c r="H3919" t="s">
        <v>259</v>
      </c>
      <c r="I3919" t="s">
        <v>260</v>
      </c>
      <c r="J3919">
        <v>358753</v>
      </c>
      <c r="K3919">
        <v>20221025</v>
      </c>
      <c r="L3919" t="s">
        <v>3894</v>
      </c>
      <c r="M3919">
        <v>0</v>
      </c>
      <c r="N3919">
        <v>3.5</v>
      </c>
      <c r="O3919" t="s">
        <v>19</v>
      </c>
      <c r="P3919" t="s">
        <v>20</v>
      </c>
      <c r="Q3919">
        <v>20221025</v>
      </c>
    </row>
    <row r="3920" spans="1:17" x14ac:dyDescent="0.25">
      <c r="A3920" t="s">
        <v>548</v>
      </c>
      <c r="B3920" t="s">
        <v>429</v>
      </c>
      <c r="C3920">
        <v>135</v>
      </c>
      <c r="D3920">
        <v>20221025</v>
      </c>
      <c r="E3920">
        <f t="shared" si="61"/>
        <v>10</v>
      </c>
      <c r="F3920">
        <v>411100</v>
      </c>
      <c r="G3920" t="s">
        <v>18</v>
      </c>
      <c r="H3920" t="s">
        <v>1062</v>
      </c>
      <c r="I3920" t="s">
        <v>1063</v>
      </c>
      <c r="J3920">
        <v>358754</v>
      </c>
      <c r="K3920">
        <v>20221025</v>
      </c>
      <c r="L3920" t="s">
        <v>3895</v>
      </c>
      <c r="M3920">
        <v>0</v>
      </c>
      <c r="N3920">
        <v>2</v>
      </c>
      <c r="O3920" t="s">
        <v>22</v>
      </c>
      <c r="P3920">
        <v>20230218</v>
      </c>
      <c r="Q3920">
        <v>20221025</v>
      </c>
    </row>
    <row r="3921" spans="1:17" x14ac:dyDescent="0.25">
      <c r="A3921" t="s">
        <v>548</v>
      </c>
      <c r="B3921" t="s">
        <v>429</v>
      </c>
      <c r="C3921">
        <v>135</v>
      </c>
      <c r="D3921">
        <v>20221025</v>
      </c>
      <c r="E3921">
        <f t="shared" si="61"/>
        <v>10</v>
      </c>
      <c r="F3921">
        <v>411100</v>
      </c>
      <c r="G3921" t="s">
        <v>18</v>
      </c>
      <c r="H3921" t="s">
        <v>657</v>
      </c>
      <c r="I3921" t="s">
        <v>658</v>
      </c>
      <c r="J3921">
        <v>358755</v>
      </c>
      <c r="K3921">
        <v>20221025</v>
      </c>
      <c r="L3921" t="s">
        <v>3896</v>
      </c>
      <c r="M3921">
        <v>0</v>
      </c>
      <c r="N3921">
        <v>3.5</v>
      </c>
      <c r="O3921" t="s">
        <v>19</v>
      </c>
      <c r="P3921" t="s">
        <v>20</v>
      </c>
      <c r="Q3921">
        <v>20221025</v>
      </c>
    </row>
    <row r="3922" spans="1:17" x14ac:dyDescent="0.25">
      <c r="A3922" t="s">
        <v>548</v>
      </c>
      <c r="B3922" t="s">
        <v>429</v>
      </c>
      <c r="C3922">
        <v>135</v>
      </c>
      <c r="D3922">
        <v>20221025</v>
      </c>
      <c r="E3922">
        <f t="shared" si="61"/>
        <v>10</v>
      </c>
      <c r="F3922">
        <v>411100</v>
      </c>
      <c r="G3922" t="s">
        <v>18</v>
      </c>
      <c r="H3922" t="s">
        <v>1911</v>
      </c>
      <c r="I3922" t="s">
        <v>1912</v>
      </c>
      <c r="J3922">
        <v>358756</v>
      </c>
      <c r="K3922">
        <v>20221025</v>
      </c>
      <c r="L3922" t="s">
        <v>3897</v>
      </c>
      <c r="M3922">
        <v>0</v>
      </c>
      <c r="N3922">
        <v>3.5</v>
      </c>
      <c r="O3922" t="s">
        <v>19</v>
      </c>
      <c r="P3922" t="s">
        <v>20</v>
      </c>
      <c r="Q3922">
        <v>20221025</v>
      </c>
    </row>
    <row r="3923" spans="1:17" x14ac:dyDescent="0.25">
      <c r="A3923" t="s">
        <v>548</v>
      </c>
      <c r="B3923" t="s">
        <v>429</v>
      </c>
      <c r="C3923">
        <v>135</v>
      </c>
      <c r="D3923">
        <v>20221025</v>
      </c>
      <c r="E3923">
        <f t="shared" si="61"/>
        <v>10</v>
      </c>
      <c r="F3923">
        <v>411100</v>
      </c>
      <c r="G3923" t="s">
        <v>18</v>
      </c>
      <c r="H3923" t="s">
        <v>1911</v>
      </c>
      <c r="I3923" t="s">
        <v>1912</v>
      </c>
      <c r="J3923">
        <v>358757</v>
      </c>
      <c r="K3923">
        <v>20221025</v>
      </c>
      <c r="L3923" t="s">
        <v>3898</v>
      </c>
      <c r="M3923">
        <v>0</v>
      </c>
      <c r="N3923">
        <v>3.5</v>
      </c>
      <c r="O3923" t="s">
        <v>19</v>
      </c>
      <c r="P3923" t="s">
        <v>20</v>
      </c>
      <c r="Q3923">
        <v>20221025</v>
      </c>
    </row>
    <row r="3924" spans="1:17" x14ac:dyDescent="0.25">
      <c r="A3924" t="s">
        <v>548</v>
      </c>
      <c r="B3924" t="s">
        <v>429</v>
      </c>
      <c r="C3924">
        <v>135</v>
      </c>
      <c r="D3924">
        <v>20221025</v>
      </c>
      <c r="E3924">
        <f t="shared" si="61"/>
        <v>10</v>
      </c>
      <c r="F3924">
        <v>411100</v>
      </c>
      <c r="G3924" t="s">
        <v>18</v>
      </c>
      <c r="H3924" t="s">
        <v>1033</v>
      </c>
      <c r="I3924" t="s">
        <v>1034</v>
      </c>
      <c r="J3924">
        <v>358758</v>
      </c>
      <c r="K3924">
        <v>20221025</v>
      </c>
      <c r="L3924" t="s">
        <v>3899</v>
      </c>
      <c r="M3924">
        <v>0</v>
      </c>
      <c r="N3924">
        <v>1.5</v>
      </c>
      <c r="O3924" t="s">
        <v>19</v>
      </c>
      <c r="P3924" t="s">
        <v>20</v>
      </c>
      <c r="Q3924">
        <v>20221025</v>
      </c>
    </row>
    <row r="3925" spans="1:17" x14ac:dyDescent="0.25">
      <c r="A3925" t="s">
        <v>548</v>
      </c>
      <c r="B3925" t="s">
        <v>429</v>
      </c>
      <c r="C3925">
        <v>135</v>
      </c>
      <c r="D3925">
        <v>20221025</v>
      </c>
      <c r="E3925">
        <f t="shared" si="61"/>
        <v>10</v>
      </c>
      <c r="F3925">
        <v>411100</v>
      </c>
      <c r="G3925" t="s">
        <v>18</v>
      </c>
      <c r="H3925" t="s">
        <v>154</v>
      </c>
      <c r="I3925" t="s">
        <v>155</v>
      </c>
      <c r="J3925">
        <v>358759</v>
      </c>
      <c r="K3925">
        <v>20221025</v>
      </c>
      <c r="L3925" t="s">
        <v>3900</v>
      </c>
      <c r="M3925">
        <v>0</v>
      </c>
      <c r="N3925">
        <v>3.5</v>
      </c>
      <c r="O3925" t="s">
        <v>19</v>
      </c>
      <c r="P3925" t="s">
        <v>20</v>
      </c>
      <c r="Q3925">
        <v>20221025</v>
      </c>
    </row>
    <row r="3926" spans="1:17" x14ac:dyDescent="0.25">
      <c r="A3926" t="s">
        <v>548</v>
      </c>
      <c r="B3926" t="s">
        <v>429</v>
      </c>
      <c r="C3926">
        <v>135</v>
      </c>
      <c r="D3926">
        <v>20221025</v>
      </c>
      <c r="E3926">
        <f t="shared" si="61"/>
        <v>10</v>
      </c>
      <c r="F3926">
        <v>411100</v>
      </c>
      <c r="G3926" t="s">
        <v>18</v>
      </c>
      <c r="H3926" t="s">
        <v>3901</v>
      </c>
      <c r="I3926" t="s">
        <v>3902</v>
      </c>
      <c r="J3926">
        <v>358760</v>
      </c>
      <c r="K3926">
        <v>20221025</v>
      </c>
      <c r="L3926" t="s">
        <v>3903</v>
      </c>
      <c r="M3926">
        <v>0</v>
      </c>
      <c r="N3926">
        <v>3.5</v>
      </c>
      <c r="O3926" t="s">
        <v>19</v>
      </c>
      <c r="P3926" t="s">
        <v>20</v>
      </c>
      <c r="Q3926">
        <v>20221025</v>
      </c>
    </row>
    <row r="3927" spans="1:17" x14ac:dyDescent="0.25">
      <c r="A3927" t="s">
        <v>548</v>
      </c>
      <c r="B3927" t="s">
        <v>429</v>
      </c>
      <c r="C3927">
        <v>135</v>
      </c>
      <c r="D3927">
        <v>20221025</v>
      </c>
      <c r="E3927">
        <f t="shared" si="61"/>
        <v>10</v>
      </c>
      <c r="F3927">
        <v>411100</v>
      </c>
      <c r="G3927" t="s">
        <v>18</v>
      </c>
      <c r="H3927" t="s">
        <v>823</v>
      </c>
      <c r="I3927" t="s">
        <v>824</v>
      </c>
      <c r="J3927">
        <v>122090083</v>
      </c>
      <c r="K3927">
        <v>20221025</v>
      </c>
      <c r="L3927" t="s">
        <v>3904</v>
      </c>
      <c r="M3927">
        <v>0</v>
      </c>
      <c r="N3927">
        <v>60</v>
      </c>
      <c r="O3927" t="s">
        <v>19</v>
      </c>
      <c r="P3927" t="s">
        <v>20</v>
      </c>
      <c r="Q3927">
        <v>20221025</v>
      </c>
    </row>
    <row r="3928" spans="1:17" x14ac:dyDescent="0.25">
      <c r="A3928" t="s">
        <v>548</v>
      </c>
      <c r="B3928" t="s">
        <v>429</v>
      </c>
      <c r="C3928">
        <v>135</v>
      </c>
      <c r="D3928">
        <v>20221025</v>
      </c>
      <c r="E3928">
        <f t="shared" si="61"/>
        <v>10</v>
      </c>
      <c r="F3928">
        <v>411100</v>
      </c>
      <c r="G3928" t="s">
        <v>18</v>
      </c>
      <c r="H3928" t="s">
        <v>3660</v>
      </c>
      <c r="I3928" t="s">
        <v>3661</v>
      </c>
      <c r="J3928">
        <v>122090090</v>
      </c>
      <c r="K3928">
        <v>20221025</v>
      </c>
      <c r="L3928" t="s">
        <v>3905</v>
      </c>
      <c r="M3928">
        <v>0</v>
      </c>
      <c r="N3928">
        <v>60</v>
      </c>
      <c r="O3928" t="s">
        <v>22</v>
      </c>
      <c r="P3928">
        <v>20230218</v>
      </c>
      <c r="Q3928">
        <v>20221025</v>
      </c>
    </row>
    <row r="3929" spans="1:17" x14ac:dyDescent="0.25">
      <c r="A3929" t="s">
        <v>548</v>
      </c>
      <c r="B3929" t="s">
        <v>429</v>
      </c>
      <c r="C3929">
        <v>135</v>
      </c>
      <c r="D3929">
        <v>20221025</v>
      </c>
      <c r="E3929">
        <f t="shared" si="61"/>
        <v>10</v>
      </c>
      <c r="F3929">
        <v>411100</v>
      </c>
      <c r="G3929" t="s">
        <v>18</v>
      </c>
      <c r="H3929" t="s">
        <v>3650</v>
      </c>
      <c r="I3929" t="s">
        <v>3651</v>
      </c>
      <c r="J3929">
        <v>122090036</v>
      </c>
      <c r="K3929">
        <v>20221025</v>
      </c>
      <c r="L3929" t="s">
        <v>3906</v>
      </c>
      <c r="M3929">
        <v>0</v>
      </c>
      <c r="N3929">
        <v>50</v>
      </c>
      <c r="O3929" t="s">
        <v>22</v>
      </c>
      <c r="P3929">
        <v>20230218</v>
      </c>
      <c r="Q3929">
        <v>20221025</v>
      </c>
    </row>
    <row r="3930" spans="1:17" x14ac:dyDescent="0.25">
      <c r="A3930" t="s">
        <v>548</v>
      </c>
      <c r="B3930" t="s">
        <v>429</v>
      </c>
      <c r="C3930">
        <v>135</v>
      </c>
      <c r="D3930">
        <v>20221025</v>
      </c>
      <c r="E3930">
        <f t="shared" si="61"/>
        <v>10</v>
      </c>
      <c r="F3930">
        <v>411100</v>
      </c>
      <c r="G3930" t="s">
        <v>18</v>
      </c>
      <c r="H3930" t="s">
        <v>3656</v>
      </c>
      <c r="I3930" t="s">
        <v>3657</v>
      </c>
      <c r="J3930">
        <v>122090065</v>
      </c>
      <c r="K3930">
        <v>20221025</v>
      </c>
      <c r="L3930" t="s">
        <v>3907</v>
      </c>
      <c r="M3930">
        <v>0</v>
      </c>
      <c r="N3930">
        <v>50</v>
      </c>
      <c r="O3930" t="s">
        <v>22</v>
      </c>
      <c r="P3930">
        <v>20230218</v>
      </c>
      <c r="Q3930">
        <v>20221025</v>
      </c>
    </row>
    <row r="3931" spans="1:17" x14ac:dyDescent="0.25">
      <c r="A3931" t="s">
        <v>548</v>
      </c>
      <c r="B3931" t="s">
        <v>429</v>
      </c>
      <c r="C3931">
        <v>135</v>
      </c>
      <c r="D3931">
        <v>20221025</v>
      </c>
      <c r="E3931">
        <f t="shared" si="61"/>
        <v>10</v>
      </c>
      <c r="F3931">
        <v>411000</v>
      </c>
      <c r="G3931" t="s">
        <v>21</v>
      </c>
      <c r="H3931" t="s">
        <v>271</v>
      </c>
      <c r="I3931" t="s">
        <v>272</v>
      </c>
      <c r="J3931">
        <v>358765</v>
      </c>
      <c r="K3931">
        <v>20221025</v>
      </c>
      <c r="L3931" t="s">
        <v>3908</v>
      </c>
      <c r="M3931">
        <v>0</v>
      </c>
      <c r="N3931">
        <v>60</v>
      </c>
      <c r="O3931" t="s">
        <v>22</v>
      </c>
      <c r="P3931">
        <v>20230218</v>
      </c>
      <c r="Q3931">
        <v>20221025</v>
      </c>
    </row>
    <row r="3932" spans="1:17" x14ac:dyDescent="0.25">
      <c r="A3932" t="s">
        <v>548</v>
      </c>
      <c r="B3932" t="s">
        <v>429</v>
      </c>
      <c r="C3932">
        <v>135</v>
      </c>
      <c r="D3932">
        <v>20221025</v>
      </c>
      <c r="E3932">
        <f t="shared" si="61"/>
        <v>10</v>
      </c>
      <c r="F3932">
        <v>411100</v>
      </c>
      <c r="G3932" t="s">
        <v>18</v>
      </c>
      <c r="H3932" t="s">
        <v>1006</v>
      </c>
      <c r="I3932" t="s">
        <v>1007</v>
      </c>
      <c r="J3932">
        <v>358766</v>
      </c>
      <c r="K3932">
        <v>20221025</v>
      </c>
      <c r="L3932" t="s">
        <v>3909</v>
      </c>
      <c r="M3932">
        <v>0</v>
      </c>
      <c r="N3932">
        <v>4</v>
      </c>
      <c r="O3932" t="s">
        <v>22</v>
      </c>
      <c r="P3932">
        <v>20230218</v>
      </c>
      <c r="Q3932">
        <v>20221025</v>
      </c>
    </row>
    <row r="3933" spans="1:17" x14ac:dyDescent="0.25">
      <c r="A3933" t="s">
        <v>548</v>
      </c>
      <c r="B3933" t="s">
        <v>429</v>
      </c>
      <c r="C3933">
        <v>135</v>
      </c>
      <c r="D3933">
        <v>20221025</v>
      </c>
      <c r="E3933">
        <f t="shared" si="61"/>
        <v>10</v>
      </c>
      <c r="F3933">
        <v>411100</v>
      </c>
      <c r="G3933" t="s">
        <v>18</v>
      </c>
      <c r="H3933" t="s">
        <v>243</v>
      </c>
      <c r="I3933" t="s">
        <v>244</v>
      </c>
      <c r="J3933">
        <v>358767</v>
      </c>
      <c r="K3933">
        <v>20221025</v>
      </c>
      <c r="L3933" t="s">
        <v>3910</v>
      </c>
      <c r="M3933">
        <v>0</v>
      </c>
      <c r="N3933">
        <v>4</v>
      </c>
      <c r="O3933" t="s">
        <v>23</v>
      </c>
      <c r="P3933">
        <v>20230329</v>
      </c>
      <c r="Q3933">
        <v>20221025</v>
      </c>
    </row>
    <row r="3934" spans="1:17" x14ac:dyDescent="0.25">
      <c r="A3934" t="s">
        <v>548</v>
      </c>
      <c r="B3934" t="s">
        <v>429</v>
      </c>
      <c r="C3934">
        <v>135</v>
      </c>
      <c r="D3934">
        <v>20221025</v>
      </c>
      <c r="E3934">
        <f t="shared" si="61"/>
        <v>10</v>
      </c>
      <c r="F3934">
        <v>411100</v>
      </c>
      <c r="G3934" t="s">
        <v>18</v>
      </c>
      <c r="H3934" t="s">
        <v>2728</v>
      </c>
      <c r="I3934" t="s">
        <v>2729</v>
      </c>
      <c r="J3934">
        <v>358768</v>
      </c>
      <c r="K3934">
        <v>20221025</v>
      </c>
      <c r="L3934" t="s">
        <v>3911</v>
      </c>
      <c r="M3934">
        <v>0</v>
      </c>
      <c r="N3934">
        <v>2</v>
      </c>
      <c r="O3934" t="s">
        <v>22</v>
      </c>
      <c r="P3934">
        <v>20230218</v>
      </c>
      <c r="Q3934">
        <v>20221025</v>
      </c>
    </row>
    <row r="3935" spans="1:17" x14ac:dyDescent="0.25">
      <c r="A3935" t="s">
        <v>548</v>
      </c>
      <c r="B3935" t="s">
        <v>429</v>
      </c>
      <c r="C3935">
        <v>135</v>
      </c>
      <c r="D3935">
        <v>20221025</v>
      </c>
      <c r="E3935">
        <f t="shared" si="61"/>
        <v>10</v>
      </c>
      <c r="F3935">
        <v>411100</v>
      </c>
      <c r="G3935" t="s">
        <v>18</v>
      </c>
      <c r="H3935" t="s">
        <v>1000</v>
      </c>
      <c r="I3935" t="s">
        <v>1001</v>
      </c>
      <c r="J3935">
        <v>358769</v>
      </c>
      <c r="K3935">
        <v>20221025</v>
      </c>
      <c r="L3935" t="s">
        <v>3912</v>
      </c>
      <c r="M3935">
        <v>0</v>
      </c>
      <c r="N3935">
        <v>2</v>
      </c>
      <c r="O3935" t="s">
        <v>19</v>
      </c>
      <c r="P3935" t="s">
        <v>20</v>
      </c>
      <c r="Q3935">
        <v>20221025</v>
      </c>
    </row>
    <row r="3936" spans="1:17" x14ac:dyDescent="0.25">
      <c r="A3936" t="s">
        <v>548</v>
      </c>
      <c r="B3936" t="s">
        <v>429</v>
      </c>
      <c r="C3936">
        <v>135</v>
      </c>
      <c r="D3936">
        <v>20221025</v>
      </c>
      <c r="E3936">
        <f t="shared" si="61"/>
        <v>10</v>
      </c>
      <c r="F3936">
        <v>411100</v>
      </c>
      <c r="G3936" t="s">
        <v>18</v>
      </c>
      <c r="H3936" t="s">
        <v>1003</v>
      </c>
      <c r="I3936" t="s">
        <v>1004</v>
      </c>
      <c r="J3936">
        <v>358770</v>
      </c>
      <c r="K3936">
        <v>20221025</v>
      </c>
      <c r="L3936" t="s">
        <v>3913</v>
      </c>
      <c r="M3936">
        <v>0</v>
      </c>
      <c r="N3936">
        <v>4</v>
      </c>
      <c r="O3936" t="s">
        <v>19</v>
      </c>
      <c r="P3936" t="s">
        <v>20</v>
      </c>
      <c r="Q3936">
        <v>20221025</v>
      </c>
    </row>
    <row r="3937" spans="1:17" x14ac:dyDescent="0.25">
      <c r="A3937" t="s">
        <v>548</v>
      </c>
      <c r="B3937" t="s">
        <v>429</v>
      </c>
      <c r="C3937">
        <v>135</v>
      </c>
      <c r="D3937">
        <v>20221025</v>
      </c>
      <c r="E3937">
        <f t="shared" si="61"/>
        <v>10</v>
      </c>
      <c r="F3937">
        <v>411100</v>
      </c>
      <c r="G3937" t="s">
        <v>18</v>
      </c>
      <c r="H3937" t="s">
        <v>997</v>
      </c>
      <c r="I3937" t="s">
        <v>998</v>
      </c>
      <c r="J3937">
        <v>358771</v>
      </c>
      <c r="K3937">
        <v>20221025</v>
      </c>
      <c r="L3937" t="s">
        <v>3914</v>
      </c>
      <c r="M3937">
        <v>0</v>
      </c>
      <c r="N3937">
        <v>4</v>
      </c>
      <c r="O3937" t="s">
        <v>19</v>
      </c>
      <c r="P3937" t="s">
        <v>20</v>
      </c>
      <c r="Q3937">
        <v>20221025</v>
      </c>
    </row>
    <row r="3938" spans="1:17" x14ac:dyDescent="0.25">
      <c r="A3938" t="s">
        <v>548</v>
      </c>
      <c r="B3938" t="s">
        <v>429</v>
      </c>
      <c r="C3938">
        <v>135</v>
      </c>
      <c r="D3938">
        <v>20221025</v>
      </c>
      <c r="E3938">
        <f t="shared" si="61"/>
        <v>10</v>
      </c>
      <c r="F3938">
        <v>411100</v>
      </c>
      <c r="G3938" t="s">
        <v>18</v>
      </c>
      <c r="H3938" t="s">
        <v>1417</v>
      </c>
      <c r="I3938" t="s">
        <v>1418</v>
      </c>
      <c r="J3938">
        <v>358772</v>
      </c>
      <c r="K3938">
        <v>20221025</v>
      </c>
      <c r="L3938" t="s">
        <v>3915</v>
      </c>
      <c r="M3938">
        <v>0</v>
      </c>
      <c r="N3938">
        <v>2</v>
      </c>
      <c r="O3938" t="s">
        <v>23</v>
      </c>
      <c r="P3938">
        <v>20230329</v>
      </c>
      <c r="Q3938">
        <v>20221025</v>
      </c>
    </row>
    <row r="3939" spans="1:17" x14ac:dyDescent="0.25">
      <c r="A3939" t="s">
        <v>548</v>
      </c>
      <c r="B3939" t="s">
        <v>429</v>
      </c>
      <c r="C3939">
        <v>135</v>
      </c>
      <c r="D3939">
        <v>20221025</v>
      </c>
      <c r="E3939">
        <f t="shared" si="61"/>
        <v>10</v>
      </c>
      <c r="F3939">
        <v>411100</v>
      </c>
      <c r="G3939" t="s">
        <v>18</v>
      </c>
      <c r="H3939" t="s">
        <v>179</v>
      </c>
      <c r="I3939" t="s">
        <v>180</v>
      </c>
      <c r="J3939">
        <v>358773</v>
      </c>
      <c r="K3939">
        <v>20221025</v>
      </c>
      <c r="L3939" t="s">
        <v>3916</v>
      </c>
      <c r="M3939">
        <v>0</v>
      </c>
      <c r="N3939">
        <v>2</v>
      </c>
      <c r="O3939" t="s">
        <v>22</v>
      </c>
      <c r="P3939">
        <v>20230218</v>
      </c>
      <c r="Q3939">
        <v>20221025</v>
      </c>
    </row>
    <row r="3940" spans="1:17" x14ac:dyDescent="0.25">
      <c r="A3940" t="s">
        <v>548</v>
      </c>
      <c r="B3940" t="s">
        <v>429</v>
      </c>
      <c r="C3940">
        <v>135</v>
      </c>
      <c r="D3940">
        <v>20221025</v>
      </c>
      <c r="E3940">
        <f t="shared" si="61"/>
        <v>10</v>
      </c>
      <c r="F3940">
        <v>411100</v>
      </c>
      <c r="G3940" t="s">
        <v>18</v>
      </c>
      <c r="H3940" t="s">
        <v>3917</v>
      </c>
      <c r="I3940" t="s">
        <v>3918</v>
      </c>
      <c r="J3940">
        <v>358774</v>
      </c>
      <c r="K3940">
        <v>20221025</v>
      </c>
      <c r="L3940" t="s">
        <v>3919</v>
      </c>
      <c r="M3940">
        <v>0</v>
      </c>
      <c r="N3940">
        <v>2</v>
      </c>
      <c r="O3940" t="s">
        <v>22</v>
      </c>
      <c r="P3940">
        <v>20230218</v>
      </c>
      <c r="Q3940">
        <v>20221025</v>
      </c>
    </row>
    <row r="3941" spans="1:17" x14ac:dyDescent="0.25">
      <c r="A3941" t="s">
        <v>548</v>
      </c>
      <c r="B3941" t="s">
        <v>429</v>
      </c>
      <c r="C3941">
        <v>135</v>
      </c>
      <c r="D3941">
        <v>20221025</v>
      </c>
      <c r="E3941">
        <f t="shared" si="61"/>
        <v>10</v>
      </c>
      <c r="F3941">
        <v>411100</v>
      </c>
      <c r="G3941" t="s">
        <v>18</v>
      </c>
      <c r="H3941" t="s">
        <v>3873</v>
      </c>
      <c r="I3941" t="s">
        <v>3874</v>
      </c>
      <c r="J3941">
        <v>358775</v>
      </c>
      <c r="K3941">
        <v>20221025</v>
      </c>
      <c r="L3941" t="s">
        <v>3920</v>
      </c>
      <c r="M3941">
        <v>0</v>
      </c>
      <c r="N3941">
        <v>2</v>
      </c>
      <c r="O3941" t="s">
        <v>22</v>
      </c>
      <c r="P3941">
        <v>20230218</v>
      </c>
      <c r="Q3941">
        <v>20221025</v>
      </c>
    </row>
    <row r="3942" spans="1:17" x14ac:dyDescent="0.25">
      <c r="A3942" t="s">
        <v>548</v>
      </c>
      <c r="B3942" t="s">
        <v>429</v>
      </c>
      <c r="C3942">
        <v>135</v>
      </c>
      <c r="D3942">
        <v>20221025</v>
      </c>
      <c r="E3942">
        <f t="shared" si="61"/>
        <v>10</v>
      </c>
      <c r="F3942">
        <v>411100</v>
      </c>
      <c r="G3942" t="s">
        <v>18</v>
      </c>
      <c r="H3942" t="s">
        <v>2501</v>
      </c>
      <c r="I3942" t="s">
        <v>2502</v>
      </c>
      <c r="J3942">
        <v>358776</v>
      </c>
      <c r="K3942">
        <v>20221025</v>
      </c>
      <c r="L3942" t="s">
        <v>3921</v>
      </c>
      <c r="M3942">
        <v>0</v>
      </c>
      <c r="N3942">
        <v>19</v>
      </c>
      <c r="O3942" t="s">
        <v>22</v>
      </c>
      <c r="P3942">
        <v>20230218</v>
      </c>
      <c r="Q3942">
        <v>20221025</v>
      </c>
    </row>
    <row r="3943" spans="1:17" x14ac:dyDescent="0.25">
      <c r="A3943" t="s">
        <v>548</v>
      </c>
      <c r="B3943" t="s">
        <v>429</v>
      </c>
      <c r="C3943">
        <v>135</v>
      </c>
      <c r="D3943">
        <v>20221025</v>
      </c>
      <c r="E3943">
        <f t="shared" si="61"/>
        <v>10</v>
      </c>
      <c r="F3943">
        <v>411100</v>
      </c>
      <c r="G3943" t="s">
        <v>18</v>
      </c>
      <c r="H3943" t="s">
        <v>2246</v>
      </c>
      <c r="I3943" t="s">
        <v>2247</v>
      </c>
      <c r="J3943">
        <v>358777</v>
      </c>
      <c r="K3943">
        <v>20221025</v>
      </c>
      <c r="L3943" t="s">
        <v>3922</v>
      </c>
      <c r="M3943">
        <v>0</v>
      </c>
      <c r="N3943">
        <v>8</v>
      </c>
      <c r="O3943" t="s">
        <v>23</v>
      </c>
      <c r="P3943">
        <v>20230329</v>
      </c>
      <c r="Q3943">
        <v>20221025</v>
      </c>
    </row>
    <row r="3944" spans="1:17" x14ac:dyDescent="0.25">
      <c r="A3944" t="s">
        <v>548</v>
      </c>
      <c r="B3944" t="s">
        <v>429</v>
      </c>
      <c r="C3944">
        <v>135</v>
      </c>
      <c r="D3944">
        <v>20221025</v>
      </c>
      <c r="E3944">
        <f t="shared" si="61"/>
        <v>10</v>
      </c>
      <c r="F3944">
        <v>411100</v>
      </c>
      <c r="G3944" t="s">
        <v>18</v>
      </c>
      <c r="H3944" t="s">
        <v>156</v>
      </c>
      <c r="I3944" t="s">
        <v>157</v>
      </c>
      <c r="J3944">
        <v>358778</v>
      </c>
      <c r="K3944">
        <v>20221025</v>
      </c>
      <c r="L3944" t="s">
        <v>3923</v>
      </c>
      <c r="M3944">
        <v>0</v>
      </c>
      <c r="N3944">
        <v>19</v>
      </c>
      <c r="O3944" t="s">
        <v>22</v>
      </c>
      <c r="P3944">
        <v>20230218</v>
      </c>
      <c r="Q3944">
        <v>20221025</v>
      </c>
    </row>
    <row r="3945" spans="1:17" x14ac:dyDescent="0.25">
      <c r="A3945" t="s">
        <v>548</v>
      </c>
      <c r="B3945" t="s">
        <v>429</v>
      </c>
      <c r="C3945">
        <v>135</v>
      </c>
      <c r="D3945">
        <v>20221025</v>
      </c>
      <c r="E3945">
        <f t="shared" si="61"/>
        <v>10</v>
      </c>
      <c r="F3945">
        <v>411100</v>
      </c>
      <c r="G3945" t="s">
        <v>18</v>
      </c>
      <c r="H3945" t="s">
        <v>3924</v>
      </c>
      <c r="I3945" t="s">
        <v>3925</v>
      </c>
      <c r="J3945">
        <v>358779</v>
      </c>
      <c r="K3945">
        <v>20221025</v>
      </c>
      <c r="L3945" t="s">
        <v>3926</v>
      </c>
      <c r="M3945">
        <v>0</v>
      </c>
      <c r="N3945">
        <v>10</v>
      </c>
      <c r="O3945" t="s">
        <v>22</v>
      </c>
      <c r="P3945">
        <v>20230218</v>
      </c>
      <c r="Q3945">
        <v>20221025</v>
      </c>
    </row>
    <row r="3946" spans="1:17" x14ac:dyDescent="0.25">
      <c r="A3946" t="s">
        <v>548</v>
      </c>
      <c r="B3946" t="s">
        <v>429</v>
      </c>
      <c r="C3946">
        <v>135</v>
      </c>
      <c r="D3946">
        <v>20221025</v>
      </c>
      <c r="E3946">
        <f t="shared" si="61"/>
        <v>10</v>
      </c>
      <c r="F3946">
        <v>411100</v>
      </c>
      <c r="G3946" t="s">
        <v>18</v>
      </c>
      <c r="H3946" t="s">
        <v>267</v>
      </c>
      <c r="I3946" t="s">
        <v>268</v>
      </c>
      <c r="J3946">
        <v>358780</v>
      </c>
      <c r="K3946">
        <v>20221025</v>
      </c>
      <c r="L3946" t="s">
        <v>3927</v>
      </c>
      <c r="M3946">
        <v>0</v>
      </c>
      <c r="N3946">
        <v>13</v>
      </c>
      <c r="O3946" t="s">
        <v>22</v>
      </c>
      <c r="P3946">
        <v>20230218</v>
      </c>
      <c r="Q3946">
        <v>20221025</v>
      </c>
    </row>
    <row r="3947" spans="1:17" x14ac:dyDescent="0.25">
      <c r="A3947" t="s">
        <v>548</v>
      </c>
      <c r="B3947" t="s">
        <v>429</v>
      </c>
      <c r="C3947">
        <v>135</v>
      </c>
      <c r="D3947">
        <v>20221025</v>
      </c>
      <c r="E3947">
        <f t="shared" si="61"/>
        <v>10</v>
      </c>
      <c r="F3947">
        <v>411100</v>
      </c>
      <c r="G3947" t="s">
        <v>18</v>
      </c>
      <c r="H3947" t="s">
        <v>2173</v>
      </c>
      <c r="I3947" t="s">
        <v>2174</v>
      </c>
      <c r="J3947">
        <v>358781</v>
      </c>
      <c r="K3947">
        <v>20221025</v>
      </c>
      <c r="L3947" t="s">
        <v>3928</v>
      </c>
      <c r="M3947">
        <v>0</v>
      </c>
      <c r="N3947">
        <v>4</v>
      </c>
      <c r="O3947" t="s">
        <v>22</v>
      </c>
      <c r="P3947">
        <v>20230218</v>
      </c>
      <c r="Q3947">
        <v>20221025</v>
      </c>
    </row>
    <row r="3948" spans="1:17" x14ac:dyDescent="0.25">
      <c r="A3948" t="s">
        <v>548</v>
      </c>
      <c r="B3948" t="s">
        <v>429</v>
      </c>
      <c r="C3948">
        <v>135</v>
      </c>
      <c r="D3948">
        <v>20221025</v>
      </c>
      <c r="E3948">
        <f t="shared" si="61"/>
        <v>10</v>
      </c>
      <c r="F3948">
        <v>531105</v>
      </c>
      <c r="G3948" t="s">
        <v>429</v>
      </c>
      <c r="H3948" t="s">
        <v>401</v>
      </c>
      <c r="I3948" t="s">
        <v>402</v>
      </c>
      <c r="J3948">
        <v>358782</v>
      </c>
      <c r="K3948">
        <v>20221025</v>
      </c>
      <c r="L3948" t="s">
        <v>565</v>
      </c>
      <c r="M3948">
        <v>441.37</v>
      </c>
      <c r="N3948">
        <v>0</v>
      </c>
      <c r="O3948" t="s">
        <v>19</v>
      </c>
      <c r="P3948" t="s">
        <v>20</v>
      </c>
      <c r="Q3948">
        <v>20221025</v>
      </c>
    </row>
    <row r="3949" spans="1:17" x14ac:dyDescent="0.25">
      <c r="A3949" t="s">
        <v>548</v>
      </c>
      <c r="B3949" t="s">
        <v>429</v>
      </c>
      <c r="C3949">
        <v>135</v>
      </c>
      <c r="D3949">
        <v>20221025</v>
      </c>
      <c r="E3949">
        <f t="shared" si="61"/>
        <v>10</v>
      </c>
      <c r="F3949">
        <v>411100</v>
      </c>
      <c r="G3949" t="s">
        <v>18</v>
      </c>
      <c r="H3949" t="s">
        <v>192</v>
      </c>
      <c r="I3949" t="s">
        <v>193</v>
      </c>
      <c r="J3949">
        <v>322060006</v>
      </c>
      <c r="K3949">
        <v>20221025</v>
      </c>
      <c r="L3949" t="s">
        <v>3929</v>
      </c>
      <c r="M3949">
        <v>0</v>
      </c>
      <c r="N3949">
        <v>60</v>
      </c>
      <c r="O3949" t="s">
        <v>23</v>
      </c>
      <c r="P3949">
        <v>20230218</v>
      </c>
      <c r="Q3949">
        <v>20221025</v>
      </c>
    </row>
    <row r="3950" spans="1:17" x14ac:dyDescent="0.25">
      <c r="A3950" t="s">
        <v>548</v>
      </c>
      <c r="B3950" t="s">
        <v>429</v>
      </c>
      <c r="C3950">
        <v>135</v>
      </c>
      <c r="D3950">
        <v>20221025</v>
      </c>
      <c r="E3950">
        <f t="shared" si="61"/>
        <v>10</v>
      </c>
      <c r="F3950">
        <v>531105</v>
      </c>
      <c r="G3950" t="s">
        <v>429</v>
      </c>
      <c r="H3950" t="s">
        <v>401</v>
      </c>
      <c r="I3950" t="s">
        <v>402</v>
      </c>
      <c r="J3950">
        <v>359024</v>
      </c>
      <c r="K3950">
        <v>20221025</v>
      </c>
      <c r="L3950" t="s">
        <v>565</v>
      </c>
      <c r="M3950">
        <v>60</v>
      </c>
      <c r="N3950">
        <v>0</v>
      </c>
      <c r="O3950" t="s">
        <v>19</v>
      </c>
      <c r="P3950" t="s">
        <v>20</v>
      </c>
      <c r="Q3950">
        <v>20221025</v>
      </c>
    </row>
    <row r="3951" spans="1:17" x14ac:dyDescent="0.25">
      <c r="A3951" t="s">
        <v>548</v>
      </c>
      <c r="B3951" t="s">
        <v>429</v>
      </c>
      <c r="C3951">
        <v>135</v>
      </c>
      <c r="D3951">
        <v>20221026</v>
      </c>
      <c r="E3951">
        <f t="shared" si="61"/>
        <v>10</v>
      </c>
      <c r="F3951">
        <v>411100</v>
      </c>
      <c r="G3951" t="s">
        <v>18</v>
      </c>
      <c r="H3951" t="s">
        <v>3930</v>
      </c>
      <c r="I3951" t="s">
        <v>3931</v>
      </c>
      <c r="J3951">
        <v>358783</v>
      </c>
      <c r="K3951">
        <v>20221026</v>
      </c>
      <c r="L3951" t="s">
        <v>3932</v>
      </c>
      <c r="M3951">
        <v>0</v>
      </c>
      <c r="N3951">
        <v>22</v>
      </c>
      <c r="O3951" t="s">
        <v>22</v>
      </c>
      <c r="P3951">
        <v>20230218</v>
      </c>
      <c r="Q3951">
        <v>20221026</v>
      </c>
    </row>
    <row r="3952" spans="1:17" x14ac:dyDescent="0.25">
      <c r="A3952" t="s">
        <v>548</v>
      </c>
      <c r="B3952" t="s">
        <v>429</v>
      </c>
      <c r="C3952">
        <v>135</v>
      </c>
      <c r="D3952">
        <v>20221026</v>
      </c>
      <c r="E3952">
        <f t="shared" si="61"/>
        <v>10</v>
      </c>
      <c r="F3952">
        <v>411100</v>
      </c>
      <c r="G3952" t="s">
        <v>18</v>
      </c>
      <c r="H3952" t="s">
        <v>215</v>
      </c>
      <c r="I3952" t="s">
        <v>216</v>
      </c>
      <c r="J3952">
        <v>358784</v>
      </c>
      <c r="K3952">
        <v>20221026</v>
      </c>
      <c r="L3952" t="s">
        <v>3933</v>
      </c>
      <c r="M3952">
        <v>0</v>
      </c>
      <c r="N3952">
        <v>4</v>
      </c>
      <c r="O3952" t="s">
        <v>22</v>
      </c>
      <c r="P3952">
        <v>20230218</v>
      </c>
      <c r="Q3952">
        <v>20221026</v>
      </c>
    </row>
    <row r="3953" spans="1:17" x14ac:dyDescent="0.25">
      <c r="A3953" t="s">
        <v>548</v>
      </c>
      <c r="B3953" t="s">
        <v>429</v>
      </c>
      <c r="C3953">
        <v>135</v>
      </c>
      <c r="D3953">
        <v>20221026</v>
      </c>
      <c r="E3953">
        <f t="shared" si="61"/>
        <v>10</v>
      </c>
      <c r="F3953">
        <v>411100</v>
      </c>
      <c r="G3953" t="s">
        <v>18</v>
      </c>
      <c r="H3953" t="s">
        <v>213</v>
      </c>
      <c r="I3953" t="s">
        <v>214</v>
      </c>
      <c r="J3953">
        <v>358785</v>
      </c>
      <c r="K3953">
        <v>20221026</v>
      </c>
      <c r="L3953" t="s">
        <v>3934</v>
      </c>
      <c r="M3953">
        <v>0</v>
      </c>
      <c r="N3953">
        <v>7</v>
      </c>
      <c r="O3953" t="s">
        <v>22</v>
      </c>
      <c r="P3953">
        <v>20230218</v>
      </c>
      <c r="Q3953">
        <v>20221026</v>
      </c>
    </row>
    <row r="3954" spans="1:17" x14ac:dyDescent="0.25">
      <c r="A3954" t="s">
        <v>548</v>
      </c>
      <c r="B3954" t="s">
        <v>429</v>
      </c>
      <c r="C3954">
        <v>135</v>
      </c>
      <c r="D3954">
        <v>20221026</v>
      </c>
      <c r="E3954">
        <f t="shared" si="61"/>
        <v>10</v>
      </c>
      <c r="F3954">
        <v>411100</v>
      </c>
      <c r="G3954" t="s">
        <v>18</v>
      </c>
      <c r="H3954" t="s">
        <v>3569</v>
      </c>
      <c r="I3954" t="s">
        <v>3570</v>
      </c>
      <c r="J3954">
        <v>358786</v>
      </c>
      <c r="K3954">
        <v>20221026</v>
      </c>
      <c r="L3954" t="s">
        <v>3935</v>
      </c>
      <c r="M3954">
        <v>0</v>
      </c>
      <c r="N3954">
        <v>8</v>
      </c>
      <c r="O3954" t="s">
        <v>22</v>
      </c>
      <c r="P3954">
        <v>20230218</v>
      </c>
      <c r="Q3954">
        <v>20221026</v>
      </c>
    </row>
    <row r="3955" spans="1:17" x14ac:dyDescent="0.25">
      <c r="A3955" t="s">
        <v>548</v>
      </c>
      <c r="B3955" t="s">
        <v>429</v>
      </c>
      <c r="C3955">
        <v>135</v>
      </c>
      <c r="D3955">
        <v>20221026</v>
      </c>
      <c r="E3955">
        <f t="shared" si="61"/>
        <v>10</v>
      </c>
      <c r="F3955">
        <v>411100</v>
      </c>
      <c r="G3955" t="s">
        <v>18</v>
      </c>
      <c r="H3955" t="s">
        <v>291</v>
      </c>
      <c r="I3955" t="s">
        <v>292</v>
      </c>
      <c r="J3955">
        <v>358787</v>
      </c>
      <c r="K3955">
        <v>20221026</v>
      </c>
      <c r="L3955" t="s">
        <v>3936</v>
      </c>
      <c r="M3955">
        <v>0</v>
      </c>
      <c r="N3955">
        <v>22</v>
      </c>
      <c r="O3955" t="s">
        <v>19</v>
      </c>
      <c r="P3955" t="s">
        <v>20</v>
      </c>
      <c r="Q3955">
        <v>20221026</v>
      </c>
    </row>
    <row r="3956" spans="1:17" x14ac:dyDescent="0.25">
      <c r="A3956" t="s">
        <v>548</v>
      </c>
      <c r="B3956" t="s">
        <v>429</v>
      </c>
      <c r="C3956">
        <v>135</v>
      </c>
      <c r="D3956">
        <v>20221026</v>
      </c>
      <c r="E3956">
        <f t="shared" si="61"/>
        <v>10</v>
      </c>
      <c r="F3956">
        <v>411100</v>
      </c>
      <c r="G3956" t="s">
        <v>18</v>
      </c>
      <c r="H3956" t="s">
        <v>3937</v>
      </c>
      <c r="I3956" t="s">
        <v>3938</v>
      </c>
      <c r="J3956">
        <v>358788</v>
      </c>
      <c r="K3956">
        <v>20221026</v>
      </c>
      <c r="L3956" t="s">
        <v>3939</v>
      </c>
      <c r="M3956">
        <v>0</v>
      </c>
      <c r="N3956">
        <v>17</v>
      </c>
      <c r="O3956" t="s">
        <v>22</v>
      </c>
      <c r="P3956">
        <v>20230218</v>
      </c>
      <c r="Q3956">
        <v>20221026</v>
      </c>
    </row>
    <row r="3957" spans="1:17" x14ac:dyDescent="0.25">
      <c r="A3957" t="s">
        <v>548</v>
      </c>
      <c r="B3957" t="s">
        <v>429</v>
      </c>
      <c r="C3957">
        <v>135</v>
      </c>
      <c r="D3957">
        <v>20221026</v>
      </c>
      <c r="E3957">
        <f t="shared" si="61"/>
        <v>10</v>
      </c>
      <c r="F3957">
        <v>411100</v>
      </c>
      <c r="G3957" t="s">
        <v>18</v>
      </c>
      <c r="H3957" t="s">
        <v>791</v>
      </c>
      <c r="I3957" t="s">
        <v>792</v>
      </c>
      <c r="J3957">
        <v>122070063</v>
      </c>
      <c r="K3957">
        <v>20221026</v>
      </c>
      <c r="L3957" t="s">
        <v>3940</v>
      </c>
      <c r="M3957">
        <v>0</v>
      </c>
      <c r="N3957">
        <v>12.51</v>
      </c>
      <c r="O3957" t="s">
        <v>19</v>
      </c>
      <c r="P3957" t="s">
        <v>20</v>
      </c>
      <c r="Q3957">
        <v>20221026</v>
      </c>
    </row>
    <row r="3958" spans="1:17" x14ac:dyDescent="0.25">
      <c r="A3958" t="s">
        <v>548</v>
      </c>
      <c r="B3958" t="s">
        <v>429</v>
      </c>
      <c r="C3958">
        <v>135</v>
      </c>
      <c r="D3958">
        <v>20221026</v>
      </c>
      <c r="E3958">
        <f t="shared" si="61"/>
        <v>10</v>
      </c>
      <c r="F3958">
        <v>411100</v>
      </c>
      <c r="G3958" t="s">
        <v>18</v>
      </c>
      <c r="H3958" t="s">
        <v>791</v>
      </c>
      <c r="I3958" t="s">
        <v>792</v>
      </c>
      <c r="J3958">
        <v>122070063</v>
      </c>
      <c r="K3958">
        <v>20221026</v>
      </c>
      <c r="L3958" t="s">
        <v>3941</v>
      </c>
      <c r="M3958">
        <v>0</v>
      </c>
      <c r="N3958">
        <v>2.4900000000000002</v>
      </c>
      <c r="O3958" t="s">
        <v>22</v>
      </c>
      <c r="P3958">
        <v>20230218</v>
      </c>
      <c r="Q3958">
        <v>20221026</v>
      </c>
    </row>
    <row r="3959" spans="1:17" x14ac:dyDescent="0.25">
      <c r="A3959" t="s">
        <v>548</v>
      </c>
      <c r="B3959" t="s">
        <v>429</v>
      </c>
      <c r="C3959">
        <v>135</v>
      </c>
      <c r="D3959">
        <v>20221026</v>
      </c>
      <c r="E3959">
        <f t="shared" si="61"/>
        <v>10</v>
      </c>
      <c r="F3959">
        <v>411100</v>
      </c>
      <c r="G3959" t="s">
        <v>18</v>
      </c>
      <c r="H3959" t="s">
        <v>789</v>
      </c>
      <c r="I3959" t="s">
        <v>790</v>
      </c>
      <c r="J3959">
        <v>358791</v>
      </c>
      <c r="K3959">
        <v>20221026</v>
      </c>
      <c r="L3959" t="s">
        <v>3942</v>
      </c>
      <c r="M3959">
        <v>0</v>
      </c>
      <c r="N3959">
        <v>15</v>
      </c>
      <c r="O3959" t="s">
        <v>22</v>
      </c>
      <c r="P3959">
        <v>20230218</v>
      </c>
      <c r="Q3959">
        <v>20221026</v>
      </c>
    </row>
    <row r="3960" spans="1:17" x14ac:dyDescent="0.25">
      <c r="A3960" t="s">
        <v>548</v>
      </c>
      <c r="B3960" t="s">
        <v>429</v>
      </c>
      <c r="C3960">
        <v>135</v>
      </c>
      <c r="D3960">
        <v>20221026</v>
      </c>
      <c r="E3960">
        <f t="shared" si="61"/>
        <v>10</v>
      </c>
      <c r="F3960">
        <v>411100</v>
      </c>
      <c r="G3960" t="s">
        <v>18</v>
      </c>
      <c r="H3960" t="s">
        <v>283</v>
      </c>
      <c r="I3960" t="s">
        <v>284</v>
      </c>
      <c r="J3960">
        <v>358792</v>
      </c>
      <c r="K3960">
        <v>20221026</v>
      </c>
      <c r="L3960" t="s">
        <v>3943</v>
      </c>
      <c r="M3960">
        <v>0</v>
      </c>
      <c r="N3960">
        <v>13</v>
      </c>
      <c r="O3960" t="s">
        <v>22</v>
      </c>
      <c r="P3960">
        <v>20230218</v>
      </c>
      <c r="Q3960">
        <v>20221026</v>
      </c>
    </row>
    <row r="3961" spans="1:17" x14ac:dyDescent="0.25">
      <c r="A3961" t="s">
        <v>548</v>
      </c>
      <c r="B3961" t="s">
        <v>429</v>
      </c>
      <c r="C3961">
        <v>135</v>
      </c>
      <c r="D3961">
        <v>20221026</v>
      </c>
      <c r="E3961">
        <f t="shared" si="61"/>
        <v>10</v>
      </c>
      <c r="F3961">
        <v>411100</v>
      </c>
      <c r="G3961" t="s">
        <v>18</v>
      </c>
      <c r="H3961" t="s">
        <v>281</v>
      </c>
      <c r="I3961" t="s">
        <v>282</v>
      </c>
      <c r="J3961">
        <v>358793</v>
      </c>
      <c r="K3961">
        <v>20221026</v>
      </c>
      <c r="L3961" t="s">
        <v>3944</v>
      </c>
      <c r="M3961">
        <v>0</v>
      </c>
      <c r="N3961">
        <v>25</v>
      </c>
      <c r="O3961" t="s">
        <v>19</v>
      </c>
      <c r="P3961" t="s">
        <v>20</v>
      </c>
      <c r="Q3961">
        <v>20221026</v>
      </c>
    </row>
    <row r="3962" spans="1:17" x14ac:dyDescent="0.25">
      <c r="A3962" t="s">
        <v>548</v>
      </c>
      <c r="B3962" t="s">
        <v>429</v>
      </c>
      <c r="C3962">
        <v>135</v>
      </c>
      <c r="D3962">
        <v>20221026</v>
      </c>
      <c r="E3962">
        <f t="shared" si="61"/>
        <v>10</v>
      </c>
      <c r="F3962">
        <v>531105</v>
      </c>
      <c r="G3962" t="s">
        <v>429</v>
      </c>
      <c r="H3962" t="s">
        <v>401</v>
      </c>
      <c r="I3962" t="s">
        <v>402</v>
      </c>
      <c r="J3962">
        <v>358794</v>
      </c>
      <c r="K3962">
        <v>20221026</v>
      </c>
      <c r="L3962" t="s">
        <v>565</v>
      </c>
      <c r="M3962">
        <v>148</v>
      </c>
      <c r="N3962">
        <v>0</v>
      </c>
      <c r="O3962" t="s">
        <v>19</v>
      </c>
      <c r="P3962" t="s">
        <v>20</v>
      </c>
      <c r="Q3962">
        <v>20221026</v>
      </c>
    </row>
    <row r="3963" spans="1:17" x14ac:dyDescent="0.25">
      <c r="A3963" t="s">
        <v>548</v>
      </c>
      <c r="B3963" t="s">
        <v>429</v>
      </c>
      <c r="C3963">
        <v>135</v>
      </c>
      <c r="D3963">
        <v>20221026</v>
      </c>
      <c r="E3963">
        <f t="shared" si="61"/>
        <v>10</v>
      </c>
      <c r="F3963">
        <v>467100</v>
      </c>
      <c r="G3963" t="s">
        <v>160</v>
      </c>
      <c r="H3963" t="s">
        <v>316</v>
      </c>
      <c r="I3963" t="s">
        <v>317</v>
      </c>
      <c r="J3963" t="s">
        <v>3945</v>
      </c>
      <c r="K3963">
        <v>20221026</v>
      </c>
      <c r="L3963" t="s">
        <v>3946</v>
      </c>
      <c r="M3963">
        <v>5.99</v>
      </c>
      <c r="N3963">
        <v>0</v>
      </c>
      <c r="O3963" t="s">
        <v>23</v>
      </c>
      <c r="P3963">
        <v>20221118</v>
      </c>
      <c r="Q3963">
        <v>20221026</v>
      </c>
    </row>
    <row r="3964" spans="1:17" x14ac:dyDescent="0.25">
      <c r="A3964" t="s">
        <v>548</v>
      </c>
      <c r="B3964" t="s">
        <v>429</v>
      </c>
      <c r="C3964">
        <v>135</v>
      </c>
      <c r="D3964">
        <v>20221026</v>
      </c>
      <c r="E3964">
        <f t="shared" si="61"/>
        <v>10</v>
      </c>
      <c r="F3964">
        <v>531105</v>
      </c>
      <c r="G3964" t="s">
        <v>429</v>
      </c>
      <c r="H3964" t="s">
        <v>401</v>
      </c>
      <c r="I3964" t="s">
        <v>402</v>
      </c>
      <c r="J3964" t="s">
        <v>3945</v>
      </c>
      <c r="K3964">
        <v>20221026</v>
      </c>
      <c r="L3964" t="s">
        <v>3946</v>
      </c>
      <c r="M3964">
        <v>0</v>
      </c>
      <c r="N3964">
        <v>5.99</v>
      </c>
      <c r="O3964" t="s">
        <v>19</v>
      </c>
      <c r="P3964" t="s">
        <v>20</v>
      </c>
      <c r="Q3964">
        <v>20221026</v>
      </c>
    </row>
    <row r="3965" spans="1:17" x14ac:dyDescent="0.25">
      <c r="A3965" t="s">
        <v>548</v>
      </c>
      <c r="B3965" t="s">
        <v>429</v>
      </c>
      <c r="C3965">
        <v>135</v>
      </c>
      <c r="D3965">
        <v>20221026</v>
      </c>
      <c r="E3965">
        <f t="shared" si="61"/>
        <v>10</v>
      </c>
      <c r="F3965">
        <v>411100</v>
      </c>
      <c r="G3965" t="s">
        <v>18</v>
      </c>
      <c r="H3965" t="s">
        <v>251</v>
      </c>
      <c r="I3965" t="s">
        <v>252</v>
      </c>
      <c r="J3965">
        <v>359489</v>
      </c>
      <c r="K3965">
        <v>20221026</v>
      </c>
      <c r="L3965" t="s">
        <v>3947</v>
      </c>
      <c r="M3965">
        <v>0</v>
      </c>
      <c r="N3965">
        <v>1.5</v>
      </c>
      <c r="O3965" t="s">
        <v>19</v>
      </c>
      <c r="P3965" t="s">
        <v>20</v>
      </c>
      <c r="Q3965">
        <v>20221026</v>
      </c>
    </row>
    <row r="3966" spans="1:17" x14ac:dyDescent="0.25">
      <c r="A3966" t="s">
        <v>548</v>
      </c>
      <c r="B3966" t="s">
        <v>429</v>
      </c>
      <c r="C3966">
        <v>135</v>
      </c>
      <c r="D3966">
        <v>20221026</v>
      </c>
      <c r="E3966">
        <f t="shared" si="61"/>
        <v>10</v>
      </c>
      <c r="F3966">
        <v>411100</v>
      </c>
      <c r="G3966" t="s">
        <v>18</v>
      </c>
      <c r="H3966" t="s">
        <v>154</v>
      </c>
      <c r="I3966" t="s">
        <v>155</v>
      </c>
      <c r="J3966">
        <v>359490</v>
      </c>
      <c r="K3966">
        <v>20221026</v>
      </c>
      <c r="L3966" t="s">
        <v>3948</v>
      </c>
      <c r="M3966">
        <v>0</v>
      </c>
      <c r="N3966">
        <v>3.5</v>
      </c>
      <c r="O3966" t="s">
        <v>19</v>
      </c>
      <c r="P3966" t="s">
        <v>20</v>
      </c>
      <c r="Q3966">
        <v>20221026</v>
      </c>
    </row>
    <row r="3967" spans="1:17" x14ac:dyDescent="0.25">
      <c r="A3967" t="s">
        <v>548</v>
      </c>
      <c r="B3967" t="s">
        <v>429</v>
      </c>
      <c r="C3967">
        <v>135</v>
      </c>
      <c r="D3967">
        <v>20221026</v>
      </c>
      <c r="E3967">
        <f t="shared" si="61"/>
        <v>10</v>
      </c>
      <c r="F3967">
        <v>411100</v>
      </c>
      <c r="G3967" t="s">
        <v>18</v>
      </c>
      <c r="H3967" t="s">
        <v>1911</v>
      </c>
      <c r="I3967" t="s">
        <v>1912</v>
      </c>
      <c r="J3967">
        <v>359491</v>
      </c>
      <c r="K3967">
        <v>20221026</v>
      </c>
      <c r="L3967" t="s">
        <v>3949</v>
      </c>
      <c r="M3967">
        <v>0</v>
      </c>
      <c r="N3967">
        <v>3.5</v>
      </c>
      <c r="O3967" t="s">
        <v>19</v>
      </c>
      <c r="P3967" t="s">
        <v>20</v>
      </c>
      <c r="Q3967">
        <v>20221026</v>
      </c>
    </row>
    <row r="3968" spans="1:17" x14ac:dyDescent="0.25">
      <c r="A3968" t="s">
        <v>548</v>
      </c>
      <c r="B3968" t="s">
        <v>429</v>
      </c>
      <c r="C3968">
        <v>135</v>
      </c>
      <c r="D3968">
        <v>20221026</v>
      </c>
      <c r="E3968">
        <f t="shared" si="61"/>
        <v>10</v>
      </c>
      <c r="F3968">
        <v>411100</v>
      </c>
      <c r="G3968" t="s">
        <v>18</v>
      </c>
      <c r="H3968" t="s">
        <v>3901</v>
      </c>
      <c r="I3968" t="s">
        <v>3902</v>
      </c>
      <c r="J3968">
        <v>359492</v>
      </c>
      <c r="K3968">
        <v>20221026</v>
      </c>
      <c r="L3968" t="s">
        <v>3950</v>
      </c>
      <c r="M3968">
        <v>0</v>
      </c>
      <c r="N3968">
        <v>3.5</v>
      </c>
      <c r="O3968" t="s">
        <v>19</v>
      </c>
      <c r="P3968" t="s">
        <v>20</v>
      </c>
      <c r="Q3968">
        <v>20221026</v>
      </c>
    </row>
    <row r="3969" spans="1:17" x14ac:dyDescent="0.25">
      <c r="A3969" t="s">
        <v>548</v>
      </c>
      <c r="B3969" t="s">
        <v>429</v>
      </c>
      <c r="C3969">
        <v>135</v>
      </c>
      <c r="D3969">
        <v>20221026</v>
      </c>
      <c r="E3969">
        <f t="shared" si="61"/>
        <v>10</v>
      </c>
      <c r="F3969">
        <v>411100</v>
      </c>
      <c r="G3969" t="s">
        <v>18</v>
      </c>
      <c r="H3969" t="s">
        <v>800</v>
      </c>
      <c r="I3969" t="s">
        <v>801</v>
      </c>
      <c r="J3969">
        <v>359493</v>
      </c>
      <c r="K3969">
        <v>20221026</v>
      </c>
      <c r="L3969" t="s">
        <v>3951</v>
      </c>
      <c r="M3969">
        <v>0</v>
      </c>
      <c r="N3969">
        <v>1.5</v>
      </c>
      <c r="O3969" t="s">
        <v>19</v>
      </c>
      <c r="P3969" t="s">
        <v>20</v>
      </c>
      <c r="Q3969">
        <v>20221026</v>
      </c>
    </row>
    <row r="3970" spans="1:17" x14ac:dyDescent="0.25">
      <c r="A3970" t="s">
        <v>548</v>
      </c>
      <c r="B3970" t="s">
        <v>429</v>
      </c>
      <c r="C3970">
        <v>135</v>
      </c>
      <c r="D3970">
        <v>20221026</v>
      </c>
      <c r="E3970">
        <f t="shared" si="61"/>
        <v>10</v>
      </c>
      <c r="F3970">
        <v>411100</v>
      </c>
      <c r="G3970" t="s">
        <v>18</v>
      </c>
      <c r="H3970" t="s">
        <v>1033</v>
      </c>
      <c r="I3970" t="s">
        <v>1034</v>
      </c>
      <c r="J3970">
        <v>359494</v>
      </c>
      <c r="K3970">
        <v>20221026</v>
      </c>
      <c r="L3970" t="s">
        <v>3952</v>
      </c>
      <c r="M3970">
        <v>0</v>
      </c>
      <c r="N3970">
        <v>2</v>
      </c>
      <c r="O3970" t="s">
        <v>19</v>
      </c>
      <c r="P3970" t="s">
        <v>20</v>
      </c>
      <c r="Q3970">
        <v>20221026</v>
      </c>
    </row>
    <row r="3971" spans="1:17" x14ac:dyDescent="0.25">
      <c r="A3971" t="s">
        <v>548</v>
      </c>
      <c r="B3971" t="s">
        <v>429</v>
      </c>
      <c r="C3971">
        <v>135</v>
      </c>
      <c r="D3971">
        <v>20221026</v>
      </c>
      <c r="E3971">
        <f t="shared" ref="E3971:E4034" si="62">VALUE(MID(D3971,5,2))</f>
        <v>10</v>
      </c>
      <c r="F3971">
        <v>411100</v>
      </c>
      <c r="G3971" t="s">
        <v>18</v>
      </c>
      <c r="H3971" t="s">
        <v>65</v>
      </c>
      <c r="I3971" t="s">
        <v>66</v>
      </c>
      <c r="J3971">
        <v>359495</v>
      </c>
      <c r="K3971">
        <v>20221026</v>
      </c>
      <c r="L3971" t="s">
        <v>3953</v>
      </c>
      <c r="M3971">
        <v>0</v>
      </c>
      <c r="N3971">
        <v>1.4</v>
      </c>
      <c r="O3971" t="s">
        <v>19</v>
      </c>
      <c r="P3971" t="s">
        <v>20</v>
      </c>
      <c r="Q3971">
        <v>20221026</v>
      </c>
    </row>
    <row r="3972" spans="1:17" x14ac:dyDescent="0.25">
      <c r="A3972" t="s">
        <v>548</v>
      </c>
      <c r="B3972" t="s">
        <v>429</v>
      </c>
      <c r="C3972">
        <v>135</v>
      </c>
      <c r="D3972">
        <v>20221026</v>
      </c>
      <c r="E3972">
        <f t="shared" si="62"/>
        <v>10</v>
      </c>
      <c r="F3972">
        <v>411100</v>
      </c>
      <c r="G3972" t="s">
        <v>18</v>
      </c>
      <c r="H3972" t="s">
        <v>237</v>
      </c>
      <c r="I3972" t="s">
        <v>238</v>
      </c>
      <c r="J3972">
        <v>359496</v>
      </c>
      <c r="K3972">
        <v>20221026</v>
      </c>
      <c r="L3972" t="s">
        <v>3954</v>
      </c>
      <c r="M3972">
        <v>0</v>
      </c>
      <c r="N3972">
        <v>79.38</v>
      </c>
      <c r="O3972" t="s">
        <v>19</v>
      </c>
      <c r="P3972" t="s">
        <v>20</v>
      </c>
      <c r="Q3972">
        <v>20221026</v>
      </c>
    </row>
    <row r="3973" spans="1:17" x14ac:dyDescent="0.25">
      <c r="A3973" t="s">
        <v>548</v>
      </c>
      <c r="B3973" t="s">
        <v>429</v>
      </c>
      <c r="C3973">
        <v>135</v>
      </c>
      <c r="D3973">
        <v>20221026</v>
      </c>
      <c r="E3973">
        <f t="shared" si="62"/>
        <v>10</v>
      </c>
      <c r="F3973">
        <v>531105</v>
      </c>
      <c r="G3973" t="s">
        <v>429</v>
      </c>
      <c r="H3973" t="s">
        <v>401</v>
      </c>
      <c r="I3973" t="s">
        <v>402</v>
      </c>
      <c r="J3973">
        <v>359497</v>
      </c>
      <c r="K3973">
        <v>20221026</v>
      </c>
      <c r="L3973" t="s">
        <v>565</v>
      </c>
      <c r="M3973">
        <v>96.28</v>
      </c>
      <c r="N3973">
        <v>0</v>
      </c>
      <c r="O3973" t="s">
        <v>19</v>
      </c>
      <c r="P3973" t="s">
        <v>20</v>
      </c>
      <c r="Q3973">
        <v>20221026</v>
      </c>
    </row>
    <row r="3974" spans="1:17" x14ac:dyDescent="0.25">
      <c r="A3974" t="s">
        <v>548</v>
      </c>
      <c r="B3974" t="s">
        <v>429</v>
      </c>
      <c r="C3974">
        <v>135</v>
      </c>
      <c r="D3974">
        <v>20221027</v>
      </c>
      <c r="E3974">
        <f t="shared" si="62"/>
        <v>10</v>
      </c>
      <c r="F3974">
        <v>411100</v>
      </c>
      <c r="G3974" t="s">
        <v>18</v>
      </c>
      <c r="H3974" t="s">
        <v>3955</v>
      </c>
      <c r="I3974" t="s">
        <v>3956</v>
      </c>
      <c r="J3974">
        <v>359498</v>
      </c>
      <c r="K3974">
        <v>20221027</v>
      </c>
      <c r="L3974" t="s">
        <v>3957</v>
      </c>
      <c r="M3974">
        <v>0</v>
      </c>
      <c r="N3974">
        <v>25</v>
      </c>
      <c r="O3974" t="s">
        <v>22</v>
      </c>
      <c r="P3974">
        <v>20230218</v>
      </c>
      <c r="Q3974">
        <v>20221027</v>
      </c>
    </row>
    <row r="3975" spans="1:17" x14ac:dyDescent="0.25">
      <c r="A3975" t="s">
        <v>548</v>
      </c>
      <c r="B3975" t="s">
        <v>429</v>
      </c>
      <c r="C3975">
        <v>135</v>
      </c>
      <c r="D3975">
        <v>20221027</v>
      </c>
      <c r="E3975">
        <f t="shared" si="62"/>
        <v>10</v>
      </c>
      <c r="F3975">
        <v>411100</v>
      </c>
      <c r="G3975" t="s">
        <v>18</v>
      </c>
      <c r="H3975" t="s">
        <v>2901</v>
      </c>
      <c r="I3975" t="s">
        <v>2902</v>
      </c>
      <c r="J3975">
        <v>359499</v>
      </c>
      <c r="K3975">
        <v>20221027</v>
      </c>
      <c r="L3975" t="s">
        <v>3958</v>
      </c>
      <c r="M3975">
        <v>0</v>
      </c>
      <c r="N3975">
        <v>14</v>
      </c>
      <c r="O3975" t="s">
        <v>22</v>
      </c>
      <c r="P3975">
        <v>20230218</v>
      </c>
      <c r="Q3975">
        <v>20221027</v>
      </c>
    </row>
    <row r="3976" spans="1:17" x14ac:dyDescent="0.25">
      <c r="A3976" t="s">
        <v>548</v>
      </c>
      <c r="B3976" t="s">
        <v>429</v>
      </c>
      <c r="C3976">
        <v>135</v>
      </c>
      <c r="D3976">
        <v>20221027</v>
      </c>
      <c r="E3976">
        <f t="shared" si="62"/>
        <v>10</v>
      </c>
      <c r="F3976">
        <v>411100</v>
      </c>
      <c r="G3976" t="s">
        <v>18</v>
      </c>
      <c r="H3976" t="s">
        <v>3959</v>
      </c>
      <c r="I3976" t="s">
        <v>3960</v>
      </c>
      <c r="J3976">
        <v>359500</v>
      </c>
      <c r="K3976">
        <v>20221027</v>
      </c>
      <c r="L3976" t="s">
        <v>3961</v>
      </c>
      <c r="M3976">
        <v>0</v>
      </c>
      <c r="N3976">
        <v>4</v>
      </c>
      <c r="O3976" t="s">
        <v>22</v>
      </c>
      <c r="P3976">
        <v>20230218</v>
      </c>
      <c r="Q3976">
        <v>20221027</v>
      </c>
    </row>
    <row r="3977" spans="1:17" x14ac:dyDescent="0.25">
      <c r="A3977" t="s">
        <v>548</v>
      </c>
      <c r="B3977" t="s">
        <v>429</v>
      </c>
      <c r="C3977">
        <v>135</v>
      </c>
      <c r="D3977">
        <v>20221027</v>
      </c>
      <c r="E3977">
        <f t="shared" si="62"/>
        <v>10</v>
      </c>
      <c r="F3977">
        <v>411100</v>
      </c>
      <c r="G3977" t="s">
        <v>18</v>
      </c>
      <c r="H3977" t="s">
        <v>255</v>
      </c>
      <c r="I3977" t="s">
        <v>256</v>
      </c>
      <c r="J3977">
        <v>359501</v>
      </c>
      <c r="K3977">
        <v>20221027</v>
      </c>
      <c r="L3977" t="s">
        <v>3962</v>
      </c>
      <c r="M3977">
        <v>0</v>
      </c>
      <c r="N3977">
        <v>2</v>
      </c>
      <c r="O3977" t="s">
        <v>22</v>
      </c>
      <c r="P3977">
        <v>20230218</v>
      </c>
      <c r="Q3977">
        <v>20221027</v>
      </c>
    </row>
    <row r="3978" spans="1:17" x14ac:dyDescent="0.25">
      <c r="A3978" t="s">
        <v>548</v>
      </c>
      <c r="B3978" t="s">
        <v>429</v>
      </c>
      <c r="C3978">
        <v>135</v>
      </c>
      <c r="D3978">
        <v>20221027</v>
      </c>
      <c r="E3978">
        <f t="shared" si="62"/>
        <v>10</v>
      </c>
      <c r="F3978">
        <v>411100</v>
      </c>
      <c r="G3978" t="s">
        <v>18</v>
      </c>
      <c r="H3978" t="s">
        <v>1062</v>
      </c>
      <c r="I3978" t="s">
        <v>1063</v>
      </c>
      <c r="J3978">
        <v>359502</v>
      </c>
      <c r="K3978">
        <v>20221027</v>
      </c>
      <c r="L3978" t="s">
        <v>3963</v>
      </c>
      <c r="M3978">
        <v>0</v>
      </c>
      <c r="N3978">
        <v>1.5</v>
      </c>
      <c r="O3978" t="s">
        <v>22</v>
      </c>
      <c r="P3978">
        <v>20230218</v>
      </c>
      <c r="Q3978">
        <v>20221027</v>
      </c>
    </row>
    <row r="3979" spans="1:17" x14ac:dyDescent="0.25">
      <c r="A3979" t="s">
        <v>548</v>
      </c>
      <c r="B3979" t="s">
        <v>429</v>
      </c>
      <c r="C3979">
        <v>135</v>
      </c>
      <c r="D3979">
        <v>20221027</v>
      </c>
      <c r="E3979">
        <f t="shared" si="62"/>
        <v>10</v>
      </c>
      <c r="F3979">
        <v>411100</v>
      </c>
      <c r="G3979" t="s">
        <v>18</v>
      </c>
      <c r="H3979" t="s">
        <v>3964</v>
      </c>
      <c r="I3979" t="s">
        <v>3965</v>
      </c>
      <c r="J3979">
        <v>359503</v>
      </c>
      <c r="K3979">
        <v>20221027</v>
      </c>
      <c r="L3979" t="s">
        <v>3966</v>
      </c>
      <c r="M3979">
        <v>0</v>
      </c>
      <c r="N3979">
        <v>1.5</v>
      </c>
      <c r="O3979" t="s">
        <v>22</v>
      </c>
      <c r="P3979">
        <v>20230218</v>
      </c>
      <c r="Q3979">
        <v>20221027</v>
      </c>
    </row>
    <row r="3980" spans="1:17" x14ac:dyDescent="0.25">
      <c r="A3980" t="s">
        <v>548</v>
      </c>
      <c r="B3980" t="s">
        <v>429</v>
      </c>
      <c r="C3980">
        <v>135</v>
      </c>
      <c r="D3980">
        <v>20221027</v>
      </c>
      <c r="E3980">
        <f t="shared" si="62"/>
        <v>10</v>
      </c>
      <c r="F3980">
        <v>411100</v>
      </c>
      <c r="G3980" t="s">
        <v>18</v>
      </c>
      <c r="H3980" t="s">
        <v>251</v>
      </c>
      <c r="I3980" t="s">
        <v>252</v>
      </c>
      <c r="J3980">
        <v>359504</v>
      </c>
      <c r="K3980">
        <v>20221027</v>
      </c>
      <c r="L3980" t="s">
        <v>3967</v>
      </c>
      <c r="M3980">
        <v>0</v>
      </c>
      <c r="N3980">
        <v>1.5</v>
      </c>
      <c r="O3980" t="s">
        <v>19</v>
      </c>
      <c r="P3980" t="s">
        <v>20</v>
      </c>
      <c r="Q3980">
        <v>20221027</v>
      </c>
    </row>
    <row r="3981" spans="1:17" x14ac:dyDescent="0.25">
      <c r="A3981" t="s">
        <v>548</v>
      </c>
      <c r="B3981" t="s">
        <v>429</v>
      </c>
      <c r="C3981">
        <v>135</v>
      </c>
      <c r="D3981">
        <v>20221027</v>
      </c>
      <c r="E3981">
        <f t="shared" si="62"/>
        <v>10</v>
      </c>
      <c r="F3981">
        <v>411100</v>
      </c>
      <c r="G3981" t="s">
        <v>18</v>
      </c>
      <c r="H3981" t="s">
        <v>800</v>
      </c>
      <c r="I3981" t="s">
        <v>801</v>
      </c>
      <c r="J3981">
        <v>359505</v>
      </c>
      <c r="K3981">
        <v>20221027</v>
      </c>
      <c r="L3981" t="s">
        <v>3968</v>
      </c>
      <c r="M3981">
        <v>0</v>
      </c>
      <c r="N3981">
        <v>4</v>
      </c>
      <c r="O3981" t="s">
        <v>19</v>
      </c>
      <c r="P3981" t="s">
        <v>20</v>
      </c>
      <c r="Q3981">
        <v>20221027</v>
      </c>
    </row>
    <row r="3982" spans="1:17" x14ac:dyDescent="0.25">
      <c r="A3982" t="s">
        <v>548</v>
      </c>
      <c r="B3982" t="s">
        <v>429</v>
      </c>
      <c r="C3982">
        <v>135</v>
      </c>
      <c r="D3982">
        <v>20221027</v>
      </c>
      <c r="E3982">
        <f t="shared" si="62"/>
        <v>10</v>
      </c>
      <c r="F3982">
        <v>411100</v>
      </c>
      <c r="G3982" t="s">
        <v>18</v>
      </c>
      <c r="H3982" t="s">
        <v>81</v>
      </c>
      <c r="I3982" t="s">
        <v>82</v>
      </c>
      <c r="J3982">
        <v>359506</v>
      </c>
      <c r="K3982">
        <v>20221027</v>
      </c>
      <c r="L3982" t="s">
        <v>3969</v>
      </c>
      <c r="M3982">
        <v>0</v>
      </c>
      <c r="N3982">
        <v>2</v>
      </c>
      <c r="O3982" t="s">
        <v>19</v>
      </c>
      <c r="P3982" t="s">
        <v>20</v>
      </c>
      <c r="Q3982">
        <v>20221027</v>
      </c>
    </row>
    <row r="3983" spans="1:17" x14ac:dyDescent="0.25">
      <c r="A3983" t="s">
        <v>548</v>
      </c>
      <c r="B3983" t="s">
        <v>429</v>
      </c>
      <c r="C3983">
        <v>135</v>
      </c>
      <c r="D3983">
        <v>20221027</v>
      </c>
      <c r="E3983">
        <f t="shared" si="62"/>
        <v>10</v>
      </c>
      <c r="F3983">
        <v>411100</v>
      </c>
      <c r="G3983" t="s">
        <v>18</v>
      </c>
      <c r="H3983" t="s">
        <v>154</v>
      </c>
      <c r="I3983" t="s">
        <v>155</v>
      </c>
      <c r="J3983">
        <v>359507</v>
      </c>
      <c r="K3983">
        <v>20221027</v>
      </c>
      <c r="L3983" t="s">
        <v>3970</v>
      </c>
      <c r="M3983">
        <v>0</v>
      </c>
      <c r="N3983">
        <v>2</v>
      </c>
      <c r="O3983" t="s">
        <v>19</v>
      </c>
      <c r="P3983" t="s">
        <v>20</v>
      </c>
      <c r="Q3983">
        <v>20221027</v>
      </c>
    </row>
    <row r="3984" spans="1:17" x14ac:dyDescent="0.25">
      <c r="A3984" t="s">
        <v>548</v>
      </c>
      <c r="B3984" t="s">
        <v>429</v>
      </c>
      <c r="C3984">
        <v>135</v>
      </c>
      <c r="D3984">
        <v>20221027</v>
      </c>
      <c r="E3984">
        <f t="shared" si="62"/>
        <v>10</v>
      </c>
      <c r="F3984">
        <v>411100</v>
      </c>
      <c r="G3984" t="s">
        <v>18</v>
      </c>
      <c r="H3984" t="s">
        <v>1911</v>
      </c>
      <c r="I3984" t="s">
        <v>1912</v>
      </c>
      <c r="J3984">
        <v>359508</v>
      </c>
      <c r="K3984">
        <v>20221027</v>
      </c>
      <c r="L3984" t="s">
        <v>3971</v>
      </c>
      <c r="M3984">
        <v>0</v>
      </c>
      <c r="N3984">
        <v>2</v>
      </c>
      <c r="O3984" t="s">
        <v>19</v>
      </c>
      <c r="P3984" t="s">
        <v>20</v>
      </c>
      <c r="Q3984">
        <v>20221027</v>
      </c>
    </row>
    <row r="3985" spans="1:17" x14ac:dyDescent="0.25">
      <c r="A3985" t="s">
        <v>548</v>
      </c>
      <c r="B3985" t="s">
        <v>429</v>
      </c>
      <c r="C3985">
        <v>135</v>
      </c>
      <c r="D3985">
        <v>20221027</v>
      </c>
      <c r="E3985">
        <f t="shared" si="62"/>
        <v>10</v>
      </c>
      <c r="F3985">
        <v>411100</v>
      </c>
      <c r="G3985" t="s">
        <v>18</v>
      </c>
      <c r="H3985" t="s">
        <v>73</v>
      </c>
      <c r="I3985" t="s">
        <v>74</v>
      </c>
      <c r="J3985">
        <v>359509</v>
      </c>
      <c r="K3985">
        <v>20221027</v>
      </c>
      <c r="L3985" t="s">
        <v>3972</v>
      </c>
      <c r="M3985">
        <v>0</v>
      </c>
      <c r="N3985">
        <v>2</v>
      </c>
      <c r="O3985" t="s">
        <v>19</v>
      </c>
      <c r="P3985" t="s">
        <v>20</v>
      </c>
      <c r="Q3985">
        <v>20221027</v>
      </c>
    </row>
    <row r="3986" spans="1:17" x14ac:dyDescent="0.25">
      <c r="A3986" t="s">
        <v>548</v>
      </c>
      <c r="B3986" t="s">
        <v>429</v>
      </c>
      <c r="C3986">
        <v>135</v>
      </c>
      <c r="D3986">
        <v>20221027</v>
      </c>
      <c r="E3986">
        <f t="shared" si="62"/>
        <v>10</v>
      </c>
      <c r="F3986">
        <v>411100</v>
      </c>
      <c r="G3986" t="s">
        <v>18</v>
      </c>
      <c r="H3986" t="s">
        <v>3586</v>
      </c>
      <c r="I3986" t="s">
        <v>3587</v>
      </c>
      <c r="J3986">
        <v>359510</v>
      </c>
      <c r="K3986">
        <v>20221027</v>
      </c>
      <c r="L3986" t="s">
        <v>3973</v>
      </c>
      <c r="M3986">
        <v>0</v>
      </c>
      <c r="N3986">
        <v>2</v>
      </c>
      <c r="O3986" t="s">
        <v>22</v>
      </c>
      <c r="P3986">
        <v>20230218</v>
      </c>
      <c r="Q3986">
        <v>20221027</v>
      </c>
    </row>
    <row r="3987" spans="1:17" x14ac:dyDescent="0.25">
      <c r="A3987" t="s">
        <v>548</v>
      </c>
      <c r="B3987" t="s">
        <v>429</v>
      </c>
      <c r="C3987">
        <v>135</v>
      </c>
      <c r="D3987">
        <v>20221027</v>
      </c>
      <c r="E3987">
        <f t="shared" si="62"/>
        <v>10</v>
      </c>
      <c r="F3987">
        <v>531105</v>
      </c>
      <c r="G3987" t="s">
        <v>429</v>
      </c>
      <c r="H3987" t="s">
        <v>401</v>
      </c>
      <c r="I3987" t="s">
        <v>402</v>
      </c>
      <c r="J3987">
        <v>359511</v>
      </c>
      <c r="K3987">
        <v>20221027</v>
      </c>
      <c r="L3987" t="s">
        <v>565</v>
      </c>
      <c r="M3987">
        <v>63.5</v>
      </c>
      <c r="N3987">
        <v>0</v>
      </c>
      <c r="O3987" t="s">
        <v>19</v>
      </c>
      <c r="P3987" t="s">
        <v>20</v>
      </c>
      <c r="Q3987">
        <v>20221027</v>
      </c>
    </row>
    <row r="3988" spans="1:17" x14ac:dyDescent="0.25">
      <c r="A3988" t="s">
        <v>548</v>
      </c>
      <c r="B3988" t="s">
        <v>429</v>
      </c>
      <c r="C3988">
        <v>135</v>
      </c>
      <c r="D3988">
        <v>20221028</v>
      </c>
      <c r="E3988">
        <f t="shared" si="62"/>
        <v>10</v>
      </c>
      <c r="F3988">
        <v>411100</v>
      </c>
      <c r="G3988" t="s">
        <v>18</v>
      </c>
      <c r="H3988" t="s">
        <v>3212</v>
      </c>
      <c r="I3988" t="s">
        <v>3213</v>
      </c>
      <c r="J3988">
        <v>359512</v>
      </c>
      <c r="K3988">
        <v>20221028</v>
      </c>
      <c r="L3988" t="s">
        <v>3974</v>
      </c>
      <c r="M3988">
        <v>0</v>
      </c>
      <c r="N3988">
        <v>3</v>
      </c>
      <c r="O3988" t="s">
        <v>19</v>
      </c>
      <c r="P3988" t="s">
        <v>20</v>
      </c>
      <c r="Q3988">
        <v>20221028</v>
      </c>
    </row>
    <row r="3989" spans="1:17" x14ac:dyDescent="0.25">
      <c r="A3989" t="s">
        <v>548</v>
      </c>
      <c r="B3989" t="s">
        <v>429</v>
      </c>
      <c r="C3989">
        <v>135</v>
      </c>
      <c r="D3989">
        <v>20221028</v>
      </c>
      <c r="E3989">
        <f t="shared" si="62"/>
        <v>10</v>
      </c>
      <c r="F3989">
        <v>411100</v>
      </c>
      <c r="G3989" t="s">
        <v>18</v>
      </c>
      <c r="H3989" t="s">
        <v>3975</v>
      </c>
      <c r="I3989" t="s">
        <v>3976</v>
      </c>
      <c r="J3989">
        <v>359513</v>
      </c>
      <c r="K3989">
        <v>20221028</v>
      </c>
      <c r="L3989" t="s">
        <v>3977</v>
      </c>
      <c r="M3989">
        <v>0</v>
      </c>
      <c r="N3989">
        <v>27</v>
      </c>
      <c r="O3989" t="s">
        <v>22</v>
      </c>
      <c r="P3989">
        <v>20230218</v>
      </c>
      <c r="Q3989">
        <v>20221028</v>
      </c>
    </row>
    <row r="3990" spans="1:17" x14ac:dyDescent="0.25">
      <c r="A3990" t="s">
        <v>548</v>
      </c>
      <c r="B3990" t="s">
        <v>429</v>
      </c>
      <c r="C3990">
        <v>135</v>
      </c>
      <c r="D3990">
        <v>20221028</v>
      </c>
      <c r="E3990">
        <f t="shared" si="62"/>
        <v>10</v>
      </c>
      <c r="F3990">
        <v>411100</v>
      </c>
      <c r="G3990" t="s">
        <v>18</v>
      </c>
      <c r="H3990" t="s">
        <v>3978</v>
      </c>
      <c r="I3990" t="s">
        <v>3979</v>
      </c>
      <c r="J3990">
        <v>359514</v>
      </c>
      <c r="K3990">
        <v>20221028</v>
      </c>
      <c r="L3990" t="s">
        <v>3980</v>
      </c>
      <c r="M3990">
        <v>0</v>
      </c>
      <c r="N3990">
        <v>27</v>
      </c>
      <c r="O3990" t="s">
        <v>22</v>
      </c>
      <c r="P3990">
        <v>20230218</v>
      </c>
      <c r="Q3990">
        <v>20221028</v>
      </c>
    </row>
    <row r="3991" spans="1:17" x14ac:dyDescent="0.25">
      <c r="A3991" t="s">
        <v>548</v>
      </c>
      <c r="B3991" t="s">
        <v>429</v>
      </c>
      <c r="C3991">
        <v>135</v>
      </c>
      <c r="D3991">
        <v>20221028</v>
      </c>
      <c r="E3991">
        <f t="shared" si="62"/>
        <v>10</v>
      </c>
      <c r="F3991">
        <v>411100</v>
      </c>
      <c r="G3991" t="s">
        <v>18</v>
      </c>
      <c r="H3991" t="s">
        <v>3981</v>
      </c>
      <c r="I3991" t="s">
        <v>3982</v>
      </c>
      <c r="J3991">
        <v>359515</v>
      </c>
      <c r="K3991">
        <v>20221028</v>
      </c>
      <c r="L3991" t="s">
        <v>3983</v>
      </c>
      <c r="M3991">
        <v>0</v>
      </c>
      <c r="N3991">
        <v>18</v>
      </c>
      <c r="O3991" t="s">
        <v>22</v>
      </c>
      <c r="P3991">
        <v>20230218</v>
      </c>
      <c r="Q3991">
        <v>20221028</v>
      </c>
    </row>
    <row r="3992" spans="1:17" x14ac:dyDescent="0.25">
      <c r="A3992" t="s">
        <v>548</v>
      </c>
      <c r="B3992" t="s">
        <v>429</v>
      </c>
      <c r="C3992">
        <v>135</v>
      </c>
      <c r="D3992">
        <v>20221028</v>
      </c>
      <c r="E3992">
        <f t="shared" si="62"/>
        <v>10</v>
      </c>
      <c r="F3992">
        <v>411100</v>
      </c>
      <c r="G3992" t="s">
        <v>18</v>
      </c>
      <c r="H3992" t="s">
        <v>35</v>
      </c>
      <c r="I3992" t="s">
        <v>36</v>
      </c>
      <c r="J3992">
        <v>359516</v>
      </c>
      <c r="K3992">
        <v>20221028</v>
      </c>
      <c r="L3992" t="s">
        <v>3984</v>
      </c>
      <c r="M3992">
        <v>0</v>
      </c>
      <c r="N3992">
        <v>17</v>
      </c>
      <c r="O3992" t="s">
        <v>19</v>
      </c>
      <c r="P3992" t="s">
        <v>20</v>
      </c>
      <c r="Q3992">
        <v>20221028</v>
      </c>
    </row>
    <row r="3993" spans="1:17" x14ac:dyDescent="0.25">
      <c r="A3993" t="s">
        <v>548</v>
      </c>
      <c r="B3993" t="s">
        <v>429</v>
      </c>
      <c r="C3993">
        <v>135</v>
      </c>
      <c r="D3993">
        <v>20221028</v>
      </c>
      <c r="E3993">
        <f t="shared" si="62"/>
        <v>10</v>
      </c>
      <c r="F3993">
        <v>411100</v>
      </c>
      <c r="G3993" t="s">
        <v>18</v>
      </c>
      <c r="H3993" t="s">
        <v>3985</v>
      </c>
      <c r="I3993" t="s">
        <v>3986</v>
      </c>
      <c r="J3993">
        <v>359517</v>
      </c>
      <c r="K3993">
        <v>20221028</v>
      </c>
      <c r="L3993" t="s">
        <v>3987</v>
      </c>
      <c r="M3993">
        <v>0</v>
      </c>
      <c r="N3993">
        <v>25</v>
      </c>
      <c r="O3993" t="s">
        <v>19</v>
      </c>
      <c r="P3993" t="s">
        <v>20</v>
      </c>
      <c r="Q3993">
        <v>20221028</v>
      </c>
    </row>
    <row r="3994" spans="1:17" x14ac:dyDescent="0.25">
      <c r="A3994" t="s">
        <v>548</v>
      </c>
      <c r="B3994" t="s">
        <v>429</v>
      </c>
      <c r="C3994">
        <v>135</v>
      </c>
      <c r="D3994">
        <v>20221028</v>
      </c>
      <c r="E3994">
        <f t="shared" si="62"/>
        <v>10</v>
      </c>
      <c r="F3994">
        <v>411100</v>
      </c>
      <c r="G3994" t="s">
        <v>18</v>
      </c>
      <c r="H3994" t="s">
        <v>3865</v>
      </c>
      <c r="I3994" t="s">
        <v>3866</v>
      </c>
      <c r="J3994">
        <v>359518</v>
      </c>
      <c r="K3994">
        <v>20221028</v>
      </c>
      <c r="L3994" t="s">
        <v>3988</v>
      </c>
      <c r="M3994">
        <v>0</v>
      </c>
      <c r="N3994">
        <v>17</v>
      </c>
      <c r="O3994" t="s">
        <v>22</v>
      </c>
      <c r="P3994">
        <v>20230218</v>
      </c>
      <c r="Q3994">
        <v>20221028</v>
      </c>
    </row>
    <row r="3995" spans="1:17" x14ac:dyDescent="0.25">
      <c r="A3995" t="s">
        <v>548</v>
      </c>
      <c r="B3995" t="s">
        <v>429</v>
      </c>
      <c r="C3995">
        <v>135</v>
      </c>
      <c r="D3995">
        <v>20221028</v>
      </c>
      <c r="E3995">
        <f t="shared" si="62"/>
        <v>10</v>
      </c>
      <c r="F3995">
        <v>411100</v>
      </c>
      <c r="G3995" t="s">
        <v>18</v>
      </c>
      <c r="H3995" t="s">
        <v>1515</v>
      </c>
      <c r="I3995" t="s">
        <v>1516</v>
      </c>
      <c r="J3995">
        <v>359519</v>
      </c>
      <c r="K3995">
        <v>20221028</v>
      </c>
      <c r="L3995" t="s">
        <v>3989</v>
      </c>
      <c r="M3995">
        <v>0</v>
      </c>
      <c r="N3995">
        <v>27</v>
      </c>
      <c r="O3995" t="s">
        <v>22</v>
      </c>
      <c r="P3995">
        <v>20230218</v>
      </c>
      <c r="Q3995">
        <v>20221028</v>
      </c>
    </row>
    <row r="3996" spans="1:17" x14ac:dyDescent="0.25">
      <c r="A3996" t="s">
        <v>548</v>
      </c>
      <c r="B3996" t="s">
        <v>429</v>
      </c>
      <c r="C3996">
        <v>135</v>
      </c>
      <c r="D3996">
        <v>20221028</v>
      </c>
      <c r="E3996">
        <f t="shared" si="62"/>
        <v>10</v>
      </c>
      <c r="F3996">
        <v>411100</v>
      </c>
      <c r="G3996" t="s">
        <v>18</v>
      </c>
      <c r="H3996" t="s">
        <v>3990</v>
      </c>
      <c r="I3996" t="s">
        <v>3991</v>
      </c>
      <c r="J3996">
        <v>359520</v>
      </c>
      <c r="K3996">
        <v>20221028</v>
      </c>
      <c r="L3996" t="s">
        <v>3992</v>
      </c>
      <c r="M3996">
        <v>0</v>
      </c>
      <c r="N3996">
        <v>27</v>
      </c>
      <c r="O3996" t="s">
        <v>22</v>
      </c>
      <c r="P3996">
        <v>20230218</v>
      </c>
      <c r="Q3996">
        <v>20221028</v>
      </c>
    </row>
    <row r="3997" spans="1:17" x14ac:dyDescent="0.25">
      <c r="A3997" t="s">
        <v>548</v>
      </c>
      <c r="B3997" t="s">
        <v>429</v>
      </c>
      <c r="C3997">
        <v>135</v>
      </c>
      <c r="D3997">
        <v>20221028</v>
      </c>
      <c r="E3997">
        <f t="shared" si="62"/>
        <v>10</v>
      </c>
      <c r="F3997">
        <v>411000</v>
      </c>
      <c r="G3997" t="s">
        <v>21</v>
      </c>
      <c r="H3997" t="s">
        <v>271</v>
      </c>
      <c r="I3997" t="s">
        <v>272</v>
      </c>
      <c r="J3997">
        <v>359521</v>
      </c>
      <c r="K3997">
        <v>20221028</v>
      </c>
      <c r="L3997" t="s">
        <v>3993</v>
      </c>
      <c r="M3997">
        <v>0</v>
      </c>
      <c r="N3997">
        <v>3</v>
      </c>
      <c r="O3997" t="s">
        <v>22</v>
      </c>
      <c r="P3997">
        <v>20230218</v>
      </c>
      <c r="Q3997">
        <v>20221028</v>
      </c>
    </row>
    <row r="3998" spans="1:17" x14ac:dyDescent="0.25">
      <c r="A3998" t="s">
        <v>548</v>
      </c>
      <c r="B3998" t="s">
        <v>429</v>
      </c>
      <c r="C3998">
        <v>135</v>
      </c>
      <c r="D3998">
        <v>20221028</v>
      </c>
      <c r="E3998">
        <f t="shared" si="62"/>
        <v>10</v>
      </c>
      <c r="F3998">
        <v>411100</v>
      </c>
      <c r="G3998" t="s">
        <v>18</v>
      </c>
      <c r="H3998" t="s">
        <v>3994</v>
      </c>
      <c r="I3998" t="s">
        <v>3995</v>
      </c>
      <c r="J3998">
        <v>359522</v>
      </c>
      <c r="K3998">
        <v>20221028</v>
      </c>
      <c r="L3998" t="s">
        <v>3996</v>
      </c>
      <c r="M3998">
        <v>0</v>
      </c>
      <c r="N3998">
        <v>22</v>
      </c>
      <c r="O3998" t="s">
        <v>22</v>
      </c>
      <c r="P3998">
        <v>20230218</v>
      </c>
      <c r="Q3998">
        <v>20221028</v>
      </c>
    </row>
    <row r="3999" spans="1:17" x14ac:dyDescent="0.25">
      <c r="A3999" t="s">
        <v>548</v>
      </c>
      <c r="B3999" t="s">
        <v>429</v>
      </c>
      <c r="C3999">
        <v>135</v>
      </c>
      <c r="D3999">
        <v>20221028</v>
      </c>
      <c r="E3999">
        <f t="shared" si="62"/>
        <v>10</v>
      </c>
      <c r="F3999">
        <v>411100</v>
      </c>
      <c r="G3999" t="s">
        <v>18</v>
      </c>
      <c r="H3999" t="s">
        <v>3547</v>
      </c>
      <c r="I3999" t="s">
        <v>3548</v>
      </c>
      <c r="J3999">
        <v>359523</v>
      </c>
      <c r="K3999">
        <v>20221028</v>
      </c>
      <c r="L3999" t="s">
        <v>3997</v>
      </c>
      <c r="M3999">
        <v>0</v>
      </c>
      <c r="N3999">
        <v>22</v>
      </c>
      <c r="O3999" t="s">
        <v>22</v>
      </c>
      <c r="P3999">
        <v>20230218</v>
      </c>
      <c r="Q3999">
        <v>20221028</v>
      </c>
    </row>
    <row r="4000" spans="1:17" x14ac:dyDescent="0.25">
      <c r="A4000" t="s">
        <v>548</v>
      </c>
      <c r="B4000" t="s">
        <v>429</v>
      </c>
      <c r="C4000">
        <v>135</v>
      </c>
      <c r="D4000">
        <v>20221028</v>
      </c>
      <c r="E4000">
        <f t="shared" si="62"/>
        <v>10</v>
      </c>
      <c r="F4000">
        <v>411100</v>
      </c>
      <c r="G4000" t="s">
        <v>18</v>
      </c>
      <c r="H4000" t="s">
        <v>3998</v>
      </c>
      <c r="I4000" t="s">
        <v>3999</v>
      </c>
      <c r="J4000">
        <v>359524</v>
      </c>
      <c r="K4000">
        <v>20221028</v>
      </c>
      <c r="L4000" t="s">
        <v>4000</v>
      </c>
      <c r="M4000">
        <v>0</v>
      </c>
      <c r="N4000">
        <v>22</v>
      </c>
      <c r="O4000" t="s">
        <v>22</v>
      </c>
      <c r="P4000">
        <v>20230218</v>
      </c>
      <c r="Q4000">
        <v>20221028</v>
      </c>
    </row>
    <row r="4001" spans="1:17" x14ac:dyDescent="0.25">
      <c r="A4001" t="s">
        <v>548</v>
      </c>
      <c r="B4001" t="s">
        <v>429</v>
      </c>
      <c r="C4001">
        <v>135</v>
      </c>
      <c r="D4001">
        <v>20221028</v>
      </c>
      <c r="E4001">
        <f t="shared" si="62"/>
        <v>10</v>
      </c>
      <c r="F4001">
        <v>411100</v>
      </c>
      <c r="G4001" t="s">
        <v>18</v>
      </c>
      <c r="H4001" t="s">
        <v>2901</v>
      </c>
      <c r="I4001" t="s">
        <v>2902</v>
      </c>
      <c r="J4001">
        <v>359525</v>
      </c>
      <c r="K4001">
        <v>20221028</v>
      </c>
      <c r="L4001" t="s">
        <v>4001</v>
      </c>
      <c r="M4001">
        <v>0</v>
      </c>
      <c r="N4001">
        <v>12</v>
      </c>
      <c r="O4001" t="s">
        <v>23</v>
      </c>
      <c r="P4001">
        <v>20230218</v>
      </c>
      <c r="Q4001">
        <v>20221028</v>
      </c>
    </row>
    <row r="4002" spans="1:17" x14ac:dyDescent="0.25">
      <c r="A4002" t="s">
        <v>548</v>
      </c>
      <c r="B4002" t="s">
        <v>429</v>
      </c>
      <c r="C4002">
        <v>135</v>
      </c>
      <c r="D4002">
        <v>20221028</v>
      </c>
      <c r="E4002">
        <f t="shared" si="62"/>
        <v>10</v>
      </c>
      <c r="F4002">
        <v>411100</v>
      </c>
      <c r="G4002" t="s">
        <v>18</v>
      </c>
      <c r="H4002" t="s">
        <v>3852</v>
      </c>
      <c r="I4002" t="s">
        <v>3853</v>
      </c>
      <c r="J4002">
        <v>359526</v>
      </c>
      <c r="K4002">
        <v>20221028</v>
      </c>
      <c r="L4002" t="s">
        <v>4002</v>
      </c>
      <c r="M4002">
        <v>0</v>
      </c>
      <c r="N4002">
        <v>13</v>
      </c>
      <c r="O4002" t="s">
        <v>19</v>
      </c>
      <c r="P4002" t="s">
        <v>20</v>
      </c>
      <c r="Q4002">
        <v>20221028</v>
      </c>
    </row>
    <row r="4003" spans="1:17" x14ac:dyDescent="0.25">
      <c r="A4003" t="s">
        <v>548</v>
      </c>
      <c r="B4003" t="s">
        <v>429</v>
      </c>
      <c r="C4003">
        <v>135</v>
      </c>
      <c r="D4003">
        <v>20221028</v>
      </c>
      <c r="E4003">
        <f t="shared" si="62"/>
        <v>10</v>
      </c>
      <c r="F4003">
        <v>411100</v>
      </c>
      <c r="G4003" t="s">
        <v>18</v>
      </c>
      <c r="H4003" t="s">
        <v>4003</v>
      </c>
      <c r="I4003" t="s">
        <v>4004</v>
      </c>
      <c r="J4003">
        <v>359527</v>
      </c>
      <c r="K4003">
        <v>20221028</v>
      </c>
      <c r="L4003" t="s">
        <v>4005</v>
      </c>
      <c r="M4003">
        <v>0</v>
      </c>
      <c r="N4003">
        <v>13</v>
      </c>
      <c r="O4003" t="s">
        <v>22</v>
      </c>
      <c r="P4003">
        <v>20230218</v>
      </c>
      <c r="Q4003">
        <v>20221028</v>
      </c>
    </row>
    <row r="4004" spans="1:17" x14ac:dyDescent="0.25">
      <c r="A4004" t="s">
        <v>548</v>
      </c>
      <c r="B4004" t="s">
        <v>429</v>
      </c>
      <c r="C4004">
        <v>135</v>
      </c>
      <c r="D4004">
        <v>20221028</v>
      </c>
      <c r="E4004">
        <f t="shared" si="62"/>
        <v>10</v>
      </c>
      <c r="F4004">
        <v>411100</v>
      </c>
      <c r="G4004" t="s">
        <v>18</v>
      </c>
      <c r="H4004" t="s">
        <v>635</v>
      </c>
      <c r="I4004" t="s">
        <v>636</v>
      </c>
      <c r="J4004">
        <v>359528</v>
      </c>
      <c r="K4004">
        <v>20221028</v>
      </c>
      <c r="L4004" t="s">
        <v>4006</v>
      </c>
      <c r="M4004">
        <v>0</v>
      </c>
      <c r="N4004">
        <v>22</v>
      </c>
      <c r="O4004" t="s">
        <v>22</v>
      </c>
      <c r="P4004">
        <v>20230218</v>
      </c>
      <c r="Q4004">
        <v>20221028</v>
      </c>
    </row>
    <row r="4005" spans="1:17" x14ac:dyDescent="0.25">
      <c r="A4005" t="s">
        <v>548</v>
      </c>
      <c r="B4005" t="s">
        <v>429</v>
      </c>
      <c r="C4005">
        <v>135</v>
      </c>
      <c r="D4005">
        <v>20221028</v>
      </c>
      <c r="E4005">
        <f t="shared" si="62"/>
        <v>10</v>
      </c>
      <c r="F4005">
        <v>411100</v>
      </c>
      <c r="G4005" t="s">
        <v>18</v>
      </c>
      <c r="H4005" t="s">
        <v>2898</v>
      </c>
      <c r="I4005" t="s">
        <v>2899</v>
      </c>
      <c r="J4005">
        <v>359529</v>
      </c>
      <c r="K4005">
        <v>20221028</v>
      </c>
      <c r="L4005" t="s">
        <v>4007</v>
      </c>
      <c r="M4005">
        <v>0</v>
      </c>
      <c r="N4005">
        <v>12</v>
      </c>
      <c r="O4005" t="s">
        <v>22</v>
      </c>
      <c r="P4005">
        <v>20230218</v>
      </c>
      <c r="Q4005">
        <v>20221028</v>
      </c>
    </row>
    <row r="4006" spans="1:17" x14ac:dyDescent="0.25">
      <c r="A4006" t="s">
        <v>548</v>
      </c>
      <c r="B4006" t="s">
        <v>429</v>
      </c>
      <c r="C4006">
        <v>135</v>
      </c>
      <c r="D4006">
        <v>20221028</v>
      </c>
      <c r="E4006">
        <f t="shared" si="62"/>
        <v>10</v>
      </c>
      <c r="F4006">
        <v>411100</v>
      </c>
      <c r="G4006" t="s">
        <v>18</v>
      </c>
      <c r="H4006" t="s">
        <v>3959</v>
      </c>
      <c r="I4006" t="s">
        <v>3960</v>
      </c>
      <c r="J4006">
        <v>359530</v>
      </c>
      <c r="K4006">
        <v>20221028</v>
      </c>
      <c r="L4006" t="s">
        <v>4008</v>
      </c>
      <c r="M4006">
        <v>0</v>
      </c>
      <c r="N4006">
        <v>22</v>
      </c>
      <c r="O4006" t="s">
        <v>22</v>
      </c>
      <c r="P4006">
        <v>20230218</v>
      </c>
      <c r="Q4006">
        <v>20221028</v>
      </c>
    </row>
    <row r="4007" spans="1:17" x14ac:dyDescent="0.25">
      <c r="A4007" t="s">
        <v>548</v>
      </c>
      <c r="B4007" t="s">
        <v>429</v>
      </c>
      <c r="C4007">
        <v>135</v>
      </c>
      <c r="D4007">
        <v>20221028</v>
      </c>
      <c r="E4007">
        <f t="shared" si="62"/>
        <v>10</v>
      </c>
      <c r="F4007">
        <v>411100</v>
      </c>
      <c r="G4007" t="s">
        <v>18</v>
      </c>
      <c r="H4007" t="s">
        <v>4009</v>
      </c>
      <c r="I4007" t="s">
        <v>4010</v>
      </c>
      <c r="J4007">
        <v>359531</v>
      </c>
      <c r="K4007">
        <v>20221028</v>
      </c>
      <c r="L4007" t="s">
        <v>4011</v>
      </c>
      <c r="M4007">
        <v>0</v>
      </c>
      <c r="N4007">
        <v>22</v>
      </c>
      <c r="O4007" t="s">
        <v>22</v>
      </c>
      <c r="P4007">
        <v>20230218</v>
      </c>
      <c r="Q4007">
        <v>20221028</v>
      </c>
    </row>
    <row r="4008" spans="1:17" x14ac:dyDescent="0.25">
      <c r="A4008" t="s">
        <v>548</v>
      </c>
      <c r="B4008" t="s">
        <v>429</v>
      </c>
      <c r="C4008">
        <v>135</v>
      </c>
      <c r="D4008">
        <v>20221028</v>
      </c>
      <c r="E4008">
        <f t="shared" si="62"/>
        <v>10</v>
      </c>
      <c r="F4008">
        <v>411100</v>
      </c>
      <c r="G4008" t="s">
        <v>18</v>
      </c>
      <c r="H4008" t="s">
        <v>4012</v>
      </c>
      <c r="I4008" t="s">
        <v>4013</v>
      </c>
      <c r="J4008">
        <v>359532</v>
      </c>
      <c r="K4008">
        <v>20221028</v>
      </c>
      <c r="L4008" t="s">
        <v>4014</v>
      </c>
      <c r="M4008">
        <v>0</v>
      </c>
      <c r="N4008">
        <v>22</v>
      </c>
      <c r="O4008" t="s">
        <v>22</v>
      </c>
      <c r="P4008">
        <v>20230218</v>
      </c>
      <c r="Q4008">
        <v>20221028</v>
      </c>
    </row>
    <row r="4009" spans="1:17" x14ac:dyDescent="0.25">
      <c r="A4009" t="s">
        <v>548</v>
      </c>
      <c r="B4009" t="s">
        <v>429</v>
      </c>
      <c r="C4009">
        <v>135</v>
      </c>
      <c r="D4009">
        <v>20221028</v>
      </c>
      <c r="E4009">
        <f t="shared" si="62"/>
        <v>10</v>
      </c>
      <c r="F4009">
        <v>411100</v>
      </c>
      <c r="G4009" t="s">
        <v>18</v>
      </c>
      <c r="H4009" t="s">
        <v>4015</v>
      </c>
      <c r="I4009" t="s">
        <v>4016</v>
      </c>
      <c r="J4009">
        <v>359533</v>
      </c>
      <c r="K4009">
        <v>20221028</v>
      </c>
      <c r="L4009" t="s">
        <v>4017</v>
      </c>
      <c r="M4009">
        <v>0</v>
      </c>
      <c r="N4009">
        <v>22</v>
      </c>
      <c r="O4009" t="s">
        <v>22</v>
      </c>
      <c r="P4009">
        <v>20230218</v>
      </c>
      <c r="Q4009">
        <v>20221028</v>
      </c>
    </row>
    <row r="4010" spans="1:17" x14ac:dyDescent="0.25">
      <c r="A4010" t="s">
        <v>548</v>
      </c>
      <c r="B4010" t="s">
        <v>429</v>
      </c>
      <c r="C4010">
        <v>135</v>
      </c>
      <c r="D4010">
        <v>20221028</v>
      </c>
      <c r="E4010">
        <f t="shared" si="62"/>
        <v>10</v>
      </c>
      <c r="F4010">
        <v>411100</v>
      </c>
      <c r="G4010" t="s">
        <v>18</v>
      </c>
      <c r="H4010" t="s">
        <v>3547</v>
      </c>
      <c r="I4010" t="s">
        <v>3548</v>
      </c>
      <c r="J4010">
        <v>359534</v>
      </c>
      <c r="K4010">
        <v>20221028</v>
      </c>
      <c r="L4010" t="s">
        <v>4018</v>
      </c>
      <c r="M4010">
        <v>0</v>
      </c>
      <c r="N4010">
        <v>12</v>
      </c>
      <c r="O4010" t="s">
        <v>22</v>
      </c>
      <c r="P4010">
        <v>20230218</v>
      </c>
      <c r="Q4010">
        <v>20221028</v>
      </c>
    </row>
    <row r="4011" spans="1:17" x14ac:dyDescent="0.25">
      <c r="A4011" t="s">
        <v>548</v>
      </c>
      <c r="B4011" t="s">
        <v>429</v>
      </c>
      <c r="C4011">
        <v>135</v>
      </c>
      <c r="D4011">
        <v>20221028</v>
      </c>
      <c r="E4011">
        <f t="shared" si="62"/>
        <v>10</v>
      </c>
      <c r="F4011">
        <v>411100</v>
      </c>
      <c r="G4011" t="s">
        <v>18</v>
      </c>
      <c r="H4011" t="s">
        <v>3547</v>
      </c>
      <c r="I4011" t="s">
        <v>3548</v>
      </c>
      <c r="J4011">
        <v>359535</v>
      </c>
      <c r="K4011">
        <v>20221028</v>
      </c>
      <c r="L4011" t="s">
        <v>4019</v>
      </c>
      <c r="M4011">
        <v>0</v>
      </c>
      <c r="N4011">
        <v>12</v>
      </c>
      <c r="O4011" t="s">
        <v>22</v>
      </c>
      <c r="P4011">
        <v>20230218</v>
      </c>
      <c r="Q4011">
        <v>20221028</v>
      </c>
    </row>
    <row r="4012" spans="1:17" x14ac:dyDescent="0.25">
      <c r="A4012" t="s">
        <v>548</v>
      </c>
      <c r="B4012" t="s">
        <v>429</v>
      </c>
      <c r="C4012">
        <v>135</v>
      </c>
      <c r="D4012">
        <v>20221028</v>
      </c>
      <c r="E4012">
        <f t="shared" si="62"/>
        <v>10</v>
      </c>
      <c r="F4012">
        <v>411100</v>
      </c>
      <c r="G4012" t="s">
        <v>18</v>
      </c>
      <c r="H4012" t="s">
        <v>305</v>
      </c>
      <c r="I4012" t="s">
        <v>306</v>
      </c>
      <c r="J4012">
        <v>359536</v>
      </c>
      <c r="K4012">
        <v>20221028</v>
      </c>
      <c r="L4012" t="s">
        <v>4020</v>
      </c>
      <c r="M4012">
        <v>0</v>
      </c>
      <c r="N4012">
        <v>22</v>
      </c>
      <c r="O4012" t="s">
        <v>23</v>
      </c>
      <c r="P4012">
        <v>20230329</v>
      </c>
      <c r="Q4012">
        <v>20221028</v>
      </c>
    </row>
    <row r="4013" spans="1:17" x14ac:dyDescent="0.25">
      <c r="A4013" t="s">
        <v>548</v>
      </c>
      <c r="B4013" t="s">
        <v>429</v>
      </c>
      <c r="C4013">
        <v>135</v>
      </c>
      <c r="D4013">
        <v>20221028</v>
      </c>
      <c r="E4013">
        <f t="shared" si="62"/>
        <v>10</v>
      </c>
      <c r="F4013">
        <v>411100</v>
      </c>
      <c r="G4013" t="s">
        <v>18</v>
      </c>
      <c r="H4013" t="s">
        <v>4021</v>
      </c>
      <c r="I4013" t="s">
        <v>4022</v>
      </c>
      <c r="J4013">
        <v>359537</v>
      </c>
      <c r="K4013">
        <v>20221028</v>
      </c>
      <c r="L4013" t="s">
        <v>4023</v>
      </c>
      <c r="M4013">
        <v>0</v>
      </c>
      <c r="N4013">
        <v>22</v>
      </c>
      <c r="O4013" t="s">
        <v>22</v>
      </c>
      <c r="P4013">
        <v>20230218</v>
      </c>
      <c r="Q4013">
        <v>20221028</v>
      </c>
    </row>
    <row r="4014" spans="1:17" x14ac:dyDescent="0.25">
      <c r="A4014" t="s">
        <v>548</v>
      </c>
      <c r="B4014" t="s">
        <v>429</v>
      </c>
      <c r="C4014">
        <v>135</v>
      </c>
      <c r="D4014">
        <v>20221028</v>
      </c>
      <c r="E4014">
        <f t="shared" si="62"/>
        <v>10</v>
      </c>
      <c r="F4014">
        <v>411100</v>
      </c>
      <c r="G4014" t="s">
        <v>18</v>
      </c>
      <c r="H4014" t="s">
        <v>4024</v>
      </c>
      <c r="I4014" t="s">
        <v>4025</v>
      </c>
      <c r="J4014">
        <v>359538</v>
      </c>
      <c r="K4014">
        <v>20221028</v>
      </c>
      <c r="L4014" t="s">
        <v>4026</v>
      </c>
      <c r="M4014">
        <v>0</v>
      </c>
      <c r="N4014">
        <v>22</v>
      </c>
      <c r="O4014" t="s">
        <v>22</v>
      </c>
      <c r="P4014">
        <v>20230218</v>
      </c>
      <c r="Q4014">
        <v>20221028</v>
      </c>
    </row>
    <row r="4015" spans="1:17" x14ac:dyDescent="0.25">
      <c r="A4015" t="s">
        <v>548</v>
      </c>
      <c r="B4015" t="s">
        <v>429</v>
      </c>
      <c r="C4015">
        <v>135</v>
      </c>
      <c r="D4015">
        <v>20221028</v>
      </c>
      <c r="E4015">
        <f t="shared" si="62"/>
        <v>10</v>
      </c>
      <c r="F4015">
        <v>411100</v>
      </c>
      <c r="G4015" t="s">
        <v>18</v>
      </c>
      <c r="H4015" t="s">
        <v>4027</v>
      </c>
      <c r="I4015" t="s">
        <v>4028</v>
      </c>
      <c r="J4015">
        <v>359539</v>
      </c>
      <c r="K4015">
        <v>20221028</v>
      </c>
      <c r="L4015" t="s">
        <v>4029</v>
      </c>
      <c r="M4015">
        <v>0</v>
      </c>
      <c r="N4015">
        <v>20</v>
      </c>
      <c r="O4015" t="s">
        <v>22</v>
      </c>
      <c r="P4015">
        <v>20230218</v>
      </c>
      <c r="Q4015">
        <v>20221028</v>
      </c>
    </row>
    <row r="4016" spans="1:17" x14ac:dyDescent="0.25">
      <c r="A4016" t="s">
        <v>548</v>
      </c>
      <c r="B4016" t="s">
        <v>429</v>
      </c>
      <c r="C4016">
        <v>135</v>
      </c>
      <c r="D4016">
        <v>20221028</v>
      </c>
      <c r="E4016">
        <f t="shared" si="62"/>
        <v>10</v>
      </c>
      <c r="F4016">
        <v>531105</v>
      </c>
      <c r="G4016" t="s">
        <v>429</v>
      </c>
      <c r="H4016" t="s">
        <v>401</v>
      </c>
      <c r="I4016" t="s">
        <v>402</v>
      </c>
      <c r="J4016">
        <v>359540</v>
      </c>
      <c r="K4016">
        <v>20221028</v>
      </c>
      <c r="L4016" t="s">
        <v>565</v>
      </c>
      <c r="M4016">
        <v>527</v>
      </c>
      <c r="N4016">
        <v>0</v>
      </c>
      <c r="O4016" t="s">
        <v>19</v>
      </c>
      <c r="P4016" t="s">
        <v>20</v>
      </c>
      <c r="Q4016">
        <v>20221028</v>
      </c>
    </row>
    <row r="4017" spans="1:17" x14ac:dyDescent="0.25">
      <c r="A4017" t="s">
        <v>548</v>
      </c>
      <c r="B4017" t="s">
        <v>429</v>
      </c>
      <c r="C4017">
        <v>135</v>
      </c>
      <c r="D4017">
        <v>20221031</v>
      </c>
      <c r="E4017">
        <f t="shared" si="62"/>
        <v>10</v>
      </c>
      <c r="F4017">
        <v>467100</v>
      </c>
      <c r="G4017" t="s">
        <v>160</v>
      </c>
      <c r="H4017" t="s">
        <v>172</v>
      </c>
      <c r="I4017" t="s">
        <v>173</v>
      </c>
      <c r="J4017" t="s">
        <v>4030</v>
      </c>
      <c r="K4017">
        <v>20221031</v>
      </c>
      <c r="L4017" t="s">
        <v>4031</v>
      </c>
      <c r="M4017">
        <v>18.5</v>
      </c>
      <c r="N4017">
        <v>0</v>
      </c>
      <c r="O4017" t="s">
        <v>23</v>
      </c>
      <c r="P4017">
        <v>20221118</v>
      </c>
      <c r="Q4017">
        <v>20221031</v>
      </c>
    </row>
    <row r="4018" spans="1:17" x14ac:dyDescent="0.25">
      <c r="A4018" t="s">
        <v>548</v>
      </c>
      <c r="B4018" t="s">
        <v>429</v>
      </c>
      <c r="C4018">
        <v>135</v>
      </c>
      <c r="D4018">
        <v>20221031</v>
      </c>
      <c r="E4018">
        <f t="shared" si="62"/>
        <v>10</v>
      </c>
      <c r="F4018">
        <v>531105</v>
      </c>
      <c r="G4018" t="s">
        <v>429</v>
      </c>
      <c r="H4018" t="s">
        <v>401</v>
      </c>
      <c r="I4018" t="s">
        <v>402</v>
      </c>
      <c r="J4018" t="s">
        <v>4030</v>
      </c>
      <c r="K4018">
        <v>20221031</v>
      </c>
      <c r="L4018" t="s">
        <v>4031</v>
      </c>
      <c r="M4018">
        <v>0</v>
      </c>
      <c r="N4018">
        <v>18.5</v>
      </c>
      <c r="O4018" t="s">
        <v>19</v>
      </c>
      <c r="P4018" t="s">
        <v>20</v>
      </c>
      <c r="Q4018">
        <v>20221031</v>
      </c>
    </row>
    <row r="4019" spans="1:17" x14ac:dyDescent="0.25">
      <c r="A4019" t="s">
        <v>548</v>
      </c>
      <c r="B4019" t="s">
        <v>429</v>
      </c>
      <c r="C4019">
        <v>135</v>
      </c>
      <c r="D4019">
        <v>20221031</v>
      </c>
      <c r="E4019">
        <f t="shared" si="62"/>
        <v>10</v>
      </c>
      <c r="F4019">
        <v>411100</v>
      </c>
      <c r="G4019" t="s">
        <v>18</v>
      </c>
      <c r="H4019" t="s">
        <v>3658</v>
      </c>
      <c r="I4019" t="s">
        <v>3659</v>
      </c>
      <c r="J4019">
        <v>359541</v>
      </c>
      <c r="K4019">
        <v>20221031</v>
      </c>
      <c r="L4019" t="s">
        <v>4032</v>
      </c>
      <c r="M4019">
        <v>0</v>
      </c>
      <c r="N4019">
        <v>15.5</v>
      </c>
      <c r="O4019" t="s">
        <v>19</v>
      </c>
      <c r="P4019" t="s">
        <v>20</v>
      </c>
      <c r="Q4019">
        <v>20221031</v>
      </c>
    </row>
    <row r="4020" spans="1:17" x14ac:dyDescent="0.25">
      <c r="A4020" t="s">
        <v>548</v>
      </c>
      <c r="B4020" t="s">
        <v>429</v>
      </c>
      <c r="C4020">
        <v>135</v>
      </c>
      <c r="D4020">
        <v>20221031</v>
      </c>
      <c r="E4020">
        <f t="shared" si="62"/>
        <v>10</v>
      </c>
      <c r="F4020">
        <v>411100</v>
      </c>
      <c r="G4020" t="s">
        <v>18</v>
      </c>
      <c r="H4020" t="s">
        <v>4033</v>
      </c>
      <c r="I4020" t="s">
        <v>4034</v>
      </c>
      <c r="J4020">
        <v>359542</v>
      </c>
      <c r="K4020">
        <v>20221031</v>
      </c>
      <c r="L4020" t="s">
        <v>4035</v>
      </c>
      <c r="M4020">
        <v>0</v>
      </c>
      <c r="N4020">
        <v>22</v>
      </c>
      <c r="O4020" t="s">
        <v>22</v>
      </c>
      <c r="P4020">
        <v>20230218</v>
      </c>
      <c r="Q4020">
        <v>20221031</v>
      </c>
    </row>
    <row r="4021" spans="1:17" x14ac:dyDescent="0.25">
      <c r="A4021" t="s">
        <v>548</v>
      </c>
      <c r="B4021" t="s">
        <v>429</v>
      </c>
      <c r="C4021">
        <v>135</v>
      </c>
      <c r="D4021">
        <v>20221031</v>
      </c>
      <c r="E4021">
        <f t="shared" si="62"/>
        <v>10</v>
      </c>
      <c r="F4021">
        <v>411020</v>
      </c>
      <c r="G4021" t="s">
        <v>30</v>
      </c>
      <c r="H4021" t="s">
        <v>285</v>
      </c>
      <c r="I4021" t="s">
        <v>286</v>
      </c>
      <c r="J4021">
        <v>359543</v>
      </c>
      <c r="K4021">
        <v>20221031</v>
      </c>
      <c r="L4021" t="s">
        <v>4036</v>
      </c>
      <c r="M4021">
        <v>0</v>
      </c>
      <c r="N4021">
        <v>3</v>
      </c>
      <c r="O4021" t="s">
        <v>19</v>
      </c>
      <c r="P4021" t="s">
        <v>20</v>
      </c>
      <c r="Q4021">
        <v>20221031</v>
      </c>
    </row>
    <row r="4022" spans="1:17" x14ac:dyDescent="0.25">
      <c r="A4022" t="s">
        <v>548</v>
      </c>
      <c r="B4022" t="s">
        <v>429</v>
      </c>
      <c r="C4022">
        <v>135</v>
      </c>
      <c r="D4022">
        <v>20221031</v>
      </c>
      <c r="E4022">
        <f t="shared" si="62"/>
        <v>10</v>
      </c>
      <c r="F4022">
        <v>411100</v>
      </c>
      <c r="G4022" t="s">
        <v>18</v>
      </c>
      <c r="H4022" t="s">
        <v>4037</v>
      </c>
      <c r="I4022" t="s">
        <v>4038</v>
      </c>
      <c r="J4022">
        <v>359544</v>
      </c>
      <c r="K4022">
        <v>20221031</v>
      </c>
      <c r="L4022" t="s">
        <v>4039</v>
      </c>
      <c r="M4022">
        <v>0</v>
      </c>
      <c r="N4022">
        <v>22</v>
      </c>
      <c r="O4022" t="s">
        <v>22</v>
      </c>
      <c r="P4022">
        <v>20230218</v>
      </c>
      <c r="Q4022">
        <v>20221031</v>
      </c>
    </row>
    <row r="4023" spans="1:17" x14ac:dyDescent="0.25">
      <c r="A4023" t="s">
        <v>548</v>
      </c>
      <c r="B4023" t="s">
        <v>429</v>
      </c>
      <c r="C4023">
        <v>135</v>
      </c>
      <c r="D4023">
        <v>20221031</v>
      </c>
      <c r="E4023">
        <f t="shared" si="62"/>
        <v>10</v>
      </c>
      <c r="F4023">
        <v>411100</v>
      </c>
      <c r="G4023" t="s">
        <v>18</v>
      </c>
      <c r="H4023" t="s">
        <v>2165</v>
      </c>
      <c r="I4023" t="s">
        <v>2166</v>
      </c>
      <c r="J4023">
        <v>359545</v>
      </c>
      <c r="K4023">
        <v>20221031</v>
      </c>
      <c r="L4023" t="s">
        <v>4040</v>
      </c>
      <c r="M4023">
        <v>0</v>
      </c>
      <c r="N4023">
        <v>12</v>
      </c>
      <c r="O4023" t="s">
        <v>23</v>
      </c>
      <c r="P4023">
        <v>20230329</v>
      </c>
      <c r="Q4023">
        <v>20221031</v>
      </c>
    </row>
    <row r="4024" spans="1:17" x14ac:dyDescent="0.25">
      <c r="A4024" t="s">
        <v>548</v>
      </c>
      <c r="B4024" t="s">
        <v>429</v>
      </c>
      <c r="C4024">
        <v>135</v>
      </c>
      <c r="D4024">
        <v>20221031</v>
      </c>
      <c r="E4024">
        <f t="shared" si="62"/>
        <v>10</v>
      </c>
      <c r="F4024">
        <v>411100</v>
      </c>
      <c r="G4024" t="s">
        <v>18</v>
      </c>
      <c r="H4024" t="s">
        <v>4041</v>
      </c>
      <c r="I4024" t="s">
        <v>4042</v>
      </c>
      <c r="J4024">
        <v>359546</v>
      </c>
      <c r="K4024">
        <v>20221031</v>
      </c>
      <c r="L4024" t="s">
        <v>4043</v>
      </c>
      <c r="M4024">
        <v>0</v>
      </c>
      <c r="N4024">
        <v>13</v>
      </c>
      <c r="O4024" t="s">
        <v>22</v>
      </c>
      <c r="P4024">
        <v>20230218</v>
      </c>
      <c r="Q4024">
        <v>20221031</v>
      </c>
    </row>
    <row r="4025" spans="1:17" x14ac:dyDescent="0.25">
      <c r="A4025" t="s">
        <v>548</v>
      </c>
      <c r="B4025" t="s">
        <v>429</v>
      </c>
      <c r="C4025">
        <v>135</v>
      </c>
      <c r="D4025">
        <v>20221031</v>
      </c>
      <c r="E4025">
        <f t="shared" si="62"/>
        <v>10</v>
      </c>
      <c r="F4025">
        <v>411100</v>
      </c>
      <c r="G4025" t="s">
        <v>18</v>
      </c>
      <c r="H4025" t="s">
        <v>2876</v>
      </c>
      <c r="I4025" t="s">
        <v>2877</v>
      </c>
      <c r="J4025">
        <v>359547</v>
      </c>
      <c r="K4025">
        <v>20221031</v>
      </c>
      <c r="L4025" t="s">
        <v>4044</v>
      </c>
      <c r="M4025">
        <v>0</v>
      </c>
      <c r="N4025">
        <v>22</v>
      </c>
      <c r="O4025" t="s">
        <v>19</v>
      </c>
      <c r="P4025" t="s">
        <v>20</v>
      </c>
      <c r="Q4025">
        <v>20221031</v>
      </c>
    </row>
    <row r="4026" spans="1:17" x14ac:dyDescent="0.25">
      <c r="A4026" t="s">
        <v>548</v>
      </c>
      <c r="B4026" t="s">
        <v>429</v>
      </c>
      <c r="C4026">
        <v>135</v>
      </c>
      <c r="D4026">
        <v>20221031</v>
      </c>
      <c r="E4026">
        <f t="shared" si="62"/>
        <v>10</v>
      </c>
      <c r="F4026">
        <v>411100</v>
      </c>
      <c r="G4026" t="s">
        <v>18</v>
      </c>
      <c r="H4026" t="s">
        <v>3937</v>
      </c>
      <c r="I4026" t="s">
        <v>3938</v>
      </c>
      <c r="J4026">
        <v>359548</v>
      </c>
      <c r="K4026">
        <v>20221031</v>
      </c>
      <c r="L4026" t="s">
        <v>4045</v>
      </c>
      <c r="M4026">
        <v>0</v>
      </c>
      <c r="N4026">
        <v>22</v>
      </c>
      <c r="O4026" t="s">
        <v>22</v>
      </c>
      <c r="P4026">
        <v>20230218</v>
      </c>
      <c r="Q4026">
        <v>20221031</v>
      </c>
    </row>
    <row r="4027" spans="1:17" x14ac:dyDescent="0.25">
      <c r="A4027" t="s">
        <v>548</v>
      </c>
      <c r="B4027" t="s">
        <v>429</v>
      </c>
      <c r="C4027">
        <v>135</v>
      </c>
      <c r="D4027">
        <v>20221031</v>
      </c>
      <c r="E4027">
        <f t="shared" si="62"/>
        <v>10</v>
      </c>
      <c r="F4027">
        <v>411100</v>
      </c>
      <c r="G4027" t="s">
        <v>18</v>
      </c>
      <c r="H4027" t="s">
        <v>1458</v>
      </c>
      <c r="I4027" t="s">
        <v>1459</v>
      </c>
      <c r="J4027">
        <v>359549</v>
      </c>
      <c r="K4027">
        <v>20221031</v>
      </c>
      <c r="L4027" t="s">
        <v>4046</v>
      </c>
      <c r="M4027">
        <v>0</v>
      </c>
      <c r="N4027">
        <v>10</v>
      </c>
      <c r="O4027" t="s">
        <v>22</v>
      </c>
      <c r="P4027">
        <v>20230218</v>
      </c>
      <c r="Q4027">
        <v>20221031</v>
      </c>
    </row>
    <row r="4028" spans="1:17" x14ac:dyDescent="0.25">
      <c r="A4028" t="s">
        <v>548</v>
      </c>
      <c r="B4028" t="s">
        <v>429</v>
      </c>
      <c r="C4028">
        <v>135</v>
      </c>
      <c r="D4028">
        <v>20221031</v>
      </c>
      <c r="E4028">
        <f t="shared" si="62"/>
        <v>10</v>
      </c>
      <c r="F4028">
        <v>411100</v>
      </c>
      <c r="G4028" t="s">
        <v>18</v>
      </c>
      <c r="H4028" t="s">
        <v>4047</v>
      </c>
      <c r="I4028" t="s">
        <v>4048</v>
      </c>
      <c r="J4028">
        <v>359550</v>
      </c>
      <c r="K4028">
        <v>20221031</v>
      </c>
      <c r="L4028" t="s">
        <v>4049</v>
      </c>
      <c r="M4028">
        <v>0</v>
      </c>
      <c r="N4028">
        <v>22</v>
      </c>
      <c r="O4028" t="s">
        <v>22</v>
      </c>
      <c r="P4028">
        <v>20230218</v>
      </c>
      <c r="Q4028">
        <v>20221031</v>
      </c>
    </row>
    <row r="4029" spans="1:17" x14ac:dyDescent="0.25">
      <c r="A4029" t="s">
        <v>548</v>
      </c>
      <c r="B4029" t="s">
        <v>429</v>
      </c>
      <c r="C4029">
        <v>135</v>
      </c>
      <c r="D4029">
        <v>20221031</v>
      </c>
      <c r="E4029">
        <f t="shared" si="62"/>
        <v>10</v>
      </c>
      <c r="F4029">
        <v>411100</v>
      </c>
      <c r="G4029" t="s">
        <v>18</v>
      </c>
      <c r="H4029" t="s">
        <v>4050</v>
      </c>
      <c r="I4029" t="s">
        <v>4051</v>
      </c>
      <c r="J4029">
        <v>359551</v>
      </c>
      <c r="K4029">
        <v>20221031</v>
      </c>
      <c r="L4029" t="s">
        <v>4052</v>
      </c>
      <c r="M4029">
        <v>0</v>
      </c>
      <c r="N4029">
        <v>12</v>
      </c>
      <c r="O4029" t="s">
        <v>22</v>
      </c>
      <c r="P4029">
        <v>20230218</v>
      </c>
      <c r="Q4029">
        <v>20221031</v>
      </c>
    </row>
    <row r="4030" spans="1:17" x14ac:dyDescent="0.25">
      <c r="A4030" t="s">
        <v>548</v>
      </c>
      <c r="B4030" t="s">
        <v>429</v>
      </c>
      <c r="C4030">
        <v>135</v>
      </c>
      <c r="D4030">
        <v>20221031</v>
      </c>
      <c r="E4030">
        <f t="shared" si="62"/>
        <v>10</v>
      </c>
      <c r="F4030">
        <v>411100</v>
      </c>
      <c r="G4030" t="s">
        <v>18</v>
      </c>
      <c r="H4030" t="s">
        <v>4053</v>
      </c>
      <c r="I4030" t="s">
        <v>4054</v>
      </c>
      <c r="J4030">
        <v>359552</v>
      </c>
      <c r="K4030">
        <v>20221031</v>
      </c>
      <c r="L4030" t="s">
        <v>4055</v>
      </c>
      <c r="M4030">
        <v>0</v>
      </c>
      <c r="N4030">
        <v>13</v>
      </c>
      <c r="O4030" t="s">
        <v>22</v>
      </c>
      <c r="P4030">
        <v>20230218</v>
      </c>
      <c r="Q4030">
        <v>20221031</v>
      </c>
    </row>
    <row r="4031" spans="1:17" x14ac:dyDescent="0.25">
      <c r="A4031" t="s">
        <v>548</v>
      </c>
      <c r="B4031" t="s">
        <v>429</v>
      </c>
      <c r="C4031">
        <v>135</v>
      </c>
      <c r="D4031">
        <v>20221031</v>
      </c>
      <c r="E4031">
        <f t="shared" si="62"/>
        <v>10</v>
      </c>
      <c r="F4031">
        <v>411100</v>
      </c>
      <c r="G4031" t="s">
        <v>18</v>
      </c>
      <c r="H4031" t="s">
        <v>1009</v>
      </c>
      <c r="I4031" t="s">
        <v>1010</v>
      </c>
      <c r="J4031">
        <v>359553</v>
      </c>
      <c r="K4031">
        <v>20221031</v>
      </c>
      <c r="L4031" t="s">
        <v>4056</v>
      </c>
      <c r="M4031">
        <v>0</v>
      </c>
      <c r="N4031">
        <v>13</v>
      </c>
      <c r="O4031" t="s">
        <v>22</v>
      </c>
      <c r="P4031">
        <v>20230218</v>
      </c>
      <c r="Q4031">
        <v>20221031</v>
      </c>
    </row>
    <row r="4032" spans="1:17" x14ac:dyDescent="0.25">
      <c r="A4032" t="s">
        <v>548</v>
      </c>
      <c r="B4032" t="s">
        <v>429</v>
      </c>
      <c r="C4032">
        <v>135</v>
      </c>
      <c r="D4032">
        <v>20221031</v>
      </c>
      <c r="E4032">
        <f t="shared" si="62"/>
        <v>10</v>
      </c>
      <c r="F4032">
        <v>411100</v>
      </c>
      <c r="G4032" t="s">
        <v>18</v>
      </c>
      <c r="H4032" t="s">
        <v>4057</v>
      </c>
      <c r="I4032" t="s">
        <v>4058</v>
      </c>
      <c r="J4032">
        <v>359554</v>
      </c>
      <c r="K4032">
        <v>20221031</v>
      </c>
      <c r="L4032" t="s">
        <v>4059</v>
      </c>
      <c r="M4032">
        <v>0</v>
      </c>
      <c r="N4032">
        <v>10</v>
      </c>
      <c r="O4032" t="s">
        <v>22</v>
      </c>
      <c r="P4032">
        <v>20230218</v>
      </c>
      <c r="Q4032">
        <v>20221031</v>
      </c>
    </row>
    <row r="4033" spans="1:17" x14ac:dyDescent="0.25">
      <c r="A4033" t="s">
        <v>548</v>
      </c>
      <c r="B4033" t="s">
        <v>429</v>
      </c>
      <c r="C4033">
        <v>135</v>
      </c>
      <c r="D4033">
        <v>20221031</v>
      </c>
      <c r="E4033">
        <f t="shared" si="62"/>
        <v>10</v>
      </c>
      <c r="F4033">
        <v>411100</v>
      </c>
      <c r="G4033" t="s">
        <v>18</v>
      </c>
      <c r="H4033" t="s">
        <v>4060</v>
      </c>
      <c r="I4033" t="s">
        <v>4061</v>
      </c>
      <c r="J4033">
        <v>359555</v>
      </c>
      <c r="K4033">
        <v>20221031</v>
      </c>
      <c r="L4033" t="s">
        <v>4062</v>
      </c>
      <c r="M4033">
        <v>0</v>
      </c>
      <c r="N4033">
        <v>10</v>
      </c>
      <c r="O4033" t="s">
        <v>22</v>
      </c>
      <c r="P4033">
        <v>20230218</v>
      </c>
      <c r="Q4033">
        <v>20221031</v>
      </c>
    </row>
    <row r="4034" spans="1:17" x14ac:dyDescent="0.25">
      <c r="A4034" t="s">
        <v>548</v>
      </c>
      <c r="B4034" t="s">
        <v>429</v>
      </c>
      <c r="C4034">
        <v>135</v>
      </c>
      <c r="D4034">
        <v>20221031</v>
      </c>
      <c r="E4034">
        <f t="shared" si="62"/>
        <v>10</v>
      </c>
      <c r="F4034">
        <v>411100</v>
      </c>
      <c r="G4034" t="s">
        <v>18</v>
      </c>
      <c r="H4034" t="s">
        <v>3643</v>
      </c>
      <c r="I4034" t="s">
        <v>3644</v>
      </c>
      <c r="J4034">
        <v>122090005</v>
      </c>
      <c r="K4034">
        <v>20221031</v>
      </c>
      <c r="L4034" t="s">
        <v>4063</v>
      </c>
      <c r="M4034">
        <v>0</v>
      </c>
      <c r="N4034">
        <v>10</v>
      </c>
      <c r="O4034" t="s">
        <v>22</v>
      </c>
      <c r="P4034">
        <v>20230218</v>
      </c>
      <c r="Q4034">
        <v>20221031</v>
      </c>
    </row>
    <row r="4035" spans="1:17" x14ac:dyDescent="0.25">
      <c r="A4035" t="s">
        <v>548</v>
      </c>
      <c r="B4035" t="s">
        <v>429</v>
      </c>
      <c r="C4035">
        <v>135</v>
      </c>
      <c r="D4035">
        <v>20221031</v>
      </c>
      <c r="E4035">
        <f t="shared" ref="E4035:E4098" si="63">VALUE(MID(D4035,5,2))</f>
        <v>10</v>
      </c>
      <c r="F4035">
        <v>411100</v>
      </c>
      <c r="G4035" t="s">
        <v>18</v>
      </c>
      <c r="H4035" t="s">
        <v>4064</v>
      </c>
      <c r="I4035" t="s">
        <v>4065</v>
      </c>
      <c r="J4035">
        <v>359557</v>
      </c>
      <c r="K4035">
        <v>20221031</v>
      </c>
      <c r="L4035" t="s">
        <v>4066</v>
      </c>
      <c r="M4035">
        <v>0</v>
      </c>
      <c r="N4035">
        <v>10</v>
      </c>
      <c r="O4035" t="s">
        <v>22</v>
      </c>
      <c r="P4035">
        <v>20230218</v>
      </c>
      <c r="Q4035">
        <v>20221031</v>
      </c>
    </row>
    <row r="4036" spans="1:17" x14ac:dyDescent="0.25">
      <c r="A4036" t="s">
        <v>548</v>
      </c>
      <c r="B4036" t="s">
        <v>429</v>
      </c>
      <c r="C4036">
        <v>135</v>
      </c>
      <c r="D4036">
        <v>20221031</v>
      </c>
      <c r="E4036">
        <f t="shared" si="63"/>
        <v>10</v>
      </c>
      <c r="F4036">
        <v>411100</v>
      </c>
      <c r="G4036" t="s">
        <v>18</v>
      </c>
      <c r="H4036" t="s">
        <v>320</v>
      </c>
      <c r="I4036" t="s">
        <v>321</v>
      </c>
      <c r="J4036">
        <v>359558</v>
      </c>
      <c r="K4036">
        <v>20221031</v>
      </c>
      <c r="L4036" t="s">
        <v>4067</v>
      </c>
      <c r="M4036">
        <v>0</v>
      </c>
      <c r="N4036">
        <v>11.48</v>
      </c>
      <c r="O4036" t="s">
        <v>19</v>
      </c>
      <c r="P4036" t="s">
        <v>20</v>
      </c>
      <c r="Q4036">
        <v>20221031</v>
      </c>
    </row>
    <row r="4037" spans="1:17" x14ac:dyDescent="0.25">
      <c r="A4037" t="s">
        <v>548</v>
      </c>
      <c r="B4037" t="s">
        <v>429</v>
      </c>
      <c r="C4037">
        <v>135</v>
      </c>
      <c r="D4037">
        <v>20221031</v>
      </c>
      <c r="E4037">
        <f t="shared" si="63"/>
        <v>10</v>
      </c>
      <c r="F4037">
        <v>531105</v>
      </c>
      <c r="G4037" t="s">
        <v>429</v>
      </c>
      <c r="H4037" t="s">
        <v>401</v>
      </c>
      <c r="I4037" t="s">
        <v>402</v>
      </c>
      <c r="J4037">
        <v>359559</v>
      </c>
      <c r="K4037">
        <v>20221031</v>
      </c>
      <c r="L4037" t="s">
        <v>565</v>
      </c>
      <c r="M4037">
        <v>252.98</v>
      </c>
      <c r="N4037">
        <v>0</v>
      </c>
      <c r="O4037" t="s">
        <v>19</v>
      </c>
      <c r="P4037" t="s">
        <v>20</v>
      </c>
      <c r="Q4037">
        <v>20221031</v>
      </c>
    </row>
    <row r="4038" spans="1:17" x14ac:dyDescent="0.25">
      <c r="A4038" t="s">
        <v>715</v>
      </c>
      <c r="B4038" t="s">
        <v>432</v>
      </c>
      <c r="C4038">
        <v>136</v>
      </c>
      <c r="D4038">
        <v>20221003</v>
      </c>
      <c r="E4038">
        <f t="shared" si="63"/>
        <v>10</v>
      </c>
      <c r="F4038">
        <v>401000</v>
      </c>
      <c r="G4038" t="s">
        <v>41</v>
      </c>
      <c r="H4038" t="s">
        <v>52</v>
      </c>
      <c r="I4038" t="s">
        <v>53</v>
      </c>
      <c r="J4038" t="s">
        <v>4068</v>
      </c>
      <c r="K4038">
        <v>20221003</v>
      </c>
      <c r="L4038" t="s">
        <v>4069</v>
      </c>
      <c r="M4038">
        <v>65.760000000000005</v>
      </c>
      <c r="N4038">
        <v>0</v>
      </c>
      <c r="O4038" t="s">
        <v>23</v>
      </c>
      <c r="P4038">
        <v>20230123</v>
      </c>
      <c r="Q4038">
        <v>20221003</v>
      </c>
    </row>
    <row r="4039" spans="1:17" x14ac:dyDescent="0.25">
      <c r="A4039" t="s">
        <v>715</v>
      </c>
      <c r="B4039" t="s">
        <v>432</v>
      </c>
      <c r="C4039">
        <v>136</v>
      </c>
      <c r="D4039">
        <v>20221003</v>
      </c>
      <c r="E4039">
        <f t="shared" si="63"/>
        <v>10</v>
      </c>
      <c r="F4039">
        <v>512200</v>
      </c>
      <c r="G4039" t="s">
        <v>432</v>
      </c>
      <c r="H4039" t="s">
        <v>401</v>
      </c>
      <c r="I4039" t="s">
        <v>402</v>
      </c>
      <c r="J4039" t="s">
        <v>4068</v>
      </c>
      <c r="K4039">
        <v>20221003</v>
      </c>
      <c r="L4039" t="s">
        <v>4069</v>
      </c>
      <c r="M4039">
        <v>0</v>
      </c>
      <c r="N4039">
        <v>65.760000000000005</v>
      </c>
      <c r="O4039" t="s">
        <v>19</v>
      </c>
      <c r="P4039" t="s">
        <v>20</v>
      </c>
      <c r="Q4039">
        <v>20221003</v>
      </c>
    </row>
    <row r="4040" spans="1:17" x14ac:dyDescent="0.25">
      <c r="A4040" t="s">
        <v>715</v>
      </c>
      <c r="B4040" t="s">
        <v>432</v>
      </c>
      <c r="C4040">
        <v>136</v>
      </c>
      <c r="D4040">
        <v>20221003</v>
      </c>
      <c r="E4040">
        <f t="shared" si="63"/>
        <v>10</v>
      </c>
      <c r="F4040">
        <v>401000</v>
      </c>
      <c r="G4040" t="s">
        <v>41</v>
      </c>
      <c r="H4040" t="s">
        <v>52</v>
      </c>
      <c r="I4040" t="s">
        <v>53</v>
      </c>
      <c r="J4040" t="s">
        <v>4070</v>
      </c>
      <c r="K4040">
        <v>20221003</v>
      </c>
      <c r="L4040" t="s">
        <v>4071</v>
      </c>
      <c r="M4040">
        <v>326.45999999999998</v>
      </c>
      <c r="N4040">
        <v>0</v>
      </c>
      <c r="O4040" t="s">
        <v>23</v>
      </c>
      <c r="P4040">
        <v>20230123</v>
      </c>
      <c r="Q4040">
        <v>20221003</v>
      </c>
    </row>
    <row r="4041" spans="1:17" x14ac:dyDescent="0.25">
      <c r="A4041" t="s">
        <v>715</v>
      </c>
      <c r="B4041" t="s">
        <v>432</v>
      </c>
      <c r="C4041">
        <v>136</v>
      </c>
      <c r="D4041">
        <v>20221003</v>
      </c>
      <c r="E4041">
        <f t="shared" si="63"/>
        <v>10</v>
      </c>
      <c r="F4041">
        <v>512200</v>
      </c>
      <c r="G4041" t="s">
        <v>432</v>
      </c>
      <c r="H4041" t="s">
        <v>401</v>
      </c>
      <c r="I4041" t="s">
        <v>402</v>
      </c>
      <c r="J4041" t="s">
        <v>4070</v>
      </c>
      <c r="K4041">
        <v>20221003</v>
      </c>
      <c r="L4041" t="s">
        <v>4071</v>
      </c>
      <c r="M4041">
        <v>0</v>
      </c>
      <c r="N4041">
        <v>326.45999999999998</v>
      </c>
      <c r="O4041" t="s">
        <v>19</v>
      </c>
      <c r="P4041" t="s">
        <v>20</v>
      </c>
      <c r="Q4041">
        <v>20221003</v>
      </c>
    </row>
    <row r="4042" spans="1:17" x14ac:dyDescent="0.25">
      <c r="A4042" t="s">
        <v>715</v>
      </c>
      <c r="B4042" t="s">
        <v>432</v>
      </c>
      <c r="C4042">
        <v>136</v>
      </c>
      <c r="D4042">
        <v>20221004</v>
      </c>
      <c r="E4042">
        <f t="shared" si="63"/>
        <v>10</v>
      </c>
      <c r="F4042">
        <v>421000</v>
      </c>
      <c r="G4042" t="s">
        <v>403</v>
      </c>
      <c r="H4042" t="s">
        <v>401</v>
      </c>
      <c r="I4042" t="s">
        <v>402</v>
      </c>
      <c r="J4042" t="s">
        <v>4072</v>
      </c>
      <c r="K4042">
        <v>20221004</v>
      </c>
      <c r="L4042" t="s">
        <v>4073</v>
      </c>
      <c r="M4042">
        <v>463.55</v>
      </c>
      <c r="N4042">
        <v>0</v>
      </c>
      <c r="O4042" t="s">
        <v>23</v>
      </c>
      <c r="P4042">
        <v>20230215</v>
      </c>
      <c r="Q4042">
        <v>20221004</v>
      </c>
    </row>
    <row r="4043" spans="1:17" x14ac:dyDescent="0.25">
      <c r="A4043" t="s">
        <v>715</v>
      </c>
      <c r="B4043" t="s">
        <v>432</v>
      </c>
      <c r="C4043">
        <v>136</v>
      </c>
      <c r="D4043">
        <v>20221004</v>
      </c>
      <c r="E4043">
        <f t="shared" si="63"/>
        <v>10</v>
      </c>
      <c r="F4043">
        <v>512200</v>
      </c>
      <c r="G4043" t="s">
        <v>432</v>
      </c>
      <c r="H4043" t="s">
        <v>401</v>
      </c>
      <c r="I4043" t="s">
        <v>402</v>
      </c>
      <c r="J4043" t="s">
        <v>4072</v>
      </c>
      <c r="K4043">
        <v>20221004</v>
      </c>
      <c r="L4043" t="s">
        <v>4073</v>
      </c>
      <c r="M4043">
        <v>0</v>
      </c>
      <c r="N4043">
        <v>463.55</v>
      </c>
      <c r="O4043" t="s">
        <v>19</v>
      </c>
      <c r="P4043" t="s">
        <v>20</v>
      </c>
      <c r="Q4043">
        <v>20221004</v>
      </c>
    </row>
    <row r="4044" spans="1:17" x14ac:dyDescent="0.25">
      <c r="A4044" t="s">
        <v>715</v>
      </c>
      <c r="B4044" t="s">
        <v>432</v>
      </c>
      <c r="C4044">
        <v>136</v>
      </c>
      <c r="D4044">
        <v>20221005</v>
      </c>
      <c r="E4044">
        <f t="shared" si="63"/>
        <v>10</v>
      </c>
      <c r="F4044">
        <v>401000</v>
      </c>
      <c r="G4044" t="s">
        <v>41</v>
      </c>
      <c r="H4044" t="s">
        <v>2340</v>
      </c>
      <c r="I4044" t="s">
        <v>2341</v>
      </c>
      <c r="J4044" t="s">
        <v>4074</v>
      </c>
      <c r="K4044">
        <v>20221005</v>
      </c>
      <c r="L4044" t="s">
        <v>4075</v>
      </c>
      <c r="M4044">
        <v>275</v>
      </c>
      <c r="N4044">
        <v>0</v>
      </c>
      <c r="O4044" t="s">
        <v>23</v>
      </c>
      <c r="P4044">
        <v>20230116</v>
      </c>
      <c r="Q4044">
        <v>20221005</v>
      </c>
    </row>
    <row r="4045" spans="1:17" x14ac:dyDescent="0.25">
      <c r="A4045" t="s">
        <v>715</v>
      </c>
      <c r="B4045" t="s">
        <v>432</v>
      </c>
      <c r="C4045">
        <v>136</v>
      </c>
      <c r="D4045">
        <v>20221005</v>
      </c>
      <c r="E4045">
        <f t="shared" si="63"/>
        <v>10</v>
      </c>
      <c r="F4045">
        <v>512200</v>
      </c>
      <c r="G4045" t="s">
        <v>432</v>
      </c>
      <c r="H4045" t="s">
        <v>401</v>
      </c>
      <c r="I4045" t="s">
        <v>402</v>
      </c>
      <c r="J4045" t="s">
        <v>4074</v>
      </c>
      <c r="K4045">
        <v>20221005</v>
      </c>
      <c r="L4045" t="s">
        <v>4075</v>
      </c>
      <c r="M4045">
        <v>0</v>
      </c>
      <c r="N4045">
        <v>275</v>
      </c>
      <c r="O4045" t="s">
        <v>19</v>
      </c>
      <c r="P4045" t="s">
        <v>20</v>
      </c>
      <c r="Q4045">
        <v>20221005</v>
      </c>
    </row>
    <row r="4046" spans="1:17" x14ac:dyDescent="0.25">
      <c r="A4046" t="s">
        <v>715</v>
      </c>
      <c r="B4046" t="s">
        <v>432</v>
      </c>
      <c r="C4046">
        <v>136</v>
      </c>
      <c r="D4046">
        <v>20221006</v>
      </c>
      <c r="E4046">
        <f t="shared" si="63"/>
        <v>10</v>
      </c>
      <c r="F4046">
        <v>512200</v>
      </c>
      <c r="G4046" t="s">
        <v>432</v>
      </c>
      <c r="H4046" t="s">
        <v>401</v>
      </c>
      <c r="I4046" t="s">
        <v>402</v>
      </c>
      <c r="J4046" t="s">
        <v>4076</v>
      </c>
      <c r="K4046">
        <v>20221006</v>
      </c>
      <c r="L4046" t="s">
        <v>4077</v>
      </c>
      <c r="M4046">
        <v>3903.45</v>
      </c>
      <c r="N4046">
        <v>0</v>
      </c>
      <c r="O4046" t="s">
        <v>19</v>
      </c>
      <c r="P4046" t="s">
        <v>20</v>
      </c>
      <c r="Q4046">
        <v>20221006</v>
      </c>
    </row>
    <row r="4047" spans="1:17" x14ac:dyDescent="0.25">
      <c r="A4047" t="s">
        <v>715</v>
      </c>
      <c r="B4047" t="s">
        <v>432</v>
      </c>
      <c r="C4047">
        <v>136</v>
      </c>
      <c r="D4047">
        <v>20221006</v>
      </c>
      <c r="E4047">
        <f t="shared" si="63"/>
        <v>10</v>
      </c>
      <c r="F4047">
        <v>511000</v>
      </c>
      <c r="G4047" t="s">
        <v>431</v>
      </c>
      <c r="H4047" t="s">
        <v>401</v>
      </c>
      <c r="I4047" t="s">
        <v>402</v>
      </c>
      <c r="J4047" t="s">
        <v>4076</v>
      </c>
      <c r="K4047">
        <v>20221006</v>
      </c>
      <c r="L4047" t="s">
        <v>4077</v>
      </c>
      <c r="M4047">
        <v>0</v>
      </c>
      <c r="N4047">
        <v>3903.45</v>
      </c>
      <c r="O4047" t="s">
        <v>23</v>
      </c>
      <c r="P4047">
        <v>20230228</v>
      </c>
      <c r="Q4047">
        <v>20221006</v>
      </c>
    </row>
    <row r="4048" spans="1:17" x14ac:dyDescent="0.25">
      <c r="A4048" t="s">
        <v>715</v>
      </c>
      <c r="B4048" t="s">
        <v>432</v>
      </c>
      <c r="C4048">
        <v>136</v>
      </c>
      <c r="D4048">
        <v>20221006</v>
      </c>
      <c r="E4048">
        <f t="shared" si="63"/>
        <v>10</v>
      </c>
      <c r="F4048">
        <v>512200</v>
      </c>
      <c r="G4048" t="s">
        <v>432</v>
      </c>
      <c r="H4048" t="s">
        <v>401</v>
      </c>
      <c r="I4048" t="s">
        <v>402</v>
      </c>
      <c r="J4048" t="s">
        <v>3762</v>
      </c>
      <c r="K4048">
        <v>20221006</v>
      </c>
      <c r="L4048" t="s">
        <v>625</v>
      </c>
      <c r="M4048">
        <v>1600</v>
      </c>
      <c r="N4048">
        <v>0</v>
      </c>
      <c r="O4048" t="s">
        <v>19</v>
      </c>
      <c r="P4048" t="s">
        <v>20</v>
      </c>
      <c r="Q4048">
        <v>20221006</v>
      </c>
    </row>
    <row r="4049" spans="1:17" x14ac:dyDescent="0.25">
      <c r="A4049" t="s">
        <v>715</v>
      </c>
      <c r="B4049" t="s">
        <v>432</v>
      </c>
      <c r="C4049">
        <v>136</v>
      </c>
      <c r="D4049">
        <v>20221006</v>
      </c>
      <c r="E4049">
        <f t="shared" si="63"/>
        <v>10</v>
      </c>
      <c r="F4049">
        <v>580000</v>
      </c>
      <c r="G4049" t="s">
        <v>532</v>
      </c>
      <c r="H4049" t="s">
        <v>401</v>
      </c>
      <c r="I4049" t="s">
        <v>402</v>
      </c>
      <c r="J4049" t="s">
        <v>3762</v>
      </c>
      <c r="K4049">
        <v>20221006</v>
      </c>
      <c r="L4049" t="s">
        <v>625</v>
      </c>
      <c r="M4049">
        <v>0</v>
      </c>
      <c r="N4049">
        <v>1600</v>
      </c>
      <c r="O4049" t="s">
        <v>22</v>
      </c>
      <c r="P4049">
        <v>20221006</v>
      </c>
      <c r="Q4049">
        <v>20221006</v>
      </c>
    </row>
    <row r="4050" spans="1:17" x14ac:dyDescent="0.25">
      <c r="A4050" t="s">
        <v>715</v>
      </c>
      <c r="B4050" t="s">
        <v>432</v>
      </c>
      <c r="C4050">
        <v>136</v>
      </c>
      <c r="D4050">
        <v>20221007</v>
      </c>
      <c r="E4050">
        <f t="shared" si="63"/>
        <v>10</v>
      </c>
      <c r="F4050">
        <v>401000</v>
      </c>
      <c r="G4050" t="s">
        <v>41</v>
      </c>
      <c r="H4050" t="s">
        <v>52</v>
      </c>
      <c r="I4050" t="s">
        <v>53</v>
      </c>
      <c r="J4050" t="s">
        <v>4078</v>
      </c>
      <c r="K4050">
        <v>20221007</v>
      </c>
      <c r="L4050" t="s">
        <v>4079</v>
      </c>
      <c r="M4050">
        <v>54.79</v>
      </c>
      <c r="N4050">
        <v>0</v>
      </c>
      <c r="O4050" t="s">
        <v>23</v>
      </c>
      <c r="P4050">
        <v>20230220</v>
      </c>
      <c r="Q4050">
        <v>20221007</v>
      </c>
    </row>
    <row r="4051" spans="1:17" x14ac:dyDescent="0.25">
      <c r="A4051" t="s">
        <v>715</v>
      </c>
      <c r="B4051" t="s">
        <v>432</v>
      </c>
      <c r="C4051">
        <v>136</v>
      </c>
      <c r="D4051">
        <v>20221007</v>
      </c>
      <c r="E4051">
        <f t="shared" si="63"/>
        <v>10</v>
      </c>
      <c r="F4051">
        <v>512200</v>
      </c>
      <c r="G4051" t="s">
        <v>432</v>
      </c>
      <c r="H4051" t="s">
        <v>401</v>
      </c>
      <c r="I4051" t="s">
        <v>402</v>
      </c>
      <c r="J4051" t="s">
        <v>4078</v>
      </c>
      <c r="K4051">
        <v>20221007</v>
      </c>
      <c r="L4051" t="s">
        <v>4079</v>
      </c>
      <c r="M4051">
        <v>0</v>
      </c>
      <c r="N4051">
        <v>54.79</v>
      </c>
      <c r="O4051" t="s">
        <v>19</v>
      </c>
      <c r="P4051" t="s">
        <v>20</v>
      </c>
      <c r="Q4051">
        <v>20221007</v>
      </c>
    </row>
    <row r="4052" spans="1:17" x14ac:dyDescent="0.25">
      <c r="A4052" t="s">
        <v>715</v>
      </c>
      <c r="B4052" t="s">
        <v>432</v>
      </c>
      <c r="C4052">
        <v>136</v>
      </c>
      <c r="D4052">
        <v>20221007</v>
      </c>
      <c r="E4052">
        <f t="shared" si="63"/>
        <v>10</v>
      </c>
      <c r="F4052">
        <v>401000</v>
      </c>
      <c r="G4052" t="s">
        <v>41</v>
      </c>
      <c r="H4052" t="s">
        <v>52</v>
      </c>
      <c r="I4052" t="s">
        <v>53</v>
      </c>
      <c r="J4052" t="s">
        <v>4080</v>
      </c>
      <c r="K4052">
        <v>20221007</v>
      </c>
      <c r="L4052" t="s">
        <v>4081</v>
      </c>
      <c r="M4052">
        <v>61.44</v>
      </c>
      <c r="N4052">
        <v>0</v>
      </c>
      <c r="O4052" t="s">
        <v>23</v>
      </c>
      <c r="P4052">
        <v>20230123</v>
      </c>
      <c r="Q4052">
        <v>20221007</v>
      </c>
    </row>
    <row r="4053" spans="1:17" x14ac:dyDescent="0.25">
      <c r="A4053" t="s">
        <v>715</v>
      </c>
      <c r="B4053" t="s">
        <v>432</v>
      </c>
      <c r="C4053">
        <v>136</v>
      </c>
      <c r="D4053">
        <v>20221007</v>
      </c>
      <c r="E4053">
        <f t="shared" si="63"/>
        <v>10</v>
      </c>
      <c r="F4053">
        <v>512200</v>
      </c>
      <c r="G4053" t="s">
        <v>432</v>
      </c>
      <c r="H4053" t="s">
        <v>401</v>
      </c>
      <c r="I4053" t="s">
        <v>402</v>
      </c>
      <c r="J4053" t="s">
        <v>4080</v>
      </c>
      <c r="K4053">
        <v>20221007</v>
      </c>
      <c r="L4053" t="s">
        <v>4081</v>
      </c>
      <c r="M4053">
        <v>0</v>
      </c>
      <c r="N4053">
        <v>61.44</v>
      </c>
      <c r="O4053" t="s">
        <v>19</v>
      </c>
      <c r="P4053" t="s">
        <v>20</v>
      </c>
      <c r="Q4053">
        <v>20221007</v>
      </c>
    </row>
    <row r="4054" spans="1:17" x14ac:dyDescent="0.25">
      <c r="A4054" t="s">
        <v>715</v>
      </c>
      <c r="B4054" t="s">
        <v>432</v>
      </c>
      <c r="C4054">
        <v>136</v>
      </c>
      <c r="D4054">
        <v>20221007</v>
      </c>
      <c r="E4054">
        <f t="shared" si="63"/>
        <v>10</v>
      </c>
      <c r="F4054">
        <v>627000</v>
      </c>
      <c r="G4054" t="s">
        <v>480</v>
      </c>
      <c r="H4054" t="s">
        <v>401</v>
      </c>
      <c r="I4054" t="s">
        <v>402</v>
      </c>
      <c r="J4054" t="s">
        <v>4082</v>
      </c>
      <c r="K4054">
        <v>20221007</v>
      </c>
      <c r="L4054" t="s">
        <v>1255</v>
      </c>
      <c r="M4054">
        <v>15.88</v>
      </c>
      <c r="N4054">
        <v>0</v>
      </c>
      <c r="O4054" t="s">
        <v>19</v>
      </c>
      <c r="P4054" t="s">
        <v>20</v>
      </c>
      <c r="Q4054">
        <v>20221007</v>
      </c>
    </row>
    <row r="4055" spans="1:17" x14ac:dyDescent="0.25">
      <c r="A4055" t="s">
        <v>715</v>
      </c>
      <c r="B4055" t="s">
        <v>432</v>
      </c>
      <c r="C4055">
        <v>136</v>
      </c>
      <c r="D4055">
        <v>20221007</v>
      </c>
      <c r="E4055">
        <f t="shared" si="63"/>
        <v>10</v>
      </c>
      <c r="F4055">
        <v>512200</v>
      </c>
      <c r="G4055" t="s">
        <v>432</v>
      </c>
      <c r="H4055" t="s">
        <v>401</v>
      </c>
      <c r="I4055" t="s">
        <v>402</v>
      </c>
      <c r="J4055" t="s">
        <v>4082</v>
      </c>
      <c r="K4055">
        <v>20221007</v>
      </c>
      <c r="L4055" t="s">
        <v>1255</v>
      </c>
      <c r="M4055">
        <v>0</v>
      </c>
      <c r="N4055">
        <v>15.88</v>
      </c>
      <c r="O4055" t="s">
        <v>19</v>
      </c>
      <c r="P4055" t="s">
        <v>20</v>
      </c>
      <c r="Q4055">
        <v>20221007</v>
      </c>
    </row>
    <row r="4056" spans="1:17" x14ac:dyDescent="0.25">
      <c r="A4056" t="s">
        <v>715</v>
      </c>
      <c r="B4056" t="s">
        <v>432</v>
      </c>
      <c r="C4056">
        <v>136</v>
      </c>
      <c r="D4056">
        <v>20221010</v>
      </c>
      <c r="E4056">
        <f t="shared" si="63"/>
        <v>10</v>
      </c>
      <c r="F4056">
        <v>401000</v>
      </c>
      <c r="G4056" t="s">
        <v>41</v>
      </c>
      <c r="H4056" t="s">
        <v>1655</v>
      </c>
      <c r="I4056" t="s">
        <v>1656</v>
      </c>
      <c r="J4056" t="s">
        <v>4083</v>
      </c>
      <c r="K4056">
        <v>20221010</v>
      </c>
      <c r="L4056" t="s">
        <v>4084</v>
      </c>
      <c r="M4056">
        <v>192</v>
      </c>
      <c r="N4056">
        <v>0</v>
      </c>
      <c r="O4056" t="s">
        <v>23</v>
      </c>
      <c r="P4056">
        <v>20230123</v>
      </c>
      <c r="Q4056">
        <v>20221010</v>
      </c>
    </row>
    <row r="4057" spans="1:17" x14ac:dyDescent="0.25">
      <c r="A4057" t="s">
        <v>715</v>
      </c>
      <c r="B4057" t="s">
        <v>432</v>
      </c>
      <c r="C4057">
        <v>136</v>
      </c>
      <c r="D4057">
        <v>20221010</v>
      </c>
      <c r="E4057">
        <f t="shared" si="63"/>
        <v>10</v>
      </c>
      <c r="F4057">
        <v>512200</v>
      </c>
      <c r="G4057" t="s">
        <v>432</v>
      </c>
      <c r="H4057" t="s">
        <v>401</v>
      </c>
      <c r="I4057" t="s">
        <v>402</v>
      </c>
      <c r="J4057" t="s">
        <v>4083</v>
      </c>
      <c r="K4057">
        <v>20221010</v>
      </c>
      <c r="L4057" t="s">
        <v>4084</v>
      </c>
      <c r="M4057">
        <v>0</v>
      </c>
      <c r="N4057">
        <v>192</v>
      </c>
      <c r="O4057" t="s">
        <v>19</v>
      </c>
      <c r="P4057" t="s">
        <v>20</v>
      </c>
      <c r="Q4057">
        <v>20221010</v>
      </c>
    </row>
    <row r="4058" spans="1:17" x14ac:dyDescent="0.25">
      <c r="A4058" t="s">
        <v>715</v>
      </c>
      <c r="B4058" t="s">
        <v>432</v>
      </c>
      <c r="C4058">
        <v>136</v>
      </c>
      <c r="D4058">
        <v>20221011</v>
      </c>
      <c r="E4058">
        <f t="shared" si="63"/>
        <v>10</v>
      </c>
      <c r="F4058">
        <v>401000</v>
      </c>
      <c r="G4058" t="s">
        <v>41</v>
      </c>
      <c r="H4058" t="s">
        <v>852</v>
      </c>
      <c r="I4058" t="s">
        <v>853</v>
      </c>
      <c r="J4058" t="s">
        <v>4085</v>
      </c>
      <c r="K4058">
        <v>20221011</v>
      </c>
      <c r="L4058" t="s">
        <v>4086</v>
      </c>
      <c r="M4058">
        <v>132</v>
      </c>
      <c r="N4058">
        <v>0</v>
      </c>
      <c r="O4058" t="s">
        <v>23</v>
      </c>
      <c r="P4058">
        <v>20230307</v>
      </c>
      <c r="Q4058">
        <v>20221011</v>
      </c>
    </row>
    <row r="4059" spans="1:17" x14ac:dyDescent="0.25">
      <c r="A4059" t="s">
        <v>715</v>
      </c>
      <c r="B4059" t="s">
        <v>432</v>
      </c>
      <c r="C4059">
        <v>136</v>
      </c>
      <c r="D4059">
        <v>20221011</v>
      </c>
      <c r="E4059">
        <f t="shared" si="63"/>
        <v>10</v>
      </c>
      <c r="F4059">
        <v>512200</v>
      </c>
      <c r="G4059" t="s">
        <v>432</v>
      </c>
      <c r="H4059" t="s">
        <v>401</v>
      </c>
      <c r="I4059" t="s">
        <v>402</v>
      </c>
      <c r="J4059" t="s">
        <v>4085</v>
      </c>
      <c r="K4059">
        <v>20221011</v>
      </c>
      <c r="L4059" t="s">
        <v>4086</v>
      </c>
      <c r="M4059">
        <v>0</v>
      </c>
      <c r="N4059">
        <v>132</v>
      </c>
      <c r="O4059" t="s">
        <v>19</v>
      </c>
      <c r="P4059" t="s">
        <v>20</v>
      </c>
      <c r="Q4059">
        <v>20221011</v>
      </c>
    </row>
    <row r="4060" spans="1:17" x14ac:dyDescent="0.25">
      <c r="A4060" t="s">
        <v>715</v>
      </c>
      <c r="B4060" t="s">
        <v>432</v>
      </c>
      <c r="C4060">
        <v>136</v>
      </c>
      <c r="D4060">
        <v>20221017</v>
      </c>
      <c r="E4060">
        <f t="shared" si="63"/>
        <v>10</v>
      </c>
      <c r="F4060">
        <v>512200</v>
      </c>
      <c r="G4060" t="s">
        <v>432</v>
      </c>
      <c r="H4060" t="s">
        <v>401</v>
      </c>
      <c r="I4060" t="s">
        <v>402</v>
      </c>
      <c r="J4060" t="s">
        <v>3824</v>
      </c>
      <c r="K4060">
        <v>20221017</v>
      </c>
      <c r="L4060" t="s">
        <v>625</v>
      </c>
      <c r="M4060">
        <v>4600</v>
      </c>
      <c r="N4060">
        <v>0</v>
      </c>
      <c r="O4060" t="s">
        <v>19</v>
      </c>
      <c r="P4060" t="s">
        <v>20</v>
      </c>
      <c r="Q4060">
        <v>20221017</v>
      </c>
    </row>
    <row r="4061" spans="1:17" x14ac:dyDescent="0.25">
      <c r="A4061" t="s">
        <v>715</v>
      </c>
      <c r="B4061" t="s">
        <v>432</v>
      </c>
      <c r="C4061">
        <v>136</v>
      </c>
      <c r="D4061">
        <v>20221017</v>
      </c>
      <c r="E4061">
        <f t="shared" si="63"/>
        <v>10</v>
      </c>
      <c r="F4061">
        <v>580000</v>
      </c>
      <c r="G4061" t="s">
        <v>532</v>
      </c>
      <c r="H4061" t="s">
        <v>401</v>
      </c>
      <c r="I4061" t="s">
        <v>402</v>
      </c>
      <c r="J4061" t="s">
        <v>3824</v>
      </c>
      <c r="K4061">
        <v>20221017</v>
      </c>
      <c r="L4061" t="s">
        <v>625</v>
      </c>
      <c r="M4061">
        <v>0</v>
      </c>
      <c r="N4061">
        <v>4600</v>
      </c>
      <c r="O4061" t="s">
        <v>22</v>
      </c>
      <c r="P4061">
        <v>20221017</v>
      </c>
      <c r="Q4061">
        <v>20221017</v>
      </c>
    </row>
    <row r="4062" spans="1:17" x14ac:dyDescent="0.25">
      <c r="A4062" t="s">
        <v>715</v>
      </c>
      <c r="B4062" t="s">
        <v>432</v>
      </c>
      <c r="C4062">
        <v>136</v>
      </c>
      <c r="D4062">
        <v>20221017</v>
      </c>
      <c r="E4062">
        <f t="shared" si="63"/>
        <v>10</v>
      </c>
      <c r="F4062">
        <v>512200</v>
      </c>
      <c r="G4062" t="s">
        <v>432</v>
      </c>
      <c r="H4062" t="s">
        <v>401</v>
      </c>
      <c r="I4062" t="s">
        <v>402</v>
      </c>
      <c r="J4062" t="s">
        <v>4087</v>
      </c>
      <c r="K4062">
        <v>20221017</v>
      </c>
      <c r="L4062" t="s">
        <v>4088</v>
      </c>
      <c r="M4062">
        <v>5393.03</v>
      </c>
      <c r="N4062">
        <v>0</v>
      </c>
      <c r="O4062" t="s">
        <v>19</v>
      </c>
      <c r="P4062" t="s">
        <v>20</v>
      </c>
      <c r="Q4062">
        <v>20221017</v>
      </c>
    </row>
    <row r="4063" spans="1:17" x14ac:dyDescent="0.25">
      <c r="A4063" t="s">
        <v>715</v>
      </c>
      <c r="B4063" t="s">
        <v>432</v>
      </c>
      <c r="C4063">
        <v>136</v>
      </c>
      <c r="D4063">
        <v>20221017</v>
      </c>
      <c r="E4063">
        <f t="shared" si="63"/>
        <v>10</v>
      </c>
      <c r="F4063">
        <v>511000</v>
      </c>
      <c r="G4063" t="s">
        <v>431</v>
      </c>
      <c r="H4063" t="s">
        <v>401</v>
      </c>
      <c r="I4063" t="s">
        <v>402</v>
      </c>
      <c r="J4063" t="s">
        <v>4087</v>
      </c>
      <c r="K4063">
        <v>20221017</v>
      </c>
      <c r="L4063" t="s">
        <v>4088</v>
      </c>
      <c r="M4063">
        <v>0</v>
      </c>
      <c r="N4063">
        <v>5393.03</v>
      </c>
      <c r="O4063" t="s">
        <v>23</v>
      </c>
      <c r="P4063">
        <v>20230116</v>
      </c>
      <c r="Q4063">
        <v>20221017</v>
      </c>
    </row>
    <row r="4064" spans="1:17" x14ac:dyDescent="0.25">
      <c r="A4064" t="s">
        <v>715</v>
      </c>
      <c r="B4064" t="s">
        <v>432</v>
      </c>
      <c r="C4064">
        <v>136</v>
      </c>
      <c r="D4064">
        <v>20221017</v>
      </c>
      <c r="E4064">
        <f t="shared" si="63"/>
        <v>10</v>
      </c>
      <c r="F4064">
        <v>512200</v>
      </c>
      <c r="G4064" t="s">
        <v>432</v>
      </c>
      <c r="H4064" t="s">
        <v>401</v>
      </c>
      <c r="I4064" t="s">
        <v>402</v>
      </c>
      <c r="J4064" t="s">
        <v>4089</v>
      </c>
      <c r="K4064">
        <v>20221017</v>
      </c>
      <c r="L4064" t="s">
        <v>4090</v>
      </c>
      <c r="M4064">
        <v>1714.97</v>
      </c>
      <c r="N4064">
        <v>0</v>
      </c>
      <c r="O4064" t="s">
        <v>19</v>
      </c>
      <c r="P4064" t="s">
        <v>20</v>
      </c>
      <c r="Q4064">
        <v>20221017</v>
      </c>
    </row>
    <row r="4065" spans="1:17" x14ac:dyDescent="0.25">
      <c r="A4065" t="s">
        <v>715</v>
      </c>
      <c r="B4065" t="s">
        <v>432</v>
      </c>
      <c r="C4065">
        <v>136</v>
      </c>
      <c r="D4065">
        <v>20221017</v>
      </c>
      <c r="E4065">
        <f t="shared" si="63"/>
        <v>10</v>
      </c>
      <c r="F4065">
        <v>511000</v>
      </c>
      <c r="G4065" t="s">
        <v>431</v>
      </c>
      <c r="H4065" t="s">
        <v>401</v>
      </c>
      <c r="I4065" t="s">
        <v>402</v>
      </c>
      <c r="J4065" t="s">
        <v>4089</v>
      </c>
      <c r="K4065">
        <v>20221017</v>
      </c>
      <c r="L4065" t="s">
        <v>4090</v>
      </c>
      <c r="M4065">
        <v>0</v>
      </c>
      <c r="N4065">
        <v>1714.97</v>
      </c>
      <c r="O4065" t="s">
        <v>23</v>
      </c>
      <c r="P4065">
        <v>20230116</v>
      </c>
      <c r="Q4065">
        <v>20221017</v>
      </c>
    </row>
    <row r="4066" spans="1:17" x14ac:dyDescent="0.25">
      <c r="A4066" t="s">
        <v>715</v>
      </c>
      <c r="B4066" t="s">
        <v>432</v>
      </c>
      <c r="C4066">
        <v>136</v>
      </c>
      <c r="D4066">
        <v>20221018</v>
      </c>
      <c r="E4066">
        <f t="shared" si="63"/>
        <v>10</v>
      </c>
      <c r="F4066">
        <v>401000</v>
      </c>
      <c r="G4066" t="s">
        <v>41</v>
      </c>
      <c r="H4066" t="s">
        <v>52</v>
      </c>
      <c r="I4066" t="s">
        <v>53</v>
      </c>
      <c r="J4066" t="s">
        <v>4091</v>
      </c>
      <c r="K4066">
        <v>20221018</v>
      </c>
      <c r="L4066" t="s">
        <v>4092</v>
      </c>
      <c r="M4066">
        <v>66</v>
      </c>
      <c r="N4066">
        <v>0</v>
      </c>
      <c r="O4066" t="s">
        <v>23</v>
      </c>
      <c r="P4066">
        <v>20230220</v>
      </c>
      <c r="Q4066">
        <v>20221018</v>
      </c>
    </row>
    <row r="4067" spans="1:17" x14ac:dyDescent="0.25">
      <c r="A4067" t="s">
        <v>715</v>
      </c>
      <c r="B4067" t="s">
        <v>432</v>
      </c>
      <c r="C4067">
        <v>136</v>
      </c>
      <c r="D4067">
        <v>20221018</v>
      </c>
      <c r="E4067">
        <f t="shared" si="63"/>
        <v>10</v>
      </c>
      <c r="F4067">
        <v>512200</v>
      </c>
      <c r="G4067" t="s">
        <v>432</v>
      </c>
      <c r="H4067" t="s">
        <v>401</v>
      </c>
      <c r="I4067" t="s">
        <v>402</v>
      </c>
      <c r="J4067" t="s">
        <v>4091</v>
      </c>
      <c r="K4067">
        <v>20221018</v>
      </c>
      <c r="L4067" t="s">
        <v>4092</v>
      </c>
      <c r="M4067">
        <v>0</v>
      </c>
      <c r="N4067">
        <v>66</v>
      </c>
      <c r="O4067" t="s">
        <v>19</v>
      </c>
      <c r="P4067" t="s">
        <v>20</v>
      </c>
      <c r="Q4067">
        <v>20221018</v>
      </c>
    </row>
    <row r="4068" spans="1:17" x14ac:dyDescent="0.25">
      <c r="A4068" t="s">
        <v>715</v>
      </c>
      <c r="B4068" t="s">
        <v>432</v>
      </c>
      <c r="C4068">
        <v>136</v>
      </c>
      <c r="D4068">
        <v>20221024</v>
      </c>
      <c r="E4068">
        <f t="shared" si="63"/>
        <v>10</v>
      </c>
      <c r="F4068">
        <v>401000</v>
      </c>
      <c r="G4068" t="s">
        <v>41</v>
      </c>
      <c r="H4068" t="s">
        <v>181</v>
      </c>
      <c r="I4068" t="s">
        <v>182</v>
      </c>
      <c r="J4068" t="s">
        <v>4093</v>
      </c>
      <c r="K4068">
        <v>20221024</v>
      </c>
      <c r="L4068" t="s">
        <v>4094</v>
      </c>
      <c r="M4068">
        <v>418.27</v>
      </c>
      <c r="N4068">
        <v>0</v>
      </c>
      <c r="O4068" t="s">
        <v>23</v>
      </c>
      <c r="P4068">
        <v>20230306</v>
      </c>
      <c r="Q4068">
        <v>20221024</v>
      </c>
    </row>
    <row r="4069" spans="1:17" x14ac:dyDescent="0.25">
      <c r="A4069" t="s">
        <v>715</v>
      </c>
      <c r="B4069" t="s">
        <v>432</v>
      </c>
      <c r="C4069">
        <v>136</v>
      </c>
      <c r="D4069">
        <v>20221024</v>
      </c>
      <c r="E4069">
        <f t="shared" si="63"/>
        <v>10</v>
      </c>
      <c r="F4069">
        <v>512200</v>
      </c>
      <c r="G4069" t="s">
        <v>432</v>
      </c>
      <c r="H4069" t="s">
        <v>401</v>
      </c>
      <c r="I4069" t="s">
        <v>402</v>
      </c>
      <c r="J4069" t="s">
        <v>4093</v>
      </c>
      <c r="K4069">
        <v>20221024</v>
      </c>
      <c r="L4069" t="s">
        <v>4094</v>
      </c>
      <c r="M4069">
        <v>0</v>
      </c>
      <c r="N4069">
        <v>418.27</v>
      </c>
      <c r="O4069" t="s">
        <v>19</v>
      </c>
      <c r="P4069" t="s">
        <v>20</v>
      </c>
      <c r="Q4069">
        <v>20221024</v>
      </c>
    </row>
    <row r="4070" spans="1:17" x14ac:dyDescent="0.25">
      <c r="A4070" t="s">
        <v>715</v>
      </c>
      <c r="B4070" t="s">
        <v>432</v>
      </c>
      <c r="C4070">
        <v>136</v>
      </c>
      <c r="D4070">
        <v>20221025</v>
      </c>
      <c r="E4070">
        <f t="shared" si="63"/>
        <v>10</v>
      </c>
      <c r="F4070">
        <v>401000</v>
      </c>
      <c r="G4070" t="s">
        <v>41</v>
      </c>
      <c r="H4070" t="s">
        <v>1635</v>
      </c>
      <c r="I4070" t="s">
        <v>1636</v>
      </c>
      <c r="J4070" t="s">
        <v>4095</v>
      </c>
      <c r="K4070">
        <v>20221025</v>
      </c>
      <c r="L4070" t="s">
        <v>4096</v>
      </c>
      <c r="M4070">
        <v>1008</v>
      </c>
      <c r="N4070">
        <v>0</v>
      </c>
      <c r="O4070" t="s">
        <v>23</v>
      </c>
      <c r="P4070">
        <v>20230308</v>
      </c>
      <c r="Q4070">
        <v>20221025</v>
      </c>
    </row>
    <row r="4071" spans="1:17" x14ac:dyDescent="0.25">
      <c r="A4071" t="s">
        <v>715</v>
      </c>
      <c r="B4071" t="s">
        <v>432</v>
      </c>
      <c r="C4071">
        <v>136</v>
      </c>
      <c r="D4071">
        <v>20221025</v>
      </c>
      <c r="E4071">
        <f t="shared" si="63"/>
        <v>10</v>
      </c>
      <c r="F4071">
        <v>512200</v>
      </c>
      <c r="G4071" t="s">
        <v>432</v>
      </c>
      <c r="H4071" t="s">
        <v>401</v>
      </c>
      <c r="I4071" t="s">
        <v>402</v>
      </c>
      <c r="J4071" t="s">
        <v>4095</v>
      </c>
      <c r="K4071">
        <v>20221025</v>
      </c>
      <c r="L4071" t="s">
        <v>4096</v>
      </c>
      <c r="M4071">
        <v>0</v>
      </c>
      <c r="N4071">
        <v>1008</v>
      </c>
      <c r="O4071" t="s">
        <v>19</v>
      </c>
      <c r="P4071" t="s">
        <v>20</v>
      </c>
      <c r="Q4071">
        <v>20221025</v>
      </c>
    </row>
    <row r="4072" spans="1:17" x14ac:dyDescent="0.25">
      <c r="A4072" t="s">
        <v>715</v>
      </c>
      <c r="B4072" t="s">
        <v>432</v>
      </c>
      <c r="C4072">
        <v>136</v>
      </c>
      <c r="D4072">
        <v>20221026</v>
      </c>
      <c r="E4072">
        <f t="shared" si="63"/>
        <v>10</v>
      </c>
      <c r="F4072">
        <v>512200</v>
      </c>
      <c r="G4072" t="s">
        <v>432</v>
      </c>
      <c r="H4072" t="s">
        <v>401</v>
      </c>
      <c r="I4072" t="s">
        <v>402</v>
      </c>
      <c r="J4072" t="s">
        <v>4097</v>
      </c>
      <c r="K4072">
        <v>20221026</v>
      </c>
      <c r="L4072" t="s">
        <v>4098</v>
      </c>
      <c r="M4072">
        <v>13192.86</v>
      </c>
      <c r="N4072">
        <v>0</v>
      </c>
      <c r="O4072" t="s">
        <v>19</v>
      </c>
      <c r="P4072" t="s">
        <v>20</v>
      </c>
      <c r="Q4072">
        <v>20221026</v>
      </c>
    </row>
    <row r="4073" spans="1:17" x14ac:dyDescent="0.25">
      <c r="A4073" t="s">
        <v>715</v>
      </c>
      <c r="B4073" t="s">
        <v>432</v>
      </c>
      <c r="C4073">
        <v>136</v>
      </c>
      <c r="D4073">
        <v>20221026</v>
      </c>
      <c r="E4073">
        <f t="shared" si="63"/>
        <v>10</v>
      </c>
      <c r="F4073">
        <v>511000</v>
      </c>
      <c r="G4073" t="s">
        <v>431</v>
      </c>
      <c r="H4073" t="s">
        <v>401</v>
      </c>
      <c r="I4073" t="s">
        <v>402</v>
      </c>
      <c r="J4073" t="s">
        <v>4097</v>
      </c>
      <c r="K4073">
        <v>20221026</v>
      </c>
      <c r="L4073" t="s">
        <v>4098</v>
      </c>
      <c r="M4073">
        <v>0</v>
      </c>
      <c r="N4073">
        <v>13192.86</v>
      </c>
      <c r="O4073" t="s">
        <v>23</v>
      </c>
      <c r="P4073">
        <v>20230228</v>
      </c>
      <c r="Q4073">
        <v>20221026</v>
      </c>
    </row>
    <row r="4074" spans="1:17" x14ac:dyDescent="0.25">
      <c r="A4074" t="s">
        <v>715</v>
      </c>
      <c r="B4074" t="s">
        <v>432</v>
      </c>
      <c r="C4074">
        <v>136</v>
      </c>
      <c r="D4074">
        <v>20221026</v>
      </c>
      <c r="E4074">
        <f t="shared" si="63"/>
        <v>10</v>
      </c>
      <c r="F4074">
        <v>512200</v>
      </c>
      <c r="G4074" t="s">
        <v>432</v>
      </c>
      <c r="H4074" t="s">
        <v>401</v>
      </c>
      <c r="I4074" t="s">
        <v>402</v>
      </c>
      <c r="J4074" t="s">
        <v>4099</v>
      </c>
      <c r="K4074">
        <v>20221026</v>
      </c>
      <c r="L4074" t="s">
        <v>4100</v>
      </c>
      <c r="M4074">
        <v>402.94</v>
      </c>
      <c r="N4074">
        <v>0</v>
      </c>
      <c r="O4074" t="s">
        <v>19</v>
      </c>
      <c r="P4074" t="s">
        <v>20</v>
      </c>
      <c r="Q4074">
        <v>20221026</v>
      </c>
    </row>
    <row r="4075" spans="1:17" x14ac:dyDescent="0.25">
      <c r="A4075" t="s">
        <v>715</v>
      </c>
      <c r="B4075" t="s">
        <v>432</v>
      </c>
      <c r="C4075">
        <v>136</v>
      </c>
      <c r="D4075">
        <v>20221026</v>
      </c>
      <c r="E4075">
        <f t="shared" si="63"/>
        <v>10</v>
      </c>
      <c r="F4075">
        <v>511002</v>
      </c>
      <c r="G4075" t="s">
        <v>786</v>
      </c>
      <c r="H4075" t="s">
        <v>401</v>
      </c>
      <c r="I4075" t="s">
        <v>402</v>
      </c>
      <c r="J4075" t="s">
        <v>4099</v>
      </c>
      <c r="K4075">
        <v>20221026</v>
      </c>
      <c r="L4075" t="s">
        <v>4100</v>
      </c>
      <c r="M4075">
        <v>0</v>
      </c>
      <c r="N4075">
        <v>425</v>
      </c>
      <c r="O4075" t="s">
        <v>23</v>
      </c>
      <c r="P4075">
        <v>20230301</v>
      </c>
      <c r="Q4075">
        <v>20221026</v>
      </c>
    </row>
    <row r="4076" spans="1:17" x14ac:dyDescent="0.25">
      <c r="A4076" t="s">
        <v>715</v>
      </c>
      <c r="B4076" t="s">
        <v>432</v>
      </c>
      <c r="C4076">
        <v>136</v>
      </c>
      <c r="D4076">
        <v>20221026</v>
      </c>
      <c r="E4076">
        <f t="shared" si="63"/>
        <v>10</v>
      </c>
      <c r="F4076">
        <v>627500</v>
      </c>
      <c r="G4076" t="s">
        <v>729</v>
      </c>
      <c r="H4076" t="s">
        <v>401</v>
      </c>
      <c r="I4076" t="s">
        <v>402</v>
      </c>
      <c r="J4076" t="s">
        <v>4101</v>
      </c>
      <c r="K4076">
        <v>20221026</v>
      </c>
      <c r="L4076" t="s">
        <v>4102</v>
      </c>
      <c r="M4076">
        <v>22.06</v>
      </c>
      <c r="N4076">
        <v>0</v>
      </c>
      <c r="O4076" t="s">
        <v>19</v>
      </c>
      <c r="P4076" t="s">
        <v>20</v>
      </c>
      <c r="Q4076">
        <v>20221026</v>
      </c>
    </row>
    <row r="4077" spans="1:17" x14ac:dyDescent="0.25">
      <c r="A4077" t="s">
        <v>715</v>
      </c>
      <c r="B4077" t="s">
        <v>432</v>
      </c>
      <c r="C4077">
        <v>136</v>
      </c>
      <c r="D4077">
        <v>20221026</v>
      </c>
      <c r="E4077">
        <f t="shared" si="63"/>
        <v>10</v>
      </c>
      <c r="F4077">
        <v>512200</v>
      </c>
      <c r="G4077" t="s">
        <v>432</v>
      </c>
      <c r="H4077" t="s">
        <v>401</v>
      </c>
      <c r="I4077" t="s">
        <v>402</v>
      </c>
      <c r="J4077" t="s">
        <v>4103</v>
      </c>
      <c r="K4077">
        <v>20221026</v>
      </c>
      <c r="L4077" t="s">
        <v>4104</v>
      </c>
      <c r="M4077">
        <v>526.5</v>
      </c>
      <c r="N4077">
        <v>0</v>
      </c>
      <c r="O4077" t="s">
        <v>19</v>
      </c>
      <c r="P4077" t="s">
        <v>20</v>
      </c>
      <c r="Q4077">
        <v>20221026</v>
      </c>
    </row>
    <row r="4078" spans="1:17" x14ac:dyDescent="0.25">
      <c r="A4078" t="s">
        <v>715</v>
      </c>
      <c r="B4078" t="s">
        <v>432</v>
      </c>
      <c r="C4078">
        <v>136</v>
      </c>
      <c r="D4078">
        <v>20221026</v>
      </c>
      <c r="E4078">
        <f t="shared" si="63"/>
        <v>10</v>
      </c>
      <c r="F4078">
        <v>511001</v>
      </c>
      <c r="G4078" t="s">
        <v>434</v>
      </c>
      <c r="H4078" t="s">
        <v>401</v>
      </c>
      <c r="I4078" t="s">
        <v>402</v>
      </c>
      <c r="J4078" t="s">
        <v>4103</v>
      </c>
      <c r="K4078">
        <v>20221026</v>
      </c>
      <c r="L4078" t="s">
        <v>4104</v>
      </c>
      <c r="M4078">
        <v>0</v>
      </c>
      <c r="N4078">
        <v>540</v>
      </c>
      <c r="O4078" t="s">
        <v>23</v>
      </c>
      <c r="P4078">
        <v>20230301</v>
      </c>
      <c r="Q4078">
        <v>20221026</v>
      </c>
    </row>
    <row r="4079" spans="1:17" x14ac:dyDescent="0.25">
      <c r="A4079" t="s">
        <v>715</v>
      </c>
      <c r="B4079" t="s">
        <v>432</v>
      </c>
      <c r="C4079">
        <v>136</v>
      </c>
      <c r="D4079">
        <v>20221026</v>
      </c>
      <c r="E4079">
        <f t="shared" si="63"/>
        <v>10</v>
      </c>
      <c r="F4079">
        <v>627400</v>
      </c>
      <c r="G4079" t="s">
        <v>722</v>
      </c>
      <c r="H4079" t="s">
        <v>401</v>
      </c>
      <c r="I4079" t="s">
        <v>402</v>
      </c>
      <c r="J4079" t="s">
        <v>4105</v>
      </c>
      <c r="K4079">
        <v>20221026</v>
      </c>
      <c r="L4079" t="s">
        <v>4106</v>
      </c>
      <c r="M4079">
        <v>13.5</v>
      </c>
      <c r="N4079">
        <v>0</v>
      </c>
      <c r="O4079" t="s">
        <v>19</v>
      </c>
      <c r="P4079" t="s">
        <v>20</v>
      </c>
      <c r="Q4079">
        <v>20221026</v>
      </c>
    </row>
    <row r="4080" spans="1:17" x14ac:dyDescent="0.25">
      <c r="A4080" t="s">
        <v>715</v>
      </c>
      <c r="B4080" t="s">
        <v>432</v>
      </c>
      <c r="C4080">
        <v>136</v>
      </c>
      <c r="D4080">
        <v>20221031</v>
      </c>
      <c r="E4080">
        <f t="shared" si="63"/>
        <v>10</v>
      </c>
      <c r="F4080">
        <v>401000</v>
      </c>
      <c r="G4080" t="s">
        <v>41</v>
      </c>
      <c r="H4080" t="s">
        <v>52</v>
      </c>
      <c r="I4080" t="s">
        <v>53</v>
      </c>
      <c r="J4080" t="s">
        <v>4107</v>
      </c>
      <c r="K4080">
        <v>20221031</v>
      </c>
      <c r="L4080" t="s">
        <v>4108</v>
      </c>
      <c r="M4080">
        <v>65.760000000000005</v>
      </c>
      <c r="N4080">
        <v>0</v>
      </c>
      <c r="O4080" t="s">
        <v>23</v>
      </c>
      <c r="P4080">
        <v>20230123</v>
      </c>
      <c r="Q4080">
        <v>20221031</v>
      </c>
    </row>
    <row r="4081" spans="1:17" x14ac:dyDescent="0.25">
      <c r="A4081" t="s">
        <v>715</v>
      </c>
      <c r="B4081" t="s">
        <v>432</v>
      </c>
      <c r="C4081">
        <v>136</v>
      </c>
      <c r="D4081">
        <v>20221031</v>
      </c>
      <c r="E4081">
        <f t="shared" si="63"/>
        <v>10</v>
      </c>
      <c r="F4081">
        <v>512200</v>
      </c>
      <c r="G4081" t="s">
        <v>432</v>
      </c>
      <c r="H4081" t="s">
        <v>401</v>
      </c>
      <c r="I4081" t="s">
        <v>402</v>
      </c>
      <c r="J4081" t="s">
        <v>4107</v>
      </c>
      <c r="K4081">
        <v>20221031</v>
      </c>
      <c r="L4081" t="s">
        <v>4108</v>
      </c>
      <c r="M4081">
        <v>0</v>
      </c>
      <c r="N4081">
        <v>65.760000000000005</v>
      </c>
      <c r="O4081" t="s">
        <v>19</v>
      </c>
      <c r="P4081" t="s">
        <v>20</v>
      </c>
      <c r="Q4081">
        <v>20221031</v>
      </c>
    </row>
    <row r="4082" spans="1:17" x14ac:dyDescent="0.25">
      <c r="A4082" t="s">
        <v>715</v>
      </c>
      <c r="B4082" t="s">
        <v>432</v>
      </c>
      <c r="C4082">
        <v>136</v>
      </c>
      <c r="D4082">
        <v>20221031</v>
      </c>
      <c r="E4082">
        <f t="shared" si="63"/>
        <v>10</v>
      </c>
      <c r="F4082">
        <v>401000</v>
      </c>
      <c r="G4082" t="s">
        <v>41</v>
      </c>
      <c r="H4082" t="s">
        <v>52</v>
      </c>
      <c r="I4082" t="s">
        <v>53</v>
      </c>
      <c r="J4082" t="s">
        <v>4109</v>
      </c>
      <c r="K4082">
        <v>20221031</v>
      </c>
      <c r="L4082" t="s">
        <v>4110</v>
      </c>
      <c r="M4082">
        <v>329.64</v>
      </c>
      <c r="N4082">
        <v>0</v>
      </c>
      <c r="O4082" t="s">
        <v>23</v>
      </c>
      <c r="P4082">
        <v>20230123</v>
      </c>
      <c r="Q4082">
        <v>20221031</v>
      </c>
    </row>
    <row r="4083" spans="1:17" x14ac:dyDescent="0.25">
      <c r="A4083" t="s">
        <v>715</v>
      </c>
      <c r="B4083" t="s">
        <v>432</v>
      </c>
      <c r="C4083">
        <v>136</v>
      </c>
      <c r="D4083">
        <v>20221031</v>
      </c>
      <c r="E4083">
        <f t="shared" si="63"/>
        <v>10</v>
      </c>
      <c r="F4083">
        <v>512200</v>
      </c>
      <c r="G4083" t="s">
        <v>432</v>
      </c>
      <c r="H4083" t="s">
        <v>401</v>
      </c>
      <c r="I4083" t="s">
        <v>402</v>
      </c>
      <c r="J4083" t="s">
        <v>4109</v>
      </c>
      <c r="K4083">
        <v>20221031</v>
      </c>
      <c r="L4083" t="s">
        <v>4110</v>
      </c>
      <c r="M4083">
        <v>0</v>
      </c>
      <c r="N4083">
        <v>329.64</v>
      </c>
      <c r="O4083" t="s">
        <v>19</v>
      </c>
      <c r="P4083" t="s">
        <v>20</v>
      </c>
      <c r="Q4083">
        <v>20221031</v>
      </c>
    </row>
    <row r="4084" spans="1:17" x14ac:dyDescent="0.25">
      <c r="A4084" t="s">
        <v>715</v>
      </c>
      <c r="B4084" t="s">
        <v>432</v>
      </c>
      <c r="C4084">
        <v>136</v>
      </c>
      <c r="D4084">
        <v>20221031</v>
      </c>
      <c r="E4084">
        <f t="shared" si="63"/>
        <v>10</v>
      </c>
      <c r="F4084">
        <v>401000</v>
      </c>
      <c r="G4084" t="s">
        <v>41</v>
      </c>
      <c r="H4084" t="s">
        <v>189</v>
      </c>
      <c r="I4084" t="s">
        <v>190</v>
      </c>
      <c r="J4084" t="s">
        <v>4111</v>
      </c>
      <c r="K4084">
        <v>20221031</v>
      </c>
      <c r="L4084" t="s">
        <v>191</v>
      </c>
      <c r="M4084">
        <v>403.75</v>
      </c>
      <c r="N4084">
        <v>0</v>
      </c>
      <c r="O4084" t="s">
        <v>19</v>
      </c>
      <c r="P4084" t="s">
        <v>20</v>
      </c>
      <c r="Q4084">
        <v>20221031</v>
      </c>
    </row>
    <row r="4085" spans="1:17" x14ac:dyDescent="0.25">
      <c r="A4085" t="s">
        <v>715</v>
      </c>
      <c r="B4085" t="s">
        <v>432</v>
      </c>
      <c r="C4085">
        <v>136</v>
      </c>
      <c r="D4085">
        <v>20221031</v>
      </c>
      <c r="E4085">
        <f t="shared" si="63"/>
        <v>10</v>
      </c>
      <c r="F4085">
        <v>512200</v>
      </c>
      <c r="G4085" t="s">
        <v>432</v>
      </c>
      <c r="H4085" t="s">
        <v>401</v>
      </c>
      <c r="I4085" t="s">
        <v>402</v>
      </c>
      <c r="J4085" t="s">
        <v>4111</v>
      </c>
      <c r="K4085">
        <v>20221031</v>
      </c>
      <c r="L4085" t="s">
        <v>191</v>
      </c>
      <c r="M4085">
        <v>0</v>
      </c>
      <c r="N4085">
        <v>403.75</v>
      </c>
      <c r="O4085" t="s">
        <v>19</v>
      </c>
      <c r="P4085" t="s">
        <v>20</v>
      </c>
      <c r="Q4085">
        <v>20221031</v>
      </c>
    </row>
    <row r="4086" spans="1:17" x14ac:dyDescent="0.25">
      <c r="A4086" t="s">
        <v>715</v>
      </c>
      <c r="B4086" t="s">
        <v>432</v>
      </c>
      <c r="C4086">
        <v>136</v>
      </c>
      <c r="D4086">
        <v>20221031</v>
      </c>
      <c r="E4086">
        <f t="shared" si="63"/>
        <v>10</v>
      </c>
      <c r="F4086">
        <v>401000</v>
      </c>
      <c r="G4086" t="s">
        <v>41</v>
      </c>
      <c r="H4086" t="s">
        <v>52</v>
      </c>
      <c r="I4086" t="s">
        <v>53</v>
      </c>
      <c r="J4086" t="s">
        <v>4112</v>
      </c>
      <c r="K4086">
        <v>20221031</v>
      </c>
      <c r="L4086" t="s">
        <v>4113</v>
      </c>
      <c r="M4086">
        <v>29</v>
      </c>
      <c r="N4086">
        <v>0</v>
      </c>
      <c r="O4086" t="s">
        <v>23</v>
      </c>
      <c r="P4086">
        <v>20230220</v>
      </c>
      <c r="Q4086">
        <v>20221031</v>
      </c>
    </row>
    <row r="4087" spans="1:17" x14ac:dyDescent="0.25">
      <c r="A4087" t="s">
        <v>715</v>
      </c>
      <c r="B4087" t="s">
        <v>432</v>
      </c>
      <c r="C4087">
        <v>136</v>
      </c>
      <c r="D4087">
        <v>20221031</v>
      </c>
      <c r="E4087">
        <f t="shared" si="63"/>
        <v>10</v>
      </c>
      <c r="F4087">
        <v>512200</v>
      </c>
      <c r="G4087" t="s">
        <v>432</v>
      </c>
      <c r="H4087" t="s">
        <v>401</v>
      </c>
      <c r="I4087" t="s">
        <v>402</v>
      </c>
      <c r="J4087" t="s">
        <v>4112</v>
      </c>
      <c r="K4087">
        <v>20221031</v>
      </c>
      <c r="L4087" t="s">
        <v>4113</v>
      </c>
      <c r="M4087">
        <v>0</v>
      </c>
      <c r="N4087">
        <v>29</v>
      </c>
      <c r="O4087" t="s">
        <v>19</v>
      </c>
      <c r="P4087" t="s">
        <v>20</v>
      </c>
      <c r="Q4087">
        <v>20221031</v>
      </c>
    </row>
    <row r="4088" spans="1:17" x14ac:dyDescent="0.25">
      <c r="A4088" t="s">
        <v>715</v>
      </c>
      <c r="B4088" t="s">
        <v>432</v>
      </c>
      <c r="C4088">
        <v>136</v>
      </c>
      <c r="D4088">
        <v>20221031</v>
      </c>
      <c r="E4088">
        <f t="shared" si="63"/>
        <v>10</v>
      </c>
      <c r="F4088">
        <v>401000</v>
      </c>
      <c r="G4088" t="s">
        <v>41</v>
      </c>
      <c r="H4088" t="s">
        <v>1655</v>
      </c>
      <c r="I4088" t="s">
        <v>1656</v>
      </c>
      <c r="J4088" t="s">
        <v>4114</v>
      </c>
      <c r="K4088">
        <v>20221031</v>
      </c>
      <c r="L4088" t="s">
        <v>2313</v>
      </c>
      <c r="M4088">
        <v>232</v>
      </c>
      <c r="N4088">
        <v>0</v>
      </c>
      <c r="O4088" t="s">
        <v>23</v>
      </c>
      <c r="P4088">
        <v>20230123</v>
      </c>
      <c r="Q4088">
        <v>20221031</v>
      </c>
    </row>
    <row r="4089" spans="1:17" x14ac:dyDescent="0.25">
      <c r="A4089" t="s">
        <v>715</v>
      </c>
      <c r="B4089" t="s">
        <v>432</v>
      </c>
      <c r="C4089">
        <v>136</v>
      </c>
      <c r="D4089">
        <v>20221031</v>
      </c>
      <c r="E4089">
        <f t="shared" si="63"/>
        <v>10</v>
      </c>
      <c r="F4089">
        <v>512200</v>
      </c>
      <c r="G4089" t="s">
        <v>432</v>
      </c>
      <c r="H4089" t="s">
        <v>401</v>
      </c>
      <c r="I4089" t="s">
        <v>402</v>
      </c>
      <c r="J4089" t="s">
        <v>4114</v>
      </c>
      <c r="K4089">
        <v>20221031</v>
      </c>
      <c r="L4089" t="s">
        <v>2313</v>
      </c>
      <c r="M4089">
        <v>0</v>
      </c>
      <c r="N4089">
        <v>232</v>
      </c>
      <c r="O4089" t="s">
        <v>19</v>
      </c>
      <c r="P4089" t="s">
        <v>20</v>
      </c>
      <c r="Q4089">
        <v>20221031</v>
      </c>
    </row>
    <row r="4090" spans="1:17" x14ac:dyDescent="0.25">
      <c r="A4090" t="s">
        <v>715</v>
      </c>
      <c r="B4090" t="s">
        <v>432</v>
      </c>
      <c r="C4090">
        <v>137</v>
      </c>
      <c r="D4090">
        <v>20221024</v>
      </c>
      <c r="E4090">
        <f t="shared" si="63"/>
        <v>10</v>
      </c>
      <c r="F4090">
        <v>401000</v>
      </c>
      <c r="G4090" t="s">
        <v>41</v>
      </c>
      <c r="H4090" t="s">
        <v>2763</v>
      </c>
      <c r="I4090" t="s">
        <v>2764</v>
      </c>
      <c r="J4090" t="s">
        <v>4115</v>
      </c>
      <c r="K4090">
        <v>20221024</v>
      </c>
      <c r="L4090" t="s">
        <v>4116</v>
      </c>
      <c r="M4090">
        <v>45</v>
      </c>
      <c r="N4090">
        <v>0</v>
      </c>
      <c r="O4090" t="s">
        <v>23</v>
      </c>
      <c r="P4090">
        <v>20230324</v>
      </c>
      <c r="Q4090">
        <v>20221024</v>
      </c>
    </row>
    <row r="4091" spans="1:17" x14ac:dyDescent="0.25">
      <c r="A4091" t="s">
        <v>715</v>
      </c>
      <c r="B4091" t="s">
        <v>432</v>
      </c>
      <c r="C4091">
        <v>137</v>
      </c>
      <c r="D4091">
        <v>20221024</v>
      </c>
      <c r="E4091">
        <f t="shared" si="63"/>
        <v>10</v>
      </c>
      <c r="F4091">
        <v>512200</v>
      </c>
      <c r="G4091" t="s">
        <v>432</v>
      </c>
      <c r="H4091" t="s">
        <v>401</v>
      </c>
      <c r="I4091" t="s">
        <v>402</v>
      </c>
      <c r="J4091" t="s">
        <v>4115</v>
      </c>
      <c r="K4091">
        <v>20221024</v>
      </c>
      <c r="L4091" t="s">
        <v>4116</v>
      </c>
      <c r="M4091">
        <v>0</v>
      </c>
      <c r="N4091">
        <v>45</v>
      </c>
      <c r="O4091" t="s">
        <v>19</v>
      </c>
      <c r="P4091" t="s">
        <v>20</v>
      </c>
      <c r="Q4091">
        <v>20221024</v>
      </c>
    </row>
    <row r="4092" spans="1:17" x14ac:dyDescent="0.25">
      <c r="A4092" t="s">
        <v>476</v>
      </c>
      <c r="B4092" t="s">
        <v>477</v>
      </c>
      <c r="C4092">
        <v>153</v>
      </c>
      <c r="D4092">
        <v>20221101</v>
      </c>
      <c r="E4092">
        <f t="shared" si="63"/>
        <v>11</v>
      </c>
      <c r="F4092">
        <v>401000</v>
      </c>
      <c r="G4092" t="s">
        <v>41</v>
      </c>
      <c r="H4092" t="s">
        <v>458</v>
      </c>
      <c r="I4092" t="s">
        <v>459</v>
      </c>
      <c r="J4092" t="s">
        <v>4159</v>
      </c>
      <c r="K4092">
        <v>20221101</v>
      </c>
      <c r="L4092" t="s">
        <v>1378</v>
      </c>
      <c r="M4092">
        <v>669.6</v>
      </c>
      <c r="N4092">
        <v>0</v>
      </c>
      <c r="O4092" t="s">
        <v>23</v>
      </c>
      <c r="P4092">
        <v>20230220</v>
      </c>
      <c r="Q4092">
        <v>20221101</v>
      </c>
    </row>
    <row r="4093" spans="1:17" x14ac:dyDescent="0.25">
      <c r="A4093" t="s">
        <v>476</v>
      </c>
      <c r="B4093" t="s">
        <v>477</v>
      </c>
      <c r="C4093">
        <v>153</v>
      </c>
      <c r="D4093">
        <v>20221101</v>
      </c>
      <c r="E4093">
        <f t="shared" si="63"/>
        <v>11</v>
      </c>
      <c r="F4093">
        <v>512000</v>
      </c>
      <c r="G4093" t="s">
        <v>428</v>
      </c>
      <c r="H4093" t="s">
        <v>401</v>
      </c>
      <c r="I4093" t="s">
        <v>402</v>
      </c>
      <c r="J4093" t="s">
        <v>4159</v>
      </c>
      <c r="K4093">
        <v>20221101</v>
      </c>
      <c r="L4093" t="s">
        <v>1378</v>
      </c>
      <c r="M4093">
        <v>0</v>
      </c>
      <c r="N4093">
        <v>669.6</v>
      </c>
      <c r="O4093" t="s">
        <v>19</v>
      </c>
      <c r="P4093" t="s">
        <v>20</v>
      </c>
      <c r="Q4093">
        <v>20221101</v>
      </c>
    </row>
    <row r="4094" spans="1:17" x14ac:dyDescent="0.25">
      <c r="A4094" t="s">
        <v>476</v>
      </c>
      <c r="B4094" t="s">
        <v>477</v>
      </c>
      <c r="C4094">
        <v>153</v>
      </c>
      <c r="D4094">
        <v>20221102</v>
      </c>
      <c r="E4094">
        <f t="shared" si="63"/>
        <v>11</v>
      </c>
      <c r="F4094">
        <v>627000</v>
      </c>
      <c r="G4094" t="s">
        <v>480</v>
      </c>
      <c r="H4094" t="s">
        <v>401</v>
      </c>
      <c r="I4094" t="s">
        <v>402</v>
      </c>
      <c r="J4094" t="s">
        <v>4160</v>
      </c>
      <c r="K4094">
        <v>20221102</v>
      </c>
      <c r="L4094" t="s">
        <v>1255</v>
      </c>
      <c r="M4094">
        <v>49</v>
      </c>
      <c r="N4094">
        <v>0</v>
      </c>
      <c r="O4094" t="s">
        <v>19</v>
      </c>
      <c r="P4094" t="s">
        <v>20</v>
      </c>
      <c r="Q4094">
        <v>20221102</v>
      </c>
    </row>
    <row r="4095" spans="1:17" x14ac:dyDescent="0.25">
      <c r="A4095" t="s">
        <v>476</v>
      </c>
      <c r="B4095" t="s">
        <v>477</v>
      </c>
      <c r="C4095">
        <v>153</v>
      </c>
      <c r="D4095">
        <v>20221102</v>
      </c>
      <c r="E4095">
        <f t="shared" si="63"/>
        <v>11</v>
      </c>
      <c r="F4095">
        <v>512000</v>
      </c>
      <c r="G4095" t="s">
        <v>428</v>
      </c>
      <c r="H4095" t="s">
        <v>401</v>
      </c>
      <c r="I4095" t="s">
        <v>402</v>
      </c>
      <c r="J4095" t="s">
        <v>4160</v>
      </c>
      <c r="K4095">
        <v>20221102</v>
      </c>
      <c r="L4095" t="s">
        <v>1255</v>
      </c>
      <c r="M4095">
        <v>0</v>
      </c>
      <c r="N4095">
        <v>49</v>
      </c>
      <c r="O4095" t="s">
        <v>19</v>
      </c>
      <c r="P4095" t="s">
        <v>20</v>
      </c>
      <c r="Q4095">
        <v>20221102</v>
      </c>
    </row>
    <row r="4096" spans="1:17" x14ac:dyDescent="0.25">
      <c r="A4096" t="s">
        <v>476</v>
      </c>
      <c r="B4096" t="s">
        <v>477</v>
      </c>
      <c r="C4096">
        <v>153</v>
      </c>
      <c r="D4096">
        <v>20221102</v>
      </c>
      <c r="E4096">
        <f t="shared" si="63"/>
        <v>11</v>
      </c>
      <c r="F4096">
        <v>627000</v>
      </c>
      <c r="G4096" t="s">
        <v>480</v>
      </c>
      <c r="H4096" t="s">
        <v>401</v>
      </c>
      <c r="I4096" t="s">
        <v>402</v>
      </c>
      <c r="J4096" t="s">
        <v>4161</v>
      </c>
      <c r="K4096">
        <v>20221102</v>
      </c>
      <c r="L4096" t="s">
        <v>1255</v>
      </c>
      <c r="M4096">
        <v>15.21</v>
      </c>
      <c r="N4096">
        <v>0</v>
      </c>
      <c r="O4096" t="s">
        <v>19</v>
      </c>
      <c r="P4096" t="s">
        <v>20</v>
      </c>
      <c r="Q4096">
        <v>20221102</v>
      </c>
    </row>
    <row r="4097" spans="1:17" x14ac:dyDescent="0.25">
      <c r="A4097" t="s">
        <v>476</v>
      </c>
      <c r="B4097" t="s">
        <v>477</v>
      </c>
      <c r="C4097">
        <v>153</v>
      </c>
      <c r="D4097">
        <v>20221102</v>
      </c>
      <c r="E4097">
        <f t="shared" si="63"/>
        <v>11</v>
      </c>
      <c r="F4097">
        <v>512000</v>
      </c>
      <c r="G4097" t="s">
        <v>428</v>
      </c>
      <c r="H4097" t="s">
        <v>401</v>
      </c>
      <c r="I4097" t="s">
        <v>402</v>
      </c>
      <c r="J4097" t="s">
        <v>4161</v>
      </c>
      <c r="K4097">
        <v>20221102</v>
      </c>
      <c r="L4097" t="s">
        <v>1255</v>
      </c>
      <c r="M4097">
        <v>0</v>
      </c>
      <c r="N4097">
        <v>15.21</v>
      </c>
      <c r="O4097" t="s">
        <v>19</v>
      </c>
      <c r="P4097" t="s">
        <v>20</v>
      </c>
      <c r="Q4097">
        <v>20221102</v>
      </c>
    </row>
    <row r="4098" spans="1:17" x14ac:dyDescent="0.25">
      <c r="A4098" t="s">
        <v>476</v>
      </c>
      <c r="B4098" t="s">
        <v>477</v>
      </c>
      <c r="C4098">
        <v>153</v>
      </c>
      <c r="D4098">
        <v>20221103</v>
      </c>
      <c r="E4098">
        <f t="shared" si="63"/>
        <v>11</v>
      </c>
      <c r="F4098">
        <v>421000</v>
      </c>
      <c r="G4098" t="s">
        <v>403</v>
      </c>
      <c r="H4098" t="s">
        <v>401</v>
      </c>
      <c r="I4098" t="s">
        <v>402</v>
      </c>
      <c r="J4098" t="s">
        <v>4162</v>
      </c>
      <c r="K4098">
        <v>20221103</v>
      </c>
      <c r="L4098" t="s">
        <v>922</v>
      </c>
      <c r="M4098">
        <v>557.52</v>
      </c>
      <c r="N4098">
        <v>0</v>
      </c>
      <c r="O4098" t="s">
        <v>23</v>
      </c>
      <c r="P4098">
        <v>20230215</v>
      </c>
      <c r="Q4098">
        <v>20221103</v>
      </c>
    </row>
    <row r="4099" spans="1:17" x14ac:dyDescent="0.25">
      <c r="A4099" t="s">
        <v>476</v>
      </c>
      <c r="B4099" t="s">
        <v>477</v>
      </c>
      <c r="C4099">
        <v>153</v>
      </c>
      <c r="D4099">
        <v>20221103</v>
      </c>
      <c r="E4099">
        <f t="shared" ref="E4099:E4162" si="64">VALUE(MID(D4099,5,2))</f>
        <v>11</v>
      </c>
      <c r="F4099">
        <v>512000</v>
      </c>
      <c r="G4099" t="s">
        <v>428</v>
      </c>
      <c r="H4099" t="s">
        <v>401</v>
      </c>
      <c r="I4099" t="s">
        <v>402</v>
      </c>
      <c r="J4099" t="s">
        <v>4162</v>
      </c>
      <c r="K4099">
        <v>20221103</v>
      </c>
      <c r="L4099" t="s">
        <v>922</v>
      </c>
      <c r="M4099">
        <v>0</v>
      </c>
      <c r="N4099">
        <v>557.52</v>
      </c>
      <c r="O4099" t="s">
        <v>19</v>
      </c>
      <c r="P4099" t="s">
        <v>20</v>
      </c>
      <c r="Q4099">
        <v>20221103</v>
      </c>
    </row>
    <row r="4100" spans="1:17" x14ac:dyDescent="0.25">
      <c r="A4100" t="s">
        <v>476</v>
      </c>
      <c r="B4100" t="s">
        <v>477</v>
      </c>
      <c r="C4100">
        <v>153</v>
      </c>
      <c r="D4100">
        <v>20221103</v>
      </c>
      <c r="E4100">
        <f t="shared" si="64"/>
        <v>11</v>
      </c>
      <c r="F4100">
        <v>421000</v>
      </c>
      <c r="G4100" t="s">
        <v>403</v>
      </c>
      <c r="H4100" t="s">
        <v>401</v>
      </c>
      <c r="I4100" t="s">
        <v>402</v>
      </c>
      <c r="J4100" t="s">
        <v>4163</v>
      </c>
      <c r="K4100">
        <v>20221103</v>
      </c>
      <c r="L4100" t="s">
        <v>922</v>
      </c>
      <c r="M4100">
        <v>428.28</v>
      </c>
      <c r="N4100">
        <v>0</v>
      </c>
      <c r="O4100" t="s">
        <v>23</v>
      </c>
      <c r="P4100">
        <v>20230215</v>
      </c>
      <c r="Q4100">
        <v>20221103</v>
      </c>
    </row>
    <row r="4101" spans="1:17" x14ac:dyDescent="0.25">
      <c r="A4101" t="s">
        <v>476</v>
      </c>
      <c r="B4101" t="s">
        <v>477</v>
      </c>
      <c r="C4101">
        <v>153</v>
      </c>
      <c r="D4101">
        <v>20221103</v>
      </c>
      <c r="E4101">
        <f t="shared" si="64"/>
        <v>11</v>
      </c>
      <c r="F4101">
        <v>512000</v>
      </c>
      <c r="G4101" t="s">
        <v>428</v>
      </c>
      <c r="H4101" t="s">
        <v>401</v>
      </c>
      <c r="I4101" t="s">
        <v>402</v>
      </c>
      <c r="J4101" t="s">
        <v>4163</v>
      </c>
      <c r="K4101">
        <v>20221103</v>
      </c>
      <c r="L4101" t="s">
        <v>922</v>
      </c>
      <c r="M4101">
        <v>0</v>
      </c>
      <c r="N4101">
        <v>428.28</v>
      </c>
      <c r="O4101" t="s">
        <v>19</v>
      </c>
      <c r="P4101" t="s">
        <v>20</v>
      </c>
      <c r="Q4101">
        <v>20221103</v>
      </c>
    </row>
    <row r="4102" spans="1:17" x14ac:dyDescent="0.25">
      <c r="A4102" t="s">
        <v>476</v>
      </c>
      <c r="B4102" t="s">
        <v>477</v>
      </c>
      <c r="C4102">
        <v>153</v>
      </c>
      <c r="D4102">
        <v>20221104</v>
      </c>
      <c r="E4102">
        <f t="shared" si="64"/>
        <v>11</v>
      </c>
      <c r="F4102">
        <v>467100</v>
      </c>
      <c r="G4102" t="s">
        <v>160</v>
      </c>
      <c r="H4102" t="s">
        <v>3425</v>
      </c>
      <c r="I4102" t="s">
        <v>3426</v>
      </c>
      <c r="J4102" t="s">
        <v>4164</v>
      </c>
      <c r="K4102">
        <v>20221104</v>
      </c>
      <c r="L4102" t="s">
        <v>127</v>
      </c>
      <c r="M4102">
        <v>720</v>
      </c>
      <c r="N4102">
        <v>0</v>
      </c>
      <c r="O4102" t="s">
        <v>23</v>
      </c>
      <c r="P4102">
        <v>20230206</v>
      </c>
      <c r="Q4102">
        <v>20221104</v>
      </c>
    </row>
    <row r="4103" spans="1:17" x14ac:dyDescent="0.25">
      <c r="A4103" t="s">
        <v>476</v>
      </c>
      <c r="B4103" t="s">
        <v>477</v>
      </c>
      <c r="C4103">
        <v>153</v>
      </c>
      <c r="D4103">
        <v>20221104</v>
      </c>
      <c r="E4103">
        <f t="shared" si="64"/>
        <v>11</v>
      </c>
      <c r="F4103">
        <v>512000</v>
      </c>
      <c r="G4103" t="s">
        <v>428</v>
      </c>
      <c r="H4103" t="s">
        <v>401</v>
      </c>
      <c r="I4103" t="s">
        <v>402</v>
      </c>
      <c r="J4103" t="s">
        <v>4164</v>
      </c>
      <c r="K4103">
        <v>20221104</v>
      </c>
      <c r="L4103" t="s">
        <v>127</v>
      </c>
      <c r="M4103">
        <v>0</v>
      </c>
      <c r="N4103">
        <v>720</v>
      </c>
      <c r="O4103" t="s">
        <v>19</v>
      </c>
      <c r="P4103" t="s">
        <v>20</v>
      </c>
      <c r="Q4103">
        <v>20221104</v>
      </c>
    </row>
    <row r="4104" spans="1:17" x14ac:dyDescent="0.25">
      <c r="A4104" t="s">
        <v>476</v>
      </c>
      <c r="B4104" t="s">
        <v>477</v>
      </c>
      <c r="C4104">
        <v>153</v>
      </c>
      <c r="D4104">
        <v>20221104</v>
      </c>
      <c r="E4104">
        <f t="shared" si="64"/>
        <v>11</v>
      </c>
      <c r="F4104">
        <v>467100</v>
      </c>
      <c r="G4104" t="s">
        <v>160</v>
      </c>
      <c r="H4104" t="s">
        <v>185</v>
      </c>
      <c r="I4104" t="s">
        <v>186</v>
      </c>
      <c r="J4104" t="s">
        <v>4165</v>
      </c>
      <c r="K4104">
        <v>20221104</v>
      </c>
      <c r="L4104" t="s">
        <v>127</v>
      </c>
      <c r="M4104">
        <v>500</v>
      </c>
      <c r="N4104">
        <v>0</v>
      </c>
      <c r="O4104" t="s">
        <v>23</v>
      </c>
      <c r="P4104">
        <v>20230123</v>
      </c>
      <c r="Q4104">
        <v>20221104</v>
      </c>
    </row>
    <row r="4105" spans="1:17" x14ac:dyDescent="0.25">
      <c r="A4105" t="s">
        <v>476</v>
      </c>
      <c r="B4105" t="s">
        <v>477</v>
      </c>
      <c r="C4105">
        <v>153</v>
      </c>
      <c r="D4105">
        <v>20221104</v>
      </c>
      <c r="E4105">
        <f t="shared" si="64"/>
        <v>11</v>
      </c>
      <c r="F4105">
        <v>512000</v>
      </c>
      <c r="G4105" t="s">
        <v>428</v>
      </c>
      <c r="H4105" t="s">
        <v>401</v>
      </c>
      <c r="I4105" t="s">
        <v>402</v>
      </c>
      <c r="J4105" t="s">
        <v>4165</v>
      </c>
      <c r="K4105">
        <v>20221104</v>
      </c>
      <c r="L4105" t="s">
        <v>127</v>
      </c>
      <c r="M4105">
        <v>0</v>
      </c>
      <c r="N4105">
        <v>500</v>
      </c>
      <c r="O4105" t="s">
        <v>19</v>
      </c>
      <c r="P4105" t="s">
        <v>20</v>
      </c>
      <c r="Q4105">
        <v>20221104</v>
      </c>
    </row>
    <row r="4106" spans="1:17" x14ac:dyDescent="0.25">
      <c r="A4106" t="s">
        <v>476</v>
      </c>
      <c r="B4106" t="s">
        <v>477</v>
      </c>
      <c r="C4106">
        <v>153</v>
      </c>
      <c r="D4106">
        <v>20221107</v>
      </c>
      <c r="E4106">
        <f t="shared" si="64"/>
        <v>11</v>
      </c>
      <c r="F4106">
        <v>401000</v>
      </c>
      <c r="G4106" t="s">
        <v>41</v>
      </c>
      <c r="H4106" t="s">
        <v>225</v>
      </c>
      <c r="I4106" t="s">
        <v>226</v>
      </c>
      <c r="J4106" t="s">
        <v>4166</v>
      </c>
      <c r="K4106">
        <v>20221107</v>
      </c>
      <c r="L4106" t="s">
        <v>488</v>
      </c>
      <c r="M4106">
        <v>475.4</v>
      </c>
      <c r="N4106">
        <v>0</v>
      </c>
      <c r="O4106" t="s">
        <v>23</v>
      </c>
      <c r="P4106">
        <v>20230220</v>
      </c>
      <c r="Q4106">
        <v>20221107</v>
      </c>
    </row>
    <row r="4107" spans="1:17" x14ac:dyDescent="0.25">
      <c r="A4107" t="s">
        <v>476</v>
      </c>
      <c r="B4107" t="s">
        <v>477</v>
      </c>
      <c r="C4107">
        <v>153</v>
      </c>
      <c r="D4107">
        <v>20221107</v>
      </c>
      <c r="E4107">
        <f t="shared" si="64"/>
        <v>11</v>
      </c>
      <c r="F4107">
        <v>512000</v>
      </c>
      <c r="G4107" t="s">
        <v>428</v>
      </c>
      <c r="H4107" t="s">
        <v>401</v>
      </c>
      <c r="I4107" t="s">
        <v>402</v>
      </c>
      <c r="J4107" t="s">
        <v>4166</v>
      </c>
      <c r="K4107">
        <v>20221107</v>
      </c>
      <c r="L4107" t="s">
        <v>488</v>
      </c>
      <c r="M4107">
        <v>0</v>
      </c>
      <c r="N4107">
        <v>475.4</v>
      </c>
      <c r="O4107" t="s">
        <v>19</v>
      </c>
      <c r="P4107" t="s">
        <v>20</v>
      </c>
      <c r="Q4107">
        <v>20221107</v>
      </c>
    </row>
    <row r="4108" spans="1:17" x14ac:dyDescent="0.25">
      <c r="A4108" t="s">
        <v>476</v>
      </c>
      <c r="B4108" t="s">
        <v>477</v>
      </c>
      <c r="C4108">
        <v>153</v>
      </c>
      <c r="D4108">
        <v>20221108</v>
      </c>
      <c r="E4108">
        <f t="shared" si="64"/>
        <v>11</v>
      </c>
      <c r="F4108">
        <v>421000</v>
      </c>
      <c r="G4108" t="s">
        <v>403</v>
      </c>
      <c r="H4108" t="s">
        <v>401</v>
      </c>
      <c r="I4108" t="s">
        <v>402</v>
      </c>
      <c r="J4108" t="s">
        <v>4167</v>
      </c>
      <c r="K4108">
        <v>20221108</v>
      </c>
      <c r="L4108" t="s">
        <v>922</v>
      </c>
      <c r="M4108">
        <v>5195.47</v>
      </c>
      <c r="N4108">
        <v>0</v>
      </c>
      <c r="O4108" t="s">
        <v>23</v>
      </c>
      <c r="P4108">
        <v>20230215</v>
      </c>
      <c r="Q4108">
        <v>20221108</v>
      </c>
    </row>
    <row r="4109" spans="1:17" x14ac:dyDescent="0.25">
      <c r="A4109" t="s">
        <v>476</v>
      </c>
      <c r="B4109" t="s">
        <v>477</v>
      </c>
      <c r="C4109">
        <v>153</v>
      </c>
      <c r="D4109">
        <v>20221108</v>
      </c>
      <c r="E4109">
        <f t="shared" si="64"/>
        <v>11</v>
      </c>
      <c r="F4109">
        <v>512000</v>
      </c>
      <c r="G4109" t="s">
        <v>428</v>
      </c>
      <c r="H4109" t="s">
        <v>401</v>
      </c>
      <c r="I4109" t="s">
        <v>402</v>
      </c>
      <c r="J4109" t="s">
        <v>4167</v>
      </c>
      <c r="K4109">
        <v>20221108</v>
      </c>
      <c r="L4109" t="s">
        <v>922</v>
      </c>
      <c r="M4109">
        <v>0</v>
      </c>
      <c r="N4109">
        <v>5195.47</v>
      </c>
      <c r="O4109" t="s">
        <v>19</v>
      </c>
      <c r="P4109" t="s">
        <v>20</v>
      </c>
      <c r="Q4109">
        <v>20221108</v>
      </c>
    </row>
    <row r="4110" spans="1:17" x14ac:dyDescent="0.25">
      <c r="A4110" t="s">
        <v>476</v>
      </c>
      <c r="B4110" t="s">
        <v>477</v>
      </c>
      <c r="C4110">
        <v>153</v>
      </c>
      <c r="D4110">
        <v>20221108</v>
      </c>
      <c r="E4110">
        <f t="shared" si="64"/>
        <v>11</v>
      </c>
      <c r="F4110">
        <v>468200</v>
      </c>
      <c r="G4110" t="s">
        <v>421</v>
      </c>
      <c r="H4110" t="s">
        <v>401</v>
      </c>
      <c r="I4110" t="s">
        <v>402</v>
      </c>
      <c r="J4110" t="s">
        <v>4168</v>
      </c>
      <c r="K4110">
        <v>20221108</v>
      </c>
      <c r="L4110" t="s">
        <v>422</v>
      </c>
      <c r="M4110">
        <v>0</v>
      </c>
      <c r="N4110">
        <v>1162.7</v>
      </c>
      <c r="O4110" t="s">
        <v>19</v>
      </c>
      <c r="P4110" t="s">
        <v>20</v>
      </c>
      <c r="Q4110">
        <v>20221108</v>
      </c>
    </row>
    <row r="4111" spans="1:17" x14ac:dyDescent="0.25">
      <c r="A4111" t="s">
        <v>476</v>
      </c>
      <c r="B4111" t="s">
        <v>477</v>
      </c>
      <c r="C4111">
        <v>153</v>
      </c>
      <c r="D4111">
        <v>20221108</v>
      </c>
      <c r="E4111">
        <f t="shared" si="64"/>
        <v>11</v>
      </c>
      <c r="F4111">
        <v>512000</v>
      </c>
      <c r="G4111" t="s">
        <v>428</v>
      </c>
      <c r="H4111" t="s">
        <v>401</v>
      </c>
      <c r="I4111" t="s">
        <v>402</v>
      </c>
      <c r="J4111" t="s">
        <v>4168</v>
      </c>
      <c r="K4111">
        <v>20221108</v>
      </c>
      <c r="L4111" t="s">
        <v>422</v>
      </c>
      <c r="M4111">
        <v>1162.7</v>
      </c>
      <c r="N4111">
        <v>0</v>
      </c>
      <c r="O4111" t="s">
        <v>19</v>
      </c>
      <c r="P4111" t="s">
        <v>20</v>
      </c>
      <c r="Q4111">
        <v>20221108</v>
      </c>
    </row>
    <row r="4112" spans="1:17" x14ac:dyDescent="0.25">
      <c r="A4112" t="s">
        <v>476</v>
      </c>
      <c r="B4112" t="s">
        <v>477</v>
      </c>
      <c r="C4112">
        <v>153</v>
      </c>
      <c r="D4112">
        <v>20221108</v>
      </c>
      <c r="E4112">
        <f t="shared" si="64"/>
        <v>11</v>
      </c>
      <c r="F4112">
        <v>468200</v>
      </c>
      <c r="G4112" t="s">
        <v>421</v>
      </c>
      <c r="H4112" t="s">
        <v>401</v>
      </c>
      <c r="I4112" t="s">
        <v>402</v>
      </c>
      <c r="J4112" t="s">
        <v>4169</v>
      </c>
      <c r="K4112">
        <v>20221108</v>
      </c>
      <c r="L4112" t="s">
        <v>422</v>
      </c>
      <c r="M4112">
        <v>0</v>
      </c>
      <c r="N4112">
        <v>5263.02</v>
      </c>
      <c r="O4112" t="s">
        <v>19</v>
      </c>
      <c r="P4112" t="s">
        <v>20</v>
      </c>
      <c r="Q4112">
        <v>20221108</v>
      </c>
    </row>
    <row r="4113" spans="1:17" x14ac:dyDescent="0.25">
      <c r="A4113" t="s">
        <v>476</v>
      </c>
      <c r="B4113" t="s">
        <v>477</v>
      </c>
      <c r="C4113">
        <v>153</v>
      </c>
      <c r="D4113">
        <v>20221108</v>
      </c>
      <c r="E4113">
        <f t="shared" si="64"/>
        <v>11</v>
      </c>
      <c r="F4113">
        <v>512000</v>
      </c>
      <c r="G4113" t="s">
        <v>428</v>
      </c>
      <c r="H4113" t="s">
        <v>401</v>
      </c>
      <c r="I4113" t="s">
        <v>402</v>
      </c>
      <c r="J4113" t="s">
        <v>4169</v>
      </c>
      <c r="K4113">
        <v>20221108</v>
      </c>
      <c r="L4113" t="s">
        <v>422</v>
      </c>
      <c r="M4113">
        <v>5263.02</v>
      </c>
      <c r="N4113">
        <v>0</v>
      </c>
      <c r="O4113" t="s">
        <v>19</v>
      </c>
      <c r="P4113" t="s">
        <v>20</v>
      </c>
      <c r="Q4113">
        <v>20221108</v>
      </c>
    </row>
    <row r="4114" spans="1:17" x14ac:dyDescent="0.25">
      <c r="A4114" t="s">
        <v>476</v>
      </c>
      <c r="B4114" t="s">
        <v>477</v>
      </c>
      <c r="C4114">
        <v>153</v>
      </c>
      <c r="D4114">
        <v>20221109</v>
      </c>
      <c r="E4114">
        <f t="shared" si="64"/>
        <v>11</v>
      </c>
      <c r="F4114">
        <v>401000</v>
      </c>
      <c r="G4114" t="s">
        <v>41</v>
      </c>
      <c r="H4114" t="s">
        <v>42</v>
      </c>
      <c r="I4114" t="s">
        <v>43</v>
      </c>
      <c r="J4114" t="s">
        <v>4170</v>
      </c>
      <c r="K4114">
        <v>20221109</v>
      </c>
      <c r="L4114" t="s">
        <v>163</v>
      </c>
      <c r="M4114">
        <v>677.1</v>
      </c>
      <c r="N4114">
        <v>0</v>
      </c>
      <c r="O4114" t="s">
        <v>22</v>
      </c>
      <c r="P4114">
        <v>20221109</v>
      </c>
      <c r="Q4114">
        <v>20221109</v>
      </c>
    </row>
    <row r="4115" spans="1:17" x14ac:dyDescent="0.25">
      <c r="A4115" t="s">
        <v>476</v>
      </c>
      <c r="B4115" t="s">
        <v>477</v>
      </c>
      <c r="C4115">
        <v>153</v>
      </c>
      <c r="D4115">
        <v>20221109</v>
      </c>
      <c r="E4115">
        <f t="shared" si="64"/>
        <v>11</v>
      </c>
      <c r="F4115">
        <v>401000</v>
      </c>
      <c r="G4115" t="s">
        <v>41</v>
      </c>
      <c r="H4115" t="s">
        <v>462</v>
      </c>
      <c r="I4115" t="s">
        <v>463</v>
      </c>
      <c r="J4115" t="s">
        <v>4170</v>
      </c>
      <c r="K4115">
        <v>20221109</v>
      </c>
      <c r="L4115" t="s">
        <v>163</v>
      </c>
      <c r="M4115">
        <v>926.77</v>
      </c>
      <c r="N4115">
        <v>0</v>
      </c>
      <c r="O4115" t="s">
        <v>22</v>
      </c>
      <c r="P4115">
        <v>20221109</v>
      </c>
      <c r="Q4115">
        <v>20221109</v>
      </c>
    </row>
    <row r="4116" spans="1:17" x14ac:dyDescent="0.25">
      <c r="A4116" t="s">
        <v>476</v>
      </c>
      <c r="B4116" t="s">
        <v>477</v>
      </c>
      <c r="C4116">
        <v>153</v>
      </c>
      <c r="D4116">
        <v>20221109</v>
      </c>
      <c r="E4116">
        <f t="shared" si="64"/>
        <v>11</v>
      </c>
      <c r="F4116">
        <v>401000</v>
      </c>
      <c r="G4116" t="s">
        <v>41</v>
      </c>
      <c r="H4116" t="s">
        <v>99</v>
      </c>
      <c r="I4116" t="s">
        <v>100</v>
      </c>
      <c r="J4116" t="s">
        <v>4170</v>
      </c>
      <c r="K4116">
        <v>20221109</v>
      </c>
      <c r="L4116" t="s">
        <v>163</v>
      </c>
      <c r="M4116">
        <v>2962.56</v>
      </c>
      <c r="N4116">
        <v>0</v>
      </c>
      <c r="O4116" t="s">
        <v>22</v>
      </c>
      <c r="P4116">
        <v>20221109</v>
      </c>
      <c r="Q4116">
        <v>20221109</v>
      </c>
    </row>
    <row r="4117" spans="1:17" x14ac:dyDescent="0.25">
      <c r="A4117" t="s">
        <v>476</v>
      </c>
      <c r="B4117" t="s">
        <v>477</v>
      </c>
      <c r="C4117">
        <v>153</v>
      </c>
      <c r="D4117">
        <v>20221109</v>
      </c>
      <c r="E4117">
        <f t="shared" si="64"/>
        <v>11</v>
      </c>
      <c r="F4117">
        <v>401000</v>
      </c>
      <c r="G4117" t="s">
        <v>41</v>
      </c>
      <c r="H4117" t="s">
        <v>474</v>
      </c>
      <c r="I4117" t="s">
        <v>475</v>
      </c>
      <c r="J4117" t="s">
        <v>4170</v>
      </c>
      <c r="K4117">
        <v>20221109</v>
      </c>
      <c r="L4117" t="s">
        <v>163</v>
      </c>
      <c r="M4117">
        <v>320</v>
      </c>
      <c r="N4117">
        <v>0</v>
      </c>
      <c r="O4117" t="s">
        <v>22</v>
      </c>
      <c r="P4117">
        <v>20221109</v>
      </c>
      <c r="Q4117">
        <v>20221109</v>
      </c>
    </row>
    <row r="4118" spans="1:17" x14ac:dyDescent="0.25">
      <c r="A4118" t="s">
        <v>476</v>
      </c>
      <c r="B4118" t="s">
        <v>477</v>
      </c>
      <c r="C4118">
        <v>153</v>
      </c>
      <c r="D4118">
        <v>20221109</v>
      </c>
      <c r="E4118">
        <f t="shared" si="64"/>
        <v>11</v>
      </c>
      <c r="F4118">
        <v>401000</v>
      </c>
      <c r="G4118" t="s">
        <v>41</v>
      </c>
      <c r="H4118" t="s">
        <v>443</v>
      </c>
      <c r="I4118" t="s">
        <v>444</v>
      </c>
      <c r="J4118" t="s">
        <v>4170</v>
      </c>
      <c r="K4118">
        <v>20221109</v>
      </c>
      <c r="L4118" t="s">
        <v>163</v>
      </c>
      <c r="M4118">
        <v>2309.4899999999998</v>
      </c>
      <c r="N4118">
        <v>0</v>
      </c>
      <c r="O4118" t="s">
        <v>22</v>
      </c>
      <c r="P4118">
        <v>20221109</v>
      </c>
      <c r="Q4118">
        <v>20221109</v>
      </c>
    </row>
    <row r="4119" spans="1:17" x14ac:dyDescent="0.25">
      <c r="A4119" t="s">
        <v>476</v>
      </c>
      <c r="B4119" t="s">
        <v>477</v>
      </c>
      <c r="C4119">
        <v>153</v>
      </c>
      <c r="D4119">
        <v>20221109</v>
      </c>
      <c r="E4119">
        <f t="shared" si="64"/>
        <v>11</v>
      </c>
      <c r="F4119">
        <v>401000</v>
      </c>
      <c r="G4119" t="s">
        <v>41</v>
      </c>
      <c r="H4119" t="s">
        <v>834</v>
      </c>
      <c r="I4119" t="s">
        <v>835</v>
      </c>
      <c r="J4119" t="s">
        <v>4170</v>
      </c>
      <c r="K4119">
        <v>20221109</v>
      </c>
      <c r="L4119" t="s">
        <v>163</v>
      </c>
      <c r="M4119">
        <v>2790</v>
      </c>
      <c r="N4119">
        <v>0</v>
      </c>
      <c r="O4119" t="s">
        <v>22</v>
      </c>
      <c r="P4119">
        <v>20221109</v>
      </c>
      <c r="Q4119">
        <v>20221109</v>
      </c>
    </row>
    <row r="4120" spans="1:17" x14ac:dyDescent="0.25">
      <c r="A4120" t="s">
        <v>476</v>
      </c>
      <c r="B4120" t="s">
        <v>477</v>
      </c>
      <c r="C4120">
        <v>153</v>
      </c>
      <c r="D4120">
        <v>20221109</v>
      </c>
      <c r="E4120">
        <f t="shared" si="64"/>
        <v>11</v>
      </c>
      <c r="F4120">
        <v>401000</v>
      </c>
      <c r="G4120" t="s">
        <v>41</v>
      </c>
      <c r="H4120" t="s">
        <v>1659</v>
      </c>
      <c r="I4120" t="s">
        <v>1660</v>
      </c>
      <c r="J4120" t="s">
        <v>4170</v>
      </c>
      <c r="K4120">
        <v>20221109</v>
      </c>
      <c r="L4120" t="s">
        <v>163</v>
      </c>
      <c r="M4120">
        <v>150</v>
      </c>
      <c r="N4120">
        <v>0</v>
      </c>
      <c r="O4120" t="s">
        <v>22</v>
      </c>
      <c r="P4120">
        <v>20221109</v>
      </c>
      <c r="Q4120">
        <v>20221109</v>
      </c>
    </row>
    <row r="4121" spans="1:17" x14ac:dyDescent="0.25">
      <c r="A4121" t="s">
        <v>476</v>
      </c>
      <c r="B4121" t="s">
        <v>477</v>
      </c>
      <c r="C4121">
        <v>153</v>
      </c>
      <c r="D4121">
        <v>20221109</v>
      </c>
      <c r="E4121">
        <f t="shared" si="64"/>
        <v>11</v>
      </c>
      <c r="F4121">
        <v>512000</v>
      </c>
      <c r="G4121" t="s">
        <v>428</v>
      </c>
      <c r="H4121" t="s">
        <v>401</v>
      </c>
      <c r="I4121" t="s">
        <v>402</v>
      </c>
      <c r="J4121" t="s">
        <v>4170</v>
      </c>
      <c r="K4121">
        <v>20221109</v>
      </c>
      <c r="L4121" t="s">
        <v>163</v>
      </c>
      <c r="M4121">
        <v>0</v>
      </c>
      <c r="N4121">
        <v>10135.92</v>
      </c>
      <c r="O4121" t="s">
        <v>19</v>
      </c>
      <c r="P4121" t="s">
        <v>20</v>
      </c>
      <c r="Q4121">
        <v>20221109</v>
      </c>
    </row>
    <row r="4122" spans="1:17" x14ac:dyDescent="0.25">
      <c r="A4122" t="s">
        <v>476</v>
      </c>
      <c r="B4122" t="s">
        <v>477</v>
      </c>
      <c r="C4122">
        <v>153</v>
      </c>
      <c r="D4122">
        <v>20221109</v>
      </c>
      <c r="E4122">
        <f t="shared" si="64"/>
        <v>11</v>
      </c>
      <c r="F4122">
        <v>467100</v>
      </c>
      <c r="G4122" t="s">
        <v>160</v>
      </c>
      <c r="H4122" t="s">
        <v>164</v>
      </c>
      <c r="I4122" t="s">
        <v>165</v>
      </c>
      <c r="J4122" t="s">
        <v>4171</v>
      </c>
      <c r="K4122">
        <v>20221109</v>
      </c>
      <c r="L4122" t="s">
        <v>127</v>
      </c>
      <c r="M4122">
        <v>500</v>
      </c>
      <c r="N4122">
        <v>0</v>
      </c>
      <c r="O4122" t="s">
        <v>23</v>
      </c>
      <c r="P4122">
        <v>20230123</v>
      </c>
      <c r="Q4122">
        <v>20221109</v>
      </c>
    </row>
    <row r="4123" spans="1:17" x14ac:dyDescent="0.25">
      <c r="A4123" t="s">
        <v>476</v>
      </c>
      <c r="B4123" t="s">
        <v>477</v>
      </c>
      <c r="C4123">
        <v>153</v>
      </c>
      <c r="D4123">
        <v>20221109</v>
      </c>
      <c r="E4123">
        <f t="shared" si="64"/>
        <v>11</v>
      </c>
      <c r="F4123">
        <v>512000</v>
      </c>
      <c r="G4123" t="s">
        <v>428</v>
      </c>
      <c r="H4123" t="s">
        <v>401</v>
      </c>
      <c r="I4123" t="s">
        <v>402</v>
      </c>
      <c r="J4123" t="s">
        <v>4171</v>
      </c>
      <c r="K4123">
        <v>20221109</v>
      </c>
      <c r="L4123" t="s">
        <v>127</v>
      </c>
      <c r="M4123">
        <v>0</v>
      </c>
      <c r="N4123">
        <v>500</v>
      </c>
      <c r="O4123" t="s">
        <v>19</v>
      </c>
      <c r="P4123" t="s">
        <v>20</v>
      </c>
      <c r="Q4123">
        <v>20221109</v>
      </c>
    </row>
    <row r="4124" spans="1:17" x14ac:dyDescent="0.25">
      <c r="A4124" t="s">
        <v>476</v>
      </c>
      <c r="B4124" t="s">
        <v>477</v>
      </c>
      <c r="C4124">
        <v>153</v>
      </c>
      <c r="D4124">
        <v>20221109</v>
      </c>
      <c r="E4124">
        <f t="shared" si="64"/>
        <v>11</v>
      </c>
      <c r="F4124">
        <v>421000</v>
      </c>
      <c r="G4124" t="s">
        <v>403</v>
      </c>
      <c r="H4124" t="s">
        <v>401</v>
      </c>
      <c r="I4124" t="s">
        <v>402</v>
      </c>
      <c r="J4124" t="s">
        <v>4172</v>
      </c>
      <c r="K4124">
        <v>20221109</v>
      </c>
      <c r="L4124" t="s">
        <v>922</v>
      </c>
      <c r="M4124">
        <v>4404.88</v>
      </c>
      <c r="N4124">
        <v>0</v>
      </c>
      <c r="O4124" t="s">
        <v>23</v>
      </c>
      <c r="P4124">
        <v>20230217</v>
      </c>
      <c r="Q4124">
        <v>20221109</v>
      </c>
    </row>
    <row r="4125" spans="1:17" x14ac:dyDescent="0.25">
      <c r="A4125" t="s">
        <v>476</v>
      </c>
      <c r="B4125" t="s">
        <v>477</v>
      </c>
      <c r="C4125">
        <v>153</v>
      </c>
      <c r="D4125">
        <v>20221109</v>
      </c>
      <c r="E4125">
        <f t="shared" si="64"/>
        <v>11</v>
      </c>
      <c r="F4125">
        <v>512000</v>
      </c>
      <c r="G4125" t="s">
        <v>428</v>
      </c>
      <c r="H4125" t="s">
        <v>401</v>
      </c>
      <c r="I4125" t="s">
        <v>402</v>
      </c>
      <c r="J4125" t="s">
        <v>4172</v>
      </c>
      <c r="K4125">
        <v>20221109</v>
      </c>
      <c r="L4125" t="s">
        <v>922</v>
      </c>
      <c r="M4125">
        <v>0</v>
      </c>
      <c r="N4125">
        <v>4404.88</v>
      </c>
      <c r="O4125" t="s">
        <v>19</v>
      </c>
      <c r="P4125" t="s">
        <v>20</v>
      </c>
      <c r="Q4125">
        <v>20221109</v>
      </c>
    </row>
    <row r="4126" spans="1:17" x14ac:dyDescent="0.25">
      <c r="A4126" t="s">
        <v>476</v>
      </c>
      <c r="B4126" t="s">
        <v>477</v>
      </c>
      <c r="C4126">
        <v>153</v>
      </c>
      <c r="D4126">
        <v>20221110</v>
      </c>
      <c r="E4126">
        <f t="shared" si="64"/>
        <v>11</v>
      </c>
      <c r="F4126">
        <v>411100</v>
      </c>
      <c r="G4126" t="s">
        <v>18</v>
      </c>
      <c r="H4126" t="s">
        <v>4131</v>
      </c>
      <c r="I4126" t="s">
        <v>4132</v>
      </c>
      <c r="J4126" t="s">
        <v>4173</v>
      </c>
      <c r="K4126">
        <v>20221110</v>
      </c>
      <c r="L4126" t="s">
        <v>127</v>
      </c>
      <c r="M4126">
        <v>142.30000000000001</v>
      </c>
      <c r="N4126">
        <v>0</v>
      </c>
      <c r="O4126" t="s">
        <v>23</v>
      </c>
      <c r="P4126">
        <v>20221110</v>
      </c>
      <c r="Q4126">
        <v>20221110</v>
      </c>
    </row>
    <row r="4127" spans="1:17" x14ac:dyDescent="0.25">
      <c r="A4127" t="s">
        <v>476</v>
      </c>
      <c r="B4127" t="s">
        <v>477</v>
      </c>
      <c r="C4127">
        <v>153</v>
      </c>
      <c r="D4127">
        <v>20221110</v>
      </c>
      <c r="E4127">
        <f t="shared" si="64"/>
        <v>11</v>
      </c>
      <c r="F4127">
        <v>512000</v>
      </c>
      <c r="G4127" t="s">
        <v>428</v>
      </c>
      <c r="H4127" t="s">
        <v>401</v>
      </c>
      <c r="I4127" t="s">
        <v>402</v>
      </c>
      <c r="J4127" t="s">
        <v>4173</v>
      </c>
      <c r="K4127">
        <v>20221110</v>
      </c>
      <c r="L4127" t="s">
        <v>127</v>
      </c>
      <c r="M4127">
        <v>0</v>
      </c>
      <c r="N4127">
        <v>142.30000000000001</v>
      </c>
      <c r="O4127" t="s">
        <v>19</v>
      </c>
      <c r="P4127" t="s">
        <v>20</v>
      </c>
      <c r="Q4127">
        <v>20221110</v>
      </c>
    </row>
    <row r="4128" spans="1:17" x14ac:dyDescent="0.25">
      <c r="A4128" t="s">
        <v>476</v>
      </c>
      <c r="B4128" t="s">
        <v>477</v>
      </c>
      <c r="C4128">
        <v>153</v>
      </c>
      <c r="D4128">
        <v>20221110</v>
      </c>
      <c r="E4128">
        <f t="shared" si="64"/>
        <v>11</v>
      </c>
      <c r="F4128">
        <v>411100</v>
      </c>
      <c r="G4128" t="s">
        <v>18</v>
      </c>
      <c r="H4128" t="s">
        <v>4131</v>
      </c>
      <c r="I4128" t="s">
        <v>4132</v>
      </c>
      <c r="J4128">
        <v>360572</v>
      </c>
      <c r="K4128">
        <v>20221110</v>
      </c>
      <c r="L4128" t="s">
        <v>4174</v>
      </c>
      <c r="M4128">
        <v>132.30000000000001</v>
      </c>
      <c r="N4128">
        <v>0</v>
      </c>
      <c r="O4128" t="s">
        <v>23</v>
      </c>
      <c r="P4128">
        <v>20221114</v>
      </c>
      <c r="Q4128">
        <v>20221110</v>
      </c>
    </row>
    <row r="4129" spans="1:17" x14ac:dyDescent="0.25">
      <c r="A4129" t="s">
        <v>476</v>
      </c>
      <c r="B4129" t="s">
        <v>477</v>
      </c>
      <c r="C4129">
        <v>153</v>
      </c>
      <c r="D4129">
        <v>20221110</v>
      </c>
      <c r="E4129">
        <f t="shared" si="64"/>
        <v>11</v>
      </c>
      <c r="F4129">
        <v>512000</v>
      </c>
      <c r="G4129" t="s">
        <v>428</v>
      </c>
      <c r="H4129" t="s">
        <v>401</v>
      </c>
      <c r="I4129" t="s">
        <v>402</v>
      </c>
      <c r="J4129">
        <v>360573</v>
      </c>
      <c r="K4129">
        <v>20221110</v>
      </c>
      <c r="L4129" t="s">
        <v>4174</v>
      </c>
      <c r="M4129">
        <v>0</v>
      </c>
      <c r="N4129">
        <v>132.30000000000001</v>
      </c>
      <c r="O4129" t="s">
        <v>19</v>
      </c>
      <c r="P4129" t="s">
        <v>20</v>
      </c>
      <c r="Q4129">
        <v>20221110</v>
      </c>
    </row>
    <row r="4130" spans="1:17" x14ac:dyDescent="0.25">
      <c r="A4130" t="s">
        <v>476</v>
      </c>
      <c r="B4130" t="s">
        <v>477</v>
      </c>
      <c r="C4130">
        <v>153</v>
      </c>
      <c r="D4130">
        <v>20221110</v>
      </c>
      <c r="E4130">
        <f t="shared" si="64"/>
        <v>11</v>
      </c>
      <c r="F4130">
        <v>421000</v>
      </c>
      <c r="G4130" t="s">
        <v>403</v>
      </c>
      <c r="H4130" t="s">
        <v>401</v>
      </c>
      <c r="I4130" t="s">
        <v>402</v>
      </c>
      <c r="J4130" t="s">
        <v>4175</v>
      </c>
      <c r="K4130">
        <v>20221110</v>
      </c>
      <c r="L4130" t="s">
        <v>4176</v>
      </c>
      <c r="M4130">
        <v>0</v>
      </c>
      <c r="N4130">
        <v>362.03</v>
      </c>
      <c r="O4130" t="s">
        <v>23</v>
      </c>
      <c r="P4130">
        <v>20230215</v>
      </c>
      <c r="Q4130">
        <v>20221110</v>
      </c>
    </row>
    <row r="4131" spans="1:17" x14ac:dyDescent="0.25">
      <c r="A4131" t="s">
        <v>476</v>
      </c>
      <c r="B4131" t="s">
        <v>477</v>
      </c>
      <c r="C4131">
        <v>153</v>
      </c>
      <c r="D4131">
        <v>20221110</v>
      </c>
      <c r="E4131">
        <f t="shared" si="64"/>
        <v>11</v>
      </c>
      <c r="F4131">
        <v>512000</v>
      </c>
      <c r="G4131" t="s">
        <v>428</v>
      </c>
      <c r="H4131" t="s">
        <v>401</v>
      </c>
      <c r="I4131" t="s">
        <v>402</v>
      </c>
      <c r="J4131" t="s">
        <v>4175</v>
      </c>
      <c r="K4131">
        <v>20221110</v>
      </c>
      <c r="L4131" t="s">
        <v>4176</v>
      </c>
      <c r="M4131">
        <v>362.03</v>
      </c>
      <c r="N4131">
        <v>0</v>
      </c>
      <c r="O4131" t="s">
        <v>19</v>
      </c>
      <c r="P4131" t="s">
        <v>20</v>
      </c>
      <c r="Q4131">
        <v>20221110</v>
      </c>
    </row>
    <row r="4132" spans="1:17" x14ac:dyDescent="0.25">
      <c r="A4132" t="s">
        <v>476</v>
      </c>
      <c r="B4132" t="s">
        <v>477</v>
      </c>
      <c r="C4132">
        <v>153</v>
      </c>
      <c r="D4132">
        <v>20221111</v>
      </c>
      <c r="E4132">
        <f t="shared" si="64"/>
        <v>11</v>
      </c>
      <c r="F4132">
        <v>421000</v>
      </c>
      <c r="G4132" t="s">
        <v>403</v>
      </c>
      <c r="H4132" t="s">
        <v>401</v>
      </c>
      <c r="I4132" t="s">
        <v>402</v>
      </c>
      <c r="J4132" t="s">
        <v>4177</v>
      </c>
      <c r="K4132">
        <v>20221111</v>
      </c>
      <c r="L4132" t="s">
        <v>4176</v>
      </c>
      <c r="M4132">
        <v>0</v>
      </c>
      <c r="N4132">
        <v>334.65</v>
      </c>
      <c r="O4132" t="s">
        <v>23</v>
      </c>
      <c r="P4132">
        <v>20230215</v>
      </c>
      <c r="Q4132">
        <v>20221111</v>
      </c>
    </row>
    <row r="4133" spans="1:17" x14ac:dyDescent="0.25">
      <c r="A4133" t="s">
        <v>476</v>
      </c>
      <c r="B4133" t="s">
        <v>477</v>
      </c>
      <c r="C4133">
        <v>153</v>
      </c>
      <c r="D4133">
        <v>20221111</v>
      </c>
      <c r="E4133">
        <f t="shared" si="64"/>
        <v>11</v>
      </c>
      <c r="F4133">
        <v>512000</v>
      </c>
      <c r="G4133" t="s">
        <v>428</v>
      </c>
      <c r="H4133" t="s">
        <v>401</v>
      </c>
      <c r="I4133" t="s">
        <v>402</v>
      </c>
      <c r="J4133" t="s">
        <v>4177</v>
      </c>
      <c r="K4133">
        <v>20221111</v>
      </c>
      <c r="L4133" t="s">
        <v>4176</v>
      </c>
      <c r="M4133">
        <v>334.65</v>
      </c>
      <c r="N4133">
        <v>0</v>
      </c>
      <c r="O4133" t="s">
        <v>19</v>
      </c>
      <c r="P4133" t="s">
        <v>20</v>
      </c>
      <c r="Q4133">
        <v>20221111</v>
      </c>
    </row>
    <row r="4134" spans="1:17" x14ac:dyDescent="0.25">
      <c r="A4134" t="s">
        <v>476</v>
      </c>
      <c r="B4134" t="s">
        <v>477</v>
      </c>
      <c r="C4134">
        <v>153</v>
      </c>
      <c r="D4134">
        <v>20221114</v>
      </c>
      <c r="E4134">
        <f t="shared" si="64"/>
        <v>11</v>
      </c>
      <c r="F4134">
        <v>437000</v>
      </c>
      <c r="G4134" t="s">
        <v>430</v>
      </c>
      <c r="H4134" t="s">
        <v>401</v>
      </c>
      <c r="I4134" t="s">
        <v>402</v>
      </c>
      <c r="J4134" t="s">
        <v>4178</v>
      </c>
      <c r="K4134">
        <v>20221114</v>
      </c>
      <c r="L4134" t="s">
        <v>497</v>
      </c>
      <c r="M4134">
        <v>1481.92</v>
      </c>
      <c r="N4134">
        <v>0</v>
      </c>
      <c r="O4134" t="s">
        <v>19</v>
      </c>
      <c r="P4134" t="s">
        <v>20</v>
      </c>
      <c r="Q4134">
        <v>20221114</v>
      </c>
    </row>
    <row r="4135" spans="1:17" x14ac:dyDescent="0.25">
      <c r="A4135" t="s">
        <v>476</v>
      </c>
      <c r="B4135" t="s">
        <v>477</v>
      </c>
      <c r="C4135">
        <v>153</v>
      </c>
      <c r="D4135">
        <v>20221114</v>
      </c>
      <c r="E4135">
        <f t="shared" si="64"/>
        <v>11</v>
      </c>
      <c r="F4135">
        <v>512000</v>
      </c>
      <c r="G4135" t="s">
        <v>428</v>
      </c>
      <c r="H4135" t="s">
        <v>401</v>
      </c>
      <c r="I4135" t="s">
        <v>402</v>
      </c>
      <c r="J4135" t="s">
        <v>4178</v>
      </c>
      <c r="K4135">
        <v>20221114</v>
      </c>
      <c r="L4135" t="s">
        <v>497</v>
      </c>
      <c r="M4135">
        <v>0</v>
      </c>
      <c r="N4135">
        <v>1481.92</v>
      </c>
      <c r="O4135" t="s">
        <v>19</v>
      </c>
      <c r="P4135" t="s">
        <v>20</v>
      </c>
      <c r="Q4135">
        <v>20221114</v>
      </c>
    </row>
    <row r="4136" spans="1:17" x14ac:dyDescent="0.25">
      <c r="A4136" t="s">
        <v>476</v>
      </c>
      <c r="B4136" t="s">
        <v>477</v>
      </c>
      <c r="C4136">
        <v>153</v>
      </c>
      <c r="D4136">
        <v>20221116</v>
      </c>
      <c r="E4136">
        <f t="shared" si="64"/>
        <v>11</v>
      </c>
      <c r="F4136">
        <v>431000</v>
      </c>
      <c r="G4136" t="s">
        <v>408</v>
      </c>
      <c r="H4136" t="s">
        <v>401</v>
      </c>
      <c r="I4136" t="s">
        <v>402</v>
      </c>
      <c r="J4136" t="s">
        <v>4179</v>
      </c>
      <c r="K4136">
        <v>20221116</v>
      </c>
      <c r="L4136" t="s">
        <v>409</v>
      </c>
      <c r="M4136">
        <v>27326</v>
      </c>
      <c r="N4136">
        <v>0</v>
      </c>
      <c r="O4136" t="s">
        <v>23</v>
      </c>
      <c r="P4136">
        <v>20230218</v>
      </c>
      <c r="Q4136">
        <v>20221116</v>
      </c>
    </row>
    <row r="4137" spans="1:17" x14ac:dyDescent="0.25">
      <c r="A4137" t="s">
        <v>476</v>
      </c>
      <c r="B4137" t="s">
        <v>477</v>
      </c>
      <c r="C4137">
        <v>153</v>
      </c>
      <c r="D4137">
        <v>20221116</v>
      </c>
      <c r="E4137">
        <f t="shared" si="64"/>
        <v>11</v>
      </c>
      <c r="F4137">
        <v>512000</v>
      </c>
      <c r="G4137" t="s">
        <v>428</v>
      </c>
      <c r="H4137" t="s">
        <v>401</v>
      </c>
      <c r="I4137" t="s">
        <v>402</v>
      </c>
      <c r="J4137" t="s">
        <v>4179</v>
      </c>
      <c r="K4137">
        <v>20221116</v>
      </c>
      <c r="L4137" t="s">
        <v>409</v>
      </c>
      <c r="M4137">
        <v>0</v>
      </c>
      <c r="N4137">
        <v>27326</v>
      </c>
      <c r="O4137" t="s">
        <v>19</v>
      </c>
      <c r="P4137" t="s">
        <v>20</v>
      </c>
      <c r="Q4137">
        <v>20221116</v>
      </c>
    </row>
    <row r="4138" spans="1:17" x14ac:dyDescent="0.25">
      <c r="A4138" t="s">
        <v>476</v>
      </c>
      <c r="B4138" t="s">
        <v>477</v>
      </c>
      <c r="C4138">
        <v>153</v>
      </c>
      <c r="D4138">
        <v>20221116</v>
      </c>
      <c r="E4138">
        <f t="shared" si="64"/>
        <v>11</v>
      </c>
      <c r="F4138">
        <v>445055</v>
      </c>
      <c r="G4138" t="s">
        <v>3441</v>
      </c>
      <c r="H4138" t="s">
        <v>401</v>
      </c>
      <c r="I4138" t="s">
        <v>402</v>
      </c>
      <c r="J4138" t="s">
        <v>4180</v>
      </c>
      <c r="K4138">
        <v>20221116</v>
      </c>
      <c r="L4138" t="s">
        <v>3695</v>
      </c>
      <c r="M4138">
        <v>0</v>
      </c>
      <c r="N4138">
        <v>995</v>
      </c>
      <c r="O4138" t="s">
        <v>23</v>
      </c>
      <c r="P4138">
        <v>20230217</v>
      </c>
      <c r="Q4138">
        <v>20221116</v>
      </c>
    </row>
    <row r="4139" spans="1:17" x14ac:dyDescent="0.25">
      <c r="A4139" t="s">
        <v>476</v>
      </c>
      <c r="B4139" t="s">
        <v>477</v>
      </c>
      <c r="C4139">
        <v>153</v>
      </c>
      <c r="D4139">
        <v>20221116</v>
      </c>
      <c r="E4139">
        <f t="shared" si="64"/>
        <v>11</v>
      </c>
      <c r="F4139">
        <v>512000</v>
      </c>
      <c r="G4139" t="s">
        <v>428</v>
      </c>
      <c r="H4139" t="s">
        <v>401</v>
      </c>
      <c r="I4139" t="s">
        <v>402</v>
      </c>
      <c r="J4139" t="s">
        <v>4180</v>
      </c>
      <c r="K4139">
        <v>20221116</v>
      </c>
      <c r="L4139" t="s">
        <v>3695</v>
      </c>
      <c r="M4139">
        <v>995</v>
      </c>
      <c r="N4139">
        <v>0</v>
      </c>
      <c r="O4139" t="s">
        <v>19</v>
      </c>
      <c r="P4139" t="s">
        <v>20</v>
      </c>
      <c r="Q4139">
        <v>20221116</v>
      </c>
    </row>
    <row r="4140" spans="1:17" x14ac:dyDescent="0.25">
      <c r="A4140" t="s">
        <v>476</v>
      </c>
      <c r="B4140" t="s">
        <v>477</v>
      </c>
      <c r="C4140">
        <v>153</v>
      </c>
      <c r="D4140">
        <v>20221116</v>
      </c>
      <c r="E4140">
        <f t="shared" si="64"/>
        <v>11</v>
      </c>
      <c r="F4140">
        <v>447000</v>
      </c>
      <c r="G4140" t="s">
        <v>419</v>
      </c>
      <c r="H4140" t="s">
        <v>401</v>
      </c>
      <c r="I4140" t="s">
        <v>402</v>
      </c>
      <c r="J4140" t="s">
        <v>4181</v>
      </c>
      <c r="K4140">
        <v>20221116</v>
      </c>
      <c r="L4140" t="s">
        <v>898</v>
      </c>
      <c r="M4140">
        <v>5327</v>
      </c>
      <c r="N4140">
        <v>0</v>
      </c>
      <c r="O4140" t="s">
        <v>23</v>
      </c>
      <c r="P4140">
        <v>20230218</v>
      </c>
      <c r="Q4140">
        <v>20221116</v>
      </c>
    </row>
    <row r="4141" spans="1:17" x14ac:dyDescent="0.25">
      <c r="A4141" t="s">
        <v>476</v>
      </c>
      <c r="B4141" t="s">
        <v>477</v>
      </c>
      <c r="C4141">
        <v>153</v>
      </c>
      <c r="D4141">
        <v>20221116</v>
      </c>
      <c r="E4141">
        <f t="shared" si="64"/>
        <v>11</v>
      </c>
      <c r="F4141">
        <v>512000</v>
      </c>
      <c r="G4141" t="s">
        <v>428</v>
      </c>
      <c r="H4141" t="s">
        <v>401</v>
      </c>
      <c r="I4141" t="s">
        <v>402</v>
      </c>
      <c r="J4141" t="s">
        <v>4181</v>
      </c>
      <c r="K4141">
        <v>20221116</v>
      </c>
      <c r="L4141" t="s">
        <v>898</v>
      </c>
      <c r="M4141">
        <v>0</v>
      </c>
      <c r="N4141">
        <v>5327</v>
      </c>
      <c r="O4141" t="s">
        <v>19</v>
      </c>
      <c r="P4141" t="s">
        <v>20</v>
      </c>
      <c r="Q4141">
        <v>20221116</v>
      </c>
    </row>
    <row r="4142" spans="1:17" x14ac:dyDescent="0.25">
      <c r="A4142" t="s">
        <v>476</v>
      </c>
      <c r="B4142" t="s">
        <v>477</v>
      </c>
      <c r="C4142">
        <v>153</v>
      </c>
      <c r="D4142">
        <v>20221117</v>
      </c>
      <c r="E4142">
        <f t="shared" si="64"/>
        <v>11</v>
      </c>
      <c r="F4142">
        <v>468200</v>
      </c>
      <c r="G4142" t="s">
        <v>421</v>
      </c>
      <c r="H4142" t="s">
        <v>401</v>
      </c>
      <c r="I4142" t="s">
        <v>402</v>
      </c>
      <c r="J4142" t="s">
        <v>4182</v>
      </c>
      <c r="K4142">
        <v>20221117</v>
      </c>
      <c r="L4142" t="s">
        <v>422</v>
      </c>
      <c r="M4142">
        <v>0</v>
      </c>
      <c r="N4142">
        <v>187.81</v>
      </c>
      <c r="O4142" t="s">
        <v>19</v>
      </c>
      <c r="P4142" t="s">
        <v>20</v>
      </c>
      <c r="Q4142">
        <v>20221117</v>
      </c>
    </row>
    <row r="4143" spans="1:17" x14ac:dyDescent="0.25">
      <c r="A4143" t="s">
        <v>476</v>
      </c>
      <c r="B4143" t="s">
        <v>477</v>
      </c>
      <c r="C4143">
        <v>153</v>
      </c>
      <c r="D4143">
        <v>20221117</v>
      </c>
      <c r="E4143">
        <f t="shared" si="64"/>
        <v>11</v>
      </c>
      <c r="F4143">
        <v>512000</v>
      </c>
      <c r="G4143" t="s">
        <v>428</v>
      </c>
      <c r="H4143" t="s">
        <v>401</v>
      </c>
      <c r="I4143" t="s">
        <v>402</v>
      </c>
      <c r="J4143" t="s">
        <v>4182</v>
      </c>
      <c r="K4143">
        <v>20221117</v>
      </c>
      <c r="L4143" t="s">
        <v>422</v>
      </c>
      <c r="M4143">
        <v>187.81</v>
      </c>
      <c r="N4143">
        <v>0</v>
      </c>
      <c r="O4143" t="s">
        <v>19</v>
      </c>
      <c r="P4143" t="s">
        <v>20</v>
      </c>
      <c r="Q4143">
        <v>20221117</v>
      </c>
    </row>
    <row r="4144" spans="1:17" x14ac:dyDescent="0.25">
      <c r="A4144" t="s">
        <v>476</v>
      </c>
      <c r="B4144" t="s">
        <v>477</v>
      </c>
      <c r="C4144">
        <v>153</v>
      </c>
      <c r="D4144">
        <v>20221118</v>
      </c>
      <c r="E4144">
        <f t="shared" si="64"/>
        <v>11</v>
      </c>
      <c r="F4144">
        <v>427004</v>
      </c>
      <c r="G4144" t="s">
        <v>908</v>
      </c>
      <c r="H4144" t="s">
        <v>401</v>
      </c>
      <c r="I4144" t="s">
        <v>402</v>
      </c>
      <c r="J4144" t="s">
        <v>4183</v>
      </c>
      <c r="K4144">
        <v>20221118</v>
      </c>
      <c r="L4144" t="s">
        <v>4184</v>
      </c>
      <c r="M4144">
        <v>200</v>
      </c>
      <c r="N4144">
        <v>0</v>
      </c>
      <c r="O4144" t="s">
        <v>23</v>
      </c>
      <c r="P4144">
        <v>20230218</v>
      </c>
      <c r="Q4144">
        <v>20221118</v>
      </c>
    </row>
    <row r="4145" spans="1:17" x14ac:dyDescent="0.25">
      <c r="A4145" t="s">
        <v>476</v>
      </c>
      <c r="B4145" t="s">
        <v>477</v>
      </c>
      <c r="C4145">
        <v>153</v>
      </c>
      <c r="D4145">
        <v>20221118</v>
      </c>
      <c r="E4145">
        <f t="shared" si="64"/>
        <v>11</v>
      </c>
      <c r="F4145">
        <v>421000</v>
      </c>
      <c r="G4145" t="s">
        <v>403</v>
      </c>
      <c r="H4145" t="s">
        <v>401</v>
      </c>
      <c r="I4145" t="s">
        <v>402</v>
      </c>
      <c r="J4145" t="s">
        <v>4183</v>
      </c>
      <c r="K4145">
        <v>20221118</v>
      </c>
      <c r="L4145" t="s">
        <v>4185</v>
      </c>
      <c r="M4145">
        <v>696.68</v>
      </c>
      <c r="N4145">
        <v>0</v>
      </c>
      <c r="O4145" t="s">
        <v>23</v>
      </c>
      <c r="P4145">
        <v>20230215</v>
      </c>
      <c r="Q4145">
        <v>20221118</v>
      </c>
    </row>
    <row r="4146" spans="1:17" x14ac:dyDescent="0.25">
      <c r="A4146" t="s">
        <v>476</v>
      </c>
      <c r="B4146" t="s">
        <v>477</v>
      </c>
      <c r="C4146">
        <v>153</v>
      </c>
      <c r="D4146">
        <v>20221118</v>
      </c>
      <c r="E4146">
        <f t="shared" si="64"/>
        <v>11</v>
      </c>
      <c r="F4146">
        <v>467100</v>
      </c>
      <c r="G4146" t="s">
        <v>160</v>
      </c>
      <c r="H4146" t="s">
        <v>170</v>
      </c>
      <c r="I4146" t="s">
        <v>171</v>
      </c>
      <c r="J4146" t="s">
        <v>4183</v>
      </c>
      <c r="K4146">
        <v>20221118</v>
      </c>
      <c r="L4146" t="s">
        <v>4186</v>
      </c>
      <c r="M4146">
        <v>223.17</v>
      </c>
      <c r="N4146">
        <v>0</v>
      </c>
      <c r="O4146" t="s">
        <v>23</v>
      </c>
      <c r="P4146">
        <v>20230123</v>
      </c>
      <c r="Q4146">
        <v>20221118</v>
      </c>
    </row>
    <row r="4147" spans="1:17" x14ac:dyDescent="0.25">
      <c r="A4147" t="s">
        <v>476</v>
      </c>
      <c r="B4147" t="s">
        <v>477</v>
      </c>
      <c r="C4147">
        <v>153</v>
      </c>
      <c r="D4147">
        <v>20221118</v>
      </c>
      <c r="E4147">
        <f t="shared" si="64"/>
        <v>11</v>
      </c>
      <c r="F4147">
        <v>512000</v>
      </c>
      <c r="G4147" t="s">
        <v>428</v>
      </c>
      <c r="H4147" t="s">
        <v>401</v>
      </c>
      <c r="I4147" t="s">
        <v>402</v>
      </c>
      <c r="J4147" t="s">
        <v>4183</v>
      </c>
      <c r="K4147">
        <v>20221118</v>
      </c>
      <c r="L4147" t="s">
        <v>4184</v>
      </c>
      <c r="M4147">
        <v>0</v>
      </c>
      <c r="N4147">
        <v>1119.8499999999999</v>
      </c>
      <c r="O4147" t="s">
        <v>19</v>
      </c>
      <c r="P4147" t="s">
        <v>20</v>
      </c>
      <c r="Q4147">
        <v>20221118</v>
      </c>
    </row>
    <row r="4148" spans="1:17" x14ac:dyDescent="0.25">
      <c r="A4148" t="s">
        <v>476</v>
      </c>
      <c r="B4148" t="s">
        <v>477</v>
      </c>
      <c r="C4148">
        <v>153</v>
      </c>
      <c r="D4148">
        <v>20221118</v>
      </c>
      <c r="E4148">
        <f t="shared" si="64"/>
        <v>11</v>
      </c>
      <c r="F4148">
        <v>401000</v>
      </c>
      <c r="G4148" t="s">
        <v>41</v>
      </c>
      <c r="H4148" t="s">
        <v>48</v>
      </c>
      <c r="I4148" t="s">
        <v>49</v>
      </c>
      <c r="J4148" t="s">
        <v>4187</v>
      </c>
      <c r="K4148">
        <v>20221118</v>
      </c>
      <c r="L4148" t="s">
        <v>163</v>
      </c>
      <c r="M4148">
        <v>1297.28</v>
      </c>
      <c r="N4148">
        <v>0</v>
      </c>
      <c r="O4148" t="s">
        <v>22</v>
      </c>
      <c r="P4148">
        <v>20221118</v>
      </c>
      <c r="Q4148">
        <v>20221118</v>
      </c>
    </row>
    <row r="4149" spans="1:17" x14ac:dyDescent="0.25">
      <c r="A4149" t="s">
        <v>476</v>
      </c>
      <c r="B4149" t="s">
        <v>477</v>
      </c>
      <c r="C4149">
        <v>153</v>
      </c>
      <c r="D4149">
        <v>20221118</v>
      </c>
      <c r="E4149">
        <f t="shared" si="64"/>
        <v>11</v>
      </c>
      <c r="F4149">
        <v>401000</v>
      </c>
      <c r="G4149" t="s">
        <v>41</v>
      </c>
      <c r="H4149" t="s">
        <v>56</v>
      </c>
      <c r="I4149" t="s">
        <v>57</v>
      </c>
      <c r="J4149" t="s">
        <v>4187</v>
      </c>
      <c r="K4149">
        <v>20221118</v>
      </c>
      <c r="L4149" t="s">
        <v>163</v>
      </c>
      <c r="M4149">
        <v>2024.62</v>
      </c>
      <c r="N4149">
        <v>0</v>
      </c>
      <c r="O4149" t="s">
        <v>22</v>
      </c>
      <c r="P4149">
        <v>20221118</v>
      </c>
      <c r="Q4149">
        <v>20221118</v>
      </c>
    </row>
    <row r="4150" spans="1:17" x14ac:dyDescent="0.25">
      <c r="A4150" t="s">
        <v>476</v>
      </c>
      <c r="B4150" t="s">
        <v>477</v>
      </c>
      <c r="C4150">
        <v>153</v>
      </c>
      <c r="D4150">
        <v>20221118</v>
      </c>
      <c r="E4150">
        <f t="shared" si="64"/>
        <v>11</v>
      </c>
      <c r="F4150">
        <v>401000</v>
      </c>
      <c r="G4150" t="s">
        <v>41</v>
      </c>
      <c r="H4150" t="s">
        <v>2765</v>
      </c>
      <c r="I4150" t="s">
        <v>2766</v>
      </c>
      <c r="J4150" t="s">
        <v>4187</v>
      </c>
      <c r="K4150">
        <v>20221118</v>
      </c>
      <c r="L4150" t="s">
        <v>163</v>
      </c>
      <c r="M4150">
        <v>80</v>
      </c>
      <c r="N4150">
        <v>0</v>
      </c>
      <c r="O4150" t="s">
        <v>22</v>
      </c>
      <c r="P4150">
        <v>20221118</v>
      </c>
      <c r="Q4150">
        <v>20221118</v>
      </c>
    </row>
    <row r="4151" spans="1:17" x14ac:dyDescent="0.25">
      <c r="A4151" t="s">
        <v>476</v>
      </c>
      <c r="B4151" t="s">
        <v>477</v>
      </c>
      <c r="C4151">
        <v>153</v>
      </c>
      <c r="D4151">
        <v>20221118</v>
      </c>
      <c r="E4151">
        <f t="shared" si="64"/>
        <v>11</v>
      </c>
      <c r="F4151">
        <v>467100</v>
      </c>
      <c r="G4151" t="s">
        <v>160</v>
      </c>
      <c r="H4151" t="s">
        <v>3392</v>
      </c>
      <c r="I4151" t="s">
        <v>3393</v>
      </c>
      <c r="J4151" t="s">
        <v>4187</v>
      </c>
      <c r="K4151">
        <v>20221118</v>
      </c>
      <c r="L4151" t="s">
        <v>163</v>
      </c>
      <c r="M4151">
        <v>24.88</v>
      </c>
      <c r="N4151">
        <v>0</v>
      </c>
      <c r="O4151" t="s">
        <v>22</v>
      </c>
      <c r="P4151">
        <v>20221118</v>
      </c>
      <c r="Q4151">
        <v>20221118</v>
      </c>
    </row>
    <row r="4152" spans="1:17" x14ac:dyDescent="0.25">
      <c r="A4152" t="s">
        <v>476</v>
      </c>
      <c r="B4152" t="s">
        <v>477</v>
      </c>
      <c r="C4152">
        <v>153</v>
      </c>
      <c r="D4152">
        <v>20221118</v>
      </c>
      <c r="E4152">
        <f t="shared" si="64"/>
        <v>11</v>
      </c>
      <c r="F4152">
        <v>401000</v>
      </c>
      <c r="G4152" t="s">
        <v>41</v>
      </c>
      <c r="H4152" t="s">
        <v>4153</v>
      </c>
      <c r="I4152" t="s">
        <v>4154</v>
      </c>
      <c r="J4152" t="s">
        <v>4187</v>
      </c>
      <c r="K4152">
        <v>20221118</v>
      </c>
      <c r="L4152" t="s">
        <v>163</v>
      </c>
      <c r="M4152">
        <v>522</v>
      </c>
      <c r="N4152">
        <v>0</v>
      </c>
      <c r="O4152" t="s">
        <v>22</v>
      </c>
      <c r="P4152">
        <v>20221118</v>
      </c>
      <c r="Q4152">
        <v>20221118</v>
      </c>
    </row>
    <row r="4153" spans="1:17" x14ac:dyDescent="0.25">
      <c r="A4153" t="s">
        <v>476</v>
      </c>
      <c r="B4153" t="s">
        <v>477</v>
      </c>
      <c r="C4153">
        <v>153</v>
      </c>
      <c r="D4153">
        <v>20221118</v>
      </c>
      <c r="E4153">
        <f t="shared" si="64"/>
        <v>11</v>
      </c>
      <c r="F4153">
        <v>512000</v>
      </c>
      <c r="G4153" t="s">
        <v>428</v>
      </c>
      <c r="H4153" t="s">
        <v>401</v>
      </c>
      <c r="I4153" t="s">
        <v>402</v>
      </c>
      <c r="J4153" t="s">
        <v>4187</v>
      </c>
      <c r="K4153">
        <v>20221118</v>
      </c>
      <c r="L4153" t="s">
        <v>163</v>
      </c>
      <c r="M4153">
        <v>0</v>
      </c>
      <c r="N4153">
        <v>3948.78</v>
      </c>
      <c r="O4153" t="s">
        <v>19</v>
      </c>
      <c r="P4153" t="s">
        <v>20</v>
      </c>
      <c r="Q4153">
        <v>20221118</v>
      </c>
    </row>
    <row r="4154" spans="1:17" x14ac:dyDescent="0.25">
      <c r="A4154" t="s">
        <v>476</v>
      </c>
      <c r="B4154" t="s">
        <v>477</v>
      </c>
      <c r="C4154">
        <v>153</v>
      </c>
      <c r="D4154">
        <v>20221118</v>
      </c>
      <c r="E4154">
        <f t="shared" si="64"/>
        <v>11</v>
      </c>
      <c r="F4154">
        <v>411010</v>
      </c>
      <c r="G4154" t="s">
        <v>87</v>
      </c>
      <c r="H4154" t="s">
        <v>3214</v>
      </c>
      <c r="I4154" t="s">
        <v>3215</v>
      </c>
      <c r="J4154">
        <v>222070023</v>
      </c>
      <c r="K4154">
        <v>20221118</v>
      </c>
      <c r="L4154" t="s">
        <v>4188</v>
      </c>
      <c r="M4154">
        <v>0</v>
      </c>
      <c r="N4154">
        <v>696.8</v>
      </c>
      <c r="O4154" t="s">
        <v>22</v>
      </c>
      <c r="P4154">
        <v>20230218</v>
      </c>
      <c r="Q4154">
        <v>20221118</v>
      </c>
    </row>
    <row r="4155" spans="1:17" x14ac:dyDescent="0.25">
      <c r="A4155" t="s">
        <v>476</v>
      </c>
      <c r="B4155" t="s">
        <v>477</v>
      </c>
      <c r="C4155">
        <v>153</v>
      </c>
      <c r="D4155">
        <v>20221118</v>
      </c>
      <c r="E4155">
        <f t="shared" si="64"/>
        <v>11</v>
      </c>
      <c r="F4155">
        <v>512000</v>
      </c>
      <c r="G4155" t="s">
        <v>428</v>
      </c>
      <c r="H4155" t="s">
        <v>401</v>
      </c>
      <c r="I4155" t="s">
        <v>402</v>
      </c>
      <c r="J4155">
        <v>361519</v>
      </c>
      <c r="K4155">
        <v>20221118</v>
      </c>
      <c r="L4155" t="s">
        <v>3268</v>
      </c>
      <c r="M4155">
        <v>696.8</v>
      </c>
      <c r="N4155">
        <v>0</v>
      </c>
      <c r="O4155" t="s">
        <v>19</v>
      </c>
      <c r="P4155" t="s">
        <v>20</v>
      </c>
      <c r="Q4155">
        <v>20221118</v>
      </c>
    </row>
    <row r="4156" spans="1:17" x14ac:dyDescent="0.25">
      <c r="A4156" t="s">
        <v>476</v>
      </c>
      <c r="B4156" t="s">
        <v>477</v>
      </c>
      <c r="C4156">
        <v>153</v>
      </c>
      <c r="D4156">
        <v>20221122</v>
      </c>
      <c r="E4156">
        <f t="shared" si="64"/>
        <v>11</v>
      </c>
      <c r="F4156">
        <v>468200</v>
      </c>
      <c r="G4156" t="s">
        <v>421</v>
      </c>
      <c r="H4156" t="s">
        <v>401</v>
      </c>
      <c r="I4156" t="s">
        <v>402</v>
      </c>
      <c r="J4156" t="s">
        <v>4189</v>
      </c>
      <c r="K4156">
        <v>20221122</v>
      </c>
      <c r="L4156" t="s">
        <v>422</v>
      </c>
      <c r="M4156">
        <v>0</v>
      </c>
      <c r="N4156">
        <v>747.45</v>
      </c>
      <c r="O4156" t="s">
        <v>19</v>
      </c>
      <c r="P4156" t="s">
        <v>20</v>
      </c>
      <c r="Q4156">
        <v>20221122</v>
      </c>
    </row>
    <row r="4157" spans="1:17" x14ac:dyDescent="0.25">
      <c r="A4157" t="s">
        <v>476</v>
      </c>
      <c r="B4157" t="s">
        <v>477</v>
      </c>
      <c r="C4157">
        <v>153</v>
      </c>
      <c r="D4157">
        <v>20221122</v>
      </c>
      <c r="E4157">
        <f t="shared" si="64"/>
        <v>11</v>
      </c>
      <c r="F4157">
        <v>512000</v>
      </c>
      <c r="G4157" t="s">
        <v>428</v>
      </c>
      <c r="H4157" t="s">
        <v>401</v>
      </c>
      <c r="I4157" t="s">
        <v>402</v>
      </c>
      <c r="J4157" t="s">
        <v>4189</v>
      </c>
      <c r="K4157">
        <v>20221122</v>
      </c>
      <c r="L4157" t="s">
        <v>422</v>
      </c>
      <c r="M4157">
        <v>747.45</v>
      </c>
      <c r="N4157">
        <v>0</v>
      </c>
      <c r="O4157" t="s">
        <v>19</v>
      </c>
      <c r="P4157" t="s">
        <v>20</v>
      </c>
      <c r="Q4157">
        <v>20221122</v>
      </c>
    </row>
    <row r="4158" spans="1:17" x14ac:dyDescent="0.25">
      <c r="A4158" t="s">
        <v>476</v>
      </c>
      <c r="B4158" t="s">
        <v>477</v>
      </c>
      <c r="C4158">
        <v>153</v>
      </c>
      <c r="D4158">
        <v>20221123</v>
      </c>
      <c r="E4158">
        <f t="shared" si="64"/>
        <v>11</v>
      </c>
      <c r="F4158">
        <v>468725</v>
      </c>
      <c r="G4158" t="s">
        <v>424</v>
      </c>
      <c r="H4158" t="s">
        <v>401</v>
      </c>
      <c r="I4158" t="s">
        <v>402</v>
      </c>
      <c r="J4158" t="s">
        <v>4190</v>
      </c>
      <c r="K4158">
        <v>20221123</v>
      </c>
      <c r="L4158" t="s">
        <v>4191</v>
      </c>
      <c r="M4158">
        <v>0</v>
      </c>
      <c r="N4158">
        <v>313.02999999999997</v>
      </c>
      <c r="O4158" t="s">
        <v>19</v>
      </c>
      <c r="P4158" t="s">
        <v>20</v>
      </c>
      <c r="Q4158">
        <v>20221123</v>
      </c>
    </row>
    <row r="4159" spans="1:17" x14ac:dyDescent="0.25">
      <c r="A4159" t="s">
        <v>476</v>
      </c>
      <c r="B4159" t="s">
        <v>477</v>
      </c>
      <c r="C4159">
        <v>153</v>
      </c>
      <c r="D4159">
        <v>20221123</v>
      </c>
      <c r="E4159">
        <f t="shared" si="64"/>
        <v>11</v>
      </c>
      <c r="F4159">
        <v>512000</v>
      </c>
      <c r="G4159" t="s">
        <v>428</v>
      </c>
      <c r="H4159" t="s">
        <v>401</v>
      </c>
      <c r="I4159" t="s">
        <v>402</v>
      </c>
      <c r="J4159" t="s">
        <v>4190</v>
      </c>
      <c r="K4159">
        <v>20221123</v>
      </c>
      <c r="L4159" t="s">
        <v>4191</v>
      </c>
      <c r="M4159">
        <v>313.02999999999997</v>
      </c>
      <c r="N4159">
        <v>0</v>
      </c>
      <c r="O4159" t="s">
        <v>19</v>
      </c>
      <c r="P4159" t="s">
        <v>20</v>
      </c>
      <c r="Q4159">
        <v>20221123</v>
      </c>
    </row>
    <row r="4160" spans="1:17" x14ac:dyDescent="0.25">
      <c r="A4160" t="s">
        <v>476</v>
      </c>
      <c r="B4160" t="s">
        <v>477</v>
      </c>
      <c r="C4160">
        <v>153</v>
      </c>
      <c r="D4160">
        <v>20221123</v>
      </c>
      <c r="E4160">
        <f t="shared" si="64"/>
        <v>11</v>
      </c>
      <c r="F4160">
        <v>468740</v>
      </c>
      <c r="G4160" t="s">
        <v>426</v>
      </c>
      <c r="H4160" t="s">
        <v>401</v>
      </c>
      <c r="I4160" t="s">
        <v>402</v>
      </c>
      <c r="J4160" t="s">
        <v>4192</v>
      </c>
      <c r="K4160">
        <v>20221123</v>
      </c>
      <c r="L4160" t="s">
        <v>4193</v>
      </c>
      <c r="M4160">
        <v>0</v>
      </c>
      <c r="N4160">
        <v>3000</v>
      </c>
      <c r="O4160" t="s">
        <v>23</v>
      </c>
      <c r="P4160">
        <v>20230215</v>
      </c>
      <c r="Q4160">
        <v>20221123</v>
      </c>
    </row>
    <row r="4161" spans="1:17" x14ac:dyDescent="0.25">
      <c r="A4161" t="s">
        <v>476</v>
      </c>
      <c r="B4161" t="s">
        <v>477</v>
      </c>
      <c r="C4161">
        <v>153</v>
      </c>
      <c r="D4161">
        <v>20221123</v>
      </c>
      <c r="E4161">
        <f t="shared" si="64"/>
        <v>11</v>
      </c>
      <c r="F4161">
        <v>512000</v>
      </c>
      <c r="G4161" t="s">
        <v>428</v>
      </c>
      <c r="H4161" t="s">
        <v>401</v>
      </c>
      <c r="I4161" t="s">
        <v>402</v>
      </c>
      <c r="J4161" t="s">
        <v>4192</v>
      </c>
      <c r="K4161">
        <v>20221123</v>
      </c>
      <c r="L4161" t="s">
        <v>4193</v>
      </c>
      <c r="M4161">
        <v>3000</v>
      </c>
      <c r="N4161">
        <v>0</v>
      </c>
      <c r="O4161" t="s">
        <v>19</v>
      </c>
      <c r="P4161" t="s">
        <v>20</v>
      </c>
      <c r="Q4161">
        <v>20221123</v>
      </c>
    </row>
    <row r="4162" spans="1:17" x14ac:dyDescent="0.25">
      <c r="A4162" t="s">
        <v>476</v>
      </c>
      <c r="B4162" t="s">
        <v>477</v>
      </c>
      <c r="C4162">
        <v>153</v>
      </c>
      <c r="D4162">
        <v>20221123</v>
      </c>
      <c r="E4162">
        <f t="shared" si="64"/>
        <v>11</v>
      </c>
      <c r="F4162">
        <v>442100</v>
      </c>
      <c r="G4162" t="s">
        <v>435</v>
      </c>
      <c r="H4162" t="s">
        <v>401</v>
      </c>
      <c r="I4162" t="s">
        <v>402</v>
      </c>
      <c r="J4162" t="s">
        <v>4194</v>
      </c>
      <c r="K4162">
        <v>20221123</v>
      </c>
      <c r="L4162" t="s">
        <v>528</v>
      </c>
      <c r="M4162">
        <v>1333</v>
      </c>
      <c r="N4162">
        <v>0</v>
      </c>
      <c r="O4162" t="s">
        <v>23</v>
      </c>
      <c r="P4162">
        <v>20230218</v>
      </c>
      <c r="Q4162">
        <v>20221123</v>
      </c>
    </row>
    <row r="4163" spans="1:17" x14ac:dyDescent="0.25">
      <c r="A4163" t="s">
        <v>476</v>
      </c>
      <c r="B4163" t="s">
        <v>477</v>
      </c>
      <c r="C4163">
        <v>153</v>
      </c>
      <c r="D4163">
        <v>20221123</v>
      </c>
      <c r="E4163">
        <f t="shared" ref="E4163:E4226" si="65">VALUE(MID(D4163,5,2))</f>
        <v>11</v>
      </c>
      <c r="F4163">
        <v>512000</v>
      </c>
      <c r="G4163" t="s">
        <v>428</v>
      </c>
      <c r="H4163" t="s">
        <v>401</v>
      </c>
      <c r="I4163" t="s">
        <v>402</v>
      </c>
      <c r="J4163" t="s">
        <v>4194</v>
      </c>
      <c r="K4163">
        <v>20221123</v>
      </c>
      <c r="L4163" t="s">
        <v>528</v>
      </c>
      <c r="M4163">
        <v>0</v>
      </c>
      <c r="N4163">
        <v>1333</v>
      </c>
      <c r="O4163" t="s">
        <v>19</v>
      </c>
      <c r="P4163" t="s">
        <v>20</v>
      </c>
      <c r="Q4163">
        <v>20221123</v>
      </c>
    </row>
    <row r="4164" spans="1:17" x14ac:dyDescent="0.25">
      <c r="A4164" t="s">
        <v>476</v>
      </c>
      <c r="B4164" t="s">
        <v>477</v>
      </c>
      <c r="C4164">
        <v>153</v>
      </c>
      <c r="D4164">
        <v>20221124</v>
      </c>
      <c r="E4164">
        <f t="shared" si="65"/>
        <v>11</v>
      </c>
      <c r="F4164">
        <v>445050</v>
      </c>
      <c r="G4164" t="s">
        <v>416</v>
      </c>
      <c r="H4164" t="s">
        <v>401</v>
      </c>
      <c r="I4164" t="s">
        <v>402</v>
      </c>
      <c r="J4164" t="s">
        <v>4195</v>
      </c>
      <c r="K4164">
        <v>20221124</v>
      </c>
      <c r="L4164" t="s">
        <v>4196</v>
      </c>
      <c r="M4164">
        <v>0</v>
      </c>
      <c r="N4164">
        <v>31853.26</v>
      </c>
      <c r="O4164" t="s">
        <v>19</v>
      </c>
      <c r="P4164" t="s">
        <v>20</v>
      </c>
      <c r="Q4164">
        <v>20221124</v>
      </c>
    </row>
    <row r="4165" spans="1:17" x14ac:dyDescent="0.25">
      <c r="A4165" t="s">
        <v>476</v>
      </c>
      <c r="B4165" t="s">
        <v>477</v>
      </c>
      <c r="C4165">
        <v>153</v>
      </c>
      <c r="D4165">
        <v>20221124</v>
      </c>
      <c r="E4165">
        <f t="shared" si="65"/>
        <v>11</v>
      </c>
      <c r="F4165">
        <v>445050</v>
      </c>
      <c r="G4165" t="s">
        <v>416</v>
      </c>
      <c r="H4165" t="s">
        <v>401</v>
      </c>
      <c r="I4165" t="s">
        <v>402</v>
      </c>
      <c r="J4165" t="s">
        <v>4195</v>
      </c>
      <c r="K4165">
        <v>20221124</v>
      </c>
      <c r="L4165" t="s">
        <v>4197</v>
      </c>
      <c r="M4165">
        <v>0</v>
      </c>
      <c r="N4165">
        <v>31853.26</v>
      </c>
      <c r="O4165" t="s">
        <v>19</v>
      </c>
      <c r="P4165" t="s">
        <v>20</v>
      </c>
      <c r="Q4165">
        <v>20221124</v>
      </c>
    </row>
    <row r="4166" spans="1:17" x14ac:dyDescent="0.25">
      <c r="A4166" t="s">
        <v>476</v>
      </c>
      <c r="B4166" t="s">
        <v>477</v>
      </c>
      <c r="C4166">
        <v>153</v>
      </c>
      <c r="D4166">
        <v>20221124</v>
      </c>
      <c r="E4166">
        <f t="shared" si="65"/>
        <v>11</v>
      </c>
      <c r="F4166">
        <v>445051</v>
      </c>
      <c r="G4166" t="s">
        <v>417</v>
      </c>
      <c r="H4166" t="s">
        <v>401</v>
      </c>
      <c r="I4166" t="s">
        <v>402</v>
      </c>
      <c r="J4166" t="s">
        <v>4195</v>
      </c>
      <c r="K4166">
        <v>20221124</v>
      </c>
      <c r="L4166" t="s">
        <v>4198</v>
      </c>
      <c r="M4166">
        <v>0</v>
      </c>
      <c r="N4166">
        <v>10656.9</v>
      </c>
      <c r="O4166" t="s">
        <v>19</v>
      </c>
      <c r="P4166" t="s">
        <v>20</v>
      </c>
      <c r="Q4166">
        <v>20221124</v>
      </c>
    </row>
    <row r="4167" spans="1:17" x14ac:dyDescent="0.25">
      <c r="A4167" t="s">
        <v>476</v>
      </c>
      <c r="B4167" t="s">
        <v>477</v>
      </c>
      <c r="C4167">
        <v>153</v>
      </c>
      <c r="D4167">
        <v>20221124</v>
      </c>
      <c r="E4167">
        <f t="shared" si="65"/>
        <v>11</v>
      </c>
      <c r="F4167">
        <v>445051</v>
      </c>
      <c r="G4167" t="s">
        <v>417</v>
      </c>
      <c r="H4167" t="s">
        <v>401</v>
      </c>
      <c r="I4167" t="s">
        <v>402</v>
      </c>
      <c r="J4167" t="s">
        <v>4195</v>
      </c>
      <c r="K4167">
        <v>20221124</v>
      </c>
      <c r="L4167" t="s">
        <v>4199</v>
      </c>
      <c r="M4167">
        <v>0</v>
      </c>
      <c r="N4167">
        <v>10656.9</v>
      </c>
      <c r="O4167" t="s">
        <v>19</v>
      </c>
      <c r="P4167" t="s">
        <v>20</v>
      </c>
      <c r="Q4167">
        <v>20221124</v>
      </c>
    </row>
    <row r="4168" spans="1:17" x14ac:dyDescent="0.25">
      <c r="A4168" t="s">
        <v>476</v>
      </c>
      <c r="B4168" t="s">
        <v>477</v>
      </c>
      <c r="C4168">
        <v>153</v>
      </c>
      <c r="D4168">
        <v>20221124</v>
      </c>
      <c r="E4168">
        <f t="shared" si="65"/>
        <v>11</v>
      </c>
      <c r="F4168">
        <v>512000</v>
      </c>
      <c r="G4168" t="s">
        <v>428</v>
      </c>
      <c r="H4168" t="s">
        <v>401</v>
      </c>
      <c r="I4168" t="s">
        <v>402</v>
      </c>
      <c r="J4168" t="s">
        <v>4195</v>
      </c>
      <c r="K4168">
        <v>20221124</v>
      </c>
      <c r="L4168" t="s">
        <v>4200</v>
      </c>
      <c r="M4168">
        <v>85020.32</v>
      </c>
      <c r="N4168">
        <v>0</v>
      </c>
      <c r="O4168" t="s">
        <v>19</v>
      </c>
      <c r="P4168" t="s">
        <v>20</v>
      </c>
      <c r="Q4168">
        <v>20221124</v>
      </c>
    </row>
    <row r="4169" spans="1:17" x14ac:dyDescent="0.25">
      <c r="A4169" t="s">
        <v>476</v>
      </c>
      <c r="B4169" t="s">
        <v>477</v>
      </c>
      <c r="C4169">
        <v>153</v>
      </c>
      <c r="D4169">
        <v>20221125</v>
      </c>
      <c r="E4169">
        <f t="shared" si="65"/>
        <v>11</v>
      </c>
      <c r="F4169">
        <v>433000</v>
      </c>
      <c r="G4169" t="s">
        <v>410</v>
      </c>
      <c r="H4169" t="s">
        <v>401</v>
      </c>
      <c r="I4169" t="s">
        <v>402</v>
      </c>
      <c r="J4169" t="s">
        <v>4201</v>
      </c>
      <c r="K4169">
        <v>20221125</v>
      </c>
      <c r="L4169" t="s">
        <v>530</v>
      </c>
      <c r="M4169">
        <v>5456.38</v>
      </c>
      <c r="N4169">
        <v>0</v>
      </c>
      <c r="O4169" t="s">
        <v>23</v>
      </c>
      <c r="P4169">
        <v>20230218</v>
      </c>
      <c r="Q4169">
        <v>20221125</v>
      </c>
    </row>
    <row r="4170" spans="1:17" x14ac:dyDescent="0.25">
      <c r="A4170" t="s">
        <v>476</v>
      </c>
      <c r="B4170" t="s">
        <v>477</v>
      </c>
      <c r="C4170">
        <v>153</v>
      </c>
      <c r="D4170">
        <v>20221125</v>
      </c>
      <c r="E4170">
        <f t="shared" si="65"/>
        <v>11</v>
      </c>
      <c r="F4170">
        <v>512000</v>
      </c>
      <c r="G4170" t="s">
        <v>428</v>
      </c>
      <c r="H4170" t="s">
        <v>401</v>
      </c>
      <c r="I4170" t="s">
        <v>402</v>
      </c>
      <c r="J4170" t="s">
        <v>4201</v>
      </c>
      <c r="K4170">
        <v>20221125</v>
      </c>
      <c r="L4170" t="s">
        <v>530</v>
      </c>
      <c r="M4170">
        <v>0</v>
      </c>
      <c r="N4170">
        <v>5456.38</v>
      </c>
      <c r="O4170" t="s">
        <v>19</v>
      </c>
      <c r="P4170" t="s">
        <v>20</v>
      </c>
      <c r="Q4170">
        <v>20221125</v>
      </c>
    </row>
    <row r="4171" spans="1:17" x14ac:dyDescent="0.25">
      <c r="A4171" t="s">
        <v>476</v>
      </c>
      <c r="B4171" t="s">
        <v>477</v>
      </c>
      <c r="C4171">
        <v>153</v>
      </c>
      <c r="D4171">
        <v>20221125</v>
      </c>
      <c r="E4171">
        <f t="shared" si="65"/>
        <v>11</v>
      </c>
      <c r="F4171">
        <v>433100</v>
      </c>
      <c r="G4171" t="s">
        <v>411</v>
      </c>
      <c r="H4171" t="s">
        <v>401</v>
      </c>
      <c r="I4171" t="s">
        <v>402</v>
      </c>
      <c r="J4171" t="s">
        <v>4202</v>
      </c>
      <c r="K4171">
        <v>20221125</v>
      </c>
      <c r="L4171" t="s">
        <v>534</v>
      </c>
      <c r="M4171">
        <v>1199.6300000000001</v>
      </c>
      <c r="N4171">
        <v>0</v>
      </c>
      <c r="O4171" t="s">
        <v>23</v>
      </c>
      <c r="P4171">
        <v>20230218</v>
      </c>
      <c r="Q4171">
        <v>20221125</v>
      </c>
    </row>
    <row r="4172" spans="1:17" x14ac:dyDescent="0.25">
      <c r="A4172" t="s">
        <v>476</v>
      </c>
      <c r="B4172" t="s">
        <v>477</v>
      </c>
      <c r="C4172">
        <v>153</v>
      </c>
      <c r="D4172">
        <v>20221125</v>
      </c>
      <c r="E4172">
        <f t="shared" si="65"/>
        <v>11</v>
      </c>
      <c r="F4172">
        <v>512000</v>
      </c>
      <c r="G4172" t="s">
        <v>428</v>
      </c>
      <c r="H4172" t="s">
        <v>401</v>
      </c>
      <c r="I4172" t="s">
        <v>402</v>
      </c>
      <c r="J4172" t="s">
        <v>4202</v>
      </c>
      <c r="K4172">
        <v>20221125</v>
      </c>
      <c r="L4172" t="s">
        <v>534</v>
      </c>
      <c r="M4172">
        <v>0</v>
      </c>
      <c r="N4172">
        <v>1199.6300000000001</v>
      </c>
      <c r="O4172" t="s">
        <v>19</v>
      </c>
      <c r="P4172" t="s">
        <v>20</v>
      </c>
      <c r="Q4172">
        <v>20221125</v>
      </c>
    </row>
    <row r="4173" spans="1:17" x14ac:dyDescent="0.25">
      <c r="A4173" t="s">
        <v>476</v>
      </c>
      <c r="B4173" t="s">
        <v>477</v>
      </c>
      <c r="C4173">
        <v>153</v>
      </c>
      <c r="D4173">
        <v>20221125</v>
      </c>
      <c r="E4173">
        <f t="shared" si="65"/>
        <v>11</v>
      </c>
      <c r="F4173">
        <v>706237</v>
      </c>
      <c r="G4173" t="s">
        <v>4203</v>
      </c>
      <c r="H4173" t="s">
        <v>401</v>
      </c>
      <c r="I4173" t="s">
        <v>402</v>
      </c>
      <c r="J4173" t="s">
        <v>4204</v>
      </c>
      <c r="K4173">
        <v>20221125</v>
      </c>
      <c r="L4173" t="s">
        <v>4205</v>
      </c>
      <c r="M4173">
        <v>0</v>
      </c>
      <c r="N4173">
        <v>5938.93</v>
      </c>
      <c r="O4173" t="s">
        <v>19</v>
      </c>
      <c r="P4173" t="s">
        <v>20</v>
      </c>
      <c r="Q4173">
        <v>20221125</v>
      </c>
    </row>
    <row r="4174" spans="1:17" x14ac:dyDescent="0.25">
      <c r="A4174" t="s">
        <v>476</v>
      </c>
      <c r="B4174" t="s">
        <v>477</v>
      </c>
      <c r="C4174">
        <v>153</v>
      </c>
      <c r="D4174">
        <v>20221125</v>
      </c>
      <c r="E4174">
        <f t="shared" si="65"/>
        <v>11</v>
      </c>
      <c r="F4174">
        <v>512000</v>
      </c>
      <c r="G4174" t="s">
        <v>428</v>
      </c>
      <c r="H4174" t="s">
        <v>401</v>
      </c>
      <c r="I4174" t="s">
        <v>402</v>
      </c>
      <c r="J4174" t="s">
        <v>4204</v>
      </c>
      <c r="K4174">
        <v>20221125</v>
      </c>
      <c r="L4174" t="s">
        <v>4205</v>
      </c>
      <c r="M4174">
        <v>5938.93</v>
      </c>
      <c r="N4174">
        <v>0</v>
      </c>
      <c r="O4174" t="s">
        <v>19</v>
      </c>
      <c r="P4174" t="s">
        <v>20</v>
      </c>
      <c r="Q4174">
        <v>20221125</v>
      </c>
    </row>
    <row r="4175" spans="1:17" x14ac:dyDescent="0.25">
      <c r="A4175" t="s">
        <v>476</v>
      </c>
      <c r="B4175" t="s">
        <v>477</v>
      </c>
      <c r="C4175">
        <v>153</v>
      </c>
      <c r="D4175">
        <v>20221129</v>
      </c>
      <c r="E4175">
        <f t="shared" si="65"/>
        <v>11</v>
      </c>
      <c r="F4175">
        <v>401000</v>
      </c>
      <c r="G4175" t="s">
        <v>41</v>
      </c>
      <c r="H4175" t="s">
        <v>42</v>
      </c>
      <c r="I4175" t="s">
        <v>43</v>
      </c>
      <c r="J4175" t="s">
        <v>4206</v>
      </c>
      <c r="K4175">
        <v>20221129</v>
      </c>
      <c r="L4175" t="s">
        <v>163</v>
      </c>
      <c r="M4175">
        <v>4837.1499999999996</v>
      </c>
      <c r="N4175">
        <v>0</v>
      </c>
      <c r="O4175" t="s">
        <v>23</v>
      </c>
      <c r="P4175">
        <v>20221212</v>
      </c>
      <c r="Q4175">
        <v>20221129</v>
      </c>
    </row>
    <row r="4176" spans="1:17" x14ac:dyDescent="0.25">
      <c r="A4176" t="s">
        <v>476</v>
      </c>
      <c r="B4176" t="s">
        <v>477</v>
      </c>
      <c r="C4176">
        <v>153</v>
      </c>
      <c r="D4176">
        <v>20221129</v>
      </c>
      <c r="E4176">
        <f t="shared" si="65"/>
        <v>11</v>
      </c>
      <c r="F4176">
        <v>401000</v>
      </c>
      <c r="G4176" t="s">
        <v>41</v>
      </c>
      <c r="H4176" t="s">
        <v>44</v>
      </c>
      <c r="I4176" t="s">
        <v>45</v>
      </c>
      <c r="J4176" t="s">
        <v>4206</v>
      </c>
      <c r="K4176">
        <v>20221129</v>
      </c>
      <c r="L4176" t="s">
        <v>163</v>
      </c>
      <c r="M4176">
        <v>113.4</v>
      </c>
      <c r="N4176">
        <v>0</v>
      </c>
      <c r="O4176" t="s">
        <v>23</v>
      </c>
      <c r="P4176">
        <v>20221219</v>
      </c>
      <c r="Q4176">
        <v>20221129</v>
      </c>
    </row>
    <row r="4177" spans="1:17" x14ac:dyDescent="0.25">
      <c r="A4177" t="s">
        <v>476</v>
      </c>
      <c r="B4177" t="s">
        <v>477</v>
      </c>
      <c r="C4177">
        <v>153</v>
      </c>
      <c r="D4177">
        <v>20221129</v>
      </c>
      <c r="E4177">
        <f t="shared" si="65"/>
        <v>11</v>
      </c>
      <c r="F4177">
        <v>401000</v>
      </c>
      <c r="G4177" t="s">
        <v>41</v>
      </c>
      <c r="H4177" t="s">
        <v>462</v>
      </c>
      <c r="I4177" t="s">
        <v>463</v>
      </c>
      <c r="J4177" t="s">
        <v>4206</v>
      </c>
      <c r="K4177">
        <v>20221129</v>
      </c>
      <c r="L4177" t="s">
        <v>163</v>
      </c>
      <c r="M4177">
        <v>926.77</v>
      </c>
      <c r="N4177">
        <v>0</v>
      </c>
      <c r="O4177" t="s">
        <v>23</v>
      </c>
      <c r="P4177">
        <v>20221219</v>
      </c>
      <c r="Q4177">
        <v>20221129</v>
      </c>
    </row>
    <row r="4178" spans="1:17" x14ac:dyDescent="0.25">
      <c r="A4178" t="s">
        <v>476</v>
      </c>
      <c r="B4178" t="s">
        <v>477</v>
      </c>
      <c r="C4178">
        <v>153</v>
      </c>
      <c r="D4178">
        <v>20221129</v>
      </c>
      <c r="E4178">
        <f t="shared" si="65"/>
        <v>11</v>
      </c>
      <c r="F4178">
        <v>401000</v>
      </c>
      <c r="G4178" t="s">
        <v>41</v>
      </c>
      <c r="H4178" t="s">
        <v>69</v>
      </c>
      <c r="I4178" t="s">
        <v>70</v>
      </c>
      <c r="J4178" t="s">
        <v>4206</v>
      </c>
      <c r="K4178">
        <v>20221129</v>
      </c>
      <c r="L4178" t="s">
        <v>163</v>
      </c>
      <c r="M4178">
        <v>41.8</v>
      </c>
      <c r="N4178">
        <v>0</v>
      </c>
      <c r="O4178" t="s">
        <v>23</v>
      </c>
      <c r="P4178">
        <v>20221219</v>
      </c>
      <c r="Q4178">
        <v>20221129</v>
      </c>
    </row>
    <row r="4179" spans="1:17" x14ac:dyDescent="0.25">
      <c r="A4179" t="s">
        <v>476</v>
      </c>
      <c r="B4179" t="s">
        <v>477</v>
      </c>
      <c r="C4179">
        <v>153</v>
      </c>
      <c r="D4179">
        <v>20221129</v>
      </c>
      <c r="E4179">
        <f t="shared" si="65"/>
        <v>11</v>
      </c>
      <c r="F4179">
        <v>401000</v>
      </c>
      <c r="G4179" t="s">
        <v>41</v>
      </c>
      <c r="H4179" t="s">
        <v>71</v>
      </c>
      <c r="I4179" t="s">
        <v>72</v>
      </c>
      <c r="J4179" t="s">
        <v>4206</v>
      </c>
      <c r="K4179">
        <v>20221129</v>
      </c>
      <c r="L4179" t="s">
        <v>163</v>
      </c>
      <c r="M4179">
        <v>953.91</v>
      </c>
      <c r="N4179">
        <v>0</v>
      </c>
      <c r="O4179" t="s">
        <v>23</v>
      </c>
      <c r="P4179">
        <v>20221212</v>
      </c>
      <c r="Q4179">
        <v>20221129</v>
      </c>
    </row>
    <row r="4180" spans="1:17" x14ac:dyDescent="0.25">
      <c r="A4180" t="s">
        <v>476</v>
      </c>
      <c r="B4180" t="s">
        <v>477</v>
      </c>
      <c r="C4180">
        <v>153</v>
      </c>
      <c r="D4180">
        <v>20221129</v>
      </c>
      <c r="E4180">
        <f t="shared" si="65"/>
        <v>11</v>
      </c>
      <c r="F4180">
        <v>467100</v>
      </c>
      <c r="G4180" t="s">
        <v>160</v>
      </c>
      <c r="H4180" t="s">
        <v>1201</v>
      </c>
      <c r="I4180" t="s">
        <v>1202</v>
      </c>
      <c r="J4180" t="s">
        <v>4206</v>
      </c>
      <c r="K4180">
        <v>20221129</v>
      </c>
      <c r="L4180" t="s">
        <v>163</v>
      </c>
      <c r="M4180">
        <v>56.11</v>
      </c>
      <c r="N4180">
        <v>0</v>
      </c>
      <c r="O4180" t="s">
        <v>23</v>
      </c>
      <c r="P4180">
        <v>20221219</v>
      </c>
      <c r="Q4180">
        <v>20221129</v>
      </c>
    </row>
    <row r="4181" spans="1:17" x14ac:dyDescent="0.25">
      <c r="A4181" t="s">
        <v>476</v>
      </c>
      <c r="B4181" t="s">
        <v>477</v>
      </c>
      <c r="C4181">
        <v>153</v>
      </c>
      <c r="D4181">
        <v>20221129</v>
      </c>
      <c r="E4181">
        <f t="shared" si="65"/>
        <v>11</v>
      </c>
      <c r="F4181">
        <v>401000</v>
      </c>
      <c r="G4181" t="s">
        <v>41</v>
      </c>
      <c r="H4181" t="s">
        <v>181</v>
      </c>
      <c r="I4181" t="s">
        <v>182</v>
      </c>
      <c r="J4181" t="s">
        <v>4206</v>
      </c>
      <c r="K4181">
        <v>20221129</v>
      </c>
      <c r="L4181" t="s">
        <v>163</v>
      </c>
      <c r="M4181">
        <v>343.18</v>
      </c>
      <c r="N4181">
        <v>0</v>
      </c>
      <c r="O4181" t="s">
        <v>23</v>
      </c>
      <c r="P4181">
        <v>20221219</v>
      </c>
      <c r="Q4181">
        <v>20221129</v>
      </c>
    </row>
    <row r="4182" spans="1:17" x14ac:dyDescent="0.25">
      <c r="A4182" t="s">
        <v>476</v>
      </c>
      <c r="B4182" t="s">
        <v>477</v>
      </c>
      <c r="C4182">
        <v>153</v>
      </c>
      <c r="D4182">
        <v>20221129</v>
      </c>
      <c r="E4182">
        <f t="shared" si="65"/>
        <v>11</v>
      </c>
      <c r="F4182">
        <v>401000</v>
      </c>
      <c r="G4182" t="s">
        <v>41</v>
      </c>
      <c r="H4182" t="s">
        <v>303</v>
      </c>
      <c r="I4182" t="s">
        <v>304</v>
      </c>
      <c r="J4182" t="s">
        <v>4206</v>
      </c>
      <c r="K4182">
        <v>20221129</v>
      </c>
      <c r="L4182" t="s">
        <v>163</v>
      </c>
      <c r="M4182">
        <v>600</v>
      </c>
      <c r="N4182">
        <v>0</v>
      </c>
      <c r="O4182" t="s">
        <v>23</v>
      </c>
      <c r="P4182">
        <v>20221219</v>
      </c>
      <c r="Q4182">
        <v>20221129</v>
      </c>
    </row>
    <row r="4183" spans="1:17" x14ac:dyDescent="0.25">
      <c r="A4183" t="s">
        <v>476</v>
      </c>
      <c r="B4183" t="s">
        <v>477</v>
      </c>
      <c r="C4183">
        <v>153</v>
      </c>
      <c r="D4183">
        <v>20221129</v>
      </c>
      <c r="E4183">
        <f t="shared" si="65"/>
        <v>11</v>
      </c>
      <c r="F4183">
        <v>401000</v>
      </c>
      <c r="G4183" t="s">
        <v>41</v>
      </c>
      <c r="H4183" t="s">
        <v>1635</v>
      </c>
      <c r="I4183" t="s">
        <v>1636</v>
      </c>
      <c r="J4183" t="s">
        <v>4206</v>
      </c>
      <c r="K4183">
        <v>20221129</v>
      </c>
      <c r="L4183" t="s">
        <v>163</v>
      </c>
      <c r="M4183">
        <v>20</v>
      </c>
      <c r="N4183">
        <v>0</v>
      </c>
      <c r="O4183" t="s">
        <v>23</v>
      </c>
      <c r="P4183">
        <v>20221219</v>
      </c>
      <c r="Q4183">
        <v>20221129</v>
      </c>
    </row>
    <row r="4184" spans="1:17" x14ac:dyDescent="0.25">
      <c r="A4184" t="s">
        <v>476</v>
      </c>
      <c r="B4184" t="s">
        <v>477</v>
      </c>
      <c r="C4184">
        <v>153</v>
      </c>
      <c r="D4184">
        <v>20221129</v>
      </c>
      <c r="E4184">
        <f t="shared" si="65"/>
        <v>11</v>
      </c>
      <c r="F4184">
        <v>401000</v>
      </c>
      <c r="G4184" t="s">
        <v>41</v>
      </c>
      <c r="H4184" t="s">
        <v>2051</v>
      </c>
      <c r="I4184" t="s">
        <v>2052</v>
      </c>
      <c r="J4184" t="s">
        <v>4206</v>
      </c>
      <c r="K4184">
        <v>20221129</v>
      </c>
      <c r="L4184" t="s">
        <v>163</v>
      </c>
      <c r="M4184">
        <v>310</v>
      </c>
      <c r="N4184">
        <v>0</v>
      </c>
      <c r="O4184" t="s">
        <v>23</v>
      </c>
      <c r="P4184">
        <v>20221219</v>
      </c>
      <c r="Q4184">
        <v>20221129</v>
      </c>
    </row>
    <row r="4185" spans="1:17" x14ac:dyDescent="0.25">
      <c r="A4185" t="s">
        <v>476</v>
      </c>
      <c r="B4185" t="s">
        <v>477</v>
      </c>
      <c r="C4185">
        <v>153</v>
      </c>
      <c r="D4185">
        <v>20221129</v>
      </c>
      <c r="E4185">
        <f t="shared" si="65"/>
        <v>11</v>
      </c>
      <c r="F4185">
        <v>512000</v>
      </c>
      <c r="G4185" t="s">
        <v>428</v>
      </c>
      <c r="H4185" t="s">
        <v>401</v>
      </c>
      <c r="I4185" t="s">
        <v>402</v>
      </c>
      <c r="J4185" t="s">
        <v>4206</v>
      </c>
      <c r="K4185">
        <v>20221129</v>
      </c>
      <c r="L4185" t="s">
        <v>163</v>
      </c>
      <c r="M4185">
        <v>0</v>
      </c>
      <c r="N4185">
        <v>8202.32</v>
      </c>
      <c r="O4185" t="s">
        <v>19</v>
      </c>
      <c r="P4185" t="s">
        <v>20</v>
      </c>
      <c r="Q4185">
        <v>20221129</v>
      </c>
    </row>
    <row r="4186" spans="1:17" x14ac:dyDescent="0.25">
      <c r="A4186" t="s">
        <v>476</v>
      </c>
      <c r="B4186" t="s">
        <v>477</v>
      </c>
      <c r="C4186">
        <v>153</v>
      </c>
      <c r="D4186">
        <v>20221129</v>
      </c>
      <c r="E4186">
        <f t="shared" si="65"/>
        <v>11</v>
      </c>
      <c r="F4186">
        <v>437100</v>
      </c>
      <c r="G4186" t="s">
        <v>436</v>
      </c>
      <c r="H4186" t="s">
        <v>401</v>
      </c>
      <c r="I4186" t="s">
        <v>402</v>
      </c>
      <c r="J4186" t="s">
        <v>4207</v>
      </c>
      <c r="K4186">
        <v>20221129</v>
      </c>
      <c r="L4186" t="s">
        <v>127</v>
      </c>
      <c r="M4186">
        <v>691.23</v>
      </c>
      <c r="N4186">
        <v>0</v>
      </c>
      <c r="O4186" t="s">
        <v>23</v>
      </c>
      <c r="P4186">
        <v>20230109</v>
      </c>
      <c r="Q4186">
        <v>20221129</v>
      </c>
    </row>
    <row r="4187" spans="1:17" x14ac:dyDescent="0.25">
      <c r="A4187" t="s">
        <v>476</v>
      </c>
      <c r="B4187" t="s">
        <v>477</v>
      </c>
      <c r="C4187">
        <v>153</v>
      </c>
      <c r="D4187">
        <v>20221129</v>
      </c>
      <c r="E4187">
        <f t="shared" si="65"/>
        <v>11</v>
      </c>
      <c r="F4187">
        <v>437100</v>
      </c>
      <c r="G4187" t="s">
        <v>436</v>
      </c>
      <c r="H4187" t="s">
        <v>401</v>
      </c>
      <c r="I4187" t="s">
        <v>402</v>
      </c>
      <c r="J4187" t="s">
        <v>4207</v>
      </c>
      <c r="K4187">
        <v>20221129</v>
      </c>
      <c r="L4187" t="s">
        <v>127</v>
      </c>
      <c r="M4187">
        <v>810.16</v>
      </c>
      <c r="N4187">
        <v>0</v>
      </c>
      <c r="O4187" t="s">
        <v>23</v>
      </c>
      <c r="P4187">
        <v>20230109</v>
      </c>
      <c r="Q4187">
        <v>20221129</v>
      </c>
    </row>
    <row r="4188" spans="1:17" x14ac:dyDescent="0.25">
      <c r="A4188" t="s">
        <v>476</v>
      </c>
      <c r="B4188" t="s">
        <v>477</v>
      </c>
      <c r="C4188">
        <v>153</v>
      </c>
      <c r="D4188">
        <v>20221129</v>
      </c>
      <c r="E4188">
        <f t="shared" si="65"/>
        <v>11</v>
      </c>
      <c r="F4188">
        <v>512000</v>
      </c>
      <c r="G4188" t="s">
        <v>428</v>
      </c>
      <c r="H4188" t="s">
        <v>401</v>
      </c>
      <c r="I4188" t="s">
        <v>402</v>
      </c>
      <c r="J4188" t="s">
        <v>4207</v>
      </c>
      <c r="K4188">
        <v>20221129</v>
      </c>
      <c r="L4188" t="s">
        <v>127</v>
      </c>
      <c r="M4188">
        <v>0</v>
      </c>
      <c r="N4188">
        <v>1501.39</v>
      </c>
      <c r="O4188" t="s">
        <v>19</v>
      </c>
      <c r="P4188" t="s">
        <v>20</v>
      </c>
      <c r="Q4188">
        <v>20221129</v>
      </c>
    </row>
    <row r="4189" spans="1:17" x14ac:dyDescent="0.25">
      <c r="A4189" t="s">
        <v>476</v>
      </c>
      <c r="B4189" t="s">
        <v>477</v>
      </c>
      <c r="C4189">
        <v>153</v>
      </c>
      <c r="D4189">
        <v>20221129</v>
      </c>
      <c r="E4189">
        <f t="shared" si="65"/>
        <v>11</v>
      </c>
      <c r="F4189">
        <v>468725</v>
      </c>
      <c r="G4189" t="s">
        <v>424</v>
      </c>
      <c r="H4189" t="s">
        <v>401</v>
      </c>
      <c r="I4189" t="s">
        <v>402</v>
      </c>
      <c r="J4189" t="s">
        <v>4208</v>
      </c>
      <c r="K4189">
        <v>20221129</v>
      </c>
      <c r="L4189" t="s">
        <v>127</v>
      </c>
      <c r="M4189">
        <v>1020.29</v>
      </c>
      <c r="N4189">
        <v>0</v>
      </c>
      <c r="O4189" t="s">
        <v>19</v>
      </c>
      <c r="P4189" t="s">
        <v>20</v>
      </c>
      <c r="Q4189">
        <v>20221129</v>
      </c>
    </row>
    <row r="4190" spans="1:17" x14ac:dyDescent="0.25">
      <c r="A4190" t="s">
        <v>476</v>
      </c>
      <c r="B4190" t="s">
        <v>477</v>
      </c>
      <c r="C4190">
        <v>153</v>
      </c>
      <c r="D4190">
        <v>20221129</v>
      </c>
      <c r="E4190">
        <f t="shared" si="65"/>
        <v>11</v>
      </c>
      <c r="F4190">
        <v>512000</v>
      </c>
      <c r="G4190" t="s">
        <v>428</v>
      </c>
      <c r="H4190" t="s">
        <v>401</v>
      </c>
      <c r="I4190" t="s">
        <v>402</v>
      </c>
      <c r="J4190" t="s">
        <v>4208</v>
      </c>
      <c r="K4190">
        <v>20221129</v>
      </c>
      <c r="L4190" t="s">
        <v>127</v>
      </c>
      <c r="M4190">
        <v>0</v>
      </c>
      <c r="N4190">
        <v>1020.29</v>
      </c>
      <c r="O4190" t="s">
        <v>19</v>
      </c>
      <c r="P4190" t="s">
        <v>20</v>
      </c>
      <c r="Q4190">
        <v>20221129</v>
      </c>
    </row>
    <row r="4191" spans="1:17" x14ac:dyDescent="0.25">
      <c r="A4191" t="s">
        <v>476</v>
      </c>
      <c r="B4191" t="s">
        <v>477</v>
      </c>
      <c r="C4191">
        <v>153</v>
      </c>
      <c r="D4191">
        <v>20221129</v>
      </c>
      <c r="E4191">
        <f t="shared" si="65"/>
        <v>11</v>
      </c>
      <c r="F4191">
        <v>421000</v>
      </c>
      <c r="G4191" t="s">
        <v>403</v>
      </c>
      <c r="H4191" t="s">
        <v>401</v>
      </c>
      <c r="I4191" t="s">
        <v>402</v>
      </c>
      <c r="J4191" t="s">
        <v>4209</v>
      </c>
      <c r="K4191">
        <v>20221129</v>
      </c>
      <c r="L4191" t="s">
        <v>922</v>
      </c>
      <c r="M4191">
        <v>64948.5</v>
      </c>
      <c r="N4191">
        <v>0</v>
      </c>
      <c r="O4191" t="s">
        <v>23</v>
      </c>
      <c r="P4191">
        <v>20230217</v>
      </c>
      <c r="Q4191">
        <v>20221129</v>
      </c>
    </row>
    <row r="4192" spans="1:17" x14ac:dyDescent="0.25">
      <c r="A4192" t="s">
        <v>476</v>
      </c>
      <c r="B4192" t="s">
        <v>477</v>
      </c>
      <c r="C4192">
        <v>153</v>
      </c>
      <c r="D4192">
        <v>20221129</v>
      </c>
      <c r="E4192">
        <f t="shared" si="65"/>
        <v>11</v>
      </c>
      <c r="F4192">
        <v>512000</v>
      </c>
      <c r="G4192" t="s">
        <v>428</v>
      </c>
      <c r="H4192" t="s">
        <v>401</v>
      </c>
      <c r="I4192" t="s">
        <v>402</v>
      </c>
      <c r="J4192" t="s">
        <v>4209</v>
      </c>
      <c r="K4192">
        <v>20221129</v>
      </c>
      <c r="L4192" t="s">
        <v>922</v>
      </c>
      <c r="M4192">
        <v>0</v>
      </c>
      <c r="N4192">
        <v>64948.5</v>
      </c>
      <c r="O4192" t="s">
        <v>19</v>
      </c>
      <c r="P4192" t="s">
        <v>20</v>
      </c>
      <c r="Q4192">
        <v>20221129</v>
      </c>
    </row>
    <row r="4193" spans="1:17" x14ac:dyDescent="0.25">
      <c r="A4193" t="s">
        <v>476</v>
      </c>
      <c r="B4193" t="s">
        <v>477</v>
      </c>
      <c r="C4193">
        <v>153</v>
      </c>
      <c r="D4193">
        <v>20221130</v>
      </c>
      <c r="E4193">
        <f t="shared" si="65"/>
        <v>11</v>
      </c>
      <c r="F4193">
        <v>445030</v>
      </c>
      <c r="G4193" t="s">
        <v>415</v>
      </c>
      <c r="H4193" t="s">
        <v>401</v>
      </c>
      <c r="I4193" t="s">
        <v>402</v>
      </c>
      <c r="J4193" t="s">
        <v>4210</v>
      </c>
      <c r="K4193">
        <v>20221130</v>
      </c>
      <c r="L4193" t="s">
        <v>4211</v>
      </c>
      <c r="M4193">
        <v>0</v>
      </c>
      <c r="N4193">
        <v>31658.33</v>
      </c>
      <c r="O4193" t="s">
        <v>19</v>
      </c>
      <c r="P4193" t="s">
        <v>20</v>
      </c>
      <c r="Q4193">
        <v>20221130</v>
      </c>
    </row>
    <row r="4194" spans="1:17" x14ac:dyDescent="0.25">
      <c r="A4194" t="s">
        <v>476</v>
      </c>
      <c r="B4194" t="s">
        <v>477</v>
      </c>
      <c r="C4194">
        <v>153</v>
      </c>
      <c r="D4194">
        <v>20221130</v>
      </c>
      <c r="E4194">
        <f t="shared" si="65"/>
        <v>11</v>
      </c>
      <c r="F4194">
        <v>445020</v>
      </c>
      <c r="G4194" t="s">
        <v>414</v>
      </c>
      <c r="H4194" t="s">
        <v>401</v>
      </c>
      <c r="I4194" t="s">
        <v>402</v>
      </c>
      <c r="J4194" t="s">
        <v>4210</v>
      </c>
      <c r="K4194">
        <v>20221130</v>
      </c>
      <c r="L4194" t="s">
        <v>4212</v>
      </c>
      <c r="M4194">
        <v>0</v>
      </c>
      <c r="N4194">
        <v>27833.53</v>
      </c>
      <c r="O4194" t="s">
        <v>19</v>
      </c>
      <c r="P4194" t="s">
        <v>20</v>
      </c>
      <c r="Q4194">
        <v>20221130</v>
      </c>
    </row>
    <row r="4195" spans="1:17" x14ac:dyDescent="0.25">
      <c r="A4195" t="s">
        <v>476</v>
      </c>
      <c r="B4195" t="s">
        <v>477</v>
      </c>
      <c r="C4195">
        <v>153</v>
      </c>
      <c r="D4195">
        <v>20221130</v>
      </c>
      <c r="E4195">
        <f t="shared" si="65"/>
        <v>11</v>
      </c>
      <c r="F4195">
        <v>445000</v>
      </c>
      <c r="G4195" t="s">
        <v>412</v>
      </c>
      <c r="H4195" t="s">
        <v>401</v>
      </c>
      <c r="I4195" t="s">
        <v>402</v>
      </c>
      <c r="J4195" t="s">
        <v>4210</v>
      </c>
      <c r="K4195">
        <v>20221130</v>
      </c>
      <c r="L4195" t="s">
        <v>4213</v>
      </c>
      <c r="M4195">
        <v>0</v>
      </c>
      <c r="N4195">
        <v>6505.72</v>
      </c>
      <c r="O4195" t="s">
        <v>19</v>
      </c>
      <c r="P4195" t="s">
        <v>20</v>
      </c>
      <c r="Q4195">
        <v>20221130</v>
      </c>
    </row>
    <row r="4196" spans="1:17" x14ac:dyDescent="0.25">
      <c r="A4196" t="s">
        <v>476</v>
      </c>
      <c r="B4196" t="s">
        <v>477</v>
      </c>
      <c r="C4196">
        <v>153</v>
      </c>
      <c r="D4196">
        <v>20221130</v>
      </c>
      <c r="E4196">
        <f t="shared" si="65"/>
        <v>11</v>
      </c>
      <c r="F4196">
        <v>445010</v>
      </c>
      <c r="G4196" t="s">
        <v>413</v>
      </c>
      <c r="H4196" t="s">
        <v>401</v>
      </c>
      <c r="I4196" t="s">
        <v>402</v>
      </c>
      <c r="J4196" t="s">
        <v>4210</v>
      </c>
      <c r="K4196">
        <v>20221130</v>
      </c>
      <c r="L4196" t="s">
        <v>4214</v>
      </c>
      <c r="M4196">
        <v>0</v>
      </c>
      <c r="N4196">
        <v>1490.98</v>
      </c>
      <c r="O4196" t="s">
        <v>19</v>
      </c>
      <c r="P4196" t="s">
        <v>20</v>
      </c>
      <c r="Q4196">
        <v>20221130</v>
      </c>
    </row>
    <row r="4197" spans="1:17" x14ac:dyDescent="0.25">
      <c r="A4197" t="s">
        <v>476</v>
      </c>
      <c r="B4197" t="s">
        <v>477</v>
      </c>
      <c r="C4197">
        <v>153</v>
      </c>
      <c r="D4197">
        <v>20221130</v>
      </c>
      <c r="E4197">
        <f t="shared" si="65"/>
        <v>11</v>
      </c>
      <c r="F4197">
        <v>512000</v>
      </c>
      <c r="G4197" t="s">
        <v>428</v>
      </c>
      <c r="H4197" t="s">
        <v>401</v>
      </c>
      <c r="I4197" t="s">
        <v>402</v>
      </c>
      <c r="J4197" t="s">
        <v>4210</v>
      </c>
      <c r="K4197">
        <v>20221130</v>
      </c>
      <c r="L4197" t="s">
        <v>4215</v>
      </c>
      <c r="M4197">
        <v>67488.56</v>
      </c>
      <c r="N4197">
        <v>0</v>
      </c>
      <c r="O4197" t="s">
        <v>19</v>
      </c>
      <c r="P4197" t="s">
        <v>20</v>
      </c>
      <c r="Q4197">
        <v>20221130</v>
      </c>
    </row>
    <row r="4198" spans="1:17" x14ac:dyDescent="0.25">
      <c r="A4198" t="s">
        <v>476</v>
      </c>
      <c r="B4198" t="s">
        <v>477</v>
      </c>
      <c r="C4198">
        <v>153</v>
      </c>
      <c r="D4198">
        <v>20221130</v>
      </c>
      <c r="E4198">
        <f t="shared" si="65"/>
        <v>11</v>
      </c>
      <c r="F4198">
        <v>468740</v>
      </c>
      <c r="G4198" t="s">
        <v>426</v>
      </c>
      <c r="H4198" t="s">
        <v>401</v>
      </c>
      <c r="I4198" t="s">
        <v>402</v>
      </c>
      <c r="J4198" t="s">
        <v>4216</v>
      </c>
      <c r="K4198">
        <v>20221130</v>
      </c>
      <c r="L4198" t="s">
        <v>4217</v>
      </c>
      <c r="M4198">
        <v>0</v>
      </c>
      <c r="N4198">
        <v>649</v>
      </c>
      <c r="O4198" t="s">
        <v>23</v>
      </c>
      <c r="P4198">
        <v>20230216</v>
      </c>
      <c r="Q4198">
        <v>20221130</v>
      </c>
    </row>
    <row r="4199" spans="1:17" x14ac:dyDescent="0.25">
      <c r="A4199" t="s">
        <v>476</v>
      </c>
      <c r="B4199" t="s">
        <v>477</v>
      </c>
      <c r="C4199">
        <v>153</v>
      </c>
      <c r="D4199">
        <v>20221130</v>
      </c>
      <c r="E4199">
        <f t="shared" si="65"/>
        <v>11</v>
      </c>
      <c r="F4199">
        <v>512000</v>
      </c>
      <c r="G4199" t="s">
        <v>428</v>
      </c>
      <c r="H4199" t="s">
        <v>401</v>
      </c>
      <c r="I4199" t="s">
        <v>402</v>
      </c>
      <c r="J4199" t="s">
        <v>4216</v>
      </c>
      <c r="K4199">
        <v>20221130</v>
      </c>
      <c r="L4199" t="s">
        <v>4217</v>
      </c>
      <c r="M4199">
        <v>649</v>
      </c>
      <c r="N4199">
        <v>0</v>
      </c>
      <c r="O4199" t="s">
        <v>19</v>
      </c>
      <c r="P4199" t="s">
        <v>20</v>
      </c>
      <c r="Q4199">
        <v>20221130</v>
      </c>
    </row>
    <row r="4200" spans="1:17" x14ac:dyDescent="0.25">
      <c r="A4200" t="s">
        <v>548</v>
      </c>
      <c r="B4200" t="s">
        <v>429</v>
      </c>
      <c r="C4200">
        <v>154</v>
      </c>
      <c r="D4200">
        <v>20221102</v>
      </c>
      <c r="E4200">
        <f t="shared" si="65"/>
        <v>11</v>
      </c>
      <c r="F4200">
        <v>467100</v>
      </c>
      <c r="G4200" t="s">
        <v>160</v>
      </c>
      <c r="H4200" t="s">
        <v>172</v>
      </c>
      <c r="I4200" t="s">
        <v>173</v>
      </c>
      <c r="J4200" t="s">
        <v>4218</v>
      </c>
      <c r="K4200">
        <v>20221102</v>
      </c>
      <c r="L4200" t="s">
        <v>174</v>
      </c>
      <c r="M4200">
        <v>50</v>
      </c>
      <c r="N4200">
        <v>0</v>
      </c>
      <c r="O4200" t="s">
        <v>23</v>
      </c>
      <c r="P4200">
        <v>20230218</v>
      </c>
      <c r="Q4200">
        <v>20221102</v>
      </c>
    </row>
    <row r="4201" spans="1:17" x14ac:dyDescent="0.25">
      <c r="A4201" t="s">
        <v>548</v>
      </c>
      <c r="B4201" t="s">
        <v>429</v>
      </c>
      <c r="C4201">
        <v>154</v>
      </c>
      <c r="D4201">
        <v>20221102</v>
      </c>
      <c r="E4201">
        <f t="shared" si="65"/>
        <v>11</v>
      </c>
      <c r="F4201">
        <v>531105</v>
      </c>
      <c r="G4201" t="s">
        <v>429</v>
      </c>
      <c r="H4201" t="s">
        <v>401</v>
      </c>
      <c r="I4201" t="s">
        <v>402</v>
      </c>
      <c r="J4201" t="s">
        <v>4218</v>
      </c>
      <c r="K4201">
        <v>20221102</v>
      </c>
      <c r="L4201" t="s">
        <v>174</v>
      </c>
      <c r="M4201">
        <v>0</v>
      </c>
      <c r="N4201">
        <v>50</v>
      </c>
      <c r="O4201" t="s">
        <v>19</v>
      </c>
      <c r="P4201" t="s">
        <v>20</v>
      </c>
      <c r="Q4201">
        <v>20221102</v>
      </c>
    </row>
    <row r="4202" spans="1:17" x14ac:dyDescent="0.25">
      <c r="A4202" t="s">
        <v>548</v>
      </c>
      <c r="B4202" t="s">
        <v>429</v>
      </c>
      <c r="C4202">
        <v>154</v>
      </c>
      <c r="D4202">
        <v>20221102</v>
      </c>
      <c r="E4202">
        <f t="shared" si="65"/>
        <v>11</v>
      </c>
      <c r="F4202">
        <v>411100</v>
      </c>
      <c r="G4202" t="s">
        <v>18</v>
      </c>
      <c r="H4202" t="s">
        <v>800</v>
      </c>
      <c r="I4202" t="s">
        <v>801</v>
      </c>
      <c r="J4202">
        <v>359560</v>
      </c>
      <c r="K4202">
        <v>20221102</v>
      </c>
      <c r="L4202" t="s">
        <v>4219</v>
      </c>
      <c r="M4202">
        <v>0</v>
      </c>
      <c r="N4202">
        <v>8</v>
      </c>
      <c r="O4202" t="s">
        <v>19</v>
      </c>
      <c r="P4202" t="s">
        <v>20</v>
      </c>
      <c r="Q4202">
        <v>20221102</v>
      </c>
    </row>
    <row r="4203" spans="1:17" x14ac:dyDescent="0.25">
      <c r="A4203" t="s">
        <v>548</v>
      </c>
      <c r="B4203" t="s">
        <v>429</v>
      </c>
      <c r="C4203">
        <v>154</v>
      </c>
      <c r="D4203">
        <v>20221102</v>
      </c>
      <c r="E4203">
        <f t="shared" si="65"/>
        <v>11</v>
      </c>
      <c r="F4203">
        <v>411100</v>
      </c>
      <c r="G4203" t="s">
        <v>18</v>
      </c>
      <c r="H4203" t="s">
        <v>3964</v>
      </c>
      <c r="I4203" t="s">
        <v>3965</v>
      </c>
      <c r="J4203">
        <v>359561</v>
      </c>
      <c r="K4203">
        <v>20221102</v>
      </c>
      <c r="L4203" t="s">
        <v>4220</v>
      </c>
      <c r="M4203">
        <v>0</v>
      </c>
      <c r="N4203">
        <v>4</v>
      </c>
      <c r="O4203" t="s">
        <v>22</v>
      </c>
      <c r="P4203">
        <v>20230218</v>
      </c>
      <c r="Q4203">
        <v>20221102</v>
      </c>
    </row>
    <row r="4204" spans="1:17" x14ac:dyDescent="0.25">
      <c r="A4204" t="s">
        <v>548</v>
      </c>
      <c r="B4204" t="s">
        <v>429</v>
      </c>
      <c r="C4204">
        <v>154</v>
      </c>
      <c r="D4204">
        <v>20221102</v>
      </c>
      <c r="E4204">
        <f t="shared" si="65"/>
        <v>11</v>
      </c>
      <c r="F4204">
        <v>411100</v>
      </c>
      <c r="G4204" t="s">
        <v>18</v>
      </c>
      <c r="H4204" t="s">
        <v>3586</v>
      </c>
      <c r="I4204" t="s">
        <v>3587</v>
      </c>
      <c r="J4204">
        <v>359562</v>
      </c>
      <c r="K4204">
        <v>20221102</v>
      </c>
      <c r="L4204" t="s">
        <v>4221</v>
      </c>
      <c r="M4204">
        <v>0</v>
      </c>
      <c r="N4204">
        <v>4</v>
      </c>
      <c r="O4204" t="s">
        <v>22</v>
      </c>
      <c r="P4204">
        <v>20230218</v>
      </c>
      <c r="Q4204">
        <v>20221102</v>
      </c>
    </row>
    <row r="4205" spans="1:17" x14ac:dyDescent="0.25">
      <c r="A4205" t="s">
        <v>548</v>
      </c>
      <c r="B4205" t="s">
        <v>429</v>
      </c>
      <c r="C4205">
        <v>154</v>
      </c>
      <c r="D4205">
        <v>20221102</v>
      </c>
      <c r="E4205">
        <f t="shared" si="65"/>
        <v>11</v>
      </c>
      <c r="F4205">
        <v>411100</v>
      </c>
      <c r="G4205" t="s">
        <v>18</v>
      </c>
      <c r="H4205" t="s">
        <v>73</v>
      </c>
      <c r="I4205" t="s">
        <v>74</v>
      </c>
      <c r="J4205">
        <v>359563</v>
      </c>
      <c r="K4205">
        <v>20221102</v>
      </c>
      <c r="L4205" t="s">
        <v>4222</v>
      </c>
      <c r="M4205">
        <v>0</v>
      </c>
      <c r="N4205">
        <v>4</v>
      </c>
      <c r="O4205" t="s">
        <v>19</v>
      </c>
      <c r="P4205" t="s">
        <v>20</v>
      </c>
      <c r="Q4205">
        <v>20221102</v>
      </c>
    </row>
    <row r="4206" spans="1:17" x14ac:dyDescent="0.25">
      <c r="A4206" t="s">
        <v>548</v>
      </c>
      <c r="B4206" t="s">
        <v>429</v>
      </c>
      <c r="C4206">
        <v>154</v>
      </c>
      <c r="D4206">
        <v>20221102</v>
      </c>
      <c r="E4206">
        <f t="shared" si="65"/>
        <v>11</v>
      </c>
      <c r="F4206">
        <v>411100</v>
      </c>
      <c r="G4206" t="s">
        <v>18</v>
      </c>
      <c r="H4206" t="s">
        <v>944</v>
      </c>
      <c r="I4206" t="s">
        <v>945</v>
      </c>
      <c r="J4206">
        <v>359564</v>
      </c>
      <c r="K4206">
        <v>20221102</v>
      </c>
      <c r="L4206" t="s">
        <v>4223</v>
      </c>
      <c r="M4206">
        <v>0</v>
      </c>
      <c r="N4206">
        <v>4</v>
      </c>
      <c r="O4206" t="s">
        <v>23</v>
      </c>
      <c r="P4206">
        <v>20230329</v>
      </c>
      <c r="Q4206">
        <v>20221102</v>
      </c>
    </row>
    <row r="4207" spans="1:17" x14ac:dyDescent="0.25">
      <c r="A4207" t="s">
        <v>548</v>
      </c>
      <c r="B4207" t="s">
        <v>429</v>
      </c>
      <c r="C4207">
        <v>154</v>
      </c>
      <c r="D4207">
        <v>20221102</v>
      </c>
      <c r="E4207">
        <f t="shared" si="65"/>
        <v>11</v>
      </c>
      <c r="F4207">
        <v>411100</v>
      </c>
      <c r="G4207" t="s">
        <v>18</v>
      </c>
      <c r="H4207" t="s">
        <v>259</v>
      </c>
      <c r="I4207" t="s">
        <v>260</v>
      </c>
      <c r="J4207">
        <v>359565</v>
      </c>
      <c r="K4207">
        <v>20221102</v>
      </c>
      <c r="L4207" t="s">
        <v>4224</v>
      </c>
      <c r="M4207">
        <v>0</v>
      </c>
      <c r="N4207">
        <v>4</v>
      </c>
      <c r="O4207" t="s">
        <v>19</v>
      </c>
      <c r="P4207" t="s">
        <v>20</v>
      </c>
      <c r="Q4207">
        <v>20221102</v>
      </c>
    </row>
    <row r="4208" spans="1:17" x14ac:dyDescent="0.25">
      <c r="A4208" t="s">
        <v>548</v>
      </c>
      <c r="B4208" t="s">
        <v>429</v>
      </c>
      <c r="C4208">
        <v>154</v>
      </c>
      <c r="D4208">
        <v>20221102</v>
      </c>
      <c r="E4208">
        <f t="shared" si="65"/>
        <v>11</v>
      </c>
      <c r="F4208">
        <v>411100</v>
      </c>
      <c r="G4208" t="s">
        <v>18</v>
      </c>
      <c r="H4208" t="s">
        <v>81</v>
      </c>
      <c r="I4208" t="s">
        <v>82</v>
      </c>
      <c r="J4208">
        <v>359566</v>
      </c>
      <c r="K4208">
        <v>20221102</v>
      </c>
      <c r="L4208" t="s">
        <v>4225</v>
      </c>
      <c r="M4208">
        <v>0</v>
      </c>
      <c r="N4208">
        <v>2</v>
      </c>
      <c r="O4208" t="s">
        <v>19</v>
      </c>
      <c r="P4208" t="s">
        <v>20</v>
      </c>
      <c r="Q4208">
        <v>20221102</v>
      </c>
    </row>
    <row r="4209" spans="1:17" x14ac:dyDescent="0.25">
      <c r="A4209" t="s">
        <v>548</v>
      </c>
      <c r="B4209" t="s">
        <v>429</v>
      </c>
      <c r="C4209">
        <v>154</v>
      </c>
      <c r="D4209">
        <v>20221102</v>
      </c>
      <c r="E4209">
        <f t="shared" si="65"/>
        <v>11</v>
      </c>
      <c r="F4209">
        <v>411100</v>
      </c>
      <c r="G4209" t="s">
        <v>18</v>
      </c>
      <c r="H4209" t="s">
        <v>1911</v>
      </c>
      <c r="I4209" t="s">
        <v>1912</v>
      </c>
      <c r="J4209">
        <v>359567</v>
      </c>
      <c r="K4209">
        <v>20221102</v>
      </c>
      <c r="L4209" t="s">
        <v>4226</v>
      </c>
      <c r="M4209">
        <v>0</v>
      </c>
      <c r="N4209">
        <v>4</v>
      </c>
      <c r="O4209" t="s">
        <v>19</v>
      </c>
      <c r="P4209" t="s">
        <v>20</v>
      </c>
      <c r="Q4209">
        <v>20221102</v>
      </c>
    </row>
    <row r="4210" spans="1:17" x14ac:dyDescent="0.25">
      <c r="A4210" t="s">
        <v>548</v>
      </c>
      <c r="B4210" t="s">
        <v>429</v>
      </c>
      <c r="C4210">
        <v>154</v>
      </c>
      <c r="D4210">
        <v>20221102</v>
      </c>
      <c r="E4210">
        <f t="shared" si="65"/>
        <v>11</v>
      </c>
      <c r="F4210">
        <v>411100</v>
      </c>
      <c r="G4210" t="s">
        <v>18</v>
      </c>
      <c r="H4210" t="s">
        <v>73</v>
      </c>
      <c r="I4210" t="s">
        <v>74</v>
      </c>
      <c r="J4210">
        <v>359568</v>
      </c>
      <c r="K4210">
        <v>20221102</v>
      </c>
      <c r="L4210" t="s">
        <v>4227</v>
      </c>
      <c r="M4210">
        <v>0</v>
      </c>
      <c r="N4210">
        <v>2</v>
      </c>
      <c r="O4210" t="s">
        <v>19</v>
      </c>
      <c r="P4210" t="s">
        <v>20</v>
      </c>
      <c r="Q4210">
        <v>20221102</v>
      </c>
    </row>
    <row r="4211" spans="1:17" x14ac:dyDescent="0.25">
      <c r="A4211" t="s">
        <v>548</v>
      </c>
      <c r="B4211" t="s">
        <v>429</v>
      </c>
      <c r="C4211">
        <v>154</v>
      </c>
      <c r="D4211">
        <v>20221102</v>
      </c>
      <c r="E4211">
        <f t="shared" si="65"/>
        <v>11</v>
      </c>
      <c r="F4211">
        <v>411100</v>
      </c>
      <c r="G4211" t="s">
        <v>18</v>
      </c>
      <c r="H4211" t="s">
        <v>105</v>
      </c>
      <c r="I4211" t="s">
        <v>106</v>
      </c>
      <c r="J4211">
        <v>359569</v>
      </c>
      <c r="K4211">
        <v>20221102</v>
      </c>
      <c r="L4211" t="s">
        <v>4228</v>
      </c>
      <c r="M4211">
        <v>0</v>
      </c>
      <c r="N4211">
        <v>2</v>
      </c>
      <c r="O4211" t="s">
        <v>19</v>
      </c>
      <c r="P4211" t="s">
        <v>20</v>
      </c>
      <c r="Q4211">
        <v>20221102</v>
      </c>
    </row>
    <row r="4212" spans="1:17" x14ac:dyDescent="0.25">
      <c r="A4212" t="s">
        <v>548</v>
      </c>
      <c r="B4212" t="s">
        <v>429</v>
      </c>
      <c r="C4212">
        <v>154</v>
      </c>
      <c r="D4212">
        <v>20221102</v>
      </c>
      <c r="E4212">
        <f t="shared" si="65"/>
        <v>11</v>
      </c>
      <c r="F4212">
        <v>411100</v>
      </c>
      <c r="G4212" t="s">
        <v>18</v>
      </c>
      <c r="H4212" t="s">
        <v>154</v>
      </c>
      <c r="I4212" t="s">
        <v>155</v>
      </c>
      <c r="J4212">
        <v>359570</v>
      </c>
      <c r="K4212">
        <v>20221102</v>
      </c>
      <c r="L4212" t="s">
        <v>4229</v>
      </c>
      <c r="M4212">
        <v>0</v>
      </c>
      <c r="N4212">
        <v>2</v>
      </c>
      <c r="O4212" t="s">
        <v>19</v>
      </c>
      <c r="P4212" t="s">
        <v>20</v>
      </c>
      <c r="Q4212">
        <v>20221102</v>
      </c>
    </row>
    <row r="4213" spans="1:17" x14ac:dyDescent="0.25">
      <c r="A4213" t="s">
        <v>548</v>
      </c>
      <c r="B4213" t="s">
        <v>429</v>
      </c>
      <c r="C4213">
        <v>154</v>
      </c>
      <c r="D4213">
        <v>20221102</v>
      </c>
      <c r="E4213">
        <f t="shared" si="65"/>
        <v>11</v>
      </c>
      <c r="F4213">
        <v>411100</v>
      </c>
      <c r="G4213" t="s">
        <v>18</v>
      </c>
      <c r="H4213" t="s">
        <v>660</v>
      </c>
      <c r="I4213" t="s">
        <v>661</v>
      </c>
      <c r="J4213">
        <v>359571</v>
      </c>
      <c r="K4213">
        <v>20221102</v>
      </c>
      <c r="L4213" t="s">
        <v>4230</v>
      </c>
      <c r="M4213">
        <v>0</v>
      </c>
      <c r="N4213">
        <v>2</v>
      </c>
      <c r="O4213" t="s">
        <v>19</v>
      </c>
      <c r="P4213" t="s">
        <v>20</v>
      </c>
      <c r="Q4213">
        <v>20221102</v>
      </c>
    </row>
    <row r="4214" spans="1:17" x14ac:dyDescent="0.25">
      <c r="A4214" t="s">
        <v>548</v>
      </c>
      <c r="B4214" t="s">
        <v>429</v>
      </c>
      <c r="C4214">
        <v>154</v>
      </c>
      <c r="D4214">
        <v>20221102</v>
      </c>
      <c r="E4214">
        <f t="shared" si="65"/>
        <v>11</v>
      </c>
      <c r="F4214">
        <v>411100</v>
      </c>
      <c r="G4214" t="s">
        <v>18</v>
      </c>
      <c r="H4214" t="s">
        <v>73</v>
      </c>
      <c r="I4214" t="s">
        <v>74</v>
      </c>
      <c r="J4214">
        <v>359572</v>
      </c>
      <c r="K4214">
        <v>20221102</v>
      </c>
      <c r="L4214" t="s">
        <v>4231</v>
      </c>
      <c r="M4214">
        <v>0</v>
      </c>
      <c r="N4214">
        <v>3.5</v>
      </c>
      <c r="O4214" t="s">
        <v>19</v>
      </c>
      <c r="P4214" t="s">
        <v>20</v>
      </c>
      <c r="Q4214">
        <v>20221102</v>
      </c>
    </row>
    <row r="4215" spans="1:17" x14ac:dyDescent="0.25">
      <c r="A4215" t="s">
        <v>548</v>
      </c>
      <c r="B4215" t="s">
        <v>429</v>
      </c>
      <c r="C4215">
        <v>154</v>
      </c>
      <c r="D4215">
        <v>20221102</v>
      </c>
      <c r="E4215">
        <f t="shared" si="65"/>
        <v>11</v>
      </c>
      <c r="F4215">
        <v>411100</v>
      </c>
      <c r="G4215" t="s">
        <v>18</v>
      </c>
      <c r="H4215" t="s">
        <v>1172</v>
      </c>
      <c r="I4215" t="s">
        <v>1173</v>
      </c>
      <c r="J4215">
        <v>359573</v>
      </c>
      <c r="K4215">
        <v>20221102</v>
      </c>
      <c r="L4215" t="s">
        <v>4232</v>
      </c>
      <c r="M4215">
        <v>0</v>
      </c>
      <c r="N4215">
        <v>3.5</v>
      </c>
      <c r="O4215" t="s">
        <v>19</v>
      </c>
      <c r="P4215" t="s">
        <v>20</v>
      </c>
      <c r="Q4215">
        <v>20221102</v>
      </c>
    </row>
    <row r="4216" spans="1:17" x14ac:dyDescent="0.25">
      <c r="A4216" t="s">
        <v>548</v>
      </c>
      <c r="B4216" t="s">
        <v>429</v>
      </c>
      <c r="C4216">
        <v>154</v>
      </c>
      <c r="D4216">
        <v>20221102</v>
      </c>
      <c r="E4216">
        <f t="shared" si="65"/>
        <v>11</v>
      </c>
      <c r="F4216">
        <v>411100</v>
      </c>
      <c r="G4216" t="s">
        <v>18</v>
      </c>
      <c r="H4216" t="s">
        <v>154</v>
      </c>
      <c r="I4216" t="s">
        <v>155</v>
      </c>
      <c r="J4216">
        <v>359574</v>
      </c>
      <c r="K4216">
        <v>20221102</v>
      </c>
      <c r="L4216" t="s">
        <v>4233</v>
      </c>
      <c r="M4216">
        <v>0</v>
      </c>
      <c r="N4216">
        <v>3.5</v>
      </c>
      <c r="O4216" t="s">
        <v>19</v>
      </c>
      <c r="P4216" t="s">
        <v>20</v>
      </c>
      <c r="Q4216">
        <v>20221102</v>
      </c>
    </row>
    <row r="4217" spans="1:17" x14ac:dyDescent="0.25">
      <c r="A4217" t="s">
        <v>548</v>
      </c>
      <c r="B4217" t="s">
        <v>429</v>
      </c>
      <c r="C4217">
        <v>154</v>
      </c>
      <c r="D4217">
        <v>20221102</v>
      </c>
      <c r="E4217">
        <f t="shared" si="65"/>
        <v>11</v>
      </c>
      <c r="F4217">
        <v>411100</v>
      </c>
      <c r="G4217" t="s">
        <v>18</v>
      </c>
      <c r="H4217" t="s">
        <v>800</v>
      </c>
      <c r="I4217" t="s">
        <v>801</v>
      </c>
      <c r="J4217">
        <v>359575</v>
      </c>
      <c r="K4217">
        <v>20221102</v>
      </c>
      <c r="L4217" t="s">
        <v>4234</v>
      </c>
      <c r="M4217">
        <v>0</v>
      </c>
      <c r="N4217">
        <v>3.5</v>
      </c>
      <c r="O4217" t="s">
        <v>19</v>
      </c>
      <c r="P4217" t="s">
        <v>20</v>
      </c>
      <c r="Q4217">
        <v>20221102</v>
      </c>
    </row>
    <row r="4218" spans="1:17" x14ac:dyDescent="0.25">
      <c r="A4218" t="s">
        <v>548</v>
      </c>
      <c r="B4218" t="s">
        <v>429</v>
      </c>
      <c r="C4218">
        <v>154</v>
      </c>
      <c r="D4218">
        <v>20221102</v>
      </c>
      <c r="E4218">
        <f t="shared" si="65"/>
        <v>11</v>
      </c>
      <c r="F4218">
        <v>411100</v>
      </c>
      <c r="G4218" t="s">
        <v>18</v>
      </c>
      <c r="H4218" t="s">
        <v>154</v>
      </c>
      <c r="I4218" t="s">
        <v>155</v>
      </c>
      <c r="J4218">
        <v>359576</v>
      </c>
      <c r="K4218">
        <v>20221102</v>
      </c>
      <c r="L4218" t="s">
        <v>4235</v>
      </c>
      <c r="M4218">
        <v>0</v>
      </c>
      <c r="N4218">
        <v>3.5</v>
      </c>
      <c r="O4218" t="s">
        <v>19</v>
      </c>
      <c r="P4218" t="s">
        <v>20</v>
      </c>
      <c r="Q4218">
        <v>20221102</v>
      </c>
    </row>
    <row r="4219" spans="1:17" x14ac:dyDescent="0.25">
      <c r="A4219" t="s">
        <v>548</v>
      </c>
      <c r="B4219" t="s">
        <v>429</v>
      </c>
      <c r="C4219">
        <v>154</v>
      </c>
      <c r="D4219">
        <v>20221102</v>
      </c>
      <c r="E4219">
        <f t="shared" si="65"/>
        <v>11</v>
      </c>
      <c r="F4219">
        <v>411100</v>
      </c>
      <c r="G4219" t="s">
        <v>18</v>
      </c>
      <c r="H4219" t="s">
        <v>657</v>
      </c>
      <c r="I4219" t="s">
        <v>658</v>
      </c>
      <c r="J4219">
        <v>359577</v>
      </c>
      <c r="K4219">
        <v>20221102</v>
      </c>
      <c r="L4219" t="s">
        <v>4236</v>
      </c>
      <c r="M4219">
        <v>0</v>
      </c>
      <c r="N4219">
        <v>2</v>
      </c>
      <c r="O4219" t="s">
        <v>19</v>
      </c>
      <c r="P4219" t="s">
        <v>20</v>
      </c>
      <c r="Q4219">
        <v>20221102</v>
      </c>
    </row>
    <row r="4220" spans="1:17" x14ac:dyDescent="0.25">
      <c r="A4220" t="s">
        <v>548</v>
      </c>
      <c r="B4220" t="s">
        <v>429</v>
      </c>
      <c r="C4220">
        <v>154</v>
      </c>
      <c r="D4220">
        <v>20221102</v>
      </c>
      <c r="E4220">
        <f t="shared" si="65"/>
        <v>11</v>
      </c>
      <c r="F4220">
        <v>411100</v>
      </c>
      <c r="G4220" t="s">
        <v>18</v>
      </c>
      <c r="H4220" t="s">
        <v>259</v>
      </c>
      <c r="I4220" t="s">
        <v>260</v>
      </c>
      <c r="J4220">
        <v>359578</v>
      </c>
      <c r="K4220">
        <v>20221102</v>
      </c>
      <c r="L4220" t="s">
        <v>4237</v>
      </c>
      <c r="M4220">
        <v>0</v>
      </c>
      <c r="N4220">
        <v>3.5</v>
      </c>
      <c r="O4220" t="s">
        <v>19</v>
      </c>
      <c r="P4220" t="s">
        <v>20</v>
      </c>
      <c r="Q4220">
        <v>20221102</v>
      </c>
    </row>
    <row r="4221" spans="1:17" x14ac:dyDescent="0.25">
      <c r="A4221" t="s">
        <v>548</v>
      </c>
      <c r="B4221" t="s">
        <v>429</v>
      </c>
      <c r="C4221">
        <v>154</v>
      </c>
      <c r="D4221">
        <v>20221102</v>
      </c>
      <c r="E4221">
        <f t="shared" si="65"/>
        <v>11</v>
      </c>
      <c r="F4221">
        <v>531105</v>
      </c>
      <c r="G4221" t="s">
        <v>429</v>
      </c>
      <c r="H4221" t="s">
        <v>401</v>
      </c>
      <c r="I4221" t="s">
        <v>402</v>
      </c>
      <c r="J4221">
        <v>359579</v>
      </c>
      <c r="K4221">
        <v>20221102</v>
      </c>
      <c r="L4221" t="s">
        <v>565</v>
      </c>
      <c r="M4221">
        <v>65</v>
      </c>
      <c r="N4221">
        <v>0</v>
      </c>
      <c r="O4221" t="s">
        <v>19</v>
      </c>
      <c r="P4221" t="s">
        <v>20</v>
      </c>
      <c r="Q4221">
        <v>20221102</v>
      </c>
    </row>
    <row r="4222" spans="1:17" x14ac:dyDescent="0.25">
      <c r="A4222" t="s">
        <v>548</v>
      </c>
      <c r="B4222" t="s">
        <v>429</v>
      </c>
      <c r="C4222">
        <v>154</v>
      </c>
      <c r="D4222">
        <v>20221102</v>
      </c>
      <c r="E4222">
        <f t="shared" si="65"/>
        <v>11</v>
      </c>
      <c r="F4222">
        <v>411020</v>
      </c>
      <c r="G4222" t="s">
        <v>30</v>
      </c>
      <c r="H4222" t="s">
        <v>338</v>
      </c>
      <c r="I4222" t="s">
        <v>339</v>
      </c>
      <c r="J4222">
        <v>322070025</v>
      </c>
      <c r="K4222">
        <v>20221102</v>
      </c>
      <c r="L4222" t="s">
        <v>4238</v>
      </c>
      <c r="M4222">
        <v>0</v>
      </c>
      <c r="N4222">
        <v>95</v>
      </c>
      <c r="O4222" t="s">
        <v>22</v>
      </c>
      <c r="P4222">
        <v>20230218</v>
      </c>
      <c r="Q4222">
        <v>20221102</v>
      </c>
    </row>
    <row r="4223" spans="1:17" x14ac:dyDescent="0.25">
      <c r="A4223" t="s">
        <v>548</v>
      </c>
      <c r="B4223" t="s">
        <v>429</v>
      </c>
      <c r="C4223">
        <v>154</v>
      </c>
      <c r="D4223">
        <v>20221102</v>
      </c>
      <c r="E4223">
        <f t="shared" si="65"/>
        <v>11</v>
      </c>
      <c r="F4223">
        <v>531105</v>
      </c>
      <c r="G4223" t="s">
        <v>429</v>
      </c>
      <c r="H4223" t="s">
        <v>401</v>
      </c>
      <c r="I4223" t="s">
        <v>402</v>
      </c>
      <c r="J4223">
        <v>359653</v>
      </c>
      <c r="K4223">
        <v>20221102</v>
      </c>
      <c r="L4223" t="s">
        <v>565</v>
      </c>
      <c r="M4223">
        <v>95</v>
      </c>
      <c r="N4223">
        <v>0</v>
      </c>
      <c r="O4223" t="s">
        <v>19</v>
      </c>
      <c r="P4223" t="s">
        <v>20</v>
      </c>
      <c r="Q4223">
        <v>20221102</v>
      </c>
    </row>
    <row r="4224" spans="1:17" x14ac:dyDescent="0.25">
      <c r="A4224" t="s">
        <v>548</v>
      </c>
      <c r="B4224" t="s">
        <v>429</v>
      </c>
      <c r="C4224">
        <v>154</v>
      </c>
      <c r="D4224">
        <v>20221103</v>
      </c>
      <c r="E4224">
        <f t="shared" si="65"/>
        <v>11</v>
      </c>
      <c r="F4224">
        <v>467100</v>
      </c>
      <c r="G4224" t="s">
        <v>160</v>
      </c>
      <c r="H4224" t="s">
        <v>1305</v>
      </c>
      <c r="I4224" t="s">
        <v>1306</v>
      </c>
      <c r="J4224" t="s">
        <v>4239</v>
      </c>
      <c r="K4224">
        <v>20221103</v>
      </c>
      <c r="L4224" t="s">
        <v>4240</v>
      </c>
      <c r="M4224">
        <v>200</v>
      </c>
      <c r="N4224">
        <v>0</v>
      </c>
      <c r="O4224" t="s">
        <v>23</v>
      </c>
      <c r="P4224">
        <v>20221118</v>
      </c>
      <c r="Q4224">
        <v>20221103</v>
      </c>
    </row>
    <row r="4225" spans="1:17" x14ac:dyDescent="0.25">
      <c r="A4225" t="s">
        <v>548</v>
      </c>
      <c r="B4225" t="s">
        <v>429</v>
      </c>
      <c r="C4225">
        <v>154</v>
      </c>
      <c r="D4225">
        <v>20221103</v>
      </c>
      <c r="E4225">
        <f t="shared" si="65"/>
        <v>11</v>
      </c>
      <c r="F4225">
        <v>531105</v>
      </c>
      <c r="G4225" t="s">
        <v>429</v>
      </c>
      <c r="H4225" t="s">
        <v>401</v>
      </c>
      <c r="I4225" t="s">
        <v>402</v>
      </c>
      <c r="J4225" t="s">
        <v>4239</v>
      </c>
      <c r="K4225">
        <v>20221103</v>
      </c>
      <c r="L4225" t="s">
        <v>4240</v>
      </c>
      <c r="M4225">
        <v>0</v>
      </c>
      <c r="N4225">
        <v>200</v>
      </c>
      <c r="O4225" t="s">
        <v>19</v>
      </c>
      <c r="P4225" t="s">
        <v>20</v>
      </c>
      <c r="Q4225">
        <v>20221103</v>
      </c>
    </row>
    <row r="4226" spans="1:17" x14ac:dyDescent="0.25">
      <c r="A4226" t="s">
        <v>548</v>
      </c>
      <c r="B4226" t="s">
        <v>429</v>
      </c>
      <c r="C4226">
        <v>154</v>
      </c>
      <c r="D4226">
        <v>20221103</v>
      </c>
      <c r="E4226">
        <f t="shared" si="65"/>
        <v>11</v>
      </c>
      <c r="F4226">
        <v>467100</v>
      </c>
      <c r="G4226" t="s">
        <v>160</v>
      </c>
      <c r="H4226" t="s">
        <v>2232</v>
      </c>
      <c r="I4226" t="s">
        <v>2233</v>
      </c>
      <c r="J4226" t="s">
        <v>4241</v>
      </c>
      <c r="K4226">
        <v>20221103</v>
      </c>
      <c r="L4226" t="s">
        <v>4242</v>
      </c>
      <c r="M4226">
        <v>9.3000000000000007</v>
      </c>
      <c r="N4226">
        <v>0</v>
      </c>
      <c r="O4226" t="s">
        <v>23</v>
      </c>
      <c r="P4226">
        <v>20221118</v>
      </c>
      <c r="Q4226">
        <v>20221103</v>
      </c>
    </row>
    <row r="4227" spans="1:17" x14ac:dyDescent="0.25">
      <c r="A4227" t="s">
        <v>548</v>
      </c>
      <c r="B4227" t="s">
        <v>429</v>
      </c>
      <c r="C4227">
        <v>154</v>
      </c>
      <c r="D4227">
        <v>20221103</v>
      </c>
      <c r="E4227">
        <f t="shared" ref="E4227:E4290" si="66">VALUE(MID(D4227,5,2))</f>
        <v>11</v>
      </c>
      <c r="F4227">
        <v>531105</v>
      </c>
      <c r="G4227" t="s">
        <v>429</v>
      </c>
      <c r="H4227" t="s">
        <v>401</v>
      </c>
      <c r="I4227" t="s">
        <v>402</v>
      </c>
      <c r="J4227" t="s">
        <v>4241</v>
      </c>
      <c r="K4227">
        <v>20221103</v>
      </c>
      <c r="L4227" t="s">
        <v>4242</v>
      </c>
      <c r="M4227">
        <v>0</v>
      </c>
      <c r="N4227">
        <v>9.3000000000000007</v>
      </c>
      <c r="O4227" t="s">
        <v>19</v>
      </c>
      <c r="P4227" t="s">
        <v>20</v>
      </c>
      <c r="Q4227">
        <v>20221103</v>
      </c>
    </row>
    <row r="4228" spans="1:17" x14ac:dyDescent="0.25">
      <c r="A4228" t="s">
        <v>548</v>
      </c>
      <c r="B4228" t="s">
        <v>429</v>
      </c>
      <c r="C4228">
        <v>154</v>
      </c>
      <c r="D4228">
        <v>20221103</v>
      </c>
      <c r="E4228">
        <f t="shared" si="66"/>
        <v>11</v>
      </c>
      <c r="F4228">
        <v>411100</v>
      </c>
      <c r="G4228" t="s">
        <v>18</v>
      </c>
      <c r="H4228" t="s">
        <v>326</v>
      </c>
      <c r="I4228" t="s">
        <v>327</v>
      </c>
      <c r="J4228">
        <v>359580</v>
      </c>
      <c r="K4228">
        <v>20221103</v>
      </c>
      <c r="L4228" t="s">
        <v>4243</v>
      </c>
      <c r="M4228">
        <v>0</v>
      </c>
      <c r="N4228">
        <v>13</v>
      </c>
      <c r="O4228" t="s">
        <v>23</v>
      </c>
      <c r="P4228">
        <v>20230214</v>
      </c>
      <c r="Q4228">
        <v>20221103</v>
      </c>
    </row>
    <row r="4229" spans="1:17" x14ac:dyDescent="0.25">
      <c r="A4229" t="s">
        <v>548</v>
      </c>
      <c r="B4229" t="s">
        <v>429</v>
      </c>
      <c r="C4229">
        <v>154</v>
      </c>
      <c r="D4229">
        <v>20221103</v>
      </c>
      <c r="E4229">
        <f t="shared" si="66"/>
        <v>11</v>
      </c>
      <c r="F4229">
        <v>411100</v>
      </c>
      <c r="G4229" t="s">
        <v>18</v>
      </c>
      <c r="H4229" t="s">
        <v>4244</v>
      </c>
      <c r="I4229" t="s">
        <v>4245</v>
      </c>
      <c r="J4229">
        <v>359581</v>
      </c>
      <c r="K4229">
        <v>20221103</v>
      </c>
      <c r="L4229" t="s">
        <v>4246</v>
      </c>
      <c r="M4229">
        <v>0</v>
      </c>
      <c r="N4229">
        <v>10</v>
      </c>
      <c r="O4229" t="s">
        <v>22</v>
      </c>
      <c r="P4229">
        <v>20230218</v>
      </c>
      <c r="Q4229">
        <v>20221103</v>
      </c>
    </row>
    <row r="4230" spans="1:17" x14ac:dyDescent="0.25">
      <c r="A4230" t="s">
        <v>548</v>
      </c>
      <c r="B4230" t="s">
        <v>429</v>
      </c>
      <c r="C4230">
        <v>154</v>
      </c>
      <c r="D4230">
        <v>20221103</v>
      </c>
      <c r="E4230">
        <f t="shared" si="66"/>
        <v>11</v>
      </c>
      <c r="F4230">
        <v>531105</v>
      </c>
      <c r="G4230" t="s">
        <v>429</v>
      </c>
      <c r="H4230" t="s">
        <v>401</v>
      </c>
      <c r="I4230" t="s">
        <v>402</v>
      </c>
      <c r="J4230">
        <v>359582</v>
      </c>
      <c r="K4230">
        <v>20221103</v>
      </c>
      <c r="L4230" t="s">
        <v>565</v>
      </c>
      <c r="M4230">
        <v>23</v>
      </c>
      <c r="N4230">
        <v>0</v>
      </c>
      <c r="O4230" t="s">
        <v>19</v>
      </c>
      <c r="P4230" t="s">
        <v>20</v>
      </c>
      <c r="Q4230">
        <v>20221103</v>
      </c>
    </row>
    <row r="4231" spans="1:17" x14ac:dyDescent="0.25">
      <c r="A4231" t="s">
        <v>548</v>
      </c>
      <c r="B4231" t="s">
        <v>429</v>
      </c>
      <c r="C4231">
        <v>154</v>
      </c>
      <c r="D4231">
        <v>20221103</v>
      </c>
      <c r="E4231">
        <f t="shared" si="66"/>
        <v>11</v>
      </c>
      <c r="F4231">
        <v>580000</v>
      </c>
      <c r="G4231" t="s">
        <v>532</v>
      </c>
      <c r="H4231" t="s">
        <v>401</v>
      </c>
      <c r="I4231" t="s">
        <v>402</v>
      </c>
      <c r="J4231" t="s">
        <v>4247</v>
      </c>
      <c r="K4231">
        <v>20221103</v>
      </c>
      <c r="L4231" t="s">
        <v>625</v>
      </c>
      <c r="M4231">
        <v>3500</v>
      </c>
      <c r="N4231">
        <v>0</v>
      </c>
      <c r="O4231" t="s">
        <v>22</v>
      </c>
      <c r="P4231">
        <v>20221103</v>
      </c>
      <c r="Q4231">
        <v>20221103</v>
      </c>
    </row>
    <row r="4232" spans="1:17" x14ac:dyDescent="0.25">
      <c r="A4232" t="s">
        <v>548</v>
      </c>
      <c r="B4232" t="s">
        <v>429</v>
      </c>
      <c r="C4232">
        <v>154</v>
      </c>
      <c r="D4232">
        <v>20221103</v>
      </c>
      <c r="E4232">
        <f t="shared" si="66"/>
        <v>11</v>
      </c>
      <c r="F4232">
        <v>531105</v>
      </c>
      <c r="G4232" t="s">
        <v>429</v>
      </c>
      <c r="H4232" t="s">
        <v>401</v>
      </c>
      <c r="I4232" t="s">
        <v>402</v>
      </c>
      <c r="J4232" t="s">
        <v>4247</v>
      </c>
      <c r="K4232">
        <v>20221103</v>
      </c>
      <c r="L4232" t="s">
        <v>625</v>
      </c>
      <c r="M4232">
        <v>0</v>
      </c>
      <c r="N4232">
        <v>3500</v>
      </c>
      <c r="O4232" t="s">
        <v>19</v>
      </c>
      <c r="P4232" t="s">
        <v>20</v>
      </c>
      <c r="Q4232">
        <v>20221103</v>
      </c>
    </row>
    <row r="4233" spans="1:17" x14ac:dyDescent="0.25">
      <c r="A4233" t="s">
        <v>548</v>
      </c>
      <c r="B4233" t="s">
        <v>429</v>
      </c>
      <c r="C4233">
        <v>154</v>
      </c>
      <c r="D4233">
        <v>20221104</v>
      </c>
      <c r="E4233">
        <f t="shared" si="66"/>
        <v>11</v>
      </c>
      <c r="F4233">
        <v>411100</v>
      </c>
      <c r="G4233" t="s">
        <v>18</v>
      </c>
      <c r="H4233" t="s">
        <v>154</v>
      </c>
      <c r="I4233" t="s">
        <v>155</v>
      </c>
      <c r="J4233">
        <v>360576</v>
      </c>
      <c r="K4233">
        <v>20221104</v>
      </c>
      <c r="L4233" t="s">
        <v>4248</v>
      </c>
      <c r="M4233">
        <v>0</v>
      </c>
      <c r="N4233">
        <v>10</v>
      </c>
      <c r="O4233" t="s">
        <v>19</v>
      </c>
      <c r="P4233" t="s">
        <v>20</v>
      </c>
      <c r="Q4233">
        <v>20221104</v>
      </c>
    </row>
    <row r="4234" spans="1:17" x14ac:dyDescent="0.25">
      <c r="A4234" t="s">
        <v>548</v>
      </c>
      <c r="B4234" t="s">
        <v>429</v>
      </c>
      <c r="C4234">
        <v>154</v>
      </c>
      <c r="D4234">
        <v>20221104</v>
      </c>
      <c r="E4234">
        <f t="shared" si="66"/>
        <v>11</v>
      </c>
      <c r="F4234">
        <v>411100</v>
      </c>
      <c r="G4234" t="s">
        <v>18</v>
      </c>
      <c r="H4234" t="s">
        <v>73</v>
      </c>
      <c r="I4234" t="s">
        <v>74</v>
      </c>
      <c r="J4234">
        <v>360577</v>
      </c>
      <c r="K4234">
        <v>20221104</v>
      </c>
      <c r="L4234" t="s">
        <v>4249</v>
      </c>
      <c r="M4234">
        <v>0</v>
      </c>
      <c r="N4234">
        <v>4</v>
      </c>
      <c r="O4234" t="s">
        <v>19</v>
      </c>
      <c r="P4234" t="s">
        <v>20</v>
      </c>
      <c r="Q4234">
        <v>20221104</v>
      </c>
    </row>
    <row r="4235" spans="1:17" x14ac:dyDescent="0.25">
      <c r="A4235" t="s">
        <v>548</v>
      </c>
      <c r="B4235" t="s">
        <v>429</v>
      </c>
      <c r="C4235">
        <v>154</v>
      </c>
      <c r="D4235">
        <v>20221104</v>
      </c>
      <c r="E4235">
        <f t="shared" si="66"/>
        <v>11</v>
      </c>
      <c r="F4235">
        <v>411100</v>
      </c>
      <c r="G4235" t="s">
        <v>18</v>
      </c>
      <c r="H4235" t="s">
        <v>1172</v>
      </c>
      <c r="I4235" t="s">
        <v>1173</v>
      </c>
      <c r="J4235">
        <v>360578</v>
      </c>
      <c r="K4235">
        <v>20221104</v>
      </c>
      <c r="L4235" t="s">
        <v>4250</v>
      </c>
      <c r="M4235">
        <v>0</v>
      </c>
      <c r="N4235">
        <v>4</v>
      </c>
      <c r="O4235" t="s">
        <v>19</v>
      </c>
      <c r="P4235" t="s">
        <v>20</v>
      </c>
      <c r="Q4235">
        <v>20221104</v>
      </c>
    </row>
    <row r="4236" spans="1:17" x14ac:dyDescent="0.25">
      <c r="A4236" t="s">
        <v>548</v>
      </c>
      <c r="B4236" t="s">
        <v>429</v>
      </c>
      <c r="C4236">
        <v>154</v>
      </c>
      <c r="D4236">
        <v>20221104</v>
      </c>
      <c r="E4236">
        <f t="shared" si="66"/>
        <v>11</v>
      </c>
      <c r="F4236">
        <v>411100</v>
      </c>
      <c r="G4236" t="s">
        <v>18</v>
      </c>
      <c r="H4236" t="s">
        <v>800</v>
      </c>
      <c r="I4236" t="s">
        <v>801</v>
      </c>
      <c r="J4236">
        <v>360579</v>
      </c>
      <c r="K4236">
        <v>20221104</v>
      </c>
      <c r="L4236" t="s">
        <v>4251</v>
      </c>
      <c r="M4236">
        <v>0</v>
      </c>
      <c r="N4236">
        <v>4</v>
      </c>
      <c r="O4236" t="s">
        <v>19</v>
      </c>
      <c r="P4236" t="s">
        <v>20</v>
      </c>
      <c r="Q4236">
        <v>20221104</v>
      </c>
    </row>
    <row r="4237" spans="1:17" x14ac:dyDescent="0.25">
      <c r="A4237" t="s">
        <v>548</v>
      </c>
      <c r="B4237" t="s">
        <v>429</v>
      </c>
      <c r="C4237">
        <v>154</v>
      </c>
      <c r="D4237">
        <v>20221104</v>
      </c>
      <c r="E4237">
        <f t="shared" si="66"/>
        <v>11</v>
      </c>
      <c r="F4237">
        <v>411100</v>
      </c>
      <c r="G4237" t="s">
        <v>18</v>
      </c>
      <c r="H4237" t="s">
        <v>3964</v>
      </c>
      <c r="I4237" t="s">
        <v>3965</v>
      </c>
      <c r="J4237">
        <v>360580</v>
      </c>
      <c r="K4237">
        <v>20221104</v>
      </c>
      <c r="L4237" t="s">
        <v>4252</v>
      </c>
      <c r="M4237">
        <v>0</v>
      </c>
      <c r="N4237">
        <v>6</v>
      </c>
      <c r="O4237" t="s">
        <v>22</v>
      </c>
      <c r="P4237">
        <v>20230218</v>
      </c>
      <c r="Q4237">
        <v>20221104</v>
      </c>
    </row>
    <row r="4238" spans="1:17" x14ac:dyDescent="0.25">
      <c r="A4238" t="s">
        <v>548</v>
      </c>
      <c r="B4238" t="s">
        <v>429</v>
      </c>
      <c r="C4238">
        <v>154</v>
      </c>
      <c r="D4238">
        <v>20221104</v>
      </c>
      <c r="E4238">
        <f t="shared" si="66"/>
        <v>11</v>
      </c>
      <c r="F4238">
        <v>411100</v>
      </c>
      <c r="G4238" t="s">
        <v>18</v>
      </c>
      <c r="H4238" t="s">
        <v>3964</v>
      </c>
      <c r="I4238" t="s">
        <v>3965</v>
      </c>
      <c r="J4238">
        <v>360581</v>
      </c>
      <c r="K4238">
        <v>20221104</v>
      </c>
      <c r="L4238" t="s">
        <v>4253</v>
      </c>
      <c r="M4238">
        <v>0</v>
      </c>
      <c r="N4238">
        <v>6</v>
      </c>
      <c r="O4238" t="s">
        <v>22</v>
      </c>
      <c r="P4238">
        <v>20230218</v>
      </c>
      <c r="Q4238">
        <v>20221104</v>
      </c>
    </row>
    <row r="4239" spans="1:17" x14ac:dyDescent="0.25">
      <c r="A4239" t="s">
        <v>548</v>
      </c>
      <c r="B4239" t="s">
        <v>429</v>
      </c>
      <c r="C4239">
        <v>154</v>
      </c>
      <c r="D4239">
        <v>20221104</v>
      </c>
      <c r="E4239">
        <f t="shared" si="66"/>
        <v>11</v>
      </c>
      <c r="F4239">
        <v>411100</v>
      </c>
      <c r="G4239" t="s">
        <v>18</v>
      </c>
      <c r="H4239" t="s">
        <v>4125</v>
      </c>
      <c r="I4239" t="s">
        <v>4126</v>
      </c>
      <c r="J4239">
        <v>360582</v>
      </c>
      <c r="K4239">
        <v>20221104</v>
      </c>
      <c r="L4239" t="s">
        <v>4254</v>
      </c>
      <c r="M4239">
        <v>0</v>
      </c>
      <c r="N4239">
        <v>6</v>
      </c>
      <c r="O4239" t="s">
        <v>22</v>
      </c>
      <c r="P4239">
        <v>20230218</v>
      </c>
      <c r="Q4239">
        <v>20221104</v>
      </c>
    </row>
    <row r="4240" spans="1:17" x14ac:dyDescent="0.25">
      <c r="A4240" t="s">
        <v>548</v>
      </c>
      <c r="B4240" t="s">
        <v>429</v>
      </c>
      <c r="C4240">
        <v>154</v>
      </c>
      <c r="D4240">
        <v>20221104</v>
      </c>
      <c r="E4240">
        <f t="shared" si="66"/>
        <v>11</v>
      </c>
      <c r="F4240">
        <v>411100</v>
      </c>
      <c r="G4240" t="s">
        <v>18</v>
      </c>
      <c r="H4240" t="s">
        <v>73</v>
      </c>
      <c r="I4240" t="s">
        <v>74</v>
      </c>
      <c r="J4240">
        <v>360583</v>
      </c>
      <c r="K4240">
        <v>20221104</v>
      </c>
      <c r="L4240" t="s">
        <v>4255</v>
      </c>
      <c r="M4240">
        <v>0</v>
      </c>
      <c r="N4240">
        <v>6</v>
      </c>
      <c r="O4240" t="s">
        <v>19</v>
      </c>
      <c r="P4240" t="s">
        <v>20</v>
      </c>
      <c r="Q4240">
        <v>20221104</v>
      </c>
    </row>
    <row r="4241" spans="1:17" x14ac:dyDescent="0.25">
      <c r="A4241" t="s">
        <v>548</v>
      </c>
      <c r="B4241" t="s">
        <v>429</v>
      </c>
      <c r="C4241">
        <v>154</v>
      </c>
      <c r="D4241">
        <v>20221104</v>
      </c>
      <c r="E4241">
        <f t="shared" si="66"/>
        <v>11</v>
      </c>
      <c r="F4241">
        <v>411100</v>
      </c>
      <c r="G4241" t="s">
        <v>18</v>
      </c>
      <c r="H4241" t="s">
        <v>105</v>
      </c>
      <c r="I4241" t="s">
        <v>106</v>
      </c>
      <c r="J4241">
        <v>360584</v>
      </c>
      <c r="K4241">
        <v>20221104</v>
      </c>
      <c r="L4241" t="s">
        <v>4256</v>
      </c>
      <c r="M4241">
        <v>0</v>
      </c>
      <c r="N4241">
        <v>6</v>
      </c>
      <c r="O4241" t="s">
        <v>19</v>
      </c>
      <c r="P4241" t="s">
        <v>20</v>
      </c>
      <c r="Q4241">
        <v>20221104</v>
      </c>
    </row>
    <row r="4242" spans="1:17" x14ac:dyDescent="0.25">
      <c r="A4242" t="s">
        <v>548</v>
      </c>
      <c r="B4242" t="s">
        <v>429</v>
      </c>
      <c r="C4242">
        <v>154</v>
      </c>
      <c r="D4242">
        <v>20221104</v>
      </c>
      <c r="E4242">
        <f t="shared" si="66"/>
        <v>11</v>
      </c>
      <c r="F4242">
        <v>411100</v>
      </c>
      <c r="G4242" t="s">
        <v>18</v>
      </c>
      <c r="H4242" t="s">
        <v>259</v>
      </c>
      <c r="I4242" t="s">
        <v>260</v>
      </c>
      <c r="J4242">
        <v>360585</v>
      </c>
      <c r="K4242">
        <v>20221104</v>
      </c>
      <c r="L4242" t="s">
        <v>4257</v>
      </c>
      <c r="M4242">
        <v>0</v>
      </c>
      <c r="N4242">
        <v>6</v>
      </c>
      <c r="O4242" t="s">
        <v>19</v>
      </c>
      <c r="P4242" t="s">
        <v>20</v>
      </c>
      <c r="Q4242">
        <v>20221104</v>
      </c>
    </row>
    <row r="4243" spans="1:17" x14ac:dyDescent="0.25">
      <c r="A4243" t="s">
        <v>548</v>
      </c>
      <c r="B4243" t="s">
        <v>429</v>
      </c>
      <c r="C4243">
        <v>154</v>
      </c>
      <c r="D4243">
        <v>20221104</v>
      </c>
      <c r="E4243">
        <f t="shared" si="66"/>
        <v>11</v>
      </c>
      <c r="F4243">
        <v>411100</v>
      </c>
      <c r="G4243" t="s">
        <v>18</v>
      </c>
      <c r="H4243" t="s">
        <v>944</v>
      </c>
      <c r="I4243" t="s">
        <v>945</v>
      </c>
      <c r="J4243">
        <v>360586</v>
      </c>
      <c r="K4243">
        <v>20221104</v>
      </c>
      <c r="L4243" t="s">
        <v>4258</v>
      </c>
      <c r="M4243">
        <v>0</v>
      </c>
      <c r="N4243">
        <v>6</v>
      </c>
      <c r="O4243" t="s">
        <v>23</v>
      </c>
      <c r="P4243">
        <v>20230329</v>
      </c>
      <c r="Q4243">
        <v>20221104</v>
      </c>
    </row>
    <row r="4244" spans="1:17" x14ac:dyDescent="0.25">
      <c r="A4244" t="s">
        <v>548</v>
      </c>
      <c r="B4244" t="s">
        <v>429</v>
      </c>
      <c r="C4244">
        <v>154</v>
      </c>
      <c r="D4244">
        <v>20221104</v>
      </c>
      <c r="E4244">
        <f t="shared" si="66"/>
        <v>11</v>
      </c>
      <c r="F4244">
        <v>531105</v>
      </c>
      <c r="G4244" t="s">
        <v>429</v>
      </c>
      <c r="H4244" t="s">
        <v>401</v>
      </c>
      <c r="I4244" t="s">
        <v>402</v>
      </c>
      <c r="J4244">
        <v>360587</v>
      </c>
      <c r="K4244">
        <v>20221104</v>
      </c>
      <c r="L4244" t="s">
        <v>565</v>
      </c>
      <c r="M4244">
        <v>64</v>
      </c>
      <c r="N4244">
        <v>0</v>
      </c>
      <c r="O4244" t="s">
        <v>19</v>
      </c>
      <c r="P4244" t="s">
        <v>20</v>
      </c>
      <c r="Q4244">
        <v>20221104</v>
      </c>
    </row>
    <row r="4245" spans="1:17" x14ac:dyDescent="0.25">
      <c r="A4245" t="s">
        <v>548</v>
      </c>
      <c r="B4245" t="s">
        <v>429</v>
      </c>
      <c r="C4245">
        <v>154</v>
      </c>
      <c r="D4245">
        <v>20221104</v>
      </c>
      <c r="E4245">
        <f t="shared" si="66"/>
        <v>11</v>
      </c>
      <c r="F4245">
        <v>411100</v>
      </c>
      <c r="G4245" t="s">
        <v>18</v>
      </c>
      <c r="H4245" t="s">
        <v>3641</v>
      </c>
      <c r="I4245" t="s">
        <v>3642</v>
      </c>
      <c r="J4245">
        <v>322100018</v>
      </c>
      <c r="K4245">
        <v>20221104</v>
      </c>
      <c r="L4245" t="s">
        <v>4259</v>
      </c>
      <c r="M4245">
        <v>0</v>
      </c>
      <c r="N4245">
        <v>24.29</v>
      </c>
      <c r="O4245" t="s">
        <v>22</v>
      </c>
      <c r="P4245">
        <v>20230218</v>
      </c>
      <c r="Q4245">
        <v>20221104</v>
      </c>
    </row>
    <row r="4246" spans="1:17" x14ac:dyDescent="0.25">
      <c r="A4246" t="s">
        <v>548</v>
      </c>
      <c r="B4246" t="s">
        <v>429</v>
      </c>
      <c r="C4246">
        <v>154</v>
      </c>
      <c r="D4246">
        <v>20221104</v>
      </c>
      <c r="E4246">
        <f t="shared" si="66"/>
        <v>11</v>
      </c>
      <c r="F4246">
        <v>411020</v>
      </c>
      <c r="G4246" t="s">
        <v>30</v>
      </c>
      <c r="H4246" t="s">
        <v>3631</v>
      </c>
      <c r="I4246" t="s">
        <v>3632</v>
      </c>
      <c r="J4246">
        <v>322100002</v>
      </c>
      <c r="K4246">
        <v>20221104</v>
      </c>
      <c r="L4246" t="s">
        <v>4260</v>
      </c>
      <c r="M4246">
        <v>0</v>
      </c>
      <c r="N4246">
        <v>69.010000000000005</v>
      </c>
      <c r="O4246" t="s">
        <v>23</v>
      </c>
      <c r="P4246">
        <v>20230218</v>
      </c>
      <c r="Q4246">
        <v>20221104</v>
      </c>
    </row>
    <row r="4247" spans="1:17" x14ac:dyDescent="0.25">
      <c r="A4247" t="s">
        <v>548</v>
      </c>
      <c r="B4247" t="s">
        <v>429</v>
      </c>
      <c r="C4247">
        <v>154</v>
      </c>
      <c r="D4247">
        <v>20221104</v>
      </c>
      <c r="E4247">
        <f t="shared" si="66"/>
        <v>11</v>
      </c>
      <c r="F4247">
        <v>411020</v>
      </c>
      <c r="G4247" t="s">
        <v>30</v>
      </c>
      <c r="H4247" t="s">
        <v>3631</v>
      </c>
      <c r="I4247" t="s">
        <v>3632</v>
      </c>
      <c r="J4247">
        <v>322100002</v>
      </c>
      <c r="K4247">
        <v>20221104</v>
      </c>
      <c r="L4247" t="s">
        <v>4261</v>
      </c>
      <c r="M4247">
        <v>0</v>
      </c>
      <c r="N4247">
        <v>0.99</v>
      </c>
      <c r="O4247" t="s">
        <v>23</v>
      </c>
      <c r="P4247">
        <v>20230218</v>
      </c>
      <c r="Q4247">
        <v>20221104</v>
      </c>
    </row>
    <row r="4248" spans="1:17" x14ac:dyDescent="0.25">
      <c r="A4248" t="s">
        <v>548</v>
      </c>
      <c r="B4248" t="s">
        <v>429</v>
      </c>
      <c r="C4248">
        <v>154</v>
      </c>
      <c r="D4248">
        <v>20221104</v>
      </c>
      <c r="E4248">
        <f t="shared" si="66"/>
        <v>11</v>
      </c>
      <c r="F4248">
        <v>411020</v>
      </c>
      <c r="G4248" t="s">
        <v>30</v>
      </c>
      <c r="H4248" t="s">
        <v>338</v>
      </c>
      <c r="I4248" t="s">
        <v>339</v>
      </c>
      <c r="J4248">
        <v>322100024</v>
      </c>
      <c r="K4248">
        <v>20221104</v>
      </c>
      <c r="L4248" t="s">
        <v>4262</v>
      </c>
      <c r="M4248">
        <v>0</v>
      </c>
      <c r="N4248">
        <v>50.13</v>
      </c>
      <c r="O4248" t="s">
        <v>22</v>
      </c>
      <c r="P4248">
        <v>20230218</v>
      </c>
      <c r="Q4248">
        <v>20221104</v>
      </c>
    </row>
    <row r="4249" spans="1:17" x14ac:dyDescent="0.25">
      <c r="A4249" t="s">
        <v>548</v>
      </c>
      <c r="B4249" t="s">
        <v>429</v>
      </c>
      <c r="C4249">
        <v>154</v>
      </c>
      <c r="D4249">
        <v>20221104</v>
      </c>
      <c r="E4249">
        <f t="shared" si="66"/>
        <v>11</v>
      </c>
      <c r="F4249">
        <v>411020</v>
      </c>
      <c r="G4249" t="s">
        <v>30</v>
      </c>
      <c r="H4249" t="s">
        <v>338</v>
      </c>
      <c r="I4249" t="s">
        <v>339</v>
      </c>
      <c r="J4249">
        <v>322100024</v>
      </c>
      <c r="K4249">
        <v>20221104</v>
      </c>
      <c r="L4249" t="s">
        <v>4263</v>
      </c>
      <c r="M4249">
        <v>0</v>
      </c>
      <c r="N4249">
        <v>0.9</v>
      </c>
      <c r="O4249" t="s">
        <v>22</v>
      </c>
      <c r="P4249">
        <v>20230218</v>
      </c>
      <c r="Q4249">
        <v>20221104</v>
      </c>
    </row>
    <row r="4250" spans="1:17" x14ac:dyDescent="0.25">
      <c r="A4250" t="s">
        <v>548</v>
      </c>
      <c r="B4250" t="s">
        <v>429</v>
      </c>
      <c r="C4250">
        <v>154</v>
      </c>
      <c r="D4250">
        <v>20221104</v>
      </c>
      <c r="E4250">
        <f t="shared" si="66"/>
        <v>11</v>
      </c>
      <c r="F4250">
        <v>411100</v>
      </c>
      <c r="G4250" t="s">
        <v>18</v>
      </c>
      <c r="H4250" t="s">
        <v>37</v>
      </c>
      <c r="I4250" t="s">
        <v>38</v>
      </c>
      <c r="J4250">
        <v>322090016</v>
      </c>
      <c r="K4250">
        <v>20221104</v>
      </c>
      <c r="L4250" t="s">
        <v>4264</v>
      </c>
      <c r="M4250">
        <v>0</v>
      </c>
      <c r="N4250">
        <v>322.95999999999998</v>
      </c>
      <c r="O4250" t="s">
        <v>19</v>
      </c>
      <c r="P4250" t="s">
        <v>20</v>
      </c>
      <c r="Q4250">
        <v>20221104</v>
      </c>
    </row>
    <row r="4251" spans="1:17" x14ac:dyDescent="0.25">
      <c r="A4251" t="s">
        <v>548</v>
      </c>
      <c r="B4251" t="s">
        <v>429</v>
      </c>
      <c r="C4251">
        <v>154</v>
      </c>
      <c r="D4251">
        <v>20221104</v>
      </c>
      <c r="E4251">
        <f t="shared" si="66"/>
        <v>11</v>
      </c>
      <c r="F4251">
        <v>411100</v>
      </c>
      <c r="G4251" t="s">
        <v>18</v>
      </c>
      <c r="H4251" t="s">
        <v>3216</v>
      </c>
      <c r="I4251" t="s">
        <v>3217</v>
      </c>
      <c r="J4251">
        <v>322100010</v>
      </c>
      <c r="K4251">
        <v>20221104</v>
      </c>
      <c r="L4251" t="s">
        <v>4265</v>
      </c>
      <c r="M4251">
        <v>0</v>
      </c>
      <c r="N4251">
        <v>15.03</v>
      </c>
      <c r="O4251" t="s">
        <v>22</v>
      </c>
      <c r="P4251">
        <v>20230218</v>
      </c>
      <c r="Q4251">
        <v>20221104</v>
      </c>
    </row>
    <row r="4252" spans="1:17" x14ac:dyDescent="0.25">
      <c r="A4252" t="s">
        <v>548</v>
      </c>
      <c r="B4252" t="s">
        <v>429</v>
      </c>
      <c r="C4252">
        <v>154</v>
      </c>
      <c r="D4252">
        <v>20221104</v>
      </c>
      <c r="E4252">
        <f t="shared" si="66"/>
        <v>11</v>
      </c>
      <c r="F4252">
        <v>411100</v>
      </c>
      <c r="G4252" t="s">
        <v>18</v>
      </c>
      <c r="H4252" t="s">
        <v>3216</v>
      </c>
      <c r="I4252" t="s">
        <v>3217</v>
      </c>
      <c r="J4252">
        <v>322100010</v>
      </c>
      <c r="K4252">
        <v>20221104</v>
      </c>
      <c r="L4252" t="s">
        <v>4266</v>
      </c>
      <c r="M4252">
        <v>0</v>
      </c>
      <c r="N4252">
        <v>4.97</v>
      </c>
      <c r="O4252" t="s">
        <v>19</v>
      </c>
      <c r="P4252" t="s">
        <v>20</v>
      </c>
      <c r="Q4252">
        <v>20221104</v>
      </c>
    </row>
    <row r="4253" spans="1:17" x14ac:dyDescent="0.25">
      <c r="A4253" t="s">
        <v>548</v>
      </c>
      <c r="B4253" t="s">
        <v>429</v>
      </c>
      <c r="C4253">
        <v>154</v>
      </c>
      <c r="D4253">
        <v>20221104</v>
      </c>
      <c r="E4253">
        <f t="shared" si="66"/>
        <v>11</v>
      </c>
      <c r="F4253">
        <v>531105</v>
      </c>
      <c r="G4253" t="s">
        <v>429</v>
      </c>
      <c r="H4253" t="s">
        <v>401</v>
      </c>
      <c r="I4253" t="s">
        <v>402</v>
      </c>
      <c r="J4253">
        <v>360647</v>
      </c>
      <c r="K4253">
        <v>20221104</v>
      </c>
      <c r="L4253" t="s">
        <v>565</v>
      </c>
      <c r="M4253">
        <v>488.28</v>
      </c>
      <c r="N4253">
        <v>0</v>
      </c>
      <c r="O4253" t="s">
        <v>19</v>
      </c>
      <c r="P4253" t="s">
        <v>20</v>
      </c>
      <c r="Q4253">
        <v>20221104</v>
      </c>
    </row>
    <row r="4254" spans="1:17" x14ac:dyDescent="0.25">
      <c r="A4254" t="s">
        <v>548</v>
      </c>
      <c r="B4254" t="s">
        <v>429</v>
      </c>
      <c r="C4254">
        <v>154</v>
      </c>
      <c r="D4254">
        <v>20221107</v>
      </c>
      <c r="E4254">
        <f t="shared" si="66"/>
        <v>11</v>
      </c>
      <c r="F4254">
        <v>467100</v>
      </c>
      <c r="G4254" t="s">
        <v>160</v>
      </c>
      <c r="H4254" t="s">
        <v>1305</v>
      </c>
      <c r="I4254" t="s">
        <v>1306</v>
      </c>
      <c r="J4254" t="s">
        <v>4267</v>
      </c>
      <c r="K4254">
        <v>20221107</v>
      </c>
      <c r="L4254" t="s">
        <v>4268</v>
      </c>
      <c r="M4254">
        <v>0</v>
      </c>
      <c r="N4254">
        <v>74</v>
      </c>
      <c r="O4254" t="s">
        <v>23</v>
      </c>
      <c r="P4254">
        <v>20221118</v>
      </c>
      <c r="Q4254">
        <v>20221107</v>
      </c>
    </row>
    <row r="4255" spans="1:17" x14ac:dyDescent="0.25">
      <c r="A4255" t="s">
        <v>548</v>
      </c>
      <c r="B4255" t="s">
        <v>429</v>
      </c>
      <c r="C4255">
        <v>154</v>
      </c>
      <c r="D4255">
        <v>20221107</v>
      </c>
      <c r="E4255">
        <f t="shared" si="66"/>
        <v>11</v>
      </c>
      <c r="F4255">
        <v>531105</v>
      </c>
      <c r="G4255" t="s">
        <v>429</v>
      </c>
      <c r="H4255" t="s">
        <v>401</v>
      </c>
      <c r="I4255" t="s">
        <v>402</v>
      </c>
      <c r="J4255" t="s">
        <v>4267</v>
      </c>
      <c r="K4255">
        <v>20221107</v>
      </c>
      <c r="L4255" t="s">
        <v>4268</v>
      </c>
      <c r="M4255">
        <v>74</v>
      </c>
      <c r="N4255">
        <v>0</v>
      </c>
      <c r="O4255" t="s">
        <v>19</v>
      </c>
      <c r="P4255" t="s">
        <v>20</v>
      </c>
      <c r="Q4255">
        <v>20221107</v>
      </c>
    </row>
    <row r="4256" spans="1:17" x14ac:dyDescent="0.25">
      <c r="A4256" t="s">
        <v>548</v>
      </c>
      <c r="B4256" t="s">
        <v>429</v>
      </c>
      <c r="C4256">
        <v>154</v>
      </c>
      <c r="D4256">
        <v>20221107</v>
      </c>
      <c r="E4256">
        <f t="shared" si="66"/>
        <v>11</v>
      </c>
      <c r="F4256">
        <v>411100</v>
      </c>
      <c r="G4256" t="s">
        <v>18</v>
      </c>
      <c r="H4256" t="s">
        <v>3784</v>
      </c>
      <c r="I4256" t="s">
        <v>3785</v>
      </c>
      <c r="J4256">
        <v>360588</v>
      </c>
      <c r="K4256">
        <v>20221107</v>
      </c>
      <c r="L4256" t="s">
        <v>4269</v>
      </c>
      <c r="M4256">
        <v>0</v>
      </c>
      <c r="N4256">
        <v>3</v>
      </c>
      <c r="O4256" t="s">
        <v>22</v>
      </c>
      <c r="P4256">
        <v>20230218</v>
      </c>
      <c r="Q4256">
        <v>20221107</v>
      </c>
    </row>
    <row r="4257" spans="1:17" x14ac:dyDescent="0.25">
      <c r="A4257" t="s">
        <v>548</v>
      </c>
      <c r="B4257" t="s">
        <v>429</v>
      </c>
      <c r="C4257">
        <v>154</v>
      </c>
      <c r="D4257">
        <v>20221107</v>
      </c>
      <c r="E4257">
        <f t="shared" si="66"/>
        <v>11</v>
      </c>
      <c r="F4257">
        <v>411100</v>
      </c>
      <c r="G4257" t="s">
        <v>18</v>
      </c>
      <c r="H4257" t="s">
        <v>154</v>
      </c>
      <c r="I4257" t="s">
        <v>155</v>
      </c>
      <c r="J4257">
        <v>360589</v>
      </c>
      <c r="K4257">
        <v>20221107</v>
      </c>
      <c r="L4257" t="s">
        <v>4270</v>
      </c>
      <c r="M4257">
        <v>0</v>
      </c>
      <c r="N4257">
        <v>23</v>
      </c>
      <c r="O4257" t="s">
        <v>19</v>
      </c>
      <c r="P4257" t="s">
        <v>20</v>
      </c>
      <c r="Q4257">
        <v>20221107</v>
      </c>
    </row>
    <row r="4258" spans="1:17" x14ac:dyDescent="0.25">
      <c r="A4258" t="s">
        <v>548</v>
      </c>
      <c r="B4258" t="s">
        <v>429</v>
      </c>
      <c r="C4258">
        <v>154</v>
      </c>
      <c r="D4258">
        <v>20221107</v>
      </c>
      <c r="E4258">
        <f t="shared" si="66"/>
        <v>11</v>
      </c>
      <c r="F4258">
        <v>411100</v>
      </c>
      <c r="G4258" t="s">
        <v>18</v>
      </c>
      <c r="H4258" t="s">
        <v>1033</v>
      </c>
      <c r="I4258" t="s">
        <v>1034</v>
      </c>
      <c r="J4258">
        <v>360590</v>
      </c>
      <c r="K4258">
        <v>20221107</v>
      </c>
      <c r="L4258" t="s">
        <v>4271</v>
      </c>
      <c r="M4258">
        <v>0</v>
      </c>
      <c r="N4258">
        <v>6</v>
      </c>
      <c r="O4258" t="s">
        <v>19</v>
      </c>
      <c r="P4258" t="s">
        <v>20</v>
      </c>
      <c r="Q4258">
        <v>20221107</v>
      </c>
    </row>
    <row r="4259" spans="1:17" x14ac:dyDescent="0.25">
      <c r="A4259" t="s">
        <v>548</v>
      </c>
      <c r="B4259" t="s">
        <v>429</v>
      </c>
      <c r="C4259">
        <v>154</v>
      </c>
      <c r="D4259">
        <v>20221107</v>
      </c>
      <c r="E4259">
        <f t="shared" si="66"/>
        <v>11</v>
      </c>
      <c r="F4259">
        <v>411100</v>
      </c>
      <c r="G4259" t="s">
        <v>18</v>
      </c>
      <c r="H4259" t="s">
        <v>1911</v>
      </c>
      <c r="I4259" t="s">
        <v>1912</v>
      </c>
      <c r="J4259">
        <v>360591</v>
      </c>
      <c r="K4259">
        <v>20221107</v>
      </c>
      <c r="L4259" t="s">
        <v>4272</v>
      </c>
      <c r="M4259">
        <v>0</v>
      </c>
      <c r="N4259">
        <v>12</v>
      </c>
      <c r="O4259" t="s">
        <v>19</v>
      </c>
      <c r="P4259" t="s">
        <v>20</v>
      </c>
      <c r="Q4259">
        <v>20221107</v>
      </c>
    </row>
    <row r="4260" spans="1:17" x14ac:dyDescent="0.25">
      <c r="A4260" t="s">
        <v>548</v>
      </c>
      <c r="B4260" t="s">
        <v>429</v>
      </c>
      <c r="C4260">
        <v>154</v>
      </c>
      <c r="D4260">
        <v>20221107</v>
      </c>
      <c r="E4260">
        <f t="shared" si="66"/>
        <v>11</v>
      </c>
      <c r="F4260">
        <v>411100</v>
      </c>
      <c r="G4260" t="s">
        <v>18</v>
      </c>
      <c r="H4260" t="s">
        <v>3964</v>
      </c>
      <c r="I4260" t="s">
        <v>3965</v>
      </c>
      <c r="J4260">
        <v>360592</v>
      </c>
      <c r="K4260">
        <v>20221107</v>
      </c>
      <c r="L4260" t="s">
        <v>4273</v>
      </c>
      <c r="M4260">
        <v>0</v>
      </c>
      <c r="N4260">
        <v>6</v>
      </c>
      <c r="O4260" t="s">
        <v>22</v>
      </c>
      <c r="P4260">
        <v>20230218</v>
      </c>
      <c r="Q4260">
        <v>20221107</v>
      </c>
    </row>
    <row r="4261" spans="1:17" x14ac:dyDescent="0.25">
      <c r="A4261" t="s">
        <v>548</v>
      </c>
      <c r="B4261" t="s">
        <v>429</v>
      </c>
      <c r="C4261">
        <v>154</v>
      </c>
      <c r="D4261">
        <v>20221107</v>
      </c>
      <c r="E4261">
        <f t="shared" si="66"/>
        <v>11</v>
      </c>
      <c r="F4261">
        <v>411100</v>
      </c>
      <c r="G4261" t="s">
        <v>18</v>
      </c>
      <c r="H4261" t="s">
        <v>1062</v>
      </c>
      <c r="I4261" t="s">
        <v>1063</v>
      </c>
      <c r="J4261">
        <v>360593</v>
      </c>
      <c r="K4261">
        <v>20221107</v>
      </c>
      <c r="L4261" t="s">
        <v>4274</v>
      </c>
      <c r="M4261">
        <v>0</v>
      </c>
      <c r="N4261">
        <v>12</v>
      </c>
      <c r="O4261" t="s">
        <v>22</v>
      </c>
      <c r="P4261">
        <v>20230218</v>
      </c>
      <c r="Q4261">
        <v>20221107</v>
      </c>
    </row>
    <row r="4262" spans="1:17" x14ac:dyDescent="0.25">
      <c r="A4262" t="s">
        <v>548</v>
      </c>
      <c r="B4262" t="s">
        <v>429</v>
      </c>
      <c r="C4262">
        <v>154</v>
      </c>
      <c r="D4262">
        <v>20221107</v>
      </c>
      <c r="E4262">
        <f t="shared" si="66"/>
        <v>11</v>
      </c>
      <c r="F4262">
        <v>411100</v>
      </c>
      <c r="G4262" t="s">
        <v>18</v>
      </c>
      <c r="H4262" t="s">
        <v>65</v>
      </c>
      <c r="I4262" t="s">
        <v>66</v>
      </c>
      <c r="J4262">
        <v>360594</v>
      </c>
      <c r="K4262">
        <v>20221107</v>
      </c>
      <c r="L4262" t="s">
        <v>4275</v>
      </c>
      <c r="M4262">
        <v>0</v>
      </c>
      <c r="N4262">
        <v>6</v>
      </c>
      <c r="O4262" t="s">
        <v>19</v>
      </c>
      <c r="P4262" t="s">
        <v>20</v>
      </c>
      <c r="Q4262">
        <v>20221107</v>
      </c>
    </row>
    <row r="4263" spans="1:17" x14ac:dyDescent="0.25">
      <c r="A4263" t="s">
        <v>548</v>
      </c>
      <c r="B4263" t="s">
        <v>429</v>
      </c>
      <c r="C4263">
        <v>154</v>
      </c>
      <c r="D4263">
        <v>20221107</v>
      </c>
      <c r="E4263">
        <f t="shared" si="66"/>
        <v>11</v>
      </c>
      <c r="F4263">
        <v>411100</v>
      </c>
      <c r="G4263" t="s">
        <v>18</v>
      </c>
      <c r="H4263" t="s">
        <v>255</v>
      </c>
      <c r="I4263" t="s">
        <v>256</v>
      </c>
      <c r="J4263">
        <v>360595</v>
      </c>
      <c r="K4263">
        <v>20221107</v>
      </c>
      <c r="L4263" t="s">
        <v>4276</v>
      </c>
      <c r="M4263">
        <v>0</v>
      </c>
      <c r="N4263">
        <v>6</v>
      </c>
      <c r="O4263" t="s">
        <v>22</v>
      </c>
      <c r="P4263">
        <v>20230218</v>
      </c>
      <c r="Q4263">
        <v>20221107</v>
      </c>
    </row>
    <row r="4264" spans="1:17" x14ac:dyDescent="0.25">
      <c r="A4264" t="s">
        <v>548</v>
      </c>
      <c r="B4264" t="s">
        <v>429</v>
      </c>
      <c r="C4264">
        <v>154</v>
      </c>
      <c r="D4264">
        <v>20221107</v>
      </c>
      <c r="E4264">
        <f t="shared" si="66"/>
        <v>11</v>
      </c>
      <c r="F4264">
        <v>411100</v>
      </c>
      <c r="G4264" t="s">
        <v>18</v>
      </c>
      <c r="H4264" t="s">
        <v>657</v>
      </c>
      <c r="I4264" t="s">
        <v>658</v>
      </c>
      <c r="J4264">
        <v>360596</v>
      </c>
      <c r="K4264">
        <v>20221107</v>
      </c>
      <c r="L4264" t="s">
        <v>4277</v>
      </c>
      <c r="M4264">
        <v>0</v>
      </c>
      <c r="N4264">
        <v>6</v>
      </c>
      <c r="O4264" t="s">
        <v>19</v>
      </c>
      <c r="P4264" t="s">
        <v>20</v>
      </c>
      <c r="Q4264">
        <v>20221107</v>
      </c>
    </row>
    <row r="4265" spans="1:17" x14ac:dyDescent="0.25">
      <c r="A4265" t="s">
        <v>548</v>
      </c>
      <c r="B4265" t="s">
        <v>429</v>
      </c>
      <c r="C4265">
        <v>154</v>
      </c>
      <c r="D4265">
        <v>20221107</v>
      </c>
      <c r="E4265">
        <f t="shared" si="66"/>
        <v>11</v>
      </c>
      <c r="F4265">
        <v>411100</v>
      </c>
      <c r="G4265" t="s">
        <v>18</v>
      </c>
      <c r="H4265" t="s">
        <v>81</v>
      </c>
      <c r="I4265" t="s">
        <v>82</v>
      </c>
      <c r="J4265">
        <v>360597</v>
      </c>
      <c r="K4265">
        <v>20221107</v>
      </c>
      <c r="L4265" t="s">
        <v>4278</v>
      </c>
      <c r="M4265">
        <v>0</v>
      </c>
      <c r="N4265">
        <v>6</v>
      </c>
      <c r="O4265" t="s">
        <v>19</v>
      </c>
      <c r="P4265" t="s">
        <v>20</v>
      </c>
      <c r="Q4265">
        <v>20221107</v>
      </c>
    </row>
    <row r="4266" spans="1:17" x14ac:dyDescent="0.25">
      <c r="A4266" t="s">
        <v>548</v>
      </c>
      <c r="B4266" t="s">
        <v>429</v>
      </c>
      <c r="C4266">
        <v>154</v>
      </c>
      <c r="D4266">
        <v>20221107</v>
      </c>
      <c r="E4266">
        <f t="shared" si="66"/>
        <v>11</v>
      </c>
      <c r="F4266">
        <v>411100</v>
      </c>
      <c r="G4266" t="s">
        <v>18</v>
      </c>
      <c r="H4266" t="s">
        <v>73</v>
      </c>
      <c r="I4266" t="s">
        <v>74</v>
      </c>
      <c r="J4266">
        <v>360598</v>
      </c>
      <c r="K4266">
        <v>20221107</v>
      </c>
      <c r="L4266" t="s">
        <v>4279</v>
      </c>
      <c r="M4266">
        <v>0</v>
      </c>
      <c r="N4266">
        <v>25.5</v>
      </c>
      <c r="O4266" t="s">
        <v>19</v>
      </c>
      <c r="P4266" t="s">
        <v>20</v>
      </c>
      <c r="Q4266">
        <v>20221107</v>
      </c>
    </row>
    <row r="4267" spans="1:17" x14ac:dyDescent="0.25">
      <c r="A4267" t="s">
        <v>548</v>
      </c>
      <c r="B4267" t="s">
        <v>429</v>
      </c>
      <c r="C4267">
        <v>154</v>
      </c>
      <c r="D4267">
        <v>20221107</v>
      </c>
      <c r="E4267">
        <f t="shared" si="66"/>
        <v>11</v>
      </c>
      <c r="F4267">
        <v>411100</v>
      </c>
      <c r="G4267" t="s">
        <v>18</v>
      </c>
      <c r="H4267" t="s">
        <v>3646</v>
      </c>
      <c r="I4267" t="s">
        <v>3647</v>
      </c>
      <c r="J4267">
        <v>122090025</v>
      </c>
      <c r="K4267">
        <v>20221107</v>
      </c>
      <c r="L4267" t="s">
        <v>4280</v>
      </c>
      <c r="M4267">
        <v>0</v>
      </c>
      <c r="N4267">
        <v>10</v>
      </c>
      <c r="O4267" t="s">
        <v>22</v>
      </c>
      <c r="P4267">
        <v>20230218</v>
      </c>
      <c r="Q4267">
        <v>20221107</v>
      </c>
    </row>
    <row r="4268" spans="1:17" x14ac:dyDescent="0.25">
      <c r="A4268" t="s">
        <v>548</v>
      </c>
      <c r="B4268" t="s">
        <v>429</v>
      </c>
      <c r="C4268">
        <v>154</v>
      </c>
      <c r="D4268">
        <v>20221107</v>
      </c>
      <c r="E4268">
        <f t="shared" si="66"/>
        <v>11</v>
      </c>
      <c r="F4268">
        <v>411100</v>
      </c>
      <c r="G4268" t="s">
        <v>18</v>
      </c>
      <c r="H4268" t="s">
        <v>105</v>
      </c>
      <c r="I4268" t="s">
        <v>106</v>
      </c>
      <c r="J4268">
        <v>360600</v>
      </c>
      <c r="K4268">
        <v>20221107</v>
      </c>
      <c r="L4268" t="s">
        <v>4281</v>
      </c>
      <c r="M4268">
        <v>0</v>
      </c>
      <c r="N4268">
        <v>20</v>
      </c>
      <c r="O4268" t="s">
        <v>19</v>
      </c>
      <c r="P4268" t="s">
        <v>20</v>
      </c>
      <c r="Q4268">
        <v>20221107</v>
      </c>
    </row>
    <row r="4269" spans="1:17" x14ac:dyDescent="0.25">
      <c r="A4269" t="s">
        <v>548</v>
      </c>
      <c r="B4269" t="s">
        <v>429</v>
      </c>
      <c r="C4269">
        <v>154</v>
      </c>
      <c r="D4269">
        <v>20221107</v>
      </c>
      <c r="E4269">
        <f t="shared" si="66"/>
        <v>11</v>
      </c>
      <c r="F4269">
        <v>411100</v>
      </c>
      <c r="G4269" t="s">
        <v>18</v>
      </c>
      <c r="H4269" t="s">
        <v>217</v>
      </c>
      <c r="I4269" t="s">
        <v>218</v>
      </c>
      <c r="J4269">
        <v>360601</v>
      </c>
      <c r="K4269">
        <v>20221107</v>
      </c>
      <c r="L4269" t="s">
        <v>4282</v>
      </c>
      <c r="M4269">
        <v>0</v>
      </c>
      <c r="N4269">
        <v>6</v>
      </c>
      <c r="O4269" t="s">
        <v>19</v>
      </c>
      <c r="P4269" t="s">
        <v>20</v>
      </c>
      <c r="Q4269">
        <v>20221107</v>
      </c>
    </row>
    <row r="4270" spans="1:17" x14ac:dyDescent="0.25">
      <c r="A4270" t="s">
        <v>548</v>
      </c>
      <c r="B4270" t="s">
        <v>429</v>
      </c>
      <c r="C4270">
        <v>154</v>
      </c>
      <c r="D4270">
        <v>20221107</v>
      </c>
      <c r="E4270">
        <f t="shared" si="66"/>
        <v>11</v>
      </c>
      <c r="F4270">
        <v>411100</v>
      </c>
      <c r="G4270" t="s">
        <v>18</v>
      </c>
      <c r="H4270" t="s">
        <v>259</v>
      </c>
      <c r="I4270" t="s">
        <v>260</v>
      </c>
      <c r="J4270">
        <v>360602</v>
      </c>
      <c r="K4270">
        <v>20221107</v>
      </c>
      <c r="L4270" t="s">
        <v>4283</v>
      </c>
      <c r="M4270">
        <v>0</v>
      </c>
      <c r="N4270">
        <v>3.5</v>
      </c>
      <c r="O4270" t="s">
        <v>19</v>
      </c>
      <c r="P4270" t="s">
        <v>20</v>
      </c>
      <c r="Q4270">
        <v>20221107</v>
      </c>
    </row>
    <row r="4271" spans="1:17" x14ac:dyDescent="0.25">
      <c r="A4271" t="s">
        <v>548</v>
      </c>
      <c r="B4271" t="s">
        <v>429</v>
      </c>
      <c r="C4271">
        <v>154</v>
      </c>
      <c r="D4271">
        <v>20221107</v>
      </c>
      <c r="E4271">
        <f t="shared" si="66"/>
        <v>11</v>
      </c>
      <c r="F4271">
        <v>411100</v>
      </c>
      <c r="G4271" t="s">
        <v>18</v>
      </c>
      <c r="H4271" t="s">
        <v>1172</v>
      </c>
      <c r="I4271" t="s">
        <v>1173</v>
      </c>
      <c r="J4271">
        <v>360603</v>
      </c>
      <c r="K4271">
        <v>20221107</v>
      </c>
      <c r="L4271" t="s">
        <v>4284</v>
      </c>
      <c r="M4271">
        <v>0</v>
      </c>
      <c r="N4271">
        <v>3.5</v>
      </c>
      <c r="O4271" t="s">
        <v>19</v>
      </c>
      <c r="P4271" t="s">
        <v>20</v>
      </c>
      <c r="Q4271">
        <v>20221107</v>
      </c>
    </row>
    <row r="4272" spans="1:17" x14ac:dyDescent="0.25">
      <c r="A4272" t="s">
        <v>548</v>
      </c>
      <c r="B4272" t="s">
        <v>429</v>
      </c>
      <c r="C4272">
        <v>154</v>
      </c>
      <c r="D4272">
        <v>20221107</v>
      </c>
      <c r="E4272">
        <f t="shared" si="66"/>
        <v>11</v>
      </c>
      <c r="F4272">
        <v>411100</v>
      </c>
      <c r="G4272" t="s">
        <v>18</v>
      </c>
      <c r="H4272" t="s">
        <v>800</v>
      </c>
      <c r="I4272" t="s">
        <v>801</v>
      </c>
      <c r="J4272">
        <v>360604</v>
      </c>
      <c r="K4272">
        <v>20221107</v>
      </c>
      <c r="L4272" t="s">
        <v>4285</v>
      </c>
      <c r="M4272">
        <v>0</v>
      </c>
      <c r="N4272">
        <v>5</v>
      </c>
      <c r="O4272" t="s">
        <v>19</v>
      </c>
      <c r="P4272" t="s">
        <v>20</v>
      </c>
      <c r="Q4272">
        <v>20221107</v>
      </c>
    </row>
    <row r="4273" spans="1:17" x14ac:dyDescent="0.25">
      <c r="A4273" t="s">
        <v>548</v>
      </c>
      <c r="B4273" t="s">
        <v>429</v>
      </c>
      <c r="C4273">
        <v>154</v>
      </c>
      <c r="D4273">
        <v>20221107</v>
      </c>
      <c r="E4273">
        <f t="shared" si="66"/>
        <v>11</v>
      </c>
      <c r="F4273">
        <v>411100</v>
      </c>
      <c r="G4273" t="s">
        <v>18</v>
      </c>
      <c r="H4273" t="s">
        <v>1172</v>
      </c>
      <c r="I4273" t="s">
        <v>1173</v>
      </c>
      <c r="J4273">
        <v>360605</v>
      </c>
      <c r="K4273">
        <v>20221107</v>
      </c>
      <c r="L4273" t="s">
        <v>4286</v>
      </c>
      <c r="M4273">
        <v>0</v>
      </c>
      <c r="N4273">
        <v>5</v>
      </c>
      <c r="O4273" t="s">
        <v>19</v>
      </c>
      <c r="P4273" t="s">
        <v>20</v>
      </c>
      <c r="Q4273">
        <v>20221107</v>
      </c>
    </row>
    <row r="4274" spans="1:17" x14ac:dyDescent="0.25">
      <c r="A4274" t="s">
        <v>548</v>
      </c>
      <c r="B4274" t="s">
        <v>429</v>
      </c>
      <c r="C4274">
        <v>154</v>
      </c>
      <c r="D4274">
        <v>20221107</v>
      </c>
      <c r="E4274">
        <f t="shared" si="66"/>
        <v>11</v>
      </c>
      <c r="F4274">
        <v>531105</v>
      </c>
      <c r="G4274" t="s">
        <v>429</v>
      </c>
      <c r="H4274" t="s">
        <v>401</v>
      </c>
      <c r="I4274" t="s">
        <v>402</v>
      </c>
      <c r="J4274">
        <v>360606</v>
      </c>
      <c r="K4274">
        <v>20221107</v>
      </c>
      <c r="L4274" t="s">
        <v>565</v>
      </c>
      <c r="M4274">
        <v>164.5</v>
      </c>
      <c r="N4274">
        <v>0</v>
      </c>
      <c r="O4274" t="s">
        <v>19</v>
      </c>
      <c r="P4274" t="s">
        <v>20</v>
      </c>
      <c r="Q4274">
        <v>20221107</v>
      </c>
    </row>
    <row r="4275" spans="1:17" x14ac:dyDescent="0.25">
      <c r="A4275" t="s">
        <v>548</v>
      </c>
      <c r="B4275" t="s">
        <v>429</v>
      </c>
      <c r="C4275">
        <v>154</v>
      </c>
      <c r="D4275">
        <v>20221108</v>
      </c>
      <c r="E4275">
        <f t="shared" si="66"/>
        <v>11</v>
      </c>
      <c r="F4275">
        <v>411020</v>
      </c>
      <c r="G4275" t="s">
        <v>30</v>
      </c>
      <c r="H4275" t="s">
        <v>307</v>
      </c>
      <c r="I4275" t="s">
        <v>308</v>
      </c>
      <c r="J4275">
        <v>122100261</v>
      </c>
      <c r="K4275">
        <v>20221108</v>
      </c>
      <c r="L4275" t="s">
        <v>4287</v>
      </c>
      <c r="M4275">
        <v>0</v>
      </c>
      <c r="N4275">
        <v>13.4</v>
      </c>
      <c r="O4275" t="s">
        <v>19</v>
      </c>
      <c r="P4275" t="s">
        <v>20</v>
      </c>
      <c r="Q4275">
        <v>20221108</v>
      </c>
    </row>
    <row r="4276" spans="1:17" x14ac:dyDescent="0.25">
      <c r="A4276" t="s">
        <v>548</v>
      </c>
      <c r="B4276" t="s">
        <v>429</v>
      </c>
      <c r="C4276">
        <v>154</v>
      </c>
      <c r="D4276">
        <v>20221108</v>
      </c>
      <c r="E4276">
        <f t="shared" si="66"/>
        <v>11</v>
      </c>
      <c r="F4276">
        <v>411020</v>
      </c>
      <c r="G4276" t="s">
        <v>30</v>
      </c>
      <c r="H4276" t="s">
        <v>307</v>
      </c>
      <c r="I4276" t="s">
        <v>308</v>
      </c>
      <c r="J4276">
        <v>122100261</v>
      </c>
      <c r="K4276">
        <v>20221108</v>
      </c>
      <c r="L4276" t="s">
        <v>4288</v>
      </c>
      <c r="M4276">
        <v>0</v>
      </c>
      <c r="N4276">
        <v>6.6</v>
      </c>
      <c r="O4276" t="s">
        <v>22</v>
      </c>
      <c r="P4276">
        <v>20230218</v>
      </c>
      <c r="Q4276">
        <v>20221108</v>
      </c>
    </row>
    <row r="4277" spans="1:17" x14ac:dyDescent="0.25">
      <c r="A4277" t="s">
        <v>548</v>
      </c>
      <c r="B4277" t="s">
        <v>429</v>
      </c>
      <c r="C4277">
        <v>154</v>
      </c>
      <c r="D4277">
        <v>20221108</v>
      </c>
      <c r="E4277">
        <f t="shared" si="66"/>
        <v>11</v>
      </c>
      <c r="F4277">
        <v>411100</v>
      </c>
      <c r="G4277" t="s">
        <v>18</v>
      </c>
      <c r="H4277" t="s">
        <v>3964</v>
      </c>
      <c r="I4277" t="s">
        <v>3965</v>
      </c>
      <c r="J4277">
        <v>360609</v>
      </c>
      <c r="K4277">
        <v>20221108</v>
      </c>
      <c r="L4277" t="s">
        <v>4289</v>
      </c>
      <c r="M4277">
        <v>0</v>
      </c>
      <c r="N4277">
        <v>10</v>
      </c>
      <c r="O4277" t="s">
        <v>22</v>
      </c>
      <c r="P4277">
        <v>20230218</v>
      </c>
      <c r="Q4277">
        <v>20221108</v>
      </c>
    </row>
    <row r="4278" spans="1:17" x14ac:dyDescent="0.25">
      <c r="A4278" t="s">
        <v>548</v>
      </c>
      <c r="B4278" t="s">
        <v>429</v>
      </c>
      <c r="C4278">
        <v>154</v>
      </c>
      <c r="D4278">
        <v>20221108</v>
      </c>
      <c r="E4278">
        <f t="shared" si="66"/>
        <v>11</v>
      </c>
      <c r="F4278">
        <v>411100</v>
      </c>
      <c r="G4278" t="s">
        <v>18</v>
      </c>
      <c r="H4278" t="s">
        <v>800</v>
      </c>
      <c r="I4278" t="s">
        <v>801</v>
      </c>
      <c r="J4278">
        <v>360610</v>
      </c>
      <c r="K4278">
        <v>20221108</v>
      </c>
      <c r="L4278" t="s">
        <v>4290</v>
      </c>
      <c r="M4278">
        <v>0</v>
      </c>
      <c r="N4278">
        <v>10</v>
      </c>
      <c r="O4278" t="s">
        <v>19</v>
      </c>
      <c r="P4278" t="s">
        <v>20</v>
      </c>
      <c r="Q4278">
        <v>20221108</v>
      </c>
    </row>
    <row r="4279" spans="1:17" x14ac:dyDescent="0.25">
      <c r="A4279" t="s">
        <v>548</v>
      </c>
      <c r="B4279" t="s">
        <v>429</v>
      </c>
      <c r="C4279">
        <v>154</v>
      </c>
      <c r="D4279">
        <v>20221108</v>
      </c>
      <c r="E4279">
        <f t="shared" si="66"/>
        <v>11</v>
      </c>
      <c r="F4279">
        <v>411100</v>
      </c>
      <c r="G4279" t="s">
        <v>18</v>
      </c>
      <c r="H4279" t="s">
        <v>77</v>
      </c>
      <c r="I4279" t="s">
        <v>78</v>
      </c>
      <c r="J4279">
        <v>360611</v>
      </c>
      <c r="K4279">
        <v>20221108</v>
      </c>
      <c r="L4279" t="s">
        <v>4291</v>
      </c>
      <c r="M4279">
        <v>0</v>
      </c>
      <c r="N4279">
        <v>21</v>
      </c>
      <c r="O4279" t="s">
        <v>19</v>
      </c>
      <c r="P4279" t="s">
        <v>20</v>
      </c>
      <c r="Q4279">
        <v>20221108</v>
      </c>
    </row>
    <row r="4280" spans="1:17" x14ac:dyDescent="0.25">
      <c r="A4280" t="s">
        <v>548</v>
      </c>
      <c r="B4280" t="s">
        <v>429</v>
      </c>
      <c r="C4280">
        <v>154</v>
      </c>
      <c r="D4280">
        <v>20221108</v>
      </c>
      <c r="E4280">
        <f t="shared" si="66"/>
        <v>11</v>
      </c>
      <c r="F4280">
        <v>411100</v>
      </c>
      <c r="G4280" t="s">
        <v>18</v>
      </c>
      <c r="H4280" t="s">
        <v>3975</v>
      </c>
      <c r="I4280" t="s">
        <v>3976</v>
      </c>
      <c r="J4280">
        <v>360612</v>
      </c>
      <c r="K4280">
        <v>20221108</v>
      </c>
      <c r="L4280" t="s">
        <v>4292</v>
      </c>
      <c r="M4280">
        <v>0</v>
      </c>
      <c r="N4280">
        <v>15</v>
      </c>
      <c r="O4280" t="s">
        <v>22</v>
      </c>
      <c r="P4280">
        <v>20230218</v>
      </c>
      <c r="Q4280">
        <v>20221108</v>
      </c>
    </row>
    <row r="4281" spans="1:17" x14ac:dyDescent="0.25">
      <c r="A4281" t="s">
        <v>548</v>
      </c>
      <c r="B4281" t="s">
        <v>429</v>
      </c>
      <c r="C4281">
        <v>154</v>
      </c>
      <c r="D4281">
        <v>20221108</v>
      </c>
      <c r="E4281">
        <f t="shared" si="66"/>
        <v>11</v>
      </c>
      <c r="F4281">
        <v>411100</v>
      </c>
      <c r="G4281" t="s">
        <v>18</v>
      </c>
      <c r="H4281" t="s">
        <v>4293</v>
      </c>
      <c r="I4281" t="s">
        <v>4294</v>
      </c>
      <c r="J4281">
        <v>360613</v>
      </c>
      <c r="K4281">
        <v>20221108</v>
      </c>
      <c r="L4281" t="s">
        <v>4295</v>
      </c>
      <c r="M4281">
        <v>0</v>
      </c>
      <c r="N4281">
        <v>18</v>
      </c>
      <c r="O4281" t="s">
        <v>22</v>
      </c>
      <c r="P4281">
        <v>20230218</v>
      </c>
      <c r="Q4281">
        <v>20221108</v>
      </c>
    </row>
    <row r="4282" spans="1:17" x14ac:dyDescent="0.25">
      <c r="A4282" t="s">
        <v>548</v>
      </c>
      <c r="B4282" t="s">
        <v>429</v>
      </c>
      <c r="C4282">
        <v>154</v>
      </c>
      <c r="D4282">
        <v>20221108</v>
      </c>
      <c r="E4282">
        <f t="shared" si="66"/>
        <v>11</v>
      </c>
      <c r="F4282">
        <v>411100</v>
      </c>
      <c r="G4282" t="s">
        <v>18</v>
      </c>
      <c r="H4282" t="s">
        <v>2901</v>
      </c>
      <c r="I4282" t="s">
        <v>2902</v>
      </c>
      <c r="J4282">
        <v>360614</v>
      </c>
      <c r="K4282">
        <v>20221108</v>
      </c>
      <c r="L4282" t="s">
        <v>4296</v>
      </c>
      <c r="M4282">
        <v>0</v>
      </c>
      <c r="N4282">
        <v>6</v>
      </c>
      <c r="O4282" t="s">
        <v>23</v>
      </c>
      <c r="P4282">
        <v>20230218</v>
      </c>
      <c r="Q4282">
        <v>20221108</v>
      </c>
    </row>
    <row r="4283" spans="1:17" x14ac:dyDescent="0.25">
      <c r="A4283" t="s">
        <v>548</v>
      </c>
      <c r="B4283" t="s">
        <v>429</v>
      </c>
      <c r="C4283">
        <v>154</v>
      </c>
      <c r="D4283">
        <v>20221108</v>
      </c>
      <c r="E4283">
        <f t="shared" si="66"/>
        <v>11</v>
      </c>
      <c r="F4283">
        <v>411100</v>
      </c>
      <c r="G4283" t="s">
        <v>18</v>
      </c>
      <c r="H4283" t="s">
        <v>2246</v>
      </c>
      <c r="I4283" t="s">
        <v>2247</v>
      </c>
      <c r="J4283">
        <v>360615</v>
      </c>
      <c r="K4283">
        <v>20221108</v>
      </c>
      <c r="L4283" t="s">
        <v>4297</v>
      </c>
      <c r="M4283">
        <v>0</v>
      </c>
      <c r="N4283">
        <v>3</v>
      </c>
      <c r="O4283" t="s">
        <v>23</v>
      </c>
      <c r="P4283">
        <v>20230329</v>
      </c>
      <c r="Q4283">
        <v>20221108</v>
      </c>
    </row>
    <row r="4284" spans="1:17" x14ac:dyDescent="0.25">
      <c r="A4284" t="s">
        <v>548</v>
      </c>
      <c r="B4284" t="s">
        <v>429</v>
      </c>
      <c r="C4284">
        <v>154</v>
      </c>
      <c r="D4284">
        <v>20221108</v>
      </c>
      <c r="E4284">
        <f t="shared" si="66"/>
        <v>11</v>
      </c>
      <c r="F4284">
        <v>411100</v>
      </c>
      <c r="G4284" t="s">
        <v>18</v>
      </c>
      <c r="H4284" t="s">
        <v>3569</v>
      </c>
      <c r="I4284" t="s">
        <v>3570</v>
      </c>
      <c r="J4284">
        <v>360616</v>
      </c>
      <c r="K4284">
        <v>20221108</v>
      </c>
      <c r="L4284" t="s">
        <v>4298</v>
      </c>
      <c r="M4284">
        <v>0</v>
      </c>
      <c r="N4284">
        <v>3</v>
      </c>
      <c r="O4284" t="s">
        <v>22</v>
      </c>
      <c r="P4284">
        <v>20230218</v>
      </c>
      <c r="Q4284">
        <v>20221108</v>
      </c>
    </row>
    <row r="4285" spans="1:17" x14ac:dyDescent="0.25">
      <c r="A4285" t="s">
        <v>548</v>
      </c>
      <c r="B4285" t="s">
        <v>429</v>
      </c>
      <c r="C4285">
        <v>154</v>
      </c>
      <c r="D4285">
        <v>20221108</v>
      </c>
      <c r="E4285">
        <f t="shared" si="66"/>
        <v>11</v>
      </c>
      <c r="F4285">
        <v>411100</v>
      </c>
      <c r="G4285" t="s">
        <v>18</v>
      </c>
      <c r="H4285" t="s">
        <v>2168</v>
      </c>
      <c r="I4285" t="s">
        <v>2169</v>
      </c>
      <c r="J4285">
        <v>360617</v>
      </c>
      <c r="K4285">
        <v>20221108</v>
      </c>
      <c r="L4285" t="s">
        <v>4299</v>
      </c>
      <c r="M4285">
        <v>0</v>
      </c>
      <c r="N4285">
        <v>15</v>
      </c>
      <c r="O4285" t="s">
        <v>19</v>
      </c>
      <c r="P4285" t="s">
        <v>20</v>
      </c>
      <c r="Q4285">
        <v>20221108</v>
      </c>
    </row>
    <row r="4286" spans="1:17" x14ac:dyDescent="0.25">
      <c r="A4286" t="s">
        <v>548</v>
      </c>
      <c r="B4286" t="s">
        <v>429</v>
      </c>
      <c r="C4286">
        <v>154</v>
      </c>
      <c r="D4286">
        <v>20221108</v>
      </c>
      <c r="E4286">
        <f t="shared" si="66"/>
        <v>11</v>
      </c>
      <c r="F4286">
        <v>411100</v>
      </c>
      <c r="G4286" t="s">
        <v>18</v>
      </c>
      <c r="H4286" t="s">
        <v>77</v>
      </c>
      <c r="I4286" t="s">
        <v>78</v>
      </c>
      <c r="J4286">
        <v>360618</v>
      </c>
      <c r="K4286">
        <v>20221108</v>
      </c>
      <c r="L4286" t="s">
        <v>4300</v>
      </c>
      <c r="M4286">
        <v>0</v>
      </c>
      <c r="N4286">
        <v>18</v>
      </c>
      <c r="O4286" t="s">
        <v>19</v>
      </c>
      <c r="P4286" t="s">
        <v>20</v>
      </c>
      <c r="Q4286">
        <v>20221108</v>
      </c>
    </row>
    <row r="4287" spans="1:17" x14ac:dyDescent="0.25">
      <c r="A4287" t="s">
        <v>548</v>
      </c>
      <c r="B4287" t="s">
        <v>429</v>
      </c>
      <c r="C4287">
        <v>154</v>
      </c>
      <c r="D4287">
        <v>20221108</v>
      </c>
      <c r="E4287">
        <f t="shared" si="66"/>
        <v>11</v>
      </c>
      <c r="F4287">
        <v>411100</v>
      </c>
      <c r="G4287" t="s">
        <v>18</v>
      </c>
      <c r="H4287" t="s">
        <v>2168</v>
      </c>
      <c r="I4287" t="s">
        <v>2169</v>
      </c>
      <c r="J4287">
        <v>360619</v>
      </c>
      <c r="K4287">
        <v>20221108</v>
      </c>
      <c r="L4287" t="s">
        <v>4301</v>
      </c>
      <c r="M4287">
        <v>0</v>
      </c>
      <c r="N4287">
        <v>6</v>
      </c>
      <c r="O4287" t="s">
        <v>19</v>
      </c>
      <c r="P4287" t="s">
        <v>20</v>
      </c>
      <c r="Q4287">
        <v>20221108</v>
      </c>
    </row>
    <row r="4288" spans="1:17" x14ac:dyDescent="0.25">
      <c r="A4288" t="s">
        <v>548</v>
      </c>
      <c r="B4288" t="s">
        <v>429</v>
      </c>
      <c r="C4288">
        <v>154</v>
      </c>
      <c r="D4288">
        <v>20221108</v>
      </c>
      <c r="E4288">
        <f t="shared" si="66"/>
        <v>11</v>
      </c>
      <c r="F4288">
        <v>411100</v>
      </c>
      <c r="G4288" t="s">
        <v>18</v>
      </c>
      <c r="H4288" t="s">
        <v>3937</v>
      </c>
      <c r="I4288" t="s">
        <v>3938</v>
      </c>
      <c r="J4288">
        <v>360620</v>
      </c>
      <c r="K4288">
        <v>20221108</v>
      </c>
      <c r="L4288" t="s">
        <v>4302</v>
      </c>
      <c r="M4288">
        <v>0</v>
      </c>
      <c r="N4288">
        <v>12</v>
      </c>
      <c r="O4288" t="s">
        <v>22</v>
      </c>
      <c r="P4288">
        <v>20230218</v>
      </c>
      <c r="Q4288">
        <v>20221108</v>
      </c>
    </row>
    <row r="4289" spans="1:17" x14ac:dyDescent="0.25">
      <c r="A4289" t="s">
        <v>548</v>
      </c>
      <c r="B4289" t="s">
        <v>429</v>
      </c>
      <c r="C4289">
        <v>154</v>
      </c>
      <c r="D4289">
        <v>20221108</v>
      </c>
      <c r="E4289">
        <f t="shared" si="66"/>
        <v>11</v>
      </c>
      <c r="F4289">
        <v>411100</v>
      </c>
      <c r="G4289" t="s">
        <v>18</v>
      </c>
      <c r="H4289" t="s">
        <v>1301</v>
      </c>
      <c r="I4289" t="s">
        <v>1302</v>
      </c>
      <c r="J4289">
        <v>360621</v>
      </c>
      <c r="K4289">
        <v>20221108</v>
      </c>
      <c r="L4289" t="s">
        <v>4303</v>
      </c>
      <c r="M4289">
        <v>0</v>
      </c>
      <c r="N4289">
        <v>10</v>
      </c>
      <c r="O4289" t="s">
        <v>22</v>
      </c>
      <c r="P4289">
        <v>20230218</v>
      </c>
      <c r="Q4289">
        <v>20221108</v>
      </c>
    </row>
    <row r="4290" spans="1:17" x14ac:dyDescent="0.25">
      <c r="A4290" t="s">
        <v>548</v>
      </c>
      <c r="B4290" t="s">
        <v>429</v>
      </c>
      <c r="C4290">
        <v>154</v>
      </c>
      <c r="D4290">
        <v>20221108</v>
      </c>
      <c r="E4290">
        <f t="shared" si="66"/>
        <v>11</v>
      </c>
      <c r="F4290">
        <v>411100</v>
      </c>
      <c r="G4290" t="s">
        <v>18</v>
      </c>
      <c r="H4290" t="s">
        <v>291</v>
      </c>
      <c r="I4290" t="s">
        <v>292</v>
      </c>
      <c r="J4290">
        <v>360622</v>
      </c>
      <c r="K4290">
        <v>20221108</v>
      </c>
      <c r="L4290" t="s">
        <v>4304</v>
      </c>
      <c r="M4290">
        <v>0</v>
      </c>
      <c r="N4290">
        <v>9</v>
      </c>
      <c r="O4290" t="s">
        <v>19</v>
      </c>
      <c r="P4290" t="s">
        <v>20</v>
      </c>
      <c r="Q4290">
        <v>20221108</v>
      </c>
    </row>
    <row r="4291" spans="1:17" x14ac:dyDescent="0.25">
      <c r="A4291" t="s">
        <v>548</v>
      </c>
      <c r="B4291" t="s">
        <v>429</v>
      </c>
      <c r="C4291">
        <v>154</v>
      </c>
      <c r="D4291">
        <v>20221108</v>
      </c>
      <c r="E4291">
        <f t="shared" ref="E4291:E4354" si="67">VALUE(MID(D4291,5,2))</f>
        <v>11</v>
      </c>
      <c r="F4291">
        <v>411100</v>
      </c>
      <c r="G4291" t="s">
        <v>18</v>
      </c>
      <c r="H4291" t="s">
        <v>1299</v>
      </c>
      <c r="I4291" t="s">
        <v>1300</v>
      </c>
      <c r="J4291">
        <v>360623</v>
      </c>
      <c r="K4291">
        <v>20221108</v>
      </c>
      <c r="L4291" t="s">
        <v>4305</v>
      </c>
      <c r="M4291">
        <v>0</v>
      </c>
      <c r="N4291">
        <v>12</v>
      </c>
      <c r="O4291" t="s">
        <v>22</v>
      </c>
      <c r="P4291">
        <v>20230218</v>
      </c>
      <c r="Q4291">
        <v>20221108</v>
      </c>
    </row>
    <row r="4292" spans="1:17" x14ac:dyDescent="0.25">
      <c r="A4292" t="s">
        <v>548</v>
      </c>
      <c r="B4292" t="s">
        <v>429</v>
      </c>
      <c r="C4292">
        <v>154</v>
      </c>
      <c r="D4292">
        <v>20221108</v>
      </c>
      <c r="E4292">
        <f t="shared" si="67"/>
        <v>11</v>
      </c>
      <c r="F4292">
        <v>411100</v>
      </c>
      <c r="G4292" t="s">
        <v>18</v>
      </c>
      <c r="H4292" t="s">
        <v>2501</v>
      </c>
      <c r="I4292" t="s">
        <v>2502</v>
      </c>
      <c r="J4292">
        <v>360624</v>
      </c>
      <c r="K4292">
        <v>20221108</v>
      </c>
      <c r="L4292" t="s">
        <v>4306</v>
      </c>
      <c r="M4292">
        <v>0</v>
      </c>
      <c r="N4292">
        <v>9</v>
      </c>
      <c r="O4292" t="s">
        <v>22</v>
      </c>
      <c r="P4292">
        <v>20230218</v>
      </c>
      <c r="Q4292">
        <v>20221108</v>
      </c>
    </row>
    <row r="4293" spans="1:17" x14ac:dyDescent="0.25">
      <c r="A4293" t="s">
        <v>548</v>
      </c>
      <c r="B4293" t="s">
        <v>429</v>
      </c>
      <c r="C4293">
        <v>154</v>
      </c>
      <c r="D4293">
        <v>20221108</v>
      </c>
      <c r="E4293">
        <f t="shared" si="67"/>
        <v>11</v>
      </c>
      <c r="F4293">
        <v>411100</v>
      </c>
      <c r="G4293" t="s">
        <v>18</v>
      </c>
      <c r="H4293" t="s">
        <v>35</v>
      </c>
      <c r="I4293" t="s">
        <v>36</v>
      </c>
      <c r="J4293">
        <v>360625</v>
      </c>
      <c r="K4293">
        <v>20221108</v>
      </c>
      <c r="L4293" t="s">
        <v>4307</v>
      </c>
      <c r="M4293">
        <v>0</v>
      </c>
      <c r="N4293">
        <v>6</v>
      </c>
      <c r="O4293" t="s">
        <v>19</v>
      </c>
      <c r="P4293" t="s">
        <v>20</v>
      </c>
      <c r="Q4293">
        <v>20221108</v>
      </c>
    </row>
    <row r="4294" spans="1:17" x14ac:dyDescent="0.25">
      <c r="A4294" t="s">
        <v>548</v>
      </c>
      <c r="B4294" t="s">
        <v>429</v>
      </c>
      <c r="C4294">
        <v>154</v>
      </c>
      <c r="D4294">
        <v>20221108</v>
      </c>
      <c r="E4294">
        <f t="shared" si="67"/>
        <v>11</v>
      </c>
      <c r="F4294">
        <v>411100</v>
      </c>
      <c r="G4294" t="s">
        <v>18</v>
      </c>
      <c r="H4294" t="s">
        <v>2173</v>
      </c>
      <c r="I4294" t="s">
        <v>2174</v>
      </c>
      <c r="J4294">
        <v>360626</v>
      </c>
      <c r="K4294">
        <v>20221108</v>
      </c>
      <c r="L4294" t="s">
        <v>4308</v>
      </c>
      <c r="M4294">
        <v>0</v>
      </c>
      <c r="N4294">
        <v>9</v>
      </c>
      <c r="O4294" t="s">
        <v>23</v>
      </c>
      <c r="P4294">
        <v>20230329</v>
      </c>
      <c r="Q4294">
        <v>20221108</v>
      </c>
    </row>
    <row r="4295" spans="1:17" x14ac:dyDescent="0.25">
      <c r="A4295" t="s">
        <v>548</v>
      </c>
      <c r="B4295" t="s">
        <v>429</v>
      </c>
      <c r="C4295">
        <v>154</v>
      </c>
      <c r="D4295">
        <v>20221108</v>
      </c>
      <c r="E4295">
        <f t="shared" si="67"/>
        <v>11</v>
      </c>
      <c r="F4295">
        <v>531105</v>
      </c>
      <c r="G4295" t="s">
        <v>429</v>
      </c>
      <c r="H4295" t="s">
        <v>401</v>
      </c>
      <c r="I4295" t="s">
        <v>402</v>
      </c>
      <c r="J4295">
        <v>360627</v>
      </c>
      <c r="K4295">
        <v>20221108</v>
      </c>
      <c r="L4295" t="s">
        <v>565</v>
      </c>
      <c r="M4295">
        <v>212</v>
      </c>
      <c r="N4295">
        <v>0</v>
      </c>
      <c r="O4295" t="s">
        <v>19</v>
      </c>
      <c r="P4295" t="s">
        <v>20</v>
      </c>
      <c r="Q4295">
        <v>20221108</v>
      </c>
    </row>
    <row r="4296" spans="1:17" x14ac:dyDescent="0.25">
      <c r="A4296" t="s">
        <v>548</v>
      </c>
      <c r="B4296" t="s">
        <v>429</v>
      </c>
      <c r="C4296">
        <v>154</v>
      </c>
      <c r="D4296">
        <v>20221109</v>
      </c>
      <c r="E4296">
        <f t="shared" si="67"/>
        <v>11</v>
      </c>
      <c r="F4296">
        <v>411100</v>
      </c>
      <c r="G4296" t="s">
        <v>18</v>
      </c>
      <c r="H4296" t="s">
        <v>3901</v>
      </c>
      <c r="I4296" t="s">
        <v>3902</v>
      </c>
      <c r="J4296">
        <v>360628</v>
      </c>
      <c r="K4296">
        <v>20221109</v>
      </c>
      <c r="L4296" t="s">
        <v>4309</v>
      </c>
      <c r="M4296">
        <v>0</v>
      </c>
      <c r="N4296">
        <v>15</v>
      </c>
      <c r="O4296" t="s">
        <v>19</v>
      </c>
      <c r="P4296" t="s">
        <v>20</v>
      </c>
      <c r="Q4296">
        <v>20221109</v>
      </c>
    </row>
    <row r="4297" spans="1:17" x14ac:dyDescent="0.25">
      <c r="A4297" t="s">
        <v>548</v>
      </c>
      <c r="B4297" t="s">
        <v>429</v>
      </c>
      <c r="C4297">
        <v>154</v>
      </c>
      <c r="D4297">
        <v>20221109</v>
      </c>
      <c r="E4297">
        <f t="shared" si="67"/>
        <v>11</v>
      </c>
      <c r="F4297">
        <v>411100</v>
      </c>
      <c r="G4297" t="s">
        <v>18</v>
      </c>
      <c r="H4297" t="s">
        <v>4310</v>
      </c>
      <c r="I4297" t="s">
        <v>4311</v>
      </c>
      <c r="J4297">
        <v>360629</v>
      </c>
      <c r="K4297">
        <v>20221109</v>
      </c>
      <c r="L4297" t="s">
        <v>4312</v>
      </c>
      <c r="M4297">
        <v>0</v>
      </c>
      <c r="N4297">
        <v>10</v>
      </c>
      <c r="O4297" t="s">
        <v>22</v>
      </c>
      <c r="P4297">
        <v>20230218</v>
      </c>
      <c r="Q4297">
        <v>20221109</v>
      </c>
    </row>
    <row r="4298" spans="1:17" x14ac:dyDescent="0.25">
      <c r="A4298" t="s">
        <v>548</v>
      </c>
      <c r="B4298" t="s">
        <v>429</v>
      </c>
      <c r="C4298">
        <v>154</v>
      </c>
      <c r="D4298">
        <v>20221109</v>
      </c>
      <c r="E4298">
        <f t="shared" si="67"/>
        <v>11</v>
      </c>
      <c r="F4298">
        <v>531105</v>
      </c>
      <c r="G4298" t="s">
        <v>429</v>
      </c>
      <c r="H4298" t="s">
        <v>401</v>
      </c>
      <c r="I4298" t="s">
        <v>402</v>
      </c>
      <c r="J4298">
        <v>360630</v>
      </c>
      <c r="K4298">
        <v>20221109</v>
      </c>
      <c r="L4298" t="s">
        <v>565</v>
      </c>
      <c r="M4298">
        <v>25</v>
      </c>
      <c r="N4298">
        <v>0</v>
      </c>
      <c r="O4298" t="s">
        <v>19</v>
      </c>
      <c r="P4298" t="s">
        <v>20</v>
      </c>
      <c r="Q4298">
        <v>20221109</v>
      </c>
    </row>
    <row r="4299" spans="1:17" x14ac:dyDescent="0.25">
      <c r="A4299" t="s">
        <v>548</v>
      </c>
      <c r="B4299" t="s">
        <v>429</v>
      </c>
      <c r="C4299">
        <v>154</v>
      </c>
      <c r="D4299">
        <v>20221110</v>
      </c>
      <c r="E4299">
        <f t="shared" si="67"/>
        <v>11</v>
      </c>
      <c r="F4299">
        <v>467100</v>
      </c>
      <c r="G4299" t="s">
        <v>160</v>
      </c>
      <c r="H4299" t="s">
        <v>183</v>
      </c>
      <c r="I4299" t="s">
        <v>184</v>
      </c>
      <c r="J4299" t="s">
        <v>4313</v>
      </c>
      <c r="K4299">
        <v>20221110</v>
      </c>
      <c r="L4299" t="s">
        <v>4314</v>
      </c>
      <c r="M4299">
        <v>170</v>
      </c>
      <c r="N4299">
        <v>0</v>
      </c>
      <c r="O4299" t="s">
        <v>19</v>
      </c>
      <c r="P4299" t="s">
        <v>20</v>
      </c>
      <c r="Q4299">
        <v>20221110</v>
      </c>
    </row>
    <row r="4300" spans="1:17" x14ac:dyDescent="0.25">
      <c r="A4300" t="s">
        <v>548</v>
      </c>
      <c r="B4300" t="s">
        <v>429</v>
      </c>
      <c r="C4300">
        <v>154</v>
      </c>
      <c r="D4300">
        <v>20221110</v>
      </c>
      <c r="E4300">
        <f t="shared" si="67"/>
        <v>11</v>
      </c>
      <c r="F4300">
        <v>531105</v>
      </c>
      <c r="G4300" t="s">
        <v>429</v>
      </c>
      <c r="H4300" t="s">
        <v>401</v>
      </c>
      <c r="I4300" t="s">
        <v>402</v>
      </c>
      <c r="J4300" t="s">
        <v>4313</v>
      </c>
      <c r="K4300">
        <v>20221110</v>
      </c>
      <c r="L4300" t="s">
        <v>4314</v>
      </c>
      <c r="M4300">
        <v>0</v>
      </c>
      <c r="N4300">
        <v>170</v>
      </c>
      <c r="O4300" t="s">
        <v>19</v>
      </c>
      <c r="P4300" t="s">
        <v>20</v>
      </c>
      <c r="Q4300">
        <v>20221110</v>
      </c>
    </row>
    <row r="4301" spans="1:17" x14ac:dyDescent="0.25">
      <c r="A4301" t="s">
        <v>548</v>
      </c>
      <c r="B4301" t="s">
        <v>429</v>
      </c>
      <c r="C4301">
        <v>154</v>
      </c>
      <c r="D4301">
        <v>20221110</v>
      </c>
      <c r="E4301">
        <f t="shared" si="67"/>
        <v>11</v>
      </c>
      <c r="F4301">
        <v>467100</v>
      </c>
      <c r="G4301" t="s">
        <v>160</v>
      </c>
      <c r="H4301" t="s">
        <v>183</v>
      </c>
      <c r="I4301" t="s">
        <v>184</v>
      </c>
      <c r="J4301" t="s">
        <v>4315</v>
      </c>
      <c r="K4301">
        <v>20221110</v>
      </c>
      <c r="L4301" t="s">
        <v>4316</v>
      </c>
      <c r="M4301">
        <v>12</v>
      </c>
      <c r="N4301">
        <v>0</v>
      </c>
      <c r="O4301" t="s">
        <v>23</v>
      </c>
      <c r="P4301">
        <v>20230123</v>
      </c>
      <c r="Q4301">
        <v>20221110</v>
      </c>
    </row>
    <row r="4302" spans="1:17" x14ac:dyDescent="0.25">
      <c r="A4302" t="s">
        <v>548</v>
      </c>
      <c r="B4302" t="s">
        <v>429</v>
      </c>
      <c r="C4302">
        <v>154</v>
      </c>
      <c r="D4302">
        <v>20221110</v>
      </c>
      <c r="E4302">
        <f t="shared" si="67"/>
        <v>11</v>
      </c>
      <c r="F4302">
        <v>531105</v>
      </c>
      <c r="G4302" t="s">
        <v>429</v>
      </c>
      <c r="H4302" t="s">
        <v>401</v>
      </c>
      <c r="I4302" t="s">
        <v>402</v>
      </c>
      <c r="J4302" t="s">
        <v>4315</v>
      </c>
      <c r="K4302">
        <v>20221110</v>
      </c>
      <c r="L4302" t="s">
        <v>4316</v>
      </c>
      <c r="M4302">
        <v>0</v>
      </c>
      <c r="N4302">
        <v>12</v>
      </c>
      <c r="O4302" t="s">
        <v>19</v>
      </c>
      <c r="P4302" t="s">
        <v>20</v>
      </c>
      <c r="Q4302">
        <v>20221110</v>
      </c>
    </row>
    <row r="4303" spans="1:17" x14ac:dyDescent="0.25">
      <c r="A4303" t="s">
        <v>548</v>
      </c>
      <c r="B4303" t="s">
        <v>429</v>
      </c>
      <c r="C4303">
        <v>154</v>
      </c>
      <c r="D4303">
        <v>20221114</v>
      </c>
      <c r="E4303">
        <f t="shared" si="67"/>
        <v>11</v>
      </c>
      <c r="F4303">
        <v>411100</v>
      </c>
      <c r="G4303" t="s">
        <v>18</v>
      </c>
      <c r="H4303" t="s">
        <v>237</v>
      </c>
      <c r="I4303" t="s">
        <v>238</v>
      </c>
      <c r="J4303">
        <v>360788</v>
      </c>
      <c r="K4303">
        <v>20221114</v>
      </c>
      <c r="L4303" t="s">
        <v>4317</v>
      </c>
      <c r="M4303">
        <v>0</v>
      </c>
      <c r="N4303">
        <v>29.8</v>
      </c>
      <c r="O4303" t="s">
        <v>22</v>
      </c>
      <c r="P4303">
        <v>20230218</v>
      </c>
      <c r="Q4303">
        <v>20221114</v>
      </c>
    </row>
    <row r="4304" spans="1:17" x14ac:dyDescent="0.25">
      <c r="A4304" t="s">
        <v>548</v>
      </c>
      <c r="B4304" t="s">
        <v>429</v>
      </c>
      <c r="C4304">
        <v>154</v>
      </c>
      <c r="D4304">
        <v>20221114</v>
      </c>
      <c r="E4304">
        <f t="shared" si="67"/>
        <v>11</v>
      </c>
      <c r="F4304">
        <v>411100</v>
      </c>
      <c r="G4304" t="s">
        <v>18</v>
      </c>
      <c r="H4304" t="s">
        <v>3654</v>
      </c>
      <c r="I4304" t="s">
        <v>3655</v>
      </c>
      <c r="J4304">
        <v>122090050</v>
      </c>
      <c r="K4304">
        <v>20221114</v>
      </c>
      <c r="L4304" t="s">
        <v>4318</v>
      </c>
      <c r="M4304">
        <v>0</v>
      </c>
      <c r="N4304">
        <v>37</v>
      </c>
      <c r="O4304" t="s">
        <v>19</v>
      </c>
      <c r="P4304" t="s">
        <v>20</v>
      </c>
      <c r="Q4304">
        <v>20221114</v>
      </c>
    </row>
    <row r="4305" spans="1:17" x14ac:dyDescent="0.25">
      <c r="A4305" t="s">
        <v>548</v>
      </c>
      <c r="B4305" t="s">
        <v>429</v>
      </c>
      <c r="C4305">
        <v>154</v>
      </c>
      <c r="D4305">
        <v>20221114</v>
      </c>
      <c r="E4305">
        <f t="shared" si="67"/>
        <v>11</v>
      </c>
      <c r="F4305">
        <v>531105</v>
      </c>
      <c r="G4305" t="s">
        <v>429</v>
      </c>
      <c r="H4305" t="s">
        <v>401</v>
      </c>
      <c r="I4305" t="s">
        <v>402</v>
      </c>
      <c r="J4305">
        <v>360790</v>
      </c>
      <c r="K4305">
        <v>20221114</v>
      </c>
      <c r="L4305" t="s">
        <v>565</v>
      </c>
      <c r="M4305">
        <v>66.8</v>
      </c>
      <c r="N4305">
        <v>0</v>
      </c>
      <c r="O4305" t="s">
        <v>19</v>
      </c>
      <c r="P4305" t="s">
        <v>20</v>
      </c>
      <c r="Q4305">
        <v>20221114</v>
      </c>
    </row>
    <row r="4306" spans="1:17" x14ac:dyDescent="0.25">
      <c r="A4306" t="s">
        <v>548</v>
      </c>
      <c r="B4306" t="s">
        <v>429</v>
      </c>
      <c r="C4306">
        <v>154</v>
      </c>
      <c r="D4306">
        <v>20221115</v>
      </c>
      <c r="E4306">
        <f t="shared" si="67"/>
        <v>11</v>
      </c>
      <c r="F4306">
        <v>411100</v>
      </c>
      <c r="G4306" t="s">
        <v>18</v>
      </c>
      <c r="H4306" t="s">
        <v>3784</v>
      </c>
      <c r="I4306" t="s">
        <v>3785</v>
      </c>
      <c r="J4306">
        <v>360791</v>
      </c>
      <c r="K4306">
        <v>20221115</v>
      </c>
      <c r="L4306" t="s">
        <v>4319</v>
      </c>
      <c r="M4306">
        <v>0</v>
      </c>
      <c r="N4306">
        <v>13.5</v>
      </c>
      <c r="O4306" t="s">
        <v>22</v>
      </c>
      <c r="P4306">
        <v>20230218</v>
      </c>
      <c r="Q4306">
        <v>20221115</v>
      </c>
    </row>
    <row r="4307" spans="1:17" x14ac:dyDescent="0.25">
      <c r="A4307" t="s">
        <v>548</v>
      </c>
      <c r="B4307" t="s">
        <v>429</v>
      </c>
      <c r="C4307">
        <v>154</v>
      </c>
      <c r="D4307">
        <v>20221115</v>
      </c>
      <c r="E4307">
        <f t="shared" si="67"/>
        <v>11</v>
      </c>
      <c r="F4307">
        <v>531105</v>
      </c>
      <c r="G4307" t="s">
        <v>429</v>
      </c>
      <c r="H4307" t="s">
        <v>401</v>
      </c>
      <c r="I4307" t="s">
        <v>402</v>
      </c>
      <c r="J4307">
        <v>360792</v>
      </c>
      <c r="K4307">
        <v>20221115</v>
      </c>
      <c r="L4307" t="s">
        <v>565</v>
      </c>
      <c r="M4307">
        <v>13.5</v>
      </c>
      <c r="N4307">
        <v>0</v>
      </c>
      <c r="O4307" t="s">
        <v>19</v>
      </c>
      <c r="P4307" t="s">
        <v>20</v>
      </c>
      <c r="Q4307">
        <v>20221115</v>
      </c>
    </row>
    <row r="4308" spans="1:17" x14ac:dyDescent="0.25">
      <c r="A4308" t="s">
        <v>548</v>
      </c>
      <c r="B4308" t="s">
        <v>429</v>
      </c>
      <c r="C4308">
        <v>154</v>
      </c>
      <c r="D4308">
        <v>20221115</v>
      </c>
      <c r="E4308">
        <f t="shared" si="67"/>
        <v>11</v>
      </c>
      <c r="F4308">
        <v>411010</v>
      </c>
      <c r="G4308" t="s">
        <v>87</v>
      </c>
      <c r="H4308" t="s">
        <v>363</v>
      </c>
      <c r="I4308" t="s">
        <v>364</v>
      </c>
      <c r="J4308">
        <v>222100018</v>
      </c>
      <c r="K4308">
        <v>20221115</v>
      </c>
      <c r="L4308" t="s">
        <v>4320</v>
      </c>
      <c r="M4308">
        <v>0</v>
      </c>
      <c r="N4308">
        <v>112.61</v>
      </c>
      <c r="O4308" t="s">
        <v>19</v>
      </c>
      <c r="P4308" t="s">
        <v>20</v>
      </c>
      <c r="Q4308">
        <v>20221115</v>
      </c>
    </row>
    <row r="4309" spans="1:17" x14ac:dyDescent="0.25">
      <c r="A4309" t="s">
        <v>548</v>
      </c>
      <c r="B4309" t="s">
        <v>429</v>
      </c>
      <c r="C4309">
        <v>154</v>
      </c>
      <c r="D4309">
        <v>20221115</v>
      </c>
      <c r="E4309">
        <f t="shared" si="67"/>
        <v>11</v>
      </c>
      <c r="F4309">
        <v>411100</v>
      </c>
      <c r="G4309" t="s">
        <v>18</v>
      </c>
      <c r="H4309" t="s">
        <v>233</v>
      </c>
      <c r="I4309" t="s">
        <v>234</v>
      </c>
      <c r="J4309">
        <v>222100016</v>
      </c>
      <c r="K4309">
        <v>20221115</v>
      </c>
      <c r="L4309" t="s">
        <v>4321</v>
      </c>
      <c r="M4309">
        <v>0</v>
      </c>
      <c r="N4309">
        <v>85.76</v>
      </c>
      <c r="O4309" t="s">
        <v>22</v>
      </c>
      <c r="P4309">
        <v>20230218</v>
      </c>
      <c r="Q4309">
        <v>20221115</v>
      </c>
    </row>
    <row r="4310" spans="1:17" x14ac:dyDescent="0.25">
      <c r="A4310" t="s">
        <v>548</v>
      </c>
      <c r="B4310" t="s">
        <v>429</v>
      </c>
      <c r="C4310">
        <v>154</v>
      </c>
      <c r="D4310">
        <v>20221115</v>
      </c>
      <c r="E4310">
        <f t="shared" si="67"/>
        <v>11</v>
      </c>
      <c r="F4310">
        <v>531105</v>
      </c>
      <c r="G4310" t="s">
        <v>429</v>
      </c>
      <c r="H4310" t="s">
        <v>401</v>
      </c>
      <c r="I4310" t="s">
        <v>402</v>
      </c>
      <c r="J4310">
        <v>360885</v>
      </c>
      <c r="K4310">
        <v>20221115</v>
      </c>
      <c r="L4310" t="s">
        <v>565</v>
      </c>
      <c r="M4310">
        <v>198.37</v>
      </c>
      <c r="N4310">
        <v>0</v>
      </c>
      <c r="O4310" t="s">
        <v>19</v>
      </c>
      <c r="P4310" t="s">
        <v>20</v>
      </c>
      <c r="Q4310">
        <v>20221115</v>
      </c>
    </row>
    <row r="4311" spans="1:17" x14ac:dyDescent="0.25">
      <c r="A4311" t="s">
        <v>548</v>
      </c>
      <c r="B4311" t="s">
        <v>429</v>
      </c>
      <c r="C4311">
        <v>154</v>
      </c>
      <c r="D4311">
        <v>20221115</v>
      </c>
      <c r="E4311">
        <f t="shared" si="67"/>
        <v>11</v>
      </c>
      <c r="F4311">
        <v>411020</v>
      </c>
      <c r="G4311" t="s">
        <v>30</v>
      </c>
      <c r="H4311" t="s">
        <v>332</v>
      </c>
      <c r="I4311" t="s">
        <v>333</v>
      </c>
      <c r="J4311">
        <v>322100006</v>
      </c>
      <c r="K4311">
        <v>20221115</v>
      </c>
      <c r="L4311" t="s">
        <v>4322</v>
      </c>
      <c r="M4311">
        <v>0</v>
      </c>
      <c r="N4311">
        <v>51.28</v>
      </c>
      <c r="O4311" t="s">
        <v>22</v>
      </c>
      <c r="P4311">
        <v>20230218</v>
      </c>
      <c r="Q4311">
        <v>20221115</v>
      </c>
    </row>
    <row r="4312" spans="1:17" x14ac:dyDescent="0.25">
      <c r="A4312" t="s">
        <v>548</v>
      </c>
      <c r="B4312" t="s">
        <v>429</v>
      </c>
      <c r="C4312">
        <v>154</v>
      </c>
      <c r="D4312">
        <v>20221115</v>
      </c>
      <c r="E4312">
        <f t="shared" si="67"/>
        <v>11</v>
      </c>
      <c r="F4312">
        <v>411020</v>
      </c>
      <c r="G4312" t="s">
        <v>30</v>
      </c>
      <c r="H4312" t="s">
        <v>332</v>
      </c>
      <c r="I4312" t="s">
        <v>333</v>
      </c>
      <c r="J4312">
        <v>322100006</v>
      </c>
      <c r="K4312">
        <v>20221115</v>
      </c>
      <c r="L4312" t="s">
        <v>4323</v>
      </c>
      <c r="M4312">
        <v>0</v>
      </c>
      <c r="N4312">
        <v>0.12</v>
      </c>
      <c r="O4312" t="s">
        <v>19</v>
      </c>
      <c r="P4312" t="s">
        <v>20</v>
      </c>
      <c r="Q4312">
        <v>20221115</v>
      </c>
    </row>
    <row r="4313" spans="1:17" x14ac:dyDescent="0.25">
      <c r="A4313" t="s">
        <v>548</v>
      </c>
      <c r="B4313" t="s">
        <v>429</v>
      </c>
      <c r="C4313">
        <v>154</v>
      </c>
      <c r="D4313">
        <v>20221115</v>
      </c>
      <c r="E4313">
        <f t="shared" si="67"/>
        <v>11</v>
      </c>
      <c r="F4313">
        <v>411020</v>
      </c>
      <c r="G4313" t="s">
        <v>30</v>
      </c>
      <c r="H4313" t="s">
        <v>3633</v>
      </c>
      <c r="I4313" t="s">
        <v>3634</v>
      </c>
      <c r="J4313">
        <v>322100004</v>
      </c>
      <c r="K4313">
        <v>20221115</v>
      </c>
      <c r="L4313" t="s">
        <v>4324</v>
      </c>
      <c r="M4313">
        <v>0</v>
      </c>
      <c r="N4313">
        <v>84.49</v>
      </c>
      <c r="O4313" t="s">
        <v>22</v>
      </c>
      <c r="P4313">
        <v>20230218</v>
      </c>
      <c r="Q4313">
        <v>20221115</v>
      </c>
    </row>
    <row r="4314" spans="1:17" x14ac:dyDescent="0.25">
      <c r="A4314" t="s">
        <v>548</v>
      </c>
      <c r="B4314" t="s">
        <v>429</v>
      </c>
      <c r="C4314">
        <v>154</v>
      </c>
      <c r="D4314">
        <v>20221115</v>
      </c>
      <c r="E4314">
        <f t="shared" si="67"/>
        <v>11</v>
      </c>
      <c r="F4314">
        <v>411020</v>
      </c>
      <c r="G4314" t="s">
        <v>30</v>
      </c>
      <c r="H4314" t="s">
        <v>3633</v>
      </c>
      <c r="I4314" t="s">
        <v>3634</v>
      </c>
      <c r="J4314">
        <v>322100004</v>
      </c>
      <c r="K4314">
        <v>20221115</v>
      </c>
      <c r="L4314" t="s">
        <v>4325</v>
      </c>
      <c r="M4314">
        <v>0</v>
      </c>
      <c r="N4314">
        <v>15.51</v>
      </c>
      <c r="O4314" t="s">
        <v>22</v>
      </c>
      <c r="P4314">
        <v>20230218</v>
      </c>
      <c r="Q4314">
        <v>20221115</v>
      </c>
    </row>
    <row r="4315" spans="1:17" x14ac:dyDescent="0.25">
      <c r="A4315" t="s">
        <v>548</v>
      </c>
      <c r="B4315" t="s">
        <v>429</v>
      </c>
      <c r="C4315">
        <v>154</v>
      </c>
      <c r="D4315">
        <v>20221115</v>
      </c>
      <c r="E4315">
        <f t="shared" si="67"/>
        <v>11</v>
      </c>
      <c r="F4315">
        <v>411020</v>
      </c>
      <c r="G4315" t="s">
        <v>30</v>
      </c>
      <c r="H4315" t="s">
        <v>4147</v>
      </c>
      <c r="I4315" t="s">
        <v>4148</v>
      </c>
      <c r="J4315">
        <v>322100016</v>
      </c>
      <c r="K4315">
        <v>20221115</v>
      </c>
      <c r="L4315" t="s">
        <v>4326</v>
      </c>
      <c r="M4315">
        <v>0</v>
      </c>
      <c r="N4315">
        <v>22.76</v>
      </c>
      <c r="O4315" t="s">
        <v>22</v>
      </c>
      <c r="P4315">
        <v>20230218</v>
      </c>
      <c r="Q4315">
        <v>20221115</v>
      </c>
    </row>
    <row r="4316" spans="1:17" x14ac:dyDescent="0.25">
      <c r="A4316" t="s">
        <v>548</v>
      </c>
      <c r="B4316" t="s">
        <v>429</v>
      </c>
      <c r="C4316">
        <v>154</v>
      </c>
      <c r="D4316">
        <v>20221115</v>
      </c>
      <c r="E4316">
        <f t="shared" si="67"/>
        <v>11</v>
      </c>
      <c r="F4316">
        <v>411020</v>
      </c>
      <c r="G4316" t="s">
        <v>30</v>
      </c>
      <c r="H4316" t="s">
        <v>4147</v>
      </c>
      <c r="I4316" t="s">
        <v>4148</v>
      </c>
      <c r="J4316">
        <v>322100016</v>
      </c>
      <c r="K4316">
        <v>20221115</v>
      </c>
      <c r="L4316" t="s">
        <v>4327</v>
      </c>
      <c r="M4316">
        <v>0</v>
      </c>
      <c r="N4316">
        <v>0.24</v>
      </c>
      <c r="O4316" t="s">
        <v>22</v>
      </c>
      <c r="P4316">
        <v>20230218</v>
      </c>
      <c r="Q4316">
        <v>20221115</v>
      </c>
    </row>
    <row r="4317" spans="1:17" x14ac:dyDescent="0.25">
      <c r="A4317" t="s">
        <v>548</v>
      </c>
      <c r="B4317" t="s">
        <v>429</v>
      </c>
      <c r="C4317">
        <v>154</v>
      </c>
      <c r="D4317">
        <v>20221115</v>
      </c>
      <c r="E4317">
        <f t="shared" si="67"/>
        <v>11</v>
      </c>
      <c r="F4317">
        <v>411100</v>
      </c>
      <c r="G4317" t="s">
        <v>18</v>
      </c>
      <c r="H4317" t="s">
        <v>192</v>
      </c>
      <c r="I4317" t="s">
        <v>193</v>
      </c>
      <c r="J4317">
        <v>322090005</v>
      </c>
      <c r="K4317">
        <v>20221115</v>
      </c>
      <c r="L4317" t="s">
        <v>4328</v>
      </c>
      <c r="M4317">
        <v>0</v>
      </c>
      <c r="N4317">
        <v>60</v>
      </c>
      <c r="O4317" t="s">
        <v>23</v>
      </c>
      <c r="P4317">
        <v>20230218</v>
      </c>
      <c r="Q4317">
        <v>20221115</v>
      </c>
    </row>
    <row r="4318" spans="1:17" x14ac:dyDescent="0.25">
      <c r="A4318" t="s">
        <v>548</v>
      </c>
      <c r="B4318" t="s">
        <v>429</v>
      </c>
      <c r="C4318">
        <v>154</v>
      </c>
      <c r="D4318">
        <v>20221115</v>
      </c>
      <c r="E4318">
        <f t="shared" si="67"/>
        <v>11</v>
      </c>
      <c r="F4318">
        <v>411100</v>
      </c>
      <c r="G4318" t="s">
        <v>18</v>
      </c>
      <c r="H4318" t="s">
        <v>3635</v>
      </c>
      <c r="I4318" t="s">
        <v>3636</v>
      </c>
      <c r="J4318">
        <v>322090010</v>
      </c>
      <c r="K4318">
        <v>20221115</v>
      </c>
      <c r="L4318" t="s">
        <v>4329</v>
      </c>
      <c r="M4318">
        <v>0</v>
      </c>
      <c r="N4318">
        <v>102.37</v>
      </c>
      <c r="O4318" t="s">
        <v>19</v>
      </c>
      <c r="P4318" t="s">
        <v>20</v>
      </c>
      <c r="Q4318">
        <v>20221115</v>
      </c>
    </row>
    <row r="4319" spans="1:17" x14ac:dyDescent="0.25">
      <c r="A4319" t="s">
        <v>548</v>
      </c>
      <c r="B4319" t="s">
        <v>429</v>
      </c>
      <c r="C4319">
        <v>154</v>
      </c>
      <c r="D4319">
        <v>20221115</v>
      </c>
      <c r="E4319">
        <f t="shared" si="67"/>
        <v>11</v>
      </c>
      <c r="F4319">
        <v>411100</v>
      </c>
      <c r="G4319" t="s">
        <v>18</v>
      </c>
      <c r="H4319" t="s">
        <v>3635</v>
      </c>
      <c r="I4319" t="s">
        <v>3636</v>
      </c>
      <c r="J4319">
        <v>322090010</v>
      </c>
      <c r="K4319">
        <v>20221115</v>
      </c>
      <c r="L4319" t="s">
        <v>4330</v>
      </c>
      <c r="M4319">
        <v>0</v>
      </c>
      <c r="N4319">
        <v>1.63</v>
      </c>
      <c r="O4319" t="s">
        <v>19</v>
      </c>
      <c r="P4319" t="s">
        <v>20</v>
      </c>
      <c r="Q4319">
        <v>20221115</v>
      </c>
    </row>
    <row r="4320" spans="1:17" x14ac:dyDescent="0.25">
      <c r="A4320" t="s">
        <v>548</v>
      </c>
      <c r="B4320" t="s">
        <v>429</v>
      </c>
      <c r="C4320">
        <v>154</v>
      </c>
      <c r="D4320">
        <v>20221115</v>
      </c>
      <c r="E4320">
        <f t="shared" si="67"/>
        <v>11</v>
      </c>
      <c r="F4320">
        <v>531105</v>
      </c>
      <c r="G4320" t="s">
        <v>429</v>
      </c>
      <c r="H4320" t="s">
        <v>401</v>
      </c>
      <c r="I4320" t="s">
        <v>402</v>
      </c>
      <c r="J4320">
        <v>360906</v>
      </c>
      <c r="K4320">
        <v>20221115</v>
      </c>
      <c r="L4320" t="s">
        <v>565</v>
      </c>
      <c r="M4320">
        <v>338.4</v>
      </c>
      <c r="N4320">
        <v>0</v>
      </c>
      <c r="O4320" t="s">
        <v>19</v>
      </c>
      <c r="P4320" t="s">
        <v>20</v>
      </c>
      <c r="Q4320">
        <v>20221115</v>
      </c>
    </row>
    <row r="4321" spans="1:17" x14ac:dyDescent="0.25">
      <c r="A4321" t="s">
        <v>548</v>
      </c>
      <c r="B4321" t="s">
        <v>429</v>
      </c>
      <c r="C4321">
        <v>154</v>
      </c>
      <c r="D4321">
        <v>20221116</v>
      </c>
      <c r="E4321">
        <f t="shared" si="67"/>
        <v>11</v>
      </c>
      <c r="F4321">
        <v>411100</v>
      </c>
      <c r="G4321" t="s">
        <v>18</v>
      </c>
      <c r="H4321" t="s">
        <v>3536</v>
      </c>
      <c r="I4321" t="s">
        <v>3537</v>
      </c>
      <c r="J4321">
        <v>360793</v>
      </c>
      <c r="K4321">
        <v>20221116</v>
      </c>
      <c r="L4321" t="s">
        <v>4331</v>
      </c>
      <c r="M4321">
        <v>0</v>
      </c>
      <c r="N4321">
        <v>38.4</v>
      </c>
      <c r="O4321" t="s">
        <v>22</v>
      </c>
      <c r="P4321">
        <v>20230218</v>
      </c>
      <c r="Q4321">
        <v>20221116</v>
      </c>
    </row>
    <row r="4322" spans="1:17" x14ac:dyDescent="0.25">
      <c r="A4322" t="s">
        <v>548</v>
      </c>
      <c r="B4322" t="s">
        <v>429</v>
      </c>
      <c r="C4322">
        <v>154</v>
      </c>
      <c r="D4322">
        <v>20221116</v>
      </c>
      <c r="E4322">
        <f t="shared" si="67"/>
        <v>11</v>
      </c>
      <c r="F4322">
        <v>411100</v>
      </c>
      <c r="G4322" t="s">
        <v>18</v>
      </c>
      <c r="H4322" t="s">
        <v>196</v>
      </c>
      <c r="I4322" t="s">
        <v>197</v>
      </c>
      <c r="J4322">
        <v>360794</v>
      </c>
      <c r="K4322">
        <v>20221116</v>
      </c>
      <c r="L4322" t="s">
        <v>4332</v>
      </c>
      <c r="M4322">
        <v>0</v>
      </c>
      <c r="N4322">
        <v>6</v>
      </c>
      <c r="O4322" t="s">
        <v>22</v>
      </c>
      <c r="P4322">
        <v>20230218</v>
      </c>
      <c r="Q4322">
        <v>20221116</v>
      </c>
    </row>
    <row r="4323" spans="1:17" x14ac:dyDescent="0.25">
      <c r="A4323" t="s">
        <v>548</v>
      </c>
      <c r="B4323" t="s">
        <v>429</v>
      </c>
      <c r="C4323">
        <v>154</v>
      </c>
      <c r="D4323">
        <v>20221116</v>
      </c>
      <c r="E4323">
        <f t="shared" si="67"/>
        <v>11</v>
      </c>
      <c r="F4323">
        <v>411000</v>
      </c>
      <c r="G4323" t="s">
        <v>21</v>
      </c>
      <c r="H4323" t="s">
        <v>271</v>
      </c>
      <c r="I4323" t="s">
        <v>272</v>
      </c>
      <c r="J4323">
        <v>360795</v>
      </c>
      <c r="K4323">
        <v>20221116</v>
      </c>
      <c r="L4323" t="s">
        <v>4333</v>
      </c>
      <c r="M4323">
        <v>0</v>
      </c>
      <c r="N4323">
        <v>6</v>
      </c>
      <c r="O4323" t="s">
        <v>22</v>
      </c>
      <c r="P4323">
        <v>20230218</v>
      </c>
      <c r="Q4323">
        <v>20221116</v>
      </c>
    </row>
    <row r="4324" spans="1:17" x14ac:dyDescent="0.25">
      <c r="A4324" t="s">
        <v>548</v>
      </c>
      <c r="B4324" t="s">
        <v>429</v>
      </c>
      <c r="C4324">
        <v>154</v>
      </c>
      <c r="D4324">
        <v>20221116</v>
      </c>
      <c r="E4324">
        <f t="shared" si="67"/>
        <v>11</v>
      </c>
      <c r="F4324">
        <v>531105</v>
      </c>
      <c r="G4324" t="s">
        <v>429</v>
      </c>
      <c r="H4324" t="s">
        <v>401</v>
      </c>
      <c r="I4324" t="s">
        <v>402</v>
      </c>
      <c r="J4324">
        <v>360796</v>
      </c>
      <c r="K4324">
        <v>20221116</v>
      </c>
      <c r="L4324" t="s">
        <v>565</v>
      </c>
      <c r="M4324">
        <v>50.4</v>
      </c>
      <c r="N4324">
        <v>0</v>
      </c>
      <c r="O4324" t="s">
        <v>19</v>
      </c>
      <c r="P4324" t="s">
        <v>20</v>
      </c>
      <c r="Q4324">
        <v>20221116</v>
      </c>
    </row>
    <row r="4325" spans="1:17" x14ac:dyDescent="0.25">
      <c r="A4325" t="s">
        <v>548</v>
      </c>
      <c r="B4325" t="s">
        <v>429</v>
      </c>
      <c r="C4325">
        <v>154</v>
      </c>
      <c r="D4325">
        <v>20221118</v>
      </c>
      <c r="E4325">
        <f t="shared" si="67"/>
        <v>11</v>
      </c>
      <c r="F4325">
        <v>411100</v>
      </c>
      <c r="G4325" t="s">
        <v>18</v>
      </c>
      <c r="H4325" t="s">
        <v>3842</v>
      </c>
      <c r="I4325" t="s">
        <v>3843</v>
      </c>
      <c r="J4325">
        <v>122100177</v>
      </c>
      <c r="K4325">
        <v>20221118</v>
      </c>
      <c r="L4325" t="s">
        <v>4334</v>
      </c>
      <c r="M4325">
        <v>52.25</v>
      </c>
      <c r="N4325">
        <v>0</v>
      </c>
      <c r="O4325" t="s">
        <v>22</v>
      </c>
      <c r="P4325">
        <v>20230218</v>
      </c>
      <c r="Q4325">
        <v>20221118</v>
      </c>
    </row>
    <row r="4326" spans="1:17" x14ac:dyDescent="0.25">
      <c r="A4326" t="s">
        <v>548</v>
      </c>
      <c r="B4326" t="s">
        <v>429</v>
      </c>
      <c r="C4326">
        <v>154</v>
      </c>
      <c r="D4326">
        <v>20221118</v>
      </c>
      <c r="E4326">
        <f t="shared" si="67"/>
        <v>11</v>
      </c>
      <c r="F4326">
        <v>531105</v>
      </c>
      <c r="G4326" t="s">
        <v>429</v>
      </c>
      <c r="H4326" t="s">
        <v>401</v>
      </c>
      <c r="I4326" t="s">
        <v>402</v>
      </c>
      <c r="J4326">
        <v>360787</v>
      </c>
      <c r="K4326">
        <v>20221118</v>
      </c>
      <c r="L4326" t="s">
        <v>4334</v>
      </c>
      <c r="M4326">
        <v>0</v>
      </c>
      <c r="N4326">
        <v>52.25</v>
      </c>
      <c r="O4326" t="s">
        <v>19</v>
      </c>
      <c r="P4326" t="s">
        <v>20</v>
      </c>
      <c r="Q4326">
        <v>20221118</v>
      </c>
    </row>
    <row r="4327" spans="1:17" x14ac:dyDescent="0.25">
      <c r="A4327" t="s">
        <v>548</v>
      </c>
      <c r="B4327" t="s">
        <v>429</v>
      </c>
      <c r="C4327">
        <v>154</v>
      </c>
      <c r="D4327">
        <v>20221118</v>
      </c>
      <c r="E4327">
        <f t="shared" si="67"/>
        <v>11</v>
      </c>
      <c r="F4327">
        <v>411100</v>
      </c>
      <c r="G4327" t="s">
        <v>18</v>
      </c>
      <c r="H4327" t="s">
        <v>4335</v>
      </c>
      <c r="I4327" t="s">
        <v>4336</v>
      </c>
      <c r="J4327">
        <v>360797</v>
      </c>
      <c r="K4327">
        <v>20221118</v>
      </c>
      <c r="L4327" t="s">
        <v>4337</v>
      </c>
      <c r="M4327">
        <v>0</v>
      </c>
      <c r="N4327">
        <v>50</v>
      </c>
      <c r="O4327" t="s">
        <v>22</v>
      </c>
      <c r="P4327">
        <v>20230218</v>
      </c>
      <c r="Q4327">
        <v>20221118</v>
      </c>
    </row>
    <row r="4328" spans="1:17" x14ac:dyDescent="0.25">
      <c r="A4328" t="s">
        <v>548</v>
      </c>
      <c r="B4328" t="s">
        <v>429</v>
      </c>
      <c r="C4328">
        <v>154</v>
      </c>
      <c r="D4328">
        <v>20221118</v>
      </c>
      <c r="E4328">
        <f t="shared" si="67"/>
        <v>11</v>
      </c>
      <c r="F4328">
        <v>531105</v>
      </c>
      <c r="G4328" t="s">
        <v>429</v>
      </c>
      <c r="H4328" t="s">
        <v>401</v>
      </c>
      <c r="I4328" t="s">
        <v>402</v>
      </c>
      <c r="J4328">
        <v>360798</v>
      </c>
      <c r="K4328">
        <v>20221118</v>
      </c>
      <c r="L4328" t="s">
        <v>565</v>
      </c>
      <c r="M4328">
        <v>50</v>
      </c>
      <c r="N4328">
        <v>0</v>
      </c>
      <c r="O4328" t="s">
        <v>19</v>
      </c>
      <c r="P4328" t="s">
        <v>20</v>
      </c>
      <c r="Q4328">
        <v>20221118</v>
      </c>
    </row>
    <row r="4329" spans="1:17" x14ac:dyDescent="0.25">
      <c r="A4329" t="s">
        <v>548</v>
      </c>
      <c r="B4329" t="s">
        <v>429</v>
      </c>
      <c r="C4329">
        <v>154</v>
      </c>
      <c r="D4329">
        <v>20221118</v>
      </c>
      <c r="E4329">
        <f t="shared" si="67"/>
        <v>11</v>
      </c>
      <c r="F4329">
        <v>580000</v>
      </c>
      <c r="G4329" t="s">
        <v>532</v>
      </c>
      <c r="H4329" t="s">
        <v>401</v>
      </c>
      <c r="I4329" t="s">
        <v>402</v>
      </c>
      <c r="J4329" t="s">
        <v>4338</v>
      </c>
      <c r="K4329">
        <v>20221118</v>
      </c>
      <c r="L4329" t="s">
        <v>625</v>
      </c>
      <c r="M4329">
        <v>1500</v>
      </c>
      <c r="N4329">
        <v>0</v>
      </c>
      <c r="O4329" t="s">
        <v>22</v>
      </c>
      <c r="P4329">
        <v>20221118</v>
      </c>
      <c r="Q4329">
        <v>20221118</v>
      </c>
    </row>
    <row r="4330" spans="1:17" x14ac:dyDescent="0.25">
      <c r="A4330" t="s">
        <v>548</v>
      </c>
      <c r="B4330" t="s">
        <v>429</v>
      </c>
      <c r="C4330">
        <v>154</v>
      </c>
      <c r="D4330">
        <v>20221118</v>
      </c>
      <c r="E4330">
        <f t="shared" si="67"/>
        <v>11</v>
      </c>
      <c r="F4330">
        <v>531105</v>
      </c>
      <c r="G4330" t="s">
        <v>429</v>
      </c>
      <c r="H4330" t="s">
        <v>401</v>
      </c>
      <c r="I4330" t="s">
        <v>402</v>
      </c>
      <c r="J4330" t="s">
        <v>4338</v>
      </c>
      <c r="K4330">
        <v>20221118</v>
      </c>
      <c r="L4330" t="s">
        <v>625</v>
      </c>
      <c r="M4330">
        <v>0</v>
      </c>
      <c r="N4330">
        <v>1500</v>
      </c>
      <c r="O4330" t="s">
        <v>19</v>
      </c>
      <c r="P4330" t="s">
        <v>20</v>
      </c>
      <c r="Q4330">
        <v>20221118</v>
      </c>
    </row>
    <row r="4331" spans="1:17" x14ac:dyDescent="0.25">
      <c r="A4331" t="s">
        <v>548</v>
      </c>
      <c r="B4331" t="s">
        <v>429</v>
      </c>
      <c r="C4331">
        <v>154</v>
      </c>
      <c r="D4331">
        <v>20221118</v>
      </c>
      <c r="E4331">
        <f t="shared" si="67"/>
        <v>11</v>
      </c>
      <c r="F4331">
        <v>411100</v>
      </c>
      <c r="G4331" t="s">
        <v>18</v>
      </c>
      <c r="H4331" t="s">
        <v>142</v>
      </c>
      <c r="I4331" t="s">
        <v>143</v>
      </c>
      <c r="J4331">
        <v>122110009</v>
      </c>
      <c r="K4331">
        <v>20221118</v>
      </c>
      <c r="L4331" t="s">
        <v>4339</v>
      </c>
      <c r="M4331">
        <v>0</v>
      </c>
      <c r="N4331">
        <v>15</v>
      </c>
      <c r="O4331" t="s">
        <v>19</v>
      </c>
      <c r="P4331" t="s">
        <v>20</v>
      </c>
      <c r="Q4331">
        <v>20221118</v>
      </c>
    </row>
    <row r="4332" spans="1:17" x14ac:dyDescent="0.25">
      <c r="A4332" t="s">
        <v>548</v>
      </c>
      <c r="B4332" t="s">
        <v>429</v>
      </c>
      <c r="C4332">
        <v>154</v>
      </c>
      <c r="D4332">
        <v>20221118</v>
      </c>
      <c r="E4332">
        <f t="shared" si="67"/>
        <v>11</v>
      </c>
      <c r="F4332">
        <v>411100</v>
      </c>
      <c r="G4332" t="s">
        <v>18</v>
      </c>
      <c r="H4332" t="s">
        <v>113</v>
      </c>
      <c r="I4332" t="s">
        <v>114</v>
      </c>
      <c r="J4332">
        <v>122110040</v>
      </c>
      <c r="K4332">
        <v>20221118</v>
      </c>
      <c r="L4332" t="s">
        <v>4340</v>
      </c>
      <c r="M4332">
        <v>0</v>
      </c>
      <c r="N4332">
        <v>15</v>
      </c>
      <c r="O4332" t="s">
        <v>19</v>
      </c>
      <c r="P4332" t="s">
        <v>20</v>
      </c>
      <c r="Q4332">
        <v>20221118</v>
      </c>
    </row>
    <row r="4333" spans="1:17" x14ac:dyDescent="0.25">
      <c r="A4333" t="s">
        <v>548</v>
      </c>
      <c r="B4333" t="s">
        <v>429</v>
      </c>
      <c r="C4333">
        <v>154</v>
      </c>
      <c r="D4333">
        <v>20221118</v>
      </c>
      <c r="E4333">
        <f t="shared" si="67"/>
        <v>11</v>
      </c>
      <c r="F4333">
        <v>411000</v>
      </c>
      <c r="G4333" t="s">
        <v>21</v>
      </c>
      <c r="H4333" t="s">
        <v>287</v>
      </c>
      <c r="I4333" t="s">
        <v>288</v>
      </c>
      <c r="J4333">
        <v>122110116</v>
      </c>
      <c r="K4333">
        <v>20221118</v>
      </c>
      <c r="L4333" t="s">
        <v>4341</v>
      </c>
      <c r="M4333">
        <v>0</v>
      </c>
      <c r="N4333">
        <v>15</v>
      </c>
      <c r="O4333" t="s">
        <v>19</v>
      </c>
      <c r="P4333" t="s">
        <v>20</v>
      </c>
      <c r="Q4333">
        <v>20221118</v>
      </c>
    </row>
    <row r="4334" spans="1:17" x14ac:dyDescent="0.25">
      <c r="A4334" t="s">
        <v>548</v>
      </c>
      <c r="B4334" t="s">
        <v>429</v>
      </c>
      <c r="C4334">
        <v>154</v>
      </c>
      <c r="D4334">
        <v>20221118</v>
      </c>
      <c r="E4334">
        <f t="shared" si="67"/>
        <v>11</v>
      </c>
      <c r="F4334">
        <v>411100</v>
      </c>
      <c r="G4334" t="s">
        <v>18</v>
      </c>
      <c r="H4334" t="s">
        <v>117</v>
      </c>
      <c r="I4334" t="s">
        <v>118</v>
      </c>
      <c r="J4334">
        <v>122110074</v>
      </c>
      <c r="K4334">
        <v>20221118</v>
      </c>
      <c r="L4334" t="s">
        <v>4342</v>
      </c>
      <c r="M4334">
        <v>0</v>
      </c>
      <c r="N4334">
        <v>15</v>
      </c>
      <c r="O4334" t="s">
        <v>19</v>
      </c>
      <c r="P4334" t="s">
        <v>20</v>
      </c>
      <c r="Q4334">
        <v>20221118</v>
      </c>
    </row>
    <row r="4335" spans="1:17" x14ac:dyDescent="0.25">
      <c r="A4335" t="s">
        <v>548</v>
      </c>
      <c r="B4335" t="s">
        <v>429</v>
      </c>
      <c r="C4335">
        <v>154</v>
      </c>
      <c r="D4335">
        <v>20221118</v>
      </c>
      <c r="E4335">
        <f t="shared" si="67"/>
        <v>11</v>
      </c>
      <c r="F4335">
        <v>411100</v>
      </c>
      <c r="G4335" t="s">
        <v>18</v>
      </c>
      <c r="H4335" t="s">
        <v>115</v>
      </c>
      <c r="I4335" t="s">
        <v>116</v>
      </c>
      <c r="J4335">
        <v>122110034</v>
      </c>
      <c r="K4335">
        <v>20221118</v>
      </c>
      <c r="L4335" t="s">
        <v>4343</v>
      </c>
      <c r="M4335">
        <v>0</v>
      </c>
      <c r="N4335">
        <v>15</v>
      </c>
      <c r="O4335" t="s">
        <v>19</v>
      </c>
      <c r="P4335" t="s">
        <v>20</v>
      </c>
      <c r="Q4335">
        <v>20221118</v>
      </c>
    </row>
    <row r="4336" spans="1:17" x14ac:dyDescent="0.25">
      <c r="A4336" t="s">
        <v>548</v>
      </c>
      <c r="B4336" t="s">
        <v>429</v>
      </c>
      <c r="C4336">
        <v>154</v>
      </c>
      <c r="D4336">
        <v>20221118</v>
      </c>
      <c r="E4336">
        <f t="shared" si="67"/>
        <v>11</v>
      </c>
      <c r="F4336">
        <v>411100</v>
      </c>
      <c r="G4336" t="s">
        <v>18</v>
      </c>
      <c r="H4336" t="s">
        <v>2282</v>
      </c>
      <c r="I4336" t="s">
        <v>2283</v>
      </c>
      <c r="J4336">
        <v>122110032</v>
      </c>
      <c r="K4336">
        <v>20221118</v>
      </c>
      <c r="L4336" t="s">
        <v>4344</v>
      </c>
      <c r="M4336">
        <v>0</v>
      </c>
      <c r="N4336">
        <v>15</v>
      </c>
      <c r="O4336" t="s">
        <v>22</v>
      </c>
      <c r="P4336">
        <v>20230218</v>
      </c>
      <c r="Q4336">
        <v>20221118</v>
      </c>
    </row>
    <row r="4337" spans="1:17" x14ac:dyDescent="0.25">
      <c r="A4337" t="s">
        <v>548</v>
      </c>
      <c r="B4337" t="s">
        <v>429</v>
      </c>
      <c r="C4337">
        <v>154</v>
      </c>
      <c r="D4337">
        <v>20221118</v>
      </c>
      <c r="E4337">
        <f t="shared" si="67"/>
        <v>11</v>
      </c>
      <c r="F4337">
        <v>411100</v>
      </c>
      <c r="G4337" t="s">
        <v>18</v>
      </c>
      <c r="H4337" t="s">
        <v>249</v>
      </c>
      <c r="I4337" t="s">
        <v>250</v>
      </c>
      <c r="J4337">
        <v>361079</v>
      </c>
      <c r="K4337">
        <v>20221118</v>
      </c>
      <c r="L4337" t="s">
        <v>4345</v>
      </c>
      <c r="M4337">
        <v>0</v>
      </c>
      <c r="N4337">
        <v>5</v>
      </c>
      <c r="O4337" t="s">
        <v>19</v>
      </c>
      <c r="P4337" t="s">
        <v>20</v>
      </c>
      <c r="Q4337">
        <v>20221118</v>
      </c>
    </row>
    <row r="4338" spans="1:17" x14ac:dyDescent="0.25">
      <c r="A4338" t="s">
        <v>548</v>
      </c>
      <c r="B4338" t="s">
        <v>429</v>
      </c>
      <c r="C4338">
        <v>154</v>
      </c>
      <c r="D4338">
        <v>20221118</v>
      </c>
      <c r="E4338">
        <f t="shared" si="67"/>
        <v>11</v>
      </c>
      <c r="F4338">
        <v>411100</v>
      </c>
      <c r="G4338" t="s">
        <v>18</v>
      </c>
      <c r="H4338" t="s">
        <v>103</v>
      </c>
      <c r="I4338" t="s">
        <v>104</v>
      </c>
      <c r="J4338">
        <v>122110035</v>
      </c>
      <c r="K4338">
        <v>20221118</v>
      </c>
      <c r="L4338" t="s">
        <v>4346</v>
      </c>
      <c r="M4338">
        <v>0</v>
      </c>
      <c r="N4338">
        <v>15</v>
      </c>
      <c r="O4338" t="s">
        <v>19</v>
      </c>
      <c r="P4338" t="s">
        <v>20</v>
      </c>
      <c r="Q4338">
        <v>20221118</v>
      </c>
    </row>
    <row r="4339" spans="1:17" x14ac:dyDescent="0.25">
      <c r="A4339" t="s">
        <v>548</v>
      </c>
      <c r="B4339" t="s">
        <v>429</v>
      </c>
      <c r="C4339">
        <v>154</v>
      </c>
      <c r="D4339">
        <v>20221118</v>
      </c>
      <c r="E4339">
        <f t="shared" si="67"/>
        <v>11</v>
      </c>
      <c r="F4339">
        <v>411100</v>
      </c>
      <c r="G4339" t="s">
        <v>18</v>
      </c>
      <c r="H4339" t="s">
        <v>61</v>
      </c>
      <c r="I4339" t="s">
        <v>62</v>
      </c>
      <c r="J4339">
        <v>122110015</v>
      </c>
      <c r="K4339">
        <v>20221118</v>
      </c>
      <c r="L4339" t="s">
        <v>4347</v>
      </c>
      <c r="M4339">
        <v>0</v>
      </c>
      <c r="N4339">
        <v>20</v>
      </c>
      <c r="O4339" t="s">
        <v>22</v>
      </c>
      <c r="P4339">
        <v>20230218</v>
      </c>
      <c r="Q4339">
        <v>20221118</v>
      </c>
    </row>
    <row r="4340" spans="1:17" x14ac:dyDescent="0.25">
      <c r="A4340" t="s">
        <v>548</v>
      </c>
      <c r="B4340" t="s">
        <v>429</v>
      </c>
      <c r="C4340">
        <v>154</v>
      </c>
      <c r="D4340">
        <v>20221118</v>
      </c>
      <c r="E4340">
        <f t="shared" si="67"/>
        <v>11</v>
      </c>
      <c r="F4340">
        <v>411100</v>
      </c>
      <c r="G4340" t="s">
        <v>18</v>
      </c>
      <c r="H4340" t="s">
        <v>26</v>
      </c>
      <c r="I4340" t="s">
        <v>27</v>
      </c>
      <c r="J4340">
        <v>361082</v>
      </c>
      <c r="K4340">
        <v>20221118</v>
      </c>
      <c r="L4340" t="s">
        <v>4348</v>
      </c>
      <c r="M4340">
        <v>0</v>
      </c>
      <c r="N4340">
        <v>5</v>
      </c>
      <c r="O4340" t="s">
        <v>19</v>
      </c>
      <c r="P4340" t="s">
        <v>20</v>
      </c>
      <c r="Q4340">
        <v>20221118</v>
      </c>
    </row>
    <row r="4341" spans="1:17" x14ac:dyDescent="0.25">
      <c r="A4341" t="s">
        <v>548</v>
      </c>
      <c r="B4341" t="s">
        <v>429</v>
      </c>
      <c r="C4341">
        <v>154</v>
      </c>
      <c r="D4341">
        <v>20221118</v>
      </c>
      <c r="E4341">
        <f t="shared" si="67"/>
        <v>11</v>
      </c>
      <c r="F4341">
        <v>411100</v>
      </c>
      <c r="G4341" t="s">
        <v>18</v>
      </c>
      <c r="H4341" t="s">
        <v>142</v>
      </c>
      <c r="I4341" t="s">
        <v>143</v>
      </c>
      <c r="J4341">
        <v>361083</v>
      </c>
      <c r="K4341">
        <v>20221118</v>
      </c>
      <c r="L4341" t="s">
        <v>4349</v>
      </c>
      <c r="M4341">
        <v>0</v>
      </c>
      <c r="N4341">
        <v>5</v>
      </c>
      <c r="O4341" t="s">
        <v>19</v>
      </c>
      <c r="P4341" t="s">
        <v>20</v>
      </c>
      <c r="Q4341">
        <v>20221118</v>
      </c>
    </row>
    <row r="4342" spans="1:17" x14ac:dyDescent="0.25">
      <c r="A4342" t="s">
        <v>548</v>
      </c>
      <c r="B4342" t="s">
        <v>429</v>
      </c>
      <c r="C4342">
        <v>154</v>
      </c>
      <c r="D4342">
        <v>20221118</v>
      </c>
      <c r="E4342">
        <f t="shared" si="67"/>
        <v>11</v>
      </c>
      <c r="F4342">
        <v>411100</v>
      </c>
      <c r="G4342" t="s">
        <v>18</v>
      </c>
      <c r="H4342" t="s">
        <v>63</v>
      </c>
      <c r="I4342" t="s">
        <v>64</v>
      </c>
      <c r="J4342">
        <v>361084</v>
      </c>
      <c r="K4342">
        <v>20221118</v>
      </c>
      <c r="L4342" t="s">
        <v>4350</v>
      </c>
      <c r="M4342">
        <v>0</v>
      </c>
      <c r="N4342">
        <v>5</v>
      </c>
      <c r="O4342" t="s">
        <v>19</v>
      </c>
      <c r="P4342" t="s">
        <v>20</v>
      </c>
      <c r="Q4342">
        <v>20221118</v>
      </c>
    </row>
    <row r="4343" spans="1:17" x14ac:dyDescent="0.25">
      <c r="A4343" t="s">
        <v>548</v>
      </c>
      <c r="B4343" t="s">
        <v>429</v>
      </c>
      <c r="C4343">
        <v>154</v>
      </c>
      <c r="D4343">
        <v>20221118</v>
      </c>
      <c r="E4343">
        <f t="shared" si="67"/>
        <v>11</v>
      </c>
      <c r="F4343">
        <v>411000</v>
      </c>
      <c r="G4343" t="s">
        <v>21</v>
      </c>
      <c r="H4343" t="s">
        <v>287</v>
      </c>
      <c r="I4343" t="s">
        <v>288</v>
      </c>
      <c r="J4343">
        <v>361085</v>
      </c>
      <c r="K4343">
        <v>20221118</v>
      </c>
      <c r="L4343" t="s">
        <v>4351</v>
      </c>
      <c r="M4343">
        <v>0</v>
      </c>
      <c r="N4343">
        <v>5</v>
      </c>
      <c r="O4343" t="s">
        <v>19</v>
      </c>
      <c r="P4343" t="s">
        <v>20</v>
      </c>
      <c r="Q4343">
        <v>20221118</v>
      </c>
    </row>
    <row r="4344" spans="1:17" x14ac:dyDescent="0.25">
      <c r="A4344" t="s">
        <v>548</v>
      </c>
      <c r="B4344" t="s">
        <v>429</v>
      </c>
      <c r="C4344">
        <v>154</v>
      </c>
      <c r="D4344">
        <v>20221118</v>
      </c>
      <c r="E4344">
        <f t="shared" si="67"/>
        <v>11</v>
      </c>
      <c r="F4344">
        <v>411100</v>
      </c>
      <c r="G4344" t="s">
        <v>18</v>
      </c>
      <c r="H4344" t="s">
        <v>111</v>
      </c>
      <c r="I4344" t="s">
        <v>112</v>
      </c>
      <c r="J4344">
        <v>361086</v>
      </c>
      <c r="K4344">
        <v>20221118</v>
      </c>
      <c r="L4344" t="s">
        <v>4352</v>
      </c>
      <c r="M4344">
        <v>0</v>
      </c>
      <c r="N4344">
        <v>5</v>
      </c>
      <c r="O4344" t="s">
        <v>19</v>
      </c>
      <c r="P4344" t="s">
        <v>20</v>
      </c>
      <c r="Q4344">
        <v>20221118</v>
      </c>
    </row>
    <row r="4345" spans="1:17" x14ac:dyDescent="0.25">
      <c r="A4345" t="s">
        <v>548</v>
      </c>
      <c r="B4345" t="s">
        <v>429</v>
      </c>
      <c r="C4345">
        <v>154</v>
      </c>
      <c r="D4345">
        <v>20221118</v>
      </c>
      <c r="E4345">
        <f t="shared" si="67"/>
        <v>11</v>
      </c>
      <c r="F4345">
        <v>411100</v>
      </c>
      <c r="G4345" t="s">
        <v>18</v>
      </c>
      <c r="H4345" t="s">
        <v>113</v>
      </c>
      <c r="I4345" t="s">
        <v>114</v>
      </c>
      <c r="J4345">
        <v>361087</v>
      </c>
      <c r="K4345">
        <v>20221118</v>
      </c>
      <c r="L4345" t="s">
        <v>4353</v>
      </c>
      <c r="M4345">
        <v>0</v>
      </c>
      <c r="N4345">
        <v>5</v>
      </c>
      <c r="O4345" t="s">
        <v>19</v>
      </c>
      <c r="P4345" t="s">
        <v>20</v>
      </c>
      <c r="Q4345">
        <v>20221118</v>
      </c>
    </row>
    <row r="4346" spans="1:17" x14ac:dyDescent="0.25">
      <c r="A4346" t="s">
        <v>548</v>
      </c>
      <c r="B4346" t="s">
        <v>429</v>
      </c>
      <c r="C4346">
        <v>154</v>
      </c>
      <c r="D4346">
        <v>20221118</v>
      </c>
      <c r="E4346">
        <f t="shared" si="67"/>
        <v>11</v>
      </c>
      <c r="F4346">
        <v>411100</v>
      </c>
      <c r="G4346" t="s">
        <v>18</v>
      </c>
      <c r="H4346" t="s">
        <v>121</v>
      </c>
      <c r="I4346" t="s">
        <v>122</v>
      </c>
      <c r="J4346">
        <v>361088</v>
      </c>
      <c r="K4346">
        <v>20221118</v>
      </c>
      <c r="L4346" t="s">
        <v>4354</v>
      </c>
      <c r="M4346">
        <v>0</v>
      </c>
      <c r="N4346">
        <v>5</v>
      </c>
      <c r="O4346" t="s">
        <v>19</v>
      </c>
      <c r="P4346" t="s">
        <v>20</v>
      </c>
      <c r="Q4346">
        <v>20221118</v>
      </c>
    </row>
    <row r="4347" spans="1:17" x14ac:dyDescent="0.25">
      <c r="A4347" t="s">
        <v>548</v>
      </c>
      <c r="B4347" t="s">
        <v>429</v>
      </c>
      <c r="C4347">
        <v>154</v>
      </c>
      <c r="D4347">
        <v>20221118</v>
      </c>
      <c r="E4347">
        <f t="shared" si="67"/>
        <v>11</v>
      </c>
      <c r="F4347">
        <v>411100</v>
      </c>
      <c r="G4347" t="s">
        <v>18</v>
      </c>
      <c r="H4347" t="s">
        <v>117</v>
      </c>
      <c r="I4347" t="s">
        <v>118</v>
      </c>
      <c r="J4347">
        <v>361089</v>
      </c>
      <c r="K4347">
        <v>20221118</v>
      </c>
      <c r="L4347" t="s">
        <v>4355</v>
      </c>
      <c r="M4347">
        <v>0</v>
      </c>
      <c r="N4347">
        <v>5</v>
      </c>
      <c r="O4347" t="s">
        <v>19</v>
      </c>
      <c r="P4347" t="s">
        <v>20</v>
      </c>
      <c r="Q4347">
        <v>20221118</v>
      </c>
    </row>
    <row r="4348" spans="1:17" x14ac:dyDescent="0.25">
      <c r="A4348" t="s">
        <v>548</v>
      </c>
      <c r="B4348" t="s">
        <v>429</v>
      </c>
      <c r="C4348">
        <v>154</v>
      </c>
      <c r="D4348">
        <v>20221118</v>
      </c>
      <c r="E4348">
        <f t="shared" si="67"/>
        <v>11</v>
      </c>
      <c r="F4348">
        <v>411100</v>
      </c>
      <c r="G4348" t="s">
        <v>18</v>
      </c>
      <c r="H4348" t="s">
        <v>311</v>
      </c>
      <c r="I4348" t="s">
        <v>312</v>
      </c>
      <c r="J4348">
        <v>122070201</v>
      </c>
      <c r="K4348">
        <v>20221118</v>
      </c>
      <c r="L4348" t="s">
        <v>4356</v>
      </c>
      <c r="M4348">
        <v>0</v>
      </c>
      <c r="N4348">
        <v>116</v>
      </c>
      <c r="O4348" t="s">
        <v>19</v>
      </c>
      <c r="P4348" t="s">
        <v>20</v>
      </c>
      <c r="Q4348">
        <v>20221118</v>
      </c>
    </row>
    <row r="4349" spans="1:17" x14ac:dyDescent="0.25">
      <c r="A4349" t="s">
        <v>548</v>
      </c>
      <c r="B4349" t="s">
        <v>429</v>
      </c>
      <c r="C4349">
        <v>154</v>
      </c>
      <c r="D4349">
        <v>20221118</v>
      </c>
      <c r="E4349">
        <f t="shared" si="67"/>
        <v>11</v>
      </c>
      <c r="F4349">
        <v>531105</v>
      </c>
      <c r="G4349" t="s">
        <v>429</v>
      </c>
      <c r="H4349" t="s">
        <v>401</v>
      </c>
      <c r="I4349" t="s">
        <v>402</v>
      </c>
      <c r="J4349">
        <v>361091</v>
      </c>
      <c r="K4349">
        <v>20221118</v>
      </c>
      <c r="L4349" t="s">
        <v>565</v>
      </c>
      <c r="M4349">
        <v>286</v>
      </c>
      <c r="N4349">
        <v>0</v>
      </c>
      <c r="O4349" t="s">
        <v>19</v>
      </c>
      <c r="P4349" t="s">
        <v>20</v>
      </c>
      <c r="Q4349">
        <v>20221118</v>
      </c>
    </row>
    <row r="4350" spans="1:17" x14ac:dyDescent="0.25">
      <c r="A4350" t="s">
        <v>548</v>
      </c>
      <c r="B4350" t="s">
        <v>429</v>
      </c>
      <c r="C4350">
        <v>154</v>
      </c>
      <c r="D4350">
        <v>20221121</v>
      </c>
      <c r="E4350">
        <f t="shared" si="67"/>
        <v>11</v>
      </c>
      <c r="F4350">
        <v>411100</v>
      </c>
      <c r="G4350" t="s">
        <v>18</v>
      </c>
      <c r="H4350" t="s">
        <v>4119</v>
      </c>
      <c r="I4350" t="s">
        <v>4120</v>
      </c>
      <c r="J4350">
        <v>361092</v>
      </c>
      <c r="K4350">
        <v>20221121</v>
      </c>
      <c r="L4350" t="s">
        <v>4357</v>
      </c>
      <c r="M4350">
        <v>0</v>
      </c>
      <c r="N4350">
        <v>7.86</v>
      </c>
      <c r="O4350" t="s">
        <v>22</v>
      </c>
      <c r="P4350">
        <v>20230218</v>
      </c>
      <c r="Q4350">
        <v>20221121</v>
      </c>
    </row>
    <row r="4351" spans="1:17" x14ac:dyDescent="0.25">
      <c r="A4351" t="s">
        <v>548</v>
      </c>
      <c r="B4351" t="s">
        <v>429</v>
      </c>
      <c r="C4351">
        <v>154</v>
      </c>
      <c r="D4351">
        <v>20221121</v>
      </c>
      <c r="E4351">
        <f t="shared" si="67"/>
        <v>11</v>
      </c>
      <c r="F4351">
        <v>411100</v>
      </c>
      <c r="G4351" t="s">
        <v>18</v>
      </c>
      <c r="H4351" t="s">
        <v>997</v>
      </c>
      <c r="I4351" t="s">
        <v>998</v>
      </c>
      <c r="J4351">
        <v>361093</v>
      </c>
      <c r="K4351">
        <v>20221121</v>
      </c>
      <c r="L4351" t="s">
        <v>4358</v>
      </c>
      <c r="M4351">
        <v>0</v>
      </c>
      <c r="N4351">
        <v>2</v>
      </c>
      <c r="O4351" t="s">
        <v>19</v>
      </c>
      <c r="P4351" t="s">
        <v>20</v>
      </c>
      <c r="Q4351">
        <v>20221121</v>
      </c>
    </row>
    <row r="4352" spans="1:17" x14ac:dyDescent="0.25">
      <c r="A4352" t="s">
        <v>548</v>
      </c>
      <c r="B4352" t="s">
        <v>429</v>
      </c>
      <c r="C4352">
        <v>154</v>
      </c>
      <c r="D4352">
        <v>20221121</v>
      </c>
      <c r="E4352">
        <f t="shared" si="67"/>
        <v>11</v>
      </c>
      <c r="F4352">
        <v>411100</v>
      </c>
      <c r="G4352" t="s">
        <v>18</v>
      </c>
      <c r="H4352" t="s">
        <v>1417</v>
      </c>
      <c r="I4352" t="s">
        <v>1418</v>
      </c>
      <c r="J4352">
        <v>361094</v>
      </c>
      <c r="K4352">
        <v>20221121</v>
      </c>
      <c r="L4352" t="s">
        <v>4359</v>
      </c>
      <c r="M4352">
        <v>0</v>
      </c>
      <c r="N4352">
        <v>2</v>
      </c>
      <c r="O4352" t="s">
        <v>23</v>
      </c>
      <c r="P4352">
        <v>20230329</v>
      </c>
      <c r="Q4352">
        <v>20221121</v>
      </c>
    </row>
    <row r="4353" spans="1:17" x14ac:dyDescent="0.25">
      <c r="A4353" t="s">
        <v>548</v>
      </c>
      <c r="B4353" t="s">
        <v>429</v>
      </c>
      <c r="C4353">
        <v>154</v>
      </c>
      <c r="D4353">
        <v>20221121</v>
      </c>
      <c r="E4353">
        <f t="shared" si="67"/>
        <v>11</v>
      </c>
      <c r="F4353">
        <v>411100</v>
      </c>
      <c r="G4353" t="s">
        <v>18</v>
      </c>
      <c r="H4353" t="s">
        <v>1000</v>
      </c>
      <c r="I4353" t="s">
        <v>1001</v>
      </c>
      <c r="J4353">
        <v>361095</v>
      </c>
      <c r="K4353">
        <v>20221121</v>
      </c>
      <c r="L4353" t="s">
        <v>4360</v>
      </c>
      <c r="M4353">
        <v>0</v>
      </c>
      <c r="N4353">
        <v>2</v>
      </c>
      <c r="O4353" t="s">
        <v>19</v>
      </c>
      <c r="P4353" t="s">
        <v>20</v>
      </c>
      <c r="Q4353">
        <v>20221121</v>
      </c>
    </row>
    <row r="4354" spans="1:17" x14ac:dyDescent="0.25">
      <c r="A4354" t="s">
        <v>548</v>
      </c>
      <c r="B4354" t="s">
        <v>429</v>
      </c>
      <c r="C4354">
        <v>154</v>
      </c>
      <c r="D4354">
        <v>20221121</v>
      </c>
      <c r="E4354">
        <f t="shared" si="67"/>
        <v>11</v>
      </c>
      <c r="F4354">
        <v>411100</v>
      </c>
      <c r="G4354" t="s">
        <v>18</v>
      </c>
      <c r="H4354" t="s">
        <v>1003</v>
      </c>
      <c r="I4354" t="s">
        <v>1004</v>
      </c>
      <c r="J4354">
        <v>361096</v>
      </c>
      <c r="K4354">
        <v>20221121</v>
      </c>
      <c r="L4354" t="s">
        <v>4361</v>
      </c>
      <c r="M4354">
        <v>0</v>
      </c>
      <c r="N4354">
        <v>2</v>
      </c>
      <c r="O4354" t="s">
        <v>19</v>
      </c>
      <c r="P4354" t="s">
        <v>20</v>
      </c>
      <c r="Q4354">
        <v>20221121</v>
      </c>
    </row>
    <row r="4355" spans="1:17" x14ac:dyDescent="0.25">
      <c r="A4355" t="s">
        <v>548</v>
      </c>
      <c r="B4355" t="s">
        <v>429</v>
      </c>
      <c r="C4355">
        <v>154</v>
      </c>
      <c r="D4355">
        <v>20221121</v>
      </c>
      <c r="E4355">
        <f t="shared" ref="E4355:E4418" si="68">VALUE(MID(D4355,5,2))</f>
        <v>11</v>
      </c>
      <c r="F4355">
        <v>411100</v>
      </c>
      <c r="G4355" t="s">
        <v>18</v>
      </c>
      <c r="H4355" t="s">
        <v>179</v>
      </c>
      <c r="I4355" t="s">
        <v>180</v>
      </c>
      <c r="J4355">
        <v>361097</v>
      </c>
      <c r="K4355">
        <v>20221121</v>
      </c>
      <c r="L4355" t="s">
        <v>4362</v>
      </c>
      <c r="M4355">
        <v>0</v>
      </c>
      <c r="N4355">
        <v>2</v>
      </c>
      <c r="O4355" t="s">
        <v>19</v>
      </c>
      <c r="P4355" t="s">
        <v>20</v>
      </c>
      <c r="Q4355">
        <v>20221121</v>
      </c>
    </row>
    <row r="4356" spans="1:17" x14ac:dyDescent="0.25">
      <c r="A4356" t="s">
        <v>548</v>
      </c>
      <c r="B4356" t="s">
        <v>429</v>
      </c>
      <c r="C4356">
        <v>154</v>
      </c>
      <c r="D4356">
        <v>20221121</v>
      </c>
      <c r="E4356">
        <f t="shared" si="68"/>
        <v>11</v>
      </c>
      <c r="F4356">
        <v>411100</v>
      </c>
      <c r="G4356" t="s">
        <v>18</v>
      </c>
      <c r="H4356" t="s">
        <v>2246</v>
      </c>
      <c r="I4356" t="s">
        <v>2247</v>
      </c>
      <c r="J4356">
        <v>361098</v>
      </c>
      <c r="K4356">
        <v>20221121</v>
      </c>
      <c r="L4356" t="s">
        <v>4363</v>
      </c>
      <c r="M4356">
        <v>0</v>
      </c>
      <c r="N4356">
        <v>2</v>
      </c>
      <c r="O4356" t="s">
        <v>23</v>
      </c>
      <c r="P4356">
        <v>20230329</v>
      </c>
      <c r="Q4356">
        <v>20221121</v>
      </c>
    </row>
    <row r="4357" spans="1:17" x14ac:dyDescent="0.25">
      <c r="A4357" t="s">
        <v>548</v>
      </c>
      <c r="B4357" t="s">
        <v>429</v>
      </c>
      <c r="C4357">
        <v>154</v>
      </c>
      <c r="D4357">
        <v>20221121</v>
      </c>
      <c r="E4357">
        <f t="shared" si="68"/>
        <v>11</v>
      </c>
      <c r="F4357">
        <v>531105</v>
      </c>
      <c r="G4357" t="s">
        <v>429</v>
      </c>
      <c r="H4357" t="s">
        <v>401</v>
      </c>
      <c r="I4357" t="s">
        <v>402</v>
      </c>
      <c r="J4357">
        <v>361099</v>
      </c>
      <c r="K4357">
        <v>20221121</v>
      </c>
      <c r="L4357" t="s">
        <v>565</v>
      </c>
      <c r="M4357">
        <v>19.86</v>
      </c>
      <c r="N4357">
        <v>0</v>
      </c>
      <c r="O4357" t="s">
        <v>19</v>
      </c>
      <c r="P4357" t="s">
        <v>20</v>
      </c>
      <c r="Q4357">
        <v>20221121</v>
      </c>
    </row>
    <row r="4358" spans="1:17" x14ac:dyDescent="0.25">
      <c r="A4358" t="s">
        <v>548</v>
      </c>
      <c r="B4358" t="s">
        <v>429</v>
      </c>
      <c r="C4358">
        <v>154</v>
      </c>
      <c r="D4358">
        <v>20221121</v>
      </c>
      <c r="E4358">
        <f t="shared" si="68"/>
        <v>11</v>
      </c>
      <c r="F4358">
        <v>411100</v>
      </c>
      <c r="G4358" t="s">
        <v>18</v>
      </c>
      <c r="H4358" t="s">
        <v>4151</v>
      </c>
      <c r="I4358" t="s">
        <v>4152</v>
      </c>
      <c r="J4358">
        <v>222100011</v>
      </c>
      <c r="K4358">
        <v>20221121</v>
      </c>
      <c r="L4358" t="s">
        <v>4364</v>
      </c>
      <c r="M4358">
        <v>0</v>
      </c>
      <c r="N4358">
        <v>10</v>
      </c>
      <c r="O4358" t="s">
        <v>22</v>
      </c>
      <c r="P4358">
        <v>20230218</v>
      </c>
      <c r="Q4358">
        <v>20221121</v>
      </c>
    </row>
    <row r="4359" spans="1:17" x14ac:dyDescent="0.25">
      <c r="A4359" t="s">
        <v>548</v>
      </c>
      <c r="B4359" t="s">
        <v>429</v>
      </c>
      <c r="C4359">
        <v>154</v>
      </c>
      <c r="D4359">
        <v>20221121</v>
      </c>
      <c r="E4359">
        <f t="shared" si="68"/>
        <v>11</v>
      </c>
      <c r="F4359">
        <v>531105</v>
      </c>
      <c r="G4359" t="s">
        <v>429</v>
      </c>
      <c r="H4359" t="s">
        <v>401</v>
      </c>
      <c r="I4359" t="s">
        <v>402</v>
      </c>
      <c r="J4359">
        <v>361521</v>
      </c>
      <c r="K4359">
        <v>20221121</v>
      </c>
      <c r="L4359" t="s">
        <v>565</v>
      </c>
      <c r="M4359">
        <v>10</v>
      </c>
      <c r="N4359">
        <v>0</v>
      </c>
      <c r="O4359" t="s">
        <v>19</v>
      </c>
      <c r="P4359" t="s">
        <v>20</v>
      </c>
      <c r="Q4359">
        <v>20221121</v>
      </c>
    </row>
    <row r="4360" spans="1:17" x14ac:dyDescent="0.25">
      <c r="A4360" t="s">
        <v>548</v>
      </c>
      <c r="B4360" t="s">
        <v>429</v>
      </c>
      <c r="C4360">
        <v>154</v>
      </c>
      <c r="D4360">
        <v>20221122</v>
      </c>
      <c r="E4360">
        <f t="shared" si="68"/>
        <v>11</v>
      </c>
      <c r="F4360">
        <v>467100</v>
      </c>
      <c r="G4360" t="s">
        <v>160</v>
      </c>
      <c r="H4360" t="s">
        <v>183</v>
      </c>
      <c r="I4360" t="s">
        <v>184</v>
      </c>
      <c r="J4360" t="s">
        <v>4365</v>
      </c>
      <c r="K4360">
        <v>20221122</v>
      </c>
      <c r="L4360" t="s">
        <v>4366</v>
      </c>
      <c r="M4360">
        <v>0</v>
      </c>
      <c r="N4360">
        <v>7</v>
      </c>
      <c r="O4360" t="s">
        <v>19</v>
      </c>
      <c r="P4360" t="s">
        <v>20</v>
      </c>
      <c r="Q4360">
        <v>20221122</v>
      </c>
    </row>
    <row r="4361" spans="1:17" x14ac:dyDescent="0.25">
      <c r="A4361" t="s">
        <v>548</v>
      </c>
      <c r="B4361" t="s">
        <v>429</v>
      </c>
      <c r="C4361">
        <v>154</v>
      </c>
      <c r="D4361">
        <v>20221122</v>
      </c>
      <c r="E4361">
        <f t="shared" si="68"/>
        <v>11</v>
      </c>
      <c r="F4361">
        <v>531105</v>
      </c>
      <c r="G4361" t="s">
        <v>429</v>
      </c>
      <c r="H4361" t="s">
        <v>401</v>
      </c>
      <c r="I4361" t="s">
        <v>402</v>
      </c>
      <c r="J4361" t="s">
        <v>4365</v>
      </c>
      <c r="K4361">
        <v>20221122</v>
      </c>
      <c r="L4361" t="s">
        <v>4366</v>
      </c>
      <c r="M4361">
        <v>7</v>
      </c>
      <c r="N4361">
        <v>0</v>
      </c>
      <c r="O4361" t="s">
        <v>19</v>
      </c>
      <c r="P4361" t="s">
        <v>20</v>
      </c>
      <c r="Q4361">
        <v>20221122</v>
      </c>
    </row>
    <row r="4362" spans="1:17" x14ac:dyDescent="0.25">
      <c r="A4362" t="s">
        <v>548</v>
      </c>
      <c r="B4362" t="s">
        <v>429</v>
      </c>
      <c r="C4362">
        <v>154</v>
      </c>
      <c r="D4362">
        <v>20221122</v>
      </c>
      <c r="E4362">
        <f t="shared" si="68"/>
        <v>11</v>
      </c>
      <c r="F4362">
        <v>467100</v>
      </c>
      <c r="G4362" t="s">
        <v>160</v>
      </c>
      <c r="H4362" t="s">
        <v>2369</v>
      </c>
      <c r="I4362" t="s">
        <v>2370</v>
      </c>
      <c r="J4362" t="s">
        <v>4367</v>
      </c>
      <c r="K4362">
        <v>20221122</v>
      </c>
      <c r="L4362" t="s">
        <v>4368</v>
      </c>
      <c r="M4362">
        <v>17.55</v>
      </c>
      <c r="N4362">
        <v>0</v>
      </c>
      <c r="O4362" t="s">
        <v>23</v>
      </c>
      <c r="P4362">
        <v>20221219</v>
      </c>
      <c r="Q4362">
        <v>20221122</v>
      </c>
    </row>
    <row r="4363" spans="1:17" x14ac:dyDescent="0.25">
      <c r="A4363" t="s">
        <v>548</v>
      </c>
      <c r="B4363" t="s">
        <v>429</v>
      </c>
      <c r="C4363">
        <v>154</v>
      </c>
      <c r="D4363">
        <v>20221122</v>
      </c>
      <c r="E4363">
        <f t="shared" si="68"/>
        <v>11</v>
      </c>
      <c r="F4363">
        <v>531105</v>
      </c>
      <c r="G4363" t="s">
        <v>429</v>
      </c>
      <c r="H4363" t="s">
        <v>401</v>
      </c>
      <c r="I4363" t="s">
        <v>402</v>
      </c>
      <c r="J4363" t="s">
        <v>4367</v>
      </c>
      <c r="K4363">
        <v>20221122</v>
      </c>
      <c r="L4363" t="s">
        <v>4368</v>
      </c>
      <c r="M4363">
        <v>0</v>
      </c>
      <c r="N4363">
        <v>17.55</v>
      </c>
      <c r="O4363" t="s">
        <v>19</v>
      </c>
      <c r="P4363" t="s">
        <v>20</v>
      </c>
      <c r="Q4363">
        <v>20221122</v>
      </c>
    </row>
    <row r="4364" spans="1:17" x14ac:dyDescent="0.25">
      <c r="A4364" t="s">
        <v>548</v>
      </c>
      <c r="B4364" t="s">
        <v>429</v>
      </c>
      <c r="C4364">
        <v>154</v>
      </c>
      <c r="D4364">
        <v>20221122</v>
      </c>
      <c r="E4364">
        <f t="shared" si="68"/>
        <v>11</v>
      </c>
      <c r="F4364">
        <v>467100</v>
      </c>
      <c r="G4364" t="s">
        <v>160</v>
      </c>
      <c r="H4364" t="s">
        <v>183</v>
      </c>
      <c r="I4364" t="s">
        <v>184</v>
      </c>
      <c r="J4364" t="s">
        <v>4369</v>
      </c>
      <c r="K4364">
        <v>20221122</v>
      </c>
      <c r="L4364" t="s">
        <v>4370</v>
      </c>
      <c r="M4364">
        <v>4.59</v>
      </c>
      <c r="N4364">
        <v>0</v>
      </c>
      <c r="O4364" t="s">
        <v>23</v>
      </c>
      <c r="P4364">
        <v>20230123</v>
      </c>
      <c r="Q4364">
        <v>20221122</v>
      </c>
    </row>
    <row r="4365" spans="1:17" x14ac:dyDescent="0.25">
      <c r="A4365" t="s">
        <v>548</v>
      </c>
      <c r="B4365" t="s">
        <v>429</v>
      </c>
      <c r="C4365">
        <v>154</v>
      </c>
      <c r="D4365">
        <v>20221122</v>
      </c>
      <c r="E4365">
        <f t="shared" si="68"/>
        <v>11</v>
      </c>
      <c r="F4365">
        <v>531105</v>
      </c>
      <c r="G4365" t="s">
        <v>429</v>
      </c>
      <c r="H4365" t="s">
        <v>401</v>
      </c>
      <c r="I4365" t="s">
        <v>402</v>
      </c>
      <c r="J4365" t="s">
        <v>4369</v>
      </c>
      <c r="K4365">
        <v>20221122</v>
      </c>
      <c r="L4365" t="s">
        <v>4370</v>
      </c>
      <c r="M4365">
        <v>0</v>
      </c>
      <c r="N4365">
        <v>4.59</v>
      </c>
      <c r="O4365" t="s">
        <v>19</v>
      </c>
      <c r="P4365" t="s">
        <v>20</v>
      </c>
      <c r="Q4365">
        <v>20221122</v>
      </c>
    </row>
    <row r="4366" spans="1:17" x14ac:dyDescent="0.25">
      <c r="A4366" t="s">
        <v>548</v>
      </c>
      <c r="B4366" t="s">
        <v>429</v>
      </c>
      <c r="C4366">
        <v>154</v>
      </c>
      <c r="D4366">
        <v>20221122</v>
      </c>
      <c r="E4366">
        <f t="shared" si="68"/>
        <v>11</v>
      </c>
      <c r="F4366">
        <v>467100</v>
      </c>
      <c r="G4366" t="s">
        <v>160</v>
      </c>
      <c r="H4366" t="s">
        <v>1201</v>
      </c>
      <c r="I4366" t="s">
        <v>1202</v>
      </c>
      <c r="J4366" t="s">
        <v>4371</v>
      </c>
      <c r="K4366">
        <v>20221122</v>
      </c>
      <c r="L4366" t="s">
        <v>4372</v>
      </c>
      <c r="M4366">
        <v>50.89</v>
      </c>
      <c r="N4366">
        <v>0</v>
      </c>
      <c r="O4366" t="s">
        <v>23</v>
      </c>
      <c r="P4366">
        <v>20230206</v>
      </c>
      <c r="Q4366">
        <v>20221122</v>
      </c>
    </row>
    <row r="4367" spans="1:17" x14ac:dyDescent="0.25">
      <c r="A4367" t="s">
        <v>548</v>
      </c>
      <c r="B4367" t="s">
        <v>429</v>
      </c>
      <c r="C4367">
        <v>154</v>
      </c>
      <c r="D4367">
        <v>20221122</v>
      </c>
      <c r="E4367">
        <f t="shared" si="68"/>
        <v>11</v>
      </c>
      <c r="F4367">
        <v>531105</v>
      </c>
      <c r="G4367" t="s">
        <v>429</v>
      </c>
      <c r="H4367" t="s">
        <v>401</v>
      </c>
      <c r="I4367" t="s">
        <v>402</v>
      </c>
      <c r="J4367" t="s">
        <v>4371</v>
      </c>
      <c r="K4367">
        <v>20221122</v>
      </c>
      <c r="L4367" t="s">
        <v>4372</v>
      </c>
      <c r="M4367">
        <v>0</v>
      </c>
      <c r="N4367">
        <v>50.89</v>
      </c>
      <c r="O4367" t="s">
        <v>19</v>
      </c>
      <c r="P4367" t="s">
        <v>20</v>
      </c>
      <c r="Q4367">
        <v>20221122</v>
      </c>
    </row>
    <row r="4368" spans="1:17" x14ac:dyDescent="0.25">
      <c r="A4368" t="s">
        <v>548</v>
      </c>
      <c r="B4368" t="s">
        <v>429</v>
      </c>
      <c r="C4368">
        <v>154</v>
      </c>
      <c r="D4368">
        <v>20221122</v>
      </c>
      <c r="E4368">
        <f t="shared" si="68"/>
        <v>11</v>
      </c>
      <c r="F4368">
        <v>411100</v>
      </c>
      <c r="G4368" t="s">
        <v>18</v>
      </c>
      <c r="H4368" t="s">
        <v>4373</v>
      </c>
      <c r="I4368" t="s">
        <v>4374</v>
      </c>
      <c r="J4368">
        <v>361100</v>
      </c>
      <c r="K4368">
        <v>20221122</v>
      </c>
      <c r="L4368" t="s">
        <v>4375</v>
      </c>
      <c r="M4368">
        <v>0</v>
      </c>
      <c r="N4368">
        <v>10</v>
      </c>
      <c r="O4368" t="s">
        <v>22</v>
      </c>
      <c r="P4368">
        <v>20230218</v>
      </c>
      <c r="Q4368">
        <v>20221122</v>
      </c>
    </row>
    <row r="4369" spans="1:17" x14ac:dyDescent="0.25">
      <c r="A4369" t="s">
        <v>548</v>
      </c>
      <c r="B4369" t="s">
        <v>429</v>
      </c>
      <c r="C4369">
        <v>154</v>
      </c>
      <c r="D4369">
        <v>20221122</v>
      </c>
      <c r="E4369">
        <f t="shared" si="68"/>
        <v>11</v>
      </c>
      <c r="F4369">
        <v>531105</v>
      </c>
      <c r="G4369" t="s">
        <v>429</v>
      </c>
      <c r="H4369" t="s">
        <v>401</v>
      </c>
      <c r="I4369" t="s">
        <v>402</v>
      </c>
      <c r="J4369">
        <v>361101</v>
      </c>
      <c r="K4369">
        <v>20221122</v>
      </c>
      <c r="L4369" t="s">
        <v>565</v>
      </c>
      <c r="M4369">
        <v>10</v>
      </c>
      <c r="N4369">
        <v>0</v>
      </c>
      <c r="O4369" t="s">
        <v>19</v>
      </c>
      <c r="P4369" t="s">
        <v>20</v>
      </c>
      <c r="Q4369">
        <v>20221122</v>
      </c>
    </row>
    <row r="4370" spans="1:17" x14ac:dyDescent="0.25">
      <c r="A4370" t="s">
        <v>548</v>
      </c>
      <c r="B4370" t="s">
        <v>429</v>
      </c>
      <c r="C4370">
        <v>154</v>
      </c>
      <c r="D4370">
        <v>20221122</v>
      </c>
      <c r="E4370">
        <f t="shared" si="68"/>
        <v>11</v>
      </c>
      <c r="F4370">
        <v>411100</v>
      </c>
      <c r="G4370" t="s">
        <v>18</v>
      </c>
      <c r="H4370" t="s">
        <v>209</v>
      </c>
      <c r="I4370" t="s">
        <v>210</v>
      </c>
      <c r="J4370">
        <v>322100014</v>
      </c>
      <c r="K4370">
        <v>20221122</v>
      </c>
      <c r="L4370" t="s">
        <v>4376</v>
      </c>
      <c r="M4370">
        <v>0</v>
      </c>
      <c r="N4370">
        <v>81.88</v>
      </c>
      <c r="O4370" t="s">
        <v>22</v>
      </c>
      <c r="P4370">
        <v>20230218</v>
      </c>
      <c r="Q4370">
        <v>20221122</v>
      </c>
    </row>
    <row r="4371" spans="1:17" x14ac:dyDescent="0.25">
      <c r="A4371" t="s">
        <v>548</v>
      </c>
      <c r="B4371" t="s">
        <v>429</v>
      </c>
      <c r="C4371">
        <v>154</v>
      </c>
      <c r="D4371">
        <v>20221122</v>
      </c>
      <c r="E4371">
        <f t="shared" si="68"/>
        <v>11</v>
      </c>
      <c r="F4371">
        <v>411100</v>
      </c>
      <c r="G4371" t="s">
        <v>18</v>
      </c>
      <c r="H4371" t="s">
        <v>209</v>
      </c>
      <c r="I4371" t="s">
        <v>210</v>
      </c>
      <c r="J4371">
        <v>322100014</v>
      </c>
      <c r="K4371">
        <v>20221122</v>
      </c>
      <c r="L4371" t="s">
        <v>4377</v>
      </c>
      <c r="M4371">
        <v>0</v>
      </c>
      <c r="N4371">
        <v>0.12</v>
      </c>
      <c r="O4371" t="s">
        <v>19</v>
      </c>
      <c r="P4371" t="s">
        <v>20</v>
      </c>
      <c r="Q4371">
        <v>20221122</v>
      </c>
    </row>
    <row r="4372" spans="1:17" x14ac:dyDescent="0.25">
      <c r="A4372" t="s">
        <v>548</v>
      </c>
      <c r="B4372" t="s">
        <v>429</v>
      </c>
      <c r="C4372">
        <v>154</v>
      </c>
      <c r="D4372">
        <v>20221122</v>
      </c>
      <c r="E4372">
        <f t="shared" si="68"/>
        <v>11</v>
      </c>
      <c r="F4372">
        <v>411020</v>
      </c>
      <c r="G4372" t="s">
        <v>30</v>
      </c>
      <c r="H4372" t="s">
        <v>399</v>
      </c>
      <c r="I4372" t="s">
        <v>400</v>
      </c>
      <c r="J4372">
        <v>322090018</v>
      </c>
      <c r="K4372">
        <v>20221122</v>
      </c>
      <c r="L4372" t="s">
        <v>4378</v>
      </c>
      <c r="M4372">
        <v>0</v>
      </c>
      <c r="N4372">
        <v>60</v>
      </c>
      <c r="O4372" t="s">
        <v>19</v>
      </c>
      <c r="P4372" t="s">
        <v>20</v>
      </c>
      <c r="Q4372">
        <v>20221122</v>
      </c>
    </row>
    <row r="4373" spans="1:17" x14ac:dyDescent="0.25">
      <c r="A4373" t="s">
        <v>548</v>
      </c>
      <c r="B4373" t="s">
        <v>429</v>
      </c>
      <c r="C4373">
        <v>154</v>
      </c>
      <c r="D4373">
        <v>20221122</v>
      </c>
      <c r="E4373">
        <f t="shared" si="68"/>
        <v>11</v>
      </c>
      <c r="F4373">
        <v>411020</v>
      </c>
      <c r="G4373" t="s">
        <v>30</v>
      </c>
      <c r="H4373" t="s">
        <v>324</v>
      </c>
      <c r="I4373" t="s">
        <v>325</v>
      </c>
      <c r="J4373">
        <v>322100003</v>
      </c>
      <c r="K4373">
        <v>20221122</v>
      </c>
      <c r="L4373" t="s">
        <v>4379</v>
      </c>
      <c r="M4373">
        <v>0</v>
      </c>
      <c r="N4373">
        <v>236.96</v>
      </c>
      <c r="O4373" t="s">
        <v>23</v>
      </c>
      <c r="P4373">
        <v>20230218</v>
      </c>
      <c r="Q4373">
        <v>20221122</v>
      </c>
    </row>
    <row r="4374" spans="1:17" x14ac:dyDescent="0.25">
      <c r="A4374" t="s">
        <v>548</v>
      </c>
      <c r="B4374" t="s">
        <v>429</v>
      </c>
      <c r="C4374">
        <v>154</v>
      </c>
      <c r="D4374">
        <v>20221122</v>
      </c>
      <c r="E4374">
        <f t="shared" si="68"/>
        <v>11</v>
      </c>
      <c r="F4374">
        <v>411020</v>
      </c>
      <c r="G4374" t="s">
        <v>30</v>
      </c>
      <c r="H4374" t="s">
        <v>324</v>
      </c>
      <c r="I4374" t="s">
        <v>325</v>
      </c>
      <c r="J4374">
        <v>322100003</v>
      </c>
      <c r="K4374">
        <v>20221122</v>
      </c>
      <c r="L4374" t="s">
        <v>4380</v>
      </c>
      <c r="M4374">
        <v>0</v>
      </c>
      <c r="N4374">
        <v>3.04</v>
      </c>
      <c r="O4374" t="s">
        <v>23</v>
      </c>
      <c r="P4374">
        <v>20230218</v>
      </c>
      <c r="Q4374">
        <v>20221122</v>
      </c>
    </row>
    <row r="4375" spans="1:17" x14ac:dyDescent="0.25">
      <c r="A4375" t="s">
        <v>548</v>
      </c>
      <c r="B4375" t="s">
        <v>429</v>
      </c>
      <c r="C4375">
        <v>154</v>
      </c>
      <c r="D4375">
        <v>20221122</v>
      </c>
      <c r="E4375">
        <f t="shared" si="68"/>
        <v>11</v>
      </c>
      <c r="F4375">
        <v>531105</v>
      </c>
      <c r="G4375" t="s">
        <v>429</v>
      </c>
      <c r="H4375" t="s">
        <v>401</v>
      </c>
      <c r="I4375" t="s">
        <v>402</v>
      </c>
      <c r="J4375">
        <v>361554</v>
      </c>
      <c r="K4375">
        <v>20221122</v>
      </c>
      <c r="L4375" t="s">
        <v>565</v>
      </c>
      <c r="M4375">
        <v>382</v>
      </c>
      <c r="N4375">
        <v>0</v>
      </c>
      <c r="O4375" t="s">
        <v>19</v>
      </c>
      <c r="P4375" t="s">
        <v>20</v>
      </c>
      <c r="Q4375">
        <v>20221122</v>
      </c>
    </row>
    <row r="4376" spans="1:17" x14ac:dyDescent="0.25">
      <c r="A4376" t="s">
        <v>548</v>
      </c>
      <c r="B4376" t="s">
        <v>429</v>
      </c>
      <c r="C4376">
        <v>154</v>
      </c>
      <c r="D4376">
        <v>20221123</v>
      </c>
      <c r="E4376">
        <f t="shared" si="68"/>
        <v>11</v>
      </c>
      <c r="F4376">
        <v>411100</v>
      </c>
      <c r="G4376" t="s">
        <v>18</v>
      </c>
      <c r="H4376" t="s">
        <v>3658</v>
      </c>
      <c r="I4376" t="s">
        <v>3659</v>
      </c>
      <c r="J4376">
        <v>122110111</v>
      </c>
      <c r="K4376">
        <v>20221123</v>
      </c>
      <c r="L4376" t="s">
        <v>4381</v>
      </c>
      <c r="M4376">
        <v>0</v>
      </c>
      <c r="N4376">
        <v>38.44</v>
      </c>
      <c r="O4376" t="s">
        <v>19</v>
      </c>
      <c r="P4376" t="s">
        <v>20</v>
      </c>
      <c r="Q4376">
        <v>20221123</v>
      </c>
    </row>
    <row r="4377" spans="1:17" x14ac:dyDescent="0.25">
      <c r="A4377" t="s">
        <v>548</v>
      </c>
      <c r="B4377" t="s">
        <v>429</v>
      </c>
      <c r="C4377">
        <v>154</v>
      </c>
      <c r="D4377">
        <v>20221123</v>
      </c>
      <c r="E4377">
        <f t="shared" si="68"/>
        <v>11</v>
      </c>
      <c r="F4377">
        <v>411100</v>
      </c>
      <c r="G4377" t="s">
        <v>18</v>
      </c>
      <c r="H4377" t="s">
        <v>3658</v>
      </c>
      <c r="I4377" t="s">
        <v>3659</v>
      </c>
      <c r="J4377">
        <v>122110111</v>
      </c>
      <c r="K4377">
        <v>20221123</v>
      </c>
      <c r="L4377" t="s">
        <v>4382</v>
      </c>
      <c r="M4377">
        <v>0</v>
      </c>
      <c r="N4377">
        <v>0.56000000000000005</v>
      </c>
      <c r="O4377" t="s">
        <v>22</v>
      </c>
      <c r="P4377">
        <v>20230218</v>
      </c>
      <c r="Q4377">
        <v>20221123</v>
      </c>
    </row>
    <row r="4378" spans="1:17" x14ac:dyDescent="0.25">
      <c r="A4378" t="s">
        <v>548</v>
      </c>
      <c r="B4378" t="s">
        <v>429</v>
      </c>
      <c r="C4378">
        <v>154</v>
      </c>
      <c r="D4378">
        <v>20221123</v>
      </c>
      <c r="E4378">
        <f t="shared" si="68"/>
        <v>11</v>
      </c>
      <c r="F4378">
        <v>531105</v>
      </c>
      <c r="G4378" t="s">
        <v>429</v>
      </c>
      <c r="H4378" t="s">
        <v>401</v>
      </c>
      <c r="I4378" t="s">
        <v>402</v>
      </c>
      <c r="J4378">
        <v>361104</v>
      </c>
      <c r="K4378">
        <v>20221123</v>
      </c>
      <c r="L4378" t="s">
        <v>565</v>
      </c>
      <c r="M4378">
        <v>39</v>
      </c>
      <c r="N4378">
        <v>0</v>
      </c>
      <c r="O4378" t="s">
        <v>19</v>
      </c>
      <c r="P4378" t="s">
        <v>20</v>
      </c>
      <c r="Q4378">
        <v>20221123</v>
      </c>
    </row>
    <row r="4379" spans="1:17" x14ac:dyDescent="0.25">
      <c r="A4379" t="s">
        <v>548</v>
      </c>
      <c r="B4379" t="s">
        <v>429</v>
      </c>
      <c r="C4379">
        <v>154</v>
      </c>
      <c r="D4379">
        <v>20221123</v>
      </c>
      <c r="E4379">
        <f t="shared" si="68"/>
        <v>11</v>
      </c>
      <c r="F4379">
        <v>411010</v>
      </c>
      <c r="G4379" t="s">
        <v>87</v>
      </c>
      <c r="H4379" t="s">
        <v>379</v>
      </c>
      <c r="I4379" t="s">
        <v>380</v>
      </c>
      <c r="J4379">
        <v>222100026</v>
      </c>
      <c r="K4379">
        <v>20221123</v>
      </c>
      <c r="L4379" t="s">
        <v>4383</v>
      </c>
      <c r="M4379">
        <v>0</v>
      </c>
      <c r="N4379">
        <v>27.73</v>
      </c>
      <c r="O4379" t="s">
        <v>19</v>
      </c>
      <c r="P4379" t="s">
        <v>20</v>
      </c>
      <c r="Q4379">
        <v>20221123</v>
      </c>
    </row>
    <row r="4380" spans="1:17" x14ac:dyDescent="0.25">
      <c r="A4380" t="s">
        <v>548</v>
      </c>
      <c r="B4380" t="s">
        <v>429</v>
      </c>
      <c r="C4380">
        <v>154</v>
      </c>
      <c r="D4380">
        <v>20221123</v>
      </c>
      <c r="E4380">
        <f t="shared" si="68"/>
        <v>11</v>
      </c>
      <c r="F4380">
        <v>411010</v>
      </c>
      <c r="G4380" t="s">
        <v>87</v>
      </c>
      <c r="H4380" t="s">
        <v>379</v>
      </c>
      <c r="I4380" t="s">
        <v>380</v>
      </c>
      <c r="J4380">
        <v>222100026</v>
      </c>
      <c r="K4380">
        <v>20221123</v>
      </c>
      <c r="L4380" t="s">
        <v>4384</v>
      </c>
      <c r="M4380">
        <v>0</v>
      </c>
      <c r="N4380">
        <v>2.27</v>
      </c>
      <c r="O4380" t="s">
        <v>19</v>
      </c>
      <c r="P4380" t="s">
        <v>20</v>
      </c>
      <c r="Q4380">
        <v>20221123</v>
      </c>
    </row>
    <row r="4381" spans="1:17" x14ac:dyDescent="0.25">
      <c r="A4381" t="s">
        <v>548</v>
      </c>
      <c r="B4381" t="s">
        <v>429</v>
      </c>
      <c r="C4381">
        <v>154</v>
      </c>
      <c r="D4381">
        <v>20221123</v>
      </c>
      <c r="E4381">
        <f t="shared" si="68"/>
        <v>11</v>
      </c>
      <c r="F4381">
        <v>531105</v>
      </c>
      <c r="G4381" t="s">
        <v>429</v>
      </c>
      <c r="H4381" t="s">
        <v>401</v>
      </c>
      <c r="I4381" t="s">
        <v>402</v>
      </c>
      <c r="J4381">
        <v>361524</v>
      </c>
      <c r="K4381">
        <v>20221123</v>
      </c>
      <c r="L4381" t="s">
        <v>565</v>
      </c>
      <c r="M4381">
        <v>30</v>
      </c>
      <c r="N4381">
        <v>0</v>
      </c>
      <c r="O4381" t="s">
        <v>19</v>
      </c>
      <c r="P4381" t="s">
        <v>20</v>
      </c>
      <c r="Q4381">
        <v>20221123</v>
      </c>
    </row>
    <row r="4382" spans="1:17" x14ac:dyDescent="0.25">
      <c r="A4382" t="s">
        <v>548</v>
      </c>
      <c r="B4382" t="s">
        <v>429</v>
      </c>
      <c r="C4382">
        <v>154</v>
      </c>
      <c r="D4382">
        <v>20221125</v>
      </c>
      <c r="E4382">
        <f t="shared" si="68"/>
        <v>11</v>
      </c>
      <c r="F4382">
        <v>411100</v>
      </c>
      <c r="G4382" t="s">
        <v>18</v>
      </c>
      <c r="H4382" t="s">
        <v>305</v>
      </c>
      <c r="I4382" t="s">
        <v>306</v>
      </c>
      <c r="J4382">
        <v>361105</v>
      </c>
      <c r="K4382">
        <v>20221125</v>
      </c>
      <c r="L4382" t="s">
        <v>4385</v>
      </c>
      <c r="M4382">
        <v>0</v>
      </c>
      <c r="N4382">
        <v>29.8</v>
      </c>
      <c r="O4382" t="s">
        <v>22</v>
      </c>
      <c r="P4382">
        <v>20230218</v>
      </c>
      <c r="Q4382">
        <v>20221125</v>
      </c>
    </row>
    <row r="4383" spans="1:17" x14ac:dyDescent="0.25">
      <c r="A4383" t="s">
        <v>548</v>
      </c>
      <c r="B4383" t="s">
        <v>429</v>
      </c>
      <c r="C4383">
        <v>154</v>
      </c>
      <c r="D4383">
        <v>20221125</v>
      </c>
      <c r="E4383">
        <f t="shared" si="68"/>
        <v>11</v>
      </c>
      <c r="F4383">
        <v>531105</v>
      </c>
      <c r="G4383" t="s">
        <v>429</v>
      </c>
      <c r="H4383" t="s">
        <v>401</v>
      </c>
      <c r="I4383" t="s">
        <v>402</v>
      </c>
      <c r="J4383">
        <v>361106</v>
      </c>
      <c r="K4383">
        <v>20221125</v>
      </c>
      <c r="L4383" t="s">
        <v>565</v>
      </c>
      <c r="M4383">
        <v>29.8</v>
      </c>
      <c r="N4383">
        <v>0</v>
      </c>
      <c r="O4383" t="s">
        <v>19</v>
      </c>
      <c r="P4383" t="s">
        <v>20</v>
      </c>
      <c r="Q4383">
        <v>20221125</v>
      </c>
    </row>
    <row r="4384" spans="1:17" x14ac:dyDescent="0.25">
      <c r="A4384" t="s">
        <v>548</v>
      </c>
      <c r="B4384" t="s">
        <v>429</v>
      </c>
      <c r="C4384">
        <v>154</v>
      </c>
      <c r="D4384">
        <v>20221128</v>
      </c>
      <c r="E4384">
        <f t="shared" si="68"/>
        <v>11</v>
      </c>
      <c r="F4384">
        <v>467100</v>
      </c>
      <c r="G4384" t="s">
        <v>160</v>
      </c>
      <c r="H4384" t="s">
        <v>2740</v>
      </c>
      <c r="I4384" t="s">
        <v>151</v>
      </c>
      <c r="J4384" t="s">
        <v>4386</v>
      </c>
      <c r="K4384">
        <v>20221128</v>
      </c>
      <c r="L4384" t="s">
        <v>4387</v>
      </c>
      <c r="M4384">
        <v>2.6</v>
      </c>
      <c r="N4384">
        <v>0</v>
      </c>
      <c r="O4384" t="s">
        <v>23</v>
      </c>
      <c r="P4384">
        <v>20230123</v>
      </c>
      <c r="Q4384">
        <v>20221128</v>
      </c>
    </row>
    <row r="4385" spans="1:17" x14ac:dyDescent="0.25">
      <c r="A4385" t="s">
        <v>548</v>
      </c>
      <c r="B4385" t="s">
        <v>429</v>
      </c>
      <c r="C4385">
        <v>154</v>
      </c>
      <c r="D4385">
        <v>20221128</v>
      </c>
      <c r="E4385">
        <f t="shared" si="68"/>
        <v>11</v>
      </c>
      <c r="F4385">
        <v>531105</v>
      </c>
      <c r="G4385" t="s">
        <v>429</v>
      </c>
      <c r="H4385" t="s">
        <v>401</v>
      </c>
      <c r="I4385" t="s">
        <v>402</v>
      </c>
      <c r="J4385" t="s">
        <v>4386</v>
      </c>
      <c r="K4385">
        <v>20221128</v>
      </c>
      <c r="L4385" t="s">
        <v>4387</v>
      </c>
      <c r="M4385">
        <v>0</v>
      </c>
      <c r="N4385">
        <v>2.6</v>
      </c>
      <c r="O4385" t="s">
        <v>19</v>
      </c>
      <c r="P4385" t="s">
        <v>20</v>
      </c>
      <c r="Q4385">
        <v>20221128</v>
      </c>
    </row>
    <row r="4386" spans="1:17" x14ac:dyDescent="0.25">
      <c r="A4386" t="s">
        <v>548</v>
      </c>
      <c r="B4386" t="s">
        <v>429</v>
      </c>
      <c r="C4386">
        <v>154</v>
      </c>
      <c r="D4386">
        <v>20221128</v>
      </c>
      <c r="E4386">
        <f t="shared" si="68"/>
        <v>11</v>
      </c>
      <c r="F4386">
        <v>467100</v>
      </c>
      <c r="G4386" t="s">
        <v>160</v>
      </c>
      <c r="H4386" t="s">
        <v>2749</v>
      </c>
      <c r="I4386" t="s">
        <v>2750</v>
      </c>
      <c r="J4386" t="s">
        <v>4388</v>
      </c>
      <c r="K4386">
        <v>20221128</v>
      </c>
      <c r="L4386" t="s">
        <v>4389</v>
      </c>
      <c r="M4386">
        <v>36.49</v>
      </c>
      <c r="N4386">
        <v>0</v>
      </c>
      <c r="O4386" t="s">
        <v>23</v>
      </c>
      <c r="P4386">
        <v>20230324</v>
      </c>
      <c r="Q4386">
        <v>20221128</v>
      </c>
    </row>
    <row r="4387" spans="1:17" x14ac:dyDescent="0.25">
      <c r="A4387" t="s">
        <v>548</v>
      </c>
      <c r="B4387" t="s">
        <v>429</v>
      </c>
      <c r="C4387">
        <v>154</v>
      </c>
      <c r="D4387">
        <v>20221128</v>
      </c>
      <c r="E4387">
        <f t="shared" si="68"/>
        <v>11</v>
      </c>
      <c r="F4387">
        <v>531105</v>
      </c>
      <c r="G4387" t="s">
        <v>429</v>
      </c>
      <c r="H4387" t="s">
        <v>401</v>
      </c>
      <c r="I4387" t="s">
        <v>402</v>
      </c>
      <c r="J4387" t="s">
        <v>4388</v>
      </c>
      <c r="K4387">
        <v>20221128</v>
      </c>
      <c r="L4387" t="s">
        <v>4389</v>
      </c>
      <c r="M4387">
        <v>0</v>
      </c>
      <c r="N4387">
        <v>36.49</v>
      </c>
      <c r="O4387" t="s">
        <v>19</v>
      </c>
      <c r="P4387" t="s">
        <v>20</v>
      </c>
      <c r="Q4387">
        <v>20221128</v>
      </c>
    </row>
    <row r="4388" spans="1:17" x14ac:dyDescent="0.25">
      <c r="A4388" t="s">
        <v>548</v>
      </c>
      <c r="B4388" t="s">
        <v>429</v>
      </c>
      <c r="C4388">
        <v>154</v>
      </c>
      <c r="D4388">
        <v>20221128</v>
      </c>
      <c r="E4388">
        <f t="shared" si="68"/>
        <v>11</v>
      </c>
      <c r="F4388">
        <v>411100</v>
      </c>
      <c r="G4388" t="s">
        <v>18</v>
      </c>
      <c r="H4388" t="s">
        <v>4390</v>
      </c>
      <c r="I4388" t="s">
        <v>4391</v>
      </c>
      <c r="J4388">
        <v>122110090</v>
      </c>
      <c r="K4388">
        <v>20221128</v>
      </c>
      <c r="L4388" t="s">
        <v>4392</v>
      </c>
      <c r="M4388">
        <v>0</v>
      </c>
      <c r="N4388">
        <v>13</v>
      </c>
      <c r="O4388" t="s">
        <v>22</v>
      </c>
      <c r="P4388">
        <v>20230218</v>
      </c>
      <c r="Q4388">
        <v>20221128</v>
      </c>
    </row>
    <row r="4389" spans="1:17" x14ac:dyDescent="0.25">
      <c r="A4389" t="s">
        <v>548</v>
      </c>
      <c r="B4389" t="s">
        <v>429</v>
      </c>
      <c r="C4389">
        <v>154</v>
      </c>
      <c r="D4389">
        <v>20221128</v>
      </c>
      <c r="E4389">
        <f t="shared" si="68"/>
        <v>11</v>
      </c>
      <c r="F4389">
        <v>411100</v>
      </c>
      <c r="G4389" t="s">
        <v>18</v>
      </c>
      <c r="H4389" t="s">
        <v>4393</v>
      </c>
      <c r="I4389" t="s">
        <v>4394</v>
      </c>
      <c r="J4389">
        <v>361108</v>
      </c>
      <c r="K4389">
        <v>20221128</v>
      </c>
      <c r="L4389" t="s">
        <v>4395</v>
      </c>
      <c r="M4389">
        <v>0</v>
      </c>
      <c r="N4389">
        <v>22</v>
      </c>
      <c r="O4389" t="s">
        <v>22</v>
      </c>
      <c r="P4389">
        <v>20230218</v>
      </c>
      <c r="Q4389">
        <v>20221128</v>
      </c>
    </row>
    <row r="4390" spans="1:17" x14ac:dyDescent="0.25">
      <c r="A4390" t="s">
        <v>548</v>
      </c>
      <c r="B4390" t="s">
        <v>429</v>
      </c>
      <c r="C4390">
        <v>154</v>
      </c>
      <c r="D4390">
        <v>20221128</v>
      </c>
      <c r="E4390">
        <f t="shared" si="68"/>
        <v>11</v>
      </c>
      <c r="F4390">
        <v>411100</v>
      </c>
      <c r="G4390" t="s">
        <v>18</v>
      </c>
      <c r="H4390" t="s">
        <v>4396</v>
      </c>
      <c r="I4390" t="s">
        <v>4397</v>
      </c>
      <c r="J4390">
        <v>361109</v>
      </c>
      <c r="K4390">
        <v>20221128</v>
      </c>
      <c r="L4390" t="s">
        <v>4398</v>
      </c>
      <c r="M4390">
        <v>0</v>
      </c>
      <c r="N4390">
        <v>22</v>
      </c>
      <c r="O4390" t="s">
        <v>22</v>
      </c>
      <c r="P4390">
        <v>20230218</v>
      </c>
      <c r="Q4390">
        <v>20221128</v>
      </c>
    </row>
    <row r="4391" spans="1:17" x14ac:dyDescent="0.25">
      <c r="A4391" t="s">
        <v>548</v>
      </c>
      <c r="B4391" t="s">
        <v>429</v>
      </c>
      <c r="C4391">
        <v>154</v>
      </c>
      <c r="D4391">
        <v>20221128</v>
      </c>
      <c r="E4391">
        <f t="shared" si="68"/>
        <v>11</v>
      </c>
      <c r="F4391">
        <v>411100</v>
      </c>
      <c r="G4391" t="s">
        <v>18</v>
      </c>
      <c r="H4391" t="s">
        <v>4399</v>
      </c>
      <c r="I4391" t="s">
        <v>4400</v>
      </c>
      <c r="J4391">
        <v>361110</v>
      </c>
      <c r="K4391">
        <v>20221128</v>
      </c>
      <c r="L4391" t="s">
        <v>4401</v>
      </c>
      <c r="M4391">
        <v>0</v>
      </c>
      <c r="N4391">
        <v>27</v>
      </c>
      <c r="O4391" t="s">
        <v>22</v>
      </c>
      <c r="P4391">
        <v>20230218</v>
      </c>
      <c r="Q4391">
        <v>20221128</v>
      </c>
    </row>
    <row r="4392" spans="1:17" x14ac:dyDescent="0.25">
      <c r="A4392" t="s">
        <v>548</v>
      </c>
      <c r="B4392" t="s">
        <v>429</v>
      </c>
      <c r="C4392">
        <v>154</v>
      </c>
      <c r="D4392">
        <v>20221128</v>
      </c>
      <c r="E4392">
        <f t="shared" si="68"/>
        <v>11</v>
      </c>
      <c r="F4392">
        <v>411100</v>
      </c>
      <c r="G4392" t="s">
        <v>18</v>
      </c>
      <c r="H4392" t="s">
        <v>352</v>
      </c>
      <c r="I4392" t="s">
        <v>353</v>
      </c>
      <c r="J4392">
        <v>122110103</v>
      </c>
      <c r="K4392">
        <v>20221128</v>
      </c>
      <c r="L4392" t="s">
        <v>4402</v>
      </c>
      <c r="M4392">
        <v>0</v>
      </c>
      <c r="N4392">
        <v>24.5</v>
      </c>
      <c r="O4392" t="s">
        <v>19</v>
      </c>
      <c r="P4392" t="s">
        <v>20</v>
      </c>
      <c r="Q4392">
        <v>20221128</v>
      </c>
    </row>
    <row r="4393" spans="1:17" x14ac:dyDescent="0.25">
      <c r="A4393" t="s">
        <v>548</v>
      </c>
      <c r="B4393" t="s">
        <v>429</v>
      </c>
      <c r="C4393">
        <v>154</v>
      </c>
      <c r="D4393">
        <v>20221128</v>
      </c>
      <c r="E4393">
        <f t="shared" si="68"/>
        <v>11</v>
      </c>
      <c r="F4393">
        <v>531105</v>
      </c>
      <c r="G4393" t="s">
        <v>429</v>
      </c>
      <c r="H4393" t="s">
        <v>401</v>
      </c>
      <c r="I4393" t="s">
        <v>402</v>
      </c>
      <c r="J4393">
        <v>361112</v>
      </c>
      <c r="K4393">
        <v>20221128</v>
      </c>
      <c r="L4393" t="s">
        <v>565</v>
      </c>
      <c r="M4393">
        <v>108.5</v>
      </c>
      <c r="N4393">
        <v>0</v>
      </c>
      <c r="O4393" t="s">
        <v>19</v>
      </c>
      <c r="P4393" t="s">
        <v>20</v>
      </c>
      <c r="Q4393">
        <v>20221128</v>
      </c>
    </row>
    <row r="4394" spans="1:17" x14ac:dyDescent="0.25">
      <c r="A4394" t="s">
        <v>548</v>
      </c>
      <c r="B4394" t="s">
        <v>429</v>
      </c>
      <c r="C4394">
        <v>154</v>
      </c>
      <c r="D4394">
        <v>20221128</v>
      </c>
      <c r="E4394">
        <f t="shared" si="68"/>
        <v>11</v>
      </c>
      <c r="F4394">
        <v>411010</v>
      </c>
      <c r="G4394" t="s">
        <v>87</v>
      </c>
      <c r="H4394" t="s">
        <v>377</v>
      </c>
      <c r="I4394" t="s">
        <v>378</v>
      </c>
      <c r="J4394">
        <v>221110013</v>
      </c>
      <c r="K4394">
        <v>20221128</v>
      </c>
      <c r="L4394" t="s">
        <v>4403</v>
      </c>
      <c r="M4394">
        <v>0</v>
      </c>
      <c r="N4394">
        <v>50.15</v>
      </c>
      <c r="O4394" t="s">
        <v>19</v>
      </c>
      <c r="P4394" t="s">
        <v>20</v>
      </c>
      <c r="Q4394">
        <v>20221128</v>
      </c>
    </row>
    <row r="4395" spans="1:17" x14ac:dyDescent="0.25">
      <c r="A4395" t="s">
        <v>548</v>
      </c>
      <c r="B4395" t="s">
        <v>429</v>
      </c>
      <c r="C4395">
        <v>154</v>
      </c>
      <c r="D4395">
        <v>20221128</v>
      </c>
      <c r="E4395">
        <f t="shared" si="68"/>
        <v>11</v>
      </c>
      <c r="F4395">
        <v>411100</v>
      </c>
      <c r="G4395" t="s">
        <v>18</v>
      </c>
      <c r="H4395" t="s">
        <v>352</v>
      </c>
      <c r="I4395" t="s">
        <v>353</v>
      </c>
      <c r="J4395">
        <v>222090020</v>
      </c>
      <c r="K4395">
        <v>20221128</v>
      </c>
      <c r="L4395" t="s">
        <v>4404</v>
      </c>
      <c r="M4395">
        <v>0</v>
      </c>
      <c r="N4395">
        <v>281.45999999999998</v>
      </c>
      <c r="O4395" t="s">
        <v>19</v>
      </c>
      <c r="P4395" t="s">
        <v>20</v>
      </c>
      <c r="Q4395">
        <v>20221128</v>
      </c>
    </row>
    <row r="4396" spans="1:17" x14ac:dyDescent="0.25">
      <c r="A4396" t="s">
        <v>548</v>
      </c>
      <c r="B4396" t="s">
        <v>429</v>
      </c>
      <c r="C4396">
        <v>154</v>
      </c>
      <c r="D4396">
        <v>20221128</v>
      </c>
      <c r="E4396">
        <f t="shared" si="68"/>
        <v>11</v>
      </c>
      <c r="F4396">
        <v>411100</v>
      </c>
      <c r="G4396" t="s">
        <v>18</v>
      </c>
      <c r="H4396" t="s">
        <v>352</v>
      </c>
      <c r="I4396" t="s">
        <v>353</v>
      </c>
      <c r="J4396">
        <v>222090020</v>
      </c>
      <c r="K4396">
        <v>20221128</v>
      </c>
      <c r="L4396" t="s">
        <v>4405</v>
      </c>
      <c r="M4396">
        <v>0</v>
      </c>
      <c r="N4396">
        <v>14.04</v>
      </c>
      <c r="O4396" t="s">
        <v>19</v>
      </c>
      <c r="P4396" t="s">
        <v>20</v>
      </c>
      <c r="Q4396">
        <v>20221128</v>
      </c>
    </row>
    <row r="4397" spans="1:17" x14ac:dyDescent="0.25">
      <c r="A4397" t="s">
        <v>548</v>
      </c>
      <c r="B4397" t="s">
        <v>429</v>
      </c>
      <c r="C4397">
        <v>154</v>
      </c>
      <c r="D4397">
        <v>20221128</v>
      </c>
      <c r="E4397">
        <f t="shared" si="68"/>
        <v>11</v>
      </c>
      <c r="F4397">
        <v>531105</v>
      </c>
      <c r="G4397" t="s">
        <v>429</v>
      </c>
      <c r="H4397" t="s">
        <v>401</v>
      </c>
      <c r="I4397" t="s">
        <v>402</v>
      </c>
      <c r="J4397">
        <v>361528</v>
      </c>
      <c r="K4397">
        <v>20221128</v>
      </c>
      <c r="L4397" t="s">
        <v>565</v>
      </c>
      <c r="M4397">
        <v>345.65</v>
      </c>
      <c r="N4397">
        <v>0</v>
      </c>
      <c r="O4397" t="s">
        <v>19</v>
      </c>
      <c r="P4397" t="s">
        <v>20</v>
      </c>
      <c r="Q4397">
        <v>20221128</v>
      </c>
    </row>
    <row r="4398" spans="1:17" x14ac:dyDescent="0.25">
      <c r="A4398" t="s">
        <v>548</v>
      </c>
      <c r="B4398" t="s">
        <v>429</v>
      </c>
      <c r="C4398">
        <v>154</v>
      </c>
      <c r="D4398">
        <v>20221129</v>
      </c>
      <c r="E4398">
        <f t="shared" si="68"/>
        <v>11</v>
      </c>
      <c r="F4398">
        <v>411100</v>
      </c>
      <c r="G4398" t="s">
        <v>18</v>
      </c>
      <c r="H4398" t="s">
        <v>4406</v>
      </c>
      <c r="I4398" t="s">
        <v>4407</v>
      </c>
      <c r="J4398">
        <v>361113</v>
      </c>
      <c r="K4398">
        <v>20221129</v>
      </c>
      <c r="L4398" t="s">
        <v>4408</v>
      </c>
      <c r="M4398">
        <v>0</v>
      </c>
      <c r="N4398">
        <v>10</v>
      </c>
      <c r="O4398" t="s">
        <v>22</v>
      </c>
      <c r="P4398">
        <v>20230218</v>
      </c>
      <c r="Q4398">
        <v>20221129</v>
      </c>
    </row>
    <row r="4399" spans="1:17" x14ac:dyDescent="0.25">
      <c r="A4399" t="s">
        <v>548</v>
      </c>
      <c r="B4399" t="s">
        <v>429</v>
      </c>
      <c r="C4399">
        <v>154</v>
      </c>
      <c r="D4399">
        <v>20221129</v>
      </c>
      <c r="E4399">
        <f t="shared" si="68"/>
        <v>11</v>
      </c>
      <c r="F4399">
        <v>531105</v>
      </c>
      <c r="G4399" t="s">
        <v>429</v>
      </c>
      <c r="H4399" t="s">
        <v>401</v>
      </c>
      <c r="I4399" t="s">
        <v>402</v>
      </c>
      <c r="J4399">
        <v>361114</v>
      </c>
      <c r="K4399">
        <v>20221129</v>
      </c>
      <c r="L4399" t="s">
        <v>565</v>
      </c>
      <c r="M4399">
        <v>10</v>
      </c>
      <c r="N4399">
        <v>0</v>
      </c>
      <c r="O4399" t="s">
        <v>19</v>
      </c>
      <c r="P4399" t="s">
        <v>20</v>
      </c>
      <c r="Q4399">
        <v>20221129</v>
      </c>
    </row>
    <row r="4400" spans="1:17" x14ac:dyDescent="0.25">
      <c r="A4400" t="s">
        <v>548</v>
      </c>
      <c r="B4400" t="s">
        <v>429</v>
      </c>
      <c r="C4400">
        <v>154</v>
      </c>
      <c r="D4400">
        <v>20221130</v>
      </c>
      <c r="E4400">
        <f t="shared" si="68"/>
        <v>11</v>
      </c>
      <c r="F4400">
        <v>411100</v>
      </c>
      <c r="G4400" t="s">
        <v>18</v>
      </c>
      <c r="H4400" t="s">
        <v>152</v>
      </c>
      <c r="I4400" t="s">
        <v>153</v>
      </c>
      <c r="J4400">
        <v>361115</v>
      </c>
      <c r="K4400">
        <v>20221130</v>
      </c>
      <c r="L4400" t="s">
        <v>4409</v>
      </c>
      <c r="M4400">
        <v>0</v>
      </c>
      <c r="N4400">
        <v>69.599999999999994</v>
      </c>
      <c r="O4400" t="s">
        <v>22</v>
      </c>
      <c r="P4400">
        <v>20230218</v>
      </c>
      <c r="Q4400">
        <v>20221130</v>
      </c>
    </row>
    <row r="4401" spans="1:17" x14ac:dyDescent="0.25">
      <c r="A4401" t="s">
        <v>548</v>
      </c>
      <c r="B4401" t="s">
        <v>429</v>
      </c>
      <c r="C4401">
        <v>154</v>
      </c>
      <c r="D4401">
        <v>20221130</v>
      </c>
      <c r="E4401">
        <f t="shared" si="68"/>
        <v>11</v>
      </c>
      <c r="F4401">
        <v>411100</v>
      </c>
      <c r="G4401" t="s">
        <v>18</v>
      </c>
      <c r="H4401" t="s">
        <v>152</v>
      </c>
      <c r="I4401" t="s">
        <v>153</v>
      </c>
      <c r="J4401">
        <v>361116</v>
      </c>
      <c r="K4401">
        <v>20221130</v>
      </c>
      <c r="L4401" t="s">
        <v>4410</v>
      </c>
      <c r="M4401">
        <v>17.96</v>
      </c>
      <c r="N4401">
        <v>0</v>
      </c>
      <c r="O4401" t="s">
        <v>19</v>
      </c>
      <c r="P4401" t="s">
        <v>20</v>
      </c>
      <c r="Q4401">
        <v>20221130</v>
      </c>
    </row>
    <row r="4402" spans="1:17" x14ac:dyDescent="0.25">
      <c r="A4402" t="s">
        <v>548</v>
      </c>
      <c r="B4402" t="s">
        <v>429</v>
      </c>
      <c r="C4402">
        <v>154</v>
      </c>
      <c r="D4402">
        <v>20221130</v>
      </c>
      <c r="E4402">
        <f t="shared" si="68"/>
        <v>11</v>
      </c>
      <c r="F4402">
        <v>411100</v>
      </c>
      <c r="G4402" t="s">
        <v>18</v>
      </c>
      <c r="H4402" t="s">
        <v>4129</v>
      </c>
      <c r="I4402" t="s">
        <v>4130</v>
      </c>
      <c r="J4402">
        <v>122110038</v>
      </c>
      <c r="K4402">
        <v>20221130</v>
      </c>
      <c r="L4402" t="s">
        <v>4411</v>
      </c>
      <c r="M4402">
        <v>0</v>
      </c>
      <c r="N4402">
        <v>165.4</v>
      </c>
      <c r="O4402" t="s">
        <v>19</v>
      </c>
      <c r="P4402" t="s">
        <v>20</v>
      </c>
      <c r="Q4402">
        <v>20221130</v>
      </c>
    </row>
    <row r="4403" spans="1:17" x14ac:dyDescent="0.25">
      <c r="A4403" t="s">
        <v>548</v>
      </c>
      <c r="B4403" t="s">
        <v>429</v>
      </c>
      <c r="C4403">
        <v>154</v>
      </c>
      <c r="D4403">
        <v>20221130</v>
      </c>
      <c r="E4403">
        <f t="shared" si="68"/>
        <v>11</v>
      </c>
      <c r="F4403">
        <v>531105</v>
      </c>
      <c r="G4403" t="s">
        <v>429</v>
      </c>
      <c r="H4403" t="s">
        <v>401</v>
      </c>
      <c r="I4403" t="s">
        <v>402</v>
      </c>
      <c r="J4403">
        <v>361118</v>
      </c>
      <c r="K4403">
        <v>20221130</v>
      </c>
      <c r="L4403" t="s">
        <v>565</v>
      </c>
      <c r="M4403">
        <v>217.04</v>
      </c>
      <c r="N4403">
        <v>0</v>
      </c>
      <c r="O4403" t="s">
        <v>19</v>
      </c>
      <c r="P4403" t="s">
        <v>20</v>
      </c>
      <c r="Q4403">
        <v>20221130</v>
      </c>
    </row>
    <row r="4404" spans="1:17" x14ac:dyDescent="0.25">
      <c r="A4404" t="s">
        <v>548</v>
      </c>
      <c r="B4404" t="s">
        <v>429</v>
      </c>
      <c r="C4404">
        <v>154</v>
      </c>
      <c r="D4404">
        <v>20221130</v>
      </c>
      <c r="E4404">
        <f t="shared" si="68"/>
        <v>11</v>
      </c>
      <c r="F4404">
        <v>580000</v>
      </c>
      <c r="G4404" t="s">
        <v>532</v>
      </c>
      <c r="H4404" t="s">
        <v>401</v>
      </c>
      <c r="I4404" t="s">
        <v>402</v>
      </c>
      <c r="J4404" t="s">
        <v>4412</v>
      </c>
      <c r="K4404">
        <v>20221130</v>
      </c>
      <c r="L4404" t="s">
        <v>625</v>
      </c>
      <c r="M4404">
        <v>1400</v>
      </c>
      <c r="N4404">
        <v>0</v>
      </c>
      <c r="O4404" t="s">
        <v>22</v>
      </c>
      <c r="P4404">
        <v>20221130</v>
      </c>
      <c r="Q4404">
        <v>20221130</v>
      </c>
    </row>
    <row r="4405" spans="1:17" x14ac:dyDescent="0.25">
      <c r="A4405" t="s">
        <v>548</v>
      </c>
      <c r="B4405" t="s">
        <v>429</v>
      </c>
      <c r="C4405">
        <v>154</v>
      </c>
      <c r="D4405">
        <v>20221130</v>
      </c>
      <c r="E4405">
        <f t="shared" si="68"/>
        <v>11</v>
      </c>
      <c r="F4405">
        <v>531105</v>
      </c>
      <c r="G4405" t="s">
        <v>429</v>
      </c>
      <c r="H4405" t="s">
        <v>401</v>
      </c>
      <c r="I4405" t="s">
        <v>402</v>
      </c>
      <c r="J4405" t="s">
        <v>4412</v>
      </c>
      <c r="K4405">
        <v>20221130</v>
      </c>
      <c r="L4405" t="s">
        <v>625</v>
      </c>
      <c r="M4405">
        <v>0</v>
      </c>
      <c r="N4405">
        <v>1400</v>
      </c>
      <c r="O4405" t="s">
        <v>19</v>
      </c>
      <c r="P4405" t="s">
        <v>20</v>
      </c>
      <c r="Q4405">
        <v>20221130</v>
      </c>
    </row>
    <row r="4406" spans="1:17" x14ac:dyDescent="0.25">
      <c r="A4406" t="s">
        <v>548</v>
      </c>
      <c r="B4406" t="s">
        <v>429</v>
      </c>
      <c r="C4406">
        <v>154</v>
      </c>
      <c r="D4406">
        <v>20221130</v>
      </c>
      <c r="E4406">
        <f t="shared" si="68"/>
        <v>11</v>
      </c>
      <c r="F4406">
        <v>411100</v>
      </c>
      <c r="G4406" t="s">
        <v>18</v>
      </c>
      <c r="H4406" t="s">
        <v>263</v>
      </c>
      <c r="I4406" t="s">
        <v>264</v>
      </c>
      <c r="J4406">
        <v>322100011</v>
      </c>
      <c r="K4406">
        <v>20221130</v>
      </c>
      <c r="L4406" t="s">
        <v>4413</v>
      </c>
      <c r="M4406">
        <v>0</v>
      </c>
      <c r="N4406">
        <v>2.52</v>
      </c>
      <c r="O4406" t="s">
        <v>19</v>
      </c>
      <c r="P4406" t="s">
        <v>20</v>
      </c>
      <c r="Q4406">
        <v>20221130</v>
      </c>
    </row>
    <row r="4407" spans="1:17" x14ac:dyDescent="0.25">
      <c r="A4407" t="s">
        <v>548</v>
      </c>
      <c r="B4407" t="s">
        <v>429</v>
      </c>
      <c r="C4407">
        <v>154</v>
      </c>
      <c r="D4407">
        <v>20221130</v>
      </c>
      <c r="E4407">
        <f t="shared" si="68"/>
        <v>11</v>
      </c>
      <c r="F4407">
        <v>411100</v>
      </c>
      <c r="G4407" t="s">
        <v>18</v>
      </c>
      <c r="H4407" t="s">
        <v>263</v>
      </c>
      <c r="I4407" t="s">
        <v>264</v>
      </c>
      <c r="J4407">
        <v>322100011</v>
      </c>
      <c r="K4407">
        <v>20221130</v>
      </c>
      <c r="L4407" t="s">
        <v>4414</v>
      </c>
      <c r="M4407">
        <v>0</v>
      </c>
      <c r="N4407">
        <v>0.48</v>
      </c>
      <c r="O4407" t="s">
        <v>19</v>
      </c>
      <c r="P4407" t="s">
        <v>20</v>
      </c>
      <c r="Q4407">
        <v>20221130</v>
      </c>
    </row>
    <row r="4408" spans="1:17" x14ac:dyDescent="0.25">
      <c r="A4408" t="s">
        <v>548</v>
      </c>
      <c r="B4408" t="s">
        <v>429</v>
      </c>
      <c r="C4408">
        <v>154</v>
      </c>
      <c r="D4408">
        <v>20221130</v>
      </c>
      <c r="E4408">
        <f t="shared" si="68"/>
        <v>11</v>
      </c>
      <c r="F4408">
        <v>531105</v>
      </c>
      <c r="G4408" t="s">
        <v>429</v>
      </c>
      <c r="H4408" t="s">
        <v>401</v>
      </c>
      <c r="I4408" t="s">
        <v>402</v>
      </c>
      <c r="J4408">
        <v>361806</v>
      </c>
      <c r="K4408">
        <v>20221130</v>
      </c>
      <c r="L4408" t="s">
        <v>565</v>
      </c>
      <c r="M4408">
        <v>3</v>
      </c>
      <c r="N4408">
        <v>0</v>
      </c>
      <c r="O4408" t="s">
        <v>19</v>
      </c>
      <c r="P4408" t="s">
        <v>20</v>
      </c>
      <c r="Q4408">
        <v>20221130</v>
      </c>
    </row>
    <row r="4409" spans="1:17" x14ac:dyDescent="0.25">
      <c r="A4409" t="s">
        <v>715</v>
      </c>
      <c r="B4409" t="s">
        <v>432</v>
      </c>
      <c r="C4409">
        <v>155</v>
      </c>
      <c r="D4409">
        <v>20221103</v>
      </c>
      <c r="E4409">
        <f t="shared" si="68"/>
        <v>11</v>
      </c>
      <c r="F4409">
        <v>512200</v>
      </c>
      <c r="G4409" t="s">
        <v>432</v>
      </c>
      <c r="H4409" t="s">
        <v>401</v>
      </c>
      <c r="I4409" t="s">
        <v>402</v>
      </c>
      <c r="J4409" t="s">
        <v>4247</v>
      </c>
      <c r="K4409">
        <v>20221103</v>
      </c>
      <c r="L4409" t="s">
        <v>625</v>
      </c>
      <c r="M4409">
        <v>3500</v>
      </c>
      <c r="N4409">
        <v>0</v>
      </c>
      <c r="O4409" t="s">
        <v>19</v>
      </c>
      <c r="P4409" t="s">
        <v>20</v>
      </c>
      <c r="Q4409">
        <v>20221103</v>
      </c>
    </row>
    <row r="4410" spans="1:17" x14ac:dyDescent="0.25">
      <c r="A4410" t="s">
        <v>715</v>
      </c>
      <c r="B4410" t="s">
        <v>432</v>
      </c>
      <c r="C4410">
        <v>155</v>
      </c>
      <c r="D4410">
        <v>20221103</v>
      </c>
      <c r="E4410">
        <f t="shared" si="68"/>
        <v>11</v>
      </c>
      <c r="F4410">
        <v>580000</v>
      </c>
      <c r="G4410" t="s">
        <v>532</v>
      </c>
      <c r="H4410" t="s">
        <v>401</v>
      </c>
      <c r="I4410" t="s">
        <v>402</v>
      </c>
      <c r="J4410" t="s">
        <v>4247</v>
      </c>
      <c r="K4410">
        <v>20221103</v>
      </c>
      <c r="L4410" t="s">
        <v>625</v>
      </c>
      <c r="M4410">
        <v>0</v>
      </c>
      <c r="N4410">
        <v>3500</v>
      </c>
      <c r="O4410" t="s">
        <v>22</v>
      </c>
      <c r="P4410">
        <v>20221103</v>
      </c>
      <c r="Q4410">
        <v>20221103</v>
      </c>
    </row>
    <row r="4411" spans="1:17" x14ac:dyDescent="0.25">
      <c r="A4411" t="s">
        <v>715</v>
      </c>
      <c r="B4411" t="s">
        <v>432</v>
      </c>
      <c r="C4411">
        <v>155</v>
      </c>
      <c r="D4411">
        <v>20221107</v>
      </c>
      <c r="E4411">
        <f t="shared" si="68"/>
        <v>11</v>
      </c>
      <c r="F4411">
        <v>401000</v>
      </c>
      <c r="G4411" t="s">
        <v>41</v>
      </c>
      <c r="H4411" t="s">
        <v>52</v>
      </c>
      <c r="I4411" t="s">
        <v>53</v>
      </c>
      <c r="J4411" t="s">
        <v>4415</v>
      </c>
      <c r="K4411">
        <v>20221107</v>
      </c>
      <c r="L4411" t="s">
        <v>4416</v>
      </c>
      <c r="M4411">
        <v>62.4</v>
      </c>
      <c r="N4411">
        <v>0</v>
      </c>
      <c r="O4411" t="s">
        <v>23</v>
      </c>
      <c r="P4411">
        <v>20230220</v>
      </c>
      <c r="Q4411">
        <v>20221107</v>
      </c>
    </row>
    <row r="4412" spans="1:17" x14ac:dyDescent="0.25">
      <c r="A4412" t="s">
        <v>715</v>
      </c>
      <c r="B4412" t="s">
        <v>432</v>
      </c>
      <c r="C4412">
        <v>155</v>
      </c>
      <c r="D4412">
        <v>20221107</v>
      </c>
      <c r="E4412">
        <f t="shared" si="68"/>
        <v>11</v>
      </c>
      <c r="F4412">
        <v>512200</v>
      </c>
      <c r="G4412" t="s">
        <v>432</v>
      </c>
      <c r="H4412" t="s">
        <v>401</v>
      </c>
      <c r="I4412" t="s">
        <v>402</v>
      </c>
      <c r="J4412" t="s">
        <v>4415</v>
      </c>
      <c r="K4412">
        <v>20221107</v>
      </c>
      <c r="L4412" t="s">
        <v>4416</v>
      </c>
      <c r="M4412">
        <v>0</v>
      </c>
      <c r="N4412">
        <v>62.4</v>
      </c>
      <c r="O4412" t="s">
        <v>19</v>
      </c>
      <c r="P4412" t="s">
        <v>20</v>
      </c>
      <c r="Q4412">
        <v>20221107</v>
      </c>
    </row>
    <row r="4413" spans="1:17" x14ac:dyDescent="0.25">
      <c r="A4413" t="s">
        <v>715</v>
      </c>
      <c r="B4413" t="s">
        <v>432</v>
      </c>
      <c r="C4413">
        <v>155</v>
      </c>
      <c r="D4413">
        <v>20221107</v>
      </c>
      <c r="E4413">
        <f t="shared" si="68"/>
        <v>11</v>
      </c>
      <c r="F4413">
        <v>401000</v>
      </c>
      <c r="G4413" t="s">
        <v>41</v>
      </c>
      <c r="H4413" t="s">
        <v>1655</v>
      </c>
      <c r="I4413" t="s">
        <v>1656</v>
      </c>
      <c r="J4413" t="s">
        <v>4417</v>
      </c>
      <c r="K4413">
        <v>20221107</v>
      </c>
      <c r="L4413" t="s">
        <v>4084</v>
      </c>
      <c r="M4413">
        <v>72</v>
      </c>
      <c r="N4413">
        <v>0</v>
      </c>
      <c r="O4413" t="s">
        <v>23</v>
      </c>
      <c r="P4413">
        <v>20230324</v>
      </c>
      <c r="Q4413">
        <v>20221107</v>
      </c>
    </row>
    <row r="4414" spans="1:17" x14ac:dyDescent="0.25">
      <c r="A4414" t="s">
        <v>715</v>
      </c>
      <c r="B4414" t="s">
        <v>432</v>
      </c>
      <c r="C4414">
        <v>155</v>
      </c>
      <c r="D4414">
        <v>20221107</v>
      </c>
      <c r="E4414">
        <f t="shared" si="68"/>
        <v>11</v>
      </c>
      <c r="F4414">
        <v>512200</v>
      </c>
      <c r="G4414" t="s">
        <v>432</v>
      </c>
      <c r="H4414" t="s">
        <v>401</v>
      </c>
      <c r="I4414" t="s">
        <v>402</v>
      </c>
      <c r="J4414" t="s">
        <v>4417</v>
      </c>
      <c r="K4414">
        <v>20221107</v>
      </c>
      <c r="L4414" t="s">
        <v>4084</v>
      </c>
      <c r="M4414">
        <v>0</v>
      </c>
      <c r="N4414">
        <v>72</v>
      </c>
      <c r="O4414" t="s">
        <v>19</v>
      </c>
      <c r="P4414" t="s">
        <v>20</v>
      </c>
      <c r="Q4414">
        <v>20221107</v>
      </c>
    </row>
    <row r="4415" spans="1:17" x14ac:dyDescent="0.25">
      <c r="A4415" t="s">
        <v>715</v>
      </c>
      <c r="B4415" t="s">
        <v>432</v>
      </c>
      <c r="C4415">
        <v>155</v>
      </c>
      <c r="D4415">
        <v>20221107</v>
      </c>
      <c r="E4415">
        <f t="shared" si="68"/>
        <v>11</v>
      </c>
      <c r="F4415">
        <v>401000</v>
      </c>
      <c r="G4415" t="s">
        <v>41</v>
      </c>
      <c r="H4415" t="s">
        <v>1655</v>
      </c>
      <c r="I4415" t="s">
        <v>1656</v>
      </c>
      <c r="J4415" t="s">
        <v>4418</v>
      </c>
      <c r="K4415">
        <v>20221107</v>
      </c>
      <c r="L4415" t="s">
        <v>4084</v>
      </c>
      <c r="M4415">
        <v>72</v>
      </c>
      <c r="N4415">
        <v>0</v>
      </c>
      <c r="O4415" t="s">
        <v>23</v>
      </c>
      <c r="P4415">
        <v>20230324</v>
      </c>
      <c r="Q4415">
        <v>20221107</v>
      </c>
    </row>
    <row r="4416" spans="1:17" x14ac:dyDescent="0.25">
      <c r="A4416" t="s">
        <v>715</v>
      </c>
      <c r="B4416" t="s">
        <v>432</v>
      </c>
      <c r="C4416">
        <v>155</v>
      </c>
      <c r="D4416">
        <v>20221107</v>
      </c>
      <c r="E4416">
        <f t="shared" si="68"/>
        <v>11</v>
      </c>
      <c r="F4416">
        <v>512200</v>
      </c>
      <c r="G4416" t="s">
        <v>432</v>
      </c>
      <c r="H4416" t="s">
        <v>401</v>
      </c>
      <c r="I4416" t="s">
        <v>402</v>
      </c>
      <c r="J4416" t="s">
        <v>4418</v>
      </c>
      <c r="K4416">
        <v>20221107</v>
      </c>
      <c r="L4416" t="s">
        <v>4084</v>
      </c>
      <c r="M4416">
        <v>0</v>
      </c>
      <c r="N4416">
        <v>72</v>
      </c>
      <c r="O4416" t="s">
        <v>19</v>
      </c>
      <c r="P4416" t="s">
        <v>20</v>
      </c>
      <c r="Q4416">
        <v>20221107</v>
      </c>
    </row>
    <row r="4417" spans="1:17" x14ac:dyDescent="0.25">
      <c r="A4417" t="s">
        <v>715</v>
      </c>
      <c r="B4417" t="s">
        <v>432</v>
      </c>
      <c r="C4417">
        <v>155</v>
      </c>
      <c r="D4417">
        <v>20221107</v>
      </c>
      <c r="E4417">
        <f t="shared" si="68"/>
        <v>11</v>
      </c>
      <c r="F4417">
        <v>401000</v>
      </c>
      <c r="G4417" t="s">
        <v>41</v>
      </c>
      <c r="H4417" t="s">
        <v>3670</v>
      </c>
      <c r="I4417" t="s">
        <v>3671</v>
      </c>
      <c r="J4417" t="s">
        <v>4419</v>
      </c>
      <c r="K4417">
        <v>20221107</v>
      </c>
      <c r="L4417" t="s">
        <v>4420</v>
      </c>
      <c r="M4417">
        <v>264.5</v>
      </c>
      <c r="N4417">
        <v>0</v>
      </c>
      <c r="O4417" t="s">
        <v>23</v>
      </c>
      <c r="P4417">
        <v>20230218</v>
      </c>
      <c r="Q4417">
        <v>20221107</v>
      </c>
    </row>
    <row r="4418" spans="1:17" x14ac:dyDescent="0.25">
      <c r="A4418" t="s">
        <v>715</v>
      </c>
      <c r="B4418" t="s">
        <v>432</v>
      </c>
      <c r="C4418">
        <v>155</v>
      </c>
      <c r="D4418">
        <v>20221107</v>
      </c>
      <c r="E4418">
        <f t="shared" si="68"/>
        <v>11</v>
      </c>
      <c r="F4418">
        <v>512200</v>
      </c>
      <c r="G4418" t="s">
        <v>432</v>
      </c>
      <c r="H4418" t="s">
        <v>401</v>
      </c>
      <c r="I4418" t="s">
        <v>402</v>
      </c>
      <c r="J4418" t="s">
        <v>4419</v>
      </c>
      <c r="K4418">
        <v>20221107</v>
      </c>
      <c r="L4418" t="s">
        <v>4420</v>
      </c>
      <c r="M4418">
        <v>0</v>
      </c>
      <c r="N4418">
        <v>264.5</v>
      </c>
      <c r="O4418" t="s">
        <v>19</v>
      </c>
      <c r="P4418" t="s">
        <v>20</v>
      </c>
      <c r="Q4418">
        <v>20221107</v>
      </c>
    </row>
    <row r="4419" spans="1:17" x14ac:dyDescent="0.25">
      <c r="A4419" t="s">
        <v>715</v>
      </c>
      <c r="B4419" t="s">
        <v>432</v>
      </c>
      <c r="C4419">
        <v>155</v>
      </c>
      <c r="D4419">
        <v>20221108</v>
      </c>
      <c r="E4419">
        <f t="shared" ref="E4419:E4482" si="69">VALUE(MID(D4419,5,2))</f>
        <v>11</v>
      </c>
      <c r="F4419">
        <v>401000</v>
      </c>
      <c r="G4419" t="s">
        <v>41</v>
      </c>
      <c r="H4419" t="s">
        <v>848</v>
      </c>
      <c r="I4419" t="s">
        <v>849</v>
      </c>
      <c r="J4419" t="s">
        <v>4421</v>
      </c>
      <c r="K4419">
        <v>20221108</v>
      </c>
      <c r="L4419" t="s">
        <v>4422</v>
      </c>
      <c r="M4419">
        <v>170</v>
      </c>
      <c r="N4419">
        <v>0</v>
      </c>
      <c r="O4419" t="s">
        <v>23</v>
      </c>
      <c r="P4419">
        <v>20230123</v>
      </c>
      <c r="Q4419">
        <v>20221108</v>
      </c>
    </row>
    <row r="4420" spans="1:17" x14ac:dyDescent="0.25">
      <c r="A4420" t="s">
        <v>715</v>
      </c>
      <c r="B4420" t="s">
        <v>432</v>
      </c>
      <c r="C4420">
        <v>155</v>
      </c>
      <c r="D4420">
        <v>20221108</v>
      </c>
      <c r="E4420">
        <f t="shared" si="69"/>
        <v>11</v>
      </c>
      <c r="F4420">
        <v>512200</v>
      </c>
      <c r="G4420" t="s">
        <v>432</v>
      </c>
      <c r="H4420" t="s">
        <v>401</v>
      </c>
      <c r="I4420" t="s">
        <v>402</v>
      </c>
      <c r="J4420" t="s">
        <v>4421</v>
      </c>
      <c r="K4420">
        <v>20221108</v>
      </c>
      <c r="L4420" t="s">
        <v>4422</v>
      </c>
      <c r="M4420">
        <v>0</v>
      </c>
      <c r="N4420">
        <v>170</v>
      </c>
      <c r="O4420" t="s">
        <v>19</v>
      </c>
      <c r="P4420" t="s">
        <v>20</v>
      </c>
      <c r="Q4420">
        <v>20221108</v>
      </c>
    </row>
    <row r="4421" spans="1:17" x14ac:dyDescent="0.25">
      <c r="A4421" t="s">
        <v>715</v>
      </c>
      <c r="B4421" t="s">
        <v>432</v>
      </c>
      <c r="C4421">
        <v>155</v>
      </c>
      <c r="D4421">
        <v>20221109</v>
      </c>
      <c r="E4421">
        <f t="shared" si="69"/>
        <v>11</v>
      </c>
      <c r="F4421">
        <v>401000</v>
      </c>
      <c r="G4421" t="s">
        <v>41</v>
      </c>
      <c r="H4421" t="s">
        <v>158</v>
      </c>
      <c r="I4421" t="s">
        <v>159</v>
      </c>
      <c r="J4421" t="s">
        <v>4423</v>
      </c>
      <c r="K4421">
        <v>20221109</v>
      </c>
      <c r="L4421" t="s">
        <v>4424</v>
      </c>
      <c r="M4421">
        <v>360</v>
      </c>
      <c r="N4421">
        <v>0</v>
      </c>
      <c r="O4421" t="s">
        <v>23</v>
      </c>
      <c r="P4421">
        <v>20230206</v>
      </c>
      <c r="Q4421">
        <v>20221109</v>
      </c>
    </row>
    <row r="4422" spans="1:17" x14ac:dyDescent="0.25">
      <c r="A4422" t="s">
        <v>715</v>
      </c>
      <c r="B4422" t="s">
        <v>432</v>
      </c>
      <c r="C4422">
        <v>155</v>
      </c>
      <c r="D4422">
        <v>20221109</v>
      </c>
      <c r="E4422">
        <f t="shared" si="69"/>
        <v>11</v>
      </c>
      <c r="F4422">
        <v>512200</v>
      </c>
      <c r="G4422" t="s">
        <v>432</v>
      </c>
      <c r="H4422" t="s">
        <v>401</v>
      </c>
      <c r="I4422" t="s">
        <v>402</v>
      </c>
      <c r="J4422" t="s">
        <v>4423</v>
      </c>
      <c r="K4422">
        <v>20221109</v>
      </c>
      <c r="L4422" t="s">
        <v>4424</v>
      </c>
      <c r="M4422">
        <v>0</v>
      </c>
      <c r="N4422">
        <v>360</v>
      </c>
      <c r="O4422" t="s">
        <v>19</v>
      </c>
      <c r="P4422" t="s">
        <v>20</v>
      </c>
      <c r="Q4422">
        <v>20221109</v>
      </c>
    </row>
    <row r="4423" spans="1:17" x14ac:dyDescent="0.25">
      <c r="A4423" t="s">
        <v>715</v>
      </c>
      <c r="B4423" t="s">
        <v>432</v>
      </c>
      <c r="C4423">
        <v>155</v>
      </c>
      <c r="D4423">
        <v>20221110</v>
      </c>
      <c r="E4423">
        <f t="shared" si="69"/>
        <v>11</v>
      </c>
      <c r="F4423">
        <v>627000</v>
      </c>
      <c r="G4423" t="s">
        <v>480</v>
      </c>
      <c r="H4423" t="s">
        <v>401</v>
      </c>
      <c r="I4423" t="s">
        <v>402</v>
      </c>
      <c r="J4423" t="s">
        <v>4425</v>
      </c>
      <c r="K4423">
        <v>20221110</v>
      </c>
      <c r="L4423" t="s">
        <v>1255</v>
      </c>
      <c r="M4423">
        <v>73.38</v>
      </c>
      <c r="N4423">
        <v>0</v>
      </c>
      <c r="O4423" t="s">
        <v>19</v>
      </c>
      <c r="P4423" t="s">
        <v>20</v>
      </c>
      <c r="Q4423">
        <v>20221110</v>
      </c>
    </row>
    <row r="4424" spans="1:17" x14ac:dyDescent="0.25">
      <c r="A4424" t="s">
        <v>715</v>
      </c>
      <c r="B4424" t="s">
        <v>432</v>
      </c>
      <c r="C4424">
        <v>155</v>
      </c>
      <c r="D4424">
        <v>20221110</v>
      </c>
      <c r="E4424">
        <f t="shared" si="69"/>
        <v>11</v>
      </c>
      <c r="F4424">
        <v>512200</v>
      </c>
      <c r="G4424" t="s">
        <v>432</v>
      </c>
      <c r="H4424" t="s">
        <v>401</v>
      </c>
      <c r="I4424" t="s">
        <v>402</v>
      </c>
      <c r="J4424" t="s">
        <v>4425</v>
      </c>
      <c r="K4424">
        <v>20221110</v>
      </c>
      <c r="L4424" t="s">
        <v>1255</v>
      </c>
      <c r="M4424">
        <v>0</v>
      </c>
      <c r="N4424">
        <v>73.38</v>
      </c>
      <c r="O4424" t="s">
        <v>19</v>
      </c>
      <c r="P4424" t="s">
        <v>20</v>
      </c>
      <c r="Q4424">
        <v>20221110</v>
      </c>
    </row>
    <row r="4425" spans="1:17" x14ac:dyDescent="0.25">
      <c r="A4425" t="s">
        <v>715</v>
      </c>
      <c r="B4425" t="s">
        <v>432</v>
      </c>
      <c r="C4425">
        <v>155</v>
      </c>
      <c r="D4425">
        <v>20221110</v>
      </c>
      <c r="E4425">
        <f t="shared" si="69"/>
        <v>11</v>
      </c>
      <c r="F4425">
        <v>401000</v>
      </c>
      <c r="G4425" t="s">
        <v>41</v>
      </c>
      <c r="H4425" t="s">
        <v>140</v>
      </c>
      <c r="I4425" t="s">
        <v>141</v>
      </c>
      <c r="J4425" t="s">
        <v>4426</v>
      </c>
      <c r="K4425">
        <v>20221110</v>
      </c>
      <c r="L4425" t="s">
        <v>4427</v>
      </c>
      <c r="M4425">
        <v>136.80000000000001</v>
      </c>
      <c r="N4425">
        <v>0</v>
      </c>
      <c r="O4425" t="s">
        <v>23</v>
      </c>
      <c r="P4425">
        <v>20230123</v>
      </c>
      <c r="Q4425">
        <v>20221110</v>
      </c>
    </row>
    <row r="4426" spans="1:17" x14ac:dyDescent="0.25">
      <c r="A4426" t="s">
        <v>715</v>
      </c>
      <c r="B4426" t="s">
        <v>432</v>
      </c>
      <c r="C4426">
        <v>155</v>
      </c>
      <c r="D4426">
        <v>20221110</v>
      </c>
      <c r="E4426">
        <f t="shared" si="69"/>
        <v>11</v>
      </c>
      <c r="F4426">
        <v>512200</v>
      </c>
      <c r="G4426" t="s">
        <v>432</v>
      </c>
      <c r="H4426" t="s">
        <v>401</v>
      </c>
      <c r="I4426" t="s">
        <v>402</v>
      </c>
      <c r="J4426" t="s">
        <v>4426</v>
      </c>
      <c r="K4426">
        <v>20221110</v>
      </c>
      <c r="L4426" t="s">
        <v>4427</v>
      </c>
      <c r="M4426">
        <v>0</v>
      </c>
      <c r="N4426">
        <v>136.80000000000001</v>
      </c>
      <c r="O4426" t="s">
        <v>19</v>
      </c>
      <c r="P4426" t="s">
        <v>20</v>
      </c>
      <c r="Q4426">
        <v>20221110</v>
      </c>
    </row>
    <row r="4427" spans="1:17" x14ac:dyDescent="0.25">
      <c r="A4427" t="s">
        <v>715</v>
      </c>
      <c r="B4427" t="s">
        <v>432</v>
      </c>
      <c r="C4427">
        <v>155</v>
      </c>
      <c r="D4427">
        <v>20221114</v>
      </c>
      <c r="E4427">
        <f t="shared" si="69"/>
        <v>11</v>
      </c>
      <c r="F4427">
        <v>401000</v>
      </c>
      <c r="G4427" t="s">
        <v>41</v>
      </c>
      <c r="H4427" t="s">
        <v>4157</v>
      </c>
      <c r="I4427" t="s">
        <v>4158</v>
      </c>
      <c r="J4427" t="s">
        <v>4428</v>
      </c>
      <c r="K4427">
        <v>20221114</v>
      </c>
      <c r="L4427" t="s">
        <v>4429</v>
      </c>
      <c r="M4427">
        <v>245</v>
      </c>
      <c r="N4427">
        <v>0</v>
      </c>
      <c r="O4427" t="s">
        <v>23</v>
      </c>
      <c r="P4427">
        <v>20230331</v>
      </c>
      <c r="Q4427">
        <v>20221114</v>
      </c>
    </row>
    <row r="4428" spans="1:17" x14ac:dyDescent="0.25">
      <c r="A4428" t="s">
        <v>715</v>
      </c>
      <c r="B4428" t="s">
        <v>432</v>
      </c>
      <c r="C4428">
        <v>155</v>
      </c>
      <c r="D4428">
        <v>20221114</v>
      </c>
      <c r="E4428">
        <f t="shared" si="69"/>
        <v>11</v>
      </c>
      <c r="F4428">
        <v>512200</v>
      </c>
      <c r="G4428" t="s">
        <v>432</v>
      </c>
      <c r="H4428" t="s">
        <v>401</v>
      </c>
      <c r="I4428" t="s">
        <v>402</v>
      </c>
      <c r="J4428" t="s">
        <v>4428</v>
      </c>
      <c r="K4428">
        <v>20221114</v>
      </c>
      <c r="L4428" t="s">
        <v>4429</v>
      </c>
      <c r="M4428">
        <v>0</v>
      </c>
      <c r="N4428">
        <v>245</v>
      </c>
      <c r="O4428" t="s">
        <v>19</v>
      </c>
      <c r="P4428" t="s">
        <v>20</v>
      </c>
      <c r="Q4428">
        <v>20221114</v>
      </c>
    </row>
    <row r="4429" spans="1:17" x14ac:dyDescent="0.25">
      <c r="A4429" t="s">
        <v>715</v>
      </c>
      <c r="B4429" t="s">
        <v>432</v>
      </c>
      <c r="C4429">
        <v>155</v>
      </c>
      <c r="D4429">
        <v>20221115</v>
      </c>
      <c r="E4429">
        <f t="shared" si="69"/>
        <v>11</v>
      </c>
      <c r="F4429">
        <v>401000</v>
      </c>
      <c r="G4429" t="s">
        <v>41</v>
      </c>
      <c r="H4429" t="s">
        <v>858</v>
      </c>
      <c r="I4429" t="s">
        <v>859</v>
      </c>
      <c r="J4429" t="s">
        <v>4430</v>
      </c>
      <c r="K4429">
        <v>20221115</v>
      </c>
      <c r="L4429" t="s">
        <v>4431</v>
      </c>
      <c r="M4429">
        <v>68.400000000000006</v>
      </c>
      <c r="N4429">
        <v>0</v>
      </c>
      <c r="O4429" t="s">
        <v>23</v>
      </c>
      <c r="P4429">
        <v>20230125</v>
      </c>
      <c r="Q4429">
        <v>20221115</v>
      </c>
    </row>
    <row r="4430" spans="1:17" x14ac:dyDescent="0.25">
      <c r="A4430" t="s">
        <v>715</v>
      </c>
      <c r="B4430" t="s">
        <v>432</v>
      </c>
      <c r="C4430">
        <v>155</v>
      </c>
      <c r="D4430">
        <v>20221115</v>
      </c>
      <c r="E4430">
        <f t="shared" si="69"/>
        <v>11</v>
      </c>
      <c r="F4430">
        <v>512200</v>
      </c>
      <c r="G4430" t="s">
        <v>432</v>
      </c>
      <c r="H4430" t="s">
        <v>401</v>
      </c>
      <c r="I4430" t="s">
        <v>402</v>
      </c>
      <c r="J4430" t="s">
        <v>4430</v>
      </c>
      <c r="K4430">
        <v>20221115</v>
      </c>
      <c r="L4430" t="s">
        <v>4431</v>
      </c>
      <c r="M4430">
        <v>0</v>
      </c>
      <c r="N4430">
        <v>68.400000000000006</v>
      </c>
      <c r="O4430" t="s">
        <v>19</v>
      </c>
      <c r="P4430" t="s">
        <v>20</v>
      </c>
      <c r="Q4430">
        <v>20221115</v>
      </c>
    </row>
    <row r="4431" spans="1:17" x14ac:dyDescent="0.25">
      <c r="A4431" t="s">
        <v>715</v>
      </c>
      <c r="B4431" t="s">
        <v>432</v>
      </c>
      <c r="C4431">
        <v>155</v>
      </c>
      <c r="D4431">
        <v>20221115</v>
      </c>
      <c r="E4431">
        <f t="shared" si="69"/>
        <v>11</v>
      </c>
      <c r="F4431">
        <v>401000</v>
      </c>
      <c r="G4431" t="s">
        <v>41</v>
      </c>
      <c r="H4431" t="s">
        <v>852</v>
      </c>
      <c r="I4431" t="s">
        <v>853</v>
      </c>
      <c r="J4431" t="s">
        <v>4432</v>
      </c>
      <c r="K4431">
        <v>20221115</v>
      </c>
      <c r="L4431" t="s">
        <v>4433</v>
      </c>
      <c r="M4431">
        <v>75</v>
      </c>
      <c r="N4431">
        <v>0</v>
      </c>
      <c r="O4431" t="s">
        <v>23</v>
      </c>
      <c r="P4431">
        <v>20230307</v>
      </c>
      <c r="Q4431">
        <v>20221115</v>
      </c>
    </row>
    <row r="4432" spans="1:17" x14ac:dyDescent="0.25">
      <c r="A4432" t="s">
        <v>715</v>
      </c>
      <c r="B4432" t="s">
        <v>432</v>
      </c>
      <c r="C4432">
        <v>155</v>
      </c>
      <c r="D4432">
        <v>20221115</v>
      </c>
      <c r="E4432">
        <f t="shared" si="69"/>
        <v>11</v>
      </c>
      <c r="F4432">
        <v>512200</v>
      </c>
      <c r="G4432" t="s">
        <v>432</v>
      </c>
      <c r="H4432" t="s">
        <v>401</v>
      </c>
      <c r="I4432" t="s">
        <v>402</v>
      </c>
      <c r="J4432" t="s">
        <v>4432</v>
      </c>
      <c r="K4432">
        <v>20221115</v>
      </c>
      <c r="L4432" t="s">
        <v>4433</v>
      </c>
      <c r="M4432">
        <v>0</v>
      </c>
      <c r="N4432">
        <v>75</v>
      </c>
      <c r="O4432" t="s">
        <v>19</v>
      </c>
      <c r="P4432" t="s">
        <v>20</v>
      </c>
      <c r="Q4432">
        <v>20221115</v>
      </c>
    </row>
    <row r="4433" spans="1:17" x14ac:dyDescent="0.25">
      <c r="A4433" t="s">
        <v>715</v>
      </c>
      <c r="B4433" t="s">
        <v>432</v>
      </c>
      <c r="C4433">
        <v>155</v>
      </c>
      <c r="D4433">
        <v>20221116</v>
      </c>
      <c r="E4433">
        <f t="shared" si="69"/>
        <v>11</v>
      </c>
      <c r="F4433">
        <v>411000</v>
      </c>
      <c r="G4433" t="s">
        <v>21</v>
      </c>
      <c r="H4433" t="s">
        <v>815</v>
      </c>
      <c r="I4433" t="s">
        <v>816</v>
      </c>
      <c r="J4433" t="s">
        <v>4434</v>
      </c>
      <c r="K4433">
        <v>20221116</v>
      </c>
      <c r="L4433" t="s">
        <v>745</v>
      </c>
      <c r="M4433">
        <v>0</v>
      </c>
      <c r="N4433">
        <v>120</v>
      </c>
      <c r="O4433" t="s">
        <v>22</v>
      </c>
      <c r="P4433">
        <v>20230218</v>
      </c>
      <c r="Q4433">
        <v>20221116</v>
      </c>
    </row>
    <row r="4434" spans="1:17" x14ac:dyDescent="0.25">
      <c r="A4434" t="s">
        <v>715</v>
      </c>
      <c r="B4434" t="s">
        <v>432</v>
      </c>
      <c r="C4434">
        <v>155</v>
      </c>
      <c r="D4434">
        <v>20221116</v>
      </c>
      <c r="E4434">
        <f t="shared" si="69"/>
        <v>11</v>
      </c>
      <c r="F4434">
        <v>512200</v>
      </c>
      <c r="G4434" t="s">
        <v>432</v>
      </c>
      <c r="H4434" t="s">
        <v>401</v>
      </c>
      <c r="I4434" t="s">
        <v>402</v>
      </c>
      <c r="J4434" t="s">
        <v>4434</v>
      </c>
      <c r="K4434">
        <v>20221116</v>
      </c>
      <c r="L4434" t="s">
        <v>745</v>
      </c>
      <c r="M4434">
        <v>120</v>
      </c>
      <c r="N4434">
        <v>0</v>
      </c>
      <c r="O4434" t="s">
        <v>19</v>
      </c>
      <c r="P4434" t="s">
        <v>20</v>
      </c>
      <c r="Q4434">
        <v>20221116</v>
      </c>
    </row>
    <row r="4435" spans="1:17" x14ac:dyDescent="0.25">
      <c r="A4435" t="s">
        <v>715</v>
      </c>
      <c r="B4435" t="s">
        <v>432</v>
      </c>
      <c r="C4435">
        <v>155</v>
      </c>
      <c r="D4435">
        <v>20221116</v>
      </c>
      <c r="E4435">
        <f t="shared" si="69"/>
        <v>11</v>
      </c>
      <c r="F4435">
        <v>401000</v>
      </c>
      <c r="G4435" t="s">
        <v>41</v>
      </c>
      <c r="H4435" t="s">
        <v>3666</v>
      </c>
      <c r="I4435" t="s">
        <v>3667</v>
      </c>
      <c r="J4435" t="s">
        <v>4435</v>
      </c>
      <c r="K4435">
        <v>20221116</v>
      </c>
      <c r="L4435" t="s">
        <v>4436</v>
      </c>
      <c r="M4435">
        <v>232</v>
      </c>
      <c r="N4435">
        <v>0</v>
      </c>
      <c r="O4435" t="s">
        <v>23</v>
      </c>
      <c r="P4435">
        <v>20230308</v>
      </c>
      <c r="Q4435">
        <v>20221116</v>
      </c>
    </row>
    <row r="4436" spans="1:17" x14ac:dyDescent="0.25">
      <c r="A4436" t="s">
        <v>715</v>
      </c>
      <c r="B4436" t="s">
        <v>432</v>
      </c>
      <c r="C4436">
        <v>155</v>
      </c>
      <c r="D4436">
        <v>20221116</v>
      </c>
      <c r="E4436">
        <f t="shared" si="69"/>
        <v>11</v>
      </c>
      <c r="F4436">
        <v>512200</v>
      </c>
      <c r="G4436" t="s">
        <v>432</v>
      </c>
      <c r="H4436" t="s">
        <v>401</v>
      </c>
      <c r="I4436" t="s">
        <v>402</v>
      </c>
      <c r="J4436" t="s">
        <v>4435</v>
      </c>
      <c r="K4436">
        <v>20221116</v>
      </c>
      <c r="L4436" t="s">
        <v>4436</v>
      </c>
      <c r="M4436">
        <v>0</v>
      </c>
      <c r="N4436">
        <v>232</v>
      </c>
      <c r="O4436" t="s">
        <v>19</v>
      </c>
      <c r="P4436" t="s">
        <v>20</v>
      </c>
      <c r="Q4436">
        <v>20221116</v>
      </c>
    </row>
    <row r="4437" spans="1:17" x14ac:dyDescent="0.25">
      <c r="A4437" t="s">
        <v>715</v>
      </c>
      <c r="B4437" t="s">
        <v>432</v>
      </c>
      <c r="C4437">
        <v>155</v>
      </c>
      <c r="D4437">
        <v>20221117</v>
      </c>
      <c r="E4437">
        <f t="shared" si="69"/>
        <v>11</v>
      </c>
      <c r="F4437">
        <v>401000</v>
      </c>
      <c r="G4437" t="s">
        <v>41</v>
      </c>
      <c r="H4437" t="s">
        <v>3668</v>
      </c>
      <c r="I4437" t="s">
        <v>3669</v>
      </c>
      <c r="J4437" t="s">
        <v>4437</v>
      </c>
      <c r="K4437">
        <v>20221117</v>
      </c>
      <c r="L4437" t="s">
        <v>4438</v>
      </c>
      <c r="M4437">
        <v>328</v>
      </c>
      <c r="N4437">
        <v>0</v>
      </c>
      <c r="O4437" t="s">
        <v>23</v>
      </c>
      <c r="P4437">
        <v>20230123</v>
      </c>
      <c r="Q4437">
        <v>20221117</v>
      </c>
    </row>
    <row r="4438" spans="1:17" x14ac:dyDescent="0.25">
      <c r="A4438" t="s">
        <v>715</v>
      </c>
      <c r="B4438" t="s">
        <v>432</v>
      </c>
      <c r="C4438">
        <v>155</v>
      </c>
      <c r="D4438">
        <v>20221117</v>
      </c>
      <c r="E4438">
        <f t="shared" si="69"/>
        <v>11</v>
      </c>
      <c r="F4438">
        <v>512200</v>
      </c>
      <c r="G4438" t="s">
        <v>432</v>
      </c>
      <c r="H4438" t="s">
        <v>401</v>
      </c>
      <c r="I4438" t="s">
        <v>402</v>
      </c>
      <c r="J4438" t="s">
        <v>4437</v>
      </c>
      <c r="K4438">
        <v>20221117</v>
      </c>
      <c r="L4438" t="s">
        <v>4438</v>
      </c>
      <c r="M4438">
        <v>0</v>
      </c>
      <c r="N4438">
        <v>328</v>
      </c>
      <c r="O4438" t="s">
        <v>19</v>
      </c>
      <c r="P4438" t="s">
        <v>20</v>
      </c>
      <c r="Q4438">
        <v>20221117</v>
      </c>
    </row>
    <row r="4439" spans="1:17" x14ac:dyDescent="0.25">
      <c r="A4439" t="s">
        <v>715</v>
      </c>
      <c r="B4439" t="s">
        <v>432</v>
      </c>
      <c r="C4439">
        <v>155</v>
      </c>
      <c r="D4439">
        <v>20221118</v>
      </c>
      <c r="E4439">
        <f t="shared" si="69"/>
        <v>11</v>
      </c>
      <c r="F4439">
        <v>512200</v>
      </c>
      <c r="G4439" t="s">
        <v>432</v>
      </c>
      <c r="H4439" t="s">
        <v>401</v>
      </c>
      <c r="I4439" t="s">
        <v>402</v>
      </c>
      <c r="J4439" t="s">
        <v>4439</v>
      </c>
      <c r="K4439">
        <v>20221118</v>
      </c>
      <c r="L4439" t="s">
        <v>4440</v>
      </c>
      <c r="M4439">
        <v>5036.17</v>
      </c>
      <c r="N4439">
        <v>0</v>
      </c>
      <c r="O4439" t="s">
        <v>19</v>
      </c>
      <c r="P4439" t="s">
        <v>20</v>
      </c>
      <c r="Q4439">
        <v>20221118</v>
      </c>
    </row>
    <row r="4440" spans="1:17" x14ac:dyDescent="0.25">
      <c r="A4440" t="s">
        <v>715</v>
      </c>
      <c r="B4440" t="s">
        <v>432</v>
      </c>
      <c r="C4440">
        <v>155</v>
      </c>
      <c r="D4440">
        <v>20221118</v>
      </c>
      <c r="E4440">
        <f t="shared" si="69"/>
        <v>11</v>
      </c>
      <c r="F4440">
        <v>511000</v>
      </c>
      <c r="G4440" t="s">
        <v>431</v>
      </c>
      <c r="H4440" t="s">
        <v>401</v>
      </c>
      <c r="I4440" t="s">
        <v>402</v>
      </c>
      <c r="J4440" t="s">
        <v>4439</v>
      </c>
      <c r="K4440">
        <v>20221118</v>
      </c>
      <c r="L4440" t="s">
        <v>4440</v>
      </c>
      <c r="M4440">
        <v>0</v>
      </c>
      <c r="N4440">
        <v>5036.17</v>
      </c>
      <c r="O4440" t="s">
        <v>23</v>
      </c>
      <c r="P4440">
        <v>20230228</v>
      </c>
      <c r="Q4440">
        <v>20221118</v>
      </c>
    </row>
    <row r="4441" spans="1:17" x14ac:dyDescent="0.25">
      <c r="A4441" t="s">
        <v>715</v>
      </c>
      <c r="B4441" t="s">
        <v>432</v>
      </c>
      <c r="C4441">
        <v>155</v>
      </c>
      <c r="D4441">
        <v>20221118</v>
      </c>
      <c r="E4441">
        <f t="shared" si="69"/>
        <v>11</v>
      </c>
      <c r="F4441">
        <v>512200</v>
      </c>
      <c r="G4441" t="s">
        <v>432</v>
      </c>
      <c r="H4441" t="s">
        <v>401</v>
      </c>
      <c r="I4441" t="s">
        <v>402</v>
      </c>
      <c r="J4441" t="s">
        <v>4441</v>
      </c>
      <c r="K4441">
        <v>20221118</v>
      </c>
      <c r="L4441" t="s">
        <v>4442</v>
      </c>
      <c r="M4441">
        <v>85.7</v>
      </c>
      <c r="N4441">
        <v>0</v>
      </c>
      <c r="O4441" t="s">
        <v>19</v>
      </c>
      <c r="P4441" t="s">
        <v>20</v>
      </c>
      <c r="Q4441">
        <v>20221118</v>
      </c>
    </row>
    <row r="4442" spans="1:17" x14ac:dyDescent="0.25">
      <c r="A4442" t="s">
        <v>715</v>
      </c>
      <c r="B4442" t="s">
        <v>432</v>
      </c>
      <c r="C4442">
        <v>155</v>
      </c>
      <c r="D4442">
        <v>20221118</v>
      </c>
      <c r="E4442">
        <f t="shared" si="69"/>
        <v>11</v>
      </c>
      <c r="F4442">
        <v>511000</v>
      </c>
      <c r="G4442" t="s">
        <v>431</v>
      </c>
      <c r="H4442" t="s">
        <v>401</v>
      </c>
      <c r="I4442" t="s">
        <v>402</v>
      </c>
      <c r="J4442" t="s">
        <v>4441</v>
      </c>
      <c r="K4442">
        <v>20221118</v>
      </c>
      <c r="L4442" t="s">
        <v>4442</v>
      </c>
      <c r="M4442">
        <v>0</v>
      </c>
      <c r="N4442">
        <v>85.7</v>
      </c>
      <c r="O4442" t="s">
        <v>23</v>
      </c>
      <c r="P4442">
        <v>20230228</v>
      </c>
      <c r="Q4442">
        <v>20221118</v>
      </c>
    </row>
    <row r="4443" spans="1:17" x14ac:dyDescent="0.25">
      <c r="A4443" t="s">
        <v>715</v>
      </c>
      <c r="B4443" t="s">
        <v>432</v>
      </c>
      <c r="C4443">
        <v>155</v>
      </c>
      <c r="D4443">
        <v>20221118</v>
      </c>
      <c r="E4443">
        <f t="shared" si="69"/>
        <v>11</v>
      </c>
      <c r="F4443">
        <v>512200</v>
      </c>
      <c r="G4443" t="s">
        <v>432</v>
      </c>
      <c r="H4443" t="s">
        <v>401</v>
      </c>
      <c r="I4443" t="s">
        <v>402</v>
      </c>
      <c r="J4443" t="s">
        <v>4338</v>
      </c>
      <c r="K4443">
        <v>20221118</v>
      </c>
      <c r="L4443" t="s">
        <v>625</v>
      </c>
      <c r="M4443">
        <v>1500</v>
      </c>
      <c r="N4443">
        <v>0</v>
      </c>
      <c r="O4443" t="s">
        <v>19</v>
      </c>
      <c r="P4443" t="s">
        <v>20</v>
      </c>
      <c r="Q4443">
        <v>20221118</v>
      </c>
    </row>
    <row r="4444" spans="1:17" x14ac:dyDescent="0.25">
      <c r="A4444" t="s">
        <v>715</v>
      </c>
      <c r="B4444" t="s">
        <v>432</v>
      </c>
      <c r="C4444">
        <v>155</v>
      </c>
      <c r="D4444">
        <v>20221118</v>
      </c>
      <c r="E4444">
        <f t="shared" si="69"/>
        <v>11</v>
      </c>
      <c r="F4444">
        <v>580000</v>
      </c>
      <c r="G4444" t="s">
        <v>532</v>
      </c>
      <c r="H4444" t="s">
        <v>401</v>
      </c>
      <c r="I4444" t="s">
        <v>402</v>
      </c>
      <c r="J4444" t="s">
        <v>4338</v>
      </c>
      <c r="K4444">
        <v>20221118</v>
      </c>
      <c r="L4444" t="s">
        <v>625</v>
      </c>
      <c r="M4444">
        <v>0</v>
      </c>
      <c r="N4444">
        <v>1500</v>
      </c>
      <c r="O4444" t="s">
        <v>22</v>
      </c>
      <c r="P4444">
        <v>20221118</v>
      </c>
      <c r="Q4444">
        <v>20221118</v>
      </c>
    </row>
    <row r="4445" spans="1:17" x14ac:dyDescent="0.25">
      <c r="A4445" t="s">
        <v>715</v>
      </c>
      <c r="B4445" t="s">
        <v>432</v>
      </c>
      <c r="C4445">
        <v>155</v>
      </c>
      <c r="D4445">
        <v>20221118</v>
      </c>
      <c r="E4445">
        <f t="shared" si="69"/>
        <v>11</v>
      </c>
      <c r="F4445">
        <v>401000</v>
      </c>
      <c r="G4445" t="s">
        <v>41</v>
      </c>
      <c r="H4445" t="s">
        <v>448</v>
      </c>
      <c r="I4445" t="s">
        <v>449</v>
      </c>
      <c r="J4445" t="s">
        <v>4443</v>
      </c>
      <c r="K4445">
        <v>20221118</v>
      </c>
      <c r="L4445" t="s">
        <v>1283</v>
      </c>
      <c r="M4445">
        <v>24</v>
      </c>
      <c r="N4445">
        <v>0</v>
      </c>
      <c r="O4445" t="s">
        <v>23</v>
      </c>
      <c r="P4445">
        <v>20230220</v>
      </c>
      <c r="Q4445">
        <v>20221118</v>
      </c>
    </row>
    <row r="4446" spans="1:17" x14ac:dyDescent="0.25">
      <c r="A4446" t="s">
        <v>715</v>
      </c>
      <c r="B4446" t="s">
        <v>432</v>
      </c>
      <c r="C4446">
        <v>155</v>
      </c>
      <c r="D4446">
        <v>20221118</v>
      </c>
      <c r="E4446">
        <f t="shared" si="69"/>
        <v>11</v>
      </c>
      <c r="F4446">
        <v>512200</v>
      </c>
      <c r="G4446" t="s">
        <v>432</v>
      </c>
      <c r="H4446" t="s">
        <v>401</v>
      </c>
      <c r="I4446" t="s">
        <v>402</v>
      </c>
      <c r="J4446" t="s">
        <v>4443</v>
      </c>
      <c r="K4446">
        <v>20221118</v>
      </c>
      <c r="L4446" t="s">
        <v>1283</v>
      </c>
      <c r="M4446">
        <v>0</v>
      </c>
      <c r="N4446">
        <v>24</v>
      </c>
      <c r="O4446" t="s">
        <v>19</v>
      </c>
      <c r="P4446" t="s">
        <v>20</v>
      </c>
      <c r="Q4446">
        <v>20221118</v>
      </c>
    </row>
    <row r="4447" spans="1:17" x14ac:dyDescent="0.25">
      <c r="A4447" t="s">
        <v>715</v>
      </c>
      <c r="B4447" t="s">
        <v>432</v>
      </c>
      <c r="C4447">
        <v>155</v>
      </c>
      <c r="D4447">
        <v>20221118</v>
      </c>
      <c r="E4447">
        <f t="shared" si="69"/>
        <v>11</v>
      </c>
      <c r="F4447">
        <v>401000</v>
      </c>
      <c r="G4447" t="s">
        <v>41</v>
      </c>
      <c r="H4447" t="s">
        <v>448</v>
      </c>
      <c r="I4447" t="s">
        <v>449</v>
      </c>
      <c r="J4447" t="s">
        <v>4444</v>
      </c>
      <c r="K4447">
        <v>20221118</v>
      </c>
      <c r="L4447" t="s">
        <v>1283</v>
      </c>
      <c r="M4447">
        <v>1214.68</v>
      </c>
      <c r="N4447">
        <v>0</v>
      </c>
      <c r="O4447" t="s">
        <v>23</v>
      </c>
      <c r="P4447">
        <v>20230220</v>
      </c>
      <c r="Q4447">
        <v>20221118</v>
      </c>
    </row>
    <row r="4448" spans="1:17" x14ac:dyDescent="0.25">
      <c r="A4448" t="s">
        <v>715</v>
      </c>
      <c r="B4448" t="s">
        <v>432</v>
      </c>
      <c r="C4448">
        <v>155</v>
      </c>
      <c r="D4448">
        <v>20221118</v>
      </c>
      <c r="E4448">
        <f t="shared" si="69"/>
        <v>11</v>
      </c>
      <c r="F4448">
        <v>512200</v>
      </c>
      <c r="G4448" t="s">
        <v>432</v>
      </c>
      <c r="H4448" t="s">
        <v>401</v>
      </c>
      <c r="I4448" t="s">
        <v>402</v>
      </c>
      <c r="J4448" t="s">
        <v>4444</v>
      </c>
      <c r="K4448">
        <v>20221118</v>
      </c>
      <c r="L4448" t="s">
        <v>1283</v>
      </c>
      <c r="M4448">
        <v>0</v>
      </c>
      <c r="N4448">
        <v>1214.68</v>
      </c>
      <c r="O4448" t="s">
        <v>19</v>
      </c>
      <c r="P4448" t="s">
        <v>20</v>
      </c>
      <c r="Q4448">
        <v>20221118</v>
      </c>
    </row>
    <row r="4449" spans="1:17" x14ac:dyDescent="0.25">
      <c r="A4449" t="s">
        <v>715</v>
      </c>
      <c r="B4449" t="s">
        <v>432</v>
      </c>
      <c r="C4449">
        <v>155</v>
      </c>
      <c r="D4449">
        <v>20221118</v>
      </c>
      <c r="E4449">
        <f t="shared" si="69"/>
        <v>11</v>
      </c>
      <c r="F4449">
        <v>401000</v>
      </c>
      <c r="G4449" t="s">
        <v>41</v>
      </c>
      <c r="H4449" t="s">
        <v>2392</v>
      </c>
      <c r="I4449" t="s">
        <v>2393</v>
      </c>
      <c r="J4449" t="s">
        <v>4445</v>
      </c>
      <c r="K4449">
        <v>20221118</v>
      </c>
      <c r="L4449" t="s">
        <v>4446</v>
      </c>
      <c r="M4449">
        <v>348</v>
      </c>
      <c r="N4449">
        <v>0</v>
      </c>
      <c r="O4449" t="s">
        <v>23</v>
      </c>
      <c r="P4449">
        <v>20230222</v>
      </c>
      <c r="Q4449">
        <v>20221118</v>
      </c>
    </row>
    <row r="4450" spans="1:17" x14ac:dyDescent="0.25">
      <c r="A4450" t="s">
        <v>715</v>
      </c>
      <c r="B4450" t="s">
        <v>432</v>
      </c>
      <c r="C4450">
        <v>155</v>
      </c>
      <c r="D4450">
        <v>20221118</v>
      </c>
      <c r="E4450">
        <f t="shared" si="69"/>
        <v>11</v>
      </c>
      <c r="F4450">
        <v>512200</v>
      </c>
      <c r="G4450" t="s">
        <v>432</v>
      </c>
      <c r="H4450" t="s">
        <v>401</v>
      </c>
      <c r="I4450" t="s">
        <v>402</v>
      </c>
      <c r="J4450" t="s">
        <v>4445</v>
      </c>
      <c r="K4450">
        <v>20221118</v>
      </c>
      <c r="L4450" t="s">
        <v>4446</v>
      </c>
      <c r="M4450">
        <v>0</v>
      </c>
      <c r="N4450">
        <v>348</v>
      </c>
      <c r="O4450" t="s">
        <v>19</v>
      </c>
      <c r="P4450" t="s">
        <v>20</v>
      </c>
      <c r="Q4450">
        <v>20221118</v>
      </c>
    </row>
    <row r="4451" spans="1:17" x14ac:dyDescent="0.25">
      <c r="A4451" t="s">
        <v>715</v>
      </c>
      <c r="B4451" t="s">
        <v>432</v>
      </c>
      <c r="C4451">
        <v>155</v>
      </c>
      <c r="D4451">
        <v>20221121</v>
      </c>
      <c r="E4451">
        <f t="shared" si="69"/>
        <v>11</v>
      </c>
      <c r="F4451">
        <v>401000</v>
      </c>
      <c r="G4451" t="s">
        <v>41</v>
      </c>
      <c r="H4451" t="s">
        <v>52</v>
      </c>
      <c r="I4451" t="s">
        <v>53</v>
      </c>
      <c r="J4451" t="s">
        <v>4447</v>
      </c>
      <c r="K4451">
        <v>20221121</v>
      </c>
      <c r="L4451" t="s">
        <v>4448</v>
      </c>
      <c r="M4451">
        <v>66</v>
      </c>
      <c r="N4451">
        <v>0</v>
      </c>
      <c r="O4451" t="s">
        <v>23</v>
      </c>
      <c r="P4451">
        <v>20230220</v>
      </c>
      <c r="Q4451">
        <v>20221121</v>
      </c>
    </row>
    <row r="4452" spans="1:17" x14ac:dyDescent="0.25">
      <c r="A4452" t="s">
        <v>715</v>
      </c>
      <c r="B4452" t="s">
        <v>432</v>
      </c>
      <c r="C4452">
        <v>155</v>
      </c>
      <c r="D4452">
        <v>20221121</v>
      </c>
      <c r="E4452">
        <f t="shared" si="69"/>
        <v>11</v>
      </c>
      <c r="F4452">
        <v>512200</v>
      </c>
      <c r="G4452" t="s">
        <v>432</v>
      </c>
      <c r="H4452" t="s">
        <v>401</v>
      </c>
      <c r="I4452" t="s">
        <v>402</v>
      </c>
      <c r="J4452" t="s">
        <v>4447</v>
      </c>
      <c r="K4452">
        <v>20221121</v>
      </c>
      <c r="L4452" t="s">
        <v>4448</v>
      </c>
      <c r="M4452">
        <v>0</v>
      </c>
      <c r="N4452">
        <v>66</v>
      </c>
      <c r="O4452" t="s">
        <v>19</v>
      </c>
      <c r="P4452" t="s">
        <v>20</v>
      </c>
      <c r="Q4452">
        <v>20221121</v>
      </c>
    </row>
    <row r="4453" spans="1:17" x14ac:dyDescent="0.25">
      <c r="A4453" t="s">
        <v>715</v>
      </c>
      <c r="B4453" t="s">
        <v>432</v>
      </c>
      <c r="C4453">
        <v>155</v>
      </c>
      <c r="D4453">
        <v>20221121</v>
      </c>
      <c r="E4453">
        <f t="shared" si="69"/>
        <v>11</v>
      </c>
      <c r="F4453">
        <v>602110</v>
      </c>
      <c r="G4453" t="s">
        <v>809</v>
      </c>
      <c r="H4453" t="s">
        <v>401</v>
      </c>
      <c r="I4453" t="s">
        <v>402</v>
      </c>
      <c r="J4453" t="s">
        <v>4449</v>
      </c>
      <c r="K4453">
        <v>20221121</v>
      </c>
      <c r="L4453" t="s">
        <v>4450</v>
      </c>
      <c r="M4453">
        <v>71.819999999999993</v>
      </c>
      <c r="N4453">
        <v>0</v>
      </c>
      <c r="O4453" t="s">
        <v>19</v>
      </c>
      <c r="P4453" t="s">
        <v>20</v>
      </c>
      <c r="Q4453">
        <v>20221121</v>
      </c>
    </row>
    <row r="4454" spans="1:17" x14ac:dyDescent="0.25">
      <c r="A4454" t="s">
        <v>715</v>
      </c>
      <c r="B4454" t="s">
        <v>432</v>
      </c>
      <c r="C4454">
        <v>155</v>
      </c>
      <c r="D4454">
        <v>20221121</v>
      </c>
      <c r="E4454">
        <f t="shared" si="69"/>
        <v>11</v>
      </c>
      <c r="F4454">
        <v>512200</v>
      </c>
      <c r="G4454" t="s">
        <v>432</v>
      </c>
      <c r="H4454" t="s">
        <v>401</v>
      </c>
      <c r="I4454" t="s">
        <v>402</v>
      </c>
      <c r="J4454" t="s">
        <v>4449</v>
      </c>
      <c r="K4454">
        <v>20221121</v>
      </c>
      <c r="L4454" t="s">
        <v>4450</v>
      </c>
      <c r="M4454">
        <v>0</v>
      </c>
      <c r="N4454">
        <v>71.819999999999993</v>
      </c>
      <c r="O4454" t="s">
        <v>19</v>
      </c>
      <c r="P4454" t="s">
        <v>20</v>
      </c>
      <c r="Q4454">
        <v>20221121</v>
      </c>
    </row>
    <row r="4455" spans="1:17" x14ac:dyDescent="0.25">
      <c r="A4455" t="s">
        <v>715</v>
      </c>
      <c r="B4455" t="s">
        <v>432</v>
      </c>
      <c r="C4455">
        <v>155</v>
      </c>
      <c r="D4455">
        <v>20221122</v>
      </c>
      <c r="E4455">
        <f t="shared" si="69"/>
        <v>11</v>
      </c>
      <c r="F4455">
        <v>401000</v>
      </c>
      <c r="G4455" t="s">
        <v>41</v>
      </c>
      <c r="H4455" t="s">
        <v>189</v>
      </c>
      <c r="I4455" t="s">
        <v>190</v>
      </c>
      <c r="J4455" t="s">
        <v>4451</v>
      </c>
      <c r="K4455">
        <v>20221122</v>
      </c>
      <c r="L4455" t="s">
        <v>4452</v>
      </c>
      <c r="M4455">
        <v>403.75</v>
      </c>
      <c r="N4455">
        <v>0</v>
      </c>
      <c r="O4455" t="s">
        <v>19</v>
      </c>
      <c r="P4455" t="s">
        <v>20</v>
      </c>
      <c r="Q4455">
        <v>20221122</v>
      </c>
    </row>
    <row r="4456" spans="1:17" x14ac:dyDescent="0.25">
      <c r="A4456" t="s">
        <v>715</v>
      </c>
      <c r="B4456" t="s">
        <v>432</v>
      </c>
      <c r="C4456">
        <v>155</v>
      </c>
      <c r="D4456">
        <v>20221122</v>
      </c>
      <c r="E4456">
        <f t="shared" si="69"/>
        <v>11</v>
      </c>
      <c r="F4456">
        <v>512200</v>
      </c>
      <c r="G4456" t="s">
        <v>432</v>
      </c>
      <c r="H4456" t="s">
        <v>401</v>
      </c>
      <c r="I4456" t="s">
        <v>402</v>
      </c>
      <c r="J4456" t="s">
        <v>4451</v>
      </c>
      <c r="K4456">
        <v>20221122</v>
      </c>
      <c r="L4456" t="s">
        <v>4452</v>
      </c>
      <c r="M4456">
        <v>0</v>
      </c>
      <c r="N4456">
        <v>403.75</v>
      </c>
      <c r="O4456" t="s">
        <v>19</v>
      </c>
      <c r="P4456" t="s">
        <v>20</v>
      </c>
      <c r="Q4456">
        <v>20221122</v>
      </c>
    </row>
    <row r="4457" spans="1:17" x14ac:dyDescent="0.25">
      <c r="A4457" t="s">
        <v>715</v>
      </c>
      <c r="B4457" t="s">
        <v>432</v>
      </c>
      <c r="C4457">
        <v>155</v>
      </c>
      <c r="D4457">
        <v>20221122</v>
      </c>
      <c r="E4457">
        <f t="shared" si="69"/>
        <v>11</v>
      </c>
      <c r="F4457">
        <v>401000</v>
      </c>
      <c r="G4457" t="s">
        <v>41</v>
      </c>
      <c r="H4457" t="s">
        <v>2763</v>
      </c>
      <c r="I4457" t="s">
        <v>2764</v>
      </c>
      <c r="J4457" t="s">
        <v>4453</v>
      </c>
      <c r="K4457">
        <v>20221122</v>
      </c>
      <c r="L4457" t="s">
        <v>4454</v>
      </c>
      <c r="M4457">
        <v>45</v>
      </c>
      <c r="N4457">
        <v>0</v>
      </c>
      <c r="O4457" t="s">
        <v>23</v>
      </c>
      <c r="P4457">
        <v>20230221</v>
      </c>
      <c r="Q4457">
        <v>20221122</v>
      </c>
    </row>
    <row r="4458" spans="1:17" x14ac:dyDescent="0.25">
      <c r="A4458" t="s">
        <v>715</v>
      </c>
      <c r="B4458" t="s">
        <v>432</v>
      </c>
      <c r="C4458">
        <v>155</v>
      </c>
      <c r="D4458">
        <v>20221122</v>
      </c>
      <c r="E4458">
        <f t="shared" si="69"/>
        <v>11</v>
      </c>
      <c r="F4458">
        <v>512200</v>
      </c>
      <c r="G4458" t="s">
        <v>432</v>
      </c>
      <c r="H4458" t="s">
        <v>401</v>
      </c>
      <c r="I4458" t="s">
        <v>402</v>
      </c>
      <c r="J4458" t="s">
        <v>4453</v>
      </c>
      <c r="K4458">
        <v>20221122</v>
      </c>
      <c r="L4458" t="s">
        <v>4454</v>
      </c>
      <c r="M4458">
        <v>0</v>
      </c>
      <c r="N4458">
        <v>45</v>
      </c>
      <c r="O4458" t="s">
        <v>19</v>
      </c>
      <c r="P4458" t="s">
        <v>20</v>
      </c>
      <c r="Q4458">
        <v>20221122</v>
      </c>
    </row>
    <row r="4459" spans="1:17" x14ac:dyDescent="0.25">
      <c r="A4459" t="s">
        <v>715</v>
      </c>
      <c r="B4459" t="s">
        <v>432</v>
      </c>
      <c r="C4459">
        <v>155</v>
      </c>
      <c r="D4459">
        <v>20221129</v>
      </c>
      <c r="E4459">
        <f t="shared" si="69"/>
        <v>11</v>
      </c>
      <c r="F4459">
        <v>401000</v>
      </c>
      <c r="G4459" t="s">
        <v>41</v>
      </c>
      <c r="H4459" t="s">
        <v>52</v>
      </c>
      <c r="I4459" t="s">
        <v>53</v>
      </c>
      <c r="J4459" t="s">
        <v>4455</v>
      </c>
      <c r="K4459">
        <v>20221129</v>
      </c>
      <c r="L4459" t="s">
        <v>4456</v>
      </c>
      <c r="M4459">
        <v>29</v>
      </c>
      <c r="N4459">
        <v>0</v>
      </c>
      <c r="O4459" t="s">
        <v>23</v>
      </c>
      <c r="P4459">
        <v>20230220</v>
      </c>
      <c r="Q4459">
        <v>20221129</v>
      </c>
    </row>
    <row r="4460" spans="1:17" x14ac:dyDescent="0.25">
      <c r="A4460" t="s">
        <v>715</v>
      </c>
      <c r="B4460" t="s">
        <v>432</v>
      </c>
      <c r="C4460">
        <v>155</v>
      </c>
      <c r="D4460">
        <v>20221129</v>
      </c>
      <c r="E4460">
        <f t="shared" si="69"/>
        <v>11</v>
      </c>
      <c r="F4460">
        <v>512200</v>
      </c>
      <c r="G4460" t="s">
        <v>432</v>
      </c>
      <c r="H4460" t="s">
        <v>401</v>
      </c>
      <c r="I4460" t="s">
        <v>402</v>
      </c>
      <c r="J4460" t="s">
        <v>4455</v>
      </c>
      <c r="K4460">
        <v>20221129</v>
      </c>
      <c r="L4460" t="s">
        <v>4456</v>
      </c>
      <c r="M4460">
        <v>0</v>
      </c>
      <c r="N4460">
        <v>29</v>
      </c>
      <c r="O4460" t="s">
        <v>19</v>
      </c>
      <c r="P4460" t="s">
        <v>20</v>
      </c>
      <c r="Q4460">
        <v>20221129</v>
      </c>
    </row>
    <row r="4461" spans="1:17" x14ac:dyDescent="0.25">
      <c r="A4461" t="s">
        <v>715</v>
      </c>
      <c r="B4461" t="s">
        <v>432</v>
      </c>
      <c r="C4461">
        <v>155</v>
      </c>
      <c r="D4461">
        <v>20221130</v>
      </c>
      <c r="E4461">
        <f t="shared" si="69"/>
        <v>11</v>
      </c>
      <c r="F4461">
        <v>512200</v>
      </c>
      <c r="G4461" t="s">
        <v>432</v>
      </c>
      <c r="H4461" t="s">
        <v>401</v>
      </c>
      <c r="I4461" t="s">
        <v>402</v>
      </c>
      <c r="J4461" t="s">
        <v>4457</v>
      </c>
      <c r="K4461">
        <v>20221130</v>
      </c>
      <c r="L4461" t="s">
        <v>4458</v>
      </c>
      <c r="M4461">
        <v>3382.46</v>
      </c>
      <c r="N4461">
        <v>0</v>
      </c>
      <c r="O4461" t="s">
        <v>19</v>
      </c>
      <c r="P4461" t="s">
        <v>20</v>
      </c>
      <c r="Q4461">
        <v>20221130</v>
      </c>
    </row>
    <row r="4462" spans="1:17" x14ac:dyDescent="0.25">
      <c r="A4462" t="s">
        <v>715</v>
      </c>
      <c r="B4462" t="s">
        <v>432</v>
      </c>
      <c r="C4462">
        <v>155</v>
      </c>
      <c r="D4462">
        <v>20221130</v>
      </c>
      <c r="E4462">
        <f t="shared" si="69"/>
        <v>11</v>
      </c>
      <c r="F4462">
        <v>511000</v>
      </c>
      <c r="G4462" t="s">
        <v>431</v>
      </c>
      <c r="H4462" t="s">
        <v>401</v>
      </c>
      <c r="I4462" t="s">
        <v>402</v>
      </c>
      <c r="J4462" t="s">
        <v>4457</v>
      </c>
      <c r="K4462">
        <v>20221130</v>
      </c>
      <c r="L4462" t="s">
        <v>4458</v>
      </c>
      <c r="M4462">
        <v>0</v>
      </c>
      <c r="N4462">
        <v>3382.46</v>
      </c>
      <c r="O4462" t="s">
        <v>23</v>
      </c>
      <c r="P4462">
        <v>20230228</v>
      </c>
      <c r="Q4462">
        <v>20221130</v>
      </c>
    </row>
    <row r="4463" spans="1:17" x14ac:dyDescent="0.25">
      <c r="A4463" t="s">
        <v>715</v>
      </c>
      <c r="B4463" t="s">
        <v>432</v>
      </c>
      <c r="C4463">
        <v>155</v>
      </c>
      <c r="D4463">
        <v>20221130</v>
      </c>
      <c r="E4463">
        <f t="shared" si="69"/>
        <v>11</v>
      </c>
      <c r="F4463">
        <v>512200</v>
      </c>
      <c r="G4463" t="s">
        <v>432</v>
      </c>
      <c r="H4463" t="s">
        <v>401</v>
      </c>
      <c r="I4463" t="s">
        <v>402</v>
      </c>
      <c r="J4463" t="s">
        <v>4412</v>
      </c>
      <c r="K4463">
        <v>20221130</v>
      </c>
      <c r="L4463" t="s">
        <v>625</v>
      </c>
      <c r="M4463">
        <v>1400</v>
      </c>
      <c r="N4463">
        <v>0</v>
      </c>
      <c r="O4463" t="s">
        <v>19</v>
      </c>
      <c r="P4463" t="s">
        <v>20</v>
      </c>
      <c r="Q4463">
        <v>20221130</v>
      </c>
    </row>
    <row r="4464" spans="1:17" x14ac:dyDescent="0.25">
      <c r="A4464" t="s">
        <v>715</v>
      </c>
      <c r="B4464" t="s">
        <v>432</v>
      </c>
      <c r="C4464">
        <v>155</v>
      </c>
      <c r="D4464">
        <v>20221130</v>
      </c>
      <c r="E4464">
        <f t="shared" si="69"/>
        <v>11</v>
      </c>
      <c r="F4464">
        <v>580000</v>
      </c>
      <c r="G4464" t="s">
        <v>532</v>
      </c>
      <c r="H4464" t="s">
        <v>401</v>
      </c>
      <c r="I4464" t="s">
        <v>402</v>
      </c>
      <c r="J4464" t="s">
        <v>4412</v>
      </c>
      <c r="K4464">
        <v>20221130</v>
      </c>
      <c r="L4464" t="s">
        <v>625</v>
      </c>
      <c r="M4464">
        <v>0</v>
      </c>
      <c r="N4464">
        <v>1400</v>
      </c>
      <c r="O4464" t="s">
        <v>22</v>
      </c>
      <c r="P4464">
        <v>20221130</v>
      </c>
      <c r="Q4464">
        <v>20221130</v>
      </c>
    </row>
    <row r="4465" spans="1:17" x14ac:dyDescent="0.25">
      <c r="A4465" t="s">
        <v>715</v>
      </c>
      <c r="B4465" t="s">
        <v>432</v>
      </c>
      <c r="C4465">
        <v>155</v>
      </c>
      <c r="D4465">
        <v>20221130</v>
      </c>
      <c r="E4465">
        <f t="shared" si="69"/>
        <v>11</v>
      </c>
      <c r="F4465">
        <v>401000</v>
      </c>
      <c r="G4465" t="s">
        <v>41</v>
      </c>
      <c r="H4465" t="s">
        <v>189</v>
      </c>
      <c r="I4465" t="s">
        <v>190</v>
      </c>
      <c r="J4465" t="s">
        <v>4459</v>
      </c>
      <c r="K4465">
        <v>20221130</v>
      </c>
      <c r="L4465" t="s">
        <v>191</v>
      </c>
      <c r="M4465">
        <v>155.76</v>
      </c>
      <c r="N4465">
        <v>0</v>
      </c>
      <c r="O4465" t="s">
        <v>23</v>
      </c>
      <c r="P4465">
        <v>20230222</v>
      </c>
      <c r="Q4465">
        <v>20221130</v>
      </c>
    </row>
    <row r="4466" spans="1:17" x14ac:dyDescent="0.25">
      <c r="A4466" t="s">
        <v>715</v>
      </c>
      <c r="B4466" t="s">
        <v>432</v>
      </c>
      <c r="C4466">
        <v>155</v>
      </c>
      <c r="D4466">
        <v>20221130</v>
      </c>
      <c r="E4466">
        <f t="shared" si="69"/>
        <v>11</v>
      </c>
      <c r="F4466">
        <v>512200</v>
      </c>
      <c r="G4466" t="s">
        <v>432</v>
      </c>
      <c r="H4466" t="s">
        <v>401</v>
      </c>
      <c r="I4466" t="s">
        <v>402</v>
      </c>
      <c r="J4466" t="s">
        <v>4459</v>
      </c>
      <c r="K4466">
        <v>20221130</v>
      </c>
      <c r="L4466" t="s">
        <v>191</v>
      </c>
      <c r="M4466">
        <v>0</v>
      </c>
      <c r="N4466">
        <v>155.76</v>
      </c>
      <c r="O4466" t="s">
        <v>19</v>
      </c>
      <c r="P4466" t="s">
        <v>20</v>
      </c>
      <c r="Q4466">
        <v>20221130</v>
      </c>
    </row>
    <row r="4467" spans="1:17" x14ac:dyDescent="0.25">
      <c r="A4467" t="s">
        <v>476</v>
      </c>
      <c r="B4467" t="s">
        <v>477</v>
      </c>
      <c r="C4467">
        <v>168</v>
      </c>
      <c r="D4467">
        <v>20221201</v>
      </c>
      <c r="E4467">
        <f t="shared" si="69"/>
        <v>12</v>
      </c>
      <c r="F4467">
        <v>401000</v>
      </c>
      <c r="G4467" t="s">
        <v>41</v>
      </c>
      <c r="H4467" t="s">
        <v>458</v>
      </c>
      <c r="I4467" t="s">
        <v>459</v>
      </c>
      <c r="J4467" t="s">
        <v>4485</v>
      </c>
      <c r="K4467">
        <v>20221201</v>
      </c>
      <c r="L4467" t="s">
        <v>1378</v>
      </c>
      <c r="M4467">
        <v>669.6</v>
      </c>
      <c r="N4467">
        <v>0</v>
      </c>
      <c r="O4467" t="s">
        <v>23</v>
      </c>
      <c r="P4467">
        <v>20230218</v>
      </c>
      <c r="Q4467">
        <v>20221201</v>
      </c>
    </row>
    <row r="4468" spans="1:17" x14ac:dyDescent="0.25">
      <c r="A4468" t="s">
        <v>476</v>
      </c>
      <c r="B4468" t="s">
        <v>477</v>
      </c>
      <c r="C4468">
        <v>168</v>
      </c>
      <c r="D4468">
        <v>20221201</v>
      </c>
      <c r="E4468">
        <f t="shared" si="69"/>
        <v>12</v>
      </c>
      <c r="F4468">
        <v>512000</v>
      </c>
      <c r="G4468" t="s">
        <v>428</v>
      </c>
      <c r="H4468" t="s">
        <v>401</v>
      </c>
      <c r="I4468" t="s">
        <v>402</v>
      </c>
      <c r="J4468" t="s">
        <v>4485</v>
      </c>
      <c r="K4468">
        <v>20221201</v>
      </c>
      <c r="L4468" t="s">
        <v>1378</v>
      </c>
      <c r="M4468">
        <v>0</v>
      </c>
      <c r="N4468">
        <v>669.6</v>
      </c>
      <c r="O4468" t="s">
        <v>19</v>
      </c>
      <c r="P4468" t="s">
        <v>20</v>
      </c>
      <c r="Q4468">
        <v>20221201</v>
      </c>
    </row>
    <row r="4469" spans="1:17" x14ac:dyDescent="0.25">
      <c r="A4469" t="s">
        <v>476</v>
      </c>
      <c r="B4469" t="s">
        <v>477</v>
      </c>
      <c r="C4469">
        <v>168</v>
      </c>
      <c r="D4469">
        <v>20221202</v>
      </c>
      <c r="E4469">
        <f t="shared" si="69"/>
        <v>12</v>
      </c>
      <c r="F4469">
        <v>445055</v>
      </c>
      <c r="G4469" t="s">
        <v>3441</v>
      </c>
      <c r="H4469" t="s">
        <v>401</v>
      </c>
      <c r="I4469" t="s">
        <v>402</v>
      </c>
      <c r="J4469" t="s">
        <v>4486</v>
      </c>
      <c r="K4469">
        <v>20221202</v>
      </c>
      <c r="L4469" t="s">
        <v>3695</v>
      </c>
      <c r="M4469">
        <v>0</v>
      </c>
      <c r="N4469">
        <v>782</v>
      </c>
      <c r="O4469" t="s">
        <v>23</v>
      </c>
      <c r="P4469">
        <v>20230217</v>
      </c>
      <c r="Q4469">
        <v>20221202</v>
      </c>
    </row>
    <row r="4470" spans="1:17" x14ac:dyDescent="0.25">
      <c r="A4470" t="s">
        <v>476</v>
      </c>
      <c r="B4470" t="s">
        <v>477</v>
      </c>
      <c r="C4470">
        <v>168</v>
      </c>
      <c r="D4470">
        <v>20221202</v>
      </c>
      <c r="E4470">
        <f t="shared" si="69"/>
        <v>12</v>
      </c>
      <c r="F4470">
        <v>512000</v>
      </c>
      <c r="G4470" t="s">
        <v>428</v>
      </c>
      <c r="H4470" t="s">
        <v>401</v>
      </c>
      <c r="I4470" t="s">
        <v>402</v>
      </c>
      <c r="J4470" t="s">
        <v>4486</v>
      </c>
      <c r="K4470">
        <v>20221202</v>
      </c>
      <c r="L4470" t="s">
        <v>3695</v>
      </c>
      <c r="M4470">
        <v>782</v>
      </c>
      <c r="N4470">
        <v>0</v>
      </c>
      <c r="O4470" t="s">
        <v>19</v>
      </c>
      <c r="P4470" t="s">
        <v>20</v>
      </c>
      <c r="Q4470">
        <v>20221202</v>
      </c>
    </row>
    <row r="4471" spans="1:17" x14ac:dyDescent="0.25">
      <c r="A4471" t="s">
        <v>476</v>
      </c>
      <c r="B4471" t="s">
        <v>477</v>
      </c>
      <c r="C4471">
        <v>168</v>
      </c>
      <c r="D4471">
        <v>20221203</v>
      </c>
      <c r="E4471">
        <f t="shared" si="69"/>
        <v>12</v>
      </c>
      <c r="F4471">
        <v>627000</v>
      </c>
      <c r="G4471" t="s">
        <v>480</v>
      </c>
      <c r="H4471" t="s">
        <v>401</v>
      </c>
      <c r="I4471" t="s">
        <v>402</v>
      </c>
      <c r="J4471" t="s">
        <v>4487</v>
      </c>
      <c r="K4471">
        <v>20221203</v>
      </c>
      <c r="L4471" t="s">
        <v>4488</v>
      </c>
      <c r="M4471">
        <v>49</v>
      </c>
      <c r="N4471">
        <v>0</v>
      </c>
      <c r="O4471" t="s">
        <v>19</v>
      </c>
      <c r="P4471" t="s">
        <v>20</v>
      </c>
      <c r="Q4471">
        <v>20221203</v>
      </c>
    </row>
    <row r="4472" spans="1:17" x14ac:dyDescent="0.25">
      <c r="A4472" t="s">
        <v>476</v>
      </c>
      <c r="B4472" t="s">
        <v>477</v>
      </c>
      <c r="C4472">
        <v>168</v>
      </c>
      <c r="D4472">
        <v>20221203</v>
      </c>
      <c r="E4472">
        <f t="shared" si="69"/>
        <v>12</v>
      </c>
      <c r="F4472">
        <v>512000</v>
      </c>
      <c r="G4472" t="s">
        <v>428</v>
      </c>
      <c r="H4472" t="s">
        <v>401</v>
      </c>
      <c r="I4472" t="s">
        <v>402</v>
      </c>
      <c r="J4472" t="s">
        <v>4487</v>
      </c>
      <c r="K4472">
        <v>20221203</v>
      </c>
      <c r="L4472" t="s">
        <v>4488</v>
      </c>
      <c r="M4472">
        <v>0</v>
      </c>
      <c r="N4472">
        <v>49</v>
      </c>
      <c r="O4472" t="s">
        <v>19</v>
      </c>
      <c r="P4472" t="s">
        <v>20</v>
      </c>
      <c r="Q4472">
        <v>20221203</v>
      </c>
    </row>
    <row r="4473" spans="1:17" x14ac:dyDescent="0.25">
      <c r="A4473" t="s">
        <v>476</v>
      </c>
      <c r="B4473" t="s">
        <v>477</v>
      </c>
      <c r="C4473">
        <v>168</v>
      </c>
      <c r="D4473">
        <v>20221203</v>
      </c>
      <c r="E4473">
        <f t="shared" si="69"/>
        <v>12</v>
      </c>
      <c r="F4473">
        <v>627000</v>
      </c>
      <c r="G4473" t="s">
        <v>480</v>
      </c>
      <c r="H4473" t="s">
        <v>401</v>
      </c>
      <c r="I4473" t="s">
        <v>402</v>
      </c>
      <c r="J4473" t="s">
        <v>4489</v>
      </c>
      <c r="K4473">
        <v>20221203</v>
      </c>
      <c r="L4473" t="s">
        <v>4488</v>
      </c>
      <c r="M4473">
        <v>14.43</v>
      </c>
      <c r="N4473">
        <v>0</v>
      </c>
      <c r="O4473" t="s">
        <v>19</v>
      </c>
      <c r="P4473" t="s">
        <v>20</v>
      </c>
      <c r="Q4473">
        <v>20221203</v>
      </c>
    </row>
    <row r="4474" spans="1:17" x14ac:dyDescent="0.25">
      <c r="A4474" t="s">
        <v>476</v>
      </c>
      <c r="B4474" t="s">
        <v>477</v>
      </c>
      <c r="C4474">
        <v>168</v>
      </c>
      <c r="D4474">
        <v>20221203</v>
      </c>
      <c r="E4474">
        <f t="shared" si="69"/>
        <v>12</v>
      </c>
      <c r="F4474">
        <v>512000</v>
      </c>
      <c r="G4474" t="s">
        <v>428</v>
      </c>
      <c r="H4474" t="s">
        <v>401</v>
      </c>
      <c r="I4474" t="s">
        <v>402</v>
      </c>
      <c r="J4474" t="s">
        <v>4489</v>
      </c>
      <c r="K4474">
        <v>20221203</v>
      </c>
      <c r="L4474" t="s">
        <v>4488</v>
      </c>
      <c r="M4474">
        <v>0</v>
      </c>
      <c r="N4474">
        <v>14.43</v>
      </c>
      <c r="O4474" t="s">
        <v>19</v>
      </c>
      <c r="P4474" t="s">
        <v>20</v>
      </c>
      <c r="Q4474">
        <v>20221203</v>
      </c>
    </row>
    <row r="4475" spans="1:17" x14ac:dyDescent="0.25">
      <c r="A4475" t="s">
        <v>476</v>
      </c>
      <c r="B4475" t="s">
        <v>477</v>
      </c>
      <c r="C4475">
        <v>168</v>
      </c>
      <c r="D4475">
        <v>20221203</v>
      </c>
      <c r="E4475">
        <f t="shared" si="69"/>
        <v>12</v>
      </c>
      <c r="F4475">
        <v>411000</v>
      </c>
      <c r="G4475" t="s">
        <v>21</v>
      </c>
      <c r="H4475" t="s">
        <v>504</v>
      </c>
      <c r="I4475" t="s">
        <v>505</v>
      </c>
      <c r="J4475" t="s">
        <v>4490</v>
      </c>
      <c r="K4475">
        <v>20221203</v>
      </c>
      <c r="L4475" t="s">
        <v>4491</v>
      </c>
      <c r="M4475">
        <v>0</v>
      </c>
      <c r="N4475">
        <v>120</v>
      </c>
      <c r="O4475" t="s">
        <v>22</v>
      </c>
      <c r="P4475">
        <v>20230218</v>
      </c>
      <c r="Q4475">
        <v>20221203</v>
      </c>
    </row>
    <row r="4476" spans="1:17" x14ac:dyDescent="0.25">
      <c r="A4476" t="s">
        <v>476</v>
      </c>
      <c r="B4476" t="s">
        <v>477</v>
      </c>
      <c r="C4476">
        <v>168</v>
      </c>
      <c r="D4476">
        <v>20221203</v>
      </c>
      <c r="E4476">
        <f t="shared" si="69"/>
        <v>12</v>
      </c>
      <c r="F4476">
        <v>512000</v>
      </c>
      <c r="G4476" t="s">
        <v>428</v>
      </c>
      <c r="H4476" t="s">
        <v>401</v>
      </c>
      <c r="I4476" t="s">
        <v>402</v>
      </c>
      <c r="J4476" t="s">
        <v>4490</v>
      </c>
      <c r="K4476">
        <v>20221203</v>
      </c>
      <c r="L4476" t="s">
        <v>4491</v>
      </c>
      <c r="M4476">
        <v>120</v>
      </c>
      <c r="N4476">
        <v>0</v>
      </c>
      <c r="O4476" t="s">
        <v>19</v>
      </c>
      <c r="P4476" t="s">
        <v>20</v>
      </c>
      <c r="Q4476">
        <v>20221203</v>
      </c>
    </row>
    <row r="4477" spans="1:17" x14ac:dyDescent="0.25">
      <c r="A4477" t="s">
        <v>476</v>
      </c>
      <c r="B4477" t="s">
        <v>477</v>
      </c>
      <c r="C4477">
        <v>168</v>
      </c>
      <c r="D4477">
        <v>20221205</v>
      </c>
      <c r="E4477">
        <f t="shared" si="69"/>
        <v>12</v>
      </c>
      <c r="F4477">
        <v>421000</v>
      </c>
      <c r="G4477" t="s">
        <v>403</v>
      </c>
      <c r="H4477" t="s">
        <v>401</v>
      </c>
      <c r="I4477" t="s">
        <v>402</v>
      </c>
      <c r="J4477" t="s">
        <v>4492</v>
      </c>
      <c r="K4477">
        <v>20221205</v>
      </c>
      <c r="L4477" t="s">
        <v>922</v>
      </c>
      <c r="M4477">
        <v>1400.17</v>
      </c>
      <c r="N4477">
        <v>0</v>
      </c>
      <c r="O4477" t="s">
        <v>23</v>
      </c>
      <c r="P4477">
        <v>20230217</v>
      </c>
      <c r="Q4477">
        <v>20221205</v>
      </c>
    </row>
    <row r="4478" spans="1:17" x14ac:dyDescent="0.25">
      <c r="A4478" t="s">
        <v>476</v>
      </c>
      <c r="B4478" t="s">
        <v>477</v>
      </c>
      <c r="C4478">
        <v>168</v>
      </c>
      <c r="D4478">
        <v>20221205</v>
      </c>
      <c r="E4478">
        <f t="shared" si="69"/>
        <v>12</v>
      </c>
      <c r="F4478">
        <v>512000</v>
      </c>
      <c r="G4478" t="s">
        <v>428</v>
      </c>
      <c r="H4478" t="s">
        <v>401</v>
      </c>
      <c r="I4478" t="s">
        <v>402</v>
      </c>
      <c r="J4478" t="s">
        <v>4492</v>
      </c>
      <c r="K4478">
        <v>20221205</v>
      </c>
      <c r="L4478" t="s">
        <v>922</v>
      </c>
      <c r="M4478">
        <v>0</v>
      </c>
      <c r="N4478">
        <v>1400.17</v>
      </c>
      <c r="O4478" t="s">
        <v>19</v>
      </c>
      <c r="P4478" t="s">
        <v>20</v>
      </c>
      <c r="Q4478">
        <v>20221205</v>
      </c>
    </row>
    <row r="4479" spans="1:17" x14ac:dyDescent="0.25">
      <c r="A4479" t="s">
        <v>476</v>
      </c>
      <c r="B4479" t="s">
        <v>477</v>
      </c>
      <c r="C4479">
        <v>168</v>
      </c>
      <c r="D4479">
        <v>20221205</v>
      </c>
      <c r="E4479">
        <f t="shared" si="69"/>
        <v>12</v>
      </c>
      <c r="F4479">
        <v>401000</v>
      </c>
      <c r="G4479" t="s">
        <v>41</v>
      </c>
      <c r="H4479" t="s">
        <v>225</v>
      </c>
      <c r="I4479" t="s">
        <v>226</v>
      </c>
      <c r="J4479" t="s">
        <v>4493</v>
      </c>
      <c r="K4479">
        <v>20221205</v>
      </c>
      <c r="L4479" t="s">
        <v>488</v>
      </c>
      <c r="M4479">
        <v>475.4</v>
      </c>
      <c r="N4479">
        <v>0</v>
      </c>
      <c r="O4479" t="s">
        <v>23</v>
      </c>
      <c r="P4479">
        <v>20230220</v>
      </c>
      <c r="Q4479">
        <v>20221205</v>
      </c>
    </row>
    <row r="4480" spans="1:17" x14ac:dyDescent="0.25">
      <c r="A4480" t="s">
        <v>476</v>
      </c>
      <c r="B4480" t="s">
        <v>477</v>
      </c>
      <c r="C4480">
        <v>168</v>
      </c>
      <c r="D4480">
        <v>20221205</v>
      </c>
      <c r="E4480">
        <f t="shared" si="69"/>
        <v>12</v>
      </c>
      <c r="F4480">
        <v>512000</v>
      </c>
      <c r="G4480" t="s">
        <v>428</v>
      </c>
      <c r="H4480" t="s">
        <v>401</v>
      </c>
      <c r="I4480" t="s">
        <v>402</v>
      </c>
      <c r="J4480" t="s">
        <v>4493</v>
      </c>
      <c r="K4480">
        <v>20221205</v>
      </c>
      <c r="L4480" t="s">
        <v>488</v>
      </c>
      <c r="M4480">
        <v>0</v>
      </c>
      <c r="N4480">
        <v>475.4</v>
      </c>
      <c r="O4480" t="s">
        <v>19</v>
      </c>
      <c r="P4480" t="s">
        <v>20</v>
      </c>
      <c r="Q4480">
        <v>20221205</v>
      </c>
    </row>
    <row r="4481" spans="1:17" x14ac:dyDescent="0.25">
      <c r="A4481" t="s">
        <v>476</v>
      </c>
      <c r="B4481" t="s">
        <v>477</v>
      </c>
      <c r="C4481">
        <v>168</v>
      </c>
      <c r="D4481">
        <v>20221206</v>
      </c>
      <c r="E4481">
        <f t="shared" si="69"/>
        <v>12</v>
      </c>
      <c r="F4481">
        <v>468725</v>
      </c>
      <c r="G4481" t="s">
        <v>424</v>
      </c>
      <c r="H4481" t="s">
        <v>401</v>
      </c>
      <c r="I4481" t="s">
        <v>402</v>
      </c>
      <c r="J4481" t="s">
        <v>4494</v>
      </c>
      <c r="K4481">
        <v>20221206</v>
      </c>
      <c r="L4481" t="s">
        <v>2403</v>
      </c>
      <c r="M4481">
        <v>0</v>
      </c>
      <c r="N4481">
        <v>666.66</v>
      </c>
      <c r="O4481" t="s">
        <v>23</v>
      </c>
      <c r="P4481">
        <v>20230220</v>
      </c>
      <c r="Q4481">
        <v>20221206</v>
      </c>
    </row>
    <row r="4482" spans="1:17" x14ac:dyDescent="0.25">
      <c r="A4482" t="s">
        <v>476</v>
      </c>
      <c r="B4482" t="s">
        <v>477</v>
      </c>
      <c r="C4482">
        <v>168</v>
      </c>
      <c r="D4482">
        <v>20221206</v>
      </c>
      <c r="E4482">
        <f t="shared" si="69"/>
        <v>12</v>
      </c>
      <c r="F4482">
        <v>512000</v>
      </c>
      <c r="G4482" t="s">
        <v>428</v>
      </c>
      <c r="H4482" t="s">
        <v>401</v>
      </c>
      <c r="I4482" t="s">
        <v>402</v>
      </c>
      <c r="J4482" t="s">
        <v>4494</v>
      </c>
      <c r="K4482">
        <v>20221206</v>
      </c>
      <c r="L4482" t="s">
        <v>2403</v>
      </c>
      <c r="M4482">
        <v>666.66</v>
      </c>
      <c r="N4482">
        <v>0</v>
      </c>
      <c r="O4482" t="s">
        <v>19</v>
      </c>
      <c r="P4482" t="s">
        <v>20</v>
      </c>
      <c r="Q4482">
        <v>20221206</v>
      </c>
    </row>
    <row r="4483" spans="1:17" x14ac:dyDescent="0.25">
      <c r="A4483" t="s">
        <v>476</v>
      </c>
      <c r="B4483" t="s">
        <v>477</v>
      </c>
      <c r="C4483">
        <v>168</v>
      </c>
      <c r="D4483">
        <v>20221208</v>
      </c>
      <c r="E4483">
        <f t="shared" ref="E4483:E4546" si="70">VALUE(MID(D4483,5,2))</f>
        <v>12</v>
      </c>
      <c r="F4483">
        <v>401000</v>
      </c>
      <c r="G4483" t="s">
        <v>41</v>
      </c>
      <c r="H4483" t="s">
        <v>4475</v>
      </c>
      <c r="I4483" t="s">
        <v>4476</v>
      </c>
      <c r="J4483" t="s">
        <v>4495</v>
      </c>
      <c r="K4483">
        <v>20221208</v>
      </c>
      <c r="L4483" t="s">
        <v>127</v>
      </c>
      <c r="M4483">
        <v>378</v>
      </c>
      <c r="N4483">
        <v>0</v>
      </c>
      <c r="O4483" t="s">
        <v>23</v>
      </c>
      <c r="P4483">
        <v>20230109</v>
      </c>
      <c r="Q4483">
        <v>20221208</v>
      </c>
    </row>
    <row r="4484" spans="1:17" x14ac:dyDescent="0.25">
      <c r="A4484" t="s">
        <v>476</v>
      </c>
      <c r="B4484" t="s">
        <v>477</v>
      </c>
      <c r="C4484">
        <v>168</v>
      </c>
      <c r="D4484">
        <v>20221208</v>
      </c>
      <c r="E4484">
        <f t="shared" si="70"/>
        <v>12</v>
      </c>
      <c r="F4484">
        <v>467100</v>
      </c>
      <c r="G4484" t="s">
        <v>160</v>
      </c>
      <c r="H4484" t="s">
        <v>164</v>
      </c>
      <c r="I4484" t="s">
        <v>165</v>
      </c>
      <c r="J4484" t="s">
        <v>4495</v>
      </c>
      <c r="K4484">
        <v>20221208</v>
      </c>
      <c r="L4484" t="s">
        <v>127</v>
      </c>
      <c r="M4484">
        <v>500</v>
      </c>
      <c r="N4484">
        <v>0</v>
      </c>
      <c r="O4484" t="s">
        <v>23</v>
      </c>
      <c r="P4484">
        <v>20230123</v>
      </c>
      <c r="Q4484">
        <v>20221208</v>
      </c>
    </row>
    <row r="4485" spans="1:17" x14ac:dyDescent="0.25">
      <c r="A4485" t="s">
        <v>476</v>
      </c>
      <c r="B4485" t="s">
        <v>477</v>
      </c>
      <c r="C4485">
        <v>168</v>
      </c>
      <c r="D4485">
        <v>20221208</v>
      </c>
      <c r="E4485">
        <f t="shared" si="70"/>
        <v>12</v>
      </c>
      <c r="F4485">
        <v>467100</v>
      </c>
      <c r="G4485" t="s">
        <v>160</v>
      </c>
      <c r="H4485" t="s">
        <v>185</v>
      </c>
      <c r="I4485" t="s">
        <v>186</v>
      </c>
      <c r="J4485" t="s">
        <v>4495</v>
      </c>
      <c r="K4485">
        <v>20221208</v>
      </c>
      <c r="L4485" t="s">
        <v>127</v>
      </c>
      <c r="M4485">
        <v>700</v>
      </c>
      <c r="N4485">
        <v>0</v>
      </c>
      <c r="O4485" t="s">
        <v>23</v>
      </c>
      <c r="P4485">
        <v>20230123</v>
      </c>
      <c r="Q4485">
        <v>20221208</v>
      </c>
    </row>
    <row r="4486" spans="1:17" x14ac:dyDescent="0.25">
      <c r="A4486" t="s">
        <v>476</v>
      </c>
      <c r="B4486" t="s">
        <v>477</v>
      </c>
      <c r="C4486">
        <v>168</v>
      </c>
      <c r="D4486">
        <v>20221208</v>
      </c>
      <c r="E4486">
        <f t="shared" si="70"/>
        <v>12</v>
      </c>
      <c r="F4486">
        <v>512000</v>
      </c>
      <c r="G4486" t="s">
        <v>428</v>
      </c>
      <c r="H4486" t="s">
        <v>401</v>
      </c>
      <c r="I4486" t="s">
        <v>402</v>
      </c>
      <c r="J4486" t="s">
        <v>4495</v>
      </c>
      <c r="K4486">
        <v>20221208</v>
      </c>
      <c r="L4486" t="s">
        <v>127</v>
      </c>
      <c r="M4486">
        <v>0</v>
      </c>
      <c r="N4486">
        <v>1578</v>
      </c>
      <c r="O4486" t="s">
        <v>19</v>
      </c>
      <c r="P4486" t="s">
        <v>20</v>
      </c>
      <c r="Q4486">
        <v>20221208</v>
      </c>
    </row>
    <row r="4487" spans="1:17" x14ac:dyDescent="0.25">
      <c r="A4487" t="s">
        <v>476</v>
      </c>
      <c r="B4487" t="s">
        <v>477</v>
      </c>
      <c r="C4487">
        <v>168</v>
      </c>
      <c r="D4487">
        <v>20221208</v>
      </c>
      <c r="E4487">
        <f t="shared" si="70"/>
        <v>12</v>
      </c>
      <c r="F4487">
        <v>468200</v>
      </c>
      <c r="G4487" t="s">
        <v>421</v>
      </c>
      <c r="H4487" t="s">
        <v>401</v>
      </c>
      <c r="I4487" t="s">
        <v>402</v>
      </c>
      <c r="J4487" t="s">
        <v>4496</v>
      </c>
      <c r="K4487">
        <v>20221208</v>
      </c>
      <c r="L4487" t="s">
        <v>422</v>
      </c>
      <c r="M4487">
        <v>0</v>
      </c>
      <c r="N4487">
        <v>182.38</v>
      </c>
      <c r="O4487" t="s">
        <v>23</v>
      </c>
      <c r="P4487">
        <v>20230218</v>
      </c>
      <c r="Q4487">
        <v>20221208</v>
      </c>
    </row>
    <row r="4488" spans="1:17" x14ac:dyDescent="0.25">
      <c r="A4488" t="s">
        <v>476</v>
      </c>
      <c r="B4488" t="s">
        <v>477</v>
      </c>
      <c r="C4488">
        <v>168</v>
      </c>
      <c r="D4488">
        <v>20221208</v>
      </c>
      <c r="E4488">
        <f t="shared" si="70"/>
        <v>12</v>
      </c>
      <c r="F4488">
        <v>512000</v>
      </c>
      <c r="G4488" t="s">
        <v>428</v>
      </c>
      <c r="H4488" t="s">
        <v>401</v>
      </c>
      <c r="I4488" t="s">
        <v>402</v>
      </c>
      <c r="J4488" t="s">
        <v>4496</v>
      </c>
      <c r="K4488">
        <v>20221208</v>
      </c>
      <c r="L4488" t="s">
        <v>422</v>
      </c>
      <c r="M4488">
        <v>182.38</v>
      </c>
      <c r="N4488">
        <v>0</v>
      </c>
      <c r="O4488" t="s">
        <v>19</v>
      </c>
      <c r="P4488" t="s">
        <v>20</v>
      </c>
      <c r="Q4488">
        <v>20221208</v>
      </c>
    </row>
    <row r="4489" spans="1:17" x14ac:dyDescent="0.25">
      <c r="A4489" t="s">
        <v>476</v>
      </c>
      <c r="B4489" t="s">
        <v>477</v>
      </c>
      <c r="C4489">
        <v>168</v>
      </c>
      <c r="D4489">
        <v>20221209</v>
      </c>
      <c r="E4489">
        <f t="shared" si="70"/>
        <v>12</v>
      </c>
      <c r="F4489">
        <v>401000</v>
      </c>
      <c r="G4489" t="s">
        <v>41</v>
      </c>
      <c r="H4489" t="s">
        <v>75</v>
      </c>
      <c r="I4489" t="s">
        <v>76</v>
      </c>
      <c r="J4489" t="s">
        <v>4497</v>
      </c>
      <c r="K4489">
        <v>20221209</v>
      </c>
      <c r="L4489" t="s">
        <v>163</v>
      </c>
      <c r="M4489">
        <v>692.95</v>
      </c>
      <c r="N4489">
        <v>0</v>
      </c>
      <c r="O4489" t="s">
        <v>22</v>
      </c>
      <c r="P4489">
        <v>20221209</v>
      </c>
      <c r="Q4489">
        <v>20221209</v>
      </c>
    </row>
    <row r="4490" spans="1:17" x14ac:dyDescent="0.25">
      <c r="A4490" t="s">
        <v>476</v>
      </c>
      <c r="B4490" t="s">
        <v>477</v>
      </c>
      <c r="C4490">
        <v>168</v>
      </c>
      <c r="D4490">
        <v>20221209</v>
      </c>
      <c r="E4490">
        <f t="shared" si="70"/>
        <v>12</v>
      </c>
      <c r="F4490">
        <v>401000</v>
      </c>
      <c r="G4490" t="s">
        <v>41</v>
      </c>
      <c r="H4490" t="s">
        <v>460</v>
      </c>
      <c r="I4490" t="s">
        <v>461</v>
      </c>
      <c r="J4490" t="s">
        <v>4497</v>
      </c>
      <c r="K4490">
        <v>20221209</v>
      </c>
      <c r="L4490" t="s">
        <v>163</v>
      </c>
      <c r="M4490">
        <v>2700</v>
      </c>
      <c r="N4490">
        <v>0</v>
      </c>
      <c r="O4490" t="s">
        <v>22</v>
      </c>
      <c r="P4490">
        <v>20221209</v>
      </c>
      <c r="Q4490">
        <v>20221209</v>
      </c>
    </row>
    <row r="4491" spans="1:17" x14ac:dyDescent="0.25">
      <c r="A4491" t="s">
        <v>476</v>
      </c>
      <c r="B4491" t="s">
        <v>477</v>
      </c>
      <c r="C4491">
        <v>168</v>
      </c>
      <c r="D4491">
        <v>20221209</v>
      </c>
      <c r="E4491">
        <f t="shared" si="70"/>
        <v>12</v>
      </c>
      <c r="F4491">
        <v>512000</v>
      </c>
      <c r="G4491" t="s">
        <v>428</v>
      </c>
      <c r="H4491" t="s">
        <v>401</v>
      </c>
      <c r="I4491" t="s">
        <v>402</v>
      </c>
      <c r="J4491" t="s">
        <v>4497</v>
      </c>
      <c r="K4491">
        <v>20221209</v>
      </c>
      <c r="L4491" t="s">
        <v>163</v>
      </c>
      <c r="M4491">
        <v>0</v>
      </c>
      <c r="N4491">
        <v>3392.95</v>
      </c>
      <c r="O4491" t="s">
        <v>19</v>
      </c>
      <c r="P4491" t="s">
        <v>20</v>
      </c>
      <c r="Q4491">
        <v>20221209</v>
      </c>
    </row>
    <row r="4492" spans="1:17" x14ac:dyDescent="0.25">
      <c r="A4492" t="s">
        <v>476</v>
      </c>
      <c r="B4492" t="s">
        <v>477</v>
      </c>
      <c r="C4492">
        <v>168</v>
      </c>
      <c r="D4492">
        <v>20221209</v>
      </c>
      <c r="E4492">
        <f t="shared" si="70"/>
        <v>12</v>
      </c>
      <c r="F4492">
        <v>468200</v>
      </c>
      <c r="G4492" t="s">
        <v>421</v>
      </c>
      <c r="H4492" t="s">
        <v>401</v>
      </c>
      <c r="I4492" t="s">
        <v>402</v>
      </c>
      <c r="J4492" t="s">
        <v>4498</v>
      </c>
      <c r="K4492">
        <v>20221209</v>
      </c>
      <c r="L4492" t="s">
        <v>422</v>
      </c>
      <c r="M4492">
        <v>0</v>
      </c>
      <c r="N4492">
        <v>375.22</v>
      </c>
      <c r="O4492" t="s">
        <v>23</v>
      </c>
      <c r="P4492">
        <v>20230218</v>
      </c>
      <c r="Q4492">
        <v>20221209</v>
      </c>
    </row>
    <row r="4493" spans="1:17" x14ac:dyDescent="0.25">
      <c r="A4493" t="s">
        <v>476</v>
      </c>
      <c r="B4493" t="s">
        <v>477</v>
      </c>
      <c r="C4493">
        <v>168</v>
      </c>
      <c r="D4493">
        <v>20221209</v>
      </c>
      <c r="E4493">
        <f t="shared" si="70"/>
        <v>12</v>
      </c>
      <c r="F4493">
        <v>512000</v>
      </c>
      <c r="G4493" t="s">
        <v>428</v>
      </c>
      <c r="H4493" t="s">
        <v>401</v>
      </c>
      <c r="I4493" t="s">
        <v>402</v>
      </c>
      <c r="J4493" t="s">
        <v>4498</v>
      </c>
      <c r="K4493">
        <v>20221209</v>
      </c>
      <c r="L4493" t="s">
        <v>422</v>
      </c>
      <c r="M4493">
        <v>375.22</v>
      </c>
      <c r="N4493">
        <v>0</v>
      </c>
      <c r="O4493" t="s">
        <v>19</v>
      </c>
      <c r="P4493" t="s">
        <v>20</v>
      </c>
      <c r="Q4493">
        <v>20221209</v>
      </c>
    </row>
    <row r="4494" spans="1:17" x14ac:dyDescent="0.25">
      <c r="A4494" t="s">
        <v>476</v>
      </c>
      <c r="B4494" t="s">
        <v>477</v>
      </c>
      <c r="C4494">
        <v>168</v>
      </c>
      <c r="D4494">
        <v>20221212</v>
      </c>
      <c r="E4494">
        <f t="shared" si="70"/>
        <v>12</v>
      </c>
      <c r="F4494">
        <v>401000</v>
      </c>
      <c r="G4494" t="s">
        <v>41</v>
      </c>
      <c r="H4494" t="s">
        <v>42</v>
      </c>
      <c r="I4494" t="s">
        <v>43</v>
      </c>
      <c r="J4494" t="s">
        <v>4499</v>
      </c>
      <c r="K4494">
        <v>20221212</v>
      </c>
      <c r="L4494" t="s">
        <v>163</v>
      </c>
      <c r="M4494">
        <v>512.17999999999995</v>
      </c>
      <c r="N4494">
        <v>0</v>
      </c>
      <c r="O4494" t="s">
        <v>22</v>
      </c>
      <c r="P4494">
        <v>20221212</v>
      </c>
      <c r="Q4494">
        <v>20221212</v>
      </c>
    </row>
    <row r="4495" spans="1:17" x14ac:dyDescent="0.25">
      <c r="A4495" t="s">
        <v>476</v>
      </c>
      <c r="B4495" t="s">
        <v>477</v>
      </c>
      <c r="C4495">
        <v>168</v>
      </c>
      <c r="D4495">
        <v>20221212</v>
      </c>
      <c r="E4495">
        <f t="shared" si="70"/>
        <v>12</v>
      </c>
      <c r="F4495">
        <v>401000</v>
      </c>
      <c r="G4495" t="s">
        <v>41</v>
      </c>
      <c r="H4495" t="s">
        <v>437</v>
      </c>
      <c r="I4495" t="s">
        <v>438</v>
      </c>
      <c r="J4495" t="s">
        <v>4499</v>
      </c>
      <c r="K4495">
        <v>20221212</v>
      </c>
      <c r="L4495" t="s">
        <v>163</v>
      </c>
      <c r="M4495">
        <v>9594.89</v>
      </c>
      <c r="N4495">
        <v>0</v>
      </c>
      <c r="O4495" t="s">
        <v>22</v>
      </c>
      <c r="P4495">
        <v>20221212</v>
      </c>
      <c r="Q4495">
        <v>20221212</v>
      </c>
    </row>
    <row r="4496" spans="1:17" x14ac:dyDescent="0.25">
      <c r="A4496" t="s">
        <v>476</v>
      </c>
      <c r="B4496" t="s">
        <v>477</v>
      </c>
      <c r="C4496">
        <v>168</v>
      </c>
      <c r="D4496">
        <v>20221212</v>
      </c>
      <c r="E4496">
        <f t="shared" si="70"/>
        <v>12</v>
      </c>
      <c r="F4496">
        <v>467100</v>
      </c>
      <c r="G4496" t="s">
        <v>160</v>
      </c>
      <c r="H4496" t="s">
        <v>164</v>
      </c>
      <c r="I4496" t="s">
        <v>165</v>
      </c>
      <c r="J4496" t="s">
        <v>4499</v>
      </c>
      <c r="K4496">
        <v>20221212</v>
      </c>
      <c r="L4496" t="s">
        <v>163</v>
      </c>
      <c r="M4496">
        <v>55.62</v>
      </c>
      <c r="N4496">
        <v>0</v>
      </c>
      <c r="O4496" t="s">
        <v>22</v>
      </c>
      <c r="P4496">
        <v>20221212</v>
      </c>
      <c r="Q4496">
        <v>20221212</v>
      </c>
    </row>
    <row r="4497" spans="1:17" x14ac:dyDescent="0.25">
      <c r="A4497" t="s">
        <v>476</v>
      </c>
      <c r="B4497" t="s">
        <v>477</v>
      </c>
      <c r="C4497">
        <v>168</v>
      </c>
      <c r="D4497">
        <v>20221212</v>
      </c>
      <c r="E4497">
        <f t="shared" si="70"/>
        <v>12</v>
      </c>
      <c r="F4497">
        <v>401000</v>
      </c>
      <c r="G4497" t="s">
        <v>41</v>
      </c>
      <c r="H4497" t="s">
        <v>474</v>
      </c>
      <c r="I4497" t="s">
        <v>475</v>
      </c>
      <c r="J4497" t="s">
        <v>4499</v>
      </c>
      <c r="K4497">
        <v>20221212</v>
      </c>
      <c r="L4497" t="s">
        <v>163</v>
      </c>
      <c r="M4497">
        <v>270</v>
      </c>
      <c r="N4497">
        <v>0</v>
      </c>
      <c r="O4497" t="s">
        <v>22</v>
      </c>
      <c r="P4497">
        <v>20221212</v>
      </c>
      <c r="Q4497">
        <v>20221212</v>
      </c>
    </row>
    <row r="4498" spans="1:17" x14ac:dyDescent="0.25">
      <c r="A4498" t="s">
        <v>476</v>
      </c>
      <c r="B4498" t="s">
        <v>477</v>
      </c>
      <c r="C4498">
        <v>168</v>
      </c>
      <c r="D4498">
        <v>20221212</v>
      </c>
      <c r="E4498">
        <f t="shared" si="70"/>
        <v>12</v>
      </c>
      <c r="F4498">
        <v>401000</v>
      </c>
      <c r="G4498" t="s">
        <v>41</v>
      </c>
      <c r="H4498" t="s">
        <v>456</v>
      </c>
      <c r="I4498" t="s">
        <v>457</v>
      </c>
      <c r="J4498" t="s">
        <v>4499</v>
      </c>
      <c r="K4498">
        <v>20221212</v>
      </c>
      <c r="L4498" t="s">
        <v>163</v>
      </c>
      <c r="M4498">
        <v>315</v>
      </c>
      <c r="N4498">
        <v>0</v>
      </c>
      <c r="O4498" t="s">
        <v>22</v>
      </c>
      <c r="P4498">
        <v>20221212</v>
      </c>
      <c r="Q4498">
        <v>20221212</v>
      </c>
    </row>
    <row r="4499" spans="1:17" x14ac:dyDescent="0.25">
      <c r="A4499" t="s">
        <v>476</v>
      </c>
      <c r="B4499" t="s">
        <v>477</v>
      </c>
      <c r="C4499">
        <v>168</v>
      </c>
      <c r="D4499">
        <v>20221212</v>
      </c>
      <c r="E4499">
        <f t="shared" si="70"/>
        <v>12</v>
      </c>
      <c r="F4499">
        <v>401000</v>
      </c>
      <c r="G4499" t="s">
        <v>41</v>
      </c>
      <c r="H4499" t="s">
        <v>472</v>
      </c>
      <c r="I4499" t="s">
        <v>473</v>
      </c>
      <c r="J4499" t="s">
        <v>4499</v>
      </c>
      <c r="K4499">
        <v>20221212</v>
      </c>
      <c r="L4499" t="s">
        <v>163</v>
      </c>
      <c r="M4499">
        <v>280</v>
      </c>
      <c r="N4499">
        <v>0</v>
      </c>
      <c r="O4499" t="s">
        <v>22</v>
      </c>
      <c r="P4499">
        <v>20221212</v>
      </c>
      <c r="Q4499">
        <v>20221212</v>
      </c>
    </row>
    <row r="4500" spans="1:17" x14ac:dyDescent="0.25">
      <c r="A4500" t="s">
        <v>476</v>
      </c>
      <c r="B4500" t="s">
        <v>477</v>
      </c>
      <c r="C4500">
        <v>168</v>
      </c>
      <c r="D4500">
        <v>20221212</v>
      </c>
      <c r="E4500">
        <f t="shared" si="70"/>
        <v>12</v>
      </c>
      <c r="F4500">
        <v>401000</v>
      </c>
      <c r="G4500" t="s">
        <v>41</v>
      </c>
      <c r="H4500" t="s">
        <v>439</v>
      </c>
      <c r="I4500" t="s">
        <v>145</v>
      </c>
      <c r="J4500" t="s">
        <v>4499</v>
      </c>
      <c r="K4500">
        <v>20221212</v>
      </c>
      <c r="L4500" t="s">
        <v>163</v>
      </c>
      <c r="M4500">
        <v>240</v>
      </c>
      <c r="N4500">
        <v>0</v>
      </c>
      <c r="O4500" t="s">
        <v>22</v>
      </c>
      <c r="P4500">
        <v>20221212</v>
      </c>
      <c r="Q4500">
        <v>20221212</v>
      </c>
    </row>
    <row r="4501" spans="1:17" x14ac:dyDescent="0.25">
      <c r="A4501" t="s">
        <v>476</v>
      </c>
      <c r="B4501" t="s">
        <v>477</v>
      </c>
      <c r="C4501">
        <v>168</v>
      </c>
      <c r="D4501">
        <v>20221212</v>
      </c>
      <c r="E4501">
        <f t="shared" si="70"/>
        <v>12</v>
      </c>
      <c r="F4501">
        <v>401000</v>
      </c>
      <c r="G4501" t="s">
        <v>41</v>
      </c>
      <c r="H4501" t="s">
        <v>827</v>
      </c>
      <c r="I4501" t="s">
        <v>828</v>
      </c>
      <c r="J4501" t="s">
        <v>4499</v>
      </c>
      <c r="K4501">
        <v>20221212</v>
      </c>
      <c r="L4501" t="s">
        <v>163</v>
      </c>
      <c r="M4501">
        <v>425</v>
      </c>
      <c r="N4501">
        <v>0</v>
      </c>
      <c r="O4501" t="s">
        <v>22</v>
      </c>
      <c r="P4501">
        <v>20221212</v>
      </c>
      <c r="Q4501">
        <v>20221212</v>
      </c>
    </row>
    <row r="4502" spans="1:17" x14ac:dyDescent="0.25">
      <c r="A4502" t="s">
        <v>476</v>
      </c>
      <c r="B4502" t="s">
        <v>477</v>
      </c>
      <c r="C4502">
        <v>168</v>
      </c>
      <c r="D4502">
        <v>20221212</v>
      </c>
      <c r="E4502">
        <f t="shared" si="70"/>
        <v>12</v>
      </c>
      <c r="F4502">
        <v>401000</v>
      </c>
      <c r="G4502" t="s">
        <v>41</v>
      </c>
      <c r="H4502" t="s">
        <v>1659</v>
      </c>
      <c r="I4502" t="s">
        <v>1660</v>
      </c>
      <c r="J4502" t="s">
        <v>4499</v>
      </c>
      <c r="K4502">
        <v>20221212</v>
      </c>
      <c r="L4502" t="s">
        <v>163</v>
      </c>
      <c r="M4502">
        <v>200</v>
      </c>
      <c r="N4502">
        <v>0</v>
      </c>
      <c r="O4502" t="s">
        <v>22</v>
      </c>
      <c r="P4502">
        <v>20221212</v>
      </c>
      <c r="Q4502">
        <v>20221212</v>
      </c>
    </row>
    <row r="4503" spans="1:17" x14ac:dyDescent="0.25">
      <c r="A4503" t="s">
        <v>476</v>
      </c>
      <c r="B4503" t="s">
        <v>477</v>
      </c>
      <c r="C4503">
        <v>168</v>
      </c>
      <c r="D4503">
        <v>20221212</v>
      </c>
      <c r="E4503">
        <f t="shared" si="70"/>
        <v>12</v>
      </c>
      <c r="F4503">
        <v>512000</v>
      </c>
      <c r="G4503" t="s">
        <v>428</v>
      </c>
      <c r="H4503" t="s">
        <v>401</v>
      </c>
      <c r="I4503" t="s">
        <v>402</v>
      </c>
      <c r="J4503" t="s">
        <v>4499</v>
      </c>
      <c r="K4503">
        <v>20221212</v>
      </c>
      <c r="L4503" t="s">
        <v>163</v>
      </c>
      <c r="M4503">
        <v>0</v>
      </c>
      <c r="N4503">
        <v>11892.69</v>
      </c>
      <c r="O4503" t="s">
        <v>19</v>
      </c>
      <c r="P4503" t="s">
        <v>20</v>
      </c>
      <c r="Q4503">
        <v>20221212</v>
      </c>
    </row>
    <row r="4504" spans="1:17" x14ac:dyDescent="0.25">
      <c r="A4504" t="s">
        <v>476</v>
      </c>
      <c r="B4504" t="s">
        <v>477</v>
      </c>
      <c r="C4504">
        <v>168</v>
      </c>
      <c r="D4504">
        <v>20221212</v>
      </c>
      <c r="E4504">
        <f t="shared" si="70"/>
        <v>12</v>
      </c>
      <c r="F4504">
        <v>467100</v>
      </c>
      <c r="G4504" t="s">
        <v>160</v>
      </c>
      <c r="H4504" t="s">
        <v>3425</v>
      </c>
      <c r="I4504" t="s">
        <v>3426</v>
      </c>
      <c r="J4504" t="s">
        <v>4500</v>
      </c>
      <c r="K4504">
        <v>20221212</v>
      </c>
      <c r="L4504" t="s">
        <v>127</v>
      </c>
      <c r="M4504">
        <v>1500</v>
      </c>
      <c r="N4504">
        <v>0</v>
      </c>
      <c r="O4504" t="s">
        <v>23</v>
      </c>
      <c r="P4504">
        <v>20230206</v>
      </c>
      <c r="Q4504">
        <v>20221212</v>
      </c>
    </row>
    <row r="4505" spans="1:17" x14ac:dyDescent="0.25">
      <c r="A4505" t="s">
        <v>476</v>
      </c>
      <c r="B4505" t="s">
        <v>477</v>
      </c>
      <c r="C4505">
        <v>168</v>
      </c>
      <c r="D4505">
        <v>20221212</v>
      </c>
      <c r="E4505">
        <f t="shared" si="70"/>
        <v>12</v>
      </c>
      <c r="F4505">
        <v>512000</v>
      </c>
      <c r="G4505" t="s">
        <v>428</v>
      </c>
      <c r="H4505" t="s">
        <v>401</v>
      </c>
      <c r="I4505" t="s">
        <v>402</v>
      </c>
      <c r="J4505" t="s">
        <v>4500</v>
      </c>
      <c r="K4505">
        <v>20221212</v>
      </c>
      <c r="L4505" t="s">
        <v>127</v>
      </c>
      <c r="M4505">
        <v>0</v>
      </c>
      <c r="N4505">
        <v>1500</v>
      </c>
      <c r="O4505" t="s">
        <v>19</v>
      </c>
      <c r="P4505" t="s">
        <v>20</v>
      </c>
      <c r="Q4505">
        <v>20221212</v>
      </c>
    </row>
    <row r="4506" spans="1:17" x14ac:dyDescent="0.25">
      <c r="A4506" t="s">
        <v>476</v>
      </c>
      <c r="B4506" t="s">
        <v>477</v>
      </c>
      <c r="C4506">
        <v>168</v>
      </c>
      <c r="D4506">
        <v>20221212</v>
      </c>
      <c r="E4506">
        <f t="shared" si="70"/>
        <v>12</v>
      </c>
      <c r="F4506">
        <v>437000</v>
      </c>
      <c r="G4506" t="s">
        <v>430</v>
      </c>
      <c r="H4506" t="s">
        <v>401</v>
      </c>
      <c r="I4506" t="s">
        <v>402</v>
      </c>
      <c r="J4506" t="s">
        <v>4501</v>
      </c>
      <c r="K4506">
        <v>20221212</v>
      </c>
      <c r="L4506" t="s">
        <v>4502</v>
      </c>
      <c r="M4506">
        <v>1643.38</v>
      </c>
      <c r="N4506">
        <v>0</v>
      </c>
      <c r="O4506" t="s">
        <v>19</v>
      </c>
      <c r="P4506" t="s">
        <v>20</v>
      </c>
      <c r="Q4506">
        <v>20221212</v>
      </c>
    </row>
    <row r="4507" spans="1:17" x14ac:dyDescent="0.25">
      <c r="A4507" t="s">
        <v>476</v>
      </c>
      <c r="B4507" t="s">
        <v>477</v>
      </c>
      <c r="C4507">
        <v>168</v>
      </c>
      <c r="D4507">
        <v>20221212</v>
      </c>
      <c r="E4507">
        <f t="shared" si="70"/>
        <v>12</v>
      </c>
      <c r="F4507">
        <v>512000</v>
      </c>
      <c r="G4507" t="s">
        <v>428</v>
      </c>
      <c r="H4507" t="s">
        <v>401</v>
      </c>
      <c r="I4507" t="s">
        <v>402</v>
      </c>
      <c r="J4507" t="s">
        <v>4501</v>
      </c>
      <c r="K4507">
        <v>20221212</v>
      </c>
      <c r="L4507" t="s">
        <v>4502</v>
      </c>
      <c r="M4507">
        <v>0</v>
      </c>
      <c r="N4507">
        <v>1643.38</v>
      </c>
      <c r="O4507" t="s">
        <v>19</v>
      </c>
      <c r="P4507" t="s">
        <v>20</v>
      </c>
      <c r="Q4507">
        <v>20221212</v>
      </c>
    </row>
    <row r="4508" spans="1:17" x14ac:dyDescent="0.25">
      <c r="A4508" t="s">
        <v>476</v>
      </c>
      <c r="B4508" t="s">
        <v>477</v>
      </c>
      <c r="C4508">
        <v>168</v>
      </c>
      <c r="D4508">
        <v>20221212</v>
      </c>
      <c r="E4508">
        <f t="shared" si="70"/>
        <v>12</v>
      </c>
      <c r="F4508">
        <v>468200</v>
      </c>
      <c r="G4508" t="s">
        <v>421</v>
      </c>
      <c r="H4508" t="s">
        <v>401</v>
      </c>
      <c r="I4508" t="s">
        <v>402</v>
      </c>
      <c r="J4508" t="s">
        <v>4503</v>
      </c>
      <c r="K4508">
        <v>20221212</v>
      </c>
      <c r="L4508" t="s">
        <v>422</v>
      </c>
      <c r="M4508">
        <v>0</v>
      </c>
      <c r="N4508">
        <v>42.08</v>
      </c>
      <c r="O4508" t="s">
        <v>23</v>
      </c>
      <c r="P4508">
        <v>20230218</v>
      </c>
      <c r="Q4508">
        <v>20221212</v>
      </c>
    </row>
    <row r="4509" spans="1:17" x14ac:dyDescent="0.25">
      <c r="A4509" t="s">
        <v>476</v>
      </c>
      <c r="B4509" t="s">
        <v>477</v>
      </c>
      <c r="C4509">
        <v>168</v>
      </c>
      <c r="D4509">
        <v>20221212</v>
      </c>
      <c r="E4509">
        <f t="shared" si="70"/>
        <v>12</v>
      </c>
      <c r="F4509">
        <v>512000</v>
      </c>
      <c r="G4509" t="s">
        <v>428</v>
      </c>
      <c r="H4509" t="s">
        <v>401</v>
      </c>
      <c r="I4509" t="s">
        <v>402</v>
      </c>
      <c r="J4509" t="s">
        <v>4503</v>
      </c>
      <c r="K4509">
        <v>20221212</v>
      </c>
      <c r="L4509" t="s">
        <v>422</v>
      </c>
      <c r="M4509">
        <v>42.08</v>
      </c>
      <c r="N4509">
        <v>0</v>
      </c>
      <c r="O4509" t="s">
        <v>19</v>
      </c>
      <c r="P4509" t="s">
        <v>20</v>
      </c>
      <c r="Q4509">
        <v>20221212</v>
      </c>
    </row>
    <row r="4510" spans="1:17" x14ac:dyDescent="0.25">
      <c r="A4510" t="s">
        <v>476</v>
      </c>
      <c r="B4510" t="s">
        <v>477</v>
      </c>
      <c r="C4510">
        <v>168</v>
      </c>
      <c r="D4510">
        <v>20221214</v>
      </c>
      <c r="E4510">
        <f t="shared" si="70"/>
        <v>12</v>
      </c>
      <c r="F4510">
        <v>467100</v>
      </c>
      <c r="G4510" t="s">
        <v>160</v>
      </c>
      <c r="H4510" t="s">
        <v>1726</v>
      </c>
      <c r="I4510" t="s">
        <v>1727</v>
      </c>
      <c r="J4510" t="s">
        <v>4504</v>
      </c>
      <c r="K4510">
        <v>20221214</v>
      </c>
      <c r="L4510" t="s">
        <v>127</v>
      </c>
      <c r="M4510">
        <v>300</v>
      </c>
      <c r="N4510">
        <v>0</v>
      </c>
      <c r="O4510" t="s">
        <v>23</v>
      </c>
      <c r="P4510">
        <v>20230218</v>
      </c>
      <c r="Q4510">
        <v>20221214</v>
      </c>
    </row>
    <row r="4511" spans="1:17" x14ac:dyDescent="0.25">
      <c r="A4511" t="s">
        <v>476</v>
      </c>
      <c r="B4511" t="s">
        <v>477</v>
      </c>
      <c r="C4511">
        <v>168</v>
      </c>
      <c r="D4511">
        <v>20221214</v>
      </c>
      <c r="E4511">
        <f t="shared" si="70"/>
        <v>12</v>
      </c>
      <c r="F4511">
        <v>401000</v>
      </c>
      <c r="G4511" t="s">
        <v>41</v>
      </c>
      <c r="H4511" t="s">
        <v>535</v>
      </c>
      <c r="I4511" t="s">
        <v>536</v>
      </c>
      <c r="J4511" t="s">
        <v>4504</v>
      </c>
      <c r="K4511">
        <v>20221214</v>
      </c>
      <c r="L4511" t="s">
        <v>127</v>
      </c>
      <c r="M4511">
        <v>70</v>
      </c>
      <c r="N4511">
        <v>0</v>
      </c>
      <c r="O4511" t="s">
        <v>23</v>
      </c>
      <c r="P4511">
        <v>20230221</v>
      </c>
      <c r="Q4511">
        <v>20221214</v>
      </c>
    </row>
    <row r="4512" spans="1:17" x14ac:dyDescent="0.25">
      <c r="A4512" t="s">
        <v>476</v>
      </c>
      <c r="B4512" t="s">
        <v>477</v>
      </c>
      <c r="C4512">
        <v>168</v>
      </c>
      <c r="D4512">
        <v>20221214</v>
      </c>
      <c r="E4512">
        <f t="shared" si="70"/>
        <v>12</v>
      </c>
      <c r="F4512">
        <v>401000</v>
      </c>
      <c r="G4512" t="s">
        <v>41</v>
      </c>
      <c r="H4512" t="s">
        <v>830</v>
      </c>
      <c r="I4512" t="s">
        <v>831</v>
      </c>
      <c r="J4512" t="s">
        <v>4504</v>
      </c>
      <c r="K4512">
        <v>20221214</v>
      </c>
      <c r="L4512" t="s">
        <v>127</v>
      </c>
      <c r="M4512">
        <v>180</v>
      </c>
      <c r="N4512">
        <v>0</v>
      </c>
      <c r="O4512" t="s">
        <v>23</v>
      </c>
      <c r="P4512">
        <v>20221215</v>
      </c>
      <c r="Q4512">
        <v>20221214</v>
      </c>
    </row>
    <row r="4513" spans="1:17" x14ac:dyDescent="0.25">
      <c r="A4513" t="s">
        <v>476</v>
      </c>
      <c r="B4513" t="s">
        <v>477</v>
      </c>
      <c r="C4513">
        <v>168</v>
      </c>
      <c r="D4513">
        <v>20221214</v>
      </c>
      <c r="E4513">
        <f t="shared" si="70"/>
        <v>12</v>
      </c>
      <c r="F4513">
        <v>512000</v>
      </c>
      <c r="G4513" t="s">
        <v>428</v>
      </c>
      <c r="H4513" t="s">
        <v>401</v>
      </c>
      <c r="I4513" t="s">
        <v>402</v>
      </c>
      <c r="J4513" t="s">
        <v>4504</v>
      </c>
      <c r="K4513">
        <v>20221214</v>
      </c>
      <c r="L4513" t="s">
        <v>127</v>
      </c>
      <c r="M4513">
        <v>0</v>
      </c>
      <c r="N4513">
        <v>550</v>
      </c>
      <c r="O4513" t="s">
        <v>19</v>
      </c>
      <c r="P4513" t="s">
        <v>20</v>
      </c>
      <c r="Q4513">
        <v>20221214</v>
      </c>
    </row>
    <row r="4514" spans="1:17" x14ac:dyDescent="0.25">
      <c r="A4514" t="s">
        <v>476</v>
      </c>
      <c r="B4514" t="s">
        <v>477</v>
      </c>
      <c r="C4514">
        <v>168</v>
      </c>
      <c r="D4514">
        <v>20221214</v>
      </c>
      <c r="E4514">
        <f t="shared" si="70"/>
        <v>12</v>
      </c>
      <c r="F4514">
        <v>645100</v>
      </c>
      <c r="G4514" t="s">
        <v>813</v>
      </c>
      <c r="H4514" t="s">
        <v>401</v>
      </c>
      <c r="I4514" t="s">
        <v>402</v>
      </c>
      <c r="J4514" t="s">
        <v>4505</v>
      </c>
      <c r="K4514">
        <v>20221214</v>
      </c>
      <c r="L4514" t="s">
        <v>4506</v>
      </c>
      <c r="M4514">
        <v>155</v>
      </c>
      <c r="N4514">
        <v>0</v>
      </c>
      <c r="O4514" t="s">
        <v>19</v>
      </c>
      <c r="P4514" t="s">
        <v>20</v>
      </c>
      <c r="Q4514">
        <v>20221214</v>
      </c>
    </row>
    <row r="4515" spans="1:17" x14ac:dyDescent="0.25">
      <c r="A4515" t="s">
        <v>476</v>
      </c>
      <c r="B4515" t="s">
        <v>477</v>
      </c>
      <c r="C4515">
        <v>168</v>
      </c>
      <c r="D4515">
        <v>20221214</v>
      </c>
      <c r="E4515">
        <f t="shared" si="70"/>
        <v>12</v>
      </c>
      <c r="F4515">
        <v>512000</v>
      </c>
      <c r="G4515" t="s">
        <v>428</v>
      </c>
      <c r="H4515" t="s">
        <v>401</v>
      </c>
      <c r="I4515" t="s">
        <v>402</v>
      </c>
      <c r="J4515" t="s">
        <v>4505</v>
      </c>
      <c r="K4515">
        <v>20221214</v>
      </c>
      <c r="L4515" t="s">
        <v>409</v>
      </c>
      <c r="M4515">
        <v>0</v>
      </c>
      <c r="N4515">
        <v>155</v>
      </c>
      <c r="O4515" t="s">
        <v>19</v>
      </c>
      <c r="P4515" t="s">
        <v>20</v>
      </c>
      <c r="Q4515">
        <v>20221214</v>
      </c>
    </row>
    <row r="4516" spans="1:17" x14ac:dyDescent="0.25">
      <c r="A4516" t="s">
        <v>476</v>
      </c>
      <c r="B4516" t="s">
        <v>477</v>
      </c>
      <c r="C4516">
        <v>168</v>
      </c>
      <c r="D4516">
        <v>20221214</v>
      </c>
      <c r="E4516">
        <f t="shared" si="70"/>
        <v>12</v>
      </c>
      <c r="F4516">
        <v>468740</v>
      </c>
      <c r="G4516" t="s">
        <v>426</v>
      </c>
      <c r="H4516" t="s">
        <v>401</v>
      </c>
      <c r="I4516" t="s">
        <v>402</v>
      </c>
      <c r="J4516" t="s">
        <v>4507</v>
      </c>
      <c r="K4516">
        <v>20221214</v>
      </c>
      <c r="L4516" t="s">
        <v>4508</v>
      </c>
      <c r="M4516">
        <v>0</v>
      </c>
      <c r="N4516">
        <v>344</v>
      </c>
      <c r="O4516" t="s">
        <v>23</v>
      </c>
      <c r="P4516">
        <v>20230220</v>
      </c>
      <c r="Q4516">
        <v>20221214</v>
      </c>
    </row>
    <row r="4517" spans="1:17" x14ac:dyDescent="0.25">
      <c r="A4517" t="s">
        <v>476</v>
      </c>
      <c r="B4517" t="s">
        <v>477</v>
      </c>
      <c r="C4517">
        <v>168</v>
      </c>
      <c r="D4517">
        <v>20221214</v>
      </c>
      <c r="E4517">
        <f t="shared" si="70"/>
        <v>12</v>
      </c>
      <c r="F4517">
        <v>512000</v>
      </c>
      <c r="G4517" t="s">
        <v>428</v>
      </c>
      <c r="H4517" t="s">
        <v>401</v>
      </c>
      <c r="I4517" t="s">
        <v>402</v>
      </c>
      <c r="J4517" t="s">
        <v>4507</v>
      </c>
      <c r="K4517">
        <v>20221214</v>
      </c>
      <c r="L4517" t="s">
        <v>4508</v>
      </c>
      <c r="M4517">
        <v>344</v>
      </c>
      <c r="N4517">
        <v>0</v>
      </c>
      <c r="O4517" t="s">
        <v>19</v>
      </c>
      <c r="P4517" t="s">
        <v>20</v>
      </c>
      <c r="Q4517">
        <v>20221214</v>
      </c>
    </row>
    <row r="4518" spans="1:17" x14ac:dyDescent="0.25">
      <c r="A4518" t="s">
        <v>476</v>
      </c>
      <c r="B4518" t="s">
        <v>477</v>
      </c>
      <c r="C4518">
        <v>168</v>
      </c>
      <c r="D4518">
        <v>20221215</v>
      </c>
      <c r="E4518">
        <f t="shared" si="70"/>
        <v>12</v>
      </c>
      <c r="F4518">
        <v>447000</v>
      </c>
      <c r="G4518" t="s">
        <v>419</v>
      </c>
      <c r="H4518" t="s">
        <v>401</v>
      </c>
      <c r="I4518" t="s">
        <v>402</v>
      </c>
      <c r="J4518" t="s">
        <v>4509</v>
      </c>
      <c r="K4518">
        <v>20221215</v>
      </c>
      <c r="L4518" t="s">
        <v>898</v>
      </c>
      <c r="M4518">
        <v>5549</v>
      </c>
      <c r="N4518">
        <v>0</v>
      </c>
      <c r="O4518" t="s">
        <v>23</v>
      </c>
      <c r="P4518">
        <v>20230218</v>
      </c>
      <c r="Q4518">
        <v>20221215</v>
      </c>
    </row>
    <row r="4519" spans="1:17" x14ac:dyDescent="0.25">
      <c r="A4519" t="s">
        <v>476</v>
      </c>
      <c r="B4519" t="s">
        <v>477</v>
      </c>
      <c r="C4519">
        <v>168</v>
      </c>
      <c r="D4519">
        <v>20221215</v>
      </c>
      <c r="E4519">
        <f t="shared" si="70"/>
        <v>12</v>
      </c>
      <c r="F4519">
        <v>512000</v>
      </c>
      <c r="G4519" t="s">
        <v>428</v>
      </c>
      <c r="H4519" t="s">
        <v>401</v>
      </c>
      <c r="I4519" t="s">
        <v>402</v>
      </c>
      <c r="J4519" t="s">
        <v>4509</v>
      </c>
      <c r="K4519">
        <v>20221215</v>
      </c>
      <c r="L4519" t="s">
        <v>898</v>
      </c>
      <c r="M4519">
        <v>0</v>
      </c>
      <c r="N4519">
        <v>5549</v>
      </c>
      <c r="O4519" t="s">
        <v>19</v>
      </c>
      <c r="P4519" t="s">
        <v>20</v>
      </c>
      <c r="Q4519">
        <v>20221215</v>
      </c>
    </row>
    <row r="4520" spans="1:17" x14ac:dyDescent="0.25">
      <c r="A4520" t="s">
        <v>476</v>
      </c>
      <c r="B4520" t="s">
        <v>477</v>
      </c>
      <c r="C4520">
        <v>168</v>
      </c>
      <c r="D4520">
        <v>20221218</v>
      </c>
      <c r="E4520">
        <f t="shared" si="70"/>
        <v>12</v>
      </c>
      <c r="F4520">
        <v>431000</v>
      </c>
      <c r="G4520" t="s">
        <v>408</v>
      </c>
      <c r="H4520" t="s">
        <v>401</v>
      </c>
      <c r="I4520" t="s">
        <v>402</v>
      </c>
      <c r="J4520" t="s">
        <v>4510</v>
      </c>
      <c r="K4520">
        <v>20221218</v>
      </c>
      <c r="L4520" t="s">
        <v>409</v>
      </c>
      <c r="M4520">
        <v>27800</v>
      </c>
      <c r="N4520">
        <v>0</v>
      </c>
      <c r="O4520" t="s">
        <v>23</v>
      </c>
      <c r="P4520">
        <v>20230221</v>
      </c>
      <c r="Q4520">
        <v>20221218</v>
      </c>
    </row>
    <row r="4521" spans="1:17" x14ac:dyDescent="0.25">
      <c r="A4521" t="s">
        <v>476</v>
      </c>
      <c r="B4521" t="s">
        <v>477</v>
      </c>
      <c r="C4521">
        <v>168</v>
      </c>
      <c r="D4521">
        <v>20221218</v>
      </c>
      <c r="E4521">
        <f t="shared" si="70"/>
        <v>12</v>
      </c>
      <c r="F4521">
        <v>512000</v>
      </c>
      <c r="G4521" t="s">
        <v>428</v>
      </c>
      <c r="H4521" t="s">
        <v>401</v>
      </c>
      <c r="I4521" t="s">
        <v>402</v>
      </c>
      <c r="J4521" t="s">
        <v>4510</v>
      </c>
      <c r="K4521">
        <v>20221218</v>
      </c>
      <c r="L4521" t="s">
        <v>409</v>
      </c>
      <c r="M4521">
        <v>0</v>
      </c>
      <c r="N4521">
        <v>27800</v>
      </c>
      <c r="O4521" t="s">
        <v>19</v>
      </c>
      <c r="P4521" t="s">
        <v>20</v>
      </c>
      <c r="Q4521">
        <v>20221218</v>
      </c>
    </row>
    <row r="4522" spans="1:17" x14ac:dyDescent="0.25">
      <c r="A4522" t="s">
        <v>476</v>
      </c>
      <c r="B4522" t="s">
        <v>477</v>
      </c>
      <c r="C4522">
        <v>168</v>
      </c>
      <c r="D4522">
        <v>20221218</v>
      </c>
      <c r="E4522">
        <f t="shared" si="70"/>
        <v>12</v>
      </c>
      <c r="F4522">
        <v>442100</v>
      </c>
      <c r="G4522" t="s">
        <v>435</v>
      </c>
      <c r="H4522" t="s">
        <v>401</v>
      </c>
      <c r="I4522" t="s">
        <v>402</v>
      </c>
      <c r="J4522" t="s">
        <v>4511</v>
      </c>
      <c r="K4522">
        <v>20221218</v>
      </c>
      <c r="L4522" t="s">
        <v>528</v>
      </c>
      <c r="M4522">
        <v>1387</v>
      </c>
      <c r="N4522">
        <v>0</v>
      </c>
      <c r="O4522" t="s">
        <v>23</v>
      </c>
      <c r="P4522">
        <v>20230218</v>
      </c>
      <c r="Q4522">
        <v>20221218</v>
      </c>
    </row>
    <row r="4523" spans="1:17" x14ac:dyDescent="0.25">
      <c r="A4523" t="s">
        <v>476</v>
      </c>
      <c r="B4523" t="s">
        <v>477</v>
      </c>
      <c r="C4523">
        <v>168</v>
      </c>
      <c r="D4523">
        <v>20221218</v>
      </c>
      <c r="E4523">
        <f t="shared" si="70"/>
        <v>12</v>
      </c>
      <c r="F4523">
        <v>512000</v>
      </c>
      <c r="G4523" t="s">
        <v>428</v>
      </c>
      <c r="H4523" t="s">
        <v>401</v>
      </c>
      <c r="I4523" t="s">
        <v>402</v>
      </c>
      <c r="J4523" t="s">
        <v>4511</v>
      </c>
      <c r="K4523">
        <v>20221218</v>
      </c>
      <c r="L4523" t="s">
        <v>528</v>
      </c>
      <c r="M4523">
        <v>0</v>
      </c>
      <c r="N4523">
        <v>1387</v>
      </c>
      <c r="O4523" t="s">
        <v>19</v>
      </c>
      <c r="P4523" t="s">
        <v>20</v>
      </c>
      <c r="Q4523">
        <v>20221218</v>
      </c>
    </row>
    <row r="4524" spans="1:17" x14ac:dyDescent="0.25">
      <c r="A4524" t="s">
        <v>476</v>
      </c>
      <c r="B4524" t="s">
        <v>477</v>
      </c>
      <c r="C4524">
        <v>168</v>
      </c>
      <c r="D4524">
        <v>20221221</v>
      </c>
      <c r="E4524">
        <f t="shared" si="70"/>
        <v>12</v>
      </c>
      <c r="F4524">
        <v>401000</v>
      </c>
      <c r="G4524" t="s">
        <v>41</v>
      </c>
      <c r="H4524" t="s">
        <v>46</v>
      </c>
      <c r="I4524" t="s">
        <v>47</v>
      </c>
      <c r="J4524" t="s">
        <v>4512</v>
      </c>
      <c r="K4524">
        <v>20221221</v>
      </c>
      <c r="L4524" t="s">
        <v>163</v>
      </c>
      <c r="M4524">
        <v>264</v>
      </c>
      <c r="N4524">
        <v>0</v>
      </c>
      <c r="O4524" t="s">
        <v>22</v>
      </c>
      <c r="P4524">
        <v>20221221</v>
      </c>
      <c r="Q4524">
        <v>20221221</v>
      </c>
    </row>
    <row r="4525" spans="1:17" x14ac:dyDescent="0.25">
      <c r="A4525" t="s">
        <v>476</v>
      </c>
      <c r="B4525" t="s">
        <v>477</v>
      </c>
      <c r="C4525">
        <v>168</v>
      </c>
      <c r="D4525">
        <v>20221221</v>
      </c>
      <c r="E4525">
        <f t="shared" si="70"/>
        <v>12</v>
      </c>
      <c r="F4525">
        <v>401000</v>
      </c>
      <c r="G4525" t="s">
        <v>41</v>
      </c>
      <c r="H4525" t="s">
        <v>842</v>
      </c>
      <c r="I4525" t="s">
        <v>843</v>
      </c>
      <c r="J4525" t="s">
        <v>4512</v>
      </c>
      <c r="K4525">
        <v>20221221</v>
      </c>
      <c r="L4525" t="s">
        <v>163</v>
      </c>
      <c r="M4525">
        <v>900</v>
      </c>
      <c r="N4525">
        <v>0</v>
      </c>
      <c r="O4525" t="s">
        <v>22</v>
      </c>
      <c r="P4525">
        <v>20221221</v>
      </c>
      <c r="Q4525">
        <v>20221221</v>
      </c>
    </row>
    <row r="4526" spans="1:17" x14ac:dyDescent="0.25">
      <c r="A4526" t="s">
        <v>476</v>
      </c>
      <c r="B4526" t="s">
        <v>477</v>
      </c>
      <c r="C4526">
        <v>168</v>
      </c>
      <c r="D4526">
        <v>20221221</v>
      </c>
      <c r="E4526">
        <f t="shared" si="70"/>
        <v>12</v>
      </c>
      <c r="F4526">
        <v>401000</v>
      </c>
      <c r="G4526" t="s">
        <v>41</v>
      </c>
      <c r="H4526" t="s">
        <v>71</v>
      </c>
      <c r="I4526" t="s">
        <v>72</v>
      </c>
      <c r="J4526" t="s">
        <v>4512</v>
      </c>
      <c r="K4526">
        <v>20221221</v>
      </c>
      <c r="L4526" t="s">
        <v>163</v>
      </c>
      <c r="M4526">
        <v>248.46</v>
      </c>
      <c r="N4526">
        <v>0</v>
      </c>
      <c r="O4526" t="s">
        <v>22</v>
      </c>
      <c r="P4526">
        <v>20221221</v>
      </c>
      <c r="Q4526">
        <v>20221221</v>
      </c>
    </row>
    <row r="4527" spans="1:17" x14ac:dyDescent="0.25">
      <c r="A4527" t="s">
        <v>476</v>
      </c>
      <c r="B4527" t="s">
        <v>477</v>
      </c>
      <c r="C4527">
        <v>168</v>
      </c>
      <c r="D4527">
        <v>20221221</v>
      </c>
      <c r="E4527">
        <f t="shared" si="70"/>
        <v>12</v>
      </c>
      <c r="F4527">
        <v>401000</v>
      </c>
      <c r="G4527" t="s">
        <v>41</v>
      </c>
      <c r="H4527" t="s">
        <v>75</v>
      </c>
      <c r="I4527" t="s">
        <v>76</v>
      </c>
      <c r="J4527" t="s">
        <v>4512</v>
      </c>
      <c r="K4527">
        <v>20221221</v>
      </c>
      <c r="L4527" t="s">
        <v>163</v>
      </c>
      <c r="M4527">
        <v>140.04</v>
      </c>
      <c r="N4527">
        <v>0</v>
      </c>
      <c r="O4527" t="s">
        <v>22</v>
      </c>
      <c r="P4527">
        <v>20221221</v>
      </c>
      <c r="Q4527">
        <v>20221221</v>
      </c>
    </row>
    <row r="4528" spans="1:17" x14ac:dyDescent="0.25">
      <c r="A4528" t="s">
        <v>476</v>
      </c>
      <c r="B4528" t="s">
        <v>477</v>
      </c>
      <c r="C4528">
        <v>168</v>
      </c>
      <c r="D4528">
        <v>20221221</v>
      </c>
      <c r="E4528">
        <f t="shared" si="70"/>
        <v>12</v>
      </c>
      <c r="F4528">
        <v>467100</v>
      </c>
      <c r="G4528" t="s">
        <v>160</v>
      </c>
      <c r="H4528" t="s">
        <v>164</v>
      </c>
      <c r="I4528" t="s">
        <v>165</v>
      </c>
      <c r="J4528" t="s">
        <v>4512</v>
      </c>
      <c r="K4528">
        <v>20221221</v>
      </c>
      <c r="L4528" t="s">
        <v>163</v>
      </c>
      <c r="M4528">
        <v>112.44</v>
      </c>
      <c r="N4528">
        <v>0</v>
      </c>
      <c r="O4528" t="s">
        <v>22</v>
      </c>
      <c r="P4528">
        <v>20221221</v>
      </c>
      <c r="Q4528">
        <v>20221221</v>
      </c>
    </row>
    <row r="4529" spans="1:17" x14ac:dyDescent="0.25">
      <c r="A4529" t="s">
        <v>476</v>
      </c>
      <c r="B4529" t="s">
        <v>477</v>
      </c>
      <c r="C4529">
        <v>168</v>
      </c>
      <c r="D4529">
        <v>20221221</v>
      </c>
      <c r="E4529">
        <f t="shared" si="70"/>
        <v>12</v>
      </c>
      <c r="F4529">
        <v>401000</v>
      </c>
      <c r="G4529" t="s">
        <v>41</v>
      </c>
      <c r="H4529" t="s">
        <v>456</v>
      </c>
      <c r="I4529" t="s">
        <v>457</v>
      </c>
      <c r="J4529" t="s">
        <v>4512</v>
      </c>
      <c r="K4529">
        <v>20221221</v>
      </c>
      <c r="L4529" t="s">
        <v>163</v>
      </c>
      <c r="M4529">
        <v>157.5</v>
      </c>
      <c r="N4529">
        <v>0</v>
      </c>
      <c r="O4529" t="s">
        <v>22</v>
      </c>
      <c r="P4529">
        <v>20221221</v>
      </c>
      <c r="Q4529">
        <v>20221221</v>
      </c>
    </row>
    <row r="4530" spans="1:17" x14ac:dyDescent="0.25">
      <c r="A4530" t="s">
        <v>476</v>
      </c>
      <c r="B4530" t="s">
        <v>477</v>
      </c>
      <c r="C4530">
        <v>168</v>
      </c>
      <c r="D4530">
        <v>20221221</v>
      </c>
      <c r="E4530">
        <f t="shared" si="70"/>
        <v>12</v>
      </c>
      <c r="F4530">
        <v>467100</v>
      </c>
      <c r="G4530" t="s">
        <v>160</v>
      </c>
      <c r="H4530" t="s">
        <v>316</v>
      </c>
      <c r="I4530" t="s">
        <v>317</v>
      </c>
      <c r="J4530" t="s">
        <v>4512</v>
      </c>
      <c r="K4530">
        <v>20221221</v>
      </c>
      <c r="L4530" t="s">
        <v>163</v>
      </c>
      <c r="M4530">
        <v>37.74</v>
      </c>
      <c r="N4530">
        <v>0</v>
      </c>
      <c r="O4530" t="s">
        <v>22</v>
      </c>
      <c r="P4530">
        <v>20221221</v>
      </c>
      <c r="Q4530">
        <v>20221221</v>
      </c>
    </row>
    <row r="4531" spans="1:17" x14ac:dyDescent="0.25">
      <c r="A4531" t="s">
        <v>476</v>
      </c>
      <c r="B4531" t="s">
        <v>477</v>
      </c>
      <c r="C4531">
        <v>168</v>
      </c>
      <c r="D4531">
        <v>20221221</v>
      </c>
      <c r="E4531">
        <f t="shared" si="70"/>
        <v>12</v>
      </c>
      <c r="F4531">
        <v>401000</v>
      </c>
      <c r="G4531" t="s">
        <v>41</v>
      </c>
      <c r="H4531" t="s">
        <v>830</v>
      </c>
      <c r="I4531" t="s">
        <v>831</v>
      </c>
      <c r="J4531" t="s">
        <v>4512</v>
      </c>
      <c r="K4531">
        <v>20221221</v>
      </c>
      <c r="L4531" t="s">
        <v>163</v>
      </c>
      <c r="M4531">
        <v>180</v>
      </c>
      <c r="N4531">
        <v>0</v>
      </c>
      <c r="O4531" t="s">
        <v>22</v>
      </c>
      <c r="P4531">
        <v>20221221</v>
      </c>
      <c r="Q4531">
        <v>20221221</v>
      </c>
    </row>
    <row r="4532" spans="1:17" x14ac:dyDescent="0.25">
      <c r="A4532" t="s">
        <v>476</v>
      </c>
      <c r="B4532" t="s">
        <v>477</v>
      </c>
      <c r="C4532">
        <v>168</v>
      </c>
      <c r="D4532">
        <v>20221221</v>
      </c>
      <c r="E4532">
        <f t="shared" si="70"/>
        <v>12</v>
      </c>
      <c r="F4532">
        <v>401000</v>
      </c>
      <c r="G4532" t="s">
        <v>41</v>
      </c>
      <c r="H4532" t="s">
        <v>838</v>
      </c>
      <c r="I4532" t="s">
        <v>839</v>
      </c>
      <c r="J4532" t="s">
        <v>4512</v>
      </c>
      <c r="K4532">
        <v>20221221</v>
      </c>
      <c r="L4532" t="s">
        <v>163</v>
      </c>
      <c r="M4532">
        <v>1536</v>
      </c>
      <c r="N4532">
        <v>0</v>
      </c>
      <c r="O4532" t="s">
        <v>22</v>
      </c>
      <c r="P4532">
        <v>20221221</v>
      </c>
      <c r="Q4532">
        <v>20221221</v>
      </c>
    </row>
    <row r="4533" spans="1:17" x14ac:dyDescent="0.25">
      <c r="A4533" t="s">
        <v>476</v>
      </c>
      <c r="B4533" t="s">
        <v>477</v>
      </c>
      <c r="C4533">
        <v>168</v>
      </c>
      <c r="D4533">
        <v>20221221</v>
      </c>
      <c r="E4533">
        <f t="shared" si="70"/>
        <v>12</v>
      </c>
      <c r="F4533">
        <v>512000</v>
      </c>
      <c r="G4533" t="s">
        <v>428</v>
      </c>
      <c r="H4533" t="s">
        <v>401</v>
      </c>
      <c r="I4533" t="s">
        <v>402</v>
      </c>
      <c r="J4533" t="s">
        <v>4512</v>
      </c>
      <c r="K4533">
        <v>20221221</v>
      </c>
      <c r="L4533" t="s">
        <v>163</v>
      </c>
      <c r="M4533">
        <v>0</v>
      </c>
      <c r="N4533">
        <v>3576.18</v>
      </c>
      <c r="O4533" t="s">
        <v>19</v>
      </c>
      <c r="P4533" t="s">
        <v>20</v>
      </c>
      <c r="Q4533">
        <v>20221221</v>
      </c>
    </row>
    <row r="4534" spans="1:17" x14ac:dyDescent="0.25">
      <c r="A4534" t="s">
        <v>476</v>
      </c>
      <c r="B4534" t="s">
        <v>477</v>
      </c>
      <c r="C4534">
        <v>168</v>
      </c>
      <c r="D4534">
        <v>20221221</v>
      </c>
      <c r="E4534">
        <f t="shared" si="70"/>
        <v>12</v>
      </c>
      <c r="F4534">
        <v>467100</v>
      </c>
      <c r="G4534" t="s">
        <v>160</v>
      </c>
      <c r="H4534" t="s">
        <v>316</v>
      </c>
      <c r="I4534" t="s">
        <v>317</v>
      </c>
      <c r="J4534" t="s">
        <v>4513</v>
      </c>
      <c r="K4534">
        <v>20221221</v>
      </c>
      <c r="L4534" t="s">
        <v>127</v>
      </c>
      <c r="M4534">
        <v>250</v>
      </c>
      <c r="N4534">
        <v>0</v>
      </c>
      <c r="O4534" t="s">
        <v>23</v>
      </c>
      <c r="P4534">
        <v>20230206</v>
      </c>
      <c r="Q4534">
        <v>20221221</v>
      </c>
    </row>
    <row r="4535" spans="1:17" x14ac:dyDescent="0.25">
      <c r="A4535" t="s">
        <v>476</v>
      </c>
      <c r="B4535" t="s">
        <v>477</v>
      </c>
      <c r="C4535">
        <v>168</v>
      </c>
      <c r="D4535">
        <v>20221221</v>
      </c>
      <c r="E4535">
        <f t="shared" si="70"/>
        <v>12</v>
      </c>
      <c r="F4535">
        <v>467100</v>
      </c>
      <c r="G4535" t="s">
        <v>160</v>
      </c>
      <c r="H4535" t="s">
        <v>164</v>
      </c>
      <c r="I4535" t="s">
        <v>165</v>
      </c>
      <c r="J4535" t="s">
        <v>4513</v>
      </c>
      <c r="K4535">
        <v>20221221</v>
      </c>
      <c r="L4535" t="s">
        <v>127</v>
      </c>
      <c r="M4535">
        <v>600</v>
      </c>
      <c r="N4535">
        <v>0</v>
      </c>
      <c r="O4535" t="s">
        <v>23</v>
      </c>
      <c r="P4535">
        <v>20230123</v>
      </c>
      <c r="Q4535">
        <v>20221221</v>
      </c>
    </row>
    <row r="4536" spans="1:17" x14ac:dyDescent="0.25">
      <c r="A4536" t="s">
        <v>476</v>
      </c>
      <c r="B4536" t="s">
        <v>477</v>
      </c>
      <c r="C4536">
        <v>168</v>
      </c>
      <c r="D4536">
        <v>20221221</v>
      </c>
      <c r="E4536">
        <f t="shared" si="70"/>
        <v>12</v>
      </c>
      <c r="F4536">
        <v>512000</v>
      </c>
      <c r="G4536" t="s">
        <v>428</v>
      </c>
      <c r="H4536" t="s">
        <v>401</v>
      </c>
      <c r="I4536" t="s">
        <v>402</v>
      </c>
      <c r="J4536" t="s">
        <v>4513</v>
      </c>
      <c r="K4536">
        <v>20221221</v>
      </c>
      <c r="L4536" t="s">
        <v>127</v>
      </c>
      <c r="M4536">
        <v>0</v>
      </c>
      <c r="N4536">
        <v>850</v>
      </c>
      <c r="O4536" t="s">
        <v>19</v>
      </c>
      <c r="P4536" t="s">
        <v>20</v>
      </c>
      <c r="Q4536">
        <v>20221221</v>
      </c>
    </row>
    <row r="4537" spans="1:17" x14ac:dyDescent="0.25">
      <c r="A4537" t="s">
        <v>476</v>
      </c>
      <c r="B4537" t="s">
        <v>477</v>
      </c>
      <c r="C4537">
        <v>168</v>
      </c>
      <c r="D4537">
        <v>20221221</v>
      </c>
      <c r="E4537">
        <f t="shared" si="70"/>
        <v>12</v>
      </c>
      <c r="F4537">
        <v>468200</v>
      </c>
      <c r="G4537" t="s">
        <v>421</v>
      </c>
      <c r="H4537" t="s">
        <v>401</v>
      </c>
      <c r="I4537" t="s">
        <v>402</v>
      </c>
      <c r="J4537" t="s">
        <v>4514</v>
      </c>
      <c r="K4537">
        <v>20221221</v>
      </c>
      <c r="L4537" t="s">
        <v>422</v>
      </c>
      <c r="M4537">
        <v>0</v>
      </c>
      <c r="N4537">
        <v>108.28</v>
      </c>
      <c r="O4537" t="s">
        <v>23</v>
      </c>
      <c r="P4537">
        <v>20230406</v>
      </c>
      <c r="Q4537">
        <v>20221221</v>
      </c>
    </row>
    <row r="4538" spans="1:17" x14ac:dyDescent="0.25">
      <c r="A4538" t="s">
        <v>476</v>
      </c>
      <c r="B4538" t="s">
        <v>477</v>
      </c>
      <c r="C4538">
        <v>168</v>
      </c>
      <c r="D4538">
        <v>20221221</v>
      </c>
      <c r="E4538">
        <f t="shared" si="70"/>
        <v>12</v>
      </c>
      <c r="F4538">
        <v>512000</v>
      </c>
      <c r="G4538" t="s">
        <v>428</v>
      </c>
      <c r="H4538" t="s">
        <v>401</v>
      </c>
      <c r="I4538" t="s">
        <v>402</v>
      </c>
      <c r="J4538" t="s">
        <v>4514</v>
      </c>
      <c r="K4538">
        <v>20221221</v>
      </c>
      <c r="L4538" t="s">
        <v>422</v>
      </c>
      <c r="M4538">
        <v>108.28</v>
      </c>
      <c r="N4538">
        <v>0</v>
      </c>
      <c r="O4538" t="s">
        <v>19</v>
      </c>
      <c r="P4538" t="s">
        <v>20</v>
      </c>
      <c r="Q4538">
        <v>20221221</v>
      </c>
    </row>
    <row r="4539" spans="1:17" x14ac:dyDescent="0.25">
      <c r="A4539" t="s">
        <v>476</v>
      </c>
      <c r="B4539" t="s">
        <v>477</v>
      </c>
      <c r="C4539">
        <v>168</v>
      </c>
      <c r="D4539">
        <v>20221222</v>
      </c>
      <c r="E4539">
        <f t="shared" si="70"/>
        <v>12</v>
      </c>
      <c r="F4539">
        <v>706237</v>
      </c>
      <c r="G4539" t="s">
        <v>4203</v>
      </c>
      <c r="H4539" t="s">
        <v>401</v>
      </c>
      <c r="I4539" t="s">
        <v>402</v>
      </c>
      <c r="J4539" t="s">
        <v>4515</v>
      </c>
      <c r="K4539">
        <v>20221222</v>
      </c>
      <c r="L4539" t="s">
        <v>4516</v>
      </c>
      <c r="M4539">
        <v>0</v>
      </c>
      <c r="N4539">
        <v>3211.74</v>
      </c>
      <c r="O4539" t="s">
        <v>19</v>
      </c>
      <c r="P4539" t="s">
        <v>20</v>
      </c>
      <c r="Q4539">
        <v>20221222</v>
      </c>
    </row>
    <row r="4540" spans="1:17" x14ac:dyDescent="0.25">
      <c r="A4540" t="s">
        <v>476</v>
      </c>
      <c r="B4540" t="s">
        <v>477</v>
      </c>
      <c r="C4540">
        <v>168</v>
      </c>
      <c r="D4540">
        <v>20221222</v>
      </c>
      <c r="E4540">
        <f t="shared" si="70"/>
        <v>12</v>
      </c>
      <c r="F4540">
        <v>512000</v>
      </c>
      <c r="G4540" t="s">
        <v>428</v>
      </c>
      <c r="H4540" t="s">
        <v>401</v>
      </c>
      <c r="I4540" t="s">
        <v>402</v>
      </c>
      <c r="J4540" t="s">
        <v>4515</v>
      </c>
      <c r="K4540">
        <v>20221222</v>
      </c>
      <c r="L4540" t="s">
        <v>4516</v>
      </c>
      <c r="M4540">
        <v>3211.74</v>
      </c>
      <c r="N4540">
        <v>0</v>
      </c>
      <c r="O4540" t="s">
        <v>19</v>
      </c>
      <c r="P4540" t="s">
        <v>20</v>
      </c>
      <c r="Q4540">
        <v>20221222</v>
      </c>
    </row>
    <row r="4541" spans="1:17" x14ac:dyDescent="0.25">
      <c r="A4541" t="s">
        <v>476</v>
      </c>
      <c r="B4541" t="s">
        <v>477</v>
      </c>
      <c r="C4541">
        <v>168</v>
      </c>
      <c r="D4541">
        <v>20221223</v>
      </c>
      <c r="E4541">
        <f t="shared" si="70"/>
        <v>12</v>
      </c>
      <c r="F4541">
        <v>411000</v>
      </c>
      <c r="G4541" t="s">
        <v>21</v>
      </c>
      <c r="H4541" t="s">
        <v>815</v>
      </c>
      <c r="I4541" t="s">
        <v>816</v>
      </c>
      <c r="J4541" t="s">
        <v>4517</v>
      </c>
      <c r="K4541">
        <v>20221223</v>
      </c>
      <c r="L4541" t="s">
        <v>127</v>
      </c>
      <c r="M4541">
        <v>80</v>
      </c>
      <c r="N4541">
        <v>0</v>
      </c>
      <c r="O4541" t="s">
        <v>22</v>
      </c>
      <c r="P4541">
        <v>20230218</v>
      </c>
      <c r="Q4541">
        <v>20221223</v>
      </c>
    </row>
    <row r="4542" spans="1:17" x14ac:dyDescent="0.25">
      <c r="A4542" t="s">
        <v>476</v>
      </c>
      <c r="B4542" t="s">
        <v>477</v>
      </c>
      <c r="C4542">
        <v>168</v>
      </c>
      <c r="D4542">
        <v>20221223</v>
      </c>
      <c r="E4542">
        <f t="shared" si="70"/>
        <v>12</v>
      </c>
      <c r="F4542">
        <v>401000</v>
      </c>
      <c r="G4542" t="s">
        <v>41</v>
      </c>
      <c r="H4542" t="s">
        <v>472</v>
      </c>
      <c r="I4542" t="s">
        <v>473</v>
      </c>
      <c r="J4542" t="s">
        <v>4517</v>
      </c>
      <c r="K4542">
        <v>20221223</v>
      </c>
      <c r="L4542" t="s">
        <v>127</v>
      </c>
      <c r="M4542">
        <v>140</v>
      </c>
      <c r="N4542">
        <v>0</v>
      </c>
      <c r="O4542" t="s">
        <v>23</v>
      </c>
      <c r="P4542">
        <v>20230109</v>
      </c>
      <c r="Q4542">
        <v>20221223</v>
      </c>
    </row>
    <row r="4543" spans="1:17" x14ac:dyDescent="0.25">
      <c r="A4543" t="s">
        <v>476</v>
      </c>
      <c r="B4543" t="s">
        <v>477</v>
      </c>
      <c r="C4543">
        <v>168</v>
      </c>
      <c r="D4543">
        <v>20221223</v>
      </c>
      <c r="E4543">
        <f t="shared" si="70"/>
        <v>12</v>
      </c>
      <c r="F4543">
        <v>512000</v>
      </c>
      <c r="G4543" t="s">
        <v>428</v>
      </c>
      <c r="H4543" t="s">
        <v>401</v>
      </c>
      <c r="I4543" t="s">
        <v>402</v>
      </c>
      <c r="J4543" t="s">
        <v>4517</v>
      </c>
      <c r="K4543">
        <v>20221223</v>
      </c>
      <c r="L4543" t="s">
        <v>127</v>
      </c>
      <c r="M4543">
        <v>0</v>
      </c>
      <c r="N4543">
        <v>220</v>
      </c>
      <c r="O4543" t="s">
        <v>19</v>
      </c>
      <c r="P4543" t="s">
        <v>20</v>
      </c>
      <c r="Q4543">
        <v>20221223</v>
      </c>
    </row>
    <row r="4544" spans="1:17" x14ac:dyDescent="0.25">
      <c r="A4544" t="s">
        <v>476</v>
      </c>
      <c r="B4544" t="s">
        <v>477</v>
      </c>
      <c r="C4544">
        <v>168</v>
      </c>
      <c r="D4544">
        <v>20221223</v>
      </c>
      <c r="E4544">
        <f t="shared" si="70"/>
        <v>12</v>
      </c>
      <c r="F4544">
        <v>421000</v>
      </c>
      <c r="G4544" t="s">
        <v>403</v>
      </c>
      <c r="H4544" t="s">
        <v>401</v>
      </c>
      <c r="I4544" t="s">
        <v>402</v>
      </c>
      <c r="J4544" t="s">
        <v>4518</v>
      </c>
      <c r="K4544">
        <v>20221223</v>
      </c>
      <c r="L4544" t="s">
        <v>4519</v>
      </c>
      <c r="M4544">
        <v>394.89</v>
      </c>
      <c r="N4544">
        <v>0</v>
      </c>
      <c r="O4544" t="s">
        <v>19</v>
      </c>
      <c r="P4544" t="s">
        <v>20</v>
      </c>
      <c r="Q4544">
        <v>20221223</v>
      </c>
    </row>
    <row r="4545" spans="1:17" x14ac:dyDescent="0.25">
      <c r="A4545" t="s">
        <v>476</v>
      </c>
      <c r="B4545" t="s">
        <v>477</v>
      </c>
      <c r="C4545">
        <v>168</v>
      </c>
      <c r="D4545">
        <v>20221223</v>
      </c>
      <c r="E4545">
        <f t="shared" si="70"/>
        <v>12</v>
      </c>
      <c r="F4545">
        <v>512000</v>
      </c>
      <c r="G4545" t="s">
        <v>428</v>
      </c>
      <c r="H4545" t="s">
        <v>401</v>
      </c>
      <c r="I4545" t="s">
        <v>402</v>
      </c>
      <c r="J4545" t="s">
        <v>4518</v>
      </c>
      <c r="K4545">
        <v>20221223</v>
      </c>
      <c r="L4545" t="s">
        <v>4519</v>
      </c>
      <c r="M4545">
        <v>0</v>
      </c>
      <c r="N4545">
        <v>394.89</v>
      </c>
      <c r="O4545" t="s">
        <v>19</v>
      </c>
      <c r="P4545" t="s">
        <v>20</v>
      </c>
      <c r="Q4545">
        <v>20221223</v>
      </c>
    </row>
    <row r="4546" spans="1:17" x14ac:dyDescent="0.25">
      <c r="A4546" t="s">
        <v>476</v>
      </c>
      <c r="B4546" t="s">
        <v>477</v>
      </c>
      <c r="C4546">
        <v>168</v>
      </c>
      <c r="D4546">
        <v>20221223</v>
      </c>
      <c r="E4546">
        <f t="shared" si="70"/>
        <v>12</v>
      </c>
      <c r="F4546">
        <v>411000</v>
      </c>
      <c r="G4546" t="s">
        <v>21</v>
      </c>
      <c r="H4546" t="s">
        <v>146</v>
      </c>
      <c r="I4546" t="s">
        <v>147</v>
      </c>
      <c r="J4546" t="s">
        <v>4520</v>
      </c>
      <c r="K4546">
        <v>20221223</v>
      </c>
      <c r="L4546" t="s">
        <v>795</v>
      </c>
      <c r="M4546">
        <v>0</v>
      </c>
      <c r="N4546">
        <v>675</v>
      </c>
      <c r="O4546" t="s">
        <v>19</v>
      </c>
      <c r="P4546" t="s">
        <v>20</v>
      </c>
      <c r="Q4546">
        <v>20221223</v>
      </c>
    </row>
    <row r="4547" spans="1:17" x14ac:dyDescent="0.25">
      <c r="A4547" t="s">
        <v>476</v>
      </c>
      <c r="B4547" t="s">
        <v>477</v>
      </c>
      <c r="C4547">
        <v>168</v>
      </c>
      <c r="D4547">
        <v>20221223</v>
      </c>
      <c r="E4547">
        <f t="shared" ref="E4547:E4610" si="71">VALUE(MID(D4547,5,2))</f>
        <v>12</v>
      </c>
      <c r="F4547">
        <v>512000</v>
      </c>
      <c r="G4547" t="s">
        <v>428</v>
      </c>
      <c r="H4547" t="s">
        <v>401</v>
      </c>
      <c r="I4547" t="s">
        <v>402</v>
      </c>
      <c r="J4547" t="s">
        <v>4520</v>
      </c>
      <c r="K4547">
        <v>20221223</v>
      </c>
      <c r="L4547" t="s">
        <v>795</v>
      </c>
      <c r="M4547">
        <v>675</v>
      </c>
      <c r="N4547">
        <v>0</v>
      </c>
      <c r="O4547" t="s">
        <v>19</v>
      </c>
      <c r="P4547" t="s">
        <v>20</v>
      </c>
      <c r="Q4547">
        <v>20221223</v>
      </c>
    </row>
    <row r="4548" spans="1:17" x14ac:dyDescent="0.25">
      <c r="A4548" t="s">
        <v>476</v>
      </c>
      <c r="B4548" t="s">
        <v>477</v>
      </c>
      <c r="C4548">
        <v>168</v>
      </c>
      <c r="D4548">
        <v>20221223</v>
      </c>
      <c r="E4548">
        <f t="shared" si="71"/>
        <v>12</v>
      </c>
      <c r="F4548">
        <v>468200</v>
      </c>
      <c r="G4548" t="s">
        <v>421</v>
      </c>
      <c r="H4548" t="s">
        <v>401</v>
      </c>
      <c r="I4548" t="s">
        <v>402</v>
      </c>
      <c r="J4548" t="s">
        <v>4521</v>
      </c>
      <c r="K4548">
        <v>20221223</v>
      </c>
      <c r="L4548" t="s">
        <v>422</v>
      </c>
      <c r="M4548">
        <v>0</v>
      </c>
      <c r="N4548">
        <v>180.32</v>
      </c>
      <c r="O4548" t="s">
        <v>23</v>
      </c>
      <c r="P4548">
        <v>20230406</v>
      </c>
      <c r="Q4548">
        <v>20221223</v>
      </c>
    </row>
    <row r="4549" spans="1:17" x14ac:dyDescent="0.25">
      <c r="A4549" t="s">
        <v>476</v>
      </c>
      <c r="B4549" t="s">
        <v>477</v>
      </c>
      <c r="C4549">
        <v>168</v>
      </c>
      <c r="D4549">
        <v>20221223</v>
      </c>
      <c r="E4549">
        <f t="shared" si="71"/>
        <v>12</v>
      </c>
      <c r="F4549">
        <v>512000</v>
      </c>
      <c r="G4549" t="s">
        <v>428</v>
      </c>
      <c r="H4549" t="s">
        <v>401</v>
      </c>
      <c r="I4549" t="s">
        <v>402</v>
      </c>
      <c r="J4549" t="s">
        <v>4521</v>
      </c>
      <c r="K4549">
        <v>20221223</v>
      </c>
      <c r="L4549" t="s">
        <v>422</v>
      </c>
      <c r="M4549">
        <v>180.32</v>
      </c>
      <c r="N4549">
        <v>0</v>
      </c>
      <c r="O4549" t="s">
        <v>19</v>
      </c>
      <c r="P4549" t="s">
        <v>20</v>
      </c>
      <c r="Q4549">
        <v>20221223</v>
      </c>
    </row>
    <row r="4550" spans="1:17" x14ac:dyDescent="0.25">
      <c r="A4550" t="s">
        <v>476</v>
      </c>
      <c r="B4550" t="s">
        <v>477</v>
      </c>
      <c r="C4550">
        <v>168</v>
      </c>
      <c r="D4550">
        <v>20221227</v>
      </c>
      <c r="E4550">
        <f t="shared" si="71"/>
        <v>12</v>
      </c>
      <c r="F4550">
        <v>421000</v>
      </c>
      <c r="G4550" t="s">
        <v>403</v>
      </c>
      <c r="H4550" t="s">
        <v>401</v>
      </c>
      <c r="I4550" t="s">
        <v>402</v>
      </c>
      <c r="J4550" t="s">
        <v>4522</v>
      </c>
      <c r="K4550">
        <v>20221227</v>
      </c>
      <c r="L4550" t="s">
        <v>922</v>
      </c>
      <c r="M4550">
        <v>77537.8</v>
      </c>
      <c r="N4550">
        <v>0</v>
      </c>
      <c r="O4550" t="s">
        <v>19</v>
      </c>
      <c r="P4550" t="s">
        <v>20</v>
      </c>
      <c r="Q4550">
        <v>20221227</v>
      </c>
    </row>
    <row r="4551" spans="1:17" x14ac:dyDescent="0.25">
      <c r="A4551" t="s">
        <v>476</v>
      </c>
      <c r="B4551" t="s">
        <v>477</v>
      </c>
      <c r="C4551">
        <v>168</v>
      </c>
      <c r="D4551">
        <v>20221227</v>
      </c>
      <c r="E4551">
        <f t="shared" si="71"/>
        <v>12</v>
      </c>
      <c r="F4551">
        <v>512000</v>
      </c>
      <c r="G4551" t="s">
        <v>428</v>
      </c>
      <c r="H4551" t="s">
        <v>401</v>
      </c>
      <c r="I4551" t="s">
        <v>402</v>
      </c>
      <c r="J4551" t="s">
        <v>4522</v>
      </c>
      <c r="K4551">
        <v>20221227</v>
      </c>
      <c r="L4551" t="s">
        <v>922</v>
      </c>
      <c r="M4551">
        <v>0</v>
      </c>
      <c r="N4551">
        <v>77537.8</v>
      </c>
      <c r="O4551" t="s">
        <v>19</v>
      </c>
      <c r="P4551" t="s">
        <v>20</v>
      </c>
      <c r="Q4551">
        <v>20221227</v>
      </c>
    </row>
    <row r="4552" spans="1:17" x14ac:dyDescent="0.25">
      <c r="A4552" t="s">
        <v>476</v>
      </c>
      <c r="B4552" t="s">
        <v>477</v>
      </c>
      <c r="C4552">
        <v>168</v>
      </c>
      <c r="D4552">
        <v>20221227</v>
      </c>
      <c r="E4552">
        <f t="shared" si="71"/>
        <v>12</v>
      </c>
      <c r="F4552">
        <v>401000</v>
      </c>
      <c r="G4552" t="s">
        <v>41</v>
      </c>
      <c r="H4552" t="s">
        <v>535</v>
      </c>
      <c r="I4552" t="s">
        <v>536</v>
      </c>
      <c r="J4552" t="s">
        <v>4523</v>
      </c>
      <c r="K4552">
        <v>20221227</v>
      </c>
      <c r="L4552" t="s">
        <v>4524</v>
      </c>
      <c r="M4552">
        <v>132.4</v>
      </c>
      <c r="N4552">
        <v>0</v>
      </c>
      <c r="O4552" t="s">
        <v>23</v>
      </c>
      <c r="P4552">
        <v>20230221</v>
      </c>
      <c r="Q4552">
        <v>20221227</v>
      </c>
    </row>
    <row r="4553" spans="1:17" x14ac:dyDescent="0.25">
      <c r="A4553" t="s">
        <v>476</v>
      </c>
      <c r="B4553" t="s">
        <v>477</v>
      </c>
      <c r="C4553">
        <v>168</v>
      </c>
      <c r="D4553">
        <v>20221227</v>
      </c>
      <c r="E4553">
        <f t="shared" si="71"/>
        <v>12</v>
      </c>
      <c r="F4553">
        <v>512000</v>
      </c>
      <c r="G4553" t="s">
        <v>428</v>
      </c>
      <c r="H4553" t="s">
        <v>401</v>
      </c>
      <c r="I4553" t="s">
        <v>402</v>
      </c>
      <c r="J4553" t="s">
        <v>4523</v>
      </c>
      <c r="K4553">
        <v>20221227</v>
      </c>
      <c r="L4553" t="s">
        <v>4524</v>
      </c>
      <c r="M4553">
        <v>0</v>
      </c>
      <c r="N4553">
        <v>132.4</v>
      </c>
      <c r="O4553" t="s">
        <v>19</v>
      </c>
      <c r="P4553" t="s">
        <v>20</v>
      </c>
      <c r="Q4553">
        <v>20221227</v>
      </c>
    </row>
    <row r="4554" spans="1:17" x14ac:dyDescent="0.25">
      <c r="A4554" t="s">
        <v>476</v>
      </c>
      <c r="B4554" t="s">
        <v>477</v>
      </c>
      <c r="C4554">
        <v>168</v>
      </c>
      <c r="D4554">
        <v>20221227</v>
      </c>
      <c r="E4554">
        <f t="shared" si="71"/>
        <v>12</v>
      </c>
      <c r="F4554">
        <v>433000</v>
      </c>
      <c r="G4554" t="s">
        <v>410</v>
      </c>
      <c r="H4554" t="s">
        <v>401</v>
      </c>
      <c r="I4554" t="s">
        <v>402</v>
      </c>
      <c r="J4554" t="s">
        <v>4525</v>
      </c>
      <c r="K4554">
        <v>20221227</v>
      </c>
      <c r="L4554" t="s">
        <v>530</v>
      </c>
      <c r="M4554">
        <v>6154.77</v>
      </c>
      <c r="N4554">
        <v>0</v>
      </c>
      <c r="O4554" t="s">
        <v>23</v>
      </c>
      <c r="P4554">
        <v>20230218</v>
      </c>
      <c r="Q4554">
        <v>20221227</v>
      </c>
    </row>
    <row r="4555" spans="1:17" x14ac:dyDescent="0.25">
      <c r="A4555" t="s">
        <v>476</v>
      </c>
      <c r="B4555" t="s">
        <v>477</v>
      </c>
      <c r="C4555">
        <v>168</v>
      </c>
      <c r="D4555">
        <v>20221227</v>
      </c>
      <c r="E4555">
        <f t="shared" si="71"/>
        <v>12</v>
      </c>
      <c r="F4555">
        <v>512000</v>
      </c>
      <c r="G4555" t="s">
        <v>428</v>
      </c>
      <c r="H4555" t="s">
        <v>401</v>
      </c>
      <c r="I4555" t="s">
        <v>402</v>
      </c>
      <c r="J4555" t="s">
        <v>4525</v>
      </c>
      <c r="K4555">
        <v>20221227</v>
      </c>
      <c r="L4555" t="s">
        <v>530</v>
      </c>
      <c r="M4555">
        <v>0</v>
      </c>
      <c r="N4555">
        <v>6154.77</v>
      </c>
      <c r="O4555" t="s">
        <v>19</v>
      </c>
      <c r="P4555" t="s">
        <v>20</v>
      </c>
      <c r="Q4555">
        <v>20221227</v>
      </c>
    </row>
    <row r="4556" spans="1:17" x14ac:dyDescent="0.25">
      <c r="A4556" t="s">
        <v>476</v>
      </c>
      <c r="B4556" t="s">
        <v>477</v>
      </c>
      <c r="C4556">
        <v>168</v>
      </c>
      <c r="D4556">
        <v>20221228</v>
      </c>
      <c r="E4556">
        <f t="shared" si="71"/>
        <v>12</v>
      </c>
      <c r="F4556">
        <v>433100</v>
      </c>
      <c r="G4556" t="s">
        <v>411</v>
      </c>
      <c r="H4556" t="s">
        <v>401</v>
      </c>
      <c r="I4556" t="s">
        <v>402</v>
      </c>
      <c r="J4556" t="s">
        <v>4526</v>
      </c>
      <c r="K4556">
        <v>20221228</v>
      </c>
      <c r="L4556" t="s">
        <v>534</v>
      </c>
      <c r="M4556">
        <v>891.46</v>
      </c>
      <c r="N4556">
        <v>0</v>
      </c>
      <c r="O4556" t="s">
        <v>23</v>
      </c>
      <c r="P4556">
        <v>20230218</v>
      </c>
      <c r="Q4556">
        <v>20221228</v>
      </c>
    </row>
    <row r="4557" spans="1:17" x14ac:dyDescent="0.25">
      <c r="A4557" t="s">
        <v>476</v>
      </c>
      <c r="B4557" t="s">
        <v>477</v>
      </c>
      <c r="C4557">
        <v>168</v>
      </c>
      <c r="D4557">
        <v>20221228</v>
      </c>
      <c r="E4557">
        <f t="shared" si="71"/>
        <v>12</v>
      </c>
      <c r="F4557">
        <v>512000</v>
      </c>
      <c r="G4557" t="s">
        <v>428</v>
      </c>
      <c r="H4557" t="s">
        <v>401</v>
      </c>
      <c r="I4557" t="s">
        <v>402</v>
      </c>
      <c r="J4557" t="s">
        <v>4526</v>
      </c>
      <c r="K4557">
        <v>20221228</v>
      </c>
      <c r="L4557" t="s">
        <v>534</v>
      </c>
      <c r="M4557">
        <v>0</v>
      </c>
      <c r="N4557">
        <v>891.46</v>
      </c>
      <c r="O4557" t="s">
        <v>19</v>
      </c>
      <c r="P4557" t="s">
        <v>20</v>
      </c>
      <c r="Q4557">
        <v>20221228</v>
      </c>
    </row>
    <row r="4558" spans="1:17" x14ac:dyDescent="0.25">
      <c r="A4558" t="s">
        <v>476</v>
      </c>
      <c r="B4558" t="s">
        <v>477</v>
      </c>
      <c r="C4558">
        <v>168</v>
      </c>
      <c r="D4558">
        <v>20221229</v>
      </c>
      <c r="E4558">
        <f t="shared" si="71"/>
        <v>12</v>
      </c>
      <c r="F4558">
        <v>401000</v>
      </c>
      <c r="G4558" t="s">
        <v>41</v>
      </c>
      <c r="H4558" t="s">
        <v>848</v>
      </c>
      <c r="I4558" t="s">
        <v>849</v>
      </c>
      <c r="J4558" t="s">
        <v>4527</v>
      </c>
      <c r="K4558">
        <v>20221229</v>
      </c>
      <c r="L4558" t="s">
        <v>4528</v>
      </c>
      <c r="M4558">
        <v>80</v>
      </c>
      <c r="N4558">
        <v>0</v>
      </c>
      <c r="O4558" t="s">
        <v>23</v>
      </c>
      <c r="P4558">
        <v>20230218</v>
      </c>
      <c r="Q4558">
        <v>20221229</v>
      </c>
    </row>
    <row r="4559" spans="1:17" x14ac:dyDescent="0.25">
      <c r="A4559" t="s">
        <v>476</v>
      </c>
      <c r="B4559" t="s">
        <v>477</v>
      </c>
      <c r="C4559">
        <v>168</v>
      </c>
      <c r="D4559">
        <v>20221229</v>
      </c>
      <c r="E4559">
        <f t="shared" si="71"/>
        <v>12</v>
      </c>
      <c r="F4559">
        <v>512000</v>
      </c>
      <c r="G4559" t="s">
        <v>428</v>
      </c>
      <c r="H4559" t="s">
        <v>401</v>
      </c>
      <c r="I4559" t="s">
        <v>402</v>
      </c>
      <c r="J4559" t="s">
        <v>4527</v>
      </c>
      <c r="K4559">
        <v>20221229</v>
      </c>
      <c r="L4559" t="s">
        <v>4528</v>
      </c>
      <c r="M4559">
        <v>0</v>
      </c>
      <c r="N4559">
        <v>80</v>
      </c>
      <c r="O4559" t="s">
        <v>19</v>
      </c>
      <c r="P4559" t="s">
        <v>20</v>
      </c>
      <c r="Q4559">
        <v>20221229</v>
      </c>
    </row>
    <row r="4560" spans="1:17" x14ac:dyDescent="0.25">
      <c r="A4560" t="s">
        <v>476</v>
      </c>
      <c r="B4560" t="s">
        <v>477</v>
      </c>
      <c r="C4560">
        <v>168</v>
      </c>
      <c r="D4560">
        <v>20221229</v>
      </c>
      <c r="E4560">
        <f t="shared" si="71"/>
        <v>12</v>
      </c>
      <c r="F4560">
        <v>401000</v>
      </c>
      <c r="G4560" t="s">
        <v>41</v>
      </c>
      <c r="H4560" t="s">
        <v>858</v>
      </c>
      <c r="I4560" t="s">
        <v>859</v>
      </c>
      <c r="J4560" t="s">
        <v>4529</v>
      </c>
      <c r="K4560">
        <v>20221229</v>
      </c>
      <c r="L4560" t="s">
        <v>4431</v>
      </c>
      <c r="M4560">
        <v>34.200000000000003</v>
      </c>
      <c r="N4560">
        <v>0</v>
      </c>
      <c r="O4560" t="s">
        <v>23</v>
      </c>
      <c r="P4560">
        <v>20230218</v>
      </c>
      <c r="Q4560">
        <v>20221229</v>
      </c>
    </row>
    <row r="4561" spans="1:17" x14ac:dyDescent="0.25">
      <c r="A4561" t="s">
        <v>476</v>
      </c>
      <c r="B4561" t="s">
        <v>477</v>
      </c>
      <c r="C4561">
        <v>168</v>
      </c>
      <c r="D4561">
        <v>20221229</v>
      </c>
      <c r="E4561">
        <f t="shared" si="71"/>
        <v>12</v>
      </c>
      <c r="F4561">
        <v>512000</v>
      </c>
      <c r="G4561" t="s">
        <v>428</v>
      </c>
      <c r="H4561" t="s">
        <v>401</v>
      </c>
      <c r="I4561" t="s">
        <v>402</v>
      </c>
      <c r="J4561" t="s">
        <v>4529</v>
      </c>
      <c r="K4561">
        <v>20221229</v>
      </c>
      <c r="L4561" t="s">
        <v>4431</v>
      </c>
      <c r="M4561">
        <v>0</v>
      </c>
      <c r="N4561">
        <v>34.200000000000003</v>
      </c>
      <c r="O4561" t="s">
        <v>19</v>
      </c>
      <c r="P4561" t="s">
        <v>20</v>
      </c>
      <c r="Q4561">
        <v>20221229</v>
      </c>
    </row>
    <row r="4562" spans="1:17" x14ac:dyDescent="0.25">
      <c r="A4562" t="s">
        <v>476</v>
      </c>
      <c r="B4562" t="s">
        <v>477</v>
      </c>
      <c r="C4562">
        <v>168</v>
      </c>
      <c r="D4562">
        <v>20221230</v>
      </c>
      <c r="E4562">
        <f t="shared" si="71"/>
        <v>12</v>
      </c>
      <c r="F4562">
        <v>401000</v>
      </c>
      <c r="G4562" t="s">
        <v>41</v>
      </c>
      <c r="H4562" t="s">
        <v>458</v>
      </c>
      <c r="I4562" t="s">
        <v>459</v>
      </c>
      <c r="J4562" t="s">
        <v>4530</v>
      </c>
      <c r="K4562">
        <v>20221230</v>
      </c>
      <c r="L4562" t="s">
        <v>1378</v>
      </c>
      <c r="M4562">
        <v>669.6</v>
      </c>
      <c r="N4562">
        <v>0</v>
      </c>
      <c r="O4562" t="s">
        <v>23</v>
      </c>
      <c r="P4562">
        <v>20230220</v>
      </c>
      <c r="Q4562">
        <v>20221230</v>
      </c>
    </row>
    <row r="4563" spans="1:17" x14ac:dyDescent="0.25">
      <c r="A4563" t="s">
        <v>476</v>
      </c>
      <c r="B4563" t="s">
        <v>477</v>
      </c>
      <c r="C4563">
        <v>168</v>
      </c>
      <c r="D4563">
        <v>20221230</v>
      </c>
      <c r="E4563">
        <f t="shared" si="71"/>
        <v>12</v>
      </c>
      <c r="F4563">
        <v>512000</v>
      </c>
      <c r="G4563" t="s">
        <v>428</v>
      </c>
      <c r="H4563" t="s">
        <v>401</v>
      </c>
      <c r="I4563" t="s">
        <v>402</v>
      </c>
      <c r="J4563" t="s">
        <v>4530</v>
      </c>
      <c r="K4563">
        <v>20221230</v>
      </c>
      <c r="L4563" t="s">
        <v>1378</v>
      </c>
      <c r="M4563">
        <v>0</v>
      </c>
      <c r="N4563">
        <v>669.6</v>
      </c>
      <c r="O4563" t="s">
        <v>19</v>
      </c>
      <c r="P4563" t="s">
        <v>20</v>
      </c>
      <c r="Q4563">
        <v>20221230</v>
      </c>
    </row>
    <row r="4564" spans="1:17" x14ac:dyDescent="0.25">
      <c r="A4564" t="s">
        <v>476</v>
      </c>
      <c r="B4564" t="s">
        <v>477</v>
      </c>
      <c r="C4564">
        <v>168</v>
      </c>
      <c r="D4564">
        <v>20221230</v>
      </c>
      <c r="E4564">
        <f t="shared" si="71"/>
        <v>12</v>
      </c>
      <c r="F4564">
        <v>468725</v>
      </c>
      <c r="G4564" t="s">
        <v>424</v>
      </c>
      <c r="H4564" t="s">
        <v>401</v>
      </c>
      <c r="I4564" t="s">
        <v>402</v>
      </c>
      <c r="J4564" t="s">
        <v>4531</v>
      </c>
      <c r="K4564">
        <v>20221230</v>
      </c>
      <c r="L4564" t="s">
        <v>2403</v>
      </c>
      <c r="M4564">
        <v>0</v>
      </c>
      <c r="N4564">
        <v>7333.26</v>
      </c>
      <c r="O4564" t="s">
        <v>23</v>
      </c>
      <c r="P4564">
        <v>20230220</v>
      </c>
      <c r="Q4564">
        <v>20221230</v>
      </c>
    </row>
    <row r="4565" spans="1:17" x14ac:dyDescent="0.25">
      <c r="A4565" t="s">
        <v>476</v>
      </c>
      <c r="B4565" t="s">
        <v>477</v>
      </c>
      <c r="C4565">
        <v>168</v>
      </c>
      <c r="D4565">
        <v>20221230</v>
      </c>
      <c r="E4565">
        <f t="shared" si="71"/>
        <v>12</v>
      </c>
      <c r="F4565">
        <v>512000</v>
      </c>
      <c r="G4565" t="s">
        <v>428</v>
      </c>
      <c r="H4565" t="s">
        <v>401</v>
      </c>
      <c r="I4565" t="s">
        <v>402</v>
      </c>
      <c r="J4565" t="s">
        <v>4531</v>
      </c>
      <c r="K4565">
        <v>20221230</v>
      </c>
      <c r="L4565" t="s">
        <v>2403</v>
      </c>
      <c r="M4565">
        <v>7333.26</v>
      </c>
      <c r="N4565">
        <v>0</v>
      </c>
      <c r="O4565" t="s">
        <v>19</v>
      </c>
      <c r="P4565" t="s">
        <v>20</v>
      </c>
      <c r="Q4565">
        <v>20221230</v>
      </c>
    </row>
    <row r="4566" spans="1:17" x14ac:dyDescent="0.25">
      <c r="A4566" t="s">
        <v>476</v>
      </c>
      <c r="B4566" t="s">
        <v>477</v>
      </c>
      <c r="C4566">
        <v>168</v>
      </c>
      <c r="D4566">
        <v>20221231</v>
      </c>
      <c r="E4566">
        <f t="shared" si="71"/>
        <v>12</v>
      </c>
      <c r="F4566">
        <v>758000</v>
      </c>
      <c r="G4566" t="s">
        <v>811</v>
      </c>
      <c r="H4566" t="s">
        <v>401</v>
      </c>
      <c r="I4566" t="s">
        <v>402</v>
      </c>
      <c r="J4566" t="s">
        <v>4532</v>
      </c>
      <c r="K4566">
        <v>20221231</v>
      </c>
      <c r="L4566" t="s">
        <v>4533</v>
      </c>
      <c r="M4566">
        <v>0</v>
      </c>
      <c r="N4566">
        <v>100</v>
      </c>
      <c r="O4566" t="s">
        <v>19</v>
      </c>
      <c r="P4566" t="s">
        <v>20</v>
      </c>
      <c r="Q4566">
        <v>20221231</v>
      </c>
    </row>
    <row r="4567" spans="1:17" x14ac:dyDescent="0.25">
      <c r="A4567" t="s">
        <v>476</v>
      </c>
      <c r="B4567" t="s">
        <v>477</v>
      </c>
      <c r="C4567">
        <v>168</v>
      </c>
      <c r="D4567">
        <v>20221231</v>
      </c>
      <c r="E4567">
        <f t="shared" si="71"/>
        <v>12</v>
      </c>
      <c r="F4567">
        <v>512000</v>
      </c>
      <c r="G4567" t="s">
        <v>428</v>
      </c>
      <c r="H4567" t="s">
        <v>401</v>
      </c>
      <c r="I4567" t="s">
        <v>402</v>
      </c>
      <c r="J4567" t="s">
        <v>4532</v>
      </c>
      <c r="K4567">
        <v>20221231</v>
      </c>
      <c r="L4567" t="s">
        <v>4533</v>
      </c>
      <c r="M4567">
        <v>100</v>
      </c>
      <c r="N4567">
        <v>0</v>
      </c>
      <c r="O4567" t="s">
        <v>19</v>
      </c>
      <c r="P4567" t="s">
        <v>20</v>
      </c>
      <c r="Q4567">
        <v>20221231</v>
      </c>
    </row>
    <row r="4568" spans="1:17" x14ac:dyDescent="0.25">
      <c r="A4568" t="s">
        <v>476</v>
      </c>
      <c r="B4568" t="s">
        <v>477</v>
      </c>
      <c r="C4568">
        <v>168</v>
      </c>
      <c r="D4568">
        <v>20221231</v>
      </c>
      <c r="E4568">
        <f t="shared" si="71"/>
        <v>12</v>
      </c>
      <c r="F4568">
        <v>758000</v>
      </c>
      <c r="G4568" t="s">
        <v>811</v>
      </c>
      <c r="H4568" t="s">
        <v>401</v>
      </c>
      <c r="I4568" t="s">
        <v>402</v>
      </c>
      <c r="J4568" t="s">
        <v>4534</v>
      </c>
      <c r="K4568">
        <v>20221231</v>
      </c>
      <c r="L4568" t="s">
        <v>4535</v>
      </c>
      <c r="M4568">
        <v>0</v>
      </c>
      <c r="N4568">
        <v>206.29</v>
      </c>
      <c r="O4568" t="s">
        <v>19</v>
      </c>
      <c r="P4568" t="s">
        <v>20</v>
      </c>
      <c r="Q4568">
        <v>20221231</v>
      </c>
    </row>
    <row r="4569" spans="1:17" x14ac:dyDescent="0.25">
      <c r="A4569" t="s">
        <v>476</v>
      </c>
      <c r="B4569" t="s">
        <v>477</v>
      </c>
      <c r="C4569">
        <v>168</v>
      </c>
      <c r="D4569">
        <v>20221231</v>
      </c>
      <c r="E4569">
        <f t="shared" si="71"/>
        <v>12</v>
      </c>
      <c r="F4569">
        <v>512000</v>
      </c>
      <c r="G4569" t="s">
        <v>428</v>
      </c>
      <c r="H4569" t="s">
        <v>401</v>
      </c>
      <c r="I4569" t="s">
        <v>402</v>
      </c>
      <c r="J4569" t="s">
        <v>4534</v>
      </c>
      <c r="K4569">
        <v>20221231</v>
      </c>
      <c r="L4569" t="s">
        <v>4535</v>
      </c>
      <c r="M4569">
        <v>206.29</v>
      </c>
      <c r="N4569">
        <v>0</v>
      </c>
      <c r="O4569" t="s">
        <v>19</v>
      </c>
      <c r="P4569" t="s">
        <v>20</v>
      </c>
      <c r="Q4569">
        <v>20221231</v>
      </c>
    </row>
    <row r="4570" spans="1:17" x14ac:dyDescent="0.25">
      <c r="A4570" t="s">
        <v>476</v>
      </c>
      <c r="B4570" t="s">
        <v>477</v>
      </c>
      <c r="C4570">
        <v>168</v>
      </c>
      <c r="D4570">
        <v>20221231</v>
      </c>
      <c r="E4570">
        <f t="shared" si="71"/>
        <v>12</v>
      </c>
      <c r="F4570">
        <v>758000</v>
      </c>
      <c r="G4570" t="s">
        <v>811</v>
      </c>
      <c r="H4570" t="s">
        <v>401</v>
      </c>
      <c r="I4570" t="s">
        <v>402</v>
      </c>
      <c r="J4570" t="s">
        <v>4536</v>
      </c>
      <c r="K4570">
        <v>20221231</v>
      </c>
      <c r="L4570" t="s">
        <v>4537</v>
      </c>
      <c r="M4570">
        <v>0</v>
      </c>
      <c r="N4570">
        <v>15</v>
      </c>
      <c r="O4570" t="s">
        <v>19</v>
      </c>
      <c r="P4570" t="s">
        <v>20</v>
      </c>
      <c r="Q4570">
        <v>20221231</v>
      </c>
    </row>
    <row r="4571" spans="1:17" x14ac:dyDescent="0.25">
      <c r="A4571" t="s">
        <v>476</v>
      </c>
      <c r="B4571" t="s">
        <v>477</v>
      </c>
      <c r="C4571">
        <v>168</v>
      </c>
      <c r="D4571">
        <v>20221231</v>
      </c>
      <c r="E4571">
        <f t="shared" si="71"/>
        <v>12</v>
      </c>
      <c r="F4571">
        <v>512000</v>
      </c>
      <c r="G4571" t="s">
        <v>428</v>
      </c>
      <c r="H4571" t="s">
        <v>401</v>
      </c>
      <c r="I4571" t="s">
        <v>402</v>
      </c>
      <c r="J4571" t="s">
        <v>4536</v>
      </c>
      <c r="K4571">
        <v>20221231</v>
      </c>
      <c r="L4571" t="s">
        <v>4537</v>
      </c>
      <c r="M4571">
        <v>15</v>
      </c>
      <c r="N4571">
        <v>0</v>
      </c>
      <c r="O4571" t="s">
        <v>19</v>
      </c>
      <c r="P4571" t="s">
        <v>20</v>
      </c>
      <c r="Q4571">
        <v>20221231</v>
      </c>
    </row>
    <row r="4572" spans="1:17" x14ac:dyDescent="0.25">
      <c r="A4572" t="s">
        <v>548</v>
      </c>
      <c r="B4572" t="s">
        <v>429</v>
      </c>
      <c r="C4572">
        <v>169</v>
      </c>
      <c r="D4572">
        <v>20221201</v>
      </c>
      <c r="E4572">
        <f t="shared" si="71"/>
        <v>12</v>
      </c>
      <c r="F4572">
        <v>411000</v>
      </c>
      <c r="G4572" t="s">
        <v>21</v>
      </c>
      <c r="H4572" t="s">
        <v>271</v>
      </c>
      <c r="I4572" t="s">
        <v>272</v>
      </c>
      <c r="J4572">
        <v>361728</v>
      </c>
      <c r="K4572">
        <v>20221201</v>
      </c>
      <c r="L4572" t="s">
        <v>4538</v>
      </c>
      <c r="M4572">
        <v>0</v>
      </c>
      <c r="N4572">
        <v>3</v>
      </c>
      <c r="O4572" t="s">
        <v>19</v>
      </c>
      <c r="P4572" t="s">
        <v>20</v>
      </c>
      <c r="Q4572">
        <v>20221201</v>
      </c>
    </row>
    <row r="4573" spans="1:17" x14ac:dyDescent="0.25">
      <c r="A4573" t="s">
        <v>548</v>
      </c>
      <c r="B4573" t="s">
        <v>429</v>
      </c>
      <c r="C4573">
        <v>169</v>
      </c>
      <c r="D4573">
        <v>20221201</v>
      </c>
      <c r="E4573">
        <f t="shared" si="71"/>
        <v>12</v>
      </c>
      <c r="F4573">
        <v>411100</v>
      </c>
      <c r="G4573" t="s">
        <v>18</v>
      </c>
      <c r="H4573" t="s">
        <v>83</v>
      </c>
      <c r="I4573" t="s">
        <v>84</v>
      </c>
      <c r="J4573">
        <v>361729</v>
      </c>
      <c r="K4573">
        <v>20221201</v>
      </c>
      <c r="L4573" t="s">
        <v>4539</v>
      </c>
      <c r="M4573">
        <v>0</v>
      </c>
      <c r="N4573">
        <v>10</v>
      </c>
      <c r="O4573" t="s">
        <v>22</v>
      </c>
      <c r="P4573">
        <v>20230218</v>
      </c>
      <c r="Q4573">
        <v>20221201</v>
      </c>
    </row>
    <row r="4574" spans="1:17" x14ac:dyDescent="0.25">
      <c r="A4574" t="s">
        <v>548</v>
      </c>
      <c r="B4574" t="s">
        <v>429</v>
      </c>
      <c r="C4574">
        <v>169</v>
      </c>
      <c r="D4574">
        <v>20221201</v>
      </c>
      <c r="E4574">
        <f t="shared" si="71"/>
        <v>12</v>
      </c>
      <c r="F4574">
        <v>531105</v>
      </c>
      <c r="G4574" t="s">
        <v>429</v>
      </c>
      <c r="H4574" t="s">
        <v>401</v>
      </c>
      <c r="I4574" t="s">
        <v>402</v>
      </c>
      <c r="J4574">
        <v>361730</v>
      </c>
      <c r="K4574">
        <v>20221201</v>
      </c>
      <c r="L4574" t="s">
        <v>565</v>
      </c>
      <c r="M4574">
        <v>13</v>
      </c>
      <c r="N4574">
        <v>0</v>
      </c>
      <c r="O4574" t="s">
        <v>19</v>
      </c>
      <c r="P4574" t="s">
        <v>20</v>
      </c>
      <c r="Q4574">
        <v>20221201</v>
      </c>
    </row>
    <row r="4575" spans="1:17" x14ac:dyDescent="0.25">
      <c r="A4575" t="s">
        <v>548</v>
      </c>
      <c r="B4575" t="s">
        <v>429</v>
      </c>
      <c r="C4575">
        <v>169</v>
      </c>
      <c r="D4575">
        <v>20221202</v>
      </c>
      <c r="E4575">
        <f t="shared" si="71"/>
        <v>12</v>
      </c>
      <c r="F4575">
        <v>467100</v>
      </c>
      <c r="G4575" t="s">
        <v>160</v>
      </c>
      <c r="H4575" t="s">
        <v>316</v>
      </c>
      <c r="I4575" t="s">
        <v>317</v>
      </c>
      <c r="J4575" t="s">
        <v>4540</v>
      </c>
      <c r="K4575">
        <v>20221202</v>
      </c>
      <c r="L4575" t="s">
        <v>2231</v>
      </c>
      <c r="M4575">
        <v>30</v>
      </c>
      <c r="N4575">
        <v>0</v>
      </c>
      <c r="O4575" t="s">
        <v>23</v>
      </c>
      <c r="P4575">
        <v>20230104</v>
      </c>
      <c r="Q4575">
        <v>20221202</v>
      </c>
    </row>
    <row r="4576" spans="1:17" x14ac:dyDescent="0.25">
      <c r="A4576" t="s">
        <v>548</v>
      </c>
      <c r="B4576" t="s">
        <v>429</v>
      </c>
      <c r="C4576">
        <v>169</v>
      </c>
      <c r="D4576">
        <v>20221202</v>
      </c>
      <c r="E4576">
        <f t="shared" si="71"/>
        <v>12</v>
      </c>
      <c r="F4576">
        <v>531105</v>
      </c>
      <c r="G4576" t="s">
        <v>429</v>
      </c>
      <c r="H4576" t="s">
        <v>401</v>
      </c>
      <c r="I4576" t="s">
        <v>402</v>
      </c>
      <c r="J4576" t="s">
        <v>4540</v>
      </c>
      <c r="K4576">
        <v>20221202</v>
      </c>
      <c r="L4576" t="s">
        <v>2231</v>
      </c>
      <c r="M4576">
        <v>0</v>
      </c>
      <c r="N4576">
        <v>30</v>
      </c>
      <c r="O4576" t="s">
        <v>19</v>
      </c>
      <c r="P4576" t="s">
        <v>20</v>
      </c>
      <c r="Q4576">
        <v>20221202</v>
      </c>
    </row>
    <row r="4577" spans="1:17" x14ac:dyDescent="0.25">
      <c r="A4577" t="s">
        <v>548</v>
      </c>
      <c r="B4577" t="s">
        <v>429</v>
      </c>
      <c r="C4577">
        <v>169</v>
      </c>
      <c r="D4577">
        <v>20221202</v>
      </c>
      <c r="E4577">
        <f t="shared" si="71"/>
        <v>12</v>
      </c>
      <c r="F4577">
        <v>411020</v>
      </c>
      <c r="G4577" t="s">
        <v>30</v>
      </c>
      <c r="H4577" t="s">
        <v>3639</v>
      </c>
      <c r="I4577" t="s">
        <v>3640</v>
      </c>
      <c r="J4577">
        <v>361731</v>
      </c>
      <c r="K4577">
        <v>20221202</v>
      </c>
      <c r="L4577" t="s">
        <v>4541</v>
      </c>
      <c r="M4577">
        <v>0</v>
      </c>
      <c r="N4577">
        <v>12</v>
      </c>
      <c r="O4577" t="s">
        <v>22</v>
      </c>
      <c r="P4577">
        <v>20230218</v>
      </c>
      <c r="Q4577">
        <v>20221202</v>
      </c>
    </row>
    <row r="4578" spans="1:17" x14ac:dyDescent="0.25">
      <c r="A4578" t="s">
        <v>548</v>
      </c>
      <c r="B4578" t="s">
        <v>429</v>
      </c>
      <c r="C4578">
        <v>169</v>
      </c>
      <c r="D4578">
        <v>20221202</v>
      </c>
      <c r="E4578">
        <f t="shared" si="71"/>
        <v>12</v>
      </c>
      <c r="F4578">
        <v>411100</v>
      </c>
      <c r="G4578" t="s">
        <v>18</v>
      </c>
      <c r="H4578" t="s">
        <v>4542</v>
      </c>
      <c r="I4578" t="s">
        <v>4543</v>
      </c>
      <c r="J4578">
        <v>361732</v>
      </c>
      <c r="K4578">
        <v>20221202</v>
      </c>
      <c r="L4578" t="s">
        <v>4544</v>
      </c>
      <c r="M4578">
        <v>0</v>
      </c>
      <c r="N4578">
        <v>13</v>
      </c>
      <c r="O4578" t="s">
        <v>22</v>
      </c>
      <c r="P4578">
        <v>20230218</v>
      </c>
      <c r="Q4578">
        <v>20221202</v>
      </c>
    </row>
    <row r="4579" spans="1:17" x14ac:dyDescent="0.25">
      <c r="A4579" t="s">
        <v>548</v>
      </c>
      <c r="B4579" t="s">
        <v>429</v>
      </c>
      <c r="C4579">
        <v>169</v>
      </c>
      <c r="D4579">
        <v>20221202</v>
      </c>
      <c r="E4579">
        <f t="shared" si="71"/>
        <v>12</v>
      </c>
      <c r="F4579">
        <v>411100</v>
      </c>
      <c r="G4579" t="s">
        <v>18</v>
      </c>
      <c r="H4579" t="s">
        <v>320</v>
      </c>
      <c r="I4579" t="s">
        <v>321</v>
      </c>
      <c r="J4579">
        <v>122110135</v>
      </c>
      <c r="K4579">
        <v>20221202</v>
      </c>
      <c r="L4579" t="s">
        <v>4545</v>
      </c>
      <c r="M4579">
        <v>0</v>
      </c>
      <c r="N4579">
        <v>28.4</v>
      </c>
      <c r="O4579" t="s">
        <v>22</v>
      </c>
      <c r="P4579">
        <v>20230218</v>
      </c>
      <c r="Q4579">
        <v>20221202</v>
      </c>
    </row>
    <row r="4580" spans="1:17" x14ac:dyDescent="0.25">
      <c r="A4580" t="s">
        <v>548</v>
      </c>
      <c r="B4580" t="s">
        <v>429</v>
      </c>
      <c r="C4580">
        <v>169</v>
      </c>
      <c r="D4580">
        <v>20221202</v>
      </c>
      <c r="E4580">
        <f t="shared" si="71"/>
        <v>12</v>
      </c>
      <c r="F4580">
        <v>411100</v>
      </c>
      <c r="G4580" t="s">
        <v>18</v>
      </c>
      <c r="H4580" t="s">
        <v>320</v>
      </c>
      <c r="I4580" t="s">
        <v>321</v>
      </c>
      <c r="J4580">
        <v>122110135</v>
      </c>
      <c r="K4580">
        <v>20221202</v>
      </c>
      <c r="L4580" t="s">
        <v>4546</v>
      </c>
      <c r="M4580">
        <v>0</v>
      </c>
      <c r="N4580">
        <v>10.95</v>
      </c>
      <c r="O4580" t="s">
        <v>22</v>
      </c>
      <c r="P4580">
        <v>20230218</v>
      </c>
      <c r="Q4580">
        <v>20221202</v>
      </c>
    </row>
    <row r="4581" spans="1:17" x14ac:dyDescent="0.25">
      <c r="A4581" t="s">
        <v>548</v>
      </c>
      <c r="B4581" t="s">
        <v>429</v>
      </c>
      <c r="C4581">
        <v>169</v>
      </c>
      <c r="D4581">
        <v>20221202</v>
      </c>
      <c r="E4581">
        <f t="shared" si="71"/>
        <v>12</v>
      </c>
      <c r="F4581">
        <v>531105</v>
      </c>
      <c r="G4581" t="s">
        <v>429</v>
      </c>
      <c r="H4581" t="s">
        <v>401</v>
      </c>
      <c r="I4581" t="s">
        <v>402</v>
      </c>
      <c r="J4581">
        <v>361735</v>
      </c>
      <c r="K4581">
        <v>20221202</v>
      </c>
      <c r="L4581" t="s">
        <v>565</v>
      </c>
      <c r="M4581">
        <v>64.349999999999994</v>
      </c>
      <c r="N4581">
        <v>0</v>
      </c>
      <c r="O4581" t="s">
        <v>19</v>
      </c>
      <c r="P4581" t="s">
        <v>20</v>
      </c>
      <c r="Q4581">
        <v>20221202</v>
      </c>
    </row>
    <row r="4582" spans="1:17" x14ac:dyDescent="0.25">
      <c r="A4582" t="s">
        <v>548</v>
      </c>
      <c r="B4582" t="s">
        <v>429</v>
      </c>
      <c r="C4582">
        <v>169</v>
      </c>
      <c r="D4582">
        <v>20221206</v>
      </c>
      <c r="E4582">
        <f t="shared" si="71"/>
        <v>12</v>
      </c>
      <c r="F4582">
        <v>467100</v>
      </c>
      <c r="G4582" t="s">
        <v>160</v>
      </c>
      <c r="H4582" t="s">
        <v>316</v>
      </c>
      <c r="I4582" t="s">
        <v>317</v>
      </c>
      <c r="J4582" t="s">
        <v>4547</v>
      </c>
      <c r="K4582">
        <v>20221206</v>
      </c>
      <c r="L4582" t="s">
        <v>2298</v>
      </c>
      <c r="M4582">
        <v>0</v>
      </c>
      <c r="N4582">
        <v>7.0000000000000007E-2</v>
      </c>
      <c r="O4582" t="s">
        <v>23</v>
      </c>
      <c r="P4582">
        <v>20230104</v>
      </c>
      <c r="Q4582">
        <v>20221206</v>
      </c>
    </row>
    <row r="4583" spans="1:17" x14ac:dyDescent="0.25">
      <c r="A4583" t="s">
        <v>548</v>
      </c>
      <c r="B4583" t="s">
        <v>429</v>
      </c>
      <c r="C4583">
        <v>169</v>
      </c>
      <c r="D4583">
        <v>20221206</v>
      </c>
      <c r="E4583">
        <f t="shared" si="71"/>
        <v>12</v>
      </c>
      <c r="F4583">
        <v>531105</v>
      </c>
      <c r="G4583" t="s">
        <v>429</v>
      </c>
      <c r="H4583" t="s">
        <v>401</v>
      </c>
      <c r="I4583" t="s">
        <v>402</v>
      </c>
      <c r="J4583" t="s">
        <v>4547</v>
      </c>
      <c r="K4583">
        <v>20221206</v>
      </c>
      <c r="L4583" t="s">
        <v>2298</v>
      </c>
      <c r="M4583">
        <v>7.0000000000000007E-2</v>
      </c>
      <c r="N4583">
        <v>0</v>
      </c>
      <c r="O4583" t="s">
        <v>19</v>
      </c>
      <c r="P4583" t="s">
        <v>20</v>
      </c>
      <c r="Q4583">
        <v>20221206</v>
      </c>
    </row>
    <row r="4584" spans="1:17" x14ac:dyDescent="0.25">
      <c r="A4584" t="s">
        <v>548</v>
      </c>
      <c r="B4584" t="s">
        <v>429</v>
      </c>
      <c r="C4584">
        <v>169</v>
      </c>
      <c r="D4584">
        <v>20221206</v>
      </c>
      <c r="E4584">
        <f t="shared" si="71"/>
        <v>12</v>
      </c>
      <c r="F4584">
        <v>411100</v>
      </c>
      <c r="G4584" t="s">
        <v>18</v>
      </c>
      <c r="H4584" t="s">
        <v>352</v>
      </c>
      <c r="I4584" t="s">
        <v>353</v>
      </c>
      <c r="J4584">
        <v>122120003</v>
      </c>
      <c r="K4584">
        <v>20221206</v>
      </c>
      <c r="L4584" t="s">
        <v>4548</v>
      </c>
      <c r="M4584">
        <v>0</v>
      </c>
      <c r="N4584">
        <v>50.28</v>
      </c>
      <c r="O4584" t="s">
        <v>19</v>
      </c>
      <c r="P4584" t="s">
        <v>20</v>
      </c>
      <c r="Q4584">
        <v>20221206</v>
      </c>
    </row>
    <row r="4585" spans="1:17" x14ac:dyDescent="0.25">
      <c r="A4585" t="s">
        <v>548</v>
      </c>
      <c r="B4585" t="s">
        <v>429</v>
      </c>
      <c r="C4585">
        <v>169</v>
      </c>
      <c r="D4585">
        <v>20221206</v>
      </c>
      <c r="E4585">
        <f t="shared" si="71"/>
        <v>12</v>
      </c>
      <c r="F4585">
        <v>531105</v>
      </c>
      <c r="G4585" t="s">
        <v>429</v>
      </c>
      <c r="H4585" t="s">
        <v>401</v>
      </c>
      <c r="I4585" t="s">
        <v>402</v>
      </c>
      <c r="J4585">
        <v>361737</v>
      </c>
      <c r="K4585">
        <v>20221206</v>
      </c>
      <c r="L4585" t="s">
        <v>565</v>
      </c>
      <c r="M4585">
        <v>50.28</v>
      </c>
      <c r="N4585">
        <v>0</v>
      </c>
      <c r="O4585" t="s">
        <v>19</v>
      </c>
      <c r="P4585" t="s">
        <v>20</v>
      </c>
      <c r="Q4585">
        <v>20221206</v>
      </c>
    </row>
    <row r="4586" spans="1:17" x14ac:dyDescent="0.25">
      <c r="A4586" t="s">
        <v>548</v>
      </c>
      <c r="B4586" t="s">
        <v>429</v>
      </c>
      <c r="C4586">
        <v>169</v>
      </c>
      <c r="D4586">
        <v>20221206</v>
      </c>
      <c r="E4586">
        <f t="shared" si="71"/>
        <v>12</v>
      </c>
      <c r="F4586">
        <v>411020</v>
      </c>
      <c r="G4586" t="s">
        <v>30</v>
      </c>
      <c r="H4586" t="s">
        <v>4147</v>
      </c>
      <c r="I4586" t="s">
        <v>4148</v>
      </c>
      <c r="J4586">
        <v>322110016</v>
      </c>
      <c r="K4586">
        <v>20221206</v>
      </c>
      <c r="L4586" t="s">
        <v>4549</v>
      </c>
      <c r="M4586">
        <v>0</v>
      </c>
      <c r="N4586">
        <v>30.5</v>
      </c>
      <c r="O4586" t="s">
        <v>22</v>
      </c>
      <c r="P4586">
        <v>20230218</v>
      </c>
      <c r="Q4586">
        <v>20221206</v>
      </c>
    </row>
    <row r="4587" spans="1:17" x14ac:dyDescent="0.25">
      <c r="A4587" t="s">
        <v>548</v>
      </c>
      <c r="B4587" t="s">
        <v>429</v>
      </c>
      <c r="C4587">
        <v>169</v>
      </c>
      <c r="D4587">
        <v>20221206</v>
      </c>
      <c r="E4587">
        <f t="shared" si="71"/>
        <v>12</v>
      </c>
      <c r="F4587">
        <v>411020</v>
      </c>
      <c r="G4587" t="s">
        <v>30</v>
      </c>
      <c r="H4587" t="s">
        <v>4147</v>
      </c>
      <c r="I4587" t="s">
        <v>4148</v>
      </c>
      <c r="J4587">
        <v>322110016</v>
      </c>
      <c r="K4587">
        <v>20221206</v>
      </c>
      <c r="L4587" t="s">
        <v>4550</v>
      </c>
      <c r="M4587">
        <v>0</v>
      </c>
      <c r="N4587">
        <v>0.5</v>
      </c>
      <c r="O4587" t="s">
        <v>22</v>
      </c>
      <c r="P4587">
        <v>20230218</v>
      </c>
      <c r="Q4587">
        <v>20221206</v>
      </c>
    </row>
    <row r="4588" spans="1:17" x14ac:dyDescent="0.25">
      <c r="A4588" t="s">
        <v>548</v>
      </c>
      <c r="B4588" t="s">
        <v>429</v>
      </c>
      <c r="C4588">
        <v>169</v>
      </c>
      <c r="D4588">
        <v>20221206</v>
      </c>
      <c r="E4588">
        <f t="shared" si="71"/>
        <v>12</v>
      </c>
      <c r="F4588">
        <v>411100</v>
      </c>
      <c r="G4588" t="s">
        <v>18</v>
      </c>
      <c r="H4588" t="s">
        <v>3635</v>
      </c>
      <c r="I4588" t="s">
        <v>3636</v>
      </c>
      <c r="J4588">
        <v>322110011</v>
      </c>
      <c r="K4588">
        <v>20221206</v>
      </c>
      <c r="L4588" t="s">
        <v>4551</v>
      </c>
      <c r="M4588">
        <v>0</v>
      </c>
      <c r="N4588">
        <v>51.29</v>
      </c>
      <c r="O4588" t="s">
        <v>19</v>
      </c>
      <c r="P4588" t="s">
        <v>20</v>
      </c>
      <c r="Q4588">
        <v>20221206</v>
      </c>
    </row>
    <row r="4589" spans="1:17" x14ac:dyDescent="0.25">
      <c r="A4589" t="s">
        <v>548</v>
      </c>
      <c r="B4589" t="s">
        <v>429</v>
      </c>
      <c r="C4589">
        <v>169</v>
      </c>
      <c r="D4589">
        <v>20221206</v>
      </c>
      <c r="E4589">
        <f t="shared" si="71"/>
        <v>12</v>
      </c>
      <c r="F4589">
        <v>531105</v>
      </c>
      <c r="G4589" t="s">
        <v>429</v>
      </c>
      <c r="H4589" t="s">
        <v>401</v>
      </c>
      <c r="I4589" t="s">
        <v>402</v>
      </c>
      <c r="J4589">
        <v>361810</v>
      </c>
      <c r="K4589">
        <v>20221206</v>
      </c>
      <c r="L4589" t="s">
        <v>565</v>
      </c>
      <c r="M4589">
        <v>82.29</v>
      </c>
      <c r="N4589">
        <v>0</v>
      </c>
      <c r="O4589" t="s">
        <v>19</v>
      </c>
      <c r="P4589" t="s">
        <v>20</v>
      </c>
      <c r="Q4589">
        <v>20221206</v>
      </c>
    </row>
    <row r="4590" spans="1:17" x14ac:dyDescent="0.25">
      <c r="A4590" t="s">
        <v>548</v>
      </c>
      <c r="B4590" t="s">
        <v>429</v>
      </c>
      <c r="C4590">
        <v>169</v>
      </c>
      <c r="D4590">
        <v>20221207</v>
      </c>
      <c r="E4590">
        <f t="shared" si="71"/>
        <v>12</v>
      </c>
      <c r="F4590">
        <v>411100</v>
      </c>
      <c r="G4590" t="s">
        <v>18</v>
      </c>
      <c r="H4590" t="s">
        <v>638</v>
      </c>
      <c r="I4590" t="s">
        <v>639</v>
      </c>
      <c r="J4590">
        <v>122110166</v>
      </c>
      <c r="K4590">
        <v>20221207</v>
      </c>
      <c r="L4590" t="s">
        <v>4552</v>
      </c>
      <c r="M4590">
        <v>0</v>
      </c>
      <c r="N4590">
        <v>63.9</v>
      </c>
      <c r="O4590" t="s">
        <v>19</v>
      </c>
      <c r="P4590" t="s">
        <v>20</v>
      </c>
      <c r="Q4590">
        <v>20221207</v>
      </c>
    </row>
    <row r="4591" spans="1:17" x14ac:dyDescent="0.25">
      <c r="A4591" t="s">
        <v>548</v>
      </c>
      <c r="B4591" t="s">
        <v>429</v>
      </c>
      <c r="C4591">
        <v>169</v>
      </c>
      <c r="D4591">
        <v>20221207</v>
      </c>
      <c r="E4591">
        <f t="shared" si="71"/>
        <v>12</v>
      </c>
      <c r="F4591">
        <v>531105</v>
      </c>
      <c r="G4591" t="s">
        <v>429</v>
      </c>
      <c r="H4591" t="s">
        <v>401</v>
      </c>
      <c r="I4591" t="s">
        <v>402</v>
      </c>
      <c r="J4591">
        <v>361739</v>
      </c>
      <c r="K4591">
        <v>20221207</v>
      </c>
      <c r="L4591" t="s">
        <v>565</v>
      </c>
      <c r="M4591">
        <v>63.9</v>
      </c>
      <c r="N4591">
        <v>0</v>
      </c>
      <c r="O4591" t="s">
        <v>19</v>
      </c>
      <c r="P4591" t="s">
        <v>20</v>
      </c>
      <c r="Q4591">
        <v>20221207</v>
      </c>
    </row>
    <row r="4592" spans="1:17" x14ac:dyDescent="0.25">
      <c r="A4592" t="s">
        <v>548</v>
      </c>
      <c r="B4592" t="s">
        <v>429</v>
      </c>
      <c r="C4592">
        <v>169</v>
      </c>
      <c r="D4592">
        <v>20221208</v>
      </c>
      <c r="E4592">
        <f t="shared" si="71"/>
        <v>12</v>
      </c>
      <c r="F4592">
        <v>467100</v>
      </c>
      <c r="G4592" t="s">
        <v>160</v>
      </c>
      <c r="H4592" t="s">
        <v>316</v>
      </c>
      <c r="I4592" t="s">
        <v>317</v>
      </c>
      <c r="J4592" t="s">
        <v>4553</v>
      </c>
      <c r="K4592">
        <v>20221208</v>
      </c>
      <c r="L4592" t="s">
        <v>4554</v>
      </c>
      <c r="M4592">
        <v>147.47999999999999</v>
      </c>
      <c r="N4592">
        <v>0</v>
      </c>
      <c r="O4592" t="s">
        <v>23</v>
      </c>
      <c r="P4592">
        <v>20230104</v>
      </c>
      <c r="Q4592">
        <v>20221208</v>
      </c>
    </row>
    <row r="4593" spans="1:17" x14ac:dyDescent="0.25">
      <c r="A4593" t="s">
        <v>548</v>
      </c>
      <c r="B4593" t="s">
        <v>429</v>
      </c>
      <c r="C4593">
        <v>169</v>
      </c>
      <c r="D4593">
        <v>20221208</v>
      </c>
      <c r="E4593">
        <f t="shared" si="71"/>
        <v>12</v>
      </c>
      <c r="F4593">
        <v>531105</v>
      </c>
      <c r="G4593" t="s">
        <v>429</v>
      </c>
      <c r="H4593" t="s">
        <v>401</v>
      </c>
      <c r="I4593" t="s">
        <v>402</v>
      </c>
      <c r="J4593" t="s">
        <v>4553</v>
      </c>
      <c r="K4593">
        <v>20221208</v>
      </c>
      <c r="L4593" t="s">
        <v>4554</v>
      </c>
      <c r="M4593">
        <v>0</v>
      </c>
      <c r="N4593">
        <v>147.47999999999999</v>
      </c>
      <c r="O4593" t="s">
        <v>19</v>
      </c>
      <c r="P4593" t="s">
        <v>20</v>
      </c>
      <c r="Q4593">
        <v>20221208</v>
      </c>
    </row>
    <row r="4594" spans="1:17" x14ac:dyDescent="0.25">
      <c r="A4594" t="s">
        <v>548</v>
      </c>
      <c r="B4594" t="s">
        <v>429</v>
      </c>
      <c r="C4594">
        <v>169</v>
      </c>
      <c r="D4594">
        <v>20221208</v>
      </c>
      <c r="E4594">
        <f t="shared" si="71"/>
        <v>12</v>
      </c>
      <c r="F4594">
        <v>467100</v>
      </c>
      <c r="G4594" t="s">
        <v>160</v>
      </c>
      <c r="H4594" t="s">
        <v>1201</v>
      </c>
      <c r="I4594" t="s">
        <v>1202</v>
      </c>
      <c r="J4594" t="s">
        <v>4555</v>
      </c>
      <c r="K4594">
        <v>20221208</v>
      </c>
      <c r="L4594" t="s">
        <v>4556</v>
      </c>
      <c r="M4594">
        <v>7.14</v>
      </c>
      <c r="N4594">
        <v>0</v>
      </c>
      <c r="O4594" t="s">
        <v>23</v>
      </c>
      <c r="P4594">
        <v>20221219</v>
      </c>
      <c r="Q4594">
        <v>20221208</v>
      </c>
    </row>
    <row r="4595" spans="1:17" x14ac:dyDescent="0.25">
      <c r="A4595" t="s">
        <v>548</v>
      </c>
      <c r="B4595" t="s">
        <v>429</v>
      </c>
      <c r="C4595">
        <v>169</v>
      </c>
      <c r="D4595">
        <v>20221208</v>
      </c>
      <c r="E4595">
        <f t="shared" si="71"/>
        <v>12</v>
      </c>
      <c r="F4595">
        <v>531105</v>
      </c>
      <c r="G4595" t="s">
        <v>429</v>
      </c>
      <c r="H4595" t="s">
        <v>401</v>
      </c>
      <c r="I4595" t="s">
        <v>402</v>
      </c>
      <c r="J4595" t="s">
        <v>4555</v>
      </c>
      <c r="K4595">
        <v>20221208</v>
      </c>
      <c r="L4595" t="s">
        <v>4556</v>
      </c>
      <c r="M4595">
        <v>0</v>
      </c>
      <c r="N4595">
        <v>7.14</v>
      </c>
      <c r="O4595" t="s">
        <v>19</v>
      </c>
      <c r="P4595" t="s">
        <v>20</v>
      </c>
      <c r="Q4595">
        <v>20221208</v>
      </c>
    </row>
    <row r="4596" spans="1:17" x14ac:dyDescent="0.25">
      <c r="A4596" t="s">
        <v>548</v>
      </c>
      <c r="B4596" t="s">
        <v>429</v>
      </c>
      <c r="C4596">
        <v>169</v>
      </c>
      <c r="D4596">
        <v>20221208</v>
      </c>
      <c r="E4596">
        <f t="shared" si="71"/>
        <v>12</v>
      </c>
      <c r="F4596">
        <v>411100</v>
      </c>
      <c r="G4596" t="s">
        <v>18</v>
      </c>
      <c r="H4596" t="s">
        <v>194</v>
      </c>
      <c r="I4596" t="s">
        <v>195</v>
      </c>
      <c r="J4596">
        <v>122100150</v>
      </c>
      <c r="K4596">
        <v>20221208</v>
      </c>
      <c r="L4596" t="s">
        <v>4557</v>
      </c>
      <c r="M4596">
        <v>0</v>
      </c>
      <c r="N4596">
        <v>13.5</v>
      </c>
      <c r="O4596" t="s">
        <v>22</v>
      </c>
      <c r="P4596">
        <v>20230218</v>
      </c>
      <c r="Q4596">
        <v>20221208</v>
      </c>
    </row>
    <row r="4597" spans="1:17" x14ac:dyDescent="0.25">
      <c r="A4597" t="s">
        <v>548</v>
      </c>
      <c r="B4597" t="s">
        <v>429</v>
      </c>
      <c r="C4597">
        <v>169</v>
      </c>
      <c r="D4597">
        <v>20221208</v>
      </c>
      <c r="E4597">
        <f t="shared" si="71"/>
        <v>12</v>
      </c>
      <c r="F4597">
        <v>411100</v>
      </c>
      <c r="G4597" t="s">
        <v>18</v>
      </c>
      <c r="H4597" t="s">
        <v>3648</v>
      </c>
      <c r="I4597" t="s">
        <v>3649</v>
      </c>
      <c r="J4597">
        <v>122110151</v>
      </c>
      <c r="K4597">
        <v>20221208</v>
      </c>
      <c r="L4597" t="s">
        <v>4558</v>
      </c>
      <c r="M4597">
        <v>0</v>
      </c>
      <c r="N4597">
        <v>3</v>
      </c>
      <c r="O4597" t="s">
        <v>22</v>
      </c>
      <c r="P4597">
        <v>20230218</v>
      </c>
      <c r="Q4597">
        <v>20221208</v>
      </c>
    </row>
    <row r="4598" spans="1:17" x14ac:dyDescent="0.25">
      <c r="A4598" t="s">
        <v>548</v>
      </c>
      <c r="B4598" t="s">
        <v>429</v>
      </c>
      <c r="C4598">
        <v>169</v>
      </c>
      <c r="D4598">
        <v>20221208</v>
      </c>
      <c r="E4598">
        <f t="shared" si="71"/>
        <v>12</v>
      </c>
      <c r="F4598">
        <v>531105</v>
      </c>
      <c r="G4598" t="s">
        <v>429</v>
      </c>
      <c r="H4598" t="s">
        <v>401</v>
      </c>
      <c r="I4598" t="s">
        <v>402</v>
      </c>
      <c r="J4598">
        <v>361992</v>
      </c>
      <c r="K4598">
        <v>20221208</v>
      </c>
      <c r="L4598" t="s">
        <v>565</v>
      </c>
      <c r="M4598">
        <v>16.5</v>
      </c>
      <c r="N4598">
        <v>0</v>
      </c>
      <c r="O4598" t="s">
        <v>19</v>
      </c>
      <c r="P4598" t="s">
        <v>20</v>
      </c>
      <c r="Q4598">
        <v>20221208</v>
      </c>
    </row>
    <row r="4599" spans="1:17" x14ac:dyDescent="0.25">
      <c r="A4599" t="s">
        <v>548</v>
      </c>
      <c r="B4599" t="s">
        <v>429</v>
      </c>
      <c r="C4599">
        <v>169</v>
      </c>
      <c r="D4599">
        <v>20221209</v>
      </c>
      <c r="E4599">
        <f t="shared" si="71"/>
        <v>12</v>
      </c>
      <c r="F4599">
        <v>467100</v>
      </c>
      <c r="G4599" t="s">
        <v>160</v>
      </c>
      <c r="H4599" t="s">
        <v>668</v>
      </c>
      <c r="I4599" t="s">
        <v>669</v>
      </c>
      <c r="J4599" t="s">
        <v>4559</v>
      </c>
      <c r="K4599">
        <v>20221209</v>
      </c>
      <c r="L4599" t="s">
        <v>4560</v>
      </c>
      <c r="M4599">
        <v>100</v>
      </c>
      <c r="N4599">
        <v>0</v>
      </c>
      <c r="O4599" t="s">
        <v>23</v>
      </c>
      <c r="P4599">
        <v>20230123</v>
      </c>
      <c r="Q4599">
        <v>20221209</v>
      </c>
    </row>
    <row r="4600" spans="1:17" x14ac:dyDescent="0.25">
      <c r="A4600" t="s">
        <v>548</v>
      </c>
      <c r="B4600" t="s">
        <v>429</v>
      </c>
      <c r="C4600">
        <v>169</v>
      </c>
      <c r="D4600">
        <v>20221209</v>
      </c>
      <c r="E4600">
        <f t="shared" si="71"/>
        <v>12</v>
      </c>
      <c r="F4600">
        <v>531105</v>
      </c>
      <c r="G4600" t="s">
        <v>429</v>
      </c>
      <c r="H4600" t="s">
        <v>401</v>
      </c>
      <c r="I4600" t="s">
        <v>402</v>
      </c>
      <c r="J4600" t="s">
        <v>4559</v>
      </c>
      <c r="K4600">
        <v>20221209</v>
      </c>
      <c r="L4600" t="s">
        <v>4560</v>
      </c>
      <c r="M4600">
        <v>0</v>
      </c>
      <c r="N4600">
        <v>100</v>
      </c>
      <c r="O4600" t="s">
        <v>19</v>
      </c>
      <c r="P4600" t="s">
        <v>20</v>
      </c>
      <c r="Q4600">
        <v>20221209</v>
      </c>
    </row>
    <row r="4601" spans="1:17" x14ac:dyDescent="0.25">
      <c r="A4601" t="s">
        <v>548</v>
      </c>
      <c r="B4601" t="s">
        <v>429</v>
      </c>
      <c r="C4601">
        <v>169</v>
      </c>
      <c r="D4601">
        <v>20221209</v>
      </c>
      <c r="E4601">
        <f t="shared" si="71"/>
        <v>12</v>
      </c>
      <c r="F4601">
        <v>467100</v>
      </c>
      <c r="G4601" t="s">
        <v>160</v>
      </c>
      <c r="H4601" t="s">
        <v>316</v>
      </c>
      <c r="I4601" t="s">
        <v>317</v>
      </c>
      <c r="J4601" t="s">
        <v>4561</v>
      </c>
      <c r="K4601">
        <v>20221209</v>
      </c>
      <c r="L4601" t="s">
        <v>4562</v>
      </c>
      <c r="M4601">
        <v>7.98</v>
      </c>
      <c r="N4601">
        <v>0</v>
      </c>
      <c r="O4601" t="s">
        <v>23</v>
      </c>
      <c r="P4601">
        <v>20230104</v>
      </c>
      <c r="Q4601">
        <v>20221209</v>
      </c>
    </row>
    <row r="4602" spans="1:17" x14ac:dyDescent="0.25">
      <c r="A4602" t="s">
        <v>548</v>
      </c>
      <c r="B4602" t="s">
        <v>429</v>
      </c>
      <c r="C4602">
        <v>169</v>
      </c>
      <c r="D4602">
        <v>20221209</v>
      </c>
      <c r="E4602">
        <f t="shared" si="71"/>
        <v>12</v>
      </c>
      <c r="F4602">
        <v>531105</v>
      </c>
      <c r="G4602" t="s">
        <v>429</v>
      </c>
      <c r="H4602" t="s">
        <v>401</v>
      </c>
      <c r="I4602" t="s">
        <v>402</v>
      </c>
      <c r="J4602" t="s">
        <v>4561</v>
      </c>
      <c r="K4602">
        <v>20221209</v>
      </c>
      <c r="L4602" t="s">
        <v>4562</v>
      </c>
      <c r="M4602">
        <v>0</v>
      </c>
      <c r="N4602">
        <v>7.98</v>
      </c>
      <c r="O4602" t="s">
        <v>19</v>
      </c>
      <c r="P4602" t="s">
        <v>20</v>
      </c>
      <c r="Q4602">
        <v>20221209</v>
      </c>
    </row>
    <row r="4603" spans="1:17" x14ac:dyDescent="0.25">
      <c r="A4603" t="s">
        <v>548</v>
      </c>
      <c r="B4603" t="s">
        <v>429</v>
      </c>
      <c r="C4603">
        <v>169</v>
      </c>
      <c r="D4603">
        <v>20221209</v>
      </c>
      <c r="E4603">
        <f t="shared" si="71"/>
        <v>12</v>
      </c>
      <c r="F4603">
        <v>411100</v>
      </c>
      <c r="G4603" t="s">
        <v>18</v>
      </c>
      <c r="H4603" t="s">
        <v>3754</v>
      </c>
      <c r="I4603" t="s">
        <v>3755</v>
      </c>
      <c r="J4603">
        <v>361993</v>
      </c>
      <c r="K4603">
        <v>20221209</v>
      </c>
      <c r="L4603" t="s">
        <v>4563</v>
      </c>
      <c r="M4603">
        <v>0</v>
      </c>
      <c r="N4603">
        <v>12</v>
      </c>
      <c r="O4603" t="s">
        <v>22</v>
      </c>
      <c r="P4603">
        <v>20230218</v>
      </c>
      <c r="Q4603">
        <v>20221209</v>
      </c>
    </row>
    <row r="4604" spans="1:17" x14ac:dyDescent="0.25">
      <c r="A4604" t="s">
        <v>548</v>
      </c>
      <c r="B4604" t="s">
        <v>429</v>
      </c>
      <c r="C4604">
        <v>169</v>
      </c>
      <c r="D4604">
        <v>20221209</v>
      </c>
      <c r="E4604">
        <f t="shared" si="71"/>
        <v>12</v>
      </c>
      <c r="F4604">
        <v>411100</v>
      </c>
      <c r="G4604" t="s">
        <v>18</v>
      </c>
      <c r="H4604" t="s">
        <v>2738</v>
      </c>
      <c r="I4604" t="s">
        <v>2739</v>
      </c>
      <c r="J4604">
        <v>122110171</v>
      </c>
      <c r="K4604">
        <v>20221209</v>
      </c>
      <c r="L4604" t="s">
        <v>4564</v>
      </c>
      <c r="M4604">
        <v>0</v>
      </c>
      <c r="N4604">
        <v>42.6</v>
      </c>
      <c r="O4604" t="s">
        <v>19</v>
      </c>
      <c r="P4604" t="s">
        <v>20</v>
      </c>
      <c r="Q4604">
        <v>20221209</v>
      </c>
    </row>
    <row r="4605" spans="1:17" x14ac:dyDescent="0.25">
      <c r="A4605" t="s">
        <v>548</v>
      </c>
      <c r="B4605" t="s">
        <v>429</v>
      </c>
      <c r="C4605">
        <v>169</v>
      </c>
      <c r="D4605">
        <v>20221209</v>
      </c>
      <c r="E4605">
        <f t="shared" si="71"/>
        <v>12</v>
      </c>
      <c r="F4605">
        <v>531105</v>
      </c>
      <c r="G4605" t="s">
        <v>429</v>
      </c>
      <c r="H4605" t="s">
        <v>401</v>
      </c>
      <c r="I4605" t="s">
        <v>402</v>
      </c>
      <c r="J4605">
        <v>361995</v>
      </c>
      <c r="K4605">
        <v>20221209</v>
      </c>
      <c r="L4605" t="s">
        <v>565</v>
      </c>
      <c r="M4605">
        <v>54.6</v>
      </c>
      <c r="N4605">
        <v>0</v>
      </c>
      <c r="O4605" t="s">
        <v>19</v>
      </c>
      <c r="P4605" t="s">
        <v>20</v>
      </c>
      <c r="Q4605">
        <v>20221209</v>
      </c>
    </row>
    <row r="4606" spans="1:17" x14ac:dyDescent="0.25">
      <c r="A4606" t="s">
        <v>548</v>
      </c>
      <c r="B4606" t="s">
        <v>429</v>
      </c>
      <c r="C4606">
        <v>169</v>
      </c>
      <c r="D4606">
        <v>20221209</v>
      </c>
      <c r="E4606">
        <f t="shared" si="71"/>
        <v>12</v>
      </c>
      <c r="F4606">
        <v>411100</v>
      </c>
      <c r="G4606" t="s">
        <v>18</v>
      </c>
      <c r="H4606" t="s">
        <v>4465</v>
      </c>
      <c r="I4606" t="s">
        <v>4466</v>
      </c>
      <c r="J4606">
        <v>362021</v>
      </c>
      <c r="K4606">
        <v>20221209</v>
      </c>
      <c r="L4606" t="s">
        <v>4565</v>
      </c>
      <c r="M4606">
        <v>0</v>
      </c>
      <c r="N4606">
        <v>10</v>
      </c>
      <c r="O4606" t="s">
        <v>22</v>
      </c>
      <c r="P4606">
        <v>20230218</v>
      </c>
      <c r="Q4606">
        <v>20221209</v>
      </c>
    </row>
    <row r="4607" spans="1:17" x14ac:dyDescent="0.25">
      <c r="A4607" t="s">
        <v>548</v>
      </c>
      <c r="B4607" t="s">
        <v>429</v>
      </c>
      <c r="C4607">
        <v>169</v>
      </c>
      <c r="D4607">
        <v>20221209</v>
      </c>
      <c r="E4607">
        <f t="shared" si="71"/>
        <v>12</v>
      </c>
      <c r="F4607">
        <v>531105</v>
      </c>
      <c r="G4607" t="s">
        <v>429</v>
      </c>
      <c r="H4607" t="s">
        <v>401</v>
      </c>
      <c r="I4607" t="s">
        <v>402</v>
      </c>
      <c r="J4607">
        <v>362022</v>
      </c>
      <c r="K4607">
        <v>20221209</v>
      </c>
      <c r="L4607" t="s">
        <v>565</v>
      </c>
      <c r="M4607">
        <v>10</v>
      </c>
      <c r="N4607">
        <v>0</v>
      </c>
      <c r="O4607" t="s">
        <v>19</v>
      </c>
      <c r="P4607" t="s">
        <v>20</v>
      </c>
      <c r="Q4607">
        <v>20221209</v>
      </c>
    </row>
    <row r="4608" spans="1:17" x14ac:dyDescent="0.25">
      <c r="A4608" t="s">
        <v>548</v>
      </c>
      <c r="B4608" t="s">
        <v>429</v>
      </c>
      <c r="C4608">
        <v>169</v>
      </c>
      <c r="D4608">
        <v>20221212</v>
      </c>
      <c r="E4608">
        <f t="shared" si="71"/>
        <v>12</v>
      </c>
      <c r="F4608">
        <v>467100</v>
      </c>
      <c r="G4608" t="s">
        <v>160</v>
      </c>
      <c r="H4608" t="s">
        <v>668</v>
      </c>
      <c r="I4608" t="s">
        <v>669</v>
      </c>
      <c r="J4608" t="s">
        <v>4566</v>
      </c>
      <c r="K4608">
        <v>20221212</v>
      </c>
      <c r="L4608" t="s">
        <v>4567</v>
      </c>
      <c r="M4608">
        <v>0</v>
      </c>
      <c r="N4608">
        <v>9.16</v>
      </c>
      <c r="O4608" t="s">
        <v>23</v>
      </c>
      <c r="P4608">
        <v>20230123</v>
      </c>
      <c r="Q4608">
        <v>20221212</v>
      </c>
    </row>
    <row r="4609" spans="1:17" x14ac:dyDescent="0.25">
      <c r="A4609" t="s">
        <v>548</v>
      </c>
      <c r="B4609" t="s">
        <v>429</v>
      </c>
      <c r="C4609">
        <v>169</v>
      </c>
      <c r="D4609">
        <v>20221212</v>
      </c>
      <c r="E4609">
        <f t="shared" si="71"/>
        <v>12</v>
      </c>
      <c r="F4609">
        <v>531105</v>
      </c>
      <c r="G4609" t="s">
        <v>429</v>
      </c>
      <c r="H4609" t="s">
        <v>401</v>
      </c>
      <c r="I4609" t="s">
        <v>402</v>
      </c>
      <c r="J4609" t="s">
        <v>4566</v>
      </c>
      <c r="K4609">
        <v>20221212</v>
      </c>
      <c r="L4609" t="s">
        <v>4567</v>
      </c>
      <c r="M4609">
        <v>9.16</v>
      </c>
      <c r="N4609">
        <v>0</v>
      </c>
      <c r="O4609" t="s">
        <v>19</v>
      </c>
      <c r="P4609" t="s">
        <v>20</v>
      </c>
      <c r="Q4609">
        <v>20221212</v>
      </c>
    </row>
    <row r="4610" spans="1:17" x14ac:dyDescent="0.25">
      <c r="A4610" t="s">
        <v>548</v>
      </c>
      <c r="B4610" t="s">
        <v>429</v>
      </c>
      <c r="C4610">
        <v>169</v>
      </c>
      <c r="D4610">
        <v>20221212</v>
      </c>
      <c r="E4610">
        <f t="shared" si="71"/>
        <v>12</v>
      </c>
      <c r="F4610">
        <v>467100</v>
      </c>
      <c r="G4610" t="s">
        <v>160</v>
      </c>
      <c r="H4610" t="s">
        <v>2232</v>
      </c>
      <c r="I4610" t="s">
        <v>2233</v>
      </c>
      <c r="J4610" t="s">
        <v>4568</v>
      </c>
      <c r="K4610">
        <v>20221212</v>
      </c>
      <c r="L4610" t="s">
        <v>4569</v>
      </c>
      <c r="M4610">
        <v>85.7</v>
      </c>
      <c r="N4610">
        <v>0</v>
      </c>
      <c r="O4610" t="s">
        <v>23</v>
      </c>
      <c r="P4610">
        <v>20230322</v>
      </c>
      <c r="Q4610">
        <v>20221212</v>
      </c>
    </row>
    <row r="4611" spans="1:17" x14ac:dyDescent="0.25">
      <c r="A4611" t="s">
        <v>548</v>
      </c>
      <c r="B4611" t="s">
        <v>429</v>
      </c>
      <c r="C4611">
        <v>169</v>
      </c>
      <c r="D4611">
        <v>20221212</v>
      </c>
      <c r="E4611">
        <f t="shared" ref="E4611:E4674" si="72">VALUE(MID(D4611,5,2))</f>
        <v>12</v>
      </c>
      <c r="F4611">
        <v>531105</v>
      </c>
      <c r="G4611" t="s">
        <v>429</v>
      </c>
      <c r="H4611" t="s">
        <v>401</v>
      </c>
      <c r="I4611" t="s">
        <v>402</v>
      </c>
      <c r="J4611" t="s">
        <v>4568</v>
      </c>
      <c r="K4611">
        <v>20221212</v>
      </c>
      <c r="L4611" t="s">
        <v>4569</v>
      </c>
      <c r="M4611">
        <v>0</v>
      </c>
      <c r="N4611">
        <v>85.7</v>
      </c>
      <c r="O4611" t="s">
        <v>19</v>
      </c>
      <c r="P4611" t="s">
        <v>20</v>
      </c>
      <c r="Q4611">
        <v>20221212</v>
      </c>
    </row>
    <row r="4612" spans="1:17" x14ac:dyDescent="0.25">
      <c r="A4612" t="s">
        <v>548</v>
      </c>
      <c r="B4612" t="s">
        <v>429</v>
      </c>
      <c r="C4612">
        <v>169</v>
      </c>
      <c r="D4612">
        <v>20221212</v>
      </c>
      <c r="E4612">
        <f t="shared" si="72"/>
        <v>12</v>
      </c>
      <c r="F4612">
        <v>411100</v>
      </c>
      <c r="G4612" t="s">
        <v>18</v>
      </c>
      <c r="H4612" t="s">
        <v>3536</v>
      </c>
      <c r="I4612" t="s">
        <v>3537</v>
      </c>
      <c r="J4612">
        <v>361996</v>
      </c>
      <c r="K4612">
        <v>20221212</v>
      </c>
      <c r="L4612" t="s">
        <v>4570</v>
      </c>
      <c r="M4612">
        <v>0</v>
      </c>
      <c r="N4612">
        <v>19.2</v>
      </c>
      <c r="O4612" t="s">
        <v>22</v>
      </c>
      <c r="P4612">
        <v>20230218</v>
      </c>
      <c r="Q4612">
        <v>20221212</v>
      </c>
    </row>
    <row r="4613" spans="1:17" x14ac:dyDescent="0.25">
      <c r="A4613" t="s">
        <v>548</v>
      </c>
      <c r="B4613" t="s">
        <v>429</v>
      </c>
      <c r="C4613">
        <v>169</v>
      </c>
      <c r="D4613">
        <v>20221212</v>
      </c>
      <c r="E4613">
        <f t="shared" si="72"/>
        <v>12</v>
      </c>
      <c r="F4613">
        <v>411100</v>
      </c>
      <c r="G4613" t="s">
        <v>18</v>
      </c>
      <c r="H4613" t="s">
        <v>179</v>
      </c>
      <c r="I4613" t="s">
        <v>180</v>
      </c>
      <c r="J4613">
        <v>361997</v>
      </c>
      <c r="K4613">
        <v>20221212</v>
      </c>
      <c r="L4613" t="s">
        <v>4571</v>
      </c>
      <c r="M4613">
        <v>0</v>
      </c>
      <c r="N4613">
        <v>2</v>
      </c>
      <c r="O4613" t="s">
        <v>19</v>
      </c>
      <c r="P4613" t="s">
        <v>20</v>
      </c>
      <c r="Q4613">
        <v>20221212</v>
      </c>
    </row>
    <row r="4614" spans="1:17" x14ac:dyDescent="0.25">
      <c r="A4614" t="s">
        <v>548</v>
      </c>
      <c r="B4614" t="s">
        <v>429</v>
      </c>
      <c r="C4614">
        <v>169</v>
      </c>
      <c r="D4614">
        <v>20221212</v>
      </c>
      <c r="E4614">
        <f t="shared" si="72"/>
        <v>12</v>
      </c>
      <c r="F4614">
        <v>411100</v>
      </c>
      <c r="G4614" t="s">
        <v>18</v>
      </c>
      <c r="H4614" t="s">
        <v>1006</v>
      </c>
      <c r="I4614" t="s">
        <v>1007</v>
      </c>
      <c r="J4614">
        <v>361998</v>
      </c>
      <c r="K4614">
        <v>20221212</v>
      </c>
      <c r="L4614" t="s">
        <v>4572</v>
      </c>
      <c r="M4614">
        <v>0</v>
      </c>
      <c r="N4614">
        <v>2</v>
      </c>
      <c r="O4614" t="s">
        <v>19</v>
      </c>
      <c r="P4614" t="s">
        <v>20</v>
      </c>
      <c r="Q4614">
        <v>20221212</v>
      </c>
    </row>
    <row r="4615" spans="1:17" x14ac:dyDescent="0.25">
      <c r="A4615" t="s">
        <v>548</v>
      </c>
      <c r="B4615" t="s">
        <v>429</v>
      </c>
      <c r="C4615">
        <v>169</v>
      </c>
      <c r="D4615">
        <v>20221212</v>
      </c>
      <c r="E4615">
        <f t="shared" si="72"/>
        <v>12</v>
      </c>
      <c r="F4615">
        <v>411100</v>
      </c>
      <c r="G4615" t="s">
        <v>18</v>
      </c>
      <c r="H4615" t="s">
        <v>243</v>
      </c>
      <c r="I4615" t="s">
        <v>244</v>
      </c>
      <c r="J4615">
        <v>361999</v>
      </c>
      <c r="K4615">
        <v>20221212</v>
      </c>
      <c r="L4615" t="s">
        <v>4573</v>
      </c>
      <c r="M4615">
        <v>0</v>
      </c>
      <c r="N4615">
        <v>2</v>
      </c>
      <c r="O4615" t="s">
        <v>23</v>
      </c>
      <c r="P4615">
        <v>20230329</v>
      </c>
      <c r="Q4615">
        <v>20221212</v>
      </c>
    </row>
    <row r="4616" spans="1:17" x14ac:dyDescent="0.25">
      <c r="A4616" t="s">
        <v>548</v>
      </c>
      <c r="B4616" t="s">
        <v>429</v>
      </c>
      <c r="C4616">
        <v>169</v>
      </c>
      <c r="D4616">
        <v>20221212</v>
      </c>
      <c r="E4616">
        <f t="shared" si="72"/>
        <v>12</v>
      </c>
      <c r="F4616">
        <v>411100</v>
      </c>
      <c r="G4616" t="s">
        <v>18</v>
      </c>
      <c r="H4616" t="s">
        <v>1417</v>
      </c>
      <c r="I4616" t="s">
        <v>1418</v>
      </c>
      <c r="J4616">
        <v>362000</v>
      </c>
      <c r="K4616">
        <v>20221212</v>
      </c>
      <c r="L4616" t="s">
        <v>4574</v>
      </c>
      <c r="M4616">
        <v>0</v>
      </c>
      <c r="N4616">
        <v>2</v>
      </c>
      <c r="O4616" t="s">
        <v>23</v>
      </c>
      <c r="P4616">
        <v>20230329</v>
      </c>
      <c r="Q4616">
        <v>20221212</v>
      </c>
    </row>
    <row r="4617" spans="1:17" x14ac:dyDescent="0.25">
      <c r="A4617" t="s">
        <v>548</v>
      </c>
      <c r="B4617" t="s">
        <v>429</v>
      </c>
      <c r="C4617">
        <v>169</v>
      </c>
      <c r="D4617">
        <v>20221212</v>
      </c>
      <c r="E4617">
        <f t="shared" si="72"/>
        <v>12</v>
      </c>
      <c r="F4617">
        <v>411100</v>
      </c>
      <c r="G4617" t="s">
        <v>18</v>
      </c>
      <c r="H4617" t="s">
        <v>1622</v>
      </c>
      <c r="I4617" t="s">
        <v>1623</v>
      </c>
      <c r="J4617">
        <v>362001</v>
      </c>
      <c r="K4617">
        <v>20221212</v>
      </c>
      <c r="L4617" t="s">
        <v>4575</v>
      </c>
      <c r="M4617">
        <v>0</v>
      </c>
      <c r="N4617">
        <v>25</v>
      </c>
      <c r="O4617" t="s">
        <v>19</v>
      </c>
      <c r="P4617" t="s">
        <v>20</v>
      </c>
      <c r="Q4617">
        <v>20221212</v>
      </c>
    </row>
    <row r="4618" spans="1:17" x14ac:dyDescent="0.25">
      <c r="A4618" t="s">
        <v>548</v>
      </c>
      <c r="B4618" t="s">
        <v>429</v>
      </c>
      <c r="C4618">
        <v>169</v>
      </c>
      <c r="D4618">
        <v>20221212</v>
      </c>
      <c r="E4618">
        <f t="shared" si="72"/>
        <v>12</v>
      </c>
      <c r="F4618">
        <v>411100</v>
      </c>
      <c r="G4618" t="s">
        <v>18</v>
      </c>
      <c r="H4618" t="s">
        <v>1622</v>
      </c>
      <c r="I4618" t="s">
        <v>1623</v>
      </c>
      <c r="J4618">
        <v>362002</v>
      </c>
      <c r="K4618">
        <v>20221212</v>
      </c>
      <c r="L4618" t="s">
        <v>4576</v>
      </c>
      <c r="M4618">
        <v>0</v>
      </c>
      <c r="N4618">
        <v>7.46</v>
      </c>
      <c r="O4618" t="s">
        <v>19</v>
      </c>
      <c r="P4618" t="s">
        <v>20</v>
      </c>
      <c r="Q4618">
        <v>20221212</v>
      </c>
    </row>
    <row r="4619" spans="1:17" x14ac:dyDescent="0.25">
      <c r="A4619" t="s">
        <v>548</v>
      </c>
      <c r="B4619" t="s">
        <v>429</v>
      </c>
      <c r="C4619">
        <v>169</v>
      </c>
      <c r="D4619">
        <v>20221212</v>
      </c>
      <c r="E4619">
        <f t="shared" si="72"/>
        <v>12</v>
      </c>
      <c r="F4619">
        <v>411100</v>
      </c>
      <c r="G4619" t="s">
        <v>18</v>
      </c>
      <c r="H4619" t="s">
        <v>1622</v>
      </c>
      <c r="I4619" t="s">
        <v>1623</v>
      </c>
      <c r="J4619">
        <v>362003</v>
      </c>
      <c r="K4619">
        <v>20221212</v>
      </c>
      <c r="L4619" t="s">
        <v>4577</v>
      </c>
      <c r="M4619">
        <v>0</v>
      </c>
      <c r="N4619">
        <v>0.04</v>
      </c>
      <c r="O4619" t="s">
        <v>19</v>
      </c>
      <c r="P4619" t="s">
        <v>20</v>
      </c>
      <c r="Q4619">
        <v>20221212</v>
      </c>
    </row>
    <row r="4620" spans="1:17" x14ac:dyDescent="0.25">
      <c r="A4620" t="s">
        <v>548</v>
      </c>
      <c r="B4620" t="s">
        <v>429</v>
      </c>
      <c r="C4620">
        <v>169</v>
      </c>
      <c r="D4620">
        <v>20221212</v>
      </c>
      <c r="E4620">
        <f t="shared" si="72"/>
        <v>12</v>
      </c>
      <c r="F4620">
        <v>411100</v>
      </c>
      <c r="G4620" t="s">
        <v>18</v>
      </c>
      <c r="H4620" t="s">
        <v>4406</v>
      </c>
      <c r="I4620" t="s">
        <v>4407</v>
      </c>
      <c r="J4620">
        <v>362004</v>
      </c>
      <c r="K4620">
        <v>20221212</v>
      </c>
      <c r="L4620" t="s">
        <v>4578</v>
      </c>
      <c r="M4620">
        <v>10</v>
      </c>
      <c r="N4620">
        <v>0</v>
      </c>
      <c r="O4620" t="s">
        <v>19</v>
      </c>
      <c r="P4620" t="s">
        <v>20</v>
      </c>
      <c r="Q4620">
        <v>20221212</v>
      </c>
    </row>
    <row r="4621" spans="1:17" x14ac:dyDescent="0.25">
      <c r="A4621" t="s">
        <v>548</v>
      </c>
      <c r="B4621" t="s">
        <v>429</v>
      </c>
      <c r="C4621">
        <v>169</v>
      </c>
      <c r="D4621">
        <v>20221212</v>
      </c>
      <c r="E4621">
        <f t="shared" si="72"/>
        <v>12</v>
      </c>
      <c r="F4621">
        <v>531105</v>
      </c>
      <c r="G4621" t="s">
        <v>429</v>
      </c>
      <c r="H4621" t="s">
        <v>401</v>
      </c>
      <c r="I4621" t="s">
        <v>402</v>
      </c>
      <c r="J4621">
        <v>362005</v>
      </c>
      <c r="K4621">
        <v>20221212</v>
      </c>
      <c r="L4621" t="s">
        <v>565</v>
      </c>
      <c r="M4621">
        <v>49.7</v>
      </c>
      <c r="N4621">
        <v>0</v>
      </c>
      <c r="O4621" t="s">
        <v>19</v>
      </c>
      <c r="P4621" t="s">
        <v>20</v>
      </c>
      <c r="Q4621">
        <v>20221212</v>
      </c>
    </row>
    <row r="4622" spans="1:17" x14ac:dyDescent="0.25">
      <c r="A4622" t="s">
        <v>548</v>
      </c>
      <c r="B4622" t="s">
        <v>429</v>
      </c>
      <c r="C4622">
        <v>169</v>
      </c>
      <c r="D4622">
        <v>20221212</v>
      </c>
      <c r="E4622">
        <f t="shared" si="72"/>
        <v>12</v>
      </c>
      <c r="F4622">
        <v>411010</v>
      </c>
      <c r="G4622" t="s">
        <v>87</v>
      </c>
      <c r="H4622" t="s">
        <v>363</v>
      </c>
      <c r="I4622" t="s">
        <v>364</v>
      </c>
      <c r="J4622">
        <v>362023</v>
      </c>
      <c r="K4622">
        <v>20221212</v>
      </c>
      <c r="L4622" t="s">
        <v>4579</v>
      </c>
      <c r="M4622">
        <v>0</v>
      </c>
      <c r="N4622">
        <v>96.08</v>
      </c>
      <c r="O4622" t="s">
        <v>22</v>
      </c>
      <c r="P4622">
        <v>20230218</v>
      </c>
      <c r="Q4622">
        <v>20221212</v>
      </c>
    </row>
    <row r="4623" spans="1:17" x14ac:dyDescent="0.25">
      <c r="A4623" t="s">
        <v>548</v>
      </c>
      <c r="B4623" t="s">
        <v>429</v>
      </c>
      <c r="C4623">
        <v>169</v>
      </c>
      <c r="D4623">
        <v>20221212</v>
      </c>
      <c r="E4623">
        <f t="shared" si="72"/>
        <v>12</v>
      </c>
      <c r="F4623">
        <v>531105</v>
      </c>
      <c r="G4623" t="s">
        <v>429</v>
      </c>
      <c r="H4623" t="s">
        <v>401</v>
      </c>
      <c r="I4623" t="s">
        <v>402</v>
      </c>
      <c r="J4623">
        <v>362024</v>
      </c>
      <c r="K4623">
        <v>20221212</v>
      </c>
      <c r="L4623" t="s">
        <v>565</v>
      </c>
      <c r="M4623">
        <v>96.08</v>
      </c>
      <c r="N4623">
        <v>0</v>
      </c>
      <c r="O4623" t="s">
        <v>19</v>
      </c>
      <c r="P4623" t="s">
        <v>20</v>
      </c>
      <c r="Q4623">
        <v>20221212</v>
      </c>
    </row>
    <row r="4624" spans="1:17" x14ac:dyDescent="0.25">
      <c r="A4624" t="s">
        <v>548</v>
      </c>
      <c r="B4624" t="s">
        <v>429</v>
      </c>
      <c r="C4624">
        <v>169</v>
      </c>
      <c r="D4624">
        <v>20221213</v>
      </c>
      <c r="E4624">
        <f t="shared" si="72"/>
        <v>12</v>
      </c>
      <c r="F4624">
        <v>467100</v>
      </c>
      <c r="G4624" t="s">
        <v>160</v>
      </c>
      <c r="H4624" t="s">
        <v>2749</v>
      </c>
      <c r="I4624" t="s">
        <v>2750</v>
      </c>
      <c r="J4624" t="s">
        <v>4580</v>
      </c>
      <c r="K4624">
        <v>20221213</v>
      </c>
      <c r="L4624" t="s">
        <v>4581</v>
      </c>
      <c r="M4624">
        <v>39.5</v>
      </c>
      <c r="N4624">
        <v>0</v>
      </c>
      <c r="O4624" t="s">
        <v>23</v>
      </c>
      <c r="P4624">
        <v>20230123</v>
      </c>
      <c r="Q4624">
        <v>20221213</v>
      </c>
    </row>
    <row r="4625" spans="1:17" x14ac:dyDescent="0.25">
      <c r="A4625" t="s">
        <v>548</v>
      </c>
      <c r="B4625" t="s">
        <v>429</v>
      </c>
      <c r="C4625">
        <v>169</v>
      </c>
      <c r="D4625">
        <v>20221213</v>
      </c>
      <c r="E4625">
        <f t="shared" si="72"/>
        <v>12</v>
      </c>
      <c r="F4625">
        <v>531105</v>
      </c>
      <c r="G4625" t="s">
        <v>429</v>
      </c>
      <c r="H4625" t="s">
        <v>401</v>
      </c>
      <c r="I4625" t="s">
        <v>402</v>
      </c>
      <c r="J4625" t="s">
        <v>4580</v>
      </c>
      <c r="K4625">
        <v>20221213</v>
      </c>
      <c r="L4625" t="s">
        <v>4581</v>
      </c>
      <c r="M4625">
        <v>0</v>
      </c>
      <c r="N4625">
        <v>39.5</v>
      </c>
      <c r="O4625" t="s">
        <v>19</v>
      </c>
      <c r="P4625" t="s">
        <v>20</v>
      </c>
      <c r="Q4625">
        <v>20221213</v>
      </c>
    </row>
    <row r="4626" spans="1:17" x14ac:dyDescent="0.25">
      <c r="A4626" t="s">
        <v>548</v>
      </c>
      <c r="B4626" t="s">
        <v>429</v>
      </c>
      <c r="C4626">
        <v>169</v>
      </c>
      <c r="D4626">
        <v>20221213</v>
      </c>
      <c r="E4626">
        <f t="shared" si="72"/>
        <v>12</v>
      </c>
      <c r="F4626">
        <v>411020</v>
      </c>
      <c r="G4626" t="s">
        <v>30</v>
      </c>
      <c r="H4626" t="s">
        <v>4145</v>
      </c>
      <c r="I4626" t="s">
        <v>4146</v>
      </c>
      <c r="J4626">
        <v>322100013</v>
      </c>
      <c r="K4626">
        <v>20221213</v>
      </c>
      <c r="L4626" t="s">
        <v>4582</v>
      </c>
      <c r="M4626">
        <v>0</v>
      </c>
      <c r="N4626">
        <v>10</v>
      </c>
      <c r="O4626" t="s">
        <v>22</v>
      </c>
      <c r="P4626">
        <v>20230218</v>
      </c>
      <c r="Q4626">
        <v>20221213</v>
      </c>
    </row>
    <row r="4627" spans="1:17" x14ac:dyDescent="0.25">
      <c r="A4627" t="s">
        <v>548</v>
      </c>
      <c r="B4627" t="s">
        <v>429</v>
      </c>
      <c r="C4627">
        <v>169</v>
      </c>
      <c r="D4627">
        <v>20221213</v>
      </c>
      <c r="E4627">
        <f t="shared" si="72"/>
        <v>12</v>
      </c>
      <c r="F4627">
        <v>411100</v>
      </c>
      <c r="G4627" t="s">
        <v>18</v>
      </c>
      <c r="H4627" t="s">
        <v>192</v>
      </c>
      <c r="I4627" t="s">
        <v>193</v>
      </c>
      <c r="J4627">
        <v>322100005</v>
      </c>
      <c r="K4627">
        <v>20221213</v>
      </c>
      <c r="L4627" t="s">
        <v>4583</v>
      </c>
      <c r="M4627">
        <v>0</v>
      </c>
      <c r="N4627">
        <v>43.83</v>
      </c>
      <c r="O4627" t="s">
        <v>23</v>
      </c>
      <c r="P4627">
        <v>20230218</v>
      </c>
      <c r="Q4627">
        <v>20221213</v>
      </c>
    </row>
    <row r="4628" spans="1:17" x14ac:dyDescent="0.25">
      <c r="A4628" t="s">
        <v>548</v>
      </c>
      <c r="B4628" t="s">
        <v>429</v>
      </c>
      <c r="C4628">
        <v>169</v>
      </c>
      <c r="D4628">
        <v>20221213</v>
      </c>
      <c r="E4628">
        <f t="shared" si="72"/>
        <v>12</v>
      </c>
      <c r="F4628">
        <v>411100</v>
      </c>
      <c r="G4628" t="s">
        <v>18</v>
      </c>
      <c r="H4628" t="s">
        <v>192</v>
      </c>
      <c r="I4628" t="s">
        <v>193</v>
      </c>
      <c r="J4628">
        <v>322100005</v>
      </c>
      <c r="K4628">
        <v>20221213</v>
      </c>
      <c r="L4628" t="s">
        <v>4584</v>
      </c>
      <c r="M4628">
        <v>0</v>
      </c>
      <c r="N4628">
        <v>0.02</v>
      </c>
      <c r="O4628" t="s">
        <v>23</v>
      </c>
      <c r="P4628">
        <v>20230218</v>
      </c>
      <c r="Q4628">
        <v>20221213</v>
      </c>
    </row>
    <row r="4629" spans="1:17" x14ac:dyDescent="0.25">
      <c r="A4629" t="s">
        <v>548</v>
      </c>
      <c r="B4629" t="s">
        <v>429</v>
      </c>
      <c r="C4629">
        <v>169</v>
      </c>
      <c r="D4629">
        <v>20221213</v>
      </c>
      <c r="E4629">
        <f t="shared" si="72"/>
        <v>12</v>
      </c>
      <c r="F4629">
        <v>411020</v>
      </c>
      <c r="G4629" t="s">
        <v>30</v>
      </c>
      <c r="H4629" t="s">
        <v>332</v>
      </c>
      <c r="I4629" t="s">
        <v>333</v>
      </c>
      <c r="J4629">
        <v>322110006</v>
      </c>
      <c r="K4629">
        <v>20221213</v>
      </c>
      <c r="L4629" t="s">
        <v>4585</v>
      </c>
      <c r="M4629">
        <v>0</v>
      </c>
      <c r="N4629">
        <v>56.86</v>
      </c>
      <c r="O4629" t="s">
        <v>19</v>
      </c>
      <c r="P4629" t="s">
        <v>20</v>
      </c>
      <c r="Q4629">
        <v>20221213</v>
      </c>
    </row>
    <row r="4630" spans="1:17" x14ac:dyDescent="0.25">
      <c r="A4630" t="s">
        <v>548</v>
      </c>
      <c r="B4630" t="s">
        <v>429</v>
      </c>
      <c r="C4630">
        <v>169</v>
      </c>
      <c r="D4630">
        <v>20221213</v>
      </c>
      <c r="E4630">
        <f t="shared" si="72"/>
        <v>12</v>
      </c>
      <c r="F4630">
        <v>411100</v>
      </c>
      <c r="G4630" t="s">
        <v>18</v>
      </c>
      <c r="H4630" t="s">
        <v>3216</v>
      </c>
      <c r="I4630" t="s">
        <v>3217</v>
      </c>
      <c r="J4630">
        <v>322110009</v>
      </c>
      <c r="K4630">
        <v>20221213</v>
      </c>
      <c r="L4630" t="s">
        <v>4586</v>
      </c>
      <c r="M4630">
        <v>0</v>
      </c>
      <c r="N4630">
        <v>36.56</v>
      </c>
      <c r="O4630" t="s">
        <v>19</v>
      </c>
      <c r="P4630" t="s">
        <v>20</v>
      </c>
      <c r="Q4630">
        <v>20221213</v>
      </c>
    </row>
    <row r="4631" spans="1:17" x14ac:dyDescent="0.25">
      <c r="A4631" t="s">
        <v>548</v>
      </c>
      <c r="B4631" t="s">
        <v>429</v>
      </c>
      <c r="C4631">
        <v>169</v>
      </c>
      <c r="D4631">
        <v>20221213</v>
      </c>
      <c r="E4631">
        <f t="shared" si="72"/>
        <v>12</v>
      </c>
      <c r="F4631">
        <v>411020</v>
      </c>
      <c r="G4631" t="s">
        <v>30</v>
      </c>
      <c r="H4631" t="s">
        <v>338</v>
      </c>
      <c r="I4631" t="s">
        <v>339</v>
      </c>
      <c r="J4631">
        <v>322110023</v>
      </c>
      <c r="K4631">
        <v>20221213</v>
      </c>
      <c r="L4631" t="s">
        <v>4587</v>
      </c>
      <c r="M4631">
        <v>0</v>
      </c>
      <c r="N4631">
        <v>46.95</v>
      </c>
      <c r="O4631" t="s">
        <v>22</v>
      </c>
      <c r="P4631">
        <v>20230218</v>
      </c>
      <c r="Q4631">
        <v>20221213</v>
      </c>
    </row>
    <row r="4632" spans="1:17" x14ac:dyDescent="0.25">
      <c r="A4632" t="s">
        <v>548</v>
      </c>
      <c r="B4632" t="s">
        <v>429</v>
      </c>
      <c r="C4632">
        <v>169</v>
      </c>
      <c r="D4632">
        <v>20221213</v>
      </c>
      <c r="E4632">
        <f t="shared" si="72"/>
        <v>12</v>
      </c>
      <c r="F4632">
        <v>411020</v>
      </c>
      <c r="G4632" t="s">
        <v>30</v>
      </c>
      <c r="H4632" t="s">
        <v>338</v>
      </c>
      <c r="I4632" t="s">
        <v>339</v>
      </c>
      <c r="J4632">
        <v>322110023</v>
      </c>
      <c r="K4632">
        <v>20221213</v>
      </c>
      <c r="L4632" t="s">
        <v>4588</v>
      </c>
      <c r="M4632">
        <v>0</v>
      </c>
      <c r="N4632">
        <v>3.05</v>
      </c>
      <c r="O4632" t="s">
        <v>22</v>
      </c>
      <c r="P4632">
        <v>20230218</v>
      </c>
      <c r="Q4632">
        <v>20221213</v>
      </c>
    </row>
    <row r="4633" spans="1:17" x14ac:dyDescent="0.25">
      <c r="A4633" t="s">
        <v>548</v>
      </c>
      <c r="B4633" t="s">
        <v>429</v>
      </c>
      <c r="C4633">
        <v>169</v>
      </c>
      <c r="D4633">
        <v>20221213</v>
      </c>
      <c r="E4633">
        <f t="shared" si="72"/>
        <v>12</v>
      </c>
      <c r="F4633">
        <v>411020</v>
      </c>
      <c r="G4633" t="s">
        <v>30</v>
      </c>
      <c r="H4633" t="s">
        <v>3631</v>
      </c>
      <c r="I4633" t="s">
        <v>3632</v>
      </c>
      <c r="J4633">
        <v>322110002</v>
      </c>
      <c r="K4633">
        <v>20221213</v>
      </c>
      <c r="L4633" t="s">
        <v>4589</v>
      </c>
      <c r="M4633">
        <v>0</v>
      </c>
      <c r="N4633">
        <v>103.16</v>
      </c>
      <c r="O4633" t="s">
        <v>23</v>
      </c>
      <c r="P4633">
        <v>20230218</v>
      </c>
      <c r="Q4633">
        <v>20221213</v>
      </c>
    </row>
    <row r="4634" spans="1:17" x14ac:dyDescent="0.25">
      <c r="A4634" t="s">
        <v>548</v>
      </c>
      <c r="B4634" t="s">
        <v>429</v>
      </c>
      <c r="C4634">
        <v>169</v>
      </c>
      <c r="D4634">
        <v>20221213</v>
      </c>
      <c r="E4634">
        <f t="shared" si="72"/>
        <v>12</v>
      </c>
      <c r="F4634">
        <v>411020</v>
      </c>
      <c r="G4634" t="s">
        <v>30</v>
      </c>
      <c r="H4634" t="s">
        <v>3631</v>
      </c>
      <c r="I4634" t="s">
        <v>3632</v>
      </c>
      <c r="J4634">
        <v>322110002</v>
      </c>
      <c r="K4634">
        <v>20221213</v>
      </c>
      <c r="L4634" t="s">
        <v>4590</v>
      </c>
      <c r="M4634">
        <v>0</v>
      </c>
      <c r="N4634">
        <v>0.84</v>
      </c>
      <c r="O4634" t="s">
        <v>23</v>
      </c>
      <c r="P4634">
        <v>20230218</v>
      </c>
      <c r="Q4634">
        <v>20221213</v>
      </c>
    </row>
    <row r="4635" spans="1:17" x14ac:dyDescent="0.25">
      <c r="A4635" t="s">
        <v>548</v>
      </c>
      <c r="B4635" t="s">
        <v>429</v>
      </c>
      <c r="C4635">
        <v>169</v>
      </c>
      <c r="D4635">
        <v>20221213</v>
      </c>
      <c r="E4635">
        <f t="shared" si="72"/>
        <v>12</v>
      </c>
      <c r="F4635">
        <v>411020</v>
      </c>
      <c r="G4635" t="s">
        <v>30</v>
      </c>
      <c r="H4635" t="s">
        <v>3633</v>
      </c>
      <c r="I4635" t="s">
        <v>3634</v>
      </c>
      <c r="J4635">
        <v>322110004</v>
      </c>
      <c r="K4635">
        <v>20221213</v>
      </c>
      <c r="L4635" t="s">
        <v>4591</v>
      </c>
      <c r="M4635">
        <v>0</v>
      </c>
      <c r="N4635">
        <v>62.07</v>
      </c>
      <c r="O4635" t="s">
        <v>22</v>
      </c>
      <c r="P4635">
        <v>20230218</v>
      </c>
      <c r="Q4635">
        <v>20221213</v>
      </c>
    </row>
    <row r="4636" spans="1:17" x14ac:dyDescent="0.25">
      <c r="A4636" t="s">
        <v>548</v>
      </c>
      <c r="B4636" t="s">
        <v>429</v>
      </c>
      <c r="C4636">
        <v>169</v>
      </c>
      <c r="D4636">
        <v>20221213</v>
      </c>
      <c r="E4636">
        <f t="shared" si="72"/>
        <v>12</v>
      </c>
      <c r="F4636">
        <v>411020</v>
      </c>
      <c r="G4636" t="s">
        <v>30</v>
      </c>
      <c r="H4636" t="s">
        <v>3633</v>
      </c>
      <c r="I4636" t="s">
        <v>3634</v>
      </c>
      <c r="J4636">
        <v>322110004</v>
      </c>
      <c r="K4636">
        <v>20221213</v>
      </c>
      <c r="L4636" t="s">
        <v>4592</v>
      </c>
      <c r="M4636">
        <v>0</v>
      </c>
      <c r="N4636">
        <v>7.93</v>
      </c>
      <c r="O4636" t="s">
        <v>22</v>
      </c>
      <c r="P4636">
        <v>20230218</v>
      </c>
      <c r="Q4636">
        <v>20221213</v>
      </c>
    </row>
    <row r="4637" spans="1:17" x14ac:dyDescent="0.25">
      <c r="A4637" t="s">
        <v>548</v>
      </c>
      <c r="B4637" t="s">
        <v>429</v>
      </c>
      <c r="C4637">
        <v>169</v>
      </c>
      <c r="D4637">
        <v>20221213</v>
      </c>
      <c r="E4637">
        <f t="shared" si="72"/>
        <v>12</v>
      </c>
      <c r="F4637">
        <v>531105</v>
      </c>
      <c r="G4637" t="s">
        <v>429</v>
      </c>
      <c r="H4637" t="s">
        <v>401</v>
      </c>
      <c r="I4637" t="s">
        <v>402</v>
      </c>
      <c r="J4637">
        <v>362071</v>
      </c>
      <c r="K4637">
        <v>20221213</v>
      </c>
      <c r="L4637" t="s">
        <v>565</v>
      </c>
      <c r="M4637">
        <v>371.27</v>
      </c>
      <c r="N4637">
        <v>0</v>
      </c>
      <c r="O4637" t="s">
        <v>19</v>
      </c>
      <c r="P4637" t="s">
        <v>20</v>
      </c>
      <c r="Q4637">
        <v>20221213</v>
      </c>
    </row>
    <row r="4638" spans="1:17" x14ac:dyDescent="0.25">
      <c r="A4638" t="s">
        <v>548</v>
      </c>
      <c r="B4638" t="s">
        <v>429</v>
      </c>
      <c r="C4638">
        <v>169</v>
      </c>
      <c r="D4638">
        <v>20221214</v>
      </c>
      <c r="E4638">
        <f t="shared" si="72"/>
        <v>12</v>
      </c>
      <c r="F4638">
        <v>411100</v>
      </c>
      <c r="G4638" t="s">
        <v>18</v>
      </c>
      <c r="H4638" t="s">
        <v>196</v>
      </c>
      <c r="I4638" t="s">
        <v>197</v>
      </c>
      <c r="J4638">
        <v>362047</v>
      </c>
      <c r="K4638">
        <v>20221214</v>
      </c>
      <c r="L4638" t="s">
        <v>4593</v>
      </c>
      <c r="M4638">
        <v>0</v>
      </c>
      <c r="N4638">
        <v>1.5</v>
      </c>
      <c r="O4638" t="s">
        <v>23</v>
      </c>
      <c r="P4638">
        <v>20230329</v>
      </c>
      <c r="Q4638">
        <v>20221214</v>
      </c>
    </row>
    <row r="4639" spans="1:17" x14ac:dyDescent="0.25">
      <c r="A4639" t="s">
        <v>548</v>
      </c>
      <c r="B4639" t="s">
        <v>429</v>
      </c>
      <c r="C4639">
        <v>169</v>
      </c>
      <c r="D4639">
        <v>20221214</v>
      </c>
      <c r="E4639">
        <f t="shared" si="72"/>
        <v>12</v>
      </c>
      <c r="F4639">
        <v>531105</v>
      </c>
      <c r="G4639" t="s">
        <v>429</v>
      </c>
      <c r="H4639" t="s">
        <v>401</v>
      </c>
      <c r="I4639" t="s">
        <v>402</v>
      </c>
      <c r="J4639">
        <v>362048</v>
      </c>
      <c r="K4639">
        <v>20221214</v>
      </c>
      <c r="L4639" t="s">
        <v>565</v>
      </c>
      <c r="M4639">
        <v>1.5</v>
      </c>
      <c r="N4639">
        <v>0</v>
      </c>
      <c r="O4639" t="s">
        <v>19</v>
      </c>
      <c r="P4639" t="s">
        <v>20</v>
      </c>
      <c r="Q4639">
        <v>20221214</v>
      </c>
    </row>
    <row r="4640" spans="1:17" x14ac:dyDescent="0.25">
      <c r="A4640" t="s">
        <v>548</v>
      </c>
      <c r="B4640" t="s">
        <v>429</v>
      </c>
      <c r="C4640">
        <v>169</v>
      </c>
      <c r="D4640">
        <v>20221214</v>
      </c>
      <c r="E4640">
        <f t="shared" si="72"/>
        <v>12</v>
      </c>
      <c r="F4640">
        <v>467100</v>
      </c>
      <c r="G4640" t="s">
        <v>160</v>
      </c>
      <c r="H4640" t="s">
        <v>2749</v>
      </c>
      <c r="I4640" t="s">
        <v>2750</v>
      </c>
      <c r="J4640" t="s">
        <v>4594</v>
      </c>
      <c r="K4640">
        <v>20221214</v>
      </c>
      <c r="L4640" t="s">
        <v>4595</v>
      </c>
      <c r="M4640">
        <v>4.8</v>
      </c>
      <c r="N4640">
        <v>0</v>
      </c>
      <c r="O4640" t="s">
        <v>23</v>
      </c>
      <c r="P4640">
        <v>20221219</v>
      </c>
      <c r="Q4640">
        <v>20221214</v>
      </c>
    </row>
    <row r="4641" spans="1:17" x14ac:dyDescent="0.25">
      <c r="A4641" t="s">
        <v>548</v>
      </c>
      <c r="B4641" t="s">
        <v>429</v>
      </c>
      <c r="C4641">
        <v>169</v>
      </c>
      <c r="D4641">
        <v>20221214</v>
      </c>
      <c r="E4641">
        <f t="shared" si="72"/>
        <v>12</v>
      </c>
      <c r="F4641">
        <v>531105</v>
      </c>
      <c r="G4641" t="s">
        <v>429</v>
      </c>
      <c r="H4641" t="s">
        <v>401</v>
      </c>
      <c r="I4641" t="s">
        <v>402</v>
      </c>
      <c r="J4641" t="s">
        <v>4594</v>
      </c>
      <c r="K4641">
        <v>20221214</v>
      </c>
      <c r="L4641" t="s">
        <v>4595</v>
      </c>
      <c r="M4641">
        <v>0</v>
      </c>
      <c r="N4641">
        <v>4.8</v>
      </c>
      <c r="O4641" t="s">
        <v>19</v>
      </c>
      <c r="P4641" t="s">
        <v>20</v>
      </c>
      <c r="Q4641">
        <v>20221214</v>
      </c>
    </row>
    <row r="4642" spans="1:17" x14ac:dyDescent="0.25">
      <c r="A4642" t="s">
        <v>548</v>
      </c>
      <c r="B4642" t="s">
        <v>429</v>
      </c>
      <c r="C4642">
        <v>169</v>
      </c>
      <c r="D4642">
        <v>20221214</v>
      </c>
      <c r="E4642">
        <f t="shared" si="72"/>
        <v>12</v>
      </c>
      <c r="F4642">
        <v>411020</v>
      </c>
      <c r="G4642" t="s">
        <v>30</v>
      </c>
      <c r="H4642" t="s">
        <v>307</v>
      </c>
      <c r="I4642" t="s">
        <v>308</v>
      </c>
      <c r="J4642">
        <v>122110179</v>
      </c>
      <c r="K4642">
        <v>20221214</v>
      </c>
      <c r="L4642" t="s">
        <v>4596</v>
      </c>
      <c r="M4642">
        <v>0</v>
      </c>
      <c r="N4642">
        <v>26.6</v>
      </c>
      <c r="O4642" t="s">
        <v>19</v>
      </c>
      <c r="P4642" t="s">
        <v>20</v>
      </c>
      <c r="Q4642">
        <v>20221214</v>
      </c>
    </row>
    <row r="4643" spans="1:17" x14ac:dyDescent="0.25">
      <c r="A4643" t="s">
        <v>548</v>
      </c>
      <c r="B4643" t="s">
        <v>429</v>
      </c>
      <c r="C4643">
        <v>169</v>
      </c>
      <c r="D4643">
        <v>20221214</v>
      </c>
      <c r="E4643">
        <f t="shared" si="72"/>
        <v>12</v>
      </c>
      <c r="F4643">
        <v>411020</v>
      </c>
      <c r="G4643" t="s">
        <v>30</v>
      </c>
      <c r="H4643" t="s">
        <v>307</v>
      </c>
      <c r="I4643" t="s">
        <v>308</v>
      </c>
      <c r="J4643">
        <v>122110179</v>
      </c>
      <c r="K4643">
        <v>20221214</v>
      </c>
      <c r="L4643" t="s">
        <v>4597</v>
      </c>
      <c r="M4643">
        <v>6.6</v>
      </c>
      <c r="N4643">
        <v>0</v>
      </c>
      <c r="O4643" t="s">
        <v>22</v>
      </c>
      <c r="P4643">
        <v>20230218</v>
      </c>
      <c r="Q4643">
        <v>20221214</v>
      </c>
    </row>
    <row r="4644" spans="1:17" x14ac:dyDescent="0.25">
      <c r="A4644" t="s">
        <v>548</v>
      </c>
      <c r="B4644" t="s">
        <v>429</v>
      </c>
      <c r="C4644">
        <v>169</v>
      </c>
      <c r="D4644">
        <v>20221214</v>
      </c>
      <c r="E4644">
        <f t="shared" si="72"/>
        <v>12</v>
      </c>
      <c r="F4644">
        <v>411000</v>
      </c>
      <c r="G4644" t="s">
        <v>21</v>
      </c>
      <c r="H4644" t="s">
        <v>271</v>
      </c>
      <c r="I4644" t="s">
        <v>272</v>
      </c>
      <c r="J4644">
        <v>362161</v>
      </c>
      <c r="K4644">
        <v>20221214</v>
      </c>
      <c r="L4644" t="s">
        <v>4598</v>
      </c>
      <c r="M4644">
        <v>0</v>
      </c>
      <c r="N4644">
        <v>3</v>
      </c>
      <c r="O4644" t="s">
        <v>19</v>
      </c>
      <c r="P4644" t="s">
        <v>20</v>
      </c>
      <c r="Q4644">
        <v>20221214</v>
      </c>
    </row>
    <row r="4645" spans="1:17" x14ac:dyDescent="0.25">
      <c r="A4645" t="s">
        <v>548</v>
      </c>
      <c r="B4645" t="s">
        <v>429</v>
      </c>
      <c r="C4645">
        <v>169</v>
      </c>
      <c r="D4645">
        <v>20221214</v>
      </c>
      <c r="E4645">
        <f t="shared" si="72"/>
        <v>12</v>
      </c>
      <c r="F4645">
        <v>531105</v>
      </c>
      <c r="G4645" t="s">
        <v>429</v>
      </c>
      <c r="H4645" t="s">
        <v>401</v>
      </c>
      <c r="I4645" t="s">
        <v>402</v>
      </c>
      <c r="J4645">
        <v>362162</v>
      </c>
      <c r="K4645">
        <v>20221214</v>
      </c>
      <c r="L4645" t="s">
        <v>565</v>
      </c>
      <c r="M4645">
        <v>23</v>
      </c>
      <c r="N4645">
        <v>0</v>
      </c>
      <c r="O4645" t="s">
        <v>19</v>
      </c>
      <c r="P4645" t="s">
        <v>20</v>
      </c>
      <c r="Q4645">
        <v>20221214</v>
      </c>
    </row>
    <row r="4646" spans="1:17" x14ac:dyDescent="0.25">
      <c r="A4646" t="s">
        <v>548</v>
      </c>
      <c r="B4646" t="s">
        <v>429</v>
      </c>
      <c r="C4646">
        <v>169</v>
      </c>
      <c r="D4646">
        <v>20221215</v>
      </c>
      <c r="E4646">
        <f t="shared" si="72"/>
        <v>12</v>
      </c>
      <c r="F4646">
        <v>467100</v>
      </c>
      <c r="G4646" t="s">
        <v>160</v>
      </c>
      <c r="H4646" t="s">
        <v>316</v>
      </c>
      <c r="I4646" t="s">
        <v>317</v>
      </c>
      <c r="J4646" t="s">
        <v>4599</v>
      </c>
      <c r="K4646">
        <v>20221215</v>
      </c>
      <c r="L4646" t="s">
        <v>4600</v>
      </c>
      <c r="M4646">
        <v>324</v>
      </c>
      <c r="N4646">
        <v>0</v>
      </c>
      <c r="O4646" t="s">
        <v>23</v>
      </c>
      <c r="P4646">
        <v>20230308</v>
      </c>
      <c r="Q4646">
        <v>20221215</v>
      </c>
    </row>
    <row r="4647" spans="1:17" x14ac:dyDescent="0.25">
      <c r="A4647" t="s">
        <v>548</v>
      </c>
      <c r="B4647" t="s">
        <v>429</v>
      </c>
      <c r="C4647">
        <v>169</v>
      </c>
      <c r="D4647">
        <v>20221215</v>
      </c>
      <c r="E4647">
        <f t="shared" si="72"/>
        <v>12</v>
      </c>
      <c r="F4647">
        <v>531105</v>
      </c>
      <c r="G4647" t="s">
        <v>429</v>
      </c>
      <c r="H4647" t="s">
        <v>401</v>
      </c>
      <c r="I4647" t="s">
        <v>402</v>
      </c>
      <c r="J4647" t="s">
        <v>4599</v>
      </c>
      <c r="K4647">
        <v>20221215</v>
      </c>
      <c r="L4647" t="s">
        <v>4600</v>
      </c>
      <c r="M4647">
        <v>0</v>
      </c>
      <c r="N4647">
        <v>324</v>
      </c>
      <c r="O4647" t="s">
        <v>19</v>
      </c>
      <c r="P4647" t="s">
        <v>20</v>
      </c>
      <c r="Q4647">
        <v>20221215</v>
      </c>
    </row>
    <row r="4648" spans="1:17" x14ac:dyDescent="0.25">
      <c r="A4648" t="s">
        <v>548</v>
      </c>
      <c r="B4648" t="s">
        <v>429</v>
      </c>
      <c r="C4648">
        <v>169</v>
      </c>
      <c r="D4648">
        <v>20221215</v>
      </c>
      <c r="E4648">
        <f t="shared" si="72"/>
        <v>12</v>
      </c>
      <c r="F4648">
        <v>467100</v>
      </c>
      <c r="G4648" t="s">
        <v>160</v>
      </c>
      <c r="H4648" t="s">
        <v>1305</v>
      </c>
      <c r="I4648" t="s">
        <v>1306</v>
      </c>
      <c r="J4648" t="s">
        <v>4601</v>
      </c>
      <c r="K4648">
        <v>20221215</v>
      </c>
      <c r="L4648" t="s">
        <v>4602</v>
      </c>
      <c r="M4648">
        <v>50</v>
      </c>
      <c r="N4648">
        <v>0</v>
      </c>
      <c r="O4648" t="s">
        <v>23</v>
      </c>
      <c r="P4648">
        <v>20221219</v>
      </c>
      <c r="Q4648">
        <v>20221215</v>
      </c>
    </row>
    <row r="4649" spans="1:17" x14ac:dyDescent="0.25">
      <c r="A4649" t="s">
        <v>548</v>
      </c>
      <c r="B4649" t="s">
        <v>429</v>
      </c>
      <c r="C4649">
        <v>169</v>
      </c>
      <c r="D4649">
        <v>20221215</v>
      </c>
      <c r="E4649">
        <f t="shared" si="72"/>
        <v>12</v>
      </c>
      <c r="F4649">
        <v>531105</v>
      </c>
      <c r="G4649" t="s">
        <v>429</v>
      </c>
      <c r="H4649" t="s">
        <v>401</v>
      </c>
      <c r="I4649" t="s">
        <v>402</v>
      </c>
      <c r="J4649" t="s">
        <v>4601</v>
      </c>
      <c r="K4649">
        <v>20221215</v>
      </c>
      <c r="L4649" t="s">
        <v>4602</v>
      </c>
      <c r="M4649">
        <v>0</v>
      </c>
      <c r="N4649">
        <v>50</v>
      </c>
      <c r="O4649" t="s">
        <v>19</v>
      </c>
      <c r="P4649" t="s">
        <v>20</v>
      </c>
      <c r="Q4649">
        <v>20221215</v>
      </c>
    </row>
    <row r="4650" spans="1:17" x14ac:dyDescent="0.25">
      <c r="A4650" t="s">
        <v>548</v>
      </c>
      <c r="B4650" t="s">
        <v>429</v>
      </c>
      <c r="C4650">
        <v>169</v>
      </c>
      <c r="D4650">
        <v>20221215</v>
      </c>
      <c r="E4650">
        <f t="shared" si="72"/>
        <v>12</v>
      </c>
      <c r="F4650">
        <v>411100</v>
      </c>
      <c r="G4650" t="s">
        <v>18</v>
      </c>
      <c r="H4650" t="s">
        <v>4603</v>
      </c>
      <c r="I4650" t="s">
        <v>4604</v>
      </c>
      <c r="J4650">
        <v>362163</v>
      </c>
      <c r="K4650">
        <v>20221215</v>
      </c>
      <c r="L4650" t="s">
        <v>4605</v>
      </c>
      <c r="M4650">
        <v>0</v>
      </c>
      <c r="N4650">
        <v>10</v>
      </c>
      <c r="O4650" t="s">
        <v>22</v>
      </c>
      <c r="P4650">
        <v>20230218</v>
      </c>
      <c r="Q4650">
        <v>20221215</v>
      </c>
    </row>
    <row r="4651" spans="1:17" x14ac:dyDescent="0.25">
      <c r="A4651" t="s">
        <v>548</v>
      </c>
      <c r="B4651" t="s">
        <v>429</v>
      </c>
      <c r="C4651">
        <v>169</v>
      </c>
      <c r="D4651">
        <v>20221215</v>
      </c>
      <c r="E4651">
        <f t="shared" si="72"/>
        <v>12</v>
      </c>
      <c r="F4651">
        <v>411100</v>
      </c>
      <c r="G4651" t="s">
        <v>18</v>
      </c>
      <c r="H4651" t="s">
        <v>787</v>
      </c>
      <c r="I4651" t="s">
        <v>788</v>
      </c>
      <c r="J4651">
        <v>122110149</v>
      </c>
      <c r="K4651">
        <v>20221215</v>
      </c>
      <c r="L4651" t="s">
        <v>4606</v>
      </c>
      <c r="M4651">
        <v>0</v>
      </c>
      <c r="N4651">
        <v>40</v>
      </c>
      <c r="O4651" t="s">
        <v>19</v>
      </c>
      <c r="P4651" t="s">
        <v>20</v>
      </c>
      <c r="Q4651">
        <v>20221215</v>
      </c>
    </row>
    <row r="4652" spans="1:17" x14ac:dyDescent="0.25">
      <c r="A4652" t="s">
        <v>548</v>
      </c>
      <c r="B4652" t="s">
        <v>429</v>
      </c>
      <c r="C4652">
        <v>169</v>
      </c>
      <c r="D4652">
        <v>20221215</v>
      </c>
      <c r="E4652">
        <f t="shared" si="72"/>
        <v>12</v>
      </c>
      <c r="F4652">
        <v>531105</v>
      </c>
      <c r="G4652" t="s">
        <v>429</v>
      </c>
      <c r="H4652" t="s">
        <v>401</v>
      </c>
      <c r="I4652" t="s">
        <v>402</v>
      </c>
      <c r="J4652">
        <v>362165</v>
      </c>
      <c r="K4652">
        <v>20221215</v>
      </c>
      <c r="L4652" t="s">
        <v>565</v>
      </c>
      <c r="M4652">
        <v>50</v>
      </c>
      <c r="N4652">
        <v>0</v>
      </c>
      <c r="O4652" t="s">
        <v>19</v>
      </c>
      <c r="P4652" t="s">
        <v>20</v>
      </c>
      <c r="Q4652">
        <v>20221215</v>
      </c>
    </row>
    <row r="4653" spans="1:17" x14ac:dyDescent="0.25">
      <c r="A4653" t="s">
        <v>548</v>
      </c>
      <c r="B4653" t="s">
        <v>429</v>
      </c>
      <c r="C4653">
        <v>169</v>
      </c>
      <c r="D4653">
        <v>20221216</v>
      </c>
      <c r="E4653">
        <f t="shared" si="72"/>
        <v>12</v>
      </c>
      <c r="F4653">
        <v>467100</v>
      </c>
      <c r="G4653" t="s">
        <v>160</v>
      </c>
      <c r="H4653" t="s">
        <v>183</v>
      </c>
      <c r="I4653" t="s">
        <v>184</v>
      </c>
      <c r="J4653" t="s">
        <v>4607</v>
      </c>
      <c r="K4653">
        <v>20221216</v>
      </c>
      <c r="L4653" t="s">
        <v>4608</v>
      </c>
      <c r="M4653">
        <v>200</v>
      </c>
      <c r="N4653">
        <v>0</v>
      </c>
      <c r="O4653" t="s">
        <v>19</v>
      </c>
      <c r="P4653" t="s">
        <v>20</v>
      </c>
      <c r="Q4653">
        <v>20221216</v>
      </c>
    </row>
    <row r="4654" spans="1:17" x14ac:dyDescent="0.25">
      <c r="A4654" t="s">
        <v>548</v>
      </c>
      <c r="B4654" t="s">
        <v>429</v>
      </c>
      <c r="C4654">
        <v>169</v>
      </c>
      <c r="D4654">
        <v>20221216</v>
      </c>
      <c r="E4654">
        <f t="shared" si="72"/>
        <v>12</v>
      </c>
      <c r="F4654">
        <v>531105</v>
      </c>
      <c r="G4654" t="s">
        <v>429</v>
      </c>
      <c r="H4654" t="s">
        <v>401</v>
      </c>
      <c r="I4654" t="s">
        <v>402</v>
      </c>
      <c r="J4654" t="s">
        <v>4607</v>
      </c>
      <c r="K4654">
        <v>20221216</v>
      </c>
      <c r="L4654" t="s">
        <v>4608</v>
      </c>
      <c r="M4654">
        <v>0</v>
      </c>
      <c r="N4654">
        <v>200</v>
      </c>
      <c r="O4654" t="s">
        <v>19</v>
      </c>
      <c r="P4654" t="s">
        <v>20</v>
      </c>
      <c r="Q4654">
        <v>20221216</v>
      </c>
    </row>
    <row r="4655" spans="1:17" x14ac:dyDescent="0.25">
      <c r="A4655" t="s">
        <v>548</v>
      </c>
      <c r="B4655" t="s">
        <v>429</v>
      </c>
      <c r="C4655">
        <v>169</v>
      </c>
      <c r="D4655">
        <v>20221216</v>
      </c>
      <c r="E4655">
        <f t="shared" si="72"/>
        <v>12</v>
      </c>
      <c r="F4655">
        <v>467100</v>
      </c>
      <c r="G4655" t="s">
        <v>160</v>
      </c>
      <c r="H4655" t="s">
        <v>1305</v>
      </c>
      <c r="I4655" t="s">
        <v>1306</v>
      </c>
      <c r="J4655" t="s">
        <v>4609</v>
      </c>
      <c r="K4655">
        <v>20221216</v>
      </c>
      <c r="L4655" t="s">
        <v>4610</v>
      </c>
      <c r="M4655">
        <v>0</v>
      </c>
      <c r="N4655">
        <v>20</v>
      </c>
      <c r="O4655" t="s">
        <v>23</v>
      </c>
      <c r="P4655">
        <v>20221219</v>
      </c>
      <c r="Q4655">
        <v>20221216</v>
      </c>
    </row>
    <row r="4656" spans="1:17" x14ac:dyDescent="0.25">
      <c r="A4656" t="s">
        <v>548</v>
      </c>
      <c r="B4656" t="s">
        <v>429</v>
      </c>
      <c r="C4656">
        <v>169</v>
      </c>
      <c r="D4656">
        <v>20221216</v>
      </c>
      <c r="E4656">
        <f t="shared" si="72"/>
        <v>12</v>
      </c>
      <c r="F4656">
        <v>531105</v>
      </c>
      <c r="G4656" t="s">
        <v>429</v>
      </c>
      <c r="H4656" t="s">
        <v>401</v>
      </c>
      <c r="I4656" t="s">
        <v>402</v>
      </c>
      <c r="J4656" t="s">
        <v>4609</v>
      </c>
      <c r="K4656">
        <v>20221216</v>
      </c>
      <c r="L4656" t="s">
        <v>4610</v>
      </c>
      <c r="M4656">
        <v>20</v>
      </c>
      <c r="N4656">
        <v>0</v>
      </c>
      <c r="O4656" t="s">
        <v>19</v>
      </c>
      <c r="P4656" t="s">
        <v>20</v>
      </c>
      <c r="Q4656">
        <v>20221216</v>
      </c>
    </row>
    <row r="4657" spans="1:17" x14ac:dyDescent="0.25">
      <c r="A4657" t="s">
        <v>548</v>
      </c>
      <c r="B4657" t="s">
        <v>429</v>
      </c>
      <c r="C4657">
        <v>169</v>
      </c>
      <c r="D4657">
        <v>20221216</v>
      </c>
      <c r="E4657">
        <f t="shared" si="72"/>
        <v>12</v>
      </c>
      <c r="F4657">
        <v>467100</v>
      </c>
      <c r="G4657" t="s">
        <v>160</v>
      </c>
      <c r="H4657" t="s">
        <v>4611</v>
      </c>
      <c r="I4657" t="s">
        <v>4612</v>
      </c>
      <c r="J4657" t="s">
        <v>4613</v>
      </c>
      <c r="K4657">
        <v>20221216</v>
      </c>
      <c r="L4657" t="s">
        <v>4614</v>
      </c>
      <c r="M4657">
        <v>7.32</v>
      </c>
      <c r="N4657">
        <v>0</v>
      </c>
      <c r="O4657" t="s">
        <v>23</v>
      </c>
      <c r="P4657">
        <v>20221219</v>
      </c>
      <c r="Q4657">
        <v>20221216</v>
      </c>
    </row>
    <row r="4658" spans="1:17" x14ac:dyDescent="0.25">
      <c r="A4658" t="s">
        <v>548</v>
      </c>
      <c r="B4658" t="s">
        <v>429</v>
      </c>
      <c r="C4658">
        <v>169</v>
      </c>
      <c r="D4658">
        <v>20221216</v>
      </c>
      <c r="E4658">
        <f t="shared" si="72"/>
        <v>12</v>
      </c>
      <c r="F4658">
        <v>531105</v>
      </c>
      <c r="G4658" t="s">
        <v>429</v>
      </c>
      <c r="H4658" t="s">
        <v>401</v>
      </c>
      <c r="I4658" t="s">
        <v>402</v>
      </c>
      <c r="J4658" t="s">
        <v>4613</v>
      </c>
      <c r="K4658">
        <v>20221216</v>
      </c>
      <c r="L4658" t="s">
        <v>4614</v>
      </c>
      <c r="M4658">
        <v>0</v>
      </c>
      <c r="N4658">
        <v>7.32</v>
      </c>
      <c r="O4658" t="s">
        <v>19</v>
      </c>
      <c r="P4658" t="s">
        <v>20</v>
      </c>
      <c r="Q4658">
        <v>20221216</v>
      </c>
    </row>
    <row r="4659" spans="1:17" x14ac:dyDescent="0.25">
      <c r="A4659" t="s">
        <v>548</v>
      </c>
      <c r="B4659" t="s">
        <v>429</v>
      </c>
      <c r="C4659">
        <v>169</v>
      </c>
      <c r="D4659">
        <v>20221216</v>
      </c>
      <c r="E4659">
        <f t="shared" si="72"/>
        <v>12</v>
      </c>
      <c r="F4659">
        <v>411100</v>
      </c>
      <c r="G4659" t="s">
        <v>18</v>
      </c>
      <c r="H4659" t="s">
        <v>81</v>
      </c>
      <c r="I4659" t="s">
        <v>82</v>
      </c>
      <c r="J4659">
        <v>362166</v>
      </c>
      <c r="K4659">
        <v>20221216</v>
      </c>
      <c r="L4659" t="s">
        <v>4615</v>
      </c>
      <c r="M4659">
        <v>0</v>
      </c>
      <c r="N4659">
        <v>5</v>
      </c>
      <c r="O4659" t="s">
        <v>19</v>
      </c>
      <c r="P4659" t="s">
        <v>20</v>
      </c>
      <c r="Q4659">
        <v>20221216</v>
      </c>
    </row>
    <row r="4660" spans="1:17" x14ac:dyDescent="0.25">
      <c r="A4660" t="s">
        <v>548</v>
      </c>
      <c r="B4660" t="s">
        <v>429</v>
      </c>
      <c r="C4660">
        <v>169</v>
      </c>
      <c r="D4660">
        <v>20221216</v>
      </c>
      <c r="E4660">
        <f t="shared" si="72"/>
        <v>12</v>
      </c>
      <c r="F4660">
        <v>411100</v>
      </c>
      <c r="G4660" t="s">
        <v>18</v>
      </c>
      <c r="H4660" t="s">
        <v>73</v>
      </c>
      <c r="I4660" t="s">
        <v>74</v>
      </c>
      <c r="J4660">
        <v>362167</v>
      </c>
      <c r="K4660">
        <v>20221216</v>
      </c>
      <c r="L4660" t="s">
        <v>4616</v>
      </c>
      <c r="M4660">
        <v>0</v>
      </c>
      <c r="N4660">
        <v>5</v>
      </c>
      <c r="O4660" t="s">
        <v>19</v>
      </c>
      <c r="P4660" t="s">
        <v>20</v>
      </c>
      <c r="Q4660">
        <v>20221216</v>
      </c>
    </row>
    <row r="4661" spans="1:17" x14ac:dyDescent="0.25">
      <c r="A4661" t="s">
        <v>548</v>
      </c>
      <c r="B4661" t="s">
        <v>429</v>
      </c>
      <c r="C4661">
        <v>169</v>
      </c>
      <c r="D4661">
        <v>20221216</v>
      </c>
      <c r="E4661">
        <f t="shared" si="72"/>
        <v>12</v>
      </c>
      <c r="F4661">
        <v>411100</v>
      </c>
      <c r="G4661" t="s">
        <v>18</v>
      </c>
      <c r="H4661" t="s">
        <v>154</v>
      </c>
      <c r="I4661" t="s">
        <v>155</v>
      </c>
      <c r="J4661">
        <v>362168</v>
      </c>
      <c r="K4661">
        <v>20221216</v>
      </c>
      <c r="L4661" t="s">
        <v>4617</v>
      </c>
      <c r="M4661">
        <v>0</v>
      </c>
      <c r="N4661">
        <v>5</v>
      </c>
      <c r="O4661" t="s">
        <v>19</v>
      </c>
      <c r="P4661" t="s">
        <v>20</v>
      </c>
      <c r="Q4661">
        <v>20221216</v>
      </c>
    </row>
    <row r="4662" spans="1:17" x14ac:dyDescent="0.25">
      <c r="A4662" t="s">
        <v>548</v>
      </c>
      <c r="B4662" t="s">
        <v>429</v>
      </c>
      <c r="C4662">
        <v>169</v>
      </c>
      <c r="D4662">
        <v>20221216</v>
      </c>
      <c r="E4662">
        <f t="shared" si="72"/>
        <v>12</v>
      </c>
      <c r="F4662">
        <v>411100</v>
      </c>
      <c r="G4662" t="s">
        <v>18</v>
      </c>
      <c r="H4662" t="s">
        <v>1911</v>
      </c>
      <c r="I4662" t="s">
        <v>1912</v>
      </c>
      <c r="J4662">
        <v>362169</v>
      </c>
      <c r="K4662">
        <v>20221216</v>
      </c>
      <c r="L4662" t="s">
        <v>4618</v>
      </c>
      <c r="M4662">
        <v>0</v>
      </c>
      <c r="N4662">
        <v>5</v>
      </c>
      <c r="O4662" t="s">
        <v>19</v>
      </c>
      <c r="P4662" t="s">
        <v>20</v>
      </c>
      <c r="Q4662">
        <v>20221216</v>
      </c>
    </row>
    <row r="4663" spans="1:17" x14ac:dyDescent="0.25">
      <c r="A4663" t="s">
        <v>548</v>
      </c>
      <c r="B4663" t="s">
        <v>429</v>
      </c>
      <c r="C4663">
        <v>169</v>
      </c>
      <c r="D4663">
        <v>20221216</v>
      </c>
      <c r="E4663">
        <f t="shared" si="72"/>
        <v>12</v>
      </c>
      <c r="F4663">
        <v>411100</v>
      </c>
      <c r="G4663" t="s">
        <v>18</v>
      </c>
      <c r="H4663" t="s">
        <v>259</v>
      </c>
      <c r="I4663" t="s">
        <v>260</v>
      </c>
      <c r="J4663">
        <v>362170</v>
      </c>
      <c r="K4663">
        <v>20221216</v>
      </c>
      <c r="L4663" t="s">
        <v>4619</v>
      </c>
      <c r="M4663">
        <v>0</v>
      </c>
      <c r="N4663">
        <v>5</v>
      </c>
      <c r="O4663" t="s">
        <v>19</v>
      </c>
      <c r="P4663" t="s">
        <v>20</v>
      </c>
      <c r="Q4663">
        <v>20221216</v>
      </c>
    </row>
    <row r="4664" spans="1:17" x14ac:dyDescent="0.25">
      <c r="A4664" t="s">
        <v>548</v>
      </c>
      <c r="B4664" t="s">
        <v>429</v>
      </c>
      <c r="C4664">
        <v>169</v>
      </c>
      <c r="D4664">
        <v>20221216</v>
      </c>
      <c r="E4664">
        <f t="shared" si="72"/>
        <v>12</v>
      </c>
      <c r="F4664">
        <v>411100</v>
      </c>
      <c r="G4664" t="s">
        <v>18</v>
      </c>
      <c r="H4664" t="s">
        <v>1765</v>
      </c>
      <c r="I4664" t="s">
        <v>1766</v>
      </c>
      <c r="J4664">
        <v>362171</v>
      </c>
      <c r="K4664">
        <v>20221216</v>
      </c>
      <c r="L4664" t="s">
        <v>4620</v>
      </c>
      <c r="M4664">
        <v>0</v>
      </c>
      <c r="N4664">
        <v>5.8</v>
      </c>
      <c r="O4664" t="s">
        <v>23</v>
      </c>
      <c r="P4664">
        <v>20230218</v>
      </c>
      <c r="Q4664">
        <v>20221216</v>
      </c>
    </row>
    <row r="4665" spans="1:17" x14ac:dyDescent="0.25">
      <c r="A4665" t="s">
        <v>548</v>
      </c>
      <c r="B4665" t="s">
        <v>429</v>
      </c>
      <c r="C4665">
        <v>169</v>
      </c>
      <c r="D4665">
        <v>20221216</v>
      </c>
      <c r="E4665">
        <f t="shared" si="72"/>
        <v>12</v>
      </c>
      <c r="F4665">
        <v>531105</v>
      </c>
      <c r="G4665" t="s">
        <v>429</v>
      </c>
      <c r="H4665" t="s">
        <v>401</v>
      </c>
      <c r="I4665" t="s">
        <v>402</v>
      </c>
      <c r="J4665">
        <v>362172</v>
      </c>
      <c r="K4665">
        <v>20221216</v>
      </c>
      <c r="L4665" t="s">
        <v>565</v>
      </c>
      <c r="M4665">
        <v>30.8</v>
      </c>
      <c r="N4665">
        <v>0</v>
      </c>
      <c r="O4665" t="s">
        <v>19</v>
      </c>
      <c r="P4665" t="s">
        <v>20</v>
      </c>
      <c r="Q4665">
        <v>20221216</v>
      </c>
    </row>
    <row r="4666" spans="1:17" x14ac:dyDescent="0.25">
      <c r="A4666" t="s">
        <v>548</v>
      </c>
      <c r="B4666" t="s">
        <v>429</v>
      </c>
      <c r="C4666">
        <v>169</v>
      </c>
      <c r="D4666">
        <v>20221216</v>
      </c>
      <c r="E4666">
        <f t="shared" si="72"/>
        <v>12</v>
      </c>
      <c r="F4666">
        <v>411010</v>
      </c>
      <c r="G4666" t="s">
        <v>87</v>
      </c>
      <c r="H4666" t="s">
        <v>330</v>
      </c>
      <c r="I4666" t="s">
        <v>331</v>
      </c>
      <c r="J4666">
        <v>222070020</v>
      </c>
      <c r="K4666">
        <v>20221216</v>
      </c>
      <c r="L4666" t="s">
        <v>4621</v>
      </c>
      <c r="M4666">
        <v>0</v>
      </c>
      <c r="N4666">
        <v>466.23</v>
      </c>
      <c r="O4666" t="s">
        <v>19</v>
      </c>
      <c r="P4666" t="s">
        <v>20</v>
      </c>
      <c r="Q4666">
        <v>20221216</v>
      </c>
    </row>
    <row r="4667" spans="1:17" x14ac:dyDescent="0.25">
      <c r="A4667" t="s">
        <v>548</v>
      </c>
      <c r="B4667" t="s">
        <v>429</v>
      </c>
      <c r="C4667">
        <v>169</v>
      </c>
      <c r="D4667">
        <v>20221216</v>
      </c>
      <c r="E4667">
        <f t="shared" si="72"/>
        <v>12</v>
      </c>
      <c r="F4667">
        <v>531105</v>
      </c>
      <c r="G4667" t="s">
        <v>429</v>
      </c>
      <c r="H4667" t="s">
        <v>401</v>
      </c>
      <c r="I4667" t="s">
        <v>402</v>
      </c>
      <c r="J4667">
        <v>362197</v>
      </c>
      <c r="K4667">
        <v>20221216</v>
      </c>
      <c r="L4667" t="s">
        <v>565</v>
      </c>
      <c r="M4667">
        <v>466.23</v>
      </c>
      <c r="N4667">
        <v>0</v>
      </c>
      <c r="O4667" t="s">
        <v>19</v>
      </c>
      <c r="P4667" t="s">
        <v>20</v>
      </c>
      <c r="Q4667">
        <v>20221216</v>
      </c>
    </row>
    <row r="4668" spans="1:17" x14ac:dyDescent="0.25">
      <c r="A4668" t="s">
        <v>548</v>
      </c>
      <c r="B4668" t="s">
        <v>429</v>
      </c>
      <c r="C4668">
        <v>169</v>
      </c>
      <c r="D4668">
        <v>20221216</v>
      </c>
      <c r="E4668">
        <f t="shared" si="72"/>
        <v>12</v>
      </c>
      <c r="F4668">
        <v>411020</v>
      </c>
      <c r="G4668" t="s">
        <v>30</v>
      </c>
      <c r="H4668" t="s">
        <v>3637</v>
      </c>
      <c r="I4668" t="s">
        <v>3638</v>
      </c>
      <c r="J4668">
        <v>322110013</v>
      </c>
      <c r="K4668">
        <v>20221216</v>
      </c>
      <c r="L4668" t="s">
        <v>4622</v>
      </c>
      <c r="M4668">
        <v>0</v>
      </c>
      <c r="N4668">
        <v>3.14</v>
      </c>
      <c r="O4668" t="s">
        <v>22</v>
      </c>
      <c r="P4668">
        <v>20230218</v>
      </c>
      <c r="Q4668">
        <v>20221216</v>
      </c>
    </row>
    <row r="4669" spans="1:17" x14ac:dyDescent="0.25">
      <c r="A4669" t="s">
        <v>548</v>
      </c>
      <c r="B4669" t="s">
        <v>429</v>
      </c>
      <c r="C4669">
        <v>169</v>
      </c>
      <c r="D4669">
        <v>20221216</v>
      </c>
      <c r="E4669">
        <f t="shared" si="72"/>
        <v>12</v>
      </c>
      <c r="F4669">
        <v>411020</v>
      </c>
      <c r="G4669" t="s">
        <v>30</v>
      </c>
      <c r="H4669" t="s">
        <v>3637</v>
      </c>
      <c r="I4669" t="s">
        <v>3638</v>
      </c>
      <c r="J4669">
        <v>322110013</v>
      </c>
      <c r="K4669">
        <v>20221216</v>
      </c>
      <c r="L4669" t="s">
        <v>4623</v>
      </c>
      <c r="M4669">
        <v>0</v>
      </c>
      <c r="N4669">
        <v>0.86</v>
      </c>
      <c r="O4669" t="s">
        <v>19</v>
      </c>
      <c r="P4669" t="s">
        <v>20</v>
      </c>
      <c r="Q4669">
        <v>20221216</v>
      </c>
    </row>
    <row r="4670" spans="1:17" x14ac:dyDescent="0.25">
      <c r="A4670" t="s">
        <v>548</v>
      </c>
      <c r="B4670" t="s">
        <v>429</v>
      </c>
      <c r="C4670">
        <v>169</v>
      </c>
      <c r="D4670">
        <v>20221216</v>
      </c>
      <c r="E4670">
        <f t="shared" si="72"/>
        <v>12</v>
      </c>
      <c r="F4670">
        <v>411020</v>
      </c>
      <c r="G4670" t="s">
        <v>30</v>
      </c>
      <c r="H4670" t="s">
        <v>399</v>
      </c>
      <c r="I4670" t="s">
        <v>400</v>
      </c>
      <c r="J4670">
        <v>322100021</v>
      </c>
      <c r="K4670">
        <v>20221216</v>
      </c>
      <c r="L4670" t="s">
        <v>4624</v>
      </c>
      <c r="M4670">
        <v>0</v>
      </c>
      <c r="N4670">
        <v>62.62</v>
      </c>
      <c r="O4670" t="s">
        <v>19</v>
      </c>
      <c r="P4670" t="s">
        <v>20</v>
      </c>
      <c r="Q4670">
        <v>20221216</v>
      </c>
    </row>
    <row r="4671" spans="1:17" x14ac:dyDescent="0.25">
      <c r="A4671" t="s">
        <v>548</v>
      </c>
      <c r="B4671" t="s">
        <v>429</v>
      </c>
      <c r="C4671">
        <v>169</v>
      </c>
      <c r="D4671">
        <v>20221216</v>
      </c>
      <c r="E4671">
        <f t="shared" si="72"/>
        <v>12</v>
      </c>
      <c r="F4671">
        <v>411020</v>
      </c>
      <c r="G4671" t="s">
        <v>30</v>
      </c>
      <c r="H4671" t="s">
        <v>399</v>
      </c>
      <c r="I4671" t="s">
        <v>400</v>
      </c>
      <c r="J4671">
        <v>322100021</v>
      </c>
      <c r="K4671">
        <v>20221216</v>
      </c>
      <c r="L4671" t="s">
        <v>4625</v>
      </c>
      <c r="M4671">
        <v>0</v>
      </c>
      <c r="N4671">
        <v>0.38</v>
      </c>
      <c r="O4671" t="s">
        <v>19</v>
      </c>
      <c r="P4671" t="s">
        <v>20</v>
      </c>
      <c r="Q4671">
        <v>20221216</v>
      </c>
    </row>
    <row r="4672" spans="1:17" x14ac:dyDescent="0.25">
      <c r="A4672" t="s">
        <v>548</v>
      </c>
      <c r="B4672" t="s">
        <v>429</v>
      </c>
      <c r="C4672">
        <v>169</v>
      </c>
      <c r="D4672">
        <v>20221216</v>
      </c>
      <c r="E4672">
        <f t="shared" si="72"/>
        <v>12</v>
      </c>
      <c r="F4672">
        <v>411100</v>
      </c>
      <c r="G4672" t="s">
        <v>18</v>
      </c>
      <c r="H4672" t="s">
        <v>209</v>
      </c>
      <c r="I4672" t="s">
        <v>210</v>
      </c>
      <c r="J4672">
        <v>322110014</v>
      </c>
      <c r="K4672">
        <v>20221216</v>
      </c>
      <c r="L4672" t="s">
        <v>4626</v>
      </c>
      <c r="M4672">
        <v>0</v>
      </c>
      <c r="N4672">
        <v>70</v>
      </c>
      <c r="O4672" t="s">
        <v>19</v>
      </c>
      <c r="P4672" t="s">
        <v>20</v>
      </c>
      <c r="Q4672">
        <v>20221216</v>
      </c>
    </row>
    <row r="4673" spans="1:17" x14ac:dyDescent="0.25">
      <c r="A4673" t="s">
        <v>548</v>
      </c>
      <c r="B4673" t="s">
        <v>429</v>
      </c>
      <c r="C4673">
        <v>169</v>
      </c>
      <c r="D4673">
        <v>20221216</v>
      </c>
      <c r="E4673">
        <f t="shared" si="72"/>
        <v>12</v>
      </c>
      <c r="F4673">
        <v>411100</v>
      </c>
      <c r="G4673" t="s">
        <v>18</v>
      </c>
      <c r="H4673" t="s">
        <v>3641</v>
      </c>
      <c r="I4673" t="s">
        <v>3642</v>
      </c>
      <c r="J4673">
        <v>322110017</v>
      </c>
      <c r="K4673">
        <v>20221216</v>
      </c>
      <c r="L4673" t="s">
        <v>4627</v>
      </c>
      <c r="M4673">
        <v>0</v>
      </c>
      <c r="N4673">
        <v>19.87</v>
      </c>
      <c r="O4673" t="s">
        <v>22</v>
      </c>
      <c r="P4673">
        <v>20230218</v>
      </c>
      <c r="Q4673">
        <v>20221216</v>
      </c>
    </row>
    <row r="4674" spans="1:17" x14ac:dyDescent="0.25">
      <c r="A4674" t="s">
        <v>548</v>
      </c>
      <c r="B4674" t="s">
        <v>429</v>
      </c>
      <c r="C4674">
        <v>169</v>
      </c>
      <c r="D4674">
        <v>20221216</v>
      </c>
      <c r="E4674">
        <f t="shared" si="72"/>
        <v>12</v>
      </c>
      <c r="F4674">
        <v>411100</v>
      </c>
      <c r="G4674" t="s">
        <v>18</v>
      </c>
      <c r="H4674" t="s">
        <v>3641</v>
      </c>
      <c r="I4674" t="s">
        <v>3642</v>
      </c>
      <c r="J4674">
        <v>322110017</v>
      </c>
      <c r="K4674">
        <v>20221216</v>
      </c>
      <c r="L4674" t="s">
        <v>4628</v>
      </c>
      <c r="M4674">
        <v>0</v>
      </c>
      <c r="N4674">
        <v>0.13</v>
      </c>
      <c r="O4674" t="s">
        <v>19</v>
      </c>
      <c r="P4674" t="s">
        <v>20</v>
      </c>
      <c r="Q4674">
        <v>20221216</v>
      </c>
    </row>
    <row r="4675" spans="1:17" x14ac:dyDescent="0.25">
      <c r="A4675" t="s">
        <v>548</v>
      </c>
      <c r="B4675" t="s">
        <v>429</v>
      </c>
      <c r="C4675">
        <v>169</v>
      </c>
      <c r="D4675">
        <v>20221216</v>
      </c>
      <c r="E4675">
        <f t="shared" ref="E4675:E4738" si="73">VALUE(MID(D4675,5,2))</f>
        <v>12</v>
      </c>
      <c r="F4675">
        <v>411020</v>
      </c>
      <c r="G4675" t="s">
        <v>30</v>
      </c>
      <c r="H4675" t="s">
        <v>324</v>
      </c>
      <c r="I4675" t="s">
        <v>325</v>
      </c>
      <c r="J4675">
        <v>322110003</v>
      </c>
      <c r="K4675">
        <v>20221216</v>
      </c>
      <c r="L4675" t="s">
        <v>4629</v>
      </c>
      <c r="M4675">
        <v>0</v>
      </c>
      <c r="N4675">
        <v>200</v>
      </c>
      <c r="O4675" t="s">
        <v>19</v>
      </c>
      <c r="P4675" t="s">
        <v>20</v>
      </c>
      <c r="Q4675">
        <v>20221216</v>
      </c>
    </row>
    <row r="4676" spans="1:17" x14ac:dyDescent="0.25">
      <c r="A4676" t="s">
        <v>548</v>
      </c>
      <c r="B4676" t="s">
        <v>429</v>
      </c>
      <c r="C4676">
        <v>169</v>
      </c>
      <c r="D4676">
        <v>20221216</v>
      </c>
      <c r="E4676">
        <f t="shared" si="73"/>
        <v>12</v>
      </c>
      <c r="F4676">
        <v>531105</v>
      </c>
      <c r="G4676" t="s">
        <v>429</v>
      </c>
      <c r="H4676" t="s">
        <v>401</v>
      </c>
      <c r="I4676" t="s">
        <v>402</v>
      </c>
      <c r="J4676">
        <v>362218</v>
      </c>
      <c r="K4676">
        <v>20221216</v>
      </c>
      <c r="L4676" t="s">
        <v>565</v>
      </c>
      <c r="M4676">
        <v>357</v>
      </c>
      <c r="N4676">
        <v>0</v>
      </c>
      <c r="O4676" t="s">
        <v>19</v>
      </c>
      <c r="P4676" t="s">
        <v>20</v>
      </c>
      <c r="Q4676">
        <v>20221216</v>
      </c>
    </row>
    <row r="4677" spans="1:17" x14ac:dyDescent="0.25">
      <c r="A4677" t="s">
        <v>548</v>
      </c>
      <c r="B4677" t="s">
        <v>429</v>
      </c>
      <c r="C4677">
        <v>169</v>
      </c>
      <c r="D4677">
        <v>20221216</v>
      </c>
      <c r="E4677">
        <f t="shared" si="73"/>
        <v>12</v>
      </c>
      <c r="F4677">
        <v>467100</v>
      </c>
      <c r="G4677" t="s">
        <v>160</v>
      </c>
      <c r="H4677" t="s">
        <v>3392</v>
      </c>
      <c r="I4677" t="s">
        <v>3393</v>
      </c>
      <c r="J4677" t="s">
        <v>4630</v>
      </c>
      <c r="K4677">
        <v>20221216</v>
      </c>
      <c r="L4677" t="s">
        <v>4631</v>
      </c>
      <c r="M4677">
        <v>200</v>
      </c>
      <c r="N4677">
        <v>0</v>
      </c>
      <c r="O4677" t="s">
        <v>23</v>
      </c>
      <c r="P4677">
        <v>20230125</v>
      </c>
      <c r="Q4677">
        <v>20221216</v>
      </c>
    </row>
    <row r="4678" spans="1:17" x14ac:dyDescent="0.25">
      <c r="A4678" t="s">
        <v>548</v>
      </c>
      <c r="B4678" t="s">
        <v>429</v>
      </c>
      <c r="C4678">
        <v>169</v>
      </c>
      <c r="D4678">
        <v>20221216</v>
      </c>
      <c r="E4678">
        <f t="shared" si="73"/>
        <v>12</v>
      </c>
      <c r="F4678">
        <v>531105</v>
      </c>
      <c r="G4678" t="s">
        <v>429</v>
      </c>
      <c r="H4678" t="s">
        <v>401</v>
      </c>
      <c r="I4678" t="s">
        <v>402</v>
      </c>
      <c r="J4678" t="s">
        <v>4630</v>
      </c>
      <c r="K4678">
        <v>20221216</v>
      </c>
      <c r="L4678" t="s">
        <v>4631</v>
      </c>
      <c r="M4678">
        <v>0</v>
      </c>
      <c r="N4678">
        <v>200</v>
      </c>
      <c r="O4678" t="s">
        <v>19</v>
      </c>
      <c r="P4678" t="s">
        <v>20</v>
      </c>
      <c r="Q4678">
        <v>20221216</v>
      </c>
    </row>
    <row r="4679" spans="1:17" x14ac:dyDescent="0.25">
      <c r="A4679" t="s">
        <v>548</v>
      </c>
      <c r="B4679" t="s">
        <v>429</v>
      </c>
      <c r="C4679">
        <v>169</v>
      </c>
      <c r="D4679">
        <v>20221219</v>
      </c>
      <c r="E4679">
        <f t="shared" si="73"/>
        <v>12</v>
      </c>
      <c r="F4679">
        <v>467100</v>
      </c>
      <c r="G4679" t="s">
        <v>160</v>
      </c>
      <c r="H4679" t="s">
        <v>3392</v>
      </c>
      <c r="I4679" t="s">
        <v>3393</v>
      </c>
      <c r="J4679" t="s">
        <v>4632</v>
      </c>
      <c r="K4679">
        <v>20221219</v>
      </c>
      <c r="L4679" t="s">
        <v>4633</v>
      </c>
      <c r="M4679">
        <v>0</v>
      </c>
      <c r="N4679">
        <v>1.65</v>
      </c>
      <c r="O4679" t="s">
        <v>23</v>
      </c>
      <c r="P4679">
        <v>20230125</v>
      </c>
      <c r="Q4679">
        <v>20221219</v>
      </c>
    </row>
    <row r="4680" spans="1:17" x14ac:dyDescent="0.25">
      <c r="A4680" t="s">
        <v>548</v>
      </c>
      <c r="B4680" t="s">
        <v>429</v>
      </c>
      <c r="C4680">
        <v>169</v>
      </c>
      <c r="D4680">
        <v>20221219</v>
      </c>
      <c r="E4680">
        <f t="shared" si="73"/>
        <v>12</v>
      </c>
      <c r="F4680">
        <v>531105</v>
      </c>
      <c r="G4680" t="s">
        <v>429</v>
      </c>
      <c r="H4680" t="s">
        <v>401</v>
      </c>
      <c r="I4680" t="s">
        <v>402</v>
      </c>
      <c r="J4680" t="s">
        <v>4632</v>
      </c>
      <c r="K4680">
        <v>20221219</v>
      </c>
      <c r="L4680" t="s">
        <v>4633</v>
      </c>
      <c r="M4680">
        <v>1.65</v>
      </c>
      <c r="N4680">
        <v>0</v>
      </c>
      <c r="O4680" t="s">
        <v>19</v>
      </c>
      <c r="P4680" t="s">
        <v>20</v>
      </c>
      <c r="Q4680">
        <v>20221219</v>
      </c>
    </row>
    <row r="4681" spans="1:17" x14ac:dyDescent="0.25">
      <c r="A4681" t="s">
        <v>548</v>
      </c>
      <c r="B4681" t="s">
        <v>429</v>
      </c>
      <c r="C4681">
        <v>169</v>
      </c>
      <c r="D4681">
        <v>20221219</v>
      </c>
      <c r="E4681">
        <f t="shared" si="73"/>
        <v>12</v>
      </c>
      <c r="F4681">
        <v>467100</v>
      </c>
      <c r="G4681" t="s">
        <v>160</v>
      </c>
      <c r="H4681" t="s">
        <v>1305</v>
      </c>
      <c r="I4681" t="s">
        <v>1306</v>
      </c>
      <c r="J4681" t="s">
        <v>4634</v>
      </c>
      <c r="K4681">
        <v>20221219</v>
      </c>
      <c r="L4681" t="s">
        <v>4635</v>
      </c>
      <c r="M4681">
        <v>200</v>
      </c>
      <c r="N4681">
        <v>0</v>
      </c>
      <c r="O4681" t="s">
        <v>23</v>
      </c>
      <c r="P4681">
        <v>20230220</v>
      </c>
      <c r="Q4681">
        <v>20221219</v>
      </c>
    </row>
    <row r="4682" spans="1:17" x14ac:dyDescent="0.25">
      <c r="A4682" t="s">
        <v>548</v>
      </c>
      <c r="B4682" t="s">
        <v>429</v>
      </c>
      <c r="C4682">
        <v>169</v>
      </c>
      <c r="D4682">
        <v>20221219</v>
      </c>
      <c r="E4682">
        <f t="shared" si="73"/>
        <v>12</v>
      </c>
      <c r="F4682">
        <v>531105</v>
      </c>
      <c r="G4682" t="s">
        <v>429</v>
      </c>
      <c r="H4682" t="s">
        <v>401</v>
      </c>
      <c r="I4682" t="s">
        <v>402</v>
      </c>
      <c r="J4682" t="s">
        <v>4634</v>
      </c>
      <c r="K4682">
        <v>20221219</v>
      </c>
      <c r="L4682" t="s">
        <v>4635</v>
      </c>
      <c r="M4682">
        <v>0</v>
      </c>
      <c r="N4682">
        <v>200</v>
      </c>
      <c r="O4682" t="s">
        <v>19</v>
      </c>
      <c r="P4682" t="s">
        <v>20</v>
      </c>
      <c r="Q4682">
        <v>20221219</v>
      </c>
    </row>
    <row r="4683" spans="1:17" x14ac:dyDescent="0.25">
      <c r="A4683" t="s">
        <v>548</v>
      </c>
      <c r="B4683" t="s">
        <v>429</v>
      </c>
      <c r="C4683">
        <v>169</v>
      </c>
      <c r="D4683">
        <v>20221219</v>
      </c>
      <c r="E4683">
        <f t="shared" si="73"/>
        <v>12</v>
      </c>
      <c r="F4683">
        <v>467100</v>
      </c>
      <c r="G4683" t="s">
        <v>160</v>
      </c>
      <c r="H4683" t="s">
        <v>172</v>
      </c>
      <c r="I4683" t="s">
        <v>173</v>
      </c>
      <c r="J4683" t="s">
        <v>4636</v>
      </c>
      <c r="K4683">
        <v>20221219</v>
      </c>
      <c r="L4683" t="s">
        <v>4637</v>
      </c>
      <c r="M4683">
        <v>100</v>
      </c>
      <c r="N4683">
        <v>0</v>
      </c>
      <c r="O4683" t="s">
        <v>23</v>
      </c>
      <c r="P4683">
        <v>20230310</v>
      </c>
      <c r="Q4683">
        <v>20221219</v>
      </c>
    </row>
    <row r="4684" spans="1:17" x14ac:dyDescent="0.25">
      <c r="A4684" t="s">
        <v>548</v>
      </c>
      <c r="B4684" t="s">
        <v>429</v>
      </c>
      <c r="C4684">
        <v>169</v>
      </c>
      <c r="D4684">
        <v>20221219</v>
      </c>
      <c r="E4684">
        <f t="shared" si="73"/>
        <v>12</v>
      </c>
      <c r="F4684">
        <v>531105</v>
      </c>
      <c r="G4684" t="s">
        <v>429</v>
      </c>
      <c r="H4684" t="s">
        <v>401</v>
      </c>
      <c r="I4684" t="s">
        <v>402</v>
      </c>
      <c r="J4684" t="s">
        <v>4636</v>
      </c>
      <c r="K4684">
        <v>20221219</v>
      </c>
      <c r="L4684" t="s">
        <v>4637</v>
      </c>
      <c r="M4684">
        <v>0</v>
      </c>
      <c r="N4684">
        <v>100</v>
      </c>
      <c r="O4684" t="s">
        <v>19</v>
      </c>
      <c r="P4684" t="s">
        <v>20</v>
      </c>
      <c r="Q4684">
        <v>20221219</v>
      </c>
    </row>
    <row r="4685" spans="1:17" x14ac:dyDescent="0.25">
      <c r="A4685" t="s">
        <v>548</v>
      </c>
      <c r="B4685" t="s">
        <v>429</v>
      </c>
      <c r="C4685">
        <v>169</v>
      </c>
      <c r="D4685">
        <v>20221219</v>
      </c>
      <c r="E4685">
        <f t="shared" si="73"/>
        <v>12</v>
      </c>
      <c r="F4685">
        <v>467100</v>
      </c>
      <c r="G4685" t="s">
        <v>160</v>
      </c>
      <c r="H4685" t="s">
        <v>1305</v>
      </c>
      <c r="I4685" t="s">
        <v>1306</v>
      </c>
      <c r="J4685" t="s">
        <v>4638</v>
      </c>
      <c r="K4685">
        <v>20221219</v>
      </c>
      <c r="L4685" t="s">
        <v>4639</v>
      </c>
      <c r="M4685">
        <v>0</v>
      </c>
      <c r="N4685">
        <v>125.66</v>
      </c>
      <c r="O4685" t="s">
        <v>23</v>
      </c>
      <c r="P4685">
        <v>20230220</v>
      </c>
      <c r="Q4685">
        <v>20221219</v>
      </c>
    </row>
    <row r="4686" spans="1:17" x14ac:dyDescent="0.25">
      <c r="A4686" t="s">
        <v>548</v>
      </c>
      <c r="B4686" t="s">
        <v>429</v>
      </c>
      <c r="C4686">
        <v>169</v>
      </c>
      <c r="D4686">
        <v>20221219</v>
      </c>
      <c r="E4686">
        <f t="shared" si="73"/>
        <v>12</v>
      </c>
      <c r="F4686">
        <v>531105</v>
      </c>
      <c r="G4686" t="s">
        <v>429</v>
      </c>
      <c r="H4686" t="s">
        <v>401</v>
      </c>
      <c r="I4686" t="s">
        <v>402</v>
      </c>
      <c r="J4686" t="s">
        <v>4638</v>
      </c>
      <c r="K4686">
        <v>20221219</v>
      </c>
      <c r="L4686" t="s">
        <v>4639</v>
      </c>
      <c r="M4686">
        <v>125.66</v>
      </c>
      <c r="N4686">
        <v>0</v>
      </c>
      <c r="O4686" t="s">
        <v>19</v>
      </c>
      <c r="P4686" t="s">
        <v>20</v>
      </c>
      <c r="Q4686">
        <v>20221219</v>
      </c>
    </row>
    <row r="4687" spans="1:17" x14ac:dyDescent="0.25">
      <c r="A4687" t="s">
        <v>548</v>
      </c>
      <c r="B4687" t="s">
        <v>429</v>
      </c>
      <c r="C4687">
        <v>169</v>
      </c>
      <c r="D4687">
        <v>20221219</v>
      </c>
      <c r="E4687">
        <f t="shared" si="73"/>
        <v>12</v>
      </c>
      <c r="F4687">
        <v>411100</v>
      </c>
      <c r="G4687" t="s">
        <v>18</v>
      </c>
      <c r="H4687" t="s">
        <v>3536</v>
      </c>
      <c r="I4687" t="s">
        <v>3537</v>
      </c>
      <c r="J4687">
        <v>362173</v>
      </c>
      <c r="K4687">
        <v>20221219</v>
      </c>
      <c r="L4687" t="s">
        <v>4640</v>
      </c>
      <c r="M4687">
        <v>0</v>
      </c>
      <c r="N4687">
        <v>12.15</v>
      </c>
      <c r="O4687" t="s">
        <v>19</v>
      </c>
      <c r="P4687" t="s">
        <v>20</v>
      </c>
      <c r="Q4687">
        <v>20221219</v>
      </c>
    </row>
    <row r="4688" spans="1:17" x14ac:dyDescent="0.25">
      <c r="A4688" t="s">
        <v>548</v>
      </c>
      <c r="B4688" t="s">
        <v>429</v>
      </c>
      <c r="C4688">
        <v>169</v>
      </c>
      <c r="D4688">
        <v>20221219</v>
      </c>
      <c r="E4688">
        <f t="shared" si="73"/>
        <v>12</v>
      </c>
      <c r="F4688">
        <v>411100</v>
      </c>
      <c r="G4688" t="s">
        <v>18</v>
      </c>
      <c r="H4688" t="s">
        <v>4027</v>
      </c>
      <c r="I4688" t="s">
        <v>4028</v>
      </c>
      <c r="J4688">
        <v>122100243</v>
      </c>
      <c r="K4688">
        <v>20221219</v>
      </c>
      <c r="L4688" t="s">
        <v>4641</v>
      </c>
      <c r="M4688">
        <v>0</v>
      </c>
      <c r="N4688">
        <v>2</v>
      </c>
      <c r="O4688" t="s">
        <v>22</v>
      </c>
      <c r="P4688">
        <v>20230218</v>
      </c>
      <c r="Q4688">
        <v>20221219</v>
      </c>
    </row>
    <row r="4689" spans="1:17" x14ac:dyDescent="0.25">
      <c r="A4689" t="s">
        <v>548</v>
      </c>
      <c r="B4689" t="s">
        <v>429</v>
      </c>
      <c r="C4689">
        <v>169</v>
      </c>
      <c r="D4689">
        <v>20221219</v>
      </c>
      <c r="E4689">
        <f t="shared" si="73"/>
        <v>12</v>
      </c>
      <c r="F4689">
        <v>411100</v>
      </c>
      <c r="G4689" t="s">
        <v>18</v>
      </c>
      <c r="H4689" t="s">
        <v>77</v>
      </c>
      <c r="I4689" t="s">
        <v>78</v>
      </c>
      <c r="J4689">
        <v>362175</v>
      </c>
      <c r="K4689">
        <v>20221219</v>
      </c>
      <c r="L4689" t="s">
        <v>4642</v>
      </c>
      <c r="M4689">
        <v>0</v>
      </c>
      <c r="N4689">
        <v>75.400000000000006</v>
      </c>
      <c r="O4689" t="s">
        <v>19</v>
      </c>
      <c r="P4689" t="s">
        <v>20</v>
      </c>
      <c r="Q4689">
        <v>20221219</v>
      </c>
    </row>
    <row r="4690" spans="1:17" x14ac:dyDescent="0.25">
      <c r="A4690" t="s">
        <v>548</v>
      </c>
      <c r="B4690" t="s">
        <v>429</v>
      </c>
      <c r="C4690">
        <v>169</v>
      </c>
      <c r="D4690">
        <v>20221219</v>
      </c>
      <c r="E4690">
        <f t="shared" si="73"/>
        <v>12</v>
      </c>
      <c r="F4690">
        <v>411100</v>
      </c>
      <c r="G4690" t="s">
        <v>18</v>
      </c>
      <c r="H4690" t="s">
        <v>77</v>
      </c>
      <c r="I4690" t="s">
        <v>78</v>
      </c>
      <c r="J4690">
        <v>362176</v>
      </c>
      <c r="K4690">
        <v>20221219</v>
      </c>
      <c r="L4690" t="s">
        <v>4643</v>
      </c>
      <c r="M4690">
        <v>0</v>
      </c>
      <c r="N4690">
        <v>11.23</v>
      </c>
      <c r="O4690" t="s">
        <v>19</v>
      </c>
      <c r="P4690" t="s">
        <v>20</v>
      </c>
      <c r="Q4690">
        <v>20221219</v>
      </c>
    </row>
    <row r="4691" spans="1:17" x14ac:dyDescent="0.25">
      <c r="A4691" t="s">
        <v>548</v>
      </c>
      <c r="B4691" t="s">
        <v>429</v>
      </c>
      <c r="C4691">
        <v>169</v>
      </c>
      <c r="D4691">
        <v>20221219</v>
      </c>
      <c r="E4691">
        <f t="shared" si="73"/>
        <v>12</v>
      </c>
      <c r="F4691">
        <v>411100</v>
      </c>
      <c r="G4691" t="s">
        <v>18</v>
      </c>
      <c r="H4691" t="s">
        <v>77</v>
      </c>
      <c r="I4691" t="s">
        <v>78</v>
      </c>
      <c r="J4691">
        <v>362177</v>
      </c>
      <c r="K4691">
        <v>20221219</v>
      </c>
      <c r="L4691" t="s">
        <v>4644</v>
      </c>
      <c r="M4691">
        <v>0</v>
      </c>
      <c r="N4691">
        <v>0.02</v>
      </c>
      <c r="O4691" t="s">
        <v>19</v>
      </c>
      <c r="P4691" t="s">
        <v>20</v>
      </c>
      <c r="Q4691">
        <v>20221219</v>
      </c>
    </row>
    <row r="4692" spans="1:17" x14ac:dyDescent="0.25">
      <c r="A4692" t="s">
        <v>548</v>
      </c>
      <c r="B4692" t="s">
        <v>429</v>
      </c>
      <c r="C4692">
        <v>169</v>
      </c>
      <c r="D4692">
        <v>20221219</v>
      </c>
      <c r="E4692">
        <f t="shared" si="73"/>
        <v>12</v>
      </c>
      <c r="F4692">
        <v>531105</v>
      </c>
      <c r="G4692" t="s">
        <v>429</v>
      </c>
      <c r="H4692" t="s">
        <v>401</v>
      </c>
      <c r="I4692" t="s">
        <v>402</v>
      </c>
      <c r="J4692">
        <v>362178</v>
      </c>
      <c r="K4692">
        <v>20221219</v>
      </c>
      <c r="L4692" t="s">
        <v>565</v>
      </c>
      <c r="M4692">
        <v>100.8</v>
      </c>
      <c r="N4692">
        <v>0</v>
      </c>
      <c r="O4692" t="s">
        <v>19</v>
      </c>
      <c r="P4692" t="s">
        <v>20</v>
      </c>
      <c r="Q4692">
        <v>20221219</v>
      </c>
    </row>
    <row r="4693" spans="1:17" x14ac:dyDescent="0.25">
      <c r="A4693" t="s">
        <v>548</v>
      </c>
      <c r="B4693" t="s">
        <v>429</v>
      </c>
      <c r="C4693">
        <v>169</v>
      </c>
      <c r="D4693">
        <v>20221219</v>
      </c>
      <c r="E4693">
        <f t="shared" si="73"/>
        <v>12</v>
      </c>
      <c r="F4693">
        <v>411100</v>
      </c>
      <c r="G4693" t="s">
        <v>18</v>
      </c>
      <c r="H4693" t="s">
        <v>77</v>
      </c>
      <c r="I4693" t="s">
        <v>78</v>
      </c>
      <c r="J4693">
        <v>222090012</v>
      </c>
      <c r="K4693">
        <v>20221219</v>
      </c>
      <c r="L4693" t="s">
        <v>4645</v>
      </c>
      <c r="M4693">
        <v>0</v>
      </c>
      <c r="N4693">
        <v>166.23</v>
      </c>
      <c r="O4693" t="s">
        <v>19</v>
      </c>
      <c r="P4693" t="s">
        <v>20</v>
      </c>
      <c r="Q4693">
        <v>20221219</v>
      </c>
    </row>
    <row r="4694" spans="1:17" x14ac:dyDescent="0.25">
      <c r="A4694" t="s">
        <v>548</v>
      </c>
      <c r="B4694" t="s">
        <v>429</v>
      </c>
      <c r="C4694">
        <v>169</v>
      </c>
      <c r="D4694">
        <v>20221219</v>
      </c>
      <c r="E4694">
        <f t="shared" si="73"/>
        <v>12</v>
      </c>
      <c r="F4694">
        <v>411100</v>
      </c>
      <c r="G4694" t="s">
        <v>18</v>
      </c>
      <c r="H4694" t="s">
        <v>77</v>
      </c>
      <c r="I4694" t="s">
        <v>78</v>
      </c>
      <c r="J4694">
        <v>222090012</v>
      </c>
      <c r="K4694">
        <v>20221219</v>
      </c>
      <c r="L4694" t="s">
        <v>4646</v>
      </c>
      <c r="M4694">
        <v>0</v>
      </c>
      <c r="N4694">
        <v>0.02</v>
      </c>
      <c r="O4694" t="s">
        <v>19</v>
      </c>
      <c r="P4694" t="s">
        <v>20</v>
      </c>
      <c r="Q4694">
        <v>20221219</v>
      </c>
    </row>
    <row r="4695" spans="1:17" x14ac:dyDescent="0.25">
      <c r="A4695" t="s">
        <v>548</v>
      </c>
      <c r="B4695" t="s">
        <v>429</v>
      </c>
      <c r="C4695">
        <v>169</v>
      </c>
      <c r="D4695">
        <v>20221219</v>
      </c>
      <c r="E4695">
        <f t="shared" si="73"/>
        <v>12</v>
      </c>
      <c r="F4695">
        <v>411100</v>
      </c>
      <c r="G4695" t="s">
        <v>18</v>
      </c>
      <c r="H4695" t="s">
        <v>233</v>
      </c>
      <c r="I4695" t="s">
        <v>234</v>
      </c>
      <c r="J4695">
        <v>362200</v>
      </c>
      <c r="K4695">
        <v>20221219</v>
      </c>
      <c r="L4695" t="s">
        <v>4647</v>
      </c>
      <c r="M4695">
        <v>0</v>
      </c>
      <c r="N4695">
        <v>72.48</v>
      </c>
      <c r="O4695" t="s">
        <v>22</v>
      </c>
      <c r="P4695">
        <v>20230218</v>
      </c>
      <c r="Q4695">
        <v>20221219</v>
      </c>
    </row>
    <row r="4696" spans="1:17" x14ac:dyDescent="0.25">
      <c r="A4696" t="s">
        <v>548</v>
      </c>
      <c r="B4696" t="s">
        <v>429</v>
      </c>
      <c r="C4696">
        <v>169</v>
      </c>
      <c r="D4696">
        <v>20221219</v>
      </c>
      <c r="E4696">
        <f t="shared" si="73"/>
        <v>12</v>
      </c>
      <c r="F4696">
        <v>531105</v>
      </c>
      <c r="G4696" t="s">
        <v>429</v>
      </c>
      <c r="H4696" t="s">
        <v>401</v>
      </c>
      <c r="I4696" t="s">
        <v>402</v>
      </c>
      <c r="J4696">
        <v>362201</v>
      </c>
      <c r="K4696">
        <v>20221219</v>
      </c>
      <c r="L4696" t="s">
        <v>565</v>
      </c>
      <c r="M4696">
        <v>238.73</v>
      </c>
      <c r="N4696">
        <v>0</v>
      </c>
      <c r="O4696" t="s">
        <v>19</v>
      </c>
      <c r="P4696" t="s">
        <v>20</v>
      </c>
      <c r="Q4696">
        <v>20221219</v>
      </c>
    </row>
    <row r="4697" spans="1:17" x14ac:dyDescent="0.25">
      <c r="A4697" t="s">
        <v>548</v>
      </c>
      <c r="B4697" t="s">
        <v>429</v>
      </c>
      <c r="C4697">
        <v>169</v>
      </c>
      <c r="D4697">
        <v>20221220</v>
      </c>
      <c r="E4697">
        <f t="shared" si="73"/>
        <v>12</v>
      </c>
      <c r="F4697">
        <v>411010</v>
      </c>
      <c r="G4697" t="s">
        <v>87</v>
      </c>
      <c r="H4697" t="s">
        <v>381</v>
      </c>
      <c r="I4697" t="s">
        <v>382</v>
      </c>
      <c r="J4697">
        <v>222100010</v>
      </c>
      <c r="K4697">
        <v>20221220</v>
      </c>
      <c r="L4697" t="s">
        <v>4648</v>
      </c>
      <c r="M4697">
        <v>0</v>
      </c>
      <c r="N4697">
        <v>500</v>
      </c>
      <c r="O4697" t="s">
        <v>19</v>
      </c>
      <c r="P4697" t="s">
        <v>20</v>
      </c>
      <c r="Q4697">
        <v>20221220</v>
      </c>
    </row>
    <row r="4698" spans="1:17" x14ac:dyDescent="0.25">
      <c r="A4698" t="s">
        <v>548</v>
      </c>
      <c r="B4698" t="s">
        <v>429</v>
      </c>
      <c r="C4698">
        <v>169</v>
      </c>
      <c r="D4698">
        <v>20221220</v>
      </c>
      <c r="E4698">
        <f t="shared" si="73"/>
        <v>12</v>
      </c>
      <c r="F4698">
        <v>531105</v>
      </c>
      <c r="G4698" t="s">
        <v>429</v>
      </c>
      <c r="H4698" t="s">
        <v>401</v>
      </c>
      <c r="I4698" t="s">
        <v>402</v>
      </c>
      <c r="J4698">
        <v>362370</v>
      </c>
      <c r="K4698">
        <v>20221220</v>
      </c>
      <c r="L4698" t="s">
        <v>565</v>
      </c>
      <c r="M4698">
        <v>500</v>
      </c>
      <c r="N4698">
        <v>0</v>
      </c>
      <c r="O4698" t="s">
        <v>19</v>
      </c>
      <c r="P4698" t="s">
        <v>20</v>
      </c>
      <c r="Q4698">
        <v>20221220</v>
      </c>
    </row>
    <row r="4699" spans="1:17" x14ac:dyDescent="0.25">
      <c r="A4699" t="s">
        <v>548</v>
      </c>
      <c r="B4699" t="s">
        <v>429</v>
      </c>
      <c r="C4699">
        <v>169</v>
      </c>
      <c r="D4699">
        <v>20221221</v>
      </c>
      <c r="E4699">
        <f t="shared" si="73"/>
        <v>12</v>
      </c>
      <c r="F4699">
        <v>411100</v>
      </c>
      <c r="G4699" t="s">
        <v>18</v>
      </c>
      <c r="H4699" t="s">
        <v>947</v>
      </c>
      <c r="I4699" t="s">
        <v>948</v>
      </c>
      <c r="J4699">
        <v>122120013</v>
      </c>
      <c r="K4699">
        <v>20221221</v>
      </c>
      <c r="L4699" t="s">
        <v>4649</v>
      </c>
      <c r="M4699">
        <v>0</v>
      </c>
      <c r="N4699">
        <v>23</v>
      </c>
      <c r="O4699" t="s">
        <v>19</v>
      </c>
      <c r="P4699" t="s">
        <v>20</v>
      </c>
      <c r="Q4699">
        <v>20221221</v>
      </c>
    </row>
    <row r="4700" spans="1:17" x14ac:dyDescent="0.25">
      <c r="A4700" t="s">
        <v>548</v>
      </c>
      <c r="B4700" t="s">
        <v>429</v>
      </c>
      <c r="C4700">
        <v>169</v>
      </c>
      <c r="D4700">
        <v>20221221</v>
      </c>
      <c r="E4700">
        <f t="shared" si="73"/>
        <v>12</v>
      </c>
      <c r="F4700">
        <v>411100</v>
      </c>
      <c r="G4700" t="s">
        <v>18</v>
      </c>
      <c r="H4700" t="s">
        <v>4650</v>
      </c>
      <c r="I4700" t="s">
        <v>4651</v>
      </c>
      <c r="J4700">
        <v>122120038</v>
      </c>
      <c r="K4700">
        <v>20221221</v>
      </c>
      <c r="L4700" t="s">
        <v>4652</v>
      </c>
      <c r="M4700">
        <v>0</v>
      </c>
      <c r="N4700">
        <v>22</v>
      </c>
      <c r="O4700" t="s">
        <v>22</v>
      </c>
      <c r="P4700">
        <v>20230218</v>
      </c>
      <c r="Q4700">
        <v>20221221</v>
      </c>
    </row>
    <row r="4701" spans="1:17" x14ac:dyDescent="0.25">
      <c r="A4701" t="s">
        <v>548</v>
      </c>
      <c r="B4701" t="s">
        <v>429</v>
      </c>
      <c r="C4701">
        <v>169</v>
      </c>
      <c r="D4701">
        <v>20221221</v>
      </c>
      <c r="E4701">
        <f t="shared" si="73"/>
        <v>12</v>
      </c>
      <c r="F4701">
        <v>411100</v>
      </c>
      <c r="G4701" t="s">
        <v>18</v>
      </c>
      <c r="H4701" t="s">
        <v>154</v>
      </c>
      <c r="I4701" t="s">
        <v>155</v>
      </c>
      <c r="J4701">
        <v>362221</v>
      </c>
      <c r="K4701">
        <v>20221221</v>
      </c>
      <c r="L4701" t="s">
        <v>4653</v>
      </c>
      <c r="M4701">
        <v>0</v>
      </c>
      <c r="N4701">
        <v>3.5</v>
      </c>
      <c r="O4701" t="s">
        <v>19</v>
      </c>
      <c r="P4701" t="s">
        <v>20</v>
      </c>
      <c r="Q4701">
        <v>20221221</v>
      </c>
    </row>
    <row r="4702" spans="1:17" x14ac:dyDescent="0.25">
      <c r="A4702" t="s">
        <v>548</v>
      </c>
      <c r="B4702" t="s">
        <v>429</v>
      </c>
      <c r="C4702">
        <v>169</v>
      </c>
      <c r="D4702">
        <v>20221221</v>
      </c>
      <c r="E4702">
        <f t="shared" si="73"/>
        <v>12</v>
      </c>
      <c r="F4702">
        <v>411100</v>
      </c>
      <c r="G4702" t="s">
        <v>18</v>
      </c>
      <c r="H4702" t="s">
        <v>1911</v>
      </c>
      <c r="I4702" t="s">
        <v>1912</v>
      </c>
      <c r="J4702">
        <v>362222</v>
      </c>
      <c r="K4702">
        <v>20221221</v>
      </c>
      <c r="L4702" t="s">
        <v>4654</v>
      </c>
      <c r="M4702">
        <v>0</v>
      </c>
      <c r="N4702">
        <v>7</v>
      </c>
      <c r="O4702" t="s">
        <v>19</v>
      </c>
      <c r="P4702" t="s">
        <v>20</v>
      </c>
      <c r="Q4702">
        <v>20221221</v>
      </c>
    </row>
    <row r="4703" spans="1:17" x14ac:dyDescent="0.25">
      <c r="A4703" t="s">
        <v>548</v>
      </c>
      <c r="B4703" t="s">
        <v>429</v>
      </c>
      <c r="C4703">
        <v>169</v>
      </c>
      <c r="D4703">
        <v>20221221</v>
      </c>
      <c r="E4703">
        <f t="shared" si="73"/>
        <v>12</v>
      </c>
      <c r="F4703">
        <v>411100</v>
      </c>
      <c r="G4703" t="s">
        <v>18</v>
      </c>
      <c r="H4703" t="s">
        <v>657</v>
      </c>
      <c r="I4703" t="s">
        <v>658</v>
      </c>
      <c r="J4703">
        <v>362223</v>
      </c>
      <c r="K4703">
        <v>20221221</v>
      </c>
      <c r="L4703" t="s">
        <v>4655</v>
      </c>
      <c r="M4703">
        <v>0</v>
      </c>
      <c r="N4703">
        <v>7</v>
      </c>
      <c r="O4703" t="s">
        <v>19</v>
      </c>
      <c r="P4703" t="s">
        <v>20</v>
      </c>
      <c r="Q4703">
        <v>20221221</v>
      </c>
    </row>
    <row r="4704" spans="1:17" x14ac:dyDescent="0.25">
      <c r="A4704" t="s">
        <v>548</v>
      </c>
      <c r="B4704" t="s">
        <v>429</v>
      </c>
      <c r="C4704">
        <v>169</v>
      </c>
      <c r="D4704">
        <v>20221221</v>
      </c>
      <c r="E4704">
        <f t="shared" si="73"/>
        <v>12</v>
      </c>
      <c r="F4704">
        <v>411100</v>
      </c>
      <c r="G4704" t="s">
        <v>18</v>
      </c>
      <c r="H4704" t="s">
        <v>237</v>
      </c>
      <c r="I4704" t="s">
        <v>238</v>
      </c>
      <c r="J4704">
        <v>122120014</v>
      </c>
      <c r="K4704">
        <v>20221221</v>
      </c>
      <c r="L4704" t="s">
        <v>4656</v>
      </c>
      <c r="M4704">
        <v>0</v>
      </c>
      <c r="N4704">
        <v>71.05</v>
      </c>
      <c r="O4704" t="s">
        <v>19</v>
      </c>
      <c r="P4704" t="s">
        <v>20</v>
      </c>
      <c r="Q4704">
        <v>20221221</v>
      </c>
    </row>
    <row r="4705" spans="1:17" x14ac:dyDescent="0.25">
      <c r="A4705" t="s">
        <v>548</v>
      </c>
      <c r="B4705" t="s">
        <v>429</v>
      </c>
      <c r="C4705">
        <v>169</v>
      </c>
      <c r="D4705">
        <v>20221221</v>
      </c>
      <c r="E4705">
        <f t="shared" si="73"/>
        <v>12</v>
      </c>
      <c r="F4705">
        <v>411100</v>
      </c>
      <c r="G4705" t="s">
        <v>18</v>
      </c>
      <c r="H4705" t="s">
        <v>237</v>
      </c>
      <c r="I4705" t="s">
        <v>238</v>
      </c>
      <c r="J4705">
        <v>122120014</v>
      </c>
      <c r="K4705">
        <v>20221221</v>
      </c>
      <c r="L4705" t="s">
        <v>4657</v>
      </c>
      <c r="M4705">
        <v>0</v>
      </c>
      <c r="N4705">
        <v>0.95</v>
      </c>
      <c r="O4705" t="s">
        <v>22</v>
      </c>
      <c r="P4705">
        <v>20230218</v>
      </c>
      <c r="Q4705">
        <v>20221221</v>
      </c>
    </row>
    <row r="4706" spans="1:17" x14ac:dyDescent="0.25">
      <c r="A4706" t="s">
        <v>548</v>
      </c>
      <c r="B4706" t="s">
        <v>429</v>
      </c>
      <c r="C4706">
        <v>169</v>
      </c>
      <c r="D4706">
        <v>20221221</v>
      </c>
      <c r="E4706">
        <f t="shared" si="73"/>
        <v>12</v>
      </c>
      <c r="F4706">
        <v>531105</v>
      </c>
      <c r="G4706" t="s">
        <v>429</v>
      </c>
      <c r="H4706" t="s">
        <v>401</v>
      </c>
      <c r="I4706" t="s">
        <v>402</v>
      </c>
      <c r="J4706">
        <v>362226</v>
      </c>
      <c r="K4706">
        <v>20221221</v>
      </c>
      <c r="L4706" t="s">
        <v>565</v>
      </c>
      <c r="M4706">
        <v>134.5</v>
      </c>
      <c r="N4706">
        <v>0</v>
      </c>
      <c r="O4706" t="s">
        <v>19</v>
      </c>
      <c r="P4706" t="s">
        <v>20</v>
      </c>
      <c r="Q4706">
        <v>20221221</v>
      </c>
    </row>
    <row r="4707" spans="1:17" x14ac:dyDescent="0.25">
      <c r="A4707" t="s">
        <v>548</v>
      </c>
      <c r="B4707" t="s">
        <v>429</v>
      </c>
      <c r="C4707">
        <v>169</v>
      </c>
      <c r="D4707">
        <v>20221221</v>
      </c>
      <c r="E4707">
        <f t="shared" si="73"/>
        <v>12</v>
      </c>
      <c r="F4707">
        <v>411010</v>
      </c>
      <c r="G4707" t="s">
        <v>87</v>
      </c>
      <c r="H4707" t="s">
        <v>3214</v>
      </c>
      <c r="I4707" t="s">
        <v>3215</v>
      </c>
      <c r="J4707">
        <v>362371</v>
      </c>
      <c r="K4707">
        <v>20221221</v>
      </c>
      <c r="L4707" t="s">
        <v>4658</v>
      </c>
      <c r="M4707">
        <v>0</v>
      </c>
      <c r="N4707">
        <v>326.12</v>
      </c>
      <c r="O4707" t="s">
        <v>22</v>
      </c>
      <c r="P4707">
        <v>20230218</v>
      </c>
      <c r="Q4707">
        <v>20221221</v>
      </c>
    </row>
    <row r="4708" spans="1:17" x14ac:dyDescent="0.25">
      <c r="A4708" t="s">
        <v>548</v>
      </c>
      <c r="B4708" t="s">
        <v>429</v>
      </c>
      <c r="C4708">
        <v>169</v>
      </c>
      <c r="D4708">
        <v>20221221</v>
      </c>
      <c r="E4708">
        <f t="shared" si="73"/>
        <v>12</v>
      </c>
      <c r="F4708">
        <v>411010</v>
      </c>
      <c r="G4708" t="s">
        <v>87</v>
      </c>
      <c r="H4708" t="s">
        <v>3214</v>
      </c>
      <c r="I4708" t="s">
        <v>3215</v>
      </c>
      <c r="J4708">
        <v>362372</v>
      </c>
      <c r="K4708">
        <v>20221221</v>
      </c>
      <c r="L4708" t="s">
        <v>4659</v>
      </c>
      <c r="M4708">
        <v>0</v>
      </c>
      <c r="N4708">
        <v>3.88</v>
      </c>
      <c r="O4708" t="s">
        <v>22</v>
      </c>
      <c r="P4708">
        <v>20230218</v>
      </c>
      <c r="Q4708">
        <v>20221221</v>
      </c>
    </row>
    <row r="4709" spans="1:17" x14ac:dyDescent="0.25">
      <c r="A4709" t="s">
        <v>548</v>
      </c>
      <c r="B4709" t="s">
        <v>429</v>
      </c>
      <c r="C4709">
        <v>169</v>
      </c>
      <c r="D4709">
        <v>20221221</v>
      </c>
      <c r="E4709">
        <f t="shared" si="73"/>
        <v>12</v>
      </c>
      <c r="F4709">
        <v>531105</v>
      </c>
      <c r="G4709" t="s">
        <v>429</v>
      </c>
      <c r="H4709" t="s">
        <v>401</v>
      </c>
      <c r="I4709" t="s">
        <v>402</v>
      </c>
      <c r="J4709">
        <v>362373</v>
      </c>
      <c r="K4709">
        <v>20221221</v>
      </c>
      <c r="L4709" t="s">
        <v>565</v>
      </c>
      <c r="M4709">
        <v>330</v>
      </c>
      <c r="N4709">
        <v>0</v>
      </c>
      <c r="O4709" t="s">
        <v>19</v>
      </c>
      <c r="P4709" t="s">
        <v>20</v>
      </c>
      <c r="Q4709">
        <v>20221221</v>
      </c>
    </row>
    <row r="4710" spans="1:17" x14ac:dyDescent="0.25">
      <c r="A4710" t="s">
        <v>548</v>
      </c>
      <c r="B4710" t="s">
        <v>429</v>
      </c>
      <c r="C4710">
        <v>169</v>
      </c>
      <c r="D4710">
        <v>20221221</v>
      </c>
      <c r="E4710">
        <f t="shared" si="73"/>
        <v>12</v>
      </c>
      <c r="F4710">
        <v>531105</v>
      </c>
      <c r="G4710" t="s">
        <v>429</v>
      </c>
      <c r="H4710" t="s">
        <v>401</v>
      </c>
      <c r="I4710" t="s">
        <v>402</v>
      </c>
      <c r="J4710" t="s">
        <v>4660</v>
      </c>
      <c r="K4710">
        <v>20221221</v>
      </c>
      <c r="L4710" t="s">
        <v>4661</v>
      </c>
      <c r="M4710">
        <v>0</v>
      </c>
      <c r="N4710">
        <v>17.93</v>
      </c>
      <c r="O4710" t="s">
        <v>19</v>
      </c>
      <c r="P4710" t="s">
        <v>20</v>
      </c>
      <c r="Q4710">
        <v>20221221</v>
      </c>
    </row>
    <row r="4711" spans="1:17" x14ac:dyDescent="0.25">
      <c r="A4711" t="s">
        <v>548</v>
      </c>
      <c r="B4711" t="s">
        <v>429</v>
      </c>
      <c r="C4711">
        <v>169</v>
      </c>
      <c r="D4711">
        <v>20221221</v>
      </c>
      <c r="E4711">
        <f t="shared" si="73"/>
        <v>12</v>
      </c>
      <c r="F4711">
        <v>467100</v>
      </c>
      <c r="G4711" t="s">
        <v>160</v>
      </c>
      <c r="H4711" t="s">
        <v>2232</v>
      </c>
      <c r="I4711" t="s">
        <v>2233</v>
      </c>
      <c r="J4711" t="s">
        <v>4660</v>
      </c>
      <c r="K4711">
        <v>20221221</v>
      </c>
      <c r="L4711" t="s">
        <v>4661</v>
      </c>
      <c r="M4711">
        <v>17.93</v>
      </c>
      <c r="N4711">
        <v>0</v>
      </c>
      <c r="O4711" t="s">
        <v>23</v>
      </c>
      <c r="P4711">
        <v>20230123</v>
      </c>
      <c r="Q4711">
        <v>20221221</v>
      </c>
    </row>
    <row r="4712" spans="1:17" x14ac:dyDescent="0.25">
      <c r="A4712" t="s">
        <v>548</v>
      </c>
      <c r="B4712" t="s">
        <v>429</v>
      </c>
      <c r="C4712">
        <v>169</v>
      </c>
      <c r="D4712">
        <v>20221222</v>
      </c>
      <c r="E4712">
        <f t="shared" si="73"/>
        <v>12</v>
      </c>
      <c r="F4712">
        <v>580000</v>
      </c>
      <c r="G4712" t="s">
        <v>532</v>
      </c>
      <c r="H4712" t="s">
        <v>401</v>
      </c>
      <c r="I4712" t="s">
        <v>402</v>
      </c>
      <c r="J4712" t="s">
        <v>4662</v>
      </c>
      <c r="K4712">
        <v>20221222</v>
      </c>
      <c r="L4712" t="s">
        <v>625</v>
      </c>
      <c r="M4712">
        <v>1508</v>
      </c>
      <c r="N4712">
        <v>0</v>
      </c>
      <c r="O4712" t="s">
        <v>22</v>
      </c>
      <c r="P4712">
        <v>20221222</v>
      </c>
      <c r="Q4712">
        <v>20221222</v>
      </c>
    </row>
    <row r="4713" spans="1:17" x14ac:dyDescent="0.25">
      <c r="A4713" t="s">
        <v>548</v>
      </c>
      <c r="B4713" t="s">
        <v>429</v>
      </c>
      <c r="C4713">
        <v>169</v>
      </c>
      <c r="D4713">
        <v>20221222</v>
      </c>
      <c r="E4713">
        <f t="shared" si="73"/>
        <v>12</v>
      </c>
      <c r="F4713">
        <v>531105</v>
      </c>
      <c r="G4713" t="s">
        <v>429</v>
      </c>
      <c r="H4713" t="s">
        <v>401</v>
      </c>
      <c r="I4713" t="s">
        <v>402</v>
      </c>
      <c r="J4713" t="s">
        <v>4662</v>
      </c>
      <c r="K4713">
        <v>20221222</v>
      </c>
      <c r="L4713" t="s">
        <v>625</v>
      </c>
      <c r="M4713">
        <v>0</v>
      </c>
      <c r="N4713">
        <v>1508</v>
      </c>
      <c r="O4713" t="s">
        <v>19</v>
      </c>
      <c r="P4713" t="s">
        <v>20</v>
      </c>
      <c r="Q4713">
        <v>20221222</v>
      </c>
    </row>
    <row r="4714" spans="1:17" x14ac:dyDescent="0.25">
      <c r="A4714" t="s">
        <v>548</v>
      </c>
      <c r="B4714" t="s">
        <v>429</v>
      </c>
      <c r="C4714">
        <v>169</v>
      </c>
      <c r="D4714">
        <v>20221223</v>
      </c>
      <c r="E4714">
        <f t="shared" si="73"/>
        <v>12</v>
      </c>
      <c r="F4714">
        <v>411100</v>
      </c>
      <c r="G4714" t="s">
        <v>18</v>
      </c>
      <c r="H4714" t="s">
        <v>1301</v>
      </c>
      <c r="I4714" t="s">
        <v>1302</v>
      </c>
      <c r="J4714">
        <v>122120095</v>
      </c>
      <c r="K4714">
        <v>20221223</v>
      </c>
      <c r="L4714" t="s">
        <v>4663</v>
      </c>
      <c r="M4714">
        <v>0</v>
      </c>
      <c r="N4714">
        <v>3</v>
      </c>
      <c r="O4714" t="s">
        <v>22</v>
      </c>
      <c r="P4714">
        <v>20230218</v>
      </c>
      <c r="Q4714">
        <v>20221223</v>
      </c>
    </row>
    <row r="4715" spans="1:17" x14ac:dyDescent="0.25">
      <c r="A4715" t="s">
        <v>548</v>
      </c>
      <c r="B4715" t="s">
        <v>429</v>
      </c>
      <c r="C4715">
        <v>169</v>
      </c>
      <c r="D4715">
        <v>20221223</v>
      </c>
      <c r="E4715">
        <f t="shared" si="73"/>
        <v>12</v>
      </c>
      <c r="F4715">
        <v>411100</v>
      </c>
      <c r="G4715" t="s">
        <v>18</v>
      </c>
      <c r="H4715" t="s">
        <v>1301</v>
      </c>
      <c r="I4715" t="s">
        <v>1302</v>
      </c>
      <c r="J4715">
        <v>122120095</v>
      </c>
      <c r="K4715">
        <v>20221223</v>
      </c>
      <c r="L4715" t="s">
        <v>4664</v>
      </c>
      <c r="M4715">
        <v>0</v>
      </c>
      <c r="N4715">
        <v>6</v>
      </c>
      <c r="O4715" t="s">
        <v>22</v>
      </c>
      <c r="P4715">
        <v>20230218</v>
      </c>
      <c r="Q4715">
        <v>20221223</v>
      </c>
    </row>
    <row r="4716" spans="1:17" x14ac:dyDescent="0.25">
      <c r="A4716" t="s">
        <v>548</v>
      </c>
      <c r="B4716" t="s">
        <v>429</v>
      </c>
      <c r="C4716">
        <v>169</v>
      </c>
      <c r="D4716">
        <v>20221223</v>
      </c>
      <c r="E4716">
        <f t="shared" si="73"/>
        <v>12</v>
      </c>
      <c r="F4716">
        <v>411100</v>
      </c>
      <c r="G4716" t="s">
        <v>18</v>
      </c>
      <c r="H4716" t="s">
        <v>4149</v>
      </c>
      <c r="I4716" t="s">
        <v>4150</v>
      </c>
      <c r="J4716">
        <v>122120163</v>
      </c>
      <c r="K4716">
        <v>20221223</v>
      </c>
      <c r="L4716" t="s">
        <v>4665</v>
      </c>
      <c r="M4716">
        <v>0</v>
      </c>
      <c r="N4716">
        <v>6</v>
      </c>
      <c r="O4716" t="s">
        <v>22</v>
      </c>
      <c r="P4716">
        <v>20230218</v>
      </c>
      <c r="Q4716">
        <v>20221223</v>
      </c>
    </row>
    <row r="4717" spans="1:17" x14ac:dyDescent="0.25">
      <c r="A4717" t="s">
        <v>548</v>
      </c>
      <c r="B4717" t="s">
        <v>429</v>
      </c>
      <c r="C4717">
        <v>169</v>
      </c>
      <c r="D4717">
        <v>20221223</v>
      </c>
      <c r="E4717">
        <f t="shared" si="73"/>
        <v>12</v>
      </c>
      <c r="F4717">
        <v>411100</v>
      </c>
      <c r="G4717" t="s">
        <v>18</v>
      </c>
      <c r="H4717" t="s">
        <v>1301</v>
      </c>
      <c r="I4717" t="s">
        <v>1302</v>
      </c>
      <c r="J4717">
        <v>122120095</v>
      </c>
      <c r="K4717">
        <v>20221223</v>
      </c>
      <c r="L4717" t="s">
        <v>4666</v>
      </c>
      <c r="M4717">
        <v>0</v>
      </c>
      <c r="N4717">
        <v>15</v>
      </c>
      <c r="O4717" t="s">
        <v>22</v>
      </c>
      <c r="P4717">
        <v>20230218</v>
      </c>
      <c r="Q4717">
        <v>20221223</v>
      </c>
    </row>
    <row r="4718" spans="1:17" x14ac:dyDescent="0.25">
      <c r="A4718" t="s">
        <v>548</v>
      </c>
      <c r="B4718" t="s">
        <v>429</v>
      </c>
      <c r="C4718">
        <v>169</v>
      </c>
      <c r="D4718">
        <v>20221223</v>
      </c>
      <c r="E4718">
        <f t="shared" si="73"/>
        <v>12</v>
      </c>
      <c r="F4718">
        <v>411100</v>
      </c>
      <c r="G4718" t="s">
        <v>18</v>
      </c>
      <c r="H4718" t="s">
        <v>1299</v>
      </c>
      <c r="I4718" t="s">
        <v>1300</v>
      </c>
      <c r="J4718">
        <v>122120113</v>
      </c>
      <c r="K4718">
        <v>20221223</v>
      </c>
      <c r="L4718" t="s">
        <v>4667</v>
      </c>
      <c r="M4718">
        <v>0</v>
      </c>
      <c r="N4718">
        <v>18</v>
      </c>
      <c r="O4718" t="s">
        <v>22</v>
      </c>
      <c r="P4718">
        <v>20230218</v>
      </c>
      <c r="Q4718">
        <v>20221223</v>
      </c>
    </row>
    <row r="4719" spans="1:17" x14ac:dyDescent="0.25">
      <c r="A4719" t="s">
        <v>548</v>
      </c>
      <c r="B4719" t="s">
        <v>429</v>
      </c>
      <c r="C4719">
        <v>169</v>
      </c>
      <c r="D4719">
        <v>20221223</v>
      </c>
      <c r="E4719">
        <f t="shared" si="73"/>
        <v>12</v>
      </c>
      <c r="F4719">
        <v>411100</v>
      </c>
      <c r="G4719" t="s">
        <v>18</v>
      </c>
      <c r="H4719" t="s">
        <v>215</v>
      </c>
      <c r="I4719" t="s">
        <v>216</v>
      </c>
      <c r="J4719">
        <v>122120119</v>
      </c>
      <c r="K4719">
        <v>20221223</v>
      </c>
      <c r="L4719" t="s">
        <v>4668</v>
      </c>
      <c r="M4719">
        <v>0</v>
      </c>
      <c r="N4719">
        <v>3</v>
      </c>
      <c r="O4719" t="s">
        <v>22</v>
      </c>
      <c r="P4719">
        <v>20230218</v>
      </c>
      <c r="Q4719">
        <v>20221223</v>
      </c>
    </row>
    <row r="4720" spans="1:17" x14ac:dyDescent="0.25">
      <c r="A4720" t="s">
        <v>548</v>
      </c>
      <c r="B4720" t="s">
        <v>429</v>
      </c>
      <c r="C4720">
        <v>169</v>
      </c>
      <c r="D4720">
        <v>20221223</v>
      </c>
      <c r="E4720">
        <f t="shared" si="73"/>
        <v>12</v>
      </c>
      <c r="F4720">
        <v>411100</v>
      </c>
      <c r="G4720" t="s">
        <v>18</v>
      </c>
      <c r="H4720" t="s">
        <v>2501</v>
      </c>
      <c r="I4720" t="s">
        <v>2502</v>
      </c>
      <c r="J4720">
        <v>122120118</v>
      </c>
      <c r="K4720">
        <v>20221223</v>
      </c>
      <c r="L4720" t="s">
        <v>4669</v>
      </c>
      <c r="M4720">
        <v>0</v>
      </c>
      <c r="N4720">
        <v>12</v>
      </c>
      <c r="O4720" t="s">
        <v>22</v>
      </c>
      <c r="P4720">
        <v>20230218</v>
      </c>
      <c r="Q4720">
        <v>20221223</v>
      </c>
    </row>
    <row r="4721" spans="1:17" x14ac:dyDescent="0.25">
      <c r="A4721" t="s">
        <v>548</v>
      </c>
      <c r="B4721" t="s">
        <v>429</v>
      </c>
      <c r="C4721">
        <v>169</v>
      </c>
      <c r="D4721">
        <v>20221223</v>
      </c>
      <c r="E4721">
        <f t="shared" si="73"/>
        <v>12</v>
      </c>
      <c r="F4721">
        <v>411100</v>
      </c>
      <c r="G4721" t="s">
        <v>18</v>
      </c>
      <c r="H4721" t="s">
        <v>928</v>
      </c>
      <c r="I4721" t="s">
        <v>929</v>
      </c>
      <c r="J4721">
        <v>122120150</v>
      </c>
      <c r="K4721">
        <v>20221223</v>
      </c>
      <c r="L4721" t="s">
        <v>4670</v>
      </c>
      <c r="M4721">
        <v>0</v>
      </c>
      <c r="N4721">
        <v>12</v>
      </c>
      <c r="O4721" t="s">
        <v>22</v>
      </c>
      <c r="P4721">
        <v>20230218</v>
      </c>
      <c r="Q4721">
        <v>20221223</v>
      </c>
    </row>
    <row r="4722" spans="1:17" x14ac:dyDescent="0.25">
      <c r="A4722" t="s">
        <v>548</v>
      </c>
      <c r="B4722" t="s">
        <v>429</v>
      </c>
      <c r="C4722">
        <v>169</v>
      </c>
      <c r="D4722">
        <v>20221223</v>
      </c>
      <c r="E4722">
        <f t="shared" si="73"/>
        <v>12</v>
      </c>
      <c r="F4722">
        <v>411100</v>
      </c>
      <c r="G4722" t="s">
        <v>18</v>
      </c>
      <c r="H4722" t="s">
        <v>4009</v>
      </c>
      <c r="I4722" t="s">
        <v>4010</v>
      </c>
      <c r="J4722">
        <v>122120134</v>
      </c>
      <c r="K4722">
        <v>20221223</v>
      </c>
      <c r="L4722" t="s">
        <v>4671</v>
      </c>
      <c r="M4722">
        <v>0</v>
      </c>
      <c r="N4722">
        <v>3</v>
      </c>
      <c r="O4722" t="s">
        <v>22</v>
      </c>
      <c r="P4722">
        <v>20230218</v>
      </c>
      <c r="Q4722">
        <v>20221223</v>
      </c>
    </row>
    <row r="4723" spans="1:17" x14ac:dyDescent="0.25">
      <c r="A4723" t="s">
        <v>548</v>
      </c>
      <c r="B4723" t="s">
        <v>429</v>
      </c>
      <c r="C4723">
        <v>169</v>
      </c>
      <c r="D4723">
        <v>20221223</v>
      </c>
      <c r="E4723">
        <f t="shared" si="73"/>
        <v>12</v>
      </c>
      <c r="F4723">
        <v>411100</v>
      </c>
      <c r="G4723" t="s">
        <v>18</v>
      </c>
      <c r="H4723" t="s">
        <v>3998</v>
      </c>
      <c r="I4723" t="s">
        <v>3999</v>
      </c>
      <c r="J4723">
        <v>122120174</v>
      </c>
      <c r="K4723">
        <v>20221223</v>
      </c>
      <c r="L4723" t="s">
        <v>4672</v>
      </c>
      <c r="M4723">
        <v>0</v>
      </c>
      <c r="N4723">
        <v>3</v>
      </c>
      <c r="O4723" t="s">
        <v>22</v>
      </c>
      <c r="P4723">
        <v>20230218</v>
      </c>
      <c r="Q4723">
        <v>20221223</v>
      </c>
    </row>
    <row r="4724" spans="1:17" x14ac:dyDescent="0.25">
      <c r="A4724" t="s">
        <v>548</v>
      </c>
      <c r="B4724" t="s">
        <v>429</v>
      </c>
      <c r="C4724">
        <v>169</v>
      </c>
      <c r="D4724">
        <v>20221223</v>
      </c>
      <c r="E4724">
        <f t="shared" si="73"/>
        <v>12</v>
      </c>
      <c r="F4724">
        <v>411100</v>
      </c>
      <c r="G4724" t="s">
        <v>18</v>
      </c>
      <c r="H4724" t="s">
        <v>81</v>
      </c>
      <c r="I4724" t="s">
        <v>82</v>
      </c>
      <c r="J4724">
        <v>122120090</v>
      </c>
      <c r="K4724">
        <v>20221223</v>
      </c>
      <c r="L4724" t="s">
        <v>4673</v>
      </c>
      <c r="M4724">
        <v>0</v>
      </c>
      <c r="N4724">
        <v>2</v>
      </c>
      <c r="O4724" t="s">
        <v>19</v>
      </c>
      <c r="P4724" t="s">
        <v>20</v>
      </c>
      <c r="Q4724">
        <v>20221223</v>
      </c>
    </row>
    <row r="4725" spans="1:17" x14ac:dyDescent="0.25">
      <c r="A4725" t="s">
        <v>548</v>
      </c>
      <c r="B4725" t="s">
        <v>429</v>
      </c>
      <c r="C4725">
        <v>169</v>
      </c>
      <c r="D4725">
        <v>20221223</v>
      </c>
      <c r="E4725">
        <f t="shared" si="73"/>
        <v>12</v>
      </c>
      <c r="F4725">
        <v>411100</v>
      </c>
      <c r="G4725" t="s">
        <v>18</v>
      </c>
      <c r="H4725" t="s">
        <v>657</v>
      </c>
      <c r="I4725" t="s">
        <v>658</v>
      </c>
      <c r="J4725">
        <v>122120116</v>
      </c>
      <c r="K4725">
        <v>20221223</v>
      </c>
      <c r="L4725" t="s">
        <v>4674</v>
      </c>
      <c r="M4725">
        <v>0</v>
      </c>
      <c r="N4725">
        <v>5.25</v>
      </c>
      <c r="O4725" t="s">
        <v>19</v>
      </c>
      <c r="P4725" t="s">
        <v>20</v>
      </c>
      <c r="Q4725">
        <v>20221223</v>
      </c>
    </row>
    <row r="4726" spans="1:17" x14ac:dyDescent="0.25">
      <c r="A4726" t="s">
        <v>548</v>
      </c>
      <c r="B4726" t="s">
        <v>429</v>
      </c>
      <c r="C4726">
        <v>169</v>
      </c>
      <c r="D4726">
        <v>20221223</v>
      </c>
      <c r="E4726">
        <f t="shared" si="73"/>
        <v>12</v>
      </c>
      <c r="F4726">
        <v>411100</v>
      </c>
      <c r="G4726" t="s">
        <v>18</v>
      </c>
      <c r="H4726" t="s">
        <v>1911</v>
      </c>
      <c r="I4726" t="s">
        <v>1912</v>
      </c>
      <c r="J4726">
        <v>122120094</v>
      </c>
      <c r="K4726">
        <v>20221223</v>
      </c>
      <c r="L4726" t="s">
        <v>4675</v>
      </c>
      <c r="M4726">
        <v>0</v>
      </c>
      <c r="N4726">
        <v>2</v>
      </c>
      <c r="O4726" t="s">
        <v>19</v>
      </c>
      <c r="P4726" t="s">
        <v>20</v>
      </c>
      <c r="Q4726">
        <v>20221223</v>
      </c>
    </row>
    <row r="4727" spans="1:17" x14ac:dyDescent="0.25">
      <c r="A4727" t="s">
        <v>548</v>
      </c>
      <c r="B4727" t="s">
        <v>429</v>
      </c>
      <c r="C4727">
        <v>169</v>
      </c>
      <c r="D4727">
        <v>20221223</v>
      </c>
      <c r="E4727">
        <f t="shared" si="73"/>
        <v>12</v>
      </c>
      <c r="F4727">
        <v>411100</v>
      </c>
      <c r="G4727" t="s">
        <v>18</v>
      </c>
      <c r="H4727" t="s">
        <v>73</v>
      </c>
      <c r="I4727" t="s">
        <v>74</v>
      </c>
      <c r="J4727">
        <v>122120182</v>
      </c>
      <c r="K4727">
        <v>20221223</v>
      </c>
      <c r="L4727" t="s">
        <v>4676</v>
      </c>
      <c r="M4727">
        <v>0</v>
      </c>
      <c r="N4727">
        <v>2</v>
      </c>
      <c r="O4727" t="s">
        <v>19</v>
      </c>
      <c r="P4727" t="s">
        <v>20</v>
      </c>
      <c r="Q4727">
        <v>20221223</v>
      </c>
    </row>
    <row r="4728" spans="1:17" x14ac:dyDescent="0.25">
      <c r="A4728" t="s">
        <v>548</v>
      </c>
      <c r="B4728" t="s">
        <v>429</v>
      </c>
      <c r="C4728">
        <v>169</v>
      </c>
      <c r="D4728">
        <v>20221223</v>
      </c>
      <c r="E4728">
        <f t="shared" si="73"/>
        <v>12</v>
      </c>
      <c r="F4728">
        <v>411100</v>
      </c>
      <c r="G4728" t="s">
        <v>18</v>
      </c>
      <c r="H4728" t="s">
        <v>73</v>
      </c>
      <c r="I4728" t="s">
        <v>74</v>
      </c>
      <c r="J4728">
        <v>122120182</v>
      </c>
      <c r="K4728">
        <v>20221223</v>
      </c>
      <c r="L4728" t="s">
        <v>4677</v>
      </c>
      <c r="M4728">
        <v>0</v>
      </c>
      <c r="N4728">
        <v>2</v>
      </c>
      <c r="O4728" t="s">
        <v>19</v>
      </c>
      <c r="P4728" t="s">
        <v>20</v>
      </c>
      <c r="Q4728">
        <v>20221223</v>
      </c>
    </row>
    <row r="4729" spans="1:17" x14ac:dyDescent="0.25">
      <c r="A4729" t="s">
        <v>548</v>
      </c>
      <c r="B4729" t="s">
        <v>429</v>
      </c>
      <c r="C4729">
        <v>169</v>
      </c>
      <c r="D4729">
        <v>20221223</v>
      </c>
      <c r="E4729">
        <f t="shared" si="73"/>
        <v>12</v>
      </c>
      <c r="F4729">
        <v>411100</v>
      </c>
      <c r="G4729" t="s">
        <v>18</v>
      </c>
      <c r="H4729" t="s">
        <v>259</v>
      </c>
      <c r="I4729" t="s">
        <v>260</v>
      </c>
      <c r="J4729">
        <v>122120074</v>
      </c>
      <c r="K4729">
        <v>20221223</v>
      </c>
      <c r="L4729" t="s">
        <v>4678</v>
      </c>
      <c r="M4729">
        <v>0</v>
      </c>
      <c r="N4729">
        <v>2</v>
      </c>
      <c r="O4729" t="s">
        <v>19</v>
      </c>
      <c r="P4729" t="s">
        <v>20</v>
      </c>
      <c r="Q4729">
        <v>20221223</v>
      </c>
    </row>
    <row r="4730" spans="1:17" x14ac:dyDescent="0.25">
      <c r="A4730" t="s">
        <v>548</v>
      </c>
      <c r="B4730" t="s">
        <v>429</v>
      </c>
      <c r="C4730">
        <v>169</v>
      </c>
      <c r="D4730">
        <v>20221223</v>
      </c>
      <c r="E4730">
        <f t="shared" si="73"/>
        <v>12</v>
      </c>
      <c r="F4730">
        <v>411100</v>
      </c>
      <c r="G4730" t="s">
        <v>18</v>
      </c>
      <c r="H4730" t="s">
        <v>150</v>
      </c>
      <c r="I4730" t="s">
        <v>151</v>
      </c>
      <c r="J4730">
        <v>122120171</v>
      </c>
      <c r="K4730">
        <v>20221223</v>
      </c>
      <c r="L4730" t="s">
        <v>4679</v>
      </c>
      <c r="M4730">
        <v>0</v>
      </c>
      <c r="N4730">
        <v>2</v>
      </c>
      <c r="O4730" t="s">
        <v>22</v>
      </c>
      <c r="P4730">
        <v>20230218</v>
      </c>
      <c r="Q4730">
        <v>20221223</v>
      </c>
    </row>
    <row r="4731" spans="1:17" x14ac:dyDescent="0.25">
      <c r="A4731" t="s">
        <v>548</v>
      </c>
      <c r="B4731" t="s">
        <v>429</v>
      </c>
      <c r="C4731">
        <v>169</v>
      </c>
      <c r="D4731">
        <v>20221223</v>
      </c>
      <c r="E4731">
        <f t="shared" si="73"/>
        <v>12</v>
      </c>
      <c r="F4731">
        <v>411100</v>
      </c>
      <c r="G4731" t="s">
        <v>18</v>
      </c>
      <c r="H4731" t="s">
        <v>3586</v>
      </c>
      <c r="I4731" t="s">
        <v>3587</v>
      </c>
      <c r="J4731">
        <v>122120105</v>
      </c>
      <c r="K4731">
        <v>20221223</v>
      </c>
      <c r="L4731" t="s">
        <v>4680</v>
      </c>
      <c r="M4731">
        <v>0</v>
      </c>
      <c r="N4731">
        <v>1.5</v>
      </c>
      <c r="O4731" t="s">
        <v>22</v>
      </c>
      <c r="P4731">
        <v>20230218</v>
      </c>
      <c r="Q4731">
        <v>20221223</v>
      </c>
    </row>
    <row r="4732" spans="1:17" x14ac:dyDescent="0.25">
      <c r="A4732" t="s">
        <v>548</v>
      </c>
      <c r="B4732" t="s">
        <v>429</v>
      </c>
      <c r="C4732">
        <v>169</v>
      </c>
      <c r="D4732">
        <v>20221223</v>
      </c>
      <c r="E4732">
        <f t="shared" si="73"/>
        <v>12</v>
      </c>
      <c r="F4732">
        <v>411100</v>
      </c>
      <c r="G4732" t="s">
        <v>18</v>
      </c>
      <c r="H4732" t="s">
        <v>73</v>
      </c>
      <c r="I4732" t="s">
        <v>74</v>
      </c>
      <c r="J4732">
        <v>122120182</v>
      </c>
      <c r="K4732">
        <v>20221223</v>
      </c>
      <c r="L4732" t="s">
        <v>4681</v>
      </c>
      <c r="M4732">
        <v>0</v>
      </c>
      <c r="N4732">
        <v>8</v>
      </c>
      <c r="O4732" t="s">
        <v>19</v>
      </c>
      <c r="P4732" t="s">
        <v>20</v>
      </c>
      <c r="Q4732">
        <v>20221223</v>
      </c>
    </row>
    <row r="4733" spans="1:17" x14ac:dyDescent="0.25">
      <c r="A4733" t="s">
        <v>548</v>
      </c>
      <c r="B4733" t="s">
        <v>429</v>
      </c>
      <c r="C4733">
        <v>169</v>
      </c>
      <c r="D4733">
        <v>20221223</v>
      </c>
      <c r="E4733">
        <f t="shared" si="73"/>
        <v>12</v>
      </c>
      <c r="F4733">
        <v>411100</v>
      </c>
      <c r="G4733" t="s">
        <v>18</v>
      </c>
      <c r="H4733" t="s">
        <v>1911</v>
      </c>
      <c r="I4733" t="s">
        <v>1912</v>
      </c>
      <c r="J4733">
        <v>122120094</v>
      </c>
      <c r="K4733">
        <v>20221223</v>
      </c>
      <c r="L4733" t="s">
        <v>4682</v>
      </c>
      <c r="M4733">
        <v>0</v>
      </c>
      <c r="N4733">
        <v>13</v>
      </c>
      <c r="O4733" t="s">
        <v>19</v>
      </c>
      <c r="P4733" t="s">
        <v>20</v>
      </c>
      <c r="Q4733">
        <v>20221223</v>
      </c>
    </row>
    <row r="4734" spans="1:17" x14ac:dyDescent="0.25">
      <c r="A4734" t="s">
        <v>548</v>
      </c>
      <c r="B4734" t="s">
        <v>429</v>
      </c>
      <c r="C4734">
        <v>169</v>
      </c>
      <c r="D4734">
        <v>20221223</v>
      </c>
      <c r="E4734">
        <f t="shared" si="73"/>
        <v>12</v>
      </c>
      <c r="F4734">
        <v>411100</v>
      </c>
      <c r="G4734" t="s">
        <v>18</v>
      </c>
      <c r="H4734" t="s">
        <v>657</v>
      </c>
      <c r="I4734" t="s">
        <v>658</v>
      </c>
      <c r="J4734">
        <v>122120116</v>
      </c>
      <c r="K4734">
        <v>20221223</v>
      </c>
      <c r="L4734" t="s">
        <v>4683</v>
      </c>
      <c r="M4734">
        <v>0</v>
      </c>
      <c r="N4734">
        <v>5</v>
      </c>
      <c r="O4734" t="s">
        <v>19</v>
      </c>
      <c r="P4734" t="s">
        <v>20</v>
      </c>
      <c r="Q4734">
        <v>20221223</v>
      </c>
    </row>
    <row r="4735" spans="1:17" x14ac:dyDescent="0.25">
      <c r="A4735" t="s">
        <v>548</v>
      </c>
      <c r="B4735" t="s">
        <v>429</v>
      </c>
      <c r="C4735">
        <v>169</v>
      </c>
      <c r="D4735">
        <v>20221223</v>
      </c>
      <c r="E4735">
        <f t="shared" si="73"/>
        <v>12</v>
      </c>
      <c r="F4735">
        <v>411100</v>
      </c>
      <c r="G4735" t="s">
        <v>18</v>
      </c>
      <c r="H4735" t="s">
        <v>3901</v>
      </c>
      <c r="I4735" t="s">
        <v>3902</v>
      </c>
      <c r="J4735">
        <v>122120154</v>
      </c>
      <c r="K4735">
        <v>20221223</v>
      </c>
      <c r="L4735" t="s">
        <v>4684</v>
      </c>
      <c r="M4735">
        <v>0</v>
      </c>
      <c r="N4735">
        <v>6.5</v>
      </c>
      <c r="O4735" t="s">
        <v>19</v>
      </c>
      <c r="P4735" t="s">
        <v>20</v>
      </c>
      <c r="Q4735">
        <v>20221223</v>
      </c>
    </row>
    <row r="4736" spans="1:17" x14ac:dyDescent="0.25">
      <c r="A4736" t="s">
        <v>548</v>
      </c>
      <c r="B4736" t="s">
        <v>429</v>
      </c>
      <c r="C4736">
        <v>169</v>
      </c>
      <c r="D4736">
        <v>20221223</v>
      </c>
      <c r="E4736">
        <f t="shared" si="73"/>
        <v>12</v>
      </c>
      <c r="F4736">
        <v>411100</v>
      </c>
      <c r="G4736" t="s">
        <v>18</v>
      </c>
      <c r="H4736" t="s">
        <v>660</v>
      </c>
      <c r="I4736" t="s">
        <v>661</v>
      </c>
      <c r="J4736">
        <v>122120135</v>
      </c>
      <c r="K4736">
        <v>20221223</v>
      </c>
      <c r="L4736" t="s">
        <v>4685</v>
      </c>
      <c r="M4736">
        <v>0</v>
      </c>
      <c r="N4736">
        <v>5</v>
      </c>
      <c r="O4736" t="s">
        <v>19</v>
      </c>
      <c r="P4736" t="s">
        <v>20</v>
      </c>
      <c r="Q4736">
        <v>20221223</v>
      </c>
    </row>
    <row r="4737" spans="1:17" x14ac:dyDescent="0.25">
      <c r="A4737" t="s">
        <v>548</v>
      </c>
      <c r="B4737" t="s">
        <v>429</v>
      </c>
      <c r="C4737">
        <v>169</v>
      </c>
      <c r="D4737">
        <v>20221223</v>
      </c>
      <c r="E4737">
        <f t="shared" si="73"/>
        <v>12</v>
      </c>
      <c r="F4737">
        <v>411100</v>
      </c>
      <c r="G4737" t="s">
        <v>18</v>
      </c>
      <c r="H4737" t="s">
        <v>237</v>
      </c>
      <c r="I4737" t="s">
        <v>238</v>
      </c>
      <c r="J4737">
        <v>122120091</v>
      </c>
      <c r="K4737">
        <v>20221223</v>
      </c>
      <c r="L4737" t="s">
        <v>4686</v>
      </c>
      <c r="M4737">
        <v>0</v>
      </c>
      <c r="N4737">
        <v>5</v>
      </c>
      <c r="O4737" t="s">
        <v>19</v>
      </c>
      <c r="P4737" t="s">
        <v>20</v>
      </c>
      <c r="Q4737">
        <v>20221223</v>
      </c>
    </row>
    <row r="4738" spans="1:17" x14ac:dyDescent="0.25">
      <c r="A4738" t="s">
        <v>548</v>
      </c>
      <c r="B4738" t="s">
        <v>429</v>
      </c>
      <c r="C4738">
        <v>169</v>
      </c>
      <c r="D4738">
        <v>20221223</v>
      </c>
      <c r="E4738">
        <f t="shared" si="73"/>
        <v>12</v>
      </c>
      <c r="F4738">
        <v>411100</v>
      </c>
      <c r="G4738" t="s">
        <v>18</v>
      </c>
      <c r="H4738" t="s">
        <v>105</v>
      </c>
      <c r="I4738" t="s">
        <v>106</v>
      </c>
      <c r="J4738">
        <v>122120145</v>
      </c>
      <c r="K4738">
        <v>20221223</v>
      </c>
      <c r="L4738" t="s">
        <v>4687</v>
      </c>
      <c r="M4738">
        <v>0</v>
      </c>
      <c r="N4738">
        <v>10</v>
      </c>
      <c r="O4738" t="s">
        <v>22</v>
      </c>
      <c r="P4738">
        <v>20230218</v>
      </c>
      <c r="Q4738">
        <v>20221223</v>
      </c>
    </row>
    <row r="4739" spans="1:17" x14ac:dyDescent="0.25">
      <c r="A4739" t="s">
        <v>548</v>
      </c>
      <c r="B4739" t="s">
        <v>429</v>
      </c>
      <c r="C4739">
        <v>169</v>
      </c>
      <c r="D4739">
        <v>20221223</v>
      </c>
      <c r="E4739">
        <f t="shared" ref="E4739:E4802" si="74">VALUE(MID(D4739,5,2))</f>
        <v>12</v>
      </c>
      <c r="F4739">
        <v>531105</v>
      </c>
      <c r="G4739" t="s">
        <v>429</v>
      </c>
      <c r="H4739" t="s">
        <v>401</v>
      </c>
      <c r="I4739" t="s">
        <v>402</v>
      </c>
      <c r="J4739">
        <v>362797</v>
      </c>
      <c r="K4739">
        <v>20221223</v>
      </c>
      <c r="L4739" t="s">
        <v>565</v>
      </c>
      <c r="M4739">
        <v>152.25</v>
      </c>
      <c r="N4739">
        <v>0</v>
      </c>
      <c r="O4739" t="s">
        <v>19</v>
      </c>
      <c r="P4739" t="s">
        <v>20</v>
      </c>
      <c r="Q4739">
        <v>20221223</v>
      </c>
    </row>
    <row r="4740" spans="1:17" x14ac:dyDescent="0.25">
      <c r="A4740" t="s">
        <v>715</v>
      </c>
      <c r="B4740" t="s">
        <v>432</v>
      </c>
      <c r="C4740">
        <v>170</v>
      </c>
      <c r="D4740">
        <v>20221202</v>
      </c>
      <c r="E4740">
        <f t="shared" si="74"/>
        <v>12</v>
      </c>
      <c r="F4740">
        <v>467100</v>
      </c>
      <c r="G4740" t="s">
        <v>160</v>
      </c>
      <c r="H4740" t="s">
        <v>183</v>
      </c>
      <c r="I4740" t="s">
        <v>184</v>
      </c>
      <c r="J4740" t="s">
        <v>4688</v>
      </c>
      <c r="K4740">
        <v>20221202</v>
      </c>
      <c r="L4740" t="s">
        <v>4689</v>
      </c>
      <c r="M4740">
        <v>21.47</v>
      </c>
      <c r="N4740">
        <v>0</v>
      </c>
      <c r="O4740" t="s">
        <v>23</v>
      </c>
      <c r="P4740">
        <v>20230218</v>
      </c>
      <c r="Q4740">
        <v>20221202</v>
      </c>
    </row>
    <row r="4741" spans="1:17" x14ac:dyDescent="0.25">
      <c r="A4741" t="s">
        <v>715</v>
      </c>
      <c r="B4741" t="s">
        <v>432</v>
      </c>
      <c r="C4741">
        <v>170</v>
      </c>
      <c r="D4741">
        <v>20221202</v>
      </c>
      <c r="E4741">
        <f t="shared" si="74"/>
        <v>12</v>
      </c>
      <c r="F4741">
        <v>512200</v>
      </c>
      <c r="G4741" t="s">
        <v>432</v>
      </c>
      <c r="H4741" t="s">
        <v>401</v>
      </c>
      <c r="I4741" t="s">
        <v>402</v>
      </c>
      <c r="J4741" t="s">
        <v>4688</v>
      </c>
      <c r="K4741">
        <v>20221202</v>
      </c>
      <c r="L4741" t="s">
        <v>4689</v>
      </c>
      <c r="M4741">
        <v>0</v>
      </c>
      <c r="N4741">
        <v>21.47</v>
      </c>
      <c r="O4741" t="s">
        <v>19</v>
      </c>
      <c r="P4741" t="s">
        <v>20</v>
      </c>
      <c r="Q4741">
        <v>20221202</v>
      </c>
    </row>
    <row r="4742" spans="1:17" x14ac:dyDescent="0.25">
      <c r="A4742" t="s">
        <v>715</v>
      </c>
      <c r="B4742" t="s">
        <v>432</v>
      </c>
      <c r="C4742">
        <v>170</v>
      </c>
      <c r="D4742">
        <v>20221202</v>
      </c>
      <c r="E4742">
        <f t="shared" si="74"/>
        <v>12</v>
      </c>
      <c r="F4742">
        <v>467100</v>
      </c>
      <c r="G4742" t="s">
        <v>160</v>
      </c>
      <c r="H4742" t="s">
        <v>183</v>
      </c>
      <c r="I4742" t="s">
        <v>184</v>
      </c>
      <c r="J4742" t="s">
        <v>4690</v>
      </c>
      <c r="K4742">
        <v>20221202</v>
      </c>
      <c r="L4742" t="s">
        <v>4691</v>
      </c>
      <c r="M4742">
        <v>59.15</v>
      </c>
      <c r="N4742">
        <v>0</v>
      </c>
      <c r="O4742" t="s">
        <v>23</v>
      </c>
      <c r="P4742">
        <v>20230218</v>
      </c>
      <c r="Q4742">
        <v>20221202</v>
      </c>
    </row>
    <row r="4743" spans="1:17" x14ac:dyDescent="0.25">
      <c r="A4743" t="s">
        <v>715</v>
      </c>
      <c r="B4743" t="s">
        <v>432</v>
      </c>
      <c r="C4743">
        <v>170</v>
      </c>
      <c r="D4743">
        <v>20221202</v>
      </c>
      <c r="E4743">
        <f t="shared" si="74"/>
        <v>12</v>
      </c>
      <c r="F4743">
        <v>512200</v>
      </c>
      <c r="G4743" t="s">
        <v>432</v>
      </c>
      <c r="H4743" t="s">
        <v>401</v>
      </c>
      <c r="I4743" t="s">
        <v>402</v>
      </c>
      <c r="J4743" t="s">
        <v>4690</v>
      </c>
      <c r="K4743">
        <v>20221202</v>
      </c>
      <c r="L4743" t="s">
        <v>4691</v>
      </c>
      <c r="M4743">
        <v>0</v>
      </c>
      <c r="N4743">
        <v>59.15</v>
      </c>
      <c r="O4743" t="s">
        <v>19</v>
      </c>
      <c r="P4743" t="s">
        <v>20</v>
      </c>
      <c r="Q4743">
        <v>20221202</v>
      </c>
    </row>
    <row r="4744" spans="1:17" x14ac:dyDescent="0.25">
      <c r="A4744" t="s">
        <v>715</v>
      </c>
      <c r="B4744" t="s">
        <v>432</v>
      </c>
      <c r="C4744">
        <v>170</v>
      </c>
      <c r="D4744">
        <v>20221205</v>
      </c>
      <c r="E4744">
        <f t="shared" si="74"/>
        <v>12</v>
      </c>
      <c r="F4744">
        <v>401000</v>
      </c>
      <c r="G4744" t="s">
        <v>41</v>
      </c>
      <c r="H4744" t="s">
        <v>52</v>
      </c>
      <c r="I4744" t="s">
        <v>53</v>
      </c>
      <c r="J4744" t="s">
        <v>4692</v>
      </c>
      <c r="K4744">
        <v>20221205</v>
      </c>
      <c r="L4744" t="s">
        <v>4693</v>
      </c>
      <c r="M4744">
        <v>65.760000000000005</v>
      </c>
      <c r="N4744">
        <v>0</v>
      </c>
      <c r="O4744" t="s">
        <v>23</v>
      </c>
      <c r="P4744">
        <v>20230123</v>
      </c>
      <c r="Q4744">
        <v>20221205</v>
      </c>
    </row>
    <row r="4745" spans="1:17" x14ac:dyDescent="0.25">
      <c r="A4745" t="s">
        <v>715</v>
      </c>
      <c r="B4745" t="s">
        <v>432</v>
      </c>
      <c r="C4745">
        <v>170</v>
      </c>
      <c r="D4745">
        <v>20221205</v>
      </c>
      <c r="E4745">
        <f t="shared" si="74"/>
        <v>12</v>
      </c>
      <c r="F4745">
        <v>512200</v>
      </c>
      <c r="G4745" t="s">
        <v>432</v>
      </c>
      <c r="H4745" t="s">
        <v>401</v>
      </c>
      <c r="I4745" t="s">
        <v>402</v>
      </c>
      <c r="J4745" t="s">
        <v>4692</v>
      </c>
      <c r="K4745">
        <v>20221205</v>
      </c>
      <c r="L4745" t="s">
        <v>4693</v>
      </c>
      <c r="M4745">
        <v>0</v>
      </c>
      <c r="N4745">
        <v>65.760000000000005</v>
      </c>
      <c r="O4745" t="s">
        <v>19</v>
      </c>
      <c r="P4745" t="s">
        <v>20</v>
      </c>
      <c r="Q4745">
        <v>20221205</v>
      </c>
    </row>
    <row r="4746" spans="1:17" x14ac:dyDescent="0.25">
      <c r="A4746" t="s">
        <v>715</v>
      </c>
      <c r="B4746" t="s">
        <v>432</v>
      </c>
      <c r="C4746">
        <v>170</v>
      </c>
      <c r="D4746">
        <v>20221205</v>
      </c>
      <c r="E4746">
        <f t="shared" si="74"/>
        <v>12</v>
      </c>
      <c r="F4746">
        <v>401000</v>
      </c>
      <c r="G4746" t="s">
        <v>41</v>
      </c>
      <c r="H4746" t="s">
        <v>52</v>
      </c>
      <c r="I4746" t="s">
        <v>53</v>
      </c>
      <c r="J4746" t="s">
        <v>4694</v>
      </c>
      <c r="K4746">
        <v>20221205</v>
      </c>
      <c r="L4746" t="s">
        <v>4695</v>
      </c>
      <c r="M4746">
        <v>62.4</v>
      </c>
      <c r="N4746">
        <v>0</v>
      </c>
      <c r="O4746" t="s">
        <v>23</v>
      </c>
      <c r="P4746">
        <v>20230220</v>
      </c>
      <c r="Q4746">
        <v>20221205</v>
      </c>
    </row>
    <row r="4747" spans="1:17" x14ac:dyDescent="0.25">
      <c r="A4747" t="s">
        <v>715</v>
      </c>
      <c r="B4747" t="s">
        <v>432</v>
      </c>
      <c r="C4747">
        <v>170</v>
      </c>
      <c r="D4747">
        <v>20221205</v>
      </c>
      <c r="E4747">
        <f t="shared" si="74"/>
        <v>12</v>
      </c>
      <c r="F4747">
        <v>512200</v>
      </c>
      <c r="G4747" t="s">
        <v>432</v>
      </c>
      <c r="H4747" t="s">
        <v>401</v>
      </c>
      <c r="I4747" t="s">
        <v>402</v>
      </c>
      <c r="J4747" t="s">
        <v>4694</v>
      </c>
      <c r="K4747">
        <v>20221205</v>
      </c>
      <c r="L4747" t="s">
        <v>4695</v>
      </c>
      <c r="M4747">
        <v>0</v>
      </c>
      <c r="N4747">
        <v>62.4</v>
      </c>
      <c r="O4747" t="s">
        <v>19</v>
      </c>
      <c r="P4747" t="s">
        <v>20</v>
      </c>
      <c r="Q4747">
        <v>20221205</v>
      </c>
    </row>
    <row r="4748" spans="1:17" x14ac:dyDescent="0.25">
      <c r="A4748" t="s">
        <v>715</v>
      </c>
      <c r="B4748" t="s">
        <v>432</v>
      </c>
      <c r="C4748">
        <v>170</v>
      </c>
      <c r="D4748">
        <v>20221205</v>
      </c>
      <c r="E4748">
        <f t="shared" si="74"/>
        <v>12</v>
      </c>
      <c r="F4748">
        <v>467100</v>
      </c>
      <c r="G4748" t="s">
        <v>160</v>
      </c>
      <c r="H4748" t="s">
        <v>183</v>
      </c>
      <c r="I4748" t="s">
        <v>184</v>
      </c>
      <c r="J4748" t="s">
        <v>4696</v>
      </c>
      <c r="K4748">
        <v>20221205</v>
      </c>
      <c r="L4748" t="s">
        <v>4697</v>
      </c>
      <c r="M4748">
        <v>25.18</v>
      </c>
      <c r="N4748">
        <v>0</v>
      </c>
      <c r="O4748" t="s">
        <v>23</v>
      </c>
      <c r="P4748">
        <v>20230218</v>
      </c>
      <c r="Q4748">
        <v>20221205</v>
      </c>
    </row>
    <row r="4749" spans="1:17" x14ac:dyDescent="0.25">
      <c r="A4749" t="s">
        <v>715</v>
      </c>
      <c r="B4749" t="s">
        <v>432</v>
      </c>
      <c r="C4749">
        <v>170</v>
      </c>
      <c r="D4749">
        <v>20221205</v>
      </c>
      <c r="E4749">
        <f t="shared" si="74"/>
        <v>12</v>
      </c>
      <c r="F4749">
        <v>512200</v>
      </c>
      <c r="G4749" t="s">
        <v>432</v>
      </c>
      <c r="H4749" t="s">
        <v>401</v>
      </c>
      <c r="I4749" t="s">
        <v>402</v>
      </c>
      <c r="J4749" t="s">
        <v>4696</v>
      </c>
      <c r="K4749">
        <v>20221205</v>
      </c>
      <c r="L4749" t="s">
        <v>4697</v>
      </c>
      <c r="M4749">
        <v>0</v>
      </c>
      <c r="N4749">
        <v>25.18</v>
      </c>
      <c r="O4749" t="s">
        <v>19</v>
      </c>
      <c r="P4749" t="s">
        <v>20</v>
      </c>
      <c r="Q4749">
        <v>20221205</v>
      </c>
    </row>
    <row r="4750" spans="1:17" x14ac:dyDescent="0.25">
      <c r="A4750" t="s">
        <v>715</v>
      </c>
      <c r="B4750" t="s">
        <v>432</v>
      </c>
      <c r="C4750">
        <v>170</v>
      </c>
      <c r="D4750">
        <v>20221205</v>
      </c>
      <c r="E4750">
        <f t="shared" si="74"/>
        <v>12</v>
      </c>
      <c r="F4750">
        <v>401000</v>
      </c>
      <c r="G4750" t="s">
        <v>41</v>
      </c>
      <c r="H4750" t="s">
        <v>840</v>
      </c>
      <c r="I4750" t="s">
        <v>841</v>
      </c>
      <c r="J4750" t="s">
        <v>4698</v>
      </c>
      <c r="K4750">
        <v>20221205</v>
      </c>
      <c r="L4750" t="s">
        <v>4699</v>
      </c>
      <c r="M4750">
        <v>213.88</v>
      </c>
      <c r="N4750">
        <v>0</v>
      </c>
      <c r="O4750" t="s">
        <v>23</v>
      </c>
      <c r="P4750">
        <v>20230218</v>
      </c>
      <c r="Q4750">
        <v>20221205</v>
      </c>
    </row>
    <row r="4751" spans="1:17" x14ac:dyDescent="0.25">
      <c r="A4751" t="s">
        <v>715</v>
      </c>
      <c r="B4751" t="s">
        <v>432</v>
      </c>
      <c r="C4751">
        <v>170</v>
      </c>
      <c r="D4751">
        <v>20221205</v>
      </c>
      <c r="E4751">
        <f t="shared" si="74"/>
        <v>12</v>
      </c>
      <c r="F4751">
        <v>512200</v>
      </c>
      <c r="G4751" t="s">
        <v>432</v>
      </c>
      <c r="H4751" t="s">
        <v>401</v>
      </c>
      <c r="I4751" t="s">
        <v>402</v>
      </c>
      <c r="J4751" t="s">
        <v>4698</v>
      </c>
      <c r="K4751">
        <v>20221205</v>
      </c>
      <c r="L4751" t="s">
        <v>4699</v>
      </c>
      <c r="M4751">
        <v>0</v>
      </c>
      <c r="N4751">
        <v>213.88</v>
      </c>
      <c r="O4751" t="s">
        <v>19</v>
      </c>
      <c r="P4751" t="s">
        <v>20</v>
      </c>
      <c r="Q4751">
        <v>20221205</v>
      </c>
    </row>
    <row r="4752" spans="1:17" x14ac:dyDescent="0.25">
      <c r="A4752" t="s">
        <v>715</v>
      </c>
      <c r="B4752" t="s">
        <v>432</v>
      </c>
      <c r="C4752">
        <v>170</v>
      </c>
      <c r="D4752">
        <v>20221205</v>
      </c>
      <c r="E4752">
        <f t="shared" si="74"/>
        <v>12</v>
      </c>
      <c r="F4752">
        <v>401000</v>
      </c>
      <c r="G4752" t="s">
        <v>41</v>
      </c>
      <c r="H4752" t="s">
        <v>2047</v>
      </c>
      <c r="I4752" t="s">
        <v>2048</v>
      </c>
      <c r="J4752" t="s">
        <v>4700</v>
      </c>
      <c r="K4752">
        <v>20221205</v>
      </c>
      <c r="L4752" t="s">
        <v>3369</v>
      </c>
      <c r="M4752">
        <v>54.41</v>
      </c>
      <c r="N4752">
        <v>0</v>
      </c>
      <c r="O4752" t="s">
        <v>23</v>
      </c>
      <c r="P4752">
        <v>20230220</v>
      </c>
      <c r="Q4752">
        <v>20221205</v>
      </c>
    </row>
    <row r="4753" spans="1:17" x14ac:dyDescent="0.25">
      <c r="A4753" t="s">
        <v>715</v>
      </c>
      <c r="B4753" t="s">
        <v>432</v>
      </c>
      <c r="C4753">
        <v>170</v>
      </c>
      <c r="D4753">
        <v>20221205</v>
      </c>
      <c r="E4753">
        <f t="shared" si="74"/>
        <v>12</v>
      </c>
      <c r="F4753">
        <v>512200</v>
      </c>
      <c r="G4753" t="s">
        <v>432</v>
      </c>
      <c r="H4753" t="s">
        <v>401</v>
      </c>
      <c r="I4753" t="s">
        <v>402</v>
      </c>
      <c r="J4753" t="s">
        <v>4700</v>
      </c>
      <c r="K4753">
        <v>20221205</v>
      </c>
      <c r="L4753" t="s">
        <v>3369</v>
      </c>
      <c r="M4753">
        <v>0</v>
      </c>
      <c r="N4753">
        <v>54.41</v>
      </c>
      <c r="O4753" t="s">
        <v>19</v>
      </c>
      <c r="P4753" t="s">
        <v>20</v>
      </c>
      <c r="Q4753">
        <v>20221205</v>
      </c>
    </row>
    <row r="4754" spans="1:17" x14ac:dyDescent="0.25">
      <c r="A4754" t="s">
        <v>715</v>
      </c>
      <c r="B4754" t="s">
        <v>432</v>
      </c>
      <c r="C4754">
        <v>170</v>
      </c>
      <c r="D4754">
        <v>20221205</v>
      </c>
      <c r="E4754">
        <f t="shared" si="74"/>
        <v>12</v>
      </c>
      <c r="F4754">
        <v>401000</v>
      </c>
      <c r="G4754" t="s">
        <v>41</v>
      </c>
      <c r="H4754" t="s">
        <v>52</v>
      </c>
      <c r="I4754" t="s">
        <v>53</v>
      </c>
      <c r="J4754" t="s">
        <v>4701</v>
      </c>
      <c r="K4754">
        <v>20221205</v>
      </c>
      <c r="L4754" t="s">
        <v>4702</v>
      </c>
      <c r="M4754">
        <v>345.42</v>
      </c>
      <c r="N4754">
        <v>0</v>
      </c>
      <c r="O4754" t="s">
        <v>23</v>
      </c>
      <c r="P4754">
        <v>20230123</v>
      </c>
      <c r="Q4754">
        <v>20221205</v>
      </c>
    </row>
    <row r="4755" spans="1:17" x14ac:dyDescent="0.25">
      <c r="A4755" t="s">
        <v>715</v>
      </c>
      <c r="B4755" t="s">
        <v>432</v>
      </c>
      <c r="C4755">
        <v>170</v>
      </c>
      <c r="D4755">
        <v>20221205</v>
      </c>
      <c r="E4755">
        <f t="shared" si="74"/>
        <v>12</v>
      </c>
      <c r="F4755">
        <v>512200</v>
      </c>
      <c r="G4755" t="s">
        <v>432</v>
      </c>
      <c r="H4755" t="s">
        <v>401</v>
      </c>
      <c r="I4755" t="s">
        <v>402</v>
      </c>
      <c r="J4755" t="s">
        <v>4701</v>
      </c>
      <c r="K4755">
        <v>20221205</v>
      </c>
      <c r="L4755" t="s">
        <v>4702</v>
      </c>
      <c r="M4755">
        <v>0</v>
      </c>
      <c r="N4755">
        <v>345.42</v>
      </c>
      <c r="O4755" t="s">
        <v>19</v>
      </c>
      <c r="P4755" t="s">
        <v>20</v>
      </c>
      <c r="Q4755">
        <v>20221205</v>
      </c>
    </row>
    <row r="4756" spans="1:17" x14ac:dyDescent="0.25">
      <c r="A4756" t="s">
        <v>715</v>
      </c>
      <c r="B4756" t="s">
        <v>432</v>
      </c>
      <c r="C4756">
        <v>170</v>
      </c>
      <c r="D4756">
        <v>20221205</v>
      </c>
      <c r="E4756">
        <f t="shared" si="74"/>
        <v>12</v>
      </c>
      <c r="F4756">
        <v>401000</v>
      </c>
      <c r="G4756" t="s">
        <v>41</v>
      </c>
      <c r="H4756" t="s">
        <v>52</v>
      </c>
      <c r="I4756" t="s">
        <v>53</v>
      </c>
      <c r="J4756" t="s">
        <v>4703</v>
      </c>
      <c r="K4756">
        <v>20221205</v>
      </c>
      <c r="L4756" t="s">
        <v>4704</v>
      </c>
      <c r="M4756">
        <v>61.44</v>
      </c>
      <c r="N4756">
        <v>0</v>
      </c>
      <c r="O4756" t="s">
        <v>23</v>
      </c>
      <c r="P4756">
        <v>20230123</v>
      </c>
      <c r="Q4756">
        <v>20221205</v>
      </c>
    </row>
    <row r="4757" spans="1:17" x14ac:dyDescent="0.25">
      <c r="A4757" t="s">
        <v>715</v>
      </c>
      <c r="B4757" t="s">
        <v>432</v>
      </c>
      <c r="C4757">
        <v>170</v>
      </c>
      <c r="D4757">
        <v>20221205</v>
      </c>
      <c r="E4757">
        <f t="shared" si="74"/>
        <v>12</v>
      </c>
      <c r="F4757">
        <v>512200</v>
      </c>
      <c r="G4757" t="s">
        <v>432</v>
      </c>
      <c r="H4757" t="s">
        <v>401</v>
      </c>
      <c r="I4757" t="s">
        <v>402</v>
      </c>
      <c r="J4757" t="s">
        <v>4703</v>
      </c>
      <c r="K4757">
        <v>20221205</v>
      </c>
      <c r="L4757" t="s">
        <v>4704</v>
      </c>
      <c r="M4757">
        <v>0</v>
      </c>
      <c r="N4757">
        <v>61.44</v>
      </c>
      <c r="O4757" t="s">
        <v>19</v>
      </c>
      <c r="P4757" t="s">
        <v>20</v>
      </c>
      <c r="Q4757">
        <v>20221205</v>
      </c>
    </row>
    <row r="4758" spans="1:17" x14ac:dyDescent="0.25">
      <c r="A4758" t="s">
        <v>715</v>
      </c>
      <c r="B4758" t="s">
        <v>432</v>
      </c>
      <c r="C4758">
        <v>170</v>
      </c>
      <c r="D4758">
        <v>20221206</v>
      </c>
      <c r="E4758">
        <f t="shared" si="74"/>
        <v>12</v>
      </c>
      <c r="F4758">
        <v>401000</v>
      </c>
      <c r="G4758" t="s">
        <v>41</v>
      </c>
      <c r="H4758" t="s">
        <v>4471</v>
      </c>
      <c r="I4758" t="s">
        <v>4472</v>
      </c>
      <c r="J4758" t="s">
        <v>4705</v>
      </c>
      <c r="K4758">
        <v>20221206</v>
      </c>
      <c r="L4758" t="s">
        <v>4706</v>
      </c>
      <c r="M4758">
        <v>50</v>
      </c>
      <c r="N4758">
        <v>0</v>
      </c>
      <c r="O4758" t="s">
        <v>23</v>
      </c>
      <c r="P4758">
        <v>20230123</v>
      </c>
      <c r="Q4758">
        <v>20221206</v>
      </c>
    </row>
    <row r="4759" spans="1:17" x14ac:dyDescent="0.25">
      <c r="A4759" t="s">
        <v>715</v>
      </c>
      <c r="B4759" t="s">
        <v>432</v>
      </c>
      <c r="C4759">
        <v>170</v>
      </c>
      <c r="D4759">
        <v>20221206</v>
      </c>
      <c r="E4759">
        <f t="shared" si="74"/>
        <v>12</v>
      </c>
      <c r="F4759">
        <v>512200</v>
      </c>
      <c r="G4759" t="s">
        <v>432</v>
      </c>
      <c r="H4759" t="s">
        <v>401</v>
      </c>
      <c r="I4759" t="s">
        <v>402</v>
      </c>
      <c r="J4759" t="s">
        <v>4705</v>
      </c>
      <c r="K4759">
        <v>20221206</v>
      </c>
      <c r="L4759" t="s">
        <v>4706</v>
      </c>
      <c r="M4759">
        <v>0</v>
      </c>
      <c r="N4759">
        <v>50</v>
      </c>
      <c r="O4759" t="s">
        <v>19</v>
      </c>
      <c r="P4759" t="s">
        <v>20</v>
      </c>
      <c r="Q4759">
        <v>20221206</v>
      </c>
    </row>
    <row r="4760" spans="1:17" x14ac:dyDescent="0.25">
      <c r="A4760" t="s">
        <v>715</v>
      </c>
      <c r="B4760" t="s">
        <v>432</v>
      </c>
      <c r="C4760">
        <v>170</v>
      </c>
      <c r="D4760">
        <v>20221207</v>
      </c>
      <c r="E4760">
        <f t="shared" si="74"/>
        <v>12</v>
      </c>
      <c r="F4760">
        <v>401000</v>
      </c>
      <c r="G4760" t="s">
        <v>41</v>
      </c>
      <c r="H4760" t="s">
        <v>181</v>
      </c>
      <c r="I4760" t="s">
        <v>182</v>
      </c>
      <c r="J4760" t="s">
        <v>4707</v>
      </c>
      <c r="K4760">
        <v>20221207</v>
      </c>
      <c r="L4760" t="s">
        <v>727</v>
      </c>
      <c r="M4760">
        <v>60.9</v>
      </c>
      <c r="N4760">
        <v>0</v>
      </c>
      <c r="O4760" t="s">
        <v>23</v>
      </c>
      <c r="P4760">
        <v>20230123</v>
      </c>
      <c r="Q4760">
        <v>20221207</v>
      </c>
    </row>
    <row r="4761" spans="1:17" x14ac:dyDescent="0.25">
      <c r="A4761" t="s">
        <v>715</v>
      </c>
      <c r="B4761" t="s">
        <v>432</v>
      </c>
      <c r="C4761">
        <v>170</v>
      </c>
      <c r="D4761">
        <v>20221207</v>
      </c>
      <c r="E4761">
        <f t="shared" si="74"/>
        <v>12</v>
      </c>
      <c r="F4761">
        <v>512200</v>
      </c>
      <c r="G4761" t="s">
        <v>432</v>
      </c>
      <c r="H4761" t="s">
        <v>401</v>
      </c>
      <c r="I4761" t="s">
        <v>402</v>
      </c>
      <c r="J4761" t="s">
        <v>4707</v>
      </c>
      <c r="K4761">
        <v>20221207</v>
      </c>
      <c r="L4761" t="s">
        <v>727</v>
      </c>
      <c r="M4761">
        <v>0</v>
      </c>
      <c r="N4761">
        <v>60.9</v>
      </c>
      <c r="O4761" t="s">
        <v>19</v>
      </c>
      <c r="P4761" t="s">
        <v>20</v>
      </c>
      <c r="Q4761">
        <v>20221207</v>
      </c>
    </row>
    <row r="4762" spans="1:17" x14ac:dyDescent="0.25">
      <c r="A4762" t="s">
        <v>715</v>
      </c>
      <c r="B4762" t="s">
        <v>432</v>
      </c>
      <c r="C4762">
        <v>170</v>
      </c>
      <c r="D4762">
        <v>20221209</v>
      </c>
      <c r="E4762">
        <f t="shared" si="74"/>
        <v>12</v>
      </c>
      <c r="F4762">
        <v>411100</v>
      </c>
      <c r="G4762" t="s">
        <v>18</v>
      </c>
      <c r="H4762" t="s">
        <v>698</v>
      </c>
      <c r="I4762" t="s">
        <v>699</v>
      </c>
      <c r="J4762" t="s">
        <v>4439</v>
      </c>
      <c r="K4762">
        <v>20221209</v>
      </c>
      <c r="L4762" t="s">
        <v>4708</v>
      </c>
      <c r="M4762">
        <v>167.22</v>
      </c>
      <c r="N4762">
        <v>0</v>
      </c>
      <c r="O4762" t="s">
        <v>23</v>
      </c>
      <c r="P4762">
        <v>20230228</v>
      </c>
      <c r="Q4762">
        <v>20221209</v>
      </c>
    </row>
    <row r="4763" spans="1:17" x14ac:dyDescent="0.25">
      <c r="A4763" t="s">
        <v>715</v>
      </c>
      <c r="B4763" t="s">
        <v>432</v>
      </c>
      <c r="C4763">
        <v>170</v>
      </c>
      <c r="D4763">
        <v>20221209</v>
      </c>
      <c r="E4763">
        <f t="shared" si="74"/>
        <v>12</v>
      </c>
      <c r="F4763">
        <v>512200</v>
      </c>
      <c r="G4763" t="s">
        <v>432</v>
      </c>
      <c r="H4763" t="s">
        <v>401</v>
      </c>
      <c r="I4763" t="s">
        <v>402</v>
      </c>
      <c r="J4763" t="s">
        <v>4439</v>
      </c>
      <c r="K4763">
        <v>20221209</v>
      </c>
      <c r="L4763" t="s">
        <v>4709</v>
      </c>
      <c r="M4763">
        <v>0</v>
      </c>
      <c r="N4763">
        <v>167.22</v>
      </c>
      <c r="O4763" t="s">
        <v>19</v>
      </c>
      <c r="P4763" t="s">
        <v>20</v>
      </c>
      <c r="Q4763">
        <v>20221209</v>
      </c>
    </row>
    <row r="4764" spans="1:17" x14ac:dyDescent="0.25">
      <c r="A4764" t="s">
        <v>715</v>
      </c>
      <c r="B4764" t="s">
        <v>432</v>
      </c>
      <c r="C4764">
        <v>170</v>
      </c>
      <c r="D4764">
        <v>20221209</v>
      </c>
      <c r="E4764">
        <f t="shared" si="74"/>
        <v>12</v>
      </c>
      <c r="F4764">
        <v>401000</v>
      </c>
      <c r="G4764" t="s">
        <v>41</v>
      </c>
      <c r="H4764" t="s">
        <v>4469</v>
      </c>
      <c r="I4764" t="s">
        <v>4470</v>
      </c>
      <c r="J4764" t="s">
        <v>4710</v>
      </c>
      <c r="K4764">
        <v>20221209</v>
      </c>
      <c r="L4764" t="s">
        <v>4711</v>
      </c>
      <c r="M4764">
        <v>153.84</v>
      </c>
      <c r="N4764">
        <v>0</v>
      </c>
      <c r="O4764" t="s">
        <v>23</v>
      </c>
      <c r="P4764">
        <v>20230206</v>
      </c>
      <c r="Q4764">
        <v>20221209</v>
      </c>
    </row>
    <row r="4765" spans="1:17" x14ac:dyDescent="0.25">
      <c r="A4765" t="s">
        <v>715</v>
      </c>
      <c r="B4765" t="s">
        <v>432</v>
      </c>
      <c r="C4765">
        <v>170</v>
      </c>
      <c r="D4765">
        <v>20221209</v>
      </c>
      <c r="E4765">
        <f t="shared" si="74"/>
        <v>12</v>
      </c>
      <c r="F4765">
        <v>512200</v>
      </c>
      <c r="G4765" t="s">
        <v>432</v>
      </c>
      <c r="H4765" t="s">
        <v>401</v>
      </c>
      <c r="I4765" t="s">
        <v>402</v>
      </c>
      <c r="J4765" t="s">
        <v>4710</v>
      </c>
      <c r="K4765">
        <v>20221209</v>
      </c>
      <c r="L4765" t="s">
        <v>4711</v>
      </c>
      <c r="M4765">
        <v>0</v>
      </c>
      <c r="N4765">
        <v>153.84</v>
      </c>
      <c r="O4765" t="s">
        <v>19</v>
      </c>
      <c r="P4765" t="s">
        <v>20</v>
      </c>
      <c r="Q4765">
        <v>20221209</v>
      </c>
    </row>
    <row r="4766" spans="1:17" x14ac:dyDescent="0.25">
      <c r="A4766" t="s">
        <v>715</v>
      </c>
      <c r="B4766" t="s">
        <v>432</v>
      </c>
      <c r="C4766">
        <v>170</v>
      </c>
      <c r="D4766">
        <v>20221209</v>
      </c>
      <c r="E4766">
        <f t="shared" si="74"/>
        <v>12</v>
      </c>
      <c r="F4766">
        <v>401000</v>
      </c>
      <c r="G4766" t="s">
        <v>41</v>
      </c>
      <c r="H4766" t="s">
        <v>1651</v>
      </c>
      <c r="I4766" t="s">
        <v>1652</v>
      </c>
      <c r="J4766" t="s">
        <v>4712</v>
      </c>
      <c r="K4766">
        <v>20221209</v>
      </c>
      <c r="L4766" t="s">
        <v>4713</v>
      </c>
      <c r="M4766">
        <v>415</v>
      </c>
      <c r="N4766">
        <v>0</v>
      </c>
      <c r="O4766" t="s">
        <v>23</v>
      </c>
      <c r="P4766">
        <v>20230123</v>
      </c>
      <c r="Q4766">
        <v>20221209</v>
      </c>
    </row>
    <row r="4767" spans="1:17" x14ac:dyDescent="0.25">
      <c r="A4767" t="s">
        <v>715</v>
      </c>
      <c r="B4767" t="s">
        <v>432</v>
      </c>
      <c r="C4767">
        <v>170</v>
      </c>
      <c r="D4767">
        <v>20221209</v>
      </c>
      <c r="E4767">
        <f t="shared" si="74"/>
        <v>12</v>
      </c>
      <c r="F4767">
        <v>512200</v>
      </c>
      <c r="G4767" t="s">
        <v>432</v>
      </c>
      <c r="H4767" t="s">
        <v>401</v>
      </c>
      <c r="I4767" t="s">
        <v>402</v>
      </c>
      <c r="J4767" t="s">
        <v>4712</v>
      </c>
      <c r="K4767">
        <v>20221209</v>
      </c>
      <c r="L4767" t="s">
        <v>4713</v>
      </c>
      <c r="M4767">
        <v>0</v>
      </c>
      <c r="N4767">
        <v>415</v>
      </c>
      <c r="O4767" t="s">
        <v>19</v>
      </c>
      <c r="P4767" t="s">
        <v>20</v>
      </c>
      <c r="Q4767">
        <v>20221209</v>
      </c>
    </row>
    <row r="4768" spans="1:17" x14ac:dyDescent="0.25">
      <c r="A4768" t="s">
        <v>715</v>
      </c>
      <c r="B4768" t="s">
        <v>432</v>
      </c>
      <c r="C4768">
        <v>170</v>
      </c>
      <c r="D4768">
        <v>20221212</v>
      </c>
      <c r="E4768">
        <f t="shared" si="74"/>
        <v>12</v>
      </c>
      <c r="F4768">
        <v>627000</v>
      </c>
      <c r="G4768" t="s">
        <v>480</v>
      </c>
      <c r="H4768" t="s">
        <v>401</v>
      </c>
      <c r="I4768" t="s">
        <v>402</v>
      </c>
      <c r="J4768" t="s">
        <v>4714</v>
      </c>
      <c r="K4768">
        <v>20221212</v>
      </c>
      <c r="L4768" t="s">
        <v>1255</v>
      </c>
      <c r="M4768">
        <v>15.88</v>
      </c>
      <c r="N4768">
        <v>0</v>
      </c>
      <c r="O4768" t="s">
        <v>19</v>
      </c>
      <c r="P4768" t="s">
        <v>20</v>
      </c>
      <c r="Q4768">
        <v>20221212</v>
      </c>
    </row>
    <row r="4769" spans="1:17" x14ac:dyDescent="0.25">
      <c r="A4769" t="s">
        <v>715</v>
      </c>
      <c r="B4769" t="s">
        <v>432</v>
      </c>
      <c r="C4769">
        <v>170</v>
      </c>
      <c r="D4769">
        <v>20221212</v>
      </c>
      <c r="E4769">
        <f t="shared" si="74"/>
        <v>12</v>
      </c>
      <c r="F4769">
        <v>512200</v>
      </c>
      <c r="G4769" t="s">
        <v>432</v>
      </c>
      <c r="H4769" t="s">
        <v>401</v>
      </c>
      <c r="I4769" t="s">
        <v>402</v>
      </c>
      <c r="J4769" t="s">
        <v>4714</v>
      </c>
      <c r="K4769">
        <v>20221212</v>
      </c>
      <c r="L4769" t="s">
        <v>1255</v>
      </c>
      <c r="M4769">
        <v>0</v>
      </c>
      <c r="N4769">
        <v>15.88</v>
      </c>
      <c r="O4769" t="s">
        <v>19</v>
      </c>
      <c r="P4769" t="s">
        <v>20</v>
      </c>
      <c r="Q4769">
        <v>20221212</v>
      </c>
    </row>
    <row r="4770" spans="1:17" x14ac:dyDescent="0.25">
      <c r="A4770" t="s">
        <v>715</v>
      </c>
      <c r="B4770" t="s">
        <v>432</v>
      </c>
      <c r="C4770">
        <v>170</v>
      </c>
      <c r="D4770">
        <v>20221213</v>
      </c>
      <c r="E4770">
        <f t="shared" si="74"/>
        <v>12</v>
      </c>
      <c r="F4770">
        <v>512200</v>
      </c>
      <c r="G4770" t="s">
        <v>432</v>
      </c>
      <c r="H4770" t="s">
        <v>401</v>
      </c>
      <c r="I4770" t="s">
        <v>402</v>
      </c>
      <c r="J4770" t="s">
        <v>4715</v>
      </c>
      <c r="K4770">
        <v>20221213</v>
      </c>
      <c r="L4770" t="s">
        <v>4716</v>
      </c>
      <c r="M4770">
        <v>4558.6899999999996</v>
      </c>
      <c r="N4770">
        <v>0</v>
      </c>
      <c r="O4770" t="s">
        <v>19</v>
      </c>
      <c r="P4770" t="s">
        <v>20</v>
      </c>
      <c r="Q4770">
        <v>20221213</v>
      </c>
    </row>
    <row r="4771" spans="1:17" x14ac:dyDescent="0.25">
      <c r="A4771" t="s">
        <v>715</v>
      </c>
      <c r="B4771" t="s">
        <v>432</v>
      </c>
      <c r="C4771">
        <v>170</v>
      </c>
      <c r="D4771">
        <v>20221213</v>
      </c>
      <c r="E4771">
        <f t="shared" si="74"/>
        <v>12</v>
      </c>
      <c r="F4771">
        <v>511000</v>
      </c>
      <c r="G4771" t="s">
        <v>431</v>
      </c>
      <c r="H4771" t="s">
        <v>401</v>
      </c>
      <c r="I4771" t="s">
        <v>402</v>
      </c>
      <c r="J4771" t="s">
        <v>4715</v>
      </c>
      <c r="K4771">
        <v>20221213</v>
      </c>
      <c r="L4771" t="s">
        <v>4716</v>
      </c>
      <c r="M4771">
        <v>0</v>
      </c>
      <c r="N4771">
        <v>4558.6899999999996</v>
      </c>
      <c r="O4771" t="s">
        <v>23</v>
      </c>
      <c r="P4771">
        <v>20230228</v>
      </c>
      <c r="Q4771">
        <v>20221213</v>
      </c>
    </row>
    <row r="4772" spans="1:17" x14ac:dyDescent="0.25">
      <c r="A4772" t="s">
        <v>715</v>
      </c>
      <c r="B4772" t="s">
        <v>432</v>
      </c>
      <c r="C4772">
        <v>170</v>
      </c>
      <c r="D4772">
        <v>20221213</v>
      </c>
      <c r="E4772">
        <f t="shared" si="74"/>
        <v>12</v>
      </c>
      <c r="F4772">
        <v>512200</v>
      </c>
      <c r="G4772" t="s">
        <v>432</v>
      </c>
      <c r="H4772" t="s">
        <v>401</v>
      </c>
      <c r="I4772" t="s">
        <v>402</v>
      </c>
      <c r="J4772" t="s">
        <v>4717</v>
      </c>
      <c r="K4772">
        <v>20221213</v>
      </c>
      <c r="L4772" t="s">
        <v>4718</v>
      </c>
      <c r="M4772">
        <v>167.22</v>
      </c>
      <c r="N4772">
        <v>0</v>
      </c>
      <c r="O4772" t="s">
        <v>19</v>
      </c>
      <c r="P4772" t="s">
        <v>20</v>
      </c>
      <c r="Q4772">
        <v>20221213</v>
      </c>
    </row>
    <row r="4773" spans="1:17" x14ac:dyDescent="0.25">
      <c r="A4773" t="s">
        <v>715</v>
      </c>
      <c r="B4773" t="s">
        <v>432</v>
      </c>
      <c r="C4773">
        <v>170</v>
      </c>
      <c r="D4773">
        <v>20221213</v>
      </c>
      <c r="E4773">
        <f t="shared" si="74"/>
        <v>12</v>
      </c>
      <c r="F4773">
        <v>511000</v>
      </c>
      <c r="G4773" t="s">
        <v>431</v>
      </c>
      <c r="H4773" t="s">
        <v>401</v>
      </c>
      <c r="I4773" t="s">
        <v>402</v>
      </c>
      <c r="J4773" t="s">
        <v>4717</v>
      </c>
      <c r="K4773">
        <v>20221213</v>
      </c>
      <c r="L4773" t="s">
        <v>4718</v>
      </c>
      <c r="M4773">
        <v>0</v>
      </c>
      <c r="N4773">
        <v>167.22</v>
      </c>
      <c r="O4773" t="s">
        <v>23</v>
      </c>
      <c r="P4773">
        <v>20230228</v>
      </c>
      <c r="Q4773">
        <v>20221213</v>
      </c>
    </row>
    <row r="4774" spans="1:17" x14ac:dyDescent="0.25">
      <c r="A4774" t="s">
        <v>715</v>
      </c>
      <c r="B4774" t="s">
        <v>432</v>
      </c>
      <c r="C4774">
        <v>170</v>
      </c>
      <c r="D4774">
        <v>20221213</v>
      </c>
      <c r="E4774">
        <f t="shared" si="74"/>
        <v>12</v>
      </c>
      <c r="F4774">
        <v>401000</v>
      </c>
      <c r="G4774" t="s">
        <v>41</v>
      </c>
      <c r="H4774" t="s">
        <v>166</v>
      </c>
      <c r="I4774" t="s">
        <v>167</v>
      </c>
      <c r="J4774" t="s">
        <v>4719</v>
      </c>
      <c r="K4774">
        <v>20221213</v>
      </c>
      <c r="L4774" t="s">
        <v>4720</v>
      </c>
      <c r="M4774">
        <v>275</v>
      </c>
      <c r="N4774">
        <v>0</v>
      </c>
      <c r="O4774" t="s">
        <v>23</v>
      </c>
      <c r="P4774">
        <v>20230123</v>
      </c>
      <c r="Q4774">
        <v>20221213</v>
      </c>
    </row>
    <row r="4775" spans="1:17" x14ac:dyDescent="0.25">
      <c r="A4775" t="s">
        <v>715</v>
      </c>
      <c r="B4775" t="s">
        <v>432</v>
      </c>
      <c r="C4775">
        <v>170</v>
      </c>
      <c r="D4775">
        <v>20221213</v>
      </c>
      <c r="E4775">
        <f t="shared" si="74"/>
        <v>12</v>
      </c>
      <c r="F4775">
        <v>512200</v>
      </c>
      <c r="G4775" t="s">
        <v>432</v>
      </c>
      <c r="H4775" t="s">
        <v>401</v>
      </c>
      <c r="I4775" t="s">
        <v>402</v>
      </c>
      <c r="J4775" t="s">
        <v>4719</v>
      </c>
      <c r="K4775">
        <v>20221213</v>
      </c>
      <c r="L4775" t="s">
        <v>4720</v>
      </c>
      <c r="M4775">
        <v>0</v>
      </c>
      <c r="N4775">
        <v>275</v>
      </c>
      <c r="O4775" t="s">
        <v>19</v>
      </c>
      <c r="P4775" t="s">
        <v>20</v>
      </c>
      <c r="Q4775">
        <v>20221213</v>
      </c>
    </row>
    <row r="4776" spans="1:17" x14ac:dyDescent="0.25">
      <c r="A4776" t="s">
        <v>715</v>
      </c>
      <c r="B4776" t="s">
        <v>432</v>
      </c>
      <c r="C4776">
        <v>170</v>
      </c>
      <c r="D4776">
        <v>20221213</v>
      </c>
      <c r="E4776">
        <f t="shared" si="74"/>
        <v>12</v>
      </c>
      <c r="F4776">
        <v>401000</v>
      </c>
      <c r="G4776" t="s">
        <v>41</v>
      </c>
      <c r="H4776" t="s">
        <v>166</v>
      </c>
      <c r="I4776" t="s">
        <v>167</v>
      </c>
      <c r="J4776" t="s">
        <v>4721</v>
      </c>
      <c r="K4776">
        <v>20221213</v>
      </c>
      <c r="L4776" t="s">
        <v>4722</v>
      </c>
      <c r="M4776">
        <v>330</v>
      </c>
      <c r="N4776">
        <v>0</v>
      </c>
      <c r="O4776" t="s">
        <v>23</v>
      </c>
      <c r="P4776">
        <v>20230123</v>
      </c>
      <c r="Q4776">
        <v>20221213</v>
      </c>
    </row>
    <row r="4777" spans="1:17" x14ac:dyDescent="0.25">
      <c r="A4777" t="s">
        <v>715</v>
      </c>
      <c r="B4777" t="s">
        <v>432</v>
      </c>
      <c r="C4777">
        <v>170</v>
      </c>
      <c r="D4777">
        <v>20221213</v>
      </c>
      <c r="E4777">
        <f t="shared" si="74"/>
        <v>12</v>
      </c>
      <c r="F4777">
        <v>512200</v>
      </c>
      <c r="G4777" t="s">
        <v>432</v>
      </c>
      <c r="H4777" t="s">
        <v>401</v>
      </c>
      <c r="I4777" t="s">
        <v>402</v>
      </c>
      <c r="J4777" t="s">
        <v>4721</v>
      </c>
      <c r="K4777">
        <v>20221213</v>
      </c>
      <c r="L4777" t="s">
        <v>4722</v>
      </c>
      <c r="M4777">
        <v>0</v>
      </c>
      <c r="N4777">
        <v>330</v>
      </c>
      <c r="O4777" t="s">
        <v>19</v>
      </c>
      <c r="P4777" t="s">
        <v>20</v>
      </c>
      <c r="Q4777">
        <v>20221213</v>
      </c>
    </row>
    <row r="4778" spans="1:17" x14ac:dyDescent="0.25">
      <c r="A4778" t="s">
        <v>715</v>
      </c>
      <c r="B4778" t="s">
        <v>432</v>
      </c>
      <c r="C4778">
        <v>170</v>
      </c>
      <c r="D4778">
        <v>20221214</v>
      </c>
      <c r="E4778">
        <f t="shared" si="74"/>
        <v>12</v>
      </c>
      <c r="F4778">
        <v>512200</v>
      </c>
      <c r="G4778" t="s">
        <v>432</v>
      </c>
      <c r="H4778" t="s">
        <v>401</v>
      </c>
      <c r="I4778" t="s">
        <v>402</v>
      </c>
      <c r="J4778" t="s">
        <v>4723</v>
      </c>
      <c r="K4778">
        <v>20221214</v>
      </c>
      <c r="L4778" t="s">
        <v>4724</v>
      </c>
      <c r="M4778">
        <v>1443.48</v>
      </c>
      <c r="N4778">
        <v>0</v>
      </c>
      <c r="O4778" t="s">
        <v>19</v>
      </c>
      <c r="P4778" t="s">
        <v>20</v>
      </c>
      <c r="Q4778">
        <v>20221214</v>
      </c>
    </row>
    <row r="4779" spans="1:17" x14ac:dyDescent="0.25">
      <c r="A4779" t="s">
        <v>715</v>
      </c>
      <c r="B4779" t="s">
        <v>432</v>
      </c>
      <c r="C4779">
        <v>170</v>
      </c>
      <c r="D4779">
        <v>20221214</v>
      </c>
      <c r="E4779">
        <f t="shared" si="74"/>
        <v>12</v>
      </c>
      <c r="F4779">
        <v>511000</v>
      </c>
      <c r="G4779" t="s">
        <v>431</v>
      </c>
      <c r="H4779" t="s">
        <v>401</v>
      </c>
      <c r="I4779" t="s">
        <v>402</v>
      </c>
      <c r="J4779" t="s">
        <v>4723</v>
      </c>
      <c r="K4779">
        <v>20221214</v>
      </c>
      <c r="L4779" t="s">
        <v>4724</v>
      </c>
      <c r="M4779">
        <v>0</v>
      </c>
      <c r="N4779">
        <v>1443.48</v>
      </c>
      <c r="O4779" t="s">
        <v>23</v>
      </c>
      <c r="P4779">
        <v>20230116</v>
      </c>
      <c r="Q4779">
        <v>20221214</v>
      </c>
    </row>
    <row r="4780" spans="1:17" x14ac:dyDescent="0.25">
      <c r="A4780" t="s">
        <v>715</v>
      </c>
      <c r="B4780" t="s">
        <v>432</v>
      </c>
      <c r="C4780">
        <v>170</v>
      </c>
      <c r="D4780">
        <v>20221219</v>
      </c>
      <c r="E4780">
        <f t="shared" si="74"/>
        <v>12</v>
      </c>
      <c r="F4780">
        <v>401000</v>
      </c>
      <c r="G4780" t="s">
        <v>41</v>
      </c>
      <c r="H4780" t="s">
        <v>52</v>
      </c>
      <c r="I4780" t="s">
        <v>53</v>
      </c>
      <c r="J4780" t="s">
        <v>4725</v>
      </c>
      <c r="K4780">
        <v>20221219</v>
      </c>
      <c r="L4780" t="s">
        <v>4726</v>
      </c>
      <c r="M4780">
        <v>66</v>
      </c>
      <c r="N4780">
        <v>0</v>
      </c>
      <c r="O4780" t="s">
        <v>23</v>
      </c>
      <c r="P4780">
        <v>20230220</v>
      </c>
      <c r="Q4780">
        <v>20221219</v>
      </c>
    </row>
    <row r="4781" spans="1:17" x14ac:dyDescent="0.25">
      <c r="A4781" t="s">
        <v>715</v>
      </c>
      <c r="B4781" t="s">
        <v>432</v>
      </c>
      <c r="C4781">
        <v>170</v>
      </c>
      <c r="D4781">
        <v>20221219</v>
      </c>
      <c r="E4781">
        <f t="shared" si="74"/>
        <v>12</v>
      </c>
      <c r="F4781">
        <v>512200</v>
      </c>
      <c r="G4781" t="s">
        <v>432</v>
      </c>
      <c r="H4781" t="s">
        <v>401</v>
      </c>
      <c r="I4781" t="s">
        <v>402</v>
      </c>
      <c r="J4781" t="s">
        <v>4725</v>
      </c>
      <c r="K4781">
        <v>20221219</v>
      </c>
      <c r="L4781" t="s">
        <v>4726</v>
      </c>
      <c r="M4781">
        <v>0</v>
      </c>
      <c r="N4781">
        <v>66</v>
      </c>
      <c r="O4781" t="s">
        <v>19</v>
      </c>
      <c r="P4781" t="s">
        <v>20</v>
      </c>
      <c r="Q4781">
        <v>20221219</v>
      </c>
    </row>
    <row r="4782" spans="1:17" x14ac:dyDescent="0.25">
      <c r="A4782" t="s">
        <v>715</v>
      </c>
      <c r="B4782" t="s">
        <v>432</v>
      </c>
      <c r="C4782">
        <v>170</v>
      </c>
      <c r="D4782">
        <v>20221219</v>
      </c>
      <c r="E4782">
        <f t="shared" si="74"/>
        <v>12</v>
      </c>
      <c r="F4782">
        <v>401000</v>
      </c>
      <c r="G4782" t="s">
        <v>41</v>
      </c>
      <c r="H4782" t="s">
        <v>4155</v>
      </c>
      <c r="I4782" t="s">
        <v>4156</v>
      </c>
      <c r="J4782" t="s">
        <v>4727</v>
      </c>
      <c r="K4782">
        <v>20221219</v>
      </c>
      <c r="L4782" t="s">
        <v>4728</v>
      </c>
      <c r="M4782">
        <v>74.98</v>
      </c>
      <c r="N4782">
        <v>0</v>
      </c>
      <c r="O4782" t="s">
        <v>23</v>
      </c>
      <c r="P4782">
        <v>20230123</v>
      </c>
      <c r="Q4782">
        <v>20221219</v>
      </c>
    </row>
    <row r="4783" spans="1:17" x14ac:dyDescent="0.25">
      <c r="A4783" t="s">
        <v>715</v>
      </c>
      <c r="B4783" t="s">
        <v>432</v>
      </c>
      <c r="C4783">
        <v>170</v>
      </c>
      <c r="D4783">
        <v>20221219</v>
      </c>
      <c r="E4783">
        <f t="shared" si="74"/>
        <v>12</v>
      </c>
      <c r="F4783">
        <v>512200</v>
      </c>
      <c r="G4783" t="s">
        <v>432</v>
      </c>
      <c r="H4783" t="s">
        <v>401</v>
      </c>
      <c r="I4783" t="s">
        <v>402</v>
      </c>
      <c r="J4783" t="s">
        <v>4727</v>
      </c>
      <c r="K4783">
        <v>20221219</v>
      </c>
      <c r="L4783" t="s">
        <v>4728</v>
      </c>
      <c r="M4783">
        <v>0</v>
      </c>
      <c r="N4783">
        <v>74.98</v>
      </c>
      <c r="O4783" t="s">
        <v>19</v>
      </c>
      <c r="P4783" t="s">
        <v>20</v>
      </c>
      <c r="Q4783">
        <v>20221219</v>
      </c>
    </row>
    <row r="4784" spans="1:17" x14ac:dyDescent="0.25">
      <c r="A4784" t="s">
        <v>715</v>
      </c>
      <c r="B4784" t="s">
        <v>432</v>
      </c>
      <c r="C4784">
        <v>170</v>
      </c>
      <c r="D4784">
        <v>20221219</v>
      </c>
      <c r="E4784">
        <f t="shared" si="74"/>
        <v>12</v>
      </c>
      <c r="F4784">
        <v>401000</v>
      </c>
      <c r="G4784" t="s">
        <v>41</v>
      </c>
      <c r="H4784" t="s">
        <v>4155</v>
      </c>
      <c r="I4784" t="s">
        <v>4156</v>
      </c>
      <c r="J4784" t="s">
        <v>4729</v>
      </c>
      <c r="K4784">
        <v>20221219</v>
      </c>
      <c r="L4784" t="s">
        <v>4728</v>
      </c>
      <c r="M4784">
        <v>34.99</v>
      </c>
      <c r="N4784">
        <v>0</v>
      </c>
      <c r="O4784" t="s">
        <v>23</v>
      </c>
      <c r="P4784">
        <v>20230123</v>
      </c>
      <c r="Q4784">
        <v>20221219</v>
      </c>
    </row>
    <row r="4785" spans="1:17" x14ac:dyDescent="0.25">
      <c r="A4785" t="s">
        <v>715</v>
      </c>
      <c r="B4785" t="s">
        <v>432</v>
      </c>
      <c r="C4785">
        <v>170</v>
      </c>
      <c r="D4785">
        <v>20221219</v>
      </c>
      <c r="E4785">
        <f t="shared" si="74"/>
        <v>12</v>
      </c>
      <c r="F4785">
        <v>512200</v>
      </c>
      <c r="G4785" t="s">
        <v>432</v>
      </c>
      <c r="H4785" t="s">
        <v>401</v>
      </c>
      <c r="I4785" t="s">
        <v>402</v>
      </c>
      <c r="J4785" t="s">
        <v>4729</v>
      </c>
      <c r="K4785">
        <v>20221219</v>
      </c>
      <c r="L4785" t="s">
        <v>4728</v>
      </c>
      <c r="M4785">
        <v>0</v>
      </c>
      <c r="N4785">
        <v>34.99</v>
      </c>
      <c r="O4785" t="s">
        <v>19</v>
      </c>
      <c r="P4785" t="s">
        <v>20</v>
      </c>
      <c r="Q4785">
        <v>20221219</v>
      </c>
    </row>
    <row r="4786" spans="1:17" x14ac:dyDescent="0.25">
      <c r="A4786" t="s">
        <v>715</v>
      </c>
      <c r="B4786" t="s">
        <v>432</v>
      </c>
      <c r="C4786">
        <v>170</v>
      </c>
      <c r="D4786">
        <v>20221219</v>
      </c>
      <c r="E4786">
        <f t="shared" si="74"/>
        <v>12</v>
      </c>
      <c r="F4786">
        <v>401000</v>
      </c>
      <c r="G4786" t="s">
        <v>41</v>
      </c>
      <c r="H4786" t="s">
        <v>4155</v>
      </c>
      <c r="I4786" t="s">
        <v>4156</v>
      </c>
      <c r="J4786" t="s">
        <v>4730</v>
      </c>
      <c r="K4786">
        <v>20221219</v>
      </c>
      <c r="L4786" t="s">
        <v>4728</v>
      </c>
      <c r="M4786">
        <v>5</v>
      </c>
      <c r="N4786">
        <v>0</v>
      </c>
      <c r="O4786" t="s">
        <v>23</v>
      </c>
      <c r="P4786">
        <v>20230123</v>
      </c>
      <c r="Q4786">
        <v>20221219</v>
      </c>
    </row>
    <row r="4787" spans="1:17" x14ac:dyDescent="0.25">
      <c r="A4787" t="s">
        <v>715</v>
      </c>
      <c r="B4787" t="s">
        <v>432</v>
      </c>
      <c r="C4787">
        <v>170</v>
      </c>
      <c r="D4787">
        <v>20221219</v>
      </c>
      <c r="E4787">
        <f t="shared" si="74"/>
        <v>12</v>
      </c>
      <c r="F4787">
        <v>512200</v>
      </c>
      <c r="G4787" t="s">
        <v>432</v>
      </c>
      <c r="H4787" t="s">
        <v>401</v>
      </c>
      <c r="I4787" t="s">
        <v>402</v>
      </c>
      <c r="J4787" t="s">
        <v>4730</v>
      </c>
      <c r="K4787">
        <v>20221219</v>
      </c>
      <c r="L4787" t="s">
        <v>4728</v>
      </c>
      <c r="M4787">
        <v>0</v>
      </c>
      <c r="N4787">
        <v>5</v>
      </c>
      <c r="O4787" t="s">
        <v>19</v>
      </c>
      <c r="P4787" t="s">
        <v>20</v>
      </c>
      <c r="Q4787">
        <v>20221219</v>
      </c>
    </row>
    <row r="4788" spans="1:17" x14ac:dyDescent="0.25">
      <c r="A4788" t="s">
        <v>715</v>
      </c>
      <c r="B4788" t="s">
        <v>432</v>
      </c>
      <c r="C4788">
        <v>170</v>
      </c>
      <c r="D4788">
        <v>20221221</v>
      </c>
      <c r="E4788">
        <f t="shared" si="74"/>
        <v>12</v>
      </c>
      <c r="F4788">
        <v>512200</v>
      </c>
      <c r="G4788" t="s">
        <v>432</v>
      </c>
      <c r="H4788" t="s">
        <v>401</v>
      </c>
      <c r="I4788" t="s">
        <v>402</v>
      </c>
      <c r="J4788" t="s">
        <v>4731</v>
      </c>
      <c r="K4788">
        <v>20221221</v>
      </c>
      <c r="L4788" t="s">
        <v>4732</v>
      </c>
      <c r="M4788">
        <v>1526.15</v>
      </c>
      <c r="N4788">
        <v>0</v>
      </c>
      <c r="O4788" t="s">
        <v>19</v>
      </c>
      <c r="P4788" t="s">
        <v>20</v>
      </c>
      <c r="Q4788">
        <v>20221221</v>
      </c>
    </row>
    <row r="4789" spans="1:17" x14ac:dyDescent="0.25">
      <c r="A4789" t="s">
        <v>715</v>
      </c>
      <c r="B4789" t="s">
        <v>432</v>
      </c>
      <c r="C4789">
        <v>170</v>
      </c>
      <c r="D4789">
        <v>20221221</v>
      </c>
      <c r="E4789">
        <f t="shared" si="74"/>
        <v>12</v>
      </c>
      <c r="F4789">
        <v>511000</v>
      </c>
      <c r="G4789" t="s">
        <v>431</v>
      </c>
      <c r="H4789" t="s">
        <v>401</v>
      </c>
      <c r="I4789" t="s">
        <v>402</v>
      </c>
      <c r="J4789" t="s">
        <v>4731</v>
      </c>
      <c r="K4789">
        <v>20221221</v>
      </c>
      <c r="L4789" t="s">
        <v>4732</v>
      </c>
      <c r="M4789">
        <v>0</v>
      </c>
      <c r="N4789">
        <v>1526.15</v>
      </c>
      <c r="O4789" t="s">
        <v>23</v>
      </c>
      <c r="P4789">
        <v>20230116</v>
      </c>
      <c r="Q4789">
        <v>20221221</v>
      </c>
    </row>
    <row r="4790" spans="1:17" x14ac:dyDescent="0.25">
      <c r="A4790" t="s">
        <v>715</v>
      </c>
      <c r="B4790" t="s">
        <v>432</v>
      </c>
      <c r="C4790">
        <v>170</v>
      </c>
      <c r="D4790">
        <v>20221221</v>
      </c>
      <c r="E4790">
        <f t="shared" si="74"/>
        <v>12</v>
      </c>
      <c r="F4790">
        <v>512200</v>
      </c>
      <c r="G4790" t="s">
        <v>432</v>
      </c>
      <c r="H4790" t="s">
        <v>401</v>
      </c>
      <c r="I4790" t="s">
        <v>402</v>
      </c>
      <c r="J4790" t="s">
        <v>4733</v>
      </c>
      <c r="K4790">
        <v>20221221</v>
      </c>
      <c r="L4790" t="s">
        <v>4734</v>
      </c>
      <c r="M4790">
        <v>710</v>
      </c>
      <c r="N4790">
        <v>0</v>
      </c>
      <c r="O4790" t="s">
        <v>19</v>
      </c>
      <c r="P4790" t="s">
        <v>20</v>
      </c>
      <c r="Q4790">
        <v>20221221</v>
      </c>
    </row>
    <row r="4791" spans="1:17" x14ac:dyDescent="0.25">
      <c r="A4791" t="s">
        <v>715</v>
      </c>
      <c r="B4791" t="s">
        <v>432</v>
      </c>
      <c r="C4791">
        <v>170</v>
      </c>
      <c r="D4791">
        <v>20221221</v>
      </c>
      <c r="E4791">
        <f t="shared" si="74"/>
        <v>12</v>
      </c>
      <c r="F4791">
        <v>511002</v>
      </c>
      <c r="G4791" t="s">
        <v>786</v>
      </c>
      <c r="H4791" t="s">
        <v>401</v>
      </c>
      <c r="I4791" t="s">
        <v>402</v>
      </c>
      <c r="J4791" t="s">
        <v>4733</v>
      </c>
      <c r="K4791">
        <v>20221221</v>
      </c>
      <c r="L4791" t="s">
        <v>4734</v>
      </c>
      <c r="M4791">
        <v>0</v>
      </c>
      <c r="N4791">
        <v>710</v>
      </c>
      <c r="O4791" t="s">
        <v>23</v>
      </c>
      <c r="P4791">
        <v>20230301</v>
      </c>
      <c r="Q4791">
        <v>20221221</v>
      </c>
    </row>
    <row r="4792" spans="1:17" x14ac:dyDescent="0.25">
      <c r="A4792" t="s">
        <v>715</v>
      </c>
      <c r="B4792" t="s">
        <v>432</v>
      </c>
      <c r="C4792">
        <v>170</v>
      </c>
      <c r="D4792">
        <v>20221221</v>
      </c>
      <c r="E4792">
        <f t="shared" si="74"/>
        <v>12</v>
      </c>
      <c r="F4792">
        <v>401000</v>
      </c>
      <c r="G4792" t="s">
        <v>41</v>
      </c>
      <c r="H4792" t="s">
        <v>189</v>
      </c>
      <c r="I4792" t="s">
        <v>190</v>
      </c>
      <c r="J4792" t="s">
        <v>4735</v>
      </c>
      <c r="K4792">
        <v>20221221</v>
      </c>
      <c r="L4792" t="s">
        <v>191</v>
      </c>
      <c r="M4792">
        <v>292.5</v>
      </c>
      <c r="N4792">
        <v>0</v>
      </c>
      <c r="O4792" t="s">
        <v>23</v>
      </c>
      <c r="P4792">
        <v>20230222</v>
      </c>
      <c r="Q4792">
        <v>20221221</v>
      </c>
    </row>
    <row r="4793" spans="1:17" x14ac:dyDescent="0.25">
      <c r="A4793" t="s">
        <v>715</v>
      </c>
      <c r="B4793" t="s">
        <v>432</v>
      </c>
      <c r="C4793">
        <v>170</v>
      </c>
      <c r="D4793">
        <v>20221221</v>
      </c>
      <c r="E4793">
        <f t="shared" si="74"/>
        <v>12</v>
      </c>
      <c r="F4793">
        <v>512200</v>
      </c>
      <c r="G4793" t="s">
        <v>432</v>
      </c>
      <c r="H4793" t="s">
        <v>401</v>
      </c>
      <c r="I4793" t="s">
        <v>402</v>
      </c>
      <c r="J4793" t="s">
        <v>4735</v>
      </c>
      <c r="K4793">
        <v>20221221</v>
      </c>
      <c r="L4793" t="s">
        <v>191</v>
      </c>
      <c r="M4793">
        <v>0</v>
      </c>
      <c r="N4793">
        <v>292.5</v>
      </c>
      <c r="O4793" t="s">
        <v>19</v>
      </c>
      <c r="P4793" t="s">
        <v>20</v>
      </c>
      <c r="Q4793">
        <v>20221221</v>
      </c>
    </row>
    <row r="4794" spans="1:17" x14ac:dyDescent="0.25">
      <c r="A4794" t="s">
        <v>715</v>
      </c>
      <c r="B4794" t="s">
        <v>432</v>
      </c>
      <c r="C4794">
        <v>170</v>
      </c>
      <c r="D4794">
        <v>20221222</v>
      </c>
      <c r="E4794">
        <f t="shared" si="74"/>
        <v>12</v>
      </c>
      <c r="F4794">
        <v>512200</v>
      </c>
      <c r="G4794" t="s">
        <v>432</v>
      </c>
      <c r="H4794" t="s">
        <v>401</v>
      </c>
      <c r="I4794" t="s">
        <v>402</v>
      </c>
      <c r="J4794" t="s">
        <v>4662</v>
      </c>
      <c r="K4794">
        <v>20221222</v>
      </c>
      <c r="L4794" t="s">
        <v>625</v>
      </c>
      <c r="M4794">
        <v>1508</v>
      </c>
      <c r="N4794">
        <v>0</v>
      </c>
      <c r="O4794" t="s">
        <v>19</v>
      </c>
      <c r="P4794" t="s">
        <v>20</v>
      </c>
      <c r="Q4794">
        <v>20221222</v>
      </c>
    </row>
    <row r="4795" spans="1:17" x14ac:dyDescent="0.25">
      <c r="A4795" t="s">
        <v>715</v>
      </c>
      <c r="B4795" t="s">
        <v>432</v>
      </c>
      <c r="C4795">
        <v>170</v>
      </c>
      <c r="D4795">
        <v>20221222</v>
      </c>
      <c r="E4795">
        <f t="shared" si="74"/>
        <v>12</v>
      </c>
      <c r="F4795">
        <v>580000</v>
      </c>
      <c r="G4795" t="s">
        <v>532</v>
      </c>
      <c r="H4795" t="s">
        <v>401</v>
      </c>
      <c r="I4795" t="s">
        <v>402</v>
      </c>
      <c r="J4795" t="s">
        <v>4662</v>
      </c>
      <c r="K4795">
        <v>20221222</v>
      </c>
      <c r="L4795" t="s">
        <v>625</v>
      </c>
      <c r="M4795">
        <v>0</v>
      </c>
      <c r="N4795">
        <v>1508</v>
      </c>
      <c r="O4795" t="s">
        <v>22</v>
      </c>
      <c r="P4795">
        <v>20221222</v>
      </c>
      <c r="Q4795">
        <v>20221222</v>
      </c>
    </row>
    <row r="4796" spans="1:17" x14ac:dyDescent="0.25">
      <c r="A4796" t="s">
        <v>715</v>
      </c>
      <c r="B4796" t="s">
        <v>432</v>
      </c>
      <c r="C4796">
        <v>170</v>
      </c>
      <c r="D4796">
        <v>20221223</v>
      </c>
      <c r="E4796">
        <f t="shared" si="74"/>
        <v>12</v>
      </c>
      <c r="F4796">
        <v>401000</v>
      </c>
      <c r="G4796" t="s">
        <v>41</v>
      </c>
      <c r="H4796" t="s">
        <v>4473</v>
      </c>
      <c r="I4796" t="s">
        <v>4474</v>
      </c>
      <c r="J4796" t="s">
        <v>4736</v>
      </c>
      <c r="K4796">
        <v>20221223</v>
      </c>
      <c r="L4796" t="s">
        <v>4737</v>
      </c>
      <c r="M4796">
        <v>182</v>
      </c>
      <c r="N4796">
        <v>0</v>
      </c>
      <c r="O4796" t="s">
        <v>23</v>
      </c>
      <c r="P4796">
        <v>20230123</v>
      </c>
      <c r="Q4796">
        <v>20221223</v>
      </c>
    </row>
    <row r="4797" spans="1:17" x14ac:dyDescent="0.25">
      <c r="A4797" t="s">
        <v>715</v>
      </c>
      <c r="B4797" t="s">
        <v>432</v>
      </c>
      <c r="C4797">
        <v>170</v>
      </c>
      <c r="D4797">
        <v>20221223</v>
      </c>
      <c r="E4797">
        <f t="shared" si="74"/>
        <v>12</v>
      </c>
      <c r="F4797">
        <v>512200</v>
      </c>
      <c r="G4797" t="s">
        <v>432</v>
      </c>
      <c r="H4797" t="s">
        <v>401</v>
      </c>
      <c r="I4797" t="s">
        <v>402</v>
      </c>
      <c r="J4797" t="s">
        <v>4736</v>
      </c>
      <c r="K4797">
        <v>20221223</v>
      </c>
      <c r="L4797" t="s">
        <v>4737</v>
      </c>
      <c r="M4797">
        <v>0</v>
      </c>
      <c r="N4797">
        <v>182</v>
      </c>
      <c r="O4797" t="s">
        <v>19</v>
      </c>
      <c r="P4797" t="s">
        <v>20</v>
      </c>
      <c r="Q4797">
        <v>20221223</v>
      </c>
    </row>
    <row r="4798" spans="1:17" x14ac:dyDescent="0.25">
      <c r="A4798" t="s">
        <v>715</v>
      </c>
      <c r="B4798" t="s">
        <v>432</v>
      </c>
      <c r="C4798">
        <v>170</v>
      </c>
      <c r="D4798">
        <v>20221223</v>
      </c>
      <c r="E4798">
        <f t="shared" si="74"/>
        <v>12</v>
      </c>
      <c r="F4798">
        <v>401000</v>
      </c>
      <c r="G4798" t="s">
        <v>41</v>
      </c>
      <c r="H4798" t="s">
        <v>393</v>
      </c>
      <c r="I4798" t="s">
        <v>394</v>
      </c>
      <c r="J4798" t="s">
        <v>4738</v>
      </c>
      <c r="K4798">
        <v>20221223</v>
      </c>
      <c r="L4798" t="s">
        <v>4739</v>
      </c>
      <c r="M4798">
        <v>100</v>
      </c>
      <c r="N4798">
        <v>0</v>
      </c>
      <c r="O4798" t="s">
        <v>23</v>
      </c>
      <c r="P4798">
        <v>20230327</v>
      </c>
      <c r="Q4798">
        <v>20221223</v>
      </c>
    </row>
    <row r="4799" spans="1:17" x14ac:dyDescent="0.25">
      <c r="A4799" t="s">
        <v>715</v>
      </c>
      <c r="B4799" t="s">
        <v>432</v>
      </c>
      <c r="C4799">
        <v>170</v>
      </c>
      <c r="D4799">
        <v>20221223</v>
      </c>
      <c r="E4799">
        <f t="shared" si="74"/>
        <v>12</v>
      </c>
      <c r="F4799">
        <v>512200</v>
      </c>
      <c r="G4799" t="s">
        <v>432</v>
      </c>
      <c r="H4799" t="s">
        <v>401</v>
      </c>
      <c r="I4799" t="s">
        <v>402</v>
      </c>
      <c r="J4799" t="s">
        <v>4738</v>
      </c>
      <c r="K4799">
        <v>20221223</v>
      </c>
      <c r="L4799" t="s">
        <v>4739</v>
      </c>
      <c r="M4799">
        <v>0</v>
      </c>
      <c r="N4799">
        <v>100</v>
      </c>
      <c r="O4799" t="s">
        <v>19</v>
      </c>
      <c r="P4799" t="s">
        <v>20</v>
      </c>
      <c r="Q4799">
        <v>20221223</v>
      </c>
    </row>
    <row r="4800" spans="1:17" x14ac:dyDescent="0.25">
      <c r="A4800" t="s">
        <v>715</v>
      </c>
      <c r="B4800" t="s">
        <v>432</v>
      </c>
      <c r="C4800">
        <v>170</v>
      </c>
      <c r="D4800">
        <v>20221229</v>
      </c>
      <c r="E4800">
        <f t="shared" si="74"/>
        <v>12</v>
      </c>
      <c r="F4800">
        <v>401000</v>
      </c>
      <c r="G4800" t="s">
        <v>41</v>
      </c>
      <c r="H4800" t="s">
        <v>189</v>
      </c>
      <c r="I4800" t="s">
        <v>190</v>
      </c>
      <c r="J4800" t="s">
        <v>4740</v>
      </c>
      <c r="K4800">
        <v>20221229</v>
      </c>
      <c r="L4800" t="s">
        <v>4452</v>
      </c>
      <c r="M4800">
        <v>403.75</v>
      </c>
      <c r="N4800">
        <v>0</v>
      </c>
      <c r="O4800" t="s">
        <v>19</v>
      </c>
      <c r="P4800" t="s">
        <v>20</v>
      </c>
      <c r="Q4800">
        <v>20221229</v>
      </c>
    </row>
    <row r="4801" spans="1:17" x14ac:dyDescent="0.25">
      <c r="A4801" t="s">
        <v>715</v>
      </c>
      <c r="B4801" t="s">
        <v>432</v>
      </c>
      <c r="C4801">
        <v>170</v>
      </c>
      <c r="D4801">
        <v>20221229</v>
      </c>
      <c r="E4801">
        <f t="shared" si="74"/>
        <v>12</v>
      </c>
      <c r="F4801">
        <v>512200</v>
      </c>
      <c r="G4801" t="s">
        <v>432</v>
      </c>
      <c r="H4801" t="s">
        <v>401</v>
      </c>
      <c r="I4801" t="s">
        <v>402</v>
      </c>
      <c r="J4801" t="s">
        <v>4740</v>
      </c>
      <c r="K4801">
        <v>20221229</v>
      </c>
      <c r="L4801" t="s">
        <v>4452</v>
      </c>
      <c r="M4801">
        <v>0</v>
      </c>
      <c r="N4801">
        <v>403.75</v>
      </c>
      <c r="O4801" t="s">
        <v>19</v>
      </c>
      <c r="P4801" t="s">
        <v>20</v>
      </c>
      <c r="Q4801">
        <v>20221229</v>
      </c>
    </row>
    <row r="4802" spans="1:17" x14ac:dyDescent="0.25">
      <c r="A4802" t="s">
        <v>715</v>
      </c>
      <c r="B4802" t="s">
        <v>432</v>
      </c>
      <c r="C4802">
        <v>170</v>
      </c>
      <c r="D4802">
        <v>20221230</v>
      </c>
      <c r="E4802">
        <f t="shared" si="74"/>
        <v>12</v>
      </c>
      <c r="F4802">
        <v>401000</v>
      </c>
      <c r="G4802" t="s">
        <v>41</v>
      </c>
      <c r="H4802" t="s">
        <v>4481</v>
      </c>
      <c r="I4802" t="s">
        <v>4482</v>
      </c>
      <c r="J4802" t="s">
        <v>4741</v>
      </c>
      <c r="K4802">
        <v>20221230</v>
      </c>
      <c r="L4802" t="s">
        <v>4742</v>
      </c>
      <c r="M4802">
        <v>140</v>
      </c>
      <c r="N4802">
        <v>0</v>
      </c>
      <c r="O4802" t="s">
        <v>23</v>
      </c>
      <c r="P4802">
        <v>20230218</v>
      </c>
      <c r="Q4802">
        <v>20221230</v>
      </c>
    </row>
    <row r="4803" spans="1:17" x14ac:dyDescent="0.25">
      <c r="A4803" t="s">
        <v>715</v>
      </c>
      <c r="B4803" t="s">
        <v>432</v>
      </c>
      <c r="C4803">
        <v>170</v>
      </c>
      <c r="D4803">
        <v>20221230</v>
      </c>
      <c r="E4803">
        <f t="shared" ref="E4803:E4807" si="75">VALUE(MID(D4803,5,2))</f>
        <v>12</v>
      </c>
      <c r="F4803">
        <v>512200</v>
      </c>
      <c r="G4803" t="s">
        <v>432</v>
      </c>
      <c r="H4803" t="s">
        <v>401</v>
      </c>
      <c r="I4803" t="s">
        <v>402</v>
      </c>
      <c r="J4803" t="s">
        <v>4741</v>
      </c>
      <c r="K4803">
        <v>20221230</v>
      </c>
      <c r="L4803" t="s">
        <v>4742</v>
      </c>
      <c r="M4803">
        <v>0</v>
      </c>
      <c r="N4803">
        <v>140</v>
      </c>
      <c r="O4803" t="s">
        <v>19</v>
      </c>
      <c r="P4803" t="s">
        <v>20</v>
      </c>
      <c r="Q4803">
        <v>20221230</v>
      </c>
    </row>
    <row r="4804" spans="1:17" x14ac:dyDescent="0.25">
      <c r="A4804" t="s">
        <v>715</v>
      </c>
      <c r="B4804" t="s">
        <v>432</v>
      </c>
      <c r="C4804">
        <v>170</v>
      </c>
      <c r="D4804">
        <v>20221231</v>
      </c>
      <c r="E4804">
        <f t="shared" si="75"/>
        <v>12</v>
      </c>
      <c r="F4804">
        <v>758000</v>
      </c>
      <c r="G4804" t="s">
        <v>811</v>
      </c>
      <c r="H4804" t="s">
        <v>401</v>
      </c>
      <c r="I4804" t="s">
        <v>402</v>
      </c>
      <c r="J4804" t="s">
        <v>4743</v>
      </c>
      <c r="K4804">
        <v>20221231</v>
      </c>
      <c r="L4804" t="s">
        <v>4744</v>
      </c>
      <c r="M4804">
        <v>0</v>
      </c>
      <c r="N4804">
        <v>5.13</v>
      </c>
      <c r="O4804" t="s">
        <v>19</v>
      </c>
      <c r="P4804" t="s">
        <v>20</v>
      </c>
      <c r="Q4804">
        <v>20221231</v>
      </c>
    </row>
    <row r="4805" spans="1:17" x14ac:dyDescent="0.25">
      <c r="A4805" t="s">
        <v>715</v>
      </c>
      <c r="B4805" t="s">
        <v>432</v>
      </c>
      <c r="C4805">
        <v>170</v>
      </c>
      <c r="D4805">
        <v>20221231</v>
      </c>
      <c r="E4805">
        <f t="shared" si="75"/>
        <v>12</v>
      </c>
      <c r="F4805">
        <v>512200</v>
      </c>
      <c r="G4805" t="s">
        <v>432</v>
      </c>
      <c r="H4805" t="s">
        <v>401</v>
      </c>
      <c r="I4805" t="s">
        <v>402</v>
      </c>
      <c r="J4805" t="s">
        <v>4743</v>
      </c>
      <c r="K4805">
        <v>20221231</v>
      </c>
      <c r="L4805" t="s">
        <v>4744</v>
      </c>
      <c r="M4805">
        <v>5.13</v>
      </c>
      <c r="N4805">
        <v>0</v>
      </c>
      <c r="O4805" t="s">
        <v>19</v>
      </c>
      <c r="P4805" t="s">
        <v>20</v>
      </c>
      <c r="Q4805">
        <v>20221231</v>
      </c>
    </row>
    <row r="4806" spans="1:17" x14ac:dyDescent="0.25">
      <c r="A4806" t="s">
        <v>715</v>
      </c>
      <c r="B4806" t="s">
        <v>432</v>
      </c>
      <c r="C4806">
        <v>171</v>
      </c>
      <c r="D4806">
        <v>20221212</v>
      </c>
      <c r="E4806">
        <f t="shared" si="75"/>
        <v>12</v>
      </c>
      <c r="F4806">
        <v>401000</v>
      </c>
      <c r="G4806" t="s">
        <v>41</v>
      </c>
      <c r="H4806" t="s">
        <v>4479</v>
      </c>
      <c r="I4806" t="s">
        <v>4480</v>
      </c>
      <c r="J4806" t="s">
        <v>4745</v>
      </c>
      <c r="K4806">
        <v>20221212</v>
      </c>
      <c r="L4806" t="s">
        <v>4746</v>
      </c>
      <c r="M4806">
        <v>144</v>
      </c>
      <c r="N4806">
        <v>0</v>
      </c>
      <c r="O4806" t="s">
        <v>23</v>
      </c>
      <c r="P4806">
        <v>20230324</v>
      </c>
      <c r="Q4806">
        <v>20221212</v>
      </c>
    </row>
    <row r="4807" spans="1:17" x14ac:dyDescent="0.25">
      <c r="A4807" t="s">
        <v>715</v>
      </c>
      <c r="B4807" t="s">
        <v>432</v>
      </c>
      <c r="C4807">
        <v>171</v>
      </c>
      <c r="D4807">
        <v>20221212</v>
      </c>
      <c r="E4807">
        <f t="shared" si="75"/>
        <v>12</v>
      </c>
      <c r="F4807">
        <v>512200</v>
      </c>
      <c r="G4807" t="s">
        <v>432</v>
      </c>
      <c r="H4807" t="s">
        <v>401</v>
      </c>
      <c r="I4807" t="s">
        <v>402</v>
      </c>
      <c r="J4807" t="s">
        <v>4745</v>
      </c>
      <c r="K4807">
        <v>20221212</v>
      </c>
      <c r="L4807" t="s">
        <v>4746</v>
      </c>
      <c r="M4807">
        <v>0</v>
      </c>
      <c r="N4807">
        <v>144</v>
      </c>
      <c r="O4807" t="s">
        <v>19</v>
      </c>
      <c r="P4807" t="s">
        <v>20</v>
      </c>
      <c r="Q4807">
        <v>20221212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40"/>
  <sheetViews>
    <sheetView workbookViewId="0">
      <selection activeCell="E2" sqref="E2:E1040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4760</v>
      </c>
      <c r="B2" t="s">
        <v>4761</v>
      </c>
      <c r="C2">
        <v>12</v>
      </c>
      <c r="D2">
        <v>20230124</v>
      </c>
      <c r="E2">
        <f>VALUE(MID(D2,5,2))</f>
        <v>1</v>
      </c>
      <c r="F2">
        <v>411100</v>
      </c>
      <c r="G2" t="s">
        <v>18</v>
      </c>
      <c r="H2" t="s">
        <v>4135</v>
      </c>
      <c r="I2" t="s">
        <v>4136</v>
      </c>
      <c r="J2">
        <v>364034</v>
      </c>
      <c r="K2">
        <v>20230124</v>
      </c>
      <c r="L2" t="s">
        <v>4762</v>
      </c>
      <c r="M2">
        <v>98</v>
      </c>
      <c r="N2">
        <v>0</v>
      </c>
      <c r="O2" t="s">
        <v>19</v>
      </c>
      <c r="P2" t="s">
        <v>20</v>
      </c>
      <c r="Q2">
        <v>20230124</v>
      </c>
    </row>
    <row r="3" spans="1:19" x14ac:dyDescent="0.25">
      <c r="A3" t="s">
        <v>4760</v>
      </c>
      <c r="B3" t="s">
        <v>4761</v>
      </c>
      <c r="C3">
        <v>12</v>
      </c>
      <c r="D3">
        <v>20230124</v>
      </c>
      <c r="E3">
        <f t="shared" ref="E3:E66" si="0">VALUE(MID(D3,5,2))</f>
        <v>1</v>
      </c>
      <c r="F3">
        <v>512100</v>
      </c>
      <c r="G3" t="s">
        <v>4761</v>
      </c>
      <c r="H3" t="s">
        <v>401</v>
      </c>
      <c r="I3" t="s">
        <v>402</v>
      </c>
      <c r="J3" t="s">
        <v>4763</v>
      </c>
      <c r="K3">
        <v>20230124</v>
      </c>
      <c r="L3" t="s">
        <v>4762</v>
      </c>
      <c r="M3">
        <v>0</v>
      </c>
      <c r="N3">
        <v>98</v>
      </c>
      <c r="O3" t="s">
        <v>19</v>
      </c>
      <c r="P3" t="s">
        <v>20</v>
      </c>
      <c r="Q3">
        <v>20230124</v>
      </c>
    </row>
    <row r="4" spans="1:19" x14ac:dyDescent="0.25">
      <c r="A4" t="s">
        <v>476</v>
      </c>
      <c r="B4" t="s">
        <v>477</v>
      </c>
      <c r="C4">
        <v>13</v>
      </c>
      <c r="D4">
        <v>20230109</v>
      </c>
      <c r="E4">
        <f t="shared" si="0"/>
        <v>1</v>
      </c>
      <c r="F4">
        <v>401000</v>
      </c>
      <c r="G4" t="s">
        <v>41</v>
      </c>
      <c r="H4" t="s">
        <v>4758</v>
      </c>
      <c r="I4" t="s">
        <v>4759</v>
      </c>
      <c r="J4" t="s">
        <v>4764</v>
      </c>
      <c r="K4">
        <v>20230109</v>
      </c>
      <c r="L4" t="s">
        <v>4765</v>
      </c>
      <c r="M4">
        <v>464.4</v>
      </c>
      <c r="N4">
        <v>0</v>
      </c>
      <c r="O4" t="s">
        <v>23</v>
      </c>
      <c r="P4">
        <v>20230218</v>
      </c>
      <c r="Q4">
        <v>20230109</v>
      </c>
    </row>
    <row r="5" spans="1:19" x14ac:dyDescent="0.25">
      <c r="A5" t="s">
        <v>476</v>
      </c>
      <c r="B5" t="s">
        <v>477</v>
      </c>
      <c r="C5">
        <v>13</v>
      </c>
      <c r="D5">
        <v>20230109</v>
      </c>
      <c r="E5">
        <f t="shared" si="0"/>
        <v>1</v>
      </c>
      <c r="F5">
        <v>467100</v>
      </c>
      <c r="G5" t="s">
        <v>160</v>
      </c>
      <c r="H5" t="s">
        <v>185</v>
      </c>
      <c r="I5" t="s">
        <v>186</v>
      </c>
      <c r="J5" t="s">
        <v>4764</v>
      </c>
      <c r="K5">
        <v>20230109</v>
      </c>
      <c r="L5" t="s">
        <v>4765</v>
      </c>
      <c r="M5">
        <v>700</v>
      </c>
      <c r="N5">
        <v>0</v>
      </c>
      <c r="O5" t="s">
        <v>23</v>
      </c>
      <c r="P5">
        <v>20230123</v>
      </c>
      <c r="Q5">
        <v>20230109</v>
      </c>
    </row>
    <row r="6" spans="1:19" x14ac:dyDescent="0.25">
      <c r="A6" t="s">
        <v>476</v>
      </c>
      <c r="B6" t="s">
        <v>477</v>
      </c>
      <c r="C6">
        <v>13</v>
      </c>
      <c r="D6">
        <v>20230109</v>
      </c>
      <c r="E6">
        <f t="shared" si="0"/>
        <v>1</v>
      </c>
      <c r="F6">
        <v>512000</v>
      </c>
      <c r="G6" t="s">
        <v>428</v>
      </c>
      <c r="H6" t="s">
        <v>401</v>
      </c>
      <c r="I6" t="s">
        <v>402</v>
      </c>
      <c r="J6" t="s">
        <v>4764</v>
      </c>
      <c r="K6">
        <v>20230109</v>
      </c>
      <c r="L6" t="s">
        <v>4765</v>
      </c>
      <c r="M6">
        <v>0</v>
      </c>
      <c r="N6">
        <v>1164.4000000000001</v>
      </c>
      <c r="O6" t="s">
        <v>19</v>
      </c>
      <c r="P6" t="s">
        <v>20</v>
      </c>
      <c r="Q6">
        <v>20230109</v>
      </c>
    </row>
    <row r="7" spans="1:19" x14ac:dyDescent="0.25">
      <c r="A7" t="s">
        <v>476</v>
      </c>
      <c r="B7" t="s">
        <v>477</v>
      </c>
      <c r="C7">
        <v>13</v>
      </c>
      <c r="D7">
        <v>20230109</v>
      </c>
      <c r="E7">
        <f t="shared" si="0"/>
        <v>1</v>
      </c>
      <c r="F7">
        <v>401000</v>
      </c>
      <c r="G7" t="s">
        <v>41</v>
      </c>
      <c r="H7" t="s">
        <v>42</v>
      </c>
      <c r="I7" t="s">
        <v>43</v>
      </c>
      <c r="J7" t="s">
        <v>4766</v>
      </c>
      <c r="K7">
        <v>20230109</v>
      </c>
      <c r="L7" t="s">
        <v>4767</v>
      </c>
      <c r="M7">
        <v>789.84</v>
      </c>
      <c r="N7">
        <v>0</v>
      </c>
      <c r="O7" t="s">
        <v>23</v>
      </c>
      <c r="P7">
        <v>20230123</v>
      </c>
      <c r="Q7">
        <v>20230109</v>
      </c>
    </row>
    <row r="8" spans="1:19" x14ac:dyDescent="0.25">
      <c r="A8" t="s">
        <v>476</v>
      </c>
      <c r="B8" t="s">
        <v>477</v>
      </c>
      <c r="C8">
        <v>13</v>
      </c>
      <c r="D8">
        <v>20230109</v>
      </c>
      <c r="E8">
        <f t="shared" si="0"/>
        <v>1</v>
      </c>
      <c r="F8">
        <v>401000</v>
      </c>
      <c r="G8" t="s">
        <v>41</v>
      </c>
      <c r="H8" t="s">
        <v>44</v>
      </c>
      <c r="I8" t="s">
        <v>45</v>
      </c>
      <c r="J8" t="s">
        <v>4766</v>
      </c>
      <c r="K8">
        <v>20230109</v>
      </c>
      <c r="L8" t="s">
        <v>4767</v>
      </c>
      <c r="M8">
        <v>3920.4</v>
      </c>
      <c r="N8">
        <v>0</v>
      </c>
      <c r="O8" t="s">
        <v>23</v>
      </c>
      <c r="P8">
        <v>20230218</v>
      </c>
      <c r="Q8">
        <v>20230109</v>
      </c>
    </row>
    <row r="9" spans="1:19" x14ac:dyDescent="0.25">
      <c r="A9" t="s">
        <v>476</v>
      </c>
      <c r="B9" t="s">
        <v>477</v>
      </c>
      <c r="C9">
        <v>13</v>
      </c>
      <c r="D9">
        <v>20230109</v>
      </c>
      <c r="E9">
        <f t="shared" si="0"/>
        <v>1</v>
      </c>
      <c r="F9">
        <v>401000</v>
      </c>
      <c r="G9" t="s">
        <v>41</v>
      </c>
      <c r="H9" t="s">
        <v>450</v>
      </c>
      <c r="I9" t="s">
        <v>451</v>
      </c>
      <c r="J9" t="s">
        <v>4766</v>
      </c>
      <c r="K9">
        <v>20230109</v>
      </c>
      <c r="L9" t="s">
        <v>4767</v>
      </c>
      <c r="M9">
        <v>109.55</v>
      </c>
      <c r="N9">
        <v>0</v>
      </c>
      <c r="O9" t="s">
        <v>23</v>
      </c>
      <c r="P9">
        <v>20230123</v>
      </c>
      <c r="Q9">
        <v>20230109</v>
      </c>
    </row>
    <row r="10" spans="1:19" x14ac:dyDescent="0.25">
      <c r="A10" t="s">
        <v>476</v>
      </c>
      <c r="B10" t="s">
        <v>477</v>
      </c>
      <c r="C10">
        <v>13</v>
      </c>
      <c r="D10">
        <v>20230109</v>
      </c>
      <c r="E10">
        <f t="shared" si="0"/>
        <v>1</v>
      </c>
      <c r="F10">
        <v>401000</v>
      </c>
      <c r="G10" t="s">
        <v>41</v>
      </c>
      <c r="H10" t="s">
        <v>69</v>
      </c>
      <c r="I10" t="s">
        <v>70</v>
      </c>
      <c r="J10" t="s">
        <v>4766</v>
      </c>
      <c r="K10">
        <v>20230109</v>
      </c>
      <c r="L10" t="s">
        <v>4767</v>
      </c>
      <c r="M10">
        <v>2479.54</v>
      </c>
      <c r="N10">
        <v>0</v>
      </c>
      <c r="O10" t="s">
        <v>23</v>
      </c>
      <c r="P10">
        <v>20230123</v>
      </c>
      <c r="Q10">
        <v>20230109</v>
      </c>
    </row>
    <row r="11" spans="1:19" x14ac:dyDescent="0.25">
      <c r="A11" t="s">
        <v>476</v>
      </c>
      <c r="B11" t="s">
        <v>477</v>
      </c>
      <c r="C11">
        <v>13</v>
      </c>
      <c r="D11">
        <v>20230109</v>
      </c>
      <c r="E11">
        <f t="shared" si="0"/>
        <v>1</v>
      </c>
      <c r="F11">
        <v>401000</v>
      </c>
      <c r="G11" t="s">
        <v>41</v>
      </c>
      <c r="H11" t="s">
        <v>71</v>
      </c>
      <c r="I11" t="s">
        <v>72</v>
      </c>
      <c r="J11" t="s">
        <v>4766</v>
      </c>
      <c r="K11">
        <v>20230109</v>
      </c>
      <c r="L11" t="s">
        <v>4767</v>
      </c>
      <c r="M11">
        <v>189.85</v>
      </c>
      <c r="N11">
        <v>0</v>
      </c>
      <c r="O11" t="s">
        <v>23</v>
      </c>
      <c r="P11">
        <v>20230123</v>
      </c>
      <c r="Q11">
        <v>20230109</v>
      </c>
    </row>
    <row r="12" spans="1:19" x14ac:dyDescent="0.25">
      <c r="A12" t="s">
        <v>476</v>
      </c>
      <c r="B12" t="s">
        <v>477</v>
      </c>
      <c r="C12">
        <v>13</v>
      </c>
      <c r="D12">
        <v>20230109</v>
      </c>
      <c r="E12">
        <f t="shared" si="0"/>
        <v>1</v>
      </c>
      <c r="F12">
        <v>401000</v>
      </c>
      <c r="G12" t="s">
        <v>41</v>
      </c>
      <c r="H12" t="s">
        <v>1641</v>
      </c>
      <c r="I12" t="s">
        <v>1642</v>
      </c>
      <c r="J12" t="s">
        <v>4766</v>
      </c>
      <c r="K12">
        <v>20230109</v>
      </c>
      <c r="L12" t="s">
        <v>4767</v>
      </c>
      <c r="M12">
        <v>256.18</v>
      </c>
      <c r="N12">
        <v>0</v>
      </c>
      <c r="O12" t="s">
        <v>23</v>
      </c>
      <c r="P12">
        <v>20230123</v>
      </c>
      <c r="Q12">
        <v>20230109</v>
      </c>
    </row>
    <row r="13" spans="1:19" x14ac:dyDescent="0.25">
      <c r="A13" t="s">
        <v>476</v>
      </c>
      <c r="B13" t="s">
        <v>477</v>
      </c>
      <c r="C13">
        <v>13</v>
      </c>
      <c r="D13">
        <v>20230109</v>
      </c>
      <c r="E13">
        <f t="shared" si="0"/>
        <v>1</v>
      </c>
      <c r="F13">
        <v>401000</v>
      </c>
      <c r="G13" t="s">
        <v>41</v>
      </c>
      <c r="H13" t="s">
        <v>2382</v>
      </c>
      <c r="I13" t="s">
        <v>2383</v>
      </c>
      <c r="J13" t="s">
        <v>4766</v>
      </c>
      <c r="K13">
        <v>20230109</v>
      </c>
      <c r="L13" t="s">
        <v>4767</v>
      </c>
      <c r="M13">
        <v>1039.0999999999999</v>
      </c>
      <c r="N13">
        <v>0</v>
      </c>
      <c r="O13" t="s">
        <v>23</v>
      </c>
      <c r="P13">
        <v>20230123</v>
      </c>
      <c r="Q13">
        <v>20230109</v>
      </c>
    </row>
    <row r="14" spans="1:19" x14ac:dyDescent="0.25">
      <c r="A14" t="s">
        <v>476</v>
      </c>
      <c r="B14" t="s">
        <v>477</v>
      </c>
      <c r="C14">
        <v>13</v>
      </c>
      <c r="D14">
        <v>20230109</v>
      </c>
      <c r="E14">
        <f t="shared" si="0"/>
        <v>1</v>
      </c>
      <c r="F14">
        <v>401000</v>
      </c>
      <c r="G14" t="s">
        <v>41</v>
      </c>
      <c r="H14" t="s">
        <v>535</v>
      </c>
      <c r="I14" t="s">
        <v>536</v>
      </c>
      <c r="J14" t="s">
        <v>4766</v>
      </c>
      <c r="K14">
        <v>20230109</v>
      </c>
      <c r="L14" t="s">
        <v>4768</v>
      </c>
      <c r="M14">
        <v>132.4</v>
      </c>
      <c r="N14">
        <v>0</v>
      </c>
      <c r="O14" t="s">
        <v>19</v>
      </c>
      <c r="P14" t="s">
        <v>20</v>
      </c>
      <c r="Q14">
        <v>20230109</v>
      </c>
    </row>
    <row r="15" spans="1:19" x14ac:dyDescent="0.25">
      <c r="A15" t="s">
        <v>476</v>
      </c>
      <c r="B15" t="s">
        <v>477</v>
      </c>
      <c r="C15">
        <v>13</v>
      </c>
      <c r="D15">
        <v>20230109</v>
      </c>
      <c r="E15">
        <f t="shared" si="0"/>
        <v>1</v>
      </c>
      <c r="F15">
        <v>467100</v>
      </c>
      <c r="G15" t="s">
        <v>160</v>
      </c>
      <c r="H15" t="s">
        <v>1201</v>
      </c>
      <c r="I15" t="s">
        <v>1202</v>
      </c>
      <c r="J15" t="s">
        <v>4766</v>
      </c>
      <c r="K15">
        <v>20230109</v>
      </c>
      <c r="L15" t="s">
        <v>4767</v>
      </c>
      <c r="M15">
        <v>86.03</v>
      </c>
      <c r="N15">
        <v>0</v>
      </c>
      <c r="O15" t="s">
        <v>23</v>
      </c>
      <c r="P15">
        <v>20230206</v>
      </c>
      <c r="Q15">
        <v>20230109</v>
      </c>
    </row>
    <row r="16" spans="1:19" x14ac:dyDescent="0.25">
      <c r="A16" t="s">
        <v>476</v>
      </c>
      <c r="B16" t="s">
        <v>477</v>
      </c>
      <c r="C16">
        <v>13</v>
      </c>
      <c r="D16">
        <v>20230109</v>
      </c>
      <c r="E16">
        <f t="shared" si="0"/>
        <v>1</v>
      </c>
      <c r="F16">
        <v>401000</v>
      </c>
      <c r="G16" t="s">
        <v>41</v>
      </c>
      <c r="H16" t="s">
        <v>474</v>
      </c>
      <c r="I16" t="s">
        <v>475</v>
      </c>
      <c r="J16" t="s">
        <v>4766</v>
      </c>
      <c r="K16">
        <v>20230109</v>
      </c>
      <c r="L16" t="s">
        <v>4767</v>
      </c>
      <c r="M16">
        <v>180</v>
      </c>
      <c r="N16">
        <v>0</v>
      </c>
      <c r="O16" t="s">
        <v>23</v>
      </c>
      <c r="P16">
        <v>20230123</v>
      </c>
      <c r="Q16">
        <v>20230109</v>
      </c>
    </row>
    <row r="17" spans="1:17" x14ac:dyDescent="0.25">
      <c r="A17" t="s">
        <v>476</v>
      </c>
      <c r="B17" t="s">
        <v>477</v>
      </c>
      <c r="C17">
        <v>13</v>
      </c>
      <c r="D17">
        <v>20230109</v>
      </c>
      <c r="E17">
        <f t="shared" si="0"/>
        <v>1</v>
      </c>
      <c r="F17">
        <v>401000</v>
      </c>
      <c r="G17" t="s">
        <v>41</v>
      </c>
      <c r="H17" t="s">
        <v>303</v>
      </c>
      <c r="I17" t="s">
        <v>304</v>
      </c>
      <c r="J17" t="s">
        <v>4766</v>
      </c>
      <c r="K17">
        <v>20230109</v>
      </c>
      <c r="L17" t="s">
        <v>4767</v>
      </c>
      <c r="M17">
        <v>460</v>
      </c>
      <c r="N17">
        <v>0</v>
      </c>
      <c r="O17" t="s">
        <v>23</v>
      </c>
      <c r="P17">
        <v>20230123</v>
      </c>
      <c r="Q17">
        <v>20230109</v>
      </c>
    </row>
    <row r="18" spans="1:17" x14ac:dyDescent="0.25">
      <c r="A18" t="s">
        <v>476</v>
      </c>
      <c r="B18" t="s">
        <v>477</v>
      </c>
      <c r="C18">
        <v>13</v>
      </c>
      <c r="D18">
        <v>20230109</v>
      </c>
      <c r="E18">
        <f t="shared" si="0"/>
        <v>1</v>
      </c>
      <c r="F18">
        <v>401000</v>
      </c>
      <c r="G18" t="s">
        <v>41</v>
      </c>
      <c r="H18" t="s">
        <v>834</v>
      </c>
      <c r="I18" t="s">
        <v>835</v>
      </c>
      <c r="J18" t="s">
        <v>4766</v>
      </c>
      <c r="K18">
        <v>20230109</v>
      </c>
      <c r="L18" t="s">
        <v>4767</v>
      </c>
      <c r="M18">
        <v>2860</v>
      </c>
      <c r="N18">
        <v>0</v>
      </c>
      <c r="O18" t="s">
        <v>23</v>
      </c>
      <c r="P18">
        <v>20230123</v>
      </c>
      <c r="Q18">
        <v>20230109</v>
      </c>
    </row>
    <row r="19" spans="1:17" x14ac:dyDescent="0.25">
      <c r="A19" t="s">
        <v>476</v>
      </c>
      <c r="B19" t="s">
        <v>477</v>
      </c>
      <c r="C19">
        <v>13</v>
      </c>
      <c r="D19">
        <v>20230109</v>
      </c>
      <c r="E19">
        <f t="shared" si="0"/>
        <v>1</v>
      </c>
      <c r="F19">
        <v>401000</v>
      </c>
      <c r="G19" t="s">
        <v>41</v>
      </c>
      <c r="H19" t="s">
        <v>1659</v>
      </c>
      <c r="I19" t="s">
        <v>1660</v>
      </c>
      <c r="J19" t="s">
        <v>4766</v>
      </c>
      <c r="K19">
        <v>20230109</v>
      </c>
      <c r="L19" t="s">
        <v>4767</v>
      </c>
      <c r="M19">
        <v>100</v>
      </c>
      <c r="N19">
        <v>0</v>
      </c>
      <c r="O19" t="s">
        <v>23</v>
      </c>
      <c r="P19">
        <v>20230123</v>
      </c>
      <c r="Q19">
        <v>20230109</v>
      </c>
    </row>
    <row r="20" spans="1:17" x14ac:dyDescent="0.25">
      <c r="A20" t="s">
        <v>476</v>
      </c>
      <c r="B20" t="s">
        <v>477</v>
      </c>
      <c r="C20">
        <v>13</v>
      </c>
      <c r="D20">
        <v>20230109</v>
      </c>
      <c r="E20">
        <f t="shared" si="0"/>
        <v>1</v>
      </c>
      <c r="F20">
        <v>401000</v>
      </c>
      <c r="G20" t="s">
        <v>41</v>
      </c>
      <c r="H20" t="s">
        <v>2045</v>
      </c>
      <c r="I20" t="s">
        <v>2046</v>
      </c>
      <c r="J20" t="s">
        <v>4766</v>
      </c>
      <c r="K20">
        <v>20230109</v>
      </c>
      <c r="L20" t="s">
        <v>4767</v>
      </c>
      <c r="M20">
        <v>90</v>
      </c>
      <c r="N20">
        <v>0</v>
      </c>
      <c r="O20" t="s">
        <v>23</v>
      </c>
      <c r="P20">
        <v>20230123</v>
      </c>
      <c r="Q20">
        <v>20230109</v>
      </c>
    </row>
    <row r="21" spans="1:17" x14ac:dyDescent="0.25">
      <c r="A21" t="s">
        <v>476</v>
      </c>
      <c r="B21" t="s">
        <v>477</v>
      </c>
      <c r="C21">
        <v>13</v>
      </c>
      <c r="D21">
        <v>20230109</v>
      </c>
      <c r="E21">
        <f t="shared" si="0"/>
        <v>1</v>
      </c>
      <c r="F21">
        <v>512000</v>
      </c>
      <c r="G21" t="s">
        <v>428</v>
      </c>
      <c r="H21" t="s">
        <v>401</v>
      </c>
      <c r="I21" t="s">
        <v>402</v>
      </c>
      <c r="J21" t="s">
        <v>4766</v>
      </c>
      <c r="K21">
        <v>20230109</v>
      </c>
      <c r="L21" t="s">
        <v>4768</v>
      </c>
      <c r="M21">
        <v>0</v>
      </c>
      <c r="N21">
        <v>12692.89</v>
      </c>
      <c r="O21" t="s">
        <v>19</v>
      </c>
      <c r="P21" t="s">
        <v>20</v>
      </c>
      <c r="Q21">
        <v>20230109</v>
      </c>
    </row>
    <row r="22" spans="1:17" x14ac:dyDescent="0.25">
      <c r="A22" t="s">
        <v>476</v>
      </c>
      <c r="B22" t="s">
        <v>477</v>
      </c>
      <c r="C22">
        <v>13</v>
      </c>
      <c r="D22">
        <v>20230112</v>
      </c>
      <c r="E22">
        <f t="shared" si="0"/>
        <v>1</v>
      </c>
      <c r="F22">
        <v>437100</v>
      </c>
      <c r="G22" t="s">
        <v>436</v>
      </c>
      <c r="H22" t="s">
        <v>401</v>
      </c>
      <c r="I22" t="s">
        <v>402</v>
      </c>
      <c r="J22" t="s">
        <v>4769</v>
      </c>
      <c r="K22">
        <v>20230112</v>
      </c>
      <c r="L22" t="s">
        <v>4765</v>
      </c>
      <c r="M22">
        <v>810.16</v>
      </c>
      <c r="N22">
        <v>0</v>
      </c>
      <c r="O22" t="s">
        <v>23</v>
      </c>
      <c r="P22">
        <v>20230218</v>
      </c>
      <c r="Q22">
        <v>20230112</v>
      </c>
    </row>
    <row r="23" spans="1:17" x14ac:dyDescent="0.25">
      <c r="A23" t="s">
        <v>476</v>
      </c>
      <c r="B23" t="s">
        <v>477</v>
      </c>
      <c r="C23">
        <v>13</v>
      </c>
      <c r="D23">
        <v>20230112</v>
      </c>
      <c r="E23">
        <f t="shared" si="0"/>
        <v>1</v>
      </c>
      <c r="F23">
        <v>437100</v>
      </c>
      <c r="G23" t="s">
        <v>436</v>
      </c>
      <c r="H23" t="s">
        <v>401</v>
      </c>
      <c r="I23" t="s">
        <v>402</v>
      </c>
      <c r="J23" t="s">
        <v>4769</v>
      </c>
      <c r="K23">
        <v>20230112</v>
      </c>
      <c r="L23" t="s">
        <v>4765</v>
      </c>
      <c r="M23">
        <v>691.23</v>
      </c>
      <c r="N23">
        <v>0</v>
      </c>
      <c r="O23" t="s">
        <v>23</v>
      </c>
      <c r="P23">
        <v>20230218</v>
      </c>
      <c r="Q23">
        <v>20230112</v>
      </c>
    </row>
    <row r="24" spans="1:17" x14ac:dyDescent="0.25">
      <c r="A24" t="s">
        <v>476</v>
      </c>
      <c r="B24" t="s">
        <v>477</v>
      </c>
      <c r="C24">
        <v>13</v>
      </c>
      <c r="D24">
        <v>20230112</v>
      </c>
      <c r="E24">
        <f t="shared" si="0"/>
        <v>1</v>
      </c>
      <c r="F24">
        <v>437100</v>
      </c>
      <c r="G24" t="s">
        <v>436</v>
      </c>
      <c r="H24" t="s">
        <v>401</v>
      </c>
      <c r="I24" t="s">
        <v>402</v>
      </c>
      <c r="J24" t="s">
        <v>4769</v>
      </c>
      <c r="K24">
        <v>20230112</v>
      </c>
      <c r="L24" t="s">
        <v>4765</v>
      </c>
      <c r="M24">
        <v>810.16</v>
      </c>
      <c r="N24">
        <v>0</v>
      </c>
      <c r="O24" t="s">
        <v>23</v>
      </c>
      <c r="P24">
        <v>20230218</v>
      </c>
      <c r="Q24">
        <v>20230112</v>
      </c>
    </row>
    <row r="25" spans="1:17" x14ac:dyDescent="0.25">
      <c r="A25" t="s">
        <v>476</v>
      </c>
      <c r="B25" t="s">
        <v>477</v>
      </c>
      <c r="C25">
        <v>13</v>
      </c>
      <c r="D25">
        <v>20230112</v>
      </c>
      <c r="E25">
        <f t="shared" si="0"/>
        <v>1</v>
      </c>
      <c r="F25">
        <v>437100</v>
      </c>
      <c r="G25" t="s">
        <v>436</v>
      </c>
      <c r="H25" t="s">
        <v>401</v>
      </c>
      <c r="I25" t="s">
        <v>402</v>
      </c>
      <c r="J25" t="s">
        <v>4769</v>
      </c>
      <c r="K25">
        <v>20230112</v>
      </c>
      <c r="L25" t="s">
        <v>4765</v>
      </c>
      <c r="M25">
        <v>691.23</v>
      </c>
      <c r="N25">
        <v>0</v>
      </c>
      <c r="O25" t="s">
        <v>23</v>
      </c>
      <c r="P25">
        <v>20230218</v>
      </c>
      <c r="Q25">
        <v>20230112</v>
      </c>
    </row>
    <row r="26" spans="1:17" x14ac:dyDescent="0.25">
      <c r="A26" t="s">
        <v>476</v>
      </c>
      <c r="B26" t="s">
        <v>477</v>
      </c>
      <c r="C26">
        <v>13</v>
      </c>
      <c r="D26">
        <v>20230112</v>
      </c>
      <c r="E26">
        <f t="shared" si="0"/>
        <v>1</v>
      </c>
      <c r="F26">
        <v>512000</v>
      </c>
      <c r="G26" t="s">
        <v>428</v>
      </c>
      <c r="H26" t="s">
        <v>401</v>
      </c>
      <c r="I26" t="s">
        <v>402</v>
      </c>
      <c r="J26" t="s">
        <v>4769</v>
      </c>
      <c r="K26">
        <v>20230112</v>
      </c>
      <c r="L26" t="s">
        <v>4765</v>
      </c>
      <c r="M26">
        <v>0</v>
      </c>
      <c r="N26">
        <v>3002.78</v>
      </c>
      <c r="O26" t="s">
        <v>19</v>
      </c>
      <c r="P26" t="s">
        <v>20</v>
      </c>
      <c r="Q26">
        <v>20230112</v>
      </c>
    </row>
    <row r="27" spans="1:17" x14ac:dyDescent="0.25">
      <c r="A27" t="s">
        <v>476</v>
      </c>
      <c r="B27" t="s">
        <v>477</v>
      </c>
      <c r="C27">
        <v>13</v>
      </c>
      <c r="D27">
        <v>20230112</v>
      </c>
      <c r="E27">
        <f t="shared" si="0"/>
        <v>1</v>
      </c>
      <c r="F27">
        <v>401000</v>
      </c>
      <c r="G27" t="s">
        <v>41</v>
      </c>
      <c r="H27" t="s">
        <v>42</v>
      </c>
      <c r="I27" t="s">
        <v>43</v>
      </c>
      <c r="J27" t="s">
        <v>4770</v>
      </c>
      <c r="K27">
        <v>20230112</v>
      </c>
      <c r="L27" t="s">
        <v>4767</v>
      </c>
      <c r="M27">
        <v>210.68</v>
      </c>
      <c r="N27">
        <v>0</v>
      </c>
      <c r="O27" t="s">
        <v>22</v>
      </c>
      <c r="P27">
        <v>20230112</v>
      </c>
      <c r="Q27">
        <v>20230112</v>
      </c>
    </row>
    <row r="28" spans="1:17" x14ac:dyDescent="0.25">
      <c r="A28" t="s">
        <v>476</v>
      </c>
      <c r="B28" t="s">
        <v>477</v>
      </c>
      <c r="C28">
        <v>13</v>
      </c>
      <c r="D28">
        <v>20230112</v>
      </c>
      <c r="E28">
        <f t="shared" si="0"/>
        <v>1</v>
      </c>
      <c r="F28">
        <v>401000</v>
      </c>
      <c r="G28" t="s">
        <v>41</v>
      </c>
      <c r="H28" t="s">
        <v>56</v>
      </c>
      <c r="I28" t="s">
        <v>57</v>
      </c>
      <c r="J28" t="s">
        <v>4770</v>
      </c>
      <c r="K28">
        <v>20230112</v>
      </c>
      <c r="L28" t="s">
        <v>4767</v>
      </c>
      <c r="M28">
        <v>1688.8</v>
      </c>
      <c r="N28">
        <v>0</v>
      </c>
      <c r="O28" t="s">
        <v>22</v>
      </c>
      <c r="P28">
        <v>20230112</v>
      </c>
      <c r="Q28">
        <v>20230112</v>
      </c>
    </row>
    <row r="29" spans="1:17" x14ac:dyDescent="0.25">
      <c r="A29" t="s">
        <v>476</v>
      </c>
      <c r="B29" t="s">
        <v>477</v>
      </c>
      <c r="C29">
        <v>13</v>
      </c>
      <c r="D29">
        <v>20230112</v>
      </c>
      <c r="E29">
        <f t="shared" si="0"/>
        <v>1</v>
      </c>
      <c r="F29">
        <v>401000</v>
      </c>
      <c r="G29" t="s">
        <v>41</v>
      </c>
      <c r="H29" t="s">
        <v>99</v>
      </c>
      <c r="I29" t="s">
        <v>100</v>
      </c>
      <c r="J29" t="s">
        <v>4770</v>
      </c>
      <c r="K29">
        <v>20230112</v>
      </c>
      <c r="L29" t="s">
        <v>4767</v>
      </c>
      <c r="M29">
        <v>4861.25</v>
      </c>
      <c r="N29">
        <v>0</v>
      </c>
      <c r="O29" t="s">
        <v>22</v>
      </c>
      <c r="P29">
        <v>20230112</v>
      </c>
      <c r="Q29">
        <v>20230112</v>
      </c>
    </row>
    <row r="30" spans="1:17" x14ac:dyDescent="0.25">
      <c r="A30" t="s">
        <v>476</v>
      </c>
      <c r="B30" t="s">
        <v>477</v>
      </c>
      <c r="C30">
        <v>13</v>
      </c>
      <c r="D30">
        <v>20230112</v>
      </c>
      <c r="E30">
        <f t="shared" si="0"/>
        <v>1</v>
      </c>
      <c r="F30">
        <v>401000</v>
      </c>
      <c r="G30" t="s">
        <v>41</v>
      </c>
      <c r="H30" t="s">
        <v>1651</v>
      </c>
      <c r="I30" t="s">
        <v>1652</v>
      </c>
      <c r="J30" t="s">
        <v>4770</v>
      </c>
      <c r="K30">
        <v>20230112</v>
      </c>
      <c r="L30" t="s">
        <v>4767</v>
      </c>
      <c r="M30">
        <v>688.5</v>
      </c>
      <c r="N30">
        <v>0</v>
      </c>
      <c r="O30" t="s">
        <v>22</v>
      </c>
      <c r="P30">
        <v>20230112</v>
      </c>
      <c r="Q30">
        <v>20230112</v>
      </c>
    </row>
    <row r="31" spans="1:17" x14ac:dyDescent="0.25">
      <c r="A31" t="s">
        <v>476</v>
      </c>
      <c r="B31" t="s">
        <v>477</v>
      </c>
      <c r="C31">
        <v>13</v>
      </c>
      <c r="D31">
        <v>20230112</v>
      </c>
      <c r="E31">
        <f t="shared" si="0"/>
        <v>1</v>
      </c>
      <c r="F31">
        <v>512000</v>
      </c>
      <c r="G31" t="s">
        <v>428</v>
      </c>
      <c r="H31" t="s">
        <v>401</v>
      </c>
      <c r="I31" t="s">
        <v>402</v>
      </c>
      <c r="J31" t="s">
        <v>4770</v>
      </c>
      <c r="K31">
        <v>20230112</v>
      </c>
      <c r="L31" t="s">
        <v>4767</v>
      </c>
      <c r="M31">
        <v>0</v>
      </c>
      <c r="N31">
        <v>7449.23</v>
      </c>
      <c r="O31" t="s">
        <v>19</v>
      </c>
      <c r="P31" t="s">
        <v>20</v>
      </c>
      <c r="Q31">
        <v>20230112</v>
      </c>
    </row>
    <row r="32" spans="1:17" x14ac:dyDescent="0.25">
      <c r="A32" t="s">
        <v>476</v>
      </c>
      <c r="B32" t="s">
        <v>477</v>
      </c>
      <c r="C32">
        <v>13</v>
      </c>
      <c r="D32">
        <v>20230112</v>
      </c>
      <c r="E32">
        <f t="shared" si="0"/>
        <v>1</v>
      </c>
      <c r="F32">
        <v>401000</v>
      </c>
      <c r="G32" t="s">
        <v>41</v>
      </c>
      <c r="H32" t="s">
        <v>97</v>
      </c>
      <c r="I32" t="s">
        <v>98</v>
      </c>
      <c r="J32" t="s">
        <v>4771</v>
      </c>
      <c r="K32">
        <v>20230112</v>
      </c>
      <c r="L32" t="s">
        <v>4765</v>
      </c>
      <c r="M32">
        <v>636.33000000000004</v>
      </c>
      <c r="N32">
        <v>0</v>
      </c>
      <c r="O32" t="s">
        <v>19</v>
      </c>
      <c r="P32" t="s">
        <v>20</v>
      </c>
      <c r="Q32">
        <v>20230112</v>
      </c>
    </row>
    <row r="33" spans="1:17" x14ac:dyDescent="0.25">
      <c r="A33" t="s">
        <v>476</v>
      </c>
      <c r="B33" t="s">
        <v>477</v>
      </c>
      <c r="C33">
        <v>13</v>
      </c>
      <c r="D33">
        <v>20230112</v>
      </c>
      <c r="E33">
        <f t="shared" si="0"/>
        <v>1</v>
      </c>
      <c r="F33">
        <v>512000</v>
      </c>
      <c r="G33" t="s">
        <v>428</v>
      </c>
      <c r="H33" t="s">
        <v>401</v>
      </c>
      <c r="I33" t="s">
        <v>402</v>
      </c>
      <c r="J33" t="s">
        <v>4771</v>
      </c>
      <c r="K33">
        <v>20230112</v>
      </c>
      <c r="L33" t="s">
        <v>4765</v>
      </c>
      <c r="M33">
        <v>0</v>
      </c>
      <c r="N33">
        <v>636.33000000000004</v>
      </c>
      <c r="O33" t="s">
        <v>19</v>
      </c>
      <c r="P33" t="s">
        <v>20</v>
      </c>
      <c r="Q33">
        <v>20230112</v>
      </c>
    </row>
    <row r="34" spans="1:17" x14ac:dyDescent="0.25">
      <c r="A34" t="s">
        <v>476</v>
      </c>
      <c r="B34" t="s">
        <v>477</v>
      </c>
      <c r="C34">
        <v>13</v>
      </c>
      <c r="D34">
        <v>20230123</v>
      </c>
      <c r="E34">
        <f t="shared" si="0"/>
        <v>1</v>
      </c>
      <c r="F34">
        <v>401000</v>
      </c>
      <c r="G34" t="s">
        <v>41</v>
      </c>
      <c r="H34" t="s">
        <v>42</v>
      </c>
      <c r="I34" t="s">
        <v>43</v>
      </c>
      <c r="J34" t="s">
        <v>4772</v>
      </c>
      <c r="K34">
        <v>20230123</v>
      </c>
      <c r="L34" t="s">
        <v>4767</v>
      </c>
      <c r="M34">
        <v>83.88</v>
      </c>
      <c r="N34">
        <v>0</v>
      </c>
      <c r="O34" t="s">
        <v>22</v>
      </c>
      <c r="P34">
        <v>20230123</v>
      </c>
      <c r="Q34">
        <v>20230123</v>
      </c>
    </row>
    <row r="35" spans="1:17" x14ac:dyDescent="0.25">
      <c r="A35" t="s">
        <v>476</v>
      </c>
      <c r="B35" t="s">
        <v>477</v>
      </c>
      <c r="C35">
        <v>13</v>
      </c>
      <c r="D35">
        <v>20230123</v>
      </c>
      <c r="E35">
        <f t="shared" si="0"/>
        <v>1</v>
      </c>
      <c r="F35">
        <v>401000</v>
      </c>
      <c r="G35" t="s">
        <v>41</v>
      </c>
      <c r="H35" t="s">
        <v>71</v>
      </c>
      <c r="I35" t="s">
        <v>72</v>
      </c>
      <c r="J35" t="s">
        <v>4772</v>
      </c>
      <c r="K35">
        <v>20230123</v>
      </c>
      <c r="L35" t="s">
        <v>4767</v>
      </c>
      <c r="M35">
        <v>382.63</v>
      </c>
      <c r="N35">
        <v>0</v>
      </c>
      <c r="O35" t="s">
        <v>22</v>
      </c>
      <c r="P35">
        <v>20230123</v>
      </c>
      <c r="Q35">
        <v>20230123</v>
      </c>
    </row>
    <row r="36" spans="1:17" x14ac:dyDescent="0.25">
      <c r="A36" t="s">
        <v>476</v>
      </c>
      <c r="B36" t="s">
        <v>477</v>
      </c>
      <c r="C36">
        <v>13</v>
      </c>
      <c r="D36">
        <v>20230123</v>
      </c>
      <c r="E36">
        <f t="shared" si="0"/>
        <v>1</v>
      </c>
      <c r="F36">
        <v>401000</v>
      </c>
      <c r="G36" t="s">
        <v>41</v>
      </c>
      <c r="H36" t="s">
        <v>97</v>
      </c>
      <c r="I36" t="s">
        <v>98</v>
      </c>
      <c r="J36" t="s">
        <v>4772</v>
      </c>
      <c r="K36">
        <v>20230123</v>
      </c>
      <c r="L36" t="s">
        <v>4767</v>
      </c>
      <c r="M36">
        <v>1170.1500000000001</v>
      </c>
      <c r="N36">
        <v>0</v>
      </c>
      <c r="O36" t="s">
        <v>22</v>
      </c>
      <c r="P36">
        <v>20230123</v>
      </c>
      <c r="Q36">
        <v>20230123</v>
      </c>
    </row>
    <row r="37" spans="1:17" x14ac:dyDescent="0.25">
      <c r="A37" t="s">
        <v>476</v>
      </c>
      <c r="B37" t="s">
        <v>477</v>
      </c>
      <c r="C37">
        <v>13</v>
      </c>
      <c r="D37">
        <v>20230123</v>
      </c>
      <c r="E37">
        <f t="shared" si="0"/>
        <v>1</v>
      </c>
      <c r="F37">
        <v>401000</v>
      </c>
      <c r="G37" t="s">
        <v>41</v>
      </c>
      <c r="H37" t="s">
        <v>1635</v>
      </c>
      <c r="I37" t="s">
        <v>1636</v>
      </c>
      <c r="J37" t="s">
        <v>4772</v>
      </c>
      <c r="K37">
        <v>20230123</v>
      </c>
      <c r="L37" t="s">
        <v>4767</v>
      </c>
      <c r="M37">
        <v>860</v>
      </c>
      <c r="N37">
        <v>0</v>
      </c>
      <c r="O37" t="s">
        <v>22</v>
      </c>
      <c r="P37">
        <v>20230123</v>
      </c>
      <c r="Q37">
        <v>20230123</v>
      </c>
    </row>
    <row r="38" spans="1:17" x14ac:dyDescent="0.25">
      <c r="A38" t="s">
        <v>476</v>
      </c>
      <c r="B38" t="s">
        <v>477</v>
      </c>
      <c r="C38">
        <v>13</v>
      </c>
      <c r="D38">
        <v>20230123</v>
      </c>
      <c r="E38">
        <f t="shared" si="0"/>
        <v>1</v>
      </c>
      <c r="F38">
        <v>401000</v>
      </c>
      <c r="G38" t="s">
        <v>41</v>
      </c>
      <c r="H38" t="s">
        <v>2045</v>
      </c>
      <c r="I38" t="s">
        <v>2046</v>
      </c>
      <c r="J38" t="s">
        <v>4772</v>
      </c>
      <c r="K38">
        <v>20230123</v>
      </c>
      <c r="L38" t="s">
        <v>4767</v>
      </c>
      <c r="M38">
        <v>1500</v>
      </c>
      <c r="N38">
        <v>0</v>
      </c>
      <c r="O38" t="s">
        <v>22</v>
      </c>
      <c r="P38">
        <v>20230123</v>
      </c>
      <c r="Q38">
        <v>20230123</v>
      </c>
    </row>
    <row r="39" spans="1:17" x14ac:dyDescent="0.25">
      <c r="A39" t="s">
        <v>476</v>
      </c>
      <c r="B39" t="s">
        <v>477</v>
      </c>
      <c r="C39">
        <v>13</v>
      </c>
      <c r="D39">
        <v>20230123</v>
      </c>
      <c r="E39">
        <f t="shared" si="0"/>
        <v>1</v>
      </c>
      <c r="F39">
        <v>512000</v>
      </c>
      <c r="G39" t="s">
        <v>428</v>
      </c>
      <c r="H39" t="s">
        <v>401</v>
      </c>
      <c r="I39" t="s">
        <v>402</v>
      </c>
      <c r="J39" t="s">
        <v>4772</v>
      </c>
      <c r="K39">
        <v>20230123</v>
      </c>
      <c r="L39" t="s">
        <v>4767</v>
      </c>
      <c r="M39">
        <v>0</v>
      </c>
      <c r="N39">
        <v>3996.66</v>
      </c>
      <c r="O39" t="s">
        <v>19</v>
      </c>
      <c r="P39" t="s">
        <v>20</v>
      </c>
      <c r="Q39">
        <v>20230123</v>
      </c>
    </row>
    <row r="40" spans="1:17" x14ac:dyDescent="0.25">
      <c r="A40" t="s">
        <v>476</v>
      </c>
      <c r="B40" t="s">
        <v>477</v>
      </c>
      <c r="C40">
        <v>13</v>
      </c>
      <c r="D40">
        <v>20230123</v>
      </c>
      <c r="E40">
        <f t="shared" si="0"/>
        <v>1</v>
      </c>
      <c r="F40">
        <v>411100</v>
      </c>
      <c r="G40" t="s">
        <v>18</v>
      </c>
      <c r="H40" t="s">
        <v>4135</v>
      </c>
      <c r="I40" t="s">
        <v>4136</v>
      </c>
      <c r="J40" t="s">
        <v>4773</v>
      </c>
      <c r="K40">
        <v>20230123</v>
      </c>
      <c r="L40" t="s">
        <v>4765</v>
      </c>
      <c r="M40">
        <v>98</v>
      </c>
      <c r="N40">
        <v>0</v>
      </c>
      <c r="O40" t="s">
        <v>22</v>
      </c>
      <c r="P40">
        <v>20230218</v>
      </c>
      <c r="Q40">
        <v>20230123</v>
      </c>
    </row>
    <row r="41" spans="1:17" x14ac:dyDescent="0.25">
      <c r="A41" t="s">
        <v>476</v>
      </c>
      <c r="B41" t="s">
        <v>477</v>
      </c>
      <c r="C41">
        <v>13</v>
      </c>
      <c r="D41">
        <v>20230123</v>
      </c>
      <c r="E41">
        <f t="shared" si="0"/>
        <v>1</v>
      </c>
      <c r="F41">
        <v>467100</v>
      </c>
      <c r="G41" t="s">
        <v>160</v>
      </c>
      <c r="H41" t="s">
        <v>1726</v>
      </c>
      <c r="I41" t="s">
        <v>1727</v>
      </c>
      <c r="J41" t="s">
        <v>4773</v>
      </c>
      <c r="K41">
        <v>20230123</v>
      </c>
      <c r="L41" t="s">
        <v>4765</v>
      </c>
      <c r="M41">
        <v>150</v>
      </c>
      <c r="N41">
        <v>0</v>
      </c>
      <c r="O41" t="s">
        <v>23</v>
      </c>
      <c r="P41">
        <v>20230218</v>
      </c>
      <c r="Q41">
        <v>20230123</v>
      </c>
    </row>
    <row r="42" spans="1:17" x14ac:dyDescent="0.25">
      <c r="A42" t="s">
        <v>476</v>
      </c>
      <c r="B42" t="s">
        <v>477</v>
      </c>
      <c r="C42">
        <v>13</v>
      </c>
      <c r="D42">
        <v>20230123</v>
      </c>
      <c r="E42">
        <f t="shared" si="0"/>
        <v>1</v>
      </c>
      <c r="F42">
        <v>512000</v>
      </c>
      <c r="G42" t="s">
        <v>428</v>
      </c>
      <c r="H42" t="s">
        <v>401</v>
      </c>
      <c r="I42" t="s">
        <v>402</v>
      </c>
      <c r="J42" t="s">
        <v>4773</v>
      </c>
      <c r="K42">
        <v>20230123</v>
      </c>
      <c r="L42" t="s">
        <v>4765</v>
      </c>
      <c r="M42">
        <v>0</v>
      </c>
      <c r="N42">
        <v>248</v>
      </c>
      <c r="O42" t="s">
        <v>19</v>
      </c>
      <c r="P42" t="s">
        <v>20</v>
      </c>
      <c r="Q42">
        <v>20230123</v>
      </c>
    </row>
    <row r="43" spans="1:17" x14ac:dyDescent="0.25">
      <c r="A43" t="s">
        <v>476</v>
      </c>
      <c r="B43" t="s">
        <v>477</v>
      </c>
      <c r="C43">
        <v>13</v>
      </c>
      <c r="D43">
        <v>20230127</v>
      </c>
      <c r="E43">
        <f t="shared" si="0"/>
        <v>1</v>
      </c>
      <c r="F43">
        <v>421000</v>
      </c>
      <c r="G43" t="s">
        <v>403</v>
      </c>
      <c r="H43" t="s">
        <v>401</v>
      </c>
      <c r="I43" t="s">
        <v>402</v>
      </c>
      <c r="J43" t="s">
        <v>4774</v>
      </c>
      <c r="K43">
        <v>20230127</v>
      </c>
      <c r="L43" t="s">
        <v>4775</v>
      </c>
      <c r="M43">
        <v>157.80000000000001</v>
      </c>
      <c r="N43">
        <v>0</v>
      </c>
      <c r="O43" t="s">
        <v>19</v>
      </c>
      <c r="P43" t="s">
        <v>20</v>
      </c>
      <c r="Q43">
        <v>20230127</v>
      </c>
    </row>
    <row r="44" spans="1:17" x14ac:dyDescent="0.25">
      <c r="A44" t="s">
        <v>476</v>
      </c>
      <c r="B44" t="s">
        <v>477</v>
      </c>
      <c r="C44">
        <v>13</v>
      </c>
      <c r="D44">
        <v>20230127</v>
      </c>
      <c r="E44">
        <f t="shared" si="0"/>
        <v>1</v>
      </c>
      <c r="F44">
        <v>512000</v>
      </c>
      <c r="G44" t="s">
        <v>428</v>
      </c>
      <c r="H44" t="s">
        <v>401</v>
      </c>
      <c r="I44" t="s">
        <v>402</v>
      </c>
      <c r="J44" t="s">
        <v>4774</v>
      </c>
      <c r="K44">
        <v>20230127</v>
      </c>
      <c r="L44" t="s">
        <v>4775</v>
      </c>
      <c r="M44">
        <v>0</v>
      </c>
      <c r="N44">
        <v>157.80000000000001</v>
      </c>
      <c r="O44" t="s">
        <v>19</v>
      </c>
      <c r="P44" t="s">
        <v>20</v>
      </c>
      <c r="Q44">
        <v>20230127</v>
      </c>
    </row>
    <row r="45" spans="1:17" x14ac:dyDescent="0.25">
      <c r="A45" t="s">
        <v>476</v>
      </c>
      <c r="B45" t="s">
        <v>477</v>
      </c>
      <c r="C45">
        <v>13</v>
      </c>
      <c r="D45">
        <v>20230131</v>
      </c>
      <c r="E45">
        <f t="shared" si="0"/>
        <v>1</v>
      </c>
      <c r="F45">
        <v>427000</v>
      </c>
      <c r="G45" t="s">
        <v>406</v>
      </c>
      <c r="H45" t="s">
        <v>401</v>
      </c>
      <c r="I45" t="s">
        <v>402</v>
      </c>
      <c r="J45" t="s">
        <v>4776</v>
      </c>
      <c r="K45">
        <v>20230131</v>
      </c>
      <c r="L45" t="s">
        <v>4777</v>
      </c>
      <c r="M45">
        <v>256.01</v>
      </c>
      <c r="N45">
        <v>0</v>
      </c>
      <c r="O45" t="s">
        <v>19</v>
      </c>
      <c r="P45" t="s">
        <v>20</v>
      </c>
      <c r="Q45">
        <v>20230131</v>
      </c>
    </row>
    <row r="46" spans="1:17" x14ac:dyDescent="0.25">
      <c r="A46" t="s">
        <v>476</v>
      </c>
      <c r="B46" t="s">
        <v>477</v>
      </c>
      <c r="C46">
        <v>13</v>
      </c>
      <c r="D46">
        <v>20230131</v>
      </c>
      <c r="E46">
        <f t="shared" si="0"/>
        <v>1</v>
      </c>
      <c r="F46">
        <v>512000</v>
      </c>
      <c r="G46" t="s">
        <v>428</v>
      </c>
      <c r="H46" t="s">
        <v>401</v>
      </c>
      <c r="I46" t="s">
        <v>402</v>
      </c>
      <c r="J46" t="s">
        <v>4776</v>
      </c>
      <c r="K46">
        <v>20230131</v>
      </c>
      <c r="L46" t="s">
        <v>4777</v>
      </c>
      <c r="M46">
        <v>0</v>
      </c>
      <c r="N46">
        <v>256.01</v>
      </c>
      <c r="O46" t="s">
        <v>19</v>
      </c>
      <c r="P46" t="s">
        <v>20</v>
      </c>
      <c r="Q46">
        <v>20230131</v>
      </c>
    </row>
    <row r="47" spans="1:17" x14ac:dyDescent="0.25">
      <c r="A47" t="s">
        <v>476</v>
      </c>
      <c r="B47" t="s">
        <v>477</v>
      </c>
      <c r="C47">
        <v>13</v>
      </c>
      <c r="D47">
        <v>20230131</v>
      </c>
      <c r="E47">
        <f t="shared" si="0"/>
        <v>1</v>
      </c>
      <c r="F47">
        <v>401000</v>
      </c>
      <c r="G47" t="s">
        <v>41</v>
      </c>
      <c r="H47" t="s">
        <v>454</v>
      </c>
      <c r="I47" t="s">
        <v>455</v>
      </c>
      <c r="J47" t="s">
        <v>4778</v>
      </c>
      <c r="K47">
        <v>20230131</v>
      </c>
      <c r="L47" t="s">
        <v>4767</v>
      </c>
      <c r="M47">
        <v>122.99</v>
      </c>
      <c r="N47">
        <v>0</v>
      </c>
      <c r="O47" t="s">
        <v>23</v>
      </c>
      <c r="P47">
        <v>20230218</v>
      </c>
      <c r="Q47">
        <v>20230131</v>
      </c>
    </row>
    <row r="48" spans="1:17" x14ac:dyDescent="0.25">
      <c r="A48" t="s">
        <v>476</v>
      </c>
      <c r="B48" t="s">
        <v>477</v>
      </c>
      <c r="C48">
        <v>13</v>
      </c>
      <c r="D48">
        <v>20230131</v>
      </c>
      <c r="E48">
        <f t="shared" si="0"/>
        <v>1</v>
      </c>
      <c r="F48">
        <v>401000</v>
      </c>
      <c r="G48" t="s">
        <v>41</v>
      </c>
      <c r="H48" t="s">
        <v>2059</v>
      </c>
      <c r="I48" t="s">
        <v>2060</v>
      </c>
      <c r="J48" t="s">
        <v>4778</v>
      </c>
      <c r="K48">
        <v>20230131</v>
      </c>
      <c r="L48" t="s">
        <v>4767</v>
      </c>
      <c r="M48">
        <v>257</v>
      </c>
      <c r="N48">
        <v>0</v>
      </c>
      <c r="O48" t="s">
        <v>23</v>
      </c>
      <c r="P48">
        <v>20230218</v>
      </c>
      <c r="Q48">
        <v>20230131</v>
      </c>
    </row>
    <row r="49" spans="1:17" x14ac:dyDescent="0.25">
      <c r="A49" t="s">
        <v>476</v>
      </c>
      <c r="B49" t="s">
        <v>477</v>
      </c>
      <c r="C49">
        <v>13</v>
      </c>
      <c r="D49">
        <v>20230131</v>
      </c>
      <c r="E49">
        <f t="shared" si="0"/>
        <v>1</v>
      </c>
      <c r="F49">
        <v>401000</v>
      </c>
      <c r="G49" t="s">
        <v>41</v>
      </c>
      <c r="H49" t="s">
        <v>69</v>
      </c>
      <c r="I49" t="s">
        <v>70</v>
      </c>
      <c r="J49" t="s">
        <v>4778</v>
      </c>
      <c r="K49">
        <v>20230131</v>
      </c>
      <c r="L49" t="s">
        <v>4767</v>
      </c>
      <c r="M49">
        <v>2399.94</v>
      </c>
      <c r="N49">
        <v>0</v>
      </c>
      <c r="O49" t="s">
        <v>23</v>
      </c>
      <c r="P49">
        <v>20230218</v>
      </c>
      <c r="Q49">
        <v>20230131</v>
      </c>
    </row>
    <row r="50" spans="1:17" x14ac:dyDescent="0.25">
      <c r="A50" t="s">
        <v>476</v>
      </c>
      <c r="B50" t="s">
        <v>477</v>
      </c>
      <c r="C50">
        <v>13</v>
      </c>
      <c r="D50">
        <v>20230131</v>
      </c>
      <c r="E50">
        <f t="shared" si="0"/>
        <v>1</v>
      </c>
      <c r="F50">
        <v>401000</v>
      </c>
      <c r="G50" t="s">
        <v>41</v>
      </c>
      <c r="H50" t="s">
        <v>97</v>
      </c>
      <c r="I50" t="s">
        <v>98</v>
      </c>
      <c r="J50" t="s">
        <v>4778</v>
      </c>
      <c r="K50">
        <v>20230131</v>
      </c>
      <c r="L50" t="s">
        <v>4767</v>
      </c>
      <c r="M50">
        <v>62.45</v>
      </c>
      <c r="N50">
        <v>0</v>
      </c>
      <c r="O50" t="s">
        <v>23</v>
      </c>
      <c r="P50">
        <v>20230218</v>
      </c>
      <c r="Q50">
        <v>20230131</v>
      </c>
    </row>
    <row r="51" spans="1:17" x14ac:dyDescent="0.25">
      <c r="A51" t="s">
        <v>476</v>
      </c>
      <c r="B51" t="s">
        <v>477</v>
      </c>
      <c r="C51">
        <v>13</v>
      </c>
      <c r="D51">
        <v>20230131</v>
      </c>
      <c r="E51">
        <f t="shared" si="0"/>
        <v>1</v>
      </c>
      <c r="F51">
        <v>401000</v>
      </c>
      <c r="G51" t="s">
        <v>41</v>
      </c>
      <c r="H51" t="s">
        <v>1673</v>
      </c>
      <c r="I51" t="s">
        <v>1674</v>
      </c>
      <c r="J51" t="s">
        <v>4778</v>
      </c>
      <c r="K51">
        <v>20230131</v>
      </c>
      <c r="L51" t="s">
        <v>4767</v>
      </c>
      <c r="M51">
        <v>3045</v>
      </c>
      <c r="N51">
        <v>0</v>
      </c>
      <c r="O51" t="s">
        <v>23</v>
      </c>
      <c r="P51">
        <v>20230218</v>
      </c>
      <c r="Q51">
        <v>20230131</v>
      </c>
    </row>
    <row r="52" spans="1:17" x14ac:dyDescent="0.25">
      <c r="A52" t="s">
        <v>476</v>
      </c>
      <c r="B52" t="s">
        <v>477</v>
      </c>
      <c r="C52">
        <v>13</v>
      </c>
      <c r="D52">
        <v>20230131</v>
      </c>
      <c r="E52">
        <f t="shared" si="0"/>
        <v>1</v>
      </c>
      <c r="F52">
        <v>401000</v>
      </c>
      <c r="G52" t="s">
        <v>41</v>
      </c>
      <c r="H52" t="s">
        <v>456</v>
      </c>
      <c r="I52" t="s">
        <v>457</v>
      </c>
      <c r="J52" t="s">
        <v>4778</v>
      </c>
      <c r="K52">
        <v>20230131</v>
      </c>
      <c r="L52" t="s">
        <v>4767</v>
      </c>
      <c r="M52">
        <v>210</v>
      </c>
      <c r="N52">
        <v>0</v>
      </c>
      <c r="O52" t="s">
        <v>23</v>
      </c>
      <c r="P52">
        <v>20230218</v>
      </c>
      <c r="Q52">
        <v>20230131</v>
      </c>
    </row>
    <row r="53" spans="1:17" x14ac:dyDescent="0.25">
      <c r="A53" t="s">
        <v>476</v>
      </c>
      <c r="B53" t="s">
        <v>477</v>
      </c>
      <c r="C53">
        <v>13</v>
      </c>
      <c r="D53">
        <v>20230131</v>
      </c>
      <c r="E53">
        <f t="shared" si="0"/>
        <v>1</v>
      </c>
      <c r="F53">
        <v>401000</v>
      </c>
      <c r="G53" t="s">
        <v>41</v>
      </c>
      <c r="H53" t="s">
        <v>472</v>
      </c>
      <c r="I53" t="s">
        <v>473</v>
      </c>
      <c r="J53" t="s">
        <v>4778</v>
      </c>
      <c r="K53">
        <v>20230131</v>
      </c>
      <c r="L53" t="s">
        <v>4767</v>
      </c>
      <c r="M53">
        <v>280</v>
      </c>
      <c r="N53">
        <v>0</v>
      </c>
      <c r="O53" t="s">
        <v>23</v>
      </c>
      <c r="P53">
        <v>20230218</v>
      </c>
      <c r="Q53">
        <v>20230131</v>
      </c>
    </row>
    <row r="54" spans="1:17" x14ac:dyDescent="0.25">
      <c r="A54" t="s">
        <v>476</v>
      </c>
      <c r="B54" t="s">
        <v>477</v>
      </c>
      <c r="C54">
        <v>13</v>
      </c>
      <c r="D54">
        <v>20230131</v>
      </c>
      <c r="E54">
        <f t="shared" si="0"/>
        <v>1</v>
      </c>
      <c r="F54">
        <v>401000</v>
      </c>
      <c r="G54" t="s">
        <v>41</v>
      </c>
      <c r="H54" t="s">
        <v>303</v>
      </c>
      <c r="I54" t="s">
        <v>304</v>
      </c>
      <c r="J54" t="s">
        <v>4778</v>
      </c>
      <c r="K54">
        <v>20230131</v>
      </c>
      <c r="L54" t="s">
        <v>4767</v>
      </c>
      <c r="M54">
        <v>420</v>
      </c>
      <c r="N54">
        <v>0</v>
      </c>
      <c r="O54" t="s">
        <v>23</v>
      </c>
      <c r="P54">
        <v>20230218</v>
      </c>
      <c r="Q54">
        <v>20230131</v>
      </c>
    </row>
    <row r="55" spans="1:17" x14ac:dyDescent="0.25">
      <c r="A55" t="s">
        <v>476</v>
      </c>
      <c r="B55" t="s">
        <v>477</v>
      </c>
      <c r="C55">
        <v>13</v>
      </c>
      <c r="D55">
        <v>20230131</v>
      </c>
      <c r="E55">
        <f t="shared" si="0"/>
        <v>1</v>
      </c>
      <c r="F55">
        <v>401000</v>
      </c>
      <c r="G55" t="s">
        <v>41</v>
      </c>
      <c r="H55" t="s">
        <v>830</v>
      </c>
      <c r="I55" t="s">
        <v>831</v>
      </c>
      <c r="J55" t="s">
        <v>4778</v>
      </c>
      <c r="K55">
        <v>20230131</v>
      </c>
      <c r="L55" t="s">
        <v>4767</v>
      </c>
      <c r="M55">
        <v>240</v>
      </c>
      <c r="N55">
        <v>0</v>
      </c>
      <c r="O55" t="s">
        <v>23</v>
      </c>
      <c r="P55">
        <v>20230218</v>
      </c>
      <c r="Q55">
        <v>20230131</v>
      </c>
    </row>
    <row r="56" spans="1:17" x14ac:dyDescent="0.25">
      <c r="A56" t="s">
        <v>476</v>
      </c>
      <c r="B56" t="s">
        <v>477</v>
      </c>
      <c r="C56">
        <v>13</v>
      </c>
      <c r="D56">
        <v>20230131</v>
      </c>
      <c r="E56">
        <f t="shared" si="0"/>
        <v>1</v>
      </c>
      <c r="F56">
        <v>401000</v>
      </c>
      <c r="G56" t="s">
        <v>41</v>
      </c>
      <c r="H56" t="s">
        <v>1659</v>
      </c>
      <c r="I56" t="s">
        <v>1660</v>
      </c>
      <c r="J56" t="s">
        <v>4778</v>
      </c>
      <c r="K56">
        <v>20230131</v>
      </c>
      <c r="L56" t="s">
        <v>4767</v>
      </c>
      <c r="M56">
        <v>200</v>
      </c>
      <c r="N56">
        <v>0</v>
      </c>
      <c r="O56" t="s">
        <v>23</v>
      </c>
      <c r="P56">
        <v>20230218</v>
      </c>
      <c r="Q56">
        <v>20230131</v>
      </c>
    </row>
    <row r="57" spans="1:17" x14ac:dyDescent="0.25">
      <c r="A57" t="s">
        <v>476</v>
      </c>
      <c r="B57" t="s">
        <v>477</v>
      </c>
      <c r="C57">
        <v>13</v>
      </c>
      <c r="D57">
        <v>20230131</v>
      </c>
      <c r="E57">
        <f t="shared" si="0"/>
        <v>1</v>
      </c>
      <c r="F57">
        <v>401000</v>
      </c>
      <c r="G57" t="s">
        <v>41</v>
      </c>
      <c r="H57" t="s">
        <v>4758</v>
      </c>
      <c r="I57" t="s">
        <v>4759</v>
      </c>
      <c r="J57" t="s">
        <v>4778</v>
      </c>
      <c r="K57">
        <v>20230131</v>
      </c>
      <c r="L57" t="s">
        <v>4767</v>
      </c>
      <c r="M57">
        <v>1083.5999999999999</v>
      </c>
      <c r="N57">
        <v>0</v>
      </c>
      <c r="O57" t="s">
        <v>23</v>
      </c>
      <c r="P57">
        <v>20230218</v>
      </c>
      <c r="Q57">
        <v>20230131</v>
      </c>
    </row>
    <row r="58" spans="1:17" x14ac:dyDescent="0.25">
      <c r="A58" t="s">
        <v>476</v>
      </c>
      <c r="B58" t="s">
        <v>477</v>
      </c>
      <c r="C58">
        <v>13</v>
      </c>
      <c r="D58">
        <v>20230131</v>
      </c>
      <c r="E58">
        <f t="shared" si="0"/>
        <v>1</v>
      </c>
      <c r="F58">
        <v>401000</v>
      </c>
      <c r="G58" t="s">
        <v>41</v>
      </c>
      <c r="H58" t="s">
        <v>4756</v>
      </c>
      <c r="I58" t="s">
        <v>4757</v>
      </c>
      <c r="J58" t="s">
        <v>4778</v>
      </c>
      <c r="K58">
        <v>20230131</v>
      </c>
      <c r="L58" t="s">
        <v>4767</v>
      </c>
      <c r="M58">
        <v>90</v>
      </c>
      <c r="N58">
        <v>0</v>
      </c>
      <c r="O58" t="s">
        <v>23</v>
      </c>
      <c r="P58">
        <v>20230218</v>
      </c>
      <c r="Q58">
        <v>20230131</v>
      </c>
    </row>
    <row r="59" spans="1:17" x14ac:dyDescent="0.25">
      <c r="A59" t="s">
        <v>476</v>
      </c>
      <c r="B59" t="s">
        <v>477</v>
      </c>
      <c r="C59">
        <v>13</v>
      </c>
      <c r="D59">
        <v>20230131</v>
      </c>
      <c r="E59">
        <f t="shared" si="0"/>
        <v>1</v>
      </c>
      <c r="F59">
        <v>401000</v>
      </c>
      <c r="G59" t="s">
        <v>41</v>
      </c>
      <c r="H59" t="s">
        <v>4483</v>
      </c>
      <c r="I59" t="s">
        <v>4484</v>
      </c>
      <c r="J59" t="s">
        <v>4778</v>
      </c>
      <c r="K59">
        <v>20230131</v>
      </c>
      <c r="L59" t="s">
        <v>4767</v>
      </c>
      <c r="M59">
        <v>343.93</v>
      </c>
      <c r="N59">
        <v>0</v>
      </c>
      <c r="O59" t="s">
        <v>23</v>
      </c>
      <c r="P59">
        <v>20230218</v>
      </c>
      <c r="Q59">
        <v>20230131</v>
      </c>
    </row>
    <row r="60" spans="1:17" x14ac:dyDescent="0.25">
      <c r="A60" t="s">
        <v>476</v>
      </c>
      <c r="B60" t="s">
        <v>477</v>
      </c>
      <c r="C60">
        <v>13</v>
      </c>
      <c r="D60">
        <v>20230131</v>
      </c>
      <c r="E60">
        <f t="shared" si="0"/>
        <v>1</v>
      </c>
      <c r="F60">
        <v>512000</v>
      </c>
      <c r="G60" t="s">
        <v>428</v>
      </c>
      <c r="H60" t="s">
        <v>401</v>
      </c>
      <c r="I60" t="s">
        <v>402</v>
      </c>
      <c r="J60" t="s">
        <v>4778</v>
      </c>
      <c r="K60">
        <v>20230131</v>
      </c>
      <c r="L60" t="s">
        <v>4767</v>
      </c>
      <c r="M60">
        <v>0</v>
      </c>
      <c r="N60">
        <v>8754.91</v>
      </c>
      <c r="O60" t="s">
        <v>19</v>
      </c>
      <c r="P60" t="s">
        <v>20</v>
      </c>
      <c r="Q60">
        <v>20230131</v>
      </c>
    </row>
    <row r="61" spans="1:17" x14ac:dyDescent="0.25">
      <c r="A61" t="s">
        <v>476</v>
      </c>
      <c r="B61" t="s">
        <v>477</v>
      </c>
      <c r="C61">
        <v>13</v>
      </c>
      <c r="D61">
        <v>20230131</v>
      </c>
      <c r="E61">
        <f t="shared" si="0"/>
        <v>1</v>
      </c>
      <c r="F61">
        <v>401000</v>
      </c>
      <c r="G61" t="s">
        <v>41</v>
      </c>
      <c r="H61" t="s">
        <v>764</v>
      </c>
      <c r="I61" t="s">
        <v>765</v>
      </c>
      <c r="J61" t="s">
        <v>4779</v>
      </c>
      <c r="K61">
        <v>20230131</v>
      </c>
      <c r="L61" t="s">
        <v>4765</v>
      </c>
      <c r="M61">
        <v>160</v>
      </c>
      <c r="N61">
        <v>0</v>
      </c>
      <c r="O61" t="s">
        <v>19</v>
      </c>
      <c r="P61" t="s">
        <v>20</v>
      </c>
      <c r="Q61">
        <v>20230131</v>
      </c>
    </row>
    <row r="62" spans="1:17" x14ac:dyDescent="0.25">
      <c r="A62" t="s">
        <v>476</v>
      </c>
      <c r="B62" t="s">
        <v>477</v>
      </c>
      <c r="C62">
        <v>13</v>
      </c>
      <c r="D62">
        <v>20230131</v>
      </c>
      <c r="E62">
        <f t="shared" si="0"/>
        <v>1</v>
      </c>
      <c r="F62">
        <v>512000</v>
      </c>
      <c r="G62" t="s">
        <v>428</v>
      </c>
      <c r="H62" t="s">
        <v>401</v>
      </c>
      <c r="I62" t="s">
        <v>402</v>
      </c>
      <c r="J62" t="s">
        <v>4779</v>
      </c>
      <c r="K62">
        <v>20230131</v>
      </c>
      <c r="L62" t="s">
        <v>4765</v>
      </c>
      <c r="M62">
        <v>0</v>
      </c>
      <c r="N62">
        <v>160</v>
      </c>
      <c r="O62" t="s">
        <v>19</v>
      </c>
      <c r="P62" t="s">
        <v>20</v>
      </c>
      <c r="Q62">
        <v>20230131</v>
      </c>
    </row>
    <row r="63" spans="1:17" x14ac:dyDescent="0.25">
      <c r="A63" t="s">
        <v>476</v>
      </c>
      <c r="B63" t="s">
        <v>477</v>
      </c>
      <c r="C63">
        <v>13</v>
      </c>
      <c r="D63">
        <v>20230131</v>
      </c>
      <c r="E63">
        <f t="shared" si="0"/>
        <v>1</v>
      </c>
      <c r="F63">
        <v>467100</v>
      </c>
      <c r="G63" t="s">
        <v>160</v>
      </c>
      <c r="H63" t="s">
        <v>316</v>
      </c>
      <c r="I63" t="s">
        <v>317</v>
      </c>
      <c r="J63" t="s">
        <v>4780</v>
      </c>
      <c r="K63">
        <v>20230131</v>
      </c>
      <c r="L63" t="s">
        <v>4765</v>
      </c>
      <c r="M63">
        <v>129.96</v>
      </c>
      <c r="N63">
        <v>0</v>
      </c>
      <c r="O63" t="s">
        <v>23</v>
      </c>
      <c r="P63">
        <v>20230206</v>
      </c>
      <c r="Q63">
        <v>20230131</v>
      </c>
    </row>
    <row r="64" spans="1:17" x14ac:dyDescent="0.25">
      <c r="A64" t="s">
        <v>476</v>
      </c>
      <c r="B64" t="s">
        <v>477</v>
      </c>
      <c r="C64">
        <v>13</v>
      </c>
      <c r="D64">
        <v>20230131</v>
      </c>
      <c r="E64">
        <f t="shared" si="0"/>
        <v>1</v>
      </c>
      <c r="F64">
        <v>512000</v>
      </c>
      <c r="G64" t="s">
        <v>428</v>
      </c>
      <c r="H64" t="s">
        <v>401</v>
      </c>
      <c r="I64" t="s">
        <v>402</v>
      </c>
      <c r="J64" t="s">
        <v>4780</v>
      </c>
      <c r="K64">
        <v>20230131</v>
      </c>
      <c r="L64" t="s">
        <v>4765</v>
      </c>
      <c r="M64">
        <v>0</v>
      </c>
      <c r="N64">
        <v>129.96</v>
      </c>
      <c r="O64" t="s">
        <v>19</v>
      </c>
      <c r="P64" t="s">
        <v>20</v>
      </c>
      <c r="Q64">
        <v>20230131</v>
      </c>
    </row>
    <row r="65" spans="1:17" x14ac:dyDescent="0.25">
      <c r="A65" t="s">
        <v>476</v>
      </c>
      <c r="B65" t="s">
        <v>477</v>
      </c>
      <c r="C65">
        <v>14</v>
      </c>
      <c r="D65">
        <v>20230117</v>
      </c>
      <c r="E65">
        <f t="shared" si="0"/>
        <v>1</v>
      </c>
      <c r="F65">
        <v>431000</v>
      </c>
      <c r="G65" t="s">
        <v>408</v>
      </c>
      <c r="H65" t="s">
        <v>401</v>
      </c>
      <c r="I65" t="s">
        <v>402</v>
      </c>
      <c r="J65" t="s">
        <v>4781</v>
      </c>
      <c r="K65">
        <v>20230117</v>
      </c>
      <c r="L65" t="s">
        <v>409</v>
      </c>
      <c r="M65">
        <v>43230</v>
      </c>
      <c r="N65">
        <v>0</v>
      </c>
      <c r="O65" t="s">
        <v>23</v>
      </c>
      <c r="P65">
        <v>20230327</v>
      </c>
      <c r="Q65">
        <v>20230117</v>
      </c>
    </row>
    <row r="66" spans="1:17" x14ac:dyDescent="0.25">
      <c r="A66" t="s">
        <v>476</v>
      </c>
      <c r="B66" t="s">
        <v>477</v>
      </c>
      <c r="C66">
        <v>14</v>
      </c>
      <c r="D66">
        <v>20230117</v>
      </c>
      <c r="E66">
        <f t="shared" si="0"/>
        <v>1</v>
      </c>
      <c r="F66">
        <v>512000</v>
      </c>
      <c r="G66" t="s">
        <v>428</v>
      </c>
      <c r="H66" t="s">
        <v>401</v>
      </c>
      <c r="I66" t="s">
        <v>402</v>
      </c>
      <c r="J66" t="s">
        <v>4781</v>
      </c>
      <c r="K66">
        <v>20230117</v>
      </c>
      <c r="L66" t="s">
        <v>409</v>
      </c>
      <c r="M66">
        <v>0</v>
      </c>
      <c r="N66">
        <v>43230</v>
      </c>
      <c r="O66" t="s">
        <v>19</v>
      </c>
      <c r="P66" t="s">
        <v>20</v>
      </c>
      <c r="Q66">
        <v>20230117</v>
      </c>
    </row>
    <row r="67" spans="1:17" x14ac:dyDescent="0.25">
      <c r="A67" t="s">
        <v>476</v>
      </c>
      <c r="B67" t="s">
        <v>477</v>
      </c>
      <c r="C67">
        <v>15</v>
      </c>
      <c r="D67">
        <v>20230124</v>
      </c>
      <c r="E67">
        <f t="shared" ref="E67:E130" si="1">VALUE(MID(D67,5,2))</f>
        <v>1</v>
      </c>
      <c r="F67">
        <v>442100</v>
      </c>
      <c r="G67" t="s">
        <v>435</v>
      </c>
      <c r="H67" t="s">
        <v>401</v>
      </c>
      <c r="I67" t="s">
        <v>402</v>
      </c>
      <c r="J67" t="s">
        <v>4782</v>
      </c>
      <c r="K67">
        <v>20230124</v>
      </c>
      <c r="L67" t="s">
        <v>528</v>
      </c>
      <c r="M67">
        <v>3586</v>
      </c>
      <c r="N67">
        <v>0</v>
      </c>
      <c r="O67" t="s">
        <v>23</v>
      </c>
      <c r="P67">
        <v>20230327</v>
      </c>
      <c r="Q67">
        <v>20230124</v>
      </c>
    </row>
    <row r="68" spans="1:17" x14ac:dyDescent="0.25">
      <c r="A68" t="s">
        <v>476</v>
      </c>
      <c r="B68" t="s">
        <v>477</v>
      </c>
      <c r="C68">
        <v>15</v>
      </c>
      <c r="D68">
        <v>20230124</v>
      </c>
      <c r="E68">
        <f t="shared" si="1"/>
        <v>1</v>
      </c>
      <c r="F68">
        <v>512000</v>
      </c>
      <c r="G68" t="s">
        <v>428</v>
      </c>
      <c r="H68" t="s">
        <v>401</v>
      </c>
      <c r="I68" t="s">
        <v>402</v>
      </c>
      <c r="J68" t="s">
        <v>4782</v>
      </c>
      <c r="K68">
        <v>20230124</v>
      </c>
      <c r="L68" t="s">
        <v>528</v>
      </c>
      <c r="M68">
        <v>0</v>
      </c>
      <c r="N68">
        <v>3586</v>
      </c>
      <c r="O68" t="s">
        <v>19</v>
      </c>
      <c r="P68" t="s">
        <v>20</v>
      </c>
      <c r="Q68">
        <v>20230124</v>
      </c>
    </row>
    <row r="69" spans="1:17" x14ac:dyDescent="0.25">
      <c r="A69" t="s">
        <v>476</v>
      </c>
      <c r="B69" t="s">
        <v>477</v>
      </c>
      <c r="C69">
        <v>16</v>
      </c>
      <c r="D69">
        <v>20230102</v>
      </c>
      <c r="E69">
        <f t="shared" si="1"/>
        <v>1</v>
      </c>
      <c r="F69">
        <v>627000</v>
      </c>
      <c r="G69" t="s">
        <v>480</v>
      </c>
      <c r="H69" t="s">
        <v>401</v>
      </c>
      <c r="I69" t="s">
        <v>402</v>
      </c>
      <c r="J69" t="s">
        <v>4783</v>
      </c>
      <c r="K69">
        <v>20230102</v>
      </c>
      <c r="L69" t="s">
        <v>4488</v>
      </c>
      <c r="M69">
        <v>7.5</v>
      </c>
      <c r="N69">
        <v>0</v>
      </c>
      <c r="O69" t="s">
        <v>19</v>
      </c>
      <c r="P69" t="s">
        <v>20</v>
      </c>
      <c r="Q69">
        <v>20230102</v>
      </c>
    </row>
    <row r="70" spans="1:17" x14ac:dyDescent="0.25">
      <c r="A70" t="s">
        <v>476</v>
      </c>
      <c r="B70" t="s">
        <v>477</v>
      </c>
      <c r="C70">
        <v>16</v>
      </c>
      <c r="D70">
        <v>20230102</v>
      </c>
      <c r="E70">
        <f t="shared" si="1"/>
        <v>1</v>
      </c>
      <c r="F70">
        <v>512000</v>
      </c>
      <c r="G70" t="s">
        <v>428</v>
      </c>
      <c r="H70" t="s">
        <v>401</v>
      </c>
      <c r="I70" t="s">
        <v>402</v>
      </c>
      <c r="J70" t="s">
        <v>4783</v>
      </c>
      <c r="K70">
        <v>20230102</v>
      </c>
      <c r="L70" t="s">
        <v>4488</v>
      </c>
      <c r="M70">
        <v>0</v>
      </c>
      <c r="N70">
        <v>7.5</v>
      </c>
      <c r="O70" t="s">
        <v>19</v>
      </c>
      <c r="P70" t="s">
        <v>20</v>
      </c>
      <c r="Q70">
        <v>20230102</v>
      </c>
    </row>
    <row r="71" spans="1:17" x14ac:dyDescent="0.25">
      <c r="A71" t="s">
        <v>476</v>
      </c>
      <c r="B71" t="s">
        <v>477</v>
      </c>
      <c r="C71">
        <v>16</v>
      </c>
      <c r="D71">
        <v>20230102</v>
      </c>
      <c r="E71">
        <f t="shared" si="1"/>
        <v>1</v>
      </c>
      <c r="F71">
        <v>627000</v>
      </c>
      <c r="G71" t="s">
        <v>480</v>
      </c>
      <c r="H71" t="s">
        <v>401</v>
      </c>
      <c r="I71" t="s">
        <v>402</v>
      </c>
      <c r="J71" t="s">
        <v>4784</v>
      </c>
      <c r="K71">
        <v>20230102</v>
      </c>
      <c r="L71" t="s">
        <v>4488</v>
      </c>
      <c r="M71">
        <v>50.62</v>
      </c>
      <c r="N71">
        <v>0</v>
      </c>
      <c r="O71" t="s">
        <v>19</v>
      </c>
      <c r="P71" t="s">
        <v>20</v>
      </c>
      <c r="Q71">
        <v>20230102</v>
      </c>
    </row>
    <row r="72" spans="1:17" x14ac:dyDescent="0.25">
      <c r="A72" t="s">
        <v>476</v>
      </c>
      <c r="B72" t="s">
        <v>477</v>
      </c>
      <c r="C72">
        <v>16</v>
      </c>
      <c r="D72">
        <v>20230102</v>
      </c>
      <c r="E72">
        <f t="shared" si="1"/>
        <v>1</v>
      </c>
      <c r="F72">
        <v>512000</v>
      </c>
      <c r="G72" t="s">
        <v>428</v>
      </c>
      <c r="H72" t="s">
        <v>401</v>
      </c>
      <c r="I72" t="s">
        <v>402</v>
      </c>
      <c r="J72" t="s">
        <v>4784</v>
      </c>
      <c r="K72">
        <v>20230102</v>
      </c>
      <c r="L72" t="s">
        <v>4488</v>
      </c>
      <c r="M72">
        <v>0</v>
      </c>
      <c r="N72">
        <v>50.62</v>
      </c>
      <c r="O72" t="s">
        <v>19</v>
      </c>
      <c r="P72" t="s">
        <v>20</v>
      </c>
      <c r="Q72">
        <v>20230102</v>
      </c>
    </row>
    <row r="73" spans="1:17" x14ac:dyDescent="0.25">
      <c r="A73" t="s">
        <v>476</v>
      </c>
      <c r="B73" t="s">
        <v>477</v>
      </c>
      <c r="C73">
        <v>16</v>
      </c>
      <c r="D73">
        <v>20230103</v>
      </c>
      <c r="E73">
        <f t="shared" si="1"/>
        <v>1</v>
      </c>
      <c r="F73">
        <v>627000</v>
      </c>
      <c r="G73" t="s">
        <v>480</v>
      </c>
      <c r="H73" t="s">
        <v>401</v>
      </c>
      <c r="I73" t="s">
        <v>402</v>
      </c>
      <c r="J73" t="s">
        <v>4785</v>
      </c>
      <c r="K73">
        <v>20230103</v>
      </c>
      <c r="L73" t="s">
        <v>4488</v>
      </c>
      <c r="M73">
        <v>49</v>
      </c>
      <c r="N73">
        <v>0</v>
      </c>
      <c r="O73" t="s">
        <v>19</v>
      </c>
      <c r="P73" t="s">
        <v>20</v>
      </c>
      <c r="Q73">
        <v>20230103</v>
      </c>
    </row>
    <row r="74" spans="1:17" x14ac:dyDescent="0.25">
      <c r="A74" t="s">
        <v>476</v>
      </c>
      <c r="B74" t="s">
        <v>477</v>
      </c>
      <c r="C74">
        <v>16</v>
      </c>
      <c r="D74">
        <v>20230103</v>
      </c>
      <c r="E74">
        <f t="shared" si="1"/>
        <v>1</v>
      </c>
      <c r="F74">
        <v>512000</v>
      </c>
      <c r="G74" t="s">
        <v>428</v>
      </c>
      <c r="H74" t="s">
        <v>401</v>
      </c>
      <c r="I74" t="s">
        <v>402</v>
      </c>
      <c r="J74" t="s">
        <v>4785</v>
      </c>
      <c r="K74">
        <v>20230103</v>
      </c>
      <c r="L74" t="s">
        <v>4488</v>
      </c>
      <c r="M74">
        <v>0</v>
      </c>
      <c r="N74">
        <v>49</v>
      </c>
      <c r="O74" t="s">
        <v>19</v>
      </c>
      <c r="P74" t="s">
        <v>20</v>
      </c>
      <c r="Q74">
        <v>20230103</v>
      </c>
    </row>
    <row r="75" spans="1:17" x14ac:dyDescent="0.25">
      <c r="A75" t="s">
        <v>476</v>
      </c>
      <c r="B75" t="s">
        <v>477</v>
      </c>
      <c r="C75">
        <v>16</v>
      </c>
      <c r="D75">
        <v>20230103</v>
      </c>
      <c r="E75">
        <f t="shared" si="1"/>
        <v>1</v>
      </c>
      <c r="F75">
        <v>627000</v>
      </c>
      <c r="G75" t="s">
        <v>480</v>
      </c>
      <c r="H75" t="s">
        <v>401</v>
      </c>
      <c r="I75" t="s">
        <v>402</v>
      </c>
      <c r="J75" t="s">
        <v>4786</v>
      </c>
      <c r="K75">
        <v>20230103</v>
      </c>
      <c r="L75" t="s">
        <v>4488</v>
      </c>
      <c r="M75">
        <v>17.68</v>
      </c>
      <c r="N75">
        <v>0</v>
      </c>
      <c r="O75" t="s">
        <v>19</v>
      </c>
      <c r="P75" t="s">
        <v>20</v>
      </c>
      <c r="Q75">
        <v>20230103</v>
      </c>
    </row>
    <row r="76" spans="1:17" x14ac:dyDescent="0.25">
      <c r="A76" t="s">
        <v>476</v>
      </c>
      <c r="B76" t="s">
        <v>477</v>
      </c>
      <c r="C76">
        <v>16</v>
      </c>
      <c r="D76">
        <v>20230103</v>
      </c>
      <c r="E76">
        <f t="shared" si="1"/>
        <v>1</v>
      </c>
      <c r="F76">
        <v>512000</v>
      </c>
      <c r="G76" t="s">
        <v>428</v>
      </c>
      <c r="H76" t="s">
        <v>401</v>
      </c>
      <c r="I76" t="s">
        <v>402</v>
      </c>
      <c r="J76" t="s">
        <v>4786</v>
      </c>
      <c r="K76">
        <v>20230103</v>
      </c>
      <c r="L76" t="s">
        <v>4488</v>
      </c>
      <c r="M76">
        <v>0</v>
      </c>
      <c r="N76">
        <v>17.68</v>
      </c>
      <c r="O76" t="s">
        <v>19</v>
      </c>
      <c r="P76" t="s">
        <v>20</v>
      </c>
      <c r="Q76">
        <v>20230103</v>
      </c>
    </row>
    <row r="77" spans="1:17" x14ac:dyDescent="0.25">
      <c r="A77" t="s">
        <v>476</v>
      </c>
      <c r="B77" t="s">
        <v>477</v>
      </c>
      <c r="C77">
        <v>16</v>
      </c>
      <c r="D77">
        <v>20230103</v>
      </c>
      <c r="E77">
        <f t="shared" si="1"/>
        <v>1</v>
      </c>
      <c r="F77">
        <v>401000</v>
      </c>
      <c r="G77" t="s">
        <v>41</v>
      </c>
      <c r="H77" t="s">
        <v>852</v>
      </c>
      <c r="I77" t="s">
        <v>853</v>
      </c>
      <c r="J77" t="s">
        <v>4787</v>
      </c>
      <c r="K77">
        <v>20230103</v>
      </c>
      <c r="L77" t="s">
        <v>4788</v>
      </c>
      <c r="M77">
        <v>30</v>
      </c>
      <c r="N77">
        <v>0</v>
      </c>
      <c r="O77" t="s">
        <v>19</v>
      </c>
      <c r="P77" t="s">
        <v>20</v>
      </c>
      <c r="Q77">
        <v>20230103</v>
      </c>
    </row>
    <row r="78" spans="1:17" x14ac:dyDescent="0.25">
      <c r="A78" t="s">
        <v>476</v>
      </c>
      <c r="B78" t="s">
        <v>477</v>
      </c>
      <c r="C78">
        <v>16</v>
      </c>
      <c r="D78">
        <v>20230103</v>
      </c>
      <c r="E78">
        <f t="shared" si="1"/>
        <v>1</v>
      </c>
      <c r="F78">
        <v>512000</v>
      </c>
      <c r="G78" t="s">
        <v>428</v>
      </c>
      <c r="H78" t="s">
        <v>401</v>
      </c>
      <c r="I78" t="s">
        <v>402</v>
      </c>
      <c r="J78" t="s">
        <v>4787</v>
      </c>
      <c r="K78">
        <v>20230103</v>
      </c>
      <c r="L78" t="s">
        <v>4788</v>
      </c>
      <c r="M78">
        <v>0</v>
      </c>
      <c r="N78">
        <v>30</v>
      </c>
      <c r="O78" t="s">
        <v>19</v>
      </c>
      <c r="P78" t="s">
        <v>20</v>
      </c>
      <c r="Q78">
        <v>20230103</v>
      </c>
    </row>
    <row r="79" spans="1:17" x14ac:dyDescent="0.25">
      <c r="A79" t="s">
        <v>476</v>
      </c>
      <c r="B79" t="s">
        <v>477</v>
      </c>
      <c r="C79">
        <v>16</v>
      </c>
      <c r="D79">
        <v>20230105</v>
      </c>
      <c r="E79">
        <f t="shared" si="1"/>
        <v>1</v>
      </c>
      <c r="F79">
        <v>401000</v>
      </c>
      <c r="G79" t="s">
        <v>41</v>
      </c>
      <c r="H79" t="s">
        <v>225</v>
      </c>
      <c r="I79" t="s">
        <v>226</v>
      </c>
      <c r="J79" t="s">
        <v>4789</v>
      </c>
      <c r="K79">
        <v>20230105</v>
      </c>
      <c r="L79" t="s">
        <v>488</v>
      </c>
      <c r="M79">
        <v>475.4</v>
      </c>
      <c r="N79">
        <v>0</v>
      </c>
      <c r="O79" t="s">
        <v>19</v>
      </c>
      <c r="P79" t="s">
        <v>20</v>
      </c>
      <c r="Q79">
        <v>20230105</v>
      </c>
    </row>
    <row r="80" spans="1:17" x14ac:dyDescent="0.25">
      <c r="A80" t="s">
        <v>476</v>
      </c>
      <c r="B80" t="s">
        <v>477</v>
      </c>
      <c r="C80">
        <v>16</v>
      </c>
      <c r="D80">
        <v>20230105</v>
      </c>
      <c r="E80">
        <f t="shared" si="1"/>
        <v>1</v>
      </c>
      <c r="F80">
        <v>512000</v>
      </c>
      <c r="G80" t="s">
        <v>428</v>
      </c>
      <c r="H80" t="s">
        <v>401</v>
      </c>
      <c r="I80" t="s">
        <v>402</v>
      </c>
      <c r="J80" t="s">
        <v>4789</v>
      </c>
      <c r="K80">
        <v>20230105</v>
      </c>
      <c r="L80" t="s">
        <v>488</v>
      </c>
      <c r="M80">
        <v>0</v>
      </c>
      <c r="N80">
        <v>475.4</v>
      </c>
      <c r="O80" t="s">
        <v>19</v>
      </c>
      <c r="P80" t="s">
        <v>20</v>
      </c>
      <c r="Q80">
        <v>20230105</v>
      </c>
    </row>
    <row r="81" spans="1:17" x14ac:dyDescent="0.25">
      <c r="A81" t="s">
        <v>476</v>
      </c>
      <c r="B81" t="s">
        <v>477</v>
      </c>
      <c r="C81">
        <v>16</v>
      </c>
      <c r="D81">
        <v>20230105</v>
      </c>
      <c r="E81">
        <f t="shared" si="1"/>
        <v>1</v>
      </c>
      <c r="F81">
        <v>411000</v>
      </c>
      <c r="G81" t="s">
        <v>21</v>
      </c>
      <c r="H81" t="s">
        <v>144</v>
      </c>
      <c r="I81" t="s">
        <v>145</v>
      </c>
      <c r="J81" t="s">
        <v>4790</v>
      </c>
      <c r="K81">
        <v>20230105</v>
      </c>
      <c r="L81" t="s">
        <v>874</v>
      </c>
      <c r="M81">
        <v>0</v>
      </c>
      <c r="N81">
        <v>675</v>
      </c>
      <c r="O81" t="s">
        <v>19</v>
      </c>
      <c r="P81" t="s">
        <v>20</v>
      </c>
      <c r="Q81">
        <v>20230105</v>
      </c>
    </row>
    <row r="82" spans="1:17" x14ac:dyDescent="0.25">
      <c r="A82" t="s">
        <v>476</v>
      </c>
      <c r="B82" t="s">
        <v>477</v>
      </c>
      <c r="C82">
        <v>16</v>
      </c>
      <c r="D82">
        <v>20230105</v>
      </c>
      <c r="E82">
        <f t="shared" si="1"/>
        <v>1</v>
      </c>
      <c r="F82">
        <v>512000</v>
      </c>
      <c r="G82" t="s">
        <v>428</v>
      </c>
      <c r="H82" t="s">
        <v>401</v>
      </c>
      <c r="I82" t="s">
        <v>402</v>
      </c>
      <c r="J82" t="s">
        <v>4790</v>
      </c>
      <c r="K82">
        <v>20230105</v>
      </c>
      <c r="L82" t="s">
        <v>874</v>
      </c>
      <c r="M82">
        <v>675</v>
      </c>
      <c r="N82">
        <v>0</v>
      </c>
      <c r="O82" t="s">
        <v>19</v>
      </c>
      <c r="P82" t="s">
        <v>20</v>
      </c>
      <c r="Q82">
        <v>20230105</v>
      </c>
    </row>
    <row r="83" spans="1:17" x14ac:dyDescent="0.25">
      <c r="A83" t="s">
        <v>476</v>
      </c>
      <c r="B83" t="s">
        <v>477</v>
      </c>
      <c r="C83">
        <v>16</v>
      </c>
      <c r="D83">
        <v>20230112</v>
      </c>
      <c r="E83">
        <f t="shared" si="1"/>
        <v>1</v>
      </c>
      <c r="F83">
        <v>437000</v>
      </c>
      <c r="G83" t="s">
        <v>430</v>
      </c>
      <c r="H83" t="s">
        <v>401</v>
      </c>
      <c r="I83" t="s">
        <v>402</v>
      </c>
      <c r="J83" t="s">
        <v>4791</v>
      </c>
      <c r="K83">
        <v>20230112</v>
      </c>
      <c r="L83" t="s">
        <v>497</v>
      </c>
      <c r="M83">
        <v>1562.48</v>
      </c>
      <c r="N83">
        <v>0</v>
      </c>
      <c r="O83" t="s">
        <v>19</v>
      </c>
      <c r="P83" t="s">
        <v>20</v>
      </c>
      <c r="Q83">
        <v>20230112</v>
      </c>
    </row>
    <row r="84" spans="1:17" x14ac:dyDescent="0.25">
      <c r="A84" t="s">
        <v>476</v>
      </c>
      <c r="B84" t="s">
        <v>477</v>
      </c>
      <c r="C84">
        <v>16</v>
      </c>
      <c r="D84">
        <v>20230112</v>
      </c>
      <c r="E84">
        <f t="shared" si="1"/>
        <v>1</v>
      </c>
      <c r="F84">
        <v>512000</v>
      </c>
      <c r="G84" t="s">
        <v>428</v>
      </c>
      <c r="H84" t="s">
        <v>401</v>
      </c>
      <c r="I84" t="s">
        <v>402</v>
      </c>
      <c r="J84" t="s">
        <v>4791</v>
      </c>
      <c r="K84">
        <v>20230112</v>
      </c>
      <c r="L84" t="s">
        <v>497</v>
      </c>
      <c r="M84">
        <v>0</v>
      </c>
      <c r="N84">
        <v>1562.48</v>
      </c>
      <c r="O84" t="s">
        <v>19</v>
      </c>
      <c r="P84" t="s">
        <v>20</v>
      </c>
      <c r="Q84">
        <v>20230112</v>
      </c>
    </row>
    <row r="85" spans="1:17" x14ac:dyDescent="0.25">
      <c r="A85" t="s">
        <v>476</v>
      </c>
      <c r="B85" t="s">
        <v>477</v>
      </c>
      <c r="C85">
        <v>16</v>
      </c>
      <c r="D85">
        <v>20230112</v>
      </c>
      <c r="E85">
        <f t="shared" si="1"/>
        <v>1</v>
      </c>
      <c r="F85">
        <v>580000</v>
      </c>
      <c r="G85" t="s">
        <v>532</v>
      </c>
      <c r="H85" t="s">
        <v>401</v>
      </c>
      <c r="I85" t="s">
        <v>402</v>
      </c>
      <c r="J85" t="s">
        <v>4792</v>
      </c>
      <c r="K85">
        <v>20230112</v>
      </c>
      <c r="L85" t="s">
        <v>879</v>
      </c>
      <c r="M85">
        <v>0</v>
      </c>
      <c r="N85">
        <v>40000</v>
      </c>
      <c r="O85" t="s">
        <v>19</v>
      </c>
      <c r="P85" t="s">
        <v>20</v>
      </c>
      <c r="Q85">
        <v>20230112</v>
      </c>
    </row>
    <row r="86" spans="1:17" x14ac:dyDescent="0.25">
      <c r="A86" t="s">
        <v>476</v>
      </c>
      <c r="B86" t="s">
        <v>477</v>
      </c>
      <c r="C86">
        <v>16</v>
      </c>
      <c r="D86">
        <v>20230112</v>
      </c>
      <c r="E86">
        <f t="shared" si="1"/>
        <v>1</v>
      </c>
      <c r="F86">
        <v>512000</v>
      </c>
      <c r="G86" t="s">
        <v>428</v>
      </c>
      <c r="H86" t="s">
        <v>401</v>
      </c>
      <c r="I86" t="s">
        <v>402</v>
      </c>
      <c r="J86" t="s">
        <v>4792</v>
      </c>
      <c r="K86">
        <v>20230112</v>
      </c>
      <c r="L86" t="s">
        <v>879</v>
      </c>
      <c r="M86">
        <v>40000</v>
      </c>
      <c r="N86">
        <v>0</v>
      </c>
      <c r="O86" t="s">
        <v>19</v>
      </c>
      <c r="P86" t="s">
        <v>20</v>
      </c>
      <c r="Q86">
        <v>20230112</v>
      </c>
    </row>
    <row r="87" spans="1:17" x14ac:dyDescent="0.25">
      <c r="A87" t="s">
        <v>476</v>
      </c>
      <c r="B87" t="s">
        <v>477</v>
      </c>
      <c r="C87">
        <v>16</v>
      </c>
      <c r="D87">
        <v>20230118</v>
      </c>
      <c r="E87">
        <f t="shared" si="1"/>
        <v>1</v>
      </c>
      <c r="F87">
        <v>468200</v>
      </c>
      <c r="G87" t="s">
        <v>421</v>
      </c>
      <c r="H87" t="s">
        <v>401</v>
      </c>
      <c r="I87" t="s">
        <v>402</v>
      </c>
      <c r="J87" t="s">
        <v>4793</v>
      </c>
      <c r="K87">
        <v>20230118</v>
      </c>
      <c r="L87" t="s">
        <v>422</v>
      </c>
      <c r="M87">
        <v>0</v>
      </c>
      <c r="N87">
        <v>221.85</v>
      </c>
      <c r="O87" t="s">
        <v>19</v>
      </c>
      <c r="P87" t="s">
        <v>20</v>
      </c>
      <c r="Q87">
        <v>20230118</v>
      </c>
    </row>
    <row r="88" spans="1:17" x14ac:dyDescent="0.25">
      <c r="A88" t="s">
        <v>476</v>
      </c>
      <c r="B88" t="s">
        <v>477</v>
      </c>
      <c r="C88">
        <v>16</v>
      </c>
      <c r="D88">
        <v>20230118</v>
      </c>
      <c r="E88">
        <f t="shared" si="1"/>
        <v>1</v>
      </c>
      <c r="F88">
        <v>512000</v>
      </c>
      <c r="G88" t="s">
        <v>428</v>
      </c>
      <c r="H88" t="s">
        <v>401</v>
      </c>
      <c r="I88" t="s">
        <v>402</v>
      </c>
      <c r="J88" t="s">
        <v>4793</v>
      </c>
      <c r="K88">
        <v>20230118</v>
      </c>
      <c r="L88" t="s">
        <v>422</v>
      </c>
      <c r="M88">
        <v>221.85</v>
      </c>
      <c r="N88">
        <v>0</v>
      </c>
      <c r="O88" t="s">
        <v>19</v>
      </c>
      <c r="P88" t="s">
        <v>20</v>
      </c>
      <c r="Q88">
        <v>20230118</v>
      </c>
    </row>
    <row r="89" spans="1:17" x14ac:dyDescent="0.25">
      <c r="A89" t="s">
        <v>476</v>
      </c>
      <c r="B89" t="s">
        <v>477</v>
      </c>
      <c r="C89">
        <v>16</v>
      </c>
      <c r="D89">
        <v>20230119</v>
      </c>
      <c r="E89">
        <f t="shared" si="1"/>
        <v>1</v>
      </c>
      <c r="F89">
        <v>468725</v>
      </c>
      <c r="G89" t="s">
        <v>424</v>
      </c>
      <c r="H89" t="s">
        <v>401</v>
      </c>
      <c r="I89" t="s">
        <v>402</v>
      </c>
      <c r="J89" t="s">
        <v>4794</v>
      </c>
      <c r="K89">
        <v>20230119</v>
      </c>
      <c r="L89" t="s">
        <v>4795</v>
      </c>
      <c r="M89">
        <v>0</v>
      </c>
      <c r="N89">
        <v>1020.29</v>
      </c>
      <c r="O89" t="s">
        <v>19</v>
      </c>
      <c r="P89" t="s">
        <v>20</v>
      </c>
      <c r="Q89">
        <v>20230119</v>
      </c>
    </row>
    <row r="90" spans="1:17" x14ac:dyDescent="0.25">
      <c r="A90" t="s">
        <v>476</v>
      </c>
      <c r="B90" t="s">
        <v>477</v>
      </c>
      <c r="C90">
        <v>16</v>
      </c>
      <c r="D90">
        <v>20230119</v>
      </c>
      <c r="E90">
        <f t="shared" si="1"/>
        <v>1</v>
      </c>
      <c r="F90">
        <v>512000</v>
      </c>
      <c r="G90" t="s">
        <v>428</v>
      </c>
      <c r="H90" t="s">
        <v>401</v>
      </c>
      <c r="I90" t="s">
        <v>402</v>
      </c>
      <c r="J90" t="s">
        <v>4794</v>
      </c>
      <c r="K90">
        <v>20230119</v>
      </c>
      <c r="L90" t="s">
        <v>4795</v>
      </c>
      <c r="M90">
        <v>1020.29</v>
      </c>
      <c r="N90">
        <v>0</v>
      </c>
      <c r="O90" t="s">
        <v>19</v>
      </c>
      <c r="P90" t="s">
        <v>20</v>
      </c>
      <c r="Q90">
        <v>20230119</v>
      </c>
    </row>
    <row r="91" spans="1:17" x14ac:dyDescent="0.25">
      <c r="A91" t="s">
        <v>476</v>
      </c>
      <c r="B91" t="s">
        <v>477</v>
      </c>
      <c r="C91">
        <v>16</v>
      </c>
      <c r="D91">
        <v>20230119</v>
      </c>
      <c r="E91">
        <f t="shared" si="1"/>
        <v>1</v>
      </c>
      <c r="F91">
        <v>468740</v>
      </c>
      <c r="G91" t="s">
        <v>426</v>
      </c>
      <c r="H91" t="s">
        <v>401</v>
      </c>
      <c r="I91" t="s">
        <v>402</v>
      </c>
      <c r="J91" t="s">
        <v>4796</v>
      </c>
      <c r="K91">
        <v>20230119</v>
      </c>
      <c r="L91" t="s">
        <v>4797</v>
      </c>
      <c r="M91">
        <v>0</v>
      </c>
      <c r="N91">
        <v>430</v>
      </c>
      <c r="O91" t="s">
        <v>19</v>
      </c>
      <c r="P91" t="s">
        <v>20</v>
      </c>
      <c r="Q91">
        <v>20230119</v>
      </c>
    </row>
    <row r="92" spans="1:17" x14ac:dyDescent="0.25">
      <c r="A92" t="s">
        <v>476</v>
      </c>
      <c r="B92" t="s">
        <v>477</v>
      </c>
      <c r="C92">
        <v>16</v>
      </c>
      <c r="D92">
        <v>20230119</v>
      </c>
      <c r="E92">
        <f t="shared" si="1"/>
        <v>1</v>
      </c>
      <c r="F92">
        <v>512000</v>
      </c>
      <c r="G92" t="s">
        <v>428</v>
      </c>
      <c r="H92" t="s">
        <v>401</v>
      </c>
      <c r="I92" t="s">
        <v>402</v>
      </c>
      <c r="J92" t="s">
        <v>4796</v>
      </c>
      <c r="K92">
        <v>20230119</v>
      </c>
      <c r="L92" t="s">
        <v>4797</v>
      </c>
      <c r="M92">
        <v>430</v>
      </c>
      <c r="N92">
        <v>0</v>
      </c>
      <c r="O92" t="s">
        <v>19</v>
      </c>
      <c r="P92" t="s">
        <v>20</v>
      </c>
      <c r="Q92">
        <v>20230119</v>
      </c>
    </row>
    <row r="93" spans="1:17" x14ac:dyDescent="0.25">
      <c r="A93" t="s">
        <v>476</v>
      </c>
      <c r="B93" t="s">
        <v>477</v>
      </c>
      <c r="C93">
        <v>16</v>
      </c>
      <c r="D93">
        <v>20230125</v>
      </c>
      <c r="E93">
        <f t="shared" si="1"/>
        <v>1</v>
      </c>
      <c r="F93">
        <v>433100</v>
      </c>
      <c r="G93" t="s">
        <v>411</v>
      </c>
      <c r="H93" t="s">
        <v>401</v>
      </c>
      <c r="I93" t="s">
        <v>402</v>
      </c>
      <c r="J93" t="s">
        <v>4798</v>
      </c>
      <c r="K93">
        <v>20230125</v>
      </c>
      <c r="L93" t="s">
        <v>4799</v>
      </c>
      <c r="M93">
        <v>1312.38</v>
      </c>
      <c r="N93">
        <v>0</v>
      </c>
      <c r="O93" t="s">
        <v>19</v>
      </c>
      <c r="P93" t="s">
        <v>20</v>
      </c>
      <c r="Q93">
        <v>20230125</v>
      </c>
    </row>
    <row r="94" spans="1:17" x14ac:dyDescent="0.25">
      <c r="A94" t="s">
        <v>476</v>
      </c>
      <c r="B94" t="s">
        <v>477</v>
      </c>
      <c r="C94">
        <v>16</v>
      </c>
      <c r="D94">
        <v>20230125</v>
      </c>
      <c r="E94">
        <f t="shared" si="1"/>
        <v>1</v>
      </c>
      <c r="F94">
        <v>512000</v>
      </c>
      <c r="G94" t="s">
        <v>428</v>
      </c>
      <c r="H94" t="s">
        <v>401</v>
      </c>
      <c r="I94" t="s">
        <v>402</v>
      </c>
      <c r="J94" t="s">
        <v>4798</v>
      </c>
      <c r="K94">
        <v>20230125</v>
      </c>
      <c r="L94" t="s">
        <v>4799</v>
      </c>
      <c r="M94">
        <v>0</v>
      </c>
      <c r="N94">
        <v>1312.38</v>
      </c>
      <c r="O94" t="s">
        <v>19</v>
      </c>
      <c r="P94" t="s">
        <v>20</v>
      </c>
      <c r="Q94">
        <v>20230125</v>
      </c>
    </row>
    <row r="95" spans="1:17" x14ac:dyDescent="0.25">
      <c r="A95" t="s">
        <v>476</v>
      </c>
      <c r="B95" t="s">
        <v>477</v>
      </c>
      <c r="C95">
        <v>16</v>
      </c>
      <c r="D95">
        <v>20230125</v>
      </c>
      <c r="E95">
        <f t="shared" si="1"/>
        <v>1</v>
      </c>
      <c r="F95">
        <v>433000</v>
      </c>
      <c r="G95" t="s">
        <v>410</v>
      </c>
      <c r="H95" t="s">
        <v>401</v>
      </c>
      <c r="I95" t="s">
        <v>402</v>
      </c>
      <c r="J95" t="s">
        <v>4800</v>
      </c>
      <c r="K95">
        <v>20230125</v>
      </c>
      <c r="L95" t="s">
        <v>530</v>
      </c>
      <c r="M95">
        <v>11508.12</v>
      </c>
      <c r="N95">
        <v>0</v>
      </c>
      <c r="O95" t="s">
        <v>19</v>
      </c>
      <c r="P95" t="s">
        <v>20</v>
      </c>
      <c r="Q95">
        <v>20230125</v>
      </c>
    </row>
    <row r="96" spans="1:17" x14ac:dyDescent="0.25">
      <c r="A96" t="s">
        <v>476</v>
      </c>
      <c r="B96" t="s">
        <v>477</v>
      </c>
      <c r="C96">
        <v>16</v>
      </c>
      <c r="D96">
        <v>20230125</v>
      </c>
      <c r="E96">
        <f t="shared" si="1"/>
        <v>1</v>
      </c>
      <c r="F96">
        <v>512000</v>
      </c>
      <c r="G96" t="s">
        <v>428</v>
      </c>
      <c r="H96" t="s">
        <v>401</v>
      </c>
      <c r="I96" t="s">
        <v>402</v>
      </c>
      <c r="J96" t="s">
        <v>4800</v>
      </c>
      <c r="K96">
        <v>20230125</v>
      </c>
      <c r="L96" t="s">
        <v>530</v>
      </c>
      <c r="M96">
        <v>0</v>
      </c>
      <c r="N96">
        <v>11508.12</v>
      </c>
      <c r="O96" t="s">
        <v>19</v>
      </c>
      <c r="P96" t="s">
        <v>20</v>
      </c>
      <c r="Q96">
        <v>20230125</v>
      </c>
    </row>
    <row r="97" spans="1:17" x14ac:dyDescent="0.25">
      <c r="A97" t="s">
        <v>476</v>
      </c>
      <c r="B97" t="s">
        <v>477</v>
      </c>
      <c r="C97">
        <v>17</v>
      </c>
      <c r="D97">
        <v>20230126</v>
      </c>
      <c r="E97">
        <f t="shared" si="1"/>
        <v>1</v>
      </c>
      <c r="F97">
        <v>471000</v>
      </c>
      <c r="G97" t="s">
        <v>4801</v>
      </c>
      <c r="H97" t="s">
        <v>401</v>
      </c>
      <c r="I97" t="s">
        <v>402</v>
      </c>
      <c r="J97" t="s">
        <v>4802</v>
      </c>
      <c r="K97">
        <v>20230126</v>
      </c>
      <c r="L97" t="s">
        <v>4803</v>
      </c>
      <c r="M97">
        <v>0</v>
      </c>
      <c r="N97">
        <v>175.88</v>
      </c>
      <c r="O97" t="s">
        <v>19</v>
      </c>
      <c r="P97" t="s">
        <v>20</v>
      </c>
      <c r="Q97">
        <v>20230126</v>
      </c>
    </row>
    <row r="98" spans="1:17" x14ac:dyDescent="0.25">
      <c r="A98" t="s">
        <v>476</v>
      </c>
      <c r="B98" t="s">
        <v>477</v>
      </c>
      <c r="C98">
        <v>17</v>
      </c>
      <c r="D98">
        <v>20230126</v>
      </c>
      <c r="E98">
        <f t="shared" si="1"/>
        <v>1</v>
      </c>
      <c r="F98">
        <v>512000</v>
      </c>
      <c r="G98" t="s">
        <v>428</v>
      </c>
      <c r="H98" t="s">
        <v>401</v>
      </c>
      <c r="I98" t="s">
        <v>402</v>
      </c>
      <c r="J98" t="s">
        <v>4802</v>
      </c>
      <c r="K98">
        <v>20230126</v>
      </c>
      <c r="L98" t="s">
        <v>4803</v>
      </c>
      <c r="M98">
        <v>175.88</v>
      </c>
      <c r="N98">
        <v>0</v>
      </c>
      <c r="O98" t="s">
        <v>19</v>
      </c>
      <c r="P98" t="s">
        <v>20</v>
      </c>
      <c r="Q98">
        <v>20230126</v>
      </c>
    </row>
    <row r="99" spans="1:17" x14ac:dyDescent="0.25">
      <c r="A99" t="s">
        <v>476</v>
      </c>
      <c r="B99" t="s">
        <v>477</v>
      </c>
      <c r="C99">
        <v>17</v>
      </c>
      <c r="D99">
        <v>20230126</v>
      </c>
      <c r="E99">
        <f t="shared" si="1"/>
        <v>1</v>
      </c>
      <c r="F99">
        <v>468200</v>
      </c>
      <c r="G99" t="s">
        <v>421</v>
      </c>
      <c r="H99" t="s">
        <v>401</v>
      </c>
      <c r="I99" t="s">
        <v>402</v>
      </c>
      <c r="J99" t="s">
        <v>4804</v>
      </c>
      <c r="K99">
        <v>20230126</v>
      </c>
      <c r="L99" t="s">
        <v>422</v>
      </c>
      <c r="M99">
        <v>0</v>
      </c>
      <c r="N99">
        <v>68.91</v>
      </c>
      <c r="O99" t="s">
        <v>19</v>
      </c>
      <c r="P99" t="s">
        <v>20</v>
      </c>
      <c r="Q99">
        <v>20230126</v>
      </c>
    </row>
    <row r="100" spans="1:17" x14ac:dyDescent="0.25">
      <c r="A100" t="s">
        <v>476</v>
      </c>
      <c r="B100" t="s">
        <v>477</v>
      </c>
      <c r="C100">
        <v>17</v>
      </c>
      <c r="D100">
        <v>20230126</v>
      </c>
      <c r="E100">
        <f t="shared" si="1"/>
        <v>1</v>
      </c>
      <c r="F100">
        <v>512000</v>
      </c>
      <c r="G100" t="s">
        <v>428</v>
      </c>
      <c r="H100" t="s">
        <v>401</v>
      </c>
      <c r="I100" t="s">
        <v>402</v>
      </c>
      <c r="J100" t="s">
        <v>4804</v>
      </c>
      <c r="K100">
        <v>20230126</v>
      </c>
      <c r="L100" t="s">
        <v>422</v>
      </c>
      <c r="M100">
        <v>68.91</v>
      </c>
      <c r="N100">
        <v>0</v>
      </c>
      <c r="O100" t="s">
        <v>19</v>
      </c>
      <c r="P100" t="s">
        <v>20</v>
      </c>
      <c r="Q100">
        <v>20230126</v>
      </c>
    </row>
    <row r="101" spans="1:17" x14ac:dyDescent="0.25">
      <c r="A101" t="s">
        <v>476</v>
      </c>
      <c r="B101" t="s">
        <v>477</v>
      </c>
      <c r="C101">
        <v>17</v>
      </c>
      <c r="D101">
        <v>20230126</v>
      </c>
      <c r="E101">
        <f t="shared" si="1"/>
        <v>1</v>
      </c>
      <c r="F101">
        <v>791100</v>
      </c>
      <c r="G101" t="s">
        <v>806</v>
      </c>
      <c r="H101" t="s">
        <v>401</v>
      </c>
      <c r="I101" t="s">
        <v>402</v>
      </c>
      <c r="J101" t="s">
        <v>4805</v>
      </c>
      <c r="K101">
        <v>20230126</v>
      </c>
      <c r="L101" t="s">
        <v>3271</v>
      </c>
      <c r="M101">
        <v>0</v>
      </c>
      <c r="N101">
        <v>5076</v>
      </c>
      <c r="O101" t="s">
        <v>19</v>
      </c>
      <c r="P101" t="s">
        <v>20</v>
      </c>
      <c r="Q101">
        <v>20230126</v>
      </c>
    </row>
    <row r="102" spans="1:17" x14ac:dyDescent="0.25">
      <c r="A102" t="s">
        <v>476</v>
      </c>
      <c r="B102" t="s">
        <v>477</v>
      </c>
      <c r="C102">
        <v>17</v>
      </c>
      <c r="D102">
        <v>20230126</v>
      </c>
      <c r="E102">
        <f t="shared" si="1"/>
        <v>1</v>
      </c>
      <c r="F102">
        <v>512000</v>
      </c>
      <c r="G102" t="s">
        <v>428</v>
      </c>
      <c r="H102" t="s">
        <v>401</v>
      </c>
      <c r="I102" t="s">
        <v>402</v>
      </c>
      <c r="J102" t="s">
        <v>4805</v>
      </c>
      <c r="K102">
        <v>20230126</v>
      </c>
      <c r="L102" t="s">
        <v>3271</v>
      </c>
      <c r="M102">
        <v>5076</v>
      </c>
      <c r="N102">
        <v>0</v>
      </c>
      <c r="O102" t="s">
        <v>19</v>
      </c>
      <c r="P102" t="s">
        <v>20</v>
      </c>
      <c r="Q102">
        <v>20230126</v>
      </c>
    </row>
    <row r="103" spans="1:17" x14ac:dyDescent="0.25">
      <c r="A103" t="s">
        <v>476</v>
      </c>
      <c r="B103" t="s">
        <v>477</v>
      </c>
      <c r="C103">
        <v>17</v>
      </c>
      <c r="D103">
        <v>20230127</v>
      </c>
      <c r="E103">
        <f t="shared" si="1"/>
        <v>1</v>
      </c>
      <c r="F103">
        <v>421000</v>
      </c>
      <c r="G103" t="s">
        <v>403</v>
      </c>
      <c r="H103" t="s">
        <v>401</v>
      </c>
      <c r="I103" t="s">
        <v>402</v>
      </c>
      <c r="J103" t="s">
        <v>4806</v>
      </c>
      <c r="K103">
        <v>20230127</v>
      </c>
      <c r="L103" t="s">
        <v>922</v>
      </c>
      <c r="M103">
        <v>57016.74</v>
      </c>
      <c r="N103">
        <v>0</v>
      </c>
      <c r="O103" t="s">
        <v>19</v>
      </c>
      <c r="P103" t="s">
        <v>20</v>
      </c>
      <c r="Q103">
        <v>20230127</v>
      </c>
    </row>
    <row r="104" spans="1:17" x14ac:dyDescent="0.25">
      <c r="A104" t="s">
        <v>476</v>
      </c>
      <c r="B104" t="s">
        <v>477</v>
      </c>
      <c r="C104">
        <v>17</v>
      </c>
      <c r="D104">
        <v>20230127</v>
      </c>
      <c r="E104">
        <f t="shared" si="1"/>
        <v>1</v>
      </c>
      <c r="F104">
        <v>512000</v>
      </c>
      <c r="G104" t="s">
        <v>428</v>
      </c>
      <c r="H104" t="s">
        <v>401</v>
      </c>
      <c r="I104" t="s">
        <v>402</v>
      </c>
      <c r="J104" t="s">
        <v>4806</v>
      </c>
      <c r="K104">
        <v>20230127</v>
      </c>
      <c r="L104" t="s">
        <v>922</v>
      </c>
      <c r="M104">
        <v>0</v>
      </c>
      <c r="N104">
        <v>57016.74</v>
      </c>
      <c r="O104" t="s">
        <v>19</v>
      </c>
      <c r="P104" t="s">
        <v>20</v>
      </c>
      <c r="Q104">
        <v>20230127</v>
      </c>
    </row>
    <row r="105" spans="1:17" x14ac:dyDescent="0.25">
      <c r="A105" t="s">
        <v>476</v>
      </c>
      <c r="B105" t="s">
        <v>477</v>
      </c>
      <c r="C105">
        <v>17</v>
      </c>
      <c r="D105">
        <v>20230127</v>
      </c>
      <c r="E105">
        <f t="shared" si="1"/>
        <v>1</v>
      </c>
      <c r="F105">
        <v>401000</v>
      </c>
      <c r="G105" t="s">
        <v>41</v>
      </c>
      <c r="H105" t="s">
        <v>458</v>
      </c>
      <c r="I105" t="s">
        <v>459</v>
      </c>
      <c r="J105" t="s">
        <v>4763</v>
      </c>
      <c r="K105">
        <v>20230127</v>
      </c>
      <c r="L105" t="s">
        <v>2072</v>
      </c>
      <c r="M105">
        <v>669.6</v>
      </c>
      <c r="N105">
        <v>0</v>
      </c>
      <c r="O105" t="s">
        <v>19</v>
      </c>
      <c r="P105" t="s">
        <v>20</v>
      </c>
      <c r="Q105">
        <v>20230127</v>
      </c>
    </row>
    <row r="106" spans="1:17" x14ac:dyDescent="0.25">
      <c r="A106" t="s">
        <v>476</v>
      </c>
      <c r="B106" t="s">
        <v>477</v>
      </c>
      <c r="C106">
        <v>17</v>
      </c>
      <c r="D106">
        <v>20230127</v>
      </c>
      <c r="E106">
        <f t="shared" si="1"/>
        <v>1</v>
      </c>
      <c r="F106">
        <v>512000</v>
      </c>
      <c r="G106" t="s">
        <v>428</v>
      </c>
      <c r="H106" t="s">
        <v>401</v>
      </c>
      <c r="I106" t="s">
        <v>402</v>
      </c>
      <c r="J106" t="s">
        <v>4763</v>
      </c>
      <c r="K106">
        <v>20230127</v>
      </c>
      <c r="L106" t="s">
        <v>2072</v>
      </c>
      <c r="M106">
        <v>0</v>
      </c>
      <c r="N106">
        <v>669.6</v>
      </c>
      <c r="O106" t="s">
        <v>19</v>
      </c>
      <c r="P106" t="s">
        <v>20</v>
      </c>
      <c r="Q106">
        <v>20230127</v>
      </c>
    </row>
    <row r="107" spans="1:17" x14ac:dyDescent="0.25">
      <c r="A107" t="s">
        <v>476</v>
      </c>
      <c r="B107" t="s">
        <v>477</v>
      </c>
      <c r="C107">
        <v>18</v>
      </c>
      <c r="D107">
        <v>20230127</v>
      </c>
      <c r="E107">
        <f t="shared" si="1"/>
        <v>1</v>
      </c>
      <c r="F107">
        <v>411100</v>
      </c>
      <c r="G107" t="s">
        <v>18</v>
      </c>
      <c r="H107" t="s">
        <v>1303</v>
      </c>
      <c r="I107" t="s">
        <v>1304</v>
      </c>
      <c r="J107">
        <v>364258</v>
      </c>
      <c r="K107">
        <v>20230127</v>
      </c>
      <c r="L107" t="s">
        <v>4807</v>
      </c>
      <c r="M107">
        <v>0</v>
      </c>
      <c r="N107">
        <v>120</v>
      </c>
      <c r="O107" t="s">
        <v>19</v>
      </c>
      <c r="P107" t="s">
        <v>20</v>
      </c>
      <c r="Q107">
        <v>20230127</v>
      </c>
    </row>
    <row r="108" spans="1:17" x14ac:dyDescent="0.25">
      <c r="A108" t="s">
        <v>476</v>
      </c>
      <c r="B108" t="s">
        <v>477</v>
      </c>
      <c r="C108">
        <v>18</v>
      </c>
      <c r="D108">
        <v>20230127</v>
      </c>
      <c r="E108">
        <f t="shared" si="1"/>
        <v>1</v>
      </c>
      <c r="F108">
        <v>512000</v>
      </c>
      <c r="G108" t="s">
        <v>428</v>
      </c>
      <c r="H108" t="s">
        <v>401</v>
      </c>
      <c r="I108" t="s">
        <v>402</v>
      </c>
      <c r="J108">
        <v>364259</v>
      </c>
      <c r="K108">
        <v>20230127</v>
      </c>
      <c r="L108" t="s">
        <v>3268</v>
      </c>
      <c r="M108">
        <v>120</v>
      </c>
      <c r="N108">
        <v>0</v>
      </c>
      <c r="O108" t="s">
        <v>19</v>
      </c>
      <c r="P108" t="s">
        <v>20</v>
      </c>
      <c r="Q108">
        <v>20230127</v>
      </c>
    </row>
    <row r="109" spans="1:17" x14ac:dyDescent="0.25">
      <c r="A109" t="s">
        <v>476</v>
      </c>
      <c r="B109" t="s">
        <v>477</v>
      </c>
      <c r="C109">
        <v>19</v>
      </c>
      <c r="D109">
        <v>20230127</v>
      </c>
      <c r="E109">
        <f t="shared" si="1"/>
        <v>1</v>
      </c>
      <c r="F109">
        <v>580000</v>
      </c>
      <c r="G109" t="s">
        <v>532</v>
      </c>
      <c r="H109" t="s">
        <v>401</v>
      </c>
      <c r="I109" t="s">
        <v>402</v>
      </c>
      <c r="J109" t="s">
        <v>4808</v>
      </c>
      <c r="K109">
        <v>20230127</v>
      </c>
      <c r="L109" t="s">
        <v>879</v>
      </c>
      <c r="M109">
        <v>0</v>
      </c>
      <c r="N109">
        <v>40000</v>
      </c>
      <c r="O109" t="s">
        <v>19</v>
      </c>
      <c r="P109" t="s">
        <v>20</v>
      </c>
      <c r="Q109">
        <v>20230127</v>
      </c>
    </row>
    <row r="110" spans="1:17" x14ac:dyDescent="0.25">
      <c r="A110" t="s">
        <v>476</v>
      </c>
      <c r="B110" t="s">
        <v>477</v>
      </c>
      <c r="C110">
        <v>19</v>
      </c>
      <c r="D110">
        <v>20230127</v>
      </c>
      <c r="E110">
        <f t="shared" si="1"/>
        <v>1</v>
      </c>
      <c r="F110">
        <v>512000</v>
      </c>
      <c r="G110" t="s">
        <v>428</v>
      </c>
      <c r="H110" t="s">
        <v>401</v>
      </c>
      <c r="I110" t="s">
        <v>402</v>
      </c>
      <c r="J110" t="s">
        <v>4808</v>
      </c>
      <c r="K110">
        <v>20230127</v>
      </c>
      <c r="L110" t="s">
        <v>879</v>
      </c>
      <c r="M110">
        <v>40000</v>
      </c>
      <c r="N110">
        <v>0</v>
      </c>
      <c r="O110" t="s">
        <v>19</v>
      </c>
      <c r="P110" t="s">
        <v>20</v>
      </c>
      <c r="Q110">
        <v>20230127</v>
      </c>
    </row>
    <row r="111" spans="1:17" x14ac:dyDescent="0.25">
      <c r="A111" t="s">
        <v>476</v>
      </c>
      <c r="B111" t="s">
        <v>477</v>
      </c>
      <c r="C111">
        <v>19</v>
      </c>
      <c r="D111">
        <v>20230130</v>
      </c>
      <c r="E111">
        <f t="shared" si="1"/>
        <v>1</v>
      </c>
      <c r="F111">
        <v>471000</v>
      </c>
      <c r="G111" t="s">
        <v>4801</v>
      </c>
      <c r="H111" t="s">
        <v>401</v>
      </c>
      <c r="I111" t="s">
        <v>402</v>
      </c>
      <c r="J111" t="s">
        <v>4809</v>
      </c>
      <c r="K111">
        <v>20230130</v>
      </c>
      <c r="L111" t="s">
        <v>4810</v>
      </c>
      <c r="M111">
        <v>28610.69</v>
      </c>
      <c r="N111">
        <v>0</v>
      </c>
      <c r="O111" t="s">
        <v>19</v>
      </c>
      <c r="P111" t="s">
        <v>20</v>
      </c>
      <c r="Q111">
        <v>20230130</v>
      </c>
    </row>
    <row r="112" spans="1:17" x14ac:dyDescent="0.25">
      <c r="A112" t="s">
        <v>476</v>
      </c>
      <c r="B112" t="s">
        <v>477</v>
      </c>
      <c r="C112">
        <v>19</v>
      </c>
      <c r="D112">
        <v>20230130</v>
      </c>
      <c r="E112">
        <f t="shared" si="1"/>
        <v>1</v>
      </c>
      <c r="F112">
        <v>512000</v>
      </c>
      <c r="G112" t="s">
        <v>428</v>
      </c>
      <c r="H112" t="s">
        <v>401</v>
      </c>
      <c r="I112" t="s">
        <v>402</v>
      </c>
      <c r="J112" t="s">
        <v>4809</v>
      </c>
      <c r="K112">
        <v>20230130</v>
      </c>
      <c r="L112" t="s">
        <v>4810</v>
      </c>
      <c r="M112">
        <v>0</v>
      </c>
      <c r="N112">
        <v>28610.69</v>
      </c>
      <c r="O112" t="s">
        <v>19</v>
      </c>
      <c r="P112" t="s">
        <v>20</v>
      </c>
      <c r="Q112">
        <v>20230130</v>
      </c>
    </row>
    <row r="113" spans="1:17" x14ac:dyDescent="0.25">
      <c r="A113" t="s">
        <v>548</v>
      </c>
      <c r="B113" t="s">
        <v>429</v>
      </c>
      <c r="C113">
        <v>20</v>
      </c>
      <c r="D113">
        <v>20230102</v>
      </c>
      <c r="E113">
        <f t="shared" si="1"/>
        <v>1</v>
      </c>
      <c r="F113">
        <v>411100</v>
      </c>
      <c r="G113" t="s">
        <v>18</v>
      </c>
      <c r="H113" t="s">
        <v>237</v>
      </c>
      <c r="I113" t="s">
        <v>238</v>
      </c>
      <c r="J113">
        <v>122120091</v>
      </c>
      <c r="K113">
        <v>20230102</v>
      </c>
      <c r="L113" t="s">
        <v>4811</v>
      </c>
      <c r="M113">
        <v>0</v>
      </c>
      <c r="N113">
        <v>1.5</v>
      </c>
      <c r="O113" t="s">
        <v>19</v>
      </c>
      <c r="P113" t="s">
        <v>20</v>
      </c>
      <c r="Q113">
        <v>20230102</v>
      </c>
    </row>
    <row r="114" spans="1:17" x14ac:dyDescent="0.25">
      <c r="A114" t="s">
        <v>548</v>
      </c>
      <c r="B114" t="s">
        <v>429</v>
      </c>
      <c r="C114">
        <v>20</v>
      </c>
      <c r="D114">
        <v>20230102</v>
      </c>
      <c r="E114">
        <f t="shared" si="1"/>
        <v>1</v>
      </c>
      <c r="F114">
        <v>411100</v>
      </c>
      <c r="G114" t="s">
        <v>18</v>
      </c>
      <c r="H114" t="s">
        <v>3206</v>
      </c>
      <c r="I114" t="s">
        <v>3207</v>
      </c>
      <c r="J114">
        <v>122120133</v>
      </c>
      <c r="K114">
        <v>20230102</v>
      </c>
      <c r="L114" t="s">
        <v>4812</v>
      </c>
      <c r="M114">
        <v>0</v>
      </c>
      <c r="N114">
        <v>5.5</v>
      </c>
      <c r="O114" t="s">
        <v>22</v>
      </c>
      <c r="P114">
        <v>20230218</v>
      </c>
      <c r="Q114">
        <v>20230102</v>
      </c>
    </row>
    <row r="115" spans="1:17" x14ac:dyDescent="0.25">
      <c r="A115" t="s">
        <v>548</v>
      </c>
      <c r="B115" t="s">
        <v>429</v>
      </c>
      <c r="C115">
        <v>20</v>
      </c>
      <c r="D115">
        <v>20230102</v>
      </c>
      <c r="E115">
        <f t="shared" si="1"/>
        <v>1</v>
      </c>
      <c r="F115">
        <v>411100</v>
      </c>
      <c r="G115" t="s">
        <v>18</v>
      </c>
      <c r="H115" t="s">
        <v>3901</v>
      </c>
      <c r="I115" t="s">
        <v>3902</v>
      </c>
      <c r="J115">
        <v>122120154</v>
      </c>
      <c r="K115">
        <v>20230102</v>
      </c>
      <c r="L115" t="s">
        <v>4813</v>
      </c>
      <c r="M115">
        <v>0</v>
      </c>
      <c r="N115">
        <v>5.5</v>
      </c>
      <c r="O115" t="s">
        <v>19</v>
      </c>
      <c r="P115" t="s">
        <v>20</v>
      </c>
      <c r="Q115">
        <v>20230102</v>
      </c>
    </row>
    <row r="116" spans="1:17" x14ac:dyDescent="0.25">
      <c r="A116" t="s">
        <v>548</v>
      </c>
      <c r="B116" t="s">
        <v>429</v>
      </c>
      <c r="C116">
        <v>20</v>
      </c>
      <c r="D116">
        <v>20230102</v>
      </c>
      <c r="E116">
        <f t="shared" si="1"/>
        <v>1</v>
      </c>
      <c r="F116">
        <v>411100</v>
      </c>
      <c r="G116" t="s">
        <v>18</v>
      </c>
      <c r="H116" t="s">
        <v>3208</v>
      </c>
      <c r="I116" t="s">
        <v>3209</v>
      </c>
      <c r="J116">
        <v>122120098</v>
      </c>
      <c r="K116">
        <v>20230102</v>
      </c>
      <c r="L116" t="s">
        <v>4814</v>
      </c>
      <c r="M116">
        <v>0</v>
      </c>
      <c r="N116">
        <v>5.5</v>
      </c>
      <c r="O116" t="s">
        <v>22</v>
      </c>
      <c r="P116">
        <v>20230218</v>
      </c>
      <c r="Q116">
        <v>20230102</v>
      </c>
    </row>
    <row r="117" spans="1:17" x14ac:dyDescent="0.25">
      <c r="A117" t="s">
        <v>548</v>
      </c>
      <c r="B117" t="s">
        <v>429</v>
      </c>
      <c r="C117">
        <v>20</v>
      </c>
      <c r="D117">
        <v>20230102</v>
      </c>
      <c r="E117">
        <f t="shared" si="1"/>
        <v>1</v>
      </c>
      <c r="F117">
        <v>411100</v>
      </c>
      <c r="G117" t="s">
        <v>18</v>
      </c>
      <c r="H117" t="s">
        <v>1911</v>
      </c>
      <c r="I117" t="s">
        <v>1912</v>
      </c>
      <c r="J117">
        <v>122120094</v>
      </c>
      <c r="K117">
        <v>20230102</v>
      </c>
      <c r="L117" t="s">
        <v>4815</v>
      </c>
      <c r="M117">
        <v>0</v>
      </c>
      <c r="N117">
        <v>5.5</v>
      </c>
      <c r="O117" t="s">
        <v>19</v>
      </c>
      <c r="P117" t="s">
        <v>20</v>
      </c>
      <c r="Q117">
        <v>20230102</v>
      </c>
    </row>
    <row r="118" spans="1:17" x14ac:dyDescent="0.25">
      <c r="A118" t="s">
        <v>548</v>
      </c>
      <c r="B118" t="s">
        <v>429</v>
      </c>
      <c r="C118">
        <v>20</v>
      </c>
      <c r="D118">
        <v>20230102</v>
      </c>
      <c r="E118">
        <f t="shared" si="1"/>
        <v>1</v>
      </c>
      <c r="F118">
        <v>411100</v>
      </c>
      <c r="G118" t="s">
        <v>18</v>
      </c>
      <c r="H118" t="s">
        <v>1911</v>
      </c>
      <c r="I118" t="s">
        <v>1912</v>
      </c>
      <c r="J118">
        <v>122120094</v>
      </c>
      <c r="K118">
        <v>20230102</v>
      </c>
      <c r="L118" t="s">
        <v>4816</v>
      </c>
      <c r="M118">
        <v>0</v>
      </c>
      <c r="N118">
        <v>1.5</v>
      </c>
      <c r="O118" t="s">
        <v>19</v>
      </c>
      <c r="P118" t="s">
        <v>20</v>
      </c>
      <c r="Q118">
        <v>20230102</v>
      </c>
    </row>
    <row r="119" spans="1:17" x14ac:dyDescent="0.25">
      <c r="A119" t="s">
        <v>548</v>
      </c>
      <c r="B119" t="s">
        <v>429</v>
      </c>
      <c r="C119">
        <v>20</v>
      </c>
      <c r="D119">
        <v>20230102</v>
      </c>
      <c r="E119">
        <f t="shared" si="1"/>
        <v>1</v>
      </c>
      <c r="F119">
        <v>411100</v>
      </c>
      <c r="G119" t="s">
        <v>18</v>
      </c>
      <c r="H119" t="s">
        <v>3586</v>
      </c>
      <c r="I119" t="s">
        <v>3587</v>
      </c>
      <c r="J119">
        <v>122120105</v>
      </c>
      <c r="K119">
        <v>20230102</v>
      </c>
      <c r="L119" t="s">
        <v>4817</v>
      </c>
      <c r="M119">
        <v>0</v>
      </c>
      <c r="N119">
        <v>10</v>
      </c>
      <c r="O119" t="s">
        <v>22</v>
      </c>
      <c r="P119">
        <v>20230218</v>
      </c>
      <c r="Q119">
        <v>20230102</v>
      </c>
    </row>
    <row r="120" spans="1:17" x14ac:dyDescent="0.25">
      <c r="A120" t="s">
        <v>548</v>
      </c>
      <c r="B120" t="s">
        <v>429</v>
      </c>
      <c r="C120">
        <v>20</v>
      </c>
      <c r="D120">
        <v>20230102</v>
      </c>
      <c r="E120">
        <f t="shared" si="1"/>
        <v>1</v>
      </c>
      <c r="F120">
        <v>411100</v>
      </c>
      <c r="G120" t="s">
        <v>18</v>
      </c>
      <c r="H120" t="s">
        <v>154</v>
      </c>
      <c r="I120" t="s">
        <v>155</v>
      </c>
      <c r="J120">
        <v>122120096</v>
      </c>
      <c r="K120">
        <v>20230102</v>
      </c>
      <c r="L120" t="s">
        <v>4818</v>
      </c>
      <c r="M120">
        <v>0</v>
      </c>
      <c r="N120">
        <v>4</v>
      </c>
      <c r="O120" t="s">
        <v>19</v>
      </c>
      <c r="P120" t="s">
        <v>20</v>
      </c>
      <c r="Q120">
        <v>20230102</v>
      </c>
    </row>
    <row r="121" spans="1:17" x14ac:dyDescent="0.25">
      <c r="A121" t="s">
        <v>548</v>
      </c>
      <c r="B121" t="s">
        <v>429</v>
      </c>
      <c r="C121">
        <v>20</v>
      </c>
      <c r="D121">
        <v>20230102</v>
      </c>
      <c r="E121">
        <f t="shared" si="1"/>
        <v>1</v>
      </c>
      <c r="F121">
        <v>411100</v>
      </c>
      <c r="G121" t="s">
        <v>18</v>
      </c>
      <c r="H121" t="s">
        <v>81</v>
      </c>
      <c r="I121" t="s">
        <v>82</v>
      </c>
      <c r="J121">
        <v>122120090</v>
      </c>
      <c r="K121">
        <v>20230102</v>
      </c>
      <c r="L121" t="s">
        <v>4819</v>
      </c>
      <c r="M121">
        <v>0</v>
      </c>
      <c r="N121">
        <v>8</v>
      </c>
      <c r="O121" t="s">
        <v>19</v>
      </c>
      <c r="P121" t="s">
        <v>20</v>
      </c>
      <c r="Q121">
        <v>20230102</v>
      </c>
    </row>
    <row r="122" spans="1:17" x14ac:dyDescent="0.25">
      <c r="A122" t="s">
        <v>548</v>
      </c>
      <c r="B122" t="s">
        <v>429</v>
      </c>
      <c r="C122">
        <v>20</v>
      </c>
      <c r="D122">
        <v>20230102</v>
      </c>
      <c r="E122">
        <f t="shared" si="1"/>
        <v>1</v>
      </c>
      <c r="F122">
        <v>411100</v>
      </c>
      <c r="G122" t="s">
        <v>18</v>
      </c>
      <c r="H122" t="s">
        <v>73</v>
      </c>
      <c r="I122" t="s">
        <v>74</v>
      </c>
      <c r="J122">
        <v>122120182</v>
      </c>
      <c r="K122">
        <v>20230102</v>
      </c>
      <c r="L122" t="s">
        <v>4820</v>
      </c>
      <c r="M122">
        <v>0</v>
      </c>
      <c r="N122">
        <v>1.5</v>
      </c>
      <c r="O122" t="s">
        <v>19</v>
      </c>
      <c r="P122" t="s">
        <v>20</v>
      </c>
      <c r="Q122">
        <v>20230102</v>
      </c>
    </row>
    <row r="123" spans="1:17" x14ac:dyDescent="0.25">
      <c r="A123" t="s">
        <v>548</v>
      </c>
      <c r="B123" t="s">
        <v>429</v>
      </c>
      <c r="C123">
        <v>20</v>
      </c>
      <c r="D123">
        <v>20230102</v>
      </c>
      <c r="E123">
        <f t="shared" si="1"/>
        <v>1</v>
      </c>
      <c r="F123">
        <v>411100</v>
      </c>
      <c r="G123" t="s">
        <v>18</v>
      </c>
      <c r="H123" t="s">
        <v>657</v>
      </c>
      <c r="I123" t="s">
        <v>658</v>
      </c>
      <c r="J123">
        <v>122120116</v>
      </c>
      <c r="K123">
        <v>20230102</v>
      </c>
      <c r="L123" t="s">
        <v>4821</v>
      </c>
      <c r="M123">
        <v>0</v>
      </c>
      <c r="N123">
        <v>1.5</v>
      </c>
      <c r="O123" t="s">
        <v>19</v>
      </c>
      <c r="P123" t="s">
        <v>20</v>
      </c>
      <c r="Q123">
        <v>20230102</v>
      </c>
    </row>
    <row r="124" spans="1:17" x14ac:dyDescent="0.25">
      <c r="A124" t="s">
        <v>548</v>
      </c>
      <c r="B124" t="s">
        <v>429</v>
      </c>
      <c r="C124">
        <v>20</v>
      </c>
      <c r="D124">
        <v>20230102</v>
      </c>
      <c r="E124">
        <f t="shared" si="1"/>
        <v>1</v>
      </c>
      <c r="F124">
        <v>411100</v>
      </c>
      <c r="G124" t="s">
        <v>18</v>
      </c>
      <c r="H124" t="s">
        <v>73</v>
      </c>
      <c r="I124" t="s">
        <v>74</v>
      </c>
      <c r="J124">
        <v>122120182</v>
      </c>
      <c r="K124">
        <v>20230102</v>
      </c>
      <c r="L124" t="s">
        <v>4822</v>
      </c>
      <c r="M124">
        <v>0</v>
      </c>
      <c r="N124">
        <v>1.5</v>
      </c>
      <c r="O124" t="s">
        <v>19</v>
      </c>
      <c r="P124" t="s">
        <v>20</v>
      </c>
      <c r="Q124">
        <v>20230102</v>
      </c>
    </row>
    <row r="125" spans="1:17" x14ac:dyDescent="0.25">
      <c r="A125" t="s">
        <v>548</v>
      </c>
      <c r="B125" t="s">
        <v>429</v>
      </c>
      <c r="C125">
        <v>20</v>
      </c>
      <c r="D125">
        <v>20230102</v>
      </c>
      <c r="E125">
        <f t="shared" si="1"/>
        <v>1</v>
      </c>
      <c r="F125">
        <v>411100</v>
      </c>
      <c r="G125" t="s">
        <v>18</v>
      </c>
      <c r="H125" t="s">
        <v>259</v>
      </c>
      <c r="I125" t="s">
        <v>260</v>
      </c>
      <c r="J125">
        <v>122120074</v>
      </c>
      <c r="K125">
        <v>20230102</v>
      </c>
      <c r="L125" t="s">
        <v>4823</v>
      </c>
      <c r="M125">
        <v>0</v>
      </c>
      <c r="N125">
        <v>1.5</v>
      </c>
      <c r="O125" t="s">
        <v>19</v>
      </c>
      <c r="P125" t="s">
        <v>20</v>
      </c>
      <c r="Q125">
        <v>20230102</v>
      </c>
    </row>
    <row r="126" spans="1:17" x14ac:dyDescent="0.25">
      <c r="A126" t="s">
        <v>548</v>
      </c>
      <c r="B126" t="s">
        <v>429</v>
      </c>
      <c r="C126">
        <v>20</v>
      </c>
      <c r="D126">
        <v>20230102</v>
      </c>
      <c r="E126">
        <f t="shared" si="1"/>
        <v>1</v>
      </c>
      <c r="F126">
        <v>411100</v>
      </c>
      <c r="G126" t="s">
        <v>18</v>
      </c>
      <c r="H126" t="s">
        <v>3206</v>
      </c>
      <c r="I126" t="s">
        <v>3207</v>
      </c>
      <c r="J126">
        <v>122120133</v>
      </c>
      <c r="K126">
        <v>20230102</v>
      </c>
      <c r="L126" t="s">
        <v>4824</v>
      </c>
      <c r="M126">
        <v>0</v>
      </c>
      <c r="N126">
        <v>5</v>
      </c>
      <c r="O126" t="s">
        <v>22</v>
      </c>
      <c r="P126">
        <v>20230218</v>
      </c>
      <c r="Q126">
        <v>20230102</v>
      </c>
    </row>
    <row r="127" spans="1:17" x14ac:dyDescent="0.25">
      <c r="A127" t="s">
        <v>548</v>
      </c>
      <c r="B127" t="s">
        <v>429</v>
      </c>
      <c r="C127">
        <v>20</v>
      </c>
      <c r="D127">
        <v>20230102</v>
      </c>
      <c r="E127">
        <f t="shared" si="1"/>
        <v>1</v>
      </c>
      <c r="F127">
        <v>531105</v>
      </c>
      <c r="G127" t="s">
        <v>429</v>
      </c>
      <c r="H127" t="s">
        <v>401</v>
      </c>
      <c r="I127" t="s">
        <v>402</v>
      </c>
      <c r="J127">
        <v>362812</v>
      </c>
      <c r="K127">
        <v>20230102</v>
      </c>
      <c r="L127" t="s">
        <v>565</v>
      </c>
      <c r="M127">
        <v>58</v>
      </c>
      <c r="N127">
        <v>0</v>
      </c>
      <c r="O127" t="s">
        <v>19</v>
      </c>
      <c r="P127" t="s">
        <v>20</v>
      </c>
      <c r="Q127">
        <v>20230102</v>
      </c>
    </row>
    <row r="128" spans="1:17" x14ac:dyDescent="0.25">
      <c r="A128" t="s">
        <v>548</v>
      </c>
      <c r="B128" t="s">
        <v>429</v>
      </c>
      <c r="C128">
        <v>20</v>
      </c>
      <c r="D128">
        <v>20230103</v>
      </c>
      <c r="E128">
        <f t="shared" si="1"/>
        <v>1</v>
      </c>
      <c r="F128">
        <v>411100</v>
      </c>
      <c r="G128" t="s">
        <v>18</v>
      </c>
      <c r="H128" t="s">
        <v>2599</v>
      </c>
      <c r="I128" t="s">
        <v>2600</v>
      </c>
      <c r="J128">
        <v>362813</v>
      </c>
      <c r="K128">
        <v>20230103</v>
      </c>
      <c r="L128" t="s">
        <v>4825</v>
      </c>
      <c r="M128">
        <v>0</v>
      </c>
      <c r="N128">
        <v>13</v>
      </c>
      <c r="O128" t="s">
        <v>19</v>
      </c>
      <c r="P128" t="s">
        <v>20</v>
      </c>
      <c r="Q128">
        <v>20230103</v>
      </c>
    </row>
    <row r="129" spans="1:17" x14ac:dyDescent="0.25">
      <c r="A129" t="s">
        <v>548</v>
      </c>
      <c r="B129" t="s">
        <v>429</v>
      </c>
      <c r="C129">
        <v>20</v>
      </c>
      <c r="D129">
        <v>20230103</v>
      </c>
      <c r="E129">
        <f t="shared" si="1"/>
        <v>1</v>
      </c>
      <c r="F129">
        <v>411100</v>
      </c>
      <c r="G129" t="s">
        <v>18</v>
      </c>
      <c r="H129" t="s">
        <v>4826</v>
      </c>
      <c r="I129" t="s">
        <v>4827</v>
      </c>
      <c r="J129">
        <v>362814</v>
      </c>
      <c r="K129">
        <v>20230103</v>
      </c>
      <c r="L129" t="s">
        <v>4828</v>
      </c>
      <c r="M129">
        <v>0</v>
      </c>
      <c r="N129">
        <v>22</v>
      </c>
      <c r="O129" t="s">
        <v>19</v>
      </c>
      <c r="P129" t="s">
        <v>20</v>
      </c>
      <c r="Q129">
        <v>20230103</v>
      </c>
    </row>
    <row r="130" spans="1:17" x14ac:dyDescent="0.25">
      <c r="A130" t="s">
        <v>548</v>
      </c>
      <c r="B130" t="s">
        <v>429</v>
      </c>
      <c r="C130">
        <v>20</v>
      </c>
      <c r="D130">
        <v>20230103</v>
      </c>
      <c r="E130">
        <f t="shared" si="1"/>
        <v>1</v>
      </c>
      <c r="F130">
        <v>531105</v>
      </c>
      <c r="G130" t="s">
        <v>429</v>
      </c>
      <c r="H130" t="s">
        <v>401</v>
      </c>
      <c r="I130" t="s">
        <v>402</v>
      </c>
      <c r="J130">
        <v>362815</v>
      </c>
      <c r="K130">
        <v>20230103</v>
      </c>
      <c r="L130" t="s">
        <v>565</v>
      </c>
      <c r="M130">
        <v>35</v>
      </c>
      <c r="N130">
        <v>0</v>
      </c>
      <c r="O130" t="s">
        <v>19</v>
      </c>
      <c r="P130" t="s">
        <v>20</v>
      </c>
      <c r="Q130">
        <v>20230103</v>
      </c>
    </row>
    <row r="131" spans="1:17" x14ac:dyDescent="0.25">
      <c r="A131" t="s">
        <v>548</v>
      </c>
      <c r="B131" t="s">
        <v>429</v>
      </c>
      <c r="C131">
        <v>20</v>
      </c>
      <c r="D131">
        <v>20230103</v>
      </c>
      <c r="E131">
        <f t="shared" ref="E131:E194" si="2">VALUE(MID(D131,5,2))</f>
        <v>1</v>
      </c>
      <c r="F131">
        <v>411100</v>
      </c>
      <c r="G131" t="s">
        <v>18</v>
      </c>
      <c r="H131" t="s">
        <v>136</v>
      </c>
      <c r="I131" t="s">
        <v>137</v>
      </c>
      <c r="J131">
        <v>222040028</v>
      </c>
      <c r="K131">
        <v>20230103</v>
      </c>
      <c r="L131" t="s">
        <v>4829</v>
      </c>
      <c r="M131">
        <v>0</v>
      </c>
      <c r="N131">
        <v>99.32</v>
      </c>
      <c r="O131" t="s">
        <v>22</v>
      </c>
      <c r="P131">
        <v>20230218</v>
      </c>
      <c r="Q131">
        <v>20230103</v>
      </c>
    </row>
    <row r="132" spans="1:17" x14ac:dyDescent="0.25">
      <c r="A132" t="s">
        <v>548</v>
      </c>
      <c r="B132" t="s">
        <v>429</v>
      </c>
      <c r="C132">
        <v>20</v>
      </c>
      <c r="D132">
        <v>20230103</v>
      </c>
      <c r="E132">
        <f t="shared" si="2"/>
        <v>1</v>
      </c>
      <c r="F132">
        <v>411100</v>
      </c>
      <c r="G132" t="s">
        <v>18</v>
      </c>
      <c r="H132" t="s">
        <v>352</v>
      </c>
      <c r="I132" t="s">
        <v>353</v>
      </c>
      <c r="J132">
        <v>222110027</v>
      </c>
      <c r="K132">
        <v>20230103</v>
      </c>
      <c r="L132" t="s">
        <v>4830</v>
      </c>
      <c r="M132">
        <v>0</v>
      </c>
      <c r="N132">
        <v>350</v>
      </c>
      <c r="O132" t="s">
        <v>19</v>
      </c>
      <c r="P132" t="s">
        <v>20</v>
      </c>
      <c r="Q132">
        <v>20230103</v>
      </c>
    </row>
    <row r="133" spans="1:17" x14ac:dyDescent="0.25">
      <c r="A133" t="s">
        <v>548</v>
      </c>
      <c r="B133" t="s">
        <v>429</v>
      </c>
      <c r="C133">
        <v>20</v>
      </c>
      <c r="D133">
        <v>20230103</v>
      </c>
      <c r="E133">
        <f t="shared" si="2"/>
        <v>1</v>
      </c>
      <c r="F133">
        <v>411010</v>
      </c>
      <c r="G133" t="s">
        <v>87</v>
      </c>
      <c r="H133" t="s">
        <v>4467</v>
      </c>
      <c r="I133" t="s">
        <v>4468</v>
      </c>
      <c r="J133">
        <v>222110013</v>
      </c>
      <c r="K133">
        <v>20230103</v>
      </c>
      <c r="L133" t="s">
        <v>4831</v>
      </c>
      <c r="M133">
        <v>0</v>
      </c>
      <c r="N133">
        <v>70.7</v>
      </c>
      <c r="O133" t="s">
        <v>19</v>
      </c>
      <c r="P133" t="s">
        <v>20</v>
      </c>
      <c r="Q133">
        <v>20230103</v>
      </c>
    </row>
    <row r="134" spans="1:17" x14ac:dyDescent="0.25">
      <c r="A134" t="s">
        <v>548</v>
      </c>
      <c r="B134" t="s">
        <v>429</v>
      </c>
      <c r="C134">
        <v>20</v>
      </c>
      <c r="D134">
        <v>20230103</v>
      </c>
      <c r="E134">
        <f t="shared" si="2"/>
        <v>1</v>
      </c>
      <c r="F134">
        <v>411010</v>
      </c>
      <c r="G134" t="s">
        <v>87</v>
      </c>
      <c r="H134" t="s">
        <v>379</v>
      </c>
      <c r="I134" t="s">
        <v>380</v>
      </c>
      <c r="J134">
        <v>222110029</v>
      </c>
      <c r="K134">
        <v>20230103</v>
      </c>
      <c r="L134" t="s">
        <v>4832</v>
      </c>
      <c r="M134">
        <v>0</v>
      </c>
      <c r="N134">
        <v>44.76</v>
      </c>
      <c r="O134" t="s">
        <v>19</v>
      </c>
      <c r="P134" t="s">
        <v>20</v>
      </c>
      <c r="Q134">
        <v>20230103</v>
      </c>
    </row>
    <row r="135" spans="1:17" x14ac:dyDescent="0.25">
      <c r="A135" t="s">
        <v>548</v>
      </c>
      <c r="B135" t="s">
        <v>429</v>
      </c>
      <c r="C135">
        <v>20</v>
      </c>
      <c r="D135">
        <v>20230103</v>
      </c>
      <c r="E135">
        <f t="shared" si="2"/>
        <v>1</v>
      </c>
      <c r="F135">
        <v>411010</v>
      </c>
      <c r="G135" t="s">
        <v>87</v>
      </c>
      <c r="H135" t="s">
        <v>379</v>
      </c>
      <c r="I135" t="s">
        <v>380</v>
      </c>
      <c r="J135">
        <v>222110029</v>
      </c>
      <c r="K135">
        <v>20230103</v>
      </c>
      <c r="L135" t="s">
        <v>4833</v>
      </c>
      <c r="M135">
        <v>0</v>
      </c>
      <c r="N135">
        <v>5.24</v>
      </c>
      <c r="O135" t="s">
        <v>19</v>
      </c>
      <c r="P135" t="s">
        <v>20</v>
      </c>
      <c r="Q135">
        <v>20230103</v>
      </c>
    </row>
    <row r="136" spans="1:17" x14ac:dyDescent="0.25">
      <c r="A136" t="s">
        <v>548</v>
      </c>
      <c r="B136" t="s">
        <v>429</v>
      </c>
      <c r="C136">
        <v>20</v>
      </c>
      <c r="D136">
        <v>20230103</v>
      </c>
      <c r="E136">
        <f t="shared" si="2"/>
        <v>1</v>
      </c>
      <c r="F136">
        <v>531105</v>
      </c>
      <c r="G136" t="s">
        <v>429</v>
      </c>
      <c r="H136" t="s">
        <v>401</v>
      </c>
      <c r="I136" t="s">
        <v>402</v>
      </c>
      <c r="J136">
        <v>363184</v>
      </c>
      <c r="K136">
        <v>20230103</v>
      </c>
      <c r="L136" t="s">
        <v>565</v>
      </c>
      <c r="M136">
        <v>570.02</v>
      </c>
      <c r="N136">
        <v>0</v>
      </c>
      <c r="O136" t="s">
        <v>19</v>
      </c>
      <c r="P136" t="s">
        <v>20</v>
      </c>
      <c r="Q136">
        <v>20230103</v>
      </c>
    </row>
    <row r="137" spans="1:17" x14ac:dyDescent="0.25">
      <c r="A137" t="s">
        <v>548</v>
      </c>
      <c r="B137" t="s">
        <v>429</v>
      </c>
      <c r="C137">
        <v>20</v>
      </c>
      <c r="D137">
        <v>20230104</v>
      </c>
      <c r="E137">
        <f t="shared" si="2"/>
        <v>1</v>
      </c>
      <c r="F137">
        <v>467100</v>
      </c>
      <c r="G137" t="s">
        <v>160</v>
      </c>
      <c r="H137" t="s">
        <v>2740</v>
      </c>
      <c r="I137" t="s">
        <v>151</v>
      </c>
      <c r="J137" t="s">
        <v>4834</v>
      </c>
      <c r="K137">
        <v>20230104</v>
      </c>
      <c r="L137" t="s">
        <v>4835</v>
      </c>
      <c r="M137">
        <v>17.48</v>
      </c>
      <c r="N137">
        <v>0</v>
      </c>
      <c r="O137" t="s">
        <v>23</v>
      </c>
      <c r="P137">
        <v>20230218</v>
      </c>
      <c r="Q137">
        <v>20230104</v>
      </c>
    </row>
    <row r="138" spans="1:17" x14ac:dyDescent="0.25">
      <c r="A138" t="s">
        <v>548</v>
      </c>
      <c r="B138" t="s">
        <v>429</v>
      </c>
      <c r="C138">
        <v>20</v>
      </c>
      <c r="D138">
        <v>20230104</v>
      </c>
      <c r="E138">
        <f t="shared" si="2"/>
        <v>1</v>
      </c>
      <c r="F138">
        <v>531105</v>
      </c>
      <c r="G138" t="s">
        <v>429</v>
      </c>
      <c r="H138" t="s">
        <v>401</v>
      </c>
      <c r="I138" t="s">
        <v>402</v>
      </c>
      <c r="J138" t="s">
        <v>4834</v>
      </c>
      <c r="K138">
        <v>20230104</v>
      </c>
      <c r="L138" t="s">
        <v>4835</v>
      </c>
      <c r="M138">
        <v>0</v>
      </c>
      <c r="N138">
        <v>17.48</v>
      </c>
      <c r="O138" t="s">
        <v>19</v>
      </c>
      <c r="P138" t="s">
        <v>20</v>
      </c>
      <c r="Q138">
        <v>20230104</v>
      </c>
    </row>
    <row r="139" spans="1:17" x14ac:dyDescent="0.25">
      <c r="A139" t="s">
        <v>548</v>
      </c>
      <c r="B139" t="s">
        <v>429</v>
      </c>
      <c r="C139">
        <v>20</v>
      </c>
      <c r="D139">
        <v>20230104</v>
      </c>
      <c r="E139">
        <f t="shared" si="2"/>
        <v>1</v>
      </c>
      <c r="F139">
        <v>467100</v>
      </c>
      <c r="G139" t="s">
        <v>160</v>
      </c>
      <c r="H139" t="s">
        <v>2232</v>
      </c>
      <c r="I139" t="s">
        <v>2233</v>
      </c>
      <c r="J139" t="s">
        <v>4836</v>
      </c>
      <c r="K139">
        <v>20230104</v>
      </c>
      <c r="L139" t="s">
        <v>4837</v>
      </c>
      <c r="M139">
        <v>27.8</v>
      </c>
      <c r="N139">
        <v>0</v>
      </c>
      <c r="O139" t="s">
        <v>23</v>
      </c>
      <c r="P139">
        <v>20230218</v>
      </c>
      <c r="Q139">
        <v>20230104</v>
      </c>
    </row>
    <row r="140" spans="1:17" x14ac:dyDescent="0.25">
      <c r="A140" t="s">
        <v>548</v>
      </c>
      <c r="B140" t="s">
        <v>429</v>
      </c>
      <c r="C140">
        <v>20</v>
      </c>
      <c r="D140">
        <v>20230104</v>
      </c>
      <c r="E140">
        <f t="shared" si="2"/>
        <v>1</v>
      </c>
      <c r="F140">
        <v>531105</v>
      </c>
      <c r="G140" t="s">
        <v>429</v>
      </c>
      <c r="H140" t="s">
        <v>401</v>
      </c>
      <c r="I140" t="s">
        <v>402</v>
      </c>
      <c r="J140" t="s">
        <v>4836</v>
      </c>
      <c r="K140">
        <v>20230104</v>
      </c>
      <c r="L140" t="s">
        <v>4837</v>
      </c>
      <c r="M140">
        <v>0</v>
      </c>
      <c r="N140">
        <v>27.8</v>
      </c>
      <c r="O140" t="s">
        <v>19</v>
      </c>
      <c r="P140" t="s">
        <v>20</v>
      </c>
      <c r="Q140">
        <v>20230104</v>
      </c>
    </row>
    <row r="141" spans="1:17" x14ac:dyDescent="0.25">
      <c r="A141" t="s">
        <v>548</v>
      </c>
      <c r="B141" t="s">
        <v>429</v>
      </c>
      <c r="C141">
        <v>20</v>
      </c>
      <c r="D141">
        <v>20230104</v>
      </c>
      <c r="E141">
        <f t="shared" si="2"/>
        <v>1</v>
      </c>
      <c r="F141">
        <v>467100</v>
      </c>
      <c r="G141" t="s">
        <v>160</v>
      </c>
      <c r="H141" t="s">
        <v>1201</v>
      </c>
      <c r="I141" t="s">
        <v>1202</v>
      </c>
      <c r="J141" t="s">
        <v>4838</v>
      </c>
      <c r="K141">
        <v>20230104</v>
      </c>
      <c r="L141" t="s">
        <v>4839</v>
      </c>
      <c r="M141">
        <v>24.99</v>
      </c>
      <c r="N141">
        <v>0</v>
      </c>
      <c r="O141" t="s">
        <v>23</v>
      </c>
      <c r="P141">
        <v>20230206</v>
      </c>
      <c r="Q141">
        <v>20230104</v>
      </c>
    </row>
    <row r="142" spans="1:17" x14ac:dyDescent="0.25">
      <c r="A142" t="s">
        <v>548</v>
      </c>
      <c r="B142" t="s">
        <v>429</v>
      </c>
      <c r="C142">
        <v>20</v>
      </c>
      <c r="D142">
        <v>20230104</v>
      </c>
      <c r="E142">
        <f t="shared" si="2"/>
        <v>1</v>
      </c>
      <c r="F142">
        <v>531105</v>
      </c>
      <c r="G142" t="s">
        <v>429</v>
      </c>
      <c r="H142" t="s">
        <v>401</v>
      </c>
      <c r="I142" t="s">
        <v>402</v>
      </c>
      <c r="J142" t="s">
        <v>4838</v>
      </c>
      <c r="K142">
        <v>20230104</v>
      </c>
      <c r="L142" t="s">
        <v>4839</v>
      </c>
      <c r="M142">
        <v>0</v>
      </c>
      <c r="N142">
        <v>24.99</v>
      </c>
      <c r="O142" t="s">
        <v>19</v>
      </c>
      <c r="P142" t="s">
        <v>20</v>
      </c>
      <c r="Q142">
        <v>20230104</v>
      </c>
    </row>
    <row r="143" spans="1:17" x14ac:dyDescent="0.25">
      <c r="A143" t="s">
        <v>548</v>
      </c>
      <c r="B143" t="s">
        <v>429</v>
      </c>
      <c r="C143">
        <v>20</v>
      </c>
      <c r="D143">
        <v>20230104</v>
      </c>
      <c r="E143">
        <f t="shared" si="2"/>
        <v>1</v>
      </c>
      <c r="F143">
        <v>411100</v>
      </c>
      <c r="G143" t="s">
        <v>18</v>
      </c>
      <c r="H143" t="s">
        <v>3658</v>
      </c>
      <c r="I143" t="s">
        <v>3659</v>
      </c>
      <c r="J143">
        <v>122120057</v>
      </c>
      <c r="K143">
        <v>20230104</v>
      </c>
      <c r="L143" t="s">
        <v>4840</v>
      </c>
      <c r="M143">
        <v>0</v>
      </c>
      <c r="N143">
        <v>20</v>
      </c>
      <c r="O143" t="s">
        <v>19</v>
      </c>
      <c r="P143" t="s">
        <v>20</v>
      </c>
      <c r="Q143">
        <v>20230104</v>
      </c>
    </row>
    <row r="144" spans="1:17" x14ac:dyDescent="0.25">
      <c r="A144" t="s">
        <v>548</v>
      </c>
      <c r="B144" t="s">
        <v>429</v>
      </c>
      <c r="C144">
        <v>20</v>
      </c>
      <c r="D144">
        <v>20230104</v>
      </c>
      <c r="E144">
        <f t="shared" si="2"/>
        <v>1</v>
      </c>
      <c r="F144">
        <v>531105</v>
      </c>
      <c r="G144" t="s">
        <v>429</v>
      </c>
      <c r="H144" t="s">
        <v>401</v>
      </c>
      <c r="I144" t="s">
        <v>402</v>
      </c>
      <c r="J144">
        <v>362817</v>
      </c>
      <c r="K144">
        <v>20230104</v>
      </c>
      <c r="L144" t="s">
        <v>565</v>
      </c>
      <c r="M144">
        <v>20</v>
      </c>
      <c r="N144">
        <v>0</v>
      </c>
      <c r="O144" t="s">
        <v>19</v>
      </c>
      <c r="P144" t="s">
        <v>20</v>
      </c>
      <c r="Q144">
        <v>20230104</v>
      </c>
    </row>
    <row r="145" spans="1:17" x14ac:dyDescent="0.25">
      <c r="A145" t="s">
        <v>548</v>
      </c>
      <c r="B145" t="s">
        <v>429</v>
      </c>
      <c r="C145">
        <v>20</v>
      </c>
      <c r="D145">
        <v>20230105</v>
      </c>
      <c r="E145">
        <f t="shared" si="2"/>
        <v>1</v>
      </c>
      <c r="F145">
        <v>411100</v>
      </c>
      <c r="G145" t="s">
        <v>18</v>
      </c>
      <c r="H145" t="s">
        <v>4841</v>
      </c>
      <c r="I145" t="s">
        <v>4842</v>
      </c>
      <c r="J145">
        <v>362818</v>
      </c>
      <c r="K145">
        <v>20230105</v>
      </c>
      <c r="L145" t="s">
        <v>4843</v>
      </c>
      <c r="M145">
        <v>0</v>
      </c>
      <c r="N145">
        <v>22</v>
      </c>
      <c r="O145" t="s">
        <v>19</v>
      </c>
      <c r="P145" t="s">
        <v>20</v>
      </c>
      <c r="Q145">
        <v>20230105</v>
      </c>
    </row>
    <row r="146" spans="1:17" x14ac:dyDescent="0.25">
      <c r="A146" t="s">
        <v>548</v>
      </c>
      <c r="B146" t="s">
        <v>429</v>
      </c>
      <c r="C146">
        <v>20</v>
      </c>
      <c r="D146">
        <v>20230105</v>
      </c>
      <c r="E146">
        <f t="shared" si="2"/>
        <v>1</v>
      </c>
      <c r="F146">
        <v>531105</v>
      </c>
      <c r="G146" t="s">
        <v>429</v>
      </c>
      <c r="H146" t="s">
        <v>401</v>
      </c>
      <c r="I146" t="s">
        <v>402</v>
      </c>
      <c r="J146">
        <v>362819</v>
      </c>
      <c r="K146">
        <v>20230105</v>
      </c>
      <c r="L146" t="s">
        <v>565</v>
      </c>
      <c r="M146">
        <v>22</v>
      </c>
      <c r="N146">
        <v>0</v>
      </c>
      <c r="O146" t="s">
        <v>19</v>
      </c>
      <c r="P146" t="s">
        <v>20</v>
      </c>
      <c r="Q146">
        <v>20230105</v>
      </c>
    </row>
    <row r="147" spans="1:17" x14ac:dyDescent="0.25">
      <c r="A147" t="s">
        <v>548</v>
      </c>
      <c r="B147" t="s">
        <v>429</v>
      </c>
      <c r="C147">
        <v>20</v>
      </c>
      <c r="D147">
        <v>20230105</v>
      </c>
      <c r="E147">
        <f t="shared" si="2"/>
        <v>1</v>
      </c>
      <c r="F147">
        <v>411100</v>
      </c>
      <c r="G147" t="s">
        <v>18</v>
      </c>
      <c r="H147" t="s">
        <v>4465</v>
      </c>
      <c r="I147" t="s">
        <v>4466</v>
      </c>
      <c r="J147">
        <v>363185</v>
      </c>
      <c r="K147">
        <v>20230105</v>
      </c>
      <c r="L147" t="s">
        <v>4844</v>
      </c>
      <c r="M147">
        <v>0</v>
      </c>
      <c r="N147">
        <v>11.66</v>
      </c>
      <c r="O147" t="s">
        <v>22</v>
      </c>
      <c r="P147">
        <v>20230218</v>
      </c>
      <c r="Q147">
        <v>20230105</v>
      </c>
    </row>
    <row r="148" spans="1:17" x14ac:dyDescent="0.25">
      <c r="A148" t="s">
        <v>548</v>
      </c>
      <c r="B148" t="s">
        <v>429</v>
      </c>
      <c r="C148">
        <v>20</v>
      </c>
      <c r="D148">
        <v>20230105</v>
      </c>
      <c r="E148">
        <f t="shared" si="2"/>
        <v>1</v>
      </c>
      <c r="F148">
        <v>531105</v>
      </c>
      <c r="G148" t="s">
        <v>429</v>
      </c>
      <c r="H148" t="s">
        <v>401</v>
      </c>
      <c r="I148" t="s">
        <v>402</v>
      </c>
      <c r="J148">
        <v>363186</v>
      </c>
      <c r="K148">
        <v>20230105</v>
      </c>
      <c r="L148" t="s">
        <v>565</v>
      </c>
      <c r="M148">
        <v>11.66</v>
      </c>
      <c r="N148">
        <v>0</v>
      </c>
      <c r="O148" t="s">
        <v>19</v>
      </c>
      <c r="P148" t="s">
        <v>20</v>
      </c>
      <c r="Q148">
        <v>20230105</v>
      </c>
    </row>
    <row r="149" spans="1:17" x14ac:dyDescent="0.25">
      <c r="A149" t="s">
        <v>548</v>
      </c>
      <c r="B149" t="s">
        <v>429</v>
      </c>
      <c r="C149">
        <v>20</v>
      </c>
      <c r="D149">
        <v>20230106</v>
      </c>
      <c r="E149">
        <f t="shared" si="2"/>
        <v>1</v>
      </c>
      <c r="F149">
        <v>467100</v>
      </c>
      <c r="G149" t="s">
        <v>160</v>
      </c>
      <c r="H149" t="s">
        <v>2740</v>
      </c>
      <c r="I149" t="s">
        <v>151</v>
      </c>
      <c r="J149" t="s">
        <v>4845</v>
      </c>
      <c r="K149">
        <v>20230106</v>
      </c>
      <c r="L149" t="s">
        <v>4846</v>
      </c>
      <c r="M149">
        <v>11.22</v>
      </c>
      <c r="N149">
        <v>0</v>
      </c>
      <c r="O149" t="s">
        <v>23</v>
      </c>
      <c r="P149">
        <v>20230308</v>
      </c>
      <c r="Q149">
        <v>20230106</v>
      </c>
    </row>
    <row r="150" spans="1:17" x14ac:dyDescent="0.25">
      <c r="A150" t="s">
        <v>548</v>
      </c>
      <c r="B150" t="s">
        <v>429</v>
      </c>
      <c r="C150">
        <v>20</v>
      </c>
      <c r="D150">
        <v>20230106</v>
      </c>
      <c r="E150">
        <f t="shared" si="2"/>
        <v>1</v>
      </c>
      <c r="F150">
        <v>531105</v>
      </c>
      <c r="G150" t="s">
        <v>429</v>
      </c>
      <c r="H150" t="s">
        <v>401</v>
      </c>
      <c r="I150" t="s">
        <v>402</v>
      </c>
      <c r="J150" t="s">
        <v>4845</v>
      </c>
      <c r="K150">
        <v>20230106</v>
      </c>
      <c r="L150" t="s">
        <v>4846</v>
      </c>
      <c r="M150">
        <v>0</v>
      </c>
      <c r="N150">
        <v>11.22</v>
      </c>
      <c r="O150" t="s">
        <v>19</v>
      </c>
      <c r="P150" t="s">
        <v>20</v>
      </c>
      <c r="Q150">
        <v>20230106</v>
      </c>
    </row>
    <row r="151" spans="1:17" x14ac:dyDescent="0.25">
      <c r="A151" t="s">
        <v>548</v>
      </c>
      <c r="B151" t="s">
        <v>429</v>
      </c>
      <c r="C151">
        <v>20</v>
      </c>
      <c r="D151">
        <v>20230106</v>
      </c>
      <c r="E151">
        <f t="shared" si="2"/>
        <v>1</v>
      </c>
      <c r="F151">
        <v>467100</v>
      </c>
      <c r="G151" t="s">
        <v>160</v>
      </c>
      <c r="H151" t="s">
        <v>4847</v>
      </c>
      <c r="I151" t="s">
        <v>4848</v>
      </c>
      <c r="J151" t="s">
        <v>4849</v>
      </c>
      <c r="K151">
        <v>20230106</v>
      </c>
      <c r="L151" t="s">
        <v>4850</v>
      </c>
      <c r="M151">
        <v>100</v>
      </c>
      <c r="N151">
        <v>0</v>
      </c>
      <c r="O151" t="s">
        <v>23</v>
      </c>
      <c r="P151">
        <v>20230308</v>
      </c>
      <c r="Q151">
        <v>20230106</v>
      </c>
    </row>
    <row r="152" spans="1:17" x14ac:dyDescent="0.25">
      <c r="A152" t="s">
        <v>548</v>
      </c>
      <c r="B152" t="s">
        <v>429</v>
      </c>
      <c r="C152">
        <v>20</v>
      </c>
      <c r="D152">
        <v>20230106</v>
      </c>
      <c r="E152">
        <f t="shared" si="2"/>
        <v>1</v>
      </c>
      <c r="F152">
        <v>531105</v>
      </c>
      <c r="G152" t="s">
        <v>429</v>
      </c>
      <c r="H152" t="s">
        <v>401</v>
      </c>
      <c r="I152" t="s">
        <v>402</v>
      </c>
      <c r="J152" t="s">
        <v>4849</v>
      </c>
      <c r="K152">
        <v>20230106</v>
      </c>
      <c r="L152" t="s">
        <v>4850</v>
      </c>
      <c r="M152">
        <v>0</v>
      </c>
      <c r="N152">
        <v>100</v>
      </c>
      <c r="O152" t="s">
        <v>19</v>
      </c>
      <c r="P152" t="s">
        <v>20</v>
      </c>
      <c r="Q152">
        <v>20230106</v>
      </c>
    </row>
    <row r="153" spans="1:17" x14ac:dyDescent="0.25">
      <c r="A153" t="s">
        <v>548</v>
      </c>
      <c r="B153" t="s">
        <v>429</v>
      </c>
      <c r="C153">
        <v>20</v>
      </c>
      <c r="D153">
        <v>20230106</v>
      </c>
      <c r="E153">
        <f t="shared" si="2"/>
        <v>1</v>
      </c>
      <c r="F153">
        <v>411100</v>
      </c>
      <c r="G153" t="s">
        <v>18</v>
      </c>
      <c r="H153" t="s">
        <v>592</v>
      </c>
      <c r="I153" t="s">
        <v>593</v>
      </c>
      <c r="J153">
        <v>122100128</v>
      </c>
      <c r="K153">
        <v>20230106</v>
      </c>
      <c r="L153" t="s">
        <v>4851</v>
      </c>
      <c r="M153">
        <v>0</v>
      </c>
      <c r="N153">
        <v>160</v>
      </c>
      <c r="O153" t="s">
        <v>19</v>
      </c>
      <c r="P153" t="s">
        <v>20</v>
      </c>
      <c r="Q153">
        <v>20230106</v>
      </c>
    </row>
    <row r="154" spans="1:17" x14ac:dyDescent="0.25">
      <c r="A154" t="s">
        <v>548</v>
      </c>
      <c r="B154" t="s">
        <v>429</v>
      </c>
      <c r="C154">
        <v>20</v>
      </c>
      <c r="D154">
        <v>20230106</v>
      </c>
      <c r="E154">
        <f t="shared" si="2"/>
        <v>1</v>
      </c>
      <c r="F154">
        <v>411100</v>
      </c>
      <c r="G154" t="s">
        <v>18</v>
      </c>
      <c r="H154" t="s">
        <v>352</v>
      </c>
      <c r="I154" t="s">
        <v>353</v>
      </c>
      <c r="J154">
        <v>362821</v>
      </c>
      <c r="K154">
        <v>20230106</v>
      </c>
      <c r="L154" t="s">
        <v>4852</v>
      </c>
      <c r="M154">
        <v>0</v>
      </c>
      <c r="N154">
        <v>38.4</v>
      </c>
      <c r="O154" t="s">
        <v>22</v>
      </c>
      <c r="P154">
        <v>20230218</v>
      </c>
      <c r="Q154">
        <v>20230106</v>
      </c>
    </row>
    <row r="155" spans="1:17" x14ac:dyDescent="0.25">
      <c r="A155" t="s">
        <v>548</v>
      </c>
      <c r="B155" t="s">
        <v>429</v>
      </c>
      <c r="C155">
        <v>20</v>
      </c>
      <c r="D155">
        <v>20230106</v>
      </c>
      <c r="E155">
        <f t="shared" si="2"/>
        <v>1</v>
      </c>
      <c r="F155">
        <v>411100</v>
      </c>
      <c r="G155" t="s">
        <v>18</v>
      </c>
      <c r="H155" t="s">
        <v>320</v>
      </c>
      <c r="I155" t="s">
        <v>321</v>
      </c>
      <c r="J155">
        <v>122120011</v>
      </c>
      <c r="K155">
        <v>20230106</v>
      </c>
      <c r="L155" t="s">
        <v>4853</v>
      </c>
      <c r="M155">
        <v>0</v>
      </c>
      <c r="N155">
        <v>26.86</v>
      </c>
      <c r="O155" t="s">
        <v>19</v>
      </c>
      <c r="P155" t="s">
        <v>20</v>
      </c>
      <c r="Q155">
        <v>20230106</v>
      </c>
    </row>
    <row r="156" spans="1:17" x14ac:dyDescent="0.25">
      <c r="A156" t="s">
        <v>548</v>
      </c>
      <c r="B156" t="s">
        <v>429</v>
      </c>
      <c r="C156">
        <v>20</v>
      </c>
      <c r="D156">
        <v>20230106</v>
      </c>
      <c r="E156">
        <f t="shared" si="2"/>
        <v>1</v>
      </c>
      <c r="F156">
        <v>411100</v>
      </c>
      <c r="G156" t="s">
        <v>18</v>
      </c>
      <c r="H156" t="s">
        <v>320</v>
      </c>
      <c r="I156" t="s">
        <v>321</v>
      </c>
      <c r="J156">
        <v>122120011</v>
      </c>
      <c r="K156">
        <v>20230106</v>
      </c>
      <c r="L156" t="s">
        <v>4854</v>
      </c>
      <c r="M156">
        <v>10.95</v>
      </c>
      <c r="N156">
        <v>0</v>
      </c>
      <c r="O156" t="s">
        <v>22</v>
      </c>
      <c r="P156">
        <v>20230218</v>
      </c>
      <c r="Q156">
        <v>20230106</v>
      </c>
    </row>
    <row r="157" spans="1:17" x14ac:dyDescent="0.25">
      <c r="A157" t="s">
        <v>548</v>
      </c>
      <c r="B157" t="s">
        <v>429</v>
      </c>
      <c r="C157">
        <v>20</v>
      </c>
      <c r="D157">
        <v>20230106</v>
      </c>
      <c r="E157">
        <f t="shared" si="2"/>
        <v>1</v>
      </c>
      <c r="F157">
        <v>531105</v>
      </c>
      <c r="G157" t="s">
        <v>429</v>
      </c>
      <c r="H157" t="s">
        <v>401</v>
      </c>
      <c r="I157" t="s">
        <v>402</v>
      </c>
      <c r="J157">
        <v>362824</v>
      </c>
      <c r="K157">
        <v>20230106</v>
      </c>
      <c r="L157" t="s">
        <v>565</v>
      </c>
      <c r="M157">
        <v>214.31</v>
      </c>
      <c r="N157">
        <v>0</v>
      </c>
      <c r="O157" t="s">
        <v>19</v>
      </c>
      <c r="P157" t="s">
        <v>20</v>
      </c>
      <c r="Q157">
        <v>20230106</v>
      </c>
    </row>
    <row r="158" spans="1:17" x14ac:dyDescent="0.25">
      <c r="A158" t="s">
        <v>548</v>
      </c>
      <c r="B158" t="s">
        <v>429</v>
      </c>
      <c r="C158">
        <v>20</v>
      </c>
      <c r="D158">
        <v>20230106</v>
      </c>
      <c r="E158">
        <f t="shared" si="2"/>
        <v>1</v>
      </c>
      <c r="F158">
        <v>411100</v>
      </c>
      <c r="G158" t="s">
        <v>18</v>
      </c>
      <c r="H158" t="s">
        <v>352</v>
      </c>
      <c r="I158" t="s">
        <v>353</v>
      </c>
      <c r="J158">
        <v>363187</v>
      </c>
      <c r="K158">
        <v>20230106</v>
      </c>
      <c r="L158" t="s">
        <v>4855</v>
      </c>
      <c r="M158">
        <v>0</v>
      </c>
      <c r="N158">
        <v>327.49</v>
      </c>
      <c r="O158" t="s">
        <v>19</v>
      </c>
      <c r="P158" t="s">
        <v>20</v>
      </c>
      <c r="Q158">
        <v>20230106</v>
      </c>
    </row>
    <row r="159" spans="1:17" x14ac:dyDescent="0.25">
      <c r="A159" t="s">
        <v>548</v>
      </c>
      <c r="B159" t="s">
        <v>429</v>
      </c>
      <c r="C159">
        <v>20</v>
      </c>
      <c r="D159">
        <v>20230106</v>
      </c>
      <c r="E159">
        <f t="shared" si="2"/>
        <v>1</v>
      </c>
      <c r="F159">
        <v>411010</v>
      </c>
      <c r="G159" t="s">
        <v>87</v>
      </c>
      <c r="H159" t="s">
        <v>377</v>
      </c>
      <c r="I159" t="s">
        <v>378</v>
      </c>
      <c r="J159">
        <v>222110017</v>
      </c>
      <c r="K159">
        <v>20230106</v>
      </c>
      <c r="L159" t="s">
        <v>4856</v>
      </c>
      <c r="M159">
        <v>0</v>
      </c>
      <c r="N159">
        <v>60</v>
      </c>
      <c r="O159" t="s">
        <v>19</v>
      </c>
      <c r="P159" t="s">
        <v>20</v>
      </c>
      <c r="Q159">
        <v>20230106</v>
      </c>
    </row>
    <row r="160" spans="1:17" x14ac:dyDescent="0.25">
      <c r="A160" t="s">
        <v>548</v>
      </c>
      <c r="B160" t="s">
        <v>429</v>
      </c>
      <c r="C160">
        <v>20</v>
      </c>
      <c r="D160">
        <v>20230106</v>
      </c>
      <c r="E160">
        <f t="shared" si="2"/>
        <v>1</v>
      </c>
      <c r="F160">
        <v>411010</v>
      </c>
      <c r="G160" t="s">
        <v>87</v>
      </c>
      <c r="H160" t="s">
        <v>377</v>
      </c>
      <c r="I160" t="s">
        <v>378</v>
      </c>
      <c r="J160">
        <v>363189</v>
      </c>
      <c r="K160">
        <v>20230106</v>
      </c>
      <c r="L160" t="s">
        <v>4857</v>
      </c>
      <c r="M160">
        <v>0</v>
      </c>
      <c r="N160">
        <v>47.12</v>
      </c>
      <c r="O160" t="s">
        <v>19</v>
      </c>
      <c r="P160" t="s">
        <v>20</v>
      </c>
      <c r="Q160">
        <v>20230106</v>
      </c>
    </row>
    <row r="161" spans="1:17" x14ac:dyDescent="0.25">
      <c r="A161" t="s">
        <v>548</v>
      </c>
      <c r="B161" t="s">
        <v>429</v>
      </c>
      <c r="C161">
        <v>20</v>
      </c>
      <c r="D161">
        <v>20230106</v>
      </c>
      <c r="E161">
        <f t="shared" si="2"/>
        <v>1</v>
      </c>
      <c r="F161">
        <v>531105</v>
      </c>
      <c r="G161" t="s">
        <v>429</v>
      </c>
      <c r="H161" t="s">
        <v>401</v>
      </c>
      <c r="I161" t="s">
        <v>402</v>
      </c>
      <c r="J161">
        <v>363190</v>
      </c>
      <c r="K161">
        <v>20230106</v>
      </c>
      <c r="L161" t="s">
        <v>565</v>
      </c>
      <c r="M161">
        <v>434.61</v>
      </c>
      <c r="N161">
        <v>0</v>
      </c>
      <c r="O161" t="s">
        <v>19</v>
      </c>
      <c r="P161" t="s">
        <v>20</v>
      </c>
      <c r="Q161">
        <v>20230106</v>
      </c>
    </row>
    <row r="162" spans="1:17" x14ac:dyDescent="0.25">
      <c r="A162" t="s">
        <v>548</v>
      </c>
      <c r="B162" t="s">
        <v>429</v>
      </c>
      <c r="C162">
        <v>20</v>
      </c>
      <c r="D162">
        <v>20230106</v>
      </c>
      <c r="E162">
        <f t="shared" si="2"/>
        <v>1</v>
      </c>
      <c r="F162">
        <v>411100</v>
      </c>
      <c r="G162" t="s">
        <v>18</v>
      </c>
      <c r="H162" t="s">
        <v>85</v>
      </c>
      <c r="I162" t="s">
        <v>86</v>
      </c>
      <c r="J162">
        <v>322120001</v>
      </c>
      <c r="K162">
        <v>20230106</v>
      </c>
      <c r="L162" t="s">
        <v>4858</v>
      </c>
      <c r="M162">
        <v>0</v>
      </c>
      <c r="N162">
        <v>49.49</v>
      </c>
      <c r="O162" t="s">
        <v>22</v>
      </c>
      <c r="P162">
        <v>20230218</v>
      </c>
      <c r="Q162">
        <v>20230106</v>
      </c>
    </row>
    <row r="163" spans="1:17" x14ac:dyDescent="0.25">
      <c r="A163" t="s">
        <v>548</v>
      </c>
      <c r="B163" t="s">
        <v>429</v>
      </c>
      <c r="C163">
        <v>20</v>
      </c>
      <c r="D163">
        <v>20230106</v>
      </c>
      <c r="E163">
        <f t="shared" si="2"/>
        <v>1</v>
      </c>
      <c r="F163">
        <v>411100</v>
      </c>
      <c r="G163" t="s">
        <v>18</v>
      </c>
      <c r="H163" t="s">
        <v>85</v>
      </c>
      <c r="I163" t="s">
        <v>86</v>
      </c>
      <c r="J163">
        <v>322120001</v>
      </c>
      <c r="K163">
        <v>20230106</v>
      </c>
      <c r="L163" t="s">
        <v>4859</v>
      </c>
      <c r="M163">
        <v>0</v>
      </c>
      <c r="N163">
        <v>0.51</v>
      </c>
      <c r="O163" t="s">
        <v>19</v>
      </c>
      <c r="P163" t="s">
        <v>20</v>
      </c>
      <c r="Q163">
        <v>20230106</v>
      </c>
    </row>
    <row r="164" spans="1:17" x14ac:dyDescent="0.25">
      <c r="A164" t="s">
        <v>548</v>
      </c>
      <c r="B164" t="s">
        <v>429</v>
      </c>
      <c r="C164">
        <v>20</v>
      </c>
      <c r="D164">
        <v>20230106</v>
      </c>
      <c r="E164">
        <f t="shared" si="2"/>
        <v>1</v>
      </c>
      <c r="F164">
        <v>411100</v>
      </c>
      <c r="G164" t="s">
        <v>18</v>
      </c>
      <c r="H164" t="s">
        <v>3216</v>
      </c>
      <c r="I164" t="s">
        <v>3217</v>
      </c>
      <c r="J164">
        <v>322120009</v>
      </c>
      <c r="K164">
        <v>20230106</v>
      </c>
      <c r="L164" t="s">
        <v>4860</v>
      </c>
      <c r="M164">
        <v>0</v>
      </c>
      <c r="N164">
        <v>23.22</v>
      </c>
      <c r="O164" t="s">
        <v>22</v>
      </c>
      <c r="P164">
        <v>20230218</v>
      </c>
      <c r="Q164">
        <v>20230106</v>
      </c>
    </row>
    <row r="165" spans="1:17" x14ac:dyDescent="0.25">
      <c r="A165" t="s">
        <v>548</v>
      </c>
      <c r="B165" t="s">
        <v>429</v>
      </c>
      <c r="C165">
        <v>20</v>
      </c>
      <c r="D165">
        <v>20230106</v>
      </c>
      <c r="E165">
        <f t="shared" si="2"/>
        <v>1</v>
      </c>
      <c r="F165">
        <v>411100</v>
      </c>
      <c r="G165" t="s">
        <v>18</v>
      </c>
      <c r="H165" t="s">
        <v>3216</v>
      </c>
      <c r="I165" t="s">
        <v>3217</v>
      </c>
      <c r="J165">
        <v>322120009</v>
      </c>
      <c r="K165">
        <v>20230106</v>
      </c>
      <c r="L165" t="s">
        <v>4861</v>
      </c>
      <c r="M165">
        <v>0</v>
      </c>
      <c r="N165">
        <v>0.08</v>
      </c>
      <c r="O165" t="s">
        <v>19</v>
      </c>
      <c r="P165" t="s">
        <v>20</v>
      </c>
      <c r="Q165">
        <v>20230106</v>
      </c>
    </row>
    <row r="166" spans="1:17" x14ac:dyDescent="0.25">
      <c r="A166" t="s">
        <v>548</v>
      </c>
      <c r="B166" t="s">
        <v>429</v>
      </c>
      <c r="C166">
        <v>20</v>
      </c>
      <c r="D166">
        <v>20230106</v>
      </c>
      <c r="E166">
        <f t="shared" si="2"/>
        <v>1</v>
      </c>
      <c r="F166">
        <v>531105</v>
      </c>
      <c r="G166" t="s">
        <v>429</v>
      </c>
      <c r="H166" t="s">
        <v>401</v>
      </c>
      <c r="I166" t="s">
        <v>402</v>
      </c>
      <c r="J166">
        <v>363260</v>
      </c>
      <c r="K166">
        <v>20230106</v>
      </c>
      <c r="L166" t="s">
        <v>565</v>
      </c>
      <c r="M166">
        <v>73.3</v>
      </c>
      <c r="N166">
        <v>0</v>
      </c>
      <c r="O166" t="s">
        <v>19</v>
      </c>
      <c r="P166" t="s">
        <v>20</v>
      </c>
      <c r="Q166">
        <v>20230106</v>
      </c>
    </row>
    <row r="167" spans="1:17" x14ac:dyDescent="0.25">
      <c r="A167" t="s">
        <v>548</v>
      </c>
      <c r="B167" t="s">
        <v>429</v>
      </c>
      <c r="C167">
        <v>20</v>
      </c>
      <c r="D167">
        <v>20230109</v>
      </c>
      <c r="E167">
        <f t="shared" si="2"/>
        <v>1</v>
      </c>
      <c r="F167">
        <v>411100</v>
      </c>
      <c r="G167" t="s">
        <v>18</v>
      </c>
      <c r="H167" t="s">
        <v>4862</v>
      </c>
      <c r="I167" t="s">
        <v>4863</v>
      </c>
      <c r="J167">
        <v>362825</v>
      </c>
      <c r="K167">
        <v>20230109</v>
      </c>
      <c r="L167" t="s">
        <v>4864</v>
      </c>
      <c r="M167">
        <v>0</v>
      </c>
      <c r="N167">
        <v>27</v>
      </c>
      <c r="O167" t="s">
        <v>19</v>
      </c>
      <c r="P167" t="s">
        <v>20</v>
      </c>
      <c r="Q167">
        <v>20230109</v>
      </c>
    </row>
    <row r="168" spans="1:17" x14ac:dyDescent="0.25">
      <c r="A168" t="s">
        <v>548</v>
      </c>
      <c r="B168" t="s">
        <v>429</v>
      </c>
      <c r="C168">
        <v>20</v>
      </c>
      <c r="D168">
        <v>20230109</v>
      </c>
      <c r="E168">
        <f t="shared" si="2"/>
        <v>1</v>
      </c>
      <c r="F168">
        <v>411100</v>
      </c>
      <c r="G168" t="s">
        <v>18</v>
      </c>
      <c r="H168" t="s">
        <v>997</v>
      </c>
      <c r="I168" t="s">
        <v>998</v>
      </c>
      <c r="J168">
        <v>362826</v>
      </c>
      <c r="K168">
        <v>20230109</v>
      </c>
      <c r="L168" t="s">
        <v>4865</v>
      </c>
      <c r="M168">
        <v>0</v>
      </c>
      <c r="N168">
        <v>2</v>
      </c>
      <c r="O168" t="s">
        <v>19</v>
      </c>
      <c r="P168" t="s">
        <v>20</v>
      </c>
      <c r="Q168">
        <v>20230109</v>
      </c>
    </row>
    <row r="169" spans="1:17" x14ac:dyDescent="0.25">
      <c r="A169" t="s">
        <v>548</v>
      </c>
      <c r="B169" t="s">
        <v>429</v>
      </c>
      <c r="C169">
        <v>20</v>
      </c>
      <c r="D169">
        <v>20230109</v>
      </c>
      <c r="E169">
        <f t="shared" si="2"/>
        <v>1</v>
      </c>
      <c r="F169">
        <v>411100</v>
      </c>
      <c r="G169" t="s">
        <v>18</v>
      </c>
      <c r="H169" t="s">
        <v>1417</v>
      </c>
      <c r="I169" t="s">
        <v>1418</v>
      </c>
      <c r="J169">
        <v>362827</v>
      </c>
      <c r="K169">
        <v>20230109</v>
      </c>
      <c r="L169" t="s">
        <v>4866</v>
      </c>
      <c r="M169">
        <v>0</v>
      </c>
      <c r="N169">
        <v>2</v>
      </c>
      <c r="O169" t="s">
        <v>19</v>
      </c>
      <c r="P169" t="s">
        <v>20</v>
      </c>
      <c r="Q169">
        <v>20230109</v>
      </c>
    </row>
    <row r="170" spans="1:17" x14ac:dyDescent="0.25">
      <c r="A170" t="s">
        <v>548</v>
      </c>
      <c r="B170" t="s">
        <v>429</v>
      </c>
      <c r="C170">
        <v>20</v>
      </c>
      <c r="D170">
        <v>20230109</v>
      </c>
      <c r="E170">
        <f t="shared" si="2"/>
        <v>1</v>
      </c>
      <c r="F170">
        <v>411100</v>
      </c>
      <c r="G170" t="s">
        <v>18</v>
      </c>
      <c r="H170" t="s">
        <v>1003</v>
      </c>
      <c r="I170" t="s">
        <v>1004</v>
      </c>
      <c r="J170">
        <v>362828</v>
      </c>
      <c r="K170">
        <v>20230109</v>
      </c>
      <c r="L170" t="s">
        <v>4867</v>
      </c>
      <c r="M170">
        <v>0</v>
      </c>
      <c r="N170">
        <v>2</v>
      </c>
      <c r="O170" t="s">
        <v>19</v>
      </c>
      <c r="P170" t="s">
        <v>20</v>
      </c>
      <c r="Q170">
        <v>20230109</v>
      </c>
    </row>
    <row r="171" spans="1:17" x14ac:dyDescent="0.25">
      <c r="A171" t="s">
        <v>548</v>
      </c>
      <c r="B171" t="s">
        <v>429</v>
      </c>
      <c r="C171">
        <v>20</v>
      </c>
      <c r="D171">
        <v>20230109</v>
      </c>
      <c r="E171">
        <f t="shared" si="2"/>
        <v>1</v>
      </c>
      <c r="F171">
        <v>411100</v>
      </c>
      <c r="G171" t="s">
        <v>18</v>
      </c>
      <c r="H171" t="s">
        <v>179</v>
      </c>
      <c r="I171" t="s">
        <v>180</v>
      </c>
      <c r="J171">
        <v>362829</v>
      </c>
      <c r="K171">
        <v>20230109</v>
      </c>
      <c r="L171" t="s">
        <v>4868</v>
      </c>
      <c r="M171">
        <v>0</v>
      </c>
      <c r="N171">
        <v>2</v>
      </c>
      <c r="O171" t="s">
        <v>19</v>
      </c>
      <c r="P171" t="s">
        <v>20</v>
      </c>
      <c r="Q171">
        <v>20230109</v>
      </c>
    </row>
    <row r="172" spans="1:17" x14ac:dyDescent="0.25">
      <c r="A172" t="s">
        <v>548</v>
      </c>
      <c r="B172" t="s">
        <v>429</v>
      </c>
      <c r="C172">
        <v>20</v>
      </c>
      <c r="D172">
        <v>20230109</v>
      </c>
      <c r="E172">
        <f t="shared" si="2"/>
        <v>1</v>
      </c>
      <c r="F172">
        <v>411100</v>
      </c>
      <c r="G172" t="s">
        <v>18</v>
      </c>
      <c r="H172" t="s">
        <v>1006</v>
      </c>
      <c r="I172" t="s">
        <v>1007</v>
      </c>
      <c r="J172">
        <v>362830</v>
      </c>
      <c r="K172">
        <v>20230109</v>
      </c>
      <c r="L172" t="s">
        <v>4869</v>
      </c>
      <c r="M172">
        <v>0</v>
      </c>
      <c r="N172">
        <v>2</v>
      </c>
      <c r="O172" t="s">
        <v>19</v>
      </c>
      <c r="P172" t="s">
        <v>20</v>
      </c>
      <c r="Q172">
        <v>20230109</v>
      </c>
    </row>
    <row r="173" spans="1:17" x14ac:dyDescent="0.25">
      <c r="A173" t="s">
        <v>548</v>
      </c>
      <c r="B173" t="s">
        <v>429</v>
      </c>
      <c r="C173">
        <v>20</v>
      </c>
      <c r="D173">
        <v>20230109</v>
      </c>
      <c r="E173">
        <f t="shared" si="2"/>
        <v>1</v>
      </c>
      <c r="F173">
        <v>411100</v>
      </c>
      <c r="G173" t="s">
        <v>18</v>
      </c>
      <c r="H173" t="s">
        <v>4870</v>
      </c>
      <c r="I173" t="s">
        <v>4871</v>
      </c>
      <c r="J173">
        <v>362831</v>
      </c>
      <c r="K173">
        <v>20230109</v>
      </c>
      <c r="L173" t="s">
        <v>4872</v>
      </c>
      <c r="M173">
        <v>0</v>
      </c>
      <c r="N173">
        <v>10</v>
      </c>
      <c r="O173" t="s">
        <v>22</v>
      </c>
      <c r="P173">
        <v>20230218</v>
      </c>
      <c r="Q173">
        <v>20230109</v>
      </c>
    </row>
    <row r="174" spans="1:17" x14ac:dyDescent="0.25">
      <c r="A174" t="s">
        <v>548</v>
      </c>
      <c r="B174" t="s">
        <v>429</v>
      </c>
      <c r="C174">
        <v>20</v>
      </c>
      <c r="D174">
        <v>20230109</v>
      </c>
      <c r="E174">
        <f t="shared" si="2"/>
        <v>1</v>
      </c>
      <c r="F174">
        <v>411100</v>
      </c>
      <c r="G174" t="s">
        <v>18</v>
      </c>
      <c r="H174" t="s">
        <v>4873</v>
      </c>
      <c r="I174" t="s">
        <v>4874</v>
      </c>
      <c r="J174">
        <v>362832</v>
      </c>
      <c r="K174">
        <v>20230109</v>
      </c>
      <c r="L174" t="s">
        <v>4875</v>
      </c>
      <c r="M174">
        <v>0</v>
      </c>
      <c r="N174">
        <v>22</v>
      </c>
      <c r="O174" t="s">
        <v>19</v>
      </c>
      <c r="P174" t="s">
        <v>20</v>
      </c>
      <c r="Q174">
        <v>20230109</v>
      </c>
    </row>
    <row r="175" spans="1:17" x14ac:dyDescent="0.25">
      <c r="A175" t="s">
        <v>548</v>
      </c>
      <c r="B175" t="s">
        <v>429</v>
      </c>
      <c r="C175">
        <v>20</v>
      </c>
      <c r="D175">
        <v>20230109</v>
      </c>
      <c r="E175">
        <f t="shared" si="2"/>
        <v>1</v>
      </c>
      <c r="F175">
        <v>411100</v>
      </c>
      <c r="G175" t="s">
        <v>18</v>
      </c>
      <c r="H175" t="s">
        <v>4876</v>
      </c>
      <c r="I175" t="s">
        <v>4877</v>
      </c>
      <c r="J175">
        <v>362833</v>
      </c>
      <c r="K175">
        <v>20230109</v>
      </c>
      <c r="L175" t="s">
        <v>4878</v>
      </c>
      <c r="M175">
        <v>0</v>
      </c>
      <c r="N175">
        <v>13</v>
      </c>
      <c r="O175" t="s">
        <v>19</v>
      </c>
      <c r="P175" t="s">
        <v>20</v>
      </c>
      <c r="Q175">
        <v>20230109</v>
      </c>
    </row>
    <row r="176" spans="1:17" x14ac:dyDescent="0.25">
      <c r="A176" t="s">
        <v>548</v>
      </c>
      <c r="B176" t="s">
        <v>429</v>
      </c>
      <c r="C176">
        <v>20</v>
      </c>
      <c r="D176">
        <v>20230109</v>
      </c>
      <c r="E176">
        <f t="shared" si="2"/>
        <v>1</v>
      </c>
      <c r="F176">
        <v>531105</v>
      </c>
      <c r="G176" t="s">
        <v>429</v>
      </c>
      <c r="H176" t="s">
        <v>401</v>
      </c>
      <c r="I176" t="s">
        <v>402</v>
      </c>
      <c r="J176">
        <v>362834</v>
      </c>
      <c r="K176">
        <v>20230109</v>
      </c>
      <c r="L176" t="s">
        <v>565</v>
      </c>
      <c r="M176">
        <v>82</v>
      </c>
      <c r="N176">
        <v>0</v>
      </c>
      <c r="O176" t="s">
        <v>19</v>
      </c>
      <c r="P176" t="s">
        <v>20</v>
      </c>
      <c r="Q176">
        <v>20230109</v>
      </c>
    </row>
    <row r="177" spans="1:17" x14ac:dyDescent="0.25">
      <c r="A177" t="s">
        <v>548</v>
      </c>
      <c r="B177" t="s">
        <v>429</v>
      </c>
      <c r="C177">
        <v>20</v>
      </c>
      <c r="D177">
        <v>20230109</v>
      </c>
      <c r="E177">
        <f t="shared" si="2"/>
        <v>1</v>
      </c>
      <c r="F177">
        <v>411020</v>
      </c>
      <c r="G177" t="s">
        <v>30</v>
      </c>
      <c r="H177" t="s">
        <v>3631</v>
      </c>
      <c r="I177" t="s">
        <v>3632</v>
      </c>
      <c r="J177">
        <v>322120002</v>
      </c>
      <c r="K177">
        <v>20230109</v>
      </c>
      <c r="L177" t="s">
        <v>4879</v>
      </c>
      <c r="M177">
        <v>0</v>
      </c>
      <c r="N177">
        <v>75.8</v>
      </c>
      <c r="O177" t="s">
        <v>23</v>
      </c>
      <c r="P177">
        <v>20230218</v>
      </c>
      <c r="Q177">
        <v>20230109</v>
      </c>
    </row>
    <row r="178" spans="1:17" x14ac:dyDescent="0.25">
      <c r="A178" t="s">
        <v>548</v>
      </c>
      <c r="B178" t="s">
        <v>429</v>
      </c>
      <c r="C178">
        <v>20</v>
      </c>
      <c r="D178">
        <v>20230109</v>
      </c>
      <c r="E178">
        <f t="shared" si="2"/>
        <v>1</v>
      </c>
      <c r="F178">
        <v>411020</v>
      </c>
      <c r="G178" t="s">
        <v>30</v>
      </c>
      <c r="H178" t="s">
        <v>3631</v>
      </c>
      <c r="I178" t="s">
        <v>3632</v>
      </c>
      <c r="J178">
        <v>322120002</v>
      </c>
      <c r="K178">
        <v>20230109</v>
      </c>
      <c r="L178" t="s">
        <v>4880</v>
      </c>
      <c r="M178">
        <v>0</v>
      </c>
      <c r="N178">
        <v>4.2</v>
      </c>
      <c r="O178" t="s">
        <v>19</v>
      </c>
      <c r="P178" t="s">
        <v>20</v>
      </c>
      <c r="Q178">
        <v>20230109</v>
      </c>
    </row>
    <row r="179" spans="1:17" x14ac:dyDescent="0.25">
      <c r="A179" t="s">
        <v>548</v>
      </c>
      <c r="B179" t="s">
        <v>429</v>
      </c>
      <c r="C179">
        <v>20</v>
      </c>
      <c r="D179">
        <v>20230109</v>
      </c>
      <c r="E179">
        <f t="shared" si="2"/>
        <v>1</v>
      </c>
      <c r="F179">
        <v>411020</v>
      </c>
      <c r="G179" t="s">
        <v>30</v>
      </c>
      <c r="H179" t="s">
        <v>332</v>
      </c>
      <c r="I179" t="s">
        <v>333</v>
      </c>
      <c r="J179">
        <v>322120006</v>
      </c>
      <c r="K179">
        <v>20230109</v>
      </c>
      <c r="L179" t="s">
        <v>4881</v>
      </c>
      <c r="M179">
        <v>0</v>
      </c>
      <c r="N179">
        <v>49.12</v>
      </c>
      <c r="O179" t="s">
        <v>22</v>
      </c>
      <c r="P179">
        <v>20230218</v>
      </c>
      <c r="Q179">
        <v>20230109</v>
      </c>
    </row>
    <row r="180" spans="1:17" x14ac:dyDescent="0.25">
      <c r="A180" t="s">
        <v>548</v>
      </c>
      <c r="B180" t="s">
        <v>429</v>
      </c>
      <c r="C180">
        <v>20</v>
      </c>
      <c r="D180">
        <v>20230109</v>
      </c>
      <c r="E180">
        <f t="shared" si="2"/>
        <v>1</v>
      </c>
      <c r="F180">
        <v>411020</v>
      </c>
      <c r="G180" t="s">
        <v>30</v>
      </c>
      <c r="H180" t="s">
        <v>332</v>
      </c>
      <c r="I180" t="s">
        <v>333</v>
      </c>
      <c r="J180">
        <v>322120006</v>
      </c>
      <c r="K180">
        <v>20230109</v>
      </c>
      <c r="L180" t="s">
        <v>4882</v>
      </c>
      <c r="M180">
        <v>0</v>
      </c>
      <c r="N180">
        <v>0.88</v>
      </c>
      <c r="O180" t="s">
        <v>19</v>
      </c>
      <c r="P180" t="s">
        <v>20</v>
      </c>
      <c r="Q180">
        <v>20230109</v>
      </c>
    </row>
    <row r="181" spans="1:17" x14ac:dyDescent="0.25">
      <c r="A181" t="s">
        <v>548</v>
      </c>
      <c r="B181" t="s">
        <v>429</v>
      </c>
      <c r="C181">
        <v>20</v>
      </c>
      <c r="D181">
        <v>20230109</v>
      </c>
      <c r="E181">
        <f t="shared" si="2"/>
        <v>1</v>
      </c>
      <c r="F181">
        <v>411020</v>
      </c>
      <c r="G181" t="s">
        <v>30</v>
      </c>
      <c r="H181" t="s">
        <v>3633</v>
      </c>
      <c r="I181" t="s">
        <v>3634</v>
      </c>
      <c r="J181">
        <v>322120004</v>
      </c>
      <c r="K181">
        <v>20230109</v>
      </c>
      <c r="L181" t="s">
        <v>4883</v>
      </c>
      <c r="M181">
        <v>0</v>
      </c>
      <c r="N181">
        <v>51.65</v>
      </c>
      <c r="O181" t="s">
        <v>22</v>
      </c>
      <c r="P181">
        <v>20230218</v>
      </c>
      <c r="Q181">
        <v>20230109</v>
      </c>
    </row>
    <row r="182" spans="1:17" x14ac:dyDescent="0.25">
      <c r="A182" t="s">
        <v>548</v>
      </c>
      <c r="B182" t="s">
        <v>429</v>
      </c>
      <c r="C182">
        <v>20</v>
      </c>
      <c r="D182">
        <v>20230109</v>
      </c>
      <c r="E182">
        <f t="shared" si="2"/>
        <v>1</v>
      </c>
      <c r="F182">
        <v>531105</v>
      </c>
      <c r="G182" t="s">
        <v>429</v>
      </c>
      <c r="H182" t="s">
        <v>401</v>
      </c>
      <c r="I182" t="s">
        <v>402</v>
      </c>
      <c r="J182">
        <v>363266</v>
      </c>
      <c r="K182">
        <v>20230109</v>
      </c>
      <c r="L182" t="s">
        <v>565</v>
      </c>
      <c r="M182">
        <v>181.65</v>
      </c>
      <c r="N182">
        <v>0</v>
      </c>
      <c r="O182" t="s">
        <v>19</v>
      </c>
      <c r="P182" t="s">
        <v>20</v>
      </c>
      <c r="Q182">
        <v>20230109</v>
      </c>
    </row>
    <row r="183" spans="1:17" x14ac:dyDescent="0.25">
      <c r="A183" t="s">
        <v>548</v>
      </c>
      <c r="B183" t="s">
        <v>429</v>
      </c>
      <c r="C183">
        <v>20</v>
      </c>
      <c r="D183">
        <v>20230110</v>
      </c>
      <c r="E183">
        <f t="shared" si="2"/>
        <v>1</v>
      </c>
      <c r="F183">
        <v>411100</v>
      </c>
      <c r="G183" t="s">
        <v>18</v>
      </c>
      <c r="H183" t="s">
        <v>947</v>
      </c>
      <c r="I183" t="s">
        <v>948</v>
      </c>
      <c r="J183">
        <v>122110137</v>
      </c>
      <c r="K183">
        <v>20230110</v>
      </c>
      <c r="L183" t="s">
        <v>4884</v>
      </c>
      <c r="M183">
        <v>0</v>
      </c>
      <c r="N183">
        <v>148.46</v>
      </c>
      <c r="O183" t="s">
        <v>19</v>
      </c>
      <c r="P183" t="s">
        <v>20</v>
      </c>
      <c r="Q183">
        <v>20230110</v>
      </c>
    </row>
    <row r="184" spans="1:17" x14ac:dyDescent="0.25">
      <c r="A184" t="s">
        <v>548</v>
      </c>
      <c r="B184" t="s">
        <v>429</v>
      </c>
      <c r="C184">
        <v>20</v>
      </c>
      <c r="D184">
        <v>20230110</v>
      </c>
      <c r="E184">
        <f t="shared" si="2"/>
        <v>1</v>
      </c>
      <c r="F184">
        <v>531105</v>
      </c>
      <c r="G184" t="s">
        <v>429</v>
      </c>
      <c r="H184" t="s">
        <v>401</v>
      </c>
      <c r="I184" t="s">
        <v>402</v>
      </c>
      <c r="J184">
        <v>362836</v>
      </c>
      <c r="K184">
        <v>20230110</v>
      </c>
      <c r="L184" t="s">
        <v>565</v>
      </c>
      <c r="M184">
        <v>148.46</v>
      </c>
      <c r="N184">
        <v>0</v>
      </c>
      <c r="O184" t="s">
        <v>19</v>
      </c>
      <c r="P184" t="s">
        <v>20</v>
      </c>
      <c r="Q184">
        <v>20230110</v>
      </c>
    </row>
    <row r="185" spans="1:17" x14ac:dyDescent="0.25">
      <c r="A185" t="s">
        <v>548</v>
      </c>
      <c r="B185" t="s">
        <v>429</v>
      </c>
      <c r="C185">
        <v>20</v>
      </c>
      <c r="D185">
        <v>20230111</v>
      </c>
      <c r="E185">
        <f t="shared" si="2"/>
        <v>1</v>
      </c>
      <c r="F185">
        <v>580000</v>
      </c>
      <c r="G185" t="s">
        <v>532</v>
      </c>
      <c r="H185" t="s">
        <v>401</v>
      </c>
      <c r="I185" t="s">
        <v>402</v>
      </c>
      <c r="J185" t="s">
        <v>4885</v>
      </c>
      <c r="K185">
        <v>20230111</v>
      </c>
      <c r="L185" t="s">
        <v>625</v>
      </c>
      <c r="M185">
        <v>2150</v>
      </c>
      <c r="N185">
        <v>0</v>
      </c>
      <c r="O185" t="s">
        <v>22</v>
      </c>
      <c r="P185">
        <v>20230111</v>
      </c>
      <c r="Q185">
        <v>20230111</v>
      </c>
    </row>
    <row r="186" spans="1:17" x14ac:dyDescent="0.25">
      <c r="A186" t="s">
        <v>548</v>
      </c>
      <c r="B186" t="s">
        <v>429</v>
      </c>
      <c r="C186">
        <v>20</v>
      </c>
      <c r="D186">
        <v>20230111</v>
      </c>
      <c r="E186">
        <f t="shared" si="2"/>
        <v>1</v>
      </c>
      <c r="F186">
        <v>531105</v>
      </c>
      <c r="G186" t="s">
        <v>429</v>
      </c>
      <c r="H186" t="s">
        <v>401</v>
      </c>
      <c r="I186" t="s">
        <v>402</v>
      </c>
      <c r="J186" t="s">
        <v>4885</v>
      </c>
      <c r="K186">
        <v>20230111</v>
      </c>
      <c r="L186" t="s">
        <v>625</v>
      </c>
      <c r="M186">
        <v>0</v>
      </c>
      <c r="N186">
        <v>2150</v>
      </c>
      <c r="O186" t="s">
        <v>19</v>
      </c>
      <c r="P186" t="s">
        <v>20</v>
      </c>
      <c r="Q186">
        <v>20230111</v>
      </c>
    </row>
    <row r="187" spans="1:17" x14ac:dyDescent="0.25">
      <c r="A187" t="s">
        <v>548</v>
      </c>
      <c r="B187" t="s">
        <v>429</v>
      </c>
      <c r="C187">
        <v>20</v>
      </c>
      <c r="D187">
        <v>20230111</v>
      </c>
      <c r="E187">
        <f t="shared" si="2"/>
        <v>1</v>
      </c>
      <c r="F187">
        <v>467100</v>
      </c>
      <c r="G187" t="s">
        <v>160</v>
      </c>
      <c r="H187" t="s">
        <v>1201</v>
      </c>
      <c r="I187" t="s">
        <v>1202</v>
      </c>
      <c r="J187" t="s">
        <v>4886</v>
      </c>
      <c r="K187">
        <v>20230111</v>
      </c>
      <c r="L187" t="s">
        <v>4887</v>
      </c>
      <c r="M187">
        <v>28.51</v>
      </c>
      <c r="N187">
        <v>0</v>
      </c>
      <c r="O187" t="s">
        <v>23</v>
      </c>
      <c r="P187">
        <v>20230220</v>
      </c>
      <c r="Q187">
        <v>20230111</v>
      </c>
    </row>
    <row r="188" spans="1:17" x14ac:dyDescent="0.25">
      <c r="A188" t="s">
        <v>548</v>
      </c>
      <c r="B188" t="s">
        <v>429</v>
      </c>
      <c r="C188">
        <v>20</v>
      </c>
      <c r="D188">
        <v>20230111</v>
      </c>
      <c r="E188">
        <f t="shared" si="2"/>
        <v>1</v>
      </c>
      <c r="F188">
        <v>531105</v>
      </c>
      <c r="G188" t="s">
        <v>429</v>
      </c>
      <c r="H188" t="s">
        <v>401</v>
      </c>
      <c r="I188" t="s">
        <v>402</v>
      </c>
      <c r="J188" t="s">
        <v>4886</v>
      </c>
      <c r="K188">
        <v>20230111</v>
      </c>
      <c r="L188" t="s">
        <v>4887</v>
      </c>
      <c r="M188">
        <v>0</v>
      </c>
      <c r="N188">
        <v>28.51</v>
      </c>
      <c r="O188" t="s">
        <v>19</v>
      </c>
      <c r="P188" t="s">
        <v>20</v>
      </c>
      <c r="Q188">
        <v>20230111</v>
      </c>
    </row>
    <row r="189" spans="1:17" x14ac:dyDescent="0.25">
      <c r="A189" t="s">
        <v>548</v>
      </c>
      <c r="B189" t="s">
        <v>429</v>
      </c>
      <c r="C189">
        <v>20</v>
      </c>
      <c r="D189">
        <v>20230111</v>
      </c>
      <c r="E189">
        <f t="shared" si="2"/>
        <v>1</v>
      </c>
      <c r="F189">
        <v>411100</v>
      </c>
      <c r="G189" t="s">
        <v>18</v>
      </c>
      <c r="H189" t="s">
        <v>3658</v>
      </c>
      <c r="I189" t="s">
        <v>3659</v>
      </c>
      <c r="J189">
        <v>363414</v>
      </c>
      <c r="K189">
        <v>20230111</v>
      </c>
      <c r="L189" t="s">
        <v>4888</v>
      </c>
      <c r="M189">
        <v>0</v>
      </c>
      <c r="N189">
        <v>37.6</v>
      </c>
      <c r="O189" t="s">
        <v>19</v>
      </c>
      <c r="P189" t="s">
        <v>20</v>
      </c>
      <c r="Q189">
        <v>20230111</v>
      </c>
    </row>
    <row r="190" spans="1:17" x14ac:dyDescent="0.25">
      <c r="A190" t="s">
        <v>548</v>
      </c>
      <c r="B190" t="s">
        <v>429</v>
      </c>
      <c r="C190">
        <v>20</v>
      </c>
      <c r="D190">
        <v>20230111</v>
      </c>
      <c r="E190">
        <f t="shared" si="2"/>
        <v>1</v>
      </c>
      <c r="F190">
        <v>411100</v>
      </c>
      <c r="G190" t="s">
        <v>18</v>
      </c>
      <c r="H190" t="s">
        <v>3658</v>
      </c>
      <c r="I190" t="s">
        <v>3659</v>
      </c>
      <c r="J190">
        <v>363415</v>
      </c>
      <c r="K190">
        <v>20230111</v>
      </c>
      <c r="L190" t="s">
        <v>4889</v>
      </c>
      <c r="M190">
        <v>0.56000000000000005</v>
      </c>
      <c r="N190">
        <v>0</v>
      </c>
      <c r="O190" t="s">
        <v>22</v>
      </c>
      <c r="P190">
        <v>20230218</v>
      </c>
      <c r="Q190">
        <v>20230111</v>
      </c>
    </row>
    <row r="191" spans="1:17" x14ac:dyDescent="0.25">
      <c r="A191" t="s">
        <v>548</v>
      </c>
      <c r="B191" t="s">
        <v>429</v>
      </c>
      <c r="C191">
        <v>20</v>
      </c>
      <c r="D191">
        <v>20230111</v>
      </c>
      <c r="E191">
        <f t="shared" si="2"/>
        <v>1</v>
      </c>
      <c r="F191">
        <v>411000</v>
      </c>
      <c r="G191" t="s">
        <v>21</v>
      </c>
      <c r="H191" t="s">
        <v>4890</v>
      </c>
      <c r="I191" t="s">
        <v>4891</v>
      </c>
      <c r="J191">
        <v>363416</v>
      </c>
      <c r="K191">
        <v>20230111</v>
      </c>
      <c r="L191" t="s">
        <v>4892</v>
      </c>
      <c r="M191">
        <v>0</v>
      </c>
      <c r="N191">
        <v>58.7</v>
      </c>
      <c r="O191" t="s">
        <v>19</v>
      </c>
      <c r="P191" t="s">
        <v>20</v>
      </c>
      <c r="Q191">
        <v>20230111</v>
      </c>
    </row>
    <row r="192" spans="1:17" x14ac:dyDescent="0.25">
      <c r="A192" t="s">
        <v>548</v>
      </c>
      <c r="B192" t="s">
        <v>429</v>
      </c>
      <c r="C192">
        <v>20</v>
      </c>
      <c r="D192">
        <v>20230111</v>
      </c>
      <c r="E192">
        <f t="shared" si="2"/>
        <v>1</v>
      </c>
      <c r="F192">
        <v>411020</v>
      </c>
      <c r="G192" t="s">
        <v>30</v>
      </c>
      <c r="H192" t="s">
        <v>307</v>
      </c>
      <c r="I192" t="s">
        <v>308</v>
      </c>
      <c r="J192">
        <v>122110179</v>
      </c>
      <c r="K192">
        <v>20230111</v>
      </c>
      <c r="L192" t="s">
        <v>4893</v>
      </c>
      <c r="M192">
        <v>0</v>
      </c>
      <c r="N192">
        <v>30.2</v>
      </c>
      <c r="O192" t="s">
        <v>19</v>
      </c>
      <c r="P192" t="s">
        <v>20</v>
      </c>
      <c r="Q192">
        <v>20230111</v>
      </c>
    </row>
    <row r="193" spans="1:17" x14ac:dyDescent="0.25">
      <c r="A193" t="s">
        <v>548</v>
      </c>
      <c r="B193" t="s">
        <v>429</v>
      </c>
      <c r="C193">
        <v>20</v>
      </c>
      <c r="D193">
        <v>20230111</v>
      </c>
      <c r="E193">
        <f t="shared" si="2"/>
        <v>1</v>
      </c>
      <c r="F193">
        <v>531105</v>
      </c>
      <c r="G193" t="s">
        <v>429</v>
      </c>
      <c r="H193" t="s">
        <v>401</v>
      </c>
      <c r="I193" t="s">
        <v>402</v>
      </c>
      <c r="J193">
        <v>363418</v>
      </c>
      <c r="K193">
        <v>20230111</v>
      </c>
      <c r="L193" t="s">
        <v>565</v>
      </c>
      <c r="M193">
        <v>125.94</v>
      </c>
      <c r="N193">
        <v>0</v>
      </c>
      <c r="O193" t="s">
        <v>19</v>
      </c>
      <c r="P193" t="s">
        <v>20</v>
      </c>
      <c r="Q193">
        <v>20230111</v>
      </c>
    </row>
    <row r="194" spans="1:17" x14ac:dyDescent="0.25">
      <c r="A194" t="s">
        <v>548</v>
      </c>
      <c r="B194" t="s">
        <v>429</v>
      </c>
      <c r="C194">
        <v>20</v>
      </c>
      <c r="D194">
        <v>20230111</v>
      </c>
      <c r="E194">
        <f t="shared" si="2"/>
        <v>1</v>
      </c>
      <c r="F194">
        <v>411010</v>
      </c>
      <c r="G194" t="s">
        <v>87</v>
      </c>
      <c r="H194" t="s">
        <v>363</v>
      </c>
      <c r="I194" t="s">
        <v>364</v>
      </c>
      <c r="J194">
        <v>363506</v>
      </c>
      <c r="K194">
        <v>20230111</v>
      </c>
      <c r="L194" t="s">
        <v>4894</v>
      </c>
      <c r="M194">
        <v>0</v>
      </c>
      <c r="N194">
        <v>89.93</v>
      </c>
      <c r="O194" t="s">
        <v>22</v>
      </c>
      <c r="P194">
        <v>20230218</v>
      </c>
      <c r="Q194">
        <v>20230111</v>
      </c>
    </row>
    <row r="195" spans="1:17" x14ac:dyDescent="0.25">
      <c r="A195" t="s">
        <v>548</v>
      </c>
      <c r="B195" t="s">
        <v>429</v>
      </c>
      <c r="C195">
        <v>20</v>
      </c>
      <c r="D195">
        <v>20230111</v>
      </c>
      <c r="E195">
        <f t="shared" ref="E195:E258" si="3">VALUE(MID(D195,5,2))</f>
        <v>1</v>
      </c>
      <c r="F195">
        <v>531105</v>
      </c>
      <c r="G195" t="s">
        <v>429</v>
      </c>
      <c r="H195" t="s">
        <v>401</v>
      </c>
      <c r="I195" t="s">
        <v>402</v>
      </c>
      <c r="J195">
        <v>363507</v>
      </c>
      <c r="K195">
        <v>20230111</v>
      </c>
      <c r="L195" t="s">
        <v>565</v>
      </c>
      <c r="M195">
        <v>89.93</v>
      </c>
      <c r="N195">
        <v>0</v>
      </c>
      <c r="O195" t="s">
        <v>19</v>
      </c>
      <c r="P195" t="s">
        <v>20</v>
      </c>
      <c r="Q195">
        <v>20230111</v>
      </c>
    </row>
    <row r="196" spans="1:17" x14ac:dyDescent="0.25">
      <c r="A196" t="s">
        <v>548</v>
      </c>
      <c r="B196" t="s">
        <v>429</v>
      </c>
      <c r="C196">
        <v>20</v>
      </c>
      <c r="D196">
        <v>20230112</v>
      </c>
      <c r="E196">
        <f t="shared" si="3"/>
        <v>1</v>
      </c>
      <c r="F196">
        <v>411010</v>
      </c>
      <c r="G196" t="s">
        <v>87</v>
      </c>
      <c r="H196" t="s">
        <v>3214</v>
      </c>
      <c r="I196" t="s">
        <v>3215</v>
      </c>
      <c r="J196">
        <v>363508</v>
      </c>
      <c r="K196">
        <v>20230112</v>
      </c>
      <c r="L196" t="s">
        <v>4895</v>
      </c>
      <c r="M196">
        <v>0</v>
      </c>
      <c r="N196">
        <v>260</v>
      </c>
      <c r="O196" t="s">
        <v>22</v>
      </c>
      <c r="P196">
        <v>20230218</v>
      </c>
      <c r="Q196">
        <v>20230112</v>
      </c>
    </row>
    <row r="197" spans="1:17" x14ac:dyDescent="0.25">
      <c r="A197" t="s">
        <v>548</v>
      </c>
      <c r="B197" t="s">
        <v>429</v>
      </c>
      <c r="C197">
        <v>20</v>
      </c>
      <c r="D197">
        <v>20230112</v>
      </c>
      <c r="E197">
        <f t="shared" si="3"/>
        <v>1</v>
      </c>
      <c r="F197">
        <v>531105</v>
      </c>
      <c r="G197" t="s">
        <v>429</v>
      </c>
      <c r="H197" t="s">
        <v>401</v>
      </c>
      <c r="I197" t="s">
        <v>402</v>
      </c>
      <c r="J197">
        <v>363509</v>
      </c>
      <c r="K197">
        <v>20230112</v>
      </c>
      <c r="L197" t="s">
        <v>565</v>
      </c>
      <c r="M197">
        <v>260</v>
      </c>
      <c r="N197">
        <v>0</v>
      </c>
      <c r="O197" t="s">
        <v>19</v>
      </c>
      <c r="P197" t="s">
        <v>20</v>
      </c>
      <c r="Q197">
        <v>20230112</v>
      </c>
    </row>
    <row r="198" spans="1:17" x14ac:dyDescent="0.25">
      <c r="A198" t="s">
        <v>548</v>
      </c>
      <c r="B198" t="s">
        <v>429</v>
      </c>
      <c r="C198">
        <v>20</v>
      </c>
      <c r="D198">
        <v>20230113</v>
      </c>
      <c r="E198">
        <f t="shared" si="3"/>
        <v>1</v>
      </c>
      <c r="F198">
        <v>467100</v>
      </c>
      <c r="G198" t="s">
        <v>160</v>
      </c>
      <c r="H198" t="s">
        <v>4847</v>
      </c>
      <c r="I198" t="s">
        <v>4848</v>
      </c>
      <c r="J198" t="s">
        <v>4896</v>
      </c>
      <c r="K198">
        <v>20230113</v>
      </c>
      <c r="L198" t="s">
        <v>4897</v>
      </c>
      <c r="M198">
        <v>0</v>
      </c>
      <c r="N198">
        <v>5</v>
      </c>
      <c r="O198" t="s">
        <v>23</v>
      </c>
      <c r="P198">
        <v>20230308</v>
      </c>
      <c r="Q198">
        <v>20230113</v>
      </c>
    </row>
    <row r="199" spans="1:17" x14ac:dyDescent="0.25">
      <c r="A199" t="s">
        <v>548</v>
      </c>
      <c r="B199" t="s">
        <v>429</v>
      </c>
      <c r="C199">
        <v>20</v>
      </c>
      <c r="D199">
        <v>20230113</v>
      </c>
      <c r="E199">
        <f t="shared" si="3"/>
        <v>1</v>
      </c>
      <c r="F199">
        <v>531105</v>
      </c>
      <c r="G199" t="s">
        <v>429</v>
      </c>
      <c r="H199" t="s">
        <v>401</v>
      </c>
      <c r="I199" t="s">
        <v>402</v>
      </c>
      <c r="J199" t="s">
        <v>4896</v>
      </c>
      <c r="K199">
        <v>20230113</v>
      </c>
      <c r="L199" t="s">
        <v>4897</v>
      </c>
      <c r="M199">
        <v>5</v>
      </c>
      <c r="N199">
        <v>0</v>
      </c>
      <c r="O199" t="s">
        <v>19</v>
      </c>
      <c r="P199" t="s">
        <v>20</v>
      </c>
      <c r="Q199">
        <v>20230113</v>
      </c>
    </row>
    <row r="200" spans="1:17" x14ac:dyDescent="0.25">
      <c r="A200" t="s">
        <v>548</v>
      </c>
      <c r="B200" t="s">
        <v>429</v>
      </c>
      <c r="C200">
        <v>20</v>
      </c>
      <c r="D200">
        <v>20230113</v>
      </c>
      <c r="E200">
        <f t="shared" si="3"/>
        <v>1</v>
      </c>
      <c r="F200">
        <v>411010</v>
      </c>
      <c r="G200" t="s">
        <v>87</v>
      </c>
      <c r="H200" t="s">
        <v>4464</v>
      </c>
      <c r="I200" t="s">
        <v>4898</v>
      </c>
      <c r="J200">
        <v>222110003</v>
      </c>
      <c r="K200">
        <v>20230113</v>
      </c>
      <c r="L200" t="s">
        <v>4899</v>
      </c>
      <c r="M200">
        <v>0</v>
      </c>
      <c r="N200">
        <v>10</v>
      </c>
      <c r="O200" t="s">
        <v>23</v>
      </c>
      <c r="P200">
        <v>20230214</v>
      </c>
      <c r="Q200">
        <v>20230113</v>
      </c>
    </row>
    <row r="201" spans="1:17" x14ac:dyDescent="0.25">
      <c r="A201" t="s">
        <v>548</v>
      </c>
      <c r="B201" t="s">
        <v>429</v>
      </c>
      <c r="C201">
        <v>20</v>
      </c>
      <c r="D201">
        <v>20230113</v>
      </c>
      <c r="E201">
        <f t="shared" si="3"/>
        <v>1</v>
      </c>
      <c r="F201">
        <v>531105</v>
      </c>
      <c r="G201" t="s">
        <v>429</v>
      </c>
      <c r="H201" t="s">
        <v>401</v>
      </c>
      <c r="I201" t="s">
        <v>402</v>
      </c>
      <c r="J201">
        <v>363511</v>
      </c>
      <c r="K201">
        <v>20230113</v>
      </c>
      <c r="L201" t="s">
        <v>565</v>
      </c>
      <c r="M201">
        <v>10</v>
      </c>
      <c r="N201">
        <v>0</v>
      </c>
      <c r="O201" t="s">
        <v>19</v>
      </c>
      <c r="P201" t="s">
        <v>20</v>
      </c>
      <c r="Q201">
        <v>20230113</v>
      </c>
    </row>
    <row r="202" spans="1:17" x14ac:dyDescent="0.25">
      <c r="A202" t="s">
        <v>548</v>
      </c>
      <c r="B202" t="s">
        <v>429</v>
      </c>
      <c r="C202">
        <v>20</v>
      </c>
      <c r="D202">
        <v>20230116</v>
      </c>
      <c r="E202">
        <f t="shared" si="3"/>
        <v>1</v>
      </c>
      <c r="F202">
        <v>580000</v>
      </c>
      <c r="G202" t="s">
        <v>532</v>
      </c>
      <c r="H202" t="s">
        <v>401</v>
      </c>
      <c r="I202" t="s">
        <v>402</v>
      </c>
      <c r="J202" t="s">
        <v>4900</v>
      </c>
      <c r="K202">
        <v>20230116</v>
      </c>
      <c r="L202" t="s">
        <v>4901</v>
      </c>
      <c r="M202">
        <v>0</v>
      </c>
      <c r="N202">
        <v>10</v>
      </c>
      <c r="O202" t="s">
        <v>23</v>
      </c>
      <c r="P202">
        <v>20230116</v>
      </c>
      <c r="Q202">
        <v>20230116</v>
      </c>
    </row>
    <row r="203" spans="1:17" x14ac:dyDescent="0.25">
      <c r="A203" t="s">
        <v>548</v>
      </c>
      <c r="B203" t="s">
        <v>429</v>
      </c>
      <c r="C203">
        <v>20</v>
      </c>
      <c r="D203">
        <v>20230116</v>
      </c>
      <c r="E203">
        <f t="shared" si="3"/>
        <v>1</v>
      </c>
      <c r="F203">
        <v>531105</v>
      </c>
      <c r="G203" t="s">
        <v>429</v>
      </c>
      <c r="H203" t="s">
        <v>401</v>
      </c>
      <c r="I203" t="s">
        <v>402</v>
      </c>
      <c r="J203" t="s">
        <v>4900</v>
      </c>
      <c r="K203">
        <v>20230116</v>
      </c>
      <c r="L203" t="s">
        <v>4901</v>
      </c>
      <c r="M203">
        <v>10</v>
      </c>
      <c r="N203">
        <v>0</v>
      </c>
      <c r="O203" t="s">
        <v>19</v>
      </c>
      <c r="P203" t="s">
        <v>20</v>
      </c>
      <c r="Q203">
        <v>20230116</v>
      </c>
    </row>
    <row r="204" spans="1:17" x14ac:dyDescent="0.25">
      <c r="A204" t="s">
        <v>548</v>
      </c>
      <c r="B204" t="s">
        <v>429</v>
      </c>
      <c r="C204">
        <v>20</v>
      </c>
      <c r="D204">
        <v>20230116</v>
      </c>
      <c r="E204">
        <f t="shared" si="3"/>
        <v>1</v>
      </c>
      <c r="F204">
        <v>467100</v>
      </c>
      <c r="G204" t="s">
        <v>160</v>
      </c>
      <c r="H204" t="s">
        <v>1201</v>
      </c>
      <c r="I204" t="s">
        <v>1202</v>
      </c>
      <c r="J204" t="s">
        <v>4902</v>
      </c>
      <c r="K204">
        <v>20230116</v>
      </c>
      <c r="L204" t="s">
        <v>4903</v>
      </c>
      <c r="M204">
        <v>94.22</v>
      </c>
      <c r="N204">
        <v>0</v>
      </c>
      <c r="O204" t="s">
        <v>23</v>
      </c>
      <c r="P204">
        <v>20230123</v>
      </c>
      <c r="Q204">
        <v>20230116</v>
      </c>
    </row>
    <row r="205" spans="1:17" x14ac:dyDescent="0.25">
      <c r="A205" t="s">
        <v>548</v>
      </c>
      <c r="B205" t="s">
        <v>429</v>
      </c>
      <c r="C205">
        <v>20</v>
      </c>
      <c r="D205">
        <v>20230116</v>
      </c>
      <c r="E205">
        <f t="shared" si="3"/>
        <v>1</v>
      </c>
      <c r="F205">
        <v>531105</v>
      </c>
      <c r="G205" t="s">
        <v>429</v>
      </c>
      <c r="H205" t="s">
        <v>401</v>
      </c>
      <c r="I205" t="s">
        <v>402</v>
      </c>
      <c r="J205" t="s">
        <v>4902</v>
      </c>
      <c r="K205">
        <v>20230116</v>
      </c>
      <c r="L205" t="s">
        <v>4903</v>
      </c>
      <c r="M205">
        <v>0</v>
      </c>
      <c r="N205">
        <v>94.22</v>
      </c>
      <c r="O205" t="s">
        <v>19</v>
      </c>
      <c r="P205" t="s">
        <v>20</v>
      </c>
      <c r="Q205">
        <v>20230116</v>
      </c>
    </row>
    <row r="206" spans="1:17" x14ac:dyDescent="0.25">
      <c r="A206" t="s">
        <v>548</v>
      </c>
      <c r="B206" t="s">
        <v>429</v>
      </c>
      <c r="C206">
        <v>20</v>
      </c>
      <c r="D206">
        <v>20230116</v>
      </c>
      <c r="E206">
        <f t="shared" si="3"/>
        <v>1</v>
      </c>
      <c r="F206">
        <v>411100</v>
      </c>
      <c r="G206" t="s">
        <v>18</v>
      </c>
      <c r="H206" t="s">
        <v>1765</v>
      </c>
      <c r="I206" t="s">
        <v>1766</v>
      </c>
      <c r="J206">
        <v>122120075</v>
      </c>
      <c r="K206">
        <v>20230116</v>
      </c>
      <c r="L206" t="s">
        <v>4904</v>
      </c>
      <c r="M206">
        <v>0</v>
      </c>
      <c r="N206">
        <v>125.99</v>
      </c>
      <c r="O206" t="s">
        <v>19</v>
      </c>
      <c r="P206" t="s">
        <v>20</v>
      </c>
      <c r="Q206">
        <v>20230116</v>
      </c>
    </row>
    <row r="207" spans="1:17" x14ac:dyDescent="0.25">
      <c r="A207" t="s">
        <v>548</v>
      </c>
      <c r="B207" t="s">
        <v>429</v>
      </c>
      <c r="C207">
        <v>20</v>
      </c>
      <c r="D207">
        <v>20230116</v>
      </c>
      <c r="E207">
        <f t="shared" si="3"/>
        <v>1</v>
      </c>
      <c r="F207">
        <v>411100</v>
      </c>
      <c r="G207" t="s">
        <v>18</v>
      </c>
      <c r="H207" t="s">
        <v>3536</v>
      </c>
      <c r="I207" t="s">
        <v>3537</v>
      </c>
      <c r="J207">
        <v>363420</v>
      </c>
      <c r="K207">
        <v>20230116</v>
      </c>
      <c r="L207" t="s">
        <v>4905</v>
      </c>
      <c r="M207">
        <v>0</v>
      </c>
      <c r="N207">
        <v>135.6</v>
      </c>
      <c r="O207" t="s">
        <v>19</v>
      </c>
      <c r="P207" t="s">
        <v>20</v>
      </c>
      <c r="Q207">
        <v>20230116</v>
      </c>
    </row>
    <row r="208" spans="1:17" x14ac:dyDescent="0.25">
      <c r="A208" t="s">
        <v>548</v>
      </c>
      <c r="B208" t="s">
        <v>429</v>
      </c>
      <c r="C208">
        <v>20</v>
      </c>
      <c r="D208">
        <v>20230116</v>
      </c>
      <c r="E208">
        <f t="shared" si="3"/>
        <v>1</v>
      </c>
      <c r="F208">
        <v>411100</v>
      </c>
      <c r="G208" t="s">
        <v>18</v>
      </c>
      <c r="H208" t="s">
        <v>4906</v>
      </c>
      <c r="I208" t="s">
        <v>4907</v>
      </c>
      <c r="J208">
        <v>363421</v>
      </c>
      <c r="K208">
        <v>20230116</v>
      </c>
      <c r="L208" t="s">
        <v>4908</v>
      </c>
      <c r="M208">
        <v>0</v>
      </c>
      <c r="N208">
        <v>10</v>
      </c>
      <c r="O208" t="s">
        <v>22</v>
      </c>
      <c r="P208">
        <v>20230218</v>
      </c>
      <c r="Q208">
        <v>20230116</v>
      </c>
    </row>
    <row r="209" spans="1:17" x14ac:dyDescent="0.25">
      <c r="A209" t="s">
        <v>548</v>
      </c>
      <c r="B209" t="s">
        <v>429</v>
      </c>
      <c r="C209">
        <v>20</v>
      </c>
      <c r="D209">
        <v>20230116</v>
      </c>
      <c r="E209">
        <f t="shared" si="3"/>
        <v>1</v>
      </c>
      <c r="F209">
        <v>411100</v>
      </c>
      <c r="G209" t="s">
        <v>18</v>
      </c>
      <c r="H209" t="s">
        <v>283</v>
      </c>
      <c r="I209" t="s">
        <v>284</v>
      </c>
      <c r="J209">
        <v>363422</v>
      </c>
      <c r="K209">
        <v>20230116</v>
      </c>
      <c r="L209" t="s">
        <v>4909</v>
      </c>
      <c r="M209">
        <v>0</v>
      </c>
      <c r="N209">
        <v>9</v>
      </c>
      <c r="O209" t="s">
        <v>19</v>
      </c>
      <c r="P209" t="s">
        <v>20</v>
      </c>
      <c r="Q209">
        <v>20230116</v>
      </c>
    </row>
    <row r="210" spans="1:17" x14ac:dyDescent="0.25">
      <c r="A210" t="s">
        <v>548</v>
      </c>
      <c r="B210" t="s">
        <v>429</v>
      </c>
      <c r="C210">
        <v>20</v>
      </c>
      <c r="D210">
        <v>20230116</v>
      </c>
      <c r="E210">
        <f t="shared" si="3"/>
        <v>1</v>
      </c>
      <c r="F210">
        <v>411100</v>
      </c>
      <c r="G210" t="s">
        <v>18</v>
      </c>
      <c r="H210" t="s">
        <v>4910</v>
      </c>
      <c r="I210" t="s">
        <v>4911</v>
      </c>
      <c r="J210">
        <v>363423</v>
      </c>
      <c r="K210">
        <v>20230116</v>
      </c>
      <c r="L210" t="s">
        <v>4912</v>
      </c>
      <c r="M210">
        <v>0</v>
      </c>
      <c r="N210">
        <v>41.48</v>
      </c>
      <c r="O210" t="s">
        <v>19</v>
      </c>
      <c r="P210" t="s">
        <v>20</v>
      </c>
      <c r="Q210">
        <v>20230116</v>
      </c>
    </row>
    <row r="211" spans="1:17" x14ac:dyDescent="0.25">
      <c r="A211" t="s">
        <v>548</v>
      </c>
      <c r="B211" t="s">
        <v>429</v>
      </c>
      <c r="C211">
        <v>20</v>
      </c>
      <c r="D211">
        <v>20230116</v>
      </c>
      <c r="E211">
        <f t="shared" si="3"/>
        <v>1</v>
      </c>
      <c r="F211">
        <v>411100</v>
      </c>
      <c r="G211" t="s">
        <v>18</v>
      </c>
      <c r="H211" t="s">
        <v>4913</v>
      </c>
      <c r="I211" t="s">
        <v>4914</v>
      </c>
      <c r="J211">
        <v>363424</v>
      </c>
      <c r="K211">
        <v>20230116</v>
      </c>
      <c r="L211" t="s">
        <v>4915</v>
      </c>
      <c r="M211">
        <v>0</v>
      </c>
      <c r="N211">
        <v>13</v>
      </c>
      <c r="O211" t="s">
        <v>19</v>
      </c>
      <c r="P211" t="s">
        <v>20</v>
      </c>
      <c r="Q211">
        <v>20230116</v>
      </c>
    </row>
    <row r="212" spans="1:17" x14ac:dyDescent="0.25">
      <c r="A212" t="s">
        <v>548</v>
      </c>
      <c r="B212" t="s">
        <v>429</v>
      </c>
      <c r="C212">
        <v>20</v>
      </c>
      <c r="D212">
        <v>20230116</v>
      </c>
      <c r="E212">
        <f t="shared" si="3"/>
        <v>1</v>
      </c>
      <c r="F212">
        <v>411100</v>
      </c>
      <c r="G212" t="s">
        <v>18</v>
      </c>
      <c r="H212" t="s">
        <v>196</v>
      </c>
      <c r="I212" t="s">
        <v>197</v>
      </c>
      <c r="J212">
        <v>122110176</v>
      </c>
      <c r="K212">
        <v>20230116</v>
      </c>
      <c r="L212" t="s">
        <v>4916</v>
      </c>
      <c r="M212">
        <v>0</v>
      </c>
      <c r="N212">
        <v>20.2</v>
      </c>
      <c r="O212" t="s">
        <v>23</v>
      </c>
      <c r="P212">
        <v>20230329</v>
      </c>
      <c r="Q212">
        <v>20230116</v>
      </c>
    </row>
    <row r="213" spans="1:17" x14ac:dyDescent="0.25">
      <c r="A213" t="s">
        <v>548</v>
      </c>
      <c r="B213" t="s">
        <v>429</v>
      </c>
      <c r="C213">
        <v>20</v>
      </c>
      <c r="D213">
        <v>20230116</v>
      </c>
      <c r="E213">
        <f t="shared" si="3"/>
        <v>1</v>
      </c>
      <c r="F213">
        <v>411100</v>
      </c>
      <c r="G213" t="s">
        <v>18</v>
      </c>
      <c r="H213" t="s">
        <v>196</v>
      </c>
      <c r="I213" t="s">
        <v>197</v>
      </c>
      <c r="J213">
        <v>122110176</v>
      </c>
      <c r="K213">
        <v>20230116</v>
      </c>
      <c r="L213" t="s">
        <v>4917</v>
      </c>
      <c r="M213">
        <v>14.2</v>
      </c>
      <c r="N213">
        <v>0</v>
      </c>
      <c r="O213" t="s">
        <v>22</v>
      </c>
      <c r="P213">
        <v>20230218</v>
      </c>
      <c r="Q213">
        <v>20230116</v>
      </c>
    </row>
    <row r="214" spans="1:17" x14ac:dyDescent="0.25">
      <c r="A214" t="s">
        <v>548</v>
      </c>
      <c r="B214" t="s">
        <v>429</v>
      </c>
      <c r="C214">
        <v>20</v>
      </c>
      <c r="D214">
        <v>20230116</v>
      </c>
      <c r="E214">
        <f t="shared" si="3"/>
        <v>1</v>
      </c>
      <c r="F214">
        <v>531105</v>
      </c>
      <c r="G214" t="s">
        <v>429</v>
      </c>
      <c r="H214" t="s">
        <v>401</v>
      </c>
      <c r="I214" t="s">
        <v>402</v>
      </c>
      <c r="J214">
        <v>363427</v>
      </c>
      <c r="K214">
        <v>20230116</v>
      </c>
      <c r="L214" t="s">
        <v>565</v>
      </c>
      <c r="M214">
        <v>341.07</v>
      </c>
      <c r="N214">
        <v>0</v>
      </c>
      <c r="O214" t="s">
        <v>19</v>
      </c>
      <c r="P214" t="s">
        <v>20</v>
      </c>
      <c r="Q214">
        <v>20230116</v>
      </c>
    </row>
    <row r="215" spans="1:17" x14ac:dyDescent="0.25">
      <c r="A215" t="s">
        <v>548</v>
      </c>
      <c r="B215" t="s">
        <v>429</v>
      </c>
      <c r="C215">
        <v>20</v>
      </c>
      <c r="D215">
        <v>20230116</v>
      </c>
      <c r="E215">
        <f t="shared" si="3"/>
        <v>1</v>
      </c>
      <c r="F215">
        <v>411100</v>
      </c>
      <c r="G215" t="s">
        <v>18</v>
      </c>
      <c r="H215" t="s">
        <v>233</v>
      </c>
      <c r="I215" t="s">
        <v>234</v>
      </c>
      <c r="J215">
        <v>363512</v>
      </c>
      <c r="K215">
        <v>20230116</v>
      </c>
      <c r="L215" t="s">
        <v>4918</v>
      </c>
      <c r="M215">
        <v>0</v>
      </c>
      <c r="N215">
        <v>72.5</v>
      </c>
      <c r="O215" t="s">
        <v>19</v>
      </c>
      <c r="P215" t="s">
        <v>20</v>
      </c>
      <c r="Q215">
        <v>20230116</v>
      </c>
    </row>
    <row r="216" spans="1:17" x14ac:dyDescent="0.25">
      <c r="A216" t="s">
        <v>548</v>
      </c>
      <c r="B216" t="s">
        <v>429</v>
      </c>
      <c r="C216">
        <v>20</v>
      </c>
      <c r="D216">
        <v>20230116</v>
      </c>
      <c r="E216">
        <f t="shared" si="3"/>
        <v>1</v>
      </c>
      <c r="F216">
        <v>531105</v>
      </c>
      <c r="G216" t="s">
        <v>429</v>
      </c>
      <c r="H216" t="s">
        <v>401</v>
      </c>
      <c r="I216" t="s">
        <v>402</v>
      </c>
      <c r="J216">
        <v>363513</v>
      </c>
      <c r="K216">
        <v>20230116</v>
      </c>
      <c r="L216" t="s">
        <v>565</v>
      </c>
      <c r="M216">
        <v>72.5</v>
      </c>
      <c r="N216">
        <v>0</v>
      </c>
      <c r="O216" t="s">
        <v>19</v>
      </c>
      <c r="P216" t="s">
        <v>20</v>
      </c>
      <c r="Q216">
        <v>20230116</v>
      </c>
    </row>
    <row r="217" spans="1:17" x14ac:dyDescent="0.25">
      <c r="A217" t="s">
        <v>548</v>
      </c>
      <c r="B217" t="s">
        <v>429</v>
      </c>
      <c r="C217">
        <v>20</v>
      </c>
      <c r="D217">
        <v>20230116</v>
      </c>
      <c r="E217">
        <f t="shared" si="3"/>
        <v>1</v>
      </c>
      <c r="F217">
        <v>411020</v>
      </c>
      <c r="G217" t="s">
        <v>30</v>
      </c>
      <c r="H217" t="s">
        <v>324</v>
      </c>
      <c r="I217" t="s">
        <v>325</v>
      </c>
      <c r="J217">
        <v>322110003</v>
      </c>
      <c r="K217">
        <v>20230116</v>
      </c>
      <c r="L217" t="s">
        <v>4919</v>
      </c>
      <c r="M217">
        <v>0</v>
      </c>
      <c r="N217">
        <v>146</v>
      </c>
      <c r="O217" t="s">
        <v>19</v>
      </c>
      <c r="P217" t="s">
        <v>20</v>
      </c>
      <c r="Q217">
        <v>20230116</v>
      </c>
    </row>
    <row r="218" spans="1:17" x14ac:dyDescent="0.25">
      <c r="A218" t="s">
        <v>548</v>
      </c>
      <c r="B218" t="s">
        <v>429</v>
      </c>
      <c r="C218">
        <v>20</v>
      </c>
      <c r="D218">
        <v>20230116</v>
      </c>
      <c r="E218">
        <f t="shared" si="3"/>
        <v>1</v>
      </c>
      <c r="F218">
        <v>531105</v>
      </c>
      <c r="G218" t="s">
        <v>429</v>
      </c>
      <c r="H218" t="s">
        <v>401</v>
      </c>
      <c r="I218" t="s">
        <v>402</v>
      </c>
      <c r="J218">
        <v>363530</v>
      </c>
      <c r="K218">
        <v>20230116</v>
      </c>
      <c r="L218" t="s">
        <v>565</v>
      </c>
      <c r="M218">
        <v>146</v>
      </c>
      <c r="N218">
        <v>0</v>
      </c>
      <c r="O218" t="s">
        <v>19</v>
      </c>
      <c r="P218" t="s">
        <v>20</v>
      </c>
      <c r="Q218">
        <v>20230116</v>
      </c>
    </row>
    <row r="219" spans="1:17" x14ac:dyDescent="0.25">
      <c r="A219" t="s">
        <v>548</v>
      </c>
      <c r="B219" t="s">
        <v>429</v>
      </c>
      <c r="C219">
        <v>20</v>
      </c>
      <c r="D219">
        <v>20230117</v>
      </c>
      <c r="E219">
        <f t="shared" si="3"/>
        <v>1</v>
      </c>
      <c r="F219">
        <v>411100</v>
      </c>
      <c r="G219" t="s">
        <v>18</v>
      </c>
      <c r="H219" t="s">
        <v>267</v>
      </c>
      <c r="I219" t="s">
        <v>268</v>
      </c>
      <c r="J219">
        <v>122070187</v>
      </c>
      <c r="K219">
        <v>20230117</v>
      </c>
      <c r="L219" t="s">
        <v>4920</v>
      </c>
      <c r="M219">
        <v>0</v>
      </c>
      <c r="N219">
        <v>12</v>
      </c>
      <c r="O219" t="s">
        <v>22</v>
      </c>
      <c r="P219">
        <v>20230218</v>
      </c>
      <c r="Q219">
        <v>20230117</v>
      </c>
    </row>
    <row r="220" spans="1:17" x14ac:dyDescent="0.25">
      <c r="A220" t="s">
        <v>548</v>
      </c>
      <c r="B220" t="s">
        <v>429</v>
      </c>
      <c r="C220">
        <v>20</v>
      </c>
      <c r="D220">
        <v>20230117</v>
      </c>
      <c r="E220">
        <f t="shared" si="3"/>
        <v>1</v>
      </c>
      <c r="F220">
        <v>411100</v>
      </c>
      <c r="G220" t="s">
        <v>18</v>
      </c>
      <c r="H220" t="s">
        <v>3648</v>
      </c>
      <c r="I220" t="s">
        <v>3649</v>
      </c>
      <c r="J220">
        <v>122110151</v>
      </c>
      <c r="K220">
        <v>20230117</v>
      </c>
      <c r="L220" t="s">
        <v>4921</v>
      </c>
      <c r="M220">
        <v>0</v>
      </c>
      <c r="N220">
        <v>18</v>
      </c>
      <c r="O220" t="s">
        <v>19</v>
      </c>
      <c r="P220" t="s">
        <v>20</v>
      </c>
      <c r="Q220">
        <v>20230117</v>
      </c>
    </row>
    <row r="221" spans="1:17" x14ac:dyDescent="0.25">
      <c r="A221" t="s">
        <v>548</v>
      </c>
      <c r="B221" t="s">
        <v>429</v>
      </c>
      <c r="C221">
        <v>20</v>
      </c>
      <c r="D221">
        <v>20230117</v>
      </c>
      <c r="E221">
        <f t="shared" si="3"/>
        <v>1</v>
      </c>
      <c r="F221">
        <v>411100</v>
      </c>
      <c r="G221" t="s">
        <v>18</v>
      </c>
      <c r="H221" t="s">
        <v>387</v>
      </c>
      <c r="I221" t="s">
        <v>388</v>
      </c>
      <c r="J221">
        <v>363430</v>
      </c>
      <c r="K221">
        <v>20230117</v>
      </c>
      <c r="L221" t="s">
        <v>4922</v>
      </c>
      <c r="M221">
        <v>0</v>
      </c>
      <c r="N221">
        <v>94.44</v>
      </c>
      <c r="O221" t="s">
        <v>19</v>
      </c>
      <c r="P221" t="s">
        <v>20</v>
      </c>
      <c r="Q221">
        <v>20230117</v>
      </c>
    </row>
    <row r="222" spans="1:17" x14ac:dyDescent="0.25">
      <c r="A222" t="s">
        <v>548</v>
      </c>
      <c r="B222" t="s">
        <v>429</v>
      </c>
      <c r="C222">
        <v>20</v>
      </c>
      <c r="D222">
        <v>20230117</v>
      </c>
      <c r="E222">
        <f t="shared" si="3"/>
        <v>1</v>
      </c>
      <c r="F222">
        <v>411100</v>
      </c>
      <c r="G222" t="s">
        <v>18</v>
      </c>
      <c r="H222" t="s">
        <v>387</v>
      </c>
      <c r="I222" t="s">
        <v>388</v>
      </c>
      <c r="J222">
        <v>363431</v>
      </c>
      <c r="K222">
        <v>20230117</v>
      </c>
      <c r="L222" t="s">
        <v>4923</v>
      </c>
      <c r="M222">
        <v>0</v>
      </c>
      <c r="N222">
        <v>0.56000000000000005</v>
      </c>
      <c r="O222" t="s">
        <v>19</v>
      </c>
      <c r="P222" t="s">
        <v>20</v>
      </c>
      <c r="Q222">
        <v>20230117</v>
      </c>
    </row>
    <row r="223" spans="1:17" x14ac:dyDescent="0.25">
      <c r="A223" t="s">
        <v>548</v>
      </c>
      <c r="B223" t="s">
        <v>429</v>
      </c>
      <c r="C223">
        <v>20</v>
      </c>
      <c r="D223">
        <v>20230117</v>
      </c>
      <c r="E223">
        <f t="shared" si="3"/>
        <v>1</v>
      </c>
      <c r="F223">
        <v>411100</v>
      </c>
      <c r="G223" t="s">
        <v>18</v>
      </c>
      <c r="H223" t="s">
        <v>817</v>
      </c>
      <c r="I223" t="s">
        <v>818</v>
      </c>
      <c r="J223">
        <v>363432</v>
      </c>
      <c r="K223">
        <v>20230117</v>
      </c>
      <c r="L223" t="s">
        <v>4924</v>
      </c>
      <c r="M223">
        <v>0</v>
      </c>
      <c r="N223">
        <v>3</v>
      </c>
      <c r="O223" t="s">
        <v>19</v>
      </c>
      <c r="P223" t="s">
        <v>20</v>
      </c>
      <c r="Q223">
        <v>20230117</v>
      </c>
    </row>
    <row r="224" spans="1:17" x14ac:dyDescent="0.25">
      <c r="A224" t="s">
        <v>548</v>
      </c>
      <c r="B224" t="s">
        <v>429</v>
      </c>
      <c r="C224">
        <v>20</v>
      </c>
      <c r="D224">
        <v>20230117</v>
      </c>
      <c r="E224">
        <f t="shared" si="3"/>
        <v>1</v>
      </c>
      <c r="F224">
        <v>411100</v>
      </c>
      <c r="G224" t="s">
        <v>18</v>
      </c>
      <c r="H224" t="s">
        <v>1503</v>
      </c>
      <c r="I224" t="s">
        <v>1504</v>
      </c>
      <c r="J224">
        <v>363433</v>
      </c>
      <c r="K224">
        <v>20230117</v>
      </c>
      <c r="L224" t="s">
        <v>4925</v>
      </c>
      <c r="M224">
        <v>0</v>
      </c>
      <c r="N224">
        <v>60</v>
      </c>
      <c r="O224" t="s">
        <v>19</v>
      </c>
      <c r="P224" t="s">
        <v>20</v>
      </c>
      <c r="Q224">
        <v>20230117</v>
      </c>
    </row>
    <row r="225" spans="1:17" x14ac:dyDescent="0.25">
      <c r="A225" t="s">
        <v>548</v>
      </c>
      <c r="B225" t="s">
        <v>429</v>
      </c>
      <c r="C225">
        <v>20</v>
      </c>
      <c r="D225">
        <v>20230117</v>
      </c>
      <c r="E225">
        <f t="shared" si="3"/>
        <v>1</v>
      </c>
      <c r="F225">
        <v>411100</v>
      </c>
      <c r="G225" t="s">
        <v>18</v>
      </c>
      <c r="H225" t="s">
        <v>710</v>
      </c>
      <c r="I225" t="s">
        <v>711</v>
      </c>
      <c r="J225">
        <v>122090082</v>
      </c>
      <c r="K225">
        <v>20230117</v>
      </c>
      <c r="L225" t="s">
        <v>4926</v>
      </c>
      <c r="M225">
        <v>0</v>
      </c>
      <c r="N225">
        <v>222.82</v>
      </c>
      <c r="O225" t="s">
        <v>19</v>
      </c>
      <c r="P225" t="s">
        <v>20</v>
      </c>
      <c r="Q225">
        <v>20230117</v>
      </c>
    </row>
    <row r="226" spans="1:17" x14ac:dyDescent="0.25">
      <c r="A226" t="s">
        <v>548</v>
      </c>
      <c r="B226" t="s">
        <v>429</v>
      </c>
      <c r="C226">
        <v>20</v>
      </c>
      <c r="D226">
        <v>20230117</v>
      </c>
      <c r="E226">
        <f t="shared" si="3"/>
        <v>1</v>
      </c>
      <c r="F226">
        <v>411100</v>
      </c>
      <c r="G226" t="s">
        <v>18</v>
      </c>
      <c r="H226" t="s">
        <v>205</v>
      </c>
      <c r="I226" t="s">
        <v>206</v>
      </c>
      <c r="J226">
        <v>122120159</v>
      </c>
      <c r="K226">
        <v>20230117</v>
      </c>
      <c r="L226" t="s">
        <v>4927</v>
      </c>
      <c r="M226">
        <v>0</v>
      </c>
      <c r="N226">
        <v>100.23</v>
      </c>
      <c r="O226" t="s">
        <v>19</v>
      </c>
      <c r="P226" t="s">
        <v>20</v>
      </c>
      <c r="Q226">
        <v>20230117</v>
      </c>
    </row>
    <row r="227" spans="1:17" x14ac:dyDescent="0.25">
      <c r="A227" t="s">
        <v>548</v>
      </c>
      <c r="B227" t="s">
        <v>429</v>
      </c>
      <c r="C227">
        <v>20</v>
      </c>
      <c r="D227">
        <v>20230117</v>
      </c>
      <c r="E227">
        <f t="shared" si="3"/>
        <v>1</v>
      </c>
      <c r="F227">
        <v>411100</v>
      </c>
      <c r="G227" t="s">
        <v>18</v>
      </c>
      <c r="H227" t="s">
        <v>233</v>
      </c>
      <c r="I227" t="s">
        <v>234</v>
      </c>
      <c r="J227">
        <v>122120141</v>
      </c>
      <c r="K227">
        <v>20230117</v>
      </c>
      <c r="L227" t="s">
        <v>4928</v>
      </c>
      <c r="M227">
        <v>0</v>
      </c>
      <c r="N227">
        <v>70.83</v>
      </c>
      <c r="O227" t="s">
        <v>19</v>
      </c>
      <c r="P227" t="s">
        <v>20</v>
      </c>
      <c r="Q227">
        <v>20230117</v>
      </c>
    </row>
    <row r="228" spans="1:17" x14ac:dyDescent="0.25">
      <c r="A228" t="s">
        <v>548</v>
      </c>
      <c r="B228" t="s">
        <v>429</v>
      </c>
      <c r="C228">
        <v>20</v>
      </c>
      <c r="D228">
        <v>20230117</v>
      </c>
      <c r="E228">
        <f t="shared" si="3"/>
        <v>1</v>
      </c>
      <c r="F228">
        <v>411100</v>
      </c>
      <c r="G228" t="s">
        <v>18</v>
      </c>
      <c r="H228" t="s">
        <v>77</v>
      </c>
      <c r="I228" t="s">
        <v>78</v>
      </c>
      <c r="J228">
        <v>363437</v>
      </c>
      <c r="K228">
        <v>20230117</v>
      </c>
      <c r="L228" t="s">
        <v>4929</v>
      </c>
      <c r="M228">
        <v>0</v>
      </c>
      <c r="N228">
        <v>150</v>
      </c>
      <c r="O228" t="s">
        <v>19</v>
      </c>
      <c r="P228" t="s">
        <v>20</v>
      </c>
      <c r="Q228">
        <v>20230117</v>
      </c>
    </row>
    <row r="229" spans="1:17" x14ac:dyDescent="0.25">
      <c r="A229" t="s">
        <v>548</v>
      </c>
      <c r="B229" t="s">
        <v>429</v>
      </c>
      <c r="C229">
        <v>20</v>
      </c>
      <c r="D229">
        <v>20230117</v>
      </c>
      <c r="E229">
        <f t="shared" si="3"/>
        <v>1</v>
      </c>
      <c r="F229">
        <v>411100</v>
      </c>
      <c r="G229" t="s">
        <v>18</v>
      </c>
      <c r="H229" t="s">
        <v>4906</v>
      </c>
      <c r="I229" t="s">
        <v>4907</v>
      </c>
      <c r="J229">
        <v>363438</v>
      </c>
      <c r="K229">
        <v>20230117</v>
      </c>
      <c r="L229" t="s">
        <v>4930</v>
      </c>
      <c r="M229">
        <v>0</v>
      </c>
      <c r="N229">
        <v>3</v>
      </c>
      <c r="O229" t="s">
        <v>19</v>
      </c>
      <c r="P229" t="s">
        <v>20</v>
      </c>
      <c r="Q229">
        <v>20230117</v>
      </c>
    </row>
    <row r="230" spans="1:17" x14ac:dyDescent="0.25">
      <c r="A230" t="s">
        <v>548</v>
      </c>
      <c r="B230" t="s">
        <v>429</v>
      </c>
      <c r="C230">
        <v>20</v>
      </c>
      <c r="D230">
        <v>20230117</v>
      </c>
      <c r="E230">
        <f t="shared" si="3"/>
        <v>1</v>
      </c>
      <c r="F230">
        <v>531105</v>
      </c>
      <c r="G230" t="s">
        <v>429</v>
      </c>
      <c r="H230" t="s">
        <v>401</v>
      </c>
      <c r="I230" t="s">
        <v>402</v>
      </c>
      <c r="J230">
        <v>363439</v>
      </c>
      <c r="K230">
        <v>20230117</v>
      </c>
      <c r="L230" t="s">
        <v>565</v>
      </c>
      <c r="M230">
        <v>734.88</v>
      </c>
      <c r="N230">
        <v>0</v>
      </c>
      <c r="O230" t="s">
        <v>19</v>
      </c>
      <c r="P230" t="s">
        <v>20</v>
      </c>
      <c r="Q230">
        <v>20230117</v>
      </c>
    </row>
    <row r="231" spans="1:17" x14ac:dyDescent="0.25">
      <c r="A231" t="s">
        <v>548</v>
      </c>
      <c r="B231" t="s">
        <v>429</v>
      </c>
      <c r="C231">
        <v>20</v>
      </c>
      <c r="D231">
        <v>20230117</v>
      </c>
      <c r="E231">
        <f t="shared" si="3"/>
        <v>1</v>
      </c>
      <c r="F231">
        <v>411100</v>
      </c>
      <c r="G231" t="s">
        <v>18</v>
      </c>
      <c r="H231" t="s">
        <v>77</v>
      </c>
      <c r="I231" t="s">
        <v>78</v>
      </c>
      <c r="J231">
        <v>363514</v>
      </c>
      <c r="K231">
        <v>20230117</v>
      </c>
      <c r="L231" t="s">
        <v>4931</v>
      </c>
      <c r="M231">
        <v>0</v>
      </c>
      <c r="N231">
        <v>50</v>
      </c>
      <c r="O231" t="s">
        <v>19</v>
      </c>
      <c r="P231" t="s">
        <v>20</v>
      </c>
      <c r="Q231">
        <v>20230117</v>
      </c>
    </row>
    <row r="232" spans="1:17" x14ac:dyDescent="0.25">
      <c r="A232" t="s">
        <v>548</v>
      </c>
      <c r="B232" t="s">
        <v>429</v>
      </c>
      <c r="C232">
        <v>20</v>
      </c>
      <c r="D232">
        <v>20230117</v>
      </c>
      <c r="E232">
        <f t="shared" si="3"/>
        <v>1</v>
      </c>
      <c r="F232">
        <v>531105</v>
      </c>
      <c r="G232" t="s">
        <v>429</v>
      </c>
      <c r="H232" t="s">
        <v>401</v>
      </c>
      <c r="I232" t="s">
        <v>402</v>
      </c>
      <c r="J232">
        <v>363515</v>
      </c>
      <c r="K232">
        <v>20230117</v>
      </c>
      <c r="L232" t="s">
        <v>565</v>
      </c>
      <c r="M232">
        <v>50</v>
      </c>
      <c r="N232">
        <v>0</v>
      </c>
      <c r="O232" t="s">
        <v>19</v>
      </c>
      <c r="P232" t="s">
        <v>20</v>
      </c>
      <c r="Q232">
        <v>20230117</v>
      </c>
    </row>
    <row r="233" spans="1:17" x14ac:dyDescent="0.25">
      <c r="A233" t="s">
        <v>548</v>
      </c>
      <c r="B233" t="s">
        <v>429</v>
      </c>
      <c r="C233">
        <v>20</v>
      </c>
      <c r="D233">
        <v>20230117</v>
      </c>
      <c r="E233">
        <f t="shared" si="3"/>
        <v>1</v>
      </c>
      <c r="F233">
        <v>411020</v>
      </c>
      <c r="G233" t="s">
        <v>30</v>
      </c>
      <c r="H233" t="s">
        <v>338</v>
      </c>
      <c r="I233" t="s">
        <v>339</v>
      </c>
      <c r="J233">
        <v>322120024</v>
      </c>
      <c r="K233">
        <v>20230117</v>
      </c>
      <c r="L233" t="s">
        <v>4932</v>
      </c>
      <c r="M233">
        <v>0</v>
      </c>
      <c r="N233">
        <v>34.9</v>
      </c>
      <c r="O233" t="s">
        <v>22</v>
      </c>
      <c r="P233">
        <v>20230218</v>
      </c>
      <c r="Q233">
        <v>20230117</v>
      </c>
    </row>
    <row r="234" spans="1:17" x14ac:dyDescent="0.25">
      <c r="A234" t="s">
        <v>548</v>
      </c>
      <c r="B234" t="s">
        <v>429</v>
      </c>
      <c r="C234">
        <v>20</v>
      </c>
      <c r="D234">
        <v>20230117</v>
      </c>
      <c r="E234">
        <f t="shared" si="3"/>
        <v>1</v>
      </c>
      <c r="F234">
        <v>531105</v>
      </c>
      <c r="G234" t="s">
        <v>429</v>
      </c>
      <c r="H234" t="s">
        <v>401</v>
      </c>
      <c r="I234" t="s">
        <v>402</v>
      </c>
      <c r="J234">
        <v>363532</v>
      </c>
      <c r="K234">
        <v>20230117</v>
      </c>
      <c r="L234" t="s">
        <v>565</v>
      </c>
      <c r="M234">
        <v>34.9</v>
      </c>
      <c r="N234">
        <v>0</v>
      </c>
      <c r="O234" t="s">
        <v>19</v>
      </c>
      <c r="P234" t="s">
        <v>20</v>
      </c>
      <c r="Q234">
        <v>20230117</v>
      </c>
    </row>
    <row r="235" spans="1:17" x14ac:dyDescent="0.25">
      <c r="A235" t="s">
        <v>548</v>
      </c>
      <c r="B235" t="s">
        <v>429</v>
      </c>
      <c r="C235">
        <v>20</v>
      </c>
      <c r="D235">
        <v>20230118</v>
      </c>
      <c r="E235">
        <f t="shared" si="3"/>
        <v>1</v>
      </c>
      <c r="F235">
        <v>411100</v>
      </c>
      <c r="G235" t="s">
        <v>18</v>
      </c>
      <c r="H235" t="s">
        <v>3658</v>
      </c>
      <c r="I235" t="s">
        <v>3659</v>
      </c>
      <c r="J235">
        <v>363440</v>
      </c>
      <c r="K235">
        <v>20230118</v>
      </c>
      <c r="L235" t="s">
        <v>4933</v>
      </c>
      <c r="M235">
        <v>0</v>
      </c>
      <c r="N235">
        <v>124.32</v>
      </c>
      <c r="O235" t="s">
        <v>19</v>
      </c>
      <c r="P235" t="s">
        <v>20</v>
      </c>
      <c r="Q235">
        <v>20230118</v>
      </c>
    </row>
    <row r="236" spans="1:17" x14ac:dyDescent="0.25">
      <c r="A236" t="s">
        <v>548</v>
      </c>
      <c r="B236" t="s">
        <v>429</v>
      </c>
      <c r="C236">
        <v>20</v>
      </c>
      <c r="D236">
        <v>20230118</v>
      </c>
      <c r="E236">
        <f t="shared" si="3"/>
        <v>1</v>
      </c>
      <c r="F236">
        <v>411100</v>
      </c>
      <c r="G236" t="s">
        <v>18</v>
      </c>
      <c r="H236" t="s">
        <v>3793</v>
      </c>
      <c r="I236" t="s">
        <v>3794</v>
      </c>
      <c r="J236">
        <v>363441</v>
      </c>
      <c r="K236">
        <v>20230118</v>
      </c>
      <c r="L236" t="s">
        <v>4934</v>
      </c>
      <c r="M236">
        <v>0</v>
      </c>
      <c r="N236">
        <v>77.7</v>
      </c>
      <c r="O236" t="s">
        <v>22</v>
      </c>
      <c r="P236">
        <v>20230218</v>
      </c>
      <c r="Q236">
        <v>20230118</v>
      </c>
    </row>
    <row r="237" spans="1:17" x14ac:dyDescent="0.25">
      <c r="A237" t="s">
        <v>548</v>
      </c>
      <c r="B237" t="s">
        <v>429</v>
      </c>
      <c r="C237">
        <v>20</v>
      </c>
      <c r="D237">
        <v>20230118</v>
      </c>
      <c r="E237">
        <f t="shared" si="3"/>
        <v>1</v>
      </c>
      <c r="F237">
        <v>411100</v>
      </c>
      <c r="G237" t="s">
        <v>18</v>
      </c>
      <c r="H237" t="s">
        <v>660</v>
      </c>
      <c r="I237" t="s">
        <v>661</v>
      </c>
      <c r="J237">
        <v>122040064</v>
      </c>
      <c r="K237">
        <v>20230118</v>
      </c>
      <c r="L237" t="s">
        <v>4935</v>
      </c>
      <c r="M237">
        <v>0</v>
      </c>
      <c r="N237">
        <v>6.8</v>
      </c>
      <c r="O237" t="s">
        <v>19</v>
      </c>
      <c r="P237" t="s">
        <v>20</v>
      </c>
      <c r="Q237">
        <v>20230118</v>
      </c>
    </row>
    <row r="238" spans="1:17" x14ac:dyDescent="0.25">
      <c r="A238" t="s">
        <v>548</v>
      </c>
      <c r="B238" t="s">
        <v>429</v>
      </c>
      <c r="C238">
        <v>20</v>
      </c>
      <c r="D238">
        <v>20230118</v>
      </c>
      <c r="E238">
        <f t="shared" si="3"/>
        <v>1</v>
      </c>
      <c r="F238">
        <v>531105</v>
      </c>
      <c r="G238" t="s">
        <v>429</v>
      </c>
      <c r="H238" t="s">
        <v>401</v>
      </c>
      <c r="I238" t="s">
        <v>402</v>
      </c>
      <c r="J238">
        <v>363443</v>
      </c>
      <c r="K238">
        <v>20230118</v>
      </c>
      <c r="L238" t="s">
        <v>565</v>
      </c>
      <c r="M238">
        <v>208.82</v>
      </c>
      <c r="N238">
        <v>0</v>
      </c>
      <c r="O238" t="s">
        <v>19</v>
      </c>
      <c r="P238" t="s">
        <v>20</v>
      </c>
      <c r="Q238">
        <v>20230118</v>
      </c>
    </row>
    <row r="239" spans="1:17" x14ac:dyDescent="0.25">
      <c r="A239" t="s">
        <v>548</v>
      </c>
      <c r="B239" t="s">
        <v>429</v>
      </c>
      <c r="C239">
        <v>20</v>
      </c>
      <c r="D239">
        <v>20230120</v>
      </c>
      <c r="E239">
        <f t="shared" si="3"/>
        <v>1</v>
      </c>
      <c r="F239">
        <v>411020</v>
      </c>
      <c r="G239" t="s">
        <v>30</v>
      </c>
      <c r="H239" t="s">
        <v>4147</v>
      </c>
      <c r="I239" t="s">
        <v>4148</v>
      </c>
      <c r="J239">
        <v>322120016</v>
      </c>
      <c r="K239">
        <v>20230120</v>
      </c>
      <c r="L239" t="s">
        <v>4936</v>
      </c>
      <c r="M239">
        <v>0</v>
      </c>
      <c r="N239">
        <v>28.72</v>
      </c>
      <c r="O239" t="s">
        <v>22</v>
      </c>
      <c r="P239">
        <v>20230218</v>
      </c>
      <c r="Q239">
        <v>20230120</v>
      </c>
    </row>
    <row r="240" spans="1:17" x14ac:dyDescent="0.25">
      <c r="A240" t="s">
        <v>548</v>
      </c>
      <c r="B240" t="s">
        <v>429</v>
      </c>
      <c r="C240">
        <v>20</v>
      </c>
      <c r="D240">
        <v>20230120</v>
      </c>
      <c r="E240">
        <f t="shared" si="3"/>
        <v>1</v>
      </c>
      <c r="F240">
        <v>411100</v>
      </c>
      <c r="G240" t="s">
        <v>18</v>
      </c>
      <c r="H240" t="s">
        <v>3635</v>
      </c>
      <c r="I240" t="s">
        <v>3636</v>
      </c>
      <c r="J240">
        <v>322120011</v>
      </c>
      <c r="K240">
        <v>20230120</v>
      </c>
      <c r="L240" t="s">
        <v>4937</v>
      </c>
      <c r="M240">
        <v>0</v>
      </c>
      <c r="N240">
        <v>83.42</v>
      </c>
      <c r="O240" t="s">
        <v>22</v>
      </c>
      <c r="P240">
        <v>20230218</v>
      </c>
      <c r="Q240">
        <v>20230120</v>
      </c>
    </row>
    <row r="241" spans="1:17" x14ac:dyDescent="0.25">
      <c r="A241" t="s">
        <v>548</v>
      </c>
      <c r="B241" t="s">
        <v>429</v>
      </c>
      <c r="C241">
        <v>20</v>
      </c>
      <c r="D241">
        <v>20230120</v>
      </c>
      <c r="E241">
        <f t="shared" si="3"/>
        <v>1</v>
      </c>
      <c r="F241">
        <v>531105</v>
      </c>
      <c r="G241" t="s">
        <v>429</v>
      </c>
      <c r="H241" t="s">
        <v>401</v>
      </c>
      <c r="I241" t="s">
        <v>402</v>
      </c>
      <c r="J241">
        <v>363897</v>
      </c>
      <c r="K241">
        <v>20230120</v>
      </c>
      <c r="L241" t="s">
        <v>565</v>
      </c>
      <c r="M241">
        <v>112.14</v>
      </c>
      <c r="N241">
        <v>0</v>
      </c>
      <c r="O241" t="s">
        <v>19</v>
      </c>
      <c r="P241" t="s">
        <v>20</v>
      </c>
      <c r="Q241">
        <v>20230120</v>
      </c>
    </row>
    <row r="242" spans="1:17" x14ac:dyDescent="0.25">
      <c r="A242" t="s">
        <v>548</v>
      </c>
      <c r="B242" t="s">
        <v>429</v>
      </c>
      <c r="C242">
        <v>20</v>
      </c>
      <c r="D242">
        <v>20230120</v>
      </c>
      <c r="E242">
        <f t="shared" si="3"/>
        <v>1</v>
      </c>
      <c r="F242">
        <v>411100</v>
      </c>
      <c r="G242" t="s">
        <v>18</v>
      </c>
      <c r="H242" t="s">
        <v>787</v>
      </c>
      <c r="I242" t="s">
        <v>788</v>
      </c>
      <c r="J242">
        <v>122110149</v>
      </c>
      <c r="K242">
        <v>20230120</v>
      </c>
      <c r="L242" t="s">
        <v>4938</v>
      </c>
      <c r="M242">
        <v>0</v>
      </c>
      <c r="N242">
        <v>140</v>
      </c>
      <c r="O242" t="s">
        <v>19</v>
      </c>
      <c r="P242" t="s">
        <v>20</v>
      </c>
      <c r="Q242">
        <v>20230120</v>
      </c>
    </row>
    <row r="243" spans="1:17" x14ac:dyDescent="0.25">
      <c r="A243" t="s">
        <v>548</v>
      </c>
      <c r="B243" t="s">
        <v>429</v>
      </c>
      <c r="C243">
        <v>20</v>
      </c>
      <c r="D243">
        <v>20230120</v>
      </c>
      <c r="E243">
        <f t="shared" si="3"/>
        <v>1</v>
      </c>
      <c r="F243">
        <v>411100</v>
      </c>
      <c r="G243" t="s">
        <v>18</v>
      </c>
      <c r="H243" t="s">
        <v>4939</v>
      </c>
      <c r="I243" t="s">
        <v>4940</v>
      </c>
      <c r="J243">
        <v>364037</v>
      </c>
      <c r="K243">
        <v>20230120</v>
      </c>
      <c r="L243" t="s">
        <v>4941</v>
      </c>
      <c r="M243">
        <v>0</v>
      </c>
      <c r="N243">
        <v>10</v>
      </c>
      <c r="O243" t="s">
        <v>22</v>
      </c>
      <c r="P243">
        <v>20230218</v>
      </c>
      <c r="Q243">
        <v>20230120</v>
      </c>
    </row>
    <row r="244" spans="1:17" x14ac:dyDescent="0.25">
      <c r="A244" t="s">
        <v>548</v>
      </c>
      <c r="B244" t="s">
        <v>429</v>
      </c>
      <c r="C244">
        <v>20</v>
      </c>
      <c r="D244">
        <v>20230120</v>
      </c>
      <c r="E244">
        <f t="shared" si="3"/>
        <v>1</v>
      </c>
      <c r="F244">
        <v>411000</v>
      </c>
      <c r="G244" t="s">
        <v>21</v>
      </c>
      <c r="H244" t="s">
        <v>279</v>
      </c>
      <c r="I244" t="s">
        <v>280</v>
      </c>
      <c r="J244">
        <v>364038</v>
      </c>
      <c r="K244">
        <v>20230120</v>
      </c>
      <c r="L244" t="s">
        <v>4942</v>
      </c>
      <c r="M244">
        <v>0</v>
      </c>
      <c r="N244">
        <v>34.130000000000003</v>
      </c>
      <c r="O244" t="s">
        <v>19</v>
      </c>
      <c r="P244" t="s">
        <v>20</v>
      </c>
      <c r="Q244">
        <v>20230120</v>
      </c>
    </row>
    <row r="245" spans="1:17" x14ac:dyDescent="0.25">
      <c r="A245" t="s">
        <v>548</v>
      </c>
      <c r="B245" t="s">
        <v>429</v>
      </c>
      <c r="C245">
        <v>20</v>
      </c>
      <c r="D245">
        <v>20230120</v>
      </c>
      <c r="E245">
        <f t="shared" si="3"/>
        <v>1</v>
      </c>
      <c r="F245">
        <v>411000</v>
      </c>
      <c r="G245" t="s">
        <v>21</v>
      </c>
      <c r="H245" t="s">
        <v>4460</v>
      </c>
      <c r="I245" t="s">
        <v>4461</v>
      </c>
      <c r="J245">
        <v>364039</v>
      </c>
      <c r="K245">
        <v>20230120</v>
      </c>
      <c r="L245" t="s">
        <v>4943</v>
      </c>
      <c r="M245">
        <v>0</v>
      </c>
      <c r="N245">
        <v>40</v>
      </c>
      <c r="O245" t="s">
        <v>19</v>
      </c>
      <c r="P245" t="s">
        <v>20</v>
      </c>
      <c r="Q245">
        <v>20230120</v>
      </c>
    </row>
    <row r="246" spans="1:17" x14ac:dyDescent="0.25">
      <c r="A246" t="s">
        <v>548</v>
      </c>
      <c r="B246" t="s">
        <v>429</v>
      </c>
      <c r="C246">
        <v>20</v>
      </c>
      <c r="D246">
        <v>20230120</v>
      </c>
      <c r="E246">
        <f t="shared" si="3"/>
        <v>1</v>
      </c>
      <c r="F246">
        <v>411100</v>
      </c>
      <c r="G246" t="s">
        <v>18</v>
      </c>
      <c r="H246" t="s">
        <v>320</v>
      </c>
      <c r="I246" t="s">
        <v>321</v>
      </c>
      <c r="J246">
        <v>364040</v>
      </c>
      <c r="K246">
        <v>20230120</v>
      </c>
      <c r="L246" t="s">
        <v>4944</v>
      </c>
      <c r="M246">
        <v>0</v>
      </c>
      <c r="N246">
        <v>48.7</v>
      </c>
      <c r="O246" t="s">
        <v>19</v>
      </c>
      <c r="P246" t="s">
        <v>20</v>
      </c>
      <c r="Q246">
        <v>20230120</v>
      </c>
    </row>
    <row r="247" spans="1:17" x14ac:dyDescent="0.25">
      <c r="A247" t="s">
        <v>548</v>
      </c>
      <c r="B247" t="s">
        <v>429</v>
      </c>
      <c r="C247">
        <v>20</v>
      </c>
      <c r="D247">
        <v>20230120</v>
      </c>
      <c r="E247">
        <f t="shared" si="3"/>
        <v>1</v>
      </c>
      <c r="F247">
        <v>531105</v>
      </c>
      <c r="G247" t="s">
        <v>429</v>
      </c>
      <c r="H247" t="s">
        <v>401</v>
      </c>
      <c r="I247" t="s">
        <v>402</v>
      </c>
      <c r="J247">
        <v>364041</v>
      </c>
      <c r="K247">
        <v>20230120</v>
      </c>
      <c r="L247" t="s">
        <v>565</v>
      </c>
      <c r="M247">
        <v>272.83</v>
      </c>
      <c r="N247">
        <v>0</v>
      </c>
      <c r="O247" t="s">
        <v>19</v>
      </c>
      <c r="P247" t="s">
        <v>20</v>
      </c>
      <c r="Q247">
        <v>20230120</v>
      </c>
    </row>
    <row r="248" spans="1:17" x14ac:dyDescent="0.25">
      <c r="A248" t="s">
        <v>548</v>
      </c>
      <c r="B248" t="s">
        <v>429</v>
      </c>
      <c r="C248">
        <v>20</v>
      </c>
      <c r="D248">
        <v>20230123</v>
      </c>
      <c r="E248">
        <f t="shared" si="3"/>
        <v>1</v>
      </c>
      <c r="F248">
        <v>411020</v>
      </c>
      <c r="G248" t="s">
        <v>30</v>
      </c>
      <c r="H248" t="s">
        <v>399</v>
      </c>
      <c r="I248" t="s">
        <v>400</v>
      </c>
      <c r="J248">
        <v>322120021</v>
      </c>
      <c r="K248">
        <v>20230123</v>
      </c>
      <c r="L248" t="s">
        <v>4945</v>
      </c>
      <c r="M248">
        <v>0</v>
      </c>
      <c r="N248">
        <v>59.9</v>
      </c>
      <c r="O248" t="s">
        <v>19</v>
      </c>
      <c r="P248" t="s">
        <v>20</v>
      </c>
      <c r="Q248">
        <v>20230123</v>
      </c>
    </row>
    <row r="249" spans="1:17" x14ac:dyDescent="0.25">
      <c r="A249" t="s">
        <v>548</v>
      </c>
      <c r="B249" t="s">
        <v>429</v>
      </c>
      <c r="C249">
        <v>20</v>
      </c>
      <c r="D249">
        <v>20230123</v>
      </c>
      <c r="E249">
        <f t="shared" si="3"/>
        <v>1</v>
      </c>
      <c r="F249">
        <v>411020</v>
      </c>
      <c r="G249" t="s">
        <v>30</v>
      </c>
      <c r="H249" t="s">
        <v>399</v>
      </c>
      <c r="I249" t="s">
        <v>400</v>
      </c>
      <c r="J249">
        <v>322120021</v>
      </c>
      <c r="K249">
        <v>20230123</v>
      </c>
      <c r="L249" t="s">
        <v>4946</v>
      </c>
      <c r="M249">
        <v>0</v>
      </c>
      <c r="N249">
        <v>0.1</v>
      </c>
      <c r="O249" t="s">
        <v>19</v>
      </c>
      <c r="P249" t="s">
        <v>20</v>
      </c>
      <c r="Q249">
        <v>20230123</v>
      </c>
    </row>
    <row r="250" spans="1:17" x14ac:dyDescent="0.25">
      <c r="A250" t="s">
        <v>548</v>
      </c>
      <c r="B250" t="s">
        <v>429</v>
      </c>
      <c r="C250">
        <v>20</v>
      </c>
      <c r="D250">
        <v>20230123</v>
      </c>
      <c r="E250">
        <f t="shared" si="3"/>
        <v>1</v>
      </c>
      <c r="F250">
        <v>411100</v>
      </c>
      <c r="G250" t="s">
        <v>18</v>
      </c>
      <c r="H250" t="s">
        <v>209</v>
      </c>
      <c r="I250" t="s">
        <v>210</v>
      </c>
      <c r="J250">
        <v>322110014</v>
      </c>
      <c r="K250">
        <v>20230123</v>
      </c>
      <c r="L250" t="s">
        <v>4947</v>
      </c>
      <c r="M250">
        <v>0</v>
      </c>
      <c r="N250">
        <v>40</v>
      </c>
      <c r="O250" t="s">
        <v>19</v>
      </c>
      <c r="P250" t="s">
        <v>20</v>
      </c>
      <c r="Q250">
        <v>20230123</v>
      </c>
    </row>
    <row r="251" spans="1:17" x14ac:dyDescent="0.25">
      <c r="A251" t="s">
        <v>548</v>
      </c>
      <c r="B251" t="s">
        <v>429</v>
      </c>
      <c r="C251">
        <v>20</v>
      </c>
      <c r="D251">
        <v>20230123</v>
      </c>
      <c r="E251">
        <f t="shared" si="3"/>
        <v>1</v>
      </c>
      <c r="F251">
        <v>531105</v>
      </c>
      <c r="G251" t="s">
        <v>429</v>
      </c>
      <c r="H251" t="s">
        <v>401</v>
      </c>
      <c r="I251" t="s">
        <v>402</v>
      </c>
      <c r="J251">
        <v>363901</v>
      </c>
      <c r="K251">
        <v>20230123</v>
      </c>
      <c r="L251" t="s">
        <v>565</v>
      </c>
      <c r="M251">
        <v>100</v>
      </c>
      <c r="N251">
        <v>0</v>
      </c>
      <c r="O251" t="s">
        <v>19</v>
      </c>
      <c r="P251" t="s">
        <v>20</v>
      </c>
      <c r="Q251">
        <v>20230123</v>
      </c>
    </row>
    <row r="252" spans="1:17" x14ac:dyDescent="0.25">
      <c r="A252" t="s">
        <v>548</v>
      </c>
      <c r="B252" t="s">
        <v>429</v>
      </c>
      <c r="C252">
        <v>20</v>
      </c>
      <c r="D252">
        <v>20230123</v>
      </c>
      <c r="E252">
        <f t="shared" si="3"/>
        <v>1</v>
      </c>
      <c r="F252">
        <v>411100</v>
      </c>
      <c r="G252" t="s">
        <v>18</v>
      </c>
      <c r="H252" t="s">
        <v>194</v>
      </c>
      <c r="I252" t="s">
        <v>195</v>
      </c>
      <c r="J252">
        <v>364042</v>
      </c>
      <c r="K252">
        <v>20230123</v>
      </c>
      <c r="L252" t="s">
        <v>4948</v>
      </c>
      <c r="M252">
        <v>0</v>
      </c>
      <c r="N252">
        <v>18</v>
      </c>
      <c r="O252" t="s">
        <v>19</v>
      </c>
      <c r="P252" t="s">
        <v>20</v>
      </c>
      <c r="Q252">
        <v>20230123</v>
      </c>
    </row>
    <row r="253" spans="1:17" x14ac:dyDescent="0.25">
      <c r="A253" t="s">
        <v>548</v>
      </c>
      <c r="B253" t="s">
        <v>429</v>
      </c>
      <c r="C253">
        <v>20</v>
      </c>
      <c r="D253">
        <v>20230123</v>
      </c>
      <c r="E253">
        <f t="shared" si="3"/>
        <v>1</v>
      </c>
      <c r="F253">
        <v>411100</v>
      </c>
      <c r="G253" t="s">
        <v>18</v>
      </c>
      <c r="H253" t="s">
        <v>237</v>
      </c>
      <c r="I253" t="s">
        <v>238</v>
      </c>
      <c r="J253">
        <v>364043</v>
      </c>
      <c r="K253">
        <v>20230123</v>
      </c>
      <c r="L253" t="s">
        <v>4949</v>
      </c>
      <c r="M253">
        <v>0</v>
      </c>
      <c r="N253">
        <v>119.64</v>
      </c>
      <c r="O253" t="s">
        <v>19</v>
      </c>
      <c r="P253" t="s">
        <v>20</v>
      </c>
      <c r="Q253">
        <v>20230123</v>
      </c>
    </row>
    <row r="254" spans="1:17" x14ac:dyDescent="0.25">
      <c r="A254" t="s">
        <v>548</v>
      </c>
      <c r="B254" t="s">
        <v>429</v>
      </c>
      <c r="C254">
        <v>20</v>
      </c>
      <c r="D254">
        <v>20230123</v>
      </c>
      <c r="E254">
        <f t="shared" si="3"/>
        <v>1</v>
      </c>
      <c r="F254">
        <v>411100</v>
      </c>
      <c r="G254" t="s">
        <v>18</v>
      </c>
      <c r="H254" t="s">
        <v>237</v>
      </c>
      <c r="I254" t="s">
        <v>238</v>
      </c>
      <c r="J254">
        <v>364044</v>
      </c>
      <c r="K254">
        <v>20230123</v>
      </c>
      <c r="L254" t="s">
        <v>4950</v>
      </c>
      <c r="M254">
        <v>0.95</v>
      </c>
      <c r="N254">
        <v>0</v>
      </c>
      <c r="O254" t="s">
        <v>22</v>
      </c>
      <c r="P254">
        <v>20230218</v>
      </c>
      <c r="Q254">
        <v>20230123</v>
      </c>
    </row>
    <row r="255" spans="1:17" x14ac:dyDescent="0.25">
      <c r="A255" t="s">
        <v>548</v>
      </c>
      <c r="B255" t="s">
        <v>429</v>
      </c>
      <c r="C255">
        <v>20</v>
      </c>
      <c r="D255">
        <v>20230123</v>
      </c>
      <c r="E255">
        <f t="shared" si="3"/>
        <v>1</v>
      </c>
      <c r="F255">
        <v>411000</v>
      </c>
      <c r="G255" t="s">
        <v>21</v>
      </c>
      <c r="H255" t="s">
        <v>271</v>
      </c>
      <c r="I255" t="s">
        <v>272</v>
      </c>
      <c r="J255">
        <v>364045</v>
      </c>
      <c r="K255">
        <v>20230123</v>
      </c>
      <c r="L255" t="s">
        <v>4951</v>
      </c>
      <c r="M255">
        <v>0</v>
      </c>
      <c r="N255">
        <v>42</v>
      </c>
      <c r="O255" t="s">
        <v>19</v>
      </c>
      <c r="P255" t="s">
        <v>20</v>
      </c>
      <c r="Q255">
        <v>20230123</v>
      </c>
    </row>
    <row r="256" spans="1:17" x14ac:dyDescent="0.25">
      <c r="A256" t="s">
        <v>548</v>
      </c>
      <c r="B256" t="s">
        <v>429</v>
      </c>
      <c r="C256">
        <v>20</v>
      </c>
      <c r="D256">
        <v>20230123</v>
      </c>
      <c r="E256">
        <f t="shared" si="3"/>
        <v>1</v>
      </c>
      <c r="F256">
        <v>411100</v>
      </c>
      <c r="G256" t="s">
        <v>18</v>
      </c>
      <c r="H256" t="s">
        <v>4876</v>
      </c>
      <c r="I256" t="s">
        <v>4877</v>
      </c>
      <c r="J256">
        <v>364046</v>
      </c>
      <c r="K256">
        <v>20230123</v>
      </c>
      <c r="L256" t="s">
        <v>4952</v>
      </c>
      <c r="M256">
        <v>0</v>
      </c>
      <c r="N256">
        <v>3</v>
      </c>
      <c r="O256" t="s">
        <v>19</v>
      </c>
      <c r="P256" t="s">
        <v>20</v>
      </c>
      <c r="Q256">
        <v>20230123</v>
      </c>
    </row>
    <row r="257" spans="1:17" x14ac:dyDescent="0.25">
      <c r="A257" t="s">
        <v>548</v>
      </c>
      <c r="B257" t="s">
        <v>429</v>
      </c>
      <c r="C257">
        <v>20</v>
      </c>
      <c r="D257">
        <v>20230123</v>
      </c>
      <c r="E257">
        <f t="shared" si="3"/>
        <v>1</v>
      </c>
      <c r="F257">
        <v>411100</v>
      </c>
      <c r="G257" t="s">
        <v>18</v>
      </c>
      <c r="H257" t="s">
        <v>4953</v>
      </c>
      <c r="I257" t="s">
        <v>4954</v>
      </c>
      <c r="J257">
        <v>364047</v>
      </c>
      <c r="K257">
        <v>20230123</v>
      </c>
      <c r="L257" t="s">
        <v>4955</v>
      </c>
      <c r="M257">
        <v>0</v>
      </c>
      <c r="N257">
        <v>10</v>
      </c>
      <c r="O257" t="s">
        <v>22</v>
      </c>
      <c r="P257">
        <v>20230218</v>
      </c>
      <c r="Q257">
        <v>20230123</v>
      </c>
    </row>
    <row r="258" spans="1:17" x14ac:dyDescent="0.25">
      <c r="A258" t="s">
        <v>548</v>
      </c>
      <c r="B258" t="s">
        <v>429</v>
      </c>
      <c r="C258">
        <v>20</v>
      </c>
      <c r="D258">
        <v>20230123</v>
      </c>
      <c r="E258">
        <f t="shared" si="3"/>
        <v>1</v>
      </c>
      <c r="F258">
        <v>411100</v>
      </c>
      <c r="G258" t="s">
        <v>18</v>
      </c>
      <c r="H258" t="s">
        <v>2662</v>
      </c>
      <c r="I258" t="s">
        <v>2663</v>
      </c>
      <c r="J258">
        <v>122080013</v>
      </c>
      <c r="K258">
        <v>20230123</v>
      </c>
      <c r="L258" t="s">
        <v>4956</v>
      </c>
      <c r="M258">
        <v>0</v>
      </c>
      <c r="N258">
        <v>104.34</v>
      </c>
      <c r="O258" t="s">
        <v>19</v>
      </c>
      <c r="P258" t="s">
        <v>20</v>
      </c>
      <c r="Q258">
        <v>20230123</v>
      </c>
    </row>
    <row r="259" spans="1:17" x14ac:dyDescent="0.25">
      <c r="A259" t="s">
        <v>548</v>
      </c>
      <c r="B259" t="s">
        <v>429</v>
      </c>
      <c r="C259">
        <v>20</v>
      </c>
      <c r="D259">
        <v>20230123</v>
      </c>
      <c r="E259">
        <f t="shared" ref="E259:E322" si="4">VALUE(MID(D259,5,2))</f>
        <v>1</v>
      </c>
      <c r="F259">
        <v>531105</v>
      </c>
      <c r="G259" t="s">
        <v>429</v>
      </c>
      <c r="H259" t="s">
        <v>401</v>
      </c>
      <c r="I259" t="s">
        <v>402</v>
      </c>
      <c r="J259">
        <v>364049</v>
      </c>
      <c r="K259">
        <v>20230123</v>
      </c>
      <c r="L259" t="s">
        <v>565</v>
      </c>
      <c r="M259">
        <v>296.02999999999997</v>
      </c>
      <c r="N259">
        <v>0</v>
      </c>
      <c r="O259" t="s">
        <v>19</v>
      </c>
      <c r="P259" t="s">
        <v>20</v>
      </c>
      <c r="Q259">
        <v>20230123</v>
      </c>
    </row>
    <row r="260" spans="1:17" x14ac:dyDescent="0.25">
      <c r="A260" t="s">
        <v>548</v>
      </c>
      <c r="B260" t="s">
        <v>429</v>
      </c>
      <c r="C260">
        <v>20</v>
      </c>
      <c r="D260">
        <v>20230124</v>
      </c>
      <c r="E260">
        <f t="shared" si="4"/>
        <v>1</v>
      </c>
      <c r="F260">
        <v>411100</v>
      </c>
      <c r="G260" t="s">
        <v>18</v>
      </c>
      <c r="H260" t="s">
        <v>4462</v>
      </c>
      <c r="I260" t="s">
        <v>4463</v>
      </c>
      <c r="J260">
        <v>122110138</v>
      </c>
      <c r="K260">
        <v>20230124</v>
      </c>
      <c r="L260" t="s">
        <v>4957</v>
      </c>
      <c r="M260">
        <v>0</v>
      </c>
      <c r="N260">
        <v>10</v>
      </c>
      <c r="O260" t="s">
        <v>22</v>
      </c>
      <c r="P260">
        <v>20230218</v>
      </c>
      <c r="Q260">
        <v>20230124</v>
      </c>
    </row>
    <row r="261" spans="1:17" x14ac:dyDescent="0.25">
      <c r="A261" t="s">
        <v>548</v>
      </c>
      <c r="B261" t="s">
        <v>429</v>
      </c>
      <c r="C261">
        <v>20</v>
      </c>
      <c r="D261">
        <v>20230124</v>
      </c>
      <c r="E261">
        <f t="shared" si="4"/>
        <v>1</v>
      </c>
      <c r="F261">
        <v>531105</v>
      </c>
      <c r="G261" t="s">
        <v>429</v>
      </c>
      <c r="H261" t="s">
        <v>401</v>
      </c>
      <c r="I261" t="s">
        <v>402</v>
      </c>
      <c r="J261">
        <v>364051</v>
      </c>
      <c r="K261">
        <v>20230124</v>
      </c>
      <c r="L261" t="s">
        <v>565</v>
      </c>
      <c r="M261">
        <v>10</v>
      </c>
      <c r="N261">
        <v>0</v>
      </c>
      <c r="O261" t="s">
        <v>19</v>
      </c>
      <c r="P261" t="s">
        <v>20</v>
      </c>
      <c r="Q261">
        <v>20230124</v>
      </c>
    </row>
    <row r="262" spans="1:17" x14ac:dyDescent="0.25">
      <c r="A262" t="s">
        <v>548</v>
      </c>
      <c r="B262" t="s">
        <v>429</v>
      </c>
      <c r="C262">
        <v>20</v>
      </c>
      <c r="D262">
        <v>20230125</v>
      </c>
      <c r="E262">
        <f t="shared" si="4"/>
        <v>1</v>
      </c>
      <c r="F262">
        <v>467100</v>
      </c>
      <c r="G262" t="s">
        <v>160</v>
      </c>
      <c r="H262" t="s">
        <v>4958</v>
      </c>
      <c r="I262" t="s">
        <v>4959</v>
      </c>
      <c r="J262" t="s">
        <v>4960</v>
      </c>
      <c r="K262">
        <v>20230125</v>
      </c>
      <c r="L262" t="s">
        <v>4961</v>
      </c>
      <c r="M262">
        <v>50</v>
      </c>
      <c r="N262">
        <v>0</v>
      </c>
      <c r="O262" t="s">
        <v>23</v>
      </c>
      <c r="P262">
        <v>20230308</v>
      </c>
      <c r="Q262">
        <v>20230125</v>
      </c>
    </row>
    <row r="263" spans="1:17" x14ac:dyDescent="0.25">
      <c r="A263" t="s">
        <v>548</v>
      </c>
      <c r="B263" t="s">
        <v>429</v>
      </c>
      <c r="C263">
        <v>20</v>
      </c>
      <c r="D263">
        <v>20230125</v>
      </c>
      <c r="E263">
        <f t="shared" si="4"/>
        <v>1</v>
      </c>
      <c r="F263">
        <v>531105</v>
      </c>
      <c r="G263" t="s">
        <v>429</v>
      </c>
      <c r="H263" t="s">
        <v>401</v>
      </c>
      <c r="I263" t="s">
        <v>402</v>
      </c>
      <c r="J263" t="s">
        <v>4960</v>
      </c>
      <c r="K263">
        <v>20230125</v>
      </c>
      <c r="L263" t="s">
        <v>4961</v>
      </c>
      <c r="M263">
        <v>0</v>
      </c>
      <c r="N263">
        <v>50</v>
      </c>
      <c r="O263" t="s">
        <v>19</v>
      </c>
      <c r="P263" t="s">
        <v>20</v>
      </c>
      <c r="Q263">
        <v>20230125</v>
      </c>
    </row>
    <row r="264" spans="1:17" x14ac:dyDescent="0.25">
      <c r="A264" t="s">
        <v>548</v>
      </c>
      <c r="B264" t="s">
        <v>429</v>
      </c>
      <c r="C264">
        <v>20</v>
      </c>
      <c r="D264">
        <v>20230125</v>
      </c>
      <c r="E264">
        <f t="shared" si="4"/>
        <v>1</v>
      </c>
      <c r="F264">
        <v>467100</v>
      </c>
      <c r="G264" t="s">
        <v>160</v>
      </c>
      <c r="H264" t="s">
        <v>170</v>
      </c>
      <c r="I264" t="s">
        <v>171</v>
      </c>
      <c r="J264" t="s">
        <v>4962</v>
      </c>
      <c r="K264">
        <v>20230125</v>
      </c>
      <c r="L264" t="s">
        <v>4963</v>
      </c>
      <c r="M264">
        <v>12.97</v>
      </c>
      <c r="N264">
        <v>0</v>
      </c>
      <c r="O264" t="s">
        <v>23</v>
      </c>
      <c r="P264">
        <v>20230308</v>
      </c>
      <c r="Q264">
        <v>20230125</v>
      </c>
    </row>
    <row r="265" spans="1:17" x14ac:dyDescent="0.25">
      <c r="A265" t="s">
        <v>548</v>
      </c>
      <c r="B265" t="s">
        <v>429</v>
      </c>
      <c r="C265">
        <v>20</v>
      </c>
      <c r="D265">
        <v>20230125</v>
      </c>
      <c r="E265">
        <f t="shared" si="4"/>
        <v>1</v>
      </c>
      <c r="F265">
        <v>531105</v>
      </c>
      <c r="G265" t="s">
        <v>429</v>
      </c>
      <c r="H265" t="s">
        <v>401</v>
      </c>
      <c r="I265" t="s">
        <v>402</v>
      </c>
      <c r="J265" t="s">
        <v>4962</v>
      </c>
      <c r="K265">
        <v>20230125</v>
      </c>
      <c r="L265" t="s">
        <v>4963</v>
      </c>
      <c r="M265">
        <v>0</v>
      </c>
      <c r="N265">
        <v>12.97</v>
      </c>
      <c r="O265" t="s">
        <v>19</v>
      </c>
      <c r="P265" t="s">
        <v>20</v>
      </c>
      <c r="Q265">
        <v>20230125</v>
      </c>
    </row>
    <row r="266" spans="1:17" x14ac:dyDescent="0.25">
      <c r="A266" t="s">
        <v>548</v>
      </c>
      <c r="B266" t="s">
        <v>429</v>
      </c>
      <c r="C266">
        <v>20</v>
      </c>
      <c r="D266">
        <v>20230125</v>
      </c>
      <c r="E266">
        <f t="shared" si="4"/>
        <v>1</v>
      </c>
      <c r="F266">
        <v>467100</v>
      </c>
      <c r="G266" t="s">
        <v>160</v>
      </c>
      <c r="H266" t="s">
        <v>4964</v>
      </c>
      <c r="I266" t="s">
        <v>4965</v>
      </c>
      <c r="J266" t="s">
        <v>4966</v>
      </c>
      <c r="K266">
        <v>20230125</v>
      </c>
      <c r="L266" t="s">
        <v>4967</v>
      </c>
      <c r="M266">
        <v>40</v>
      </c>
      <c r="N266">
        <v>0</v>
      </c>
      <c r="O266" t="s">
        <v>23</v>
      </c>
      <c r="P266">
        <v>20230206</v>
      </c>
      <c r="Q266">
        <v>20230125</v>
      </c>
    </row>
    <row r="267" spans="1:17" x14ac:dyDescent="0.25">
      <c r="A267" t="s">
        <v>548</v>
      </c>
      <c r="B267" t="s">
        <v>429</v>
      </c>
      <c r="C267">
        <v>20</v>
      </c>
      <c r="D267">
        <v>20230125</v>
      </c>
      <c r="E267">
        <f t="shared" si="4"/>
        <v>1</v>
      </c>
      <c r="F267">
        <v>531105</v>
      </c>
      <c r="G267" t="s">
        <v>429</v>
      </c>
      <c r="H267" t="s">
        <v>401</v>
      </c>
      <c r="I267" t="s">
        <v>402</v>
      </c>
      <c r="J267" t="s">
        <v>4966</v>
      </c>
      <c r="K267">
        <v>20230125</v>
      </c>
      <c r="L267" t="s">
        <v>4967</v>
      </c>
      <c r="M267">
        <v>0</v>
      </c>
      <c r="N267">
        <v>40</v>
      </c>
      <c r="O267" t="s">
        <v>19</v>
      </c>
      <c r="P267" t="s">
        <v>20</v>
      </c>
      <c r="Q267">
        <v>20230125</v>
      </c>
    </row>
    <row r="268" spans="1:17" x14ac:dyDescent="0.25">
      <c r="A268" t="s">
        <v>548</v>
      </c>
      <c r="B268" t="s">
        <v>429</v>
      </c>
      <c r="C268">
        <v>20</v>
      </c>
      <c r="D268">
        <v>20230125</v>
      </c>
      <c r="E268">
        <f t="shared" si="4"/>
        <v>1</v>
      </c>
      <c r="F268">
        <v>467100</v>
      </c>
      <c r="G268" t="s">
        <v>160</v>
      </c>
      <c r="H268" t="s">
        <v>316</v>
      </c>
      <c r="I268" t="s">
        <v>317</v>
      </c>
      <c r="J268" t="s">
        <v>4968</v>
      </c>
      <c r="K268">
        <v>20230125</v>
      </c>
      <c r="L268" t="s">
        <v>4969</v>
      </c>
      <c r="M268">
        <v>250</v>
      </c>
      <c r="N268">
        <v>0</v>
      </c>
      <c r="O268" t="s">
        <v>23</v>
      </c>
      <c r="P268">
        <v>20230206</v>
      </c>
      <c r="Q268">
        <v>20230125</v>
      </c>
    </row>
    <row r="269" spans="1:17" x14ac:dyDescent="0.25">
      <c r="A269" t="s">
        <v>548</v>
      </c>
      <c r="B269" t="s">
        <v>429</v>
      </c>
      <c r="C269">
        <v>20</v>
      </c>
      <c r="D269">
        <v>20230125</v>
      </c>
      <c r="E269">
        <f t="shared" si="4"/>
        <v>1</v>
      </c>
      <c r="F269">
        <v>531105</v>
      </c>
      <c r="G269" t="s">
        <v>429</v>
      </c>
      <c r="H269" t="s">
        <v>401</v>
      </c>
      <c r="I269" t="s">
        <v>402</v>
      </c>
      <c r="J269" t="s">
        <v>4968</v>
      </c>
      <c r="K269">
        <v>20230125</v>
      </c>
      <c r="L269" t="s">
        <v>4969</v>
      </c>
      <c r="M269">
        <v>0</v>
      </c>
      <c r="N269">
        <v>250</v>
      </c>
      <c r="O269" t="s">
        <v>19</v>
      </c>
      <c r="P269" t="s">
        <v>20</v>
      </c>
      <c r="Q269">
        <v>20230125</v>
      </c>
    </row>
    <row r="270" spans="1:17" x14ac:dyDescent="0.25">
      <c r="A270" t="s">
        <v>548</v>
      </c>
      <c r="B270" t="s">
        <v>429</v>
      </c>
      <c r="C270">
        <v>20</v>
      </c>
      <c r="D270">
        <v>20230125</v>
      </c>
      <c r="E270">
        <f t="shared" si="4"/>
        <v>1</v>
      </c>
      <c r="F270">
        <v>467100</v>
      </c>
      <c r="G270" t="s">
        <v>160</v>
      </c>
      <c r="H270" t="s">
        <v>316</v>
      </c>
      <c r="I270" t="s">
        <v>317</v>
      </c>
      <c r="J270" t="s">
        <v>4970</v>
      </c>
      <c r="K270">
        <v>20230125</v>
      </c>
      <c r="L270" t="s">
        <v>4971</v>
      </c>
      <c r="M270">
        <v>30</v>
      </c>
      <c r="N270">
        <v>0</v>
      </c>
      <c r="O270" t="s">
        <v>23</v>
      </c>
      <c r="P270">
        <v>20230206</v>
      </c>
      <c r="Q270">
        <v>20230125</v>
      </c>
    </row>
    <row r="271" spans="1:17" x14ac:dyDescent="0.25">
      <c r="A271" t="s">
        <v>548</v>
      </c>
      <c r="B271" t="s">
        <v>429</v>
      </c>
      <c r="C271">
        <v>20</v>
      </c>
      <c r="D271">
        <v>20230125</v>
      </c>
      <c r="E271">
        <f t="shared" si="4"/>
        <v>1</v>
      </c>
      <c r="F271">
        <v>531105</v>
      </c>
      <c r="G271" t="s">
        <v>429</v>
      </c>
      <c r="H271" t="s">
        <v>401</v>
      </c>
      <c r="I271" t="s">
        <v>402</v>
      </c>
      <c r="J271" t="s">
        <v>4970</v>
      </c>
      <c r="K271">
        <v>20230125</v>
      </c>
      <c r="L271" t="s">
        <v>4971</v>
      </c>
      <c r="M271">
        <v>0</v>
      </c>
      <c r="N271">
        <v>30</v>
      </c>
      <c r="O271" t="s">
        <v>19</v>
      </c>
      <c r="P271" t="s">
        <v>20</v>
      </c>
      <c r="Q271">
        <v>20230125</v>
      </c>
    </row>
    <row r="272" spans="1:17" x14ac:dyDescent="0.25">
      <c r="A272" t="s">
        <v>548</v>
      </c>
      <c r="B272" t="s">
        <v>429</v>
      </c>
      <c r="C272">
        <v>20</v>
      </c>
      <c r="D272">
        <v>20230125</v>
      </c>
      <c r="E272">
        <f t="shared" si="4"/>
        <v>1</v>
      </c>
      <c r="F272">
        <v>467100</v>
      </c>
      <c r="G272" t="s">
        <v>160</v>
      </c>
      <c r="H272" t="s">
        <v>2232</v>
      </c>
      <c r="I272" t="s">
        <v>2233</v>
      </c>
      <c r="J272" t="s">
        <v>4972</v>
      </c>
      <c r="K272">
        <v>20230125</v>
      </c>
      <c r="L272" t="s">
        <v>4973</v>
      </c>
      <c r="M272">
        <v>30</v>
      </c>
      <c r="N272">
        <v>0</v>
      </c>
      <c r="O272" t="s">
        <v>23</v>
      </c>
      <c r="P272">
        <v>20230314</v>
      </c>
      <c r="Q272">
        <v>20230125</v>
      </c>
    </row>
    <row r="273" spans="1:17" x14ac:dyDescent="0.25">
      <c r="A273" t="s">
        <v>548</v>
      </c>
      <c r="B273" t="s">
        <v>429</v>
      </c>
      <c r="C273">
        <v>20</v>
      </c>
      <c r="D273">
        <v>20230125</v>
      </c>
      <c r="E273">
        <f t="shared" si="4"/>
        <v>1</v>
      </c>
      <c r="F273">
        <v>531105</v>
      </c>
      <c r="G273" t="s">
        <v>429</v>
      </c>
      <c r="H273" t="s">
        <v>401</v>
      </c>
      <c r="I273" t="s">
        <v>402</v>
      </c>
      <c r="J273" t="s">
        <v>4972</v>
      </c>
      <c r="K273">
        <v>20230125</v>
      </c>
      <c r="L273" t="s">
        <v>4973</v>
      </c>
      <c r="M273">
        <v>0</v>
      </c>
      <c r="N273">
        <v>30</v>
      </c>
      <c r="O273" t="s">
        <v>19</v>
      </c>
      <c r="P273" t="s">
        <v>20</v>
      </c>
      <c r="Q273">
        <v>20230125</v>
      </c>
    </row>
    <row r="274" spans="1:17" x14ac:dyDescent="0.25">
      <c r="A274" t="s">
        <v>548</v>
      </c>
      <c r="B274" t="s">
        <v>429</v>
      </c>
      <c r="C274">
        <v>20</v>
      </c>
      <c r="D274">
        <v>20230126</v>
      </c>
      <c r="E274">
        <f t="shared" si="4"/>
        <v>1</v>
      </c>
      <c r="F274">
        <v>467100</v>
      </c>
      <c r="G274" t="s">
        <v>160</v>
      </c>
      <c r="H274" t="s">
        <v>4964</v>
      </c>
      <c r="I274" t="s">
        <v>4965</v>
      </c>
      <c r="J274" t="s">
        <v>4974</v>
      </c>
      <c r="K274">
        <v>20230126</v>
      </c>
      <c r="L274" t="s">
        <v>4975</v>
      </c>
      <c r="M274">
        <v>0</v>
      </c>
      <c r="N274">
        <v>6.69</v>
      </c>
      <c r="O274" t="s">
        <v>23</v>
      </c>
      <c r="P274">
        <v>20230206</v>
      </c>
      <c r="Q274">
        <v>20230126</v>
      </c>
    </row>
    <row r="275" spans="1:17" x14ac:dyDescent="0.25">
      <c r="A275" t="s">
        <v>548</v>
      </c>
      <c r="B275" t="s">
        <v>429</v>
      </c>
      <c r="C275">
        <v>20</v>
      </c>
      <c r="D275">
        <v>20230126</v>
      </c>
      <c r="E275">
        <f t="shared" si="4"/>
        <v>1</v>
      </c>
      <c r="F275">
        <v>531105</v>
      </c>
      <c r="G275" t="s">
        <v>429</v>
      </c>
      <c r="H275" t="s">
        <v>401</v>
      </c>
      <c r="I275" t="s">
        <v>402</v>
      </c>
      <c r="J275" t="s">
        <v>4974</v>
      </c>
      <c r="K275">
        <v>20230126</v>
      </c>
      <c r="L275" t="s">
        <v>4975</v>
      </c>
      <c r="M275">
        <v>6.69</v>
      </c>
      <c r="N275">
        <v>0</v>
      </c>
      <c r="O275" t="s">
        <v>19</v>
      </c>
      <c r="P275" t="s">
        <v>20</v>
      </c>
      <c r="Q275">
        <v>20230126</v>
      </c>
    </row>
    <row r="276" spans="1:17" x14ac:dyDescent="0.25">
      <c r="A276" t="s">
        <v>548</v>
      </c>
      <c r="B276" t="s">
        <v>429</v>
      </c>
      <c r="C276">
        <v>20</v>
      </c>
      <c r="D276">
        <v>20230126</v>
      </c>
      <c r="E276">
        <f t="shared" si="4"/>
        <v>1</v>
      </c>
      <c r="F276">
        <v>411010</v>
      </c>
      <c r="G276" t="s">
        <v>87</v>
      </c>
      <c r="H276" t="s">
        <v>381</v>
      </c>
      <c r="I276" t="s">
        <v>382</v>
      </c>
      <c r="J276">
        <v>222110011</v>
      </c>
      <c r="K276">
        <v>20230126</v>
      </c>
      <c r="L276" t="s">
        <v>4976</v>
      </c>
      <c r="M276">
        <v>0</v>
      </c>
      <c r="N276">
        <v>921.89</v>
      </c>
      <c r="O276" t="s">
        <v>19</v>
      </c>
      <c r="P276" t="s">
        <v>20</v>
      </c>
      <c r="Q276">
        <v>20230126</v>
      </c>
    </row>
    <row r="277" spans="1:17" x14ac:dyDescent="0.25">
      <c r="A277" t="s">
        <v>548</v>
      </c>
      <c r="B277" t="s">
        <v>429</v>
      </c>
      <c r="C277">
        <v>20</v>
      </c>
      <c r="D277">
        <v>20230126</v>
      </c>
      <c r="E277">
        <f t="shared" si="4"/>
        <v>1</v>
      </c>
      <c r="F277">
        <v>411010</v>
      </c>
      <c r="G277" t="s">
        <v>87</v>
      </c>
      <c r="H277" t="s">
        <v>381</v>
      </c>
      <c r="I277" t="s">
        <v>382</v>
      </c>
      <c r="J277">
        <v>222110011</v>
      </c>
      <c r="K277">
        <v>20230126</v>
      </c>
      <c r="L277" t="s">
        <v>4977</v>
      </c>
      <c r="M277">
        <v>0</v>
      </c>
      <c r="N277">
        <v>0.11</v>
      </c>
      <c r="O277" t="s">
        <v>19</v>
      </c>
      <c r="P277" t="s">
        <v>20</v>
      </c>
      <c r="Q277">
        <v>20230126</v>
      </c>
    </row>
    <row r="278" spans="1:17" x14ac:dyDescent="0.25">
      <c r="A278" t="s">
        <v>548</v>
      </c>
      <c r="B278" t="s">
        <v>429</v>
      </c>
      <c r="C278">
        <v>20</v>
      </c>
      <c r="D278">
        <v>20230126</v>
      </c>
      <c r="E278">
        <f t="shared" si="4"/>
        <v>1</v>
      </c>
      <c r="F278">
        <v>531105</v>
      </c>
      <c r="G278" t="s">
        <v>429</v>
      </c>
      <c r="H278" t="s">
        <v>401</v>
      </c>
      <c r="I278" t="s">
        <v>402</v>
      </c>
      <c r="J278">
        <v>363890</v>
      </c>
      <c r="K278">
        <v>20230126</v>
      </c>
      <c r="L278" t="s">
        <v>565</v>
      </c>
      <c r="M278">
        <v>922</v>
      </c>
      <c r="N278">
        <v>0</v>
      </c>
      <c r="O278" t="s">
        <v>19</v>
      </c>
      <c r="P278" t="s">
        <v>20</v>
      </c>
      <c r="Q278">
        <v>20230126</v>
      </c>
    </row>
    <row r="279" spans="1:17" x14ac:dyDescent="0.25">
      <c r="A279" t="s">
        <v>548</v>
      </c>
      <c r="B279" t="s">
        <v>429</v>
      </c>
      <c r="C279">
        <v>20</v>
      </c>
      <c r="D279">
        <v>20230126</v>
      </c>
      <c r="E279">
        <f t="shared" si="4"/>
        <v>1</v>
      </c>
      <c r="F279">
        <v>580000</v>
      </c>
      <c r="G279" t="s">
        <v>532</v>
      </c>
      <c r="H279" t="s">
        <v>401</v>
      </c>
      <c r="I279" t="s">
        <v>402</v>
      </c>
      <c r="J279" t="s">
        <v>4978</v>
      </c>
      <c r="K279">
        <v>20230126</v>
      </c>
      <c r="L279" t="s">
        <v>625</v>
      </c>
      <c r="M279">
        <v>2900</v>
      </c>
      <c r="N279">
        <v>0</v>
      </c>
      <c r="O279" t="s">
        <v>22</v>
      </c>
      <c r="P279">
        <v>20230126</v>
      </c>
      <c r="Q279">
        <v>20230126</v>
      </c>
    </row>
    <row r="280" spans="1:17" x14ac:dyDescent="0.25">
      <c r="A280" t="s">
        <v>548</v>
      </c>
      <c r="B280" t="s">
        <v>429</v>
      </c>
      <c r="C280">
        <v>20</v>
      </c>
      <c r="D280">
        <v>20230126</v>
      </c>
      <c r="E280">
        <f t="shared" si="4"/>
        <v>1</v>
      </c>
      <c r="F280">
        <v>531105</v>
      </c>
      <c r="G280" t="s">
        <v>429</v>
      </c>
      <c r="H280" t="s">
        <v>401</v>
      </c>
      <c r="I280" t="s">
        <v>402</v>
      </c>
      <c r="J280" t="s">
        <v>4978</v>
      </c>
      <c r="K280">
        <v>20230126</v>
      </c>
      <c r="L280" t="s">
        <v>625</v>
      </c>
      <c r="M280">
        <v>0</v>
      </c>
      <c r="N280">
        <v>2900</v>
      </c>
      <c r="O280" t="s">
        <v>19</v>
      </c>
      <c r="P280" t="s">
        <v>20</v>
      </c>
      <c r="Q280">
        <v>20230126</v>
      </c>
    </row>
    <row r="281" spans="1:17" x14ac:dyDescent="0.25">
      <c r="A281" t="s">
        <v>548</v>
      </c>
      <c r="B281" t="s">
        <v>429</v>
      </c>
      <c r="C281">
        <v>20</v>
      </c>
      <c r="D281">
        <v>20230127</v>
      </c>
      <c r="E281">
        <f t="shared" si="4"/>
        <v>1</v>
      </c>
      <c r="F281">
        <v>411100</v>
      </c>
      <c r="G281" t="s">
        <v>18</v>
      </c>
      <c r="H281" t="s">
        <v>4979</v>
      </c>
      <c r="I281" t="s">
        <v>4980</v>
      </c>
      <c r="J281">
        <v>123010021</v>
      </c>
      <c r="K281">
        <v>20230127</v>
      </c>
      <c r="L281" t="s">
        <v>4981</v>
      </c>
      <c r="M281">
        <v>0</v>
      </c>
      <c r="N281">
        <v>10</v>
      </c>
      <c r="O281" t="s">
        <v>22</v>
      </c>
      <c r="P281">
        <v>20230218</v>
      </c>
      <c r="Q281">
        <v>20230127</v>
      </c>
    </row>
    <row r="282" spans="1:17" x14ac:dyDescent="0.25">
      <c r="A282" t="s">
        <v>548</v>
      </c>
      <c r="B282" t="s">
        <v>429</v>
      </c>
      <c r="C282">
        <v>20</v>
      </c>
      <c r="D282">
        <v>20230127</v>
      </c>
      <c r="E282">
        <f t="shared" si="4"/>
        <v>1</v>
      </c>
      <c r="F282">
        <v>411100</v>
      </c>
      <c r="G282" t="s">
        <v>18</v>
      </c>
      <c r="H282" t="s">
        <v>4982</v>
      </c>
      <c r="I282" t="s">
        <v>4983</v>
      </c>
      <c r="J282">
        <v>123010080</v>
      </c>
      <c r="K282">
        <v>20230127</v>
      </c>
      <c r="L282" t="s">
        <v>4984</v>
      </c>
      <c r="M282">
        <v>0</v>
      </c>
      <c r="N282">
        <v>18</v>
      </c>
      <c r="O282" t="s">
        <v>19</v>
      </c>
      <c r="P282" t="s">
        <v>20</v>
      </c>
      <c r="Q282">
        <v>20230127</v>
      </c>
    </row>
    <row r="283" spans="1:17" x14ac:dyDescent="0.25">
      <c r="A283" t="s">
        <v>548</v>
      </c>
      <c r="B283" t="s">
        <v>429</v>
      </c>
      <c r="C283">
        <v>20</v>
      </c>
      <c r="D283">
        <v>20230127</v>
      </c>
      <c r="E283">
        <f t="shared" si="4"/>
        <v>1</v>
      </c>
      <c r="F283">
        <v>411100</v>
      </c>
      <c r="G283" t="s">
        <v>18</v>
      </c>
      <c r="H283" t="s">
        <v>81</v>
      </c>
      <c r="I283" t="s">
        <v>82</v>
      </c>
      <c r="J283">
        <v>122120090</v>
      </c>
      <c r="K283">
        <v>20230127</v>
      </c>
      <c r="L283" t="s">
        <v>4985</v>
      </c>
      <c r="M283">
        <v>0</v>
      </c>
      <c r="N283">
        <v>1.5</v>
      </c>
      <c r="O283" t="s">
        <v>19</v>
      </c>
      <c r="P283" t="s">
        <v>20</v>
      </c>
      <c r="Q283">
        <v>20230127</v>
      </c>
    </row>
    <row r="284" spans="1:17" x14ac:dyDescent="0.25">
      <c r="A284" t="s">
        <v>548</v>
      </c>
      <c r="B284" t="s">
        <v>429</v>
      </c>
      <c r="C284">
        <v>20</v>
      </c>
      <c r="D284">
        <v>20230127</v>
      </c>
      <c r="E284">
        <f t="shared" si="4"/>
        <v>1</v>
      </c>
      <c r="F284">
        <v>411100</v>
      </c>
      <c r="G284" t="s">
        <v>18</v>
      </c>
      <c r="H284" t="s">
        <v>1911</v>
      </c>
      <c r="I284" t="s">
        <v>1912</v>
      </c>
      <c r="J284">
        <v>122120094</v>
      </c>
      <c r="K284">
        <v>20230127</v>
      </c>
      <c r="L284" t="s">
        <v>4986</v>
      </c>
      <c r="M284">
        <v>0</v>
      </c>
      <c r="N284">
        <v>3</v>
      </c>
      <c r="O284" t="s">
        <v>19</v>
      </c>
      <c r="P284" t="s">
        <v>20</v>
      </c>
      <c r="Q284">
        <v>20230127</v>
      </c>
    </row>
    <row r="285" spans="1:17" x14ac:dyDescent="0.25">
      <c r="A285" t="s">
        <v>548</v>
      </c>
      <c r="B285" t="s">
        <v>429</v>
      </c>
      <c r="C285">
        <v>20</v>
      </c>
      <c r="D285">
        <v>20230127</v>
      </c>
      <c r="E285">
        <f t="shared" si="4"/>
        <v>1</v>
      </c>
      <c r="F285">
        <v>411100</v>
      </c>
      <c r="G285" t="s">
        <v>18</v>
      </c>
      <c r="H285" t="s">
        <v>73</v>
      </c>
      <c r="I285" t="s">
        <v>74</v>
      </c>
      <c r="J285">
        <v>122120182</v>
      </c>
      <c r="K285">
        <v>20230127</v>
      </c>
      <c r="L285" t="s">
        <v>4987</v>
      </c>
      <c r="M285">
        <v>0</v>
      </c>
      <c r="N285">
        <v>3</v>
      </c>
      <c r="O285" t="s">
        <v>19</v>
      </c>
      <c r="P285" t="s">
        <v>20</v>
      </c>
      <c r="Q285">
        <v>20230127</v>
      </c>
    </row>
    <row r="286" spans="1:17" x14ac:dyDescent="0.25">
      <c r="A286" t="s">
        <v>548</v>
      </c>
      <c r="B286" t="s">
        <v>429</v>
      </c>
      <c r="C286">
        <v>20</v>
      </c>
      <c r="D286">
        <v>20230127</v>
      </c>
      <c r="E286">
        <f t="shared" si="4"/>
        <v>1</v>
      </c>
      <c r="F286">
        <v>411100</v>
      </c>
      <c r="G286" t="s">
        <v>18</v>
      </c>
      <c r="H286" t="s">
        <v>3901</v>
      </c>
      <c r="I286" t="s">
        <v>3902</v>
      </c>
      <c r="J286">
        <v>122120154</v>
      </c>
      <c r="K286">
        <v>20230127</v>
      </c>
      <c r="L286" t="s">
        <v>4988</v>
      </c>
      <c r="M286">
        <v>0</v>
      </c>
      <c r="N286">
        <v>1.5</v>
      </c>
      <c r="O286" t="s">
        <v>19</v>
      </c>
      <c r="P286" t="s">
        <v>20</v>
      </c>
      <c r="Q286">
        <v>20230127</v>
      </c>
    </row>
    <row r="287" spans="1:17" x14ac:dyDescent="0.25">
      <c r="A287" t="s">
        <v>548</v>
      </c>
      <c r="B287" t="s">
        <v>429</v>
      </c>
      <c r="C287">
        <v>20</v>
      </c>
      <c r="D287">
        <v>20230127</v>
      </c>
      <c r="E287">
        <f t="shared" si="4"/>
        <v>1</v>
      </c>
      <c r="F287">
        <v>411100</v>
      </c>
      <c r="G287" t="s">
        <v>18</v>
      </c>
      <c r="H287" t="s">
        <v>657</v>
      </c>
      <c r="I287" t="s">
        <v>658</v>
      </c>
      <c r="J287">
        <v>122120116</v>
      </c>
      <c r="K287">
        <v>20230127</v>
      </c>
      <c r="L287" t="s">
        <v>4989</v>
      </c>
      <c r="M287">
        <v>0</v>
      </c>
      <c r="N287">
        <v>1.5</v>
      </c>
      <c r="O287" t="s">
        <v>19</v>
      </c>
      <c r="P287" t="s">
        <v>20</v>
      </c>
      <c r="Q287">
        <v>20230127</v>
      </c>
    </row>
    <row r="288" spans="1:17" x14ac:dyDescent="0.25">
      <c r="A288" t="s">
        <v>548</v>
      </c>
      <c r="B288" t="s">
        <v>429</v>
      </c>
      <c r="C288">
        <v>20</v>
      </c>
      <c r="D288">
        <v>20230127</v>
      </c>
      <c r="E288">
        <f t="shared" si="4"/>
        <v>1</v>
      </c>
      <c r="F288">
        <v>411100</v>
      </c>
      <c r="G288" t="s">
        <v>18</v>
      </c>
      <c r="H288" t="s">
        <v>150</v>
      </c>
      <c r="I288" t="s">
        <v>151</v>
      </c>
      <c r="J288">
        <v>122120171</v>
      </c>
      <c r="K288">
        <v>20230127</v>
      </c>
      <c r="L288" t="s">
        <v>4990</v>
      </c>
      <c r="M288">
        <v>0</v>
      </c>
      <c r="N288">
        <v>1.5</v>
      </c>
      <c r="O288" t="s">
        <v>19</v>
      </c>
      <c r="P288" t="s">
        <v>20</v>
      </c>
      <c r="Q288">
        <v>20230127</v>
      </c>
    </row>
    <row r="289" spans="1:17" x14ac:dyDescent="0.25">
      <c r="A289" t="s">
        <v>548</v>
      </c>
      <c r="B289" t="s">
        <v>429</v>
      </c>
      <c r="C289">
        <v>20</v>
      </c>
      <c r="D289">
        <v>20230127</v>
      </c>
      <c r="E289">
        <f t="shared" si="4"/>
        <v>1</v>
      </c>
      <c r="F289">
        <v>411100</v>
      </c>
      <c r="G289" t="s">
        <v>18</v>
      </c>
      <c r="H289" t="s">
        <v>291</v>
      </c>
      <c r="I289" t="s">
        <v>292</v>
      </c>
      <c r="J289">
        <v>122120169</v>
      </c>
      <c r="K289">
        <v>20230127</v>
      </c>
      <c r="L289" t="s">
        <v>4991</v>
      </c>
      <c r="M289">
        <v>0</v>
      </c>
      <c r="N289">
        <v>185.86</v>
      </c>
      <c r="O289" t="s">
        <v>19</v>
      </c>
      <c r="P289" t="s">
        <v>20</v>
      </c>
      <c r="Q289">
        <v>20230127</v>
      </c>
    </row>
    <row r="290" spans="1:17" x14ac:dyDescent="0.25">
      <c r="A290" t="s">
        <v>548</v>
      </c>
      <c r="B290" t="s">
        <v>429</v>
      </c>
      <c r="C290">
        <v>20</v>
      </c>
      <c r="D290">
        <v>20230127</v>
      </c>
      <c r="E290">
        <f t="shared" si="4"/>
        <v>1</v>
      </c>
      <c r="F290">
        <v>411100</v>
      </c>
      <c r="G290" t="s">
        <v>18</v>
      </c>
      <c r="H290" t="s">
        <v>291</v>
      </c>
      <c r="I290" t="s">
        <v>292</v>
      </c>
      <c r="J290">
        <v>122120169</v>
      </c>
      <c r="K290">
        <v>20230127</v>
      </c>
      <c r="L290" t="s">
        <v>4992</v>
      </c>
      <c r="M290">
        <v>0</v>
      </c>
      <c r="N290">
        <v>14.14</v>
      </c>
      <c r="O290" t="s">
        <v>19</v>
      </c>
      <c r="P290" t="s">
        <v>20</v>
      </c>
      <c r="Q290">
        <v>20230127</v>
      </c>
    </row>
    <row r="291" spans="1:17" x14ac:dyDescent="0.25">
      <c r="A291" t="s">
        <v>548</v>
      </c>
      <c r="B291" t="s">
        <v>429</v>
      </c>
      <c r="C291">
        <v>20</v>
      </c>
      <c r="D291">
        <v>20230127</v>
      </c>
      <c r="E291">
        <f t="shared" si="4"/>
        <v>1</v>
      </c>
      <c r="F291">
        <v>531105</v>
      </c>
      <c r="G291" t="s">
        <v>429</v>
      </c>
      <c r="H291" t="s">
        <v>401</v>
      </c>
      <c r="I291" t="s">
        <v>402</v>
      </c>
      <c r="J291">
        <v>364270</v>
      </c>
      <c r="K291">
        <v>20230127</v>
      </c>
      <c r="L291" t="s">
        <v>565</v>
      </c>
      <c r="M291">
        <v>240</v>
      </c>
      <c r="N291">
        <v>0</v>
      </c>
      <c r="O291" t="s">
        <v>19</v>
      </c>
      <c r="P291" t="s">
        <v>20</v>
      </c>
      <c r="Q291">
        <v>20230127</v>
      </c>
    </row>
    <row r="292" spans="1:17" x14ac:dyDescent="0.25">
      <c r="A292" t="s">
        <v>548</v>
      </c>
      <c r="B292" t="s">
        <v>429</v>
      </c>
      <c r="C292">
        <v>20</v>
      </c>
      <c r="D292">
        <v>20230127</v>
      </c>
      <c r="E292">
        <f t="shared" si="4"/>
        <v>1</v>
      </c>
      <c r="F292">
        <v>411100</v>
      </c>
      <c r="G292" t="s">
        <v>18</v>
      </c>
      <c r="H292" t="s">
        <v>192</v>
      </c>
      <c r="I292" t="s">
        <v>193</v>
      </c>
      <c r="J292">
        <v>322120005</v>
      </c>
      <c r="K292">
        <v>20230127</v>
      </c>
      <c r="L292" t="s">
        <v>4993</v>
      </c>
      <c r="M292">
        <v>0</v>
      </c>
      <c r="N292">
        <v>34.950000000000003</v>
      </c>
      <c r="O292" t="s">
        <v>23</v>
      </c>
      <c r="P292">
        <v>20230218</v>
      </c>
      <c r="Q292">
        <v>20230127</v>
      </c>
    </row>
    <row r="293" spans="1:17" x14ac:dyDescent="0.25">
      <c r="A293" t="s">
        <v>548</v>
      </c>
      <c r="B293" t="s">
        <v>429</v>
      </c>
      <c r="C293">
        <v>20</v>
      </c>
      <c r="D293">
        <v>20230127</v>
      </c>
      <c r="E293">
        <f t="shared" si="4"/>
        <v>1</v>
      </c>
      <c r="F293">
        <v>531105</v>
      </c>
      <c r="G293" t="s">
        <v>429</v>
      </c>
      <c r="H293" t="s">
        <v>401</v>
      </c>
      <c r="I293" t="s">
        <v>402</v>
      </c>
      <c r="J293">
        <v>364316</v>
      </c>
      <c r="K293">
        <v>20230127</v>
      </c>
      <c r="L293" t="s">
        <v>565</v>
      </c>
      <c r="M293">
        <v>34.950000000000003</v>
      </c>
      <c r="N293">
        <v>0</v>
      </c>
      <c r="O293" t="s">
        <v>19</v>
      </c>
      <c r="P293" t="s">
        <v>20</v>
      </c>
      <c r="Q293">
        <v>20230127</v>
      </c>
    </row>
    <row r="294" spans="1:17" x14ac:dyDescent="0.25">
      <c r="A294" t="s">
        <v>548</v>
      </c>
      <c r="B294" t="s">
        <v>429</v>
      </c>
      <c r="C294">
        <v>20</v>
      </c>
      <c r="D294">
        <v>20230130</v>
      </c>
      <c r="E294">
        <f t="shared" si="4"/>
        <v>1</v>
      </c>
      <c r="F294">
        <v>411100</v>
      </c>
      <c r="G294" t="s">
        <v>18</v>
      </c>
      <c r="H294" t="s">
        <v>344</v>
      </c>
      <c r="I294" t="s">
        <v>345</v>
      </c>
      <c r="J294">
        <v>364271</v>
      </c>
      <c r="K294">
        <v>20230130</v>
      </c>
      <c r="L294" t="s">
        <v>4994</v>
      </c>
      <c r="M294">
        <v>0</v>
      </c>
      <c r="N294">
        <v>50</v>
      </c>
      <c r="O294" t="s">
        <v>19</v>
      </c>
      <c r="P294" t="s">
        <v>20</v>
      </c>
      <c r="Q294">
        <v>20230130</v>
      </c>
    </row>
    <row r="295" spans="1:17" x14ac:dyDescent="0.25">
      <c r="A295" t="s">
        <v>548</v>
      </c>
      <c r="B295" t="s">
        <v>429</v>
      </c>
      <c r="C295">
        <v>20</v>
      </c>
      <c r="D295">
        <v>20230130</v>
      </c>
      <c r="E295">
        <f t="shared" si="4"/>
        <v>1</v>
      </c>
      <c r="F295">
        <v>531105</v>
      </c>
      <c r="G295" t="s">
        <v>429</v>
      </c>
      <c r="H295" t="s">
        <v>401</v>
      </c>
      <c r="I295" t="s">
        <v>402</v>
      </c>
      <c r="J295">
        <v>364272</v>
      </c>
      <c r="K295">
        <v>20230130</v>
      </c>
      <c r="L295" t="s">
        <v>565</v>
      </c>
      <c r="M295">
        <v>50</v>
      </c>
      <c r="N295">
        <v>0</v>
      </c>
      <c r="O295" t="s">
        <v>19</v>
      </c>
      <c r="P295" t="s">
        <v>20</v>
      </c>
      <c r="Q295">
        <v>20230130</v>
      </c>
    </row>
    <row r="296" spans="1:17" x14ac:dyDescent="0.25">
      <c r="A296" t="s">
        <v>548</v>
      </c>
      <c r="B296" t="s">
        <v>429</v>
      </c>
      <c r="C296">
        <v>20</v>
      </c>
      <c r="D296">
        <v>20230131</v>
      </c>
      <c r="E296">
        <f t="shared" si="4"/>
        <v>1</v>
      </c>
      <c r="F296">
        <v>467100</v>
      </c>
      <c r="G296" t="s">
        <v>160</v>
      </c>
      <c r="H296" t="s">
        <v>1307</v>
      </c>
      <c r="I296" t="s">
        <v>1308</v>
      </c>
      <c r="J296" t="s">
        <v>4995</v>
      </c>
      <c r="K296">
        <v>20230131</v>
      </c>
      <c r="L296" t="s">
        <v>4996</v>
      </c>
      <c r="M296">
        <v>50</v>
      </c>
      <c r="N296">
        <v>0</v>
      </c>
      <c r="O296" t="s">
        <v>23</v>
      </c>
      <c r="P296">
        <v>20230314</v>
      </c>
      <c r="Q296">
        <v>20230131</v>
      </c>
    </row>
    <row r="297" spans="1:17" x14ac:dyDescent="0.25">
      <c r="A297" t="s">
        <v>548</v>
      </c>
      <c r="B297" t="s">
        <v>429</v>
      </c>
      <c r="C297">
        <v>20</v>
      </c>
      <c r="D297">
        <v>20230131</v>
      </c>
      <c r="E297">
        <f t="shared" si="4"/>
        <v>1</v>
      </c>
      <c r="F297">
        <v>531105</v>
      </c>
      <c r="G297" t="s">
        <v>429</v>
      </c>
      <c r="H297" t="s">
        <v>401</v>
      </c>
      <c r="I297" t="s">
        <v>402</v>
      </c>
      <c r="J297" t="s">
        <v>4995</v>
      </c>
      <c r="K297">
        <v>20230131</v>
      </c>
      <c r="L297" t="s">
        <v>4996</v>
      </c>
      <c r="M297">
        <v>0</v>
      </c>
      <c r="N297">
        <v>50</v>
      </c>
      <c r="O297" t="s">
        <v>19</v>
      </c>
      <c r="P297" t="s">
        <v>20</v>
      </c>
      <c r="Q297">
        <v>20230131</v>
      </c>
    </row>
    <row r="298" spans="1:17" x14ac:dyDescent="0.25">
      <c r="A298" t="s">
        <v>548</v>
      </c>
      <c r="B298" t="s">
        <v>429</v>
      </c>
      <c r="C298">
        <v>20</v>
      </c>
      <c r="D298">
        <v>20230131</v>
      </c>
      <c r="E298">
        <f t="shared" si="4"/>
        <v>1</v>
      </c>
      <c r="F298">
        <v>467100</v>
      </c>
      <c r="G298" t="s">
        <v>160</v>
      </c>
      <c r="H298" t="s">
        <v>316</v>
      </c>
      <c r="I298" t="s">
        <v>317</v>
      </c>
      <c r="J298" t="s">
        <v>4997</v>
      </c>
      <c r="K298">
        <v>20230131</v>
      </c>
      <c r="L298" t="s">
        <v>4998</v>
      </c>
      <c r="M298">
        <v>33</v>
      </c>
      <c r="N298">
        <v>0</v>
      </c>
      <c r="O298" t="s">
        <v>23</v>
      </c>
      <c r="P298">
        <v>20230206</v>
      </c>
      <c r="Q298">
        <v>20230131</v>
      </c>
    </row>
    <row r="299" spans="1:17" x14ac:dyDescent="0.25">
      <c r="A299" t="s">
        <v>548</v>
      </c>
      <c r="B299" t="s">
        <v>429</v>
      </c>
      <c r="C299">
        <v>20</v>
      </c>
      <c r="D299">
        <v>20230131</v>
      </c>
      <c r="E299">
        <f t="shared" si="4"/>
        <v>1</v>
      </c>
      <c r="F299">
        <v>467100</v>
      </c>
      <c r="G299" t="s">
        <v>160</v>
      </c>
      <c r="H299" t="s">
        <v>316</v>
      </c>
      <c r="I299" t="s">
        <v>317</v>
      </c>
      <c r="J299" t="s">
        <v>4999</v>
      </c>
      <c r="K299">
        <v>20230131</v>
      </c>
      <c r="L299" t="s">
        <v>5000</v>
      </c>
      <c r="M299">
        <v>70</v>
      </c>
      <c r="N299">
        <v>0</v>
      </c>
      <c r="O299" t="s">
        <v>23</v>
      </c>
      <c r="P299">
        <v>20230206</v>
      </c>
      <c r="Q299">
        <v>20230131</v>
      </c>
    </row>
    <row r="300" spans="1:17" x14ac:dyDescent="0.25">
      <c r="A300" t="s">
        <v>548</v>
      </c>
      <c r="B300" t="s">
        <v>429</v>
      </c>
      <c r="C300">
        <v>20</v>
      </c>
      <c r="D300">
        <v>20230131</v>
      </c>
      <c r="E300">
        <f t="shared" si="4"/>
        <v>1</v>
      </c>
      <c r="F300">
        <v>531105</v>
      </c>
      <c r="G300" t="s">
        <v>429</v>
      </c>
      <c r="H300" t="s">
        <v>401</v>
      </c>
      <c r="I300" t="s">
        <v>402</v>
      </c>
      <c r="J300" t="s">
        <v>4999</v>
      </c>
      <c r="K300">
        <v>20230131</v>
      </c>
      <c r="L300" t="s">
        <v>5000</v>
      </c>
      <c r="M300">
        <v>0</v>
      </c>
      <c r="N300">
        <v>70</v>
      </c>
      <c r="O300" t="s">
        <v>19</v>
      </c>
      <c r="P300" t="s">
        <v>20</v>
      </c>
      <c r="Q300">
        <v>20230131</v>
      </c>
    </row>
    <row r="301" spans="1:17" x14ac:dyDescent="0.25">
      <c r="A301" t="s">
        <v>548</v>
      </c>
      <c r="B301" t="s">
        <v>429</v>
      </c>
      <c r="C301">
        <v>20</v>
      </c>
      <c r="D301">
        <v>20230131</v>
      </c>
      <c r="E301">
        <f t="shared" si="4"/>
        <v>1</v>
      </c>
      <c r="F301">
        <v>531105</v>
      </c>
      <c r="G301" t="s">
        <v>429</v>
      </c>
      <c r="H301" t="s">
        <v>401</v>
      </c>
      <c r="I301" t="s">
        <v>402</v>
      </c>
      <c r="J301" t="s">
        <v>4997</v>
      </c>
      <c r="K301">
        <v>20230131</v>
      </c>
      <c r="L301" t="s">
        <v>4998</v>
      </c>
      <c r="M301">
        <v>0</v>
      </c>
      <c r="N301">
        <v>33</v>
      </c>
      <c r="O301" t="s">
        <v>19</v>
      </c>
      <c r="P301" t="s">
        <v>20</v>
      </c>
      <c r="Q301">
        <v>20230131</v>
      </c>
    </row>
    <row r="302" spans="1:17" x14ac:dyDescent="0.25">
      <c r="A302" t="s">
        <v>548</v>
      </c>
      <c r="B302" t="s">
        <v>429</v>
      </c>
      <c r="C302">
        <v>20</v>
      </c>
      <c r="D302">
        <v>20230131</v>
      </c>
      <c r="E302">
        <f t="shared" si="4"/>
        <v>1</v>
      </c>
      <c r="F302">
        <v>467100</v>
      </c>
      <c r="G302" t="s">
        <v>160</v>
      </c>
      <c r="H302" t="s">
        <v>316</v>
      </c>
      <c r="I302" t="s">
        <v>317</v>
      </c>
      <c r="J302" t="s">
        <v>5001</v>
      </c>
      <c r="K302">
        <v>20230131</v>
      </c>
      <c r="L302" t="s">
        <v>5002</v>
      </c>
      <c r="M302">
        <v>0</v>
      </c>
      <c r="N302">
        <v>225</v>
      </c>
      <c r="O302" t="s">
        <v>23</v>
      </c>
      <c r="P302">
        <v>20230206</v>
      </c>
      <c r="Q302">
        <v>20230131</v>
      </c>
    </row>
    <row r="303" spans="1:17" x14ac:dyDescent="0.25">
      <c r="A303" t="s">
        <v>548</v>
      </c>
      <c r="B303" t="s">
        <v>429</v>
      </c>
      <c r="C303">
        <v>20</v>
      </c>
      <c r="D303">
        <v>20230131</v>
      </c>
      <c r="E303">
        <f t="shared" si="4"/>
        <v>1</v>
      </c>
      <c r="F303">
        <v>531105</v>
      </c>
      <c r="G303" t="s">
        <v>429</v>
      </c>
      <c r="H303" t="s">
        <v>401</v>
      </c>
      <c r="I303" t="s">
        <v>402</v>
      </c>
      <c r="J303" t="s">
        <v>5001</v>
      </c>
      <c r="K303">
        <v>20230131</v>
      </c>
      <c r="L303" t="s">
        <v>5002</v>
      </c>
      <c r="M303">
        <v>225</v>
      </c>
      <c r="N303">
        <v>0</v>
      </c>
      <c r="O303" t="s">
        <v>19</v>
      </c>
      <c r="P303" t="s">
        <v>20</v>
      </c>
      <c r="Q303">
        <v>20230131</v>
      </c>
    </row>
    <row r="304" spans="1:17" x14ac:dyDescent="0.25">
      <c r="A304" t="s">
        <v>548</v>
      </c>
      <c r="B304" t="s">
        <v>429</v>
      </c>
      <c r="C304">
        <v>20</v>
      </c>
      <c r="D304">
        <v>20230131</v>
      </c>
      <c r="E304">
        <f t="shared" si="4"/>
        <v>1</v>
      </c>
      <c r="F304">
        <v>411100</v>
      </c>
      <c r="G304" t="s">
        <v>18</v>
      </c>
      <c r="H304" t="s">
        <v>5003</v>
      </c>
      <c r="I304" t="s">
        <v>5004</v>
      </c>
      <c r="J304">
        <v>123010046</v>
      </c>
      <c r="K304">
        <v>20230131</v>
      </c>
      <c r="L304" t="s">
        <v>5005</v>
      </c>
      <c r="M304">
        <v>0</v>
      </c>
      <c r="N304">
        <v>10</v>
      </c>
      <c r="O304" t="s">
        <v>22</v>
      </c>
      <c r="P304">
        <v>20230218</v>
      </c>
      <c r="Q304">
        <v>20230131</v>
      </c>
    </row>
    <row r="305" spans="1:17" x14ac:dyDescent="0.25">
      <c r="A305" t="s">
        <v>548</v>
      </c>
      <c r="B305" t="s">
        <v>429</v>
      </c>
      <c r="C305">
        <v>20</v>
      </c>
      <c r="D305">
        <v>20230131</v>
      </c>
      <c r="E305">
        <f t="shared" si="4"/>
        <v>1</v>
      </c>
      <c r="F305">
        <v>411100</v>
      </c>
      <c r="G305" t="s">
        <v>18</v>
      </c>
      <c r="H305" t="s">
        <v>154</v>
      </c>
      <c r="I305" t="s">
        <v>155</v>
      </c>
      <c r="J305">
        <v>364274</v>
      </c>
      <c r="K305">
        <v>20230131</v>
      </c>
      <c r="L305" t="s">
        <v>5006</v>
      </c>
      <c r="M305">
        <v>0</v>
      </c>
      <c r="N305">
        <v>4</v>
      </c>
      <c r="O305" t="s">
        <v>19</v>
      </c>
      <c r="P305" t="s">
        <v>20</v>
      </c>
      <c r="Q305">
        <v>20230131</v>
      </c>
    </row>
    <row r="306" spans="1:17" x14ac:dyDescent="0.25">
      <c r="A306" t="s">
        <v>548</v>
      </c>
      <c r="B306" t="s">
        <v>429</v>
      </c>
      <c r="C306">
        <v>20</v>
      </c>
      <c r="D306">
        <v>20230131</v>
      </c>
      <c r="E306">
        <f t="shared" si="4"/>
        <v>1</v>
      </c>
      <c r="F306">
        <v>411100</v>
      </c>
      <c r="G306" t="s">
        <v>18</v>
      </c>
      <c r="H306" t="s">
        <v>1911</v>
      </c>
      <c r="I306" t="s">
        <v>1912</v>
      </c>
      <c r="J306">
        <v>364275</v>
      </c>
      <c r="K306">
        <v>20230131</v>
      </c>
      <c r="L306" t="s">
        <v>5007</v>
      </c>
      <c r="M306">
        <v>0</v>
      </c>
      <c r="N306">
        <v>4</v>
      </c>
      <c r="O306" t="s">
        <v>19</v>
      </c>
      <c r="P306" t="s">
        <v>20</v>
      </c>
      <c r="Q306">
        <v>20230131</v>
      </c>
    </row>
    <row r="307" spans="1:17" x14ac:dyDescent="0.25">
      <c r="A307" t="s">
        <v>548</v>
      </c>
      <c r="B307" t="s">
        <v>429</v>
      </c>
      <c r="C307">
        <v>20</v>
      </c>
      <c r="D307">
        <v>20230131</v>
      </c>
      <c r="E307">
        <f t="shared" si="4"/>
        <v>1</v>
      </c>
      <c r="F307">
        <v>411100</v>
      </c>
      <c r="G307" t="s">
        <v>18</v>
      </c>
      <c r="H307" t="s">
        <v>73</v>
      </c>
      <c r="I307" t="s">
        <v>74</v>
      </c>
      <c r="J307">
        <v>364276</v>
      </c>
      <c r="K307">
        <v>20230131</v>
      </c>
      <c r="L307" t="s">
        <v>5008</v>
      </c>
      <c r="M307">
        <v>0</v>
      </c>
      <c r="N307">
        <v>4</v>
      </c>
      <c r="O307" t="s">
        <v>19</v>
      </c>
      <c r="P307" t="s">
        <v>20</v>
      </c>
      <c r="Q307">
        <v>20230131</v>
      </c>
    </row>
    <row r="308" spans="1:17" x14ac:dyDescent="0.25">
      <c r="A308" t="s">
        <v>548</v>
      </c>
      <c r="B308" t="s">
        <v>429</v>
      </c>
      <c r="C308">
        <v>20</v>
      </c>
      <c r="D308">
        <v>20230131</v>
      </c>
      <c r="E308">
        <f t="shared" si="4"/>
        <v>1</v>
      </c>
      <c r="F308">
        <v>411100</v>
      </c>
      <c r="G308" t="s">
        <v>18</v>
      </c>
      <c r="H308" t="s">
        <v>217</v>
      </c>
      <c r="I308" t="s">
        <v>218</v>
      </c>
      <c r="J308">
        <v>364277</v>
      </c>
      <c r="K308">
        <v>20230131</v>
      </c>
      <c r="L308" t="s">
        <v>5009</v>
      </c>
      <c r="M308">
        <v>0</v>
      </c>
      <c r="N308">
        <v>4</v>
      </c>
      <c r="O308" t="s">
        <v>19</v>
      </c>
      <c r="P308" t="s">
        <v>20</v>
      </c>
      <c r="Q308">
        <v>20230131</v>
      </c>
    </row>
    <row r="309" spans="1:17" x14ac:dyDescent="0.25">
      <c r="A309" t="s">
        <v>548</v>
      </c>
      <c r="B309" t="s">
        <v>429</v>
      </c>
      <c r="C309">
        <v>20</v>
      </c>
      <c r="D309">
        <v>20230131</v>
      </c>
      <c r="E309">
        <f t="shared" si="4"/>
        <v>1</v>
      </c>
      <c r="F309">
        <v>411100</v>
      </c>
      <c r="G309" t="s">
        <v>18</v>
      </c>
      <c r="H309" t="s">
        <v>3901</v>
      </c>
      <c r="I309" t="s">
        <v>3902</v>
      </c>
      <c r="J309">
        <v>364278</v>
      </c>
      <c r="K309">
        <v>20230131</v>
      </c>
      <c r="L309" t="s">
        <v>5010</v>
      </c>
      <c r="M309">
        <v>0</v>
      </c>
      <c r="N309">
        <v>4</v>
      </c>
      <c r="O309" t="s">
        <v>19</v>
      </c>
      <c r="P309" t="s">
        <v>20</v>
      </c>
      <c r="Q309">
        <v>20230131</v>
      </c>
    </row>
    <row r="310" spans="1:17" x14ac:dyDescent="0.25">
      <c r="A310" t="s">
        <v>548</v>
      </c>
      <c r="B310" t="s">
        <v>429</v>
      </c>
      <c r="C310">
        <v>20</v>
      </c>
      <c r="D310">
        <v>20230131</v>
      </c>
      <c r="E310">
        <f t="shared" si="4"/>
        <v>1</v>
      </c>
      <c r="F310">
        <v>411100</v>
      </c>
      <c r="G310" t="s">
        <v>18</v>
      </c>
      <c r="H310" t="s">
        <v>819</v>
      </c>
      <c r="I310" t="s">
        <v>820</v>
      </c>
      <c r="J310">
        <v>122110130</v>
      </c>
      <c r="K310">
        <v>20230131</v>
      </c>
      <c r="L310" t="s">
        <v>5011</v>
      </c>
      <c r="M310">
        <v>0</v>
      </c>
      <c r="N310">
        <v>80</v>
      </c>
      <c r="O310" t="s">
        <v>19</v>
      </c>
      <c r="P310" t="s">
        <v>20</v>
      </c>
      <c r="Q310">
        <v>20230131</v>
      </c>
    </row>
    <row r="311" spans="1:17" x14ac:dyDescent="0.25">
      <c r="A311" t="s">
        <v>548</v>
      </c>
      <c r="B311" t="s">
        <v>429</v>
      </c>
      <c r="C311">
        <v>20</v>
      </c>
      <c r="D311">
        <v>20230131</v>
      </c>
      <c r="E311">
        <f t="shared" si="4"/>
        <v>1</v>
      </c>
      <c r="F311">
        <v>411100</v>
      </c>
      <c r="G311" t="s">
        <v>18</v>
      </c>
      <c r="H311" t="s">
        <v>638</v>
      </c>
      <c r="I311" t="s">
        <v>639</v>
      </c>
      <c r="J311">
        <v>123010051</v>
      </c>
      <c r="K311">
        <v>20230131</v>
      </c>
      <c r="L311" t="s">
        <v>5012</v>
      </c>
      <c r="M311">
        <v>0</v>
      </c>
      <c r="N311">
        <v>30</v>
      </c>
      <c r="O311" t="s">
        <v>19</v>
      </c>
      <c r="P311" t="s">
        <v>20</v>
      </c>
      <c r="Q311">
        <v>20230131</v>
      </c>
    </row>
    <row r="312" spans="1:17" x14ac:dyDescent="0.25">
      <c r="A312" t="s">
        <v>548</v>
      </c>
      <c r="B312" t="s">
        <v>429</v>
      </c>
      <c r="C312">
        <v>20</v>
      </c>
      <c r="D312">
        <v>20230131</v>
      </c>
      <c r="E312">
        <f t="shared" si="4"/>
        <v>1</v>
      </c>
      <c r="F312">
        <v>411100</v>
      </c>
      <c r="G312" t="s">
        <v>18</v>
      </c>
      <c r="H312" t="s">
        <v>352</v>
      </c>
      <c r="I312" t="s">
        <v>353</v>
      </c>
      <c r="J312">
        <v>364281</v>
      </c>
      <c r="K312">
        <v>20230131</v>
      </c>
      <c r="L312" t="s">
        <v>5013</v>
      </c>
      <c r="M312">
        <v>0</v>
      </c>
      <c r="N312">
        <v>65</v>
      </c>
      <c r="O312" t="s">
        <v>19</v>
      </c>
      <c r="P312" t="s">
        <v>20</v>
      </c>
      <c r="Q312">
        <v>20230131</v>
      </c>
    </row>
    <row r="313" spans="1:17" x14ac:dyDescent="0.25">
      <c r="A313" t="s">
        <v>548</v>
      </c>
      <c r="B313" t="s">
        <v>429</v>
      </c>
      <c r="C313">
        <v>20</v>
      </c>
      <c r="D313">
        <v>20230131</v>
      </c>
      <c r="E313">
        <f t="shared" si="4"/>
        <v>1</v>
      </c>
      <c r="F313">
        <v>411100</v>
      </c>
      <c r="G313" t="s">
        <v>18</v>
      </c>
      <c r="H313" t="s">
        <v>352</v>
      </c>
      <c r="I313" t="s">
        <v>353</v>
      </c>
      <c r="J313">
        <v>364282</v>
      </c>
      <c r="K313">
        <v>20230131</v>
      </c>
      <c r="L313" t="s">
        <v>5014</v>
      </c>
      <c r="M313">
        <v>0</v>
      </c>
      <c r="N313">
        <v>0.32</v>
      </c>
      <c r="O313" t="s">
        <v>19</v>
      </c>
      <c r="P313" t="s">
        <v>20</v>
      </c>
      <c r="Q313">
        <v>20230131</v>
      </c>
    </row>
    <row r="314" spans="1:17" x14ac:dyDescent="0.25">
      <c r="A314" t="s">
        <v>548</v>
      </c>
      <c r="B314" t="s">
        <v>429</v>
      </c>
      <c r="C314">
        <v>20</v>
      </c>
      <c r="D314">
        <v>20230131</v>
      </c>
      <c r="E314">
        <f t="shared" si="4"/>
        <v>1</v>
      </c>
      <c r="F314">
        <v>411100</v>
      </c>
      <c r="G314" t="s">
        <v>18</v>
      </c>
      <c r="H314" t="s">
        <v>947</v>
      </c>
      <c r="I314" t="s">
        <v>948</v>
      </c>
      <c r="J314">
        <v>364283</v>
      </c>
      <c r="K314">
        <v>20230131</v>
      </c>
      <c r="L314" t="s">
        <v>5015</v>
      </c>
      <c r="M314">
        <v>0</v>
      </c>
      <c r="N314">
        <v>104.74</v>
      </c>
      <c r="O314" t="s">
        <v>19</v>
      </c>
      <c r="P314" t="s">
        <v>20</v>
      </c>
      <c r="Q314">
        <v>20230131</v>
      </c>
    </row>
    <row r="315" spans="1:17" x14ac:dyDescent="0.25">
      <c r="A315" t="s">
        <v>548</v>
      </c>
      <c r="B315" t="s">
        <v>429</v>
      </c>
      <c r="C315">
        <v>20</v>
      </c>
      <c r="D315">
        <v>20230131</v>
      </c>
      <c r="E315">
        <f t="shared" si="4"/>
        <v>1</v>
      </c>
      <c r="F315">
        <v>411100</v>
      </c>
      <c r="G315" t="s">
        <v>18</v>
      </c>
      <c r="H315" t="s">
        <v>2969</v>
      </c>
      <c r="I315" t="s">
        <v>2970</v>
      </c>
      <c r="J315">
        <v>122100233</v>
      </c>
      <c r="K315">
        <v>20230131</v>
      </c>
      <c r="L315" t="s">
        <v>5016</v>
      </c>
      <c r="M315">
        <v>0</v>
      </c>
      <c r="N315">
        <v>60</v>
      </c>
      <c r="O315" t="s">
        <v>19</v>
      </c>
      <c r="P315" t="s">
        <v>20</v>
      </c>
      <c r="Q315">
        <v>20230131</v>
      </c>
    </row>
    <row r="316" spans="1:17" x14ac:dyDescent="0.25">
      <c r="A316" t="s">
        <v>548</v>
      </c>
      <c r="B316" t="s">
        <v>429</v>
      </c>
      <c r="C316">
        <v>20</v>
      </c>
      <c r="D316">
        <v>20230131</v>
      </c>
      <c r="E316">
        <f t="shared" si="4"/>
        <v>1</v>
      </c>
      <c r="F316">
        <v>411100</v>
      </c>
      <c r="G316" t="s">
        <v>18</v>
      </c>
      <c r="H316" t="s">
        <v>641</v>
      </c>
      <c r="I316" t="s">
        <v>642</v>
      </c>
      <c r="J316">
        <v>364285</v>
      </c>
      <c r="K316">
        <v>20230131</v>
      </c>
      <c r="L316" t="s">
        <v>5017</v>
      </c>
      <c r="M316">
        <v>0</v>
      </c>
      <c r="N316">
        <v>40</v>
      </c>
      <c r="O316" t="s">
        <v>19</v>
      </c>
      <c r="P316" t="s">
        <v>20</v>
      </c>
      <c r="Q316">
        <v>20230131</v>
      </c>
    </row>
    <row r="317" spans="1:17" x14ac:dyDescent="0.25">
      <c r="A317" t="s">
        <v>548</v>
      </c>
      <c r="B317" t="s">
        <v>429</v>
      </c>
      <c r="C317">
        <v>20</v>
      </c>
      <c r="D317">
        <v>20230131</v>
      </c>
      <c r="E317">
        <f t="shared" si="4"/>
        <v>1</v>
      </c>
      <c r="F317">
        <v>531105</v>
      </c>
      <c r="G317" t="s">
        <v>429</v>
      </c>
      <c r="H317" t="s">
        <v>401</v>
      </c>
      <c r="I317" t="s">
        <v>402</v>
      </c>
      <c r="J317">
        <v>364286</v>
      </c>
      <c r="K317">
        <v>20230131</v>
      </c>
      <c r="L317" t="s">
        <v>565</v>
      </c>
      <c r="M317">
        <v>410.06</v>
      </c>
      <c r="N317">
        <v>0</v>
      </c>
      <c r="O317" t="s">
        <v>19</v>
      </c>
      <c r="P317" t="s">
        <v>20</v>
      </c>
      <c r="Q317">
        <v>20230131</v>
      </c>
    </row>
    <row r="318" spans="1:17" x14ac:dyDescent="0.25">
      <c r="A318" t="s">
        <v>715</v>
      </c>
      <c r="B318" t="s">
        <v>432</v>
      </c>
      <c r="C318">
        <v>21</v>
      </c>
      <c r="D318">
        <v>20230111</v>
      </c>
      <c r="E318">
        <f t="shared" si="4"/>
        <v>1</v>
      </c>
      <c r="F318">
        <v>627500</v>
      </c>
      <c r="G318" t="s">
        <v>729</v>
      </c>
      <c r="H318" t="s">
        <v>401</v>
      </c>
      <c r="I318" t="s">
        <v>402</v>
      </c>
      <c r="J318" t="s">
        <v>5018</v>
      </c>
      <c r="K318">
        <v>20230111</v>
      </c>
      <c r="L318" t="s">
        <v>731</v>
      </c>
      <c r="M318">
        <v>34.590000000000003</v>
      </c>
      <c r="N318">
        <v>0</v>
      </c>
      <c r="O318" t="s">
        <v>19</v>
      </c>
      <c r="P318" t="s">
        <v>20</v>
      </c>
      <c r="Q318">
        <v>20230111</v>
      </c>
    </row>
    <row r="319" spans="1:17" x14ac:dyDescent="0.25">
      <c r="A319" t="s">
        <v>715</v>
      </c>
      <c r="B319" t="s">
        <v>432</v>
      </c>
      <c r="C319">
        <v>22</v>
      </c>
      <c r="D319">
        <v>20230102</v>
      </c>
      <c r="E319">
        <f t="shared" si="4"/>
        <v>1</v>
      </c>
      <c r="F319">
        <v>401000</v>
      </c>
      <c r="G319" t="s">
        <v>41</v>
      </c>
      <c r="H319" t="s">
        <v>52</v>
      </c>
      <c r="I319" t="s">
        <v>53</v>
      </c>
      <c r="J319" t="s">
        <v>5019</v>
      </c>
      <c r="K319">
        <v>20230102</v>
      </c>
      <c r="L319" t="s">
        <v>5020</v>
      </c>
      <c r="M319">
        <v>65.760000000000005</v>
      </c>
      <c r="N319">
        <v>0</v>
      </c>
      <c r="O319" t="s">
        <v>19</v>
      </c>
      <c r="P319" t="s">
        <v>20</v>
      </c>
      <c r="Q319">
        <v>20230102</v>
      </c>
    </row>
    <row r="320" spans="1:17" x14ac:dyDescent="0.25">
      <c r="A320" t="s">
        <v>715</v>
      </c>
      <c r="B320" t="s">
        <v>432</v>
      </c>
      <c r="C320">
        <v>22</v>
      </c>
      <c r="D320">
        <v>20230102</v>
      </c>
      <c r="E320">
        <f t="shared" si="4"/>
        <v>1</v>
      </c>
      <c r="F320">
        <v>512200</v>
      </c>
      <c r="G320" t="s">
        <v>432</v>
      </c>
      <c r="H320" t="s">
        <v>401</v>
      </c>
      <c r="I320" t="s">
        <v>402</v>
      </c>
      <c r="J320" t="s">
        <v>5019</v>
      </c>
      <c r="K320">
        <v>20230102</v>
      </c>
      <c r="L320" t="s">
        <v>5020</v>
      </c>
      <c r="M320">
        <v>0</v>
      </c>
      <c r="N320">
        <v>65.760000000000005</v>
      </c>
      <c r="O320" t="s">
        <v>19</v>
      </c>
      <c r="P320" t="s">
        <v>20</v>
      </c>
      <c r="Q320">
        <v>20230102</v>
      </c>
    </row>
    <row r="321" spans="1:17" x14ac:dyDescent="0.25">
      <c r="A321" t="s">
        <v>715</v>
      </c>
      <c r="B321" t="s">
        <v>432</v>
      </c>
      <c r="C321">
        <v>22</v>
      </c>
      <c r="D321">
        <v>20230102</v>
      </c>
      <c r="E321">
        <f t="shared" si="4"/>
        <v>1</v>
      </c>
      <c r="F321">
        <v>401000</v>
      </c>
      <c r="G321" t="s">
        <v>41</v>
      </c>
      <c r="H321" t="s">
        <v>52</v>
      </c>
      <c r="I321" t="s">
        <v>53</v>
      </c>
      <c r="J321" t="s">
        <v>5021</v>
      </c>
      <c r="K321">
        <v>20230102</v>
      </c>
      <c r="L321" t="s">
        <v>5022</v>
      </c>
      <c r="M321">
        <v>330.56</v>
      </c>
      <c r="N321">
        <v>0</v>
      </c>
      <c r="O321" t="s">
        <v>19</v>
      </c>
      <c r="P321" t="s">
        <v>20</v>
      </c>
      <c r="Q321">
        <v>20230102</v>
      </c>
    </row>
    <row r="322" spans="1:17" x14ac:dyDescent="0.25">
      <c r="A322" t="s">
        <v>715</v>
      </c>
      <c r="B322" t="s">
        <v>432</v>
      </c>
      <c r="C322">
        <v>22</v>
      </c>
      <c r="D322">
        <v>20230102</v>
      </c>
      <c r="E322">
        <f t="shared" si="4"/>
        <v>1</v>
      </c>
      <c r="F322">
        <v>512200</v>
      </c>
      <c r="G322" t="s">
        <v>432</v>
      </c>
      <c r="H322" t="s">
        <v>401</v>
      </c>
      <c r="I322" t="s">
        <v>402</v>
      </c>
      <c r="J322" t="s">
        <v>5021</v>
      </c>
      <c r="K322">
        <v>20230102</v>
      </c>
      <c r="L322" t="s">
        <v>5022</v>
      </c>
      <c r="M322">
        <v>0</v>
      </c>
      <c r="N322">
        <v>330.56</v>
      </c>
      <c r="O322" t="s">
        <v>19</v>
      </c>
      <c r="P322" t="s">
        <v>20</v>
      </c>
      <c r="Q322">
        <v>20230102</v>
      </c>
    </row>
    <row r="323" spans="1:17" x14ac:dyDescent="0.25">
      <c r="A323" t="s">
        <v>715</v>
      </c>
      <c r="B323" t="s">
        <v>432</v>
      </c>
      <c r="C323">
        <v>22</v>
      </c>
      <c r="D323">
        <v>20230102</v>
      </c>
      <c r="E323">
        <f t="shared" ref="E323:E386" si="5">VALUE(MID(D323,5,2))</f>
        <v>1</v>
      </c>
      <c r="F323">
        <v>401000</v>
      </c>
      <c r="G323" t="s">
        <v>41</v>
      </c>
      <c r="H323" t="s">
        <v>52</v>
      </c>
      <c r="I323" t="s">
        <v>53</v>
      </c>
      <c r="J323" t="s">
        <v>5023</v>
      </c>
      <c r="K323">
        <v>20230102</v>
      </c>
      <c r="L323" t="s">
        <v>5024</v>
      </c>
      <c r="M323">
        <v>29</v>
      </c>
      <c r="N323">
        <v>0</v>
      </c>
      <c r="O323" t="s">
        <v>19</v>
      </c>
      <c r="P323" t="s">
        <v>20</v>
      </c>
      <c r="Q323">
        <v>20230102</v>
      </c>
    </row>
    <row r="324" spans="1:17" x14ac:dyDescent="0.25">
      <c r="A324" t="s">
        <v>715</v>
      </c>
      <c r="B324" t="s">
        <v>432</v>
      </c>
      <c r="C324">
        <v>22</v>
      </c>
      <c r="D324">
        <v>20230102</v>
      </c>
      <c r="E324">
        <f t="shared" si="5"/>
        <v>1</v>
      </c>
      <c r="F324">
        <v>512200</v>
      </c>
      <c r="G324" t="s">
        <v>432</v>
      </c>
      <c r="H324" t="s">
        <v>401</v>
      </c>
      <c r="I324" t="s">
        <v>402</v>
      </c>
      <c r="J324" t="s">
        <v>5023</v>
      </c>
      <c r="K324">
        <v>20230102</v>
      </c>
      <c r="L324" t="s">
        <v>5024</v>
      </c>
      <c r="M324">
        <v>0</v>
      </c>
      <c r="N324">
        <v>29</v>
      </c>
      <c r="O324" t="s">
        <v>19</v>
      </c>
      <c r="P324" t="s">
        <v>20</v>
      </c>
      <c r="Q324">
        <v>20230102</v>
      </c>
    </row>
    <row r="325" spans="1:17" x14ac:dyDescent="0.25">
      <c r="A325" t="s">
        <v>715</v>
      </c>
      <c r="B325" t="s">
        <v>432</v>
      </c>
      <c r="C325">
        <v>22</v>
      </c>
      <c r="D325">
        <v>20230103</v>
      </c>
      <c r="E325">
        <f t="shared" si="5"/>
        <v>1</v>
      </c>
      <c r="F325">
        <v>401000</v>
      </c>
      <c r="G325" t="s">
        <v>41</v>
      </c>
      <c r="H325" t="s">
        <v>3230</v>
      </c>
      <c r="I325" t="s">
        <v>3231</v>
      </c>
      <c r="J325" t="s">
        <v>5025</v>
      </c>
      <c r="K325">
        <v>20230103</v>
      </c>
      <c r="L325" t="s">
        <v>5026</v>
      </c>
      <c r="M325">
        <v>296.95</v>
      </c>
      <c r="N325">
        <v>0</v>
      </c>
      <c r="O325" t="s">
        <v>19</v>
      </c>
      <c r="P325" t="s">
        <v>20</v>
      </c>
      <c r="Q325">
        <v>20230103</v>
      </c>
    </row>
    <row r="326" spans="1:17" x14ac:dyDescent="0.25">
      <c r="A326" t="s">
        <v>715</v>
      </c>
      <c r="B326" t="s">
        <v>432</v>
      </c>
      <c r="C326">
        <v>22</v>
      </c>
      <c r="D326">
        <v>20230103</v>
      </c>
      <c r="E326">
        <f t="shared" si="5"/>
        <v>1</v>
      </c>
      <c r="F326">
        <v>512200</v>
      </c>
      <c r="G326" t="s">
        <v>432</v>
      </c>
      <c r="H326" t="s">
        <v>401</v>
      </c>
      <c r="I326" t="s">
        <v>402</v>
      </c>
      <c r="J326" t="s">
        <v>5025</v>
      </c>
      <c r="K326">
        <v>20230103</v>
      </c>
      <c r="L326" t="s">
        <v>5026</v>
      </c>
      <c r="M326">
        <v>0</v>
      </c>
      <c r="N326">
        <v>296.95</v>
      </c>
      <c r="O326" t="s">
        <v>19</v>
      </c>
      <c r="P326" t="s">
        <v>20</v>
      </c>
      <c r="Q326">
        <v>20230103</v>
      </c>
    </row>
    <row r="327" spans="1:17" x14ac:dyDescent="0.25">
      <c r="A327" t="s">
        <v>715</v>
      </c>
      <c r="B327" t="s">
        <v>432</v>
      </c>
      <c r="C327">
        <v>23</v>
      </c>
      <c r="D327">
        <v>20230106</v>
      </c>
      <c r="E327">
        <f t="shared" si="5"/>
        <v>1</v>
      </c>
      <c r="F327">
        <v>401000</v>
      </c>
      <c r="G327" t="s">
        <v>41</v>
      </c>
      <c r="H327" t="s">
        <v>52</v>
      </c>
      <c r="I327" t="s">
        <v>53</v>
      </c>
      <c r="J327" t="s">
        <v>5027</v>
      </c>
      <c r="K327">
        <v>20230106</v>
      </c>
      <c r="L327" t="s">
        <v>5028</v>
      </c>
      <c r="M327">
        <v>62.4</v>
      </c>
      <c r="N327">
        <v>0</v>
      </c>
      <c r="O327" t="s">
        <v>19</v>
      </c>
      <c r="P327" t="s">
        <v>20</v>
      </c>
      <c r="Q327">
        <v>20230106</v>
      </c>
    </row>
    <row r="328" spans="1:17" x14ac:dyDescent="0.25">
      <c r="A328" t="s">
        <v>715</v>
      </c>
      <c r="B328" t="s">
        <v>432</v>
      </c>
      <c r="C328">
        <v>23</v>
      </c>
      <c r="D328">
        <v>20230106</v>
      </c>
      <c r="E328">
        <f t="shared" si="5"/>
        <v>1</v>
      </c>
      <c r="F328">
        <v>512200</v>
      </c>
      <c r="G328" t="s">
        <v>432</v>
      </c>
      <c r="H328" t="s">
        <v>401</v>
      </c>
      <c r="I328" t="s">
        <v>402</v>
      </c>
      <c r="J328" t="s">
        <v>5027</v>
      </c>
      <c r="K328">
        <v>20230106</v>
      </c>
      <c r="L328" t="s">
        <v>5028</v>
      </c>
      <c r="M328">
        <v>0</v>
      </c>
      <c r="N328">
        <v>62.4</v>
      </c>
      <c r="O328" t="s">
        <v>19</v>
      </c>
      <c r="P328" t="s">
        <v>20</v>
      </c>
      <c r="Q328">
        <v>20230106</v>
      </c>
    </row>
    <row r="329" spans="1:17" x14ac:dyDescent="0.25">
      <c r="A329" t="s">
        <v>715</v>
      </c>
      <c r="B329" t="s">
        <v>432</v>
      </c>
      <c r="C329">
        <v>23</v>
      </c>
      <c r="D329">
        <v>20230110</v>
      </c>
      <c r="E329">
        <f t="shared" si="5"/>
        <v>1</v>
      </c>
      <c r="F329">
        <v>627000</v>
      </c>
      <c r="G329" t="s">
        <v>480</v>
      </c>
      <c r="H329" t="s">
        <v>401</v>
      </c>
      <c r="I329" t="s">
        <v>402</v>
      </c>
      <c r="J329" t="s">
        <v>5029</v>
      </c>
      <c r="K329">
        <v>20230110</v>
      </c>
      <c r="L329" t="s">
        <v>4488</v>
      </c>
      <c r="M329">
        <v>15.88</v>
      </c>
      <c r="N329">
        <v>0</v>
      </c>
      <c r="O329" t="s">
        <v>19</v>
      </c>
      <c r="P329" t="s">
        <v>20</v>
      </c>
      <c r="Q329">
        <v>20230110</v>
      </c>
    </row>
    <row r="330" spans="1:17" x14ac:dyDescent="0.25">
      <c r="A330" t="s">
        <v>715</v>
      </c>
      <c r="B330" t="s">
        <v>432</v>
      </c>
      <c r="C330">
        <v>23</v>
      </c>
      <c r="D330">
        <v>20230110</v>
      </c>
      <c r="E330">
        <f t="shared" si="5"/>
        <v>1</v>
      </c>
      <c r="F330">
        <v>512200</v>
      </c>
      <c r="G330" t="s">
        <v>432</v>
      </c>
      <c r="H330" t="s">
        <v>401</v>
      </c>
      <c r="I330" t="s">
        <v>402</v>
      </c>
      <c r="J330" t="s">
        <v>5029</v>
      </c>
      <c r="K330">
        <v>20230110</v>
      </c>
      <c r="L330" t="s">
        <v>4488</v>
      </c>
      <c r="M330">
        <v>0</v>
      </c>
      <c r="N330">
        <v>15.88</v>
      </c>
      <c r="O330" t="s">
        <v>19</v>
      </c>
      <c r="P330" t="s">
        <v>20</v>
      </c>
      <c r="Q330">
        <v>20230110</v>
      </c>
    </row>
    <row r="331" spans="1:17" x14ac:dyDescent="0.25">
      <c r="A331" t="s">
        <v>715</v>
      </c>
      <c r="B331" t="s">
        <v>432</v>
      </c>
      <c r="C331">
        <v>23</v>
      </c>
      <c r="D331">
        <v>20230111</v>
      </c>
      <c r="E331">
        <f t="shared" si="5"/>
        <v>1</v>
      </c>
      <c r="F331">
        <v>580000</v>
      </c>
      <c r="G331" t="s">
        <v>532</v>
      </c>
      <c r="H331" t="s">
        <v>401</v>
      </c>
      <c r="I331" t="s">
        <v>402</v>
      </c>
      <c r="J331" t="s">
        <v>5030</v>
      </c>
      <c r="K331">
        <v>20230111</v>
      </c>
      <c r="L331" t="s">
        <v>5031</v>
      </c>
      <c r="M331">
        <v>40000</v>
      </c>
      <c r="N331">
        <v>0</v>
      </c>
      <c r="O331" t="s">
        <v>19</v>
      </c>
      <c r="P331" t="s">
        <v>20</v>
      </c>
      <c r="Q331">
        <v>20230111</v>
      </c>
    </row>
    <row r="332" spans="1:17" x14ac:dyDescent="0.25">
      <c r="A332" t="s">
        <v>715</v>
      </c>
      <c r="B332" t="s">
        <v>432</v>
      </c>
      <c r="C332">
        <v>23</v>
      </c>
      <c r="D332">
        <v>20230111</v>
      </c>
      <c r="E332">
        <f t="shared" si="5"/>
        <v>1</v>
      </c>
      <c r="F332">
        <v>512200</v>
      </c>
      <c r="G332" t="s">
        <v>432</v>
      </c>
      <c r="H332" t="s">
        <v>401</v>
      </c>
      <c r="I332" t="s">
        <v>402</v>
      </c>
      <c r="J332" t="s">
        <v>5030</v>
      </c>
      <c r="K332">
        <v>20230111</v>
      </c>
      <c r="L332" t="s">
        <v>5031</v>
      </c>
      <c r="M332">
        <v>0</v>
      </c>
      <c r="N332">
        <v>40000</v>
      </c>
      <c r="O332" t="s">
        <v>19</v>
      </c>
      <c r="P332" t="s">
        <v>20</v>
      </c>
      <c r="Q332">
        <v>20230111</v>
      </c>
    </row>
    <row r="333" spans="1:17" x14ac:dyDescent="0.25">
      <c r="A333" t="s">
        <v>715</v>
      </c>
      <c r="B333" t="s">
        <v>432</v>
      </c>
      <c r="C333">
        <v>24</v>
      </c>
      <c r="D333">
        <v>20230117</v>
      </c>
      <c r="E333">
        <f t="shared" si="5"/>
        <v>1</v>
      </c>
      <c r="F333">
        <v>471000</v>
      </c>
      <c r="G333" t="s">
        <v>4801</v>
      </c>
      <c r="H333" t="s">
        <v>401</v>
      </c>
      <c r="I333" t="s">
        <v>402</v>
      </c>
      <c r="J333" t="s">
        <v>5032</v>
      </c>
      <c r="K333">
        <v>20230117</v>
      </c>
      <c r="L333" t="s">
        <v>5033</v>
      </c>
      <c r="M333">
        <v>17.36</v>
      </c>
      <c r="N333">
        <v>0</v>
      </c>
      <c r="O333" t="s">
        <v>19</v>
      </c>
      <c r="P333" t="s">
        <v>20</v>
      </c>
      <c r="Q333">
        <v>20230117</v>
      </c>
    </row>
    <row r="334" spans="1:17" x14ac:dyDescent="0.25">
      <c r="A334" t="s">
        <v>715</v>
      </c>
      <c r="B334" t="s">
        <v>432</v>
      </c>
      <c r="C334">
        <v>24</v>
      </c>
      <c r="D334">
        <v>20230117</v>
      </c>
      <c r="E334">
        <f t="shared" si="5"/>
        <v>1</v>
      </c>
      <c r="F334">
        <v>512200</v>
      </c>
      <c r="G334" t="s">
        <v>432</v>
      </c>
      <c r="H334" t="s">
        <v>401</v>
      </c>
      <c r="I334" t="s">
        <v>402</v>
      </c>
      <c r="J334" t="s">
        <v>5032</v>
      </c>
      <c r="K334">
        <v>20230117</v>
      </c>
      <c r="L334" t="s">
        <v>5033</v>
      </c>
      <c r="M334">
        <v>0</v>
      </c>
      <c r="N334">
        <v>17.36</v>
      </c>
      <c r="O334" t="s">
        <v>19</v>
      </c>
      <c r="P334" t="s">
        <v>20</v>
      </c>
      <c r="Q334">
        <v>20230117</v>
      </c>
    </row>
    <row r="335" spans="1:17" x14ac:dyDescent="0.25">
      <c r="A335" t="s">
        <v>715</v>
      </c>
      <c r="B335" t="s">
        <v>432</v>
      </c>
      <c r="C335">
        <v>24</v>
      </c>
      <c r="D335">
        <v>20230117</v>
      </c>
      <c r="E335">
        <f t="shared" si="5"/>
        <v>1</v>
      </c>
      <c r="F335">
        <v>471000</v>
      </c>
      <c r="G335" t="s">
        <v>4801</v>
      </c>
      <c r="H335" t="s">
        <v>401</v>
      </c>
      <c r="I335" t="s">
        <v>402</v>
      </c>
      <c r="J335" t="s">
        <v>5034</v>
      </c>
      <c r="K335">
        <v>20230117</v>
      </c>
      <c r="L335" t="s">
        <v>5035</v>
      </c>
      <c r="M335">
        <v>70</v>
      </c>
      <c r="N335">
        <v>0</v>
      </c>
      <c r="O335" t="s">
        <v>19</v>
      </c>
      <c r="P335" t="s">
        <v>20</v>
      </c>
      <c r="Q335">
        <v>20230117</v>
      </c>
    </row>
    <row r="336" spans="1:17" x14ac:dyDescent="0.25">
      <c r="A336" t="s">
        <v>715</v>
      </c>
      <c r="B336" t="s">
        <v>432</v>
      </c>
      <c r="C336">
        <v>24</v>
      </c>
      <c r="D336">
        <v>20230117</v>
      </c>
      <c r="E336">
        <f t="shared" si="5"/>
        <v>1</v>
      </c>
      <c r="F336">
        <v>512200</v>
      </c>
      <c r="G336" t="s">
        <v>432</v>
      </c>
      <c r="H336" t="s">
        <v>401</v>
      </c>
      <c r="I336" t="s">
        <v>402</v>
      </c>
      <c r="J336" t="s">
        <v>5034</v>
      </c>
      <c r="K336">
        <v>20230117</v>
      </c>
      <c r="L336" t="s">
        <v>5035</v>
      </c>
      <c r="M336">
        <v>0</v>
      </c>
      <c r="N336">
        <v>70</v>
      </c>
      <c r="O336" t="s">
        <v>19</v>
      </c>
      <c r="P336" t="s">
        <v>20</v>
      </c>
      <c r="Q336">
        <v>20230117</v>
      </c>
    </row>
    <row r="337" spans="1:17" x14ac:dyDescent="0.25">
      <c r="A337" t="s">
        <v>715</v>
      </c>
      <c r="B337" t="s">
        <v>432</v>
      </c>
      <c r="C337">
        <v>24</v>
      </c>
      <c r="D337">
        <v>20230119</v>
      </c>
      <c r="E337">
        <f t="shared" si="5"/>
        <v>1</v>
      </c>
      <c r="F337">
        <v>411100</v>
      </c>
      <c r="G337" t="s">
        <v>18</v>
      </c>
      <c r="H337" t="s">
        <v>3220</v>
      </c>
      <c r="I337" t="s">
        <v>3221</v>
      </c>
      <c r="J337" t="s">
        <v>5036</v>
      </c>
      <c r="K337">
        <v>20230119</v>
      </c>
      <c r="L337" t="s">
        <v>5037</v>
      </c>
      <c r="M337">
        <v>0</v>
      </c>
      <c r="N337">
        <v>66</v>
      </c>
      <c r="O337" t="s">
        <v>19</v>
      </c>
      <c r="P337" t="s">
        <v>20</v>
      </c>
      <c r="Q337">
        <v>20230119</v>
      </c>
    </row>
    <row r="338" spans="1:17" x14ac:dyDescent="0.25">
      <c r="A338" t="s">
        <v>715</v>
      </c>
      <c r="B338" t="s">
        <v>432</v>
      </c>
      <c r="C338">
        <v>24</v>
      </c>
      <c r="D338">
        <v>20230119</v>
      </c>
      <c r="E338">
        <f t="shared" si="5"/>
        <v>1</v>
      </c>
      <c r="F338">
        <v>512200</v>
      </c>
      <c r="G338" t="s">
        <v>432</v>
      </c>
      <c r="H338" t="s">
        <v>401</v>
      </c>
      <c r="I338" t="s">
        <v>402</v>
      </c>
      <c r="J338" t="s">
        <v>5036</v>
      </c>
      <c r="K338">
        <v>20230119</v>
      </c>
      <c r="L338" t="s">
        <v>5037</v>
      </c>
      <c r="M338">
        <v>66</v>
      </c>
      <c r="N338">
        <v>0</v>
      </c>
      <c r="O338" t="s">
        <v>19</v>
      </c>
      <c r="P338" t="s">
        <v>20</v>
      </c>
      <c r="Q338">
        <v>20230119</v>
      </c>
    </row>
    <row r="339" spans="1:17" x14ac:dyDescent="0.25">
      <c r="A339" t="s">
        <v>715</v>
      </c>
      <c r="B339" t="s">
        <v>432</v>
      </c>
      <c r="C339">
        <v>24</v>
      </c>
      <c r="D339">
        <v>20230119</v>
      </c>
      <c r="E339">
        <f t="shared" si="5"/>
        <v>1</v>
      </c>
      <c r="F339">
        <v>401000</v>
      </c>
      <c r="G339" t="s">
        <v>41</v>
      </c>
      <c r="H339" t="s">
        <v>52</v>
      </c>
      <c r="I339" t="s">
        <v>53</v>
      </c>
      <c r="J339" t="s">
        <v>5038</v>
      </c>
      <c r="K339">
        <v>20230119</v>
      </c>
      <c r="L339" t="s">
        <v>5039</v>
      </c>
      <c r="M339">
        <v>66</v>
      </c>
      <c r="N339">
        <v>0</v>
      </c>
      <c r="O339" t="s">
        <v>19</v>
      </c>
      <c r="P339" t="s">
        <v>20</v>
      </c>
      <c r="Q339">
        <v>20230119</v>
      </c>
    </row>
    <row r="340" spans="1:17" x14ac:dyDescent="0.25">
      <c r="A340" t="s">
        <v>715</v>
      </c>
      <c r="B340" t="s">
        <v>432</v>
      </c>
      <c r="C340">
        <v>24</v>
      </c>
      <c r="D340">
        <v>20230119</v>
      </c>
      <c r="E340">
        <f t="shared" si="5"/>
        <v>1</v>
      </c>
      <c r="F340">
        <v>512200</v>
      </c>
      <c r="G340" t="s">
        <v>432</v>
      </c>
      <c r="H340" t="s">
        <v>401</v>
      </c>
      <c r="I340" t="s">
        <v>402</v>
      </c>
      <c r="J340" t="s">
        <v>5038</v>
      </c>
      <c r="K340">
        <v>20230119</v>
      </c>
      <c r="L340" t="s">
        <v>5039</v>
      </c>
      <c r="M340">
        <v>0</v>
      </c>
      <c r="N340">
        <v>66</v>
      </c>
      <c r="O340" t="s">
        <v>19</v>
      </c>
      <c r="P340" t="s">
        <v>20</v>
      </c>
      <c r="Q340">
        <v>20230119</v>
      </c>
    </row>
    <row r="341" spans="1:17" x14ac:dyDescent="0.25">
      <c r="A341" t="s">
        <v>715</v>
      </c>
      <c r="B341" t="s">
        <v>432</v>
      </c>
      <c r="C341">
        <v>24</v>
      </c>
      <c r="D341">
        <v>20230120</v>
      </c>
      <c r="E341">
        <f t="shared" si="5"/>
        <v>1</v>
      </c>
      <c r="F341">
        <v>401000</v>
      </c>
      <c r="G341" t="s">
        <v>41</v>
      </c>
      <c r="H341" t="s">
        <v>1315</v>
      </c>
      <c r="I341" t="s">
        <v>1316</v>
      </c>
      <c r="J341" t="s">
        <v>5040</v>
      </c>
      <c r="K341">
        <v>20230120</v>
      </c>
      <c r="L341" t="s">
        <v>5041</v>
      </c>
      <c r="M341">
        <v>120</v>
      </c>
      <c r="N341">
        <v>0</v>
      </c>
      <c r="O341" t="s">
        <v>19</v>
      </c>
      <c r="P341" t="s">
        <v>20</v>
      </c>
      <c r="Q341">
        <v>20230120</v>
      </c>
    </row>
    <row r="342" spans="1:17" x14ac:dyDescent="0.25">
      <c r="A342" t="s">
        <v>715</v>
      </c>
      <c r="B342" t="s">
        <v>432</v>
      </c>
      <c r="C342">
        <v>24</v>
      </c>
      <c r="D342">
        <v>20230120</v>
      </c>
      <c r="E342">
        <f t="shared" si="5"/>
        <v>1</v>
      </c>
      <c r="F342">
        <v>512200</v>
      </c>
      <c r="G342" t="s">
        <v>432</v>
      </c>
      <c r="H342" t="s">
        <v>401</v>
      </c>
      <c r="I342" t="s">
        <v>402</v>
      </c>
      <c r="J342" t="s">
        <v>5040</v>
      </c>
      <c r="K342">
        <v>20230120</v>
      </c>
      <c r="L342" t="s">
        <v>5041</v>
      </c>
      <c r="M342">
        <v>0</v>
      </c>
      <c r="N342">
        <v>120</v>
      </c>
      <c r="O342" t="s">
        <v>19</v>
      </c>
      <c r="P342" t="s">
        <v>20</v>
      </c>
      <c r="Q342">
        <v>20230120</v>
      </c>
    </row>
    <row r="343" spans="1:17" x14ac:dyDescent="0.25">
      <c r="A343" t="s">
        <v>715</v>
      </c>
      <c r="B343" t="s">
        <v>432</v>
      </c>
      <c r="C343">
        <v>24</v>
      </c>
      <c r="D343">
        <v>20230123</v>
      </c>
      <c r="E343">
        <f t="shared" si="5"/>
        <v>1</v>
      </c>
      <c r="F343">
        <v>401000</v>
      </c>
      <c r="G343" t="s">
        <v>41</v>
      </c>
      <c r="H343" t="s">
        <v>189</v>
      </c>
      <c r="I343" t="s">
        <v>190</v>
      </c>
      <c r="J343" t="s">
        <v>5042</v>
      </c>
      <c r="K343">
        <v>20230123</v>
      </c>
      <c r="L343" t="s">
        <v>5043</v>
      </c>
      <c r="M343">
        <v>0</v>
      </c>
      <c r="N343">
        <v>220.7</v>
      </c>
      <c r="O343" t="s">
        <v>19</v>
      </c>
      <c r="P343" t="s">
        <v>20</v>
      </c>
      <c r="Q343">
        <v>20230123</v>
      </c>
    </row>
    <row r="344" spans="1:17" x14ac:dyDescent="0.25">
      <c r="A344" t="s">
        <v>715</v>
      </c>
      <c r="B344" t="s">
        <v>432</v>
      </c>
      <c r="C344">
        <v>24</v>
      </c>
      <c r="D344">
        <v>20230123</v>
      </c>
      <c r="E344">
        <f t="shared" si="5"/>
        <v>1</v>
      </c>
      <c r="F344">
        <v>512200</v>
      </c>
      <c r="G344" t="s">
        <v>432</v>
      </c>
      <c r="H344" t="s">
        <v>401</v>
      </c>
      <c r="I344" t="s">
        <v>402</v>
      </c>
      <c r="J344" t="s">
        <v>5042</v>
      </c>
      <c r="K344">
        <v>20230123</v>
      </c>
      <c r="L344" t="s">
        <v>5043</v>
      </c>
      <c r="M344">
        <v>220.7</v>
      </c>
      <c r="N344">
        <v>0</v>
      </c>
      <c r="O344" t="s">
        <v>19</v>
      </c>
      <c r="P344" t="s">
        <v>20</v>
      </c>
      <c r="Q344">
        <v>20230123</v>
      </c>
    </row>
    <row r="345" spans="1:17" x14ac:dyDescent="0.25">
      <c r="A345" t="s">
        <v>715</v>
      </c>
      <c r="B345" t="s">
        <v>432</v>
      </c>
      <c r="C345">
        <v>25</v>
      </c>
      <c r="D345">
        <v>20230123</v>
      </c>
      <c r="E345">
        <f t="shared" si="5"/>
        <v>1</v>
      </c>
      <c r="F345">
        <v>471000</v>
      </c>
      <c r="G345" t="s">
        <v>4801</v>
      </c>
      <c r="H345" t="s">
        <v>401</v>
      </c>
      <c r="I345" t="s">
        <v>402</v>
      </c>
      <c r="J345" t="s">
        <v>5044</v>
      </c>
      <c r="K345">
        <v>20230123</v>
      </c>
      <c r="L345" t="s">
        <v>5045</v>
      </c>
      <c r="M345">
        <v>63.16</v>
      </c>
      <c r="N345">
        <v>0</v>
      </c>
      <c r="O345" t="s">
        <v>19</v>
      </c>
      <c r="P345" t="s">
        <v>20</v>
      </c>
      <c r="Q345">
        <v>20230123</v>
      </c>
    </row>
    <row r="346" spans="1:17" x14ac:dyDescent="0.25">
      <c r="A346" t="s">
        <v>715</v>
      </c>
      <c r="B346" t="s">
        <v>432</v>
      </c>
      <c r="C346">
        <v>25</v>
      </c>
      <c r="D346">
        <v>20230123</v>
      </c>
      <c r="E346">
        <f t="shared" si="5"/>
        <v>1</v>
      </c>
      <c r="F346">
        <v>512200</v>
      </c>
      <c r="G346" t="s">
        <v>432</v>
      </c>
      <c r="H346" t="s">
        <v>401</v>
      </c>
      <c r="I346" t="s">
        <v>402</v>
      </c>
      <c r="J346" t="s">
        <v>5044</v>
      </c>
      <c r="K346">
        <v>20230123</v>
      </c>
      <c r="L346" t="s">
        <v>5045</v>
      </c>
      <c r="M346">
        <v>0</v>
      </c>
      <c r="N346">
        <v>63.16</v>
      </c>
      <c r="O346" t="s">
        <v>19</v>
      </c>
      <c r="P346" t="s">
        <v>20</v>
      </c>
      <c r="Q346">
        <v>20230123</v>
      </c>
    </row>
    <row r="347" spans="1:17" x14ac:dyDescent="0.25">
      <c r="A347" t="s">
        <v>715</v>
      </c>
      <c r="B347" t="s">
        <v>432</v>
      </c>
      <c r="C347">
        <v>26</v>
      </c>
      <c r="D347">
        <v>20230111</v>
      </c>
      <c r="E347">
        <f t="shared" si="5"/>
        <v>1</v>
      </c>
      <c r="F347">
        <v>512200</v>
      </c>
      <c r="G347" t="s">
        <v>432</v>
      </c>
      <c r="H347" t="s">
        <v>401</v>
      </c>
      <c r="I347" t="s">
        <v>402</v>
      </c>
      <c r="J347" t="s">
        <v>5046</v>
      </c>
      <c r="K347">
        <v>20230111</v>
      </c>
      <c r="L347" t="s">
        <v>5047</v>
      </c>
      <c r="M347">
        <v>4106.3</v>
      </c>
      <c r="N347">
        <v>0</v>
      </c>
      <c r="O347" t="s">
        <v>19</v>
      </c>
      <c r="P347" t="s">
        <v>20</v>
      </c>
      <c r="Q347">
        <v>20230111</v>
      </c>
    </row>
    <row r="348" spans="1:17" x14ac:dyDescent="0.25">
      <c r="A348" t="s">
        <v>715</v>
      </c>
      <c r="B348" t="s">
        <v>432</v>
      </c>
      <c r="C348">
        <v>26</v>
      </c>
      <c r="D348">
        <v>20230111</v>
      </c>
      <c r="E348">
        <f t="shared" si="5"/>
        <v>1</v>
      </c>
      <c r="F348">
        <v>511000</v>
      </c>
      <c r="G348" t="s">
        <v>431</v>
      </c>
      <c r="H348" t="s">
        <v>401</v>
      </c>
      <c r="I348" t="s">
        <v>402</v>
      </c>
      <c r="J348" t="s">
        <v>5046</v>
      </c>
      <c r="K348">
        <v>20230111</v>
      </c>
      <c r="L348" t="s">
        <v>5047</v>
      </c>
      <c r="M348">
        <v>0</v>
      </c>
      <c r="N348">
        <v>4106.3</v>
      </c>
      <c r="O348" t="s">
        <v>19</v>
      </c>
      <c r="P348" t="s">
        <v>20</v>
      </c>
      <c r="Q348">
        <v>20230111</v>
      </c>
    </row>
    <row r="349" spans="1:17" x14ac:dyDescent="0.25">
      <c r="A349" t="s">
        <v>715</v>
      </c>
      <c r="B349" t="s">
        <v>432</v>
      </c>
      <c r="C349">
        <v>26</v>
      </c>
      <c r="D349">
        <v>20230111</v>
      </c>
      <c r="E349">
        <f t="shared" si="5"/>
        <v>1</v>
      </c>
      <c r="F349">
        <v>512200</v>
      </c>
      <c r="G349" t="s">
        <v>432</v>
      </c>
      <c r="H349" t="s">
        <v>401</v>
      </c>
      <c r="I349" t="s">
        <v>402</v>
      </c>
      <c r="J349" t="s">
        <v>4885</v>
      </c>
      <c r="K349">
        <v>20230111</v>
      </c>
      <c r="L349" t="s">
        <v>625</v>
      </c>
      <c r="M349">
        <v>2150</v>
      </c>
      <c r="N349">
        <v>0</v>
      </c>
      <c r="O349" t="s">
        <v>19</v>
      </c>
      <c r="P349" t="s">
        <v>20</v>
      </c>
      <c r="Q349">
        <v>20230111</v>
      </c>
    </row>
    <row r="350" spans="1:17" x14ac:dyDescent="0.25">
      <c r="A350" t="s">
        <v>715</v>
      </c>
      <c r="B350" t="s">
        <v>432</v>
      </c>
      <c r="C350">
        <v>26</v>
      </c>
      <c r="D350">
        <v>20230111</v>
      </c>
      <c r="E350">
        <f t="shared" si="5"/>
        <v>1</v>
      </c>
      <c r="F350">
        <v>580000</v>
      </c>
      <c r="G350" t="s">
        <v>532</v>
      </c>
      <c r="H350" t="s">
        <v>401</v>
      </c>
      <c r="I350" t="s">
        <v>402</v>
      </c>
      <c r="J350" t="s">
        <v>4885</v>
      </c>
      <c r="K350">
        <v>20230111</v>
      </c>
      <c r="L350" t="s">
        <v>625</v>
      </c>
      <c r="M350">
        <v>0</v>
      </c>
      <c r="N350">
        <v>2150</v>
      </c>
      <c r="O350" t="s">
        <v>22</v>
      </c>
      <c r="P350">
        <v>20230111</v>
      </c>
      <c r="Q350">
        <v>20230111</v>
      </c>
    </row>
    <row r="351" spans="1:17" x14ac:dyDescent="0.25">
      <c r="A351" t="s">
        <v>715</v>
      </c>
      <c r="B351" t="s">
        <v>432</v>
      </c>
      <c r="C351">
        <v>26</v>
      </c>
      <c r="D351">
        <v>20230116</v>
      </c>
      <c r="E351">
        <f t="shared" si="5"/>
        <v>1</v>
      </c>
      <c r="F351">
        <v>580000</v>
      </c>
      <c r="G351" t="s">
        <v>532</v>
      </c>
      <c r="H351" t="s">
        <v>401</v>
      </c>
      <c r="I351" t="s">
        <v>402</v>
      </c>
      <c r="J351" t="s">
        <v>5048</v>
      </c>
      <c r="K351">
        <v>20230116</v>
      </c>
      <c r="L351" t="s">
        <v>5049</v>
      </c>
      <c r="M351">
        <v>10</v>
      </c>
      <c r="N351">
        <v>0</v>
      </c>
      <c r="O351" t="s">
        <v>23</v>
      </c>
      <c r="P351">
        <v>20230116</v>
      </c>
      <c r="Q351">
        <v>20230116</v>
      </c>
    </row>
    <row r="352" spans="1:17" x14ac:dyDescent="0.25">
      <c r="A352" t="s">
        <v>715</v>
      </c>
      <c r="B352" t="s">
        <v>432</v>
      </c>
      <c r="C352">
        <v>26</v>
      </c>
      <c r="D352">
        <v>20230116</v>
      </c>
      <c r="E352">
        <f t="shared" si="5"/>
        <v>1</v>
      </c>
      <c r="F352">
        <v>512200</v>
      </c>
      <c r="G352" t="s">
        <v>432</v>
      </c>
      <c r="H352" t="s">
        <v>401</v>
      </c>
      <c r="I352" t="s">
        <v>402</v>
      </c>
      <c r="J352" t="s">
        <v>5048</v>
      </c>
      <c r="K352">
        <v>20230116</v>
      </c>
      <c r="L352" t="s">
        <v>5049</v>
      </c>
      <c r="M352">
        <v>0</v>
      </c>
      <c r="N352">
        <v>10</v>
      </c>
      <c r="O352" t="s">
        <v>19</v>
      </c>
      <c r="P352" t="s">
        <v>20</v>
      </c>
      <c r="Q352">
        <v>20230116</v>
      </c>
    </row>
    <row r="353" spans="1:17" x14ac:dyDescent="0.25">
      <c r="A353" t="s">
        <v>715</v>
      </c>
      <c r="B353" t="s">
        <v>432</v>
      </c>
      <c r="C353">
        <v>26</v>
      </c>
      <c r="D353">
        <v>20230119</v>
      </c>
      <c r="E353">
        <f t="shared" si="5"/>
        <v>1</v>
      </c>
      <c r="F353">
        <v>512200</v>
      </c>
      <c r="G353" t="s">
        <v>432</v>
      </c>
      <c r="H353" t="s">
        <v>401</v>
      </c>
      <c r="I353" t="s">
        <v>402</v>
      </c>
      <c r="J353" t="s">
        <v>5050</v>
      </c>
      <c r="K353">
        <v>20230119</v>
      </c>
      <c r="L353" t="s">
        <v>5051</v>
      </c>
      <c r="M353">
        <v>3449.23</v>
      </c>
      <c r="N353">
        <v>0</v>
      </c>
      <c r="O353" t="s">
        <v>19</v>
      </c>
      <c r="P353" t="s">
        <v>20</v>
      </c>
      <c r="Q353">
        <v>20230119</v>
      </c>
    </row>
    <row r="354" spans="1:17" x14ac:dyDescent="0.25">
      <c r="A354" t="s">
        <v>715</v>
      </c>
      <c r="B354" t="s">
        <v>432</v>
      </c>
      <c r="C354">
        <v>26</v>
      </c>
      <c r="D354">
        <v>20230119</v>
      </c>
      <c r="E354">
        <f t="shared" si="5"/>
        <v>1</v>
      </c>
      <c r="F354">
        <v>511000</v>
      </c>
      <c r="G354" t="s">
        <v>431</v>
      </c>
      <c r="H354" t="s">
        <v>401</v>
      </c>
      <c r="I354" t="s">
        <v>402</v>
      </c>
      <c r="J354" t="s">
        <v>5050</v>
      </c>
      <c r="K354">
        <v>20230119</v>
      </c>
      <c r="L354" t="s">
        <v>5052</v>
      </c>
      <c r="M354">
        <v>0</v>
      </c>
      <c r="N354">
        <v>3449.23</v>
      </c>
      <c r="O354" t="s">
        <v>19</v>
      </c>
      <c r="P354" t="s">
        <v>20</v>
      </c>
      <c r="Q354">
        <v>20230119</v>
      </c>
    </row>
    <row r="355" spans="1:17" x14ac:dyDescent="0.25">
      <c r="A355" t="s">
        <v>715</v>
      </c>
      <c r="B355" t="s">
        <v>432</v>
      </c>
      <c r="C355">
        <v>26</v>
      </c>
      <c r="D355">
        <v>20230126</v>
      </c>
      <c r="E355">
        <f t="shared" si="5"/>
        <v>1</v>
      </c>
      <c r="F355">
        <v>512200</v>
      </c>
      <c r="G355" t="s">
        <v>432</v>
      </c>
      <c r="H355" t="s">
        <v>401</v>
      </c>
      <c r="I355" t="s">
        <v>402</v>
      </c>
      <c r="J355" t="s">
        <v>5053</v>
      </c>
      <c r="K355">
        <v>20230126</v>
      </c>
      <c r="L355" t="s">
        <v>5051</v>
      </c>
      <c r="M355">
        <v>2916.86</v>
      </c>
      <c r="N355">
        <v>0</v>
      </c>
      <c r="O355" t="s">
        <v>19</v>
      </c>
      <c r="P355" t="s">
        <v>20</v>
      </c>
      <c r="Q355">
        <v>20230126</v>
      </c>
    </row>
    <row r="356" spans="1:17" x14ac:dyDescent="0.25">
      <c r="A356" t="s">
        <v>715</v>
      </c>
      <c r="B356" t="s">
        <v>432</v>
      </c>
      <c r="C356">
        <v>26</v>
      </c>
      <c r="D356">
        <v>20230126</v>
      </c>
      <c r="E356">
        <f t="shared" si="5"/>
        <v>1</v>
      </c>
      <c r="F356">
        <v>511000</v>
      </c>
      <c r="G356" t="s">
        <v>431</v>
      </c>
      <c r="H356" t="s">
        <v>401</v>
      </c>
      <c r="I356" t="s">
        <v>402</v>
      </c>
      <c r="J356" t="s">
        <v>5053</v>
      </c>
      <c r="K356">
        <v>20230126</v>
      </c>
      <c r="L356" t="s">
        <v>5054</v>
      </c>
      <c r="M356">
        <v>0</v>
      </c>
      <c r="N356">
        <v>2916.86</v>
      </c>
      <c r="O356" t="s">
        <v>19</v>
      </c>
      <c r="P356" t="s">
        <v>20</v>
      </c>
      <c r="Q356">
        <v>20230126</v>
      </c>
    </row>
    <row r="357" spans="1:17" x14ac:dyDescent="0.25">
      <c r="A357" t="s">
        <v>715</v>
      </c>
      <c r="B357" t="s">
        <v>432</v>
      </c>
      <c r="C357">
        <v>26</v>
      </c>
      <c r="D357">
        <v>20230126</v>
      </c>
      <c r="E357">
        <f t="shared" si="5"/>
        <v>1</v>
      </c>
      <c r="F357">
        <v>512200</v>
      </c>
      <c r="G357" t="s">
        <v>432</v>
      </c>
      <c r="H357" t="s">
        <v>401</v>
      </c>
      <c r="I357" t="s">
        <v>402</v>
      </c>
      <c r="J357" t="s">
        <v>4978</v>
      </c>
      <c r="K357">
        <v>20230126</v>
      </c>
      <c r="L357" t="s">
        <v>625</v>
      </c>
      <c r="M357">
        <v>2900</v>
      </c>
      <c r="N357">
        <v>0</v>
      </c>
      <c r="O357" t="s">
        <v>19</v>
      </c>
      <c r="P357" t="s">
        <v>20</v>
      </c>
      <c r="Q357">
        <v>20230126</v>
      </c>
    </row>
    <row r="358" spans="1:17" x14ac:dyDescent="0.25">
      <c r="A358" t="s">
        <v>715</v>
      </c>
      <c r="B358" t="s">
        <v>432</v>
      </c>
      <c r="C358">
        <v>26</v>
      </c>
      <c r="D358">
        <v>20230126</v>
      </c>
      <c r="E358">
        <f t="shared" si="5"/>
        <v>1</v>
      </c>
      <c r="F358">
        <v>580000</v>
      </c>
      <c r="G358" t="s">
        <v>532</v>
      </c>
      <c r="H358" t="s">
        <v>401</v>
      </c>
      <c r="I358" t="s">
        <v>402</v>
      </c>
      <c r="J358" t="s">
        <v>4978</v>
      </c>
      <c r="K358">
        <v>20230126</v>
      </c>
      <c r="L358" t="s">
        <v>625</v>
      </c>
      <c r="M358">
        <v>0</v>
      </c>
      <c r="N358">
        <v>2900</v>
      </c>
      <c r="O358" t="s">
        <v>22</v>
      </c>
      <c r="P358">
        <v>20230126</v>
      </c>
      <c r="Q358">
        <v>20230126</v>
      </c>
    </row>
    <row r="359" spans="1:17" x14ac:dyDescent="0.25">
      <c r="A359" t="s">
        <v>715</v>
      </c>
      <c r="B359" t="s">
        <v>432</v>
      </c>
      <c r="C359">
        <v>27</v>
      </c>
      <c r="D359">
        <v>20230124</v>
      </c>
      <c r="E359">
        <f t="shared" si="5"/>
        <v>1</v>
      </c>
      <c r="F359">
        <v>471000</v>
      </c>
      <c r="G359" t="s">
        <v>4801</v>
      </c>
      <c r="H359" t="s">
        <v>401</v>
      </c>
      <c r="I359" t="s">
        <v>402</v>
      </c>
      <c r="J359" t="s">
        <v>5055</v>
      </c>
      <c r="K359">
        <v>20230124</v>
      </c>
      <c r="L359" t="s">
        <v>5056</v>
      </c>
      <c r="M359">
        <v>116.08</v>
      </c>
      <c r="N359">
        <v>0</v>
      </c>
      <c r="O359" t="s">
        <v>19</v>
      </c>
      <c r="P359" t="s">
        <v>20</v>
      </c>
      <c r="Q359">
        <v>20230124</v>
      </c>
    </row>
    <row r="360" spans="1:17" x14ac:dyDescent="0.25">
      <c r="A360" t="s">
        <v>715</v>
      </c>
      <c r="B360" t="s">
        <v>432</v>
      </c>
      <c r="C360">
        <v>27</v>
      </c>
      <c r="D360">
        <v>20230124</v>
      </c>
      <c r="E360">
        <f t="shared" si="5"/>
        <v>1</v>
      </c>
      <c r="F360">
        <v>512200</v>
      </c>
      <c r="G360" t="s">
        <v>432</v>
      </c>
      <c r="H360" t="s">
        <v>401</v>
      </c>
      <c r="I360" t="s">
        <v>402</v>
      </c>
      <c r="J360" t="s">
        <v>5055</v>
      </c>
      <c r="K360">
        <v>20230124</v>
      </c>
      <c r="L360" t="s">
        <v>5056</v>
      </c>
      <c r="M360">
        <v>0</v>
      </c>
      <c r="N360">
        <v>116.08</v>
      </c>
      <c r="O360" t="s">
        <v>19</v>
      </c>
      <c r="P360" t="s">
        <v>20</v>
      </c>
      <c r="Q360">
        <v>20230124</v>
      </c>
    </row>
    <row r="361" spans="1:17" x14ac:dyDescent="0.25">
      <c r="A361" t="s">
        <v>715</v>
      </c>
      <c r="B361" t="s">
        <v>432</v>
      </c>
      <c r="C361">
        <v>27</v>
      </c>
      <c r="D361">
        <v>20230130</v>
      </c>
      <c r="E361">
        <f t="shared" si="5"/>
        <v>1</v>
      </c>
      <c r="F361">
        <v>401000</v>
      </c>
      <c r="G361" t="s">
        <v>41</v>
      </c>
      <c r="H361" t="s">
        <v>52</v>
      </c>
      <c r="I361" t="s">
        <v>53</v>
      </c>
      <c r="J361" t="s">
        <v>5057</v>
      </c>
      <c r="K361">
        <v>20230130</v>
      </c>
      <c r="L361" t="s">
        <v>5058</v>
      </c>
      <c r="M361">
        <v>65.760000000000005</v>
      </c>
      <c r="N361">
        <v>0</v>
      </c>
      <c r="O361" t="s">
        <v>19</v>
      </c>
      <c r="P361" t="s">
        <v>20</v>
      </c>
      <c r="Q361">
        <v>20230130</v>
      </c>
    </row>
    <row r="362" spans="1:17" x14ac:dyDescent="0.25">
      <c r="A362" t="s">
        <v>715</v>
      </c>
      <c r="B362" t="s">
        <v>432</v>
      </c>
      <c r="C362">
        <v>27</v>
      </c>
      <c r="D362">
        <v>20230130</v>
      </c>
      <c r="E362">
        <f t="shared" si="5"/>
        <v>1</v>
      </c>
      <c r="F362">
        <v>512200</v>
      </c>
      <c r="G362" t="s">
        <v>432</v>
      </c>
      <c r="H362" t="s">
        <v>401</v>
      </c>
      <c r="I362" t="s">
        <v>402</v>
      </c>
      <c r="J362" t="s">
        <v>5057</v>
      </c>
      <c r="K362">
        <v>20230130</v>
      </c>
      <c r="L362" t="s">
        <v>5058</v>
      </c>
      <c r="M362">
        <v>0</v>
      </c>
      <c r="N362">
        <v>65.760000000000005</v>
      </c>
      <c r="O362" t="s">
        <v>19</v>
      </c>
      <c r="P362" t="s">
        <v>20</v>
      </c>
      <c r="Q362">
        <v>20230130</v>
      </c>
    </row>
    <row r="363" spans="1:17" x14ac:dyDescent="0.25">
      <c r="A363" t="s">
        <v>715</v>
      </c>
      <c r="B363" t="s">
        <v>432</v>
      </c>
      <c r="C363">
        <v>27</v>
      </c>
      <c r="D363">
        <v>20230130</v>
      </c>
      <c r="E363">
        <f t="shared" si="5"/>
        <v>1</v>
      </c>
      <c r="F363">
        <v>401000</v>
      </c>
      <c r="G363" t="s">
        <v>41</v>
      </c>
      <c r="H363" t="s">
        <v>52</v>
      </c>
      <c r="I363" t="s">
        <v>53</v>
      </c>
      <c r="J363" t="s">
        <v>5059</v>
      </c>
      <c r="K363">
        <v>20230130</v>
      </c>
      <c r="L363" t="s">
        <v>5060</v>
      </c>
      <c r="M363">
        <v>331.04</v>
      </c>
      <c r="N363">
        <v>0</v>
      </c>
      <c r="O363" t="s">
        <v>19</v>
      </c>
      <c r="P363" t="s">
        <v>20</v>
      </c>
      <c r="Q363">
        <v>20230130</v>
      </c>
    </row>
    <row r="364" spans="1:17" x14ac:dyDescent="0.25">
      <c r="A364" t="s">
        <v>715</v>
      </c>
      <c r="B364" t="s">
        <v>432</v>
      </c>
      <c r="C364">
        <v>27</v>
      </c>
      <c r="D364">
        <v>20230130</v>
      </c>
      <c r="E364">
        <f t="shared" si="5"/>
        <v>1</v>
      </c>
      <c r="F364">
        <v>512200</v>
      </c>
      <c r="G364" t="s">
        <v>432</v>
      </c>
      <c r="H364" t="s">
        <v>401</v>
      </c>
      <c r="I364" t="s">
        <v>402</v>
      </c>
      <c r="J364" t="s">
        <v>5059</v>
      </c>
      <c r="K364">
        <v>20230130</v>
      </c>
      <c r="L364" t="s">
        <v>5060</v>
      </c>
      <c r="M364">
        <v>0</v>
      </c>
      <c r="N364">
        <v>331.04</v>
      </c>
      <c r="O364" t="s">
        <v>19</v>
      </c>
      <c r="P364" t="s">
        <v>20</v>
      </c>
      <c r="Q364">
        <v>20230130</v>
      </c>
    </row>
    <row r="365" spans="1:17" x14ac:dyDescent="0.25">
      <c r="A365" t="s">
        <v>715</v>
      </c>
      <c r="B365" t="s">
        <v>432</v>
      </c>
      <c r="C365">
        <v>27</v>
      </c>
      <c r="D365">
        <v>20230130</v>
      </c>
      <c r="E365">
        <f t="shared" si="5"/>
        <v>1</v>
      </c>
      <c r="F365">
        <v>401000</v>
      </c>
      <c r="G365" t="s">
        <v>41</v>
      </c>
      <c r="H365" t="s">
        <v>52</v>
      </c>
      <c r="I365" t="s">
        <v>53</v>
      </c>
      <c r="J365" t="s">
        <v>5061</v>
      </c>
      <c r="K365">
        <v>20230130</v>
      </c>
      <c r="L365" t="s">
        <v>5062</v>
      </c>
      <c r="M365">
        <v>29</v>
      </c>
      <c r="N365">
        <v>0</v>
      </c>
      <c r="O365" t="s">
        <v>19</v>
      </c>
      <c r="P365" t="s">
        <v>20</v>
      </c>
      <c r="Q365">
        <v>20230130</v>
      </c>
    </row>
    <row r="366" spans="1:17" x14ac:dyDescent="0.25">
      <c r="A366" t="s">
        <v>715</v>
      </c>
      <c r="B366" t="s">
        <v>432</v>
      </c>
      <c r="C366">
        <v>27</v>
      </c>
      <c r="D366">
        <v>20230130</v>
      </c>
      <c r="E366">
        <f t="shared" si="5"/>
        <v>1</v>
      </c>
      <c r="F366">
        <v>512200</v>
      </c>
      <c r="G366" t="s">
        <v>432</v>
      </c>
      <c r="H366" t="s">
        <v>401</v>
      </c>
      <c r="I366" t="s">
        <v>402</v>
      </c>
      <c r="J366" t="s">
        <v>5061</v>
      </c>
      <c r="K366">
        <v>20230130</v>
      </c>
      <c r="L366" t="s">
        <v>5062</v>
      </c>
      <c r="M366">
        <v>0</v>
      </c>
      <c r="N366">
        <v>29</v>
      </c>
      <c r="O366" t="s">
        <v>19</v>
      </c>
      <c r="P366" t="s">
        <v>20</v>
      </c>
      <c r="Q366">
        <v>20230130</v>
      </c>
    </row>
    <row r="367" spans="1:17" x14ac:dyDescent="0.25">
      <c r="A367" t="s">
        <v>715</v>
      </c>
      <c r="B367" t="s">
        <v>432</v>
      </c>
      <c r="C367">
        <v>28</v>
      </c>
      <c r="D367">
        <v>20230111</v>
      </c>
      <c r="E367">
        <f t="shared" si="5"/>
        <v>1</v>
      </c>
      <c r="F367">
        <v>512200</v>
      </c>
      <c r="G367" t="s">
        <v>432</v>
      </c>
      <c r="H367" t="s">
        <v>401</v>
      </c>
      <c r="I367" t="s">
        <v>402</v>
      </c>
      <c r="J367" t="s">
        <v>4885</v>
      </c>
      <c r="K367">
        <v>20230111</v>
      </c>
      <c r="L367" t="s">
        <v>731</v>
      </c>
      <c r="M367">
        <v>0</v>
      </c>
      <c r="N367">
        <v>34.590000000000003</v>
      </c>
      <c r="O367" t="s">
        <v>19</v>
      </c>
      <c r="P367" t="s">
        <v>20</v>
      </c>
      <c r="Q367">
        <v>20230111</v>
      </c>
    </row>
    <row r="368" spans="1:17" x14ac:dyDescent="0.25">
      <c r="A368" t="s">
        <v>476</v>
      </c>
      <c r="B368" t="s">
        <v>477</v>
      </c>
      <c r="C368">
        <v>56</v>
      </c>
      <c r="D368">
        <v>20230201</v>
      </c>
      <c r="E368">
        <f t="shared" si="5"/>
        <v>2</v>
      </c>
      <c r="F368">
        <v>401000</v>
      </c>
      <c r="G368" t="s">
        <v>41</v>
      </c>
      <c r="H368" t="s">
        <v>4477</v>
      </c>
      <c r="I368" t="s">
        <v>4478</v>
      </c>
      <c r="J368" t="s">
        <v>5081</v>
      </c>
      <c r="K368">
        <v>20230201</v>
      </c>
      <c r="L368" t="s">
        <v>4765</v>
      </c>
      <c r="M368">
        <v>3000</v>
      </c>
      <c r="N368">
        <v>0</v>
      </c>
      <c r="O368" t="s">
        <v>23</v>
      </c>
      <c r="P368">
        <v>20230207</v>
      </c>
      <c r="Q368">
        <v>20230201</v>
      </c>
    </row>
    <row r="369" spans="1:17" x14ac:dyDescent="0.25">
      <c r="A369" t="s">
        <v>476</v>
      </c>
      <c r="B369" t="s">
        <v>477</v>
      </c>
      <c r="C369">
        <v>56</v>
      </c>
      <c r="D369">
        <v>20230201</v>
      </c>
      <c r="E369">
        <f t="shared" si="5"/>
        <v>2</v>
      </c>
      <c r="F369">
        <v>512000</v>
      </c>
      <c r="G369" t="s">
        <v>428</v>
      </c>
      <c r="H369" t="s">
        <v>401</v>
      </c>
      <c r="I369" t="s">
        <v>402</v>
      </c>
      <c r="J369" t="s">
        <v>5081</v>
      </c>
      <c r="K369">
        <v>20230201</v>
      </c>
      <c r="L369" t="s">
        <v>4765</v>
      </c>
      <c r="M369">
        <v>0</v>
      </c>
      <c r="N369">
        <v>3000</v>
      </c>
      <c r="O369" t="s">
        <v>19</v>
      </c>
      <c r="P369" t="s">
        <v>20</v>
      </c>
      <c r="Q369">
        <v>20230201</v>
      </c>
    </row>
    <row r="370" spans="1:17" x14ac:dyDescent="0.25">
      <c r="A370" t="s">
        <v>476</v>
      </c>
      <c r="B370" t="s">
        <v>477</v>
      </c>
      <c r="C370">
        <v>56</v>
      </c>
      <c r="D370">
        <v>20230207</v>
      </c>
      <c r="E370">
        <f t="shared" si="5"/>
        <v>2</v>
      </c>
      <c r="F370">
        <v>401000</v>
      </c>
      <c r="G370" t="s">
        <v>41</v>
      </c>
      <c r="H370" t="s">
        <v>42</v>
      </c>
      <c r="I370" t="s">
        <v>43</v>
      </c>
      <c r="J370" t="s">
        <v>5082</v>
      </c>
      <c r="K370">
        <v>20230207</v>
      </c>
      <c r="L370" t="s">
        <v>4767</v>
      </c>
      <c r="M370">
        <v>226.51</v>
      </c>
      <c r="N370">
        <v>0</v>
      </c>
      <c r="O370" t="s">
        <v>23</v>
      </c>
      <c r="P370">
        <v>20230218</v>
      </c>
      <c r="Q370">
        <v>20230207</v>
      </c>
    </row>
    <row r="371" spans="1:17" x14ac:dyDescent="0.25">
      <c r="A371" t="s">
        <v>476</v>
      </c>
      <c r="B371" t="s">
        <v>477</v>
      </c>
      <c r="C371">
        <v>56</v>
      </c>
      <c r="D371">
        <v>20230207</v>
      </c>
      <c r="E371">
        <f t="shared" si="5"/>
        <v>2</v>
      </c>
      <c r="F371">
        <v>401000</v>
      </c>
      <c r="G371" t="s">
        <v>41</v>
      </c>
      <c r="H371" t="s">
        <v>46</v>
      </c>
      <c r="I371" t="s">
        <v>47</v>
      </c>
      <c r="J371" t="s">
        <v>5082</v>
      </c>
      <c r="K371">
        <v>20230207</v>
      </c>
      <c r="L371" t="s">
        <v>4767</v>
      </c>
      <c r="M371">
        <v>315</v>
      </c>
      <c r="N371">
        <v>0</v>
      </c>
      <c r="O371" t="s">
        <v>23</v>
      </c>
      <c r="P371">
        <v>20230218</v>
      </c>
      <c r="Q371">
        <v>20230207</v>
      </c>
    </row>
    <row r="372" spans="1:17" x14ac:dyDescent="0.25">
      <c r="A372" t="s">
        <v>476</v>
      </c>
      <c r="B372" t="s">
        <v>477</v>
      </c>
      <c r="C372">
        <v>56</v>
      </c>
      <c r="D372">
        <v>20230207</v>
      </c>
      <c r="E372">
        <f t="shared" si="5"/>
        <v>2</v>
      </c>
      <c r="F372">
        <v>401000</v>
      </c>
      <c r="G372" t="s">
        <v>41</v>
      </c>
      <c r="H372" t="s">
        <v>67</v>
      </c>
      <c r="I372" t="s">
        <v>68</v>
      </c>
      <c r="J372" t="s">
        <v>5082</v>
      </c>
      <c r="K372">
        <v>20230207</v>
      </c>
      <c r="L372" t="s">
        <v>4767</v>
      </c>
      <c r="M372">
        <v>488.4</v>
      </c>
      <c r="N372">
        <v>0</v>
      </c>
      <c r="O372" t="s">
        <v>23</v>
      </c>
      <c r="P372">
        <v>20230218</v>
      </c>
      <c r="Q372">
        <v>20230207</v>
      </c>
    </row>
    <row r="373" spans="1:17" x14ac:dyDescent="0.25">
      <c r="A373" t="s">
        <v>476</v>
      </c>
      <c r="B373" t="s">
        <v>477</v>
      </c>
      <c r="C373">
        <v>56</v>
      </c>
      <c r="D373">
        <v>20230207</v>
      </c>
      <c r="E373">
        <f t="shared" si="5"/>
        <v>2</v>
      </c>
      <c r="F373">
        <v>401000</v>
      </c>
      <c r="G373" t="s">
        <v>41</v>
      </c>
      <c r="H373" t="s">
        <v>474</v>
      </c>
      <c r="I373" t="s">
        <v>475</v>
      </c>
      <c r="J373" t="s">
        <v>5082</v>
      </c>
      <c r="K373">
        <v>20230207</v>
      </c>
      <c r="L373" t="s">
        <v>4767</v>
      </c>
      <c r="M373">
        <v>450</v>
      </c>
      <c r="N373">
        <v>0</v>
      </c>
      <c r="O373" t="s">
        <v>23</v>
      </c>
      <c r="P373">
        <v>20230218</v>
      </c>
      <c r="Q373">
        <v>20230207</v>
      </c>
    </row>
    <row r="374" spans="1:17" x14ac:dyDescent="0.25">
      <c r="A374" t="s">
        <v>476</v>
      </c>
      <c r="B374" t="s">
        <v>477</v>
      </c>
      <c r="C374">
        <v>56</v>
      </c>
      <c r="D374">
        <v>20230207</v>
      </c>
      <c r="E374">
        <f t="shared" si="5"/>
        <v>2</v>
      </c>
      <c r="F374">
        <v>401000</v>
      </c>
      <c r="G374" t="s">
        <v>41</v>
      </c>
      <c r="H374" t="s">
        <v>827</v>
      </c>
      <c r="I374" t="s">
        <v>828</v>
      </c>
      <c r="J374" t="s">
        <v>5082</v>
      </c>
      <c r="K374">
        <v>20230207</v>
      </c>
      <c r="L374" t="s">
        <v>4767</v>
      </c>
      <c r="M374">
        <v>123</v>
      </c>
      <c r="N374">
        <v>0</v>
      </c>
      <c r="O374" t="s">
        <v>23</v>
      </c>
      <c r="P374">
        <v>20230218</v>
      </c>
      <c r="Q374">
        <v>20230207</v>
      </c>
    </row>
    <row r="375" spans="1:17" x14ac:dyDescent="0.25">
      <c r="A375" t="s">
        <v>476</v>
      </c>
      <c r="B375" t="s">
        <v>477</v>
      </c>
      <c r="C375">
        <v>56</v>
      </c>
      <c r="D375">
        <v>20230207</v>
      </c>
      <c r="E375">
        <f t="shared" si="5"/>
        <v>2</v>
      </c>
      <c r="F375">
        <v>512000</v>
      </c>
      <c r="G375" t="s">
        <v>428</v>
      </c>
      <c r="H375" t="s">
        <v>401</v>
      </c>
      <c r="I375" t="s">
        <v>402</v>
      </c>
      <c r="J375" t="s">
        <v>5082</v>
      </c>
      <c r="K375">
        <v>20230207</v>
      </c>
      <c r="L375" t="s">
        <v>4767</v>
      </c>
      <c r="M375">
        <v>0</v>
      </c>
      <c r="N375">
        <v>1602.91</v>
      </c>
      <c r="O375" t="s">
        <v>19</v>
      </c>
      <c r="P375" t="s">
        <v>20</v>
      </c>
      <c r="Q375">
        <v>20230207</v>
      </c>
    </row>
    <row r="376" spans="1:17" x14ac:dyDescent="0.25">
      <c r="A376" t="s">
        <v>476</v>
      </c>
      <c r="B376" t="s">
        <v>477</v>
      </c>
      <c r="C376">
        <v>56</v>
      </c>
      <c r="D376">
        <v>20230207</v>
      </c>
      <c r="E376">
        <f t="shared" si="5"/>
        <v>2</v>
      </c>
      <c r="F376">
        <v>467100</v>
      </c>
      <c r="G376" t="s">
        <v>160</v>
      </c>
      <c r="H376" t="s">
        <v>185</v>
      </c>
      <c r="I376" t="s">
        <v>186</v>
      </c>
      <c r="J376" t="s">
        <v>5083</v>
      </c>
      <c r="K376">
        <v>20230207</v>
      </c>
      <c r="L376" t="s">
        <v>4765</v>
      </c>
      <c r="M376">
        <v>400</v>
      </c>
      <c r="N376">
        <v>0</v>
      </c>
      <c r="O376" t="s">
        <v>19</v>
      </c>
      <c r="P376" t="s">
        <v>20</v>
      </c>
      <c r="Q376">
        <v>20230207</v>
      </c>
    </row>
    <row r="377" spans="1:17" x14ac:dyDescent="0.25">
      <c r="A377" t="s">
        <v>476</v>
      </c>
      <c r="B377" t="s">
        <v>477</v>
      </c>
      <c r="C377">
        <v>56</v>
      </c>
      <c r="D377">
        <v>20230207</v>
      </c>
      <c r="E377">
        <f t="shared" si="5"/>
        <v>2</v>
      </c>
      <c r="F377">
        <v>512000</v>
      </c>
      <c r="G377" t="s">
        <v>428</v>
      </c>
      <c r="H377" t="s">
        <v>401</v>
      </c>
      <c r="I377" t="s">
        <v>402</v>
      </c>
      <c r="J377" t="s">
        <v>5083</v>
      </c>
      <c r="K377">
        <v>20230207</v>
      </c>
      <c r="L377" t="s">
        <v>4765</v>
      </c>
      <c r="M377">
        <v>0</v>
      </c>
      <c r="N377">
        <v>400</v>
      </c>
      <c r="O377" t="s">
        <v>19</v>
      </c>
      <c r="P377" t="s">
        <v>20</v>
      </c>
      <c r="Q377">
        <v>20230207</v>
      </c>
    </row>
    <row r="378" spans="1:17" x14ac:dyDescent="0.25">
      <c r="A378" t="s">
        <v>476</v>
      </c>
      <c r="B378" t="s">
        <v>477</v>
      </c>
      <c r="C378">
        <v>56</v>
      </c>
      <c r="D378">
        <v>20230209</v>
      </c>
      <c r="E378">
        <f t="shared" si="5"/>
        <v>2</v>
      </c>
      <c r="F378">
        <v>411100</v>
      </c>
      <c r="G378" t="s">
        <v>18</v>
      </c>
      <c r="H378" t="s">
        <v>4141</v>
      </c>
      <c r="I378" t="s">
        <v>4142</v>
      </c>
      <c r="J378" t="s">
        <v>5084</v>
      </c>
      <c r="K378">
        <v>20230209</v>
      </c>
      <c r="L378" t="s">
        <v>4765</v>
      </c>
      <c r="M378">
        <v>91.5</v>
      </c>
      <c r="N378">
        <v>0</v>
      </c>
      <c r="O378" t="s">
        <v>19</v>
      </c>
      <c r="P378" t="s">
        <v>20</v>
      </c>
      <c r="Q378">
        <v>20230209</v>
      </c>
    </row>
    <row r="379" spans="1:17" x14ac:dyDescent="0.25">
      <c r="A379" t="s">
        <v>476</v>
      </c>
      <c r="B379" t="s">
        <v>477</v>
      </c>
      <c r="C379">
        <v>56</v>
      </c>
      <c r="D379">
        <v>20230209</v>
      </c>
      <c r="E379">
        <f t="shared" si="5"/>
        <v>2</v>
      </c>
      <c r="F379">
        <v>512000</v>
      </c>
      <c r="G379" t="s">
        <v>428</v>
      </c>
      <c r="H379" t="s">
        <v>401</v>
      </c>
      <c r="I379" t="s">
        <v>402</v>
      </c>
      <c r="J379" t="s">
        <v>5084</v>
      </c>
      <c r="K379">
        <v>20230209</v>
      </c>
      <c r="L379" t="s">
        <v>4765</v>
      </c>
      <c r="M379">
        <v>0</v>
      </c>
      <c r="N379">
        <v>91.5</v>
      </c>
      <c r="O379" t="s">
        <v>19</v>
      </c>
      <c r="P379" t="s">
        <v>20</v>
      </c>
      <c r="Q379">
        <v>20230209</v>
      </c>
    </row>
    <row r="380" spans="1:17" x14ac:dyDescent="0.25">
      <c r="A380" t="s">
        <v>476</v>
      </c>
      <c r="B380" t="s">
        <v>477</v>
      </c>
      <c r="C380">
        <v>56</v>
      </c>
      <c r="D380">
        <v>20230209</v>
      </c>
      <c r="E380">
        <f t="shared" si="5"/>
        <v>2</v>
      </c>
      <c r="F380">
        <v>448100</v>
      </c>
      <c r="G380" t="s">
        <v>420</v>
      </c>
      <c r="H380" t="s">
        <v>401</v>
      </c>
      <c r="I380" t="s">
        <v>402</v>
      </c>
      <c r="J380" t="s">
        <v>5085</v>
      </c>
      <c r="K380">
        <v>20230209</v>
      </c>
      <c r="L380" t="s">
        <v>4765</v>
      </c>
      <c r="M380">
        <v>9461</v>
      </c>
      <c r="N380">
        <v>0</v>
      </c>
      <c r="O380" t="s">
        <v>23</v>
      </c>
      <c r="P380">
        <v>20230218</v>
      </c>
      <c r="Q380">
        <v>20230209</v>
      </c>
    </row>
    <row r="381" spans="1:17" x14ac:dyDescent="0.25">
      <c r="A381" t="s">
        <v>476</v>
      </c>
      <c r="B381" t="s">
        <v>477</v>
      </c>
      <c r="C381">
        <v>56</v>
      </c>
      <c r="D381">
        <v>20230209</v>
      </c>
      <c r="E381">
        <f t="shared" si="5"/>
        <v>2</v>
      </c>
      <c r="F381">
        <v>512000</v>
      </c>
      <c r="G381" t="s">
        <v>428</v>
      </c>
      <c r="H381" t="s">
        <v>401</v>
      </c>
      <c r="I381" t="s">
        <v>402</v>
      </c>
      <c r="J381" t="s">
        <v>5085</v>
      </c>
      <c r="K381">
        <v>20230209</v>
      </c>
      <c r="L381" t="s">
        <v>4765</v>
      </c>
      <c r="M381">
        <v>0</v>
      </c>
      <c r="N381">
        <v>9461</v>
      </c>
      <c r="O381" t="s">
        <v>19</v>
      </c>
      <c r="P381" t="s">
        <v>20</v>
      </c>
      <c r="Q381">
        <v>20230209</v>
      </c>
    </row>
    <row r="382" spans="1:17" x14ac:dyDescent="0.25">
      <c r="A382" t="s">
        <v>476</v>
      </c>
      <c r="B382" t="s">
        <v>477</v>
      </c>
      <c r="C382">
        <v>56</v>
      </c>
      <c r="D382">
        <v>20230216</v>
      </c>
      <c r="E382">
        <f t="shared" si="5"/>
        <v>2</v>
      </c>
      <c r="F382">
        <v>467100</v>
      </c>
      <c r="G382" t="s">
        <v>160</v>
      </c>
      <c r="H382" t="s">
        <v>5086</v>
      </c>
      <c r="I382" t="s">
        <v>5087</v>
      </c>
      <c r="J382" t="s">
        <v>5088</v>
      </c>
      <c r="K382">
        <v>20230216</v>
      </c>
      <c r="L382" t="s">
        <v>4765</v>
      </c>
      <c r="M382">
        <v>130</v>
      </c>
      <c r="N382">
        <v>0</v>
      </c>
      <c r="O382" t="s">
        <v>23</v>
      </c>
      <c r="P382">
        <v>20230308</v>
      </c>
      <c r="Q382">
        <v>20230216</v>
      </c>
    </row>
    <row r="383" spans="1:17" x14ac:dyDescent="0.25">
      <c r="A383" t="s">
        <v>476</v>
      </c>
      <c r="B383" t="s">
        <v>477</v>
      </c>
      <c r="C383">
        <v>56</v>
      </c>
      <c r="D383">
        <v>20230216</v>
      </c>
      <c r="E383">
        <f t="shared" si="5"/>
        <v>2</v>
      </c>
      <c r="F383">
        <v>467100</v>
      </c>
      <c r="G383" t="s">
        <v>160</v>
      </c>
      <c r="H383" t="s">
        <v>172</v>
      </c>
      <c r="I383" t="s">
        <v>173</v>
      </c>
      <c r="J383" t="s">
        <v>5088</v>
      </c>
      <c r="K383">
        <v>20230216</v>
      </c>
      <c r="L383" t="s">
        <v>4765</v>
      </c>
      <c r="M383">
        <v>300</v>
      </c>
      <c r="N383">
        <v>0</v>
      </c>
      <c r="O383" t="s">
        <v>19</v>
      </c>
      <c r="P383" t="s">
        <v>20</v>
      </c>
      <c r="Q383">
        <v>20230216</v>
      </c>
    </row>
    <row r="384" spans="1:17" x14ac:dyDescent="0.25">
      <c r="A384" t="s">
        <v>476</v>
      </c>
      <c r="B384" t="s">
        <v>477</v>
      </c>
      <c r="C384">
        <v>56</v>
      </c>
      <c r="D384">
        <v>20230216</v>
      </c>
      <c r="E384">
        <f t="shared" si="5"/>
        <v>2</v>
      </c>
      <c r="F384">
        <v>512000</v>
      </c>
      <c r="G384" t="s">
        <v>428</v>
      </c>
      <c r="H384" t="s">
        <v>401</v>
      </c>
      <c r="I384" t="s">
        <v>402</v>
      </c>
      <c r="J384" t="s">
        <v>5088</v>
      </c>
      <c r="K384">
        <v>20230216</v>
      </c>
      <c r="L384" t="s">
        <v>4765</v>
      </c>
      <c r="M384">
        <v>0</v>
      </c>
      <c r="N384">
        <v>430</v>
      </c>
      <c r="O384" t="s">
        <v>19</v>
      </c>
      <c r="P384" t="s">
        <v>20</v>
      </c>
      <c r="Q384">
        <v>20230216</v>
      </c>
    </row>
    <row r="385" spans="1:17" x14ac:dyDescent="0.25">
      <c r="A385" t="s">
        <v>476</v>
      </c>
      <c r="B385" t="s">
        <v>477</v>
      </c>
      <c r="C385">
        <v>56</v>
      </c>
      <c r="D385">
        <v>20230224</v>
      </c>
      <c r="E385">
        <f t="shared" si="5"/>
        <v>2</v>
      </c>
      <c r="F385">
        <v>467100</v>
      </c>
      <c r="G385" t="s">
        <v>160</v>
      </c>
      <c r="H385" t="s">
        <v>5089</v>
      </c>
      <c r="I385" t="s">
        <v>5090</v>
      </c>
      <c r="J385" t="s">
        <v>5091</v>
      </c>
      <c r="K385">
        <v>20230224</v>
      </c>
      <c r="L385" t="s">
        <v>4765</v>
      </c>
      <c r="M385">
        <v>404.86</v>
      </c>
      <c r="N385">
        <v>0</v>
      </c>
      <c r="O385" t="s">
        <v>19</v>
      </c>
      <c r="P385" t="s">
        <v>20</v>
      </c>
      <c r="Q385">
        <v>20230224</v>
      </c>
    </row>
    <row r="386" spans="1:17" x14ac:dyDescent="0.25">
      <c r="A386" t="s">
        <v>476</v>
      </c>
      <c r="B386" t="s">
        <v>477</v>
      </c>
      <c r="C386">
        <v>56</v>
      </c>
      <c r="D386">
        <v>20230224</v>
      </c>
      <c r="E386">
        <f t="shared" si="5"/>
        <v>2</v>
      </c>
      <c r="F386">
        <v>467100</v>
      </c>
      <c r="G386" t="s">
        <v>160</v>
      </c>
      <c r="H386" t="s">
        <v>5092</v>
      </c>
      <c r="I386" t="s">
        <v>5093</v>
      </c>
      <c r="J386" t="s">
        <v>5091</v>
      </c>
      <c r="K386">
        <v>20230224</v>
      </c>
      <c r="L386" t="s">
        <v>4765</v>
      </c>
      <c r="M386">
        <v>812.61</v>
      </c>
      <c r="N386">
        <v>0</v>
      </c>
      <c r="O386" t="s">
        <v>19</v>
      </c>
      <c r="P386" t="s">
        <v>20</v>
      </c>
      <c r="Q386">
        <v>20230224</v>
      </c>
    </row>
    <row r="387" spans="1:17" x14ac:dyDescent="0.25">
      <c r="A387" t="s">
        <v>476</v>
      </c>
      <c r="B387" t="s">
        <v>477</v>
      </c>
      <c r="C387">
        <v>56</v>
      </c>
      <c r="D387">
        <v>20230224</v>
      </c>
      <c r="E387">
        <f t="shared" ref="E387:E450" si="6">VALUE(MID(D387,5,2))</f>
        <v>2</v>
      </c>
      <c r="F387">
        <v>512000</v>
      </c>
      <c r="G387" t="s">
        <v>428</v>
      </c>
      <c r="H387" t="s">
        <v>401</v>
      </c>
      <c r="I387" t="s">
        <v>402</v>
      </c>
      <c r="J387" t="s">
        <v>5091</v>
      </c>
      <c r="K387">
        <v>20230224</v>
      </c>
      <c r="L387" t="s">
        <v>4765</v>
      </c>
      <c r="M387">
        <v>0</v>
      </c>
      <c r="N387">
        <v>1217.47</v>
      </c>
      <c r="O387" t="s">
        <v>19</v>
      </c>
      <c r="P387" t="s">
        <v>20</v>
      </c>
      <c r="Q387">
        <v>20230224</v>
      </c>
    </row>
    <row r="388" spans="1:17" x14ac:dyDescent="0.25">
      <c r="A388" t="s">
        <v>548</v>
      </c>
      <c r="B388" t="s">
        <v>429</v>
      </c>
      <c r="C388">
        <v>57</v>
      </c>
      <c r="D388">
        <v>20230201</v>
      </c>
      <c r="E388">
        <f t="shared" si="6"/>
        <v>2</v>
      </c>
      <c r="F388">
        <v>411100</v>
      </c>
      <c r="G388" t="s">
        <v>18</v>
      </c>
      <c r="H388" t="s">
        <v>245</v>
      </c>
      <c r="I388" t="s">
        <v>246</v>
      </c>
      <c r="J388">
        <v>364340</v>
      </c>
      <c r="K388">
        <v>20230201</v>
      </c>
      <c r="L388" t="s">
        <v>5094</v>
      </c>
      <c r="M388">
        <v>0</v>
      </c>
      <c r="N388">
        <v>22</v>
      </c>
      <c r="O388" t="s">
        <v>19</v>
      </c>
      <c r="P388" t="s">
        <v>20</v>
      </c>
      <c r="Q388">
        <v>20230201</v>
      </c>
    </row>
    <row r="389" spans="1:17" x14ac:dyDescent="0.25">
      <c r="A389" t="s">
        <v>548</v>
      </c>
      <c r="B389" t="s">
        <v>429</v>
      </c>
      <c r="C389">
        <v>57</v>
      </c>
      <c r="D389">
        <v>20230201</v>
      </c>
      <c r="E389">
        <f t="shared" si="6"/>
        <v>2</v>
      </c>
      <c r="F389">
        <v>411100</v>
      </c>
      <c r="G389" t="s">
        <v>18</v>
      </c>
      <c r="H389" t="s">
        <v>336</v>
      </c>
      <c r="I389" t="s">
        <v>337</v>
      </c>
      <c r="J389">
        <v>122110060</v>
      </c>
      <c r="K389">
        <v>20230201</v>
      </c>
      <c r="L389" t="s">
        <v>5095</v>
      </c>
      <c r="M389">
        <v>0</v>
      </c>
      <c r="N389">
        <v>50</v>
      </c>
      <c r="O389" t="s">
        <v>19</v>
      </c>
      <c r="P389" t="s">
        <v>20</v>
      </c>
      <c r="Q389">
        <v>20230201</v>
      </c>
    </row>
    <row r="390" spans="1:17" x14ac:dyDescent="0.25">
      <c r="A390" t="s">
        <v>548</v>
      </c>
      <c r="B390" t="s">
        <v>429</v>
      </c>
      <c r="C390">
        <v>57</v>
      </c>
      <c r="D390">
        <v>20230201</v>
      </c>
      <c r="E390">
        <f t="shared" si="6"/>
        <v>2</v>
      </c>
      <c r="F390">
        <v>531105</v>
      </c>
      <c r="G390" t="s">
        <v>429</v>
      </c>
      <c r="H390" t="s">
        <v>401</v>
      </c>
      <c r="I390" t="s">
        <v>402</v>
      </c>
      <c r="J390">
        <v>364342</v>
      </c>
      <c r="K390">
        <v>20230201</v>
      </c>
      <c r="L390" t="s">
        <v>565</v>
      </c>
      <c r="M390">
        <v>72</v>
      </c>
      <c r="N390">
        <v>0</v>
      </c>
      <c r="O390" t="s">
        <v>19</v>
      </c>
      <c r="P390" t="s">
        <v>20</v>
      </c>
      <c r="Q390">
        <v>20230201</v>
      </c>
    </row>
    <row r="391" spans="1:17" x14ac:dyDescent="0.25">
      <c r="A391" t="s">
        <v>548</v>
      </c>
      <c r="B391" t="s">
        <v>429</v>
      </c>
      <c r="C391">
        <v>57</v>
      </c>
      <c r="D391">
        <v>20230202</v>
      </c>
      <c r="E391">
        <f t="shared" si="6"/>
        <v>2</v>
      </c>
      <c r="F391">
        <v>467100</v>
      </c>
      <c r="G391" t="s">
        <v>160</v>
      </c>
      <c r="H391" t="s">
        <v>4958</v>
      </c>
      <c r="I391" t="s">
        <v>4959</v>
      </c>
      <c r="J391" t="s">
        <v>5096</v>
      </c>
      <c r="K391">
        <v>20230202</v>
      </c>
      <c r="L391" t="s">
        <v>5097</v>
      </c>
      <c r="M391">
        <v>0</v>
      </c>
      <c r="N391">
        <v>35.03</v>
      </c>
      <c r="O391" t="s">
        <v>23</v>
      </c>
      <c r="P391">
        <v>20230308</v>
      </c>
      <c r="Q391">
        <v>20230202</v>
      </c>
    </row>
    <row r="392" spans="1:17" x14ac:dyDescent="0.25">
      <c r="A392" t="s">
        <v>548</v>
      </c>
      <c r="B392" t="s">
        <v>429</v>
      </c>
      <c r="C392">
        <v>57</v>
      </c>
      <c r="D392">
        <v>20230202</v>
      </c>
      <c r="E392">
        <f t="shared" si="6"/>
        <v>2</v>
      </c>
      <c r="F392">
        <v>531105</v>
      </c>
      <c r="G392" t="s">
        <v>429</v>
      </c>
      <c r="H392" t="s">
        <v>401</v>
      </c>
      <c r="I392" t="s">
        <v>402</v>
      </c>
      <c r="J392" t="s">
        <v>5096</v>
      </c>
      <c r="K392">
        <v>20230202</v>
      </c>
      <c r="L392" t="s">
        <v>5097</v>
      </c>
      <c r="M392">
        <v>35.03</v>
      </c>
      <c r="N392">
        <v>0</v>
      </c>
      <c r="O392" t="s">
        <v>19</v>
      </c>
      <c r="P392" t="s">
        <v>20</v>
      </c>
      <c r="Q392">
        <v>20230202</v>
      </c>
    </row>
    <row r="393" spans="1:17" x14ac:dyDescent="0.25">
      <c r="A393" t="s">
        <v>548</v>
      </c>
      <c r="B393" t="s">
        <v>429</v>
      </c>
      <c r="C393">
        <v>57</v>
      </c>
      <c r="D393">
        <v>20230202</v>
      </c>
      <c r="E393">
        <f t="shared" si="6"/>
        <v>2</v>
      </c>
      <c r="F393">
        <v>411100</v>
      </c>
      <c r="G393" t="s">
        <v>18</v>
      </c>
      <c r="H393" t="s">
        <v>79</v>
      </c>
      <c r="I393" t="s">
        <v>80</v>
      </c>
      <c r="J393">
        <v>364338</v>
      </c>
      <c r="K393">
        <v>20230202</v>
      </c>
      <c r="L393" t="s">
        <v>5098</v>
      </c>
      <c r="M393">
        <v>101.07</v>
      </c>
      <c r="N393">
        <v>0</v>
      </c>
      <c r="O393" t="s">
        <v>19</v>
      </c>
      <c r="P393" t="s">
        <v>20</v>
      </c>
      <c r="Q393">
        <v>20230202</v>
      </c>
    </row>
    <row r="394" spans="1:17" x14ac:dyDescent="0.25">
      <c r="A394" t="s">
        <v>548</v>
      </c>
      <c r="B394" t="s">
        <v>429</v>
      </c>
      <c r="C394">
        <v>57</v>
      </c>
      <c r="D394">
        <v>20230202</v>
      </c>
      <c r="E394">
        <f t="shared" si="6"/>
        <v>2</v>
      </c>
      <c r="F394">
        <v>531105</v>
      </c>
      <c r="G394" t="s">
        <v>429</v>
      </c>
      <c r="H394" t="s">
        <v>401</v>
      </c>
      <c r="I394" t="s">
        <v>402</v>
      </c>
      <c r="J394">
        <v>364339</v>
      </c>
      <c r="K394">
        <v>20230202</v>
      </c>
      <c r="L394" t="s">
        <v>5098</v>
      </c>
      <c r="M394">
        <v>0</v>
      </c>
      <c r="N394">
        <v>101.07</v>
      </c>
      <c r="O394" t="s">
        <v>19</v>
      </c>
      <c r="P394" t="s">
        <v>20</v>
      </c>
      <c r="Q394">
        <v>20230202</v>
      </c>
    </row>
    <row r="395" spans="1:17" x14ac:dyDescent="0.25">
      <c r="A395" t="s">
        <v>548</v>
      </c>
      <c r="B395" t="s">
        <v>429</v>
      </c>
      <c r="C395">
        <v>57</v>
      </c>
      <c r="D395">
        <v>20230202</v>
      </c>
      <c r="E395">
        <f t="shared" si="6"/>
        <v>2</v>
      </c>
      <c r="F395">
        <v>411100</v>
      </c>
      <c r="G395" t="s">
        <v>18</v>
      </c>
      <c r="H395" t="s">
        <v>2969</v>
      </c>
      <c r="I395" t="s">
        <v>2970</v>
      </c>
      <c r="J395">
        <v>122100233</v>
      </c>
      <c r="K395">
        <v>20230202</v>
      </c>
      <c r="L395" t="s">
        <v>5099</v>
      </c>
      <c r="M395">
        <v>0</v>
      </c>
      <c r="N395">
        <v>30</v>
      </c>
      <c r="O395" t="s">
        <v>19</v>
      </c>
      <c r="P395" t="s">
        <v>20</v>
      </c>
      <c r="Q395">
        <v>20230202</v>
      </c>
    </row>
    <row r="396" spans="1:17" x14ac:dyDescent="0.25">
      <c r="A396" t="s">
        <v>548</v>
      </c>
      <c r="B396" t="s">
        <v>429</v>
      </c>
      <c r="C396">
        <v>57</v>
      </c>
      <c r="D396">
        <v>20230202</v>
      </c>
      <c r="E396">
        <f t="shared" si="6"/>
        <v>2</v>
      </c>
      <c r="F396">
        <v>411100</v>
      </c>
      <c r="G396" t="s">
        <v>18</v>
      </c>
      <c r="H396" t="s">
        <v>5100</v>
      </c>
      <c r="I396" t="s">
        <v>5101</v>
      </c>
      <c r="J396">
        <v>364344</v>
      </c>
      <c r="K396">
        <v>20230202</v>
      </c>
      <c r="L396" t="s">
        <v>5102</v>
      </c>
      <c r="M396">
        <v>0</v>
      </c>
      <c r="N396">
        <v>10</v>
      </c>
      <c r="O396" t="s">
        <v>19</v>
      </c>
      <c r="P396" t="s">
        <v>20</v>
      </c>
      <c r="Q396">
        <v>20230202</v>
      </c>
    </row>
    <row r="397" spans="1:17" x14ac:dyDescent="0.25">
      <c r="A397" t="s">
        <v>548</v>
      </c>
      <c r="B397" t="s">
        <v>429</v>
      </c>
      <c r="C397">
        <v>57</v>
      </c>
      <c r="D397">
        <v>20230202</v>
      </c>
      <c r="E397">
        <f t="shared" si="6"/>
        <v>2</v>
      </c>
      <c r="F397">
        <v>531105</v>
      </c>
      <c r="G397" t="s">
        <v>429</v>
      </c>
      <c r="H397" t="s">
        <v>401</v>
      </c>
      <c r="I397" t="s">
        <v>402</v>
      </c>
      <c r="J397">
        <v>364345</v>
      </c>
      <c r="K397">
        <v>20230202</v>
      </c>
      <c r="L397" t="s">
        <v>565</v>
      </c>
      <c r="M397">
        <v>40</v>
      </c>
      <c r="N397">
        <v>0</v>
      </c>
      <c r="O397" t="s">
        <v>19</v>
      </c>
      <c r="P397" t="s">
        <v>20</v>
      </c>
      <c r="Q397">
        <v>20230202</v>
      </c>
    </row>
    <row r="398" spans="1:17" x14ac:dyDescent="0.25">
      <c r="A398" t="s">
        <v>548</v>
      </c>
      <c r="B398" t="s">
        <v>429</v>
      </c>
      <c r="C398">
        <v>57</v>
      </c>
      <c r="D398">
        <v>20230203</v>
      </c>
      <c r="E398">
        <f t="shared" si="6"/>
        <v>2</v>
      </c>
      <c r="F398">
        <v>411100</v>
      </c>
      <c r="G398" t="s">
        <v>18</v>
      </c>
      <c r="H398" t="s">
        <v>5103</v>
      </c>
      <c r="I398" t="s">
        <v>5104</v>
      </c>
      <c r="J398">
        <v>364346</v>
      </c>
      <c r="K398">
        <v>20230203</v>
      </c>
      <c r="L398" t="s">
        <v>5105</v>
      </c>
      <c r="M398">
        <v>0</v>
      </c>
      <c r="N398">
        <v>17.100000000000001</v>
      </c>
      <c r="O398" t="s">
        <v>19</v>
      </c>
      <c r="P398" t="s">
        <v>20</v>
      </c>
      <c r="Q398">
        <v>20230203</v>
      </c>
    </row>
    <row r="399" spans="1:17" x14ac:dyDescent="0.25">
      <c r="A399" t="s">
        <v>548</v>
      </c>
      <c r="B399" t="s">
        <v>429</v>
      </c>
      <c r="C399">
        <v>57</v>
      </c>
      <c r="D399">
        <v>20230203</v>
      </c>
      <c r="E399">
        <f t="shared" si="6"/>
        <v>2</v>
      </c>
      <c r="F399">
        <v>411100</v>
      </c>
      <c r="G399" t="s">
        <v>18</v>
      </c>
      <c r="H399" t="s">
        <v>4747</v>
      </c>
      <c r="I399" t="s">
        <v>4748</v>
      </c>
      <c r="J399">
        <v>364347</v>
      </c>
      <c r="K399">
        <v>20230203</v>
      </c>
      <c r="L399" t="s">
        <v>5106</v>
      </c>
      <c r="M399">
        <v>0</v>
      </c>
      <c r="N399">
        <v>25</v>
      </c>
      <c r="O399" t="s">
        <v>19</v>
      </c>
      <c r="P399" t="s">
        <v>20</v>
      </c>
      <c r="Q399">
        <v>20230203</v>
      </c>
    </row>
    <row r="400" spans="1:17" x14ac:dyDescent="0.25">
      <c r="A400" t="s">
        <v>548</v>
      </c>
      <c r="B400" t="s">
        <v>429</v>
      </c>
      <c r="C400">
        <v>57</v>
      </c>
      <c r="D400">
        <v>20230203</v>
      </c>
      <c r="E400">
        <f t="shared" si="6"/>
        <v>2</v>
      </c>
      <c r="F400">
        <v>411100</v>
      </c>
      <c r="G400" t="s">
        <v>18</v>
      </c>
      <c r="H400" t="s">
        <v>26</v>
      </c>
      <c r="I400" t="s">
        <v>27</v>
      </c>
      <c r="J400">
        <v>364348</v>
      </c>
      <c r="K400">
        <v>20230203</v>
      </c>
      <c r="L400" t="s">
        <v>5107</v>
      </c>
      <c r="M400">
        <v>0</v>
      </c>
      <c r="N400">
        <v>15</v>
      </c>
      <c r="O400" t="s">
        <v>19</v>
      </c>
      <c r="P400" t="s">
        <v>20</v>
      </c>
      <c r="Q400">
        <v>20230203</v>
      </c>
    </row>
    <row r="401" spans="1:17" x14ac:dyDescent="0.25">
      <c r="A401" t="s">
        <v>548</v>
      </c>
      <c r="B401" t="s">
        <v>429</v>
      </c>
      <c r="C401">
        <v>57</v>
      </c>
      <c r="D401">
        <v>20230203</v>
      </c>
      <c r="E401">
        <f t="shared" si="6"/>
        <v>2</v>
      </c>
      <c r="F401">
        <v>411100</v>
      </c>
      <c r="G401" t="s">
        <v>18</v>
      </c>
      <c r="H401" t="s">
        <v>121</v>
      </c>
      <c r="I401" t="s">
        <v>122</v>
      </c>
      <c r="J401">
        <v>364349</v>
      </c>
      <c r="K401">
        <v>20230203</v>
      </c>
      <c r="L401" t="s">
        <v>5108</v>
      </c>
      <c r="M401">
        <v>0</v>
      </c>
      <c r="N401">
        <v>15</v>
      </c>
      <c r="O401" t="s">
        <v>19</v>
      </c>
      <c r="P401" t="s">
        <v>20</v>
      </c>
      <c r="Q401">
        <v>20230203</v>
      </c>
    </row>
    <row r="402" spans="1:17" x14ac:dyDescent="0.25">
      <c r="A402" t="s">
        <v>548</v>
      </c>
      <c r="B402" t="s">
        <v>429</v>
      </c>
      <c r="C402">
        <v>57</v>
      </c>
      <c r="D402">
        <v>20230203</v>
      </c>
      <c r="E402">
        <f t="shared" si="6"/>
        <v>2</v>
      </c>
      <c r="F402">
        <v>411100</v>
      </c>
      <c r="G402" t="s">
        <v>18</v>
      </c>
      <c r="H402" t="s">
        <v>111</v>
      </c>
      <c r="I402" t="s">
        <v>112</v>
      </c>
      <c r="J402">
        <v>364350</v>
      </c>
      <c r="K402">
        <v>20230203</v>
      </c>
      <c r="L402" t="s">
        <v>5109</v>
      </c>
      <c r="M402">
        <v>0</v>
      </c>
      <c r="N402">
        <v>15</v>
      </c>
      <c r="O402" t="s">
        <v>19</v>
      </c>
      <c r="P402" t="s">
        <v>20</v>
      </c>
      <c r="Q402">
        <v>20230203</v>
      </c>
    </row>
    <row r="403" spans="1:17" x14ac:dyDescent="0.25">
      <c r="A403" t="s">
        <v>548</v>
      </c>
      <c r="B403" t="s">
        <v>429</v>
      </c>
      <c r="C403">
        <v>57</v>
      </c>
      <c r="D403">
        <v>20230203</v>
      </c>
      <c r="E403">
        <f t="shared" si="6"/>
        <v>2</v>
      </c>
      <c r="F403">
        <v>411100</v>
      </c>
      <c r="G403" t="s">
        <v>18</v>
      </c>
      <c r="H403" t="s">
        <v>142</v>
      </c>
      <c r="I403" t="s">
        <v>143</v>
      </c>
      <c r="J403">
        <v>364351</v>
      </c>
      <c r="K403">
        <v>20230203</v>
      </c>
      <c r="L403" t="s">
        <v>5110</v>
      </c>
      <c r="M403">
        <v>0</v>
      </c>
      <c r="N403">
        <v>10</v>
      </c>
      <c r="O403" t="s">
        <v>19</v>
      </c>
      <c r="P403" t="s">
        <v>20</v>
      </c>
      <c r="Q403">
        <v>20230203</v>
      </c>
    </row>
    <row r="404" spans="1:17" x14ac:dyDescent="0.25">
      <c r="A404" t="s">
        <v>548</v>
      </c>
      <c r="B404" t="s">
        <v>429</v>
      </c>
      <c r="C404">
        <v>57</v>
      </c>
      <c r="D404">
        <v>20230203</v>
      </c>
      <c r="E404">
        <f t="shared" si="6"/>
        <v>2</v>
      </c>
      <c r="F404">
        <v>411100</v>
      </c>
      <c r="G404" t="s">
        <v>18</v>
      </c>
      <c r="H404" t="s">
        <v>61</v>
      </c>
      <c r="I404" t="s">
        <v>62</v>
      </c>
      <c r="J404">
        <v>364352</v>
      </c>
      <c r="K404">
        <v>20230203</v>
      </c>
      <c r="L404" t="s">
        <v>5111</v>
      </c>
      <c r="M404">
        <v>0</v>
      </c>
      <c r="N404">
        <v>10</v>
      </c>
      <c r="O404" t="s">
        <v>22</v>
      </c>
      <c r="P404">
        <v>20230218</v>
      </c>
      <c r="Q404">
        <v>20230203</v>
      </c>
    </row>
    <row r="405" spans="1:17" x14ac:dyDescent="0.25">
      <c r="A405" t="s">
        <v>548</v>
      </c>
      <c r="B405" t="s">
        <v>429</v>
      </c>
      <c r="C405">
        <v>57</v>
      </c>
      <c r="D405">
        <v>20230203</v>
      </c>
      <c r="E405">
        <f t="shared" si="6"/>
        <v>2</v>
      </c>
      <c r="F405">
        <v>411100</v>
      </c>
      <c r="G405" t="s">
        <v>18</v>
      </c>
      <c r="H405" t="s">
        <v>115</v>
      </c>
      <c r="I405" t="s">
        <v>116</v>
      </c>
      <c r="J405">
        <v>364353</v>
      </c>
      <c r="K405">
        <v>20230203</v>
      </c>
      <c r="L405" t="s">
        <v>5112</v>
      </c>
      <c r="M405">
        <v>0</v>
      </c>
      <c r="N405">
        <v>15</v>
      </c>
      <c r="O405" t="s">
        <v>19</v>
      </c>
      <c r="P405" t="s">
        <v>20</v>
      </c>
      <c r="Q405">
        <v>20230203</v>
      </c>
    </row>
    <row r="406" spans="1:17" x14ac:dyDescent="0.25">
      <c r="A406" t="s">
        <v>548</v>
      </c>
      <c r="B406" t="s">
        <v>429</v>
      </c>
      <c r="C406">
        <v>57</v>
      </c>
      <c r="D406">
        <v>20230203</v>
      </c>
      <c r="E406">
        <f t="shared" si="6"/>
        <v>2</v>
      </c>
      <c r="F406">
        <v>411100</v>
      </c>
      <c r="G406" t="s">
        <v>18</v>
      </c>
      <c r="H406" t="s">
        <v>113</v>
      </c>
      <c r="I406" t="s">
        <v>114</v>
      </c>
      <c r="J406">
        <v>364354</v>
      </c>
      <c r="K406">
        <v>20230203</v>
      </c>
      <c r="L406" t="s">
        <v>5113</v>
      </c>
      <c r="M406">
        <v>0</v>
      </c>
      <c r="N406">
        <v>15</v>
      </c>
      <c r="O406" t="s">
        <v>19</v>
      </c>
      <c r="P406" t="s">
        <v>20</v>
      </c>
      <c r="Q406">
        <v>20230203</v>
      </c>
    </row>
    <row r="407" spans="1:17" x14ac:dyDescent="0.25">
      <c r="A407" t="s">
        <v>548</v>
      </c>
      <c r="B407" t="s">
        <v>429</v>
      </c>
      <c r="C407">
        <v>57</v>
      </c>
      <c r="D407">
        <v>20230203</v>
      </c>
      <c r="E407">
        <f t="shared" si="6"/>
        <v>2</v>
      </c>
      <c r="F407">
        <v>411100</v>
      </c>
      <c r="G407" t="s">
        <v>18</v>
      </c>
      <c r="H407" t="s">
        <v>103</v>
      </c>
      <c r="I407" t="s">
        <v>104</v>
      </c>
      <c r="J407">
        <v>364355</v>
      </c>
      <c r="K407">
        <v>20230203</v>
      </c>
      <c r="L407" t="s">
        <v>5114</v>
      </c>
      <c r="M407">
        <v>0</v>
      </c>
      <c r="N407">
        <v>15</v>
      </c>
      <c r="O407" t="s">
        <v>19</v>
      </c>
      <c r="P407" t="s">
        <v>20</v>
      </c>
      <c r="Q407">
        <v>20230203</v>
      </c>
    </row>
    <row r="408" spans="1:17" x14ac:dyDescent="0.25">
      <c r="A408" t="s">
        <v>548</v>
      </c>
      <c r="B408" t="s">
        <v>429</v>
      </c>
      <c r="C408">
        <v>57</v>
      </c>
      <c r="D408">
        <v>20230203</v>
      </c>
      <c r="E408">
        <f t="shared" si="6"/>
        <v>2</v>
      </c>
      <c r="F408">
        <v>411100</v>
      </c>
      <c r="G408" t="s">
        <v>18</v>
      </c>
      <c r="H408" t="s">
        <v>117</v>
      </c>
      <c r="I408" t="s">
        <v>118</v>
      </c>
      <c r="J408">
        <v>364356</v>
      </c>
      <c r="K408">
        <v>20230203</v>
      </c>
      <c r="L408" t="s">
        <v>5115</v>
      </c>
      <c r="M408">
        <v>0</v>
      </c>
      <c r="N408">
        <v>10</v>
      </c>
      <c r="O408" t="s">
        <v>19</v>
      </c>
      <c r="P408" t="s">
        <v>20</v>
      </c>
      <c r="Q408">
        <v>20230203</v>
      </c>
    </row>
    <row r="409" spans="1:17" x14ac:dyDescent="0.25">
      <c r="A409" t="s">
        <v>548</v>
      </c>
      <c r="B409" t="s">
        <v>429</v>
      </c>
      <c r="C409">
        <v>57</v>
      </c>
      <c r="D409">
        <v>20230203</v>
      </c>
      <c r="E409">
        <f t="shared" si="6"/>
        <v>2</v>
      </c>
      <c r="F409">
        <v>411100</v>
      </c>
      <c r="G409" t="s">
        <v>18</v>
      </c>
      <c r="H409" t="s">
        <v>249</v>
      </c>
      <c r="I409" t="s">
        <v>250</v>
      </c>
      <c r="J409">
        <v>364357</v>
      </c>
      <c r="K409">
        <v>20230203</v>
      </c>
      <c r="L409" t="s">
        <v>5116</v>
      </c>
      <c r="M409">
        <v>0</v>
      </c>
      <c r="N409">
        <v>10</v>
      </c>
      <c r="O409" t="s">
        <v>22</v>
      </c>
      <c r="P409">
        <v>20230218</v>
      </c>
      <c r="Q409">
        <v>20230203</v>
      </c>
    </row>
    <row r="410" spans="1:17" x14ac:dyDescent="0.25">
      <c r="A410" t="s">
        <v>548</v>
      </c>
      <c r="B410" t="s">
        <v>429</v>
      </c>
      <c r="C410">
        <v>57</v>
      </c>
      <c r="D410">
        <v>20230203</v>
      </c>
      <c r="E410">
        <f t="shared" si="6"/>
        <v>2</v>
      </c>
      <c r="F410">
        <v>411100</v>
      </c>
      <c r="G410" t="s">
        <v>18</v>
      </c>
      <c r="H410" t="s">
        <v>2290</v>
      </c>
      <c r="I410" t="s">
        <v>2291</v>
      </c>
      <c r="J410">
        <v>364358</v>
      </c>
      <c r="K410">
        <v>20230203</v>
      </c>
      <c r="L410" t="s">
        <v>5117</v>
      </c>
      <c r="M410">
        <v>0</v>
      </c>
      <c r="N410">
        <v>10</v>
      </c>
      <c r="O410" t="s">
        <v>22</v>
      </c>
      <c r="P410">
        <v>20230218</v>
      </c>
      <c r="Q410">
        <v>20230203</v>
      </c>
    </row>
    <row r="411" spans="1:17" x14ac:dyDescent="0.25">
      <c r="A411" t="s">
        <v>548</v>
      </c>
      <c r="B411" t="s">
        <v>429</v>
      </c>
      <c r="C411">
        <v>57</v>
      </c>
      <c r="D411">
        <v>20230203</v>
      </c>
      <c r="E411">
        <f t="shared" si="6"/>
        <v>2</v>
      </c>
      <c r="F411">
        <v>411100</v>
      </c>
      <c r="G411" t="s">
        <v>18</v>
      </c>
      <c r="H411" t="s">
        <v>63</v>
      </c>
      <c r="I411" t="s">
        <v>64</v>
      </c>
      <c r="J411">
        <v>364359</v>
      </c>
      <c r="K411">
        <v>20230203</v>
      </c>
      <c r="L411" t="s">
        <v>5118</v>
      </c>
      <c r="M411">
        <v>0</v>
      </c>
      <c r="N411">
        <v>10</v>
      </c>
      <c r="O411" t="s">
        <v>22</v>
      </c>
      <c r="P411">
        <v>20230218</v>
      </c>
      <c r="Q411">
        <v>20230203</v>
      </c>
    </row>
    <row r="412" spans="1:17" x14ac:dyDescent="0.25">
      <c r="A412" t="s">
        <v>548</v>
      </c>
      <c r="B412" t="s">
        <v>429</v>
      </c>
      <c r="C412">
        <v>57</v>
      </c>
      <c r="D412">
        <v>20230203</v>
      </c>
      <c r="E412">
        <f t="shared" si="6"/>
        <v>2</v>
      </c>
      <c r="F412">
        <v>411100</v>
      </c>
      <c r="G412" t="s">
        <v>18</v>
      </c>
      <c r="H412" t="s">
        <v>2282</v>
      </c>
      <c r="I412" t="s">
        <v>2283</v>
      </c>
      <c r="J412">
        <v>364360</v>
      </c>
      <c r="K412">
        <v>20230203</v>
      </c>
      <c r="L412" t="s">
        <v>5119</v>
      </c>
      <c r="M412">
        <v>0</v>
      </c>
      <c r="N412">
        <v>5</v>
      </c>
      <c r="O412" t="s">
        <v>22</v>
      </c>
      <c r="P412">
        <v>20230218</v>
      </c>
      <c r="Q412">
        <v>20230203</v>
      </c>
    </row>
    <row r="413" spans="1:17" x14ac:dyDescent="0.25">
      <c r="A413" t="s">
        <v>548</v>
      </c>
      <c r="B413" t="s">
        <v>429</v>
      </c>
      <c r="C413">
        <v>57</v>
      </c>
      <c r="D413">
        <v>20230203</v>
      </c>
      <c r="E413">
        <f t="shared" si="6"/>
        <v>2</v>
      </c>
      <c r="F413">
        <v>531105</v>
      </c>
      <c r="G413" t="s">
        <v>429</v>
      </c>
      <c r="H413" t="s">
        <v>401</v>
      </c>
      <c r="I413" t="s">
        <v>402</v>
      </c>
      <c r="J413">
        <v>364361</v>
      </c>
      <c r="K413">
        <v>20230203</v>
      </c>
      <c r="L413" t="s">
        <v>565</v>
      </c>
      <c r="M413">
        <v>197.1</v>
      </c>
      <c r="N413">
        <v>0</v>
      </c>
      <c r="O413" t="s">
        <v>19</v>
      </c>
      <c r="P413" t="s">
        <v>20</v>
      </c>
      <c r="Q413">
        <v>20230203</v>
      </c>
    </row>
    <row r="414" spans="1:17" x14ac:dyDescent="0.25">
      <c r="A414" t="s">
        <v>548</v>
      </c>
      <c r="B414" t="s">
        <v>429</v>
      </c>
      <c r="C414">
        <v>57</v>
      </c>
      <c r="D414">
        <v>20230203</v>
      </c>
      <c r="E414">
        <f t="shared" si="6"/>
        <v>2</v>
      </c>
      <c r="F414">
        <v>580000</v>
      </c>
      <c r="G414" t="s">
        <v>532</v>
      </c>
      <c r="H414" t="s">
        <v>401</v>
      </c>
      <c r="I414" t="s">
        <v>402</v>
      </c>
      <c r="J414" t="s">
        <v>5120</v>
      </c>
      <c r="K414">
        <v>20230203</v>
      </c>
      <c r="L414" t="s">
        <v>625</v>
      </c>
      <c r="M414">
        <v>1500</v>
      </c>
      <c r="N414">
        <v>0</v>
      </c>
      <c r="O414" t="s">
        <v>22</v>
      </c>
      <c r="P414">
        <v>20230203</v>
      </c>
      <c r="Q414">
        <v>20230203</v>
      </c>
    </row>
    <row r="415" spans="1:17" x14ac:dyDescent="0.25">
      <c r="A415" t="s">
        <v>548</v>
      </c>
      <c r="B415" t="s">
        <v>429</v>
      </c>
      <c r="C415">
        <v>57</v>
      </c>
      <c r="D415">
        <v>20230203</v>
      </c>
      <c r="E415">
        <f t="shared" si="6"/>
        <v>2</v>
      </c>
      <c r="F415">
        <v>531105</v>
      </c>
      <c r="G415" t="s">
        <v>429</v>
      </c>
      <c r="H415" t="s">
        <v>401</v>
      </c>
      <c r="I415" t="s">
        <v>402</v>
      </c>
      <c r="J415" t="s">
        <v>5120</v>
      </c>
      <c r="K415">
        <v>20230203</v>
      </c>
      <c r="L415" t="s">
        <v>625</v>
      </c>
      <c r="M415">
        <v>0</v>
      </c>
      <c r="N415">
        <v>1500</v>
      </c>
      <c r="O415" t="s">
        <v>19</v>
      </c>
      <c r="P415" t="s">
        <v>20</v>
      </c>
      <c r="Q415">
        <v>20230203</v>
      </c>
    </row>
    <row r="416" spans="1:17" x14ac:dyDescent="0.25">
      <c r="A416" t="s">
        <v>548</v>
      </c>
      <c r="B416" t="s">
        <v>429</v>
      </c>
      <c r="C416">
        <v>57</v>
      </c>
      <c r="D416">
        <v>20230203</v>
      </c>
      <c r="E416">
        <f t="shared" si="6"/>
        <v>2</v>
      </c>
      <c r="F416">
        <v>411100</v>
      </c>
      <c r="G416" t="s">
        <v>18</v>
      </c>
      <c r="H416" t="s">
        <v>5121</v>
      </c>
      <c r="I416" t="s">
        <v>5122</v>
      </c>
      <c r="J416">
        <v>364917</v>
      </c>
      <c r="K416">
        <v>20230203</v>
      </c>
      <c r="L416" t="s">
        <v>5123</v>
      </c>
      <c r="M416">
        <v>0</v>
      </c>
      <c r="N416">
        <v>10</v>
      </c>
      <c r="O416" t="s">
        <v>19</v>
      </c>
      <c r="P416" t="s">
        <v>20</v>
      </c>
      <c r="Q416">
        <v>20230203</v>
      </c>
    </row>
    <row r="417" spans="1:17" x14ac:dyDescent="0.25">
      <c r="A417" t="s">
        <v>548</v>
      </c>
      <c r="B417" t="s">
        <v>429</v>
      </c>
      <c r="C417">
        <v>57</v>
      </c>
      <c r="D417">
        <v>20230203</v>
      </c>
      <c r="E417">
        <f t="shared" si="6"/>
        <v>2</v>
      </c>
      <c r="F417">
        <v>411100</v>
      </c>
      <c r="G417" t="s">
        <v>18</v>
      </c>
      <c r="H417" t="s">
        <v>3218</v>
      </c>
      <c r="I417" t="s">
        <v>3219</v>
      </c>
      <c r="J417">
        <v>364918</v>
      </c>
      <c r="K417">
        <v>20230203</v>
      </c>
      <c r="L417" t="s">
        <v>5124</v>
      </c>
      <c r="M417">
        <v>0</v>
      </c>
      <c r="N417">
        <v>6</v>
      </c>
      <c r="O417" t="s">
        <v>23</v>
      </c>
      <c r="P417">
        <v>20230329</v>
      </c>
      <c r="Q417">
        <v>20230203</v>
      </c>
    </row>
    <row r="418" spans="1:17" x14ac:dyDescent="0.25">
      <c r="A418" t="s">
        <v>548</v>
      </c>
      <c r="B418" t="s">
        <v>429</v>
      </c>
      <c r="C418">
        <v>57</v>
      </c>
      <c r="D418">
        <v>20230203</v>
      </c>
      <c r="E418">
        <f t="shared" si="6"/>
        <v>2</v>
      </c>
      <c r="F418">
        <v>531105</v>
      </c>
      <c r="G418" t="s">
        <v>429</v>
      </c>
      <c r="H418" t="s">
        <v>401</v>
      </c>
      <c r="I418" t="s">
        <v>402</v>
      </c>
      <c r="J418">
        <v>364919</v>
      </c>
      <c r="K418">
        <v>20230203</v>
      </c>
      <c r="L418" t="s">
        <v>565</v>
      </c>
      <c r="M418">
        <v>16</v>
      </c>
      <c r="N418">
        <v>0</v>
      </c>
      <c r="O418" t="s">
        <v>19</v>
      </c>
      <c r="P418" t="s">
        <v>20</v>
      </c>
      <c r="Q418">
        <v>20230203</v>
      </c>
    </row>
    <row r="419" spans="1:17" x14ac:dyDescent="0.25">
      <c r="A419" t="s">
        <v>548</v>
      </c>
      <c r="B419" t="s">
        <v>429</v>
      </c>
      <c r="C419">
        <v>57</v>
      </c>
      <c r="D419">
        <v>20230206</v>
      </c>
      <c r="E419">
        <f t="shared" si="6"/>
        <v>2</v>
      </c>
      <c r="F419">
        <v>467100</v>
      </c>
      <c r="G419" t="s">
        <v>160</v>
      </c>
      <c r="H419" t="s">
        <v>316</v>
      </c>
      <c r="I419" t="s">
        <v>317</v>
      </c>
      <c r="J419" t="s">
        <v>5125</v>
      </c>
      <c r="K419">
        <v>20230206</v>
      </c>
      <c r="L419" t="s">
        <v>5126</v>
      </c>
      <c r="M419">
        <v>0</v>
      </c>
      <c r="N419">
        <v>3.47</v>
      </c>
      <c r="O419" t="s">
        <v>23</v>
      </c>
      <c r="P419">
        <v>20230206</v>
      </c>
      <c r="Q419">
        <v>20230206</v>
      </c>
    </row>
    <row r="420" spans="1:17" x14ac:dyDescent="0.25">
      <c r="A420" t="s">
        <v>548</v>
      </c>
      <c r="B420" t="s">
        <v>429</v>
      </c>
      <c r="C420">
        <v>57</v>
      </c>
      <c r="D420">
        <v>20230206</v>
      </c>
      <c r="E420">
        <f t="shared" si="6"/>
        <v>2</v>
      </c>
      <c r="F420">
        <v>531105</v>
      </c>
      <c r="G420" t="s">
        <v>429</v>
      </c>
      <c r="H420" t="s">
        <v>401</v>
      </c>
      <c r="I420" t="s">
        <v>402</v>
      </c>
      <c r="J420" t="s">
        <v>5125</v>
      </c>
      <c r="K420">
        <v>20230206</v>
      </c>
      <c r="L420" t="s">
        <v>5126</v>
      </c>
      <c r="M420">
        <v>3.47</v>
      </c>
      <c r="N420">
        <v>0</v>
      </c>
      <c r="O420" t="s">
        <v>19</v>
      </c>
      <c r="P420" t="s">
        <v>20</v>
      </c>
      <c r="Q420">
        <v>20230206</v>
      </c>
    </row>
    <row r="421" spans="1:17" x14ac:dyDescent="0.25">
      <c r="A421" t="s">
        <v>548</v>
      </c>
      <c r="B421" t="s">
        <v>429</v>
      </c>
      <c r="C421">
        <v>57</v>
      </c>
      <c r="D421">
        <v>20230206</v>
      </c>
      <c r="E421">
        <f t="shared" si="6"/>
        <v>2</v>
      </c>
      <c r="F421">
        <v>467100</v>
      </c>
      <c r="G421" t="s">
        <v>160</v>
      </c>
      <c r="H421" t="s">
        <v>316</v>
      </c>
      <c r="I421" t="s">
        <v>317</v>
      </c>
      <c r="J421" t="s">
        <v>5127</v>
      </c>
      <c r="K421">
        <v>20230206</v>
      </c>
      <c r="L421" t="s">
        <v>5128</v>
      </c>
      <c r="M421">
        <v>0</v>
      </c>
      <c r="N421">
        <v>2</v>
      </c>
      <c r="O421" t="s">
        <v>23</v>
      </c>
      <c r="P421">
        <v>20230206</v>
      </c>
      <c r="Q421">
        <v>20230206</v>
      </c>
    </row>
    <row r="422" spans="1:17" x14ac:dyDescent="0.25">
      <c r="A422" t="s">
        <v>548</v>
      </c>
      <c r="B422" t="s">
        <v>429</v>
      </c>
      <c r="C422">
        <v>57</v>
      </c>
      <c r="D422">
        <v>20230206</v>
      </c>
      <c r="E422">
        <f t="shared" si="6"/>
        <v>2</v>
      </c>
      <c r="F422">
        <v>531105</v>
      </c>
      <c r="G422" t="s">
        <v>429</v>
      </c>
      <c r="H422" t="s">
        <v>401</v>
      </c>
      <c r="I422" t="s">
        <v>402</v>
      </c>
      <c r="J422" t="s">
        <v>5127</v>
      </c>
      <c r="K422">
        <v>20230206</v>
      </c>
      <c r="L422" t="s">
        <v>5128</v>
      </c>
      <c r="M422">
        <v>2</v>
      </c>
      <c r="N422">
        <v>0</v>
      </c>
      <c r="O422" t="s">
        <v>19</v>
      </c>
      <c r="P422" t="s">
        <v>20</v>
      </c>
      <c r="Q422">
        <v>20230206</v>
      </c>
    </row>
    <row r="423" spans="1:17" x14ac:dyDescent="0.25">
      <c r="A423" t="s">
        <v>548</v>
      </c>
      <c r="B423" t="s">
        <v>429</v>
      </c>
      <c r="C423">
        <v>57</v>
      </c>
      <c r="D423">
        <v>20230206</v>
      </c>
      <c r="E423">
        <f t="shared" si="6"/>
        <v>2</v>
      </c>
      <c r="F423">
        <v>411000</v>
      </c>
      <c r="G423" t="s">
        <v>21</v>
      </c>
      <c r="H423" t="s">
        <v>287</v>
      </c>
      <c r="I423" t="s">
        <v>288</v>
      </c>
      <c r="J423">
        <v>122120399</v>
      </c>
      <c r="K423">
        <v>20230206</v>
      </c>
      <c r="L423" t="s">
        <v>5129</v>
      </c>
      <c r="M423">
        <v>0</v>
      </c>
      <c r="N423">
        <v>15</v>
      </c>
      <c r="O423" t="s">
        <v>19</v>
      </c>
      <c r="P423" t="s">
        <v>20</v>
      </c>
      <c r="Q423">
        <v>20230206</v>
      </c>
    </row>
    <row r="424" spans="1:17" x14ac:dyDescent="0.25">
      <c r="A424" t="s">
        <v>548</v>
      </c>
      <c r="B424" t="s">
        <v>429</v>
      </c>
      <c r="C424">
        <v>57</v>
      </c>
      <c r="D424">
        <v>20230206</v>
      </c>
      <c r="E424">
        <f t="shared" si="6"/>
        <v>2</v>
      </c>
      <c r="F424">
        <v>411010</v>
      </c>
      <c r="G424" t="s">
        <v>87</v>
      </c>
      <c r="H424" t="s">
        <v>678</v>
      </c>
      <c r="I424" t="s">
        <v>679</v>
      </c>
      <c r="J424">
        <v>364921</v>
      </c>
      <c r="K424">
        <v>20230206</v>
      </c>
      <c r="L424" t="s">
        <v>5130</v>
      </c>
      <c r="M424">
        <v>0</v>
      </c>
      <c r="N424">
        <v>65.92</v>
      </c>
      <c r="O424" t="s">
        <v>19</v>
      </c>
      <c r="P424" t="s">
        <v>20</v>
      </c>
      <c r="Q424">
        <v>20230206</v>
      </c>
    </row>
    <row r="425" spans="1:17" x14ac:dyDescent="0.25">
      <c r="A425" t="s">
        <v>548</v>
      </c>
      <c r="B425" t="s">
        <v>429</v>
      </c>
      <c r="C425">
        <v>57</v>
      </c>
      <c r="D425">
        <v>20230206</v>
      </c>
      <c r="E425">
        <f t="shared" si="6"/>
        <v>2</v>
      </c>
      <c r="F425">
        <v>411100</v>
      </c>
      <c r="G425" t="s">
        <v>18</v>
      </c>
      <c r="H425" t="s">
        <v>35</v>
      </c>
      <c r="I425" t="s">
        <v>36</v>
      </c>
      <c r="J425">
        <v>364922</v>
      </c>
      <c r="K425">
        <v>20230206</v>
      </c>
      <c r="L425" t="s">
        <v>5131</v>
      </c>
      <c r="M425">
        <v>0</v>
      </c>
      <c r="N425">
        <v>10</v>
      </c>
      <c r="O425" t="s">
        <v>22</v>
      </c>
      <c r="P425">
        <v>20230218</v>
      </c>
      <c r="Q425">
        <v>20230206</v>
      </c>
    </row>
    <row r="426" spans="1:17" x14ac:dyDescent="0.25">
      <c r="A426" t="s">
        <v>548</v>
      </c>
      <c r="B426" t="s">
        <v>429</v>
      </c>
      <c r="C426">
        <v>57</v>
      </c>
      <c r="D426">
        <v>20230206</v>
      </c>
      <c r="E426">
        <f t="shared" si="6"/>
        <v>2</v>
      </c>
      <c r="F426">
        <v>411100</v>
      </c>
      <c r="G426" t="s">
        <v>18</v>
      </c>
      <c r="H426" t="s">
        <v>694</v>
      </c>
      <c r="I426" t="s">
        <v>695</v>
      </c>
      <c r="J426">
        <v>122080026</v>
      </c>
      <c r="K426">
        <v>20230206</v>
      </c>
      <c r="L426" t="s">
        <v>5132</v>
      </c>
      <c r="M426">
        <v>0</v>
      </c>
      <c r="N426">
        <v>350</v>
      </c>
      <c r="O426" t="s">
        <v>19</v>
      </c>
      <c r="P426" t="s">
        <v>20</v>
      </c>
      <c r="Q426">
        <v>20230206</v>
      </c>
    </row>
    <row r="427" spans="1:17" x14ac:dyDescent="0.25">
      <c r="A427" t="s">
        <v>548</v>
      </c>
      <c r="B427" t="s">
        <v>429</v>
      </c>
      <c r="C427">
        <v>57</v>
      </c>
      <c r="D427">
        <v>20230206</v>
      </c>
      <c r="E427">
        <f t="shared" si="6"/>
        <v>2</v>
      </c>
      <c r="F427">
        <v>531105</v>
      </c>
      <c r="G427" t="s">
        <v>429</v>
      </c>
      <c r="H427" t="s">
        <v>401</v>
      </c>
      <c r="I427" t="s">
        <v>402</v>
      </c>
      <c r="J427">
        <v>364924</v>
      </c>
      <c r="K427">
        <v>20230206</v>
      </c>
      <c r="L427" t="s">
        <v>565</v>
      </c>
      <c r="M427">
        <v>440.92</v>
      </c>
      <c r="N427">
        <v>0</v>
      </c>
      <c r="O427" t="s">
        <v>19</v>
      </c>
      <c r="P427" t="s">
        <v>20</v>
      </c>
      <c r="Q427">
        <v>20230206</v>
      </c>
    </row>
    <row r="428" spans="1:17" x14ac:dyDescent="0.25">
      <c r="A428" t="s">
        <v>548</v>
      </c>
      <c r="B428" t="s">
        <v>429</v>
      </c>
      <c r="C428">
        <v>57</v>
      </c>
      <c r="D428">
        <v>20230206</v>
      </c>
      <c r="E428">
        <f t="shared" si="6"/>
        <v>2</v>
      </c>
      <c r="F428">
        <v>411100</v>
      </c>
      <c r="G428" t="s">
        <v>18</v>
      </c>
      <c r="H428" t="s">
        <v>4465</v>
      </c>
      <c r="I428" t="s">
        <v>4466</v>
      </c>
      <c r="J428">
        <v>223010010</v>
      </c>
      <c r="K428">
        <v>20230206</v>
      </c>
      <c r="L428" t="s">
        <v>5133</v>
      </c>
      <c r="M428">
        <v>0</v>
      </c>
      <c r="N428">
        <v>47.25</v>
      </c>
      <c r="O428" t="s">
        <v>22</v>
      </c>
      <c r="P428">
        <v>20230218</v>
      </c>
      <c r="Q428">
        <v>20230206</v>
      </c>
    </row>
    <row r="429" spans="1:17" x14ac:dyDescent="0.25">
      <c r="A429" t="s">
        <v>548</v>
      </c>
      <c r="B429" t="s">
        <v>429</v>
      </c>
      <c r="C429">
        <v>57</v>
      </c>
      <c r="D429">
        <v>20230206</v>
      </c>
      <c r="E429">
        <f t="shared" si="6"/>
        <v>2</v>
      </c>
      <c r="F429">
        <v>411100</v>
      </c>
      <c r="G429" t="s">
        <v>18</v>
      </c>
      <c r="H429" t="s">
        <v>4151</v>
      </c>
      <c r="I429" t="s">
        <v>4152</v>
      </c>
      <c r="J429">
        <v>222120013</v>
      </c>
      <c r="K429">
        <v>20230206</v>
      </c>
      <c r="L429" t="s">
        <v>5134</v>
      </c>
      <c r="M429">
        <v>0</v>
      </c>
      <c r="N429">
        <v>31.82</v>
      </c>
      <c r="O429" t="s">
        <v>22</v>
      </c>
      <c r="P429">
        <v>20230218</v>
      </c>
      <c r="Q429">
        <v>20230206</v>
      </c>
    </row>
    <row r="430" spans="1:17" x14ac:dyDescent="0.25">
      <c r="A430" t="s">
        <v>548</v>
      </c>
      <c r="B430" t="s">
        <v>429</v>
      </c>
      <c r="C430">
        <v>57</v>
      </c>
      <c r="D430">
        <v>20230206</v>
      </c>
      <c r="E430">
        <f t="shared" si="6"/>
        <v>2</v>
      </c>
      <c r="F430">
        <v>531105</v>
      </c>
      <c r="G430" t="s">
        <v>429</v>
      </c>
      <c r="H430" t="s">
        <v>401</v>
      </c>
      <c r="I430" t="s">
        <v>402</v>
      </c>
      <c r="J430">
        <v>365761</v>
      </c>
      <c r="K430">
        <v>20230206</v>
      </c>
      <c r="L430" t="s">
        <v>565</v>
      </c>
      <c r="M430">
        <v>79.069999999999993</v>
      </c>
      <c r="N430">
        <v>0</v>
      </c>
      <c r="O430" t="s">
        <v>19</v>
      </c>
      <c r="P430" t="s">
        <v>20</v>
      </c>
      <c r="Q430">
        <v>20230206</v>
      </c>
    </row>
    <row r="431" spans="1:17" x14ac:dyDescent="0.25">
      <c r="A431" t="s">
        <v>548</v>
      </c>
      <c r="B431" t="s">
        <v>429</v>
      </c>
      <c r="C431">
        <v>57</v>
      </c>
      <c r="D431">
        <v>20230207</v>
      </c>
      <c r="E431">
        <f t="shared" si="6"/>
        <v>2</v>
      </c>
      <c r="F431">
        <v>467100</v>
      </c>
      <c r="G431" t="s">
        <v>160</v>
      </c>
      <c r="H431" t="s">
        <v>1307</v>
      </c>
      <c r="I431" t="s">
        <v>1308</v>
      </c>
      <c r="J431" t="s">
        <v>5135</v>
      </c>
      <c r="K431">
        <v>20230207</v>
      </c>
      <c r="L431" t="s">
        <v>5136</v>
      </c>
      <c r="M431">
        <v>0</v>
      </c>
      <c r="N431">
        <v>5</v>
      </c>
      <c r="O431" t="s">
        <v>23</v>
      </c>
      <c r="P431">
        <v>20230314</v>
      </c>
      <c r="Q431">
        <v>20230207</v>
      </c>
    </row>
    <row r="432" spans="1:17" x14ac:dyDescent="0.25">
      <c r="A432" t="s">
        <v>548</v>
      </c>
      <c r="B432" t="s">
        <v>429</v>
      </c>
      <c r="C432">
        <v>57</v>
      </c>
      <c r="D432">
        <v>20230207</v>
      </c>
      <c r="E432">
        <f t="shared" si="6"/>
        <v>2</v>
      </c>
      <c r="F432">
        <v>531105</v>
      </c>
      <c r="G432" t="s">
        <v>429</v>
      </c>
      <c r="H432" t="s">
        <v>401</v>
      </c>
      <c r="I432" t="s">
        <v>402</v>
      </c>
      <c r="J432" t="s">
        <v>5135</v>
      </c>
      <c r="K432">
        <v>20230207</v>
      </c>
      <c r="L432" t="s">
        <v>5136</v>
      </c>
      <c r="M432">
        <v>5</v>
      </c>
      <c r="N432">
        <v>0</v>
      </c>
      <c r="O432" t="s">
        <v>19</v>
      </c>
      <c r="P432" t="s">
        <v>20</v>
      </c>
      <c r="Q432">
        <v>20230207</v>
      </c>
    </row>
    <row r="433" spans="1:17" x14ac:dyDescent="0.25">
      <c r="A433" t="s">
        <v>548</v>
      </c>
      <c r="B433" t="s">
        <v>429</v>
      </c>
      <c r="C433">
        <v>57</v>
      </c>
      <c r="D433">
        <v>20230207</v>
      </c>
      <c r="E433">
        <f t="shared" si="6"/>
        <v>2</v>
      </c>
      <c r="F433">
        <v>467100</v>
      </c>
      <c r="G433" t="s">
        <v>160</v>
      </c>
      <c r="H433" t="s">
        <v>172</v>
      </c>
      <c r="I433" t="s">
        <v>173</v>
      </c>
      <c r="J433" t="s">
        <v>5137</v>
      </c>
      <c r="K433">
        <v>20230207</v>
      </c>
      <c r="L433" t="s">
        <v>5138</v>
      </c>
      <c r="M433">
        <v>100</v>
      </c>
      <c r="N433">
        <v>0</v>
      </c>
      <c r="O433" t="s">
        <v>23</v>
      </c>
      <c r="P433">
        <v>20230310</v>
      </c>
      <c r="Q433">
        <v>20230207</v>
      </c>
    </row>
    <row r="434" spans="1:17" x14ac:dyDescent="0.25">
      <c r="A434" t="s">
        <v>548</v>
      </c>
      <c r="B434" t="s">
        <v>429</v>
      </c>
      <c r="C434">
        <v>57</v>
      </c>
      <c r="D434">
        <v>20230207</v>
      </c>
      <c r="E434">
        <f t="shared" si="6"/>
        <v>2</v>
      </c>
      <c r="F434">
        <v>531105</v>
      </c>
      <c r="G434" t="s">
        <v>429</v>
      </c>
      <c r="H434" t="s">
        <v>401</v>
      </c>
      <c r="I434" t="s">
        <v>402</v>
      </c>
      <c r="J434" t="s">
        <v>5137</v>
      </c>
      <c r="K434">
        <v>20230207</v>
      </c>
      <c r="L434" t="s">
        <v>5138</v>
      </c>
      <c r="M434">
        <v>0</v>
      </c>
      <c r="N434">
        <v>100</v>
      </c>
      <c r="O434" t="s">
        <v>19</v>
      </c>
      <c r="P434" t="s">
        <v>20</v>
      </c>
      <c r="Q434">
        <v>20230207</v>
      </c>
    </row>
    <row r="435" spans="1:17" x14ac:dyDescent="0.25">
      <c r="A435" t="s">
        <v>548</v>
      </c>
      <c r="B435" t="s">
        <v>429</v>
      </c>
      <c r="C435">
        <v>57</v>
      </c>
      <c r="D435">
        <v>20230207</v>
      </c>
      <c r="E435">
        <f t="shared" si="6"/>
        <v>2</v>
      </c>
      <c r="F435">
        <v>467100</v>
      </c>
      <c r="G435" t="s">
        <v>160</v>
      </c>
      <c r="H435" t="s">
        <v>2645</v>
      </c>
      <c r="I435" t="s">
        <v>2646</v>
      </c>
      <c r="J435" t="s">
        <v>5139</v>
      </c>
      <c r="K435">
        <v>20230207</v>
      </c>
      <c r="L435" t="s">
        <v>5140</v>
      </c>
      <c r="M435">
        <v>12.99</v>
      </c>
      <c r="N435">
        <v>0</v>
      </c>
      <c r="O435" t="s">
        <v>19</v>
      </c>
      <c r="P435" t="s">
        <v>20</v>
      </c>
      <c r="Q435">
        <v>20230207</v>
      </c>
    </row>
    <row r="436" spans="1:17" x14ac:dyDescent="0.25">
      <c r="A436" t="s">
        <v>548</v>
      </c>
      <c r="B436" t="s">
        <v>429</v>
      </c>
      <c r="C436">
        <v>57</v>
      </c>
      <c r="D436">
        <v>20230207</v>
      </c>
      <c r="E436">
        <f t="shared" si="6"/>
        <v>2</v>
      </c>
      <c r="F436">
        <v>531105</v>
      </c>
      <c r="G436" t="s">
        <v>429</v>
      </c>
      <c r="H436" t="s">
        <v>401</v>
      </c>
      <c r="I436" t="s">
        <v>402</v>
      </c>
      <c r="J436" t="s">
        <v>5139</v>
      </c>
      <c r="K436">
        <v>20230207</v>
      </c>
      <c r="L436" t="s">
        <v>5140</v>
      </c>
      <c r="M436">
        <v>0</v>
      </c>
      <c r="N436">
        <v>12.99</v>
      </c>
      <c r="O436" t="s">
        <v>19</v>
      </c>
      <c r="P436" t="s">
        <v>20</v>
      </c>
      <c r="Q436">
        <v>20230207</v>
      </c>
    </row>
    <row r="437" spans="1:17" x14ac:dyDescent="0.25">
      <c r="A437" t="s">
        <v>548</v>
      </c>
      <c r="B437" t="s">
        <v>429</v>
      </c>
      <c r="C437">
        <v>57</v>
      </c>
      <c r="D437">
        <v>20230207</v>
      </c>
      <c r="E437">
        <f t="shared" si="6"/>
        <v>2</v>
      </c>
      <c r="F437">
        <v>467100</v>
      </c>
      <c r="G437" t="s">
        <v>160</v>
      </c>
      <c r="H437" t="s">
        <v>4958</v>
      </c>
      <c r="I437" t="s">
        <v>4959</v>
      </c>
      <c r="J437" t="s">
        <v>5141</v>
      </c>
      <c r="K437">
        <v>20230207</v>
      </c>
      <c r="L437" t="s">
        <v>5142</v>
      </c>
      <c r="M437">
        <v>150</v>
      </c>
      <c r="N437">
        <v>0</v>
      </c>
      <c r="O437" t="s">
        <v>23</v>
      </c>
      <c r="P437">
        <v>20230308</v>
      </c>
      <c r="Q437">
        <v>20230207</v>
      </c>
    </row>
    <row r="438" spans="1:17" x14ac:dyDescent="0.25">
      <c r="A438" t="s">
        <v>548</v>
      </c>
      <c r="B438" t="s">
        <v>429</v>
      </c>
      <c r="C438">
        <v>57</v>
      </c>
      <c r="D438">
        <v>20230207</v>
      </c>
      <c r="E438">
        <f t="shared" si="6"/>
        <v>2</v>
      </c>
      <c r="F438">
        <v>531105</v>
      </c>
      <c r="G438" t="s">
        <v>429</v>
      </c>
      <c r="H438" t="s">
        <v>401</v>
      </c>
      <c r="I438" t="s">
        <v>402</v>
      </c>
      <c r="J438" t="s">
        <v>5141</v>
      </c>
      <c r="K438">
        <v>20230207</v>
      </c>
      <c r="L438" t="s">
        <v>5142</v>
      </c>
      <c r="M438">
        <v>0</v>
      </c>
      <c r="N438">
        <v>150</v>
      </c>
      <c r="O438" t="s">
        <v>19</v>
      </c>
      <c r="P438" t="s">
        <v>20</v>
      </c>
      <c r="Q438">
        <v>20230207</v>
      </c>
    </row>
    <row r="439" spans="1:17" x14ac:dyDescent="0.25">
      <c r="A439" t="s">
        <v>548</v>
      </c>
      <c r="B439" t="s">
        <v>429</v>
      </c>
      <c r="C439">
        <v>57</v>
      </c>
      <c r="D439">
        <v>20230207</v>
      </c>
      <c r="E439">
        <f t="shared" si="6"/>
        <v>2</v>
      </c>
      <c r="F439">
        <v>467100</v>
      </c>
      <c r="G439" t="s">
        <v>160</v>
      </c>
      <c r="H439" t="s">
        <v>4958</v>
      </c>
      <c r="I439" t="s">
        <v>4959</v>
      </c>
      <c r="J439" t="s">
        <v>5143</v>
      </c>
      <c r="K439">
        <v>20230207</v>
      </c>
      <c r="L439" t="s">
        <v>5144</v>
      </c>
      <c r="M439">
        <v>40</v>
      </c>
      <c r="N439">
        <v>0</v>
      </c>
      <c r="O439" t="s">
        <v>23</v>
      </c>
      <c r="P439">
        <v>20230308</v>
      </c>
      <c r="Q439">
        <v>20230207</v>
      </c>
    </row>
    <row r="440" spans="1:17" x14ac:dyDescent="0.25">
      <c r="A440" t="s">
        <v>548</v>
      </c>
      <c r="B440" t="s">
        <v>429</v>
      </c>
      <c r="C440">
        <v>57</v>
      </c>
      <c r="D440">
        <v>20230207</v>
      </c>
      <c r="E440">
        <f t="shared" si="6"/>
        <v>2</v>
      </c>
      <c r="F440">
        <v>531105</v>
      </c>
      <c r="G440" t="s">
        <v>429</v>
      </c>
      <c r="H440" t="s">
        <v>401</v>
      </c>
      <c r="I440" t="s">
        <v>402</v>
      </c>
      <c r="J440" t="s">
        <v>5143</v>
      </c>
      <c r="K440">
        <v>20230207</v>
      </c>
      <c r="L440" t="s">
        <v>5144</v>
      </c>
      <c r="M440">
        <v>0</v>
      </c>
      <c r="N440">
        <v>40</v>
      </c>
      <c r="O440" t="s">
        <v>19</v>
      </c>
      <c r="P440" t="s">
        <v>20</v>
      </c>
      <c r="Q440">
        <v>20230207</v>
      </c>
    </row>
    <row r="441" spans="1:17" x14ac:dyDescent="0.25">
      <c r="A441" t="s">
        <v>548</v>
      </c>
      <c r="B441" t="s">
        <v>429</v>
      </c>
      <c r="C441">
        <v>57</v>
      </c>
      <c r="D441">
        <v>20230207</v>
      </c>
      <c r="E441">
        <f t="shared" si="6"/>
        <v>2</v>
      </c>
      <c r="F441">
        <v>411100</v>
      </c>
      <c r="G441" t="s">
        <v>18</v>
      </c>
      <c r="H441" t="s">
        <v>373</v>
      </c>
      <c r="I441" t="s">
        <v>374</v>
      </c>
      <c r="J441">
        <v>123010078</v>
      </c>
      <c r="K441">
        <v>20230207</v>
      </c>
      <c r="L441" t="s">
        <v>5145</v>
      </c>
      <c r="M441">
        <v>0</v>
      </c>
      <c r="N441">
        <v>27.2</v>
      </c>
      <c r="O441" t="s">
        <v>22</v>
      </c>
      <c r="P441">
        <v>20230218</v>
      </c>
      <c r="Q441">
        <v>20230207</v>
      </c>
    </row>
    <row r="442" spans="1:17" x14ac:dyDescent="0.25">
      <c r="A442" t="s">
        <v>548</v>
      </c>
      <c r="B442" t="s">
        <v>429</v>
      </c>
      <c r="C442">
        <v>57</v>
      </c>
      <c r="D442">
        <v>20230207</v>
      </c>
      <c r="E442">
        <f t="shared" si="6"/>
        <v>2</v>
      </c>
      <c r="F442">
        <v>411100</v>
      </c>
      <c r="G442" t="s">
        <v>18</v>
      </c>
      <c r="H442" t="s">
        <v>373</v>
      </c>
      <c r="I442" t="s">
        <v>374</v>
      </c>
      <c r="J442">
        <v>123010078</v>
      </c>
      <c r="K442">
        <v>20230207</v>
      </c>
      <c r="L442" t="s">
        <v>5146</v>
      </c>
      <c r="M442">
        <v>27</v>
      </c>
      <c r="N442">
        <v>0</v>
      </c>
      <c r="O442" t="s">
        <v>22</v>
      </c>
      <c r="P442">
        <v>20230218</v>
      </c>
      <c r="Q442">
        <v>20230207</v>
      </c>
    </row>
    <row r="443" spans="1:17" x14ac:dyDescent="0.25">
      <c r="A443" t="s">
        <v>548</v>
      </c>
      <c r="B443" t="s">
        <v>429</v>
      </c>
      <c r="C443">
        <v>57</v>
      </c>
      <c r="D443">
        <v>20230207</v>
      </c>
      <c r="E443">
        <f t="shared" si="6"/>
        <v>2</v>
      </c>
      <c r="F443">
        <v>411100</v>
      </c>
      <c r="G443" t="s">
        <v>18</v>
      </c>
      <c r="H443" t="s">
        <v>373</v>
      </c>
      <c r="I443" t="s">
        <v>374</v>
      </c>
      <c r="J443">
        <v>122110120</v>
      </c>
      <c r="K443">
        <v>20230207</v>
      </c>
      <c r="L443" t="s">
        <v>5147</v>
      </c>
      <c r="M443">
        <v>0</v>
      </c>
      <c r="N443">
        <v>41.73</v>
      </c>
      <c r="O443" t="s">
        <v>19</v>
      </c>
      <c r="P443" t="s">
        <v>20</v>
      </c>
      <c r="Q443">
        <v>20230207</v>
      </c>
    </row>
    <row r="444" spans="1:17" x14ac:dyDescent="0.25">
      <c r="A444" t="s">
        <v>548</v>
      </c>
      <c r="B444" t="s">
        <v>429</v>
      </c>
      <c r="C444">
        <v>57</v>
      </c>
      <c r="D444">
        <v>20230207</v>
      </c>
      <c r="E444">
        <f t="shared" si="6"/>
        <v>2</v>
      </c>
      <c r="F444">
        <v>411100</v>
      </c>
      <c r="G444" t="s">
        <v>18</v>
      </c>
      <c r="H444" t="s">
        <v>373</v>
      </c>
      <c r="I444" t="s">
        <v>374</v>
      </c>
      <c r="J444">
        <v>122110120</v>
      </c>
      <c r="K444">
        <v>20230207</v>
      </c>
      <c r="L444" t="s">
        <v>5148</v>
      </c>
      <c r="M444">
        <v>0</v>
      </c>
      <c r="N444">
        <v>8.27</v>
      </c>
      <c r="O444" t="s">
        <v>19</v>
      </c>
      <c r="P444" t="s">
        <v>20</v>
      </c>
      <c r="Q444">
        <v>20230207</v>
      </c>
    </row>
    <row r="445" spans="1:17" x14ac:dyDescent="0.25">
      <c r="A445" t="s">
        <v>548</v>
      </c>
      <c r="B445" t="s">
        <v>429</v>
      </c>
      <c r="C445">
        <v>57</v>
      </c>
      <c r="D445">
        <v>20230207</v>
      </c>
      <c r="E445">
        <f t="shared" si="6"/>
        <v>2</v>
      </c>
      <c r="F445">
        <v>411100</v>
      </c>
      <c r="G445" t="s">
        <v>18</v>
      </c>
      <c r="H445" t="s">
        <v>1417</v>
      </c>
      <c r="I445" t="s">
        <v>1418</v>
      </c>
      <c r="J445">
        <v>364929</v>
      </c>
      <c r="K445">
        <v>20230207</v>
      </c>
      <c r="L445" t="s">
        <v>5149</v>
      </c>
      <c r="M445">
        <v>0</v>
      </c>
      <c r="N445">
        <v>2</v>
      </c>
      <c r="O445" t="s">
        <v>19</v>
      </c>
      <c r="P445" t="s">
        <v>20</v>
      </c>
      <c r="Q445">
        <v>20230207</v>
      </c>
    </row>
    <row r="446" spans="1:17" x14ac:dyDescent="0.25">
      <c r="A446" t="s">
        <v>548</v>
      </c>
      <c r="B446" t="s">
        <v>429</v>
      </c>
      <c r="C446">
        <v>57</v>
      </c>
      <c r="D446">
        <v>20230207</v>
      </c>
      <c r="E446">
        <f t="shared" si="6"/>
        <v>2</v>
      </c>
      <c r="F446">
        <v>411100</v>
      </c>
      <c r="G446" t="s">
        <v>18</v>
      </c>
      <c r="H446" t="s">
        <v>95</v>
      </c>
      <c r="I446" t="s">
        <v>96</v>
      </c>
      <c r="J446">
        <v>364930</v>
      </c>
      <c r="K446">
        <v>20230207</v>
      </c>
      <c r="L446" t="s">
        <v>5150</v>
      </c>
      <c r="M446">
        <v>0</v>
      </c>
      <c r="N446">
        <v>2</v>
      </c>
      <c r="O446" t="s">
        <v>23</v>
      </c>
      <c r="P446">
        <v>20230329</v>
      </c>
      <c r="Q446">
        <v>20230207</v>
      </c>
    </row>
    <row r="447" spans="1:17" x14ac:dyDescent="0.25">
      <c r="A447" t="s">
        <v>548</v>
      </c>
      <c r="B447" t="s">
        <v>429</v>
      </c>
      <c r="C447">
        <v>57</v>
      </c>
      <c r="D447">
        <v>20230207</v>
      </c>
      <c r="E447">
        <f t="shared" si="6"/>
        <v>2</v>
      </c>
      <c r="F447">
        <v>411100</v>
      </c>
      <c r="G447" t="s">
        <v>18</v>
      </c>
      <c r="H447" t="s">
        <v>4870</v>
      </c>
      <c r="I447" t="s">
        <v>4871</v>
      </c>
      <c r="J447">
        <v>364931</v>
      </c>
      <c r="K447">
        <v>20230207</v>
      </c>
      <c r="L447" t="s">
        <v>5151</v>
      </c>
      <c r="M447">
        <v>0</v>
      </c>
      <c r="N447">
        <v>2</v>
      </c>
      <c r="O447" t="s">
        <v>19</v>
      </c>
      <c r="P447" t="s">
        <v>20</v>
      </c>
      <c r="Q447">
        <v>20230207</v>
      </c>
    </row>
    <row r="448" spans="1:17" x14ac:dyDescent="0.25">
      <c r="A448" t="s">
        <v>548</v>
      </c>
      <c r="B448" t="s">
        <v>429</v>
      </c>
      <c r="C448">
        <v>57</v>
      </c>
      <c r="D448">
        <v>20230207</v>
      </c>
      <c r="E448">
        <f t="shared" si="6"/>
        <v>2</v>
      </c>
      <c r="F448">
        <v>411100</v>
      </c>
      <c r="G448" t="s">
        <v>18</v>
      </c>
      <c r="H448" t="s">
        <v>1000</v>
      </c>
      <c r="I448" t="s">
        <v>1001</v>
      </c>
      <c r="J448">
        <v>364932</v>
      </c>
      <c r="K448">
        <v>20230207</v>
      </c>
      <c r="L448" t="s">
        <v>5152</v>
      </c>
      <c r="M448">
        <v>0</v>
      </c>
      <c r="N448">
        <v>2</v>
      </c>
      <c r="O448" t="s">
        <v>19</v>
      </c>
      <c r="P448" t="s">
        <v>20</v>
      </c>
      <c r="Q448">
        <v>20230207</v>
      </c>
    </row>
    <row r="449" spans="1:17" x14ac:dyDescent="0.25">
      <c r="A449" t="s">
        <v>548</v>
      </c>
      <c r="B449" t="s">
        <v>429</v>
      </c>
      <c r="C449">
        <v>57</v>
      </c>
      <c r="D449">
        <v>20230207</v>
      </c>
      <c r="E449">
        <f t="shared" si="6"/>
        <v>2</v>
      </c>
      <c r="F449">
        <v>411100</v>
      </c>
      <c r="G449" t="s">
        <v>18</v>
      </c>
      <c r="H449" t="s">
        <v>3924</v>
      </c>
      <c r="I449" t="s">
        <v>3925</v>
      </c>
      <c r="J449">
        <v>364933</v>
      </c>
      <c r="K449">
        <v>20230207</v>
      </c>
      <c r="L449" t="s">
        <v>5153</v>
      </c>
      <c r="M449">
        <v>0</v>
      </c>
      <c r="N449">
        <v>2</v>
      </c>
      <c r="O449" t="s">
        <v>19</v>
      </c>
      <c r="P449" t="s">
        <v>20</v>
      </c>
      <c r="Q449">
        <v>20230207</v>
      </c>
    </row>
    <row r="450" spans="1:17" x14ac:dyDescent="0.25">
      <c r="A450" t="s">
        <v>548</v>
      </c>
      <c r="B450" t="s">
        <v>429</v>
      </c>
      <c r="C450">
        <v>57</v>
      </c>
      <c r="D450">
        <v>20230207</v>
      </c>
      <c r="E450">
        <f t="shared" si="6"/>
        <v>2</v>
      </c>
      <c r="F450">
        <v>411100</v>
      </c>
      <c r="G450" t="s">
        <v>18</v>
      </c>
      <c r="H450" t="s">
        <v>787</v>
      </c>
      <c r="I450" t="s">
        <v>788</v>
      </c>
      <c r="J450">
        <v>123010033</v>
      </c>
      <c r="K450">
        <v>20230207</v>
      </c>
      <c r="L450" t="s">
        <v>5154</v>
      </c>
      <c r="M450">
        <v>0</v>
      </c>
      <c r="N450">
        <v>21</v>
      </c>
      <c r="O450" t="s">
        <v>19</v>
      </c>
      <c r="P450" t="s">
        <v>20</v>
      </c>
      <c r="Q450">
        <v>20230207</v>
      </c>
    </row>
    <row r="451" spans="1:17" x14ac:dyDescent="0.25">
      <c r="A451" t="s">
        <v>548</v>
      </c>
      <c r="B451" t="s">
        <v>429</v>
      </c>
      <c r="C451">
        <v>57</v>
      </c>
      <c r="D451">
        <v>20230207</v>
      </c>
      <c r="E451">
        <f t="shared" ref="E451:E514" si="7">VALUE(MID(D451,5,2))</f>
        <v>2</v>
      </c>
      <c r="F451">
        <v>411100</v>
      </c>
      <c r="G451" t="s">
        <v>18</v>
      </c>
      <c r="H451" t="s">
        <v>787</v>
      </c>
      <c r="I451" t="s">
        <v>788</v>
      </c>
      <c r="J451">
        <v>123010033</v>
      </c>
      <c r="K451">
        <v>20230207</v>
      </c>
      <c r="L451" t="s">
        <v>5155</v>
      </c>
      <c r="M451">
        <v>0</v>
      </c>
      <c r="N451">
        <v>21.5</v>
      </c>
      <c r="O451" t="s">
        <v>19</v>
      </c>
      <c r="P451" t="s">
        <v>20</v>
      </c>
      <c r="Q451">
        <v>20230207</v>
      </c>
    </row>
    <row r="452" spans="1:17" x14ac:dyDescent="0.25">
      <c r="A452" t="s">
        <v>548</v>
      </c>
      <c r="B452" t="s">
        <v>429</v>
      </c>
      <c r="C452">
        <v>57</v>
      </c>
      <c r="D452">
        <v>20230207</v>
      </c>
      <c r="E452">
        <f t="shared" si="7"/>
        <v>2</v>
      </c>
      <c r="F452">
        <v>411100</v>
      </c>
      <c r="G452" t="s">
        <v>18</v>
      </c>
      <c r="H452" t="s">
        <v>592</v>
      </c>
      <c r="I452" t="s">
        <v>593</v>
      </c>
      <c r="J452">
        <v>122110054</v>
      </c>
      <c r="K452">
        <v>20230207</v>
      </c>
      <c r="L452" t="s">
        <v>5156</v>
      </c>
      <c r="M452">
        <v>0</v>
      </c>
      <c r="N452">
        <v>200</v>
      </c>
      <c r="O452" t="s">
        <v>19</v>
      </c>
      <c r="P452" t="s">
        <v>20</v>
      </c>
      <c r="Q452">
        <v>20230207</v>
      </c>
    </row>
    <row r="453" spans="1:17" x14ac:dyDescent="0.25">
      <c r="A453" t="s">
        <v>548</v>
      </c>
      <c r="B453" t="s">
        <v>429</v>
      </c>
      <c r="C453">
        <v>57</v>
      </c>
      <c r="D453">
        <v>20230207</v>
      </c>
      <c r="E453">
        <f t="shared" si="7"/>
        <v>2</v>
      </c>
      <c r="F453">
        <v>411100</v>
      </c>
      <c r="G453" t="s">
        <v>18</v>
      </c>
      <c r="H453" t="s">
        <v>73</v>
      </c>
      <c r="I453" t="s">
        <v>74</v>
      </c>
      <c r="J453">
        <v>364937</v>
      </c>
      <c r="K453">
        <v>20230207</v>
      </c>
      <c r="L453" t="s">
        <v>5157</v>
      </c>
      <c r="M453">
        <v>0</v>
      </c>
      <c r="N453">
        <v>7</v>
      </c>
      <c r="O453" t="s">
        <v>19</v>
      </c>
      <c r="P453" t="s">
        <v>20</v>
      </c>
      <c r="Q453">
        <v>20230207</v>
      </c>
    </row>
    <row r="454" spans="1:17" x14ac:dyDescent="0.25">
      <c r="A454" t="s">
        <v>548</v>
      </c>
      <c r="B454" t="s">
        <v>429</v>
      </c>
      <c r="C454">
        <v>57</v>
      </c>
      <c r="D454">
        <v>20230207</v>
      </c>
      <c r="E454">
        <f t="shared" si="7"/>
        <v>2</v>
      </c>
      <c r="F454">
        <v>411100</v>
      </c>
      <c r="G454" t="s">
        <v>18</v>
      </c>
      <c r="H454" t="s">
        <v>154</v>
      </c>
      <c r="I454" t="s">
        <v>155</v>
      </c>
      <c r="J454">
        <v>364938</v>
      </c>
      <c r="K454">
        <v>20230207</v>
      </c>
      <c r="L454" t="s">
        <v>5158</v>
      </c>
      <c r="M454">
        <v>0</v>
      </c>
      <c r="N454">
        <v>3.5</v>
      </c>
      <c r="O454" t="s">
        <v>19</v>
      </c>
      <c r="P454" t="s">
        <v>20</v>
      </c>
      <c r="Q454">
        <v>20230207</v>
      </c>
    </row>
    <row r="455" spans="1:17" x14ac:dyDescent="0.25">
      <c r="A455" t="s">
        <v>548</v>
      </c>
      <c r="B455" t="s">
        <v>429</v>
      </c>
      <c r="C455">
        <v>57</v>
      </c>
      <c r="D455">
        <v>20230207</v>
      </c>
      <c r="E455">
        <f t="shared" si="7"/>
        <v>2</v>
      </c>
      <c r="F455">
        <v>411100</v>
      </c>
      <c r="G455" t="s">
        <v>18</v>
      </c>
      <c r="H455" t="s">
        <v>1911</v>
      </c>
      <c r="I455" t="s">
        <v>1912</v>
      </c>
      <c r="J455">
        <v>364939</v>
      </c>
      <c r="K455">
        <v>20230207</v>
      </c>
      <c r="L455" t="s">
        <v>5159</v>
      </c>
      <c r="M455">
        <v>0</v>
      </c>
      <c r="N455">
        <v>3.5</v>
      </c>
      <c r="O455" t="s">
        <v>19</v>
      </c>
      <c r="P455" t="s">
        <v>20</v>
      </c>
      <c r="Q455">
        <v>20230207</v>
      </c>
    </row>
    <row r="456" spans="1:17" x14ac:dyDescent="0.25">
      <c r="A456" t="s">
        <v>548</v>
      </c>
      <c r="B456" t="s">
        <v>429</v>
      </c>
      <c r="C456">
        <v>57</v>
      </c>
      <c r="D456">
        <v>20230207</v>
      </c>
      <c r="E456">
        <f t="shared" si="7"/>
        <v>2</v>
      </c>
      <c r="F456">
        <v>411100</v>
      </c>
      <c r="G456" t="s">
        <v>18</v>
      </c>
      <c r="H456" t="s">
        <v>3901</v>
      </c>
      <c r="I456" t="s">
        <v>3902</v>
      </c>
      <c r="J456">
        <v>364940</v>
      </c>
      <c r="K456">
        <v>20230207</v>
      </c>
      <c r="L456" t="s">
        <v>5160</v>
      </c>
      <c r="M456">
        <v>0</v>
      </c>
      <c r="N456">
        <v>3.5</v>
      </c>
      <c r="O456" t="s">
        <v>19</v>
      </c>
      <c r="P456" t="s">
        <v>20</v>
      </c>
      <c r="Q456">
        <v>20230207</v>
      </c>
    </row>
    <row r="457" spans="1:17" x14ac:dyDescent="0.25">
      <c r="A457" t="s">
        <v>548</v>
      </c>
      <c r="B457" t="s">
        <v>429</v>
      </c>
      <c r="C457">
        <v>57</v>
      </c>
      <c r="D457">
        <v>20230207</v>
      </c>
      <c r="E457">
        <f t="shared" si="7"/>
        <v>2</v>
      </c>
      <c r="F457">
        <v>411100</v>
      </c>
      <c r="G457" t="s">
        <v>18</v>
      </c>
      <c r="H457" t="s">
        <v>1172</v>
      </c>
      <c r="I457" t="s">
        <v>1173</v>
      </c>
      <c r="J457">
        <v>364941</v>
      </c>
      <c r="K457">
        <v>20230207</v>
      </c>
      <c r="L457" t="s">
        <v>5161</v>
      </c>
      <c r="M457">
        <v>0</v>
      </c>
      <c r="N457">
        <v>2</v>
      </c>
      <c r="O457" t="s">
        <v>19</v>
      </c>
      <c r="P457" t="s">
        <v>20</v>
      </c>
      <c r="Q457">
        <v>20230207</v>
      </c>
    </row>
    <row r="458" spans="1:17" x14ac:dyDescent="0.25">
      <c r="A458" t="s">
        <v>548</v>
      </c>
      <c r="B458" t="s">
        <v>429</v>
      </c>
      <c r="C458">
        <v>57</v>
      </c>
      <c r="D458">
        <v>20230207</v>
      </c>
      <c r="E458">
        <f t="shared" si="7"/>
        <v>2</v>
      </c>
      <c r="F458">
        <v>411100</v>
      </c>
      <c r="G458" t="s">
        <v>18</v>
      </c>
      <c r="H458" t="s">
        <v>1172</v>
      </c>
      <c r="I458" t="s">
        <v>1173</v>
      </c>
      <c r="J458">
        <v>364942</v>
      </c>
      <c r="K458">
        <v>20230207</v>
      </c>
      <c r="L458" t="s">
        <v>5162</v>
      </c>
      <c r="M458">
        <v>0</v>
      </c>
      <c r="N458">
        <v>2</v>
      </c>
      <c r="O458" t="s">
        <v>19</v>
      </c>
      <c r="P458" t="s">
        <v>20</v>
      </c>
      <c r="Q458">
        <v>20230207</v>
      </c>
    </row>
    <row r="459" spans="1:17" x14ac:dyDescent="0.25">
      <c r="A459" t="s">
        <v>548</v>
      </c>
      <c r="B459" t="s">
        <v>429</v>
      </c>
      <c r="C459">
        <v>57</v>
      </c>
      <c r="D459">
        <v>20230207</v>
      </c>
      <c r="E459">
        <f t="shared" si="7"/>
        <v>2</v>
      </c>
      <c r="F459">
        <v>411100</v>
      </c>
      <c r="G459" t="s">
        <v>18</v>
      </c>
      <c r="H459" t="s">
        <v>259</v>
      </c>
      <c r="I459" t="s">
        <v>260</v>
      </c>
      <c r="J459">
        <v>364943</v>
      </c>
      <c r="K459">
        <v>20230207</v>
      </c>
      <c r="L459" t="s">
        <v>5163</v>
      </c>
      <c r="M459">
        <v>0</v>
      </c>
      <c r="N459">
        <v>4</v>
      </c>
      <c r="O459" t="s">
        <v>19</v>
      </c>
      <c r="P459" t="s">
        <v>20</v>
      </c>
      <c r="Q459">
        <v>20230207</v>
      </c>
    </row>
    <row r="460" spans="1:17" x14ac:dyDescent="0.25">
      <c r="A460" t="s">
        <v>548</v>
      </c>
      <c r="B460" t="s">
        <v>429</v>
      </c>
      <c r="C460">
        <v>57</v>
      </c>
      <c r="D460">
        <v>20230207</v>
      </c>
      <c r="E460">
        <f t="shared" si="7"/>
        <v>2</v>
      </c>
      <c r="F460">
        <v>411100</v>
      </c>
      <c r="G460" t="s">
        <v>18</v>
      </c>
      <c r="H460" t="s">
        <v>81</v>
      </c>
      <c r="I460" t="s">
        <v>82</v>
      </c>
      <c r="J460">
        <v>364944</v>
      </c>
      <c r="K460">
        <v>20230207</v>
      </c>
      <c r="L460" t="s">
        <v>5164</v>
      </c>
      <c r="M460">
        <v>0</v>
      </c>
      <c r="N460">
        <v>2</v>
      </c>
      <c r="O460" t="s">
        <v>19</v>
      </c>
      <c r="P460" t="s">
        <v>20</v>
      </c>
      <c r="Q460">
        <v>20230207</v>
      </c>
    </row>
    <row r="461" spans="1:17" x14ac:dyDescent="0.25">
      <c r="A461" t="s">
        <v>548</v>
      </c>
      <c r="B461" t="s">
        <v>429</v>
      </c>
      <c r="C461">
        <v>57</v>
      </c>
      <c r="D461">
        <v>20230207</v>
      </c>
      <c r="E461">
        <f t="shared" si="7"/>
        <v>2</v>
      </c>
      <c r="F461">
        <v>411100</v>
      </c>
      <c r="G461" t="s">
        <v>18</v>
      </c>
      <c r="H461" t="s">
        <v>1911</v>
      </c>
      <c r="I461" t="s">
        <v>1912</v>
      </c>
      <c r="J461">
        <v>364945</v>
      </c>
      <c r="K461">
        <v>20230207</v>
      </c>
      <c r="L461" t="s">
        <v>5165</v>
      </c>
      <c r="M461">
        <v>0</v>
      </c>
      <c r="N461">
        <v>2</v>
      </c>
      <c r="O461" t="s">
        <v>19</v>
      </c>
      <c r="P461" t="s">
        <v>20</v>
      </c>
      <c r="Q461">
        <v>20230207</v>
      </c>
    </row>
    <row r="462" spans="1:17" x14ac:dyDescent="0.25">
      <c r="A462" t="s">
        <v>548</v>
      </c>
      <c r="B462" t="s">
        <v>429</v>
      </c>
      <c r="C462">
        <v>57</v>
      </c>
      <c r="D462">
        <v>20230207</v>
      </c>
      <c r="E462">
        <f t="shared" si="7"/>
        <v>2</v>
      </c>
      <c r="F462">
        <v>411100</v>
      </c>
      <c r="G462" t="s">
        <v>18</v>
      </c>
      <c r="H462" t="s">
        <v>657</v>
      </c>
      <c r="I462" t="s">
        <v>658</v>
      </c>
      <c r="J462">
        <v>364946</v>
      </c>
      <c r="K462">
        <v>20230207</v>
      </c>
      <c r="L462" t="s">
        <v>5166</v>
      </c>
      <c r="M462">
        <v>0</v>
      </c>
      <c r="N462">
        <v>2</v>
      </c>
      <c r="O462" t="s">
        <v>19</v>
      </c>
      <c r="P462" t="s">
        <v>20</v>
      </c>
      <c r="Q462">
        <v>20230207</v>
      </c>
    </row>
    <row r="463" spans="1:17" x14ac:dyDescent="0.25">
      <c r="A463" t="s">
        <v>548</v>
      </c>
      <c r="B463" t="s">
        <v>429</v>
      </c>
      <c r="C463">
        <v>57</v>
      </c>
      <c r="D463">
        <v>20230207</v>
      </c>
      <c r="E463">
        <f t="shared" si="7"/>
        <v>2</v>
      </c>
      <c r="F463">
        <v>411100</v>
      </c>
      <c r="G463" t="s">
        <v>18</v>
      </c>
      <c r="H463" t="s">
        <v>5167</v>
      </c>
      <c r="I463" t="s">
        <v>5168</v>
      </c>
      <c r="J463">
        <v>364947</v>
      </c>
      <c r="K463">
        <v>20230207</v>
      </c>
      <c r="L463" t="s">
        <v>5169</v>
      </c>
      <c r="M463">
        <v>0</v>
      </c>
      <c r="N463">
        <v>10</v>
      </c>
      <c r="O463" t="s">
        <v>19</v>
      </c>
      <c r="P463" t="s">
        <v>20</v>
      </c>
      <c r="Q463">
        <v>20230207</v>
      </c>
    </row>
    <row r="464" spans="1:17" x14ac:dyDescent="0.25">
      <c r="A464" t="s">
        <v>548</v>
      </c>
      <c r="B464" t="s">
        <v>429</v>
      </c>
      <c r="C464">
        <v>57</v>
      </c>
      <c r="D464">
        <v>20230207</v>
      </c>
      <c r="E464">
        <f t="shared" si="7"/>
        <v>2</v>
      </c>
      <c r="F464">
        <v>531105</v>
      </c>
      <c r="G464" t="s">
        <v>429</v>
      </c>
      <c r="H464" t="s">
        <v>401</v>
      </c>
      <c r="I464" t="s">
        <v>402</v>
      </c>
      <c r="J464">
        <v>364948</v>
      </c>
      <c r="K464">
        <v>20230207</v>
      </c>
      <c r="L464" t="s">
        <v>565</v>
      </c>
      <c r="M464">
        <v>344.2</v>
      </c>
      <c r="N464">
        <v>0</v>
      </c>
      <c r="O464" t="s">
        <v>19</v>
      </c>
      <c r="P464" t="s">
        <v>20</v>
      </c>
      <c r="Q464">
        <v>20230207</v>
      </c>
    </row>
    <row r="465" spans="1:17" x14ac:dyDescent="0.25">
      <c r="A465" t="s">
        <v>548</v>
      </c>
      <c r="B465" t="s">
        <v>429</v>
      </c>
      <c r="C465">
        <v>57</v>
      </c>
      <c r="D465">
        <v>20230208</v>
      </c>
      <c r="E465">
        <f t="shared" si="7"/>
        <v>2</v>
      </c>
      <c r="F465">
        <v>467100</v>
      </c>
      <c r="G465" t="s">
        <v>160</v>
      </c>
      <c r="H465" t="s">
        <v>626</v>
      </c>
      <c r="I465" t="s">
        <v>627</v>
      </c>
      <c r="J465" t="s">
        <v>5170</v>
      </c>
      <c r="K465">
        <v>20230208</v>
      </c>
      <c r="L465" t="s">
        <v>5171</v>
      </c>
      <c r="M465">
        <v>15.05</v>
      </c>
      <c r="N465">
        <v>0</v>
      </c>
      <c r="O465" t="s">
        <v>23</v>
      </c>
      <c r="P465">
        <v>20230314</v>
      </c>
      <c r="Q465">
        <v>20230208</v>
      </c>
    </row>
    <row r="466" spans="1:17" x14ac:dyDescent="0.25">
      <c r="A466" t="s">
        <v>548</v>
      </c>
      <c r="B466" t="s">
        <v>429</v>
      </c>
      <c r="C466">
        <v>57</v>
      </c>
      <c r="D466">
        <v>20230208</v>
      </c>
      <c r="E466">
        <f t="shared" si="7"/>
        <v>2</v>
      </c>
      <c r="F466">
        <v>531105</v>
      </c>
      <c r="G466" t="s">
        <v>429</v>
      </c>
      <c r="H466" t="s">
        <v>401</v>
      </c>
      <c r="I466" t="s">
        <v>402</v>
      </c>
      <c r="J466" t="s">
        <v>5170</v>
      </c>
      <c r="K466">
        <v>20230208</v>
      </c>
      <c r="L466" t="s">
        <v>5171</v>
      </c>
      <c r="M466">
        <v>0</v>
      </c>
      <c r="N466">
        <v>15.05</v>
      </c>
      <c r="O466" t="s">
        <v>19</v>
      </c>
      <c r="P466" t="s">
        <v>20</v>
      </c>
      <c r="Q466">
        <v>20230208</v>
      </c>
    </row>
    <row r="467" spans="1:17" x14ac:dyDescent="0.25">
      <c r="A467" t="s">
        <v>548</v>
      </c>
      <c r="B467" t="s">
        <v>429</v>
      </c>
      <c r="C467">
        <v>57</v>
      </c>
      <c r="D467">
        <v>20230208</v>
      </c>
      <c r="E467">
        <f t="shared" si="7"/>
        <v>2</v>
      </c>
      <c r="F467">
        <v>411100</v>
      </c>
      <c r="G467" t="s">
        <v>18</v>
      </c>
      <c r="H467" t="s">
        <v>196</v>
      </c>
      <c r="I467" t="s">
        <v>197</v>
      </c>
      <c r="J467">
        <v>364949</v>
      </c>
      <c r="K467">
        <v>20230208</v>
      </c>
      <c r="L467" t="s">
        <v>5172</v>
      </c>
      <c r="M467">
        <v>0</v>
      </c>
      <c r="N467">
        <v>3</v>
      </c>
      <c r="O467" t="s">
        <v>22</v>
      </c>
      <c r="P467">
        <v>20230218</v>
      </c>
      <c r="Q467">
        <v>20230208</v>
      </c>
    </row>
    <row r="468" spans="1:17" x14ac:dyDescent="0.25">
      <c r="A468" t="s">
        <v>548</v>
      </c>
      <c r="B468" t="s">
        <v>429</v>
      </c>
      <c r="C468">
        <v>57</v>
      </c>
      <c r="D468">
        <v>20230208</v>
      </c>
      <c r="E468">
        <f t="shared" si="7"/>
        <v>2</v>
      </c>
      <c r="F468">
        <v>531105</v>
      </c>
      <c r="G468" t="s">
        <v>429</v>
      </c>
      <c r="H468" t="s">
        <v>401</v>
      </c>
      <c r="I468" t="s">
        <v>402</v>
      </c>
      <c r="J468">
        <v>364950</v>
      </c>
      <c r="K468">
        <v>20230208</v>
      </c>
      <c r="L468" t="s">
        <v>565</v>
      </c>
      <c r="M468">
        <v>3</v>
      </c>
      <c r="N468">
        <v>0</v>
      </c>
      <c r="O468" t="s">
        <v>19</v>
      </c>
      <c r="P468" t="s">
        <v>20</v>
      </c>
      <c r="Q468">
        <v>20230208</v>
      </c>
    </row>
    <row r="469" spans="1:17" x14ac:dyDescent="0.25">
      <c r="A469" t="s">
        <v>548</v>
      </c>
      <c r="B469" t="s">
        <v>429</v>
      </c>
      <c r="C469">
        <v>57</v>
      </c>
      <c r="D469">
        <v>20230208</v>
      </c>
      <c r="E469">
        <f t="shared" si="7"/>
        <v>2</v>
      </c>
      <c r="F469">
        <v>411100</v>
      </c>
      <c r="G469" t="s">
        <v>18</v>
      </c>
      <c r="H469" t="s">
        <v>2870</v>
      </c>
      <c r="I469" t="s">
        <v>2871</v>
      </c>
      <c r="J469">
        <v>365846</v>
      </c>
      <c r="K469">
        <v>20230208</v>
      </c>
      <c r="L469" t="s">
        <v>5173</v>
      </c>
      <c r="M469">
        <v>0</v>
      </c>
      <c r="N469">
        <v>10</v>
      </c>
      <c r="O469" t="s">
        <v>19</v>
      </c>
      <c r="P469" t="s">
        <v>20</v>
      </c>
      <c r="Q469">
        <v>20230208</v>
      </c>
    </row>
    <row r="470" spans="1:17" x14ac:dyDescent="0.25">
      <c r="A470" t="s">
        <v>548</v>
      </c>
      <c r="B470" t="s">
        <v>429</v>
      </c>
      <c r="C470">
        <v>57</v>
      </c>
      <c r="D470">
        <v>20230208</v>
      </c>
      <c r="E470">
        <f t="shared" si="7"/>
        <v>2</v>
      </c>
      <c r="F470">
        <v>411100</v>
      </c>
      <c r="G470" t="s">
        <v>18</v>
      </c>
      <c r="H470" t="s">
        <v>5174</v>
      </c>
      <c r="I470" t="s">
        <v>5175</v>
      </c>
      <c r="J470" t="s">
        <v>5176</v>
      </c>
      <c r="K470">
        <v>20230208</v>
      </c>
      <c r="L470" t="s">
        <v>5177</v>
      </c>
      <c r="M470">
        <v>0</v>
      </c>
      <c r="N470">
        <v>10</v>
      </c>
      <c r="O470" t="s">
        <v>19</v>
      </c>
      <c r="P470" t="s">
        <v>20</v>
      </c>
      <c r="Q470">
        <v>20230208</v>
      </c>
    </row>
    <row r="471" spans="1:17" x14ac:dyDescent="0.25">
      <c r="A471" t="s">
        <v>548</v>
      </c>
      <c r="B471" t="s">
        <v>429</v>
      </c>
      <c r="C471">
        <v>57</v>
      </c>
      <c r="D471">
        <v>20230208</v>
      </c>
      <c r="E471">
        <f t="shared" si="7"/>
        <v>2</v>
      </c>
      <c r="F471">
        <v>531105</v>
      </c>
      <c r="G471" t="s">
        <v>429</v>
      </c>
      <c r="H471" t="s">
        <v>401</v>
      </c>
      <c r="I471" t="s">
        <v>402</v>
      </c>
      <c r="J471">
        <v>365848</v>
      </c>
      <c r="K471">
        <v>20230208</v>
      </c>
      <c r="L471" t="s">
        <v>565</v>
      </c>
      <c r="M471">
        <v>20</v>
      </c>
      <c r="N471">
        <v>0</v>
      </c>
      <c r="O471" t="s">
        <v>19</v>
      </c>
      <c r="P471" t="s">
        <v>20</v>
      </c>
      <c r="Q471">
        <v>20230208</v>
      </c>
    </row>
    <row r="472" spans="1:17" x14ac:dyDescent="0.25">
      <c r="A472" t="s">
        <v>548</v>
      </c>
      <c r="B472" t="s">
        <v>429</v>
      </c>
      <c r="C472">
        <v>57</v>
      </c>
      <c r="D472">
        <v>20230209</v>
      </c>
      <c r="E472">
        <f t="shared" si="7"/>
        <v>2</v>
      </c>
      <c r="F472">
        <v>467100</v>
      </c>
      <c r="G472" t="s">
        <v>160</v>
      </c>
      <c r="H472" t="s">
        <v>1201</v>
      </c>
      <c r="I472" t="s">
        <v>1202</v>
      </c>
      <c r="J472" t="s">
        <v>5178</v>
      </c>
      <c r="K472">
        <v>20230209</v>
      </c>
      <c r="L472" t="s">
        <v>5179</v>
      </c>
      <c r="M472">
        <v>26.36</v>
      </c>
      <c r="N472">
        <v>0</v>
      </c>
      <c r="O472" t="s">
        <v>23</v>
      </c>
      <c r="P472">
        <v>20230308</v>
      </c>
      <c r="Q472">
        <v>20230209</v>
      </c>
    </row>
    <row r="473" spans="1:17" x14ac:dyDescent="0.25">
      <c r="A473" t="s">
        <v>548</v>
      </c>
      <c r="B473" t="s">
        <v>429</v>
      </c>
      <c r="C473">
        <v>57</v>
      </c>
      <c r="D473">
        <v>20230209</v>
      </c>
      <c r="E473">
        <f t="shared" si="7"/>
        <v>2</v>
      </c>
      <c r="F473">
        <v>531105</v>
      </c>
      <c r="G473" t="s">
        <v>429</v>
      </c>
      <c r="H473" t="s">
        <v>401</v>
      </c>
      <c r="I473" t="s">
        <v>402</v>
      </c>
      <c r="J473" t="s">
        <v>5178</v>
      </c>
      <c r="K473">
        <v>20230209</v>
      </c>
      <c r="L473" t="s">
        <v>5179</v>
      </c>
      <c r="M473">
        <v>0</v>
      </c>
      <c r="N473">
        <v>26.36</v>
      </c>
      <c r="O473" t="s">
        <v>19</v>
      </c>
      <c r="P473" t="s">
        <v>20</v>
      </c>
      <c r="Q473">
        <v>20230209</v>
      </c>
    </row>
    <row r="474" spans="1:17" x14ac:dyDescent="0.25">
      <c r="A474" t="s">
        <v>548</v>
      </c>
      <c r="B474" t="s">
        <v>429</v>
      </c>
      <c r="C474">
        <v>57</v>
      </c>
      <c r="D474">
        <v>20230209</v>
      </c>
      <c r="E474">
        <f t="shared" si="7"/>
        <v>2</v>
      </c>
      <c r="F474">
        <v>411100</v>
      </c>
      <c r="G474" t="s">
        <v>18</v>
      </c>
      <c r="H474" t="s">
        <v>1172</v>
      </c>
      <c r="I474" t="s">
        <v>1173</v>
      </c>
      <c r="J474">
        <v>366122</v>
      </c>
      <c r="K474">
        <v>20230209</v>
      </c>
      <c r="L474" t="s">
        <v>5180</v>
      </c>
      <c r="M474">
        <v>0</v>
      </c>
      <c r="N474">
        <v>3.5</v>
      </c>
      <c r="O474" t="s">
        <v>19</v>
      </c>
      <c r="P474" t="s">
        <v>20</v>
      </c>
      <c r="Q474">
        <v>20230209</v>
      </c>
    </row>
    <row r="475" spans="1:17" x14ac:dyDescent="0.25">
      <c r="A475" t="s">
        <v>548</v>
      </c>
      <c r="B475" t="s">
        <v>429</v>
      </c>
      <c r="C475">
        <v>57</v>
      </c>
      <c r="D475">
        <v>20230209</v>
      </c>
      <c r="E475">
        <f t="shared" si="7"/>
        <v>2</v>
      </c>
      <c r="F475">
        <v>411100</v>
      </c>
      <c r="G475" t="s">
        <v>18</v>
      </c>
      <c r="H475" t="s">
        <v>1172</v>
      </c>
      <c r="I475" t="s">
        <v>1173</v>
      </c>
      <c r="J475">
        <v>366123</v>
      </c>
      <c r="K475">
        <v>20230209</v>
      </c>
      <c r="L475" t="s">
        <v>5181</v>
      </c>
      <c r="M475">
        <v>0</v>
      </c>
      <c r="N475">
        <v>3.5</v>
      </c>
      <c r="O475" t="s">
        <v>19</v>
      </c>
      <c r="P475" t="s">
        <v>20</v>
      </c>
      <c r="Q475">
        <v>20230209</v>
      </c>
    </row>
    <row r="476" spans="1:17" x14ac:dyDescent="0.25">
      <c r="A476" t="s">
        <v>548</v>
      </c>
      <c r="B476" t="s">
        <v>429</v>
      </c>
      <c r="C476">
        <v>57</v>
      </c>
      <c r="D476">
        <v>20230209</v>
      </c>
      <c r="E476">
        <f t="shared" si="7"/>
        <v>2</v>
      </c>
      <c r="F476">
        <v>411100</v>
      </c>
      <c r="G476" t="s">
        <v>18</v>
      </c>
      <c r="H476" t="s">
        <v>150</v>
      </c>
      <c r="I476" t="s">
        <v>151</v>
      </c>
      <c r="J476">
        <v>366124</v>
      </c>
      <c r="K476">
        <v>20230209</v>
      </c>
      <c r="L476" t="s">
        <v>5182</v>
      </c>
      <c r="M476">
        <v>0</v>
      </c>
      <c r="N476">
        <v>3.5</v>
      </c>
      <c r="O476" t="s">
        <v>19</v>
      </c>
      <c r="P476" t="s">
        <v>20</v>
      </c>
      <c r="Q476">
        <v>20230209</v>
      </c>
    </row>
    <row r="477" spans="1:17" x14ac:dyDescent="0.25">
      <c r="A477" t="s">
        <v>548</v>
      </c>
      <c r="B477" t="s">
        <v>429</v>
      </c>
      <c r="C477">
        <v>57</v>
      </c>
      <c r="D477">
        <v>20230209</v>
      </c>
      <c r="E477">
        <f t="shared" si="7"/>
        <v>2</v>
      </c>
      <c r="F477">
        <v>411100</v>
      </c>
      <c r="G477" t="s">
        <v>18</v>
      </c>
      <c r="H477" t="s">
        <v>73</v>
      </c>
      <c r="I477" t="s">
        <v>74</v>
      </c>
      <c r="J477">
        <v>366125</v>
      </c>
      <c r="K477">
        <v>20230209</v>
      </c>
      <c r="L477" t="s">
        <v>5183</v>
      </c>
      <c r="M477">
        <v>0</v>
      </c>
      <c r="N477">
        <v>7</v>
      </c>
      <c r="O477" t="s">
        <v>19</v>
      </c>
      <c r="P477" t="s">
        <v>20</v>
      </c>
      <c r="Q477">
        <v>20230209</v>
      </c>
    </row>
    <row r="478" spans="1:17" x14ac:dyDescent="0.25">
      <c r="A478" t="s">
        <v>548</v>
      </c>
      <c r="B478" t="s">
        <v>429</v>
      </c>
      <c r="C478">
        <v>57</v>
      </c>
      <c r="D478">
        <v>20230209</v>
      </c>
      <c r="E478">
        <f t="shared" si="7"/>
        <v>2</v>
      </c>
      <c r="F478">
        <v>411100</v>
      </c>
      <c r="G478" t="s">
        <v>18</v>
      </c>
      <c r="H478" t="s">
        <v>154</v>
      </c>
      <c r="I478" t="s">
        <v>155</v>
      </c>
      <c r="J478">
        <v>366126</v>
      </c>
      <c r="K478">
        <v>20230209</v>
      </c>
      <c r="L478" t="s">
        <v>5184</v>
      </c>
      <c r="M478">
        <v>0</v>
      </c>
      <c r="N478">
        <v>3.5</v>
      </c>
      <c r="O478" t="s">
        <v>19</v>
      </c>
      <c r="P478" t="s">
        <v>20</v>
      </c>
      <c r="Q478">
        <v>20230209</v>
      </c>
    </row>
    <row r="479" spans="1:17" x14ac:dyDescent="0.25">
      <c r="A479" t="s">
        <v>548</v>
      </c>
      <c r="B479" t="s">
        <v>429</v>
      </c>
      <c r="C479">
        <v>57</v>
      </c>
      <c r="D479">
        <v>20230209</v>
      </c>
      <c r="E479">
        <f t="shared" si="7"/>
        <v>2</v>
      </c>
      <c r="F479">
        <v>411100</v>
      </c>
      <c r="G479" t="s">
        <v>18</v>
      </c>
      <c r="H479" t="s">
        <v>3901</v>
      </c>
      <c r="I479" t="s">
        <v>3902</v>
      </c>
      <c r="J479">
        <v>366127</v>
      </c>
      <c r="K479">
        <v>20230209</v>
      </c>
      <c r="L479" t="s">
        <v>5185</v>
      </c>
      <c r="M479">
        <v>0</v>
      </c>
      <c r="N479">
        <v>3.5</v>
      </c>
      <c r="O479" t="s">
        <v>19</v>
      </c>
      <c r="P479" t="s">
        <v>20</v>
      </c>
      <c r="Q479">
        <v>20230209</v>
      </c>
    </row>
    <row r="480" spans="1:17" x14ac:dyDescent="0.25">
      <c r="A480" t="s">
        <v>548</v>
      </c>
      <c r="B480" t="s">
        <v>429</v>
      </c>
      <c r="C480">
        <v>57</v>
      </c>
      <c r="D480">
        <v>20230209</v>
      </c>
      <c r="E480">
        <f t="shared" si="7"/>
        <v>2</v>
      </c>
      <c r="F480">
        <v>411100</v>
      </c>
      <c r="G480" t="s">
        <v>18</v>
      </c>
      <c r="H480" t="s">
        <v>1911</v>
      </c>
      <c r="I480" t="s">
        <v>1912</v>
      </c>
      <c r="J480">
        <v>366128</v>
      </c>
      <c r="K480">
        <v>20230209</v>
      </c>
      <c r="L480" t="s">
        <v>5186</v>
      </c>
      <c r="M480">
        <v>0</v>
      </c>
      <c r="N480">
        <v>7</v>
      </c>
      <c r="O480" t="s">
        <v>19</v>
      </c>
      <c r="P480" t="s">
        <v>20</v>
      </c>
      <c r="Q480">
        <v>20230209</v>
      </c>
    </row>
    <row r="481" spans="1:17" x14ac:dyDescent="0.25">
      <c r="A481" t="s">
        <v>548</v>
      </c>
      <c r="B481" t="s">
        <v>429</v>
      </c>
      <c r="C481">
        <v>57</v>
      </c>
      <c r="D481">
        <v>20230209</v>
      </c>
      <c r="E481">
        <f t="shared" si="7"/>
        <v>2</v>
      </c>
      <c r="F481">
        <v>411100</v>
      </c>
      <c r="G481" t="s">
        <v>18</v>
      </c>
      <c r="H481" t="s">
        <v>81</v>
      </c>
      <c r="I481" t="s">
        <v>82</v>
      </c>
      <c r="J481">
        <v>366129</v>
      </c>
      <c r="K481">
        <v>20230209</v>
      </c>
      <c r="L481" t="s">
        <v>5187</v>
      </c>
      <c r="M481">
        <v>0</v>
      </c>
      <c r="N481">
        <v>3.5</v>
      </c>
      <c r="O481" t="s">
        <v>19</v>
      </c>
      <c r="P481" t="s">
        <v>20</v>
      </c>
      <c r="Q481">
        <v>20230209</v>
      </c>
    </row>
    <row r="482" spans="1:17" x14ac:dyDescent="0.25">
      <c r="A482" t="s">
        <v>548</v>
      </c>
      <c r="B482" t="s">
        <v>429</v>
      </c>
      <c r="C482">
        <v>57</v>
      </c>
      <c r="D482">
        <v>20230209</v>
      </c>
      <c r="E482">
        <f t="shared" si="7"/>
        <v>2</v>
      </c>
      <c r="F482">
        <v>411100</v>
      </c>
      <c r="G482" t="s">
        <v>18</v>
      </c>
      <c r="H482" t="s">
        <v>800</v>
      </c>
      <c r="I482" t="s">
        <v>801</v>
      </c>
      <c r="J482">
        <v>366130</v>
      </c>
      <c r="K482">
        <v>20230209</v>
      </c>
      <c r="L482" t="s">
        <v>5188</v>
      </c>
      <c r="M482">
        <v>0</v>
      </c>
      <c r="N482">
        <v>2</v>
      </c>
      <c r="O482" t="s">
        <v>19</v>
      </c>
      <c r="P482" t="s">
        <v>20</v>
      </c>
      <c r="Q482">
        <v>20230209</v>
      </c>
    </row>
    <row r="483" spans="1:17" x14ac:dyDescent="0.25">
      <c r="A483" t="s">
        <v>548</v>
      </c>
      <c r="B483" t="s">
        <v>429</v>
      </c>
      <c r="C483">
        <v>57</v>
      </c>
      <c r="D483">
        <v>20230209</v>
      </c>
      <c r="E483">
        <f t="shared" si="7"/>
        <v>2</v>
      </c>
      <c r="F483">
        <v>411100</v>
      </c>
      <c r="G483" t="s">
        <v>18</v>
      </c>
      <c r="H483" t="s">
        <v>5189</v>
      </c>
      <c r="I483" t="s">
        <v>5190</v>
      </c>
      <c r="J483">
        <v>366131</v>
      </c>
      <c r="K483">
        <v>20230209</v>
      </c>
      <c r="L483" t="s">
        <v>5191</v>
      </c>
      <c r="M483">
        <v>0</v>
      </c>
      <c r="N483">
        <v>2</v>
      </c>
      <c r="O483" t="s">
        <v>19</v>
      </c>
      <c r="P483" t="s">
        <v>20</v>
      </c>
      <c r="Q483">
        <v>20230209</v>
      </c>
    </row>
    <row r="484" spans="1:17" x14ac:dyDescent="0.25">
      <c r="A484" t="s">
        <v>548</v>
      </c>
      <c r="B484" t="s">
        <v>429</v>
      </c>
      <c r="C484">
        <v>57</v>
      </c>
      <c r="D484">
        <v>20230209</v>
      </c>
      <c r="E484">
        <f t="shared" si="7"/>
        <v>2</v>
      </c>
      <c r="F484">
        <v>411100</v>
      </c>
      <c r="G484" t="s">
        <v>18</v>
      </c>
      <c r="H484" t="s">
        <v>5192</v>
      </c>
      <c r="I484" t="s">
        <v>5193</v>
      </c>
      <c r="J484">
        <v>366132</v>
      </c>
      <c r="K484">
        <v>20230209</v>
      </c>
      <c r="L484" t="s">
        <v>5194</v>
      </c>
      <c r="M484">
        <v>0</v>
      </c>
      <c r="N484">
        <v>2</v>
      </c>
      <c r="O484" t="s">
        <v>19</v>
      </c>
      <c r="P484" t="s">
        <v>20</v>
      </c>
      <c r="Q484">
        <v>20230209</v>
      </c>
    </row>
    <row r="485" spans="1:17" x14ac:dyDescent="0.25">
      <c r="A485" t="s">
        <v>548</v>
      </c>
      <c r="B485" t="s">
        <v>429</v>
      </c>
      <c r="C485">
        <v>57</v>
      </c>
      <c r="D485">
        <v>20230209</v>
      </c>
      <c r="E485">
        <f t="shared" si="7"/>
        <v>2</v>
      </c>
      <c r="F485">
        <v>411100</v>
      </c>
      <c r="G485" t="s">
        <v>18</v>
      </c>
      <c r="H485" t="s">
        <v>5195</v>
      </c>
      <c r="I485" t="s">
        <v>5196</v>
      </c>
      <c r="J485">
        <v>366133</v>
      </c>
      <c r="K485">
        <v>20230209</v>
      </c>
      <c r="L485" t="s">
        <v>5197</v>
      </c>
      <c r="M485">
        <v>0</v>
      </c>
      <c r="N485">
        <v>2</v>
      </c>
      <c r="O485" t="s">
        <v>19</v>
      </c>
      <c r="P485" t="s">
        <v>20</v>
      </c>
      <c r="Q485">
        <v>20230209</v>
      </c>
    </row>
    <row r="486" spans="1:17" x14ac:dyDescent="0.25">
      <c r="A486" t="s">
        <v>548</v>
      </c>
      <c r="B486" t="s">
        <v>429</v>
      </c>
      <c r="C486">
        <v>57</v>
      </c>
      <c r="D486">
        <v>20230209</v>
      </c>
      <c r="E486">
        <f t="shared" si="7"/>
        <v>2</v>
      </c>
      <c r="F486">
        <v>411100</v>
      </c>
      <c r="G486" t="s">
        <v>18</v>
      </c>
      <c r="H486" t="s">
        <v>941</v>
      </c>
      <c r="I486" t="s">
        <v>942</v>
      </c>
      <c r="J486">
        <v>122110119</v>
      </c>
      <c r="K486">
        <v>20230209</v>
      </c>
      <c r="L486" t="s">
        <v>5198</v>
      </c>
      <c r="M486">
        <v>0</v>
      </c>
      <c r="N486">
        <v>29.22</v>
      </c>
      <c r="O486" t="s">
        <v>19</v>
      </c>
      <c r="P486" t="s">
        <v>20</v>
      </c>
      <c r="Q486">
        <v>20230209</v>
      </c>
    </row>
    <row r="487" spans="1:17" x14ac:dyDescent="0.25">
      <c r="A487" t="s">
        <v>548</v>
      </c>
      <c r="B487" t="s">
        <v>429</v>
      </c>
      <c r="C487">
        <v>57</v>
      </c>
      <c r="D487">
        <v>20230209</v>
      </c>
      <c r="E487">
        <f t="shared" si="7"/>
        <v>2</v>
      </c>
      <c r="F487">
        <v>411100</v>
      </c>
      <c r="G487" t="s">
        <v>18</v>
      </c>
      <c r="H487" t="s">
        <v>150</v>
      </c>
      <c r="I487" t="s">
        <v>151</v>
      </c>
      <c r="J487">
        <v>366135</v>
      </c>
      <c r="K487">
        <v>20230209</v>
      </c>
      <c r="L487" t="s">
        <v>5199</v>
      </c>
      <c r="M487">
        <v>0</v>
      </c>
      <c r="N487">
        <v>3.5</v>
      </c>
      <c r="O487" t="s">
        <v>19</v>
      </c>
      <c r="P487" t="s">
        <v>20</v>
      </c>
      <c r="Q487">
        <v>20230209</v>
      </c>
    </row>
    <row r="488" spans="1:17" x14ac:dyDescent="0.25">
      <c r="A488" t="s">
        <v>548</v>
      </c>
      <c r="B488" t="s">
        <v>429</v>
      </c>
      <c r="C488">
        <v>57</v>
      </c>
      <c r="D488">
        <v>20230209</v>
      </c>
      <c r="E488">
        <f t="shared" si="7"/>
        <v>2</v>
      </c>
      <c r="F488">
        <v>411100</v>
      </c>
      <c r="G488" t="s">
        <v>18</v>
      </c>
      <c r="H488" t="s">
        <v>800</v>
      </c>
      <c r="I488" t="s">
        <v>801</v>
      </c>
      <c r="J488">
        <v>366136</v>
      </c>
      <c r="K488">
        <v>20230209</v>
      </c>
      <c r="L488" t="s">
        <v>5200</v>
      </c>
      <c r="M488">
        <v>0</v>
      </c>
      <c r="N488">
        <v>5</v>
      </c>
      <c r="O488" t="s">
        <v>19</v>
      </c>
      <c r="P488" t="s">
        <v>20</v>
      </c>
      <c r="Q488">
        <v>20230209</v>
      </c>
    </row>
    <row r="489" spans="1:17" x14ac:dyDescent="0.25">
      <c r="A489" t="s">
        <v>548</v>
      </c>
      <c r="B489" t="s">
        <v>429</v>
      </c>
      <c r="C489">
        <v>57</v>
      </c>
      <c r="D489">
        <v>20230209</v>
      </c>
      <c r="E489">
        <f t="shared" si="7"/>
        <v>2</v>
      </c>
      <c r="F489">
        <v>411100</v>
      </c>
      <c r="G489" t="s">
        <v>18</v>
      </c>
      <c r="H489" t="s">
        <v>698</v>
      </c>
      <c r="I489" t="s">
        <v>699</v>
      </c>
      <c r="J489">
        <v>366137</v>
      </c>
      <c r="K489">
        <v>20230209</v>
      </c>
      <c r="L489" t="s">
        <v>5201</v>
      </c>
      <c r="M489">
        <v>0</v>
      </c>
      <c r="N489">
        <v>3.5</v>
      </c>
      <c r="O489" t="s">
        <v>19</v>
      </c>
      <c r="P489" t="s">
        <v>20</v>
      </c>
      <c r="Q489">
        <v>20230209</v>
      </c>
    </row>
    <row r="490" spans="1:17" x14ac:dyDescent="0.25">
      <c r="A490" t="s">
        <v>548</v>
      </c>
      <c r="B490" t="s">
        <v>429</v>
      </c>
      <c r="C490">
        <v>57</v>
      </c>
      <c r="D490">
        <v>20230209</v>
      </c>
      <c r="E490">
        <f t="shared" si="7"/>
        <v>2</v>
      </c>
      <c r="F490">
        <v>411100</v>
      </c>
      <c r="G490" t="s">
        <v>18</v>
      </c>
      <c r="H490" t="s">
        <v>1172</v>
      </c>
      <c r="I490" t="s">
        <v>1173</v>
      </c>
      <c r="J490">
        <v>366138</v>
      </c>
      <c r="K490">
        <v>20230209</v>
      </c>
      <c r="L490" t="s">
        <v>5202</v>
      </c>
      <c r="M490">
        <v>0</v>
      </c>
      <c r="N490">
        <v>3.5</v>
      </c>
      <c r="O490" t="s">
        <v>19</v>
      </c>
      <c r="P490" t="s">
        <v>20</v>
      </c>
      <c r="Q490">
        <v>20230209</v>
      </c>
    </row>
    <row r="491" spans="1:17" x14ac:dyDescent="0.25">
      <c r="A491" t="s">
        <v>548</v>
      </c>
      <c r="B491" t="s">
        <v>429</v>
      </c>
      <c r="C491">
        <v>57</v>
      </c>
      <c r="D491">
        <v>20230209</v>
      </c>
      <c r="E491">
        <f t="shared" si="7"/>
        <v>2</v>
      </c>
      <c r="F491">
        <v>411100</v>
      </c>
      <c r="G491" t="s">
        <v>18</v>
      </c>
      <c r="H491" t="s">
        <v>1172</v>
      </c>
      <c r="I491" t="s">
        <v>1173</v>
      </c>
      <c r="J491">
        <v>366139</v>
      </c>
      <c r="K491">
        <v>20230209</v>
      </c>
      <c r="L491" t="s">
        <v>5203</v>
      </c>
      <c r="M491">
        <v>0</v>
      </c>
      <c r="N491">
        <v>1.5</v>
      </c>
      <c r="O491" t="s">
        <v>19</v>
      </c>
      <c r="P491" t="s">
        <v>20</v>
      </c>
      <c r="Q491">
        <v>20230209</v>
      </c>
    </row>
    <row r="492" spans="1:17" x14ac:dyDescent="0.25">
      <c r="A492" t="s">
        <v>548</v>
      </c>
      <c r="B492" t="s">
        <v>429</v>
      </c>
      <c r="C492">
        <v>57</v>
      </c>
      <c r="D492">
        <v>20230209</v>
      </c>
      <c r="E492">
        <f t="shared" si="7"/>
        <v>2</v>
      </c>
      <c r="F492">
        <v>411100</v>
      </c>
      <c r="G492" t="s">
        <v>18</v>
      </c>
      <c r="H492" t="s">
        <v>73</v>
      </c>
      <c r="I492" t="s">
        <v>74</v>
      </c>
      <c r="J492">
        <v>366140</v>
      </c>
      <c r="K492">
        <v>20230209</v>
      </c>
      <c r="L492" t="s">
        <v>5204</v>
      </c>
      <c r="M492">
        <v>0</v>
      </c>
      <c r="N492">
        <v>5</v>
      </c>
      <c r="O492" t="s">
        <v>19</v>
      </c>
      <c r="P492" t="s">
        <v>20</v>
      </c>
      <c r="Q492">
        <v>20230209</v>
      </c>
    </row>
    <row r="493" spans="1:17" x14ac:dyDescent="0.25">
      <c r="A493" t="s">
        <v>548</v>
      </c>
      <c r="B493" t="s">
        <v>429</v>
      </c>
      <c r="C493">
        <v>57</v>
      </c>
      <c r="D493">
        <v>20230209</v>
      </c>
      <c r="E493">
        <f t="shared" si="7"/>
        <v>2</v>
      </c>
      <c r="F493">
        <v>411100</v>
      </c>
      <c r="G493" t="s">
        <v>18</v>
      </c>
      <c r="H493" t="s">
        <v>5195</v>
      </c>
      <c r="I493" t="s">
        <v>5196</v>
      </c>
      <c r="J493">
        <v>366141</v>
      </c>
      <c r="K493">
        <v>20230209</v>
      </c>
      <c r="L493" t="s">
        <v>5205</v>
      </c>
      <c r="M493">
        <v>0</v>
      </c>
      <c r="N493">
        <v>2</v>
      </c>
      <c r="O493" t="s">
        <v>19</v>
      </c>
      <c r="P493" t="s">
        <v>20</v>
      </c>
      <c r="Q493">
        <v>20230209</v>
      </c>
    </row>
    <row r="494" spans="1:17" x14ac:dyDescent="0.25">
      <c r="A494" t="s">
        <v>548</v>
      </c>
      <c r="B494" t="s">
        <v>429</v>
      </c>
      <c r="C494">
        <v>57</v>
      </c>
      <c r="D494">
        <v>20230209</v>
      </c>
      <c r="E494">
        <f t="shared" si="7"/>
        <v>2</v>
      </c>
      <c r="F494">
        <v>411100</v>
      </c>
      <c r="G494" t="s">
        <v>18</v>
      </c>
      <c r="H494" t="s">
        <v>154</v>
      </c>
      <c r="I494" t="s">
        <v>155</v>
      </c>
      <c r="J494">
        <v>366142</v>
      </c>
      <c r="K494">
        <v>20230209</v>
      </c>
      <c r="L494" t="s">
        <v>5206</v>
      </c>
      <c r="M494">
        <v>0</v>
      </c>
      <c r="N494">
        <v>2</v>
      </c>
      <c r="O494" t="s">
        <v>19</v>
      </c>
      <c r="P494" t="s">
        <v>20</v>
      </c>
      <c r="Q494">
        <v>20230209</v>
      </c>
    </row>
    <row r="495" spans="1:17" x14ac:dyDescent="0.25">
      <c r="A495" t="s">
        <v>548</v>
      </c>
      <c r="B495" t="s">
        <v>429</v>
      </c>
      <c r="C495">
        <v>57</v>
      </c>
      <c r="D495">
        <v>20230209</v>
      </c>
      <c r="E495">
        <f t="shared" si="7"/>
        <v>2</v>
      </c>
      <c r="F495">
        <v>411100</v>
      </c>
      <c r="G495" t="s">
        <v>18</v>
      </c>
      <c r="H495" t="s">
        <v>154</v>
      </c>
      <c r="I495" t="s">
        <v>155</v>
      </c>
      <c r="J495">
        <v>366143</v>
      </c>
      <c r="K495">
        <v>20230209</v>
      </c>
      <c r="L495" t="s">
        <v>5207</v>
      </c>
      <c r="M495">
        <v>0</v>
      </c>
      <c r="N495">
        <v>1.5</v>
      </c>
      <c r="O495" t="s">
        <v>19</v>
      </c>
      <c r="P495" t="s">
        <v>20</v>
      </c>
      <c r="Q495">
        <v>20230209</v>
      </c>
    </row>
    <row r="496" spans="1:17" x14ac:dyDescent="0.25">
      <c r="A496" t="s">
        <v>548</v>
      </c>
      <c r="B496" t="s">
        <v>429</v>
      </c>
      <c r="C496">
        <v>57</v>
      </c>
      <c r="D496">
        <v>20230209</v>
      </c>
      <c r="E496">
        <f t="shared" si="7"/>
        <v>2</v>
      </c>
      <c r="F496">
        <v>411100</v>
      </c>
      <c r="G496" t="s">
        <v>18</v>
      </c>
      <c r="H496" t="s">
        <v>81</v>
      </c>
      <c r="I496" t="s">
        <v>82</v>
      </c>
      <c r="J496">
        <v>366144</v>
      </c>
      <c r="K496">
        <v>20230209</v>
      </c>
      <c r="L496" t="s">
        <v>5208</v>
      </c>
      <c r="M496">
        <v>0</v>
      </c>
      <c r="N496">
        <v>1.5</v>
      </c>
      <c r="O496" t="s">
        <v>19</v>
      </c>
      <c r="P496" t="s">
        <v>20</v>
      </c>
      <c r="Q496">
        <v>20230209</v>
      </c>
    </row>
    <row r="497" spans="1:17" x14ac:dyDescent="0.25">
      <c r="A497" t="s">
        <v>548</v>
      </c>
      <c r="B497" t="s">
        <v>429</v>
      </c>
      <c r="C497">
        <v>57</v>
      </c>
      <c r="D497">
        <v>20230209</v>
      </c>
      <c r="E497">
        <f t="shared" si="7"/>
        <v>2</v>
      </c>
      <c r="F497">
        <v>411100</v>
      </c>
      <c r="G497" t="s">
        <v>18</v>
      </c>
      <c r="H497" t="s">
        <v>1911</v>
      </c>
      <c r="I497" t="s">
        <v>1912</v>
      </c>
      <c r="J497">
        <v>366145</v>
      </c>
      <c r="K497">
        <v>20230209</v>
      </c>
      <c r="L497" t="s">
        <v>5209</v>
      </c>
      <c r="M497">
        <v>0</v>
      </c>
      <c r="N497">
        <v>3</v>
      </c>
      <c r="O497" t="s">
        <v>19</v>
      </c>
      <c r="P497" t="s">
        <v>20</v>
      </c>
      <c r="Q497">
        <v>20230209</v>
      </c>
    </row>
    <row r="498" spans="1:17" x14ac:dyDescent="0.25">
      <c r="A498" t="s">
        <v>548</v>
      </c>
      <c r="B498" t="s">
        <v>429</v>
      </c>
      <c r="C498">
        <v>57</v>
      </c>
      <c r="D498">
        <v>20230209</v>
      </c>
      <c r="E498">
        <f t="shared" si="7"/>
        <v>2</v>
      </c>
      <c r="F498">
        <v>411100</v>
      </c>
      <c r="G498" t="s">
        <v>18</v>
      </c>
      <c r="H498" t="s">
        <v>3901</v>
      </c>
      <c r="I498" t="s">
        <v>3902</v>
      </c>
      <c r="J498">
        <v>366146</v>
      </c>
      <c r="K498">
        <v>20230209</v>
      </c>
      <c r="L498" t="s">
        <v>5210</v>
      </c>
      <c r="M498">
        <v>0</v>
      </c>
      <c r="N498">
        <v>1.5</v>
      </c>
      <c r="O498" t="s">
        <v>19</v>
      </c>
      <c r="P498" t="s">
        <v>20</v>
      </c>
      <c r="Q498">
        <v>20230209</v>
      </c>
    </row>
    <row r="499" spans="1:17" x14ac:dyDescent="0.25">
      <c r="A499" t="s">
        <v>548</v>
      </c>
      <c r="B499" t="s">
        <v>429</v>
      </c>
      <c r="C499">
        <v>57</v>
      </c>
      <c r="D499">
        <v>20230209</v>
      </c>
      <c r="E499">
        <f t="shared" si="7"/>
        <v>2</v>
      </c>
      <c r="F499">
        <v>531105</v>
      </c>
      <c r="G499" t="s">
        <v>429</v>
      </c>
      <c r="H499" t="s">
        <v>401</v>
      </c>
      <c r="I499" t="s">
        <v>402</v>
      </c>
      <c r="J499">
        <v>366147</v>
      </c>
      <c r="K499">
        <v>20230209</v>
      </c>
      <c r="L499" t="s">
        <v>565</v>
      </c>
      <c r="M499">
        <v>105.72</v>
      </c>
      <c r="N499">
        <v>0</v>
      </c>
      <c r="O499" t="s">
        <v>19</v>
      </c>
      <c r="P499" t="s">
        <v>20</v>
      </c>
      <c r="Q499">
        <v>20230209</v>
      </c>
    </row>
    <row r="500" spans="1:17" x14ac:dyDescent="0.25">
      <c r="A500" t="s">
        <v>548</v>
      </c>
      <c r="B500" t="s">
        <v>429</v>
      </c>
      <c r="C500">
        <v>57</v>
      </c>
      <c r="D500">
        <v>20230210</v>
      </c>
      <c r="E500">
        <f t="shared" si="7"/>
        <v>2</v>
      </c>
      <c r="F500">
        <v>467100</v>
      </c>
      <c r="G500" t="s">
        <v>160</v>
      </c>
      <c r="H500" t="s">
        <v>316</v>
      </c>
      <c r="I500" t="s">
        <v>317</v>
      </c>
      <c r="J500" t="s">
        <v>5211</v>
      </c>
      <c r="K500">
        <v>20230210</v>
      </c>
      <c r="L500" t="s">
        <v>5212</v>
      </c>
      <c r="M500">
        <v>300</v>
      </c>
      <c r="N500">
        <v>0</v>
      </c>
      <c r="O500" t="s">
        <v>23</v>
      </c>
      <c r="P500">
        <v>20230316</v>
      </c>
      <c r="Q500">
        <v>20230210</v>
      </c>
    </row>
    <row r="501" spans="1:17" x14ac:dyDescent="0.25">
      <c r="A501" t="s">
        <v>548</v>
      </c>
      <c r="B501" t="s">
        <v>429</v>
      </c>
      <c r="C501">
        <v>57</v>
      </c>
      <c r="D501">
        <v>20230210</v>
      </c>
      <c r="E501">
        <f t="shared" si="7"/>
        <v>2</v>
      </c>
      <c r="F501">
        <v>531105</v>
      </c>
      <c r="G501" t="s">
        <v>429</v>
      </c>
      <c r="H501" t="s">
        <v>401</v>
      </c>
      <c r="I501" t="s">
        <v>402</v>
      </c>
      <c r="J501" t="s">
        <v>5211</v>
      </c>
      <c r="K501">
        <v>20230210</v>
      </c>
      <c r="L501" t="s">
        <v>5212</v>
      </c>
      <c r="M501">
        <v>0</v>
      </c>
      <c r="N501">
        <v>300</v>
      </c>
      <c r="O501" t="s">
        <v>19</v>
      </c>
      <c r="P501" t="s">
        <v>20</v>
      </c>
      <c r="Q501">
        <v>20230210</v>
      </c>
    </row>
    <row r="502" spans="1:17" x14ac:dyDescent="0.25">
      <c r="A502" t="s">
        <v>548</v>
      </c>
      <c r="B502" t="s">
        <v>429</v>
      </c>
      <c r="C502">
        <v>57</v>
      </c>
      <c r="D502">
        <v>20230210</v>
      </c>
      <c r="E502">
        <f t="shared" si="7"/>
        <v>2</v>
      </c>
      <c r="F502">
        <v>411100</v>
      </c>
      <c r="G502" t="s">
        <v>18</v>
      </c>
      <c r="H502" t="s">
        <v>1765</v>
      </c>
      <c r="I502" t="s">
        <v>1766</v>
      </c>
      <c r="J502">
        <v>366148</v>
      </c>
      <c r="K502">
        <v>20230210</v>
      </c>
      <c r="L502" t="s">
        <v>5213</v>
      </c>
      <c r="M502">
        <v>0</v>
      </c>
      <c r="N502">
        <v>7.87</v>
      </c>
      <c r="O502" t="s">
        <v>19</v>
      </c>
      <c r="P502" t="s">
        <v>20</v>
      </c>
      <c r="Q502">
        <v>20230210</v>
      </c>
    </row>
    <row r="503" spans="1:17" x14ac:dyDescent="0.25">
      <c r="A503" t="s">
        <v>548</v>
      </c>
      <c r="B503" t="s">
        <v>429</v>
      </c>
      <c r="C503">
        <v>57</v>
      </c>
      <c r="D503">
        <v>20230210</v>
      </c>
      <c r="E503">
        <f t="shared" si="7"/>
        <v>2</v>
      </c>
      <c r="F503">
        <v>531105</v>
      </c>
      <c r="G503" t="s">
        <v>429</v>
      </c>
      <c r="H503" t="s">
        <v>401</v>
      </c>
      <c r="I503" t="s">
        <v>402</v>
      </c>
      <c r="J503">
        <v>366149</v>
      </c>
      <c r="K503">
        <v>20230210</v>
      </c>
      <c r="L503" t="s">
        <v>565</v>
      </c>
      <c r="M503">
        <v>7.87</v>
      </c>
      <c r="N503">
        <v>0</v>
      </c>
      <c r="O503" t="s">
        <v>19</v>
      </c>
      <c r="P503" t="s">
        <v>20</v>
      </c>
      <c r="Q503">
        <v>20230210</v>
      </c>
    </row>
    <row r="504" spans="1:17" x14ac:dyDescent="0.25">
      <c r="A504" t="s">
        <v>548</v>
      </c>
      <c r="B504" t="s">
        <v>429</v>
      </c>
      <c r="C504">
        <v>57</v>
      </c>
      <c r="D504">
        <v>20230210</v>
      </c>
      <c r="E504">
        <f t="shared" si="7"/>
        <v>2</v>
      </c>
      <c r="F504">
        <v>411010</v>
      </c>
      <c r="G504" t="s">
        <v>87</v>
      </c>
      <c r="H504" t="s">
        <v>363</v>
      </c>
      <c r="I504" t="s">
        <v>364</v>
      </c>
      <c r="J504">
        <v>223010019</v>
      </c>
      <c r="K504">
        <v>20230210</v>
      </c>
      <c r="L504" t="s">
        <v>5214</v>
      </c>
      <c r="M504">
        <v>0</v>
      </c>
      <c r="N504">
        <v>89.15</v>
      </c>
      <c r="O504" t="s">
        <v>22</v>
      </c>
      <c r="P504">
        <v>20230218</v>
      </c>
      <c r="Q504">
        <v>20230210</v>
      </c>
    </row>
    <row r="505" spans="1:17" x14ac:dyDescent="0.25">
      <c r="A505" t="s">
        <v>548</v>
      </c>
      <c r="B505" t="s">
        <v>429</v>
      </c>
      <c r="C505">
        <v>57</v>
      </c>
      <c r="D505">
        <v>20230210</v>
      </c>
      <c r="E505">
        <f t="shared" si="7"/>
        <v>2</v>
      </c>
      <c r="F505">
        <v>411100</v>
      </c>
      <c r="G505" t="s">
        <v>18</v>
      </c>
      <c r="H505" t="s">
        <v>233</v>
      </c>
      <c r="I505" t="s">
        <v>234</v>
      </c>
      <c r="J505">
        <v>222120018</v>
      </c>
      <c r="K505">
        <v>20230210</v>
      </c>
      <c r="L505" t="s">
        <v>5215</v>
      </c>
      <c r="M505">
        <v>0</v>
      </c>
      <c r="N505">
        <v>50</v>
      </c>
      <c r="O505" t="s">
        <v>19</v>
      </c>
      <c r="P505" t="s">
        <v>20</v>
      </c>
      <c r="Q505">
        <v>20230210</v>
      </c>
    </row>
    <row r="506" spans="1:17" x14ac:dyDescent="0.25">
      <c r="A506" t="s">
        <v>548</v>
      </c>
      <c r="B506" t="s">
        <v>429</v>
      </c>
      <c r="C506">
        <v>57</v>
      </c>
      <c r="D506">
        <v>20230210</v>
      </c>
      <c r="E506">
        <f t="shared" si="7"/>
        <v>2</v>
      </c>
      <c r="F506">
        <v>531105</v>
      </c>
      <c r="G506" t="s">
        <v>429</v>
      </c>
      <c r="H506" t="s">
        <v>401</v>
      </c>
      <c r="I506" t="s">
        <v>402</v>
      </c>
      <c r="J506">
        <v>366203</v>
      </c>
      <c r="K506">
        <v>20230210</v>
      </c>
      <c r="L506" t="s">
        <v>565</v>
      </c>
      <c r="M506">
        <v>139.15</v>
      </c>
      <c r="N506">
        <v>0</v>
      </c>
      <c r="O506" t="s">
        <v>19</v>
      </c>
      <c r="P506" t="s">
        <v>20</v>
      </c>
      <c r="Q506">
        <v>20230210</v>
      </c>
    </row>
    <row r="507" spans="1:17" x14ac:dyDescent="0.25">
      <c r="A507" t="s">
        <v>548</v>
      </c>
      <c r="B507" t="s">
        <v>429</v>
      </c>
      <c r="C507">
        <v>57</v>
      </c>
      <c r="D507">
        <v>20230210</v>
      </c>
      <c r="E507">
        <f t="shared" si="7"/>
        <v>2</v>
      </c>
      <c r="F507">
        <v>411020</v>
      </c>
      <c r="G507" t="s">
        <v>30</v>
      </c>
      <c r="H507" t="s">
        <v>4147</v>
      </c>
      <c r="I507" t="s">
        <v>4148</v>
      </c>
      <c r="J507">
        <v>323010016</v>
      </c>
      <c r="K507">
        <v>20230210</v>
      </c>
      <c r="L507" t="s">
        <v>5216</v>
      </c>
      <c r="M507">
        <v>0</v>
      </c>
      <c r="N507">
        <v>43.32</v>
      </c>
      <c r="O507" t="s">
        <v>22</v>
      </c>
      <c r="P507">
        <v>20230218</v>
      </c>
      <c r="Q507">
        <v>20230210</v>
      </c>
    </row>
    <row r="508" spans="1:17" x14ac:dyDescent="0.25">
      <c r="A508" t="s">
        <v>548</v>
      </c>
      <c r="B508" t="s">
        <v>429</v>
      </c>
      <c r="C508">
        <v>57</v>
      </c>
      <c r="D508">
        <v>20230210</v>
      </c>
      <c r="E508">
        <f t="shared" si="7"/>
        <v>2</v>
      </c>
      <c r="F508">
        <v>531105</v>
      </c>
      <c r="G508" t="s">
        <v>429</v>
      </c>
      <c r="H508" t="s">
        <v>401</v>
      </c>
      <c r="I508" t="s">
        <v>402</v>
      </c>
      <c r="J508">
        <v>366222</v>
      </c>
      <c r="K508">
        <v>20230210</v>
      </c>
      <c r="L508" t="s">
        <v>565</v>
      </c>
      <c r="M508">
        <v>43.32</v>
      </c>
      <c r="N508">
        <v>0</v>
      </c>
      <c r="O508" t="s">
        <v>19</v>
      </c>
      <c r="P508" t="s">
        <v>20</v>
      </c>
      <c r="Q508">
        <v>20230210</v>
      </c>
    </row>
    <row r="509" spans="1:17" x14ac:dyDescent="0.25">
      <c r="A509" t="s">
        <v>548</v>
      </c>
      <c r="B509" t="s">
        <v>429</v>
      </c>
      <c r="C509">
        <v>57</v>
      </c>
      <c r="D509">
        <v>20230213</v>
      </c>
      <c r="E509">
        <f t="shared" si="7"/>
        <v>2</v>
      </c>
      <c r="F509">
        <v>467100</v>
      </c>
      <c r="G509" t="s">
        <v>160</v>
      </c>
      <c r="H509" t="s">
        <v>2465</v>
      </c>
      <c r="I509" t="s">
        <v>2466</v>
      </c>
      <c r="J509" t="s">
        <v>5217</v>
      </c>
      <c r="K509">
        <v>20230213</v>
      </c>
      <c r="L509" t="s">
        <v>5218</v>
      </c>
      <c r="M509">
        <v>48</v>
      </c>
      <c r="N509">
        <v>0</v>
      </c>
      <c r="O509" t="s">
        <v>23</v>
      </c>
      <c r="P509">
        <v>20230306</v>
      </c>
      <c r="Q509">
        <v>20230213</v>
      </c>
    </row>
    <row r="510" spans="1:17" x14ac:dyDescent="0.25">
      <c r="A510" t="s">
        <v>548</v>
      </c>
      <c r="B510" t="s">
        <v>429</v>
      </c>
      <c r="C510">
        <v>57</v>
      </c>
      <c r="D510">
        <v>20230213</v>
      </c>
      <c r="E510">
        <f t="shared" si="7"/>
        <v>2</v>
      </c>
      <c r="F510">
        <v>531105</v>
      </c>
      <c r="G510" t="s">
        <v>429</v>
      </c>
      <c r="H510" t="s">
        <v>401</v>
      </c>
      <c r="I510" t="s">
        <v>402</v>
      </c>
      <c r="J510" t="s">
        <v>5217</v>
      </c>
      <c r="K510">
        <v>20230213</v>
      </c>
      <c r="L510" t="s">
        <v>5218</v>
      </c>
      <c r="M510">
        <v>0</v>
      </c>
      <c r="N510">
        <v>48</v>
      </c>
      <c r="O510" t="s">
        <v>19</v>
      </c>
      <c r="P510" t="s">
        <v>20</v>
      </c>
      <c r="Q510">
        <v>20230213</v>
      </c>
    </row>
    <row r="511" spans="1:17" x14ac:dyDescent="0.25">
      <c r="A511" t="s">
        <v>548</v>
      </c>
      <c r="B511" t="s">
        <v>429</v>
      </c>
      <c r="C511">
        <v>57</v>
      </c>
      <c r="D511">
        <v>20230213</v>
      </c>
      <c r="E511">
        <f t="shared" si="7"/>
        <v>2</v>
      </c>
      <c r="F511">
        <v>411000</v>
      </c>
      <c r="G511" t="s">
        <v>21</v>
      </c>
      <c r="H511" t="s">
        <v>271</v>
      </c>
      <c r="I511" t="s">
        <v>272</v>
      </c>
      <c r="J511">
        <v>366150</v>
      </c>
      <c r="K511">
        <v>20230213</v>
      </c>
      <c r="L511" t="s">
        <v>5219</v>
      </c>
      <c r="M511">
        <v>0</v>
      </c>
      <c r="N511">
        <v>9</v>
      </c>
      <c r="O511" t="s">
        <v>19</v>
      </c>
      <c r="P511" t="s">
        <v>20</v>
      </c>
      <c r="Q511">
        <v>20230213</v>
      </c>
    </row>
    <row r="512" spans="1:17" x14ac:dyDescent="0.25">
      <c r="A512" t="s">
        <v>548</v>
      </c>
      <c r="B512" t="s">
        <v>429</v>
      </c>
      <c r="C512">
        <v>57</v>
      </c>
      <c r="D512">
        <v>20230213</v>
      </c>
      <c r="E512">
        <f t="shared" si="7"/>
        <v>2</v>
      </c>
      <c r="F512">
        <v>411100</v>
      </c>
      <c r="G512" t="s">
        <v>18</v>
      </c>
      <c r="H512" t="s">
        <v>3536</v>
      </c>
      <c r="I512" t="s">
        <v>3537</v>
      </c>
      <c r="J512">
        <v>366151</v>
      </c>
      <c r="K512">
        <v>20230213</v>
      </c>
      <c r="L512" t="s">
        <v>5220</v>
      </c>
      <c r="M512">
        <v>0</v>
      </c>
      <c r="N512">
        <v>19.2</v>
      </c>
      <c r="O512" t="s">
        <v>19</v>
      </c>
      <c r="P512" t="s">
        <v>20</v>
      </c>
      <c r="Q512">
        <v>20230213</v>
      </c>
    </row>
    <row r="513" spans="1:17" x14ac:dyDescent="0.25">
      <c r="A513" t="s">
        <v>548</v>
      </c>
      <c r="B513" t="s">
        <v>429</v>
      </c>
      <c r="C513">
        <v>57</v>
      </c>
      <c r="D513">
        <v>20230213</v>
      </c>
      <c r="E513">
        <f t="shared" si="7"/>
        <v>2</v>
      </c>
      <c r="F513">
        <v>411100</v>
      </c>
      <c r="G513" t="s">
        <v>18</v>
      </c>
      <c r="H513" t="s">
        <v>5192</v>
      </c>
      <c r="I513" t="s">
        <v>5193</v>
      </c>
      <c r="J513">
        <v>366152</v>
      </c>
      <c r="K513">
        <v>20230213</v>
      </c>
      <c r="L513" t="s">
        <v>5221</v>
      </c>
      <c r="M513">
        <v>0</v>
      </c>
      <c r="N513">
        <v>3</v>
      </c>
      <c r="O513" t="s">
        <v>19</v>
      </c>
      <c r="P513" t="s">
        <v>20</v>
      </c>
      <c r="Q513">
        <v>20230213</v>
      </c>
    </row>
    <row r="514" spans="1:17" x14ac:dyDescent="0.25">
      <c r="A514" t="s">
        <v>548</v>
      </c>
      <c r="B514" t="s">
        <v>429</v>
      </c>
      <c r="C514">
        <v>57</v>
      </c>
      <c r="D514">
        <v>20230213</v>
      </c>
      <c r="E514">
        <f t="shared" si="7"/>
        <v>2</v>
      </c>
      <c r="F514">
        <v>411100</v>
      </c>
      <c r="G514" t="s">
        <v>18</v>
      </c>
      <c r="H514" t="s">
        <v>5195</v>
      </c>
      <c r="I514" t="s">
        <v>5196</v>
      </c>
      <c r="J514">
        <v>366153</v>
      </c>
      <c r="K514">
        <v>20230213</v>
      </c>
      <c r="L514" t="s">
        <v>5222</v>
      </c>
      <c r="M514">
        <v>0</v>
      </c>
      <c r="N514">
        <v>3</v>
      </c>
      <c r="O514" t="s">
        <v>19</v>
      </c>
      <c r="P514" t="s">
        <v>20</v>
      </c>
      <c r="Q514">
        <v>20230213</v>
      </c>
    </row>
    <row r="515" spans="1:17" x14ac:dyDescent="0.25">
      <c r="A515" t="s">
        <v>548</v>
      </c>
      <c r="B515" t="s">
        <v>429</v>
      </c>
      <c r="C515">
        <v>57</v>
      </c>
      <c r="D515">
        <v>20230213</v>
      </c>
      <c r="E515">
        <f t="shared" ref="E515:E578" si="8">VALUE(MID(D515,5,2))</f>
        <v>2</v>
      </c>
      <c r="F515">
        <v>411100</v>
      </c>
      <c r="G515" t="s">
        <v>18</v>
      </c>
      <c r="H515" t="s">
        <v>259</v>
      </c>
      <c r="I515" t="s">
        <v>260</v>
      </c>
      <c r="J515">
        <v>366154</v>
      </c>
      <c r="K515">
        <v>20230213</v>
      </c>
      <c r="L515" t="s">
        <v>5223</v>
      </c>
      <c r="M515">
        <v>0</v>
      </c>
      <c r="N515">
        <v>3</v>
      </c>
      <c r="O515" t="s">
        <v>19</v>
      </c>
      <c r="P515" t="s">
        <v>20</v>
      </c>
      <c r="Q515">
        <v>20230213</v>
      </c>
    </row>
    <row r="516" spans="1:17" x14ac:dyDescent="0.25">
      <c r="A516" t="s">
        <v>548</v>
      </c>
      <c r="B516" t="s">
        <v>429</v>
      </c>
      <c r="C516">
        <v>57</v>
      </c>
      <c r="D516">
        <v>20230213</v>
      </c>
      <c r="E516">
        <f t="shared" si="8"/>
        <v>2</v>
      </c>
      <c r="F516">
        <v>411100</v>
      </c>
      <c r="G516" t="s">
        <v>18</v>
      </c>
      <c r="H516" t="s">
        <v>154</v>
      </c>
      <c r="I516" t="s">
        <v>155</v>
      </c>
      <c r="J516">
        <v>366155</v>
      </c>
      <c r="K516">
        <v>20230213</v>
      </c>
      <c r="L516" t="s">
        <v>5224</v>
      </c>
      <c r="M516">
        <v>0</v>
      </c>
      <c r="N516">
        <v>6</v>
      </c>
      <c r="O516" t="s">
        <v>19</v>
      </c>
      <c r="P516" t="s">
        <v>20</v>
      </c>
      <c r="Q516">
        <v>20230213</v>
      </c>
    </row>
    <row r="517" spans="1:17" x14ac:dyDescent="0.25">
      <c r="A517" t="s">
        <v>548</v>
      </c>
      <c r="B517" t="s">
        <v>429</v>
      </c>
      <c r="C517">
        <v>57</v>
      </c>
      <c r="D517">
        <v>20230213</v>
      </c>
      <c r="E517">
        <f t="shared" si="8"/>
        <v>2</v>
      </c>
      <c r="F517">
        <v>411100</v>
      </c>
      <c r="G517" t="s">
        <v>18</v>
      </c>
      <c r="H517" t="s">
        <v>1911</v>
      </c>
      <c r="I517" t="s">
        <v>1912</v>
      </c>
      <c r="J517">
        <v>366156</v>
      </c>
      <c r="K517">
        <v>20230213</v>
      </c>
      <c r="L517" t="s">
        <v>5225</v>
      </c>
      <c r="M517">
        <v>0</v>
      </c>
      <c r="N517">
        <v>3</v>
      </c>
      <c r="O517" t="s">
        <v>19</v>
      </c>
      <c r="P517" t="s">
        <v>20</v>
      </c>
      <c r="Q517">
        <v>20230213</v>
      </c>
    </row>
    <row r="518" spans="1:17" x14ac:dyDescent="0.25">
      <c r="A518" t="s">
        <v>548</v>
      </c>
      <c r="B518" t="s">
        <v>429</v>
      </c>
      <c r="C518">
        <v>57</v>
      </c>
      <c r="D518">
        <v>20230213</v>
      </c>
      <c r="E518">
        <f t="shared" si="8"/>
        <v>2</v>
      </c>
      <c r="F518">
        <v>411100</v>
      </c>
      <c r="G518" t="s">
        <v>18</v>
      </c>
      <c r="H518" t="s">
        <v>698</v>
      </c>
      <c r="I518" t="s">
        <v>699</v>
      </c>
      <c r="J518">
        <v>366157</v>
      </c>
      <c r="K518">
        <v>20230213</v>
      </c>
      <c r="L518" t="s">
        <v>5226</v>
      </c>
      <c r="M518">
        <v>0</v>
      </c>
      <c r="N518">
        <v>3</v>
      </c>
      <c r="O518" t="s">
        <v>19</v>
      </c>
      <c r="P518" t="s">
        <v>20</v>
      </c>
      <c r="Q518">
        <v>20230213</v>
      </c>
    </row>
    <row r="519" spans="1:17" x14ac:dyDescent="0.25">
      <c r="A519" t="s">
        <v>548</v>
      </c>
      <c r="B519" t="s">
        <v>429</v>
      </c>
      <c r="C519">
        <v>57</v>
      </c>
      <c r="D519">
        <v>20230213</v>
      </c>
      <c r="E519">
        <f t="shared" si="8"/>
        <v>2</v>
      </c>
      <c r="F519">
        <v>411100</v>
      </c>
      <c r="G519" t="s">
        <v>18</v>
      </c>
      <c r="H519" t="s">
        <v>73</v>
      </c>
      <c r="I519" t="s">
        <v>74</v>
      </c>
      <c r="J519">
        <v>366158</v>
      </c>
      <c r="K519">
        <v>20230213</v>
      </c>
      <c r="L519" t="s">
        <v>5227</v>
      </c>
      <c r="M519">
        <v>0</v>
      </c>
      <c r="N519">
        <v>3</v>
      </c>
      <c r="O519" t="s">
        <v>19</v>
      </c>
      <c r="P519" t="s">
        <v>20</v>
      </c>
      <c r="Q519">
        <v>20230213</v>
      </c>
    </row>
    <row r="520" spans="1:17" x14ac:dyDescent="0.25">
      <c r="A520" t="s">
        <v>548</v>
      </c>
      <c r="B520" t="s">
        <v>429</v>
      </c>
      <c r="C520">
        <v>57</v>
      </c>
      <c r="D520">
        <v>20230213</v>
      </c>
      <c r="E520">
        <f t="shared" si="8"/>
        <v>2</v>
      </c>
      <c r="F520">
        <v>411100</v>
      </c>
      <c r="G520" t="s">
        <v>18</v>
      </c>
      <c r="H520" t="s">
        <v>1172</v>
      </c>
      <c r="I520" t="s">
        <v>1173</v>
      </c>
      <c r="J520">
        <v>366159</v>
      </c>
      <c r="K520">
        <v>20230213</v>
      </c>
      <c r="L520" t="s">
        <v>5228</v>
      </c>
      <c r="M520">
        <v>0</v>
      </c>
      <c r="N520">
        <v>3</v>
      </c>
      <c r="O520" t="s">
        <v>19</v>
      </c>
      <c r="P520" t="s">
        <v>20</v>
      </c>
      <c r="Q520">
        <v>20230213</v>
      </c>
    </row>
    <row r="521" spans="1:17" x14ac:dyDescent="0.25">
      <c r="A521" t="s">
        <v>548</v>
      </c>
      <c r="B521" t="s">
        <v>429</v>
      </c>
      <c r="C521">
        <v>57</v>
      </c>
      <c r="D521">
        <v>20230213</v>
      </c>
      <c r="E521">
        <f t="shared" si="8"/>
        <v>2</v>
      </c>
      <c r="F521">
        <v>411100</v>
      </c>
      <c r="G521" t="s">
        <v>18</v>
      </c>
      <c r="H521" t="s">
        <v>800</v>
      </c>
      <c r="I521" t="s">
        <v>801</v>
      </c>
      <c r="J521">
        <v>366160</v>
      </c>
      <c r="K521">
        <v>20230213</v>
      </c>
      <c r="L521" t="s">
        <v>5229</v>
      </c>
      <c r="M521">
        <v>0</v>
      </c>
      <c r="N521">
        <v>3</v>
      </c>
      <c r="O521" t="s">
        <v>19</v>
      </c>
      <c r="P521" t="s">
        <v>20</v>
      </c>
      <c r="Q521">
        <v>20230213</v>
      </c>
    </row>
    <row r="522" spans="1:17" x14ac:dyDescent="0.25">
      <c r="A522" t="s">
        <v>548</v>
      </c>
      <c r="B522" t="s">
        <v>429</v>
      </c>
      <c r="C522">
        <v>57</v>
      </c>
      <c r="D522">
        <v>20230213</v>
      </c>
      <c r="E522">
        <f t="shared" si="8"/>
        <v>2</v>
      </c>
      <c r="F522">
        <v>411100</v>
      </c>
      <c r="G522" t="s">
        <v>18</v>
      </c>
      <c r="H522" t="s">
        <v>800</v>
      </c>
      <c r="I522" t="s">
        <v>801</v>
      </c>
      <c r="J522">
        <v>366161</v>
      </c>
      <c r="K522">
        <v>20230213</v>
      </c>
      <c r="L522" t="s">
        <v>5230</v>
      </c>
      <c r="M522">
        <v>0</v>
      </c>
      <c r="N522">
        <v>3</v>
      </c>
      <c r="O522" t="s">
        <v>19</v>
      </c>
      <c r="P522" t="s">
        <v>20</v>
      </c>
      <c r="Q522">
        <v>20230213</v>
      </c>
    </row>
    <row r="523" spans="1:17" x14ac:dyDescent="0.25">
      <c r="A523" t="s">
        <v>548</v>
      </c>
      <c r="B523" t="s">
        <v>429</v>
      </c>
      <c r="C523">
        <v>57</v>
      </c>
      <c r="D523">
        <v>20230213</v>
      </c>
      <c r="E523">
        <f t="shared" si="8"/>
        <v>2</v>
      </c>
      <c r="F523">
        <v>531105</v>
      </c>
      <c r="G523" t="s">
        <v>429</v>
      </c>
      <c r="H523" t="s">
        <v>401</v>
      </c>
      <c r="I523" t="s">
        <v>402</v>
      </c>
      <c r="J523">
        <v>366162</v>
      </c>
      <c r="K523">
        <v>20230213</v>
      </c>
      <c r="L523" t="s">
        <v>565</v>
      </c>
      <c r="M523">
        <v>61.2</v>
      </c>
      <c r="N523">
        <v>0</v>
      </c>
      <c r="O523" t="s">
        <v>19</v>
      </c>
      <c r="P523" t="s">
        <v>20</v>
      </c>
      <c r="Q523">
        <v>20230213</v>
      </c>
    </row>
    <row r="524" spans="1:17" x14ac:dyDescent="0.25">
      <c r="A524" t="s">
        <v>548</v>
      </c>
      <c r="B524" t="s">
        <v>429</v>
      </c>
      <c r="C524">
        <v>57</v>
      </c>
      <c r="D524">
        <v>20230213</v>
      </c>
      <c r="E524">
        <f t="shared" si="8"/>
        <v>2</v>
      </c>
      <c r="F524">
        <v>411100</v>
      </c>
      <c r="G524" t="s">
        <v>18</v>
      </c>
      <c r="H524" t="s">
        <v>352</v>
      </c>
      <c r="I524" t="s">
        <v>353</v>
      </c>
      <c r="J524">
        <v>223010026</v>
      </c>
      <c r="K524">
        <v>20230213</v>
      </c>
      <c r="L524" t="s">
        <v>5231</v>
      </c>
      <c r="M524">
        <v>0</v>
      </c>
      <c r="N524">
        <v>475.08</v>
      </c>
      <c r="O524" t="s">
        <v>22</v>
      </c>
      <c r="P524">
        <v>20230218</v>
      </c>
      <c r="Q524">
        <v>20230213</v>
      </c>
    </row>
    <row r="525" spans="1:17" x14ac:dyDescent="0.25">
      <c r="A525" t="s">
        <v>548</v>
      </c>
      <c r="B525" t="s">
        <v>429</v>
      </c>
      <c r="C525">
        <v>57</v>
      </c>
      <c r="D525">
        <v>20230213</v>
      </c>
      <c r="E525">
        <f t="shared" si="8"/>
        <v>2</v>
      </c>
      <c r="F525">
        <v>411100</v>
      </c>
      <c r="G525" t="s">
        <v>18</v>
      </c>
      <c r="H525" t="s">
        <v>352</v>
      </c>
      <c r="I525" t="s">
        <v>353</v>
      </c>
      <c r="J525">
        <v>223010026</v>
      </c>
      <c r="K525">
        <v>20230213</v>
      </c>
      <c r="L525" t="s">
        <v>5232</v>
      </c>
      <c r="M525">
        <v>0</v>
      </c>
      <c r="N525">
        <v>4.92</v>
      </c>
      <c r="O525" t="s">
        <v>19</v>
      </c>
      <c r="P525" t="s">
        <v>20</v>
      </c>
      <c r="Q525">
        <v>20230213</v>
      </c>
    </row>
    <row r="526" spans="1:17" x14ac:dyDescent="0.25">
      <c r="A526" t="s">
        <v>548</v>
      </c>
      <c r="B526" t="s">
        <v>429</v>
      </c>
      <c r="C526">
        <v>57</v>
      </c>
      <c r="D526">
        <v>20230213</v>
      </c>
      <c r="E526">
        <f t="shared" si="8"/>
        <v>2</v>
      </c>
      <c r="F526">
        <v>411010</v>
      </c>
      <c r="G526" t="s">
        <v>87</v>
      </c>
      <c r="H526" t="s">
        <v>379</v>
      </c>
      <c r="I526" t="s">
        <v>380</v>
      </c>
      <c r="J526">
        <v>223010028</v>
      </c>
      <c r="K526">
        <v>20230213</v>
      </c>
      <c r="L526" t="s">
        <v>5233</v>
      </c>
      <c r="M526">
        <v>0</v>
      </c>
      <c r="N526">
        <v>20.87</v>
      </c>
      <c r="O526" t="s">
        <v>19</v>
      </c>
      <c r="P526" t="s">
        <v>20</v>
      </c>
      <c r="Q526">
        <v>20230213</v>
      </c>
    </row>
    <row r="527" spans="1:17" x14ac:dyDescent="0.25">
      <c r="A527" t="s">
        <v>548</v>
      </c>
      <c r="B527" t="s">
        <v>429</v>
      </c>
      <c r="C527">
        <v>57</v>
      </c>
      <c r="D527">
        <v>20230213</v>
      </c>
      <c r="E527">
        <f t="shared" si="8"/>
        <v>2</v>
      </c>
      <c r="F527">
        <v>411100</v>
      </c>
      <c r="G527" t="s">
        <v>18</v>
      </c>
      <c r="H527" t="s">
        <v>77</v>
      </c>
      <c r="I527" t="s">
        <v>78</v>
      </c>
      <c r="J527">
        <v>222120017</v>
      </c>
      <c r="K527">
        <v>20230213</v>
      </c>
      <c r="L527" t="s">
        <v>5234</v>
      </c>
      <c r="M527">
        <v>0</v>
      </c>
      <c r="N527">
        <v>62.92</v>
      </c>
      <c r="O527" t="s">
        <v>19</v>
      </c>
      <c r="P527" t="s">
        <v>20</v>
      </c>
      <c r="Q527">
        <v>20230213</v>
      </c>
    </row>
    <row r="528" spans="1:17" x14ac:dyDescent="0.25">
      <c r="A528" t="s">
        <v>548</v>
      </c>
      <c r="B528" t="s">
        <v>429</v>
      </c>
      <c r="C528">
        <v>57</v>
      </c>
      <c r="D528">
        <v>20230213</v>
      </c>
      <c r="E528">
        <f t="shared" si="8"/>
        <v>2</v>
      </c>
      <c r="F528">
        <v>531105</v>
      </c>
      <c r="G528" t="s">
        <v>429</v>
      </c>
      <c r="H528" t="s">
        <v>401</v>
      </c>
      <c r="I528" t="s">
        <v>402</v>
      </c>
      <c r="J528">
        <v>366208</v>
      </c>
      <c r="K528">
        <v>20230213</v>
      </c>
      <c r="L528" t="s">
        <v>565</v>
      </c>
      <c r="M528">
        <v>563.79</v>
      </c>
      <c r="N528">
        <v>0</v>
      </c>
      <c r="O528" t="s">
        <v>19</v>
      </c>
      <c r="P528" t="s">
        <v>20</v>
      </c>
      <c r="Q528">
        <v>20230213</v>
      </c>
    </row>
    <row r="529" spans="1:17" x14ac:dyDescent="0.25">
      <c r="A529" t="s">
        <v>548</v>
      </c>
      <c r="B529" t="s">
        <v>429</v>
      </c>
      <c r="C529">
        <v>57</v>
      </c>
      <c r="D529">
        <v>20230213</v>
      </c>
      <c r="E529">
        <f t="shared" si="8"/>
        <v>2</v>
      </c>
      <c r="F529">
        <v>411020</v>
      </c>
      <c r="G529" t="s">
        <v>30</v>
      </c>
      <c r="H529" t="s">
        <v>3633</v>
      </c>
      <c r="I529" t="s">
        <v>3634</v>
      </c>
      <c r="J529">
        <v>323010004</v>
      </c>
      <c r="K529">
        <v>20230213</v>
      </c>
      <c r="L529" t="s">
        <v>5235</v>
      </c>
      <c r="M529">
        <v>0</v>
      </c>
      <c r="N529">
        <v>96.56</v>
      </c>
      <c r="O529" t="s">
        <v>22</v>
      </c>
      <c r="P529">
        <v>20230218</v>
      </c>
      <c r="Q529">
        <v>20230213</v>
      </c>
    </row>
    <row r="530" spans="1:17" x14ac:dyDescent="0.25">
      <c r="A530" t="s">
        <v>548</v>
      </c>
      <c r="B530" t="s">
        <v>429</v>
      </c>
      <c r="C530">
        <v>57</v>
      </c>
      <c r="D530">
        <v>20230213</v>
      </c>
      <c r="E530">
        <f t="shared" si="8"/>
        <v>2</v>
      </c>
      <c r="F530">
        <v>531105</v>
      </c>
      <c r="G530" t="s">
        <v>429</v>
      </c>
      <c r="H530" t="s">
        <v>401</v>
      </c>
      <c r="I530" t="s">
        <v>402</v>
      </c>
      <c r="J530">
        <v>366224</v>
      </c>
      <c r="K530">
        <v>20230213</v>
      </c>
      <c r="L530" t="s">
        <v>565</v>
      </c>
      <c r="M530">
        <v>96.56</v>
      </c>
      <c r="N530">
        <v>0</v>
      </c>
      <c r="O530" t="s">
        <v>19</v>
      </c>
      <c r="P530" t="s">
        <v>20</v>
      </c>
      <c r="Q530">
        <v>20230213</v>
      </c>
    </row>
    <row r="531" spans="1:17" x14ac:dyDescent="0.25">
      <c r="A531" t="s">
        <v>548</v>
      </c>
      <c r="B531" t="s">
        <v>429</v>
      </c>
      <c r="C531">
        <v>57</v>
      </c>
      <c r="D531">
        <v>20230214</v>
      </c>
      <c r="E531">
        <f t="shared" si="8"/>
        <v>2</v>
      </c>
      <c r="F531">
        <v>411100</v>
      </c>
      <c r="G531" t="s">
        <v>18</v>
      </c>
      <c r="H531" t="s">
        <v>800</v>
      </c>
      <c r="I531" t="s">
        <v>801</v>
      </c>
      <c r="J531">
        <v>366163</v>
      </c>
      <c r="K531">
        <v>20230214</v>
      </c>
      <c r="L531" t="s">
        <v>5236</v>
      </c>
      <c r="M531">
        <v>0</v>
      </c>
      <c r="N531">
        <v>7</v>
      </c>
      <c r="O531" t="s">
        <v>19</v>
      </c>
      <c r="P531" t="s">
        <v>20</v>
      </c>
      <c r="Q531">
        <v>20230214</v>
      </c>
    </row>
    <row r="532" spans="1:17" x14ac:dyDescent="0.25">
      <c r="A532" t="s">
        <v>548</v>
      </c>
      <c r="B532" t="s">
        <v>429</v>
      </c>
      <c r="C532">
        <v>57</v>
      </c>
      <c r="D532">
        <v>20230214</v>
      </c>
      <c r="E532">
        <f t="shared" si="8"/>
        <v>2</v>
      </c>
      <c r="F532">
        <v>411100</v>
      </c>
      <c r="G532" t="s">
        <v>18</v>
      </c>
      <c r="H532" t="s">
        <v>73</v>
      </c>
      <c r="I532" t="s">
        <v>74</v>
      </c>
      <c r="J532">
        <v>366164</v>
      </c>
      <c r="K532">
        <v>20230214</v>
      </c>
      <c r="L532" t="s">
        <v>5237</v>
      </c>
      <c r="M532">
        <v>0</v>
      </c>
      <c r="N532">
        <v>3.5</v>
      </c>
      <c r="O532" t="s">
        <v>19</v>
      </c>
      <c r="P532" t="s">
        <v>20</v>
      </c>
      <c r="Q532">
        <v>20230214</v>
      </c>
    </row>
    <row r="533" spans="1:17" x14ac:dyDescent="0.25">
      <c r="A533" t="s">
        <v>548</v>
      </c>
      <c r="B533" t="s">
        <v>429</v>
      </c>
      <c r="C533">
        <v>57</v>
      </c>
      <c r="D533">
        <v>20230214</v>
      </c>
      <c r="E533">
        <f t="shared" si="8"/>
        <v>2</v>
      </c>
      <c r="F533">
        <v>411100</v>
      </c>
      <c r="G533" t="s">
        <v>18</v>
      </c>
      <c r="H533" t="s">
        <v>1172</v>
      </c>
      <c r="I533" t="s">
        <v>1173</v>
      </c>
      <c r="J533">
        <v>366165</v>
      </c>
      <c r="K533">
        <v>20230214</v>
      </c>
      <c r="L533" t="s">
        <v>5238</v>
      </c>
      <c r="M533">
        <v>0</v>
      </c>
      <c r="N533">
        <v>3.5</v>
      </c>
      <c r="O533" t="s">
        <v>19</v>
      </c>
      <c r="P533" t="s">
        <v>20</v>
      </c>
      <c r="Q533">
        <v>20230214</v>
      </c>
    </row>
    <row r="534" spans="1:17" x14ac:dyDescent="0.25">
      <c r="A534" t="s">
        <v>548</v>
      </c>
      <c r="B534" t="s">
        <v>429</v>
      </c>
      <c r="C534">
        <v>57</v>
      </c>
      <c r="D534">
        <v>20230214</v>
      </c>
      <c r="E534">
        <f t="shared" si="8"/>
        <v>2</v>
      </c>
      <c r="F534">
        <v>411100</v>
      </c>
      <c r="G534" t="s">
        <v>18</v>
      </c>
      <c r="H534" t="s">
        <v>154</v>
      </c>
      <c r="I534" t="s">
        <v>155</v>
      </c>
      <c r="J534">
        <v>366166</v>
      </c>
      <c r="K534">
        <v>20230214</v>
      </c>
      <c r="L534" t="s">
        <v>5239</v>
      </c>
      <c r="M534">
        <v>0</v>
      </c>
      <c r="N534">
        <v>3.5</v>
      </c>
      <c r="O534" t="s">
        <v>19</v>
      </c>
      <c r="P534" t="s">
        <v>20</v>
      </c>
      <c r="Q534">
        <v>20230214</v>
      </c>
    </row>
    <row r="535" spans="1:17" x14ac:dyDescent="0.25">
      <c r="A535" t="s">
        <v>548</v>
      </c>
      <c r="B535" t="s">
        <v>429</v>
      </c>
      <c r="C535">
        <v>57</v>
      </c>
      <c r="D535">
        <v>20230214</v>
      </c>
      <c r="E535">
        <f t="shared" si="8"/>
        <v>2</v>
      </c>
      <c r="F535">
        <v>411100</v>
      </c>
      <c r="G535" t="s">
        <v>18</v>
      </c>
      <c r="H535" t="s">
        <v>5240</v>
      </c>
      <c r="I535" t="s">
        <v>5241</v>
      </c>
      <c r="J535">
        <v>366167</v>
      </c>
      <c r="K535">
        <v>20230214</v>
      </c>
      <c r="L535" t="s">
        <v>5242</v>
      </c>
      <c r="M535">
        <v>0</v>
      </c>
      <c r="N535">
        <v>22</v>
      </c>
      <c r="O535" t="s">
        <v>19</v>
      </c>
      <c r="P535" t="s">
        <v>20</v>
      </c>
      <c r="Q535">
        <v>20230214</v>
      </c>
    </row>
    <row r="536" spans="1:17" x14ac:dyDescent="0.25">
      <c r="A536" t="s">
        <v>548</v>
      </c>
      <c r="B536" t="s">
        <v>429</v>
      </c>
      <c r="C536">
        <v>57</v>
      </c>
      <c r="D536">
        <v>20230214</v>
      </c>
      <c r="E536">
        <f t="shared" si="8"/>
        <v>2</v>
      </c>
      <c r="F536">
        <v>411100</v>
      </c>
      <c r="G536" t="s">
        <v>18</v>
      </c>
      <c r="H536" t="s">
        <v>5243</v>
      </c>
      <c r="I536" t="s">
        <v>5244</v>
      </c>
      <c r="J536">
        <v>366168</v>
      </c>
      <c r="K536">
        <v>20230214</v>
      </c>
      <c r="L536" t="s">
        <v>5245</v>
      </c>
      <c r="M536">
        <v>0</v>
      </c>
      <c r="N536">
        <v>10</v>
      </c>
      <c r="O536" t="s">
        <v>19</v>
      </c>
      <c r="P536" t="s">
        <v>20</v>
      </c>
      <c r="Q536">
        <v>20230214</v>
      </c>
    </row>
    <row r="537" spans="1:17" x14ac:dyDescent="0.25">
      <c r="A537" t="s">
        <v>548</v>
      </c>
      <c r="B537" t="s">
        <v>429</v>
      </c>
      <c r="C537">
        <v>57</v>
      </c>
      <c r="D537">
        <v>20230214</v>
      </c>
      <c r="E537">
        <f t="shared" si="8"/>
        <v>2</v>
      </c>
      <c r="F537">
        <v>411100</v>
      </c>
      <c r="G537" t="s">
        <v>18</v>
      </c>
      <c r="H537" t="s">
        <v>823</v>
      </c>
      <c r="I537" t="s">
        <v>824</v>
      </c>
      <c r="J537">
        <v>366169</v>
      </c>
      <c r="K537">
        <v>20230214</v>
      </c>
      <c r="L537" t="s">
        <v>5246</v>
      </c>
      <c r="M537">
        <v>0</v>
      </c>
      <c r="N537">
        <v>12.15</v>
      </c>
      <c r="O537" t="s">
        <v>19</v>
      </c>
      <c r="P537" t="s">
        <v>20</v>
      </c>
      <c r="Q537">
        <v>20230214</v>
      </c>
    </row>
    <row r="538" spans="1:17" x14ac:dyDescent="0.25">
      <c r="A538" t="s">
        <v>548</v>
      </c>
      <c r="B538" t="s">
        <v>429</v>
      </c>
      <c r="C538">
        <v>57</v>
      </c>
      <c r="D538">
        <v>20230214</v>
      </c>
      <c r="E538">
        <f t="shared" si="8"/>
        <v>2</v>
      </c>
      <c r="F538">
        <v>411100</v>
      </c>
      <c r="G538" t="s">
        <v>18</v>
      </c>
      <c r="H538" t="s">
        <v>823</v>
      </c>
      <c r="I538" t="s">
        <v>824</v>
      </c>
      <c r="J538">
        <v>122110117</v>
      </c>
      <c r="K538">
        <v>20230214</v>
      </c>
      <c r="L538" t="s">
        <v>5247</v>
      </c>
      <c r="M538">
        <v>0</v>
      </c>
      <c r="N538">
        <v>97.85</v>
      </c>
      <c r="O538" t="s">
        <v>19</v>
      </c>
      <c r="P538" t="s">
        <v>20</v>
      </c>
      <c r="Q538">
        <v>20230214</v>
      </c>
    </row>
    <row r="539" spans="1:17" x14ac:dyDescent="0.25">
      <c r="A539" t="s">
        <v>548</v>
      </c>
      <c r="B539" t="s">
        <v>429</v>
      </c>
      <c r="C539">
        <v>57</v>
      </c>
      <c r="D539">
        <v>20230214</v>
      </c>
      <c r="E539">
        <f t="shared" si="8"/>
        <v>2</v>
      </c>
      <c r="F539">
        <v>411100</v>
      </c>
      <c r="G539" t="s">
        <v>18</v>
      </c>
      <c r="H539" t="s">
        <v>823</v>
      </c>
      <c r="I539" t="s">
        <v>824</v>
      </c>
      <c r="J539">
        <v>122110117</v>
      </c>
      <c r="K539">
        <v>20230214</v>
      </c>
      <c r="L539" t="s">
        <v>5248</v>
      </c>
      <c r="M539">
        <v>0.65</v>
      </c>
      <c r="N539">
        <v>0</v>
      </c>
      <c r="O539" t="s">
        <v>22</v>
      </c>
      <c r="P539">
        <v>20230218</v>
      </c>
      <c r="Q539">
        <v>20230214</v>
      </c>
    </row>
    <row r="540" spans="1:17" x14ac:dyDescent="0.25">
      <c r="A540" t="s">
        <v>548</v>
      </c>
      <c r="B540" t="s">
        <v>429</v>
      </c>
      <c r="C540">
        <v>57</v>
      </c>
      <c r="D540">
        <v>20230214</v>
      </c>
      <c r="E540">
        <f t="shared" si="8"/>
        <v>2</v>
      </c>
      <c r="F540">
        <v>411100</v>
      </c>
      <c r="G540" t="s">
        <v>18</v>
      </c>
      <c r="H540" t="s">
        <v>305</v>
      </c>
      <c r="I540" t="s">
        <v>306</v>
      </c>
      <c r="J540">
        <v>123010054</v>
      </c>
      <c r="K540">
        <v>20230214</v>
      </c>
      <c r="L540" t="s">
        <v>5249</v>
      </c>
      <c r="M540">
        <v>0</v>
      </c>
      <c r="N540">
        <v>141.9</v>
      </c>
      <c r="O540" t="s">
        <v>23</v>
      </c>
      <c r="P540">
        <v>20230329</v>
      </c>
      <c r="Q540">
        <v>20230214</v>
      </c>
    </row>
    <row r="541" spans="1:17" x14ac:dyDescent="0.25">
      <c r="A541" t="s">
        <v>548</v>
      </c>
      <c r="B541" t="s">
        <v>429</v>
      </c>
      <c r="C541">
        <v>57</v>
      </c>
      <c r="D541">
        <v>20230214</v>
      </c>
      <c r="E541">
        <f t="shared" si="8"/>
        <v>2</v>
      </c>
      <c r="F541">
        <v>411100</v>
      </c>
      <c r="G541" t="s">
        <v>18</v>
      </c>
      <c r="H541" t="s">
        <v>305</v>
      </c>
      <c r="I541" t="s">
        <v>306</v>
      </c>
      <c r="J541">
        <v>123010054</v>
      </c>
      <c r="K541">
        <v>20230214</v>
      </c>
      <c r="L541" t="s">
        <v>5250</v>
      </c>
      <c r="M541">
        <v>115.1</v>
      </c>
      <c r="N541">
        <v>0</v>
      </c>
      <c r="O541" t="s">
        <v>22</v>
      </c>
      <c r="P541">
        <v>20230218</v>
      </c>
      <c r="Q541">
        <v>20230214</v>
      </c>
    </row>
    <row r="542" spans="1:17" x14ac:dyDescent="0.25">
      <c r="A542" t="s">
        <v>548</v>
      </c>
      <c r="B542" t="s">
        <v>429</v>
      </c>
      <c r="C542">
        <v>57</v>
      </c>
      <c r="D542">
        <v>20230214</v>
      </c>
      <c r="E542">
        <f t="shared" si="8"/>
        <v>2</v>
      </c>
      <c r="F542">
        <v>531105</v>
      </c>
      <c r="G542" t="s">
        <v>429</v>
      </c>
      <c r="H542" t="s">
        <v>401</v>
      </c>
      <c r="I542" t="s">
        <v>402</v>
      </c>
      <c r="J542">
        <v>366174</v>
      </c>
      <c r="K542">
        <v>20230214</v>
      </c>
      <c r="L542" t="s">
        <v>565</v>
      </c>
      <c r="M542">
        <v>185.65</v>
      </c>
      <c r="N542">
        <v>0</v>
      </c>
      <c r="O542" t="s">
        <v>19</v>
      </c>
      <c r="P542" t="s">
        <v>20</v>
      </c>
      <c r="Q542">
        <v>20230214</v>
      </c>
    </row>
    <row r="543" spans="1:17" x14ac:dyDescent="0.25">
      <c r="A543" t="s">
        <v>548</v>
      </c>
      <c r="B543" t="s">
        <v>429</v>
      </c>
      <c r="C543">
        <v>57</v>
      </c>
      <c r="D543">
        <v>20230215</v>
      </c>
      <c r="E543">
        <f t="shared" si="8"/>
        <v>2</v>
      </c>
      <c r="F543">
        <v>411100</v>
      </c>
      <c r="G543" t="s">
        <v>18</v>
      </c>
      <c r="H543" t="s">
        <v>823</v>
      </c>
      <c r="I543" t="s">
        <v>824</v>
      </c>
      <c r="J543">
        <v>366175</v>
      </c>
      <c r="K543">
        <v>20230215</v>
      </c>
      <c r="L543" t="s">
        <v>5251</v>
      </c>
      <c r="M543">
        <v>0</v>
      </c>
      <c r="N543">
        <v>12.15</v>
      </c>
      <c r="O543" t="s">
        <v>19</v>
      </c>
      <c r="P543" t="s">
        <v>20</v>
      </c>
      <c r="Q543">
        <v>20230215</v>
      </c>
    </row>
    <row r="544" spans="1:17" x14ac:dyDescent="0.25">
      <c r="A544" t="s">
        <v>548</v>
      </c>
      <c r="B544" t="s">
        <v>429</v>
      </c>
      <c r="C544">
        <v>57</v>
      </c>
      <c r="D544">
        <v>20230215</v>
      </c>
      <c r="E544">
        <f t="shared" si="8"/>
        <v>2</v>
      </c>
      <c r="F544">
        <v>531105</v>
      </c>
      <c r="G544" t="s">
        <v>429</v>
      </c>
      <c r="H544" t="s">
        <v>401</v>
      </c>
      <c r="I544" t="s">
        <v>402</v>
      </c>
      <c r="J544">
        <v>366176</v>
      </c>
      <c r="K544">
        <v>20230215</v>
      </c>
      <c r="L544" t="s">
        <v>565</v>
      </c>
      <c r="M544">
        <v>12.15</v>
      </c>
      <c r="N544">
        <v>0</v>
      </c>
      <c r="O544" t="s">
        <v>19</v>
      </c>
      <c r="P544" t="s">
        <v>20</v>
      </c>
      <c r="Q544">
        <v>20230215</v>
      </c>
    </row>
    <row r="545" spans="1:17" x14ac:dyDescent="0.25">
      <c r="A545" t="s">
        <v>548</v>
      </c>
      <c r="B545" t="s">
        <v>429</v>
      </c>
      <c r="C545">
        <v>57</v>
      </c>
      <c r="D545">
        <v>20230215</v>
      </c>
      <c r="E545">
        <f t="shared" si="8"/>
        <v>2</v>
      </c>
      <c r="F545">
        <v>411010</v>
      </c>
      <c r="G545" t="s">
        <v>87</v>
      </c>
      <c r="H545" t="s">
        <v>3214</v>
      </c>
      <c r="I545" t="s">
        <v>3215</v>
      </c>
      <c r="J545">
        <v>223010020</v>
      </c>
      <c r="K545">
        <v>20230215</v>
      </c>
      <c r="L545" t="s">
        <v>5252</v>
      </c>
      <c r="M545">
        <v>0</v>
      </c>
      <c r="N545">
        <v>493.46</v>
      </c>
      <c r="O545" t="s">
        <v>22</v>
      </c>
      <c r="P545">
        <v>20230218</v>
      </c>
      <c r="Q545">
        <v>20230215</v>
      </c>
    </row>
    <row r="546" spans="1:17" x14ac:dyDescent="0.25">
      <c r="A546" t="s">
        <v>548</v>
      </c>
      <c r="B546" t="s">
        <v>429</v>
      </c>
      <c r="C546">
        <v>57</v>
      </c>
      <c r="D546">
        <v>20230215</v>
      </c>
      <c r="E546">
        <f t="shared" si="8"/>
        <v>2</v>
      </c>
      <c r="F546">
        <v>531105</v>
      </c>
      <c r="G546" t="s">
        <v>429</v>
      </c>
      <c r="H546" t="s">
        <v>401</v>
      </c>
      <c r="I546" t="s">
        <v>402</v>
      </c>
      <c r="J546">
        <v>366210</v>
      </c>
      <c r="K546">
        <v>20230215</v>
      </c>
      <c r="L546" t="s">
        <v>565</v>
      </c>
      <c r="M546">
        <v>493.46</v>
      </c>
      <c r="N546">
        <v>0</v>
      </c>
      <c r="O546" t="s">
        <v>19</v>
      </c>
      <c r="P546" t="s">
        <v>20</v>
      </c>
      <c r="Q546">
        <v>20230215</v>
      </c>
    </row>
    <row r="547" spans="1:17" x14ac:dyDescent="0.25">
      <c r="A547" t="s">
        <v>548</v>
      </c>
      <c r="B547" t="s">
        <v>429</v>
      </c>
      <c r="C547">
        <v>57</v>
      </c>
      <c r="D547">
        <v>20230215</v>
      </c>
      <c r="E547">
        <f t="shared" si="8"/>
        <v>2</v>
      </c>
      <c r="F547">
        <v>411020</v>
      </c>
      <c r="G547" t="s">
        <v>30</v>
      </c>
      <c r="H547" t="s">
        <v>332</v>
      </c>
      <c r="I547" t="s">
        <v>333</v>
      </c>
      <c r="J547">
        <v>323010006</v>
      </c>
      <c r="K547">
        <v>20230215</v>
      </c>
      <c r="L547" t="s">
        <v>5253</v>
      </c>
      <c r="M547">
        <v>0</v>
      </c>
      <c r="N547">
        <v>65</v>
      </c>
      <c r="O547" t="s">
        <v>19</v>
      </c>
      <c r="P547" t="s">
        <v>20</v>
      </c>
      <c r="Q547">
        <v>20230215</v>
      </c>
    </row>
    <row r="548" spans="1:17" x14ac:dyDescent="0.25">
      <c r="A548" t="s">
        <v>548</v>
      </c>
      <c r="B548" t="s">
        <v>429</v>
      </c>
      <c r="C548">
        <v>57</v>
      </c>
      <c r="D548">
        <v>20230215</v>
      </c>
      <c r="E548">
        <f t="shared" si="8"/>
        <v>2</v>
      </c>
      <c r="F548">
        <v>411020</v>
      </c>
      <c r="G548" t="s">
        <v>30</v>
      </c>
      <c r="H548" t="s">
        <v>338</v>
      </c>
      <c r="I548" t="s">
        <v>339</v>
      </c>
      <c r="J548">
        <v>323010024</v>
      </c>
      <c r="K548">
        <v>20230215</v>
      </c>
      <c r="L548" t="s">
        <v>5254</v>
      </c>
      <c r="M548">
        <v>0</v>
      </c>
      <c r="N548">
        <v>38.19</v>
      </c>
      <c r="O548" t="s">
        <v>22</v>
      </c>
      <c r="P548">
        <v>20230218</v>
      </c>
      <c r="Q548">
        <v>20230215</v>
      </c>
    </row>
    <row r="549" spans="1:17" x14ac:dyDescent="0.25">
      <c r="A549" t="s">
        <v>548</v>
      </c>
      <c r="B549" t="s">
        <v>429</v>
      </c>
      <c r="C549">
        <v>57</v>
      </c>
      <c r="D549">
        <v>20230215</v>
      </c>
      <c r="E549">
        <f t="shared" si="8"/>
        <v>2</v>
      </c>
      <c r="F549">
        <v>531105</v>
      </c>
      <c r="G549" t="s">
        <v>429</v>
      </c>
      <c r="H549" t="s">
        <v>401</v>
      </c>
      <c r="I549" t="s">
        <v>402</v>
      </c>
      <c r="J549">
        <v>366227</v>
      </c>
      <c r="K549">
        <v>20230215</v>
      </c>
      <c r="L549" t="s">
        <v>565</v>
      </c>
      <c r="M549">
        <v>103.19</v>
      </c>
      <c r="N549">
        <v>0</v>
      </c>
      <c r="O549" t="s">
        <v>19</v>
      </c>
      <c r="P549" t="s">
        <v>20</v>
      </c>
      <c r="Q549">
        <v>20230215</v>
      </c>
    </row>
    <row r="550" spans="1:17" x14ac:dyDescent="0.25">
      <c r="A550" t="s">
        <v>548</v>
      </c>
      <c r="B550" t="s">
        <v>429</v>
      </c>
      <c r="C550">
        <v>57</v>
      </c>
      <c r="D550">
        <v>20230216</v>
      </c>
      <c r="E550">
        <f t="shared" si="8"/>
        <v>2</v>
      </c>
      <c r="F550">
        <v>467100</v>
      </c>
      <c r="G550" t="s">
        <v>160</v>
      </c>
      <c r="H550" t="s">
        <v>172</v>
      </c>
      <c r="I550" t="s">
        <v>173</v>
      </c>
      <c r="J550" t="s">
        <v>5255</v>
      </c>
      <c r="K550">
        <v>20230216</v>
      </c>
      <c r="L550" t="s">
        <v>5256</v>
      </c>
      <c r="M550">
        <v>10.92</v>
      </c>
      <c r="N550">
        <v>0</v>
      </c>
      <c r="O550" t="s">
        <v>23</v>
      </c>
      <c r="P550">
        <v>20230310</v>
      </c>
      <c r="Q550">
        <v>20230216</v>
      </c>
    </row>
    <row r="551" spans="1:17" x14ac:dyDescent="0.25">
      <c r="A551" t="s">
        <v>548</v>
      </c>
      <c r="B551" t="s">
        <v>429</v>
      </c>
      <c r="C551">
        <v>57</v>
      </c>
      <c r="D551">
        <v>20230216</v>
      </c>
      <c r="E551">
        <f t="shared" si="8"/>
        <v>2</v>
      </c>
      <c r="F551">
        <v>531105</v>
      </c>
      <c r="G551" t="s">
        <v>429</v>
      </c>
      <c r="H551" t="s">
        <v>401</v>
      </c>
      <c r="I551" t="s">
        <v>402</v>
      </c>
      <c r="J551" t="s">
        <v>5255</v>
      </c>
      <c r="K551">
        <v>20230216</v>
      </c>
      <c r="L551" t="s">
        <v>5256</v>
      </c>
      <c r="M551">
        <v>0</v>
      </c>
      <c r="N551">
        <v>10.92</v>
      </c>
      <c r="O551" t="s">
        <v>19</v>
      </c>
      <c r="P551" t="s">
        <v>20</v>
      </c>
      <c r="Q551">
        <v>20230216</v>
      </c>
    </row>
    <row r="552" spans="1:17" x14ac:dyDescent="0.25">
      <c r="A552" t="s">
        <v>548</v>
      </c>
      <c r="B552" t="s">
        <v>429</v>
      </c>
      <c r="C552">
        <v>57</v>
      </c>
      <c r="D552">
        <v>20230216</v>
      </c>
      <c r="E552">
        <f t="shared" si="8"/>
        <v>2</v>
      </c>
      <c r="F552">
        <v>411100</v>
      </c>
      <c r="G552" t="s">
        <v>18</v>
      </c>
      <c r="H552" t="s">
        <v>81</v>
      </c>
      <c r="I552" t="s">
        <v>82</v>
      </c>
      <c r="J552">
        <v>366177</v>
      </c>
      <c r="K552">
        <v>20230216</v>
      </c>
      <c r="L552" t="s">
        <v>5257</v>
      </c>
      <c r="M552">
        <v>0</v>
      </c>
      <c r="N552">
        <v>4</v>
      </c>
      <c r="O552" t="s">
        <v>19</v>
      </c>
      <c r="P552" t="s">
        <v>20</v>
      </c>
      <c r="Q552">
        <v>20230216</v>
      </c>
    </row>
    <row r="553" spans="1:17" x14ac:dyDescent="0.25">
      <c r="A553" t="s">
        <v>548</v>
      </c>
      <c r="B553" t="s">
        <v>429</v>
      </c>
      <c r="C553">
        <v>57</v>
      </c>
      <c r="D553">
        <v>20230216</v>
      </c>
      <c r="E553">
        <f t="shared" si="8"/>
        <v>2</v>
      </c>
      <c r="F553">
        <v>411100</v>
      </c>
      <c r="G553" t="s">
        <v>18</v>
      </c>
      <c r="H553" t="s">
        <v>154</v>
      </c>
      <c r="I553" t="s">
        <v>155</v>
      </c>
      <c r="J553">
        <v>366178</v>
      </c>
      <c r="K553">
        <v>20230216</v>
      </c>
      <c r="L553" t="s">
        <v>5258</v>
      </c>
      <c r="M553">
        <v>0</v>
      </c>
      <c r="N553">
        <v>4</v>
      </c>
      <c r="O553" t="s">
        <v>19</v>
      </c>
      <c r="P553" t="s">
        <v>20</v>
      </c>
      <c r="Q553">
        <v>20230216</v>
      </c>
    </row>
    <row r="554" spans="1:17" x14ac:dyDescent="0.25">
      <c r="A554" t="s">
        <v>548</v>
      </c>
      <c r="B554" t="s">
        <v>429</v>
      </c>
      <c r="C554">
        <v>57</v>
      </c>
      <c r="D554">
        <v>20230216</v>
      </c>
      <c r="E554">
        <f t="shared" si="8"/>
        <v>2</v>
      </c>
      <c r="F554">
        <v>411100</v>
      </c>
      <c r="G554" t="s">
        <v>18</v>
      </c>
      <c r="H554" t="s">
        <v>800</v>
      </c>
      <c r="I554" t="s">
        <v>801</v>
      </c>
      <c r="J554">
        <v>366179</v>
      </c>
      <c r="K554">
        <v>20230216</v>
      </c>
      <c r="L554" t="s">
        <v>5259</v>
      </c>
      <c r="M554">
        <v>0</v>
      </c>
      <c r="N554">
        <v>8</v>
      </c>
      <c r="O554" t="s">
        <v>19</v>
      </c>
      <c r="P554" t="s">
        <v>20</v>
      </c>
      <c r="Q554">
        <v>20230216</v>
      </c>
    </row>
    <row r="555" spans="1:17" x14ac:dyDescent="0.25">
      <c r="A555" t="s">
        <v>548</v>
      </c>
      <c r="B555" t="s">
        <v>429</v>
      </c>
      <c r="C555">
        <v>57</v>
      </c>
      <c r="D555">
        <v>20230216</v>
      </c>
      <c r="E555">
        <f t="shared" si="8"/>
        <v>2</v>
      </c>
      <c r="F555">
        <v>411100</v>
      </c>
      <c r="G555" t="s">
        <v>18</v>
      </c>
      <c r="H555" t="s">
        <v>73</v>
      </c>
      <c r="I555" t="s">
        <v>74</v>
      </c>
      <c r="J555">
        <v>366180</v>
      </c>
      <c r="K555">
        <v>20230216</v>
      </c>
      <c r="L555" t="s">
        <v>5260</v>
      </c>
      <c r="M555">
        <v>0</v>
      </c>
      <c r="N555">
        <v>4</v>
      </c>
      <c r="O555" t="s">
        <v>19</v>
      </c>
      <c r="P555" t="s">
        <v>20</v>
      </c>
      <c r="Q555">
        <v>20230216</v>
      </c>
    </row>
    <row r="556" spans="1:17" x14ac:dyDescent="0.25">
      <c r="A556" t="s">
        <v>548</v>
      </c>
      <c r="B556" t="s">
        <v>429</v>
      </c>
      <c r="C556">
        <v>57</v>
      </c>
      <c r="D556">
        <v>20230216</v>
      </c>
      <c r="E556">
        <f t="shared" si="8"/>
        <v>2</v>
      </c>
      <c r="F556">
        <v>411100</v>
      </c>
      <c r="G556" t="s">
        <v>18</v>
      </c>
      <c r="H556" t="s">
        <v>1172</v>
      </c>
      <c r="I556" t="s">
        <v>1173</v>
      </c>
      <c r="J556">
        <v>366181</v>
      </c>
      <c r="K556">
        <v>20230216</v>
      </c>
      <c r="L556" t="s">
        <v>5261</v>
      </c>
      <c r="M556">
        <v>0</v>
      </c>
      <c r="N556">
        <v>4</v>
      </c>
      <c r="O556" t="s">
        <v>19</v>
      </c>
      <c r="P556" t="s">
        <v>20</v>
      </c>
      <c r="Q556">
        <v>20230216</v>
      </c>
    </row>
    <row r="557" spans="1:17" x14ac:dyDescent="0.25">
      <c r="A557" t="s">
        <v>548</v>
      </c>
      <c r="B557" t="s">
        <v>429</v>
      </c>
      <c r="C557">
        <v>57</v>
      </c>
      <c r="D557">
        <v>20230216</v>
      </c>
      <c r="E557">
        <f t="shared" si="8"/>
        <v>2</v>
      </c>
      <c r="F557">
        <v>411100</v>
      </c>
      <c r="G557" t="s">
        <v>18</v>
      </c>
      <c r="H557" t="s">
        <v>5195</v>
      </c>
      <c r="I557" t="s">
        <v>5196</v>
      </c>
      <c r="J557">
        <v>366182</v>
      </c>
      <c r="K557">
        <v>20230216</v>
      </c>
      <c r="L557" t="s">
        <v>5262</v>
      </c>
      <c r="M557">
        <v>0</v>
      </c>
      <c r="N557">
        <v>4</v>
      </c>
      <c r="O557" t="s">
        <v>19</v>
      </c>
      <c r="P557" t="s">
        <v>20</v>
      </c>
      <c r="Q557">
        <v>20230216</v>
      </c>
    </row>
    <row r="558" spans="1:17" x14ac:dyDescent="0.25">
      <c r="A558" t="s">
        <v>548</v>
      </c>
      <c r="B558" t="s">
        <v>429</v>
      </c>
      <c r="C558">
        <v>57</v>
      </c>
      <c r="D558">
        <v>20230216</v>
      </c>
      <c r="E558">
        <f t="shared" si="8"/>
        <v>2</v>
      </c>
      <c r="F558">
        <v>411100</v>
      </c>
      <c r="G558" t="s">
        <v>18</v>
      </c>
      <c r="H558" t="s">
        <v>5192</v>
      </c>
      <c r="I558" t="s">
        <v>5193</v>
      </c>
      <c r="J558">
        <v>366183</v>
      </c>
      <c r="K558">
        <v>20230216</v>
      </c>
      <c r="L558" t="s">
        <v>5263</v>
      </c>
      <c r="M558">
        <v>0</v>
      </c>
      <c r="N558">
        <v>4</v>
      </c>
      <c r="O558" t="s">
        <v>19</v>
      </c>
      <c r="P558" t="s">
        <v>20</v>
      </c>
      <c r="Q558">
        <v>20230216</v>
      </c>
    </row>
    <row r="559" spans="1:17" x14ac:dyDescent="0.25">
      <c r="A559" t="s">
        <v>548</v>
      </c>
      <c r="B559" t="s">
        <v>429</v>
      </c>
      <c r="C559">
        <v>57</v>
      </c>
      <c r="D559">
        <v>20230216</v>
      </c>
      <c r="E559">
        <f t="shared" si="8"/>
        <v>2</v>
      </c>
      <c r="F559">
        <v>411100</v>
      </c>
      <c r="G559" t="s">
        <v>18</v>
      </c>
      <c r="H559" t="s">
        <v>259</v>
      </c>
      <c r="I559" t="s">
        <v>260</v>
      </c>
      <c r="J559">
        <v>366184</v>
      </c>
      <c r="K559">
        <v>20230216</v>
      </c>
      <c r="L559" t="s">
        <v>5264</v>
      </c>
      <c r="M559">
        <v>0</v>
      </c>
      <c r="N559">
        <v>4</v>
      </c>
      <c r="O559" t="s">
        <v>19</v>
      </c>
      <c r="P559" t="s">
        <v>20</v>
      </c>
      <c r="Q559">
        <v>20230216</v>
      </c>
    </row>
    <row r="560" spans="1:17" x14ac:dyDescent="0.25">
      <c r="A560" t="s">
        <v>548</v>
      </c>
      <c r="B560" t="s">
        <v>429</v>
      </c>
      <c r="C560">
        <v>57</v>
      </c>
      <c r="D560">
        <v>20230216</v>
      </c>
      <c r="E560">
        <f t="shared" si="8"/>
        <v>2</v>
      </c>
      <c r="F560">
        <v>411100</v>
      </c>
      <c r="G560" t="s">
        <v>18</v>
      </c>
      <c r="H560" t="s">
        <v>259</v>
      </c>
      <c r="I560" t="s">
        <v>260</v>
      </c>
      <c r="J560">
        <v>366185</v>
      </c>
      <c r="K560">
        <v>20230216</v>
      </c>
      <c r="L560" t="s">
        <v>5265</v>
      </c>
      <c r="M560">
        <v>0</v>
      </c>
      <c r="N560">
        <v>4</v>
      </c>
      <c r="O560" t="s">
        <v>19</v>
      </c>
      <c r="P560" t="s">
        <v>20</v>
      </c>
      <c r="Q560">
        <v>20230216</v>
      </c>
    </row>
    <row r="561" spans="1:17" x14ac:dyDescent="0.25">
      <c r="A561" t="s">
        <v>548</v>
      </c>
      <c r="B561" t="s">
        <v>429</v>
      </c>
      <c r="C561">
        <v>57</v>
      </c>
      <c r="D561">
        <v>20230216</v>
      </c>
      <c r="E561">
        <f t="shared" si="8"/>
        <v>2</v>
      </c>
      <c r="F561">
        <v>411100</v>
      </c>
      <c r="G561" t="s">
        <v>18</v>
      </c>
      <c r="H561" t="s">
        <v>77</v>
      </c>
      <c r="I561" t="s">
        <v>78</v>
      </c>
      <c r="J561">
        <v>366186</v>
      </c>
      <c r="K561">
        <v>20230216</v>
      </c>
      <c r="L561" t="s">
        <v>5266</v>
      </c>
      <c r="M561">
        <v>0</v>
      </c>
      <c r="N561">
        <v>12</v>
      </c>
      <c r="O561" t="s">
        <v>19</v>
      </c>
      <c r="P561" t="s">
        <v>20</v>
      </c>
      <c r="Q561">
        <v>20230216</v>
      </c>
    </row>
    <row r="562" spans="1:17" x14ac:dyDescent="0.25">
      <c r="A562" t="s">
        <v>548</v>
      </c>
      <c r="B562" t="s">
        <v>429</v>
      </c>
      <c r="C562">
        <v>57</v>
      </c>
      <c r="D562">
        <v>20230216</v>
      </c>
      <c r="E562">
        <f t="shared" si="8"/>
        <v>2</v>
      </c>
      <c r="F562">
        <v>411100</v>
      </c>
      <c r="G562" t="s">
        <v>18</v>
      </c>
      <c r="H562" t="s">
        <v>3901</v>
      </c>
      <c r="I562" t="s">
        <v>3902</v>
      </c>
      <c r="J562">
        <v>366187</v>
      </c>
      <c r="K562">
        <v>20230216</v>
      </c>
      <c r="L562" t="s">
        <v>5267</v>
      </c>
      <c r="M562">
        <v>0</v>
      </c>
      <c r="N562">
        <v>4</v>
      </c>
      <c r="O562" t="s">
        <v>19</v>
      </c>
      <c r="P562" t="s">
        <v>20</v>
      </c>
      <c r="Q562">
        <v>20230216</v>
      </c>
    </row>
    <row r="563" spans="1:17" x14ac:dyDescent="0.25">
      <c r="A563" t="s">
        <v>548</v>
      </c>
      <c r="B563" t="s">
        <v>429</v>
      </c>
      <c r="C563">
        <v>57</v>
      </c>
      <c r="D563">
        <v>20230216</v>
      </c>
      <c r="E563">
        <f t="shared" si="8"/>
        <v>2</v>
      </c>
      <c r="F563">
        <v>411100</v>
      </c>
      <c r="G563" t="s">
        <v>18</v>
      </c>
      <c r="H563" t="s">
        <v>5195</v>
      </c>
      <c r="I563" t="s">
        <v>5196</v>
      </c>
      <c r="J563">
        <v>366188</v>
      </c>
      <c r="K563">
        <v>20230216</v>
      </c>
      <c r="L563" t="s">
        <v>5268</v>
      </c>
      <c r="M563">
        <v>0</v>
      </c>
      <c r="N563">
        <v>10.5</v>
      </c>
      <c r="O563" t="s">
        <v>19</v>
      </c>
      <c r="P563" t="s">
        <v>20</v>
      </c>
      <c r="Q563">
        <v>20230216</v>
      </c>
    </row>
    <row r="564" spans="1:17" x14ac:dyDescent="0.25">
      <c r="A564" t="s">
        <v>548</v>
      </c>
      <c r="B564" t="s">
        <v>429</v>
      </c>
      <c r="C564">
        <v>57</v>
      </c>
      <c r="D564">
        <v>20230216</v>
      </c>
      <c r="E564">
        <f t="shared" si="8"/>
        <v>2</v>
      </c>
      <c r="F564">
        <v>531105</v>
      </c>
      <c r="G564" t="s">
        <v>429</v>
      </c>
      <c r="H564" t="s">
        <v>401</v>
      </c>
      <c r="I564" t="s">
        <v>402</v>
      </c>
      <c r="J564">
        <v>366189</v>
      </c>
      <c r="K564">
        <v>20230216</v>
      </c>
      <c r="L564" t="s">
        <v>565</v>
      </c>
      <c r="M564">
        <v>66.5</v>
      </c>
      <c r="N564">
        <v>0</v>
      </c>
      <c r="O564" t="s">
        <v>19</v>
      </c>
      <c r="P564" t="s">
        <v>20</v>
      </c>
      <c r="Q564">
        <v>20230216</v>
      </c>
    </row>
    <row r="565" spans="1:17" x14ac:dyDescent="0.25">
      <c r="A565" t="s">
        <v>548</v>
      </c>
      <c r="B565" t="s">
        <v>429</v>
      </c>
      <c r="C565">
        <v>57</v>
      </c>
      <c r="D565">
        <v>20230216</v>
      </c>
      <c r="E565">
        <f t="shared" si="8"/>
        <v>2</v>
      </c>
      <c r="F565">
        <v>411020</v>
      </c>
      <c r="G565" t="s">
        <v>30</v>
      </c>
      <c r="H565" t="s">
        <v>3631</v>
      </c>
      <c r="I565" t="s">
        <v>3632</v>
      </c>
      <c r="J565">
        <v>323010002</v>
      </c>
      <c r="K565">
        <v>20230216</v>
      </c>
      <c r="L565" t="s">
        <v>5269</v>
      </c>
      <c r="M565">
        <v>0</v>
      </c>
      <c r="N565">
        <v>119.32</v>
      </c>
      <c r="O565" t="s">
        <v>19</v>
      </c>
      <c r="P565" t="s">
        <v>20</v>
      </c>
      <c r="Q565">
        <v>20230216</v>
      </c>
    </row>
    <row r="566" spans="1:17" x14ac:dyDescent="0.25">
      <c r="A566" t="s">
        <v>548</v>
      </c>
      <c r="B566" t="s">
        <v>429</v>
      </c>
      <c r="C566">
        <v>57</v>
      </c>
      <c r="D566">
        <v>20230216</v>
      </c>
      <c r="E566">
        <f t="shared" si="8"/>
        <v>2</v>
      </c>
      <c r="F566">
        <v>411020</v>
      </c>
      <c r="G566" t="s">
        <v>30</v>
      </c>
      <c r="H566" t="s">
        <v>3631</v>
      </c>
      <c r="I566" t="s">
        <v>3632</v>
      </c>
      <c r="J566">
        <v>323010002</v>
      </c>
      <c r="K566">
        <v>20230216</v>
      </c>
      <c r="L566" t="s">
        <v>5270</v>
      </c>
      <c r="M566">
        <v>0</v>
      </c>
      <c r="N566">
        <v>10.68</v>
      </c>
      <c r="O566" t="s">
        <v>19</v>
      </c>
      <c r="P566" t="s">
        <v>20</v>
      </c>
      <c r="Q566">
        <v>20230216</v>
      </c>
    </row>
    <row r="567" spans="1:17" x14ac:dyDescent="0.25">
      <c r="A567" t="s">
        <v>548</v>
      </c>
      <c r="B567" t="s">
        <v>429</v>
      </c>
      <c r="C567">
        <v>57</v>
      </c>
      <c r="D567">
        <v>20230216</v>
      </c>
      <c r="E567">
        <f t="shared" si="8"/>
        <v>2</v>
      </c>
      <c r="F567">
        <v>531105</v>
      </c>
      <c r="G567" t="s">
        <v>429</v>
      </c>
      <c r="H567" t="s">
        <v>401</v>
      </c>
      <c r="I567" t="s">
        <v>402</v>
      </c>
      <c r="J567">
        <v>367254</v>
      </c>
      <c r="K567">
        <v>20230216</v>
      </c>
      <c r="L567" t="s">
        <v>565</v>
      </c>
      <c r="M567">
        <v>130</v>
      </c>
      <c r="N567">
        <v>0</v>
      </c>
      <c r="O567" t="s">
        <v>19</v>
      </c>
      <c r="P567" t="s">
        <v>20</v>
      </c>
      <c r="Q567">
        <v>20230216</v>
      </c>
    </row>
    <row r="568" spans="1:17" x14ac:dyDescent="0.25">
      <c r="A568" t="s">
        <v>548</v>
      </c>
      <c r="B568" t="s">
        <v>429</v>
      </c>
      <c r="C568">
        <v>57</v>
      </c>
      <c r="D568">
        <v>20230217</v>
      </c>
      <c r="E568">
        <f t="shared" si="8"/>
        <v>2</v>
      </c>
      <c r="F568">
        <v>411100</v>
      </c>
      <c r="G568" t="s">
        <v>18</v>
      </c>
      <c r="H568" t="s">
        <v>800</v>
      </c>
      <c r="I568" t="s">
        <v>801</v>
      </c>
      <c r="J568">
        <v>123020154</v>
      </c>
      <c r="K568">
        <v>20230217</v>
      </c>
      <c r="L568" t="s">
        <v>5271</v>
      </c>
      <c r="M568">
        <v>0</v>
      </c>
      <c r="N568">
        <v>7</v>
      </c>
      <c r="O568" t="s">
        <v>19</v>
      </c>
      <c r="P568" t="s">
        <v>20</v>
      </c>
      <c r="Q568">
        <v>20230217</v>
      </c>
    </row>
    <row r="569" spans="1:17" x14ac:dyDescent="0.25">
      <c r="A569" t="s">
        <v>548</v>
      </c>
      <c r="B569" t="s">
        <v>429</v>
      </c>
      <c r="C569">
        <v>57</v>
      </c>
      <c r="D569">
        <v>20230217</v>
      </c>
      <c r="E569">
        <f t="shared" si="8"/>
        <v>2</v>
      </c>
      <c r="F569">
        <v>411100</v>
      </c>
      <c r="G569" t="s">
        <v>18</v>
      </c>
      <c r="H569" t="s">
        <v>73</v>
      </c>
      <c r="I569" t="s">
        <v>74</v>
      </c>
      <c r="J569">
        <v>123020177</v>
      </c>
      <c r="K569">
        <v>20230217</v>
      </c>
      <c r="L569" t="s">
        <v>5272</v>
      </c>
      <c r="M569">
        <v>0</v>
      </c>
      <c r="N569">
        <v>5.5</v>
      </c>
      <c r="O569" t="s">
        <v>19</v>
      </c>
      <c r="P569" t="s">
        <v>20</v>
      </c>
      <c r="Q569">
        <v>20230217</v>
      </c>
    </row>
    <row r="570" spans="1:17" x14ac:dyDescent="0.25">
      <c r="A570" t="s">
        <v>548</v>
      </c>
      <c r="B570" t="s">
        <v>429</v>
      </c>
      <c r="C570">
        <v>57</v>
      </c>
      <c r="D570">
        <v>20230217</v>
      </c>
      <c r="E570">
        <f t="shared" si="8"/>
        <v>2</v>
      </c>
      <c r="F570">
        <v>411100</v>
      </c>
      <c r="G570" t="s">
        <v>18</v>
      </c>
      <c r="H570" t="s">
        <v>259</v>
      </c>
      <c r="I570" t="s">
        <v>260</v>
      </c>
      <c r="J570">
        <v>123020015</v>
      </c>
      <c r="K570">
        <v>20230217</v>
      </c>
      <c r="L570" t="s">
        <v>5273</v>
      </c>
      <c r="M570">
        <v>0</v>
      </c>
      <c r="N570">
        <v>4</v>
      </c>
      <c r="O570" t="s">
        <v>19</v>
      </c>
      <c r="P570" t="s">
        <v>20</v>
      </c>
      <c r="Q570">
        <v>20230217</v>
      </c>
    </row>
    <row r="571" spans="1:17" x14ac:dyDescent="0.25">
      <c r="A571" t="s">
        <v>548</v>
      </c>
      <c r="B571" t="s">
        <v>429</v>
      </c>
      <c r="C571">
        <v>57</v>
      </c>
      <c r="D571">
        <v>20230217</v>
      </c>
      <c r="E571">
        <f t="shared" si="8"/>
        <v>2</v>
      </c>
      <c r="F571">
        <v>411100</v>
      </c>
      <c r="G571" t="s">
        <v>18</v>
      </c>
      <c r="H571" t="s">
        <v>5192</v>
      </c>
      <c r="I571" t="s">
        <v>5193</v>
      </c>
      <c r="J571">
        <v>123020133</v>
      </c>
      <c r="K571">
        <v>20230217</v>
      </c>
      <c r="L571" t="s">
        <v>5274</v>
      </c>
      <c r="M571">
        <v>0</v>
      </c>
      <c r="N571">
        <v>2</v>
      </c>
      <c r="O571" t="s">
        <v>19</v>
      </c>
      <c r="P571" t="s">
        <v>20</v>
      </c>
      <c r="Q571">
        <v>20230217</v>
      </c>
    </row>
    <row r="572" spans="1:17" x14ac:dyDescent="0.25">
      <c r="A572" t="s">
        <v>548</v>
      </c>
      <c r="B572" t="s">
        <v>429</v>
      </c>
      <c r="C572">
        <v>57</v>
      </c>
      <c r="D572">
        <v>20230217</v>
      </c>
      <c r="E572">
        <f t="shared" si="8"/>
        <v>2</v>
      </c>
      <c r="F572">
        <v>411100</v>
      </c>
      <c r="G572" t="s">
        <v>18</v>
      </c>
      <c r="H572" t="s">
        <v>5195</v>
      </c>
      <c r="I572" t="s">
        <v>5196</v>
      </c>
      <c r="J572">
        <v>123020104</v>
      </c>
      <c r="K572">
        <v>20230217</v>
      </c>
      <c r="L572" t="s">
        <v>5275</v>
      </c>
      <c r="M572">
        <v>0</v>
      </c>
      <c r="N572">
        <v>2</v>
      </c>
      <c r="O572" t="s">
        <v>19</v>
      </c>
      <c r="P572" t="s">
        <v>20</v>
      </c>
      <c r="Q572">
        <v>20230217</v>
      </c>
    </row>
    <row r="573" spans="1:17" x14ac:dyDescent="0.25">
      <c r="A573" t="s">
        <v>548</v>
      </c>
      <c r="B573" t="s">
        <v>429</v>
      </c>
      <c r="C573">
        <v>57</v>
      </c>
      <c r="D573">
        <v>20230217</v>
      </c>
      <c r="E573">
        <f t="shared" si="8"/>
        <v>2</v>
      </c>
      <c r="F573">
        <v>411100</v>
      </c>
      <c r="G573" t="s">
        <v>18</v>
      </c>
      <c r="H573" t="s">
        <v>1911</v>
      </c>
      <c r="I573" t="s">
        <v>1912</v>
      </c>
      <c r="J573">
        <v>123020045</v>
      </c>
      <c r="K573">
        <v>20230217</v>
      </c>
      <c r="L573" t="s">
        <v>5276</v>
      </c>
      <c r="M573">
        <v>0</v>
      </c>
      <c r="N573">
        <v>2</v>
      </c>
      <c r="O573" t="s">
        <v>19</v>
      </c>
      <c r="P573" t="s">
        <v>20</v>
      </c>
      <c r="Q573">
        <v>20230217</v>
      </c>
    </row>
    <row r="574" spans="1:17" x14ac:dyDescent="0.25">
      <c r="A574" t="s">
        <v>548</v>
      </c>
      <c r="B574" t="s">
        <v>429</v>
      </c>
      <c r="C574">
        <v>57</v>
      </c>
      <c r="D574">
        <v>20230217</v>
      </c>
      <c r="E574">
        <f t="shared" si="8"/>
        <v>2</v>
      </c>
      <c r="F574">
        <v>411100</v>
      </c>
      <c r="G574" t="s">
        <v>18</v>
      </c>
      <c r="H574" t="s">
        <v>3901</v>
      </c>
      <c r="I574" t="s">
        <v>3902</v>
      </c>
      <c r="J574">
        <v>123020128</v>
      </c>
      <c r="K574">
        <v>20230217</v>
      </c>
      <c r="L574" t="s">
        <v>5277</v>
      </c>
      <c r="M574">
        <v>0</v>
      </c>
      <c r="N574">
        <v>2</v>
      </c>
      <c r="O574" t="s">
        <v>19</v>
      </c>
      <c r="P574" t="s">
        <v>20</v>
      </c>
      <c r="Q574">
        <v>20230217</v>
      </c>
    </row>
    <row r="575" spans="1:17" x14ac:dyDescent="0.25">
      <c r="A575" t="s">
        <v>548</v>
      </c>
      <c r="B575" t="s">
        <v>429</v>
      </c>
      <c r="C575">
        <v>57</v>
      </c>
      <c r="D575">
        <v>20230217</v>
      </c>
      <c r="E575">
        <f t="shared" si="8"/>
        <v>2</v>
      </c>
      <c r="F575">
        <v>411100</v>
      </c>
      <c r="G575" t="s">
        <v>18</v>
      </c>
      <c r="H575" t="s">
        <v>77</v>
      </c>
      <c r="I575" t="s">
        <v>78</v>
      </c>
      <c r="J575">
        <v>123020101</v>
      </c>
      <c r="K575">
        <v>20230217</v>
      </c>
      <c r="L575" t="s">
        <v>5278</v>
      </c>
      <c r="M575">
        <v>0</v>
      </c>
      <c r="N575">
        <v>6</v>
      </c>
      <c r="O575" t="s">
        <v>19</v>
      </c>
      <c r="P575" t="s">
        <v>20</v>
      </c>
      <c r="Q575">
        <v>20230217</v>
      </c>
    </row>
    <row r="576" spans="1:17" x14ac:dyDescent="0.25">
      <c r="A576" t="s">
        <v>548</v>
      </c>
      <c r="B576" t="s">
        <v>429</v>
      </c>
      <c r="C576">
        <v>57</v>
      </c>
      <c r="D576">
        <v>20230217</v>
      </c>
      <c r="E576">
        <f t="shared" si="8"/>
        <v>2</v>
      </c>
      <c r="F576">
        <v>411100</v>
      </c>
      <c r="G576" t="s">
        <v>18</v>
      </c>
      <c r="H576" t="s">
        <v>5279</v>
      </c>
      <c r="I576" t="s">
        <v>5280</v>
      </c>
      <c r="J576">
        <v>123020153</v>
      </c>
      <c r="K576">
        <v>20230217</v>
      </c>
      <c r="L576" t="s">
        <v>5281</v>
      </c>
      <c r="M576">
        <v>0</v>
      </c>
      <c r="N576">
        <v>2</v>
      </c>
      <c r="O576" t="s">
        <v>19</v>
      </c>
      <c r="P576" t="s">
        <v>20</v>
      </c>
      <c r="Q576">
        <v>20230217</v>
      </c>
    </row>
    <row r="577" spans="1:17" x14ac:dyDescent="0.25">
      <c r="A577" t="s">
        <v>548</v>
      </c>
      <c r="B577" t="s">
        <v>429</v>
      </c>
      <c r="C577">
        <v>57</v>
      </c>
      <c r="D577">
        <v>20230217</v>
      </c>
      <c r="E577">
        <f t="shared" si="8"/>
        <v>2</v>
      </c>
      <c r="F577">
        <v>531105</v>
      </c>
      <c r="G577" t="s">
        <v>429</v>
      </c>
      <c r="H577" t="s">
        <v>401</v>
      </c>
      <c r="I577" t="s">
        <v>402</v>
      </c>
      <c r="J577">
        <v>366690</v>
      </c>
      <c r="K577">
        <v>20230217</v>
      </c>
      <c r="L577" t="s">
        <v>565</v>
      </c>
      <c r="M577">
        <v>32.5</v>
      </c>
      <c r="N577">
        <v>0</v>
      </c>
      <c r="O577" t="s">
        <v>19</v>
      </c>
      <c r="P577" t="s">
        <v>20</v>
      </c>
      <c r="Q577">
        <v>20230217</v>
      </c>
    </row>
    <row r="578" spans="1:17" x14ac:dyDescent="0.25">
      <c r="A578" t="s">
        <v>548</v>
      </c>
      <c r="B578" t="s">
        <v>429</v>
      </c>
      <c r="C578">
        <v>57</v>
      </c>
      <c r="D578">
        <v>20230220</v>
      </c>
      <c r="E578">
        <f t="shared" si="8"/>
        <v>2</v>
      </c>
      <c r="F578">
        <v>467100</v>
      </c>
      <c r="G578" t="s">
        <v>160</v>
      </c>
      <c r="H578" t="s">
        <v>1201</v>
      </c>
      <c r="I578" t="s">
        <v>1202</v>
      </c>
      <c r="J578" t="s">
        <v>5282</v>
      </c>
      <c r="K578">
        <v>20230220</v>
      </c>
      <c r="L578" t="s">
        <v>5283</v>
      </c>
      <c r="M578">
        <v>56.54</v>
      </c>
      <c r="N578">
        <v>0</v>
      </c>
      <c r="O578" t="s">
        <v>23</v>
      </c>
      <c r="P578">
        <v>20230308</v>
      </c>
      <c r="Q578">
        <v>20230220</v>
      </c>
    </row>
    <row r="579" spans="1:17" x14ac:dyDescent="0.25">
      <c r="A579" t="s">
        <v>548</v>
      </c>
      <c r="B579" t="s">
        <v>429</v>
      </c>
      <c r="C579">
        <v>57</v>
      </c>
      <c r="D579">
        <v>20230220</v>
      </c>
      <c r="E579">
        <f t="shared" ref="E579:E642" si="9">VALUE(MID(D579,5,2))</f>
        <v>2</v>
      </c>
      <c r="F579">
        <v>531105</v>
      </c>
      <c r="G579" t="s">
        <v>429</v>
      </c>
      <c r="H579" t="s">
        <v>401</v>
      </c>
      <c r="I579" t="s">
        <v>402</v>
      </c>
      <c r="J579" t="s">
        <v>5282</v>
      </c>
      <c r="K579">
        <v>20230220</v>
      </c>
      <c r="L579" t="s">
        <v>5283</v>
      </c>
      <c r="M579">
        <v>0</v>
      </c>
      <c r="N579">
        <v>56.54</v>
      </c>
      <c r="O579" t="s">
        <v>19</v>
      </c>
      <c r="P579" t="s">
        <v>20</v>
      </c>
      <c r="Q579">
        <v>20230220</v>
      </c>
    </row>
    <row r="580" spans="1:17" x14ac:dyDescent="0.25">
      <c r="A580" t="s">
        <v>548</v>
      </c>
      <c r="B580" t="s">
        <v>429</v>
      </c>
      <c r="C580">
        <v>57</v>
      </c>
      <c r="D580">
        <v>20230220</v>
      </c>
      <c r="E580">
        <f t="shared" si="9"/>
        <v>2</v>
      </c>
      <c r="F580">
        <v>467100</v>
      </c>
      <c r="G580" t="s">
        <v>160</v>
      </c>
      <c r="H580" t="s">
        <v>4958</v>
      </c>
      <c r="I580" t="s">
        <v>4959</v>
      </c>
      <c r="J580" t="s">
        <v>5284</v>
      </c>
      <c r="K580">
        <v>20230220</v>
      </c>
      <c r="L580" t="s">
        <v>5285</v>
      </c>
      <c r="M580">
        <v>0</v>
      </c>
      <c r="N580">
        <v>18.05</v>
      </c>
      <c r="O580" t="s">
        <v>23</v>
      </c>
      <c r="P580">
        <v>20230308</v>
      </c>
      <c r="Q580">
        <v>20230220</v>
      </c>
    </row>
    <row r="581" spans="1:17" x14ac:dyDescent="0.25">
      <c r="A581" t="s">
        <v>548</v>
      </c>
      <c r="B581" t="s">
        <v>429</v>
      </c>
      <c r="C581">
        <v>57</v>
      </c>
      <c r="D581">
        <v>20230220</v>
      </c>
      <c r="E581">
        <f t="shared" si="9"/>
        <v>2</v>
      </c>
      <c r="F581">
        <v>531105</v>
      </c>
      <c r="G581" t="s">
        <v>429</v>
      </c>
      <c r="H581" t="s">
        <v>401</v>
      </c>
      <c r="I581" t="s">
        <v>402</v>
      </c>
      <c r="J581" t="s">
        <v>5284</v>
      </c>
      <c r="K581">
        <v>20230220</v>
      </c>
      <c r="L581" t="s">
        <v>5285</v>
      </c>
      <c r="M581">
        <v>18.05</v>
      </c>
      <c r="N581">
        <v>0</v>
      </c>
      <c r="O581" t="s">
        <v>19</v>
      </c>
      <c r="P581" t="s">
        <v>20</v>
      </c>
      <c r="Q581">
        <v>20230220</v>
      </c>
    </row>
    <row r="582" spans="1:17" x14ac:dyDescent="0.25">
      <c r="A582" t="s">
        <v>548</v>
      </c>
      <c r="B582" t="s">
        <v>429</v>
      </c>
      <c r="C582">
        <v>57</v>
      </c>
      <c r="D582">
        <v>20230220</v>
      </c>
      <c r="E582">
        <f t="shared" si="9"/>
        <v>2</v>
      </c>
      <c r="F582">
        <v>467100</v>
      </c>
      <c r="G582" t="s">
        <v>160</v>
      </c>
      <c r="H582" t="s">
        <v>4958</v>
      </c>
      <c r="I582" t="s">
        <v>4959</v>
      </c>
      <c r="J582" t="s">
        <v>5286</v>
      </c>
      <c r="K582">
        <v>20230220</v>
      </c>
      <c r="L582" t="s">
        <v>5287</v>
      </c>
      <c r="M582">
        <v>0</v>
      </c>
      <c r="N582">
        <v>91.44</v>
      </c>
      <c r="O582" t="s">
        <v>23</v>
      </c>
      <c r="P582">
        <v>20230308</v>
      </c>
      <c r="Q582">
        <v>20230220</v>
      </c>
    </row>
    <row r="583" spans="1:17" x14ac:dyDescent="0.25">
      <c r="A583" t="s">
        <v>548</v>
      </c>
      <c r="B583" t="s">
        <v>429</v>
      </c>
      <c r="C583">
        <v>57</v>
      </c>
      <c r="D583">
        <v>20230220</v>
      </c>
      <c r="E583">
        <f t="shared" si="9"/>
        <v>2</v>
      </c>
      <c r="F583">
        <v>531105</v>
      </c>
      <c r="G583" t="s">
        <v>429</v>
      </c>
      <c r="H583" t="s">
        <v>401</v>
      </c>
      <c r="I583" t="s">
        <v>402</v>
      </c>
      <c r="J583" t="s">
        <v>5286</v>
      </c>
      <c r="K583">
        <v>20230220</v>
      </c>
      <c r="L583" t="s">
        <v>5288</v>
      </c>
      <c r="M583">
        <v>91.44</v>
      </c>
      <c r="N583">
        <v>0</v>
      </c>
      <c r="O583" t="s">
        <v>19</v>
      </c>
      <c r="P583" t="s">
        <v>20</v>
      </c>
      <c r="Q583">
        <v>20230220</v>
      </c>
    </row>
    <row r="584" spans="1:17" x14ac:dyDescent="0.25">
      <c r="A584" t="s">
        <v>548</v>
      </c>
      <c r="B584" t="s">
        <v>429</v>
      </c>
      <c r="C584">
        <v>57</v>
      </c>
      <c r="D584">
        <v>20230220</v>
      </c>
      <c r="E584">
        <f t="shared" si="9"/>
        <v>2</v>
      </c>
      <c r="F584">
        <v>411100</v>
      </c>
      <c r="G584" t="s">
        <v>18</v>
      </c>
      <c r="H584" t="s">
        <v>291</v>
      </c>
      <c r="I584" t="s">
        <v>292</v>
      </c>
      <c r="J584">
        <v>123020161</v>
      </c>
      <c r="K584">
        <v>20230220</v>
      </c>
      <c r="L584" t="s">
        <v>5289</v>
      </c>
      <c r="M584">
        <v>0</v>
      </c>
      <c r="N584">
        <v>2</v>
      </c>
      <c r="O584" t="s">
        <v>19</v>
      </c>
      <c r="P584" t="s">
        <v>20</v>
      </c>
      <c r="Q584">
        <v>20230220</v>
      </c>
    </row>
    <row r="585" spans="1:17" x14ac:dyDescent="0.25">
      <c r="A585" t="s">
        <v>548</v>
      </c>
      <c r="B585" t="s">
        <v>429</v>
      </c>
      <c r="C585">
        <v>57</v>
      </c>
      <c r="D585">
        <v>20230220</v>
      </c>
      <c r="E585">
        <f t="shared" si="9"/>
        <v>2</v>
      </c>
      <c r="F585">
        <v>411100</v>
      </c>
      <c r="G585" t="s">
        <v>18</v>
      </c>
      <c r="H585" t="s">
        <v>1043</v>
      </c>
      <c r="I585" t="s">
        <v>1044</v>
      </c>
      <c r="J585">
        <v>123020141</v>
      </c>
      <c r="K585">
        <v>20230220</v>
      </c>
      <c r="L585" t="s">
        <v>5290</v>
      </c>
      <c r="M585">
        <v>0</v>
      </c>
      <c r="N585">
        <v>3</v>
      </c>
      <c r="O585" t="s">
        <v>23</v>
      </c>
      <c r="P585">
        <v>20230329</v>
      </c>
      <c r="Q585">
        <v>20230220</v>
      </c>
    </row>
    <row r="586" spans="1:17" x14ac:dyDescent="0.25">
      <c r="A586" t="s">
        <v>548</v>
      </c>
      <c r="B586" t="s">
        <v>429</v>
      </c>
      <c r="C586">
        <v>57</v>
      </c>
      <c r="D586">
        <v>20230220</v>
      </c>
      <c r="E586">
        <f t="shared" si="9"/>
        <v>2</v>
      </c>
      <c r="F586">
        <v>411100</v>
      </c>
      <c r="G586" t="s">
        <v>18</v>
      </c>
      <c r="H586" t="s">
        <v>1774</v>
      </c>
      <c r="I586" t="s">
        <v>1775</v>
      </c>
      <c r="J586">
        <v>123020147</v>
      </c>
      <c r="K586">
        <v>20230220</v>
      </c>
      <c r="L586" t="s">
        <v>5291</v>
      </c>
      <c r="M586">
        <v>0</v>
      </c>
      <c r="N586">
        <v>2</v>
      </c>
      <c r="O586" t="s">
        <v>23</v>
      </c>
      <c r="P586">
        <v>20230329</v>
      </c>
      <c r="Q586">
        <v>20230220</v>
      </c>
    </row>
    <row r="587" spans="1:17" x14ac:dyDescent="0.25">
      <c r="A587" t="s">
        <v>548</v>
      </c>
      <c r="B587" t="s">
        <v>429</v>
      </c>
      <c r="C587">
        <v>57</v>
      </c>
      <c r="D587">
        <v>20230220</v>
      </c>
      <c r="E587">
        <f t="shared" si="9"/>
        <v>2</v>
      </c>
      <c r="F587">
        <v>411100</v>
      </c>
      <c r="G587" t="s">
        <v>18</v>
      </c>
      <c r="H587" t="s">
        <v>817</v>
      </c>
      <c r="I587" t="s">
        <v>818</v>
      </c>
      <c r="J587">
        <v>123020019</v>
      </c>
      <c r="K587">
        <v>20230220</v>
      </c>
      <c r="L587" t="s">
        <v>5292</v>
      </c>
      <c r="M587">
        <v>0</v>
      </c>
      <c r="N587">
        <v>1</v>
      </c>
      <c r="O587" t="s">
        <v>19</v>
      </c>
      <c r="P587" t="s">
        <v>20</v>
      </c>
      <c r="Q587">
        <v>20230220</v>
      </c>
    </row>
    <row r="588" spans="1:17" x14ac:dyDescent="0.25">
      <c r="A588" t="s">
        <v>548</v>
      </c>
      <c r="B588" t="s">
        <v>429</v>
      </c>
      <c r="C588">
        <v>57</v>
      </c>
      <c r="D588">
        <v>20230220</v>
      </c>
      <c r="E588">
        <f t="shared" si="9"/>
        <v>2</v>
      </c>
      <c r="F588">
        <v>411100</v>
      </c>
      <c r="G588" t="s">
        <v>18</v>
      </c>
      <c r="H588" t="s">
        <v>734</v>
      </c>
      <c r="I588" t="s">
        <v>735</v>
      </c>
      <c r="J588">
        <v>123020087</v>
      </c>
      <c r="K588">
        <v>20230220</v>
      </c>
      <c r="L588" t="s">
        <v>5293</v>
      </c>
      <c r="M588">
        <v>0</v>
      </c>
      <c r="N588">
        <v>1</v>
      </c>
      <c r="O588" t="s">
        <v>19</v>
      </c>
      <c r="P588" t="s">
        <v>20</v>
      </c>
      <c r="Q588">
        <v>20230220</v>
      </c>
    </row>
    <row r="589" spans="1:17" x14ac:dyDescent="0.25">
      <c r="A589" t="s">
        <v>548</v>
      </c>
      <c r="B589" t="s">
        <v>429</v>
      </c>
      <c r="C589">
        <v>57</v>
      </c>
      <c r="D589">
        <v>20230220</v>
      </c>
      <c r="E589">
        <f t="shared" si="9"/>
        <v>2</v>
      </c>
      <c r="F589">
        <v>531105</v>
      </c>
      <c r="G589" t="s">
        <v>429</v>
      </c>
      <c r="H589" t="s">
        <v>401</v>
      </c>
      <c r="I589" t="s">
        <v>402</v>
      </c>
      <c r="J589">
        <v>366696</v>
      </c>
      <c r="K589">
        <v>20230220</v>
      </c>
      <c r="L589" t="s">
        <v>565</v>
      </c>
      <c r="M589">
        <v>9</v>
      </c>
      <c r="N589">
        <v>0</v>
      </c>
      <c r="O589" t="s">
        <v>19</v>
      </c>
      <c r="P589" t="s">
        <v>20</v>
      </c>
      <c r="Q589">
        <v>20230220</v>
      </c>
    </row>
    <row r="590" spans="1:17" x14ac:dyDescent="0.25">
      <c r="A590" t="s">
        <v>548</v>
      </c>
      <c r="B590" t="s">
        <v>429</v>
      </c>
      <c r="C590">
        <v>57</v>
      </c>
      <c r="D590">
        <v>20230220</v>
      </c>
      <c r="E590">
        <f t="shared" si="9"/>
        <v>2</v>
      </c>
      <c r="F590">
        <v>411100</v>
      </c>
      <c r="G590" t="s">
        <v>18</v>
      </c>
      <c r="H590" t="s">
        <v>192</v>
      </c>
      <c r="I590" t="s">
        <v>193</v>
      </c>
      <c r="J590">
        <v>323010005</v>
      </c>
      <c r="K590">
        <v>20230220</v>
      </c>
      <c r="L590" t="s">
        <v>5294</v>
      </c>
      <c r="M590">
        <v>0</v>
      </c>
      <c r="N590">
        <v>50.45</v>
      </c>
      <c r="O590" t="s">
        <v>19</v>
      </c>
      <c r="P590" t="s">
        <v>20</v>
      </c>
      <c r="Q590">
        <v>20230220</v>
      </c>
    </row>
    <row r="591" spans="1:17" x14ac:dyDescent="0.25">
      <c r="A591" t="s">
        <v>548</v>
      </c>
      <c r="B591" t="s">
        <v>429</v>
      </c>
      <c r="C591">
        <v>57</v>
      </c>
      <c r="D591">
        <v>20230220</v>
      </c>
      <c r="E591">
        <f t="shared" si="9"/>
        <v>2</v>
      </c>
      <c r="F591">
        <v>531105</v>
      </c>
      <c r="G591" t="s">
        <v>429</v>
      </c>
      <c r="H591" t="s">
        <v>401</v>
      </c>
      <c r="I591" t="s">
        <v>402</v>
      </c>
      <c r="J591">
        <v>367256</v>
      </c>
      <c r="K591">
        <v>20230220</v>
      </c>
      <c r="L591" t="s">
        <v>565</v>
      </c>
      <c r="M591">
        <v>50.45</v>
      </c>
      <c r="N591">
        <v>0</v>
      </c>
      <c r="O591" t="s">
        <v>19</v>
      </c>
      <c r="P591" t="s">
        <v>20</v>
      </c>
      <c r="Q591">
        <v>20230220</v>
      </c>
    </row>
    <row r="592" spans="1:17" x14ac:dyDescent="0.25">
      <c r="A592" t="s">
        <v>548</v>
      </c>
      <c r="B592" t="s">
        <v>429</v>
      </c>
      <c r="C592">
        <v>57</v>
      </c>
      <c r="D592">
        <v>20230221</v>
      </c>
      <c r="E592">
        <f t="shared" si="9"/>
        <v>2</v>
      </c>
      <c r="F592">
        <v>467100</v>
      </c>
      <c r="G592" t="s">
        <v>160</v>
      </c>
      <c r="H592" t="s">
        <v>316</v>
      </c>
      <c r="I592" t="s">
        <v>317</v>
      </c>
      <c r="J592" t="s">
        <v>5295</v>
      </c>
      <c r="K592">
        <v>20230221</v>
      </c>
      <c r="L592" t="s">
        <v>5296</v>
      </c>
      <c r="M592">
        <v>0</v>
      </c>
      <c r="N592">
        <v>1.98</v>
      </c>
      <c r="O592" t="s">
        <v>23</v>
      </c>
      <c r="P592">
        <v>20230316</v>
      </c>
      <c r="Q592">
        <v>20230221</v>
      </c>
    </row>
    <row r="593" spans="1:17" x14ac:dyDescent="0.25">
      <c r="A593" t="s">
        <v>548</v>
      </c>
      <c r="B593" t="s">
        <v>429</v>
      </c>
      <c r="C593">
        <v>57</v>
      </c>
      <c r="D593">
        <v>20230221</v>
      </c>
      <c r="E593">
        <f t="shared" si="9"/>
        <v>2</v>
      </c>
      <c r="F593">
        <v>531105</v>
      </c>
      <c r="G593" t="s">
        <v>429</v>
      </c>
      <c r="H593" t="s">
        <v>401</v>
      </c>
      <c r="I593" t="s">
        <v>402</v>
      </c>
      <c r="J593" t="s">
        <v>5295</v>
      </c>
      <c r="K593">
        <v>20230221</v>
      </c>
      <c r="L593" t="s">
        <v>5296</v>
      </c>
      <c r="M593">
        <v>1.98</v>
      </c>
      <c r="N593">
        <v>0</v>
      </c>
      <c r="O593" t="s">
        <v>19</v>
      </c>
      <c r="P593" t="s">
        <v>20</v>
      </c>
      <c r="Q593">
        <v>20230221</v>
      </c>
    </row>
    <row r="594" spans="1:17" x14ac:dyDescent="0.25">
      <c r="A594" t="s">
        <v>548</v>
      </c>
      <c r="B594" t="s">
        <v>429</v>
      </c>
      <c r="C594">
        <v>57</v>
      </c>
      <c r="D594">
        <v>20230221</v>
      </c>
      <c r="E594">
        <f t="shared" si="9"/>
        <v>2</v>
      </c>
      <c r="F594">
        <v>411100</v>
      </c>
      <c r="G594" t="s">
        <v>18</v>
      </c>
      <c r="H594" t="s">
        <v>1911</v>
      </c>
      <c r="I594" t="s">
        <v>1912</v>
      </c>
      <c r="J594">
        <v>123020045</v>
      </c>
      <c r="K594">
        <v>20230221</v>
      </c>
      <c r="L594" t="s">
        <v>5297</v>
      </c>
      <c r="M594">
        <v>0</v>
      </c>
      <c r="N594">
        <v>5</v>
      </c>
      <c r="O594" t="s">
        <v>19</v>
      </c>
      <c r="P594" t="s">
        <v>20</v>
      </c>
      <c r="Q594">
        <v>20230221</v>
      </c>
    </row>
    <row r="595" spans="1:17" x14ac:dyDescent="0.25">
      <c r="A595" t="s">
        <v>548</v>
      </c>
      <c r="B595" t="s">
        <v>429</v>
      </c>
      <c r="C595">
        <v>57</v>
      </c>
      <c r="D595">
        <v>20230221</v>
      </c>
      <c r="E595">
        <f t="shared" si="9"/>
        <v>2</v>
      </c>
      <c r="F595">
        <v>411100</v>
      </c>
      <c r="G595" t="s">
        <v>18</v>
      </c>
      <c r="H595" t="s">
        <v>3901</v>
      </c>
      <c r="I595" t="s">
        <v>3902</v>
      </c>
      <c r="J595">
        <v>123020128</v>
      </c>
      <c r="K595">
        <v>20230221</v>
      </c>
      <c r="L595" t="s">
        <v>5298</v>
      </c>
      <c r="M595">
        <v>0</v>
      </c>
      <c r="N595">
        <v>5</v>
      </c>
      <c r="O595" t="s">
        <v>19</v>
      </c>
      <c r="P595" t="s">
        <v>20</v>
      </c>
      <c r="Q595">
        <v>20230221</v>
      </c>
    </row>
    <row r="596" spans="1:17" x14ac:dyDescent="0.25">
      <c r="A596" t="s">
        <v>548</v>
      </c>
      <c r="B596" t="s">
        <v>429</v>
      </c>
      <c r="C596">
        <v>57</v>
      </c>
      <c r="D596">
        <v>20230221</v>
      </c>
      <c r="E596">
        <f t="shared" si="9"/>
        <v>2</v>
      </c>
      <c r="F596">
        <v>411100</v>
      </c>
      <c r="G596" t="s">
        <v>18</v>
      </c>
      <c r="H596" t="s">
        <v>5192</v>
      </c>
      <c r="I596" t="s">
        <v>5193</v>
      </c>
      <c r="J596">
        <v>123020133</v>
      </c>
      <c r="K596">
        <v>20230221</v>
      </c>
      <c r="L596" t="s">
        <v>5299</v>
      </c>
      <c r="M596">
        <v>0</v>
      </c>
      <c r="N596">
        <v>5</v>
      </c>
      <c r="O596" t="s">
        <v>19</v>
      </c>
      <c r="P596" t="s">
        <v>20</v>
      </c>
      <c r="Q596">
        <v>20230221</v>
      </c>
    </row>
    <row r="597" spans="1:17" x14ac:dyDescent="0.25">
      <c r="A597" t="s">
        <v>548</v>
      </c>
      <c r="B597" t="s">
        <v>429</v>
      </c>
      <c r="C597">
        <v>57</v>
      </c>
      <c r="D597">
        <v>20230221</v>
      </c>
      <c r="E597">
        <f t="shared" si="9"/>
        <v>2</v>
      </c>
      <c r="F597">
        <v>411100</v>
      </c>
      <c r="G597" t="s">
        <v>18</v>
      </c>
      <c r="H597" t="s">
        <v>5195</v>
      </c>
      <c r="I597" t="s">
        <v>5196</v>
      </c>
      <c r="J597">
        <v>123020104</v>
      </c>
      <c r="K597">
        <v>20230221</v>
      </c>
      <c r="L597" t="s">
        <v>5300</v>
      </c>
      <c r="M597">
        <v>0</v>
      </c>
      <c r="N597">
        <v>5</v>
      </c>
      <c r="O597" t="s">
        <v>19</v>
      </c>
      <c r="P597" t="s">
        <v>20</v>
      </c>
      <c r="Q597">
        <v>20230221</v>
      </c>
    </row>
    <row r="598" spans="1:17" x14ac:dyDescent="0.25">
      <c r="A598" t="s">
        <v>548</v>
      </c>
      <c r="B598" t="s">
        <v>429</v>
      </c>
      <c r="C598">
        <v>57</v>
      </c>
      <c r="D598">
        <v>20230221</v>
      </c>
      <c r="E598">
        <f t="shared" si="9"/>
        <v>2</v>
      </c>
      <c r="F598">
        <v>411100</v>
      </c>
      <c r="G598" t="s">
        <v>18</v>
      </c>
      <c r="H598" t="s">
        <v>73</v>
      </c>
      <c r="I598" t="s">
        <v>74</v>
      </c>
      <c r="J598">
        <v>123020177</v>
      </c>
      <c r="K598">
        <v>20230221</v>
      </c>
      <c r="L598" t="s">
        <v>5301</v>
      </c>
      <c r="M598">
        <v>0</v>
      </c>
      <c r="N598">
        <v>5</v>
      </c>
      <c r="O598" t="s">
        <v>19</v>
      </c>
      <c r="P598" t="s">
        <v>20</v>
      </c>
      <c r="Q598">
        <v>20230221</v>
      </c>
    </row>
    <row r="599" spans="1:17" x14ac:dyDescent="0.25">
      <c r="A599" t="s">
        <v>548</v>
      </c>
      <c r="B599" t="s">
        <v>429</v>
      </c>
      <c r="C599">
        <v>57</v>
      </c>
      <c r="D599">
        <v>20230221</v>
      </c>
      <c r="E599">
        <f t="shared" si="9"/>
        <v>2</v>
      </c>
      <c r="F599">
        <v>411100</v>
      </c>
      <c r="G599" t="s">
        <v>18</v>
      </c>
      <c r="H599" t="s">
        <v>1172</v>
      </c>
      <c r="I599" t="s">
        <v>1173</v>
      </c>
      <c r="J599">
        <v>123020152</v>
      </c>
      <c r="K599">
        <v>20230221</v>
      </c>
      <c r="L599" t="s">
        <v>5302</v>
      </c>
      <c r="M599">
        <v>0</v>
      </c>
      <c r="N599">
        <v>5</v>
      </c>
      <c r="O599" t="s">
        <v>19</v>
      </c>
      <c r="P599" t="s">
        <v>20</v>
      </c>
      <c r="Q599">
        <v>20230221</v>
      </c>
    </row>
    <row r="600" spans="1:17" x14ac:dyDescent="0.25">
      <c r="A600" t="s">
        <v>548</v>
      </c>
      <c r="B600" t="s">
        <v>429</v>
      </c>
      <c r="C600">
        <v>57</v>
      </c>
      <c r="D600">
        <v>20230221</v>
      </c>
      <c r="E600">
        <f t="shared" si="9"/>
        <v>2</v>
      </c>
      <c r="F600">
        <v>411100</v>
      </c>
      <c r="G600" t="s">
        <v>18</v>
      </c>
      <c r="H600" t="s">
        <v>81</v>
      </c>
      <c r="I600" t="s">
        <v>82</v>
      </c>
      <c r="J600">
        <v>123020039</v>
      </c>
      <c r="K600">
        <v>20230221</v>
      </c>
      <c r="L600" t="s">
        <v>5303</v>
      </c>
      <c r="M600">
        <v>0</v>
      </c>
      <c r="N600">
        <v>5</v>
      </c>
      <c r="O600" t="s">
        <v>19</v>
      </c>
      <c r="P600" t="s">
        <v>20</v>
      </c>
      <c r="Q600">
        <v>20230221</v>
      </c>
    </row>
    <row r="601" spans="1:17" x14ac:dyDescent="0.25">
      <c r="A601" t="s">
        <v>548</v>
      </c>
      <c r="B601" t="s">
        <v>429</v>
      </c>
      <c r="C601">
        <v>57</v>
      </c>
      <c r="D601">
        <v>20230221</v>
      </c>
      <c r="E601">
        <f t="shared" si="9"/>
        <v>2</v>
      </c>
      <c r="F601">
        <v>411100</v>
      </c>
      <c r="G601" t="s">
        <v>18</v>
      </c>
      <c r="H601" t="s">
        <v>1911</v>
      </c>
      <c r="I601" t="s">
        <v>1912</v>
      </c>
      <c r="J601">
        <v>123020045</v>
      </c>
      <c r="K601">
        <v>20230221</v>
      </c>
      <c r="L601" t="s">
        <v>5304</v>
      </c>
      <c r="M601">
        <v>0</v>
      </c>
      <c r="N601">
        <v>5</v>
      </c>
      <c r="O601" t="s">
        <v>19</v>
      </c>
      <c r="P601" t="s">
        <v>20</v>
      </c>
      <c r="Q601">
        <v>20230221</v>
      </c>
    </row>
    <row r="602" spans="1:17" x14ac:dyDescent="0.25">
      <c r="A602" t="s">
        <v>548</v>
      </c>
      <c r="B602" t="s">
        <v>429</v>
      </c>
      <c r="C602">
        <v>57</v>
      </c>
      <c r="D602">
        <v>20230221</v>
      </c>
      <c r="E602">
        <f t="shared" si="9"/>
        <v>2</v>
      </c>
      <c r="F602">
        <v>411100</v>
      </c>
      <c r="G602" t="s">
        <v>18</v>
      </c>
      <c r="H602" t="s">
        <v>85</v>
      </c>
      <c r="I602" t="s">
        <v>86</v>
      </c>
      <c r="J602">
        <v>123020014</v>
      </c>
      <c r="K602">
        <v>20230221</v>
      </c>
      <c r="L602" t="s">
        <v>5305</v>
      </c>
      <c r="M602">
        <v>0</v>
      </c>
      <c r="N602">
        <v>5</v>
      </c>
      <c r="O602" t="s">
        <v>19</v>
      </c>
      <c r="P602" t="s">
        <v>20</v>
      </c>
      <c r="Q602">
        <v>20230221</v>
      </c>
    </row>
    <row r="603" spans="1:17" x14ac:dyDescent="0.25">
      <c r="A603" t="s">
        <v>548</v>
      </c>
      <c r="B603" t="s">
        <v>429</v>
      </c>
      <c r="C603">
        <v>57</v>
      </c>
      <c r="D603">
        <v>20230221</v>
      </c>
      <c r="E603">
        <f t="shared" si="9"/>
        <v>2</v>
      </c>
      <c r="F603">
        <v>411100</v>
      </c>
      <c r="G603" t="s">
        <v>18</v>
      </c>
      <c r="H603" t="s">
        <v>259</v>
      </c>
      <c r="I603" t="s">
        <v>260</v>
      </c>
      <c r="J603">
        <v>123020015</v>
      </c>
      <c r="K603">
        <v>20230221</v>
      </c>
      <c r="L603" t="s">
        <v>5306</v>
      </c>
      <c r="M603">
        <v>0</v>
      </c>
      <c r="N603">
        <v>5</v>
      </c>
      <c r="O603" t="s">
        <v>19</v>
      </c>
      <c r="P603" t="s">
        <v>20</v>
      </c>
      <c r="Q603">
        <v>20230221</v>
      </c>
    </row>
    <row r="604" spans="1:17" x14ac:dyDescent="0.25">
      <c r="A604" t="s">
        <v>548</v>
      </c>
      <c r="B604" t="s">
        <v>429</v>
      </c>
      <c r="C604">
        <v>57</v>
      </c>
      <c r="D604">
        <v>20230221</v>
      </c>
      <c r="E604">
        <f t="shared" si="9"/>
        <v>2</v>
      </c>
      <c r="F604">
        <v>411100</v>
      </c>
      <c r="G604" t="s">
        <v>18</v>
      </c>
      <c r="H604" t="s">
        <v>217</v>
      </c>
      <c r="I604" t="s">
        <v>218</v>
      </c>
      <c r="J604">
        <v>123020117</v>
      </c>
      <c r="K604">
        <v>20230221</v>
      </c>
      <c r="L604" t="s">
        <v>5307</v>
      </c>
      <c r="M604">
        <v>0</v>
      </c>
      <c r="N604">
        <v>5</v>
      </c>
      <c r="O604" t="s">
        <v>19</v>
      </c>
      <c r="P604" t="s">
        <v>20</v>
      </c>
      <c r="Q604">
        <v>20230221</v>
      </c>
    </row>
    <row r="605" spans="1:17" x14ac:dyDescent="0.25">
      <c r="A605" t="s">
        <v>548</v>
      </c>
      <c r="B605" t="s">
        <v>429</v>
      </c>
      <c r="C605">
        <v>57</v>
      </c>
      <c r="D605">
        <v>20230221</v>
      </c>
      <c r="E605">
        <f t="shared" si="9"/>
        <v>2</v>
      </c>
      <c r="F605">
        <v>411100</v>
      </c>
      <c r="G605" t="s">
        <v>18</v>
      </c>
      <c r="H605" t="s">
        <v>800</v>
      </c>
      <c r="I605" t="s">
        <v>801</v>
      </c>
      <c r="J605">
        <v>123020154</v>
      </c>
      <c r="K605">
        <v>20230221</v>
      </c>
      <c r="L605" t="s">
        <v>5308</v>
      </c>
      <c r="M605">
        <v>0</v>
      </c>
      <c r="N605">
        <v>5</v>
      </c>
      <c r="O605" t="s">
        <v>19</v>
      </c>
      <c r="P605" t="s">
        <v>20</v>
      </c>
      <c r="Q605">
        <v>20230221</v>
      </c>
    </row>
    <row r="606" spans="1:17" x14ac:dyDescent="0.25">
      <c r="A606" t="s">
        <v>548</v>
      </c>
      <c r="B606" t="s">
        <v>429</v>
      </c>
      <c r="C606">
        <v>57</v>
      </c>
      <c r="D606">
        <v>20230221</v>
      </c>
      <c r="E606">
        <f t="shared" si="9"/>
        <v>2</v>
      </c>
      <c r="F606">
        <v>411100</v>
      </c>
      <c r="G606" t="s">
        <v>18</v>
      </c>
      <c r="H606" t="s">
        <v>241</v>
      </c>
      <c r="I606" t="s">
        <v>242</v>
      </c>
      <c r="J606">
        <v>123020136</v>
      </c>
      <c r="K606">
        <v>20230221</v>
      </c>
      <c r="L606" t="s">
        <v>5309</v>
      </c>
      <c r="M606">
        <v>0</v>
      </c>
      <c r="N606">
        <v>5</v>
      </c>
      <c r="O606" t="s">
        <v>19</v>
      </c>
      <c r="P606" t="s">
        <v>20</v>
      </c>
      <c r="Q606">
        <v>20230221</v>
      </c>
    </row>
    <row r="607" spans="1:17" x14ac:dyDescent="0.25">
      <c r="A607" t="s">
        <v>548</v>
      </c>
      <c r="B607" t="s">
        <v>429</v>
      </c>
      <c r="C607">
        <v>57</v>
      </c>
      <c r="D607">
        <v>20230221</v>
      </c>
      <c r="E607">
        <f t="shared" si="9"/>
        <v>2</v>
      </c>
      <c r="F607">
        <v>411100</v>
      </c>
      <c r="G607" t="s">
        <v>18</v>
      </c>
      <c r="H607" t="s">
        <v>5192</v>
      </c>
      <c r="I607" t="s">
        <v>5193</v>
      </c>
      <c r="J607">
        <v>123020133</v>
      </c>
      <c r="K607">
        <v>20230221</v>
      </c>
      <c r="L607" t="s">
        <v>5310</v>
      </c>
      <c r="M607">
        <v>0</v>
      </c>
      <c r="N607">
        <v>2</v>
      </c>
      <c r="O607" t="s">
        <v>19</v>
      </c>
      <c r="P607" t="s">
        <v>20</v>
      </c>
      <c r="Q607">
        <v>20230221</v>
      </c>
    </row>
    <row r="608" spans="1:17" x14ac:dyDescent="0.25">
      <c r="A608" t="s">
        <v>548</v>
      </c>
      <c r="B608" t="s">
        <v>429</v>
      </c>
      <c r="C608">
        <v>57</v>
      </c>
      <c r="D608">
        <v>20230221</v>
      </c>
      <c r="E608">
        <f t="shared" si="9"/>
        <v>2</v>
      </c>
      <c r="F608">
        <v>411100</v>
      </c>
      <c r="G608" t="s">
        <v>18</v>
      </c>
      <c r="H608" t="s">
        <v>5195</v>
      </c>
      <c r="I608" t="s">
        <v>5196</v>
      </c>
      <c r="J608">
        <v>123020104</v>
      </c>
      <c r="K608">
        <v>20230221</v>
      </c>
      <c r="L608" t="s">
        <v>5311</v>
      </c>
      <c r="M608">
        <v>0</v>
      </c>
      <c r="N608">
        <v>2</v>
      </c>
      <c r="O608" t="s">
        <v>19</v>
      </c>
      <c r="P608" t="s">
        <v>20</v>
      </c>
      <c r="Q608">
        <v>20230221</v>
      </c>
    </row>
    <row r="609" spans="1:17" x14ac:dyDescent="0.25">
      <c r="A609" t="s">
        <v>548</v>
      </c>
      <c r="B609" t="s">
        <v>429</v>
      </c>
      <c r="C609">
        <v>57</v>
      </c>
      <c r="D609">
        <v>20230221</v>
      </c>
      <c r="E609">
        <f t="shared" si="9"/>
        <v>2</v>
      </c>
      <c r="F609">
        <v>411100</v>
      </c>
      <c r="G609" t="s">
        <v>18</v>
      </c>
      <c r="H609" t="s">
        <v>800</v>
      </c>
      <c r="I609" t="s">
        <v>801</v>
      </c>
      <c r="J609">
        <v>123020154</v>
      </c>
      <c r="K609">
        <v>20230221</v>
      </c>
      <c r="L609" t="s">
        <v>5312</v>
      </c>
      <c r="M609">
        <v>0</v>
      </c>
      <c r="N609">
        <v>10</v>
      </c>
      <c r="O609" t="s">
        <v>19</v>
      </c>
      <c r="P609" t="s">
        <v>20</v>
      </c>
      <c r="Q609">
        <v>20230221</v>
      </c>
    </row>
    <row r="610" spans="1:17" x14ac:dyDescent="0.25">
      <c r="A610" t="s">
        <v>548</v>
      </c>
      <c r="B610" t="s">
        <v>429</v>
      </c>
      <c r="C610">
        <v>57</v>
      </c>
      <c r="D610">
        <v>20230221</v>
      </c>
      <c r="E610">
        <f t="shared" si="9"/>
        <v>2</v>
      </c>
      <c r="F610">
        <v>411100</v>
      </c>
      <c r="G610" t="s">
        <v>18</v>
      </c>
      <c r="H610" t="s">
        <v>5195</v>
      </c>
      <c r="I610" t="s">
        <v>5196</v>
      </c>
      <c r="J610">
        <v>123020104</v>
      </c>
      <c r="K610">
        <v>20230221</v>
      </c>
      <c r="L610" t="s">
        <v>5313</v>
      </c>
      <c r="M610">
        <v>0</v>
      </c>
      <c r="N610">
        <v>6.5</v>
      </c>
      <c r="O610" t="s">
        <v>19</v>
      </c>
      <c r="P610" t="s">
        <v>20</v>
      </c>
      <c r="Q610">
        <v>20230221</v>
      </c>
    </row>
    <row r="611" spans="1:17" x14ac:dyDescent="0.25">
      <c r="A611" t="s">
        <v>548</v>
      </c>
      <c r="B611" t="s">
        <v>429</v>
      </c>
      <c r="C611">
        <v>57</v>
      </c>
      <c r="D611">
        <v>20230221</v>
      </c>
      <c r="E611">
        <f t="shared" si="9"/>
        <v>2</v>
      </c>
      <c r="F611">
        <v>411100</v>
      </c>
      <c r="G611" t="s">
        <v>18</v>
      </c>
      <c r="H611" t="s">
        <v>1911</v>
      </c>
      <c r="I611" t="s">
        <v>1912</v>
      </c>
      <c r="J611">
        <v>123020045</v>
      </c>
      <c r="K611">
        <v>20230221</v>
      </c>
      <c r="L611" t="s">
        <v>5314</v>
      </c>
      <c r="M611">
        <v>0</v>
      </c>
      <c r="N611">
        <v>7</v>
      </c>
      <c r="O611" t="s">
        <v>19</v>
      </c>
      <c r="P611" t="s">
        <v>20</v>
      </c>
      <c r="Q611">
        <v>20230221</v>
      </c>
    </row>
    <row r="612" spans="1:17" x14ac:dyDescent="0.25">
      <c r="A612" t="s">
        <v>548</v>
      </c>
      <c r="B612" t="s">
        <v>429</v>
      </c>
      <c r="C612">
        <v>57</v>
      </c>
      <c r="D612">
        <v>20230221</v>
      </c>
      <c r="E612">
        <f t="shared" si="9"/>
        <v>2</v>
      </c>
      <c r="F612">
        <v>411100</v>
      </c>
      <c r="G612" t="s">
        <v>18</v>
      </c>
      <c r="H612" t="s">
        <v>81</v>
      </c>
      <c r="I612" t="s">
        <v>82</v>
      </c>
      <c r="J612">
        <v>123020039</v>
      </c>
      <c r="K612">
        <v>20230221</v>
      </c>
      <c r="L612" t="s">
        <v>5315</v>
      </c>
      <c r="M612">
        <v>0</v>
      </c>
      <c r="N612">
        <v>3.5</v>
      </c>
      <c r="O612" t="s">
        <v>19</v>
      </c>
      <c r="P612" t="s">
        <v>20</v>
      </c>
      <c r="Q612">
        <v>20230221</v>
      </c>
    </row>
    <row r="613" spans="1:17" x14ac:dyDescent="0.25">
      <c r="A613" t="s">
        <v>548</v>
      </c>
      <c r="B613" t="s">
        <v>429</v>
      </c>
      <c r="C613">
        <v>57</v>
      </c>
      <c r="D613">
        <v>20230221</v>
      </c>
      <c r="E613">
        <f t="shared" si="9"/>
        <v>2</v>
      </c>
      <c r="F613">
        <v>411100</v>
      </c>
      <c r="G613" t="s">
        <v>18</v>
      </c>
      <c r="H613" t="s">
        <v>259</v>
      </c>
      <c r="I613" t="s">
        <v>260</v>
      </c>
      <c r="J613">
        <v>123020015</v>
      </c>
      <c r="K613">
        <v>20230221</v>
      </c>
      <c r="L613" t="s">
        <v>5316</v>
      </c>
      <c r="M613">
        <v>0</v>
      </c>
      <c r="N613">
        <v>6.5</v>
      </c>
      <c r="O613" t="s">
        <v>19</v>
      </c>
      <c r="P613" t="s">
        <v>20</v>
      </c>
      <c r="Q613">
        <v>20230221</v>
      </c>
    </row>
    <row r="614" spans="1:17" x14ac:dyDescent="0.25">
      <c r="A614" t="s">
        <v>548</v>
      </c>
      <c r="B614" t="s">
        <v>429</v>
      </c>
      <c r="C614">
        <v>57</v>
      </c>
      <c r="D614">
        <v>20230221</v>
      </c>
      <c r="E614">
        <f t="shared" si="9"/>
        <v>2</v>
      </c>
      <c r="F614">
        <v>411100</v>
      </c>
      <c r="G614" t="s">
        <v>18</v>
      </c>
      <c r="H614" t="s">
        <v>5189</v>
      </c>
      <c r="I614" t="s">
        <v>5190</v>
      </c>
      <c r="J614">
        <v>123020013</v>
      </c>
      <c r="K614">
        <v>20230221</v>
      </c>
      <c r="L614" t="s">
        <v>5317</v>
      </c>
      <c r="M614">
        <v>0</v>
      </c>
      <c r="N614">
        <v>2</v>
      </c>
      <c r="O614" t="s">
        <v>19</v>
      </c>
      <c r="P614" t="s">
        <v>20</v>
      </c>
      <c r="Q614">
        <v>20230221</v>
      </c>
    </row>
    <row r="615" spans="1:17" x14ac:dyDescent="0.25">
      <c r="A615" t="s">
        <v>548</v>
      </c>
      <c r="B615" t="s">
        <v>429</v>
      </c>
      <c r="C615">
        <v>57</v>
      </c>
      <c r="D615">
        <v>20230221</v>
      </c>
      <c r="E615">
        <f t="shared" si="9"/>
        <v>2</v>
      </c>
      <c r="F615">
        <v>411100</v>
      </c>
      <c r="G615" t="s">
        <v>18</v>
      </c>
      <c r="H615" t="s">
        <v>73</v>
      </c>
      <c r="I615" t="s">
        <v>74</v>
      </c>
      <c r="J615">
        <v>123020177</v>
      </c>
      <c r="K615">
        <v>20230221</v>
      </c>
      <c r="L615" t="s">
        <v>5318</v>
      </c>
      <c r="M615">
        <v>0</v>
      </c>
      <c r="N615">
        <v>3.5</v>
      </c>
      <c r="O615" t="s">
        <v>19</v>
      </c>
      <c r="P615" t="s">
        <v>20</v>
      </c>
      <c r="Q615">
        <v>20230221</v>
      </c>
    </row>
    <row r="616" spans="1:17" x14ac:dyDescent="0.25">
      <c r="A616" t="s">
        <v>548</v>
      </c>
      <c r="B616" t="s">
        <v>429</v>
      </c>
      <c r="C616">
        <v>57</v>
      </c>
      <c r="D616">
        <v>20230221</v>
      </c>
      <c r="E616">
        <f t="shared" si="9"/>
        <v>2</v>
      </c>
      <c r="F616">
        <v>411100</v>
      </c>
      <c r="G616" t="s">
        <v>18</v>
      </c>
      <c r="H616" t="s">
        <v>698</v>
      </c>
      <c r="I616" t="s">
        <v>699</v>
      </c>
      <c r="J616">
        <v>123020091</v>
      </c>
      <c r="K616">
        <v>20230221</v>
      </c>
      <c r="L616" t="s">
        <v>5319</v>
      </c>
      <c r="M616">
        <v>0</v>
      </c>
      <c r="N616">
        <v>7</v>
      </c>
      <c r="O616" t="s">
        <v>19</v>
      </c>
      <c r="P616" t="s">
        <v>20</v>
      </c>
      <c r="Q616">
        <v>20230221</v>
      </c>
    </row>
    <row r="617" spans="1:17" x14ac:dyDescent="0.25">
      <c r="A617" t="s">
        <v>548</v>
      </c>
      <c r="B617" t="s">
        <v>429</v>
      </c>
      <c r="C617">
        <v>57</v>
      </c>
      <c r="D617">
        <v>20230221</v>
      </c>
      <c r="E617">
        <f t="shared" si="9"/>
        <v>2</v>
      </c>
      <c r="F617">
        <v>411100</v>
      </c>
      <c r="G617" t="s">
        <v>18</v>
      </c>
      <c r="H617" t="s">
        <v>3901</v>
      </c>
      <c r="I617" t="s">
        <v>3902</v>
      </c>
      <c r="J617">
        <v>123020128</v>
      </c>
      <c r="K617">
        <v>20230221</v>
      </c>
      <c r="L617" t="s">
        <v>5320</v>
      </c>
      <c r="M617">
        <v>0</v>
      </c>
      <c r="N617">
        <v>1.5</v>
      </c>
      <c r="O617" t="s">
        <v>19</v>
      </c>
      <c r="P617" t="s">
        <v>20</v>
      </c>
      <c r="Q617">
        <v>20230221</v>
      </c>
    </row>
    <row r="618" spans="1:17" x14ac:dyDescent="0.25">
      <c r="A618" t="s">
        <v>548</v>
      </c>
      <c r="B618" t="s">
        <v>429</v>
      </c>
      <c r="C618">
        <v>57</v>
      </c>
      <c r="D618">
        <v>20230221</v>
      </c>
      <c r="E618">
        <f t="shared" si="9"/>
        <v>2</v>
      </c>
      <c r="F618">
        <v>411100</v>
      </c>
      <c r="G618" t="s">
        <v>18</v>
      </c>
      <c r="H618" t="s">
        <v>1172</v>
      </c>
      <c r="I618" t="s">
        <v>1173</v>
      </c>
      <c r="J618">
        <v>123020152</v>
      </c>
      <c r="K618">
        <v>20230221</v>
      </c>
      <c r="L618" t="s">
        <v>5321</v>
      </c>
      <c r="M618">
        <v>0</v>
      </c>
      <c r="N618">
        <v>2</v>
      </c>
      <c r="O618" t="s">
        <v>19</v>
      </c>
      <c r="P618" t="s">
        <v>20</v>
      </c>
      <c r="Q618">
        <v>20230221</v>
      </c>
    </row>
    <row r="619" spans="1:17" x14ac:dyDescent="0.25">
      <c r="A619" t="s">
        <v>548</v>
      </c>
      <c r="B619" t="s">
        <v>429</v>
      </c>
      <c r="C619">
        <v>57</v>
      </c>
      <c r="D619">
        <v>20230221</v>
      </c>
      <c r="E619">
        <f t="shared" si="9"/>
        <v>2</v>
      </c>
      <c r="F619">
        <v>411100</v>
      </c>
      <c r="G619" t="s">
        <v>18</v>
      </c>
      <c r="H619" t="s">
        <v>1172</v>
      </c>
      <c r="I619" t="s">
        <v>1173</v>
      </c>
      <c r="J619">
        <v>123020151</v>
      </c>
      <c r="K619">
        <v>20230221</v>
      </c>
      <c r="L619" t="s">
        <v>5322</v>
      </c>
      <c r="M619">
        <v>0</v>
      </c>
      <c r="N619">
        <v>1.5</v>
      </c>
      <c r="O619" t="s">
        <v>19</v>
      </c>
      <c r="P619" t="s">
        <v>20</v>
      </c>
      <c r="Q619">
        <v>20230221</v>
      </c>
    </row>
    <row r="620" spans="1:17" x14ac:dyDescent="0.25">
      <c r="A620" t="s">
        <v>548</v>
      </c>
      <c r="B620" t="s">
        <v>429</v>
      </c>
      <c r="C620">
        <v>57</v>
      </c>
      <c r="D620">
        <v>20230221</v>
      </c>
      <c r="E620">
        <f t="shared" si="9"/>
        <v>2</v>
      </c>
      <c r="F620">
        <v>411100</v>
      </c>
      <c r="G620" t="s">
        <v>18</v>
      </c>
      <c r="H620" t="s">
        <v>3586</v>
      </c>
      <c r="I620" t="s">
        <v>3587</v>
      </c>
      <c r="J620">
        <v>123020059</v>
      </c>
      <c r="K620">
        <v>20230221</v>
      </c>
      <c r="L620" t="s">
        <v>5323</v>
      </c>
      <c r="M620">
        <v>0</v>
      </c>
      <c r="N620">
        <v>5</v>
      </c>
      <c r="O620" t="s">
        <v>19</v>
      </c>
      <c r="P620" t="s">
        <v>20</v>
      </c>
      <c r="Q620">
        <v>20230221</v>
      </c>
    </row>
    <row r="621" spans="1:17" x14ac:dyDescent="0.25">
      <c r="A621" t="s">
        <v>548</v>
      </c>
      <c r="B621" t="s">
        <v>429</v>
      </c>
      <c r="C621">
        <v>57</v>
      </c>
      <c r="D621">
        <v>20230221</v>
      </c>
      <c r="E621">
        <f t="shared" si="9"/>
        <v>2</v>
      </c>
      <c r="F621">
        <v>411100</v>
      </c>
      <c r="G621" t="s">
        <v>18</v>
      </c>
      <c r="H621" t="s">
        <v>5324</v>
      </c>
      <c r="I621" t="s">
        <v>5325</v>
      </c>
      <c r="J621">
        <v>123020120</v>
      </c>
      <c r="K621">
        <v>20230221</v>
      </c>
      <c r="L621" t="s">
        <v>5326</v>
      </c>
      <c r="M621">
        <v>0</v>
      </c>
      <c r="N621">
        <v>22</v>
      </c>
      <c r="O621" t="s">
        <v>19</v>
      </c>
      <c r="P621" t="s">
        <v>20</v>
      </c>
      <c r="Q621">
        <v>20230221</v>
      </c>
    </row>
    <row r="622" spans="1:17" x14ac:dyDescent="0.25">
      <c r="A622" t="s">
        <v>548</v>
      </c>
      <c r="B622" t="s">
        <v>429</v>
      </c>
      <c r="C622">
        <v>57</v>
      </c>
      <c r="D622">
        <v>20230221</v>
      </c>
      <c r="E622">
        <f t="shared" si="9"/>
        <v>2</v>
      </c>
      <c r="F622">
        <v>411100</v>
      </c>
      <c r="G622" t="s">
        <v>18</v>
      </c>
      <c r="H622" t="s">
        <v>3001</v>
      </c>
      <c r="I622" t="s">
        <v>3002</v>
      </c>
      <c r="J622">
        <v>123020097</v>
      </c>
      <c r="K622">
        <v>20230221</v>
      </c>
      <c r="L622" t="s">
        <v>5327</v>
      </c>
      <c r="M622">
        <v>0</v>
      </c>
      <c r="N622">
        <v>4</v>
      </c>
      <c r="O622" t="s">
        <v>19</v>
      </c>
      <c r="P622" t="s">
        <v>20</v>
      </c>
      <c r="Q622">
        <v>20230221</v>
      </c>
    </row>
    <row r="623" spans="1:17" x14ac:dyDescent="0.25">
      <c r="A623" t="s">
        <v>548</v>
      </c>
      <c r="B623" t="s">
        <v>429</v>
      </c>
      <c r="C623">
        <v>57</v>
      </c>
      <c r="D623">
        <v>20230221</v>
      </c>
      <c r="E623">
        <f t="shared" si="9"/>
        <v>2</v>
      </c>
      <c r="F623">
        <v>411100</v>
      </c>
      <c r="G623" t="s">
        <v>18</v>
      </c>
      <c r="H623" t="s">
        <v>800</v>
      </c>
      <c r="I623" t="s">
        <v>801</v>
      </c>
      <c r="J623">
        <v>123020154</v>
      </c>
      <c r="K623">
        <v>20230221</v>
      </c>
      <c r="L623" t="s">
        <v>5328</v>
      </c>
      <c r="M623">
        <v>0</v>
      </c>
      <c r="N623">
        <v>11</v>
      </c>
      <c r="O623" t="s">
        <v>19</v>
      </c>
      <c r="P623" t="s">
        <v>20</v>
      </c>
      <c r="Q623">
        <v>20230221</v>
      </c>
    </row>
    <row r="624" spans="1:17" x14ac:dyDescent="0.25">
      <c r="A624" t="s">
        <v>548</v>
      </c>
      <c r="B624" t="s">
        <v>429</v>
      </c>
      <c r="C624">
        <v>57</v>
      </c>
      <c r="D624">
        <v>20230221</v>
      </c>
      <c r="E624">
        <f t="shared" si="9"/>
        <v>2</v>
      </c>
      <c r="F624">
        <v>411100</v>
      </c>
      <c r="G624" t="s">
        <v>18</v>
      </c>
      <c r="H624" t="s">
        <v>73</v>
      </c>
      <c r="I624" t="s">
        <v>74</v>
      </c>
      <c r="J624">
        <v>123020177</v>
      </c>
      <c r="K624">
        <v>20230221</v>
      </c>
      <c r="L624" t="s">
        <v>5329</v>
      </c>
      <c r="M624">
        <v>0</v>
      </c>
      <c r="N624">
        <v>11</v>
      </c>
      <c r="O624" t="s">
        <v>19</v>
      </c>
      <c r="P624" t="s">
        <v>20</v>
      </c>
      <c r="Q624">
        <v>20230221</v>
      </c>
    </row>
    <row r="625" spans="1:17" x14ac:dyDescent="0.25">
      <c r="A625" t="s">
        <v>548</v>
      </c>
      <c r="B625" t="s">
        <v>429</v>
      </c>
      <c r="C625">
        <v>57</v>
      </c>
      <c r="D625">
        <v>20230221</v>
      </c>
      <c r="E625">
        <f t="shared" si="9"/>
        <v>2</v>
      </c>
      <c r="F625">
        <v>411100</v>
      </c>
      <c r="G625" t="s">
        <v>18</v>
      </c>
      <c r="H625" t="s">
        <v>1172</v>
      </c>
      <c r="I625" t="s">
        <v>1173</v>
      </c>
      <c r="J625">
        <v>123020152</v>
      </c>
      <c r="K625">
        <v>20230221</v>
      </c>
      <c r="L625" t="s">
        <v>5330</v>
      </c>
      <c r="M625">
        <v>0</v>
      </c>
      <c r="N625">
        <v>5.5</v>
      </c>
      <c r="O625" t="s">
        <v>19</v>
      </c>
      <c r="P625" t="s">
        <v>20</v>
      </c>
      <c r="Q625">
        <v>20230221</v>
      </c>
    </row>
    <row r="626" spans="1:17" x14ac:dyDescent="0.25">
      <c r="A626" t="s">
        <v>548</v>
      </c>
      <c r="B626" t="s">
        <v>429</v>
      </c>
      <c r="C626">
        <v>57</v>
      </c>
      <c r="D626">
        <v>20230221</v>
      </c>
      <c r="E626">
        <f t="shared" si="9"/>
        <v>2</v>
      </c>
      <c r="F626">
        <v>411100</v>
      </c>
      <c r="G626" t="s">
        <v>18</v>
      </c>
      <c r="H626" t="s">
        <v>1172</v>
      </c>
      <c r="I626" t="s">
        <v>1173</v>
      </c>
      <c r="J626">
        <v>123020151</v>
      </c>
      <c r="K626">
        <v>20230221</v>
      </c>
      <c r="L626" t="s">
        <v>5331</v>
      </c>
      <c r="M626">
        <v>0</v>
      </c>
      <c r="N626">
        <v>5.5</v>
      </c>
      <c r="O626" t="s">
        <v>19</v>
      </c>
      <c r="P626" t="s">
        <v>20</v>
      </c>
      <c r="Q626">
        <v>20230221</v>
      </c>
    </row>
    <row r="627" spans="1:17" x14ac:dyDescent="0.25">
      <c r="A627" t="s">
        <v>548</v>
      </c>
      <c r="B627" t="s">
        <v>429</v>
      </c>
      <c r="C627">
        <v>57</v>
      </c>
      <c r="D627">
        <v>20230221</v>
      </c>
      <c r="E627">
        <f t="shared" si="9"/>
        <v>2</v>
      </c>
      <c r="F627">
        <v>411100</v>
      </c>
      <c r="G627" t="s">
        <v>18</v>
      </c>
      <c r="H627" t="s">
        <v>5279</v>
      </c>
      <c r="I627" t="s">
        <v>5280</v>
      </c>
      <c r="J627">
        <v>123020153</v>
      </c>
      <c r="K627">
        <v>20230221</v>
      </c>
      <c r="L627" t="s">
        <v>5332</v>
      </c>
      <c r="M627">
        <v>0</v>
      </c>
      <c r="N627">
        <v>5.5</v>
      </c>
      <c r="O627" t="s">
        <v>19</v>
      </c>
      <c r="P627" t="s">
        <v>20</v>
      </c>
      <c r="Q627">
        <v>20230221</v>
      </c>
    </row>
    <row r="628" spans="1:17" x14ac:dyDescent="0.25">
      <c r="A628" t="s">
        <v>548</v>
      </c>
      <c r="B628" t="s">
        <v>429</v>
      </c>
      <c r="C628">
        <v>57</v>
      </c>
      <c r="D628">
        <v>20230221</v>
      </c>
      <c r="E628">
        <f t="shared" si="9"/>
        <v>2</v>
      </c>
      <c r="F628">
        <v>411100</v>
      </c>
      <c r="G628" t="s">
        <v>18</v>
      </c>
      <c r="H628" t="s">
        <v>5195</v>
      </c>
      <c r="I628" t="s">
        <v>5196</v>
      </c>
      <c r="J628">
        <v>123020104</v>
      </c>
      <c r="K628">
        <v>20230221</v>
      </c>
      <c r="L628" t="s">
        <v>5333</v>
      </c>
      <c r="M628">
        <v>0</v>
      </c>
      <c r="N628">
        <v>11</v>
      </c>
      <c r="O628" t="s">
        <v>19</v>
      </c>
      <c r="P628" t="s">
        <v>20</v>
      </c>
      <c r="Q628">
        <v>20230221</v>
      </c>
    </row>
    <row r="629" spans="1:17" x14ac:dyDescent="0.25">
      <c r="A629" t="s">
        <v>548</v>
      </c>
      <c r="B629" t="s">
        <v>429</v>
      </c>
      <c r="C629">
        <v>57</v>
      </c>
      <c r="D629">
        <v>20230221</v>
      </c>
      <c r="E629">
        <f t="shared" si="9"/>
        <v>2</v>
      </c>
      <c r="F629">
        <v>411100</v>
      </c>
      <c r="G629" t="s">
        <v>18</v>
      </c>
      <c r="H629" t="s">
        <v>259</v>
      </c>
      <c r="I629" t="s">
        <v>260</v>
      </c>
      <c r="J629">
        <v>123020015</v>
      </c>
      <c r="K629">
        <v>20230221</v>
      </c>
      <c r="L629" t="s">
        <v>5334</v>
      </c>
      <c r="M629">
        <v>0</v>
      </c>
      <c r="N629">
        <v>8</v>
      </c>
      <c r="O629" t="s">
        <v>19</v>
      </c>
      <c r="P629" t="s">
        <v>20</v>
      </c>
      <c r="Q629">
        <v>20230221</v>
      </c>
    </row>
    <row r="630" spans="1:17" x14ac:dyDescent="0.25">
      <c r="A630" t="s">
        <v>548</v>
      </c>
      <c r="B630" t="s">
        <v>429</v>
      </c>
      <c r="C630">
        <v>57</v>
      </c>
      <c r="D630">
        <v>20230221</v>
      </c>
      <c r="E630">
        <f t="shared" si="9"/>
        <v>2</v>
      </c>
      <c r="F630">
        <v>411100</v>
      </c>
      <c r="G630" t="s">
        <v>18</v>
      </c>
      <c r="H630" t="s">
        <v>5192</v>
      </c>
      <c r="I630" t="s">
        <v>5193</v>
      </c>
      <c r="J630">
        <v>123020133</v>
      </c>
      <c r="K630">
        <v>20230221</v>
      </c>
      <c r="L630" t="s">
        <v>5335</v>
      </c>
      <c r="M630">
        <v>0</v>
      </c>
      <c r="N630">
        <v>5.5</v>
      </c>
      <c r="O630" t="s">
        <v>19</v>
      </c>
      <c r="P630" t="s">
        <v>20</v>
      </c>
      <c r="Q630">
        <v>20230221</v>
      </c>
    </row>
    <row r="631" spans="1:17" x14ac:dyDescent="0.25">
      <c r="A631" t="s">
        <v>548</v>
      </c>
      <c r="B631" t="s">
        <v>429</v>
      </c>
      <c r="C631">
        <v>57</v>
      </c>
      <c r="D631">
        <v>20230221</v>
      </c>
      <c r="E631">
        <f t="shared" si="9"/>
        <v>2</v>
      </c>
      <c r="F631">
        <v>411100</v>
      </c>
      <c r="G631" t="s">
        <v>18</v>
      </c>
      <c r="H631" t="s">
        <v>3901</v>
      </c>
      <c r="I631" t="s">
        <v>3902</v>
      </c>
      <c r="J631">
        <v>123020128</v>
      </c>
      <c r="K631">
        <v>20230221</v>
      </c>
      <c r="L631" t="s">
        <v>5336</v>
      </c>
      <c r="M631">
        <v>0</v>
      </c>
      <c r="N631">
        <v>4</v>
      </c>
      <c r="O631" t="s">
        <v>19</v>
      </c>
      <c r="P631" t="s">
        <v>20</v>
      </c>
      <c r="Q631">
        <v>20230221</v>
      </c>
    </row>
    <row r="632" spans="1:17" x14ac:dyDescent="0.25">
      <c r="A632" t="s">
        <v>548</v>
      </c>
      <c r="B632" t="s">
        <v>429</v>
      </c>
      <c r="C632">
        <v>57</v>
      </c>
      <c r="D632">
        <v>20230221</v>
      </c>
      <c r="E632">
        <f t="shared" si="9"/>
        <v>2</v>
      </c>
      <c r="F632">
        <v>411100</v>
      </c>
      <c r="G632" t="s">
        <v>18</v>
      </c>
      <c r="H632" t="s">
        <v>81</v>
      </c>
      <c r="I632" t="s">
        <v>82</v>
      </c>
      <c r="J632">
        <v>123020039</v>
      </c>
      <c r="K632">
        <v>20230221</v>
      </c>
      <c r="L632" t="s">
        <v>5337</v>
      </c>
      <c r="M632">
        <v>0</v>
      </c>
      <c r="N632">
        <v>4</v>
      </c>
      <c r="O632" t="s">
        <v>19</v>
      </c>
      <c r="P632" t="s">
        <v>20</v>
      </c>
      <c r="Q632">
        <v>20230221</v>
      </c>
    </row>
    <row r="633" spans="1:17" x14ac:dyDescent="0.25">
      <c r="A633" t="s">
        <v>548</v>
      </c>
      <c r="B633" t="s">
        <v>429</v>
      </c>
      <c r="C633">
        <v>57</v>
      </c>
      <c r="D633">
        <v>20230221</v>
      </c>
      <c r="E633">
        <f t="shared" si="9"/>
        <v>2</v>
      </c>
      <c r="F633">
        <v>411100</v>
      </c>
      <c r="G633" t="s">
        <v>18</v>
      </c>
      <c r="H633" t="s">
        <v>3001</v>
      </c>
      <c r="I633" t="s">
        <v>3002</v>
      </c>
      <c r="J633">
        <v>123020097</v>
      </c>
      <c r="K633">
        <v>20230221</v>
      </c>
      <c r="L633" t="s">
        <v>5338</v>
      </c>
      <c r="M633">
        <v>0</v>
      </c>
      <c r="N633">
        <v>7</v>
      </c>
      <c r="O633" t="s">
        <v>19</v>
      </c>
      <c r="P633" t="s">
        <v>20</v>
      </c>
      <c r="Q633">
        <v>20230221</v>
      </c>
    </row>
    <row r="634" spans="1:17" x14ac:dyDescent="0.25">
      <c r="A634" t="s">
        <v>548</v>
      </c>
      <c r="B634" t="s">
        <v>429</v>
      </c>
      <c r="C634">
        <v>57</v>
      </c>
      <c r="D634">
        <v>20230221</v>
      </c>
      <c r="E634">
        <f t="shared" si="9"/>
        <v>2</v>
      </c>
      <c r="F634">
        <v>531105</v>
      </c>
      <c r="G634" t="s">
        <v>429</v>
      </c>
      <c r="H634" t="s">
        <v>401</v>
      </c>
      <c r="I634" t="s">
        <v>402</v>
      </c>
      <c r="J634">
        <v>366737</v>
      </c>
      <c r="K634">
        <v>20230221</v>
      </c>
      <c r="L634" t="s">
        <v>565</v>
      </c>
      <c r="M634">
        <v>229</v>
      </c>
      <c r="N634">
        <v>0</v>
      </c>
      <c r="O634" t="s">
        <v>19</v>
      </c>
      <c r="P634" t="s">
        <v>20</v>
      </c>
      <c r="Q634">
        <v>20230221</v>
      </c>
    </row>
    <row r="635" spans="1:17" x14ac:dyDescent="0.25">
      <c r="A635" t="s">
        <v>548</v>
      </c>
      <c r="B635" t="s">
        <v>429</v>
      </c>
      <c r="C635">
        <v>57</v>
      </c>
      <c r="D635">
        <v>20230221</v>
      </c>
      <c r="E635">
        <f t="shared" si="9"/>
        <v>2</v>
      </c>
      <c r="F635">
        <v>411010</v>
      </c>
      <c r="G635" t="s">
        <v>87</v>
      </c>
      <c r="H635" t="s">
        <v>330</v>
      </c>
      <c r="I635" t="s">
        <v>331</v>
      </c>
      <c r="J635">
        <v>222120019</v>
      </c>
      <c r="K635">
        <v>20230221</v>
      </c>
      <c r="L635" t="s">
        <v>5339</v>
      </c>
      <c r="M635">
        <v>0</v>
      </c>
      <c r="N635">
        <v>1.05</v>
      </c>
      <c r="O635" t="s">
        <v>19</v>
      </c>
      <c r="P635" t="s">
        <v>20</v>
      </c>
      <c r="Q635">
        <v>20230221</v>
      </c>
    </row>
    <row r="636" spans="1:17" x14ac:dyDescent="0.25">
      <c r="A636" t="s">
        <v>548</v>
      </c>
      <c r="B636" t="s">
        <v>429</v>
      </c>
      <c r="C636">
        <v>57</v>
      </c>
      <c r="D636">
        <v>20230221</v>
      </c>
      <c r="E636">
        <f t="shared" si="9"/>
        <v>2</v>
      </c>
      <c r="F636">
        <v>531105</v>
      </c>
      <c r="G636" t="s">
        <v>429</v>
      </c>
      <c r="H636" t="s">
        <v>401</v>
      </c>
      <c r="I636" t="s">
        <v>402</v>
      </c>
      <c r="J636">
        <v>367263</v>
      </c>
      <c r="K636">
        <v>20230221</v>
      </c>
      <c r="L636" t="s">
        <v>565</v>
      </c>
      <c r="M636">
        <v>1.05</v>
      </c>
      <c r="N636">
        <v>0</v>
      </c>
      <c r="O636" t="s">
        <v>19</v>
      </c>
      <c r="P636" t="s">
        <v>20</v>
      </c>
      <c r="Q636">
        <v>20230221</v>
      </c>
    </row>
    <row r="637" spans="1:17" x14ac:dyDescent="0.25">
      <c r="A637" t="s">
        <v>548</v>
      </c>
      <c r="B637" t="s">
        <v>429</v>
      </c>
      <c r="C637">
        <v>57</v>
      </c>
      <c r="D637">
        <v>20230222</v>
      </c>
      <c r="E637">
        <f t="shared" si="9"/>
        <v>2</v>
      </c>
      <c r="F637">
        <v>411100</v>
      </c>
      <c r="G637" t="s">
        <v>18</v>
      </c>
      <c r="H637" t="s">
        <v>5167</v>
      </c>
      <c r="I637" t="s">
        <v>5168</v>
      </c>
      <c r="J637">
        <v>123020096</v>
      </c>
      <c r="K637">
        <v>20230222</v>
      </c>
      <c r="L637" t="s">
        <v>5340</v>
      </c>
      <c r="M637">
        <v>0</v>
      </c>
      <c r="N637">
        <v>4</v>
      </c>
      <c r="O637" t="s">
        <v>19</v>
      </c>
      <c r="P637" t="s">
        <v>20</v>
      </c>
      <c r="Q637">
        <v>20230222</v>
      </c>
    </row>
    <row r="638" spans="1:17" x14ac:dyDescent="0.25">
      <c r="A638" t="s">
        <v>548</v>
      </c>
      <c r="B638" t="s">
        <v>429</v>
      </c>
      <c r="C638">
        <v>57</v>
      </c>
      <c r="D638">
        <v>20230222</v>
      </c>
      <c r="E638">
        <f t="shared" si="9"/>
        <v>2</v>
      </c>
      <c r="F638">
        <v>411100</v>
      </c>
      <c r="G638" t="s">
        <v>18</v>
      </c>
      <c r="H638" t="s">
        <v>4137</v>
      </c>
      <c r="I638" t="s">
        <v>4138</v>
      </c>
      <c r="J638">
        <v>123020169</v>
      </c>
      <c r="K638">
        <v>20230222</v>
      </c>
      <c r="L638" t="s">
        <v>5341</v>
      </c>
      <c r="M638">
        <v>0</v>
      </c>
      <c r="N638">
        <v>3</v>
      </c>
      <c r="O638" t="s">
        <v>19</v>
      </c>
      <c r="P638" t="s">
        <v>20</v>
      </c>
      <c r="Q638">
        <v>20230222</v>
      </c>
    </row>
    <row r="639" spans="1:17" x14ac:dyDescent="0.25">
      <c r="A639" t="s">
        <v>548</v>
      </c>
      <c r="B639" t="s">
        <v>429</v>
      </c>
      <c r="C639">
        <v>57</v>
      </c>
      <c r="D639">
        <v>20230222</v>
      </c>
      <c r="E639">
        <f t="shared" si="9"/>
        <v>2</v>
      </c>
      <c r="F639">
        <v>411100</v>
      </c>
      <c r="G639" t="s">
        <v>18</v>
      </c>
      <c r="H639" t="s">
        <v>5121</v>
      </c>
      <c r="I639" t="s">
        <v>5122</v>
      </c>
      <c r="J639">
        <v>123020075</v>
      </c>
      <c r="K639">
        <v>20230222</v>
      </c>
      <c r="L639" t="s">
        <v>5342</v>
      </c>
      <c r="M639">
        <v>0</v>
      </c>
      <c r="N639">
        <v>8</v>
      </c>
      <c r="O639" t="s">
        <v>19</v>
      </c>
      <c r="P639" t="s">
        <v>20</v>
      </c>
      <c r="Q639">
        <v>20230222</v>
      </c>
    </row>
    <row r="640" spans="1:17" x14ac:dyDescent="0.25">
      <c r="A640" t="s">
        <v>548</v>
      </c>
      <c r="B640" t="s">
        <v>429</v>
      </c>
      <c r="C640">
        <v>57</v>
      </c>
      <c r="D640">
        <v>20230222</v>
      </c>
      <c r="E640">
        <f t="shared" si="9"/>
        <v>2</v>
      </c>
      <c r="F640">
        <v>411100</v>
      </c>
      <c r="G640" t="s">
        <v>18</v>
      </c>
      <c r="H640" t="s">
        <v>213</v>
      </c>
      <c r="I640" t="s">
        <v>214</v>
      </c>
      <c r="J640">
        <v>123020073</v>
      </c>
      <c r="K640">
        <v>20230222</v>
      </c>
      <c r="L640" t="s">
        <v>5343</v>
      </c>
      <c r="M640">
        <v>0</v>
      </c>
      <c r="N640">
        <v>2</v>
      </c>
      <c r="O640" t="s">
        <v>19</v>
      </c>
      <c r="P640" t="s">
        <v>20</v>
      </c>
      <c r="Q640">
        <v>20230222</v>
      </c>
    </row>
    <row r="641" spans="1:17" x14ac:dyDescent="0.25">
      <c r="A641" t="s">
        <v>548</v>
      </c>
      <c r="B641" t="s">
        <v>429</v>
      </c>
      <c r="C641">
        <v>57</v>
      </c>
      <c r="D641">
        <v>20230222</v>
      </c>
      <c r="E641">
        <f t="shared" si="9"/>
        <v>2</v>
      </c>
      <c r="F641">
        <v>411100</v>
      </c>
      <c r="G641" t="s">
        <v>18</v>
      </c>
      <c r="H641" t="s">
        <v>2969</v>
      </c>
      <c r="I641" t="s">
        <v>2970</v>
      </c>
      <c r="J641">
        <v>123020138</v>
      </c>
      <c r="K641">
        <v>20230222</v>
      </c>
      <c r="L641" t="s">
        <v>5344</v>
      </c>
      <c r="M641">
        <v>0</v>
      </c>
      <c r="N641">
        <v>2</v>
      </c>
      <c r="O641" t="s">
        <v>19</v>
      </c>
      <c r="P641" t="s">
        <v>20</v>
      </c>
      <c r="Q641">
        <v>20230222</v>
      </c>
    </row>
    <row r="642" spans="1:17" x14ac:dyDescent="0.25">
      <c r="A642" t="s">
        <v>548</v>
      </c>
      <c r="B642" t="s">
        <v>429</v>
      </c>
      <c r="C642">
        <v>57</v>
      </c>
      <c r="D642">
        <v>20230222</v>
      </c>
      <c r="E642">
        <f t="shared" si="9"/>
        <v>2</v>
      </c>
      <c r="F642">
        <v>411100</v>
      </c>
      <c r="G642" t="s">
        <v>18</v>
      </c>
      <c r="H642" t="s">
        <v>2501</v>
      </c>
      <c r="I642" t="s">
        <v>2502</v>
      </c>
      <c r="J642">
        <v>123020074</v>
      </c>
      <c r="K642">
        <v>20230222</v>
      </c>
      <c r="L642" t="s">
        <v>5345</v>
      </c>
      <c r="M642">
        <v>0</v>
      </c>
      <c r="N642">
        <v>6</v>
      </c>
      <c r="O642" t="s">
        <v>23</v>
      </c>
      <c r="P642">
        <v>20230329</v>
      </c>
      <c r="Q642">
        <v>20230222</v>
      </c>
    </row>
    <row r="643" spans="1:17" x14ac:dyDescent="0.25">
      <c r="A643" t="s">
        <v>548</v>
      </c>
      <c r="B643" t="s">
        <v>429</v>
      </c>
      <c r="C643">
        <v>57</v>
      </c>
      <c r="D643">
        <v>20230222</v>
      </c>
      <c r="E643">
        <f t="shared" ref="E643:E706" si="10">VALUE(MID(D643,5,2))</f>
        <v>2</v>
      </c>
      <c r="F643">
        <v>411100</v>
      </c>
      <c r="G643" t="s">
        <v>18</v>
      </c>
      <c r="H643" t="s">
        <v>734</v>
      </c>
      <c r="I643" t="s">
        <v>735</v>
      </c>
      <c r="J643">
        <v>123020087</v>
      </c>
      <c r="K643">
        <v>20230222</v>
      </c>
      <c r="L643" t="s">
        <v>5346</v>
      </c>
      <c r="M643">
        <v>0</v>
      </c>
      <c r="N643">
        <v>2</v>
      </c>
      <c r="O643" t="s">
        <v>19</v>
      </c>
      <c r="P643" t="s">
        <v>20</v>
      </c>
      <c r="Q643">
        <v>20230222</v>
      </c>
    </row>
    <row r="644" spans="1:17" x14ac:dyDescent="0.25">
      <c r="A644" t="s">
        <v>548</v>
      </c>
      <c r="B644" t="s">
        <v>429</v>
      </c>
      <c r="C644">
        <v>57</v>
      </c>
      <c r="D644">
        <v>20230222</v>
      </c>
      <c r="E644">
        <f t="shared" si="10"/>
        <v>2</v>
      </c>
      <c r="F644">
        <v>411100</v>
      </c>
      <c r="G644" t="s">
        <v>18</v>
      </c>
      <c r="H644" t="s">
        <v>35</v>
      </c>
      <c r="I644" t="s">
        <v>36</v>
      </c>
      <c r="J644">
        <v>123020102</v>
      </c>
      <c r="K644">
        <v>20230222</v>
      </c>
      <c r="L644" t="s">
        <v>5347</v>
      </c>
      <c r="M644">
        <v>0</v>
      </c>
      <c r="N644">
        <v>4</v>
      </c>
      <c r="O644" t="s">
        <v>19</v>
      </c>
      <c r="P644" t="s">
        <v>20</v>
      </c>
      <c r="Q644">
        <v>20230222</v>
      </c>
    </row>
    <row r="645" spans="1:17" x14ac:dyDescent="0.25">
      <c r="A645" t="s">
        <v>548</v>
      </c>
      <c r="B645" t="s">
        <v>429</v>
      </c>
      <c r="C645">
        <v>57</v>
      </c>
      <c r="D645">
        <v>20230222</v>
      </c>
      <c r="E645">
        <f t="shared" si="10"/>
        <v>2</v>
      </c>
      <c r="F645">
        <v>411100</v>
      </c>
      <c r="G645" t="s">
        <v>18</v>
      </c>
      <c r="H645" t="s">
        <v>5174</v>
      </c>
      <c r="I645" t="s">
        <v>5175</v>
      </c>
      <c r="J645">
        <v>123020149</v>
      </c>
      <c r="K645">
        <v>20230222</v>
      </c>
      <c r="L645" t="s">
        <v>5348</v>
      </c>
      <c r="M645">
        <v>0</v>
      </c>
      <c r="N645">
        <v>6</v>
      </c>
      <c r="O645" t="s">
        <v>19</v>
      </c>
      <c r="P645" t="s">
        <v>20</v>
      </c>
      <c r="Q645">
        <v>20230222</v>
      </c>
    </row>
    <row r="646" spans="1:17" x14ac:dyDescent="0.25">
      <c r="A646" t="s">
        <v>548</v>
      </c>
      <c r="B646" t="s">
        <v>429</v>
      </c>
      <c r="C646">
        <v>57</v>
      </c>
      <c r="D646">
        <v>20230222</v>
      </c>
      <c r="E646">
        <f t="shared" si="10"/>
        <v>2</v>
      </c>
      <c r="F646">
        <v>411100</v>
      </c>
      <c r="G646" t="s">
        <v>18</v>
      </c>
      <c r="H646" t="s">
        <v>1774</v>
      </c>
      <c r="I646" t="s">
        <v>1775</v>
      </c>
      <c r="J646">
        <v>123020147</v>
      </c>
      <c r="K646">
        <v>20230222</v>
      </c>
      <c r="L646" t="s">
        <v>5349</v>
      </c>
      <c r="M646">
        <v>0</v>
      </c>
      <c r="N646">
        <v>4</v>
      </c>
      <c r="O646" t="s">
        <v>23</v>
      </c>
      <c r="P646">
        <v>20230329</v>
      </c>
      <c r="Q646">
        <v>20230222</v>
      </c>
    </row>
    <row r="647" spans="1:17" x14ac:dyDescent="0.25">
      <c r="A647" t="s">
        <v>548</v>
      </c>
      <c r="B647" t="s">
        <v>429</v>
      </c>
      <c r="C647">
        <v>57</v>
      </c>
      <c r="D647">
        <v>20230222</v>
      </c>
      <c r="E647">
        <f t="shared" si="10"/>
        <v>2</v>
      </c>
      <c r="F647">
        <v>411100</v>
      </c>
      <c r="G647" t="s">
        <v>18</v>
      </c>
      <c r="H647" t="s">
        <v>213</v>
      </c>
      <c r="I647" t="s">
        <v>214</v>
      </c>
      <c r="J647">
        <v>123020073</v>
      </c>
      <c r="K647">
        <v>20230222</v>
      </c>
      <c r="L647" t="s">
        <v>5350</v>
      </c>
      <c r="M647">
        <v>0</v>
      </c>
      <c r="N647">
        <v>2</v>
      </c>
      <c r="O647" t="s">
        <v>19</v>
      </c>
      <c r="P647" t="s">
        <v>20</v>
      </c>
      <c r="Q647">
        <v>20230222</v>
      </c>
    </row>
    <row r="648" spans="1:17" x14ac:dyDescent="0.25">
      <c r="A648" t="s">
        <v>548</v>
      </c>
      <c r="B648" t="s">
        <v>429</v>
      </c>
      <c r="C648">
        <v>57</v>
      </c>
      <c r="D648">
        <v>20230222</v>
      </c>
      <c r="E648">
        <f t="shared" si="10"/>
        <v>2</v>
      </c>
      <c r="F648">
        <v>411100</v>
      </c>
      <c r="G648" t="s">
        <v>18</v>
      </c>
      <c r="H648" t="s">
        <v>35</v>
      </c>
      <c r="I648" t="s">
        <v>36</v>
      </c>
      <c r="J648">
        <v>123020102</v>
      </c>
      <c r="K648">
        <v>20230222</v>
      </c>
      <c r="L648" t="s">
        <v>5351</v>
      </c>
      <c r="M648">
        <v>0</v>
      </c>
      <c r="N648">
        <v>4</v>
      </c>
      <c r="O648" t="s">
        <v>19</v>
      </c>
      <c r="P648" t="s">
        <v>20</v>
      </c>
      <c r="Q648">
        <v>20230222</v>
      </c>
    </row>
    <row r="649" spans="1:17" x14ac:dyDescent="0.25">
      <c r="A649" t="s">
        <v>548</v>
      </c>
      <c r="B649" t="s">
        <v>429</v>
      </c>
      <c r="C649">
        <v>57</v>
      </c>
      <c r="D649">
        <v>20230222</v>
      </c>
      <c r="E649">
        <f t="shared" si="10"/>
        <v>2</v>
      </c>
      <c r="F649">
        <v>411100</v>
      </c>
      <c r="G649" t="s">
        <v>18</v>
      </c>
      <c r="H649" t="s">
        <v>5121</v>
      </c>
      <c r="I649" t="s">
        <v>5122</v>
      </c>
      <c r="J649">
        <v>123020075</v>
      </c>
      <c r="K649">
        <v>20230222</v>
      </c>
      <c r="L649" t="s">
        <v>5352</v>
      </c>
      <c r="M649">
        <v>0</v>
      </c>
      <c r="N649">
        <v>10</v>
      </c>
      <c r="O649" t="s">
        <v>19</v>
      </c>
      <c r="P649" t="s">
        <v>20</v>
      </c>
      <c r="Q649">
        <v>20230222</v>
      </c>
    </row>
    <row r="650" spans="1:17" x14ac:dyDescent="0.25">
      <c r="A650" t="s">
        <v>548</v>
      </c>
      <c r="B650" t="s">
        <v>429</v>
      </c>
      <c r="C650">
        <v>57</v>
      </c>
      <c r="D650">
        <v>20230222</v>
      </c>
      <c r="E650">
        <f t="shared" si="10"/>
        <v>2</v>
      </c>
      <c r="F650">
        <v>411100</v>
      </c>
      <c r="G650" t="s">
        <v>18</v>
      </c>
      <c r="H650" t="s">
        <v>1774</v>
      </c>
      <c r="I650" t="s">
        <v>1775</v>
      </c>
      <c r="J650">
        <v>123020147</v>
      </c>
      <c r="K650">
        <v>20230222</v>
      </c>
      <c r="L650" t="s">
        <v>5353</v>
      </c>
      <c r="M650">
        <v>0</v>
      </c>
      <c r="N650">
        <v>2</v>
      </c>
      <c r="O650" t="s">
        <v>23</v>
      </c>
      <c r="P650">
        <v>20230329</v>
      </c>
      <c r="Q650">
        <v>20230222</v>
      </c>
    </row>
    <row r="651" spans="1:17" x14ac:dyDescent="0.25">
      <c r="A651" t="s">
        <v>548</v>
      </c>
      <c r="B651" t="s">
        <v>429</v>
      </c>
      <c r="C651">
        <v>57</v>
      </c>
      <c r="D651">
        <v>20230222</v>
      </c>
      <c r="E651">
        <f t="shared" si="10"/>
        <v>2</v>
      </c>
      <c r="F651">
        <v>411100</v>
      </c>
      <c r="G651" t="s">
        <v>18</v>
      </c>
      <c r="H651" t="s">
        <v>2969</v>
      </c>
      <c r="I651" t="s">
        <v>2970</v>
      </c>
      <c r="J651">
        <v>123020138</v>
      </c>
      <c r="K651">
        <v>20230222</v>
      </c>
      <c r="L651" t="s">
        <v>5354</v>
      </c>
      <c r="M651">
        <v>0</v>
      </c>
      <c r="N651">
        <v>2</v>
      </c>
      <c r="O651" t="s">
        <v>19</v>
      </c>
      <c r="P651" t="s">
        <v>20</v>
      </c>
      <c r="Q651">
        <v>20230222</v>
      </c>
    </row>
    <row r="652" spans="1:17" x14ac:dyDescent="0.25">
      <c r="A652" t="s">
        <v>548</v>
      </c>
      <c r="B652" t="s">
        <v>429</v>
      </c>
      <c r="C652">
        <v>57</v>
      </c>
      <c r="D652">
        <v>20230222</v>
      </c>
      <c r="E652">
        <f t="shared" si="10"/>
        <v>2</v>
      </c>
      <c r="F652">
        <v>411100</v>
      </c>
      <c r="G652" t="s">
        <v>18</v>
      </c>
      <c r="H652" t="s">
        <v>35</v>
      </c>
      <c r="I652" t="s">
        <v>36</v>
      </c>
      <c r="J652">
        <v>123020102</v>
      </c>
      <c r="K652">
        <v>20230222</v>
      </c>
      <c r="L652" t="s">
        <v>5355</v>
      </c>
      <c r="M652">
        <v>0</v>
      </c>
      <c r="N652">
        <v>4</v>
      </c>
      <c r="O652" t="s">
        <v>19</v>
      </c>
      <c r="P652" t="s">
        <v>20</v>
      </c>
      <c r="Q652">
        <v>20230222</v>
      </c>
    </row>
    <row r="653" spans="1:17" x14ac:dyDescent="0.25">
      <c r="A653" t="s">
        <v>548</v>
      </c>
      <c r="B653" t="s">
        <v>429</v>
      </c>
      <c r="C653">
        <v>57</v>
      </c>
      <c r="D653">
        <v>20230222</v>
      </c>
      <c r="E653">
        <f t="shared" si="10"/>
        <v>2</v>
      </c>
      <c r="F653">
        <v>411100</v>
      </c>
      <c r="G653" t="s">
        <v>18</v>
      </c>
      <c r="H653" t="s">
        <v>5174</v>
      </c>
      <c r="I653" t="s">
        <v>5175</v>
      </c>
      <c r="J653">
        <v>123020149</v>
      </c>
      <c r="K653">
        <v>20230222</v>
      </c>
      <c r="L653" t="s">
        <v>5356</v>
      </c>
      <c r="M653">
        <v>0</v>
      </c>
      <c r="N653">
        <v>6</v>
      </c>
      <c r="O653" t="s">
        <v>19</v>
      </c>
      <c r="P653" t="s">
        <v>20</v>
      </c>
      <c r="Q653">
        <v>20230222</v>
      </c>
    </row>
    <row r="654" spans="1:17" x14ac:dyDescent="0.25">
      <c r="A654" t="s">
        <v>548</v>
      </c>
      <c r="B654" t="s">
        <v>429</v>
      </c>
      <c r="C654">
        <v>57</v>
      </c>
      <c r="D654">
        <v>20230222</v>
      </c>
      <c r="E654">
        <f t="shared" si="10"/>
        <v>2</v>
      </c>
      <c r="F654">
        <v>531105</v>
      </c>
      <c r="G654" t="s">
        <v>429</v>
      </c>
      <c r="H654" t="s">
        <v>401</v>
      </c>
      <c r="I654" t="s">
        <v>402</v>
      </c>
      <c r="J654">
        <v>366755</v>
      </c>
      <c r="K654">
        <v>20230222</v>
      </c>
      <c r="L654" t="s">
        <v>565</v>
      </c>
      <c r="M654">
        <v>71</v>
      </c>
      <c r="N654">
        <v>0</v>
      </c>
      <c r="O654" t="s">
        <v>19</v>
      </c>
      <c r="P654" t="s">
        <v>20</v>
      </c>
      <c r="Q654">
        <v>20230222</v>
      </c>
    </row>
    <row r="655" spans="1:17" x14ac:dyDescent="0.25">
      <c r="A655" t="s">
        <v>548</v>
      </c>
      <c r="B655" t="s">
        <v>429</v>
      </c>
      <c r="C655">
        <v>57</v>
      </c>
      <c r="D655">
        <v>20230223</v>
      </c>
      <c r="E655">
        <f t="shared" si="10"/>
        <v>2</v>
      </c>
      <c r="F655">
        <v>411100</v>
      </c>
      <c r="G655" t="s">
        <v>18</v>
      </c>
      <c r="H655" t="s">
        <v>5003</v>
      </c>
      <c r="I655" t="s">
        <v>5004</v>
      </c>
      <c r="J655">
        <v>123020105</v>
      </c>
      <c r="K655">
        <v>20230223</v>
      </c>
      <c r="L655" t="s">
        <v>5357</v>
      </c>
      <c r="M655">
        <v>0</v>
      </c>
      <c r="N655">
        <v>4</v>
      </c>
      <c r="O655" t="s">
        <v>19</v>
      </c>
      <c r="P655" t="s">
        <v>20</v>
      </c>
      <c r="Q655">
        <v>20230223</v>
      </c>
    </row>
    <row r="656" spans="1:17" x14ac:dyDescent="0.25">
      <c r="A656" t="s">
        <v>548</v>
      </c>
      <c r="B656" t="s">
        <v>429</v>
      </c>
      <c r="C656">
        <v>57</v>
      </c>
      <c r="D656">
        <v>20230223</v>
      </c>
      <c r="E656">
        <f t="shared" si="10"/>
        <v>2</v>
      </c>
      <c r="F656">
        <v>411100</v>
      </c>
      <c r="G656" t="s">
        <v>18</v>
      </c>
      <c r="H656" t="s">
        <v>5003</v>
      </c>
      <c r="I656" t="s">
        <v>5004</v>
      </c>
      <c r="J656">
        <v>123020105</v>
      </c>
      <c r="K656">
        <v>20230223</v>
      </c>
      <c r="L656" t="s">
        <v>5358</v>
      </c>
      <c r="M656">
        <v>0</v>
      </c>
      <c r="N656">
        <v>8</v>
      </c>
      <c r="O656" t="s">
        <v>19</v>
      </c>
      <c r="P656" t="s">
        <v>20</v>
      </c>
      <c r="Q656">
        <v>20230223</v>
      </c>
    </row>
    <row r="657" spans="1:17" x14ac:dyDescent="0.25">
      <c r="A657" t="s">
        <v>548</v>
      </c>
      <c r="B657" t="s">
        <v>429</v>
      </c>
      <c r="C657">
        <v>57</v>
      </c>
      <c r="D657">
        <v>20230223</v>
      </c>
      <c r="E657">
        <f t="shared" si="10"/>
        <v>2</v>
      </c>
      <c r="F657">
        <v>411100</v>
      </c>
      <c r="G657" t="s">
        <v>18</v>
      </c>
      <c r="H657" t="s">
        <v>5121</v>
      </c>
      <c r="I657" t="s">
        <v>5122</v>
      </c>
      <c r="J657">
        <v>123020075</v>
      </c>
      <c r="K657">
        <v>20230223</v>
      </c>
      <c r="L657" t="s">
        <v>5359</v>
      </c>
      <c r="M657">
        <v>0</v>
      </c>
      <c r="N657">
        <v>8</v>
      </c>
      <c r="O657" t="s">
        <v>19</v>
      </c>
      <c r="P657" t="s">
        <v>20</v>
      </c>
      <c r="Q657">
        <v>20230223</v>
      </c>
    </row>
    <row r="658" spans="1:17" x14ac:dyDescent="0.25">
      <c r="A658" t="s">
        <v>548</v>
      </c>
      <c r="B658" t="s">
        <v>429</v>
      </c>
      <c r="C658">
        <v>57</v>
      </c>
      <c r="D658">
        <v>20230223</v>
      </c>
      <c r="E658">
        <f t="shared" si="10"/>
        <v>2</v>
      </c>
      <c r="F658">
        <v>411100</v>
      </c>
      <c r="G658" t="s">
        <v>18</v>
      </c>
      <c r="H658" t="s">
        <v>2938</v>
      </c>
      <c r="I658" t="s">
        <v>2939</v>
      </c>
      <c r="J658">
        <v>123020156</v>
      </c>
      <c r="K658">
        <v>20230223</v>
      </c>
      <c r="L658" t="s">
        <v>5360</v>
      </c>
      <c r="M658">
        <v>0</v>
      </c>
      <c r="N658">
        <v>6</v>
      </c>
      <c r="O658" t="s">
        <v>23</v>
      </c>
      <c r="P658">
        <v>20230329</v>
      </c>
      <c r="Q658">
        <v>20230223</v>
      </c>
    </row>
    <row r="659" spans="1:17" x14ac:dyDescent="0.25">
      <c r="A659" t="s">
        <v>548</v>
      </c>
      <c r="B659" t="s">
        <v>429</v>
      </c>
      <c r="C659">
        <v>57</v>
      </c>
      <c r="D659">
        <v>20230223</v>
      </c>
      <c r="E659">
        <f t="shared" si="10"/>
        <v>2</v>
      </c>
      <c r="F659">
        <v>411100</v>
      </c>
      <c r="G659" t="s">
        <v>18</v>
      </c>
      <c r="H659" t="s">
        <v>1043</v>
      </c>
      <c r="I659" t="s">
        <v>1044</v>
      </c>
      <c r="J659">
        <v>123020141</v>
      </c>
      <c r="K659">
        <v>20230223</v>
      </c>
      <c r="L659" t="s">
        <v>5361</v>
      </c>
      <c r="M659">
        <v>0</v>
      </c>
      <c r="N659">
        <v>4</v>
      </c>
      <c r="O659" t="s">
        <v>23</v>
      </c>
      <c r="P659">
        <v>20230329</v>
      </c>
      <c r="Q659">
        <v>20230223</v>
      </c>
    </row>
    <row r="660" spans="1:17" x14ac:dyDescent="0.25">
      <c r="A660" t="s">
        <v>548</v>
      </c>
      <c r="B660" t="s">
        <v>429</v>
      </c>
      <c r="C660">
        <v>57</v>
      </c>
      <c r="D660">
        <v>20230223</v>
      </c>
      <c r="E660">
        <f t="shared" si="10"/>
        <v>2</v>
      </c>
      <c r="F660">
        <v>411100</v>
      </c>
      <c r="G660" t="s">
        <v>18</v>
      </c>
      <c r="H660" t="s">
        <v>2523</v>
      </c>
      <c r="I660" t="s">
        <v>2524</v>
      </c>
      <c r="J660">
        <v>123020157</v>
      </c>
      <c r="K660">
        <v>20230223</v>
      </c>
      <c r="L660" t="s">
        <v>5362</v>
      </c>
      <c r="M660">
        <v>0</v>
      </c>
      <c r="N660">
        <v>2</v>
      </c>
      <c r="O660" t="s">
        <v>19</v>
      </c>
      <c r="P660" t="s">
        <v>20</v>
      </c>
      <c r="Q660">
        <v>20230223</v>
      </c>
    </row>
    <row r="661" spans="1:17" x14ac:dyDescent="0.25">
      <c r="A661" t="s">
        <v>548</v>
      </c>
      <c r="B661" t="s">
        <v>429</v>
      </c>
      <c r="C661">
        <v>57</v>
      </c>
      <c r="D661">
        <v>20230223</v>
      </c>
      <c r="E661">
        <f t="shared" si="10"/>
        <v>2</v>
      </c>
      <c r="F661">
        <v>411100</v>
      </c>
      <c r="G661" t="s">
        <v>18</v>
      </c>
      <c r="H661" t="s">
        <v>154</v>
      </c>
      <c r="I661" t="s">
        <v>155</v>
      </c>
      <c r="J661">
        <v>366762</v>
      </c>
      <c r="K661">
        <v>20230223</v>
      </c>
      <c r="L661" t="s">
        <v>5363</v>
      </c>
      <c r="M661">
        <v>3.5</v>
      </c>
      <c r="N661">
        <v>0</v>
      </c>
      <c r="O661" t="s">
        <v>19</v>
      </c>
      <c r="P661" t="s">
        <v>20</v>
      </c>
      <c r="Q661">
        <v>20230223</v>
      </c>
    </row>
    <row r="662" spans="1:17" x14ac:dyDescent="0.25">
      <c r="A662" t="s">
        <v>548</v>
      </c>
      <c r="B662" t="s">
        <v>429</v>
      </c>
      <c r="C662">
        <v>57</v>
      </c>
      <c r="D662">
        <v>20230223</v>
      </c>
      <c r="E662">
        <f t="shared" si="10"/>
        <v>2</v>
      </c>
      <c r="F662">
        <v>411100</v>
      </c>
      <c r="G662" t="s">
        <v>18</v>
      </c>
      <c r="H662" t="s">
        <v>154</v>
      </c>
      <c r="I662" t="s">
        <v>155</v>
      </c>
      <c r="J662">
        <v>366763</v>
      </c>
      <c r="K662">
        <v>20230223</v>
      </c>
      <c r="L662" t="s">
        <v>5364</v>
      </c>
      <c r="M662">
        <v>3.5</v>
      </c>
      <c r="N662">
        <v>0</v>
      </c>
      <c r="O662" t="s">
        <v>19</v>
      </c>
      <c r="P662" t="s">
        <v>20</v>
      </c>
      <c r="Q662">
        <v>20230223</v>
      </c>
    </row>
    <row r="663" spans="1:17" x14ac:dyDescent="0.25">
      <c r="A663" t="s">
        <v>548</v>
      </c>
      <c r="B663" t="s">
        <v>429</v>
      </c>
      <c r="C663">
        <v>57</v>
      </c>
      <c r="D663">
        <v>20230223</v>
      </c>
      <c r="E663">
        <f t="shared" si="10"/>
        <v>2</v>
      </c>
      <c r="F663">
        <v>411100</v>
      </c>
      <c r="G663" t="s">
        <v>18</v>
      </c>
      <c r="H663" t="s">
        <v>154</v>
      </c>
      <c r="I663" t="s">
        <v>155</v>
      </c>
      <c r="J663">
        <v>366764</v>
      </c>
      <c r="K663">
        <v>20230223</v>
      </c>
      <c r="L663" t="s">
        <v>5365</v>
      </c>
      <c r="M663">
        <v>2</v>
      </c>
      <c r="N663">
        <v>0</v>
      </c>
      <c r="O663" t="s">
        <v>19</v>
      </c>
      <c r="P663" t="s">
        <v>20</v>
      </c>
      <c r="Q663">
        <v>20230223</v>
      </c>
    </row>
    <row r="664" spans="1:17" x14ac:dyDescent="0.25">
      <c r="A664" t="s">
        <v>548</v>
      </c>
      <c r="B664" t="s">
        <v>429</v>
      </c>
      <c r="C664">
        <v>57</v>
      </c>
      <c r="D664">
        <v>20230223</v>
      </c>
      <c r="E664">
        <f t="shared" si="10"/>
        <v>2</v>
      </c>
      <c r="F664">
        <v>411100</v>
      </c>
      <c r="G664" t="s">
        <v>18</v>
      </c>
      <c r="H664" t="s">
        <v>154</v>
      </c>
      <c r="I664" t="s">
        <v>155</v>
      </c>
      <c r="J664">
        <v>366765</v>
      </c>
      <c r="K664">
        <v>20230223</v>
      </c>
      <c r="L664" t="s">
        <v>5366</v>
      </c>
      <c r="M664">
        <v>1.5</v>
      </c>
      <c r="N664">
        <v>0</v>
      </c>
      <c r="O664" t="s">
        <v>19</v>
      </c>
      <c r="P664" t="s">
        <v>20</v>
      </c>
      <c r="Q664">
        <v>20230223</v>
      </c>
    </row>
    <row r="665" spans="1:17" x14ac:dyDescent="0.25">
      <c r="A665" t="s">
        <v>548</v>
      </c>
      <c r="B665" t="s">
        <v>429</v>
      </c>
      <c r="C665">
        <v>57</v>
      </c>
      <c r="D665">
        <v>20230223</v>
      </c>
      <c r="E665">
        <f t="shared" si="10"/>
        <v>2</v>
      </c>
      <c r="F665">
        <v>411100</v>
      </c>
      <c r="G665" t="s">
        <v>18</v>
      </c>
      <c r="H665" t="s">
        <v>154</v>
      </c>
      <c r="I665" t="s">
        <v>155</v>
      </c>
      <c r="J665">
        <v>366766</v>
      </c>
      <c r="K665">
        <v>20230223</v>
      </c>
      <c r="L665" t="s">
        <v>5367</v>
      </c>
      <c r="M665">
        <v>6</v>
      </c>
      <c r="N665">
        <v>0</v>
      </c>
      <c r="O665" t="s">
        <v>19</v>
      </c>
      <c r="P665" t="s">
        <v>20</v>
      </c>
      <c r="Q665">
        <v>20230223</v>
      </c>
    </row>
    <row r="666" spans="1:17" x14ac:dyDescent="0.25">
      <c r="A666" t="s">
        <v>548</v>
      </c>
      <c r="B666" t="s">
        <v>429</v>
      </c>
      <c r="C666">
        <v>57</v>
      </c>
      <c r="D666">
        <v>20230223</v>
      </c>
      <c r="E666">
        <f t="shared" si="10"/>
        <v>2</v>
      </c>
      <c r="F666">
        <v>411100</v>
      </c>
      <c r="G666" t="s">
        <v>18</v>
      </c>
      <c r="H666" t="s">
        <v>154</v>
      </c>
      <c r="I666" t="s">
        <v>155</v>
      </c>
      <c r="J666">
        <v>366767</v>
      </c>
      <c r="K666">
        <v>20230223</v>
      </c>
      <c r="L666" t="s">
        <v>5368</v>
      </c>
      <c r="M666">
        <v>3.5</v>
      </c>
      <c r="N666">
        <v>0</v>
      </c>
      <c r="O666" t="s">
        <v>19</v>
      </c>
      <c r="P666" t="s">
        <v>20</v>
      </c>
      <c r="Q666">
        <v>20230223</v>
      </c>
    </row>
    <row r="667" spans="1:17" x14ac:dyDescent="0.25">
      <c r="A667" t="s">
        <v>548</v>
      </c>
      <c r="B667" t="s">
        <v>429</v>
      </c>
      <c r="C667">
        <v>57</v>
      </c>
      <c r="D667">
        <v>20230223</v>
      </c>
      <c r="E667">
        <f t="shared" si="10"/>
        <v>2</v>
      </c>
      <c r="F667">
        <v>411100</v>
      </c>
      <c r="G667" t="s">
        <v>18</v>
      </c>
      <c r="H667" t="s">
        <v>154</v>
      </c>
      <c r="I667" t="s">
        <v>155</v>
      </c>
      <c r="J667">
        <v>366768</v>
      </c>
      <c r="K667">
        <v>20230223</v>
      </c>
      <c r="L667" t="s">
        <v>5369</v>
      </c>
      <c r="M667">
        <v>4</v>
      </c>
      <c r="N667">
        <v>0</v>
      </c>
      <c r="O667" t="s">
        <v>19</v>
      </c>
      <c r="P667" t="s">
        <v>20</v>
      </c>
      <c r="Q667">
        <v>20230223</v>
      </c>
    </row>
    <row r="668" spans="1:17" x14ac:dyDescent="0.25">
      <c r="A668" t="s">
        <v>548</v>
      </c>
      <c r="B668" t="s">
        <v>429</v>
      </c>
      <c r="C668">
        <v>57</v>
      </c>
      <c r="D668">
        <v>20230223</v>
      </c>
      <c r="E668">
        <f t="shared" si="10"/>
        <v>2</v>
      </c>
      <c r="F668">
        <v>531105</v>
      </c>
      <c r="G668" t="s">
        <v>429</v>
      </c>
      <c r="H668" t="s">
        <v>401</v>
      </c>
      <c r="I668" t="s">
        <v>402</v>
      </c>
      <c r="J668">
        <v>366769</v>
      </c>
      <c r="K668">
        <v>20230223</v>
      </c>
      <c r="L668" t="s">
        <v>565</v>
      </c>
      <c r="M668">
        <v>8</v>
      </c>
      <c r="N668">
        <v>0</v>
      </c>
      <c r="O668" t="s">
        <v>19</v>
      </c>
      <c r="P668" t="s">
        <v>20</v>
      </c>
      <c r="Q668">
        <v>20230223</v>
      </c>
    </row>
    <row r="669" spans="1:17" x14ac:dyDescent="0.25">
      <c r="A669" t="s">
        <v>548</v>
      </c>
      <c r="B669" t="s">
        <v>429</v>
      </c>
      <c r="C669">
        <v>57</v>
      </c>
      <c r="D669">
        <v>20230223</v>
      </c>
      <c r="E669">
        <f t="shared" si="10"/>
        <v>2</v>
      </c>
      <c r="F669">
        <v>411010</v>
      </c>
      <c r="G669" t="s">
        <v>87</v>
      </c>
      <c r="H669" t="s">
        <v>381</v>
      </c>
      <c r="I669" t="s">
        <v>382</v>
      </c>
      <c r="J669">
        <v>223010009</v>
      </c>
      <c r="K669">
        <v>20230223</v>
      </c>
      <c r="L669" t="s">
        <v>5370</v>
      </c>
      <c r="M669">
        <v>0</v>
      </c>
      <c r="N669">
        <v>570</v>
      </c>
      <c r="O669" t="s">
        <v>19</v>
      </c>
      <c r="P669" t="s">
        <v>20</v>
      </c>
      <c r="Q669">
        <v>20230223</v>
      </c>
    </row>
    <row r="670" spans="1:17" x14ac:dyDescent="0.25">
      <c r="A670" t="s">
        <v>548</v>
      </c>
      <c r="B670" t="s">
        <v>429</v>
      </c>
      <c r="C670">
        <v>57</v>
      </c>
      <c r="D670">
        <v>20230223</v>
      </c>
      <c r="E670">
        <f t="shared" si="10"/>
        <v>2</v>
      </c>
      <c r="F670">
        <v>531105</v>
      </c>
      <c r="G670" t="s">
        <v>429</v>
      </c>
      <c r="H670" t="s">
        <v>401</v>
      </c>
      <c r="I670" t="s">
        <v>402</v>
      </c>
      <c r="J670">
        <v>367265</v>
      </c>
      <c r="K670">
        <v>20230223</v>
      </c>
      <c r="L670" t="s">
        <v>565</v>
      </c>
      <c r="M670">
        <v>570</v>
      </c>
      <c r="N670">
        <v>0</v>
      </c>
      <c r="O670" t="s">
        <v>19</v>
      </c>
      <c r="P670" t="s">
        <v>20</v>
      </c>
      <c r="Q670">
        <v>20230223</v>
      </c>
    </row>
    <row r="671" spans="1:17" x14ac:dyDescent="0.25">
      <c r="A671" t="s">
        <v>548</v>
      </c>
      <c r="B671" t="s">
        <v>429</v>
      </c>
      <c r="C671">
        <v>57</v>
      </c>
      <c r="D671">
        <v>20230224</v>
      </c>
      <c r="E671">
        <f t="shared" si="10"/>
        <v>2</v>
      </c>
      <c r="F671">
        <v>467100</v>
      </c>
      <c r="G671" t="s">
        <v>160</v>
      </c>
      <c r="H671" t="s">
        <v>4958</v>
      </c>
      <c r="I671" t="s">
        <v>4959</v>
      </c>
      <c r="J671" t="s">
        <v>5371</v>
      </c>
      <c r="K671">
        <v>20230224</v>
      </c>
      <c r="L671" t="s">
        <v>5372</v>
      </c>
      <c r="M671">
        <v>200</v>
      </c>
      <c r="N671">
        <v>0</v>
      </c>
      <c r="O671" t="s">
        <v>23</v>
      </c>
      <c r="P671">
        <v>20230308</v>
      </c>
      <c r="Q671">
        <v>20230224</v>
      </c>
    </row>
    <row r="672" spans="1:17" x14ac:dyDescent="0.25">
      <c r="A672" t="s">
        <v>548</v>
      </c>
      <c r="B672" t="s">
        <v>429</v>
      </c>
      <c r="C672">
        <v>57</v>
      </c>
      <c r="D672">
        <v>20230224</v>
      </c>
      <c r="E672">
        <f t="shared" si="10"/>
        <v>2</v>
      </c>
      <c r="F672">
        <v>531105</v>
      </c>
      <c r="G672" t="s">
        <v>429</v>
      </c>
      <c r="H672" t="s">
        <v>401</v>
      </c>
      <c r="I672" t="s">
        <v>402</v>
      </c>
      <c r="J672" t="s">
        <v>5371</v>
      </c>
      <c r="K672">
        <v>20230224</v>
      </c>
      <c r="L672" t="s">
        <v>5372</v>
      </c>
      <c r="M672">
        <v>0</v>
      </c>
      <c r="N672">
        <v>200</v>
      </c>
      <c r="O672" t="s">
        <v>19</v>
      </c>
      <c r="P672" t="s">
        <v>20</v>
      </c>
      <c r="Q672">
        <v>20230224</v>
      </c>
    </row>
    <row r="673" spans="1:17" x14ac:dyDescent="0.25">
      <c r="A673" t="s">
        <v>548</v>
      </c>
      <c r="B673" t="s">
        <v>429</v>
      </c>
      <c r="C673">
        <v>57</v>
      </c>
      <c r="D673">
        <v>20230224</v>
      </c>
      <c r="E673">
        <f t="shared" si="10"/>
        <v>2</v>
      </c>
      <c r="F673">
        <v>467100</v>
      </c>
      <c r="G673" t="s">
        <v>160</v>
      </c>
      <c r="H673" t="s">
        <v>4958</v>
      </c>
      <c r="I673" t="s">
        <v>4959</v>
      </c>
      <c r="J673" t="s">
        <v>5373</v>
      </c>
      <c r="K673">
        <v>20230224</v>
      </c>
      <c r="L673" t="s">
        <v>5374</v>
      </c>
      <c r="M673">
        <v>60</v>
      </c>
      <c r="N673">
        <v>0</v>
      </c>
      <c r="O673" t="s">
        <v>23</v>
      </c>
      <c r="P673">
        <v>20230308</v>
      </c>
      <c r="Q673">
        <v>20230224</v>
      </c>
    </row>
    <row r="674" spans="1:17" x14ac:dyDescent="0.25">
      <c r="A674" t="s">
        <v>548</v>
      </c>
      <c r="B674" t="s">
        <v>429</v>
      </c>
      <c r="C674">
        <v>57</v>
      </c>
      <c r="D674">
        <v>20230224</v>
      </c>
      <c r="E674">
        <f t="shared" si="10"/>
        <v>2</v>
      </c>
      <c r="F674">
        <v>531105</v>
      </c>
      <c r="G674" t="s">
        <v>429</v>
      </c>
      <c r="H674" t="s">
        <v>401</v>
      </c>
      <c r="I674" t="s">
        <v>402</v>
      </c>
      <c r="J674" t="s">
        <v>5373</v>
      </c>
      <c r="K674">
        <v>20230224</v>
      </c>
      <c r="L674" t="s">
        <v>5374</v>
      </c>
      <c r="M674">
        <v>0</v>
      </c>
      <c r="N674">
        <v>60</v>
      </c>
      <c r="O674" t="s">
        <v>19</v>
      </c>
      <c r="P674" t="s">
        <v>20</v>
      </c>
      <c r="Q674">
        <v>20230224</v>
      </c>
    </row>
    <row r="675" spans="1:17" x14ac:dyDescent="0.25">
      <c r="A675" t="s">
        <v>548</v>
      </c>
      <c r="B675" t="s">
        <v>429</v>
      </c>
      <c r="C675">
        <v>57</v>
      </c>
      <c r="D675">
        <v>20230224</v>
      </c>
      <c r="E675">
        <f t="shared" si="10"/>
        <v>2</v>
      </c>
      <c r="F675">
        <v>467100</v>
      </c>
      <c r="G675" t="s">
        <v>160</v>
      </c>
      <c r="H675" t="s">
        <v>4958</v>
      </c>
      <c r="I675" t="s">
        <v>4959</v>
      </c>
      <c r="J675" t="s">
        <v>5375</v>
      </c>
      <c r="K675">
        <v>20230224</v>
      </c>
      <c r="L675" t="s">
        <v>5376</v>
      </c>
      <c r="M675">
        <v>60</v>
      </c>
      <c r="N675">
        <v>0</v>
      </c>
      <c r="O675" t="s">
        <v>23</v>
      </c>
      <c r="P675">
        <v>20230308</v>
      </c>
      <c r="Q675">
        <v>20230224</v>
      </c>
    </row>
    <row r="676" spans="1:17" x14ac:dyDescent="0.25">
      <c r="A676" t="s">
        <v>548</v>
      </c>
      <c r="B676" t="s">
        <v>429</v>
      </c>
      <c r="C676">
        <v>57</v>
      </c>
      <c r="D676">
        <v>20230224</v>
      </c>
      <c r="E676">
        <f t="shared" si="10"/>
        <v>2</v>
      </c>
      <c r="F676">
        <v>531105</v>
      </c>
      <c r="G676" t="s">
        <v>429</v>
      </c>
      <c r="H676" t="s">
        <v>401</v>
      </c>
      <c r="I676" t="s">
        <v>402</v>
      </c>
      <c r="J676" t="s">
        <v>5375</v>
      </c>
      <c r="K676">
        <v>20230224</v>
      </c>
      <c r="L676" t="s">
        <v>5376</v>
      </c>
      <c r="M676">
        <v>0</v>
      </c>
      <c r="N676">
        <v>60</v>
      </c>
      <c r="O676" t="s">
        <v>19</v>
      </c>
      <c r="P676" t="s">
        <v>20</v>
      </c>
      <c r="Q676">
        <v>20230224</v>
      </c>
    </row>
    <row r="677" spans="1:17" x14ac:dyDescent="0.25">
      <c r="A677" t="s">
        <v>548</v>
      </c>
      <c r="B677" t="s">
        <v>429</v>
      </c>
      <c r="C677">
        <v>57</v>
      </c>
      <c r="D677">
        <v>20230227</v>
      </c>
      <c r="E677">
        <f t="shared" si="10"/>
        <v>2</v>
      </c>
      <c r="F677">
        <v>580000</v>
      </c>
      <c r="G677" t="s">
        <v>532</v>
      </c>
      <c r="H677" t="s">
        <v>401</v>
      </c>
      <c r="I677" t="s">
        <v>402</v>
      </c>
      <c r="J677" t="s">
        <v>5377</v>
      </c>
      <c r="K677">
        <v>20230227</v>
      </c>
      <c r="L677" t="s">
        <v>625</v>
      </c>
      <c r="M677">
        <v>2700</v>
      </c>
      <c r="N677">
        <v>0</v>
      </c>
      <c r="O677" t="s">
        <v>22</v>
      </c>
      <c r="P677">
        <v>20230227</v>
      </c>
      <c r="Q677">
        <v>20230227</v>
      </c>
    </row>
    <row r="678" spans="1:17" x14ac:dyDescent="0.25">
      <c r="A678" t="s">
        <v>548</v>
      </c>
      <c r="B678" t="s">
        <v>429</v>
      </c>
      <c r="C678">
        <v>57</v>
      </c>
      <c r="D678">
        <v>20230227</v>
      </c>
      <c r="E678">
        <f t="shared" si="10"/>
        <v>2</v>
      </c>
      <c r="F678">
        <v>531105</v>
      </c>
      <c r="G678" t="s">
        <v>429</v>
      </c>
      <c r="H678" t="s">
        <v>401</v>
      </c>
      <c r="I678" t="s">
        <v>402</v>
      </c>
      <c r="J678" t="s">
        <v>5377</v>
      </c>
      <c r="K678">
        <v>20230227</v>
      </c>
      <c r="L678" t="s">
        <v>625</v>
      </c>
      <c r="M678">
        <v>0</v>
      </c>
      <c r="N678">
        <v>2700</v>
      </c>
      <c r="O678" t="s">
        <v>19</v>
      </c>
      <c r="P678" t="s">
        <v>20</v>
      </c>
      <c r="Q678">
        <v>20230227</v>
      </c>
    </row>
    <row r="679" spans="1:17" x14ac:dyDescent="0.25">
      <c r="A679" t="s">
        <v>548</v>
      </c>
      <c r="B679" t="s">
        <v>429</v>
      </c>
      <c r="C679">
        <v>57</v>
      </c>
      <c r="D679">
        <v>20230227</v>
      </c>
      <c r="E679">
        <f t="shared" si="10"/>
        <v>2</v>
      </c>
      <c r="F679">
        <v>411100</v>
      </c>
      <c r="G679" t="s">
        <v>18</v>
      </c>
      <c r="H679" t="s">
        <v>3635</v>
      </c>
      <c r="I679" t="s">
        <v>3636</v>
      </c>
      <c r="J679">
        <v>367458</v>
      </c>
      <c r="K679">
        <v>20230227</v>
      </c>
      <c r="L679" t="s">
        <v>5378</v>
      </c>
      <c r="M679">
        <v>0</v>
      </c>
      <c r="N679">
        <v>3</v>
      </c>
      <c r="O679" t="s">
        <v>19</v>
      </c>
      <c r="P679" t="s">
        <v>20</v>
      </c>
      <c r="Q679">
        <v>20230227</v>
      </c>
    </row>
    <row r="680" spans="1:17" x14ac:dyDescent="0.25">
      <c r="A680" t="s">
        <v>548</v>
      </c>
      <c r="B680" t="s">
        <v>429</v>
      </c>
      <c r="C680">
        <v>57</v>
      </c>
      <c r="D680">
        <v>20230227</v>
      </c>
      <c r="E680">
        <f t="shared" si="10"/>
        <v>2</v>
      </c>
      <c r="F680">
        <v>531105</v>
      </c>
      <c r="G680" t="s">
        <v>429</v>
      </c>
      <c r="H680" t="s">
        <v>401</v>
      </c>
      <c r="I680" t="s">
        <v>402</v>
      </c>
      <c r="J680">
        <v>367459</v>
      </c>
      <c r="K680">
        <v>20230227</v>
      </c>
      <c r="L680" t="s">
        <v>565</v>
      </c>
      <c r="M680">
        <v>3</v>
      </c>
      <c r="N680">
        <v>0</v>
      </c>
      <c r="O680" t="s">
        <v>19</v>
      </c>
      <c r="P680" t="s">
        <v>20</v>
      </c>
      <c r="Q680">
        <v>20230227</v>
      </c>
    </row>
    <row r="681" spans="1:17" x14ac:dyDescent="0.25">
      <c r="A681" t="s">
        <v>548</v>
      </c>
      <c r="B681" t="s">
        <v>429</v>
      </c>
      <c r="C681">
        <v>57</v>
      </c>
      <c r="D681">
        <v>20230227</v>
      </c>
      <c r="E681">
        <f t="shared" si="10"/>
        <v>2</v>
      </c>
      <c r="F681">
        <v>411010</v>
      </c>
      <c r="G681" t="s">
        <v>87</v>
      </c>
      <c r="H681" t="s">
        <v>4464</v>
      </c>
      <c r="I681" t="s">
        <v>4898</v>
      </c>
      <c r="J681">
        <v>222120031</v>
      </c>
      <c r="K681">
        <v>20230227</v>
      </c>
      <c r="L681" t="s">
        <v>5379</v>
      </c>
      <c r="M681">
        <v>0</v>
      </c>
      <c r="N681">
        <v>29.31</v>
      </c>
      <c r="O681" t="s">
        <v>19</v>
      </c>
      <c r="P681" t="s">
        <v>20</v>
      </c>
      <c r="Q681">
        <v>20230227</v>
      </c>
    </row>
    <row r="682" spans="1:17" x14ac:dyDescent="0.25">
      <c r="A682" t="s">
        <v>548</v>
      </c>
      <c r="B682" t="s">
        <v>429</v>
      </c>
      <c r="C682">
        <v>57</v>
      </c>
      <c r="D682">
        <v>20230227</v>
      </c>
      <c r="E682">
        <f t="shared" si="10"/>
        <v>2</v>
      </c>
      <c r="F682">
        <v>531105</v>
      </c>
      <c r="G682" t="s">
        <v>429</v>
      </c>
      <c r="H682" t="s">
        <v>401</v>
      </c>
      <c r="I682" t="s">
        <v>402</v>
      </c>
      <c r="J682">
        <v>367513</v>
      </c>
      <c r="K682">
        <v>20230227</v>
      </c>
      <c r="L682" t="s">
        <v>565</v>
      </c>
      <c r="M682">
        <v>29.31</v>
      </c>
      <c r="N682">
        <v>0</v>
      </c>
      <c r="O682" t="s">
        <v>19</v>
      </c>
      <c r="P682" t="s">
        <v>20</v>
      </c>
      <c r="Q682">
        <v>20230227</v>
      </c>
    </row>
    <row r="683" spans="1:17" x14ac:dyDescent="0.25">
      <c r="A683" t="s">
        <v>548</v>
      </c>
      <c r="B683" t="s">
        <v>429</v>
      </c>
      <c r="C683">
        <v>57</v>
      </c>
      <c r="D683">
        <v>20230228</v>
      </c>
      <c r="E683">
        <f t="shared" si="10"/>
        <v>2</v>
      </c>
      <c r="F683">
        <v>467100</v>
      </c>
      <c r="G683" t="s">
        <v>160</v>
      </c>
      <c r="H683" t="s">
        <v>4847</v>
      </c>
      <c r="I683" t="s">
        <v>4848</v>
      </c>
      <c r="J683" t="s">
        <v>5380</v>
      </c>
      <c r="K683">
        <v>20230228</v>
      </c>
      <c r="L683" t="s">
        <v>5381</v>
      </c>
      <c r="M683">
        <v>25.81</v>
      </c>
      <c r="N683">
        <v>0</v>
      </c>
      <c r="O683" t="s">
        <v>23</v>
      </c>
      <c r="P683">
        <v>20230308</v>
      </c>
      <c r="Q683">
        <v>20230228</v>
      </c>
    </row>
    <row r="684" spans="1:17" x14ac:dyDescent="0.25">
      <c r="A684" t="s">
        <v>548</v>
      </c>
      <c r="B684" t="s">
        <v>429</v>
      </c>
      <c r="C684">
        <v>57</v>
      </c>
      <c r="D684">
        <v>20230228</v>
      </c>
      <c r="E684">
        <f t="shared" si="10"/>
        <v>2</v>
      </c>
      <c r="F684">
        <v>531105</v>
      </c>
      <c r="G684" t="s">
        <v>429</v>
      </c>
      <c r="H684" t="s">
        <v>401</v>
      </c>
      <c r="I684" t="s">
        <v>402</v>
      </c>
      <c r="J684" t="s">
        <v>5380</v>
      </c>
      <c r="K684">
        <v>20230228</v>
      </c>
      <c r="L684" t="s">
        <v>5381</v>
      </c>
      <c r="M684">
        <v>0</v>
      </c>
      <c r="N684">
        <v>25.81</v>
      </c>
      <c r="O684" t="s">
        <v>19</v>
      </c>
      <c r="P684" t="s">
        <v>20</v>
      </c>
      <c r="Q684">
        <v>20230228</v>
      </c>
    </row>
    <row r="685" spans="1:17" x14ac:dyDescent="0.25">
      <c r="A685" t="s">
        <v>715</v>
      </c>
      <c r="B685" t="s">
        <v>432</v>
      </c>
      <c r="C685">
        <v>58</v>
      </c>
      <c r="D685">
        <v>20230201</v>
      </c>
      <c r="E685">
        <f t="shared" si="10"/>
        <v>2</v>
      </c>
      <c r="F685">
        <v>512200</v>
      </c>
      <c r="G685" t="s">
        <v>432</v>
      </c>
      <c r="H685" t="s">
        <v>401</v>
      </c>
      <c r="I685" t="s">
        <v>402</v>
      </c>
      <c r="J685" t="s">
        <v>5382</v>
      </c>
      <c r="K685">
        <v>20230201</v>
      </c>
      <c r="L685" t="s">
        <v>5383</v>
      </c>
      <c r="M685">
        <v>1924.86</v>
      </c>
      <c r="N685">
        <v>0</v>
      </c>
      <c r="O685" t="s">
        <v>19</v>
      </c>
      <c r="P685" t="s">
        <v>20</v>
      </c>
      <c r="Q685">
        <v>20230201</v>
      </c>
    </row>
    <row r="686" spans="1:17" x14ac:dyDescent="0.25">
      <c r="A686" t="s">
        <v>715</v>
      </c>
      <c r="B686" t="s">
        <v>432</v>
      </c>
      <c r="C686">
        <v>58</v>
      </c>
      <c r="D686">
        <v>20230201</v>
      </c>
      <c r="E686">
        <f t="shared" si="10"/>
        <v>2</v>
      </c>
      <c r="F686">
        <v>511000</v>
      </c>
      <c r="G686" t="s">
        <v>431</v>
      </c>
      <c r="H686" t="s">
        <v>401</v>
      </c>
      <c r="I686" t="s">
        <v>402</v>
      </c>
      <c r="J686" t="s">
        <v>5382</v>
      </c>
      <c r="K686">
        <v>20230201</v>
      </c>
      <c r="L686" t="s">
        <v>5383</v>
      </c>
      <c r="M686">
        <v>0</v>
      </c>
      <c r="N686">
        <v>1924.86</v>
      </c>
      <c r="O686" t="s">
        <v>19</v>
      </c>
      <c r="P686" t="s">
        <v>20</v>
      </c>
      <c r="Q686">
        <v>20230201</v>
      </c>
    </row>
    <row r="687" spans="1:17" x14ac:dyDescent="0.25">
      <c r="A687" t="s">
        <v>715</v>
      </c>
      <c r="B687" t="s">
        <v>432</v>
      </c>
      <c r="C687">
        <v>58</v>
      </c>
      <c r="D687">
        <v>20230201</v>
      </c>
      <c r="E687">
        <f t="shared" si="10"/>
        <v>2</v>
      </c>
      <c r="F687">
        <v>411100</v>
      </c>
      <c r="G687" t="s">
        <v>18</v>
      </c>
      <c r="H687" t="s">
        <v>793</v>
      </c>
      <c r="I687" t="s">
        <v>794</v>
      </c>
      <c r="J687" t="s">
        <v>5382</v>
      </c>
      <c r="K687">
        <v>20230201</v>
      </c>
      <c r="L687" t="s">
        <v>5384</v>
      </c>
      <c r="M687">
        <v>125.92</v>
      </c>
      <c r="N687">
        <v>0</v>
      </c>
      <c r="O687" t="s">
        <v>23</v>
      </c>
      <c r="P687">
        <v>20230201</v>
      </c>
      <c r="Q687">
        <v>20230201</v>
      </c>
    </row>
    <row r="688" spans="1:17" x14ac:dyDescent="0.25">
      <c r="A688" t="s">
        <v>715</v>
      </c>
      <c r="B688" t="s">
        <v>432</v>
      </c>
      <c r="C688">
        <v>58</v>
      </c>
      <c r="D688">
        <v>20230201</v>
      </c>
      <c r="E688">
        <f t="shared" si="10"/>
        <v>2</v>
      </c>
      <c r="F688">
        <v>512200</v>
      </c>
      <c r="G688" t="s">
        <v>432</v>
      </c>
      <c r="H688" t="s">
        <v>401</v>
      </c>
      <c r="I688" t="s">
        <v>402</v>
      </c>
      <c r="J688" t="s">
        <v>5382</v>
      </c>
      <c r="K688">
        <v>20230201</v>
      </c>
      <c r="L688" t="s">
        <v>5385</v>
      </c>
      <c r="M688">
        <v>0</v>
      </c>
      <c r="N688">
        <v>125.92</v>
      </c>
      <c r="O688" t="s">
        <v>19</v>
      </c>
      <c r="P688" t="s">
        <v>20</v>
      </c>
      <c r="Q688">
        <v>20230201</v>
      </c>
    </row>
    <row r="689" spans="1:17" x14ac:dyDescent="0.25">
      <c r="A689" t="s">
        <v>715</v>
      </c>
      <c r="B689" t="s">
        <v>432</v>
      </c>
      <c r="C689">
        <v>58</v>
      </c>
      <c r="D689">
        <v>20230203</v>
      </c>
      <c r="E689">
        <f t="shared" si="10"/>
        <v>2</v>
      </c>
      <c r="F689">
        <v>411100</v>
      </c>
      <c r="G689" t="s">
        <v>18</v>
      </c>
      <c r="H689" t="s">
        <v>5065</v>
      </c>
      <c r="I689" t="s">
        <v>5066</v>
      </c>
      <c r="J689" t="s">
        <v>5382</v>
      </c>
      <c r="K689">
        <v>20230203</v>
      </c>
      <c r="L689" t="s">
        <v>5386</v>
      </c>
      <c r="M689">
        <v>61.5</v>
      </c>
      <c r="N689">
        <v>0</v>
      </c>
      <c r="O689" t="s">
        <v>22</v>
      </c>
      <c r="P689">
        <v>20230218</v>
      </c>
      <c r="Q689">
        <v>20230203</v>
      </c>
    </row>
    <row r="690" spans="1:17" x14ac:dyDescent="0.25">
      <c r="A690" t="s">
        <v>715</v>
      </c>
      <c r="B690" t="s">
        <v>432</v>
      </c>
      <c r="C690">
        <v>58</v>
      </c>
      <c r="D690">
        <v>20230203</v>
      </c>
      <c r="E690">
        <f t="shared" si="10"/>
        <v>2</v>
      </c>
      <c r="F690">
        <v>512200</v>
      </c>
      <c r="G690" t="s">
        <v>432</v>
      </c>
      <c r="H690" t="s">
        <v>401</v>
      </c>
      <c r="I690" t="s">
        <v>402</v>
      </c>
      <c r="J690" t="s">
        <v>5382</v>
      </c>
      <c r="K690">
        <v>20230203</v>
      </c>
      <c r="L690" t="s">
        <v>5387</v>
      </c>
      <c r="M690">
        <v>0</v>
      </c>
      <c r="N690">
        <v>61.5</v>
      </c>
      <c r="O690" t="s">
        <v>19</v>
      </c>
      <c r="P690" t="s">
        <v>20</v>
      </c>
      <c r="Q690">
        <v>20230203</v>
      </c>
    </row>
    <row r="691" spans="1:17" x14ac:dyDescent="0.25">
      <c r="A691" t="s">
        <v>715</v>
      </c>
      <c r="B691" t="s">
        <v>432</v>
      </c>
      <c r="C691">
        <v>58</v>
      </c>
      <c r="D691">
        <v>20230203</v>
      </c>
      <c r="E691">
        <f t="shared" si="10"/>
        <v>2</v>
      </c>
      <c r="F691">
        <v>512200</v>
      </c>
      <c r="G691" t="s">
        <v>432</v>
      </c>
      <c r="H691" t="s">
        <v>401</v>
      </c>
      <c r="I691" t="s">
        <v>402</v>
      </c>
      <c r="J691" t="s">
        <v>5120</v>
      </c>
      <c r="K691">
        <v>20230203</v>
      </c>
      <c r="L691" t="s">
        <v>625</v>
      </c>
      <c r="M691">
        <v>1500</v>
      </c>
      <c r="N691">
        <v>0</v>
      </c>
      <c r="O691" t="s">
        <v>19</v>
      </c>
      <c r="P691" t="s">
        <v>20</v>
      </c>
      <c r="Q691">
        <v>20230203</v>
      </c>
    </row>
    <row r="692" spans="1:17" x14ac:dyDescent="0.25">
      <c r="A692" t="s">
        <v>715</v>
      </c>
      <c r="B692" t="s">
        <v>432</v>
      </c>
      <c r="C692">
        <v>58</v>
      </c>
      <c r="D692">
        <v>20230203</v>
      </c>
      <c r="E692">
        <f t="shared" si="10"/>
        <v>2</v>
      </c>
      <c r="F692">
        <v>580000</v>
      </c>
      <c r="G692" t="s">
        <v>532</v>
      </c>
      <c r="H692" t="s">
        <v>401</v>
      </c>
      <c r="I692" t="s">
        <v>402</v>
      </c>
      <c r="J692" t="s">
        <v>5120</v>
      </c>
      <c r="K692">
        <v>20230203</v>
      </c>
      <c r="L692" t="s">
        <v>625</v>
      </c>
      <c r="M692">
        <v>0</v>
      </c>
      <c r="N692">
        <v>1500</v>
      </c>
      <c r="O692" t="s">
        <v>22</v>
      </c>
      <c r="P692">
        <v>20230203</v>
      </c>
      <c r="Q692">
        <v>20230203</v>
      </c>
    </row>
    <row r="693" spans="1:17" x14ac:dyDescent="0.25">
      <c r="A693" t="s">
        <v>715</v>
      </c>
      <c r="B693" t="s">
        <v>432</v>
      </c>
      <c r="C693">
        <v>58</v>
      </c>
      <c r="D693">
        <v>20230216</v>
      </c>
      <c r="E693">
        <f t="shared" si="10"/>
        <v>2</v>
      </c>
      <c r="F693">
        <v>512200</v>
      </c>
      <c r="G693" t="s">
        <v>432</v>
      </c>
      <c r="H693" t="s">
        <v>401</v>
      </c>
      <c r="I693" t="s">
        <v>402</v>
      </c>
      <c r="J693" t="s">
        <v>5388</v>
      </c>
      <c r="K693">
        <v>20230216</v>
      </c>
      <c r="L693" t="s">
        <v>5389</v>
      </c>
      <c r="M693">
        <v>12829.85</v>
      </c>
      <c r="N693">
        <v>0</v>
      </c>
      <c r="O693" t="s">
        <v>19</v>
      </c>
      <c r="P693" t="s">
        <v>20</v>
      </c>
      <c r="Q693">
        <v>20230216</v>
      </c>
    </row>
    <row r="694" spans="1:17" x14ac:dyDescent="0.25">
      <c r="A694" t="s">
        <v>715</v>
      </c>
      <c r="B694" t="s">
        <v>432</v>
      </c>
      <c r="C694">
        <v>58</v>
      </c>
      <c r="D694">
        <v>20230216</v>
      </c>
      <c r="E694">
        <f t="shared" si="10"/>
        <v>2</v>
      </c>
      <c r="F694">
        <v>511000</v>
      </c>
      <c r="G694" t="s">
        <v>431</v>
      </c>
      <c r="H694" t="s">
        <v>401</v>
      </c>
      <c r="I694" t="s">
        <v>402</v>
      </c>
      <c r="J694" t="s">
        <v>5388</v>
      </c>
      <c r="K694">
        <v>20230216</v>
      </c>
      <c r="L694" t="s">
        <v>5389</v>
      </c>
      <c r="M694">
        <v>0</v>
      </c>
      <c r="N694">
        <v>12829.85</v>
      </c>
      <c r="O694" t="s">
        <v>19</v>
      </c>
      <c r="P694" t="s">
        <v>20</v>
      </c>
      <c r="Q694">
        <v>20230216</v>
      </c>
    </row>
    <row r="695" spans="1:17" x14ac:dyDescent="0.25">
      <c r="A695" t="s">
        <v>715</v>
      </c>
      <c r="B695" t="s">
        <v>432</v>
      </c>
      <c r="C695">
        <v>58</v>
      </c>
      <c r="D695">
        <v>20230216</v>
      </c>
      <c r="E695">
        <f t="shared" si="10"/>
        <v>2</v>
      </c>
      <c r="F695">
        <v>512200</v>
      </c>
      <c r="G695" t="s">
        <v>432</v>
      </c>
      <c r="H695" t="s">
        <v>401</v>
      </c>
      <c r="I695" t="s">
        <v>402</v>
      </c>
      <c r="J695" t="s">
        <v>5388</v>
      </c>
      <c r="K695">
        <v>20230216</v>
      </c>
      <c r="L695" t="s">
        <v>5390</v>
      </c>
      <c r="M695">
        <v>0</v>
      </c>
      <c r="N695">
        <v>12829.85</v>
      </c>
      <c r="O695" t="s">
        <v>19</v>
      </c>
      <c r="P695" t="s">
        <v>20</v>
      </c>
      <c r="Q695">
        <v>20230216</v>
      </c>
    </row>
    <row r="696" spans="1:17" x14ac:dyDescent="0.25">
      <c r="A696" t="s">
        <v>715</v>
      </c>
      <c r="B696" t="s">
        <v>432</v>
      </c>
      <c r="C696">
        <v>58</v>
      </c>
      <c r="D696">
        <v>20230216</v>
      </c>
      <c r="E696">
        <f t="shared" si="10"/>
        <v>2</v>
      </c>
      <c r="F696">
        <v>511000</v>
      </c>
      <c r="G696" t="s">
        <v>431</v>
      </c>
      <c r="H696" t="s">
        <v>401</v>
      </c>
      <c r="I696" t="s">
        <v>402</v>
      </c>
      <c r="J696" t="s">
        <v>5388</v>
      </c>
      <c r="K696">
        <v>20230216</v>
      </c>
      <c r="L696" t="s">
        <v>5390</v>
      </c>
      <c r="M696">
        <v>12829.85</v>
      </c>
      <c r="N696">
        <v>0</v>
      </c>
      <c r="O696" t="s">
        <v>19</v>
      </c>
      <c r="P696" t="s">
        <v>20</v>
      </c>
      <c r="Q696">
        <v>20230216</v>
      </c>
    </row>
    <row r="697" spans="1:17" x14ac:dyDescent="0.25">
      <c r="A697" t="s">
        <v>715</v>
      </c>
      <c r="B697" t="s">
        <v>432</v>
      </c>
      <c r="C697">
        <v>58</v>
      </c>
      <c r="D697">
        <v>20230216</v>
      </c>
      <c r="E697">
        <f t="shared" si="10"/>
        <v>2</v>
      </c>
      <c r="F697">
        <v>512200</v>
      </c>
      <c r="G697" t="s">
        <v>432</v>
      </c>
      <c r="H697" t="s">
        <v>401</v>
      </c>
      <c r="I697" t="s">
        <v>402</v>
      </c>
      <c r="J697" t="s">
        <v>5391</v>
      </c>
      <c r="K697">
        <v>20230216</v>
      </c>
      <c r="L697" t="s">
        <v>5389</v>
      </c>
      <c r="M697">
        <v>12829.85</v>
      </c>
      <c r="N697">
        <v>0</v>
      </c>
      <c r="O697" t="s">
        <v>19</v>
      </c>
      <c r="P697" t="s">
        <v>20</v>
      </c>
      <c r="Q697">
        <v>20230216</v>
      </c>
    </row>
    <row r="698" spans="1:17" x14ac:dyDescent="0.25">
      <c r="A698" t="s">
        <v>715</v>
      </c>
      <c r="B698" t="s">
        <v>432</v>
      </c>
      <c r="C698">
        <v>58</v>
      </c>
      <c r="D698">
        <v>20230216</v>
      </c>
      <c r="E698">
        <f t="shared" si="10"/>
        <v>2</v>
      </c>
      <c r="F698">
        <v>511000</v>
      </c>
      <c r="G698" t="s">
        <v>431</v>
      </c>
      <c r="H698" t="s">
        <v>401</v>
      </c>
      <c r="I698" t="s">
        <v>402</v>
      </c>
      <c r="J698" t="s">
        <v>5391</v>
      </c>
      <c r="K698">
        <v>20230216</v>
      </c>
      <c r="L698" t="s">
        <v>5389</v>
      </c>
      <c r="M698">
        <v>0</v>
      </c>
      <c r="N698">
        <v>12829.85</v>
      </c>
      <c r="O698" t="s">
        <v>19</v>
      </c>
      <c r="P698" t="s">
        <v>20</v>
      </c>
      <c r="Q698">
        <v>20230216</v>
      </c>
    </row>
    <row r="699" spans="1:17" x14ac:dyDescent="0.25">
      <c r="A699" t="s">
        <v>715</v>
      </c>
      <c r="B699" t="s">
        <v>432</v>
      </c>
      <c r="C699">
        <v>58</v>
      </c>
      <c r="D699">
        <v>20230227</v>
      </c>
      <c r="E699">
        <f t="shared" si="10"/>
        <v>2</v>
      </c>
      <c r="F699">
        <v>512200</v>
      </c>
      <c r="G699" t="s">
        <v>432</v>
      </c>
      <c r="H699" t="s">
        <v>401</v>
      </c>
      <c r="I699" t="s">
        <v>402</v>
      </c>
      <c r="J699" t="s">
        <v>5392</v>
      </c>
      <c r="K699">
        <v>20230227</v>
      </c>
      <c r="L699" t="s">
        <v>5393</v>
      </c>
      <c r="M699">
        <v>2235</v>
      </c>
      <c r="N699">
        <v>0</v>
      </c>
      <c r="O699" t="s">
        <v>19</v>
      </c>
      <c r="P699" t="s">
        <v>20</v>
      </c>
      <c r="Q699">
        <v>20230227</v>
      </c>
    </row>
    <row r="700" spans="1:17" x14ac:dyDescent="0.25">
      <c r="A700" t="s">
        <v>715</v>
      </c>
      <c r="B700" t="s">
        <v>432</v>
      </c>
      <c r="C700">
        <v>58</v>
      </c>
      <c r="D700">
        <v>20230227</v>
      </c>
      <c r="E700">
        <f t="shared" si="10"/>
        <v>2</v>
      </c>
      <c r="F700">
        <v>511002</v>
      </c>
      <c r="G700" t="s">
        <v>786</v>
      </c>
      <c r="H700" t="s">
        <v>401</v>
      </c>
      <c r="I700" t="s">
        <v>402</v>
      </c>
      <c r="J700" t="s">
        <v>5392</v>
      </c>
      <c r="K700">
        <v>20230227</v>
      </c>
      <c r="L700" t="s">
        <v>5393</v>
      </c>
      <c r="M700">
        <v>0</v>
      </c>
      <c r="N700">
        <v>2235</v>
      </c>
      <c r="O700" t="s">
        <v>23</v>
      </c>
      <c r="P700">
        <v>20230301</v>
      </c>
      <c r="Q700">
        <v>20230227</v>
      </c>
    </row>
    <row r="701" spans="1:17" x14ac:dyDescent="0.25">
      <c r="A701" t="s">
        <v>715</v>
      </c>
      <c r="B701" t="s">
        <v>432</v>
      </c>
      <c r="C701">
        <v>58</v>
      </c>
      <c r="D701">
        <v>20230227</v>
      </c>
      <c r="E701">
        <f t="shared" si="10"/>
        <v>2</v>
      </c>
      <c r="F701">
        <v>512200</v>
      </c>
      <c r="G701" t="s">
        <v>432</v>
      </c>
      <c r="H701" t="s">
        <v>401</v>
      </c>
      <c r="I701" t="s">
        <v>402</v>
      </c>
      <c r="J701" t="s">
        <v>5377</v>
      </c>
      <c r="K701">
        <v>20230227</v>
      </c>
      <c r="L701" t="s">
        <v>625</v>
      </c>
      <c r="M701">
        <v>2700</v>
      </c>
      <c r="N701">
        <v>0</v>
      </c>
      <c r="O701" t="s">
        <v>19</v>
      </c>
      <c r="P701" t="s">
        <v>20</v>
      </c>
      <c r="Q701">
        <v>20230227</v>
      </c>
    </row>
    <row r="702" spans="1:17" x14ac:dyDescent="0.25">
      <c r="A702" t="s">
        <v>715</v>
      </c>
      <c r="B702" t="s">
        <v>432</v>
      </c>
      <c r="C702">
        <v>58</v>
      </c>
      <c r="D702">
        <v>20230227</v>
      </c>
      <c r="E702">
        <f t="shared" si="10"/>
        <v>2</v>
      </c>
      <c r="F702">
        <v>580000</v>
      </c>
      <c r="G702" t="s">
        <v>532</v>
      </c>
      <c r="H702" t="s">
        <v>401</v>
      </c>
      <c r="I702" t="s">
        <v>402</v>
      </c>
      <c r="J702" t="s">
        <v>5377</v>
      </c>
      <c r="K702">
        <v>20230227</v>
      </c>
      <c r="L702" t="s">
        <v>625</v>
      </c>
      <c r="M702">
        <v>0</v>
      </c>
      <c r="N702">
        <v>2700</v>
      </c>
      <c r="O702" t="s">
        <v>22</v>
      </c>
      <c r="P702">
        <v>20230227</v>
      </c>
      <c r="Q702">
        <v>20230227</v>
      </c>
    </row>
    <row r="703" spans="1:17" x14ac:dyDescent="0.25">
      <c r="A703" t="s">
        <v>715</v>
      </c>
      <c r="B703" t="s">
        <v>432</v>
      </c>
      <c r="C703">
        <v>58</v>
      </c>
      <c r="D703">
        <v>20230228</v>
      </c>
      <c r="E703">
        <f t="shared" si="10"/>
        <v>2</v>
      </c>
      <c r="F703">
        <v>512200</v>
      </c>
      <c r="G703" t="s">
        <v>432</v>
      </c>
      <c r="H703" t="s">
        <v>401</v>
      </c>
      <c r="I703" t="s">
        <v>402</v>
      </c>
      <c r="J703" t="s">
        <v>5394</v>
      </c>
      <c r="K703">
        <v>20230228</v>
      </c>
      <c r="L703" t="s">
        <v>5395</v>
      </c>
      <c r="M703">
        <v>1733.31</v>
      </c>
      <c r="N703">
        <v>0</v>
      </c>
      <c r="O703" t="s">
        <v>19</v>
      </c>
      <c r="P703" t="s">
        <v>20</v>
      </c>
      <c r="Q703">
        <v>20230228</v>
      </c>
    </row>
    <row r="704" spans="1:17" x14ac:dyDescent="0.25">
      <c r="A704" t="s">
        <v>715</v>
      </c>
      <c r="B704" t="s">
        <v>432</v>
      </c>
      <c r="C704">
        <v>58</v>
      </c>
      <c r="D704">
        <v>20230228</v>
      </c>
      <c r="E704">
        <f t="shared" si="10"/>
        <v>2</v>
      </c>
      <c r="F704">
        <v>511000</v>
      </c>
      <c r="G704" t="s">
        <v>431</v>
      </c>
      <c r="H704" t="s">
        <v>401</v>
      </c>
      <c r="I704" t="s">
        <v>402</v>
      </c>
      <c r="J704" t="s">
        <v>5394</v>
      </c>
      <c r="K704">
        <v>20230228</v>
      </c>
      <c r="L704" t="s">
        <v>5395</v>
      </c>
      <c r="M704">
        <v>0</v>
      </c>
      <c r="N704">
        <v>1733.31</v>
      </c>
      <c r="O704" t="s">
        <v>19</v>
      </c>
      <c r="P704" t="s">
        <v>20</v>
      </c>
      <c r="Q704">
        <v>20230228</v>
      </c>
    </row>
    <row r="705" spans="1:17" x14ac:dyDescent="0.25">
      <c r="A705" t="s">
        <v>4760</v>
      </c>
      <c r="B705" t="s">
        <v>4761</v>
      </c>
      <c r="C705">
        <v>105</v>
      </c>
      <c r="D705">
        <v>20230314</v>
      </c>
      <c r="E705">
        <f t="shared" si="10"/>
        <v>3</v>
      </c>
      <c r="F705">
        <v>411000</v>
      </c>
      <c r="G705" t="s">
        <v>21</v>
      </c>
      <c r="H705" t="s">
        <v>211</v>
      </c>
      <c r="I705" t="s">
        <v>212</v>
      </c>
      <c r="J705">
        <v>123030001</v>
      </c>
      <c r="K705">
        <v>20230314</v>
      </c>
      <c r="L705" t="s">
        <v>5400</v>
      </c>
      <c r="M705">
        <v>0</v>
      </c>
      <c r="N705">
        <v>120</v>
      </c>
      <c r="O705" t="s">
        <v>19</v>
      </c>
      <c r="P705" t="s">
        <v>20</v>
      </c>
      <c r="Q705">
        <v>20230314</v>
      </c>
    </row>
    <row r="706" spans="1:17" x14ac:dyDescent="0.25">
      <c r="A706" t="s">
        <v>4760</v>
      </c>
      <c r="B706" t="s">
        <v>4761</v>
      </c>
      <c r="C706">
        <v>105</v>
      </c>
      <c r="D706">
        <v>20230314</v>
      </c>
      <c r="E706">
        <f t="shared" si="10"/>
        <v>3</v>
      </c>
      <c r="F706">
        <v>512100</v>
      </c>
      <c r="G706" t="s">
        <v>4761</v>
      </c>
      <c r="H706" t="s">
        <v>401</v>
      </c>
      <c r="I706" t="s">
        <v>402</v>
      </c>
      <c r="J706">
        <v>367806</v>
      </c>
      <c r="K706">
        <v>20230314</v>
      </c>
      <c r="L706" t="s">
        <v>3268</v>
      </c>
      <c r="M706">
        <v>120</v>
      </c>
      <c r="N706">
        <v>0</v>
      </c>
      <c r="O706" t="s">
        <v>19</v>
      </c>
      <c r="P706" t="s">
        <v>20</v>
      </c>
      <c r="Q706">
        <v>20230314</v>
      </c>
    </row>
    <row r="707" spans="1:17" x14ac:dyDescent="0.25">
      <c r="A707" t="s">
        <v>476</v>
      </c>
      <c r="B707" t="s">
        <v>477</v>
      </c>
      <c r="C707">
        <v>106</v>
      </c>
      <c r="D707">
        <v>20230306</v>
      </c>
      <c r="E707">
        <f t="shared" ref="E707:E770" si="11">VALUE(MID(D707,5,2))</f>
        <v>3</v>
      </c>
      <c r="F707">
        <v>437100</v>
      </c>
      <c r="G707" t="s">
        <v>436</v>
      </c>
      <c r="H707" t="s">
        <v>401</v>
      </c>
      <c r="I707" t="s">
        <v>402</v>
      </c>
      <c r="J707" t="s">
        <v>5401</v>
      </c>
      <c r="K707">
        <v>20230306</v>
      </c>
      <c r="L707" t="s">
        <v>4765</v>
      </c>
      <c r="M707">
        <v>27.01</v>
      </c>
      <c r="N707">
        <v>0</v>
      </c>
      <c r="O707" t="s">
        <v>23</v>
      </c>
      <c r="P707">
        <v>20230317</v>
      </c>
      <c r="Q707">
        <v>20230306</v>
      </c>
    </row>
    <row r="708" spans="1:17" x14ac:dyDescent="0.25">
      <c r="A708" t="s">
        <v>476</v>
      </c>
      <c r="B708" t="s">
        <v>477</v>
      </c>
      <c r="C708">
        <v>106</v>
      </c>
      <c r="D708">
        <v>20230306</v>
      </c>
      <c r="E708">
        <f t="shared" si="11"/>
        <v>3</v>
      </c>
      <c r="F708">
        <v>437100</v>
      </c>
      <c r="G708" t="s">
        <v>436</v>
      </c>
      <c r="H708" t="s">
        <v>401</v>
      </c>
      <c r="I708" t="s">
        <v>402</v>
      </c>
      <c r="J708" t="s">
        <v>5401</v>
      </c>
      <c r="K708">
        <v>20230306</v>
      </c>
      <c r="L708" t="s">
        <v>4765</v>
      </c>
      <c r="M708">
        <v>691.24</v>
      </c>
      <c r="N708">
        <v>0</v>
      </c>
      <c r="O708" t="s">
        <v>23</v>
      </c>
      <c r="P708">
        <v>20230317</v>
      </c>
      <c r="Q708">
        <v>20230306</v>
      </c>
    </row>
    <row r="709" spans="1:17" x14ac:dyDescent="0.25">
      <c r="A709" t="s">
        <v>476</v>
      </c>
      <c r="B709" t="s">
        <v>477</v>
      </c>
      <c r="C709">
        <v>106</v>
      </c>
      <c r="D709">
        <v>20230306</v>
      </c>
      <c r="E709">
        <f t="shared" si="11"/>
        <v>3</v>
      </c>
      <c r="F709">
        <v>437100</v>
      </c>
      <c r="G709" t="s">
        <v>436</v>
      </c>
      <c r="H709" t="s">
        <v>401</v>
      </c>
      <c r="I709" t="s">
        <v>402</v>
      </c>
      <c r="J709" t="s">
        <v>5401</v>
      </c>
      <c r="K709">
        <v>20230306</v>
      </c>
      <c r="L709" t="s">
        <v>4765</v>
      </c>
      <c r="M709">
        <v>691.24</v>
      </c>
      <c r="N709">
        <v>0</v>
      </c>
      <c r="O709" t="s">
        <v>23</v>
      </c>
      <c r="P709">
        <v>20230317</v>
      </c>
      <c r="Q709">
        <v>20230306</v>
      </c>
    </row>
    <row r="710" spans="1:17" x14ac:dyDescent="0.25">
      <c r="A710" t="s">
        <v>476</v>
      </c>
      <c r="B710" t="s">
        <v>477</v>
      </c>
      <c r="C710">
        <v>106</v>
      </c>
      <c r="D710">
        <v>20230306</v>
      </c>
      <c r="E710">
        <f t="shared" si="11"/>
        <v>3</v>
      </c>
      <c r="F710">
        <v>512000</v>
      </c>
      <c r="G710" t="s">
        <v>428</v>
      </c>
      <c r="H710" t="s">
        <v>401</v>
      </c>
      <c r="I710" t="s">
        <v>402</v>
      </c>
      <c r="J710" t="s">
        <v>5401</v>
      </c>
      <c r="K710">
        <v>20230306</v>
      </c>
      <c r="L710" t="s">
        <v>4765</v>
      </c>
      <c r="M710">
        <v>0</v>
      </c>
      <c r="N710">
        <v>1409.49</v>
      </c>
      <c r="O710" t="s">
        <v>19</v>
      </c>
      <c r="P710" t="s">
        <v>20</v>
      </c>
      <c r="Q710">
        <v>20230306</v>
      </c>
    </row>
    <row r="711" spans="1:17" x14ac:dyDescent="0.25">
      <c r="A711" t="s">
        <v>476</v>
      </c>
      <c r="B711" t="s">
        <v>477</v>
      </c>
      <c r="C711">
        <v>106</v>
      </c>
      <c r="D711">
        <v>20230306</v>
      </c>
      <c r="E711">
        <f t="shared" si="11"/>
        <v>3</v>
      </c>
      <c r="F711">
        <v>401000</v>
      </c>
      <c r="G711" t="s">
        <v>41</v>
      </c>
      <c r="H711" t="s">
        <v>48</v>
      </c>
      <c r="I711" t="s">
        <v>49</v>
      </c>
      <c r="J711" t="s">
        <v>5402</v>
      </c>
      <c r="K711">
        <v>20230306</v>
      </c>
      <c r="L711" t="s">
        <v>4767</v>
      </c>
      <c r="M711">
        <v>2594.56</v>
      </c>
      <c r="N711">
        <v>0</v>
      </c>
      <c r="O711" t="s">
        <v>22</v>
      </c>
      <c r="P711">
        <v>20230306</v>
      </c>
      <c r="Q711">
        <v>20230306</v>
      </c>
    </row>
    <row r="712" spans="1:17" x14ac:dyDescent="0.25">
      <c r="A712" t="s">
        <v>476</v>
      </c>
      <c r="B712" t="s">
        <v>477</v>
      </c>
      <c r="C712">
        <v>106</v>
      </c>
      <c r="D712">
        <v>20230306</v>
      </c>
      <c r="E712">
        <f t="shared" si="11"/>
        <v>3</v>
      </c>
      <c r="F712">
        <v>401000</v>
      </c>
      <c r="G712" t="s">
        <v>41</v>
      </c>
      <c r="H712" t="s">
        <v>474</v>
      </c>
      <c r="I712" t="s">
        <v>475</v>
      </c>
      <c r="J712" t="s">
        <v>5402</v>
      </c>
      <c r="K712">
        <v>20230306</v>
      </c>
      <c r="L712" t="s">
        <v>4767</v>
      </c>
      <c r="M712">
        <v>180</v>
      </c>
      <c r="N712">
        <v>0</v>
      </c>
      <c r="O712" t="s">
        <v>22</v>
      </c>
      <c r="P712">
        <v>20230306</v>
      </c>
      <c r="Q712">
        <v>20230306</v>
      </c>
    </row>
    <row r="713" spans="1:17" x14ac:dyDescent="0.25">
      <c r="A713" t="s">
        <v>476</v>
      </c>
      <c r="B713" t="s">
        <v>477</v>
      </c>
      <c r="C713">
        <v>106</v>
      </c>
      <c r="D713">
        <v>20230306</v>
      </c>
      <c r="E713">
        <f t="shared" si="11"/>
        <v>3</v>
      </c>
      <c r="F713">
        <v>401000</v>
      </c>
      <c r="G713" t="s">
        <v>41</v>
      </c>
      <c r="H713" t="s">
        <v>456</v>
      </c>
      <c r="I713" t="s">
        <v>457</v>
      </c>
      <c r="J713" t="s">
        <v>5402</v>
      </c>
      <c r="K713">
        <v>20230306</v>
      </c>
      <c r="L713" t="s">
        <v>4767</v>
      </c>
      <c r="M713">
        <v>105</v>
      </c>
      <c r="N713">
        <v>0</v>
      </c>
      <c r="O713" t="s">
        <v>22</v>
      </c>
      <c r="P713">
        <v>20230306</v>
      </c>
      <c r="Q713">
        <v>20230306</v>
      </c>
    </row>
    <row r="714" spans="1:17" x14ac:dyDescent="0.25">
      <c r="A714" t="s">
        <v>476</v>
      </c>
      <c r="B714" t="s">
        <v>477</v>
      </c>
      <c r="C714">
        <v>106</v>
      </c>
      <c r="D714">
        <v>20230306</v>
      </c>
      <c r="E714">
        <f t="shared" si="11"/>
        <v>3</v>
      </c>
      <c r="F714">
        <v>401000</v>
      </c>
      <c r="G714" t="s">
        <v>41</v>
      </c>
      <c r="H714" t="s">
        <v>472</v>
      </c>
      <c r="I714" t="s">
        <v>473</v>
      </c>
      <c r="J714" t="s">
        <v>5402</v>
      </c>
      <c r="K714">
        <v>20230306</v>
      </c>
      <c r="L714" t="s">
        <v>4767</v>
      </c>
      <c r="M714">
        <v>280</v>
      </c>
      <c r="N714">
        <v>0</v>
      </c>
      <c r="O714" t="s">
        <v>22</v>
      </c>
      <c r="P714">
        <v>20230306</v>
      </c>
      <c r="Q714">
        <v>20230306</v>
      </c>
    </row>
    <row r="715" spans="1:17" x14ac:dyDescent="0.25">
      <c r="A715" t="s">
        <v>476</v>
      </c>
      <c r="B715" t="s">
        <v>477</v>
      </c>
      <c r="C715">
        <v>106</v>
      </c>
      <c r="D715">
        <v>20230306</v>
      </c>
      <c r="E715">
        <f t="shared" si="11"/>
        <v>3</v>
      </c>
      <c r="F715">
        <v>401000</v>
      </c>
      <c r="G715" t="s">
        <v>41</v>
      </c>
      <c r="H715" t="s">
        <v>303</v>
      </c>
      <c r="I715" t="s">
        <v>304</v>
      </c>
      <c r="J715" t="s">
        <v>5402</v>
      </c>
      <c r="K715">
        <v>20230306</v>
      </c>
      <c r="L715" t="s">
        <v>4767</v>
      </c>
      <c r="M715">
        <v>400</v>
      </c>
      <c r="N715">
        <v>0</v>
      </c>
      <c r="O715" t="s">
        <v>22</v>
      </c>
      <c r="P715">
        <v>20230306</v>
      </c>
      <c r="Q715">
        <v>20230306</v>
      </c>
    </row>
    <row r="716" spans="1:17" x14ac:dyDescent="0.25">
      <c r="A716" t="s">
        <v>476</v>
      </c>
      <c r="B716" t="s">
        <v>477</v>
      </c>
      <c r="C716">
        <v>106</v>
      </c>
      <c r="D716">
        <v>20230306</v>
      </c>
      <c r="E716">
        <f t="shared" si="11"/>
        <v>3</v>
      </c>
      <c r="F716">
        <v>401000</v>
      </c>
      <c r="G716" t="s">
        <v>41</v>
      </c>
      <c r="H716" t="s">
        <v>827</v>
      </c>
      <c r="I716" t="s">
        <v>828</v>
      </c>
      <c r="J716" t="s">
        <v>5402</v>
      </c>
      <c r="K716">
        <v>20230306</v>
      </c>
      <c r="L716" t="s">
        <v>4767</v>
      </c>
      <c r="M716">
        <v>123</v>
      </c>
      <c r="N716">
        <v>0</v>
      </c>
      <c r="O716" t="s">
        <v>22</v>
      </c>
      <c r="P716">
        <v>20230306</v>
      </c>
      <c r="Q716">
        <v>20230306</v>
      </c>
    </row>
    <row r="717" spans="1:17" x14ac:dyDescent="0.25">
      <c r="A717" t="s">
        <v>476</v>
      </c>
      <c r="B717" t="s">
        <v>477</v>
      </c>
      <c r="C717">
        <v>106</v>
      </c>
      <c r="D717">
        <v>20230306</v>
      </c>
      <c r="E717">
        <f t="shared" si="11"/>
        <v>3</v>
      </c>
      <c r="F717">
        <v>401000</v>
      </c>
      <c r="G717" t="s">
        <v>41</v>
      </c>
      <c r="H717" t="s">
        <v>830</v>
      </c>
      <c r="I717" t="s">
        <v>831</v>
      </c>
      <c r="J717" t="s">
        <v>5402</v>
      </c>
      <c r="K717">
        <v>20230306</v>
      </c>
      <c r="L717" t="s">
        <v>4767</v>
      </c>
      <c r="M717">
        <v>120</v>
      </c>
      <c r="N717">
        <v>0</v>
      </c>
      <c r="O717" t="s">
        <v>22</v>
      </c>
      <c r="P717">
        <v>20230306</v>
      </c>
      <c r="Q717">
        <v>20230306</v>
      </c>
    </row>
    <row r="718" spans="1:17" x14ac:dyDescent="0.25">
      <c r="A718" t="s">
        <v>476</v>
      </c>
      <c r="B718" t="s">
        <v>477</v>
      </c>
      <c r="C718">
        <v>106</v>
      </c>
      <c r="D718">
        <v>20230306</v>
      </c>
      <c r="E718">
        <f t="shared" si="11"/>
        <v>3</v>
      </c>
      <c r="F718">
        <v>401000</v>
      </c>
      <c r="G718" t="s">
        <v>41</v>
      </c>
      <c r="H718" t="s">
        <v>1659</v>
      </c>
      <c r="I718" t="s">
        <v>1660</v>
      </c>
      <c r="J718" t="s">
        <v>5402</v>
      </c>
      <c r="K718">
        <v>20230306</v>
      </c>
      <c r="L718" t="s">
        <v>4767</v>
      </c>
      <c r="M718">
        <v>100</v>
      </c>
      <c r="N718">
        <v>0</v>
      </c>
      <c r="O718" t="s">
        <v>22</v>
      </c>
      <c r="P718">
        <v>20230306</v>
      </c>
      <c r="Q718">
        <v>20230306</v>
      </c>
    </row>
    <row r="719" spans="1:17" x14ac:dyDescent="0.25">
      <c r="A719" t="s">
        <v>476</v>
      </c>
      <c r="B719" t="s">
        <v>477</v>
      </c>
      <c r="C719">
        <v>106</v>
      </c>
      <c r="D719">
        <v>20230306</v>
      </c>
      <c r="E719">
        <f t="shared" si="11"/>
        <v>3</v>
      </c>
      <c r="F719">
        <v>512000</v>
      </c>
      <c r="G719" t="s">
        <v>428</v>
      </c>
      <c r="H719" t="s">
        <v>401</v>
      </c>
      <c r="I719" t="s">
        <v>402</v>
      </c>
      <c r="J719" t="s">
        <v>5402</v>
      </c>
      <c r="K719">
        <v>20230306</v>
      </c>
      <c r="L719" t="s">
        <v>4767</v>
      </c>
      <c r="M719">
        <v>0</v>
      </c>
      <c r="N719">
        <v>3902.56</v>
      </c>
      <c r="O719" t="s">
        <v>19</v>
      </c>
      <c r="P719" t="s">
        <v>20</v>
      </c>
      <c r="Q719">
        <v>20230306</v>
      </c>
    </row>
    <row r="720" spans="1:17" x14ac:dyDescent="0.25">
      <c r="A720" t="s">
        <v>476</v>
      </c>
      <c r="B720" t="s">
        <v>477</v>
      </c>
      <c r="C720">
        <v>106</v>
      </c>
      <c r="D720">
        <v>20230309</v>
      </c>
      <c r="E720">
        <f t="shared" si="11"/>
        <v>3</v>
      </c>
      <c r="F720">
        <v>401000</v>
      </c>
      <c r="G720" t="s">
        <v>41</v>
      </c>
      <c r="H720" t="s">
        <v>445</v>
      </c>
      <c r="I720" t="s">
        <v>446</v>
      </c>
      <c r="J720" t="s">
        <v>5403</v>
      </c>
      <c r="K720">
        <v>20230309</v>
      </c>
      <c r="L720" t="s">
        <v>4767</v>
      </c>
      <c r="M720">
        <v>5661.96</v>
      </c>
      <c r="N720">
        <v>0</v>
      </c>
      <c r="O720" t="s">
        <v>22</v>
      </c>
      <c r="P720">
        <v>20230309</v>
      </c>
      <c r="Q720">
        <v>20230309</v>
      </c>
    </row>
    <row r="721" spans="1:17" x14ac:dyDescent="0.25">
      <c r="A721" t="s">
        <v>476</v>
      </c>
      <c r="B721" t="s">
        <v>477</v>
      </c>
      <c r="C721">
        <v>106</v>
      </c>
      <c r="D721">
        <v>20230309</v>
      </c>
      <c r="E721">
        <f t="shared" si="11"/>
        <v>3</v>
      </c>
      <c r="F721">
        <v>512000</v>
      </c>
      <c r="G721" t="s">
        <v>428</v>
      </c>
      <c r="H721" t="s">
        <v>401</v>
      </c>
      <c r="I721" t="s">
        <v>402</v>
      </c>
      <c r="J721" t="s">
        <v>5403</v>
      </c>
      <c r="K721">
        <v>20230309</v>
      </c>
      <c r="L721" t="s">
        <v>4767</v>
      </c>
      <c r="M721">
        <v>0</v>
      </c>
      <c r="N721">
        <v>5661.96</v>
      </c>
      <c r="O721" t="s">
        <v>19</v>
      </c>
      <c r="P721" t="s">
        <v>20</v>
      </c>
      <c r="Q721">
        <v>20230309</v>
      </c>
    </row>
    <row r="722" spans="1:17" x14ac:dyDescent="0.25">
      <c r="A722" t="s">
        <v>476</v>
      </c>
      <c r="B722" t="s">
        <v>477</v>
      </c>
      <c r="C722">
        <v>106</v>
      </c>
      <c r="D722">
        <v>20230309</v>
      </c>
      <c r="E722">
        <f t="shared" si="11"/>
        <v>3</v>
      </c>
      <c r="F722">
        <v>467100</v>
      </c>
      <c r="G722" t="s">
        <v>160</v>
      </c>
      <c r="H722" t="s">
        <v>164</v>
      </c>
      <c r="I722" t="s">
        <v>165</v>
      </c>
      <c r="J722" t="s">
        <v>5404</v>
      </c>
      <c r="K722">
        <v>20230309</v>
      </c>
      <c r="L722" t="s">
        <v>4765</v>
      </c>
      <c r="M722">
        <v>500</v>
      </c>
      <c r="N722">
        <v>0</v>
      </c>
      <c r="O722" t="s">
        <v>19</v>
      </c>
      <c r="P722" t="s">
        <v>20</v>
      </c>
      <c r="Q722">
        <v>20230309</v>
      </c>
    </row>
    <row r="723" spans="1:17" x14ac:dyDescent="0.25">
      <c r="A723" t="s">
        <v>476</v>
      </c>
      <c r="B723" t="s">
        <v>477</v>
      </c>
      <c r="C723">
        <v>106</v>
      </c>
      <c r="D723">
        <v>20230309</v>
      </c>
      <c r="E723">
        <f t="shared" si="11"/>
        <v>3</v>
      </c>
      <c r="F723">
        <v>512000</v>
      </c>
      <c r="G723" t="s">
        <v>428</v>
      </c>
      <c r="H723" t="s">
        <v>401</v>
      </c>
      <c r="I723" t="s">
        <v>402</v>
      </c>
      <c r="J723" t="s">
        <v>5404</v>
      </c>
      <c r="K723">
        <v>20230309</v>
      </c>
      <c r="L723" t="s">
        <v>4765</v>
      </c>
      <c r="M723">
        <v>0</v>
      </c>
      <c r="N723">
        <v>500</v>
      </c>
      <c r="O723" t="s">
        <v>19</v>
      </c>
      <c r="P723" t="s">
        <v>20</v>
      </c>
      <c r="Q723">
        <v>20230309</v>
      </c>
    </row>
    <row r="724" spans="1:17" x14ac:dyDescent="0.25">
      <c r="A724" t="s">
        <v>476</v>
      </c>
      <c r="B724" t="s">
        <v>477</v>
      </c>
      <c r="C724">
        <v>107</v>
      </c>
      <c r="D724">
        <v>20230310</v>
      </c>
      <c r="E724">
        <f t="shared" si="11"/>
        <v>3</v>
      </c>
      <c r="F724">
        <v>467100</v>
      </c>
      <c r="G724" t="s">
        <v>160</v>
      </c>
      <c r="H724" t="s">
        <v>185</v>
      </c>
      <c r="I724" t="s">
        <v>186</v>
      </c>
      <c r="J724" t="s">
        <v>5405</v>
      </c>
      <c r="K724">
        <v>20230310</v>
      </c>
      <c r="L724" t="s">
        <v>4765</v>
      </c>
      <c r="M724">
        <v>800</v>
      </c>
      <c r="N724">
        <v>0</v>
      </c>
      <c r="O724" t="s">
        <v>19</v>
      </c>
      <c r="P724" t="s">
        <v>20</v>
      </c>
      <c r="Q724">
        <v>20230310</v>
      </c>
    </row>
    <row r="725" spans="1:17" x14ac:dyDescent="0.25">
      <c r="A725" t="s">
        <v>476</v>
      </c>
      <c r="B725" t="s">
        <v>477</v>
      </c>
      <c r="C725">
        <v>107</v>
      </c>
      <c r="D725">
        <v>20230310</v>
      </c>
      <c r="E725">
        <f t="shared" si="11"/>
        <v>3</v>
      </c>
      <c r="F725">
        <v>512000</v>
      </c>
      <c r="G725" t="s">
        <v>428</v>
      </c>
      <c r="H725" t="s">
        <v>401</v>
      </c>
      <c r="I725" t="s">
        <v>402</v>
      </c>
      <c r="J725" t="s">
        <v>5405</v>
      </c>
      <c r="K725">
        <v>20230310</v>
      </c>
      <c r="L725" t="s">
        <v>4765</v>
      </c>
      <c r="M725">
        <v>0</v>
      </c>
      <c r="N725">
        <v>800</v>
      </c>
      <c r="O725" t="s">
        <v>19</v>
      </c>
      <c r="P725" t="s">
        <v>20</v>
      </c>
      <c r="Q725">
        <v>20230310</v>
      </c>
    </row>
    <row r="726" spans="1:17" x14ac:dyDescent="0.25">
      <c r="A726" t="s">
        <v>476</v>
      </c>
      <c r="B726" t="s">
        <v>477</v>
      </c>
      <c r="C726">
        <v>108</v>
      </c>
      <c r="D726">
        <v>20230310</v>
      </c>
      <c r="E726">
        <f t="shared" si="11"/>
        <v>3</v>
      </c>
      <c r="F726">
        <v>401000</v>
      </c>
      <c r="G726" t="s">
        <v>41</v>
      </c>
      <c r="H726" t="s">
        <v>42</v>
      </c>
      <c r="I726" t="s">
        <v>43</v>
      </c>
      <c r="J726" t="s">
        <v>5406</v>
      </c>
      <c r="K726">
        <v>20230310</v>
      </c>
      <c r="L726" t="s">
        <v>4767</v>
      </c>
      <c r="M726">
        <v>2044.84</v>
      </c>
      <c r="N726">
        <v>0</v>
      </c>
      <c r="O726" t="s">
        <v>22</v>
      </c>
      <c r="P726">
        <v>20230310</v>
      </c>
      <c r="Q726">
        <v>20230310</v>
      </c>
    </row>
    <row r="727" spans="1:17" x14ac:dyDescent="0.25">
      <c r="A727" t="s">
        <v>476</v>
      </c>
      <c r="B727" t="s">
        <v>477</v>
      </c>
      <c r="C727">
        <v>108</v>
      </c>
      <c r="D727">
        <v>20230310</v>
      </c>
      <c r="E727">
        <f t="shared" si="11"/>
        <v>3</v>
      </c>
      <c r="F727">
        <v>401000</v>
      </c>
      <c r="G727" t="s">
        <v>41</v>
      </c>
      <c r="H727" t="s">
        <v>450</v>
      </c>
      <c r="I727" t="s">
        <v>451</v>
      </c>
      <c r="J727" t="s">
        <v>5406</v>
      </c>
      <c r="K727">
        <v>20230310</v>
      </c>
      <c r="L727" t="s">
        <v>4767</v>
      </c>
      <c r="M727">
        <v>77.5</v>
      </c>
      <c r="N727">
        <v>0</v>
      </c>
      <c r="O727" t="s">
        <v>22</v>
      </c>
      <c r="P727">
        <v>20230310</v>
      </c>
      <c r="Q727">
        <v>20230310</v>
      </c>
    </row>
    <row r="728" spans="1:17" x14ac:dyDescent="0.25">
      <c r="A728" t="s">
        <v>476</v>
      </c>
      <c r="B728" t="s">
        <v>477</v>
      </c>
      <c r="C728">
        <v>108</v>
      </c>
      <c r="D728">
        <v>20230310</v>
      </c>
      <c r="E728">
        <f t="shared" si="11"/>
        <v>3</v>
      </c>
      <c r="F728">
        <v>401000</v>
      </c>
      <c r="G728" t="s">
        <v>41</v>
      </c>
      <c r="H728" t="s">
        <v>54</v>
      </c>
      <c r="I728" t="s">
        <v>55</v>
      </c>
      <c r="J728" t="s">
        <v>5406</v>
      </c>
      <c r="K728">
        <v>20230310</v>
      </c>
      <c r="L728" t="s">
        <v>4767</v>
      </c>
      <c r="M728">
        <v>311.82</v>
      </c>
      <c r="N728">
        <v>0</v>
      </c>
      <c r="O728" t="s">
        <v>22</v>
      </c>
      <c r="P728">
        <v>20230310</v>
      </c>
      <c r="Q728">
        <v>20230310</v>
      </c>
    </row>
    <row r="729" spans="1:17" x14ac:dyDescent="0.25">
      <c r="A729" t="s">
        <v>476</v>
      </c>
      <c r="B729" t="s">
        <v>477</v>
      </c>
      <c r="C729">
        <v>108</v>
      </c>
      <c r="D729">
        <v>20230310</v>
      </c>
      <c r="E729">
        <f t="shared" si="11"/>
        <v>3</v>
      </c>
      <c r="F729">
        <v>401000</v>
      </c>
      <c r="G729" t="s">
        <v>41</v>
      </c>
      <c r="H729" t="s">
        <v>56</v>
      </c>
      <c r="I729" t="s">
        <v>57</v>
      </c>
      <c r="J729" t="s">
        <v>5406</v>
      </c>
      <c r="K729">
        <v>20230310</v>
      </c>
      <c r="L729" t="s">
        <v>4767</v>
      </c>
      <c r="M729">
        <v>3753.41</v>
      </c>
      <c r="N729">
        <v>0</v>
      </c>
      <c r="O729" t="s">
        <v>22</v>
      </c>
      <c r="P729">
        <v>20230310</v>
      </c>
      <c r="Q729">
        <v>20230310</v>
      </c>
    </row>
    <row r="730" spans="1:17" x14ac:dyDescent="0.25">
      <c r="A730" t="s">
        <v>476</v>
      </c>
      <c r="B730" t="s">
        <v>477</v>
      </c>
      <c r="C730">
        <v>108</v>
      </c>
      <c r="D730">
        <v>20230310</v>
      </c>
      <c r="E730">
        <f t="shared" si="11"/>
        <v>3</v>
      </c>
      <c r="F730">
        <v>401000</v>
      </c>
      <c r="G730" t="s">
        <v>41</v>
      </c>
      <c r="H730" t="s">
        <v>2059</v>
      </c>
      <c r="I730" t="s">
        <v>2060</v>
      </c>
      <c r="J730" t="s">
        <v>5406</v>
      </c>
      <c r="K730">
        <v>20230310</v>
      </c>
      <c r="L730" t="s">
        <v>4767</v>
      </c>
      <c r="M730">
        <v>265.2</v>
      </c>
      <c r="N730">
        <v>0</v>
      </c>
      <c r="O730" t="s">
        <v>22</v>
      </c>
      <c r="P730">
        <v>20230310</v>
      </c>
      <c r="Q730">
        <v>20230310</v>
      </c>
    </row>
    <row r="731" spans="1:17" x14ac:dyDescent="0.25">
      <c r="A731" t="s">
        <v>476</v>
      </c>
      <c r="B731" t="s">
        <v>477</v>
      </c>
      <c r="C731">
        <v>108</v>
      </c>
      <c r="D731">
        <v>20230310</v>
      </c>
      <c r="E731">
        <f t="shared" si="11"/>
        <v>3</v>
      </c>
      <c r="F731">
        <v>401000</v>
      </c>
      <c r="G731" t="s">
        <v>41</v>
      </c>
      <c r="H731" t="s">
        <v>71</v>
      </c>
      <c r="I731" t="s">
        <v>72</v>
      </c>
      <c r="J731" t="s">
        <v>5406</v>
      </c>
      <c r="K731">
        <v>20230310</v>
      </c>
      <c r="L731" t="s">
        <v>4767</v>
      </c>
      <c r="M731">
        <v>857.2</v>
      </c>
      <c r="N731">
        <v>0</v>
      </c>
      <c r="O731" t="s">
        <v>22</v>
      </c>
      <c r="P731">
        <v>20230310</v>
      </c>
      <c r="Q731">
        <v>20230310</v>
      </c>
    </row>
    <row r="732" spans="1:17" x14ac:dyDescent="0.25">
      <c r="A732" t="s">
        <v>476</v>
      </c>
      <c r="B732" t="s">
        <v>477</v>
      </c>
      <c r="C732">
        <v>108</v>
      </c>
      <c r="D732">
        <v>20230310</v>
      </c>
      <c r="E732">
        <f t="shared" si="11"/>
        <v>3</v>
      </c>
      <c r="F732">
        <v>401000</v>
      </c>
      <c r="G732" t="s">
        <v>41</v>
      </c>
      <c r="H732" t="s">
        <v>140</v>
      </c>
      <c r="I732" t="s">
        <v>141</v>
      </c>
      <c r="J732" t="s">
        <v>5406</v>
      </c>
      <c r="K732">
        <v>20230310</v>
      </c>
      <c r="L732" t="s">
        <v>4767</v>
      </c>
      <c r="M732">
        <v>114</v>
      </c>
      <c r="N732">
        <v>0</v>
      </c>
      <c r="O732" t="s">
        <v>22</v>
      </c>
      <c r="P732">
        <v>20230310</v>
      </c>
      <c r="Q732">
        <v>20230310</v>
      </c>
    </row>
    <row r="733" spans="1:17" x14ac:dyDescent="0.25">
      <c r="A733" t="s">
        <v>476</v>
      </c>
      <c r="B733" t="s">
        <v>477</v>
      </c>
      <c r="C733">
        <v>108</v>
      </c>
      <c r="D733">
        <v>20230310</v>
      </c>
      <c r="E733">
        <f t="shared" si="11"/>
        <v>3</v>
      </c>
      <c r="F733">
        <v>401000</v>
      </c>
      <c r="G733" t="s">
        <v>41</v>
      </c>
      <c r="H733" t="s">
        <v>2061</v>
      </c>
      <c r="I733" t="s">
        <v>2062</v>
      </c>
      <c r="J733" t="s">
        <v>5406</v>
      </c>
      <c r="K733">
        <v>20230310</v>
      </c>
      <c r="L733" t="s">
        <v>4767</v>
      </c>
      <c r="M733">
        <v>198</v>
      </c>
      <c r="N733">
        <v>0</v>
      </c>
      <c r="O733" t="s">
        <v>22</v>
      </c>
      <c r="P733">
        <v>20230310</v>
      </c>
      <c r="Q733">
        <v>20230310</v>
      </c>
    </row>
    <row r="734" spans="1:17" x14ac:dyDescent="0.25">
      <c r="A734" t="s">
        <v>476</v>
      </c>
      <c r="B734" t="s">
        <v>477</v>
      </c>
      <c r="C734">
        <v>108</v>
      </c>
      <c r="D734">
        <v>20230310</v>
      </c>
      <c r="E734">
        <f t="shared" si="11"/>
        <v>3</v>
      </c>
      <c r="F734">
        <v>401000</v>
      </c>
      <c r="G734" t="s">
        <v>41</v>
      </c>
      <c r="H734" t="s">
        <v>223</v>
      </c>
      <c r="I734" t="s">
        <v>224</v>
      </c>
      <c r="J734" t="s">
        <v>5406</v>
      </c>
      <c r="K734">
        <v>20230310</v>
      </c>
      <c r="L734" t="s">
        <v>4767</v>
      </c>
      <c r="M734">
        <v>90</v>
      </c>
      <c r="N734">
        <v>0</v>
      </c>
      <c r="O734" t="s">
        <v>22</v>
      </c>
      <c r="P734">
        <v>20230310</v>
      </c>
      <c r="Q734">
        <v>20230310</v>
      </c>
    </row>
    <row r="735" spans="1:17" x14ac:dyDescent="0.25">
      <c r="A735" t="s">
        <v>476</v>
      </c>
      <c r="B735" t="s">
        <v>477</v>
      </c>
      <c r="C735">
        <v>108</v>
      </c>
      <c r="D735">
        <v>20230310</v>
      </c>
      <c r="E735">
        <f t="shared" si="11"/>
        <v>3</v>
      </c>
      <c r="F735">
        <v>401000</v>
      </c>
      <c r="G735" t="s">
        <v>41</v>
      </c>
      <c r="H735" t="s">
        <v>2765</v>
      </c>
      <c r="I735" t="s">
        <v>2766</v>
      </c>
      <c r="J735" t="s">
        <v>5406</v>
      </c>
      <c r="K735">
        <v>20230310</v>
      </c>
      <c r="L735" t="s">
        <v>4767</v>
      </c>
      <c r="M735">
        <v>80</v>
      </c>
      <c r="N735">
        <v>0</v>
      </c>
      <c r="O735" t="s">
        <v>22</v>
      </c>
      <c r="P735">
        <v>20230310</v>
      </c>
      <c r="Q735">
        <v>20230310</v>
      </c>
    </row>
    <row r="736" spans="1:17" x14ac:dyDescent="0.25">
      <c r="A736" t="s">
        <v>476</v>
      </c>
      <c r="B736" t="s">
        <v>477</v>
      </c>
      <c r="C736">
        <v>108</v>
      </c>
      <c r="D736">
        <v>20230310</v>
      </c>
      <c r="E736">
        <f t="shared" si="11"/>
        <v>3</v>
      </c>
      <c r="F736">
        <v>512000</v>
      </c>
      <c r="G736" t="s">
        <v>428</v>
      </c>
      <c r="H736" t="s">
        <v>401</v>
      </c>
      <c r="I736" t="s">
        <v>402</v>
      </c>
      <c r="J736" t="s">
        <v>5406</v>
      </c>
      <c r="K736">
        <v>20230310</v>
      </c>
      <c r="L736" t="s">
        <v>4767</v>
      </c>
      <c r="M736">
        <v>0</v>
      </c>
      <c r="N736">
        <v>7791.97</v>
      </c>
      <c r="O736" t="s">
        <v>19</v>
      </c>
      <c r="P736" t="s">
        <v>20</v>
      </c>
      <c r="Q736">
        <v>20230310</v>
      </c>
    </row>
    <row r="737" spans="1:17" x14ac:dyDescent="0.25">
      <c r="A737" t="s">
        <v>476</v>
      </c>
      <c r="B737" t="s">
        <v>477</v>
      </c>
      <c r="C737">
        <v>109</v>
      </c>
      <c r="D737">
        <v>20230314</v>
      </c>
      <c r="E737">
        <f t="shared" si="11"/>
        <v>3</v>
      </c>
      <c r="F737">
        <v>467100</v>
      </c>
      <c r="G737" t="s">
        <v>160</v>
      </c>
      <c r="H737" t="s">
        <v>3425</v>
      </c>
      <c r="I737" t="s">
        <v>3426</v>
      </c>
      <c r="J737" t="s">
        <v>5407</v>
      </c>
      <c r="K737">
        <v>20230314</v>
      </c>
      <c r="L737" t="s">
        <v>4765</v>
      </c>
      <c r="M737">
        <v>2272.2800000000002</v>
      </c>
      <c r="N737">
        <v>0</v>
      </c>
      <c r="O737" t="s">
        <v>19</v>
      </c>
      <c r="P737" t="s">
        <v>20</v>
      </c>
      <c r="Q737">
        <v>20230314</v>
      </c>
    </row>
    <row r="738" spans="1:17" x14ac:dyDescent="0.25">
      <c r="A738" t="s">
        <v>476</v>
      </c>
      <c r="B738" t="s">
        <v>477</v>
      </c>
      <c r="C738">
        <v>109</v>
      </c>
      <c r="D738">
        <v>20230314</v>
      </c>
      <c r="E738">
        <f t="shared" si="11"/>
        <v>3</v>
      </c>
      <c r="F738">
        <v>512000</v>
      </c>
      <c r="G738" t="s">
        <v>428</v>
      </c>
      <c r="H738" t="s">
        <v>401</v>
      </c>
      <c r="I738" t="s">
        <v>402</v>
      </c>
      <c r="J738" t="s">
        <v>5407</v>
      </c>
      <c r="K738">
        <v>20230314</v>
      </c>
      <c r="L738" t="s">
        <v>4765</v>
      </c>
      <c r="M738">
        <v>0</v>
      </c>
      <c r="N738">
        <v>2272.2800000000002</v>
      </c>
      <c r="O738" t="s">
        <v>19</v>
      </c>
      <c r="P738" t="s">
        <v>20</v>
      </c>
      <c r="Q738">
        <v>20230314</v>
      </c>
    </row>
    <row r="739" spans="1:17" x14ac:dyDescent="0.25">
      <c r="A739" t="s">
        <v>476</v>
      </c>
      <c r="B739" t="s">
        <v>477</v>
      </c>
      <c r="C739">
        <v>110</v>
      </c>
      <c r="D739">
        <v>20230314</v>
      </c>
      <c r="E739">
        <f t="shared" si="11"/>
        <v>3</v>
      </c>
      <c r="F739">
        <v>401000</v>
      </c>
      <c r="G739" t="s">
        <v>41</v>
      </c>
      <c r="H739" t="s">
        <v>42</v>
      </c>
      <c r="I739" t="s">
        <v>43</v>
      </c>
      <c r="J739" t="s">
        <v>5408</v>
      </c>
      <c r="K739">
        <v>20230314</v>
      </c>
      <c r="L739" t="s">
        <v>4767</v>
      </c>
      <c r="M739">
        <v>187.08</v>
      </c>
      <c r="N739">
        <v>0</v>
      </c>
      <c r="O739" t="s">
        <v>22</v>
      </c>
      <c r="P739">
        <v>20230314</v>
      </c>
      <c r="Q739">
        <v>20230314</v>
      </c>
    </row>
    <row r="740" spans="1:17" x14ac:dyDescent="0.25">
      <c r="A740" t="s">
        <v>476</v>
      </c>
      <c r="B740" t="s">
        <v>477</v>
      </c>
      <c r="C740">
        <v>110</v>
      </c>
      <c r="D740">
        <v>20230314</v>
      </c>
      <c r="E740">
        <f t="shared" si="11"/>
        <v>3</v>
      </c>
      <c r="F740">
        <v>401000</v>
      </c>
      <c r="G740" t="s">
        <v>41</v>
      </c>
      <c r="H740" t="s">
        <v>54</v>
      </c>
      <c r="I740" t="s">
        <v>55</v>
      </c>
      <c r="J740" t="s">
        <v>5408</v>
      </c>
      <c r="K740">
        <v>20230314</v>
      </c>
      <c r="L740" t="s">
        <v>4767</v>
      </c>
      <c r="M740">
        <v>129.56</v>
      </c>
      <c r="N740">
        <v>0</v>
      </c>
      <c r="O740" t="s">
        <v>22</v>
      </c>
      <c r="P740">
        <v>20230314</v>
      </c>
      <c r="Q740">
        <v>20230314</v>
      </c>
    </row>
    <row r="741" spans="1:17" x14ac:dyDescent="0.25">
      <c r="A741" t="s">
        <v>476</v>
      </c>
      <c r="B741" t="s">
        <v>477</v>
      </c>
      <c r="C741">
        <v>110</v>
      </c>
      <c r="D741">
        <v>20230314</v>
      </c>
      <c r="E741">
        <f t="shared" si="11"/>
        <v>3</v>
      </c>
      <c r="F741">
        <v>401000</v>
      </c>
      <c r="G741" t="s">
        <v>41</v>
      </c>
      <c r="H741" t="s">
        <v>56</v>
      </c>
      <c r="I741" t="s">
        <v>57</v>
      </c>
      <c r="J741" t="s">
        <v>5408</v>
      </c>
      <c r="K741">
        <v>20230314</v>
      </c>
      <c r="L741" t="s">
        <v>4767</v>
      </c>
      <c r="M741">
        <v>1467.2</v>
      </c>
      <c r="N741">
        <v>0</v>
      </c>
      <c r="O741" t="s">
        <v>22</v>
      </c>
      <c r="P741">
        <v>20230314</v>
      </c>
      <c r="Q741">
        <v>20230314</v>
      </c>
    </row>
    <row r="742" spans="1:17" x14ac:dyDescent="0.25">
      <c r="A742" t="s">
        <v>476</v>
      </c>
      <c r="B742" t="s">
        <v>477</v>
      </c>
      <c r="C742">
        <v>110</v>
      </c>
      <c r="D742">
        <v>20230314</v>
      </c>
      <c r="E742">
        <f t="shared" si="11"/>
        <v>3</v>
      </c>
      <c r="F742">
        <v>401000</v>
      </c>
      <c r="G742" t="s">
        <v>41</v>
      </c>
      <c r="H742" t="s">
        <v>1313</v>
      </c>
      <c r="I742" t="s">
        <v>1314</v>
      </c>
      <c r="J742" t="s">
        <v>5408</v>
      </c>
      <c r="K742">
        <v>20230314</v>
      </c>
      <c r="L742" t="s">
        <v>4767</v>
      </c>
      <c r="M742">
        <v>1101.02</v>
      </c>
      <c r="N742">
        <v>0</v>
      </c>
      <c r="O742" t="s">
        <v>22</v>
      </c>
      <c r="P742">
        <v>20230314</v>
      </c>
      <c r="Q742">
        <v>20230314</v>
      </c>
    </row>
    <row r="743" spans="1:17" x14ac:dyDescent="0.25">
      <c r="A743" t="s">
        <v>476</v>
      </c>
      <c r="B743" t="s">
        <v>477</v>
      </c>
      <c r="C743">
        <v>110</v>
      </c>
      <c r="D743">
        <v>20230314</v>
      </c>
      <c r="E743">
        <f t="shared" si="11"/>
        <v>3</v>
      </c>
      <c r="F743">
        <v>401000</v>
      </c>
      <c r="G743" t="s">
        <v>41</v>
      </c>
      <c r="H743" t="s">
        <v>69</v>
      </c>
      <c r="I743" t="s">
        <v>70</v>
      </c>
      <c r="J743" t="s">
        <v>5408</v>
      </c>
      <c r="K743">
        <v>20230314</v>
      </c>
      <c r="L743" t="s">
        <v>4767</v>
      </c>
      <c r="M743">
        <v>1651.7</v>
      </c>
      <c r="N743">
        <v>0</v>
      </c>
      <c r="O743" t="s">
        <v>22</v>
      </c>
      <c r="P743">
        <v>20230314</v>
      </c>
      <c r="Q743">
        <v>20230314</v>
      </c>
    </row>
    <row r="744" spans="1:17" x14ac:dyDescent="0.25">
      <c r="A744" t="s">
        <v>476</v>
      </c>
      <c r="B744" t="s">
        <v>477</v>
      </c>
      <c r="C744">
        <v>110</v>
      </c>
      <c r="D744">
        <v>20230314</v>
      </c>
      <c r="E744">
        <f t="shared" si="11"/>
        <v>3</v>
      </c>
      <c r="F744">
        <v>401000</v>
      </c>
      <c r="G744" t="s">
        <v>41</v>
      </c>
      <c r="H744" t="s">
        <v>99</v>
      </c>
      <c r="I744" t="s">
        <v>100</v>
      </c>
      <c r="J744" t="s">
        <v>5408</v>
      </c>
      <c r="K744">
        <v>20230314</v>
      </c>
      <c r="L744" t="s">
        <v>4767</v>
      </c>
      <c r="M744">
        <v>510.89</v>
      </c>
      <c r="N744">
        <v>0</v>
      </c>
      <c r="O744" t="s">
        <v>22</v>
      </c>
      <c r="P744">
        <v>20230314</v>
      </c>
      <c r="Q744">
        <v>20230314</v>
      </c>
    </row>
    <row r="745" spans="1:17" x14ac:dyDescent="0.25">
      <c r="A745" t="s">
        <v>476</v>
      </c>
      <c r="B745" t="s">
        <v>477</v>
      </c>
      <c r="C745">
        <v>110</v>
      </c>
      <c r="D745">
        <v>20230314</v>
      </c>
      <c r="E745">
        <f t="shared" si="11"/>
        <v>3</v>
      </c>
      <c r="F745">
        <v>401000</v>
      </c>
      <c r="G745" t="s">
        <v>41</v>
      </c>
      <c r="H745" t="s">
        <v>864</v>
      </c>
      <c r="I745" t="s">
        <v>865</v>
      </c>
      <c r="J745" t="s">
        <v>5408</v>
      </c>
      <c r="K745">
        <v>20230314</v>
      </c>
      <c r="L745" t="s">
        <v>4767</v>
      </c>
      <c r="M745">
        <v>598.5</v>
      </c>
      <c r="N745">
        <v>0</v>
      </c>
      <c r="O745" t="s">
        <v>22</v>
      </c>
      <c r="P745">
        <v>20230314</v>
      </c>
      <c r="Q745">
        <v>20230314</v>
      </c>
    </row>
    <row r="746" spans="1:17" x14ac:dyDescent="0.25">
      <c r="A746" t="s">
        <v>476</v>
      </c>
      <c r="B746" t="s">
        <v>477</v>
      </c>
      <c r="C746">
        <v>110</v>
      </c>
      <c r="D746">
        <v>20230314</v>
      </c>
      <c r="E746">
        <f t="shared" si="11"/>
        <v>3</v>
      </c>
      <c r="F746">
        <v>401000</v>
      </c>
      <c r="G746" t="s">
        <v>41</v>
      </c>
      <c r="H746" t="s">
        <v>389</v>
      </c>
      <c r="I746" t="s">
        <v>390</v>
      </c>
      <c r="J746" t="s">
        <v>5408</v>
      </c>
      <c r="K746">
        <v>20230314</v>
      </c>
      <c r="L746" t="s">
        <v>4767</v>
      </c>
      <c r="M746">
        <v>420</v>
      </c>
      <c r="N746">
        <v>0</v>
      </c>
      <c r="O746" t="s">
        <v>22</v>
      </c>
      <c r="P746">
        <v>20230314</v>
      </c>
      <c r="Q746">
        <v>20230314</v>
      </c>
    </row>
    <row r="747" spans="1:17" x14ac:dyDescent="0.25">
      <c r="A747" t="s">
        <v>476</v>
      </c>
      <c r="B747" t="s">
        <v>477</v>
      </c>
      <c r="C747">
        <v>110</v>
      </c>
      <c r="D747">
        <v>20230314</v>
      </c>
      <c r="E747">
        <f t="shared" si="11"/>
        <v>3</v>
      </c>
      <c r="F747">
        <v>401000</v>
      </c>
      <c r="G747" t="s">
        <v>41</v>
      </c>
      <c r="H747" t="s">
        <v>2045</v>
      </c>
      <c r="I747" t="s">
        <v>2046</v>
      </c>
      <c r="J747" t="s">
        <v>5408</v>
      </c>
      <c r="K747">
        <v>20230314</v>
      </c>
      <c r="L747" t="s">
        <v>4767</v>
      </c>
      <c r="M747">
        <v>760.62</v>
      </c>
      <c r="N747">
        <v>0</v>
      </c>
      <c r="O747" t="s">
        <v>22</v>
      </c>
      <c r="P747">
        <v>20230314</v>
      </c>
      <c r="Q747">
        <v>20230314</v>
      </c>
    </row>
    <row r="748" spans="1:17" x14ac:dyDescent="0.25">
      <c r="A748" t="s">
        <v>476</v>
      </c>
      <c r="B748" t="s">
        <v>477</v>
      </c>
      <c r="C748">
        <v>110</v>
      </c>
      <c r="D748">
        <v>20230314</v>
      </c>
      <c r="E748">
        <f t="shared" si="11"/>
        <v>3</v>
      </c>
      <c r="F748">
        <v>512000</v>
      </c>
      <c r="G748" t="s">
        <v>428</v>
      </c>
      <c r="H748" t="s">
        <v>401</v>
      </c>
      <c r="I748" t="s">
        <v>402</v>
      </c>
      <c r="J748" t="s">
        <v>5408</v>
      </c>
      <c r="K748">
        <v>20230314</v>
      </c>
      <c r="L748" t="s">
        <v>4767</v>
      </c>
      <c r="M748">
        <v>0</v>
      </c>
      <c r="N748">
        <v>6826.57</v>
      </c>
      <c r="O748" t="s">
        <v>19</v>
      </c>
      <c r="P748" t="s">
        <v>20</v>
      </c>
      <c r="Q748">
        <v>20230314</v>
      </c>
    </row>
    <row r="749" spans="1:17" x14ac:dyDescent="0.25">
      <c r="A749" t="s">
        <v>476</v>
      </c>
      <c r="B749" t="s">
        <v>477</v>
      </c>
      <c r="C749">
        <v>111</v>
      </c>
      <c r="D749">
        <v>20230316</v>
      </c>
      <c r="E749">
        <f t="shared" si="11"/>
        <v>3</v>
      </c>
      <c r="F749">
        <v>401000</v>
      </c>
      <c r="G749" t="s">
        <v>41</v>
      </c>
      <c r="H749" t="s">
        <v>5409</v>
      </c>
      <c r="I749" t="s">
        <v>5410</v>
      </c>
      <c r="J749" t="s">
        <v>5411</v>
      </c>
      <c r="K749">
        <v>20230316</v>
      </c>
      <c r="L749" t="s">
        <v>4765</v>
      </c>
      <c r="M749">
        <v>688.5</v>
      </c>
      <c r="N749">
        <v>0</v>
      </c>
      <c r="O749" t="s">
        <v>19</v>
      </c>
      <c r="P749" t="s">
        <v>20</v>
      </c>
      <c r="Q749">
        <v>20230316</v>
      </c>
    </row>
    <row r="750" spans="1:17" x14ac:dyDescent="0.25">
      <c r="A750" t="s">
        <v>476</v>
      </c>
      <c r="B750" t="s">
        <v>477</v>
      </c>
      <c r="C750">
        <v>111</v>
      </c>
      <c r="D750">
        <v>20230316</v>
      </c>
      <c r="E750">
        <f t="shared" si="11"/>
        <v>3</v>
      </c>
      <c r="F750">
        <v>467100</v>
      </c>
      <c r="G750" t="s">
        <v>160</v>
      </c>
      <c r="H750" t="s">
        <v>1726</v>
      </c>
      <c r="I750" t="s">
        <v>1727</v>
      </c>
      <c r="J750" t="s">
        <v>5411</v>
      </c>
      <c r="K750">
        <v>20230316</v>
      </c>
      <c r="L750" t="s">
        <v>4765</v>
      </c>
      <c r="M750">
        <v>150</v>
      </c>
      <c r="N750">
        <v>0</v>
      </c>
      <c r="O750" t="s">
        <v>19</v>
      </c>
      <c r="P750" t="s">
        <v>20</v>
      </c>
      <c r="Q750">
        <v>20230316</v>
      </c>
    </row>
    <row r="751" spans="1:17" x14ac:dyDescent="0.25">
      <c r="A751" t="s">
        <v>476</v>
      </c>
      <c r="B751" t="s">
        <v>477</v>
      </c>
      <c r="C751">
        <v>111</v>
      </c>
      <c r="D751">
        <v>20230316</v>
      </c>
      <c r="E751">
        <f t="shared" si="11"/>
        <v>3</v>
      </c>
      <c r="F751">
        <v>512000</v>
      </c>
      <c r="G751" t="s">
        <v>428</v>
      </c>
      <c r="H751" t="s">
        <v>401</v>
      </c>
      <c r="I751" t="s">
        <v>402</v>
      </c>
      <c r="J751" t="s">
        <v>5411</v>
      </c>
      <c r="K751">
        <v>20230316</v>
      </c>
      <c r="L751" t="s">
        <v>4765</v>
      </c>
      <c r="M751">
        <v>0</v>
      </c>
      <c r="N751">
        <v>838.5</v>
      </c>
      <c r="O751" t="s">
        <v>19</v>
      </c>
      <c r="P751" t="s">
        <v>20</v>
      </c>
      <c r="Q751">
        <v>20230316</v>
      </c>
    </row>
    <row r="752" spans="1:17" x14ac:dyDescent="0.25">
      <c r="A752" t="s">
        <v>476</v>
      </c>
      <c r="B752" t="s">
        <v>477</v>
      </c>
      <c r="C752">
        <v>112</v>
      </c>
      <c r="D752">
        <v>20230316</v>
      </c>
      <c r="E752">
        <f t="shared" si="11"/>
        <v>3</v>
      </c>
      <c r="F752">
        <v>401000</v>
      </c>
      <c r="G752" t="s">
        <v>41</v>
      </c>
      <c r="H752" t="s">
        <v>140</v>
      </c>
      <c r="I752" t="s">
        <v>141</v>
      </c>
      <c r="J752" t="s">
        <v>5412</v>
      </c>
      <c r="K752">
        <v>20230316</v>
      </c>
      <c r="L752" t="s">
        <v>4765</v>
      </c>
      <c r="M752">
        <v>114</v>
      </c>
      <c r="N752">
        <v>0</v>
      </c>
      <c r="O752" t="s">
        <v>19</v>
      </c>
      <c r="P752" t="s">
        <v>20</v>
      </c>
      <c r="Q752">
        <v>20230316</v>
      </c>
    </row>
    <row r="753" spans="1:17" x14ac:dyDescent="0.25">
      <c r="A753" t="s">
        <v>476</v>
      </c>
      <c r="B753" t="s">
        <v>477</v>
      </c>
      <c r="C753">
        <v>112</v>
      </c>
      <c r="D753">
        <v>20230316</v>
      </c>
      <c r="E753">
        <f t="shared" si="11"/>
        <v>3</v>
      </c>
      <c r="F753">
        <v>512000</v>
      </c>
      <c r="G753" t="s">
        <v>428</v>
      </c>
      <c r="H753" t="s">
        <v>401</v>
      </c>
      <c r="I753" t="s">
        <v>402</v>
      </c>
      <c r="J753" t="s">
        <v>5412</v>
      </c>
      <c r="K753">
        <v>20230316</v>
      </c>
      <c r="L753" t="s">
        <v>4765</v>
      </c>
      <c r="M753">
        <v>0</v>
      </c>
      <c r="N753">
        <v>114</v>
      </c>
      <c r="O753" t="s">
        <v>19</v>
      </c>
      <c r="P753" t="s">
        <v>20</v>
      </c>
      <c r="Q753">
        <v>20230316</v>
      </c>
    </row>
    <row r="754" spans="1:17" x14ac:dyDescent="0.25">
      <c r="A754" t="s">
        <v>476</v>
      </c>
      <c r="B754" t="s">
        <v>477</v>
      </c>
      <c r="C754">
        <v>113</v>
      </c>
      <c r="D754">
        <v>20230321</v>
      </c>
      <c r="E754">
        <f t="shared" si="11"/>
        <v>3</v>
      </c>
      <c r="F754">
        <v>467100</v>
      </c>
      <c r="G754" t="s">
        <v>160</v>
      </c>
      <c r="H754" t="s">
        <v>1726</v>
      </c>
      <c r="I754" t="s">
        <v>1727</v>
      </c>
      <c r="J754" t="s">
        <v>5413</v>
      </c>
      <c r="K754">
        <v>20230321</v>
      </c>
      <c r="L754" t="s">
        <v>4765</v>
      </c>
      <c r="M754">
        <v>100</v>
      </c>
      <c r="N754">
        <v>0</v>
      </c>
      <c r="O754" t="s">
        <v>19</v>
      </c>
      <c r="P754" t="s">
        <v>20</v>
      </c>
      <c r="Q754">
        <v>20230321</v>
      </c>
    </row>
    <row r="755" spans="1:17" x14ac:dyDescent="0.25">
      <c r="A755" t="s">
        <v>476</v>
      </c>
      <c r="B755" t="s">
        <v>477</v>
      </c>
      <c r="C755">
        <v>113</v>
      </c>
      <c r="D755">
        <v>20230321</v>
      </c>
      <c r="E755">
        <f t="shared" si="11"/>
        <v>3</v>
      </c>
      <c r="F755">
        <v>512000</v>
      </c>
      <c r="G755" t="s">
        <v>428</v>
      </c>
      <c r="H755" t="s">
        <v>401</v>
      </c>
      <c r="I755" t="s">
        <v>402</v>
      </c>
      <c r="J755" t="s">
        <v>5413</v>
      </c>
      <c r="K755">
        <v>20230321</v>
      </c>
      <c r="L755" t="s">
        <v>4765</v>
      </c>
      <c r="M755">
        <v>0</v>
      </c>
      <c r="N755">
        <v>100</v>
      </c>
      <c r="O755" t="s">
        <v>19</v>
      </c>
      <c r="P755" t="s">
        <v>20</v>
      </c>
      <c r="Q755">
        <v>20230321</v>
      </c>
    </row>
    <row r="756" spans="1:17" x14ac:dyDescent="0.25">
      <c r="A756" t="s">
        <v>476</v>
      </c>
      <c r="B756" t="s">
        <v>477</v>
      </c>
      <c r="C756">
        <v>114</v>
      </c>
      <c r="D756">
        <v>20230324</v>
      </c>
      <c r="E756">
        <f t="shared" si="11"/>
        <v>3</v>
      </c>
      <c r="F756">
        <v>401000</v>
      </c>
      <c r="G756" t="s">
        <v>41</v>
      </c>
      <c r="H756" t="s">
        <v>3662</v>
      </c>
      <c r="I756" t="s">
        <v>3663</v>
      </c>
      <c r="J756" t="s">
        <v>5414</v>
      </c>
      <c r="K756">
        <v>20230324</v>
      </c>
      <c r="L756" t="s">
        <v>4767</v>
      </c>
      <c r="M756">
        <v>139.93</v>
      </c>
      <c r="N756">
        <v>0</v>
      </c>
      <c r="O756" t="s">
        <v>22</v>
      </c>
      <c r="P756">
        <v>20230324</v>
      </c>
      <c r="Q756">
        <v>20230324</v>
      </c>
    </row>
    <row r="757" spans="1:17" x14ac:dyDescent="0.25">
      <c r="A757" t="s">
        <v>476</v>
      </c>
      <c r="B757" t="s">
        <v>477</v>
      </c>
      <c r="C757">
        <v>114</v>
      </c>
      <c r="D757">
        <v>20230324</v>
      </c>
      <c r="E757">
        <f t="shared" si="11"/>
        <v>3</v>
      </c>
      <c r="F757">
        <v>401000</v>
      </c>
      <c r="G757" t="s">
        <v>41</v>
      </c>
      <c r="H757" t="s">
        <v>67</v>
      </c>
      <c r="I757" t="s">
        <v>68</v>
      </c>
      <c r="J757" t="s">
        <v>5414</v>
      </c>
      <c r="K757">
        <v>20230324</v>
      </c>
      <c r="L757" t="s">
        <v>4767</v>
      </c>
      <c r="M757">
        <v>1245</v>
      </c>
      <c r="N757">
        <v>0</v>
      </c>
      <c r="O757" t="s">
        <v>22</v>
      </c>
      <c r="P757">
        <v>20230324</v>
      </c>
      <c r="Q757">
        <v>20230324</v>
      </c>
    </row>
    <row r="758" spans="1:17" x14ac:dyDescent="0.25">
      <c r="A758" t="s">
        <v>476</v>
      </c>
      <c r="B758" t="s">
        <v>477</v>
      </c>
      <c r="C758">
        <v>114</v>
      </c>
      <c r="D758">
        <v>20230324</v>
      </c>
      <c r="E758">
        <f t="shared" si="11"/>
        <v>3</v>
      </c>
      <c r="F758">
        <v>401000</v>
      </c>
      <c r="G758" t="s">
        <v>41</v>
      </c>
      <c r="H758" t="s">
        <v>71</v>
      </c>
      <c r="I758" t="s">
        <v>72</v>
      </c>
      <c r="J758" t="s">
        <v>5414</v>
      </c>
      <c r="K758">
        <v>20230324</v>
      </c>
      <c r="L758" t="s">
        <v>4767</v>
      </c>
      <c r="M758">
        <v>347.29</v>
      </c>
      <c r="N758">
        <v>0</v>
      </c>
      <c r="O758" t="s">
        <v>22</v>
      </c>
      <c r="P758">
        <v>20230324</v>
      </c>
      <c r="Q758">
        <v>20230324</v>
      </c>
    </row>
    <row r="759" spans="1:17" x14ac:dyDescent="0.25">
      <c r="A759" t="s">
        <v>476</v>
      </c>
      <c r="B759" t="s">
        <v>477</v>
      </c>
      <c r="C759">
        <v>114</v>
      </c>
      <c r="D759">
        <v>20230324</v>
      </c>
      <c r="E759">
        <f t="shared" si="11"/>
        <v>3</v>
      </c>
      <c r="F759">
        <v>401000</v>
      </c>
      <c r="G759" t="s">
        <v>41</v>
      </c>
      <c r="H759" t="s">
        <v>5071</v>
      </c>
      <c r="I759" t="s">
        <v>5072</v>
      </c>
      <c r="J759" t="s">
        <v>5414</v>
      </c>
      <c r="K759">
        <v>20230324</v>
      </c>
      <c r="L759" t="s">
        <v>4767</v>
      </c>
      <c r="M759">
        <v>525.6</v>
      </c>
      <c r="N759">
        <v>0</v>
      </c>
      <c r="O759" t="s">
        <v>22</v>
      </c>
      <c r="P759">
        <v>20230324</v>
      </c>
      <c r="Q759">
        <v>20230324</v>
      </c>
    </row>
    <row r="760" spans="1:17" x14ac:dyDescent="0.25">
      <c r="A760" t="s">
        <v>476</v>
      </c>
      <c r="B760" t="s">
        <v>477</v>
      </c>
      <c r="C760">
        <v>114</v>
      </c>
      <c r="D760">
        <v>20230324</v>
      </c>
      <c r="E760">
        <f t="shared" si="11"/>
        <v>3</v>
      </c>
      <c r="F760">
        <v>512000</v>
      </c>
      <c r="G760" t="s">
        <v>428</v>
      </c>
      <c r="H760" t="s">
        <v>401</v>
      </c>
      <c r="I760" t="s">
        <v>402</v>
      </c>
      <c r="J760" t="s">
        <v>5414</v>
      </c>
      <c r="K760">
        <v>20230324</v>
      </c>
      <c r="L760" t="s">
        <v>4767</v>
      </c>
      <c r="M760">
        <v>0</v>
      </c>
      <c r="N760">
        <v>2257.8200000000002</v>
      </c>
      <c r="O760" t="s">
        <v>19</v>
      </c>
      <c r="P760" t="s">
        <v>20</v>
      </c>
      <c r="Q760">
        <v>20230324</v>
      </c>
    </row>
    <row r="761" spans="1:17" x14ac:dyDescent="0.25">
      <c r="A761" t="s">
        <v>476</v>
      </c>
      <c r="B761" t="s">
        <v>477</v>
      </c>
      <c r="C761">
        <v>115</v>
      </c>
      <c r="D761">
        <v>20230325</v>
      </c>
      <c r="E761">
        <f t="shared" si="11"/>
        <v>3</v>
      </c>
      <c r="F761">
        <v>401000</v>
      </c>
      <c r="G761" t="s">
        <v>41</v>
      </c>
      <c r="H761" t="s">
        <v>42</v>
      </c>
      <c r="I761" t="s">
        <v>43</v>
      </c>
      <c r="J761" t="s">
        <v>5415</v>
      </c>
      <c r="K761">
        <v>20230325</v>
      </c>
      <c r="L761" t="s">
        <v>4767</v>
      </c>
      <c r="M761">
        <v>212.58</v>
      </c>
      <c r="N761">
        <v>0</v>
      </c>
      <c r="O761" t="s">
        <v>22</v>
      </c>
      <c r="P761">
        <v>20230325</v>
      </c>
      <c r="Q761">
        <v>20230325</v>
      </c>
    </row>
    <row r="762" spans="1:17" x14ac:dyDescent="0.25">
      <c r="A762" t="s">
        <v>476</v>
      </c>
      <c r="B762" t="s">
        <v>477</v>
      </c>
      <c r="C762">
        <v>115</v>
      </c>
      <c r="D762">
        <v>20230325</v>
      </c>
      <c r="E762">
        <f t="shared" si="11"/>
        <v>3</v>
      </c>
      <c r="F762">
        <v>401000</v>
      </c>
      <c r="G762" t="s">
        <v>41</v>
      </c>
      <c r="H762" t="s">
        <v>46</v>
      </c>
      <c r="I762" t="s">
        <v>47</v>
      </c>
      <c r="J762" t="s">
        <v>5415</v>
      </c>
      <c r="K762">
        <v>20230325</v>
      </c>
      <c r="L762" t="s">
        <v>4767</v>
      </c>
      <c r="M762">
        <v>1080</v>
      </c>
      <c r="N762">
        <v>0</v>
      </c>
      <c r="O762" t="s">
        <v>22</v>
      </c>
      <c r="P762">
        <v>20230325</v>
      </c>
      <c r="Q762">
        <v>20230325</v>
      </c>
    </row>
    <row r="763" spans="1:17" x14ac:dyDescent="0.25">
      <c r="A763" t="s">
        <v>476</v>
      </c>
      <c r="B763" t="s">
        <v>477</v>
      </c>
      <c r="C763">
        <v>115</v>
      </c>
      <c r="D763">
        <v>20230325</v>
      </c>
      <c r="E763">
        <f t="shared" si="11"/>
        <v>3</v>
      </c>
      <c r="F763">
        <v>401000</v>
      </c>
      <c r="G763" t="s">
        <v>41</v>
      </c>
      <c r="H763" t="s">
        <v>48</v>
      </c>
      <c r="I763" t="s">
        <v>49</v>
      </c>
      <c r="J763" t="s">
        <v>5415</v>
      </c>
      <c r="K763">
        <v>20230325</v>
      </c>
      <c r="L763" t="s">
        <v>4767</v>
      </c>
      <c r="M763">
        <v>2622.16</v>
      </c>
      <c r="N763">
        <v>0</v>
      </c>
      <c r="O763" t="s">
        <v>22</v>
      </c>
      <c r="P763">
        <v>20230325</v>
      </c>
      <c r="Q763">
        <v>20230325</v>
      </c>
    </row>
    <row r="764" spans="1:17" x14ac:dyDescent="0.25">
      <c r="A764" t="s">
        <v>476</v>
      </c>
      <c r="B764" t="s">
        <v>477</v>
      </c>
      <c r="C764">
        <v>115</v>
      </c>
      <c r="D764">
        <v>20230325</v>
      </c>
      <c r="E764">
        <f t="shared" si="11"/>
        <v>3</v>
      </c>
      <c r="F764">
        <v>401000</v>
      </c>
      <c r="G764" t="s">
        <v>41</v>
      </c>
      <c r="H764" t="s">
        <v>5079</v>
      </c>
      <c r="I764" t="s">
        <v>5080</v>
      </c>
      <c r="J764" t="s">
        <v>5415</v>
      </c>
      <c r="K764">
        <v>20230325</v>
      </c>
      <c r="L764" t="s">
        <v>4767</v>
      </c>
      <c r="M764">
        <v>315</v>
      </c>
      <c r="N764">
        <v>0</v>
      </c>
      <c r="O764" t="s">
        <v>22</v>
      </c>
      <c r="P764">
        <v>20230325</v>
      </c>
      <c r="Q764">
        <v>20230325</v>
      </c>
    </row>
    <row r="765" spans="1:17" x14ac:dyDescent="0.25">
      <c r="A765" t="s">
        <v>476</v>
      </c>
      <c r="B765" t="s">
        <v>477</v>
      </c>
      <c r="C765">
        <v>115</v>
      </c>
      <c r="D765">
        <v>20230325</v>
      </c>
      <c r="E765">
        <f t="shared" si="11"/>
        <v>3</v>
      </c>
      <c r="F765">
        <v>512000</v>
      </c>
      <c r="G765" t="s">
        <v>428</v>
      </c>
      <c r="H765" t="s">
        <v>401</v>
      </c>
      <c r="I765" t="s">
        <v>402</v>
      </c>
      <c r="J765" t="s">
        <v>5415</v>
      </c>
      <c r="K765">
        <v>20230325</v>
      </c>
      <c r="L765" t="s">
        <v>4767</v>
      </c>
      <c r="M765">
        <v>0</v>
      </c>
      <c r="N765">
        <v>4229.74</v>
      </c>
      <c r="O765" t="s">
        <v>19</v>
      </c>
      <c r="P765" t="s">
        <v>20</v>
      </c>
      <c r="Q765">
        <v>20230325</v>
      </c>
    </row>
    <row r="766" spans="1:17" x14ac:dyDescent="0.25">
      <c r="A766" t="s">
        <v>476</v>
      </c>
      <c r="B766" t="s">
        <v>477</v>
      </c>
      <c r="C766">
        <v>116</v>
      </c>
      <c r="D766">
        <v>20230328</v>
      </c>
      <c r="E766">
        <f t="shared" si="11"/>
        <v>3</v>
      </c>
      <c r="F766">
        <v>467100</v>
      </c>
      <c r="G766" t="s">
        <v>160</v>
      </c>
      <c r="H766" t="s">
        <v>5416</v>
      </c>
      <c r="I766" t="s">
        <v>5417</v>
      </c>
      <c r="J766" t="s">
        <v>5418</v>
      </c>
      <c r="K766">
        <v>20230328</v>
      </c>
      <c r="L766" t="s">
        <v>4765</v>
      </c>
      <c r="M766">
        <v>607.5</v>
      </c>
      <c r="N766">
        <v>0</v>
      </c>
      <c r="O766" t="s">
        <v>19</v>
      </c>
      <c r="P766" t="s">
        <v>20</v>
      </c>
      <c r="Q766">
        <v>20230328</v>
      </c>
    </row>
    <row r="767" spans="1:17" x14ac:dyDescent="0.25">
      <c r="A767" t="s">
        <v>476</v>
      </c>
      <c r="B767" t="s">
        <v>477</v>
      </c>
      <c r="C767">
        <v>116</v>
      </c>
      <c r="D767">
        <v>20230328</v>
      </c>
      <c r="E767">
        <f t="shared" si="11"/>
        <v>3</v>
      </c>
      <c r="F767">
        <v>467100</v>
      </c>
      <c r="G767" t="s">
        <v>160</v>
      </c>
      <c r="H767" t="s">
        <v>5419</v>
      </c>
      <c r="I767" t="s">
        <v>5420</v>
      </c>
      <c r="J767" t="s">
        <v>5418</v>
      </c>
      <c r="K767">
        <v>20230328</v>
      </c>
      <c r="L767" t="s">
        <v>4765</v>
      </c>
      <c r="M767">
        <v>925.64</v>
      </c>
      <c r="N767">
        <v>0</v>
      </c>
      <c r="O767" t="s">
        <v>19</v>
      </c>
      <c r="P767" t="s">
        <v>20</v>
      </c>
      <c r="Q767">
        <v>20230328</v>
      </c>
    </row>
    <row r="768" spans="1:17" x14ac:dyDescent="0.25">
      <c r="A768" t="s">
        <v>476</v>
      </c>
      <c r="B768" t="s">
        <v>477</v>
      </c>
      <c r="C768">
        <v>116</v>
      </c>
      <c r="D768">
        <v>20230328</v>
      </c>
      <c r="E768">
        <f t="shared" si="11"/>
        <v>3</v>
      </c>
      <c r="F768">
        <v>401000</v>
      </c>
      <c r="G768" t="s">
        <v>41</v>
      </c>
      <c r="H768" t="s">
        <v>5421</v>
      </c>
      <c r="I768" t="s">
        <v>5422</v>
      </c>
      <c r="J768" t="s">
        <v>5418</v>
      </c>
      <c r="K768">
        <v>20230328</v>
      </c>
      <c r="L768" t="s">
        <v>4765</v>
      </c>
      <c r="M768">
        <v>146.4</v>
      </c>
      <c r="N768">
        <v>0</v>
      </c>
      <c r="O768" t="s">
        <v>19</v>
      </c>
      <c r="P768" t="s">
        <v>20</v>
      </c>
      <c r="Q768">
        <v>20230328</v>
      </c>
    </row>
    <row r="769" spans="1:17" x14ac:dyDescent="0.25">
      <c r="A769" t="s">
        <v>476</v>
      </c>
      <c r="B769" t="s">
        <v>477</v>
      </c>
      <c r="C769">
        <v>116</v>
      </c>
      <c r="D769">
        <v>20230328</v>
      </c>
      <c r="E769">
        <f t="shared" si="11"/>
        <v>3</v>
      </c>
      <c r="F769">
        <v>512000</v>
      </c>
      <c r="G769" t="s">
        <v>428</v>
      </c>
      <c r="H769" t="s">
        <v>401</v>
      </c>
      <c r="I769" t="s">
        <v>402</v>
      </c>
      <c r="J769" t="s">
        <v>5418</v>
      </c>
      <c r="K769">
        <v>20230328</v>
      </c>
      <c r="L769" t="s">
        <v>4765</v>
      </c>
      <c r="M769">
        <v>0</v>
      </c>
      <c r="N769">
        <v>1679.54</v>
      </c>
      <c r="O769" t="s">
        <v>19</v>
      </c>
      <c r="P769" t="s">
        <v>20</v>
      </c>
      <c r="Q769">
        <v>20230328</v>
      </c>
    </row>
    <row r="770" spans="1:17" x14ac:dyDescent="0.25">
      <c r="A770" t="s">
        <v>476</v>
      </c>
      <c r="B770" t="s">
        <v>477</v>
      </c>
      <c r="C770">
        <v>117</v>
      </c>
      <c r="D770">
        <v>20230331</v>
      </c>
      <c r="E770">
        <f t="shared" si="11"/>
        <v>3</v>
      </c>
      <c r="F770">
        <v>401000</v>
      </c>
      <c r="G770" t="s">
        <v>41</v>
      </c>
      <c r="H770" t="s">
        <v>42</v>
      </c>
      <c r="I770" t="s">
        <v>43</v>
      </c>
      <c r="J770" t="s">
        <v>5423</v>
      </c>
      <c r="K770">
        <v>20230331</v>
      </c>
      <c r="L770" t="s">
        <v>4767</v>
      </c>
      <c r="M770">
        <v>274.04000000000002</v>
      </c>
      <c r="N770">
        <v>0</v>
      </c>
      <c r="O770" t="s">
        <v>22</v>
      </c>
      <c r="P770">
        <v>20230331</v>
      </c>
      <c r="Q770">
        <v>20230331</v>
      </c>
    </row>
    <row r="771" spans="1:17" x14ac:dyDescent="0.25">
      <c r="A771" t="s">
        <v>476</v>
      </c>
      <c r="B771" t="s">
        <v>477</v>
      </c>
      <c r="C771">
        <v>117</v>
      </c>
      <c r="D771">
        <v>20230331</v>
      </c>
      <c r="E771">
        <f t="shared" ref="E771:E834" si="12">VALUE(MID(D771,5,2))</f>
        <v>3</v>
      </c>
      <c r="F771">
        <v>401000</v>
      </c>
      <c r="G771" t="s">
        <v>41</v>
      </c>
      <c r="H771" t="s">
        <v>44</v>
      </c>
      <c r="I771" t="s">
        <v>45</v>
      </c>
      <c r="J771" t="s">
        <v>5423</v>
      </c>
      <c r="K771">
        <v>20230331</v>
      </c>
      <c r="L771" t="s">
        <v>4767</v>
      </c>
      <c r="M771">
        <v>56.7</v>
      </c>
      <c r="N771">
        <v>0</v>
      </c>
      <c r="O771" t="s">
        <v>22</v>
      </c>
      <c r="P771">
        <v>20230331</v>
      </c>
      <c r="Q771">
        <v>20230331</v>
      </c>
    </row>
    <row r="772" spans="1:17" x14ac:dyDescent="0.25">
      <c r="A772" t="s">
        <v>476</v>
      </c>
      <c r="B772" t="s">
        <v>477</v>
      </c>
      <c r="C772">
        <v>117</v>
      </c>
      <c r="D772">
        <v>20230331</v>
      </c>
      <c r="E772">
        <f t="shared" si="12"/>
        <v>3</v>
      </c>
      <c r="F772">
        <v>401000</v>
      </c>
      <c r="G772" t="s">
        <v>41</v>
      </c>
      <c r="H772" t="s">
        <v>71</v>
      </c>
      <c r="I772" t="s">
        <v>72</v>
      </c>
      <c r="J772" t="s">
        <v>5423</v>
      </c>
      <c r="K772">
        <v>20230331</v>
      </c>
      <c r="L772" t="s">
        <v>4767</v>
      </c>
      <c r="M772">
        <v>401.12</v>
      </c>
      <c r="N772">
        <v>0</v>
      </c>
      <c r="O772" t="s">
        <v>22</v>
      </c>
      <c r="P772">
        <v>20230331</v>
      </c>
      <c r="Q772">
        <v>20230331</v>
      </c>
    </row>
    <row r="773" spans="1:17" x14ac:dyDescent="0.25">
      <c r="A773" t="s">
        <v>476</v>
      </c>
      <c r="B773" t="s">
        <v>477</v>
      </c>
      <c r="C773">
        <v>117</v>
      </c>
      <c r="D773">
        <v>20230331</v>
      </c>
      <c r="E773">
        <f t="shared" si="12"/>
        <v>3</v>
      </c>
      <c r="F773">
        <v>401000</v>
      </c>
      <c r="G773" t="s">
        <v>41</v>
      </c>
      <c r="H773" t="s">
        <v>97</v>
      </c>
      <c r="I773" t="s">
        <v>98</v>
      </c>
      <c r="J773" t="s">
        <v>5423</v>
      </c>
      <c r="K773">
        <v>20230331</v>
      </c>
      <c r="L773" t="s">
        <v>4767</v>
      </c>
      <c r="M773">
        <v>343.02</v>
      </c>
      <c r="N773">
        <v>0</v>
      </c>
      <c r="O773" t="s">
        <v>22</v>
      </c>
      <c r="P773">
        <v>20230331</v>
      </c>
      <c r="Q773">
        <v>20230331</v>
      </c>
    </row>
    <row r="774" spans="1:17" x14ac:dyDescent="0.25">
      <c r="A774" t="s">
        <v>476</v>
      </c>
      <c r="B774" t="s">
        <v>477</v>
      </c>
      <c r="C774">
        <v>117</v>
      </c>
      <c r="D774">
        <v>20230331</v>
      </c>
      <c r="E774">
        <f t="shared" si="12"/>
        <v>3</v>
      </c>
      <c r="F774">
        <v>401000</v>
      </c>
      <c r="G774" t="s">
        <v>41</v>
      </c>
      <c r="H774" t="s">
        <v>452</v>
      </c>
      <c r="I774" t="s">
        <v>453</v>
      </c>
      <c r="J774" t="s">
        <v>5423</v>
      </c>
      <c r="K774">
        <v>20230331</v>
      </c>
      <c r="L774" t="s">
        <v>4767</v>
      </c>
      <c r="M774">
        <v>110</v>
      </c>
      <c r="N774">
        <v>0</v>
      </c>
      <c r="O774" t="s">
        <v>22</v>
      </c>
      <c r="P774">
        <v>20230331</v>
      </c>
      <c r="Q774">
        <v>20230331</v>
      </c>
    </row>
    <row r="775" spans="1:17" x14ac:dyDescent="0.25">
      <c r="A775" t="s">
        <v>476</v>
      </c>
      <c r="B775" t="s">
        <v>477</v>
      </c>
      <c r="C775">
        <v>117</v>
      </c>
      <c r="D775">
        <v>20230331</v>
      </c>
      <c r="E775">
        <f t="shared" si="12"/>
        <v>3</v>
      </c>
      <c r="F775">
        <v>401000</v>
      </c>
      <c r="G775" t="s">
        <v>41</v>
      </c>
      <c r="H775" t="s">
        <v>472</v>
      </c>
      <c r="I775" t="s">
        <v>473</v>
      </c>
      <c r="J775" t="s">
        <v>5423</v>
      </c>
      <c r="K775">
        <v>20230331</v>
      </c>
      <c r="L775" t="s">
        <v>4767</v>
      </c>
      <c r="M775">
        <v>350</v>
      </c>
      <c r="N775">
        <v>0</v>
      </c>
      <c r="O775" t="s">
        <v>22</v>
      </c>
      <c r="P775">
        <v>20230331</v>
      </c>
      <c r="Q775">
        <v>20230331</v>
      </c>
    </row>
    <row r="776" spans="1:17" x14ac:dyDescent="0.25">
      <c r="A776" t="s">
        <v>476</v>
      </c>
      <c r="B776" t="s">
        <v>477</v>
      </c>
      <c r="C776">
        <v>117</v>
      </c>
      <c r="D776">
        <v>20230331</v>
      </c>
      <c r="E776">
        <f t="shared" si="12"/>
        <v>3</v>
      </c>
      <c r="F776">
        <v>401000</v>
      </c>
      <c r="G776" t="s">
        <v>41</v>
      </c>
      <c r="H776" t="s">
        <v>303</v>
      </c>
      <c r="I776" t="s">
        <v>304</v>
      </c>
      <c r="J776" t="s">
        <v>5423</v>
      </c>
      <c r="K776">
        <v>20230331</v>
      </c>
      <c r="L776" t="s">
        <v>4767</v>
      </c>
      <c r="M776">
        <v>620</v>
      </c>
      <c r="N776">
        <v>0</v>
      </c>
      <c r="O776" t="s">
        <v>22</v>
      </c>
      <c r="P776">
        <v>20230331</v>
      </c>
      <c r="Q776">
        <v>20230331</v>
      </c>
    </row>
    <row r="777" spans="1:17" x14ac:dyDescent="0.25">
      <c r="A777" t="s">
        <v>476</v>
      </c>
      <c r="B777" t="s">
        <v>477</v>
      </c>
      <c r="C777">
        <v>117</v>
      </c>
      <c r="D777">
        <v>20230331</v>
      </c>
      <c r="E777">
        <f t="shared" si="12"/>
        <v>3</v>
      </c>
      <c r="F777">
        <v>467100</v>
      </c>
      <c r="G777" t="s">
        <v>160</v>
      </c>
      <c r="H777" t="s">
        <v>316</v>
      </c>
      <c r="I777" t="s">
        <v>317</v>
      </c>
      <c r="J777" t="s">
        <v>5423</v>
      </c>
      <c r="K777">
        <v>20230331</v>
      </c>
      <c r="L777" t="s">
        <v>4767</v>
      </c>
      <c r="M777">
        <v>26.89</v>
      </c>
      <c r="N777">
        <v>0</v>
      </c>
      <c r="O777" t="s">
        <v>22</v>
      </c>
      <c r="P777">
        <v>20230331</v>
      </c>
      <c r="Q777">
        <v>20230331</v>
      </c>
    </row>
    <row r="778" spans="1:17" x14ac:dyDescent="0.25">
      <c r="A778" t="s">
        <v>476</v>
      </c>
      <c r="B778" t="s">
        <v>477</v>
      </c>
      <c r="C778">
        <v>117</v>
      </c>
      <c r="D778">
        <v>20230331</v>
      </c>
      <c r="E778">
        <f t="shared" si="12"/>
        <v>3</v>
      </c>
      <c r="F778">
        <v>467100</v>
      </c>
      <c r="G778" t="s">
        <v>160</v>
      </c>
      <c r="H778" t="s">
        <v>2232</v>
      </c>
      <c r="I778" t="s">
        <v>2233</v>
      </c>
      <c r="J778" t="s">
        <v>5423</v>
      </c>
      <c r="K778">
        <v>20230331</v>
      </c>
      <c r="L778" t="s">
        <v>4767</v>
      </c>
      <c r="M778">
        <v>114.27</v>
      </c>
      <c r="N778">
        <v>0</v>
      </c>
      <c r="O778" t="s">
        <v>22</v>
      </c>
      <c r="P778">
        <v>20230331</v>
      </c>
      <c r="Q778">
        <v>20230331</v>
      </c>
    </row>
    <row r="779" spans="1:17" x14ac:dyDescent="0.25">
      <c r="A779" t="s">
        <v>476</v>
      </c>
      <c r="B779" t="s">
        <v>477</v>
      </c>
      <c r="C779">
        <v>117</v>
      </c>
      <c r="D779">
        <v>20230331</v>
      </c>
      <c r="E779">
        <f t="shared" si="12"/>
        <v>3</v>
      </c>
      <c r="F779">
        <v>512000</v>
      </c>
      <c r="G779" t="s">
        <v>428</v>
      </c>
      <c r="H779" t="s">
        <v>401</v>
      </c>
      <c r="I779" t="s">
        <v>402</v>
      </c>
      <c r="J779" t="s">
        <v>5423</v>
      </c>
      <c r="K779">
        <v>20230331</v>
      </c>
      <c r="L779" t="s">
        <v>4767</v>
      </c>
      <c r="M779">
        <v>0</v>
      </c>
      <c r="N779">
        <v>2296.04</v>
      </c>
      <c r="O779" t="s">
        <v>19</v>
      </c>
      <c r="P779" t="s">
        <v>20</v>
      </c>
      <c r="Q779">
        <v>20230331</v>
      </c>
    </row>
    <row r="780" spans="1:17" x14ac:dyDescent="0.25">
      <c r="A780" t="s">
        <v>548</v>
      </c>
      <c r="B780" t="s">
        <v>429</v>
      </c>
      <c r="C780">
        <v>118</v>
      </c>
      <c r="D780">
        <v>20230301</v>
      </c>
      <c r="E780">
        <f t="shared" si="12"/>
        <v>3</v>
      </c>
      <c r="F780">
        <v>467100</v>
      </c>
      <c r="G780" t="s">
        <v>160</v>
      </c>
      <c r="H780" t="s">
        <v>172</v>
      </c>
      <c r="I780" t="s">
        <v>173</v>
      </c>
      <c r="J780" t="s">
        <v>5424</v>
      </c>
      <c r="K780">
        <v>20230301</v>
      </c>
      <c r="L780" t="s">
        <v>3310</v>
      </c>
      <c r="M780">
        <v>100</v>
      </c>
      <c r="N780">
        <v>0</v>
      </c>
      <c r="O780" t="s">
        <v>19</v>
      </c>
      <c r="P780" t="s">
        <v>20</v>
      </c>
      <c r="Q780">
        <v>20230301</v>
      </c>
    </row>
    <row r="781" spans="1:17" x14ac:dyDescent="0.25">
      <c r="A781" t="s">
        <v>548</v>
      </c>
      <c r="B781" t="s">
        <v>429</v>
      </c>
      <c r="C781">
        <v>118</v>
      </c>
      <c r="D781">
        <v>20230301</v>
      </c>
      <c r="E781">
        <f t="shared" si="12"/>
        <v>3</v>
      </c>
      <c r="F781">
        <v>531105</v>
      </c>
      <c r="G781" t="s">
        <v>429</v>
      </c>
      <c r="H781" t="s">
        <v>401</v>
      </c>
      <c r="I781" t="s">
        <v>402</v>
      </c>
      <c r="J781" t="s">
        <v>5424</v>
      </c>
      <c r="K781">
        <v>20230301</v>
      </c>
      <c r="L781" t="s">
        <v>3310</v>
      </c>
      <c r="M781">
        <v>0</v>
      </c>
      <c r="N781">
        <v>100</v>
      </c>
      <c r="O781" t="s">
        <v>19</v>
      </c>
      <c r="P781" t="s">
        <v>20</v>
      </c>
      <c r="Q781">
        <v>20230301</v>
      </c>
    </row>
    <row r="782" spans="1:17" x14ac:dyDescent="0.25">
      <c r="A782" t="s">
        <v>548</v>
      </c>
      <c r="B782" t="s">
        <v>429</v>
      </c>
      <c r="C782">
        <v>118</v>
      </c>
      <c r="D782">
        <v>20230301</v>
      </c>
      <c r="E782">
        <f t="shared" si="12"/>
        <v>3</v>
      </c>
      <c r="F782">
        <v>467100</v>
      </c>
      <c r="G782" t="s">
        <v>160</v>
      </c>
      <c r="H782" t="s">
        <v>4958</v>
      </c>
      <c r="I782" t="s">
        <v>4959</v>
      </c>
      <c r="J782" t="s">
        <v>5425</v>
      </c>
      <c r="K782">
        <v>20230301</v>
      </c>
      <c r="L782" t="s">
        <v>5097</v>
      </c>
      <c r="M782">
        <v>0</v>
      </c>
      <c r="N782">
        <v>0.12</v>
      </c>
      <c r="O782" t="s">
        <v>23</v>
      </c>
      <c r="P782">
        <v>20230308</v>
      </c>
      <c r="Q782">
        <v>20230301</v>
      </c>
    </row>
    <row r="783" spans="1:17" x14ac:dyDescent="0.25">
      <c r="A783" t="s">
        <v>548</v>
      </c>
      <c r="B783" t="s">
        <v>429</v>
      </c>
      <c r="C783">
        <v>118</v>
      </c>
      <c r="D783">
        <v>20230301</v>
      </c>
      <c r="E783">
        <f t="shared" si="12"/>
        <v>3</v>
      </c>
      <c r="F783">
        <v>467100</v>
      </c>
      <c r="G783" t="s">
        <v>160</v>
      </c>
      <c r="H783" t="s">
        <v>4958</v>
      </c>
      <c r="I783" t="s">
        <v>4959</v>
      </c>
      <c r="J783" t="s">
        <v>5426</v>
      </c>
      <c r="K783">
        <v>20230301</v>
      </c>
      <c r="L783" t="s">
        <v>5427</v>
      </c>
      <c r="M783">
        <v>0</v>
      </c>
      <c r="N783">
        <v>8.02</v>
      </c>
      <c r="O783" t="s">
        <v>23</v>
      </c>
      <c r="P783">
        <v>20230308</v>
      </c>
      <c r="Q783">
        <v>20230301</v>
      </c>
    </row>
    <row r="784" spans="1:17" x14ac:dyDescent="0.25">
      <c r="A784" t="s">
        <v>548</v>
      </c>
      <c r="B784" t="s">
        <v>429</v>
      </c>
      <c r="C784">
        <v>118</v>
      </c>
      <c r="D784">
        <v>20230301</v>
      </c>
      <c r="E784">
        <f t="shared" si="12"/>
        <v>3</v>
      </c>
      <c r="F784">
        <v>531105</v>
      </c>
      <c r="G784" t="s">
        <v>429</v>
      </c>
      <c r="H784" t="s">
        <v>401</v>
      </c>
      <c r="I784" t="s">
        <v>402</v>
      </c>
      <c r="J784" t="s">
        <v>5425</v>
      </c>
      <c r="K784">
        <v>20230301</v>
      </c>
      <c r="L784" t="s">
        <v>5097</v>
      </c>
      <c r="M784">
        <v>8.02</v>
      </c>
      <c r="N784">
        <v>0</v>
      </c>
      <c r="O784" t="s">
        <v>19</v>
      </c>
      <c r="P784" t="s">
        <v>20</v>
      </c>
      <c r="Q784">
        <v>20230301</v>
      </c>
    </row>
    <row r="785" spans="1:17" x14ac:dyDescent="0.25">
      <c r="A785" t="s">
        <v>548</v>
      </c>
      <c r="B785" t="s">
        <v>429</v>
      </c>
      <c r="C785">
        <v>118</v>
      </c>
      <c r="D785">
        <v>20230301</v>
      </c>
      <c r="E785">
        <f t="shared" si="12"/>
        <v>3</v>
      </c>
      <c r="F785">
        <v>531105</v>
      </c>
      <c r="G785" t="s">
        <v>429</v>
      </c>
      <c r="H785" t="s">
        <v>401</v>
      </c>
      <c r="I785" t="s">
        <v>402</v>
      </c>
      <c r="J785" t="s">
        <v>5425</v>
      </c>
      <c r="K785">
        <v>20230301</v>
      </c>
      <c r="L785" t="s">
        <v>5097</v>
      </c>
      <c r="M785">
        <v>0.12</v>
      </c>
      <c r="N785">
        <v>0</v>
      </c>
      <c r="O785" t="s">
        <v>19</v>
      </c>
      <c r="P785" t="s">
        <v>20</v>
      </c>
      <c r="Q785">
        <v>20230301</v>
      </c>
    </row>
    <row r="786" spans="1:17" x14ac:dyDescent="0.25">
      <c r="A786" t="s">
        <v>548</v>
      </c>
      <c r="B786" t="s">
        <v>429</v>
      </c>
      <c r="C786">
        <v>118</v>
      </c>
      <c r="D786">
        <v>20230301</v>
      </c>
      <c r="E786">
        <f t="shared" si="12"/>
        <v>3</v>
      </c>
      <c r="F786">
        <v>411100</v>
      </c>
      <c r="G786" t="s">
        <v>18</v>
      </c>
      <c r="H786" t="s">
        <v>3658</v>
      </c>
      <c r="I786" t="s">
        <v>3659</v>
      </c>
      <c r="J786">
        <v>123020158</v>
      </c>
      <c r="K786">
        <v>20230301</v>
      </c>
      <c r="L786" t="s">
        <v>5428</v>
      </c>
      <c r="M786">
        <v>0</v>
      </c>
      <c r="N786">
        <v>19.2</v>
      </c>
      <c r="O786" t="s">
        <v>19</v>
      </c>
      <c r="P786" t="s">
        <v>20</v>
      </c>
      <c r="Q786">
        <v>20230301</v>
      </c>
    </row>
    <row r="787" spans="1:17" x14ac:dyDescent="0.25">
      <c r="A787" t="s">
        <v>548</v>
      </c>
      <c r="B787" t="s">
        <v>429</v>
      </c>
      <c r="C787">
        <v>118</v>
      </c>
      <c r="D787">
        <v>20230301</v>
      </c>
      <c r="E787">
        <f t="shared" si="12"/>
        <v>3</v>
      </c>
      <c r="F787">
        <v>411100</v>
      </c>
      <c r="G787" t="s">
        <v>18</v>
      </c>
      <c r="H787" t="s">
        <v>3658</v>
      </c>
      <c r="I787" t="s">
        <v>3659</v>
      </c>
      <c r="J787">
        <v>123020158</v>
      </c>
      <c r="K787">
        <v>20230301</v>
      </c>
      <c r="L787" t="s">
        <v>5429</v>
      </c>
      <c r="M787">
        <v>0</v>
      </c>
      <c r="N787">
        <v>0.8</v>
      </c>
      <c r="O787" t="s">
        <v>19</v>
      </c>
      <c r="P787" t="s">
        <v>20</v>
      </c>
      <c r="Q787">
        <v>20230301</v>
      </c>
    </row>
    <row r="788" spans="1:17" x14ac:dyDescent="0.25">
      <c r="A788" t="s">
        <v>548</v>
      </c>
      <c r="B788" t="s">
        <v>429</v>
      </c>
      <c r="C788">
        <v>118</v>
      </c>
      <c r="D788">
        <v>20230301</v>
      </c>
      <c r="E788">
        <f t="shared" si="12"/>
        <v>3</v>
      </c>
      <c r="F788">
        <v>411100</v>
      </c>
      <c r="G788" t="s">
        <v>18</v>
      </c>
      <c r="H788" t="s">
        <v>3865</v>
      </c>
      <c r="I788" t="s">
        <v>3866</v>
      </c>
      <c r="J788">
        <v>367462</v>
      </c>
      <c r="K788">
        <v>20230301</v>
      </c>
      <c r="L788" t="s">
        <v>5430</v>
      </c>
      <c r="M788">
        <v>0</v>
      </c>
      <c r="N788">
        <v>42</v>
      </c>
      <c r="O788" t="s">
        <v>19</v>
      </c>
      <c r="P788" t="s">
        <v>20</v>
      </c>
      <c r="Q788">
        <v>20230301</v>
      </c>
    </row>
    <row r="789" spans="1:17" x14ac:dyDescent="0.25">
      <c r="A789" t="s">
        <v>548</v>
      </c>
      <c r="B789" t="s">
        <v>429</v>
      </c>
      <c r="C789">
        <v>118</v>
      </c>
      <c r="D789">
        <v>20230301</v>
      </c>
      <c r="E789">
        <f t="shared" si="12"/>
        <v>3</v>
      </c>
      <c r="F789">
        <v>411100</v>
      </c>
      <c r="G789" t="s">
        <v>18</v>
      </c>
      <c r="H789" t="s">
        <v>5398</v>
      </c>
      <c r="I789" t="s">
        <v>5399</v>
      </c>
      <c r="J789">
        <v>367463</v>
      </c>
      <c r="K789">
        <v>20230301</v>
      </c>
      <c r="L789" t="s">
        <v>5431</v>
      </c>
      <c r="M789">
        <v>0</v>
      </c>
      <c r="N789">
        <v>46</v>
      </c>
      <c r="O789" t="s">
        <v>19</v>
      </c>
      <c r="P789" t="s">
        <v>20</v>
      </c>
      <c r="Q789">
        <v>20230301</v>
      </c>
    </row>
    <row r="790" spans="1:17" x14ac:dyDescent="0.25">
      <c r="A790" t="s">
        <v>548</v>
      </c>
      <c r="B790" t="s">
        <v>429</v>
      </c>
      <c r="C790">
        <v>118</v>
      </c>
      <c r="D790">
        <v>20230301</v>
      </c>
      <c r="E790">
        <f t="shared" si="12"/>
        <v>3</v>
      </c>
      <c r="F790">
        <v>411100</v>
      </c>
      <c r="G790" t="s">
        <v>18</v>
      </c>
      <c r="H790" t="s">
        <v>599</v>
      </c>
      <c r="I790" t="s">
        <v>600</v>
      </c>
      <c r="J790">
        <v>367464</v>
      </c>
      <c r="K790">
        <v>20230301</v>
      </c>
      <c r="L790" t="s">
        <v>5432</v>
      </c>
      <c r="M790">
        <v>0</v>
      </c>
      <c r="N790">
        <v>57</v>
      </c>
      <c r="O790" t="s">
        <v>19</v>
      </c>
      <c r="P790" t="s">
        <v>20</v>
      </c>
      <c r="Q790">
        <v>20230301</v>
      </c>
    </row>
    <row r="791" spans="1:17" x14ac:dyDescent="0.25">
      <c r="A791" t="s">
        <v>548</v>
      </c>
      <c r="B791" t="s">
        <v>429</v>
      </c>
      <c r="C791">
        <v>118</v>
      </c>
      <c r="D791">
        <v>20230301</v>
      </c>
      <c r="E791">
        <f t="shared" si="12"/>
        <v>3</v>
      </c>
      <c r="F791">
        <v>411100</v>
      </c>
      <c r="G791" t="s">
        <v>18</v>
      </c>
      <c r="H791" t="s">
        <v>1178</v>
      </c>
      <c r="I791" t="s">
        <v>1179</v>
      </c>
      <c r="J791">
        <v>367465</v>
      </c>
      <c r="K791">
        <v>20230301</v>
      </c>
      <c r="L791" t="s">
        <v>5433</v>
      </c>
      <c r="M791">
        <v>0</v>
      </c>
      <c r="N791">
        <v>49</v>
      </c>
      <c r="O791" t="s">
        <v>19</v>
      </c>
      <c r="P791" t="s">
        <v>20</v>
      </c>
      <c r="Q791">
        <v>20230301</v>
      </c>
    </row>
    <row r="792" spans="1:17" x14ac:dyDescent="0.25">
      <c r="A792" t="s">
        <v>548</v>
      </c>
      <c r="B792" t="s">
        <v>429</v>
      </c>
      <c r="C792">
        <v>118</v>
      </c>
      <c r="D792">
        <v>20230301</v>
      </c>
      <c r="E792">
        <f t="shared" si="12"/>
        <v>3</v>
      </c>
      <c r="F792">
        <v>411000</v>
      </c>
      <c r="G792" t="s">
        <v>21</v>
      </c>
      <c r="H792" t="s">
        <v>271</v>
      </c>
      <c r="I792" t="s">
        <v>272</v>
      </c>
      <c r="J792">
        <v>367466</v>
      </c>
      <c r="K792">
        <v>20230301</v>
      </c>
      <c r="L792" t="s">
        <v>5434</v>
      </c>
      <c r="M792">
        <v>0</v>
      </c>
      <c r="N792">
        <v>21</v>
      </c>
      <c r="O792" t="s">
        <v>19</v>
      </c>
      <c r="P792" t="s">
        <v>20</v>
      </c>
      <c r="Q792">
        <v>20230301</v>
      </c>
    </row>
    <row r="793" spans="1:17" x14ac:dyDescent="0.25">
      <c r="A793" t="s">
        <v>548</v>
      </c>
      <c r="B793" t="s">
        <v>429</v>
      </c>
      <c r="C793">
        <v>118</v>
      </c>
      <c r="D793">
        <v>20230301</v>
      </c>
      <c r="E793">
        <f t="shared" si="12"/>
        <v>3</v>
      </c>
      <c r="F793">
        <v>411100</v>
      </c>
      <c r="G793" t="s">
        <v>18</v>
      </c>
      <c r="H793" t="s">
        <v>3569</v>
      </c>
      <c r="I793" t="s">
        <v>3570</v>
      </c>
      <c r="J793">
        <v>367467</v>
      </c>
      <c r="K793">
        <v>20230301</v>
      </c>
      <c r="L793" t="s">
        <v>5435</v>
      </c>
      <c r="M793">
        <v>0</v>
      </c>
      <c r="N793">
        <v>9</v>
      </c>
      <c r="O793" t="s">
        <v>19</v>
      </c>
      <c r="P793" t="s">
        <v>20</v>
      </c>
      <c r="Q793">
        <v>20230301</v>
      </c>
    </row>
    <row r="794" spans="1:17" x14ac:dyDescent="0.25">
      <c r="A794" t="s">
        <v>548</v>
      </c>
      <c r="B794" t="s">
        <v>429</v>
      </c>
      <c r="C794">
        <v>118</v>
      </c>
      <c r="D794">
        <v>20230301</v>
      </c>
      <c r="E794">
        <f t="shared" si="12"/>
        <v>3</v>
      </c>
      <c r="F794">
        <v>411100</v>
      </c>
      <c r="G794" t="s">
        <v>18</v>
      </c>
      <c r="H794" t="s">
        <v>4064</v>
      </c>
      <c r="I794" t="s">
        <v>4065</v>
      </c>
      <c r="J794">
        <v>367468</v>
      </c>
      <c r="K794">
        <v>20230301</v>
      </c>
      <c r="L794" t="s">
        <v>5436</v>
      </c>
      <c r="M794">
        <v>0</v>
      </c>
      <c r="N794">
        <v>18</v>
      </c>
      <c r="O794" t="s">
        <v>19</v>
      </c>
      <c r="P794" t="s">
        <v>20</v>
      </c>
      <c r="Q794">
        <v>20230301</v>
      </c>
    </row>
    <row r="795" spans="1:17" x14ac:dyDescent="0.25">
      <c r="A795" t="s">
        <v>548</v>
      </c>
      <c r="B795" t="s">
        <v>429</v>
      </c>
      <c r="C795">
        <v>118</v>
      </c>
      <c r="D795">
        <v>20230301</v>
      </c>
      <c r="E795">
        <f t="shared" si="12"/>
        <v>3</v>
      </c>
      <c r="F795">
        <v>411100</v>
      </c>
      <c r="G795" t="s">
        <v>18</v>
      </c>
      <c r="H795" t="s">
        <v>291</v>
      </c>
      <c r="I795" t="s">
        <v>292</v>
      </c>
      <c r="J795">
        <v>367469</v>
      </c>
      <c r="K795">
        <v>20230301</v>
      </c>
      <c r="L795" t="s">
        <v>5437</v>
      </c>
      <c r="M795">
        <v>0</v>
      </c>
      <c r="N795">
        <v>54</v>
      </c>
      <c r="O795" t="s">
        <v>19</v>
      </c>
      <c r="P795" t="s">
        <v>20</v>
      </c>
      <c r="Q795">
        <v>20230301</v>
      </c>
    </row>
    <row r="796" spans="1:17" x14ac:dyDescent="0.25">
      <c r="A796" t="s">
        <v>548</v>
      </c>
      <c r="B796" t="s">
        <v>429</v>
      </c>
      <c r="C796">
        <v>118</v>
      </c>
      <c r="D796">
        <v>20230301</v>
      </c>
      <c r="E796">
        <f t="shared" si="12"/>
        <v>3</v>
      </c>
      <c r="F796">
        <v>531105</v>
      </c>
      <c r="G796" t="s">
        <v>429</v>
      </c>
      <c r="H796" t="s">
        <v>401</v>
      </c>
      <c r="I796" t="s">
        <v>402</v>
      </c>
      <c r="J796">
        <v>367470</v>
      </c>
      <c r="K796">
        <v>20230301</v>
      </c>
      <c r="L796" t="s">
        <v>565</v>
      </c>
      <c r="M796">
        <v>316</v>
      </c>
      <c r="N796">
        <v>0</v>
      </c>
      <c r="O796" t="s">
        <v>19</v>
      </c>
      <c r="P796" t="s">
        <v>20</v>
      </c>
      <c r="Q796">
        <v>20230301</v>
      </c>
    </row>
    <row r="797" spans="1:17" x14ac:dyDescent="0.25">
      <c r="A797" t="s">
        <v>548</v>
      </c>
      <c r="B797" t="s">
        <v>429</v>
      </c>
      <c r="C797">
        <v>118</v>
      </c>
      <c r="D797">
        <v>20230301</v>
      </c>
      <c r="E797">
        <f t="shared" si="12"/>
        <v>3</v>
      </c>
      <c r="F797">
        <v>411020</v>
      </c>
      <c r="G797" t="s">
        <v>30</v>
      </c>
      <c r="H797" t="s">
        <v>324</v>
      </c>
      <c r="I797" t="s">
        <v>325</v>
      </c>
      <c r="J797">
        <v>323010003</v>
      </c>
      <c r="K797">
        <v>20230301</v>
      </c>
      <c r="L797" t="s">
        <v>5438</v>
      </c>
      <c r="M797">
        <v>0</v>
      </c>
      <c r="N797">
        <v>200</v>
      </c>
      <c r="O797" t="s">
        <v>19</v>
      </c>
      <c r="P797" t="s">
        <v>20</v>
      </c>
      <c r="Q797">
        <v>20230301</v>
      </c>
    </row>
    <row r="798" spans="1:17" x14ac:dyDescent="0.25">
      <c r="A798" t="s">
        <v>548</v>
      </c>
      <c r="B798" t="s">
        <v>429</v>
      </c>
      <c r="C798">
        <v>118</v>
      </c>
      <c r="D798">
        <v>20230301</v>
      </c>
      <c r="E798">
        <f t="shared" si="12"/>
        <v>3</v>
      </c>
      <c r="F798">
        <v>531105</v>
      </c>
      <c r="G798" t="s">
        <v>429</v>
      </c>
      <c r="H798" t="s">
        <v>401</v>
      </c>
      <c r="I798" t="s">
        <v>402</v>
      </c>
      <c r="J798">
        <v>367561</v>
      </c>
      <c r="K798">
        <v>20230301</v>
      </c>
      <c r="L798" t="s">
        <v>565</v>
      </c>
      <c r="M798">
        <v>200</v>
      </c>
      <c r="N798">
        <v>0</v>
      </c>
      <c r="O798" t="s">
        <v>19</v>
      </c>
      <c r="P798" t="s">
        <v>20</v>
      </c>
      <c r="Q798">
        <v>20230301</v>
      </c>
    </row>
    <row r="799" spans="1:17" x14ac:dyDescent="0.25">
      <c r="A799" t="s">
        <v>548</v>
      </c>
      <c r="B799" t="s">
        <v>429</v>
      </c>
      <c r="C799">
        <v>118</v>
      </c>
      <c r="D799">
        <v>20230302</v>
      </c>
      <c r="E799">
        <f t="shared" si="12"/>
        <v>3</v>
      </c>
      <c r="F799">
        <v>467100</v>
      </c>
      <c r="G799" t="s">
        <v>160</v>
      </c>
      <c r="H799" t="s">
        <v>4958</v>
      </c>
      <c r="I799" t="s">
        <v>4959</v>
      </c>
      <c r="J799" t="s">
        <v>5439</v>
      </c>
      <c r="K799">
        <v>20230302</v>
      </c>
      <c r="L799" t="s">
        <v>5440</v>
      </c>
      <c r="M799">
        <v>0</v>
      </c>
      <c r="N799">
        <v>120</v>
      </c>
      <c r="O799" t="s">
        <v>23</v>
      </c>
      <c r="P799">
        <v>20230308</v>
      </c>
      <c r="Q799">
        <v>20230302</v>
      </c>
    </row>
    <row r="800" spans="1:17" x14ac:dyDescent="0.25">
      <c r="A800" t="s">
        <v>548</v>
      </c>
      <c r="B800" t="s">
        <v>429</v>
      </c>
      <c r="C800">
        <v>118</v>
      </c>
      <c r="D800">
        <v>20230302</v>
      </c>
      <c r="E800">
        <f t="shared" si="12"/>
        <v>3</v>
      </c>
      <c r="F800">
        <v>531105</v>
      </c>
      <c r="G800" t="s">
        <v>429</v>
      </c>
      <c r="H800" t="s">
        <v>401</v>
      </c>
      <c r="I800" t="s">
        <v>402</v>
      </c>
      <c r="J800" t="s">
        <v>5439</v>
      </c>
      <c r="K800">
        <v>20230302</v>
      </c>
      <c r="L800" t="s">
        <v>5440</v>
      </c>
      <c r="M800">
        <v>120</v>
      </c>
      <c r="N800">
        <v>0</v>
      </c>
      <c r="O800" t="s">
        <v>19</v>
      </c>
      <c r="P800" t="s">
        <v>20</v>
      </c>
      <c r="Q800">
        <v>20230302</v>
      </c>
    </row>
    <row r="801" spans="1:17" x14ac:dyDescent="0.25">
      <c r="A801" t="s">
        <v>548</v>
      </c>
      <c r="B801" t="s">
        <v>429</v>
      </c>
      <c r="C801">
        <v>118</v>
      </c>
      <c r="D801">
        <v>20230302</v>
      </c>
      <c r="E801">
        <f t="shared" si="12"/>
        <v>3</v>
      </c>
      <c r="F801">
        <v>467100</v>
      </c>
      <c r="G801" t="s">
        <v>160</v>
      </c>
      <c r="H801" t="s">
        <v>4958</v>
      </c>
      <c r="I801" t="s">
        <v>4959</v>
      </c>
      <c r="J801" t="s">
        <v>5441</v>
      </c>
      <c r="K801">
        <v>20230302</v>
      </c>
      <c r="L801" t="s">
        <v>5442</v>
      </c>
      <c r="M801">
        <v>30</v>
      </c>
      <c r="N801">
        <v>0</v>
      </c>
      <c r="O801" t="s">
        <v>23</v>
      </c>
      <c r="P801">
        <v>20230308</v>
      </c>
      <c r="Q801">
        <v>20230302</v>
      </c>
    </row>
    <row r="802" spans="1:17" x14ac:dyDescent="0.25">
      <c r="A802" t="s">
        <v>548</v>
      </c>
      <c r="B802" t="s">
        <v>429</v>
      </c>
      <c r="C802">
        <v>118</v>
      </c>
      <c r="D802">
        <v>20230302</v>
      </c>
      <c r="E802">
        <f t="shared" si="12"/>
        <v>3</v>
      </c>
      <c r="F802">
        <v>531105</v>
      </c>
      <c r="G802" t="s">
        <v>429</v>
      </c>
      <c r="H802" t="s">
        <v>401</v>
      </c>
      <c r="I802" t="s">
        <v>402</v>
      </c>
      <c r="J802" t="s">
        <v>5441</v>
      </c>
      <c r="K802">
        <v>20230302</v>
      </c>
      <c r="L802" t="s">
        <v>5442</v>
      </c>
      <c r="M802">
        <v>0</v>
      </c>
      <c r="N802">
        <v>30</v>
      </c>
      <c r="O802" t="s">
        <v>19</v>
      </c>
      <c r="P802" t="s">
        <v>20</v>
      </c>
      <c r="Q802">
        <v>20230302</v>
      </c>
    </row>
    <row r="803" spans="1:17" x14ac:dyDescent="0.25">
      <c r="A803" t="s">
        <v>548</v>
      </c>
      <c r="B803" t="s">
        <v>429</v>
      </c>
      <c r="C803">
        <v>118</v>
      </c>
      <c r="D803">
        <v>20230302</v>
      </c>
      <c r="E803">
        <f t="shared" si="12"/>
        <v>3</v>
      </c>
      <c r="F803">
        <v>467100</v>
      </c>
      <c r="G803" t="s">
        <v>160</v>
      </c>
      <c r="H803" t="s">
        <v>1307</v>
      </c>
      <c r="I803" t="s">
        <v>1308</v>
      </c>
      <c r="J803" t="s">
        <v>5443</v>
      </c>
      <c r="K803">
        <v>20230302</v>
      </c>
      <c r="L803" t="s">
        <v>5444</v>
      </c>
      <c r="M803">
        <v>24.99</v>
      </c>
      <c r="N803">
        <v>0</v>
      </c>
      <c r="O803" t="s">
        <v>23</v>
      </c>
      <c r="P803">
        <v>20230314</v>
      </c>
      <c r="Q803">
        <v>20230302</v>
      </c>
    </row>
    <row r="804" spans="1:17" x14ac:dyDescent="0.25">
      <c r="A804" t="s">
        <v>548</v>
      </c>
      <c r="B804" t="s">
        <v>429</v>
      </c>
      <c r="C804">
        <v>118</v>
      </c>
      <c r="D804">
        <v>20230302</v>
      </c>
      <c r="E804">
        <f t="shared" si="12"/>
        <v>3</v>
      </c>
      <c r="F804">
        <v>531105</v>
      </c>
      <c r="G804" t="s">
        <v>429</v>
      </c>
      <c r="H804" t="s">
        <v>401</v>
      </c>
      <c r="I804" t="s">
        <v>402</v>
      </c>
      <c r="J804" t="s">
        <v>5443</v>
      </c>
      <c r="K804">
        <v>20230302</v>
      </c>
      <c r="L804" t="s">
        <v>5444</v>
      </c>
      <c r="M804">
        <v>0</v>
      </c>
      <c r="N804">
        <v>24.99</v>
      </c>
      <c r="O804" t="s">
        <v>19</v>
      </c>
      <c r="P804" t="s">
        <v>20</v>
      </c>
      <c r="Q804">
        <v>20230302</v>
      </c>
    </row>
    <row r="805" spans="1:17" x14ac:dyDescent="0.25">
      <c r="A805" t="s">
        <v>548</v>
      </c>
      <c r="B805" t="s">
        <v>429</v>
      </c>
      <c r="C805">
        <v>118</v>
      </c>
      <c r="D805">
        <v>20230302</v>
      </c>
      <c r="E805">
        <f t="shared" si="12"/>
        <v>3</v>
      </c>
      <c r="F805">
        <v>411100</v>
      </c>
      <c r="G805" t="s">
        <v>18</v>
      </c>
      <c r="H805" t="s">
        <v>77</v>
      </c>
      <c r="I805" t="s">
        <v>78</v>
      </c>
      <c r="J805">
        <v>367471</v>
      </c>
      <c r="K805">
        <v>20230302</v>
      </c>
      <c r="L805" t="s">
        <v>5445</v>
      </c>
      <c r="M805">
        <v>0</v>
      </c>
      <c r="N805">
        <v>94</v>
      </c>
      <c r="O805" t="s">
        <v>19</v>
      </c>
      <c r="P805" t="s">
        <v>20</v>
      </c>
      <c r="Q805">
        <v>20230302</v>
      </c>
    </row>
    <row r="806" spans="1:17" x14ac:dyDescent="0.25">
      <c r="A806" t="s">
        <v>548</v>
      </c>
      <c r="B806" t="s">
        <v>429</v>
      </c>
      <c r="C806">
        <v>118</v>
      </c>
      <c r="D806">
        <v>20230302</v>
      </c>
      <c r="E806">
        <f t="shared" si="12"/>
        <v>3</v>
      </c>
      <c r="F806">
        <v>411100</v>
      </c>
      <c r="G806" t="s">
        <v>18</v>
      </c>
      <c r="H806" t="s">
        <v>5396</v>
      </c>
      <c r="I806" t="s">
        <v>5397</v>
      </c>
      <c r="J806">
        <v>367472</v>
      </c>
      <c r="K806">
        <v>20230302</v>
      </c>
      <c r="L806" t="s">
        <v>5446</v>
      </c>
      <c r="M806">
        <v>0</v>
      </c>
      <c r="N806">
        <v>39</v>
      </c>
      <c r="O806" t="s">
        <v>19</v>
      </c>
      <c r="P806" t="s">
        <v>20</v>
      </c>
      <c r="Q806">
        <v>20230302</v>
      </c>
    </row>
    <row r="807" spans="1:17" x14ac:dyDescent="0.25">
      <c r="A807" t="s">
        <v>548</v>
      </c>
      <c r="B807" t="s">
        <v>429</v>
      </c>
      <c r="C807">
        <v>118</v>
      </c>
      <c r="D807">
        <v>20230302</v>
      </c>
      <c r="E807">
        <f t="shared" si="12"/>
        <v>3</v>
      </c>
      <c r="F807">
        <v>411100</v>
      </c>
      <c r="G807" t="s">
        <v>18</v>
      </c>
      <c r="H807" t="s">
        <v>2870</v>
      </c>
      <c r="I807" t="s">
        <v>2871</v>
      </c>
      <c r="J807">
        <v>367473</v>
      </c>
      <c r="K807">
        <v>20230302</v>
      </c>
      <c r="L807" t="s">
        <v>5447</v>
      </c>
      <c r="M807">
        <v>0</v>
      </c>
      <c r="N807">
        <v>51</v>
      </c>
      <c r="O807" t="s">
        <v>19</v>
      </c>
      <c r="P807" t="s">
        <v>20</v>
      </c>
      <c r="Q807">
        <v>20230302</v>
      </c>
    </row>
    <row r="808" spans="1:17" x14ac:dyDescent="0.25">
      <c r="A808" t="s">
        <v>548</v>
      </c>
      <c r="B808" t="s">
        <v>429</v>
      </c>
      <c r="C808">
        <v>118</v>
      </c>
      <c r="D808">
        <v>20230302</v>
      </c>
      <c r="E808">
        <f t="shared" si="12"/>
        <v>3</v>
      </c>
      <c r="F808">
        <v>411100</v>
      </c>
      <c r="G808" t="s">
        <v>18</v>
      </c>
      <c r="H808" t="s">
        <v>1417</v>
      </c>
      <c r="I808" t="s">
        <v>1418</v>
      </c>
      <c r="J808">
        <v>367474</v>
      </c>
      <c r="K808">
        <v>20230302</v>
      </c>
      <c r="L808" t="s">
        <v>5448</v>
      </c>
      <c r="M808">
        <v>0</v>
      </c>
      <c r="N808">
        <v>14</v>
      </c>
      <c r="O808" t="s">
        <v>23</v>
      </c>
      <c r="P808">
        <v>20230329</v>
      </c>
      <c r="Q808">
        <v>20230302</v>
      </c>
    </row>
    <row r="809" spans="1:17" x14ac:dyDescent="0.25">
      <c r="A809" t="s">
        <v>548</v>
      </c>
      <c r="B809" t="s">
        <v>429</v>
      </c>
      <c r="C809">
        <v>118</v>
      </c>
      <c r="D809">
        <v>20230302</v>
      </c>
      <c r="E809">
        <f t="shared" si="12"/>
        <v>3</v>
      </c>
      <c r="F809">
        <v>411100</v>
      </c>
      <c r="G809" t="s">
        <v>18</v>
      </c>
      <c r="H809" t="s">
        <v>2246</v>
      </c>
      <c r="I809" t="s">
        <v>2247</v>
      </c>
      <c r="J809">
        <v>367475</v>
      </c>
      <c r="K809">
        <v>20230302</v>
      </c>
      <c r="L809" t="s">
        <v>5449</v>
      </c>
      <c r="M809">
        <v>0</v>
      </c>
      <c r="N809">
        <v>15</v>
      </c>
      <c r="O809" t="s">
        <v>23</v>
      </c>
      <c r="P809">
        <v>20230329</v>
      </c>
      <c r="Q809">
        <v>20230302</v>
      </c>
    </row>
    <row r="810" spans="1:17" x14ac:dyDescent="0.25">
      <c r="A810" t="s">
        <v>548</v>
      </c>
      <c r="B810" t="s">
        <v>429</v>
      </c>
      <c r="C810">
        <v>118</v>
      </c>
      <c r="D810">
        <v>20230302</v>
      </c>
      <c r="E810">
        <f t="shared" si="12"/>
        <v>3</v>
      </c>
      <c r="F810">
        <v>531105</v>
      </c>
      <c r="G810" t="s">
        <v>429</v>
      </c>
      <c r="H810" t="s">
        <v>401</v>
      </c>
      <c r="I810" t="s">
        <v>402</v>
      </c>
      <c r="J810">
        <v>367476</v>
      </c>
      <c r="K810">
        <v>20230302</v>
      </c>
      <c r="L810" t="s">
        <v>565</v>
      </c>
      <c r="M810">
        <v>213</v>
      </c>
      <c r="N810">
        <v>0</v>
      </c>
      <c r="O810" t="s">
        <v>19</v>
      </c>
      <c r="P810" t="s">
        <v>20</v>
      </c>
      <c r="Q810">
        <v>20230302</v>
      </c>
    </row>
    <row r="811" spans="1:17" x14ac:dyDescent="0.25">
      <c r="A811" t="s">
        <v>548</v>
      </c>
      <c r="B811" t="s">
        <v>429</v>
      </c>
      <c r="C811">
        <v>118</v>
      </c>
      <c r="D811">
        <v>20230303</v>
      </c>
      <c r="E811">
        <f t="shared" si="12"/>
        <v>3</v>
      </c>
      <c r="F811">
        <v>467100</v>
      </c>
      <c r="G811" t="s">
        <v>160</v>
      </c>
      <c r="H811" t="s">
        <v>1305</v>
      </c>
      <c r="I811" t="s">
        <v>1306</v>
      </c>
      <c r="J811" t="s">
        <v>5450</v>
      </c>
      <c r="K811">
        <v>20230303</v>
      </c>
      <c r="L811" t="s">
        <v>5451</v>
      </c>
      <c r="M811">
        <v>15.69</v>
      </c>
      <c r="N811">
        <v>0</v>
      </c>
      <c r="O811" t="s">
        <v>23</v>
      </c>
      <c r="P811">
        <v>20230314</v>
      </c>
      <c r="Q811">
        <v>20230303</v>
      </c>
    </row>
    <row r="812" spans="1:17" x14ac:dyDescent="0.25">
      <c r="A812" t="s">
        <v>548</v>
      </c>
      <c r="B812" t="s">
        <v>429</v>
      </c>
      <c r="C812">
        <v>118</v>
      </c>
      <c r="D812">
        <v>20230303</v>
      </c>
      <c r="E812">
        <f t="shared" si="12"/>
        <v>3</v>
      </c>
      <c r="F812">
        <v>531105</v>
      </c>
      <c r="G812" t="s">
        <v>429</v>
      </c>
      <c r="H812" t="s">
        <v>401</v>
      </c>
      <c r="I812" t="s">
        <v>402</v>
      </c>
      <c r="J812" t="s">
        <v>5450</v>
      </c>
      <c r="K812">
        <v>20230303</v>
      </c>
      <c r="L812" t="s">
        <v>5451</v>
      </c>
      <c r="M812">
        <v>0</v>
      </c>
      <c r="N812">
        <v>15.69</v>
      </c>
      <c r="O812" t="s">
        <v>19</v>
      </c>
      <c r="P812" t="s">
        <v>20</v>
      </c>
      <c r="Q812">
        <v>20230303</v>
      </c>
    </row>
    <row r="813" spans="1:17" x14ac:dyDescent="0.25">
      <c r="A813" t="s">
        <v>548</v>
      </c>
      <c r="B813" t="s">
        <v>429</v>
      </c>
      <c r="C813">
        <v>118</v>
      </c>
      <c r="D813">
        <v>20230303</v>
      </c>
      <c r="E813">
        <f t="shared" si="12"/>
        <v>3</v>
      </c>
      <c r="F813">
        <v>467100</v>
      </c>
      <c r="G813" t="s">
        <v>160</v>
      </c>
      <c r="H813" t="s">
        <v>4958</v>
      </c>
      <c r="I813" t="s">
        <v>4959</v>
      </c>
      <c r="J813" t="s">
        <v>5452</v>
      </c>
      <c r="K813">
        <v>20230303</v>
      </c>
      <c r="L813" t="s">
        <v>5453</v>
      </c>
      <c r="M813">
        <v>0</v>
      </c>
      <c r="N813">
        <v>9.9</v>
      </c>
      <c r="O813" t="s">
        <v>23</v>
      </c>
      <c r="P813">
        <v>20230308</v>
      </c>
      <c r="Q813">
        <v>20230303</v>
      </c>
    </row>
    <row r="814" spans="1:17" x14ac:dyDescent="0.25">
      <c r="A814" t="s">
        <v>548</v>
      </c>
      <c r="B814" t="s">
        <v>429</v>
      </c>
      <c r="C814">
        <v>118</v>
      </c>
      <c r="D814">
        <v>20230303</v>
      </c>
      <c r="E814">
        <f t="shared" si="12"/>
        <v>3</v>
      </c>
      <c r="F814">
        <v>531105</v>
      </c>
      <c r="G814" t="s">
        <v>429</v>
      </c>
      <c r="H814" t="s">
        <v>401</v>
      </c>
      <c r="I814" t="s">
        <v>402</v>
      </c>
      <c r="J814" t="s">
        <v>5452</v>
      </c>
      <c r="K814">
        <v>20230303</v>
      </c>
      <c r="L814" t="s">
        <v>5453</v>
      </c>
      <c r="M814">
        <v>9.9</v>
      </c>
      <c r="N814">
        <v>0</v>
      </c>
      <c r="O814" t="s">
        <v>19</v>
      </c>
      <c r="P814" t="s">
        <v>20</v>
      </c>
      <c r="Q814">
        <v>20230303</v>
      </c>
    </row>
    <row r="815" spans="1:17" x14ac:dyDescent="0.25">
      <c r="A815" t="s">
        <v>548</v>
      </c>
      <c r="B815" t="s">
        <v>429</v>
      </c>
      <c r="C815">
        <v>118</v>
      </c>
      <c r="D815">
        <v>20230303</v>
      </c>
      <c r="E815">
        <f t="shared" si="12"/>
        <v>3</v>
      </c>
      <c r="F815">
        <v>411100</v>
      </c>
      <c r="G815" t="s">
        <v>18</v>
      </c>
      <c r="H815" t="s">
        <v>5279</v>
      </c>
      <c r="I815" t="s">
        <v>5280</v>
      </c>
      <c r="J815">
        <v>367477</v>
      </c>
      <c r="K815">
        <v>20230303</v>
      </c>
      <c r="L815" t="s">
        <v>5454</v>
      </c>
      <c r="M815">
        <v>0</v>
      </c>
      <c r="N815">
        <v>5</v>
      </c>
      <c r="O815" t="s">
        <v>19</v>
      </c>
      <c r="P815" t="s">
        <v>20</v>
      </c>
      <c r="Q815">
        <v>20230303</v>
      </c>
    </row>
    <row r="816" spans="1:17" x14ac:dyDescent="0.25">
      <c r="A816" t="s">
        <v>548</v>
      </c>
      <c r="B816" t="s">
        <v>429</v>
      </c>
      <c r="C816">
        <v>118</v>
      </c>
      <c r="D816">
        <v>20230303</v>
      </c>
      <c r="E816">
        <f t="shared" si="12"/>
        <v>3</v>
      </c>
      <c r="F816">
        <v>411100</v>
      </c>
      <c r="G816" t="s">
        <v>18</v>
      </c>
      <c r="H816" t="s">
        <v>3901</v>
      </c>
      <c r="I816" t="s">
        <v>3902</v>
      </c>
      <c r="J816">
        <v>367478</v>
      </c>
      <c r="K816">
        <v>20230303</v>
      </c>
      <c r="L816" t="s">
        <v>5455</v>
      </c>
      <c r="M816">
        <v>0</v>
      </c>
      <c r="N816">
        <v>5</v>
      </c>
      <c r="O816" t="s">
        <v>19</v>
      </c>
      <c r="P816" t="s">
        <v>20</v>
      </c>
      <c r="Q816">
        <v>20230303</v>
      </c>
    </row>
    <row r="817" spans="1:17" x14ac:dyDescent="0.25">
      <c r="A817" t="s">
        <v>548</v>
      </c>
      <c r="B817" t="s">
        <v>429</v>
      </c>
      <c r="C817">
        <v>118</v>
      </c>
      <c r="D817">
        <v>20230303</v>
      </c>
      <c r="E817">
        <f t="shared" si="12"/>
        <v>3</v>
      </c>
      <c r="F817">
        <v>411100</v>
      </c>
      <c r="G817" t="s">
        <v>18</v>
      </c>
      <c r="H817" t="s">
        <v>154</v>
      </c>
      <c r="I817" t="s">
        <v>155</v>
      </c>
      <c r="J817">
        <v>367479</v>
      </c>
      <c r="K817">
        <v>20230303</v>
      </c>
      <c r="L817" t="s">
        <v>5456</v>
      </c>
      <c r="M817">
        <v>0</v>
      </c>
      <c r="N817">
        <v>5</v>
      </c>
      <c r="O817" t="s">
        <v>19</v>
      </c>
      <c r="P817" t="s">
        <v>20</v>
      </c>
      <c r="Q817">
        <v>20230303</v>
      </c>
    </row>
    <row r="818" spans="1:17" x14ac:dyDescent="0.25">
      <c r="A818" t="s">
        <v>548</v>
      </c>
      <c r="B818" t="s">
        <v>429</v>
      </c>
      <c r="C818">
        <v>118</v>
      </c>
      <c r="D818">
        <v>20230303</v>
      </c>
      <c r="E818">
        <f t="shared" si="12"/>
        <v>3</v>
      </c>
      <c r="F818">
        <v>411100</v>
      </c>
      <c r="G818" t="s">
        <v>18</v>
      </c>
      <c r="H818" t="s">
        <v>81</v>
      </c>
      <c r="I818" t="s">
        <v>82</v>
      </c>
      <c r="J818">
        <v>367480</v>
      </c>
      <c r="K818">
        <v>20230303</v>
      </c>
      <c r="L818" t="s">
        <v>5457</v>
      </c>
      <c r="M818">
        <v>0</v>
      </c>
      <c r="N818">
        <v>5</v>
      </c>
      <c r="O818" t="s">
        <v>19</v>
      </c>
      <c r="P818" t="s">
        <v>20</v>
      </c>
      <c r="Q818">
        <v>20230303</v>
      </c>
    </row>
    <row r="819" spans="1:17" x14ac:dyDescent="0.25">
      <c r="A819" t="s">
        <v>548</v>
      </c>
      <c r="B819" t="s">
        <v>429</v>
      </c>
      <c r="C819">
        <v>118</v>
      </c>
      <c r="D819">
        <v>20230303</v>
      </c>
      <c r="E819">
        <f t="shared" si="12"/>
        <v>3</v>
      </c>
      <c r="F819">
        <v>411100</v>
      </c>
      <c r="G819" t="s">
        <v>18</v>
      </c>
      <c r="H819" t="s">
        <v>1911</v>
      </c>
      <c r="I819" t="s">
        <v>1912</v>
      </c>
      <c r="J819">
        <v>367481</v>
      </c>
      <c r="K819">
        <v>20230303</v>
      </c>
      <c r="L819" t="s">
        <v>5458</v>
      </c>
      <c r="M819">
        <v>0</v>
      </c>
      <c r="N819">
        <v>10</v>
      </c>
      <c r="O819" t="s">
        <v>19</v>
      </c>
      <c r="P819" t="s">
        <v>20</v>
      </c>
      <c r="Q819">
        <v>20230303</v>
      </c>
    </row>
    <row r="820" spans="1:17" x14ac:dyDescent="0.25">
      <c r="A820" t="s">
        <v>548</v>
      </c>
      <c r="B820" t="s">
        <v>429</v>
      </c>
      <c r="C820">
        <v>118</v>
      </c>
      <c r="D820">
        <v>20230303</v>
      </c>
      <c r="E820">
        <f t="shared" si="12"/>
        <v>3</v>
      </c>
      <c r="F820">
        <v>411100</v>
      </c>
      <c r="G820" t="s">
        <v>18</v>
      </c>
      <c r="H820" t="s">
        <v>85</v>
      </c>
      <c r="I820" t="s">
        <v>86</v>
      </c>
      <c r="J820">
        <v>367482</v>
      </c>
      <c r="K820">
        <v>20230303</v>
      </c>
      <c r="L820" t="s">
        <v>5459</v>
      </c>
      <c r="M820">
        <v>0</v>
      </c>
      <c r="N820">
        <v>10</v>
      </c>
      <c r="O820" t="s">
        <v>19</v>
      </c>
      <c r="P820" t="s">
        <v>20</v>
      </c>
      <c r="Q820">
        <v>20230303</v>
      </c>
    </row>
    <row r="821" spans="1:17" x14ac:dyDescent="0.25">
      <c r="A821" t="s">
        <v>548</v>
      </c>
      <c r="B821" t="s">
        <v>429</v>
      </c>
      <c r="C821">
        <v>118</v>
      </c>
      <c r="D821">
        <v>20230303</v>
      </c>
      <c r="E821">
        <f t="shared" si="12"/>
        <v>3</v>
      </c>
      <c r="F821">
        <v>411100</v>
      </c>
      <c r="G821" t="s">
        <v>18</v>
      </c>
      <c r="H821" t="s">
        <v>5192</v>
      </c>
      <c r="I821" t="s">
        <v>5193</v>
      </c>
      <c r="J821">
        <v>367483</v>
      </c>
      <c r="K821">
        <v>20230303</v>
      </c>
      <c r="L821" t="s">
        <v>5460</v>
      </c>
      <c r="M821">
        <v>0</v>
      </c>
      <c r="N821">
        <v>5</v>
      </c>
      <c r="O821" t="s">
        <v>19</v>
      </c>
      <c r="P821" t="s">
        <v>20</v>
      </c>
      <c r="Q821">
        <v>20230303</v>
      </c>
    </row>
    <row r="822" spans="1:17" x14ac:dyDescent="0.25">
      <c r="A822" t="s">
        <v>548</v>
      </c>
      <c r="B822" t="s">
        <v>429</v>
      </c>
      <c r="C822">
        <v>118</v>
      </c>
      <c r="D822">
        <v>20230303</v>
      </c>
      <c r="E822">
        <f t="shared" si="12"/>
        <v>3</v>
      </c>
      <c r="F822">
        <v>411100</v>
      </c>
      <c r="G822" t="s">
        <v>18</v>
      </c>
      <c r="H822" t="s">
        <v>5195</v>
      </c>
      <c r="I822" t="s">
        <v>5196</v>
      </c>
      <c r="J822">
        <v>367484</v>
      </c>
      <c r="K822">
        <v>20230303</v>
      </c>
      <c r="L822" t="s">
        <v>5461</v>
      </c>
      <c r="M822">
        <v>0</v>
      </c>
      <c r="N822">
        <v>5</v>
      </c>
      <c r="O822" t="s">
        <v>19</v>
      </c>
      <c r="P822" t="s">
        <v>20</v>
      </c>
      <c r="Q822">
        <v>20230303</v>
      </c>
    </row>
    <row r="823" spans="1:17" x14ac:dyDescent="0.25">
      <c r="A823" t="s">
        <v>548</v>
      </c>
      <c r="B823" t="s">
        <v>429</v>
      </c>
      <c r="C823">
        <v>118</v>
      </c>
      <c r="D823">
        <v>20230303</v>
      </c>
      <c r="E823">
        <f t="shared" si="12"/>
        <v>3</v>
      </c>
      <c r="F823">
        <v>411100</v>
      </c>
      <c r="G823" t="s">
        <v>18</v>
      </c>
      <c r="H823" t="s">
        <v>3001</v>
      </c>
      <c r="I823" t="s">
        <v>3002</v>
      </c>
      <c r="J823">
        <v>367485</v>
      </c>
      <c r="K823">
        <v>20230303</v>
      </c>
      <c r="L823" t="s">
        <v>5462</v>
      </c>
      <c r="M823">
        <v>0</v>
      </c>
      <c r="N823">
        <v>10</v>
      </c>
      <c r="O823" t="s">
        <v>19</v>
      </c>
      <c r="P823" t="s">
        <v>20</v>
      </c>
      <c r="Q823">
        <v>20230303</v>
      </c>
    </row>
    <row r="824" spans="1:17" x14ac:dyDescent="0.25">
      <c r="A824" t="s">
        <v>548</v>
      </c>
      <c r="B824" t="s">
        <v>429</v>
      </c>
      <c r="C824">
        <v>118</v>
      </c>
      <c r="D824">
        <v>20230303</v>
      </c>
      <c r="E824">
        <f t="shared" si="12"/>
        <v>3</v>
      </c>
      <c r="F824">
        <v>531105</v>
      </c>
      <c r="G824" t="s">
        <v>429</v>
      </c>
      <c r="H824" t="s">
        <v>401</v>
      </c>
      <c r="I824" t="s">
        <v>402</v>
      </c>
      <c r="J824">
        <v>367486</v>
      </c>
      <c r="K824">
        <v>20230303</v>
      </c>
      <c r="L824" t="s">
        <v>565</v>
      </c>
      <c r="M824">
        <v>60</v>
      </c>
      <c r="N824">
        <v>0</v>
      </c>
      <c r="O824" t="s">
        <v>19</v>
      </c>
      <c r="P824" t="s">
        <v>20</v>
      </c>
      <c r="Q824">
        <v>20230303</v>
      </c>
    </row>
    <row r="825" spans="1:17" x14ac:dyDescent="0.25">
      <c r="A825" t="s">
        <v>548</v>
      </c>
      <c r="B825" t="s">
        <v>429</v>
      </c>
      <c r="C825">
        <v>118</v>
      </c>
      <c r="D825">
        <v>20230303</v>
      </c>
      <c r="E825">
        <f t="shared" si="12"/>
        <v>3</v>
      </c>
      <c r="F825">
        <v>411100</v>
      </c>
      <c r="G825" t="s">
        <v>18</v>
      </c>
      <c r="H825" t="s">
        <v>3216</v>
      </c>
      <c r="I825" t="s">
        <v>3217</v>
      </c>
      <c r="J825">
        <v>323010009</v>
      </c>
      <c r="K825">
        <v>20230303</v>
      </c>
      <c r="L825" t="s">
        <v>5463</v>
      </c>
      <c r="M825">
        <v>0</v>
      </c>
      <c r="N825">
        <v>82</v>
      </c>
      <c r="O825" t="s">
        <v>19</v>
      </c>
      <c r="P825" t="s">
        <v>20</v>
      </c>
      <c r="Q825">
        <v>20230303</v>
      </c>
    </row>
    <row r="826" spans="1:17" x14ac:dyDescent="0.25">
      <c r="A826" t="s">
        <v>548</v>
      </c>
      <c r="B826" t="s">
        <v>429</v>
      </c>
      <c r="C826">
        <v>118</v>
      </c>
      <c r="D826">
        <v>20230303</v>
      </c>
      <c r="E826">
        <f t="shared" si="12"/>
        <v>3</v>
      </c>
      <c r="F826">
        <v>411100</v>
      </c>
      <c r="G826" t="s">
        <v>18</v>
      </c>
      <c r="H826" t="s">
        <v>3635</v>
      </c>
      <c r="I826" t="s">
        <v>3636</v>
      </c>
      <c r="J826">
        <v>323010011</v>
      </c>
      <c r="K826">
        <v>20230303</v>
      </c>
      <c r="L826" t="s">
        <v>5464</v>
      </c>
      <c r="M826">
        <v>0</v>
      </c>
      <c r="N826">
        <v>89.25</v>
      </c>
      <c r="O826" t="s">
        <v>19</v>
      </c>
      <c r="P826" t="s">
        <v>20</v>
      </c>
      <c r="Q826">
        <v>20230303</v>
      </c>
    </row>
    <row r="827" spans="1:17" x14ac:dyDescent="0.25">
      <c r="A827" t="s">
        <v>548</v>
      </c>
      <c r="B827" t="s">
        <v>429</v>
      </c>
      <c r="C827">
        <v>118</v>
      </c>
      <c r="D827">
        <v>20230303</v>
      </c>
      <c r="E827">
        <f t="shared" si="12"/>
        <v>3</v>
      </c>
      <c r="F827">
        <v>531105</v>
      </c>
      <c r="G827" t="s">
        <v>429</v>
      </c>
      <c r="H827" t="s">
        <v>401</v>
      </c>
      <c r="I827" t="s">
        <v>402</v>
      </c>
      <c r="J827">
        <v>367564</v>
      </c>
      <c r="K827">
        <v>20230303</v>
      </c>
      <c r="L827" t="s">
        <v>565</v>
      </c>
      <c r="M827">
        <v>171.25</v>
      </c>
      <c r="N827">
        <v>0</v>
      </c>
      <c r="O827" t="s">
        <v>19</v>
      </c>
      <c r="P827" t="s">
        <v>20</v>
      </c>
      <c r="Q827">
        <v>20230303</v>
      </c>
    </row>
    <row r="828" spans="1:17" x14ac:dyDescent="0.25">
      <c r="A828" t="s">
        <v>548</v>
      </c>
      <c r="B828" t="s">
        <v>429</v>
      </c>
      <c r="C828">
        <v>118</v>
      </c>
      <c r="D828">
        <v>20230306</v>
      </c>
      <c r="E828">
        <f t="shared" si="12"/>
        <v>3</v>
      </c>
      <c r="F828">
        <v>411100</v>
      </c>
      <c r="G828" t="s">
        <v>18</v>
      </c>
      <c r="H828" t="s">
        <v>1000</v>
      </c>
      <c r="I828" t="s">
        <v>1001</v>
      </c>
      <c r="J828">
        <v>367487</v>
      </c>
      <c r="K828">
        <v>20230306</v>
      </c>
      <c r="L828" t="s">
        <v>5465</v>
      </c>
      <c r="M828">
        <v>0</v>
      </c>
      <c r="N828">
        <v>2</v>
      </c>
      <c r="O828" t="s">
        <v>19</v>
      </c>
      <c r="P828" t="s">
        <v>20</v>
      </c>
      <c r="Q828">
        <v>20230306</v>
      </c>
    </row>
    <row r="829" spans="1:17" x14ac:dyDescent="0.25">
      <c r="A829" t="s">
        <v>548</v>
      </c>
      <c r="B829" t="s">
        <v>429</v>
      </c>
      <c r="C829">
        <v>118</v>
      </c>
      <c r="D829">
        <v>20230306</v>
      </c>
      <c r="E829">
        <f t="shared" si="12"/>
        <v>3</v>
      </c>
      <c r="F829">
        <v>411100</v>
      </c>
      <c r="G829" t="s">
        <v>18</v>
      </c>
      <c r="H829" t="s">
        <v>1003</v>
      </c>
      <c r="I829" t="s">
        <v>1004</v>
      </c>
      <c r="J829">
        <v>367488</v>
      </c>
      <c r="K829">
        <v>20230306</v>
      </c>
      <c r="L829" t="s">
        <v>5466</v>
      </c>
      <c r="M829">
        <v>0</v>
      </c>
      <c r="N829">
        <v>2</v>
      </c>
      <c r="O829" t="s">
        <v>19</v>
      </c>
      <c r="P829" t="s">
        <v>20</v>
      </c>
      <c r="Q829">
        <v>20230306</v>
      </c>
    </row>
    <row r="830" spans="1:17" x14ac:dyDescent="0.25">
      <c r="A830" t="s">
        <v>548</v>
      </c>
      <c r="B830" t="s">
        <v>429</v>
      </c>
      <c r="C830">
        <v>118</v>
      </c>
      <c r="D830">
        <v>20230306</v>
      </c>
      <c r="E830">
        <f t="shared" si="12"/>
        <v>3</v>
      </c>
      <c r="F830">
        <v>411100</v>
      </c>
      <c r="G830" t="s">
        <v>18</v>
      </c>
      <c r="H830" t="s">
        <v>997</v>
      </c>
      <c r="I830" t="s">
        <v>998</v>
      </c>
      <c r="J830">
        <v>367489</v>
      </c>
      <c r="K830">
        <v>20230306</v>
      </c>
      <c r="L830" t="s">
        <v>5467</v>
      </c>
      <c r="M830">
        <v>0</v>
      </c>
      <c r="N830">
        <v>2</v>
      </c>
      <c r="O830" t="s">
        <v>19</v>
      </c>
      <c r="P830" t="s">
        <v>20</v>
      </c>
      <c r="Q830">
        <v>20230306</v>
      </c>
    </row>
    <row r="831" spans="1:17" x14ac:dyDescent="0.25">
      <c r="A831" t="s">
        <v>548</v>
      </c>
      <c r="B831" t="s">
        <v>429</v>
      </c>
      <c r="C831">
        <v>118</v>
      </c>
      <c r="D831">
        <v>20230306</v>
      </c>
      <c r="E831">
        <f t="shared" si="12"/>
        <v>3</v>
      </c>
      <c r="F831">
        <v>411100</v>
      </c>
      <c r="G831" t="s">
        <v>18</v>
      </c>
      <c r="H831" t="s">
        <v>1417</v>
      </c>
      <c r="I831" t="s">
        <v>1418</v>
      </c>
      <c r="J831">
        <v>367490</v>
      </c>
      <c r="K831">
        <v>20230306</v>
      </c>
      <c r="L831" t="s">
        <v>5468</v>
      </c>
      <c r="M831">
        <v>0</v>
      </c>
      <c r="N831">
        <v>2</v>
      </c>
      <c r="O831" t="s">
        <v>19</v>
      </c>
      <c r="P831" t="s">
        <v>20</v>
      </c>
      <c r="Q831">
        <v>20230306</v>
      </c>
    </row>
    <row r="832" spans="1:17" x14ac:dyDescent="0.25">
      <c r="A832" t="s">
        <v>548</v>
      </c>
      <c r="B832" t="s">
        <v>429</v>
      </c>
      <c r="C832">
        <v>118</v>
      </c>
      <c r="D832">
        <v>20230306</v>
      </c>
      <c r="E832">
        <f t="shared" si="12"/>
        <v>3</v>
      </c>
      <c r="F832">
        <v>411100</v>
      </c>
      <c r="G832" t="s">
        <v>18</v>
      </c>
      <c r="H832" t="s">
        <v>3924</v>
      </c>
      <c r="I832" t="s">
        <v>3925</v>
      </c>
      <c r="J832">
        <v>367491</v>
      </c>
      <c r="K832">
        <v>20230306</v>
      </c>
      <c r="L832" t="s">
        <v>5469</v>
      </c>
      <c r="M832">
        <v>0</v>
      </c>
      <c r="N832">
        <v>2</v>
      </c>
      <c r="O832" t="s">
        <v>19</v>
      </c>
      <c r="P832" t="s">
        <v>20</v>
      </c>
      <c r="Q832">
        <v>20230306</v>
      </c>
    </row>
    <row r="833" spans="1:17" x14ac:dyDescent="0.25">
      <c r="A833" t="s">
        <v>548</v>
      </c>
      <c r="B833" t="s">
        <v>429</v>
      </c>
      <c r="C833">
        <v>118</v>
      </c>
      <c r="D833">
        <v>20230306</v>
      </c>
      <c r="E833">
        <f t="shared" si="12"/>
        <v>3</v>
      </c>
      <c r="F833">
        <v>411100</v>
      </c>
      <c r="G833" t="s">
        <v>18</v>
      </c>
      <c r="H833" t="s">
        <v>179</v>
      </c>
      <c r="I833" t="s">
        <v>180</v>
      </c>
      <c r="J833">
        <v>367492</v>
      </c>
      <c r="K833">
        <v>20230306</v>
      </c>
      <c r="L833" t="s">
        <v>5470</v>
      </c>
      <c r="M833">
        <v>0</v>
      </c>
      <c r="N833">
        <v>2</v>
      </c>
      <c r="O833" t="s">
        <v>19</v>
      </c>
      <c r="P833" t="s">
        <v>20</v>
      </c>
      <c r="Q833">
        <v>20230306</v>
      </c>
    </row>
    <row r="834" spans="1:17" x14ac:dyDescent="0.25">
      <c r="A834" t="s">
        <v>548</v>
      </c>
      <c r="B834" t="s">
        <v>429</v>
      </c>
      <c r="C834">
        <v>118</v>
      </c>
      <c r="D834">
        <v>20230306</v>
      </c>
      <c r="E834">
        <f t="shared" si="12"/>
        <v>3</v>
      </c>
      <c r="F834">
        <v>411100</v>
      </c>
      <c r="G834" t="s">
        <v>18</v>
      </c>
      <c r="H834" t="s">
        <v>1515</v>
      </c>
      <c r="I834" t="s">
        <v>1516</v>
      </c>
      <c r="J834">
        <v>367493</v>
      </c>
      <c r="K834">
        <v>20230306</v>
      </c>
      <c r="L834" t="s">
        <v>5471</v>
      </c>
      <c r="M834">
        <v>0</v>
      </c>
      <c r="N834">
        <v>64</v>
      </c>
      <c r="O834" t="s">
        <v>19</v>
      </c>
      <c r="P834" t="s">
        <v>20</v>
      </c>
      <c r="Q834">
        <v>20230306</v>
      </c>
    </row>
    <row r="835" spans="1:17" x14ac:dyDescent="0.25">
      <c r="A835" t="s">
        <v>548</v>
      </c>
      <c r="B835" t="s">
        <v>429</v>
      </c>
      <c r="C835">
        <v>118</v>
      </c>
      <c r="D835">
        <v>20230306</v>
      </c>
      <c r="E835">
        <f t="shared" ref="E835:E898" si="13">VALUE(MID(D835,5,2))</f>
        <v>3</v>
      </c>
      <c r="F835">
        <v>531105</v>
      </c>
      <c r="G835" t="s">
        <v>429</v>
      </c>
      <c r="H835" t="s">
        <v>401</v>
      </c>
      <c r="I835" t="s">
        <v>402</v>
      </c>
      <c r="J835">
        <v>367494</v>
      </c>
      <c r="K835">
        <v>20230306</v>
      </c>
      <c r="L835" t="s">
        <v>565</v>
      </c>
      <c r="M835">
        <v>76</v>
      </c>
      <c r="N835">
        <v>0</v>
      </c>
      <c r="O835" t="s">
        <v>19</v>
      </c>
      <c r="P835" t="s">
        <v>20</v>
      </c>
      <c r="Q835">
        <v>20230306</v>
      </c>
    </row>
    <row r="836" spans="1:17" x14ac:dyDescent="0.25">
      <c r="A836" t="s">
        <v>548</v>
      </c>
      <c r="B836" t="s">
        <v>429</v>
      </c>
      <c r="C836">
        <v>119</v>
      </c>
      <c r="D836">
        <v>20230310</v>
      </c>
      <c r="E836">
        <f t="shared" si="13"/>
        <v>3</v>
      </c>
      <c r="F836">
        <v>467100</v>
      </c>
      <c r="G836" t="s">
        <v>160</v>
      </c>
      <c r="H836" t="s">
        <v>172</v>
      </c>
      <c r="I836" t="s">
        <v>173</v>
      </c>
      <c r="J836" t="s">
        <v>5472</v>
      </c>
      <c r="K836">
        <v>20230310</v>
      </c>
      <c r="L836" t="s">
        <v>5473</v>
      </c>
      <c r="M836">
        <v>0</v>
      </c>
      <c r="N836">
        <v>50</v>
      </c>
      <c r="O836" t="s">
        <v>23</v>
      </c>
      <c r="P836">
        <v>20230310</v>
      </c>
      <c r="Q836">
        <v>20230310</v>
      </c>
    </row>
    <row r="837" spans="1:17" x14ac:dyDescent="0.25">
      <c r="A837" t="s">
        <v>548</v>
      </c>
      <c r="B837" t="s">
        <v>429</v>
      </c>
      <c r="C837">
        <v>119</v>
      </c>
      <c r="D837">
        <v>20230310</v>
      </c>
      <c r="E837">
        <f t="shared" si="13"/>
        <v>3</v>
      </c>
      <c r="F837">
        <v>531105</v>
      </c>
      <c r="G837" t="s">
        <v>429</v>
      </c>
      <c r="H837" t="s">
        <v>401</v>
      </c>
      <c r="I837" t="s">
        <v>402</v>
      </c>
      <c r="J837" t="s">
        <v>5472</v>
      </c>
      <c r="K837">
        <v>20230310</v>
      </c>
      <c r="L837" t="s">
        <v>5473</v>
      </c>
      <c r="M837">
        <v>50</v>
      </c>
      <c r="N837">
        <v>0</v>
      </c>
      <c r="O837" t="s">
        <v>19</v>
      </c>
      <c r="P837" t="s">
        <v>20</v>
      </c>
      <c r="Q837">
        <v>20230310</v>
      </c>
    </row>
    <row r="838" spans="1:17" x14ac:dyDescent="0.25">
      <c r="A838" t="s">
        <v>548</v>
      </c>
      <c r="B838" t="s">
        <v>429</v>
      </c>
      <c r="C838">
        <v>120</v>
      </c>
      <c r="D838">
        <v>20230314</v>
      </c>
      <c r="E838">
        <f t="shared" si="13"/>
        <v>3</v>
      </c>
      <c r="F838">
        <v>467100</v>
      </c>
      <c r="G838" t="s">
        <v>160</v>
      </c>
      <c r="H838" t="s">
        <v>4958</v>
      </c>
      <c r="I838" t="s">
        <v>4959</v>
      </c>
      <c r="J838" t="s">
        <v>5474</v>
      </c>
      <c r="K838">
        <v>20230314</v>
      </c>
      <c r="L838" t="s">
        <v>5475</v>
      </c>
      <c r="M838">
        <v>50</v>
      </c>
      <c r="N838">
        <v>0</v>
      </c>
      <c r="O838" t="s">
        <v>19</v>
      </c>
      <c r="P838" t="s">
        <v>20</v>
      </c>
      <c r="Q838">
        <v>20230314</v>
      </c>
    </row>
    <row r="839" spans="1:17" x14ac:dyDescent="0.25">
      <c r="A839" t="s">
        <v>548</v>
      </c>
      <c r="B839" t="s">
        <v>429</v>
      </c>
      <c r="C839">
        <v>120</v>
      </c>
      <c r="D839">
        <v>20230314</v>
      </c>
      <c r="E839">
        <f t="shared" si="13"/>
        <v>3</v>
      </c>
      <c r="F839">
        <v>531105</v>
      </c>
      <c r="G839" t="s">
        <v>429</v>
      </c>
      <c r="H839" t="s">
        <v>401</v>
      </c>
      <c r="I839" t="s">
        <v>402</v>
      </c>
      <c r="J839" t="s">
        <v>5474</v>
      </c>
      <c r="K839">
        <v>20230314</v>
      </c>
      <c r="L839" t="s">
        <v>5475</v>
      </c>
      <c r="M839">
        <v>0</v>
      </c>
      <c r="N839">
        <v>50</v>
      </c>
      <c r="O839" t="s">
        <v>19</v>
      </c>
      <c r="P839" t="s">
        <v>20</v>
      </c>
      <c r="Q839">
        <v>20230314</v>
      </c>
    </row>
    <row r="840" spans="1:17" x14ac:dyDescent="0.25">
      <c r="A840" t="s">
        <v>548</v>
      </c>
      <c r="B840" t="s">
        <v>429</v>
      </c>
      <c r="C840">
        <v>121</v>
      </c>
      <c r="D840">
        <v>20230308</v>
      </c>
      <c r="E840">
        <f t="shared" si="13"/>
        <v>3</v>
      </c>
      <c r="F840">
        <v>411100</v>
      </c>
      <c r="G840" t="s">
        <v>18</v>
      </c>
      <c r="H840" t="s">
        <v>352</v>
      </c>
      <c r="I840" t="s">
        <v>353</v>
      </c>
      <c r="J840">
        <v>123020145</v>
      </c>
      <c r="K840">
        <v>20230308</v>
      </c>
      <c r="L840" t="s">
        <v>5476</v>
      </c>
      <c r="M840">
        <v>0</v>
      </c>
      <c r="N840">
        <v>48.5</v>
      </c>
      <c r="O840" t="s">
        <v>19</v>
      </c>
      <c r="P840" t="s">
        <v>20</v>
      </c>
      <c r="Q840">
        <v>20230308</v>
      </c>
    </row>
    <row r="841" spans="1:17" x14ac:dyDescent="0.25">
      <c r="A841" t="s">
        <v>548</v>
      </c>
      <c r="B841" t="s">
        <v>429</v>
      </c>
      <c r="C841">
        <v>121</v>
      </c>
      <c r="D841">
        <v>20230308</v>
      </c>
      <c r="E841">
        <f t="shared" si="13"/>
        <v>3</v>
      </c>
      <c r="F841">
        <v>411100</v>
      </c>
      <c r="G841" t="s">
        <v>18</v>
      </c>
      <c r="H841" t="s">
        <v>305</v>
      </c>
      <c r="I841" t="s">
        <v>306</v>
      </c>
      <c r="J841">
        <v>367808</v>
      </c>
      <c r="K841">
        <v>20230308</v>
      </c>
      <c r="L841" t="s">
        <v>5477</v>
      </c>
      <c r="M841">
        <v>0</v>
      </c>
      <c r="N841">
        <v>37</v>
      </c>
      <c r="O841" t="s">
        <v>19</v>
      </c>
      <c r="P841" t="s">
        <v>20</v>
      </c>
      <c r="Q841">
        <v>20230308</v>
      </c>
    </row>
    <row r="842" spans="1:17" x14ac:dyDescent="0.25">
      <c r="A842" t="s">
        <v>548</v>
      </c>
      <c r="B842" t="s">
        <v>429</v>
      </c>
      <c r="C842">
        <v>121</v>
      </c>
      <c r="D842">
        <v>20230308</v>
      </c>
      <c r="E842">
        <f t="shared" si="13"/>
        <v>3</v>
      </c>
      <c r="F842">
        <v>531105</v>
      </c>
      <c r="G842" t="s">
        <v>429</v>
      </c>
      <c r="H842" t="s">
        <v>401</v>
      </c>
      <c r="I842" t="s">
        <v>402</v>
      </c>
      <c r="J842">
        <v>367809</v>
      </c>
      <c r="K842">
        <v>20230308</v>
      </c>
      <c r="L842" t="s">
        <v>565</v>
      </c>
      <c r="M842">
        <v>85.5</v>
      </c>
      <c r="N842">
        <v>0</v>
      </c>
      <c r="O842" t="s">
        <v>19</v>
      </c>
      <c r="P842" t="s">
        <v>20</v>
      </c>
      <c r="Q842">
        <v>20230308</v>
      </c>
    </row>
    <row r="843" spans="1:17" x14ac:dyDescent="0.25">
      <c r="A843" t="s">
        <v>548</v>
      </c>
      <c r="B843" t="s">
        <v>429</v>
      </c>
      <c r="C843">
        <v>122</v>
      </c>
      <c r="D843">
        <v>20230310</v>
      </c>
      <c r="E843">
        <f t="shared" si="13"/>
        <v>3</v>
      </c>
      <c r="F843">
        <v>411100</v>
      </c>
      <c r="G843" t="s">
        <v>18</v>
      </c>
      <c r="H843" t="s">
        <v>5478</v>
      </c>
      <c r="I843" t="s">
        <v>5479</v>
      </c>
      <c r="J843">
        <v>367810</v>
      </c>
      <c r="K843">
        <v>20230310</v>
      </c>
      <c r="L843" t="s">
        <v>5480</v>
      </c>
      <c r="M843">
        <v>0</v>
      </c>
      <c r="N843">
        <v>10</v>
      </c>
      <c r="O843" t="s">
        <v>19</v>
      </c>
      <c r="P843" t="s">
        <v>20</v>
      </c>
      <c r="Q843">
        <v>20230310</v>
      </c>
    </row>
    <row r="844" spans="1:17" x14ac:dyDescent="0.25">
      <c r="A844" t="s">
        <v>548</v>
      </c>
      <c r="B844" t="s">
        <v>429</v>
      </c>
      <c r="C844">
        <v>122</v>
      </c>
      <c r="D844">
        <v>20230310</v>
      </c>
      <c r="E844">
        <f t="shared" si="13"/>
        <v>3</v>
      </c>
      <c r="F844">
        <v>411100</v>
      </c>
      <c r="G844" t="s">
        <v>18</v>
      </c>
      <c r="H844" t="s">
        <v>291</v>
      </c>
      <c r="I844" t="s">
        <v>292</v>
      </c>
      <c r="J844">
        <v>123020161</v>
      </c>
      <c r="K844">
        <v>20230310</v>
      </c>
      <c r="L844" t="s">
        <v>5481</v>
      </c>
      <c r="M844">
        <v>0</v>
      </c>
      <c r="N844">
        <v>55</v>
      </c>
      <c r="O844" t="s">
        <v>19</v>
      </c>
      <c r="P844" t="s">
        <v>20</v>
      </c>
      <c r="Q844">
        <v>20230310</v>
      </c>
    </row>
    <row r="845" spans="1:17" x14ac:dyDescent="0.25">
      <c r="A845" t="s">
        <v>548</v>
      </c>
      <c r="B845" t="s">
        <v>429</v>
      </c>
      <c r="C845">
        <v>122</v>
      </c>
      <c r="D845">
        <v>20230310</v>
      </c>
      <c r="E845">
        <f t="shared" si="13"/>
        <v>3</v>
      </c>
      <c r="F845">
        <v>531105</v>
      </c>
      <c r="G845" t="s">
        <v>429</v>
      </c>
      <c r="H845" t="s">
        <v>401</v>
      </c>
      <c r="I845" t="s">
        <v>402</v>
      </c>
      <c r="J845">
        <v>367812</v>
      </c>
      <c r="K845">
        <v>20230310</v>
      </c>
      <c r="L845" t="s">
        <v>565</v>
      </c>
      <c r="M845">
        <v>65</v>
      </c>
      <c r="N845">
        <v>0</v>
      </c>
      <c r="O845" t="s">
        <v>19</v>
      </c>
      <c r="P845" t="s">
        <v>20</v>
      </c>
      <c r="Q845">
        <v>20230310</v>
      </c>
    </row>
    <row r="846" spans="1:17" x14ac:dyDescent="0.25">
      <c r="A846" t="s">
        <v>548</v>
      </c>
      <c r="B846" t="s">
        <v>429</v>
      </c>
      <c r="C846">
        <v>123</v>
      </c>
      <c r="D846">
        <v>20230313</v>
      </c>
      <c r="E846">
        <f t="shared" si="13"/>
        <v>3</v>
      </c>
      <c r="F846">
        <v>411100</v>
      </c>
      <c r="G846" t="s">
        <v>18</v>
      </c>
      <c r="H846" t="s">
        <v>154</v>
      </c>
      <c r="I846" t="s">
        <v>155</v>
      </c>
      <c r="J846">
        <v>367813</v>
      </c>
      <c r="K846">
        <v>20230313</v>
      </c>
      <c r="L846" t="s">
        <v>5482</v>
      </c>
      <c r="M846">
        <v>0</v>
      </c>
      <c r="N846">
        <v>5</v>
      </c>
      <c r="O846" t="s">
        <v>19</v>
      </c>
      <c r="P846" t="s">
        <v>20</v>
      </c>
      <c r="Q846">
        <v>20230313</v>
      </c>
    </row>
    <row r="847" spans="1:17" x14ac:dyDescent="0.25">
      <c r="A847" t="s">
        <v>548</v>
      </c>
      <c r="B847" t="s">
        <v>429</v>
      </c>
      <c r="C847">
        <v>123</v>
      </c>
      <c r="D847">
        <v>20230313</v>
      </c>
      <c r="E847">
        <f t="shared" si="13"/>
        <v>3</v>
      </c>
      <c r="F847">
        <v>411100</v>
      </c>
      <c r="G847" t="s">
        <v>18</v>
      </c>
      <c r="H847" t="s">
        <v>1911</v>
      </c>
      <c r="I847" t="s">
        <v>1912</v>
      </c>
      <c r="J847">
        <v>367814</v>
      </c>
      <c r="K847">
        <v>20230313</v>
      </c>
      <c r="L847" t="s">
        <v>5483</v>
      </c>
      <c r="M847">
        <v>0</v>
      </c>
      <c r="N847">
        <v>5</v>
      </c>
      <c r="O847" t="s">
        <v>19</v>
      </c>
      <c r="P847" t="s">
        <v>20</v>
      </c>
      <c r="Q847">
        <v>20230313</v>
      </c>
    </row>
    <row r="848" spans="1:17" x14ac:dyDescent="0.25">
      <c r="A848" t="s">
        <v>548</v>
      </c>
      <c r="B848" t="s">
        <v>429</v>
      </c>
      <c r="C848">
        <v>123</v>
      </c>
      <c r="D848">
        <v>20230313</v>
      </c>
      <c r="E848">
        <f t="shared" si="13"/>
        <v>3</v>
      </c>
      <c r="F848">
        <v>411100</v>
      </c>
      <c r="G848" t="s">
        <v>18</v>
      </c>
      <c r="H848" t="s">
        <v>81</v>
      </c>
      <c r="I848" t="s">
        <v>82</v>
      </c>
      <c r="J848">
        <v>367815</v>
      </c>
      <c r="K848">
        <v>20230313</v>
      </c>
      <c r="L848" t="s">
        <v>5484</v>
      </c>
      <c r="M848">
        <v>0</v>
      </c>
      <c r="N848">
        <v>5</v>
      </c>
      <c r="O848" t="s">
        <v>19</v>
      </c>
      <c r="P848" t="s">
        <v>20</v>
      </c>
      <c r="Q848">
        <v>20230313</v>
      </c>
    </row>
    <row r="849" spans="1:17" x14ac:dyDescent="0.25">
      <c r="A849" t="s">
        <v>548</v>
      </c>
      <c r="B849" t="s">
        <v>429</v>
      </c>
      <c r="C849">
        <v>123</v>
      </c>
      <c r="D849">
        <v>20230313</v>
      </c>
      <c r="E849">
        <f t="shared" si="13"/>
        <v>3</v>
      </c>
      <c r="F849">
        <v>411100</v>
      </c>
      <c r="G849" t="s">
        <v>18</v>
      </c>
      <c r="H849" t="s">
        <v>85</v>
      </c>
      <c r="I849" t="s">
        <v>86</v>
      </c>
      <c r="J849">
        <v>367816</v>
      </c>
      <c r="K849">
        <v>20230313</v>
      </c>
      <c r="L849" t="s">
        <v>5485</v>
      </c>
      <c r="M849">
        <v>0</v>
      </c>
      <c r="N849">
        <v>5</v>
      </c>
      <c r="O849" t="s">
        <v>19</v>
      </c>
      <c r="P849" t="s">
        <v>20</v>
      </c>
      <c r="Q849">
        <v>20230313</v>
      </c>
    </row>
    <row r="850" spans="1:17" x14ac:dyDescent="0.25">
      <c r="A850" t="s">
        <v>548</v>
      </c>
      <c r="B850" t="s">
        <v>429</v>
      </c>
      <c r="C850">
        <v>123</v>
      </c>
      <c r="D850">
        <v>20230313</v>
      </c>
      <c r="E850">
        <f t="shared" si="13"/>
        <v>3</v>
      </c>
      <c r="F850">
        <v>411100</v>
      </c>
      <c r="G850" t="s">
        <v>18</v>
      </c>
      <c r="H850" t="s">
        <v>1911</v>
      </c>
      <c r="I850" t="s">
        <v>1912</v>
      </c>
      <c r="J850">
        <v>367817</v>
      </c>
      <c r="K850">
        <v>20230313</v>
      </c>
      <c r="L850" t="s">
        <v>5486</v>
      </c>
      <c r="M850">
        <v>0</v>
      </c>
      <c r="N850">
        <v>5</v>
      </c>
      <c r="O850" t="s">
        <v>19</v>
      </c>
      <c r="P850" t="s">
        <v>20</v>
      </c>
      <c r="Q850">
        <v>20230313</v>
      </c>
    </row>
    <row r="851" spans="1:17" x14ac:dyDescent="0.25">
      <c r="A851" t="s">
        <v>548</v>
      </c>
      <c r="B851" t="s">
        <v>429</v>
      </c>
      <c r="C851">
        <v>123</v>
      </c>
      <c r="D851">
        <v>20230313</v>
      </c>
      <c r="E851">
        <f t="shared" si="13"/>
        <v>3</v>
      </c>
      <c r="F851">
        <v>411100</v>
      </c>
      <c r="G851" t="s">
        <v>18</v>
      </c>
      <c r="H851" t="s">
        <v>217</v>
      </c>
      <c r="I851" t="s">
        <v>218</v>
      </c>
      <c r="J851">
        <v>367818</v>
      </c>
      <c r="K851">
        <v>20230313</v>
      </c>
      <c r="L851" t="s">
        <v>5487</v>
      </c>
      <c r="M851">
        <v>0</v>
      </c>
      <c r="N851">
        <v>5</v>
      </c>
      <c r="O851" t="s">
        <v>19</v>
      </c>
      <c r="P851" t="s">
        <v>20</v>
      </c>
      <c r="Q851">
        <v>20230313</v>
      </c>
    </row>
    <row r="852" spans="1:17" x14ac:dyDescent="0.25">
      <c r="A852" t="s">
        <v>548</v>
      </c>
      <c r="B852" t="s">
        <v>429</v>
      </c>
      <c r="C852">
        <v>123</v>
      </c>
      <c r="D852">
        <v>20230313</v>
      </c>
      <c r="E852">
        <f t="shared" si="13"/>
        <v>3</v>
      </c>
      <c r="F852">
        <v>411100</v>
      </c>
      <c r="G852" t="s">
        <v>18</v>
      </c>
      <c r="H852" t="s">
        <v>3901</v>
      </c>
      <c r="I852" t="s">
        <v>3902</v>
      </c>
      <c r="J852">
        <v>367819</v>
      </c>
      <c r="K852">
        <v>20230313</v>
      </c>
      <c r="L852" t="s">
        <v>5488</v>
      </c>
      <c r="M852">
        <v>0</v>
      </c>
      <c r="N852">
        <v>5</v>
      </c>
      <c r="O852" t="s">
        <v>19</v>
      </c>
      <c r="P852" t="s">
        <v>20</v>
      </c>
      <c r="Q852">
        <v>20230313</v>
      </c>
    </row>
    <row r="853" spans="1:17" x14ac:dyDescent="0.25">
      <c r="A853" t="s">
        <v>548</v>
      </c>
      <c r="B853" t="s">
        <v>429</v>
      </c>
      <c r="C853">
        <v>123</v>
      </c>
      <c r="D853">
        <v>20230313</v>
      </c>
      <c r="E853">
        <f t="shared" si="13"/>
        <v>3</v>
      </c>
      <c r="F853">
        <v>411100</v>
      </c>
      <c r="G853" t="s">
        <v>18</v>
      </c>
      <c r="H853" t="s">
        <v>241</v>
      </c>
      <c r="I853" t="s">
        <v>242</v>
      </c>
      <c r="J853">
        <v>367820</v>
      </c>
      <c r="K853">
        <v>20230313</v>
      </c>
      <c r="L853" t="s">
        <v>5489</v>
      </c>
      <c r="M853">
        <v>0</v>
      </c>
      <c r="N853">
        <v>5</v>
      </c>
      <c r="O853" t="s">
        <v>19</v>
      </c>
      <c r="P853" t="s">
        <v>20</v>
      </c>
      <c r="Q853">
        <v>20230313</v>
      </c>
    </row>
    <row r="854" spans="1:17" x14ac:dyDescent="0.25">
      <c r="A854" t="s">
        <v>548</v>
      </c>
      <c r="B854" t="s">
        <v>429</v>
      </c>
      <c r="C854">
        <v>123</v>
      </c>
      <c r="D854">
        <v>20230313</v>
      </c>
      <c r="E854">
        <f t="shared" si="13"/>
        <v>3</v>
      </c>
      <c r="F854">
        <v>411100</v>
      </c>
      <c r="G854" t="s">
        <v>18</v>
      </c>
      <c r="H854" t="s">
        <v>5490</v>
      </c>
      <c r="I854" t="s">
        <v>5491</v>
      </c>
      <c r="J854">
        <v>367821</v>
      </c>
      <c r="K854">
        <v>20230313</v>
      </c>
      <c r="L854" t="s">
        <v>5492</v>
      </c>
      <c r="M854">
        <v>0</v>
      </c>
      <c r="N854">
        <v>3</v>
      </c>
      <c r="O854" t="s">
        <v>19</v>
      </c>
      <c r="P854" t="s">
        <v>20</v>
      </c>
      <c r="Q854">
        <v>20230313</v>
      </c>
    </row>
    <row r="855" spans="1:17" x14ac:dyDescent="0.25">
      <c r="A855" t="s">
        <v>548</v>
      </c>
      <c r="B855" t="s">
        <v>429</v>
      </c>
      <c r="C855">
        <v>123</v>
      </c>
      <c r="D855">
        <v>20230313</v>
      </c>
      <c r="E855">
        <f t="shared" si="13"/>
        <v>3</v>
      </c>
      <c r="F855">
        <v>411100</v>
      </c>
      <c r="G855" t="s">
        <v>18</v>
      </c>
      <c r="H855" t="s">
        <v>641</v>
      </c>
      <c r="I855" t="s">
        <v>642</v>
      </c>
      <c r="J855">
        <v>123020093</v>
      </c>
      <c r="K855">
        <v>20230313</v>
      </c>
      <c r="L855" t="s">
        <v>5493</v>
      </c>
      <c r="M855">
        <v>0</v>
      </c>
      <c r="N855">
        <v>69.2</v>
      </c>
      <c r="O855" t="s">
        <v>19</v>
      </c>
      <c r="P855" t="s">
        <v>20</v>
      </c>
      <c r="Q855">
        <v>20230313</v>
      </c>
    </row>
    <row r="856" spans="1:17" x14ac:dyDescent="0.25">
      <c r="A856" t="s">
        <v>548</v>
      </c>
      <c r="B856" t="s">
        <v>429</v>
      </c>
      <c r="C856">
        <v>123</v>
      </c>
      <c r="D856">
        <v>20230313</v>
      </c>
      <c r="E856">
        <f t="shared" si="13"/>
        <v>3</v>
      </c>
      <c r="F856">
        <v>531105</v>
      </c>
      <c r="G856" t="s">
        <v>429</v>
      </c>
      <c r="H856" t="s">
        <v>401</v>
      </c>
      <c r="I856" t="s">
        <v>402</v>
      </c>
      <c r="J856">
        <v>367823</v>
      </c>
      <c r="K856">
        <v>20230313</v>
      </c>
      <c r="L856" t="s">
        <v>565</v>
      </c>
      <c r="M856">
        <v>112.2</v>
      </c>
      <c r="N856">
        <v>0</v>
      </c>
      <c r="O856" t="s">
        <v>19</v>
      </c>
      <c r="P856" t="s">
        <v>20</v>
      </c>
      <c r="Q856">
        <v>20230313</v>
      </c>
    </row>
    <row r="857" spans="1:17" x14ac:dyDescent="0.25">
      <c r="A857" t="s">
        <v>548</v>
      </c>
      <c r="B857" t="s">
        <v>429</v>
      </c>
      <c r="C857">
        <v>124</v>
      </c>
      <c r="D857">
        <v>20230314</v>
      </c>
      <c r="E857">
        <f t="shared" si="13"/>
        <v>3</v>
      </c>
      <c r="F857">
        <v>411100</v>
      </c>
      <c r="G857" t="s">
        <v>18</v>
      </c>
      <c r="H857" t="s">
        <v>5494</v>
      </c>
      <c r="I857" t="s">
        <v>5495</v>
      </c>
      <c r="J857">
        <v>367824</v>
      </c>
      <c r="K857">
        <v>20230314</v>
      </c>
      <c r="L857" t="s">
        <v>5496</v>
      </c>
      <c r="M857">
        <v>0</v>
      </c>
      <c r="N857">
        <v>10</v>
      </c>
      <c r="O857" t="s">
        <v>19</v>
      </c>
      <c r="P857" t="s">
        <v>20</v>
      </c>
      <c r="Q857">
        <v>20230314</v>
      </c>
    </row>
    <row r="858" spans="1:17" x14ac:dyDescent="0.25">
      <c r="A858" t="s">
        <v>548</v>
      </c>
      <c r="B858" t="s">
        <v>429</v>
      </c>
      <c r="C858">
        <v>124</v>
      </c>
      <c r="D858">
        <v>20230314</v>
      </c>
      <c r="E858">
        <f t="shared" si="13"/>
        <v>3</v>
      </c>
      <c r="F858">
        <v>411100</v>
      </c>
      <c r="G858" t="s">
        <v>18</v>
      </c>
      <c r="H858" t="s">
        <v>196</v>
      </c>
      <c r="I858" t="s">
        <v>197</v>
      </c>
      <c r="J858">
        <v>367825</v>
      </c>
      <c r="K858">
        <v>20230314</v>
      </c>
      <c r="L858" t="s">
        <v>5497</v>
      </c>
      <c r="M858">
        <v>0</v>
      </c>
      <c r="N858">
        <v>7.5</v>
      </c>
      <c r="O858" t="s">
        <v>19</v>
      </c>
      <c r="P858" t="s">
        <v>20</v>
      </c>
      <c r="Q858">
        <v>20230314</v>
      </c>
    </row>
    <row r="859" spans="1:17" x14ac:dyDescent="0.25">
      <c r="A859" t="s">
        <v>548</v>
      </c>
      <c r="B859" t="s">
        <v>429</v>
      </c>
      <c r="C859">
        <v>124</v>
      </c>
      <c r="D859">
        <v>20230314</v>
      </c>
      <c r="E859">
        <f t="shared" si="13"/>
        <v>3</v>
      </c>
      <c r="F859">
        <v>531105</v>
      </c>
      <c r="G859" t="s">
        <v>429</v>
      </c>
      <c r="H859" t="s">
        <v>401</v>
      </c>
      <c r="I859" t="s">
        <v>402</v>
      </c>
      <c r="J859">
        <v>367826</v>
      </c>
      <c r="K859">
        <v>20230314</v>
      </c>
      <c r="L859" t="s">
        <v>565</v>
      </c>
      <c r="M859">
        <v>17.5</v>
      </c>
      <c r="N859">
        <v>0</v>
      </c>
      <c r="O859" t="s">
        <v>19</v>
      </c>
      <c r="P859" t="s">
        <v>20</v>
      </c>
      <c r="Q859">
        <v>20230314</v>
      </c>
    </row>
    <row r="860" spans="1:17" x14ac:dyDescent="0.25">
      <c r="A860" t="s">
        <v>548</v>
      </c>
      <c r="B860" t="s">
        <v>429</v>
      </c>
      <c r="C860">
        <v>125</v>
      </c>
      <c r="D860">
        <v>20230307</v>
      </c>
      <c r="E860">
        <f t="shared" si="13"/>
        <v>3</v>
      </c>
      <c r="F860">
        <v>411010</v>
      </c>
      <c r="G860" t="s">
        <v>87</v>
      </c>
      <c r="H860" t="s">
        <v>5498</v>
      </c>
      <c r="I860" t="s">
        <v>5499</v>
      </c>
      <c r="J860">
        <v>367835</v>
      </c>
      <c r="K860">
        <v>20230307</v>
      </c>
      <c r="L860" t="s">
        <v>5500</v>
      </c>
      <c r="M860">
        <v>0</v>
      </c>
      <c r="N860">
        <v>107.99</v>
      </c>
      <c r="O860" t="s">
        <v>19</v>
      </c>
      <c r="P860" t="s">
        <v>20</v>
      </c>
      <c r="Q860">
        <v>20230307</v>
      </c>
    </row>
    <row r="861" spans="1:17" x14ac:dyDescent="0.25">
      <c r="A861" t="s">
        <v>548</v>
      </c>
      <c r="B861" t="s">
        <v>429</v>
      </c>
      <c r="C861">
        <v>125</v>
      </c>
      <c r="D861">
        <v>20230307</v>
      </c>
      <c r="E861">
        <f t="shared" si="13"/>
        <v>3</v>
      </c>
      <c r="F861">
        <v>411010</v>
      </c>
      <c r="G861" t="s">
        <v>87</v>
      </c>
      <c r="H861" t="s">
        <v>363</v>
      </c>
      <c r="I861" t="s">
        <v>364</v>
      </c>
      <c r="J861">
        <v>367836</v>
      </c>
      <c r="K861">
        <v>20230307</v>
      </c>
      <c r="L861" t="s">
        <v>5501</v>
      </c>
      <c r="M861">
        <v>0</v>
      </c>
      <c r="N861">
        <v>106.79</v>
      </c>
      <c r="O861" t="s">
        <v>19</v>
      </c>
      <c r="P861" t="s">
        <v>20</v>
      </c>
      <c r="Q861">
        <v>20230307</v>
      </c>
    </row>
    <row r="862" spans="1:17" x14ac:dyDescent="0.25">
      <c r="A862" t="s">
        <v>548</v>
      </c>
      <c r="B862" t="s">
        <v>429</v>
      </c>
      <c r="C862">
        <v>125</v>
      </c>
      <c r="D862">
        <v>20230307</v>
      </c>
      <c r="E862">
        <f t="shared" si="13"/>
        <v>3</v>
      </c>
      <c r="F862">
        <v>531105</v>
      </c>
      <c r="G862" t="s">
        <v>429</v>
      </c>
      <c r="H862" t="s">
        <v>401</v>
      </c>
      <c r="I862" t="s">
        <v>402</v>
      </c>
      <c r="J862">
        <v>367837</v>
      </c>
      <c r="K862">
        <v>20230307</v>
      </c>
      <c r="L862" t="s">
        <v>565</v>
      </c>
      <c r="M862">
        <v>214.78</v>
      </c>
      <c r="N862">
        <v>0</v>
      </c>
      <c r="O862" t="s">
        <v>19</v>
      </c>
      <c r="P862" t="s">
        <v>20</v>
      </c>
      <c r="Q862">
        <v>20230307</v>
      </c>
    </row>
    <row r="863" spans="1:17" x14ac:dyDescent="0.25">
      <c r="A863" t="s">
        <v>548</v>
      </c>
      <c r="B863" t="s">
        <v>429</v>
      </c>
      <c r="C863">
        <v>126</v>
      </c>
      <c r="D863">
        <v>20230308</v>
      </c>
      <c r="E863">
        <f t="shared" si="13"/>
        <v>3</v>
      </c>
      <c r="F863">
        <v>411100</v>
      </c>
      <c r="G863" t="s">
        <v>18</v>
      </c>
      <c r="H863" t="s">
        <v>352</v>
      </c>
      <c r="I863" t="s">
        <v>353</v>
      </c>
      <c r="J863">
        <v>367838</v>
      </c>
      <c r="K863">
        <v>20230308</v>
      </c>
      <c r="L863" t="s">
        <v>5502</v>
      </c>
      <c r="M863">
        <v>0</v>
      </c>
      <c r="N863">
        <v>329.92</v>
      </c>
      <c r="O863" t="s">
        <v>19</v>
      </c>
      <c r="P863" t="s">
        <v>20</v>
      </c>
      <c r="Q863">
        <v>20230308</v>
      </c>
    </row>
    <row r="864" spans="1:17" x14ac:dyDescent="0.25">
      <c r="A864" t="s">
        <v>548</v>
      </c>
      <c r="B864" t="s">
        <v>429</v>
      </c>
      <c r="C864">
        <v>126</v>
      </c>
      <c r="D864">
        <v>20230308</v>
      </c>
      <c r="E864">
        <f t="shared" si="13"/>
        <v>3</v>
      </c>
      <c r="F864">
        <v>411100</v>
      </c>
      <c r="G864" t="s">
        <v>18</v>
      </c>
      <c r="H864" t="s">
        <v>352</v>
      </c>
      <c r="I864" t="s">
        <v>353</v>
      </c>
      <c r="J864">
        <v>367839</v>
      </c>
      <c r="K864">
        <v>20230308</v>
      </c>
      <c r="L864" t="s">
        <v>5503</v>
      </c>
      <c r="M864">
        <v>4.92</v>
      </c>
      <c r="N864">
        <v>0</v>
      </c>
      <c r="O864" t="s">
        <v>19</v>
      </c>
      <c r="P864" t="s">
        <v>20</v>
      </c>
      <c r="Q864">
        <v>20230308</v>
      </c>
    </row>
    <row r="865" spans="1:17" x14ac:dyDescent="0.25">
      <c r="A865" t="s">
        <v>548</v>
      </c>
      <c r="B865" t="s">
        <v>429</v>
      </c>
      <c r="C865">
        <v>126</v>
      </c>
      <c r="D865">
        <v>20230308</v>
      </c>
      <c r="E865">
        <f t="shared" si="13"/>
        <v>3</v>
      </c>
      <c r="F865">
        <v>411010</v>
      </c>
      <c r="G865" t="s">
        <v>87</v>
      </c>
      <c r="H865" t="s">
        <v>4467</v>
      </c>
      <c r="I865" t="s">
        <v>4468</v>
      </c>
      <c r="J865">
        <v>223010011</v>
      </c>
      <c r="K865">
        <v>20230308</v>
      </c>
      <c r="L865" t="s">
        <v>5504</v>
      </c>
      <c r="M865">
        <v>0</v>
      </c>
      <c r="N865">
        <v>145.75</v>
      </c>
      <c r="O865" t="s">
        <v>19</v>
      </c>
      <c r="P865" t="s">
        <v>20</v>
      </c>
      <c r="Q865">
        <v>20230308</v>
      </c>
    </row>
    <row r="866" spans="1:17" x14ac:dyDescent="0.25">
      <c r="A866" t="s">
        <v>548</v>
      </c>
      <c r="B866" t="s">
        <v>429</v>
      </c>
      <c r="C866">
        <v>126</v>
      </c>
      <c r="D866">
        <v>20230308</v>
      </c>
      <c r="E866">
        <f t="shared" si="13"/>
        <v>3</v>
      </c>
      <c r="F866">
        <v>411100</v>
      </c>
      <c r="G866" t="s">
        <v>18</v>
      </c>
      <c r="H866" t="s">
        <v>734</v>
      </c>
      <c r="I866" t="s">
        <v>735</v>
      </c>
      <c r="J866">
        <v>367841</v>
      </c>
      <c r="K866">
        <v>20230308</v>
      </c>
      <c r="L866" t="s">
        <v>5505</v>
      </c>
      <c r="M866">
        <v>0</v>
      </c>
      <c r="N866">
        <v>38.5</v>
      </c>
      <c r="O866" t="s">
        <v>19</v>
      </c>
      <c r="P866" t="s">
        <v>20</v>
      </c>
      <c r="Q866">
        <v>20230308</v>
      </c>
    </row>
    <row r="867" spans="1:17" x14ac:dyDescent="0.25">
      <c r="A867" t="s">
        <v>548</v>
      </c>
      <c r="B867" t="s">
        <v>429</v>
      </c>
      <c r="C867">
        <v>126</v>
      </c>
      <c r="D867">
        <v>20230308</v>
      </c>
      <c r="E867">
        <f t="shared" si="13"/>
        <v>3</v>
      </c>
      <c r="F867">
        <v>531105</v>
      </c>
      <c r="G867" t="s">
        <v>429</v>
      </c>
      <c r="H867" t="s">
        <v>401</v>
      </c>
      <c r="I867" t="s">
        <v>402</v>
      </c>
      <c r="J867">
        <v>367842</v>
      </c>
      <c r="K867">
        <v>20230308</v>
      </c>
      <c r="L867" t="s">
        <v>565</v>
      </c>
      <c r="M867">
        <v>509.25</v>
      </c>
      <c r="N867">
        <v>0</v>
      </c>
      <c r="O867" t="s">
        <v>19</v>
      </c>
      <c r="P867" t="s">
        <v>20</v>
      </c>
      <c r="Q867">
        <v>20230308</v>
      </c>
    </row>
    <row r="868" spans="1:17" x14ac:dyDescent="0.25">
      <c r="A868" t="s">
        <v>548</v>
      </c>
      <c r="B868" t="s">
        <v>429</v>
      </c>
      <c r="C868">
        <v>127</v>
      </c>
      <c r="D868">
        <v>20230310</v>
      </c>
      <c r="E868">
        <f t="shared" si="13"/>
        <v>3</v>
      </c>
      <c r="F868">
        <v>411010</v>
      </c>
      <c r="G868" t="s">
        <v>87</v>
      </c>
      <c r="H868" t="s">
        <v>3214</v>
      </c>
      <c r="I868" t="s">
        <v>3215</v>
      </c>
      <c r="J868">
        <v>367843</v>
      </c>
      <c r="K868">
        <v>20230310</v>
      </c>
      <c r="L868" t="s">
        <v>5506</v>
      </c>
      <c r="M868">
        <v>0</v>
      </c>
      <c r="N868">
        <v>349.53</v>
      </c>
      <c r="O868" t="s">
        <v>19</v>
      </c>
      <c r="P868" t="s">
        <v>20</v>
      </c>
      <c r="Q868">
        <v>20230310</v>
      </c>
    </row>
    <row r="869" spans="1:17" x14ac:dyDescent="0.25">
      <c r="A869" t="s">
        <v>548</v>
      </c>
      <c r="B869" t="s">
        <v>429</v>
      </c>
      <c r="C869">
        <v>127</v>
      </c>
      <c r="D869">
        <v>20230310</v>
      </c>
      <c r="E869">
        <f t="shared" si="13"/>
        <v>3</v>
      </c>
      <c r="F869">
        <v>411010</v>
      </c>
      <c r="G869" t="s">
        <v>87</v>
      </c>
      <c r="H869" t="s">
        <v>3214</v>
      </c>
      <c r="I869" t="s">
        <v>3215</v>
      </c>
      <c r="J869">
        <v>367844</v>
      </c>
      <c r="K869">
        <v>20230310</v>
      </c>
      <c r="L869" t="s">
        <v>5507</v>
      </c>
      <c r="M869">
        <v>0</v>
      </c>
      <c r="N869">
        <v>0.47</v>
      </c>
      <c r="O869" t="s">
        <v>19</v>
      </c>
      <c r="P869" t="s">
        <v>20</v>
      </c>
      <c r="Q869">
        <v>20230310</v>
      </c>
    </row>
    <row r="870" spans="1:17" x14ac:dyDescent="0.25">
      <c r="A870" t="s">
        <v>548</v>
      </c>
      <c r="B870" t="s">
        <v>429</v>
      </c>
      <c r="C870">
        <v>127</v>
      </c>
      <c r="D870">
        <v>20230310</v>
      </c>
      <c r="E870">
        <f t="shared" si="13"/>
        <v>3</v>
      </c>
      <c r="F870">
        <v>531105</v>
      </c>
      <c r="G870" t="s">
        <v>429</v>
      </c>
      <c r="H870" t="s">
        <v>401</v>
      </c>
      <c r="I870" t="s">
        <v>402</v>
      </c>
      <c r="J870">
        <v>367845</v>
      </c>
      <c r="K870">
        <v>20230310</v>
      </c>
      <c r="L870" t="s">
        <v>565</v>
      </c>
      <c r="M870">
        <v>350</v>
      </c>
      <c r="N870">
        <v>0</v>
      </c>
      <c r="O870" t="s">
        <v>19</v>
      </c>
      <c r="P870" t="s">
        <v>20</v>
      </c>
      <c r="Q870">
        <v>20230310</v>
      </c>
    </row>
    <row r="871" spans="1:17" x14ac:dyDescent="0.25">
      <c r="A871" t="s">
        <v>548</v>
      </c>
      <c r="B871" t="s">
        <v>429</v>
      </c>
      <c r="C871">
        <v>128</v>
      </c>
      <c r="D871">
        <v>20230313</v>
      </c>
      <c r="E871">
        <f t="shared" si="13"/>
        <v>3</v>
      </c>
      <c r="F871">
        <v>411100</v>
      </c>
      <c r="G871" t="s">
        <v>18</v>
      </c>
      <c r="H871" t="s">
        <v>233</v>
      </c>
      <c r="I871" t="s">
        <v>234</v>
      </c>
      <c r="J871">
        <v>223010017</v>
      </c>
      <c r="K871">
        <v>20230313</v>
      </c>
      <c r="L871" t="s">
        <v>5508</v>
      </c>
      <c r="M871">
        <v>0</v>
      </c>
      <c r="N871">
        <v>43.06</v>
      </c>
      <c r="O871" t="s">
        <v>19</v>
      </c>
      <c r="P871" t="s">
        <v>20</v>
      </c>
      <c r="Q871">
        <v>20230313</v>
      </c>
    </row>
    <row r="872" spans="1:17" x14ac:dyDescent="0.25">
      <c r="A872" t="s">
        <v>548</v>
      </c>
      <c r="B872" t="s">
        <v>429</v>
      </c>
      <c r="C872">
        <v>128</v>
      </c>
      <c r="D872">
        <v>20230313</v>
      </c>
      <c r="E872">
        <f t="shared" si="13"/>
        <v>3</v>
      </c>
      <c r="F872">
        <v>531105</v>
      </c>
      <c r="G872" t="s">
        <v>429</v>
      </c>
      <c r="H872" t="s">
        <v>401</v>
      </c>
      <c r="I872" t="s">
        <v>402</v>
      </c>
      <c r="J872">
        <v>367847</v>
      </c>
      <c r="K872">
        <v>20230313</v>
      </c>
      <c r="L872" t="s">
        <v>565</v>
      </c>
      <c r="M872">
        <v>43.06</v>
      </c>
      <c r="N872">
        <v>0</v>
      </c>
      <c r="O872" t="s">
        <v>19</v>
      </c>
      <c r="P872" t="s">
        <v>20</v>
      </c>
      <c r="Q872">
        <v>20230313</v>
      </c>
    </row>
    <row r="873" spans="1:17" x14ac:dyDescent="0.25">
      <c r="A873" t="s">
        <v>548</v>
      </c>
      <c r="B873" t="s">
        <v>429</v>
      </c>
      <c r="C873">
        <v>129</v>
      </c>
      <c r="D873">
        <v>20230314</v>
      </c>
      <c r="E873">
        <f t="shared" si="13"/>
        <v>3</v>
      </c>
      <c r="F873">
        <v>411010</v>
      </c>
      <c r="G873" t="s">
        <v>87</v>
      </c>
      <c r="H873" t="s">
        <v>379</v>
      </c>
      <c r="I873" t="s">
        <v>380</v>
      </c>
      <c r="J873">
        <v>367848</v>
      </c>
      <c r="K873">
        <v>20230314</v>
      </c>
      <c r="L873" t="s">
        <v>5509</v>
      </c>
      <c r="M873">
        <v>0</v>
      </c>
      <c r="N873">
        <v>32.6</v>
      </c>
      <c r="O873" t="s">
        <v>19</v>
      </c>
      <c r="P873" t="s">
        <v>20</v>
      </c>
      <c r="Q873">
        <v>20230314</v>
      </c>
    </row>
    <row r="874" spans="1:17" x14ac:dyDescent="0.25">
      <c r="A874" t="s">
        <v>548</v>
      </c>
      <c r="B874" t="s">
        <v>429</v>
      </c>
      <c r="C874">
        <v>129</v>
      </c>
      <c r="D874">
        <v>20230314</v>
      </c>
      <c r="E874">
        <f t="shared" si="13"/>
        <v>3</v>
      </c>
      <c r="F874">
        <v>531105</v>
      </c>
      <c r="G874" t="s">
        <v>429</v>
      </c>
      <c r="H874" t="s">
        <v>401</v>
      </c>
      <c r="I874" t="s">
        <v>402</v>
      </c>
      <c r="J874">
        <v>367849</v>
      </c>
      <c r="K874">
        <v>20230314</v>
      </c>
      <c r="L874" t="s">
        <v>565</v>
      </c>
      <c r="M874">
        <v>32.6</v>
      </c>
      <c r="N874">
        <v>0</v>
      </c>
      <c r="O874" t="s">
        <v>19</v>
      </c>
      <c r="P874" t="s">
        <v>20</v>
      </c>
      <c r="Q874">
        <v>20230314</v>
      </c>
    </row>
    <row r="875" spans="1:17" x14ac:dyDescent="0.25">
      <c r="A875" t="s">
        <v>548</v>
      </c>
      <c r="B875" t="s">
        <v>429</v>
      </c>
      <c r="C875">
        <v>130</v>
      </c>
      <c r="D875">
        <v>20230309</v>
      </c>
      <c r="E875">
        <f t="shared" si="13"/>
        <v>3</v>
      </c>
      <c r="F875">
        <v>411020</v>
      </c>
      <c r="G875" t="s">
        <v>30</v>
      </c>
      <c r="H875" t="s">
        <v>4147</v>
      </c>
      <c r="I875" t="s">
        <v>4148</v>
      </c>
      <c r="J875">
        <v>323020015</v>
      </c>
      <c r="K875">
        <v>20230309</v>
      </c>
      <c r="L875" t="s">
        <v>5510</v>
      </c>
      <c r="M875">
        <v>0</v>
      </c>
      <c r="N875">
        <v>28.86</v>
      </c>
      <c r="O875" t="s">
        <v>19</v>
      </c>
      <c r="P875" t="s">
        <v>20</v>
      </c>
      <c r="Q875">
        <v>20230309</v>
      </c>
    </row>
    <row r="876" spans="1:17" x14ac:dyDescent="0.25">
      <c r="A876" t="s">
        <v>548</v>
      </c>
      <c r="B876" t="s">
        <v>429</v>
      </c>
      <c r="C876">
        <v>130</v>
      </c>
      <c r="D876">
        <v>20230309</v>
      </c>
      <c r="E876">
        <f t="shared" si="13"/>
        <v>3</v>
      </c>
      <c r="F876">
        <v>531105</v>
      </c>
      <c r="G876" t="s">
        <v>429</v>
      </c>
      <c r="H876" t="s">
        <v>401</v>
      </c>
      <c r="I876" t="s">
        <v>402</v>
      </c>
      <c r="J876">
        <v>367877</v>
      </c>
      <c r="K876">
        <v>20230309</v>
      </c>
      <c r="L876" t="s">
        <v>565</v>
      </c>
      <c r="M876">
        <v>28.86</v>
      </c>
      <c r="N876">
        <v>0</v>
      </c>
      <c r="O876" t="s">
        <v>19</v>
      </c>
      <c r="P876" t="s">
        <v>20</v>
      </c>
      <c r="Q876">
        <v>20230309</v>
      </c>
    </row>
    <row r="877" spans="1:17" x14ac:dyDescent="0.25">
      <c r="A877" t="s">
        <v>548</v>
      </c>
      <c r="B877" t="s">
        <v>429</v>
      </c>
      <c r="C877">
        <v>131</v>
      </c>
      <c r="D877">
        <v>20230315</v>
      </c>
      <c r="E877">
        <f t="shared" si="13"/>
        <v>3</v>
      </c>
      <c r="F877">
        <v>411020</v>
      </c>
      <c r="G877" t="s">
        <v>30</v>
      </c>
      <c r="H877" t="s">
        <v>399</v>
      </c>
      <c r="I877" t="s">
        <v>400</v>
      </c>
      <c r="J877">
        <v>323010021</v>
      </c>
      <c r="K877">
        <v>20230315</v>
      </c>
      <c r="L877" t="s">
        <v>5511</v>
      </c>
      <c r="M877">
        <v>0</v>
      </c>
      <c r="N877">
        <v>196.08</v>
      </c>
      <c r="O877" t="s">
        <v>19</v>
      </c>
      <c r="P877" t="s">
        <v>20</v>
      </c>
      <c r="Q877">
        <v>20230315</v>
      </c>
    </row>
    <row r="878" spans="1:17" x14ac:dyDescent="0.25">
      <c r="A878" t="s">
        <v>548</v>
      </c>
      <c r="B878" t="s">
        <v>429</v>
      </c>
      <c r="C878">
        <v>131</v>
      </c>
      <c r="D878">
        <v>20230315</v>
      </c>
      <c r="E878">
        <f t="shared" si="13"/>
        <v>3</v>
      </c>
      <c r="F878">
        <v>531105</v>
      </c>
      <c r="G878" t="s">
        <v>429</v>
      </c>
      <c r="H878" t="s">
        <v>401</v>
      </c>
      <c r="I878" t="s">
        <v>402</v>
      </c>
      <c r="J878">
        <v>367879</v>
      </c>
      <c r="K878">
        <v>20230315</v>
      </c>
      <c r="L878" t="s">
        <v>565</v>
      </c>
      <c r="M878">
        <v>196.08</v>
      </c>
      <c r="N878">
        <v>0</v>
      </c>
      <c r="O878" t="s">
        <v>19</v>
      </c>
      <c r="P878" t="s">
        <v>20</v>
      </c>
      <c r="Q878">
        <v>20230315</v>
      </c>
    </row>
    <row r="879" spans="1:17" x14ac:dyDescent="0.25">
      <c r="A879" t="s">
        <v>548</v>
      </c>
      <c r="B879" t="s">
        <v>429</v>
      </c>
      <c r="C879">
        <v>132</v>
      </c>
      <c r="D879">
        <v>20230315</v>
      </c>
      <c r="E879">
        <f t="shared" si="13"/>
        <v>3</v>
      </c>
      <c r="F879">
        <v>580000</v>
      </c>
      <c r="G879" t="s">
        <v>532</v>
      </c>
      <c r="H879" t="s">
        <v>401</v>
      </c>
      <c r="I879" t="s">
        <v>402</v>
      </c>
      <c r="J879" t="s">
        <v>5512</v>
      </c>
      <c r="K879">
        <v>20230315</v>
      </c>
      <c r="L879" t="s">
        <v>625</v>
      </c>
      <c r="M879">
        <v>2798</v>
      </c>
      <c r="N879">
        <v>0</v>
      </c>
      <c r="O879" t="s">
        <v>22</v>
      </c>
      <c r="P879">
        <v>20230315</v>
      </c>
      <c r="Q879">
        <v>20230315</v>
      </c>
    </row>
    <row r="880" spans="1:17" x14ac:dyDescent="0.25">
      <c r="A880" t="s">
        <v>548</v>
      </c>
      <c r="B880" t="s">
        <v>429</v>
      </c>
      <c r="C880">
        <v>132</v>
      </c>
      <c r="D880">
        <v>20230315</v>
      </c>
      <c r="E880">
        <f t="shared" si="13"/>
        <v>3</v>
      </c>
      <c r="F880">
        <v>531105</v>
      </c>
      <c r="G880" t="s">
        <v>429</v>
      </c>
      <c r="H880" t="s">
        <v>401</v>
      </c>
      <c r="I880" t="s">
        <v>402</v>
      </c>
      <c r="J880" t="s">
        <v>5512</v>
      </c>
      <c r="K880">
        <v>20230315</v>
      </c>
      <c r="L880" t="s">
        <v>625</v>
      </c>
      <c r="M880">
        <v>0</v>
      </c>
      <c r="N880">
        <v>2798</v>
      </c>
      <c r="O880" t="s">
        <v>19</v>
      </c>
      <c r="P880" t="s">
        <v>20</v>
      </c>
      <c r="Q880">
        <v>20230315</v>
      </c>
    </row>
    <row r="881" spans="1:17" x14ac:dyDescent="0.25">
      <c r="A881" t="s">
        <v>548</v>
      </c>
      <c r="B881" t="s">
        <v>429</v>
      </c>
      <c r="C881">
        <v>133</v>
      </c>
      <c r="D881">
        <v>20230315</v>
      </c>
      <c r="E881">
        <f t="shared" si="13"/>
        <v>3</v>
      </c>
      <c r="F881">
        <v>467100</v>
      </c>
      <c r="G881" t="s">
        <v>160</v>
      </c>
      <c r="H881" t="s">
        <v>4964</v>
      </c>
      <c r="I881" t="s">
        <v>4965</v>
      </c>
      <c r="J881" t="s">
        <v>5513</v>
      </c>
      <c r="K881">
        <v>20230315</v>
      </c>
      <c r="L881" t="s">
        <v>5514</v>
      </c>
      <c r="M881">
        <v>5.3</v>
      </c>
      <c r="N881">
        <v>0</v>
      </c>
      <c r="O881" t="s">
        <v>19</v>
      </c>
      <c r="P881" t="s">
        <v>20</v>
      </c>
      <c r="Q881">
        <v>20230315</v>
      </c>
    </row>
    <row r="882" spans="1:17" x14ac:dyDescent="0.25">
      <c r="A882" t="s">
        <v>548</v>
      </c>
      <c r="B882" t="s">
        <v>429</v>
      </c>
      <c r="C882">
        <v>133</v>
      </c>
      <c r="D882">
        <v>20230315</v>
      </c>
      <c r="E882">
        <f t="shared" si="13"/>
        <v>3</v>
      </c>
      <c r="F882">
        <v>531105</v>
      </c>
      <c r="G882" t="s">
        <v>429</v>
      </c>
      <c r="H882" t="s">
        <v>401</v>
      </c>
      <c r="I882" t="s">
        <v>402</v>
      </c>
      <c r="J882" t="s">
        <v>5513</v>
      </c>
      <c r="K882">
        <v>20230315</v>
      </c>
      <c r="L882" t="s">
        <v>5514</v>
      </c>
      <c r="M882">
        <v>0</v>
      </c>
      <c r="N882">
        <v>5.3</v>
      </c>
      <c r="O882" t="s">
        <v>19</v>
      </c>
      <c r="P882" t="s">
        <v>20</v>
      </c>
      <c r="Q882">
        <v>20230315</v>
      </c>
    </row>
    <row r="883" spans="1:17" x14ac:dyDescent="0.25">
      <c r="A883" t="s">
        <v>548</v>
      </c>
      <c r="B883" t="s">
        <v>429</v>
      </c>
      <c r="C883">
        <v>134</v>
      </c>
      <c r="D883">
        <v>20230315</v>
      </c>
      <c r="E883">
        <f t="shared" si="13"/>
        <v>3</v>
      </c>
      <c r="F883">
        <v>467100</v>
      </c>
      <c r="G883" t="s">
        <v>160</v>
      </c>
      <c r="H883" t="s">
        <v>2645</v>
      </c>
      <c r="I883" t="s">
        <v>2646</v>
      </c>
      <c r="J883" t="s">
        <v>5515</v>
      </c>
      <c r="K883">
        <v>20230315</v>
      </c>
      <c r="L883" t="s">
        <v>5516</v>
      </c>
      <c r="M883">
        <v>8.42</v>
      </c>
      <c r="N883">
        <v>0</v>
      </c>
      <c r="O883" t="s">
        <v>19</v>
      </c>
      <c r="P883" t="s">
        <v>20</v>
      </c>
      <c r="Q883">
        <v>20230315</v>
      </c>
    </row>
    <row r="884" spans="1:17" x14ac:dyDescent="0.25">
      <c r="A884" t="s">
        <v>548</v>
      </c>
      <c r="B884" t="s">
        <v>429</v>
      </c>
      <c r="C884">
        <v>134</v>
      </c>
      <c r="D884">
        <v>20230315</v>
      </c>
      <c r="E884">
        <f t="shared" si="13"/>
        <v>3</v>
      </c>
      <c r="F884">
        <v>531105</v>
      </c>
      <c r="G884" t="s">
        <v>429</v>
      </c>
      <c r="H884" t="s">
        <v>401</v>
      </c>
      <c r="I884" t="s">
        <v>402</v>
      </c>
      <c r="J884" t="s">
        <v>5515</v>
      </c>
      <c r="K884">
        <v>20230315</v>
      </c>
      <c r="L884" t="s">
        <v>5516</v>
      </c>
      <c r="M884">
        <v>0</v>
      </c>
      <c r="N884">
        <v>8.42</v>
      </c>
      <c r="O884" t="s">
        <v>19</v>
      </c>
      <c r="P884" t="s">
        <v>20</v>
      </c>
      <c r="Q884">
        <v>20230315</v>
      </c>
    </row>
    <row r="885" spans="1:17" x14ac:dyDescent="0.25">
      <c r="A885" t="s">
        <v>548</v>
      </c>
      <c r="B885" t="s">
        <v>429</v>
      </c>
      <c r="C885">
        <v>135</v>
      </c>
      <c r="D885">
        <v>20230317</v>
      </c>
      <c r="E885">
        <f t="shared" si="13"/>
        <v>3</v>
      </c>
      <c r="F885">
        <v>467100</v>
      </c>
      <c r="G885" t="s">
        <v>160</v>
      </c>
      <c r="H885" t="s">
        <v>4964</v>
      </c>
      <c r="I885" t="s">
        <v>4965</v>
      </c>
      <c r="J885" t="s">
        <v>5517</v>
      </c>
      <c r="K885">
        <v>20230317</v>
      </c>
      <c r="L885" t="s">
        <v>5518</v>
      </c>
      <c r="M885">
        <v>120</v>
      </c>
      <c r="N885">
        <v>0</v>
      </c>
      <c r="O885" t="s">
        <v>19</v>
      </c>
      <c r="P885" t="s">
        <v>20</v>
      </c>
      <c r="Q885">
        <v>20230317</v>
      </c>
    </row>
    <row r="886" spans="1:17" x14ac:dyDescent="0.25">
      <c r="A886" t="s">
        <v>548</v>
      </c>
      <c r="B886" t="s">
        <v>429</v>
      </c>
      <c r="C886">
        <v>135</v>
      </c>
      <c r="D886">
        <v>20230317</v>
      </c>
      <c r="E886">
        <f t="shared" si="13"/>
        <v>3</v>
      </c>
      <c r="F886">
        <v>531105</v>
      </c>
      <c r="G886" t="s">
        <v>429</v>
      </c>
      <c r="H886" t="s">
        <v>401</v>
      </c>
      <c r="I886" t="s">
        <v>402</v>
      </c>
      <c r="J886" t="s">
        <v>5517</v>
      </c>
      <c r="K886">
        <v>20230317</v>
      </c>
      <c r="L886" t="s">
        <v>5518</v>
      </c>
      <c r="M886">
        <v>0</v>
      </c>
      <c r="N886">
        <v>120</v>
      </c>
      <c r="O886" t="s">
        <v>19</v>
      </c>
      <c r="P886" t="s">
        <v>20</v>
      </c>
      <c r="Q886">
        <v>20230317</v>
      </c>
    </row>
    <row r="887" spans="1:17" x14ac:dyDescent="0.25">
      <c r="A887" t="s">
        <v>548</v>
      </c>
      <c r="B887" t="s">
        <v>429</v>
      </c>
      <c r="C887">
        <v>136</v>
      </c>
      <c r="D887">
        <v>20230317</v>
      </c>
      <c r="E887">
        <f t="shared" si="13"/>
        <v>3</v>
      </c>
      <c r="F887">
        <v>467100</v>
      </c>
      <c r="G887" t="s">
        <v>160</v>
      </c>
      <c r="H887" t="s">
        <v>316</v>
      </c>
      <c r="I887" t="s">
        <v>317</v>
      </c>
      <c r="J887" t="s">
        <v>5519</v>
      </c>
      <c r="K887">
        <v>20230317</v>
      </c>
      <c r="L887" t="s">
        <v>5520</v>
      </c>
      <c r="M887">
        <v>40</v>
      </c>
      <c r="N887">
        <v>0</v>
      </c>
      <c r="O887" t="s">
        <v>23</v>
      </c>
      <c r="P887">
        <v>20230331</v>
      </c>
      <c r="Q887">
        <v>20230317</v>
      </c>
    </row>
    <row r="888" spans="1:17" x14ac:dyDescent="0.25">
      <c r="A888" t="s">
        <v>548</v>
      </c>
      <c r="B888" t="s">
        <v>429</v>
      </c>
      <c r="C888">
        <v>136</v>
      </c>
      <c r="D888">
        <v>20230317</v>
      </c>
      <c r="E888">
        <f t="shared" si="13"/>
        <v>3</v>
      </c>
      <c r="F888">
        <v>531105</v>
      </c>
      <c r="G888" t="s">
        <v>429</v>
      </c>
      <c r="H888" t="s">
        <v>401</v>
      </c>
      <c r="I888" t="s">
        <v>402</v>
      </c>
      <c r="J888" t="s">
        <v>5519</v>
      </c>
      <c r="K888">
        <v>20230317</v>
      </c>
      <c r="L888" t="s">
        <v>5520</v>
      </c>
      <c r="M888">
        <v>0</v>
      </c>
      <c r="N888">
        <v>40</v>
      </c>
      <c r="O888" t="s">
        <v>19</v>
      </c>
      <c r="P888" t="s">
        <v>20</v>
      </c>
      <c r="Q888">
        <v>20230317</v>
      </c>
    </row>
    <row r="889" spans="1:17" x14ac:dyDescent="0.25">
      <c r="A889" t="s">
        <v>548</v>
      </c>
      <c r="B889" t="s">
        <v>429</v>
      </c>
      <c r="C889">
        <v>137</v>
      </c>
      <c r="D889">
        <v>20230317</v>
      </c>
      <c r="E889">
        <f t="shared" si="13"/>
        <v>3</v>
      </c>
      <c r="F889">
        <v>467100</v>
      </c>
      <c r="G889" t="s">
        <v>160</v>
      </c>
      <c r="H889" t="s">
        <v>4964</v>
      </c>
      <c r="I889" t="s">
        <v>4965</v>
      </c>
      <c r="J889" t="s">
        <v>5521</v>
      </c>
      <c r="K889">
        <v>20230317</v>
      </c>
      <c r="L889" t="s">
        <v>5522</v>
      </c>
      <c r="M889">
        <v>0</v>
      </c>
      <c r="N889">
        <v>15.84</v>
      </c>
      <c r="O889" t="s">
        <v>19</v>
      </c>
      <c r="P889" t="s">
        <v>20</v>
      </c>
      <c r="Q889">
        <v>20230317</v>
      </c>
    </row>
    <row r="890" spans="1:17" x14ac:dyDescent="0.25">
      <c r="A890" t="s">
        <v>548</v>
      </c>
      <c r="B890" t="s">
        <v>429</v>
      </c>
      <c r="C890">
        <v>137</v>
      </c>
      <c r="D890">
        <v>20230317</v>
      </c>
      <c r="E890">
        <f t="shared" si="13"/>
        <v>3</v>
      </c>
      <c r="F890">
        <v>531105</v>
      </c>
      <c r="G890" t="s">
        <v>429</v>
      </c>
      <c r="H890" t="s">
        <v>401</v>
      </c>
      <c r="I890" t="s">
        <v>402</v>
      </c>
      <c r="J890" t="s">
        <v>5521</v>
      </c>
      <c r="K890">
        <v>20230317</v>
      </c>
      <c r="L890" t="s">
        <v>5522</v>
      </c>
      <c r="M890">
        <v>15.84</v>
      </c>
      <c r="N890">
        <v>0</v>
      </c>
      <c r="O890" t="s">
        <v>19</v>
      </c>
      <c r="P890" t="s">
        <v>20</v>
      </c>
      <c r="Q890">
        <v>20230317</v>
      </c>
    </row>
    <row r="891" spans="1:17" x14ac:dyDescent="0.25">
      <c r="A891" t="s">
        <v>548</v>
      </c>
      <c r="B891" t="s">
        <v>429</v>
      </c>
      <c r="C891">
        <v>138</v>
      </c>
      <c r="D891">
        <v>20230321</v>
      </c>
      <c r="E891">
        <f t="shared" si="13"/>
        <v>3</v>
      </c>
      <c r="F891">
        <v>467100</v>
      </c>
      <c r="G891" t="s">
        <v>160</v>
      </c>
      <c r="H891" t="s">
        <v>5523</v>
      </c>
      <c r="I891" t="s">
        <v>5524</v>
      </c>
      <c r="J891" t="s">
        <v>5525</v>
      </c>
      <c r="K891">
        <v>20230321</v>
      </c>
      <c r="L891" t="s">
        <v>5526</v>
      </c>
      <c r="M891">
        <v>20.149999999999999</v>
      </c>
      <c r="N891">
        <v>0</v>
      </c>
      <c r="O891" t="s">
        <v>19</v>
      </c>
      <c r="P891" t="s">
        <v>20</v>
      </c>
      <c r="Q891">
        <v>20230321</v>
      </c>
    </row>
    <row r="892" spans="1:17" x14ac:dyDescent="0.25">
      <c r="A892" t="s">
        <v>548</v>
      </c>
      <c r="B892" t="s">
        <v>429</v>
      </c>
      <c r="C892">
        <v>138</v>
      </c>
      <c r="D892">
        <v>20230321</v>
      </c>
      <c r="E892">
        <f t="shared" si="13"/>
        <v>3</v>
      </c>
      <c r="F892">
        <v>531105</v>
      </c>
      <c r="G892" t="s">
        <v>429</v>
      </c>
      <c r="H892" t="s">
        <v>401</v>
      </c>
      <c r="I892" t="s">
        <v>402</v>
      </c>
      <c r="J892" t="s">
        <v>5525</v>
      </c>
      <c r="K892">
        <v>20230321</v>
      </c>
      <c r="L892" t="s">
        <v>5526</v>
      </c>
      <c r="M892">
        <v>0</v>
      </c>
      <c r="N892">
        <v>20.149999999999999</v>
      </c>
      <c r="O892" t="s">
        <v>19</v>
      </c>
      <c r="P892" t="s">
        <v>20</v>
      </c>
      <c r="Q892">
        <v>20230321</v>
      </c>
    </row>
    <row r="893" spans="1:17" x14ac:dyDescent="0.25">
      <c r="A893" t="s">
        <v>548</v>
      </c>
      <c r="B893" t="s">
        <v>429</v>
      </c>
      <c r="C893">
        <v>139</v>
      </c>
      <c r="D893">
        <v>20230321</v>
      </c>
      <c r="E893">
        <f t="shared" si="13"/>
        <v>3</v>
      </c>
      <c r="F893">
        <v>467100</v>
      </c>
      <c r="G893" t="s">
        <v>160</v>
      </c>
      <c r="H893" t="s">
        <v>316</v>
      </c>
      <c r="I893" t="s">
        <v>317</v>
      </c>
      <c r="J893" t="s">
        <v>5527</v>
      </c>
      <c r="K893">
        <v>20230321</v>
      </c>
      <c r="L893" t="s">
        <v>5528</v>
      </c>
      <c r="M893">
        <v>1.48</v>
      </c>
      <c r="N893">
        <v>0</v>
      </c>
      <c r="O893" t="s">
        <v>23</v>
      </c>
      <c r="P893">
        <v>20230331</v>
      </c>
      <c r="Q893">
        <v>20230321</v>
      </c>
    </row>
    <row r="894" spans="1:17" x14ac:dyDescent="0.25">
      <c r="A894" t="s">
        <v>548</v>
      </c>
      <c r="B894" t="s">
        <v>429</v>
      </c>
      <c r="C894">
        <v>139</v>
      </c>
      <c r="D894">
        <v>20230321</v>
      </c>
      <c r="E894">
        <f t="shared" si="13"/>
        <v>3</v>
      </c>
      <c r="F894">
        <v>531105</v>
      </c>
      <c r="G894" t="s">
        <v>429</v>
      </c>
      <c r="H894" t="s">
        <v>401</v>
      </c>
      <c r="I894" t="s">
        <v>402</v>
      </c>
      <c r="J894" t="s">
        <v>5527</v>
      </c>
      <c r="K894">
        <v>20230321</v>
      </c>
      <c r="L894" t="s">
        <v>5528</v>
      </c>
      <c r="M894">
        <v>0</v>
      </c>
      <c r="N894">
        <v>1.48</v>
      </c>
      <c r="O894" t="s">
        <v>19</v>
      </c>
      <c r="P894" t="s">
        <v>20</v>
      </c>
      <c r="Q894">
        <v>20230321</v>
      </c>
    </row>
    <row r="895" spans="1:17" x14ac:dyDescent="0.25">
      <c r="A895" t="s">
        <v>548</v>
      </c>
      <c r="B895" t="s">
        <v>429</v>
      </c>
      <c r="C895">
        <v>140</v>
      </c>
      <c r="D895">
        <v>20230323</v>
      </c>
      <c r="E895">
        <f t="shared" si="13"/>
        <v>3</v>
      </c>
      <c r="F895">
        <v>467100</v>
      </c>
      <c r="G895" t="s">
        <v>160</v>
      </c>
      <c r="H895" t="s">
        <v>4964</v>
      </c>
      <c r="I895" t="s">
        <v>4965</v>
      </c>
      <c r="J895" t="s">
        <v>5529</v>
      </c>
      <c r="K895">
        <v>20230323</v>
      </c>
      <c r="L895" t="s">
        <v>5530</v>
      </c>
      <c r="M895">
        <v>10</v>
      </c>
      <c r="N895">
        <v>0</v>
      </c>
      <c r="O895" t="s">
        <v>19</v>
      </c>
      <c r="P895" t="s">
        <v>20</v>
      </c>
      <c r="Q895">
        <v>20230323</v>
      </c>
    </row>
    <row r="896" spans="1:17" x14ac:dyDescent="0.25">
      <c r="A896" t="s">
        <v>548</v>
      </c>
      <c r="B896" t="s">
        <v>429</v>
      </c>
      <c r="C896">
        <v>140</v>
      </c>
      <c r="D896">
        <v>20230323</v>
      </c>
      <c r="E896">
        <f t="shared" si="13"/>
        <v>3</v>
      </c>
      <c r="F896">
        <v>531105</v>
      </c>
      <c r="G896" t="s">
        <v>429</v>
      </c>
      <c r="H896" t="s">
        <v>401</v>
      </c>
      <c r="I896" t="s">
        <v>402</v>
      </c>
      <c r="J896" t="s">
        <v>5529</v>
      </c>
      <c r="K896">
        <v>20230323</v>
      </c>
      <c r="L896" t="s">
        <v>5530</v>
      </c>
      <c r="M896">
        <v>0</v>
      </c>
      <c r="N896">
        <v>10</v>
      </c>
      <c r="O896" t="s">
        <v>19</v>
      </c>
      <c r="P896" t="s">
        <v>20</v>
      </c>
      <c r="Q896">
        <v>20230323</v>
      </c>
    </row>
    <row r="897" spans="1:17" x14ac:dyDescent="0.25">
      <c r="A897" t="s">
        <v>548</v>
      </c>
      <c r="B897" t="s">
        <v>429</v>
      </c>
      <c r="C897">
        <v>141</v>
      </c>
      <c r="D897">
        <v>20230315</v>
      </c>
      <c r="E897">
        <f t="shared" si="13"/>
        <v>3</v>
      </c>
      <c r="F897">
        <v>411020</v>
      </c>
      <c r="G897" t="s">
        <v>30</v>
      </c>
      <c r="H897" t="s">
        <v>324</v>
      </c>
      <c r="I897" t="s">
        <v>325</v>
      </c>
      <c r="J897">
        <v>323010003</v>
      </c>
      <c r="K897">
        <v>20230315</v>
      </c>
      <c r="L897" t="s">
        <v>5531</v>
      </c>
      <c r="M897">
        <v>0</v>
      </c>
      <c r="N897">
        <v>92.76</v>
      </c>
      <c r="O897" t="s">
        <v>19</v>
      </c>
      <c r="P897" t="s">
        <v>20</v>
      </c>
      <c r="Q897">
        <v>20230315</v>
      </c>
    </row>
    <row r="898" spans="1:17" x14ac:dyDescent="0.25">
      <c r="A898" t="s">
        <v>548</v>
      </c>
      <c r="B898" t="s">
        <v>429</v>
      </c>
      <c r="C898">
        <v>141</v>
      </c>
      <c r="D898">
        <v>20230315</v>
      </c>
      <c r="E898">
        <f t="shared" si="13"/>
        <v>3</v>
      </c>
      <c r="F898">
        <v>531105</v>
      </c>
      <c r="G898" t="s">
        <v>429</v>
      </c>
      <c r="H898" t="s">
        <v>401</v>
      </c>
      <c r="I898" t="s">
        <v>402</v>
      </c>
      <c r="J898">
        <v>368082</v>
      </c>
      <c r="K898">
        <v>20230315</v>
      </c>
      <c r="L898" t="s">
        <v>565</v>
      </c>
      <c r="M898">
        <v>92.76</v>
      </c>
      <c r="N898">
        <v>0</v>
      </c>
      <c r="O898" t="s">
        <v>19</v>
      </c>
      <c r="P898" t="s">
        <v>20</v>
      </c>
      <c r="Q898">
        <v>20230315</v>
      </c>
    </row>
    <row r="899" spans="1:17" x14ac:dyDescent="0.25">
      <c r="A899" t="s">
        <v>548</v>
      </c>
      <c r="B899" t="s">
        <v>429</v>
      </c>
      <c r="C899">
        <v>142</v>
      </c>
      <c r="D899">
        <v>20230322</v>
      </c>
      <c r="E899">
        <f t="shared" ref="E899:E962" si="14">VALUE(MID(D899,5,2))</f>
        <v>3</v>
      </c>
      <c r="F899">
        <v>411020</v>
      </c>
      <c r="G899" t="s">
        <v>30</v>
      </c>
      <c r="H899" t="s">
        <v>4145</v>
      </c>
      <c r="I899" t="s">
        <v>4146</v>
      </c>
      <c r="J899">
        <v>323020012</v>
      </c>
      <c r="K899">
        <v>20230322</v>
      </c>
      <c r="L899" t="s">
        <v>5532</v>
      </c>
      <c r="M899">
        <v>0</v>
      </c>
      <c r="N899">
        <v>93.44</v>
      </c>
      <c r="O899" t="s">
        <v>19</v>
      </c>
      <c r="P899" t="s">
        <v>20</v>
      </c>
      <c r="Q899">
        <v>20230322</v>
      </c>
    </row>
    <row r="900" spans="1:17" x14ac:dyDescent="0.25">
      <c r="A900" t="s">
        <v>548</v>
      </c>
      <c r="B900" t="s">
        <v>429</v>
      </c>
      <c r="C900">
        <v>142</v>
      </c>
      <c r="D900">
        <v>20230322</v>
      </c>
      <c r="E900">
        <f t="shared" si="14"/>
        <v>3</v>
      </c>
      <c r="F900">
        <v>531105</v>
      </c>
      <c r="G900" t="s">
        <v>429</v>
      </c>
      <c r="H900" t="s">
        <v>401</v>
      </c>
      <c r="I900" t="s">
        <v>402</v>
      </c>
      <c r="J900">
        <v>368084</v>
      </c>
      <c r="K900">
        <v>20230322</v>
      </c>
      <c r="L900" t="s">
        <v>565</v>
      </c>
      <c r="M900">
        <v>93.44</v>
      </c>
      <c r="N900">
        <v>0</v>
      </c>
      <c r="O900" t="s">
        <v>19</v>
      </c>
      <c r="P900" t="s">
        <v>20</v>
      </c>
      <c r="Q900">
        <v>20230322</v>
      </c>
    </row>
    <row r="901" spans="1:17" x14ac:dyDescent="0.25">
      <c r="A901" t="s">
        <v>548</v>
      </c>
      <c r="B901" t="s">
        <v>429</v>
      </c>
      <c r="C901">
        <v>143</v>
      </c>
      <c r="D901">
        <v>20230323</v>
      </c>
      <c r="E901">
        <f t="shared" si="14"/>
        <v>3</v>
      </c>
      <c r="F901">
        <v>411100</v>
      </c>
      <c r="G901" t="s">
        <v>18</v>
      </c>
      <c r="H901" t="s">
        <v>192</v>
      </c>
      <c r="I901" t="s">
        <v>193</v>
      </c>
      <c r="J901">
        <v>323010005</v>
      </c>
      <c r="K901">
        <v>20230323</v>
      </c>
      <c r="L901" t="s">
        <v>5533</v>
      </c>
      <c r="M901">
        <v>0</v>
      </c>
      <c r="N901">
        <v>51.54</v>
      </c>
      <c r="O901" t="s">
        <v>19</v>
      </c>
      <c r="P901" t="s">
        <v>20</v>
      </c>
      <c r="Q901">
        <v>20230323</v>
      </c>
    </row>
    <row r="902" spans="1:17" x14ac:dyDescent="0.25">
      <c r="A902" t="s">
        <v>548</v>
      </c>
      <c r="B902" t="s">
        <v>429</v>
      </c>
      <c r="C902">
        <v>143</v>
      </c>
      <c r="D902">
        <v>20230323</v>
      </c>
      <c r="E902">
        <f t="shared" si="14"/>
        <v>3</v>
      </c>
      <c r="F902">
        <v>531105</v>
      </c>
      <c r="G902" t="s">
        <v>429</v>
      </c>
      <c r="H902" t="s">
        <v>401</v>
      </c>
      <c r="I902" t="s">
        <v>402</v>
      </c>
      <c r="J902">
        <v>368086</v>
      </c>
      <c r="K902">
        <v>20230323</v>
      </c>
      <c r="L902" t="s">
        <v>565</v>
      </c>
      <c r="M902">
        <v>51.54</v>
      </c>
      <c r="N902">
        <v>0</v>
      </c>
      <c r="O902" t="s">
        <v>19</v>
      </c>
      <c r="P902" t="s">
        <v>20</v>
      </c>
      <c r="Q902">
        <v>20230323</v>
      </c>
    </row>
    <row r="903" spans="1:17" x14ac:dyDescent="0.25">
      <c r="A903" t="s">
        <v>548</v>
      </c>
      <c r="B903" t="s">
        <v>429</v>
      </c>
      <c r="C903">
        <v>144</v>
      </c>
      <c r="D903">
        <v>20230317</v>
      </c>
      <c r="E903">
        <f t="shared" si="14"/>
        <v>3</v>
      </c>
      <c r="F903">
        <v>411010</v>
      </c>
      <c r="G903" t="s">
        <v>87</v>
      </c>
      <c r="H903" t="s">
        <v>377</v>
      </c>
      <c r="I903" t="s">
        <v>378</v>
      </c>
      <c r="J903">
        <v>223010015</v>
      </c>
      <c r="K903">
        <v>20230317</v>
      </c>
      <c r="L903" t="s">
        <v>5534</v>
      </c>
      <c r="M903">
        <v>0</v>
      </c>
      <c r="N903">
        <v>14.63</v>
      </c>
      <c r="O903" t="s">
        <v>19</v>
      </c>
      <c r="P903" t="s">
        <v>20</v>
      </c>
      <c r="Q903">
        <v>20230317</v>
      </c>
    </row>
    <row r="904" spans="1:17" x14ac:dyDescent="0.25">
      <c r="A904" t="s">
        <v>548</v>
      </c>
      <c r="B904" t="s">
        <v>429</v>
      </c>
      <c r="C904">
        <v>144</v>
      </c>
      <c r="D904">
        <v>20230317</v>
      </c>
      <c r="E904">
        <f t="shared" si="14"/>
        <v>3</v>
      </c>
      <c r="F904">
        <v>411100</v>
      </c>
      <c r="G904" t="s">
        <v>18</v>
      </c>
      <c r="H904" t="s">
        <v>77</v>
      </c>
      <c r="I904" t="s">
        <v>78</v>
      </c>
      <c r="J904">
        <v>368093</v>
      </c>
      <c r="K904">
        <v>20230317</v>
      </c>
      <c r="L904" t="s">
        <v>5535</v>
      </c>
      <c r="M904">
        <v>0</v>
      </c>
      <c r="N904">
        <v>56.76</v>
      </c>
      <c r="O904" t="s">
        <v>19</v>
      </c>
      <c r="P904" t="s">
        <v>20</v>
      </c>
      <c r="Q904">
        <v>20230317</v>
      </c>
    </row>
    <row r="905" spans="1:17" x14ac:dyDescent="0.25">
      <c r="A905" t="s">
        <v>548</v>
      </c>
      <c r="B905" t="s">
        <v>429</v>
      </c>
      <c r="C905">
        <v>144</v>
      </c>
      <c r="D905">
        <v>20230317</v>
      </c>
      <c r="E905">
        <f t="shared" si="14"/>
        <v>3</v>
      </c>
      <c r="F905">
        <v>531105</v>
      </c>
      <c r="G905" t="s">
        <v>429</v>
      </c>
      <c r="H905" t="s">
        <v>401</v>
      </c>
      <c r="I905" t="s">
        <v>402</v>
      </c>
      <c r="J905">
        <v>368094</v>
      </c>
      <c r="K905">
        <v>20230317</v>
      </c>
      <c r="L905" t="s">
        <v>565</v>
      </c>
      <c r="M905">
        <v>71.39</v>
      </c>
      <c r="N905">
        <v>0</v>
      </c>
      <c r="O905" t="s">
        <v>19</v>
      </c>
      <c r="P905" t="s">
        <v>20</v>
      </c>
      <c r="Q905">
        <v>20230317</v>
      </c>
    </row>
    <row r="906" spans="1:17" x14ac:dyDescent="0.25">
      <c r="A906" t="s">
        <v>548</v>
      </c>
      <c r="B906" t="s">
        <v>429</v>
      </c>
      <c r="C906">
        <v>145</v>
      </c>
      <c r="D906">
        <v>20230321</v>
      </c>
      <c r="E906">
        <f t="shared" si="14"/>
        <v>3</v>
      </c>
      <c r="F906">
        <v>411010</v>
      </c>
      <c r="G906" t="s">
        <v>87</v>
      </c>
      <c r="H906" t="s">
        <v>4749</v>
      </c>
      <c r="I906" t="s">
        <v>5070</v>
      </c>
      <c r="J906">
        <v>222120025</v>
      </c>
      <c r="K906">
        <v>20230321</v>
      </c>
      <c r="L906" t="s">
        <v>5536</v>
      </c>
      <c r="M906">
        <v>0</v>
      </c>
      <c r="N906">
        <v>85</v>
      </c>
      <c r="O906" t="s">
        <v>19</v>
      </c>
      <c r="P906" t="s">
        <v>20</v>
      </c>
      <c r="Q906">
        <v>20230321</v>
      </c>
    </row>
    <row r="907" spans="1:17" x14ac:dyDescent="0.25">
      <c r="A907" t="s">
        <v>548</v>
      </c>
      <c r="B907" t="s">
        <v>429</v>
      </c>
      <c r="C907">
        <v>145</v>
      </c>
      <c r="D907">
        <v>20230321</v>
      </c>
      <c r="E907">
        <f t="shared" si="14"/>
        <v>3</v>
      </c>
      <c r="F907">
        <v>531105</v>
      </c>
      <c r="G907" t="s">
        <v>429</v>
      </c>
      <c r="H907" t="s">
        <v>401</v>
      </c>
      <c r="I907" t="s">
        <v>402</v>
      </c>
      <c r="J907">
        <v>368096</v>
      </c>
      <c r="K907">
        <v>20230321</v>
      </c>
      <c r="L907" t="s">
        <v>565</v>
      </c>
      <c r="M907">
        <v>85</v>
      </c>
      <c r="N907">
        <v>0</v>
      </c>
      <c r="O907" t="s">
        <v>19</v>
      </c>
      <c r="P907" t="s">
        <v>20</v>
      </c>
      <c r="Q907">
        <v>20230321</v>
      </c>
    </row>
    <row r="908" spans="1:17" x14ac:dyDescent="0.25">
      <c r="A908" t="s">
        <v>548</v>
      </c>
      <c r="B908" t="s">
        <v>429</v>
      </c>
      <c r="C908">
        <v>146</v>
      </c>
      <c r="D908">
        <v>20230322</v>
      </c>
      <c r="E908">
        <f t="shared" si="14"/>
        <v>3</v>
      </c>
      <c r="F908">
        <v>411100</v>
      </c>
      <c r="G908" t="s">
        <v>18</v>
      </c>
      <c r="H908" t="s">
        <v>4465</v>
      </c>
      <c r="I908" t="s">
        <v>4466</v>
      </c>
      <c r="J908">
        <v>368097</v>
      </c>
      <c r="K908">
        <v>20230322</v>
      </c>
      <c r="L908" t="s">
        <v>5537</v>
      </c>
      <c r="M908">
        <v>0</v>
      </c>
      <c r="N908">
        <v>36.19</v>
      </c>
      <c r="O908" t="s">
        <v>19</v>
      </c>
      <c r="P908" t="s">
        <v>20</v>
      </c>
      <c r="Q908">
        <v>20230322</v>
      </c>
    </row>
    <row r="909" spans="1:17" x14ac:dyDescent="0.25">
      <c r="A909" t="s">
        <v>548</v>
      </c>
      <c r="B909" t="s">
        <v>429</v>
      </c>
      <c r="C909">
        <v>146</v>
      </c>
      <c r="D909">
        <v>20230322</v>
      </c>
      <c r="E909">
        <f t="shared" si="14"/>
        <v>3</v>
      </c>
      <c r="F909">
        <v>531105</v>
      </c>
      <c r="G909" t="s">
        <v>429</v>
      </c>
      <c r="H909" t="s">
        <v>401</v>
      </c>
      <c r="I909" t="s">
        <v>402</v>
      </c>
      <c r="J909">
        <v>368098</v>
      </c>
      <c r="K909">
        <v>20230322</v>
      </c>
      <c r="L909" t="s">
        <v>565</v>
      </c>
      <c r="M909">
        <v>36.19</v>
      </c>
      <c r="N909">
        <v>0</v>
      </c>
      <c r="O909" t="s">
        <v>19</v>
      </c>
      <c r="P909" t="s">
        <v>20</v>
      </c>
      <c r="Q909">
        <v>20230322</v>
      </c>
    </row>
    <row r="910" spans="1:17" x14ac:dyDescent="0.25">
      <c r="A910" t="s">
        <v>548</v>
      </c>
      <c r="B910" t="s">
        <v>429</v>
      </c>
      <c r="C910">
        <v>147</v>
      </c>
      <c r="D910">
        <v>20230315</v>
      </c>
      <c r="E910">
        <f t="shared" si="14"/>
        <v>3</v>
      </c>
      <c r="F910">
        <v>411100</v>
      </c>
      <c r="G910" t="s">
        <v>18</v>
      </c>
      <c r="H910" t="s">
        <v>1417</v>
      </c>
      <c r="I910" t="s">
        <v>1418</v>
      </c>
      <c r="J910">
        <v>368616</v>
      </c>
      <c r="K910">
        <v>20230315</v>
      </c>
      <c r="L910" t="s">
        <v>5538</v>
      </c>
      <c r="M910">
        <v>0</v>
      </c>
      <c r="N910">
        <v>2</v>
      </c>
      <c r="O910" t="s">
        <v>19</v>
      </c>
      <c r="P910" t="s">
        <v>20</v>
      </c>
      <c r="Q910">
        <v>20230315</v>
      </c>
    </row>
    <row r="911" spans="1:17" x14ac:dyDescent="0.25">
      <c r="A911" t="s">
        <v>548</v>
      </c>
      <c r="B911" t="s">
        <v>429</v>
      </c>
      <c r="C911">
        <v>147</v>
      </c>
      <c r="D911">
        <v>20230315</v>
      </c>
      <c r="E911">
        <f t="shared" si="14"/>
        <v>3</v>
      </c>
      <c r="F911">
        <v>411100</v>
      </c>
      <c r="G911" t="s">
        <v>18</v>
      </c>
      <c r="H911" t="s">
        <v>997</v>
      </c>
      <c r="I911" t="s">
        <v>998</v>
      </c>
      <c r="J911">
        <v>368617</v>
      </c>
      <c r="K911">
        <v>20230315</v>
      </c>
      <c r="L911" t="s">
        <v>5539</v>
      </c>
      <c r="M911">
        <v>0</v>
      </c>
      <c r="N911">
        <v>2</v>
      </c>
      <c r="O911" t="s">
        <v>19</v>
      </c>
      <c r="P911" t="s">
        <v>20</v>
      </c>
      <c r="Q911">
        <v>20230315</v>
      </c>
    </row>
    <row r="912" spans="1:17" x14ac:dyDescent="0.25">
      <c r="A912" t="s">
        <v>548</v>
      </c>
      <c r="B912" t="s">
        <v>429</v>
      </c>
      <c r="C912">
        <v>147</v>
      </c>
      <c r="D912">
        <v>20230315</v>
      </c>
      <c r="E912">
        <f t="shared" si="14"/>
        <v>3</v>
      </c>
      <c r="F912">
        <v>411100</v>
      </c>
      <c r="G912" t="s">
        <v>18</v>
      </c>
      <c r="H912" t="s">
        <v>1000</v>
      </c>
      <c r="I912" t="s">
        <v>1001</v>
      </c>
      <c r="J912">
        <v>368618</v>
      </c>
      <c r="K912">
        <v>20230315</v>
      </c>
      <c r="L912" t="s">
        <v>5540</v>
      </c>
      <c r="M912">
        <v>0</v>
      </c>
      <c r="N912">
        <v>2</v>
      </c>
      <c r="O912" t="s">
        <v>19</v>
      </c>
      <c r="P912" t="s">
        <v>20</v>
      </c>
      <c r="Q912">
        <v>20230315</v>
      </c>
    </row>
    <row r="913" spans="1:17" x14ac:dyDescent="0.25">
      <c r="A913" t="s">
        <v>548</v>
      </c>
      <c r="B913" t="s">
        <v>429</v>
      </c>
      <c r="C913">
        <v>147</v>
      </c>
      <c r="D913">
        <v>20230315</v>
      </c>
      <c r="E913">
        <f t="shared" si="14"/>
        <v>3</v>
      </c>
      <c r="F913">
        <v>411100</v>
      </c>
      <c r="G913" t="s">
        <v>18</v>
      </c>
      <c r="H913" t="s">
        <v>1003</v>
      </c>
      <c r="I913" t="s">
        <v>1004</v>
      </c>
      <c r="J913">
        <v>368619</v>
      </c>
      <c r="K913">
        <v>20230315</v>
      </c>
      <c r="L913" t="s">
        <v>5541</v>
      </c>
      <c r="M913">
        <v>0</v>
      </c>
      <c r="N913">
        <v>2</v>
      </c>
      <c r="O913" t="s">
        <v>19</v>
      </c>
      <c r="P913" t="s">
        <v>20</v>
      </c>
      <c r="Q913">
        <v>20230315</v>
      </c>
    </row>
    <row r="914" spans="1:17" x14ac:dyDescent="0.25">
      <c r="A914" t="s">
        <v>548</v>
      </c>
      <c r="B914" t="s">
        <v>429</v>
      </c>
      <c r="C914">
        <v>147</v>
      </c>
      <c r="D914">
        <v>20230315</v>
      </c>
      <c r="E914">
        <f t="shared" si="14"/>
        <v>3</v>
      </c>
      <c r="F914">
        <v>411100</v>
      </c>
      <c r="G914" t="s">
        <v>18</v>
      </c>
      <c r="H914" t="s">
        <v>179</v>
      </c>
      <c r="I914" t="s">
        <v>180</v>
      </c>
      <c r="J914">
        <v>368620</v>
      </c>
      <c r="K914">
        <v>20230315</v>
      </c>
      <c r="L914" t="s">
        <v>5542</v>
      </c>
      <c r="M914">
        <v>0</v>
      </c>
      <c r="N914">
        <v>2</v>
      </c>
      <c r="O914" t="s">
        <v>19</v>
      </c>
      <c r="P914" t="s">
        <v>20</v>
      </c>
      <c r="Q914">
        <v>20230315</v>
      </c>
    </row>
    <row r="915" spans="1:17" x14ac:dyDescent="0.25">
      <c r="A915" t="s">
        <v>548</v>
      </c>
      <c r="B915" t="s">
        <v>429</v>
      </c>
      <c r="C915">
        <v>147</v>
      </c>
      <c r="D915">
        <v>20230315</v>
      </c>
      <c r="E915">
        <f t="shared" si="14"/>
        <v>3</v>
      </c>
      <c r="F915">
        <v>411100</v>
      </c>
      <c r="G915" t="s">
        <v>18</v>
      </c>
      <c r="H915" t="s">
        <v>243</v>
      </c>
      <c r="I915" t="s">
        <v>244</v>
      </c>
      <c r="J915">
        <v>368621</v>
      </c>
      <c r="K915">
        <v>20230315</v>
      </c>
      <c r="L915" t="s">
        <v>5543</v>
      </c>
      <c r="M915">
        <v>0</v>
      </c>
      <c r="N915">
        <v>2</v>
      </c>
      <c r="O915" t="s">
        <v>19</v>
      </c>
      <c r="P915" t="s">
        <v>20</v>
      </c>
      <c r="Q915">
        <v>20230315</v>
      </c>
    </row>
    <row r="916" spans="1:17" x14ac:dyDescent="0.25">
      <c r="A916" t="s">
        <v>548</v>
      </c>
      <c r="B916" t="s">
        <v>429</v>
      </c>
      <c r="C916">
        <v>147</v>
      </c>
      <c r="D916">
        <v>20230315</v>
      </c>
      <c r="E916">
        <f t="shared" si="14"/>
        <v>3</v>
      </c>
      <c r="F916">
        <v>411100</v>
      </c>
      <c r="G916" t="s">
        <v>18</v>
      </c>
      <c r="H916" t="s">
        <v>3569</v>
      </c>
      <c r="I916" t="s">
        <v>3570</v>
      </c>
      <c r="J916">
        <v>368622</v>
      </c>
      <c r="K916">
        <v>20230315</v>
      </c>
      <c r="L916" t="s">
        <v>5544</v>
      </c>
      <c r="M916">
        <v>0</v>
      </c>
      <c r="N916">
        <v>2</v>
      </c>
      <c r="O916" t="s">
        <v>19</v>
      </c>
      <c r="P916" t="s">
        <v>20</v>
      </c>
      <c r="Q916">
        <v>20230315</v>
      </c>
    </row>
    <row r="917" spans="1:17" x14ac:dyDescent="0.25">
      <c r="A917" t="s">
        <v>548</v>
      </c>
      <c r="B917" t="s">
        <v>429</v>
      </c>
      <c r="C917">
        <v>147</v>
      </c>
      <c r="D917">
        <v>20230315</v>
      </c>
      <c r="E917">
        <f t="shared" si="14"/>
        <v>3</v>
      </c>
      <c r="F917">
        <v>531105</v>
      </c>
      <c r="G917" t="s">
        <v>429</v>
      </c>
      <c r="H917" t="s">
        <v>401</v>
      </c>
      <c r="I917" t="s">
        <v>402</v>
      </c>
      <c r="J917">
        <v>368623</v>
      </c>
      <c r="K917">
        <v>20230315</v>
      </c>
      <c r="L917" t="s">
        <v>565</v>
      </c>
      <c r="M917">
        <v>14</v>
      </c>
      <c r="N917">
        <v>0</v>
      </c>
      <c r="O917" t="s">
        <v>19</v>
      </c>
      <c r="P917" t="s">
        <v>20</v>
      </c>
      <c r="Q917">
        <v>20230315</v>
      </c>
    </row>
    <row r="918" spans="1:17" x14ac:dyDescent="0.25">
      <c r="A918" t="s">
        <v>548</v>
      </c>
      <c r="B918" t="s">
        <v>429</v>
      </c>
      <c r="C918">
        <v>148</v>
      </c>
      <c r="D918">
        <v>20230316</v>
      </c>
      <c r="E918">
        <f t="shared" si="14"/>
        <v>3</v>
      </c>
      <c r="F918">
        <v>411100</v>
      </c>
      <c r="G918" t="s">
        <v>18</v>
      </c>
      <c r="H918" t="s">
        <v>154</v>
      </c>
      <c r="I918" t="s">
        <v>155</v>
      </c>
      <c r="J918">
        <v>368624</v>
      </c>
      <c r="K918">
        <v>20230316</v>
      </c>
      <c r="L918" t="s">
        <v>5545</v>
      </c>
      <c r="M918">
        <v>0</v>
      </c>
      <c r="N918">
        <v>7</v>
      </c>
      <c r="O918" t="s">
        <v>19</v>
      </c>
      <c r="P918" t="s">
        <v>20</v>
      </c>
      <c r="Q918">
        <v>20230316</v>
      </c>
    </row>
    <row r="919" spans="1:17" x14ac:dyDescent="0.25">
      <c r="A919" t="s">
        <v>548</v>
      </c>
      <c r="B919" t="s">
        <v>429</v>
      </c>
      <c r="C919">
        <v>148</v>
      </c>
      <c r="D919">
        <v>20230316</v>
      </c>
      <c r="E919">
        <f t="shared" si="14"/>
        <v>3</v>
      </c>
      <c r="F919">
        <v>411100</v>
      </c>
      <c r="G919" t="s">
        <v>18</v>
      </c>
      <c r="H919" t="s">
        <v>1911</v>
      </c>
      <c r="I919" t="s">
        <v>1912</v>
      </c>
      <c r="J919">
        <v>368625</v>
      </c>
      <c r="K919">
        <v>20230316</v>
      </c>
      <c r="L919" t="s">
        <v>5546</v>
      </c>
      <c r="M919">
        <v>0</v>
      </c>
      <c r="N919">
        <v>7</v>
      </c>
      <c r="O919" t="s">
        <v>19</v>
      </c>
      <c r="P919" t="s">
        <v>20</v>
      </c>
      <c r="Q919">
        <v>20230316</v>
      </c>
    </row>
    <row r="920" spans="1:17" x14ac:dyDescent="0.25">
      <c r="A920" t="s">
        <v>548</v>
      </c>
      <c r="B920" t="s">
        <v>429</v>
      </c>
      <c r="C920">
        <v>148</v>
      </c>
      <c r="D920">
        <v>20230316</v>
      </c>
      <c r="E920">
        <f t="shared" si="14"/>
        <v>3</v>
      </c>
      <c r="F920">
        <v>411100</v>
      </c>
      <c r="G920" t="s">
        <v>18</v>
      </c>
      <c r="H920" t="s">
        <v>3001</v>
      </c>
      <c r="I920" t="s">
        <v>3002</v>
      </c>
      <c r="J920">
        <v>368626</v>
      </c>
      <c r="K920">
        <v>20230316</v>
      </c>
      <c r="L920" t="s">
        <v>5547</v>
      </c>
      <c r="M920">
        <v>0</v>
      </c>
      <c r="N920">
        <v>7</v>
      </c>
      <c r="O920" t="s">
        <v>19</v>
      </c>
      <c r="P920" t="s">
        <v>20</v>
      </c>
      <c r="Q920">
        <v>20230316</v>
      </c>
    </row>
    <row r="921" spans="1:17" x14ac:dyDescent="0.25">
      <c r="A921" t="s">
        <v>548</v>
      </c>
      <c r="B921" t="s">
        <v>429</v>
      </c>
      <c r="C921">
        <v>148</v>
      </c>
      <c r="D921">
        <v>20230316</v>
      </c>
      <c r="E921">
        <f t="shared" si="14"/>
        <v>3</v>
      </c>
      <c r="F921">
        <v>411100</v>
      </c>
      <c r="G921" t="s">
        <v>18</v>
      </c>
      <c r="H921" t="s">
        <v>259</v>
      </c>
      <c r="I921" t="s">
        <v>260</v>
      </c>
      <c r="J921">
        <v>368627</v>
      </c>
      <c r="K921">
        <v>20230316</v>
      </c>
      <c r="L921" t="s">
        <v>5548</v>
      </c>
      <c r="M921">
        <v>0</v>
      </c>
      <c r="N921">
        <v>7</v>
      </c>
      <c r="O921" t="s">
        <v>19</v>
      </c>
      <c r="P921" t="s">
        <v>20</v>
      </c>
      <c r="Q921">
        <v>20230316</v>
      </c>
    </row>
    <row r="922" spans="1:17" x14ac:dyDescent="0.25">
      <c r="A922" t="s">
        <v>548</v>
      </c>
      <c r="B922" t="s">
        <v>429</v>
      </c>
      <c r="C922">
        <v>148</v>
      </c>
      <c r="D922">
        <v>20230316</v>
      </c>
      <c r="E922">
        <f t="shared" si="14"/>
        <v>3</v>
      </c>
      <c r="F922">
        <v>411100</v>
      </c>
      <c r="G922" t="s">
        <v>18</v>
      </c>
      <c r="H922" t="s">
        <v>1620</v>
      </c>
      <c r="I922" t="s">
        <v>1621</v>
      </c>
      <c r="J922">
        <v>122030035</v>
      </c>
      <c r="K922">
        <v>20230316</v>
      </c>
      <c r="L922" t="s">
        <v>5549</v>
      </c>
      <c r="M922">
        <v>0</v>
      </c>
      <c r="N922">
        <v>10</v>
      </c>
      <c r="O922" t="s">
        <v>19</v>
      </c>
      <c r="P922" t="s">
        <v>20</v>
      </c>
      <c r="Q922">
        <v>20230316</v>
      </c>
    </row>
    <row r="923" spans="1:17" x14ac:dyDescent="0.25">
      <c r="A923" t="s">
        <v>548</v>
      </c>
      <c r="B923" t="s">
        <v>429</v>
      </c>
      <c r="C923">
        <v>148</v>
      </c>
      <c r="D923">
        <v>20230316</v>
      </c>
      <c r="E923">
        <f t="shared" si="14"/>
        <v>3</v>
      </c>
      <c r="F923">
        <v>531105</v>
      </c>
      <c r="G923" t="s">
        <v>429</v>
      </c>
      <c r="H923" t="s">
        <v>401</v>
      </c>
      <c r="I923" t="s">
        <v>402</v>
      </c>
      <c r="J923">
        <v>368629</v>
      </c>
      <c r="K923">
        <v>20230316</v>
      </c>
      <c r="L923" t="s">
        <v>565</v>
      </c>
      <c r="M923">
        <v>38</v>
      </c>
      <c r="N923">
        <v>0</v>
      </c>
      <c r="O923" t="s">
        <v>19</v>
      </c>
      <c r="P923" t="s">
        <v>20</v>
      </c>
      <c r="Q923">
        <v>20230316</v>
      </c>
    </row>
    <row r="924" spans="1:17" x14ac:dyDescent="0.25">
      <c r="A924" t="s">
        <v>548</v>
      </c>
      <c r="B924" t="s">
        <v>429</v>
      </c>
      <c r="C924">
        <v>149</v>
      </c>
      <c r="D924">
        <v>20230317</v>
      </c>
      <c r="E924">
        <f t="shared" si="14"/>
        <v>3</v>
      </c>
      <c r="F924">
        <v>411100</v>
      </c>
      <c r="G924" t="s">
        <v>18</v>
      </c>
      <c r="H924" t="s">
        <v>5550</v>
      </c>
      <c r="I924" t="s">
        <v>5551</v>
      </c>
      <c r="J924">
        <v>368630</v>
      </c>
      <c r="K924">
        <v>20230317</v>
      </c>
      <c r="L924" t="s">
        <v>5552</v>
      </c>
      <c r="M924">
        <v>0</v>
      </c>
      <c r="N924">
        <v>22</v>
      </c>
      <c r="O924" t="s">
        <v>19</v>
      </c>
      <c r="P924" t="s">
        <v>20</v>
      </c>
      <c r="Q924">
        <v>20230317</v>
      </c>
    </row>
    <row r="925" spans="1:17" x14ac:dyDescent="0.25">
      <c r="A925" t="s">
        <v>548</v>
      </c>
      <c r="B925" t="s">
        <v>429</v>
      </c>
      <c r="C925">
        <v>149</v>
      </c>
      <c r="D925">
        <v>20230317</v>
      </c>
      <c r="E925">
        <f t="shared" si="14"/>
        <v>3</v>
      </c>
      <c r="F925">
        <v>531105</v>
      </c>
      <c r="G925" t="s">
        <v>429</v>
      </c>
      <c r="H925" t="s">
        <v>401</v>
      </c>
      <c r="I925" t="s">
        <v>402</v>
      </c>
      <c r="J925">
        <v>368631</v>
      </c>
      <c r="K925">
        <v>20230317</v>
      </c>
      <c r="L925" t="s">
        <v>565</v>
      </c>
      <c r="M925">
        <v>22</v>
      </c>
      <c r="N925">
        <v>0</v>
      </c>
      <c r="O925" t="s">
        <v>19</v>
      </c>
      <c r="P925" t="s">
        <v>20</v>
      </c>
      <c r="Q925">
        <v>20230317</v>
      </c>
    </row>
    <row r="926" spans="1:17" x14ac:dyDescent="0.25">
      <c r="A926" t="s">
        <v>548</v>
      </c>
      <c r="B926" t="s">
        <v>429</v>
      </c>
      <c r="C926">
        <v>150</v>
      </c>
      <c r="D926">
        <v>20230320</v>
      </c>
      <c r="E926">
        <f t="shared" si="14"/>
        <v>3</v>
      </c>
      <c r="F926">
        <v>411100</v>
      </c>
      <c r="G926" t="s">
        <v>18</v>
      </c>
      <c r="H926" t="s">
        <v>3536</v>
      </c>
      <c r="I926" t="s">
        <v>3537</v>
      </c>
      <c r="J926">
        <v>368632</v>
      </c>
      <c r="K926">
        <v>20230320</v>
      </c>
      <c r="L926" t="s">
        <v>5553</v>
      </c>
      <c r="M926">
        <v>0</v>
      </c>
      <c r="N926">
        <v>164.4</v>
      </c>
      <c r="O926" t="s">
        <v>19</v>
      </c>
      <c r="P926" t="s">
        <v>20</v>
      </c>
      <c r="Q926">
        <v>20230320</v>
      </c>
    </row>
    <row r="927" spans="1:17" x14ac:dyDescent="0.25">
      <c r="A927" t="s">
        <v>548</v>
      </c>
      <c r="B927" t="s">
        <v>429</v>
      </c>
      <c r="C927">
        <v>150</v>
      </c>
      <c r="D927">
        <v>20230320</v>
      </c>
      <c r="E927">
        <f t="shared" si="14"/>
        <v>3</v>
      </c>
      <c r="F927">
        <v>411100</v>
      </c>
      <c r="G927" t="s">
        <v>18</v>
      </c>
      <c r="H927" t="s">
        <v>79</v>
      </c>
      <c r="I927" t="s">
        <v>80</v>
      </c>
      <c r="J927">
        <v>368633</v>
      </c>
      <c r="K927">
        <v>20230320</v>
      </c>
      <c r="L927" t="s">
        <v>5554</v>
      </c>
      <c r="M927">
        <v>0</v>
      </c>
      <c r="N927">
        <v>120</v>
      </c>
      <c r="O927" t="s">
        <v>19</v>
      </c>
      <c r="P927" t="s">
        <v>20</v>
      </c>
      <c r="Q927">
        <v>20230320</v>
      </c>
    </row>
    <row r="928" spans="1:17" x14ac:dyDescent="0.25">
      <c r="A928" t="s">
        <v>548</v>
      </c>
      <c r="B928" t="s">
        <v>429</v>
      </c>
      <c r="C928">
        <v>150</v>
      </c>
      <c r="D928">
        <v>20230320</v>
      </c>
      <c r="E928">
        <f t="shared" si="14"/>
        <v>3</v>
      </c>
      <c r="F928">
        <v>411100</v>
      </c>
      <c r="G928" t="s">
        <v>18</v>
      </c>
      <c r="H928" t="s">
        <v>5555</v>
      </c>
      <c r="I928" t="s">
        <v>5556</v>
      </c>
      <c r="J928">
        <v>368634</v>
      </c>
      <c r="K928">
        <v>20230320</v>
      </c>
      <c r="L928" t="s">
        <v>5557</v>
      </c>
      <c r="M928">
        <v>0</v>
      </c>
      <c r="N928">
        <v>20</v>
      </c>
      <c r="O928" t="s">
        <v>19</v>
      </c>
      <c r="P928" t="s">
        <v>20</v>
      </c>
      <c r="Q928">
        <v>20230320</v>
      </c>
    </row>
    <row r="929" spans="1:17" x14ac:dyDescent="0.25">
      <c r="A929" t="s">
        <v>548</v>
      </c>
      <c r="B929" t="s">
        <v>429</v>
      </c>
      <c r="C929">
        <v>150</v>
      </c>
      <c r="D929">
        <v>20230320</v>
      </c>
      <c r="E929">
        <f t="shared" si="14"/>
        <v>3</v>
      </c>
      <c r="F929">
        <v>411100</v>
      </c>
      <c r="G929" t="s">
        <v>18</v>
      </c>
      <c r="H929" t="s">
        <v>1503</v>
      </c>
      <c r="I929" t="s">
        <v>1504</v>
      </c>
      <c r="J929">
        <v>368635</v>
      </c>
      <c r="K929">
        <v>20230320</v>
      </c>
      <c r="L929" t="s">
        <v>5558</v>
      </c>
      <c r="M929">
        <v>0</v>
      </c>
      <c r="N929">
        <v>22.46</v>
      </c>
      <c r="O929" t="s">
        <v>19</v>
      </c>
      <c r="P929" t="s">
        <v>20</v>
      </c>
      <c r="Q929">
        <v>20230320</v>
      </c>
    </row>
    <row r="930" spans="1:17" x14ac:dyDescent="0.25">
      <c r="A930" t="s">
        <v>548</v>
      </c>
      <c r="B930" t="s">
        <v>429</v>
      </c>
      <c r="C930">
        <v>150</v>
      </c>
      <c r="D930">
        <v>20230320</v>
      </c>
      <c r="E930">
        <f t="shared" si="14"/>
        <v>3</v>
      </c>
      <c r="F930">
        <v>411100</v>
      </c>
      <c r="G930" t="s">
        <v>18</v>
      </c>
      <c r="H930" t="s">
        <v>1503</v>
      </c>
      <c r="I930" t="s">
        <v>1504</v>
      </c>
      <c r="J930">
        <v>368636</v>
      </c>
      <c r="K930">
        <v>20230320</v>
      </c>
      <c r="L930" t="s">
        <v>5559</v>
      </c>
      <c r="M930">
        <v>0.12</v>
      </c>
      <c r="N930">
        <v>0</v>
      </c>
      <c r="O930" t="s">
        <v>19</v>
      </c>
      <c r="P930" t="s">
        <v>20</v>
      </c>
      <c r="Q930">
        <v>20230320</v>
      </c>
    </row>
    <row r="931" spans="1:17" x14ac:dyDescent="0.25">
      <c r="A931" t="s">
        <v>548</v>
      </c>
      <c r="B931" t="s">
        <v>429</v>
      </c>
      <c r="C931">
        <v>150</v>
      </c>
      <c r="D931">
        <v>20230320</v>
      </c>
      <c r="E931">
        <f t="shared" si="14"/>
        <v>3</v>
      </c>
      <c r="F931">
        <v>411100</v>
      </c>
      <c r="G931" t="s">
        <v>18</v>
      </c>
      <c r="H931" t="s">
        <v>5560</v>
      </c>
      <c r="I931" t="s">
        <v>5561</v>
      </c>
      <c r="J931">
        <v>368637</v>
      </c>
      <c r="K931">
        <v>20230320</v>
      </c>
      <c r="L931" t="s">
        <v>5562</v>
      </c>
      <c r="M931">
        <v>0</v>
      </c>
      <c r="N931">
        <v>22</v>
      </c>
      <c r="O931" t="s">
        <v>19</v>
      </c>
      <c r="P931" t="s">
        <v>20</v>
      </c>
      <c r="Q931">
        <v>20230320</v>
      </c>
    </row>
    <row r="932" spans="1:17" x14ac:dyDescent="0.25">
      <c r="A932" t="s">
        <v>548</v>
      </c>
      <c r="B932" t="s">
        <v>429</v>
      </c>
      <c r="C932">
        <v>150</v>
      </c>
      <c r="D932">
        <v>20230320</v>
      </c>
      <c r="E932">
        <f t="shared" si="14"/>
        <v>3</v>
      </c>
      <c r="F932">
        <v>411100</v>
      </c>
      <c r="G932" t="s">
        <v>18</v>
      </c>
      <c r="H932" t="s">
        <v>233</v>
      </c>
      <c r="I932" t="s">
        <v>234</v>
      </c>
      <c r="J932">
        <v>123020106</v>
      </c>
      <c r="K932">
        <v>20230320</v>
      </c>
      <c r="L932" t="s">
        <v>5563</v>
      </c>
      <c r="M932">
        <v>0</v>
      </c>
      <c r="N932">
        <v>70.83</v>
      </c>
      <c r="O932" t="s">
        <v>19</v>
      </c>
      <c r="P932" t="s">
        <v>20</v>
      </c>
      <c r="Q932">
        <v>20230320</v>
      </c>
    </row>
    <row r="933" spans="1:17" x14ac:dyDescent="0.25">
      <c r="A933" t="s">
        <v>548</v>
      </c>
      <c r="B933" t="s">
        <v>429</v>
      </c>
      <c r="C933">
        <v>150</v>
      </c>
      <c r="D933">
        <v>20230320</v>
      </c>
      <c r="E933">
        <f t="shared" si="14"/>
        <v>3</v>
      </c>
      <c r="F933">
        <v>411000</v>
      </c>
      <c r="G933" t="s">
        <v>21</v>
      </c>
      <c r="H933" t="s">
        <v>271</v>
      </c>
      <c r="I933" t="s">
        <v>272</v>
      </c>
      <c r="J933">
        <v>368639</v>
      </c>
      <c r="K933">
        <v>20230320</v>
      </c>
      <c r="L933" t="s">
        <v>5564</v>
      </c>
      <c r="M933">
        <v>0</v>
      </c>
      <c r="N933">
        <v>48</v>
      </c>
      <c r="O933" t="s">
        <v>19</v>
      </c>
      <c r="P933" t="s">
        <v>20</v>
      </c>
      <c r="Q933">
        <v>20230320</v>
      </c>
    </row>
    <row r="934" spans="1:17" x14ac:dyDescent="0.25">
      <c r="A934" t="s">
        <v>548</v>
      </c>
      <c r="B934" t="s">
        <v>429</v>
      </c>
      <c r="C934">
        <v>150</v>
      </c>
      <c r="D934">
        <v>20230320</v>
      </c>
      <c r="E934">
        <f t="shared" si="14"/>
        <v>3</v>
      </c>
      <c r="F934">
        <v>411100</v>
      </c>
      <c r="G934" t="s">
        <v>18</v>
      </c>
      <c r="H934" t="s">
        <v>2730</v>
      </c>
      <c r="I934" t="s">
        <v>2731</v>
      </c>
      <c r="J934">
        <v>368640</v>
      </c>
      <c r="K934">
        <v>20230320</v>
      </c>
      <c r="L934" t="s">
        <v>5565</v>
      </c>
      <c r="M934">
        <v>0</v>
      </c>
      <c r="N934">
        <v>4.32</v>
      </c>
      <c r="O934" t="s">
        <v>19</v>
      </c>
      <c r="P934" t="s">
        <v>20</v>
      </c>
      <c r="Q934">
        <v>20230320</v>
      </c>
    </row>
    <row r="935" spans="1:17" x14ac:dyDescent="0.25">
      <c r="A935" t="s">
        <v>548</v>
      </c>
      <c r="B935" t="s">
        <v>429</v>
      </c>
      <c r="C935">
        <v>150</v>
      </c>
      <c r="D935">
        <v>20230320</v>
      </c>
      <c r="E935">
        <f t="shared" si="14"/>
        <v>3</v>
      </c>
      <c r="F935">
        <v>531105</v>
      </c>
      <c r="G935" t="s">
        <v>429</v>
      </c>
      <c r="H935" t="s">
        <v>401</v>
      </c>
      <c r="I935" t="s">
        <v>402</v>
      </c>
      <c r="J935">
        <v>368641</v>
      </c>
      <c r="K935">
        <v>20230320</v>
      </c>
      <c r="L935" t="s">
        <v>565</v>
      </c>
      <c r="M935">
        <v>471.89</v>
      </c>
      <c r="N935">
        <v>0</v>
      </c>
      <c r="O935" t="s">
        <v>19</v>
      </c>
      <c r="P935" t="s">
        <v>20</v>
      </c>
      <c r="Q935">
        <v>20230320</v>
      </c>
    </row>
    <row r="936" spans="1:17" x14ac:dyDescent="0.25">
      <c r="A936" t="s">
        <v>548</v>
      </c>
      <c r="B936" t="s">
        <v>429</v>
      </c>
      <c r="C936">
        <v>151</v>
      </c>
      <c r="D936">
        <v>20230321</v>
      </c>
      <c r="E936">
        <f t="shared" si="14"/>
        <v>3</v>
      </c>
      <c r="F936">
        <v>411100</v>
      </c>
      <c r="G936" t="s">
        <v>18</v>
      </c>
      <c r="H936" t="s">
        <v>787</v>
      </c>
      <c r="I936" t="s">
        <v>788</v>
      </c>
      <c r="J936">
        <v>368642</v>
      </c>
      <c r="K936">
        <v>20230321</v>
      </c>
      <c r="L936" t="s">
        <v>5566</v>
      </c>
      <c r="M936">
        <v>0</v>
      </c>
      <c r="N936">
        <v>55</v>
      </c>
      <c r="O936" t="s">
        <v>19</v>
      </c>
      <c r="P936" t="s">
        <v>20</v>
      </c>
      <c r="Q936">
        <v>20230321</v>
      </c>
    </row>
    <row r="937" spans="1:17" x14ac:dyDescent="0.25">
      <c r="A937" t="s">
        <v>548</v>
      </c>
      <c r="B937" t="s">
        <v>429</v>
      </c>
      <c r="C937">
        <v>151</v>
      </c>
      <c r="D937">
        <v>20230321</v>
      </c>
      <c r="E937">
        <f t="shared" si="14"/>
        <v>3</v>
      </c>
      <c r="F937">
        <v>411100</v>
      </c>
      <c r="G937" t="s">
        <v>18</v>
      </c>
      <c r="H937" t="s">
        <v>267</v>
      </c>
      <c r="I937" t="s">
        <v>268</v>
      </c>
      <c r="J937">
        <v>368643</v>
      </c>
      <c r="K937">
        <v>20230321</v>
      </c>
      <c r="L937" t="s">
        <v>5567</v>
      </c>
      <c r="M937">
        <v>0</v>
      </c>
      <c r="N937">
        <v>21</v>
      </c>
      <c r="O937" t="s">
        <v>19</v>
      </c>
      <c r="P937" t="s">
        <v>20</v>
      </c>
      <c r="Q937">
        <v>20230321</v>
      </c>
    </row>
    <row r="938" spans="1:17" x14ac:dyDescent="0.25">
      <c r="A938" t="s">
        <v>548</v>
      </c>
      <c r="B938" t="s">
        <v>429</v>
      </c>
      <c r="C938">
        <v>151</v>
      </c>
      <c r="D938">
        <v>20230321</v>
      </c>
      <c r="E938">
        <f t="shared" si="14"/>
        <v>3</v>
      </c>
      <c r="F938">
        <v>411100</v>
      </c>
      <c r="G938" t="s">
        <v>18</v>
      </c>
      <c r="H938" t="s">
        <v>5568</v>
      </c>
      <c r="I938" t="s">
        <v>5569</v>
      </c>
      <c r="J938">
        <v>368644</v>
      </c>
      <c r="K938">
        <v>20230321</v>
      </c>
      <c r="L938" t="s">
        <v>5570</v>
      </c>
      <c r="M938">
        <v>0</v>
      </c>
      <c r="N938">
        <v>22</v>
      </c>
      <c r="O938" t="s">
        <v>19</v>
      </c>
      <c r="P938" t="s">
        <v>20</v>
      </c>
      <c r="Q938">
        <v>20230321</v>
      </c>
    </row>
    <row r="939" spans="1:17" x14ac:dyDescent="0.25">
      <c r="A939" t="s">
        <v>548</v>
      </c>
      <c r="B939" t="s">
        <v>429</v>
      </c>
      <c r="C939">
        <v>151</v>
      </c>
      <c r="D939">
        <v>20230321</v>
      </c>
      <c r="E939">
        <f t="shared" si="14"/>
        <v>3</v>
      </c>
      <c r="F939">
        <v>411100</v>
      </c>
      <c r="G939" t="s">
        <v>18</v>
      </c>
      <c r="H939" t="s">
        <v>3583</v>
      </c>
      <c r="I939" t="s">
        <v>3584</v>
      </c>
      <c r="J939">
        <v>368645</v>
      </c>
      <c r="K939">
        <v>20230321</v>
      </c>
      <c r="L939" t="s">
        <v>5571</v>
      </c>
      <c r="M939">
        <v>0</v>
      </c>
      <c r="N939">
        <v>31.48</v>
      </c>
      <c r="O939" t="s">
        <v>19</v>
      </c>
      <c r="P939" t="s">
        <v>20</v>
      </c>
      <c r="Q939">
        <v>20230321</v>
      </c>
    </row>
    <row r="940" spans="1:17" x14ac:dyDescent="0.25">
      <c r="A940" t="s">
        <v>548</v>
      </c>
      <c r="B940" t="s">
        <v>429</v>
      </c>
      <c r="C940">
        <v>151</v>
      </c>
      <c r="D940">
        <v>20230321</v>
      </c>
      <c r="E940">
        <f t="shared" si="14"/>
        <v>3</v>
      </c>
      <c r="F940">
        <v>411100</v>
      </c>
      <c r="G940" t="s">
        <v>18</v>
      </c>
      <c r="H940" t="s">
        <v>91</v>
      </c>
      <c r="I940" t="s">
        <v>92</v>
      </c>
      <c r="J940">
        <v>368646</v>
      </c>
      <c r="K940">
        <v>20230321</v>
      </c>
      <c r="L940" t="s">
        <v>5572</v>
      </c>
      <c r="M940">
        <v>0</v>
      </c>
      <c r="N940">
        <v>62.96</v>
      </c>
      <c r="O940" t="s">
        <v>19</v>
      </c>
      <c r="P940" t="s">
        <v>20</v>
      </c>
      <c r="Q940">
        <v>20230321</v>
      </c>
    </row>
    <row r="941" spans="1:17" x14ac:dyDescent="0.25">
      <c r="A941" t="s">
        <v>548</v>
      </c>
      <c r="B941" t="s">
        <v>429</v>
      </c>
      <c r="C941">
        <v>151</v>
      </c>
      <c r="D941">
        <v>20230321</v>
      </c>
      <c r="E941">
        <f t="shared" si="14"/>
        <v>3</v>
      </c>
      <c r="F941">
        <v>411100</v>
      </c>
      <c r="G941" t="s">
        <v>18</v>
      </c>
      <c r="H941" t="s">
        <v>5067</v>
      </c>
      <c r="I941" t="s">
        <v>5068</v>
      </c>
      <c r="J941">
        <v>368647</v>
      </c>
      <c r="K941">
        <v>20230321</v>
      </c>
      <c r="L941" t="s">
        <v>5573</v>
      </c>
      <c r="M941">
        <v>0</v>
      </c>
      <c r="N941">
        <v>27.66</v>
      </c>
      <c r="O941" t="s">
        <v>19</v>
      </c>
      <c r="P941" t="s">
        <v>20</v>
      </c>
      <c r="Q941">
        <v>20230321</v>
      </c>
    </row>
    <row r="942" spans="1:17" x14ac:dyDescent="0.25">
      <c r="A942" t="s">
        <v>548</v>
      </c>
      <c r="B942" t="s">
        <v>429</v>
      </c>
      <c r="C942">
        <v>151</v>
      </c>
      <c r="D942">
        <v>20230321</v>
      </c>
      <c r="E942">
        <f t="shared" si="14"/>
        <v>3</v>
      </c>
      <c r="F942">
        <v>411100</v>
      </c>
      <c r="G942" t="s">
        <v>18</v>
      </c>
      <c r="H942" t="s">
        <v>156</v>
      </c>
      <c r="I942" t="s">
        <v>157</v>
      </c>
      <c r="J942">
        <v>368648</v>
      </c>
      <c r="K942">
        <v>20230321</v>
      </c>
      <c r="L942" t="s">
        <v>5574</v>
      </c>
      <c r="M942">
        <v>0</v>
      </c>
      <c r="N942">
        <v>110.64</v>
      </c>
      <c r="O942" t="s">
        <v>19</v>
      </c>
      <c r="P942" t="s">
        <v>20</v>
      </c>
      <c r="Q942">
        <v>20230321</v>
      </c>
    </row>
    <row r="943" spans="1:17" x14ac:dyDescent="0.25">
      <c r="A943" t="s">
        <v>548</v>
      </c>
      <c r="B943" t="s">
        <v>429</v>
      </c>
      <c r="C943">
        <v>151</v>
      </c>
      <c r="D943">
        <v>20230321</v>
      </c>
      <c r="E943">
        <f t="shared" si="14"/>
        <v>3</v>
      </c>
      <c r="F943">
        <v>531105</v>
      </c>
      <c r="G943" t="s">
        <v>429</v>
      </c>
      <c r="H943" t="s">
        <v>401</v>
      </c>
      <c r="I943" t="s">
        <v>402</v>
      </c>
      <c r="J943">
        <v>368649</v>
      </c>
      <c r="K943">
        <v>20230321</v>
      </c>
      <c r="L943" t="s">
        <v>565</v>
      </c>
      <c r="M943">
        <v>330.74</v>
      </c>
      <c r="N943">
        <v>0</v>
      </c>
      <c r="O943" t="s">
        <v>19</v>
      </c>
      <c r="P943" t="s">
        <v>20</v>
      </c>
      <c r="Q943">
        <v>20230321</v>
      </c>
    </row>
    <row r="944" spans="1:17" x14ac:dyDescent="0.25">
      <c r="A944" t="s">
        <v>548</v>
      </c>
      <c r="B944" t="s">
        <v>429</v>
      </c>
      <c r="C944">
        <v>152</v>
      </c>
      <c r="D944">
        <v>20230322</v>
      </c>
      <c r="E944">
        <f t="shared" si="14"/>
        <v>3</v>
      </c>
      <c r="F944">
        <v>411100</v>
      </c>
      <c r="G944" t="s">
        <v>18</v>
      </c>
      <c r="H944" t="s">
        <v>261</v>
      </c>
      <c r="I944" t="s">
        <v>262</v>
      </c>
      <c r="J944">
        <v>122110152</v>
      </c>
      <c r="K944">
        <v>20230322</v>
      </c>
      <c r="L944" t="s">
        <v>5575</v>
      </c>
      <c r="M944">
        <v>0</v>
      </c>
      <c r="N944">
        <v>44.26</v>
      </c>
      <c r="O944" t="s">
        <v>19</v>
      </c>
      <c r="P944" t="s">
        <v>20</v>
      </c>
      <c r="Q944">
        <v>20230322</v>
      </c>
    </row>
    <row r="945" spans="1:17" x14ac:dyDescent="0.25">
      <c r="A945" t="s">
        <v>548</v>
      </c>
      <c r="B945" t="s">
        <v>429</v>
      </c>
      <c r="C945">
        <v>152</v>
      </c>
      <c r="D945">
        <v>20230322</v>
      </c>
      <c r="E945">
        <f t="shared" si="14"/>
        <v>3</v>
      </c>
      <c r="F945">
        <v>411100</v>
      </c>
      <c r="G945" t="s">
        <v>18</v>
      </c>
      <c r="H945" t="s">
        <v>4910</v>
      </c>
      <c r="I945" t="s">
        <v>4911</v>
      </c>
      <c r="J945">
        <v>368651</v>
      </c>
      <c r="K945">
        <v>20230322</v>
      </c>
      <c r="L945" t="s">
        <v>5576</v>
      </c>
      <c r="M945">
        <v>0</v>
      </c>
      <c r="N945">
        <v>89.84</v>
      </c>
      <c r="O945" t="s">
        <v>19</v>
      </c>
      <c r="P945" t="s">
        <v>20</v>
      </c>
      <c r="Q945">
        <v>20230322</v>
      </c>
    </row>
    <row r="946" spans="1:17" x14ac:dyDescent="0.25">
      <c r="A946" t="s">
        <v>548</v>
      </c>
      <c r="B946" t="s">
        <v>429</v>
      </c>
      <c r="C946">
        <v>152</v>
      </c>
      <c r="D946">
        <v>20230322</v>
      </c>
      <c r="E946">
        <f t="shared" si="14"/>
        <v>3</v>
      </c>
      <c r="F946">
        <v>411100</v>
      </c>
      <c r="G946" t="s">
        <v>18</v>
      </c>
      <c r="H946" t="s">
        <v>4127</v>
      </c>
      <c r="I946" t="s">
        <v>4128</v>
      </c>
      <c r="J946">
        <v>368652</v>
      </c>
      <c r="K946">
        <v>20230322</v>
      </c>
      <c r="L946" t="s">
        <v>5577</v>
      </c>
      <c r="M946">
        <v>0</v>
      </c>
      <c r="N946">
        <v>62.16</v>
      </c>
      <c r="O946" t="s">
        <v>19</v>
      </c>
      <c r="P946" t="s">
        <v>20</v>
      </c>
      <c r="Q946">
        <v>20230322</v>
      </c>
    </row>
    <row r="947" spans="1:17" x14ac:dyDescent="0.25">
      <c r="A947" t="s">
        <v>548</v>
      </c>
      <c r="B947" t="s">
        <v>429</v>
      </c>
      <c r="C947">
        <v>152</v>
      </c>
      <c r="D947">
        <v>20230322</v>
      </c>
      <c r="E947">
        <f t="shared" si="14"/>
        <v>3</v>
      </c>
      <c r="F947">
        <v>411100</v>
      </c>
      <c r="G947" t="s">
        <v>18</v>
      </c>
      <c r="H947" t="s">
        <v>823</v>
      </c>
      <c r="I947" t="s">
        <v>824</v>
      </c>
      <c r="J947">
        <v>368653</v>
      </c>
      <c r="K947">
        <v>20230322</v>
      </c>
      <c r="L947" t="s">
        <v>5578</v>
      </c>
      <c r="M947">
        <v>0</v>
      </c>
      <c r="N947">
        <v>134.76</v>
      </c>
      <c r="O947" t="s">
        <v>19</v>
      </c>
      <c r="P947" t="s">
        <v>20</v>
      </c>
      <c r="Q947">
        <v>20230322</v>
      </c>
    </row>
    <row r="948" spans="1:17" x14ac:dyDescent="0.25">
      <c r="A948" t="s">
        <v>548</v>
      </c>
      <c r="B948" t="s">
        <v>429</v>
      </c>
      <c r="C948">
        <v>152</v>
      </c>
      <c r="D948">
        <v>20230322</v>
      </c>
      <c r="E948">
        <f t="shared" si="14"/>
        <v>3</v>
      </c>
      <c r="F948">
        <v>411100</v>
      </c>
      <c r="G948" t="s">
        <v>18</v>
      </c>
      <c r="H948" t="s">
        <v>1765</v>
      </c>
      <c r="I948" t="s">
        <v>1766</v>
      </c>
      <c r="J948">
        <v>123020017</v>
      </c>
      <c r="K948">
        <v>20230322</v>
      </c>
      <c r="L948" t="s">
        <v>5579</v>
      </c>
      <c r="M948">
        <v>0</v>
      </c>
      <c r="N948">
        <v>34.83</v>
      </c>
      <c r="O948" t="s">
        <v>19</v>
      </c>
      <c r="P948" t="s">
        <v>20</v>
      </c>
      <c r="Q948">
        <v>20230322</v>
      </c>
    </row>
    <row r="949" spans="1:17" x14ac:dyDescent="0.25">
      <c r="A949" t="s">
        <v>548</v>
      </c>
      <c r="B949" t="s">
        <v>429</v>
      </c>
      <c r="C949">
        <v>152</v>
      </c>
      <c r="D949">
        <v>20230322</v>
      </c>
      <c r="E949">
        <f t="shared" si="14"/>
        <v>3</v>
      </c>
      <c r="F949">
        <v>411100</v>
      </c>
      <c r="G949" t="s">
        <v>18</v>
      </c>
      <c r="H949" t="s">
        <v>291</v>
      </c>
      <c r="I949" t="s">
        <v>292</v>
      </c>
      <c r="J949">
        <v>368655</v>
      </c>
      <c r="K949">
        <v>20230322</v>
      </c>
      <c r="L949" t="s">
        <v>5580</v>
      </c>
      <c r="M949">
        <v>0</v>
      </c>
      <c r="N949">
        <v>130</v>
      </c>
      <c r="O949" t="s">
        <v>19</v>
      </c>
      <c r="P949" t="s">
        <v>20</v>
      </c>
      <c r="Q949">
        <v>20230322</v>
      </c>
    </row>
    <row r="950" spans="1:17" x14ac:dyDescent="0.25">
      <c r="A950" t="s">
        <v>548</v>
      </c>
      <c r="B950" t="s">
        <v>429</v>
      </c>
      <c r="C950">
        <v>152</v>
      </c>
      <c r="D950">
        <v>20230322</v>
      </c>
      <c r="E950">
        <f t="shared" si="14"/>
        <v>3</v>
      </c>
      <c r="F950">
        <v>531105</v>
      </c>
      <c r="G950" t="s">
        <v>429</v>
      </c>
      <c r="H950" t="s">
        <v>401</v>
      </c>
      <c r="I950" t="s">
        <v>402</v>
      </c>
      <c r="J950">
        <v>368656</v>
      </c>
      <c r="K950">
        <v>20230322</v>
      </c>
      <c r="L950" t="s">
        <v>565</v>
      </c>
      <c r="M950">
        <v>495.85</v>
      </c>
      <c r="N950">
        <v>0</v>
      </c>
      <c r="O950" t="s">
        <v>19</v>
      </c>
      <c r="P950" t="s">
        <v>20</v>
      </c>
      <c r="Q950">
        <v>20230322</v>
      </c>
    </row>
    <row r="951" spans="1:17" x14ac:dyDescent="0.25">
      <c r="A951" t="s">
        <v>548</v>
      </c>
      <c r="B951" t="s">
        <v>429</v>
      </c>
      <c r="C951">
        <v>153</v>
      </c>
      <c r="D951">
        <v>20230323</v>
      </c>
      <c r="E951">
        <f t="shared" si="14"/>
        <v>3</v>
      </c>
      <c r="F951">
        <v>411100</v>
      </c>
      <c r="G951" t="s">
        <v>18</v>
      </c>
      <c r="H951" t="s">
        <v>3654</v>
      </c>
      <c r="I951" t="s">
        <v>3655</v>
      </c>
      <c r="J951">
        <v>122110163</v>
      </c>
      <c r="K951">
        <v>20230323</v>
      </c>
      <c r="L951" t="s">
        <v>5581</v>
      </c>
      <c r="M951">
        <v>0</v>
      </c>
      <c r="N951">
        <v>21</v>
      </c>
      <c r="O951" t="s">
        <v>19</v>
      </c>
      <c r="P951" t="s">
        <v>20</v>
      </c>
      <c r="Q951">
        <v>20230323</v>
      </c>
    </row>
    <row r="952" spans="1:17" x14ac:dyDescent="0.25">
      <c r="A952" t="s">
        <v>548</v>
      </c>
      <c r="B952" t="s">
        <v>429</v>
      </c>
      <c r="C952">
        <v>153</v>
      </c>
      <c r="D952">
        <v>20230323</v>
      </c>
      <c r="E952">
        <f t="shared" si="14"/>
        <v>3</v>
      </c>
      <c r="F952">
        <v>411100</v>
      </c>
      <c r="G952" t="s">
        <v>18</v>
      </c>
      <c r="H952" t="s">
        <v>1762</v>
      </c>
      <c r="I952" t="s">
        <v>1763</v>
      </c>
      <c r="J952">
        <v>368658</v>
      </c>
      <c r="K952">
        <v>20230323</v>
      </c>
      <c r="L952" t="s">
        <v>5582</v>
      </c>
      <c r="M952">
        <v>0</v>
      </c>
      <c r="N952">
        <v>5</v>
      </c>
      <c r="O952" t="s">
        <v>19</v>
      </c>
      <c r="P952" t="s">
        <v>20</v>
      </c>
      <c r="Q952">
        <v>20230323</v>
      </c>
    </row>
    <row r="953" spans="1:17" x14ac:dyDescent="0.25">
      <c r="A953" t="s">
        <v>548</v>
      </c>
      <c r="B953" t="s">
        <v>429</v>
      </c>
      <c r="C953">
        <v>153</v>
      </c>
      <c r="D953">
        <v>20230323</v>
      </c>
      <c r="E953">
        <f t="shared" si="14"/>
        <v>3</v>
      </c>
      <c r="F953">
        <v>411100</v>
      </c>
      <c r="G953" t="s">
        <v>18</v>
      </c>
      <c r="H953" t="s">
        <v>28</v>
      </c>
      <c r="I953" t="s">
        <v>29</v>
      </c>
      <c r="J953">
        <v>123020185</v>
      </c>
      <c r="K953">
        <v>20230323</v>
      </c>
      <c r="L953" t="s">
        <v>5583</v>
      </c>
      <c r="M953">
        <v>0</v>
      </c>
      <c r="N953">
        <v>171.5</v>
      </c>
      <c r="O953" t="s">
        <v>19</v>
      </c>
      <c r="P953" t="s">
        <v>20</v>
      </c>
      <c r="Q953">
        <v>20230323</v>
      </c>
    </row>
    <row r="954" spans="1:17" x14ac:dyDescent="0.25">
      <c r="A954" t="s">
        <v>548</v>
      </c>
      <c r="B954" t="s">
        <v>429</v>
      </c>
      <c r="C954">
        <v>153</v>
      </c>
      <c r="D954">
        <v>20230323</v>
      </c>
      <c r="E954">
        <f t="shared" si="14"/>
        <v>3</v>
      </c>
      <c r="F954">
        <v>411100</v>
      </c>
      <c r="G954" t="s">
        <v>18</v>
      </c>
      <c r="H954" t="s">
        <v>283</v>
      </c>
      <c r="I954" t="s">
        <v>284</v>
      </c>
      <c r="J954">
        <v>368660</v>
      </c>
      <c r="K954">
        <v>20230323</v>
      </c>
      <c r="L954" t="s">
        <v>5584</v>
      </c>
      <c r="M954">
        <v>0</v>
      </c>
      <c r="N954">
        <v>6</v>
      </c>
      <c r="O954" t="s">
        <v>19</v>
      </c>
      <c r="P954" t="s">
        <v>20</v>
      </c>
      <c r="Q954">
        <v>20230323</v>
      </c>
    </row>
    <row r="955" spans="1:17" x14ac:dyDescent="0.25">
      <c r="A955" t="s">
        <v>548</v>
      </c>
      <c r="B955" t="s">
        <v>429</v>
      </c>
      <c r="C955">
        <v>153</v>
      </c>
      <c r="D955">
        <v>20230323</v>
      </c>
      <c r="E955">
        <f t="shared" si="14"/>
        <v>3</v>
      </c>
      <c r="F955">
        <v>531105</v>
      </c>
      <c r="G955" t="s">
        <v>429</v>
      </c>
      <c r="H955" t="s">
        <v>401</v>
      </c>
      <c r="I955" t="s">
        <v>402</v>
      </c>
      <c r="J955">
        <v>368661</v>
      </c>
      <c r="K955">
        <v>20230323</v>
      </c>
      <c r="L955" t="s">
        <v>565</v>
      </c>
      <c r="M955">
        <v>203.5</v>
      </c>
      <c r="N955">
        <v>0</v>
      </c>
      <c r="O955" t="s">
        <v>19</v>
      </c>
      <c r="P955" t="s">
        <v>20</v>
      </c>
      <c r="Q955">
        <v>20230323</v>
      </c>
    </row>
    <row r="956" spans="1:17" x14ac:dyDescent="0.25">
      <c r="A956" t="s">
        <v>548</v>
      </c>
      <c r="B956" t="s">
        <v>429</v>
      </c>
      <c r="C956">
        <v>154</v>
      </c>
      <c r="D956">
        <v>20230323</v>
      </c>
      <c r="E956">
        <f t="shared" si="14"/>
        <v>3</v>
      </c>
      <c r="F956">
        <v>580000</v>
      </c>
      <c r="G956" t="s">
        <v>532</v>
      </c>
      <c r="H956" t="s">
        <v>401</v>
      </c>
      <c r="I956" t="s">
        <v>402</v>
      </c>
      <c r="J956" t="s">
        <v>5585</v>
      </c>
      <c r="K956">
        <v>20230323</v>
      </c>
      <c r="L956" t="s">
        <v>625</v>
      </c>
      <c r="M956">
        <v>1600</v>
      </c>
      <c r="N956">
        <v>0</v>
      </c>
      <c r="O956" t="s">
        <v>22</v>
      </c>
      <c r="P956">
        <v>20230323</v>
      </c>
      <c r="Q956">
        <v>20230323</v>
      </c>
    </row>
    <row r="957" spans="1:17" x14ac:dyDescent="0.25">
      <c r="A957" t="s">
        <v>548</v>
      </c>
      <c r="B957" t="s">
        <v>429</v>
      </c>
      <c r="C957">
        <v>154</v>
      </c>
      <c r="D957">
        <v>20230323</v>
      </c>
      <c r="E957">
        <f t="shared" si="14"/>
        <v>3</v>
      </c>
      <c r="F957">
        <v>531105</v>
      </c>
      <c r="G957" t="s">
        <v>429</v>
      </c>
      <c r="H957" t="s">
        <v>401</v>
      </c>
      <c r="I957" t="s">
        <v>402</v>
      </c>
      <c r="J957" t="s">
        <v>5585</v>
      </c>
      <c r="K957">
        <v>20230323</v>
      </c>
      <c r="L957" t="s">
        <v>625</v>
      </c>
      <c r="M957">
        <v>0</v>
      </c>
      <c r="N957">
        <v>1600</v>
      </c>
      <c r="O957" t="s">
        <v>19</v>
      </c>
      <c r="P957" t="s">
        <v>20</v>
      </c>
      <c r="Q957">
        <v>20230323</v>
      </c>
    </row>
    <row r="958" spans="1:17" x14ac:dyDescent="0.25">
      <c r="A958" t="s">
        <v>548</v>
      </c>
      <c r="B958" t="s">
        <v>429</v>
      </c>
      <c r="C958">
        <v>155</v>
      </c>
      <c r="D958">
        <v>20230324</v>
      </c>
      <c r="E958">
        <f t="shared" si="14"/>
        <v>3</v>
      </c>
      <c r="F958">
        <v>467100</v>
      </c>
      <c r="G958" t="s">
        <v>160</v>
      </c>
      <c r="H958" t="s">
        <v>172</v>
      </c>
      <c r="I958" t="s">
        <v>173</v>
      </c>
      <c r="J958" t="s">
        <v>5586</v>
      </c>
      <c r="K958">
        <v>20230324</v>
      </c>
      <c r="L958" t="s">
        <v>5587</v>
      </c>
      <c r="M958">
        <v>200</v>
      </c>
      <c r="N958">
        <v>0</v>
      </c>
      <c r="O958" t="s">
        <v>19</v>
      </c>
      <c r="P958" t="s">
        <v>20</v>
      </c>
      <c r="Q958">
        <v>20230324</v>
      </c>
    </row>
    <row r="959" spans="1:17" x14ac:dyDescent="0.25">
      <c r="A959" t="s">
        <v>548</v>
      </c>
      <c r="B959" t="s">
        <v>429</v>
      </c>
      <c r="C959">
        <v>155</v>
      </c>
      <c r="D959">
        <v>20230324</v>
      </c>
      <c r="E959">
        <f t="shared" si="14"/>
        <v>3</v>
      </c>
      <c r="F959">
        <v>531105</v>
      </c>
      <c r="G959" t="s">
        <v>429</v>
      </c>
      <c r="H959" t="s">
        <v>401</v>
      </c>
      <c r="I959" t="s">
        <v>402</v>
      </c>
      <c r="J959" t="s">
        <v>5586</v>
      </c>
      <c r="K959">
        <v>20230324</v>
      </c>
      <c r="L959" t="s">
        <v>5587</v>
      </c>
      <c r="M959">
        <v>0</v>
      </c>
      <c r="N959">
        <v>200</v>
      </c>
      <c r="O959" t="s">
        <v>19</v>
      </c>
      <c r="P959" t="s">
        <v>20</v>
      </c>
      <c r="Q959">
        <v>20230324</v>
      </c>
    </row>
    <row r="960" spans="1:17" x14ac:dyDescent="0.25">
      <c r="A960" t="s">
        <v>548</v>
      </c>
      <c r="B960" t="s">
        <v>429</v>
      </c>
      <c r="C960">
        <v>156</v>
      </c>
      <c r="D960">
        <v>20230324</v>
      </c>
      <c r="E960">
        <f t="shared" si="14"/>
        <v>3</v>
      </c>
      <c r="F960">
        <v>467100</v>
      </c>
      <c r="G960" t="s">
        <v>160</v>
      </c>
      <c r="H960" t="s">
        <v>172</v>
      </c>
      <c r="I960" t="s">
        <v>173</v>
      </c>
      <c r="J960" t="s">
        <v>5588</v>
      </c>
      <c r="K960">
        <v>20230324</v>
      </c>
      <c r="L960" t="s">
        <v>174</v>
      </c>
      <c r="M960">
        <v>300</v>
      </c>
      <c r="N960">
        <v>0</v>
      </c>
      <c r="O960" t="s">
        <v>19</v>
      </c>
      <c r="P960" t="s">
        <v>20</v>
      </c>
      <c r="Q960">
        <v>20230324</v>
      </c>
    </row>
    <row r="961" spans="1:17" x14ac:dyDescent="0.25">
      <c r="A961" t="s">
        <v>548</v>
      </c>
      <c r="B961" t="s">
        <v>429</v>
      </c>
      <c r="C961">
        <v>156</v>
      </c>
      <c r="D961">
        <v>20230324</v>
      </c>
      <c r="E961">
        <f t="shared" si="14"/>
        <v>3</v>
      </c>
      <c r="F961">
        <v>531105</v>
      </c>
      <c r="G961" t="s">
        <v>429</v>
      </c>
      <c r="H961" t="s">
        <v>401</v>
      </c>
      <c r="I961" t="s">
        <v>402</v>
      </c>
      <c r="J961" t="s">
        <v>5588</v>
      </c>
      <c r="K961">
        <v>20230324</v>
      </c>
      <c r="L961" t="s">
        <v>174</v>
      </c>
      <c r="M961">
        <v>0</v>
      </c>
      <c r="N961">
        <v>300</v>
      </c>
      <c r="O961" t="s">
        <v>19</v>
      </c>
      <c r="P961" t="s">
        <v>20</v>
      </c>
      <c r="Q961">
        <v>20230324</v>
      </c>
    </row>
    <row r="962" spans="1:17" x14ac:dyDescent="0.25">
      <c r="A962" t="s">
        <v>548</v>
      </c>
      <c r="B962" t="s">
        <v>429</v>
      </c>
      <c r="C962">
        <v>157</v>
      </c>
      <c r="D962">
        <v>20230324</v>
      </c>
      <c r="E962">
        <f t="shared" si="14"/>
        <v>3</v>
      </c>
      <c r="F962">
        <v>467100</v>
      </c>
      <c r="G962" t="s">
        <v>160</v>
      </c>
      <c r="H962" t="s">
        <v>4958</v>
      </c>
      <c r="I962" t="s">
        <v>4959</v>
      </c>
      <c r="J962" t="s">
        <v>5589</v>
      </c>
      <c r="K962">
        <v>20230324</v>
      </c>
      <c r="L962" t="s">
        <v>5590</v>
      </c>
      <c r="M962">
        <v>47</v>
      </c>
      <c r="N962">
        <v>0</v>
      </c>
      <c r="O962" t="s">
        <v>19</v>
      </c>
      <c r="P962" t="s">
        <v>20</v>
      </c>
      <c r="Q962">
        <v>20230324</v>
      </c>
    </row>
    <row r="963" spans="1:17" x14ac:dyDescent="0.25">
      <c r="A963" t="s">
        <v>548</v>
      </c>
      <c r="B963" t="s">
        <v>429</v>
      </c>
      <c r="C963">
        <v>157</v>
      </c>
      <c r="D963">
        <v>20230324</v>
      </c>
      <c r="E963">
        <f t="shared" ref="E963:E1026" si="15">VALUE(MID(D963,5,2))</f>
        <v>3</v>
      </c>
      <c r="F963">
        <v>531105</v>
      </c>
      <c r="G963" t="s">
        <v>429</v>
      </c>
      <c r="H963" t="s">
        <v>401</v>
      </c>
      <c r="I963" t="s">
        <v>402</v>
      </c>
      <c r="J963" t="s">
        <v>5589</v>
      </c>
      <c r="K963">
        <v>20230324</v>
      </c>
      <c r="L963" t="s">
        <v>5590</v>
      </c>
      <c r="M963">
        <v>0</v>
      </c>
      <c r="N963">
        <v>47</v>
      </c>
      <c r="O963" t="s">
        <v>19</v>
      </c>
      <c r="P963" t="s">
        <v>20</v>
      </c>
      <c r="Q963">
        <v>20230324</v>
      </c>
    </row>
    <row r="964" spans="1:17" x14ac:dyDescent="0.25">
      <c r="A964" t="s">
        <v>548</v>
      </c>
      <c r="B964" t="s">
        <v>429</v>
      </c>
      <c r="C964">
        <v>158</v>
      </c>
      <c r="D964">
        <v>20230324</v>
      </c>
      <c r="E964">
        <f t="shared" si="15"/>
        <v>3</v>
      </c>
      <c r="F964">
        <v>467100</v>
      </c>
      <c r="G964" t="s">
        <v>160</v>
      </c>
      <c r="H964" t="s">
        <v>4958</v>
      </c>
      <c r="I964" t="s">
        <v>4959</v>
      </c>
      <c r="J964" t="s">
        <v>5591</v>
      </c>
      <c r="K964">
        <v>20230324</v>
      </c>
      <c r="L964" t="s">
        <v>5592</v>
      </c>
      <c r="M964">
        <v>20</v>
      </c>
      <c r="N964">
        <v>0</v>
      </c>
      <c r="O964" t="s">
        <v>19</v>
      </c>
      <c r="P964" t="s">
        <v>20</v>
      </c>
      <c r="Q964">
        <v>20230324</v>
      </c>
    </row>
    <row r="965" spans="1:17" x14ac:dyDescent="0.25">
      <c r="A965" t="s">
        <v>548</v>
      </c>
      <c r="B965" t="s">
        <v>429</v>
      </c>
      <c r="C965">
        <v>158</v>
      </c>
      <c r="D965">
        <v>20230324</v>
      </c>
      <c r="E965">
        <f t="shared" si="15"/>
        <v>3</v>
      </c>
      <c r="F965">
        <v>531105</v>
      </c>
      <c r="G965" t="s">
        <v>429</v>
      </c>
      <c r="H965" t="s">
        <v>401</v>
      </c>
      <c r="I965" t="s">
        <v>402</v>
      </c>
      <c r="J965" t="s">
        <v>5591</v>
      </c>
      <c r="K965">
        <v>20230324</v>
      </c>
      <c r="L965" t="s">
        <v>5592</v>
      </c>
      <c r="M965">
        <v>0</v>
      </c>
      <c r="N965">
        <v>20</v>
      </c>
      <c r="O965" t="s">
        <v>19</v>
      </c>
      <c r="P965" t="s">
        <v>20</v>
      </c>
      <c r="Q965">
        <v>20230324</v>
      </c>
    </row>
    <row r="966" spans="1:17" x14ac:dyDescent="0.25">
      <c r="A966" t="s">
        <v>548</v>
      </c>
      <c r="B966" t="s">
        <v>429</v>
      </c>
      <c r="C966">
        <v>159</v>
      </c>
      <c r="D966">
        <v>20230324</v>
      </c>
      <c r="E966">
        <f t="shared" si="15"/>
        <v>3</v>
      </c>
      <c r="F966">
        <v>467100</v>
      </c>
      <c r="G966" t="s">
        <v>160</v>
      </c>
      <c r="H966" t="s">
        <v>4964</v>
      </c>
      <c r="I966" t="s">
        <v>4965</v>
      </c>
      <c r="J966" t="s">
        <v>5593</v>
      </c>
      <c r="K966">
        <v>20230324</v>
      </c>
      <c r="L966" t="s">
        <v>5594</v>
      </c>
      <c r="M966">
        <v>0</v>
      </c>
      <c r="N966">
        <v>1.91</v>
      </c>
      <c r="O966" t="s">
        <v>19</v>
      </c>
      <c r="P966" t="s">
        <v>20</v>
      </c>
      <c r="Q966">
        <v>20230324</v>
      </c>
    </row>
    <row r="967" spans="1:17" x14ac:dyDescent="0.25">
      <c r="A967" t="s">
        <v>548</v>
      </c>
      <c r="B967" t="s">
        <v>429</v>
      </c>
      <c r="C967">
        <v>159</v>
      </c>
      <c r="D967">
        <v>20230324</v>
      </c>
      <c r="E967">
        <f t="shared" si="15"/>
        <v>3</v>
      </c>
      <c r="F967">
        <v>531105</v>
      </c>
      <c r="G967" t="s">
        <v>429</v>
      </c>
      <c r="H967" t="s">
        <v>401</v>
      </c>
      <c r="I967" t="s">
        <v>402</v>
      </c>
      <c r="J967" t="s">
        <v>5593</v>
      </c>
      <c r="K967">
        <v>20230324</v>
      </c>
      <c r="L967" t="s">
        <v>5594</v>
      </c>
      <c r="M967">
        <v>1.91</v>
      </c>
      <c r="N967">
        <v>0</v>
      </c>
      <c r="O967" t="s">
        <v>19</v>
      </c>
      <c r="P967" t="s">
        <v>20</v>
      </c>
      <c r="Q967">
        <v>20230324</v>
      </c>
    </row>
    <row r="968" spans="1:17" x14ac:dyDescent="0.25">
      <c r="A968" t="s">
        <v>548</v>
      </c>
      <c r="B968" t="s">
        <v>429</v>
      </c>
      <c r="C968">
        <v>160</v>
      </c>
      <c r="D968">
        <v>20230331</v>
      </c>
      <c r="E968">
        <f t="shared" si="15"/>
        <v>3</v>
      </c>
      <c r="F968">
        <v>467100</v>
      </c>
      <c r="G968" t="s">
        <v>160</v>
      </c>
      <c r="H968" t="s">
        <v>4847</v>
      </c>
      <c r="I968" t="s">
        <v>4848</v>
      </c>
      <c r="J968" t="s">
        <v>5595</v>
      </c>
      <c r="K968">
        <v>20230331</v>
      </c>
      <c r="L968" t="s">
        <v>5596</v>
      </c>
      <c r="M968">
        <v>23.16</v>
      </c>
      <c r="N968">
        <v>0</v>
      </c>
      <c r="O968" t="s">
        <v>19</v>
      </c>
      <c r="P968" t="s">
        <v>20</v>
      </c>
      <c r="Q968">
        <v>20230331</v>
      </c>
    </row>
    <row r="969" spans="1:17" x14ac:dyDescent="0.25">
      <c r="A969" t="s">
        <v>548</v>
      </c>
      <c r="B969" t="s">
        <v>429</v>
      </c>
      <c r="C969">
        <v>160</v>
      </c>
      <c r="D969">
        <v>20230331</v>
      </c>
      <c r="E969">
        <f t="shared" si="15"/>
        <v>3</v>
      </c>
      <c r="F969">
        <v>531105</v>
      </c>
      <c r="G969" t="s">
        <v>429</v>
      </c>
      <c r="H969" t="s">
        <v>401</v>
      </c>
      <c r="I969" t="s">
        <v>402</v>
      </c>
      <c r="J969" t="s">
        <v>5595</v>
      </c>
      <c r="K969">
        <v>20230331</v>
      </c>
      <c r="L969" t="s">
        <v>5596</v>
      </c>
      <c r="M969">
        <v>0</v>
      </c>
      <c r="N969">
        <v>23.16</v>
      </c>
      <c r="O969" t="s">
        <v>19</v>
      </c>
      <c r="P969" t="s">
        <v>20</v>
      </c>
      <c r="Q969">
        <v>20230331</v>
      </c>
    </row>
    <row r="970" spans="1:17" x14ac:dyDescent="0.25">
      <c r="A970" t="s">
        <v>548</v>
      </c>
      <c r="B970" t="s">
        <v>429</v>
      </c>
      <c r="C970">
        <v>161</v>
      </c>
      <c r="D970">
        <v>20230331</v>
      </c>
      <c r="E970">
        <f t="shared" si="15"/>
        <v>3</v>
      </c>
      <c r="F970">
        <v>467100</v>
      </c>
      <c r="G970" t="s">
        <v>160</v>
      </c>
      <c r="H970" t="s">
        <v>1305</v>
      </c>
      <c r="I970" t="s">
        <v>1306</v>
      </c>
      <c r="J970" t="s">
        <v>5597</v>
      </c>
      <c r="K970">
        <v>20230331</v>
      </c>
      <c r="L970" t="s">
        <v>5598</v>
      </c>
      <c r="M970">
        <v>200</v>
      </c>
      <c r="N970">
        <v>0</v>
      </c>
      <c r="O970" t="s">
        <v>19</v>
      </c>
      <c r="P970" t="s">
        <v>20</v>
      </c>
      <c r="Q970">
        <v>20230331</v>
      </c>
    </row>
    <row r="971" spans="1:17" x14ac:dyDescent="0.25">
      <c r="A971" t="s">
        <v>548</v>
      </c>
      <c r="B971" t="s">
        <v>429</v>
      </c>
      <c r="C971">
        <v>161</v>
      </c>
      <c r="D971">
        <v>20230331</v>
      </c>
      <c r="E971">
        <f t="shared" si="15"/>
        <v>3</v>
      </c>
      <c r="F971">
        <v>531105</v>
      </c>
      <c r="G971" t="s">
        <v>429</v>
      </c>
      <c r="H971" t="s">
        <v>401</v>
      </c>
      <c r="I971" t="s">
        <v>402</v>
      </c>
      <c r="J971" t="s">
        <v>5597</v>
      </c>
      <c r="K971">
        <v>20230331</v>
      </c>
      <c r="L971" t="s">
        <v>5598</v>
      </c>
      <c r="M971">
        <v>0</v>
      </c>
      <c r="N971">
        <v>200</v>
      </c>
      <c r="O971" t="s">
        <v>19</v>
      </c>
      <c r="P971" t="s">
        <v>20</v>
      </c>
      <c r="Q971">
        <v>20230331</v>
      </c>
    </row>
    <row r="972" spans="1:17" x14ac:dyDescent="0.25">
      <c r="A972" t="s">
        <v>548</v>
      </c>
      <c r="B972" t="s">
        <v>429</v>
      </c>
      <c r="C972">
        <v>162</v>
      </c>
      <c r="D972">
        <v>20230323</v>
      </c>
      <c r="E972">
        <f t="shared" si="15"/>
        <v>3</v>
      </c>
      <c r="F972">
        <v>411100</v>
      </c>
      <c r="G972" t="s">
        <v>18</v>
      </c>
      <c r="H972" t="s">
        <v>1762</v>
      </c>
      <c r="I972" t="s">
        <v>1763</v>
      </c>
      <c r="J972">
        <v>369443</v>
      </c>
      <c r="K972">
        <v>20230323</v>
      </c>
      <c r="L972" t="s">
        <v>5599</v>
      </c>
      <c r="M972">
        <v>0</v>
      </c>
      <c r="N972">
        <v>19.350000000000001</v>
      </c>
      <c r="O972" t="s">
        <v>19</v>
      </c>
      <c r="P972" t="s">
        <v>20</v>
      </c>
      <c r="Q972">
        <v>20230323</v>
      </c>
    </row>
    <row r="973" spans="1:17" x14ac:dyDescent="0.25">
      <c r="A973" t="s">
        <v>548</v>
      </c>
      <c r="B973" t="s">
        <v>429</v>
      </c>
      <c r="C973">
        <v>162</v>
      </c>
      <c r="D973">
        <v>20230323</v>
      </c>
      <c r="E973">
        <f t="shared" si="15"/>
        <v>3</v>
      </c>
      <c r="F973">
        <v>531105</v>
      </c>
      <c r="G973" t="s">
        <v>429</v>
      </c>
      <c r="H973" t="s">
        <v>401</v>
      </c>
      <c r="I973" t="s">
        <v>402</v>
      </c>
      <c r="J973">
        <v>369444</v>
      </c>
      <c r="K973">
        <v>20230323</v>
      </c>
      <c r="L973" t="s">
        <v>565</v>
      </c>
      <c r="M973">
        <v>19.350000000000001</v>
      </c>
      <c r="N973">
        <v>0</v>
      </c>
      <c r="O973" t="s">
        <v>19</v>
      </c>
      <c r="P973" t="s">
        <v>20</v>
      </c>
      <c r="Q973">
        <v>20230323</v>
      </c>
    </row>
    <row r="974" spans="1:17" x14ac:dyDescent="0.25">
      <c r="A974" t="s">
        <v>548</v>
      </c>
      <c r="B974" t="s">
        <v>429</v>
      </c>
      <c r="C974">
        <v>163</v>
      </c>
      <c r="D974">
        <v>20230324</v>
      </c>
      <c r="E974">
        <f t="shared" si="15"/>
        <v>3</v>
      </c>
      <c r="F974">
        <v>411100</v>
      </c>
      <c r="G974" t="s">
        <v>18</v>
      </c>
      <c r="H974" t="s">
        <v>297</v>
      </c>
      <c r="I974" t="s">
        <v>298</v>
      </c>
      <c r="J974">
        <v>122080004</v>
      </c>
      <c r="K974">
        <v>20230324</v>
      </c>
      <c r="L974" t="s">
        <v>5600</v>
      </c>
      <c r="M974">
        <v>0</v>
      </c>
      <c r="N974">
        <v>113.32</v>
      </c>
      <c r="O974" t="s">
        <v>19</v>
      </c>
      <c r="P974" t="s">
        <v>20</v>
      </c>
      <c r="Q974">
        <v>20230324</v>
      </c>
    </row>
    <row r="975" spans="1:17" x14ac:dyDescent="0.25">
      <c r="A975" t="s">
        <v>548</v>
      </c>
      <c r="B975" t="s">
        <v>429</v>
      </c>
      <c r="C975">
        <v>163</v>
      </c>
      <c r="D975">
        <v>20230324</v>
      </c>
      <c r="E975">
        <f t="shared" si="15"/>
        <v>3</v>
      </c>
      <c r="F975">
        <v>411100</v>
      </c>
      <c r="G975" t="s">
        <v>18</v>
      </c>
      <c r="H975" t="s">
        <v>3654</v>
      </c>
      <c r="I975" t="s">
        <v>3655</v>
      </c>
      <c r="J975">
        <v>122110163</v>
      </c>
      <c r="K975">
        <v>20230324</v>
      </c>
      <c r="L975" t="s">
        <v>5601</v>
      </c>
      <c r="M975">
        <v>0</v>
      </c>
      <c r="N975">
        <v>1.5</v>
      </c>
      <c r="O975" t="s">
        <v>19</v>
      </c>
      <c r="P975" t="s">
        <v>20</v>
      </c>
      <c r="Q975">
        <v>20230324</v>
      </c>
    </row>
    <row r="976" spans="1:17" x14ac:dyDescent="0.25">
      <c r="A976" t="s">
        <v>548</v>
      </c>
      <c r="B976" t="s">
        <v>429</v>
      </c>
      <c r="C976">
        <v>163</v>
      </c>
      <c r="D976">
        <v>20230324</v>
      </c>
      <c r="E976">
        <f t="shared" si="15"/>
        <v>3</v>
      </c>
      <c r="F976">
        <v>411100</v>
      </c>
      <c r="G976" t="s">
        <v>18</v>
      </c>
      <c r="H976" t="s">
        <v>3654</v>
      </c>
      <c r="I976" t="s">
        <v>3655</v>
      </c>
      <c r="J976">
        <v>122110163</v>
      </c>
      <c r="K976">
        <v>20230324</v>
      </c>
      <c r="L976" t="s">
        <v>5602</v>
      </c>
      <c r="M976">
        <v>0</v>
      </c>
      <c r="N976">
        <v>19.5</v>
      </c>
      <c r="O976" t="s">
        <v>19</v>
      </c>
      <c r="P976" t="s">
        <v>20</v>
      </c>
      <c r="Q976">
        <v>20230324</v>
      </c>
    </row>
    <row r="977" spans="1:17" x14ac:dyDescent="0.25">
      <c r="A977" t="s">
        <v>548</v>
      </c>
      <c r="B977" t="s">
        <v>429</v>
      </c>
      <c r="C977">
        <v>163</v>
      </c>
      <c r="D977">
        <v>20230324</v>
      </c>
      <c r="E977">
        <f t="shared" si="15"/>
        <v>3</v>
      </c>
      <c r="F977">
        <v>411100</v>
      </c>
      <c r="G977" t="s">
        <v>18</v>
      </c>
      <c r="H977" t="s">
        <v>5603</v>
      </c>
      <c r="I977" t="s">
        <v>5604</v>
      </c>
      <c r="J977">
        <v>123030074</v>
      </c>
      <c r="K977">
        <v>20230324</v>
      </c>
      <c r="L977" t="s">
        <v>5605</v>
      </c>
      <c r="M977">
        <v>0</v>
      </c>
      <c r="N977">
        <v>22</v>
      </c>
      <c r="O977" t="s">
        <v>19</v>
      </c>
      <c r="P977" t="s">
        <v>20</v>
      </c>
      <c r="Q977">
        <v>20230324</v>
      </c>
    </row>
    <row r="978" spans="1:17" x14ac:dyDescent="0.25">
      <c r="A978" t="s">
        <v>548</v>
      </c>
      <c r="B978" t="s">
        <v>429</v>
      </c>
      <c r="C978">
        <v>163</v>
      </c>
      <c r="D978">
        <v>20230324</v>
      </c>
      <c r="E978">
        <f t="shared" si="15"/>
        <v>3</v>
      </c>
      <c r="F978">
        <v>411100</v>
      </c>
      <c r="G978" t="s">
        <v>18</v>
      </c>
      <c r="H978" t="s">
        <v>320</v>
      </c>
      <c r="I978" t="s">
        <v>321</v>
      </c>
      <c r="J978">
        <v>123020032</v>
      </c>
      <c r="K978">
        <v>20230324</v>
      </c>
      <c r="L978" t="s">
        <v>5606</v>
      </c>
      <c r="M978">
        <v>0</v>
      </c>
      <c r="N978">
        <v>88.66</v>
      </c>
      <c r="O978" t="s">
        <v>19</v>
      </c>
      <c r="P978" t="s">
        <v>20</v>
      </c>
      <c r="Q978">
        <v>20230324</v>
      </c>
    </row>
    <row r="979" spans="1:17" x14ac:dyDescent="0.25">
      <c r="A979" t="s">
        <v>548</v>
      </c>
      <c r="B979" t="s">
        <v>429</v>
      </c>
      <c r="C979">
        <v>163</v>
      </c>
      <c r="D979">
        <v>20230324</v>
      </c>
      <c r="E979">
        <f t="shared" si="15"/>
        <v>3</v>
      </c>
      <c r="F979">
        <v>411100</v>
      </c>
      <c r="G979" t="s">
        <v>18</v>
      </c>
      <c r="H979" t="s">
        <v>5103</v>
      </c>
      <c r="I979" t="s">
        <v>5104</v>
      </c>
      <c r="J979">
        <v>123030040</v>
      </c>
      <c r="K979">
        <v>20230324</v>
      </c>
      <c r="L979" t="s">
        <v>5607</v>
      </c>
      <c r="M979">
        <v>0</v>
      </c>
      <c r="N979">
        <v>98.46</v>
      </c>
      <c r="O979" t="s">
        <v>19</v>
      </c>
      <c r="P979" t="s">
        <v>20</v>
      </c>
      <c r="Q979">
        <v>20230324</v>
      </c>
    </row>
    <row r="980" spans="1:17" x14ac:dyDescent="0.25">
      <c r="A980" t="s">
        <v>548</v>
      </c>
      <c r="B980" t="s">
        <v>429</v>
      </c>
      <c r="C980">
        <v>163</v>
      </c>
      <c r="D980">
        <v>20230324</v>
      </c>
      <c r="E980">
        <f t="shared" si="15"/>
        <v>3</v>
      </c>
      <c r="F980">
        <v>531105</v>
      </c>
      <c r="G980" t="s">
        <v>429</v>
      </c>
      <c r="H980" t="s">
        <v>401</v>
      </c>
      <c r="I980" t="s">
        <v>402</v>
      </c>
      <c r="J980">
        <v>369451</v>
      </c>
      <c r="K980">
        <v>20230324</v>
      </c>
      <c r="L980" t="s">
        <v>565</v>
      </c>
      <c r="M980">
        <v>343.44</v>
      </c>
      <c r="N980">
        <v>0</v>
      </c>
      <c r="O980" t="s">
        <v>19</v>
      </c>
      <c r="P980" t="s">
        <v>20</v>
      </c>
      <c r="Q980">
        <v>20230324</v>
      </c>
    </row>
    <row r="981" spans="1:17" x14ac:dyDescent="0.25">
      <c r="A981" t="s">
        <v>548</v>
      </c>
      <c r="B981" t="s">
        <v>429</v>
      </c>
      <c r="C981">
        <v>164</v>
      </c>
      <c r="D981">
        <v>20230327</v>
      </c>
      <c r="E981">
        <f t="shared" si="15"/>
        <v>3</v>
      </c>
      <c r="F981">
        <v>411100</v>
      </c>
      <c r="G981" t="s">
        <v>18</v>
      </c>
      <c r="H981" t="s">
        <v>194</v>
      </c>
      <c r="I981" t="s">
        <v>195</v>
      </c>
      <c r="J981">
        <v>123020084</v>
      </c>
      <c r="K981">
        <v>20230327</v>
      </c>
      <c r="L981" t="s">
        <v>5608</v>
      </c>
      <c r="M981">
        <v>0</v>
      </c>
      <c r="N981">
        <v>52.46</v>
      </c>
      <c r="O981" t="s">
        <v>19</v>
      </c>
      <c r="P981" t="s">
        <v>20</v>
      </c>
      <c r="Q981">
        <v>20230327</v>
      </c>
    </row>
    <row r="982" spans="1:17" x14ac:dyDescent="0.25">
      <c r="A982" t="s">
        <v>548</v>
      </c>
      <c r="B982" t="s">
        <v>429</v>
      </c>
      <c r="C982">
        <v>164</v>
      </c>
      <c r="D982">
        <v>20230327</v>
      </c>
      <c r="E982">
        <f t="shared" si="15"/>
        <v>3</v>
      </c>
      <c r="F982">
        <v>411100</v>
      </c>
      <c r="G982" t="s">
        <v>18</v>
      </c>
      <c r="H982" t="s">
        <v>3648</v>
      </c>
      <c r="I982" t="s">
        <v>3649</v>
      </c>
      <c r="J982">
        <v>123020066</v>
      </c>
      <c r="K982">
        <v>20230327</v>
      </c>
      <c r="L982" t="s">
        <v>5609</v>
      </c>
      <c r="M982">
        <v>0</v>
      </c>
      <c r="N982">
        <v>22.5</v>
      </c>
      <c r="O982" t="s">
        <v>19</v>
      </c>
      <c r="P982" t="s">
        <v>20</v>
      </c>
      <c r="Q982">
        <v>20230327</v>
      </c>
    </row>
    <row r="983" spans="1:17" x14ac:dyDescent="0.25">
      <c r="A983" t="s">
        <v>548</v>
      </c>
      <c r="B983" t="s">
        <v>429</v>
      </c>
      <c r="C983">
        <v>164</v>
      </c>
      <c r="D983">
        <v>20230327</v>
      </c>
      <c r="E983">
        <f t="shared" si="15"/>
        <v>3</v>
      </c>
      <c r="F983">
        <v>411100</v>
      </c>
      <c r="G983" t="s">
        <v>18</v>
      </c>
      <c r="H983" t="s">
        <v>804</v>
      </c>
      <c r="I983" t="s">
        <v>805</v>
      </c>
      <c r="J983">
        <v>369454</v>
      </c>
      <c r="K983">
        <v>20230327</v>
      </c>
      <c r="L983" t="s">
        <v>5610</v>
      </c>
      <c r="M983">
        <v>0</v>
      </c>
      <c r="N983">
        <v>19</v>
      </c>
      <c r="O983" t="s">
        <v>19</v>
      </c>
      <c r="P983" t="s">
        <v>20</v>
      </c>
      <c r="Q983">
        <v>20230327</v>
      </c>
    </row>
    <row r="984" spans="1:17" x14ac:dyDescent="0.25">
      <c r="A984" t="s">
        <v>548</v>
      </c>
      <c r="B984" t="s">
        <v>429</v>
      </c>
      <c r="C984">
        <v>164</v>
      </c>
      <c r="D984">
        <v>20230327</v>
      </c>
      <c r="E984">
        <f t="shared" si="15"/>
        <v>3</v>
      </c>
      <c r="F984">
        <v>531105</v>
      </c>
      <c r="G984" t="s">
        <v>429</v>
      </c>
      <c r="H984" t="s">
        <v>401</v>
      </c>
      <c r="I984" t="s">
        <v>402</v>
      </c>
      <c r="J984">
        <v>369455</v>
      </c>
      <c r="K984">
        <v>20230327</v>
      </c>
      <c r="L984" t="s">
        <v>565</v>
      </c>
      <c r="M984">
        <v>93.96</v>
      </c>
      <c r="N984">
        <v>0</v>
      </c>
      <c r="O984" t="s">
        <v>19</v>
      </c>
      <c r="P984" t="s">
        <v>20</v>
      </c>
      <c r="Q984">
        <v>20230327</v>
      </c>
    </row>
    <row r="985" spans="1:17" x14ac:dyDescent="0.25">
      <c r="A985" t="s">
        <v>548</v>
      </c>
      <c r="B985" t="s">
        <v>429</v>
      </c>
      <c r="C985">
        <v>165</v>
      </c>
      <c r="D985">
        <v>20230329</v>
      </c>
      <c r="E985">
        <f t="shared" si="15"/>
        <v>3</v>
      </c>
      <c r="F985">
        <v>411100</v>
      </c>
      <c r="G985" t="s">
        <v>18</v>
      </c>
      <c r="H985" t="s">
        <v>798</v>
      </c>
      <c r="I985" t="s">
        <v>799</v>
      </c>
      <c r="J985">
        <v>122110153</v>
      </c>
      <c r="K985">
        <v>20230329</v>
      </c>
      <c r="L985" t="s">
        <v>5611</v>
      </c>
      <c r="M985">
        <v>0</v>
      </c>
      <c r="N985">
        <v>382.14</v>
      </c>
      <c r="O985" t="s">
        <v>19</v>
      </c>
      <c r="P985" t="s">
        <v>20</v>
      </c>
      <c r="Q985">
        <v>20230329</v>
      </c>
    </row>
    <row r="986" spans="1:17" x14ac:dyDescent="0.25">
      <c r="A986" t="s">
        <v>548</v>
      </c>
      <c r="B986" t="s">
        <v>429</v>
      </c>
      <c r="C986">
        <v>165</v>
      </c>
      <c r="D986">
        <v>20230329</v>
      </c>
      <c r="E986">
        <f t="shared" si="15"/>
        <v>3</v>
      </c>
      <c r="F986">
        <v>411020</v>
      </c>
      <c r="G986" t="s">
        <v>30</v>
      </c>
      <c r="H986" t="s">
        <v>285</v>
      </c>
      <c r="I986" t="s">
        <v>286</v>
      </c>
      <c r="J986">
        <v>369457</v>
      </c>
      <c r="K986">
        <v>20230329</v>
      </c>
      <c r="L986" t="s">
        <v>5612</v>
      </c>
      <c r="M986">
        <v>0</v>
      </c>
      <c r="N986">
        <v>15</v>
      </c>
      <c r="O986" t="s">
        <v>19</v>
      </c>
      <c r="P986" t="s">
        <v>20</v>
      </c>
      <c r="Q986">
        <v>20230329</v>
      </c>
    </row>
    <row r="987" spans="1:17" x14ac:dyDescent="0.25">
      <c r="A987" t="s">
        <v>548</v>
      </c>
      <c r="B987" t="s">
        <v>429</v>
      </c>
      <c r="C987">
        <v>165</v>
      </c>
      <c r="D987">
        <v>20230329</v>
      </c>
      <c r="E987">
        <f t="shared" si="15"/>
        <v>3</v>
      </c>
      <c r="F987">
        <v>411020</v>
      </c>
      <c r="G987" t="s">
        <v>30</v>
      </c>
      <c r="H987" t="s">
        <v>138</v>
      </c>
      <c r="I987" t="s">
        <v>139</v>
      </c>
      <c r="J987">
        <v>369458</v>
      </c>
      <c r="K987">
        <v>20230329</v>
      </c>
      <c r="L987" t="s">
        <v>5613</v>
      </c>
      <c r="M987">
        <v>0</v>
      </c>
      <c r="N987">
        <v>11.49</v>
      </c>
      <c r="O987" t="s">
        <v>19</v>
      </c>
      <c r="P987" t="s">
        <v>20</v>
      </c>
      <c r="Q987">
        <v>20230329</v>
      </c>
    </row>
    <row r="988" spans="1:17" x14ac:dyDescent="0.25">
      <c r="A988" t="s">
        <v>548</v>
      </c>
      <c r="B988" t="s">
        <v>429</v>
      </c>
      <c r="C988">
        <v>165</v>
      </c>
      <c r="D988">
        <v>20230329</v>
      </c>
      <c r="E988">
        <f t="shared" si="15"/>
        <v>3</v>
      </c>
      <c r="F988">
        <v>411100</v>
      </c>
      <c r="G988" t="s">
        <v>18</v>
      </c>
      <c r="H988" t="s">
        <v>941</v>
      </c>
      <c r="I988" t="s">
        <v>942</v>
      </c>
      <c r="J988">
        <v>369459</v>
      </c>
      <c r="K988">
        <v>20230329</v>
      </c>
      <c r="L988" t="s">
        <v>5614</v>
      </c>
      <c r="M988">
        <v>0</v>
      </c>
      <c r="N988">
        <v>19.48</v>
      </c>
      <c r="O988" t="s">
        <v>19</v>
      </c>
      <c r="P988" t="s">
        <v>20</v>
      </c>
      <c r="Q988">
        <v>20230329</v>
      </c>
    </row>
    <row r="989" spans="1:17" x14ac:dyDescent="0.25">
      <c r="A989" t="s">
        <v>548</v>
      </c>
      <c r="B989" t="s">
        <v>429</v>
      </c>
      <c r="C989">
        <v>165</v>
      </c>
      <c r="D989">
        <v>20230329</v>
      </c>
      <c r="E989">
        <f t="shared" si="15"/>
        <v>3</v>
      </c>
      <c r="F989">
        <v>411100</v>
      </c>
      <c r="G989" t="s">
        <v>18</v>
      </c>
      <c r="H989" t="s">
        <v>941</v>
      </c>
      <c r="I989" t="s">
        <v>942</v>
      </c>
      <c r="J989">
        <v>369460</v>
      </c>
      <c r="K989">
        <v>20230329</v>
      </c>
      <c r="L989" t="s">
        <v>5615</v>
      </c>
      <c r="M989">
        <v>0</v>
      </c>
      <c r="N989">
        <v>0.02</v>
      </c>
      <c r="O989" t="s">
        <v>19</v>
      </c>
      <c r="P989" t="s">
        <v>20</v>
      </c>
      <c r="Q989">
        <v>20230329</v>
      </c>
    </row>
    <row r="990" spans="1:17" x14ac:dyDescent="0.25">
      <c r="A990" t="s">
        <v>548</v>
      </c>
      <c r="B990" t="s">
        <v>429</v>
      </c>
      <c r="C990">
        <v>165</v>
      </c>
      <c r="D990">
        <v>20230329</v>
      </c>
      <c r="E990">
        <f t="shared" si="15"/>
        <v>3</v>
      </c>
      <c r="F990">
        <v>411100</v>
      </c>
      <c r="G990" t="s">
        <v>18</v>
      </c>
      <c r="H990" t="s">
        <v>3648</v>
      </c>
      <c r="I990" t="s">
        <v>3649</v>
      </c>
      <c r="J990">
        <v>369461</v>
      </c>
      <c r="K990">
        <v>20230329</v>
      </c>
      <c r="L990" t="s">
        <v>5616</v>
      </c>
      <c r="M990">
        <v>0</v>
      </c>
      <c r="N990">
        <v>12</v>
      </c>
      <c r="O990" t="s">
        <v>19</v>
      </c>
      <c r="P990" t="s">
        <v>20</v>
      </c>
      <c r="Q990">
        <v>20230329</v>
      </c>
    </row>
    <row r="991" spans="1:17" x14ac:dyDescent="0.25">
      <c r="A991" t="s">
        <v>548</v>
      </c>
      <c r="B991" t="s">
        <v>429</v>
      </c>
      <c r="C991">
        <v>165</v>
      </c>
      <c r="D991">
        <v>20230329</v>
      </c>
      <c r="E991">
        <f t="shared" si="15"/>
        <v>3</v>
      </c>
      <c r="F991">
        <v>411100</v>
      </c>
      <c r="G991" t="s">
        <v>18</v>
      </c>
      <c r="H991" t="s">
        <v>3648</v>
      </c>
      <c r="I991" t="s">
        <v>3649</v>
      </c>
      <c r="J991">
        <v>369462</v>
      </c>
      <c r="K991">
        <v>20230329</v>
      </c>
      <c r="L991" t="s">
        <v>5617</v>
      </c>
      <c r="M991">
        <v>7.5</v>
      </c>
      <c r="N991">
        <v>0</v>
      </c>
      <c r="O991" t="s">
        <v>19</v>
      </c>
      <c r="P991" t="s">
        <v>20</v>
      </c>
      <c r="Q991">
        <v>20230329</v>
      </c>
    </row>
    <row r="992" spans="1:17" x14ac:dyDescent="0.25">
      <c r="A992" t="s">
        <v>548</v>
      </c>
      <c r="B992" t="s">
        <v>429</v>
      </c>
      <c r="C992">
        <v>165</v>
      </c>
      <c r="D992">
        <v>20230329</v>
      </c>
      <c r="E992">
        <f t="shared" si="15"/>
        <v>3</v>
      </c>
      <c r="F992">
        <v>411100</v>
      </c>
      <c r="G992" t="s">
        <v>18</v>
      </c>
      <c r="H992" t="s">
        <v>305</v>
      </c>
      <c r="I992" t="s">
        <v>306</v>
      </c>
      <c r="J992">
        <v>369463</v>
      </c>
      <c r="K992">
        <v>20230329</v>
      </c>
      <c r="L992" t="s">
        <v>5618</v>
      </c>
      <c r="M992">
        <v>0</v>
      </c>
      <c r="N992">
        <v>97.2</v>
      </c>
      <c r="O992" t="s">
        <v>19</v>
      </c>
      <c r="P992" t="s">
        <v>20</v>
      </c>
      <c r="Q992">
        <v>20230329</v>
      </c>
    </row>
    <row r="993" spans="1:17" x14ac:dyDescent="0.25">
      <c r="A993" t="s">
        <v>548</v>
      </c>
      <c r="B993" t="s">
        <v>429</v>
      </c>
      <c r="C993">
        <v>165</v>
      </c>
      <c r="D993">
        <v>20230329</v>
      </c>
      <c r="E993">
        <f t="shared" si="15"/>
        <v>3</v>
      </c>
      <c r="F993">
        <v>531105</v>
      </c>
      <c r="G993" t="s">
        <v>429</v>
      </c>
      <c r="H993" t="s">
        <v>401</v>
      </c>
      <c r="I993" t="s">
        <v>402</v>
      </c>
      <c r="J993">
        <v>369464</v>
      </c>
      <c r="K993">
        <v>20230329</v>
      </c>
      <c r="L993" t="s">
        <v>565</v>
      </c>
      <c r="M993">
        <v>529.83000000000004</v>
      </c>
      <c r="N993">
        <v>0</v>
      </c>
      <c r="O993" t="s">
        <v>19</v>
      </c>
      <c r="P993" t="s">
        <v>20</v>
      </c>
      <c r="Q993">
        <v>20230329</v>
      </c>
    </row>
    <row r="994" spans="1:17" x14ac:dyDescent="0.25">
      <c r="A994" t="s">
        <v>548</v>
      </c>
      <c r="B994" t="s">
        <v>429</v>
      </c>
      <c r="C994">
        <v>166</v>
      </c>
      <c r="D994">
        <v>20230330</v>
      </c>
      <c r="E994">
        <f t="shared" si="15"/>
        <v>3</v>
      </c>
      <c r="F994">
        <v>411100</v>
      </c>
      <c r="G994" t="s">
        <v>18</v>
      </c>
      <c r="H994" t="s">
        <v>352</v>
      </c>
      <c r="I994" t="s">
        <v>353</v>
      </c>
      <c r="J994">
        <v>123040003</v>
      </c>
      <c r="K994">
        <v>20230330</v>
      </c>
      <c r="L994" t="s">
        <v>5619</v>
      </c>
      <c r="M994">
        <v>0</v>
      </c>
      <c r="N994">
        <v>65.819999999999993</v>
      </c>
      <c r="O994" t="s">
        <v>19</v>
      </c>
      <c r="P994" t="s">
        <v>20</v>
      </c>
      <c r="Q994">
        <v>20230330</v>
      </c>
    </row>
    <row r="995" spans="1:17" x14ac:dyDescent="0.25">
      <c r="A995" t="s">
        <v>548</v>
      </c>
      <c r="B995" t="s">
        <v>429</v>
      </c>
      <c r="C995">
        <v>166</v>
      </c>
      <c r="D995">
        <v>20230330</v>
      </c>
      <c r="E995">
        <f t="shared" si="15"/>
        <v>3</v>
      </c>
      <c r="F995">
        <v>411100</v>
      </c>
      <c r="G995" t="s">
        <v>18</v>
      </c>
      <c r="H995" t="s">
        <v>77</v>
      </c>
      <c r="I995" t="s">
        <v>78</v>
      </c>
      <c r="J995">
        <v>122020182</v>
      </c>
      <c r="K995">
        <v>20230330</v>
      </c>
      <c r="L995" t="s">
        <v>5620</v>
      </c>
      <c r="M995">
        <v>0</v>
      </c>
      <c r="N995">
        <v>160</v>
      </c>
      <c r="O995" t="s">
        <v>19</v>
      </c>
      <c r="P995" t="s">
        <v>20</v>
      </c>
      <c r="Q995">
        <v>20230330</v>
      </c>
    </row>
    <row r="996" spans="1:17" x14ac:dyDescent="0.25">
      <c r="A996" t="s">
        <v>548</v>
      </c>
      <c r="B996" t="s">
        <v>429</v>
      </c>
      <c r="C996">
        <v>166</v>
      </c>
      <c r="D996">
        <v>20230330</v>
      </c>
      <c r="E996">
        <f t="shared" si="15"/>
        <v>3</v>
      </c>
      <c r="F996">
        <v>531105</v>
      </c>
      <c r="G996" t="s">
        <v>429</v>
      </c>
      <c r="H996" t="s">
        <v>401</v>
      </c>
      <c r="I996" t="s">
        <v>402</v>
      </c>
      <c r="J996">
        <v>369467</v>
      </c>
      <c r="K996">
        <v>20230330</v>
      </c>
      <c r="L996" t="s">
        <v>565</v>
      </c>
      <c r="M996">
        <v>225.82</v>
      </c>
      <c r="N996">
        <v>0</v>
      </c>
      <c r="O996" t="s">
        <v>19</v>
      </c>
      <c r="P996" t="s">
        <v>20</v>
      </c>
      <c r="Q996">
        <v>20230330</v>
      </c>
    </row>
    <row r="997" spans="1:17" x14ac:dyDescent="0.25">
      <c r="A997" t="s">
        <v>548</v>
      </c>
      <c r="B997" t="s">
        <v>429</v>
      </c>
      <c r="C997">
        <v>167</v>
      </c>
      <c r="D997">
        <v>20230331</v>
      </c>
      <c r="E997">
        <f t="shared" si="15"/>
        <v>3</v>
      </c>
      <c r="F997">
        <v>411100</v>
      </c>
      <c r="G997" t="s">
        <v>18</v>
      </c>
      <c r="H997" t="s">
        <v>710</v>
      </c>
      <c r="I997" t="s">
        <v>711</v>
      </c>
      <c r="J997">
        <v>123020163</v>
      </c>
      <c r="K997">
        <v>20230331</v>
      </c>
      <c r="L997" t="s">
        <v>5621</v>
      </c>
      <c r="M997">
        <v>0</v>
      </c>
      <c r="N997">
        <v>145.66</v>
      </c>
      <c r="O997" t="s">
        <v>19</v>
      </c>
      <c r="P997" t="s">
        <v>20</v>
      </c>
      <c r="Q997">
        <v>20230331</v>
      </c>
    </row>
    <row r="998" spans="1:17" x14ac:dyDescent="0.25">
      <c r="A998" t="s">
        <v>548</v>
      </c>
      <c r="B998" t="s">
        <v>429</v>
      </c>
      <c r="C998">
        <v>167</v>
      </c>
      <c r="D998">
        <v>20230331</v>
      </c>
      <c r="E998">
        <f t="shared" si="15"/>
        <v>3</v>
      </c>
      <c r="F998">
        <v>531105</v>
      </c>
      <c r="G998" t="s">
        <v>429</v>
      </c>
      <c r="H998" t="s">
        <v>401</v>
      </c>
      <c r="I998" t="s">
        <v>402</v>
      </c>
      <c r="J998">
        <v>369469</v>
      </c>
      <c r="K998">
        <v>20230331</v>
      </c>
      <c r="L998" t="s">
        <v>565</v>
      </c>
      <c r="M998">
        <v>145.66</v>
      </c>
      <c r="N998">
        <v>0</v>
      </c>
      <c r="O998" t="s">
        <v>19</v>
      </c>
      <c r="P998" t="s">
        <v>20</v>
      </c>
      <c r="Q998">
        <v>20230331</v>
      </c>
    </row>
    <row r="999" spans="1:17" x14ac:dyDescent="0.25">
      <c r="A999" t="s">
        <v>548</v>
      </c>
      <c r="B999" t="s">
        <v>429</v>
      </c>
      <c r="C999">
        <v>168</v>
      </c>
      <c r="D999">
        <v>20230324</v>
      </c>
      <c r="E999">
        <f t="shared" si="15"/>
        <v>3</v>
      </c>
      <c r="F999">
        <v>411100</v>
      </c>
      <c r="G999" t="s">
        <v>18</v>
      </c>
      <c r="H999" t="s">
        <v>3654</v>
      </c>
      <c r="I999" t="s">
        <v>3655</v>
      </c>
      <c r="J999">
        <v>369470</v>
      </c>
      <c r="K999">
        <v>20230324</v>
      </c>
      <c r="L999" t="s">
        <v>5622</v>
      </c>
      <c r="M999">
        <v>21</v>
      </c>
      <c r="N999">
        <v>0</v>
      </c>
      <c r="O999" t="s">
        <v>19</v>
      </c>
      <c r="P999" t="s">
        <v>20</v>
      </c>
      <c r="Q999">
        <v>20230324</v>
      </c>
    </row>
    <row r="1000" spans="1:17" x14ac:dyDescent="0.25">
      <c r="A1000" t="s">
        <v>548</v>
      </c>
      <c r="B1000" t="s">
        <v>429</v>
      </c>
      <c r="C1000">
        <v>168</v>
      </c>
      <c r="D1000">
        <v>20230324</v>
      </c>
      <c r="E1000">
        <f t="shared" si="15"/>
        <v>3</v>
      </c>
      <c r="F1000">
        <v>531105</v>
      </c>
      <c r="G1000" t="s">
        <v>429</v>
      </c>
      <c r="H1000" t="s">
        <v>401</v>
      </c>
      <c r="I1000" t="s">
        <v>402</v>
      </c>
      <c r="J1000">
        <v>369471</v>
      </c>
      <c r="K1000">
        <v>20230324</v>
      </c>
      <c r="L1000" t="s">
        <v>565</v>
      </c>
      <c r="M1000">
        <v>0</v>
      </c>
      <c r="N1000">
        <v>21</v>
      </c>
      <c r="O1000" t="s">
        <v>19</v>
      </c>
      <c r="P1000" t="s">
        <v>20</v>
      </c>
      <c r="Q1000">
        <v>20230324</v>
      </c>
    </row>
    <row r="1001" spans="1:17" x14ac:dyDescent="0.25">
      <c r="A1001" t="s">
        <v>548</v>
      </c>
      <c r="B1001" t="s">
        <v>429</v>
      </c>
      <c r="C1001">
        <v>169</v>
      </c>
      <c r="D1001">
        <v>20230323</v>
      </c>
      <c r="E1001">
        <f t="shared" si="15"/>
        <v>3</v>
      </c>
      <c r="F1001">
        <v>411020</v>
      </c>
      <c r="G1001" t="s">
        <v>30</v>
      </c>
      <c r="H1001" t="s">
        <v>332</v>
      </c>
      <c r="I1001" t="s">
        <v>333</v>
      </c>
      <c r="J1001">
        <v>323010006</v>
      </c>
      <c r="K1001">
        <v>20230323</v>
      </c>
      <c r="L1001" t="s">
        <v>5623</v>
      </c>
      <c r="M1001">
        <v>0</v>
      </c>
      <c r="N1001">
        <v>57.17</v>
      </c>
      <c r="O1001" t="s">
        <v>19</v>
      </c>
      <c r="P1001" t="s">
        <v>20</v>
      </c>
      <c r="Q1001">
        <v>20230323</v>
      </c>
    </row>
    <row r="1002" spans="1:17" x14ac:dyDescent="0.25">
      <c r="A1002" t="s">
        <v>548</v>
      </c>
      <c r="B1002" t="s">
        <v>429</v>
      </c>
      <c r="C1002">
        <v>169</v>
      </c>
      <c r="D1002">
        <v>20230323</v>
      </c>
      <c r="E1002">
        <f t="shared" si="15"/>
        <v>3</v>
      </c>
      <c r="F1002">
        <v>531105</v>
      </c>
      <c r="G1002" t="s">
        <v>429</v>
      </c>
      <c r="H1002" t="s">
        <v>401</v>
      </c>
      <c r="I1002" t="s">
        <v>402</v>
      </c>
      <c r="J1002">
        <v>369555</v>
      </c>
      <c r="K1002">
        <v>20230323</v>
      </c>
      <c r="L1002" t="s">
        <v>565</v>
      </c>
      <c r="M1002">
        <v>57.17</v>
      </c>
      <c r="N1002">
        <v>0</v>
      </c>
      <c r="O1002" t="s">
        <v>19</v>
      </c>
      <c r="P1002" t="s">
        <v>20</v>
      </c>
      <c r="Q1002">
        <v>20230323</v>
      </c>
    </row>
    <row r="1003" spans="1:17" x14ac:dyDescent="0.25">
      <c r="A1003" t="s">
        <v>548</v>
      </c>
      <c r="B1003" t="s">
        <v>429</v>
      </c>
      <c r="C1003">
        <v>170</v>
      </c>
      <c r="D1003">
        <v>20230330</v>
      </c>
      <c r="E1003">
        <f t="shared" si="15"/>
        <v>3</v>
      </c>
      <c r="F1003">
        <v>411020</v>
      </c>
      <c r="G1003" t="s">
        <v>30</v>
      </c>
      <c r="H1003" t="s">
        <v>3633</v>
      </c>
      <c r="I1003" t="s">
        <v>3634</v>
      </c>
      <c r="J1003">
        <v>323020004</v>
      </c>
      <c r="K1003">
        <v>20230330</v>
      </c>
      <c r="L1003" t="s">
        <v>5624</v>
      </c>
      <c r="M1003">
        <v>0</v>
      </c>
      <c r="N1003">
        <v>113.47</v>
      </c>
      <c r="O1003" t="s">
        <v>19</v>
      </c>
      <c r="P1003" t="s">
        <v>20</v>
      </c>
      <c r="Q1003">
        <v>20230330</v>
      </c>
    </row>
    <row r="1004" spans="1:17" x14ac:dyDescent="0.25">
      <c r="A1004" t="s">
        <v>548</v>
      </c>
      <c r="B1004" t="s">
        <v>429</v>
      </c>
      <c r="C1004">
        <v>170</v>
      </c>
      <c r="D1004">
        <v>20230330</v>
      </c>
      <c r="E1004">
        <f t="shared" si="15"/>
        <v>3</v>
      </c>
      <c r="F1004">
        <v>411020</v>
      </c>
      <c r="G1004" t="s">
        <v>30</v>
      </c>
      <c r="H1004" t="s">
        <v>3633</v>
      </c>
      <c r="I1004" t="s">
        <v>3634</v>
      </c>
      <c r="J1004">
        <v>323020004</v>
      </c>
      <c r="K1004">
        <v>20230330</v>
      </c>
      <c r="L1004" t="s">
        <v>5625</v>
      </c>
      <c r="M1004">
        <v>0</v>
      </c>
      <c r="N1004">
        <v>0.53</v>
      </c>
      <c r="O1004" t="s">
        <v>19</v>
      </c>
      <c r="P1004" t="s">
        <v>20</v>
      </c>
      <c r="Q1004">
        <v>20230330</v>
      </c>
    </row>
    <row r="1005" spans="1:17" x14ac:dyDescent="0.25">
      <c r="A1005" t="s">
        <v>548</v>
      </c>
      <c r="B1005" t="s">
        <v>429</v>
      </c>
      <c r="C1005">
        <v>170</v>
      </c>
      <c r="D1005">
        <v>20230330</v>
      </c>
      <c r="E1005">
        <f t="shared" si="15"/>
        <v>3</v>
      </c>
      <c r="F1005">
        <v>531105</v>
      </c>
      <c r="G1005" t="s">
        <v>429</v>
      </c>
      <c r="H1005" t="s">
        <v>401</v>
      </c>
      <c r="I1005" t="s">
        <v>402</v>
      </c>
      <c r="J1005">
        <v>369558</v>
      </c>
      <c r="K1005">
        <v>20230330</v>
      </c>
      <c r="L1005" t="s">
        <v>565</v>
      </c>
      <c r="M1005">
        <v>114</v>
      </c>
      <c r="N1005">
        <v>0</v>
      </c>
      <c r="O1005" t="s">
        <v>19</v>
      </c>
      <c r="P1005" t="s">
        <v>20</v>
      </c>
      <c r="Q1005">
        <v>20230330</v>
      </c>
    </row>
    <row r="1006" spans="1:17" x14ac:dyDescent="0.25">
      <c r="A1006" t="s">
        <v>548</v>
      </c>
      <c r="B1006" t="s">
        <v>429</v>
      </c>
      <c r="C1006">
        <v>171</v>
      </c>
      <c r="D1006">
        <v>20230331</v>
      </c>
      <c r="E1006">
        <f t="shared" si="15"/>
        <v>3</v>
      </c>
      <c r="F1006">
        <v>411020</v>
      </c>
      <c r="G1006" t="s">
        <v>30</v>
      </c>
      <c r="H1006" t="s">
        <v>3631</v>
      </c>
      <c r="I1006" t="s">
        <v>3632</v>
      </c>
      <c r="J1006">
        <v>323020002</v>
      </c>
      <c r="K1006">
        <v>20230331</v>
      </c>
      <c r="L1006" t="s">
        <v>5626</v>
      </c>
      <c r="M1006">
        <v>0</v>
      </c>
      <c r="N1006">
        <v>105.1</v>
      </c>
      <c r="O1006" t="s">
        <v>19</v>
      </c>
      <c r="P1006" t="s">
        <v>20</v>
      </c>
      <c r="Q1006">
        <v>20230331</v>
      </c>
    </row>
    <row r="1007" spans="1:17" x14ac:dyDescent="0.25">
      <c r="A1007" t="s">
        <v>548</v>
      </c>
      <c r="B1007" t="s">
        <v>429</v>
      </c>
      <c r="C1007">
        <v>171</v>
      </c>
      <c r="D1007">
        <v>20230331</v>
      </c>
      <c r="E1007">
        <f t="shared" si="15"/>
        <v>3</v>
      </c>
      <c r="F1007">
        <v>411020</v>
      </c>
      <c r="G1007" t="s">
        <v>30</v>
      </c>
      <c r="H1007" t="s">
        <v>3631</v>
      </c>
      <c r="I1007" t="s">
        <v>3632</v>
      </c>
      <c r="J1007">
        <v>323020002</v>
      </c>
      <c r="K1007">
        <v>20230331</v>
      </c>
      <c r="L1007" t="s">
        <v>5627</v>
      </c>
      <c r="M1007">
        <v>0</v>
      </c>
      <c r="N1007">
        <v>44.9</v>
      </c>
      <c r="O1007" t="s">
        <v>19</v>
      </c>
      <c r="P1007" t="s">
        <v>20</v>
      </c>
      <c r="Q1007">
        <v>20230331</v>
      </c>
    </row>
    <row r="1008" spans="1:17" x14ac:dyDescent="0.25">
      <c r="A1008" t="s">
        <v>548</v>
      </c>
      <c r="B1008" t="s">
        <v>429</v>
      </c>
      <c r="C1008">
        <v>171</v>
      </c>
      <c r="D1008">
        <v>20230331</v>
      </c>
      <c r="E1008">
        <f t="shared" si="15"/>
        <v>3</v>
      </c>
      <c r="F1008">
        <v>531105</v>
      </c>
      <c r="G1008" t="s">
        <v>429</v>
      </c>
      <c r="H1008" t="s">
        <v>401</v>
      </c>
      <c r="I1008" t="s">
        <v>402</v>
      </c>
      <c r="J1008">
        <v>369561</v>
      </c>
      <c r="K1008">
        <v>20230331</v>
      </c>
      <c r="L1008" t="s">
        <v>565</v>
      </c>
      <c r="M1008">
        <v>150</v>
      </c>
      <c r="N1008">
        <v>0</v>
      </c>
      <c r="O1008" t="s">
        <v>19</v>
      </c>
      <c r="P1008" t="s">
        <v>20</v>
      </c>
      <c r="Q1008">
        <v>20230331</v>
      </c>
    </row>
    <row r="1009" spans="1:17" x14ac:dyDescent="0.25">
      <c r="A1009" t="s">
        <v>548</v>
      </c>
      <c r="B1009" t="s">
        <v>429</v>
      </c>
      <c r="C1009">
        <v>172</v>
      </c>
      <c r="D1009">
        <v>20230331</v>
      </c>
      <c r="E1009">
        <f t="shared" si="15"/>
        <v>3</v>
      </c>
      <c r="F1009">
        <v>467100</v>
      </c>
      <c r="G1009" t="s">
        <v>160</v>
      </c>
      <c r="H1009" t="s">
        <v>1305</v>
      </c>
      <c r="I1009" t="s">
        <v>1306</v>
      </c>
      <c r="J1009" t="s">
        <v>5628</v>
      </c>
      <c r="K1009">
        <v>20230331</v>
      </c>
      <c r="L1009" t="s">
        <v>5629</v>
      </c>
      <c r="M1009">
        <v>0</v>
      </c>
      <c r="N1009">
        <v>145</v>
      </c>
      <c r="O1009" t="s">
        <v>19</v>
      </c>
      <c r="P1009" t="s">
        <v>20</v>
      </c>
      <c r="Q1009">
        <v>20230331</v>
      </c>
    </row>
    <row r="1010" spans="1:17" x14ac:dyDescent="0.25">
      <c r="A1010" t="s">
        <v>548</v>
      </c>
      <c r="B1010" t="s">
        <v>429</v>
      </c>
      <c r="C1010">
        <v>172</v>
      </c>
      <c r="D1010">
        <v>20230331</v>
      </c>
      <c r="E1010">
        <f t="shared" si="15"/>
        <v>3</v>
      </c>
      <c r="F1010">
        <v>531105</v>
      </c>
      <c r="G1010" t="s">
        <v>429</v>
      </c>
      <c r="H1010" t="s">
        <v>401</v>
      </c>
      <c r="I1010" t="s">
        <v>402</v>
      </c>
      <c r="J1010" t="s">
        <v>5628</v>
      </c>
      <c r="K1010">
        <v>20230331</v>
      </c>
      <c r="L1010" t="s">
        <v>5629</v>
      </c>
      <c r="M1010">
        <v>145</v>
      </c>
      <c r="N1010">
        <v>0</v>
      </c>
      <c r="O1010" t="s">
        <v>19</v>
      </c>
      <c r="P1010" t="s">
        <v>20</v>
      </c>
      <c r="Q1010">
        <v>20230331</v>
      </c>
    </row>
    <row r="1011" spans="1:17" x14ac:dyDescent="0.25">
      <c r="A1011" t="s">
        <v>715</v>
      </c>
      <c r="B1011" t="s">
        <v>432</v>
      </c>
      <c r="C1011">
        <v>173</v>
      </c>
      <c r="D1011">
        <v>20230315</v>
      </c>
      <c r="E1011">
        <f t="shared" si="15"/>
        <v>3</v>
      </c>
      <c r="F1011">
        <v>512200</v>
      </c>
      <c r="G1011" t="s">
        <v>432</v>
      </c>
      <c r="H1011" t="s">
        <v>401</v>
      </c>
      <c r="I1011" t="s">
        <v>402</v>
      </c>
      <c r="J1011" t="s">
        <v>5630</v>
      </c>
      <c r="K1011">
        <v>20230315</v>
      </c>
      <c r="L1011" t="s">
        <v>5631</v>
      </c>
      <c r="M1011">
        <v>4670.92</v>
      </c>
      <c r="N1011">
        <v>0</v>
      </c>
      <c r="O1011" t="s">
        <v>19</v>
      </c>
      <c r="P1011" t="s">
        <v>20</v>
      </c>
      <c r="Q1011">
        <v>20230315</v>
      </c>
    </row>
    <row r="1012" spans="1:17" x14ac:dyDescent="0.25">
      <c r="A1012" t="s">
        <v>715</v>
      </c>
      <c r="B1012" t="s">
        <v>432</v>
      </c>
      <c r="C1012">
        <v>173</v>
      </c>
      <c r="D1012">
        <v>20230315</v>
      </c>
      <c r="E1012">
        <f t="shared" si="15"/>
        <v>3</v>
      </c>
      <c r="F1012">
        <v>511000</v>
      </c>
      <c r="G1012" t="s">
        <v>431</v>
      </c>
      <c r="H1012" t="s">
        <v>401</v>
      </c>
      <c r="I1012" t="s">
        <v>402</v>
      </c>
      <c r="J1012" t="s">
        <v>5630</v>
      </c>
      <c r="K1012">
        <v>20230315</v>
      </c>
      <c r="L1012" t="s">
        <v>5631</v>
      </c>
      <c r="M1012">
        <v>0</v>
      </c>
      <c r="N1012">
        <v>4670.92</v>
      </c>
      <c r="O1012" t="s">
        <v>19</v>
      </c>
      <c r="P1012" t="s">
        <v>20</v>
      </c>
      <c r="Q1012">
        <v>20230315</v>
      </c>
    </row>
    <row r="1013" spans="1:17" x14ac:dyDescent="0.25">
      <c r="A1013" t="s">
        <v>715</v>
      </c>
      <c r="B1013" t="s">
        <v>432</v>
      </c>
      <c r="C1013">
        <v>174</v>
      </c>
      <c r="D1013">
        <v>20230315</v>
      </c>
      <c r="E1013">
        <f t="shared" si="15"/>
        <v>3</v>
      </c>
      <c r="F1013">
        <v>512200</v>
      </c>
      <c r="G1013" t="s">
        <v>432</v>
      </c>
      <c r="H1013" t="s">
        <v>401</v>
      </c>
      <c r="I1013" t="s">
        <v>402</v>
      </c>
      <c r="J1013" t="s">
        <v>5512</v>
      </c>
      <c r="K1013">
        <v>20230315</v>
      </c>
      <c r="L1013" t="s">
        <v>625</v>
      </c>
      <c r="M1013">
        <v>2798</v>
      </c>
      <c r="N1013">
        <v>0</v>
      </c>
      <c r="O1013" t="s">
        <v>19</v>
      </c>
      <c r="P1013" t="s">
        <v>20</v>
      </c>
      <c r="Q1013">
        <v>20230315</v>
      </c>
    </row>
    <row r="1014" spans="1:17" x14ac:dyDescent="0.25">
      <c r="A1014" t="s">
        <v>715</v>
      </c>
      <c r="B1014" t="s">
        <v>432</v>
      </c>
      <c r="C1014">
        <v>174</v>
      </c>
      <c r="D1014">
        <v>20230315</v>
      </c>
      <c r="E1014">
        <f t="shared" si="15"/>
        <v>3</v>
      </c>
      <c r="F1014">
        <v>580000</v>
      </c>
      <c r="G1014" t="s">
        <v>532</v>
      </c>
      <c r="H1014" t="s">
        <v>401</v>
      </c>
      <c r="I1014" t="s">
        <v>402</v>
      </c>
      <c r="J1014" t="s">
        <v>5512</v>
      </c>
      <c r="K1014">
        <v>20230315</v>
      </c>
      <c r="L1014" t="s">
        <v>625</v>
      </c>
      <c r="M1014">
        <v>0</v>
      </c>
      <c r="N1014">
        <v>2798</v>
      </c>
      <c r="O1014" t="s">
        <v>22</v>
      </c>
      <c r="P1014">
        <v>20230315</v>
      </c>
      <c r="Q1014">
        <v>20230315</v>
      </c>
    </row>
    <row r="1015" spans="1:17" x14ac:dyDescent="0.25">
      <c r="A1015" t="s">
        <v>715</v>
      </c>
      <c r="B1015" t="s">
        <v>432</v>
      </c>
      <c r="C1015">
        <v>175</v>
      </c>
      <c r="D1015">
        <v>20230323</v>
      </c>
      <c r="E1015">
        <f t="shared" si="15"/>
        <v>3</v>
      </c>
      <c r="F1015">
        <v>512200</v>
      </c>
      <c r="G1015" t="s">
        <v>432</v>
      </c>
      <c r="H1015" t="s">
        <v>401</v>
      </c>
      <c r="I1015" t="s">
        <v>402</v>
      </c>
      <c r="J1015" t="s">
        <v>5632</v>
      </c>
      <c r="K1015">
        <v>20230323</v>
      </c>
      <c r="L1015" t="s">
        <v>5633</v>
      </c>
      <c r="M1015">
        <v>2930.53</v>
      </c>
      <c r="N1015">
        <v>0</v>
      </c>
      <c r="O1015" t="s">
        <v>19</v>
      </c>
      <c r="P1015" t="s">
        <v>20</v>
      </c>
      <c r="Q1015">
        <v>20230323</v>
      </c>
    </row>
    <row r="1016" spans="1:17" x14ac:dyDescent="0.25">
      <c r="A1016" t="s">
        <v>715</v>
      </c>
      <c r="B1016" t="s">
        <v>432</v>
      </c>
      <c r="C1016">
        <v>175</v>
      </c>
      <c r="D1016">
        <v>20230323</v>
      </c>
      <c r="E1016">
        <f t="shared" si="15"/>
        <v>3</v>
      </c>
      <c r="F1016">
        <v>511000</v>
      </c>
      <c r="G1016" t="s">
        <v>431</v>
      </c>
      <c r="H1016" t="s">
        <v>401</v>
      </c>
      <c r="I1016" t="s">
        <v>402</v>
      </c>
      <c r="J1016" t="s">
        <v>5632</v>
      </c>
      <c r="K1016">
        <v>20230323</v>
      </c>
      <c r="L1016" t="s">
        <v>5633</v>
      </c>
      <c r="M1016">
        <v>0</v>
      </c>
      <c r="N1016">
        <v>2930.53</v>
      </c>
      <c r="O1016" t="s">
        <v>19</v>
      </c>
      <c r="P1016" t="s">
        <v>20</v>
      </c>
      <c r="Q1016">
        <v>20230323</v>
      </c>
    </row>
    <row r="1017" spans="1:17" x14ac:dyDescent="0.25">
      <c r="A1017" t="s">
        <v>715</v>
      </c>
      <c r="B1017" t="s">
        <v>432</v>
      </c>
      <c r="C1017">
        <v>176</v>
      </c>
      <c r="D1017">
        <v>20230323</v>
      </c>
      <c r="E1017">
        <f t="shared" si="15"/>
        <v>3</v>
      </c>
      <c r="F1017">
        <v>512200</v>
      </c>
      <c r="G1017" t="s">
        <v>432</v>
      </c>
      <c r="H1017" t="s">
        <v>401</v>
      </c>
      <c r="I1017" t="s">
        <v>402</v>
      </c>
      <c r="J1017" t="s">
        <v>5585</v>
      </c>
      <c r="K1017">
        <v>20230323</v>
      </c>
      <c r="L1017" t="s">
        <v>625</v>
      </c>
      <c r="M1017">
        <v>1600</v>
      </c>
      <c r="N1017">
        <v>0</v>
      </c>
      <c r="O1017" t="s">
        <v>19</v>
      </c>
      <c r="P1017" t="s">
        <v>20</v>
      </c>
      <c r="Q1017">
        <v>20230323</v>
      </c>
    </row>
    <row r="1018" spans="1:17" x14ac:dyDescent="0.25">
      <c r="A1018" t="s">
        <v>715</v>
      </c>
      <c r="B1018" t="s">
        <v>432</v>
      </c>
      <c r="C1018">
        <v>176</v>
      </c>
      <c r="D1018">
        <v>20230323</v>
      </c>
      <c r="E1018">
        <f t="shared" si="15"/>
        <v>3</v>
      </c>
      <c r="F1018">
        <v>580000</v>
      </c>
      <c r="G1018" t="s">
        <v>532</v>
      </c>
      <c r="H1018" t="s">
        <v>401</v>
      </c>
      <c r="I1018" t="s">
        <v>402</v>
      </c>
      <c r="J1018" t="s">
        <v>5585</v>
      </c>
      <c r="K1018">
        <v>20230323</v>
      </c>
      <c r="L1018" t="s">
        <v>625</v>
      </c>
      <c r="M1018">
        <v>0</v>
      </c>
      <c r="N1018">
        <v>1600</v>
      </c>
      <c r="O1018" t="s">
        <v>22</v>
      </c>
      <c r="P1018">
        <v>20230323</v>
      </c>
      <c r="Q1018">
        <v>20230323</v>
      </c>
    </row>
    <row r="1019" spans="1:17" x14ac:dyDescent="0.25">
      <c r="A1019" t="s">
        <v>715</v>
      </c>
      <c r="B1019" t="s">
        <v>432</v>
      </c>
      <c r="C1019">
        <v>177</v>
      </c>
      <c r="D1019">
        <v>20230327</v>
      </c>
      <c r="E1019">
        <f t="shared" si="15"/>
        <v>3</v>
      </c>
      <c r="F1019">
        <v>512200</v>
      </c>
      <c r="G1019" t="s">
        <v>432</v>
      </c>
      <c r="H1019" t="s">
        <v>401</v>
      </c>
      <c r="I1019" t="s">
        <v>402</v>
      </c>
      <c r="J1019" t="s">
        <v>5634</v>
      </c>
      <c r="K1019">
        <v>20230327</v>
      </c>
      <c r="L1019" t="s">
        <v>5635</v>
      </c>
      <c r="M1019">
        <v>1434.92</v>
      </c>
      <c r="N1019">
        <v>0</v>
      </c>
      <c r="O1019" t="s">
        <v>19</v>
      </c>
      <c r="P1019" t="s">
        <v>20</v>
      </c>
      <c r="Q1019">
        <v>20230327</v>
      </c>
    </row>
    <row r="1020" spans="1:17" x14ac:dyDescent="0.25">
      <c r="A1020" t="s">
        <v>715</v>
      </c>
      <c r="B1020" t="s">
        <v>432</v>
      </c>
      <c r="C1020">
        <v>177</v>
      </c>
      <c r="D1020">
        <v>20230327</v>
      </c>
      <c r="E1020">
        <f t="shared" si="15"/>
        <v>3</v>
      </c>
      <c r="F1020">
        <v>511002</v>
      </c>
      <c r="G1020" t="s">
        <v>786</v>
      </c>
      <c r="H1020" t="s">
        <v>401</v>
      </c>
      <c r="I1020" t="s">
        <v>402</v>
      </c>
      <c r="J1020" t="s">
        <v>5634</v>
      </c>
      <c r="K1020">
        <v>20230327</v>
      </c>
      <c r="L1020" t="s">
        <v>5635</v>
      </c>
      <c r="M1020">
        <v>0</v>
      </c>
      <c r="N1020">
        <v>1434.92</v>
      </c>
      <c r="O1020" t="s">
        <v>19</v>
      </c>
      <c r="P1020" t="s">
        <v>20</v>
      </c>
      <c r="Q1020">
        <v>20230327</v>
      </c>
    </row>
    <row r="1021" spans="1:17" x14ac:dyDescent="0.25">
      <c r="A1021" t="s">
        <v>715</v>
      </c>
      <c r="B1021" t="s">
        <v>432</v>
      </c>
      <c r="C1021">
        <v>178</v>
      </c>
      <c r="D1021">
        <v>20230327</v>
      </c>
      <c r="E1021">
        <f t="shared" si="15"/>
        <v>3</v>
      </c>
      <c r="F1021">
        <v>512200</v>
      </c>
      <c r="G1021" t="s">
        <v>432</v>
      </c>
      <c r="H1021" t="s">
        <v>401</v>
      </c>
      <c r="I1021" t="s">
        <v>402</v>
      </c>
      <c r="J1021" t="s">
        <v>5636</v>
      </c>
      <c r="K1021">
        <v>20230327</v>
      </c>
      <c r="L1021" t="s">
        <v>5637</v>
      </c>
      <c r="M1021">
        <v>460</v>
      </c>
      <c r="N1021">
        <v>0</v>
      </c>
      <c r="O1021" t="s">
        <v>19</v>
      </c>
      <c r="P1021" t="s">
        <v>20</v>
      </c>
      <c r="Q1021">
        <v>20230327</v>
      </c>
    </row>
    <row r="1022" spans="1:17" x14ac:dyDescent="0.25">
      <c r="A1022" t="s">
        <v>715</v>
      </c>
      <c r="B1022" t="s">
        <v>432</v>
      </c>
      <c r="C1022">
        <v>178</v>
      </c>
      <c r="D1022">
        <v>20230327</v>
      </c>
      <c r="E1022">
        <f t="shared" si="15"/>
        <v>3</v>
      </c>
      <c r="F1022">
        <v>511001</v>
      </c>
      <c r="G1022" t="s">
        <v>434</v>
      </c>
      <c r="H1022" t="s">
        <v>401</v>
      </c>
      <c r="I1022" t="s">
        <v>402</v>
      </c>
      <c r="J1022" t="s">
        <v>5636</v>
      </c>
      <c r="K1022">
        <v>20230327</v>
      </c>
      <c r="L1022" t="s">
        <v>5637</v>
      </c>
      <c r="M1022">
        <v>0</v>
      </c>
      <c r="N1022">
        <v>460</v>
      </c>
      <c r="O1022" t="s">
        <v>19</v>
      </c>
      <c r="P1022" t="s">
        <v>20</v>
      </c>
      <c r="Q1022">
        <v>20230327</v>
      </c>
    </row>
    <row r="1023" spans="1:17" x14ac:dyDescent="0.25">
      <c r="A1023" t="s">
        <v>476</v>
      </c>
      <c r="B1023" t="s">
        <v>477</v>
      </c>
      <c r="C1023">
        <v>368</v>
      </c>
      <c r="D1023">
        <v>20230404</v>
      </c>
      <c r="E1023">
        <f t="shared" si="15"/>
        <v>4</v>
      </c>
      <c r="F1023">
        <v>401000</v>
      </c>
      <c r="G1023" t="s">
        <v>41</v>
      </c>
      <c r="H1023" t="s">
        <v>42</v>
      </c>
      <c r="I1023" t="s">
        <v>43</v>
      </c>
      <c r="J1023" t="s">
        <v>5644</v>
      </c>
      <c r="K1023">
        <v>20230404</v>
      </c>
      <c r="L1023" t="s">
        <v>4767</v>
      </c>
      <c r="M1023">
        <v>437.52</v>
      </c>
      <c r="N1023">
        <v>0</v>
      </c>
      <c r="O1023" t="s">
        <v>22</v>
      </c>
      <c r="P1023">
        <v>20230404</v>
      </c>
      <c r="Q1023">
        <v>20230404</v>
      </c>
    </row>
    <row r="1024" spans="1:17" x14ac:dyDescent="0.25">
      <c r="A1024" t="s">
        <v>476</v>
      </c>
      <c r="B1024" t="s">
        <v>477</v>
      </c>
      <c r="C1024">
        <v>368</v>
      </c>
      <c r="D1024">
        <v>20230404</v>
      </c>
      <c r="E1024">
        <f t="shared" si="15"/>
        <v>4</v>
      </c>
      <c r="F1024">
        <v>401000</v>
      </c>
      <c r="G1024" t="s">
        <v>41</v>
      </c>
      <c r="H1024" t="s">
        <v>97</v>
      </c>
      <c r="I1024" t="s">
        <v>98</v>
      </c>
      <c r="J1024" t="s">
        <v>5644</v>
      </c>
      <c r="K1024">
        <v>20230404</v>
      </c>
      <c r="L1024" t="s">
        <v>4767</v>
      </c>
      <c r="M1024">
        <v>431.83</v>
      </c>
      <c r="N1024">
        <v>0</v>
      </c>
      <c r="O1024" t="s">
        <v>22</v>
      </c>
      <c r="P1024">
        <v>20230404</v>
      </c>
      <c r="Q1024">
        <v>20230404</v>
      </c>
    </row>
    <row r="1025" spans="1:17" x14ac:dyDescent="0.25">
      <c r="A1025" t="s">
        <v>476</v>
      </c>
      <c r="B1025" t="s">
        <v>477</v>
      </c>
      <c r="C1025">
        <v>368</v>
      </c>
      <c r="D1025">
        <v>20230404</v>
      </c>
      <c r="E1025">
        <f t="shared" si="15"/>
        <v>4</v>
      </c>
      <c r="F1025">
        <v>401000</v>
      </c>
      <c r="G1025" t="s">
        <v>41</v>
      </c>
      <c r="H1025" t="s">
        <v>830</v>
      </c>
      <c r="I1025" t="s">
        <v>831</v>
      </c>
      <c r="J1025" t="s">
        <v>5644</v>
      </c>
      <c r="K1025">
        <v>20230404</v>
      </c>
      <c r="L1025" t="s">
        <v>4767</v>
      </c>
      <c r="M1025">
        <v>300</v>
      </c>
      <c r="N1025">
        <v>0</v>
      </c>
      <c r="O1025" t="s">
        <v>22</v>
      </c>
      <c r="P1025">
        <v>20230404</v>
      </c>
      <c r="Q1025">
        <v>20230404</v>
      </c>
    </row>
    <row r="1026" spans="1:17" x14ac:dyDescent="0.25">
      <c r="A1026" t="s">
        <v>476</v>
      </c>
      <c r="B1026" t="s">
        <v>477</v>
      </c>
      <c r="C1026">
        <v>368</v>
      </c>
      <c r="D1026">
        <v>20230404</v>
      </c>
      <c r="E1026">
        <f t="shared" si="15"/>
        <v>4</v>
      </c>
      <c r="F1026">
        <v>401000</v>
      </c>
      <c r="G1026" t="s">
        <v>41</v>
      </c>
      <c r="H1026" t="s">
        <v>1659</v>
      </c>
      <c r="I1026" t="s">
        <v>1660</v>
      </c>
      <c r="J1026" t="s">
        <v>5644</v>
      </c>
      <c r="K1026">
        <v>20230404</v>
      </c>
      <c r="L1026" t="s">
        <v>4767</v>
      </c>
      <c r="M1026">
        <v>250</v>
      </c>
      <c r="N1026">
        <v>0</v>
      </c>
      <c r="O1026" t="s">
        <v>22</v>
      </c>
      <c r="P1026">
        <v>20230404</v>
      </c>
      <c r="Q1026">
        <v>20230404</v>
      </c>
    </row>
    <row r="1027" spans="1:17" x14ac:dyDescent="0.25">
      <c r="A1027" t="s">
        <v>476</v>
      </c>
      <c r="B1027" t="s">
        <v>477</v>
      </c>
      <c r="C1027">
        <v>368</v>
      </c>
      <c r="D1027">
        <v>20230404</v>
      </c>
      <c r="E1027">
        <f t="shared" ref="E1027:E1040" si="16">VALUE(MID(D1027,5,2))</f>
        <v>4</v>
      </c>
      <c r="F1027">
        <v>512000</v>
      </c>
      <c r="G1027" t="s">
        <v>428</v>
      </c>
      <c r="H1027" t="s">
        <v>401</v>
      </c>
      <c r="I1027" t="s">
        <v>402</v>
      </c>
      <c r="J1027" t="s">
        <v>5644</v>
      </c>
      <c r="K1027">
        <v>20230404</v>
      </c>
      <c r="L1027" t="s">
        <v>4767</v>
      </c>
      <c r="M1027">
        <v>0</v>
      </c>
      <c r="N1027">
        <v>1419.35</v>
      </c>
      <c r="O1027" t="s">
        <v>19</v>
      </c>
      <c r="P1027" t="s">
        <v>20</v>
      </c>
      <c r="Q1027">
        <v>20230404</v>
      </c>
    </row>
    <row r="1028" spans="1:17" x14ac:dyDescent="0.25">
      <c r="A1028" t="s">
        <v>476</v>
      </c>
      <c r="B1028" t="s">
        <v>477</v>
      </c>
      <c r="C1028">
        <v>369</v>
      </c>
      <c r="D1028">
        <v>20230404</v>
      </c>
      <c r="E1028">
        <f t="shared" si="16"/>
        <v>4</v>
      </c>
      <c r="F1028">
        <v>401000</v>
      </c>
      <c r="G1028" t="s">
        <v>41</v>
      </c>
      <c r="H1028" t="s">
        <v>2439</v>
      </c>
      <c r="I1028" t="s">
        <v>2440</v>
      </c>
      <c r="J1028" t="s">
        <v>5645</v>
      </c>
      <c r="K1028">
        <v>20230404</v>
      </c>
      <c r="L1028" t="s">
        <v>4765</v>
      </c>
      <c r="M1028">
        <v>162</v>
      </c>
      <c r="N1028">
        <v>0</v>
      </c>
      <c r="O1028" t="s">
        <v>19</v>
      </c>
      <c r="P1028" t="s">
        <v>20</v>
      </c>
      <c r="Q1028">
        <v>20230404</v>
      </c>
    </row>
    <row r="1029" spans="1:17" x14ac:dyDescent="0.25">
      <c r="A1029" t="s">
        <v>476</v>
      </c>
      <c r="B1029" t="s">
        <v>477</v>
      </c>
      <c r="C1029">
        <v>369</v>
      </c>
      <c r="D1029">
        <v>20230404</v>
      </c>
      <c r="E1029">
        <f t="shared" si="16"/>
        <v>4</v>
      </c>
      <c r="F1029">
        <v>512000</v>
      </c>
      <c r="G1029" t="s">
        <v>428</v>
      </c>
      <c r="H1029" t="s">
        <v>401</v>
      </c>
      <c r="I1029" t="s">
        <v>402</v>
      </c>
      <c r="J1029" t="s">
        <v>5645</v>
      </c>
      <c r="K1029">
        <v>20230404</v>
      </c>
      <c r="L1029" t="s">
        <v>4765</v>
      </c>
      <c r="M1029">
        <v>0</v>
      </c>
      <c r="N1029">
        <v>162</v>
      </c>
      <c r="O1029" t="s">
        <v>19</v>
      </c>
      <c r="P1029" t="s">
        <v>20</v>
      </c>
      <c r="Q1029">
        <v>20230404</v>
      </c>
    </row>
    <row r="1030" spans="1:17" x14ac:dyDescent="0.25">
      <c r="A1030" t="s">
        <v>476</v>
      </c>
      <c r="B1030" t="s">
        <v>477</v>
      </c>
      <c r="C1030">
        <v>370</v>
      </c>
      <c r="D1030">
        <v>20230407</v>
      </c>
      <c r="E1030">
        <f t="shared" si="16"/>
        <v>4</v>
      </c>
      <c r="F1030">
        <v>467100</v>
      </c>
      <c r="G1030" t="s">
        <v>160</v>
      </c>
      <c r="H1030" t="s">
        <v>185</v>
      </c>
      <c r="I1030" t="s">
        <v>186</v>
      </c>
      <c r="J1030" t="s">
        <v>5646</v>
      </c>
      <c r="K1030">
        <v>20230407</v>
      </c>
      <c r="L1030" t="s">
        <v>4765</v>
      </c>
      <c r="M1030">
        <v>800</v>
      </c>
      <c r="N1030">
        <v>0</v>
      </c>
      <c r="O1030" t="s">
        <v>19</v>
      </c>
      <c r="P1030" t="s">
        <v>20</v>
      </c>
      <c r="Q1030">
        <v>20230407</v>
      </c>
    </row>
    <row r="1031" spans="1:17" x14ac:dyDescent="0.25">
      <c r="A1031" t="s">
        <v>476</v>
      </c>
      <c r="B1031" t="s">
        <v>477</v>
      </c>
      <c r="C1031">
        <v>370</v>
      </c>
      <c r="D1031">
        <v>20230407</v>
      </c>
      <c r="E1031">
        <f t="shared" si="16"/>
        <v>4</v>
      </c>
      <c r="F1031">
        <v>512000</v>
      </c>
      <c r="G1031" t="s">
        <v>428</v>
      </c>
      <c r="H1031" t="s">
        <v>401</v>
      </c>
      <c r="I1031" t="s">
        <v>402</v>
      </c>
      <c r="J1031" t="s">
        <v>5646</v>
      </c>
      <c r="K1031">
        <v>20230407</v>
      </c>
      <c r="L1031" t="s">
        <v>4765</v>
      </c>
      <c r="M1031">
        <v>0</v>
      </c>
      <c r="N1031">
        <v>800</v>
      </c>
      <c r="O1031" t="s">
        <v>19</v>
      </c>
      <c r="P1031" t="s">
        <v>20</v>
      </c>
      <c r="Q1031">
        <v>20230407</v>
      </c>
    </row>
    <row r="1032" spans="1:17" x14ac:dyDescent="0.25">
      <c r="A1032" t="s">
        <v>476</v>
      </c>
      <c r="B1032" t="s">
        <v>477</v>
      </c>
      <c r="C1032">
        <v>371</v>
      </c>
      <c r="D1032">
        <v>20230417</v>
      </c>
      <c r="E1032">
        <f t="shared" si="16"/>
        <v>4</v>
      </c>
      <c r="F1032">
        <v>467100</v>
      </c>
      <c r="G1032" t="s">
        <v>160</v>
      </c>
      <c r="H1032" t="s">
        <v>1726</v>
      </c>
      <c r="I1032" t="s">
        <v>1727</v>
      </c>
      <c r="J1032" t="s">
        <v>5647</v>
      </c>
      <c r="K1032">
        <v>20230417</v>
      </c>
      <c r="L1032" t="s">
        <v>4765</v>
      </c>
      <c r="M1032">
        <v>200</v>
      </c>
      <c r="N1032">
        <v>0</v>
      </c>
      <c r="O1032" t="s">
        <v>19</v>
      </c>
      <c r="P1032" t="s">
        <v>20</v>
      </c>
      <c r="Q1032">
        <v>20230417</v>
      </c>
    </row>
    <row r="1033" spans="1:17" x14ac:dyDescent="0.25">
      <c r="A1033" t="s">
        <v>476</v>
      </c>
      <c r="B1033" t="s">
        <v>477</v>
      </c>
      <c r="C1033">
        <v>371</v>
      </c>
      <c r="D1033">
        <v>20230417</v>
      </c>
      <c r="E1033">
        <f t="shared" si="16"/>
        <v>4</v>
      </c>
      <c r="F1033">
        <v>467100</v>
      </c>
      <c r="G1033" t="s">
        <v>160</v>
      </c>
      <c r="H1033" t="s">
        <v>316</v>
      </c>
      <c r="I1033" t="s">
        <v>317</v>
      </c>
      <c r="J1033" t="s">
        <v>5647</v>
      </c>
      <c r="K1033">
        <v>20230417</v>
      </c>
      <c r="L1033" t="s">
        <v>4765</v>
      </c>
      <c r="M1033">
        <v>400</v>
      </c>
      <c r="N1033">
        <v>0</v>
      </c>
      <c r="O1033" t="s">
        <v>19</v>
      </c>
      <c r="P1033" t="s">
        <v>20</v>
      </c>
      <c r="Q1033">
        <v>20230417</v>
      </c>
    </row>
    <row r="1034" spans="1:17" x14ac:dyDescent="0.25">
      <c r="A1034" t="s">
        <v>476</v>
      </c>
      <c r="B1034" t="s">
        <v>477</v>
      </c>
      <c r="C1034">
        <v>371</v>
      </c>
      <c r="D1034">
        <v>20230417</v>
      </c>
      <c r="E1034">
        <f t="shared" si="16"/>
        <v>4</v>
      </c>
      <c r="F1034">
        <v>512000</v>
      </c>
      <c r="G1034" t="s">
        <v>428</v>
      </c>
      <c r="H1034" t="s">
        <v>401</v>
      </c>
      <c r="I1034" t="s">
        <v>402</v>
      </c>
      <c r="J1034" t="s">
        <v>5647</v>
      </c>
      <c r="K1034">
        <v>20230417</v>
      </c>
      <c r="L1034" t="s">
        <v>4765</v>
      </c>
      <c r="M1034">
        <v>0</v>
      </c>
      <c r="N1034">
        <v>600</v>
      </c>
      <c r="O1034" t="s">
        <v>19</v>
      </c>
      <c r="P1034" t="s">
        <v>20</v>
      </c>
      <c r="Q1034">
        <v>20230417</v>
      </c>
    </row>
    <row r="1035" spans="1:17" x14ac:dyDescent="0.25">
      <c r="A1035" t="s">
        <v>548</v>
      </c>
      <c r="B1035" t="s">
        <v>429</v>
      </c>
      <c r="C1035">
        <v>372</v>
      </c>
      <c r="D1035">
        <v>20230404</v>
      </c>
      <c r="E1035">
        <f t="shared" si="16"/>
        <v>4</v>
      </c>
      <c r="F1035">
        <v>467100</v>
      </c>
      <c r="G1035" t="s">
        <v>160</v>
      </c>
      <c r="H1035" t="s">
        <v>4964</v>
      </c>
      <c r="I1035" t="s">
        <v>4965</v>
      </c>
      <c r="J1035" t="s">
        <v>5648</v>
      </c>
      <c r="K1035">
        <v>20230404</v>
      </c>
      <c r="L1035" t="s">
        <v>5649</v>
      </c>
      <c r="M1035">
        <v>100</v>
      </c>
      <c r="N1035">
        <v>0</v>
      </c>
      <c r="O1035" t="s">
        <v>19</v>
      </c>
      <c r="P1035" t="s">
        <v>20</v>
      </c>
      <c r="Q1035">
        <v>20230404</v>
      </c>
    </row>
    <row r="1036" spans="1:17" x14ac:dyDescent="0.25">
      <c r="A1036" t="s">
        <v>548</v>
      </c>
      <c r="B1036" t="s">
        <v>429</v>
      </c>
      <c r="C1036">
        <v>372</v>
      </c>
      <c r="D1036">
        <v>20230404</v>
      </c>
      <c r="E1036">
        <f t="shared" si="16"/>
        <v>4</v>
      </c>
      <c r="F1036">
        <v>531105</v>
      </c>
      <c r="G1036" t="s">
        <v>429</v>
      </c>
      <c r="H1036" t="s">
        <v>401</v>
      </c>
      <c r="I1036" t="s">
        <v>402</v>
      </c>
      <c r="J1036" t="s">
        <v>5648</v>
      </c>
      <c r="K1036">
        <v>20230404</v>
      </c>
      <c r="L1036" t="s">
        <v>5649</v>
      </c>
      <c r="M1036">
        <v>0</v>
      </c>
      <c r="N1036">
        <v>100</v>
      </c>
      <c r="O1036" t="s">
        <v>19</v>
      </c>
      <c r="P1036" t="s">
        <v>20</v>
      </c>
      <c r="Q1036">
        <v>20230404</v>
      </c>
    </row>
    <row r="1037" spans="1:17" x14ac:dyDescent="0.25">
      <c r="A1037" t="s">
        <v>548</v>
      </c>
      <c r="B1037" t="s">
        <v>429</v>
      </c>
      <c r="C1037">
        <v>372</v>
      </c>
      <c r="D1037">
        <v>20230404</v>
      </c>
      <c r="E1037">
        <f t="shared" si="16"/>
        <v>4</v>
      </c>
      <c r="F1037">
        <v>467100</v>
      </c>
      <c r="G1037" t="s">
        <v>160</v>
      </c>
      <c r="H1037" t="s">
        <v>316</v>
      </c>
      <c r="I1037" t="s">
        <v>317</v>
      </c>
      <c r="J1037" t="s">
        <v>5650</v>
      </c>
      <c r="K1037">
        <v>20230404</v>
      </c>
      <c r="L1037" t="s">
        <v>5651</v>
      </c>
      <c r="M1037">
        <v>200</v>
      </c>
      <c r="N1037">
        <v>0</v>
      </c>
      <c r="O1037" t="s">
        <v>19</v>
      </c>
      <c r="P1037" t="s">
        <v>20</v>
      </c>
      <c r="Q1037">
        <v>20230404</v>
      </c>
    </row>
    <row r="1038" spans="1:17" x14ac:dyDescent="0.25">
      <c r="A1038" t="s">
        <v>548</v>
      </c>
      <c r="B1038" t="s">
        <v>429</v>
      </c>
      <c r="C1038">
        <v>372</v>
      </c>
      <c r="D1038">
        <v>20230404</v>
      </c>
      <c r="E1038">
        <f t="shared" si="16"/>
        <v>4</v>
      </c>
      <c r="F1038">
        <v>531105</v>
      </c>
      <c r="G1038" t="s">
        <v>429</v>
      </c>
      <c r="H1038" t="s">
        <v>401</v>
      </c>
      <c r="I1038" t="s">
        <v>402</v>
      </c>
      <c r="J1038" t="s">
        <v>5650</v>
      </c>
      <c r="K1038">
        <v>20230404</v>
      </c>
      <c r="L1038" t="s">
        <v>5651</v>
      </c>
      <c r="M1038">
        <v>0</v>
      </c>
      <c r="N1038">
        <v>200</v>
      </c>
      <c r="O1038" t="s">
        <v>19</v>
      </c>
      <c r="P1038" t="s">
        <v>20</v>
      </c>
      <c r="Q1038">
        <v>20230404</v>
      </c>
    </row>
    <row r="1039" spans="1:17" x14ac:dyDescent="0.25">
      <c r="A1039" t="s">
        <v>715</v>
      </c>
      <c r="B1039" t="s">
        <v>432</v>
      </c>
      <c r="C1039">
        <v>373</v>
      </c>
      <c r="D1039">
        <v>20230404</v>
      </c>
      <c r="E1039">
        <f t="shared" si="16"/>
        <v>4</v>
      </c>
      <c r="F1039">
        <v>512200</v>
      </c>
      <c r="G1039" t="s">
        <v>432</v>
      </c>
      <c r="H1039" t="s">
        <v>401</v>
      </c>
      <c r="I1039" t="s">
        <v>402</v>
      </c>
      <c r="J1039" t="s">
        <v>5652</v>
      </c>
      <c r="K1039">
        <v>20230404</v>
      </c>
      <c r="L1039" t="s">
        <v>5653</v>
      </c>
      <c r="M1039">
        <v>5634</v>
      </c>
      <c r="N1039">
        <v>0</v>
      </c>
      <c r="O1039" t="s">
        <v>19</v>
      </c>
      <c r="P1039" t="s">
        <v>20</v>
      </c>
      <c r="Q1039">
        <v>20230404</v>
      </c>
    </row>
    <row r="1040" spans="1:17" x14ac:dyDescent="0.25">
      <c r="A1040" t="s">
        <v>715</v>
      </c>
      <c r="B1040" t="s">
        <v>432</v>
      </c>
      <c r="C1040">
        <v>373</v>
      </c>
      <c r="D1040">
        <v>20230404</v>
      </c>
      <c r="E1040">
        <f t="shared" si="16"/>
        <v>4</v>
      </c>
      <c r="F1040">
        <v>511000</v>
      </c>
      <c r="G1040" t="s">
        <v>431</v>
      </c>
      <c r="H1040" t="s">
        <v>401</v>
      </c>
      <c r="I1040" t="s">
        <v>402</v>
      </c>
      <c r="J1040" t="s">
        <v>5652</v>
      </c>
      <c r="K1040">
        <v>20230404</v>
      </c>
      <c r="L1040" t="s">
        <v>5653</v>
      </c>
      <c r="M1040">
        <v>0</v>
      </c>
      <c r="N1040">
        <v>5634</v>
      </c>
      <c r="O1040" t="s">
        <v>19</v>
      </c>
      <c r="P1040" t="s">
        <v>20</v>
      </c>
      <c r="Q1040">
        <v>20230404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54"/>
  <sheetViews>
    <sheetView topLeftCell="A412" workbookViewId="0">
      <selection activeCell="F2" sqref="F2:F454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1</v>
      </c>
      <c r="D2">
        <v>20230201</v>
      </c>
      <c r="E2">
        <v>2</v>
      </c>
      <c r="F2">
        <v>401000</v>
      </c>
      <c r="G2" t="s">
        <v>41</v>
      </c>
      <c r="H2" t="s">
        <v>4477</v>
      </c>
      <c r="I2" t="s">
        <v>4478</v>
      </c>
      <c r="J2" t="s">
        <v>5081</v>
      </c>
      <c r="K2">
        <v>20230201</v>
      </c>
      <c r="L2" t="s">
        <v>5757</v>
      </c>
      <c r="M2">
        <v>3000</v>
      </c>
      <c r="N2">
        <v>0</v>
      </c>
      <c r="O2" t="s">
        <v>23</v>
      </c>
      <c r="P2">
        <v>20230207</v>
      </c>
      <c r="Q2">
        <v>20230201</v>
      </c>
    </row>
    <row r="3" spans="1:19" x14ac:dyDescent="0.25">
      <c r="A3" t="s">
        <v>476</v>
      </c>
      <c r="B3" t="s">
        <v>477</v>
      </c>
      <c r="C3">
        <v>1</v>
      </c>
      <c r="D3">
        <v>20230201</v>
      </c>
      <c r="E3">
        <v>2</v>
      </c>
      <c r="F3">
        <v>512000</v>
      </c>
      <c r="G3" t="s">
        <v>428</v>
      </c>
      <c r="H3" t="s">
        <v>401</v>
      </c>
      <c r="I3" t="s">
        <v>402</v>
      </c>
      <c r="J3" t="s">
        <v>5081</v>
      </c>
      <c r="K3">
        <v>20230201</v>
      </c>
      <c r="L3" t="s">
        <v>5757</v>
      </c>
      <c r="M3">
        <v>0</v>
      </c>
      <c r="N3">
        <v>3000</v>
      </c>
      <c r="O3" t="s">
        <v>19</v>
      </c>
      <c r="P3" t="s">
        <v>20</v>
      </c>
      <c r="Q3">
        <v>20230201</v>
      </c>
    </row>
    <row r="4" spans="1:19" x14ac:dyDescent="0.25">
      <c r="A4" t="s">
        <v>476</v>
      </c>
      <c r="B4" t="s">
        <v>477</v>
      </c>
      <c r="C4">
        <v>1</v>
      </c>
      <c r="D4">
        <v>20230207</v>
      </c>
      <c r="E4">
        <v>2</v>
      </c>
      <c r="F4">
        <v>401000</v>
      </c>
      <c r="G4" t="s">
        <v>41</v>
      </c>
      <c r="H4" t="s">
        <v>42</v>
      </c>
      <c r="I4" t="s">
        <v>43</v>
      </c>
      <c r="J4" t="s">
        <v>5082</v>
      </c>
      <c r="K4">
        <v>20230207</v>
      </c>
      <c r="L4" t="s">
        <v>5758</v>
      </c>
      <c r="M4">
        <v>226.51</v>
      </c>
      <c r="N4">
        <v>0</v>
      </c>
      <c r="O4" t="s">
        <v>23</v>
      </c>
      <c r="P4">
        <v>20230218</v>
      </c>
      <c r="Q4">
        <v>20230207</v>
      </c>
    </row>
    <row r="5" spans="1:19" x14ac:dyDescent="0.25">
      <c r="A5" t="s">
        <v>476</v>
      </c>
      <c r="B5" t="s">
        <v>477</v>
      </c>
      <c r="C5">
        <v>1</v>
      </c>
      <c r="D5">
        <v>20230207</v>
      </c>
      <c r="E5">
        <v>2</v>
      </c>
      <c r="F5">
        <v>401000</v>
      </c>
      <c r="G5" t="s">
        <v>41</v>
      </c>
      <c r="H5" t="s">
        <v>46</v>
      </c>
      <c r="I5" t="s">
        <v>47</v>
      </c>
      <c r="J5" t="s">
        <v>5082</v>
      </c>
      <c r="K5">
        <v>20230207</v>
      </c>
      <c r="L5" t="s">
        <v>5758</v>
      </c>
      <c r="M5">
        <v>315</v>
      </c>
      <c r="N5">
        <v>0</v>
      </c>
      <c r="O5" t="s">
        <v>23</v>
      </c>
      <c r="P5">
        <v>20230218</v>
      </c>
      <c r="Q5">
        <v>20230207</v>
      </c>
    </row>
    <row r="6" spans="1:19" x14ac:dyDescent="0.25">
      <c r="A6" t="s">
        <v>476</v>
      </c>
      <c r="B6" t="s">
        <v>477</v>
      </c>
      <c r="C6">
        <v>1</v>
      </c>
      <c r="D6">
        <v>20230207</v>
      </c>
      <c r="E6">
        <v>2</v>
      </c>
      <c r="F6">
        <v>401000</v>
      </c>
      <c r="G6" t="s">
        <v>41</v>
      </c>
      <c r="H6" t="s">
        <v>67</v>
      </c>
      <c r="I6" t="s">
        <v>68</v>
      </c>
      <c r="J6" t="s">
        <v>5082</v>
      </c>
      <c r="K6">
        <v>20230207</v>
      </c>
      <c r="L6" t="s">
        <v>5758</v>
      </c>
      <c r="M6">
        <v>488.4</v>
      </c>
      <c r="N6">
        <v>0</v>
      </c>
      <c r="O6" t="s">
        <v>23</v>
      </c>
      <c r="P6">
        <v>20230218</v>
      </c>
      <c r="Q6">
        <v>20230207</v>
      </c>
    </row>
    <row r="7" spans="1:19" x14ac:dyDescent="0.25">
      <c r="A7" t="s">
        <v>476</v>
      </c>
      <c r="B7" t="s">
        <v>477</v>
      </c>
      <c r="C7">
        <v>1</v>
      </c>
      <c r="D7">
        <v>20230207</v>
      </c>
      <c r="E7">
        <v>2</v>
      </c>
      <c r="F7">
        <v>401000</v>
      </c>
      <c r="G7" t="s">
        <v>41</v>
      </c>
      <c r="H7" t="s">
        <v>474</v>
      </c>
      <c r="I7" t="s">
        <v>475</v>
      </c>
      <c r="J7" t="s">
        <v>5082</v>
      </c>
      <c r="K7">
        <v>20230207</v>
      </c>
      <c r="L7" t="s">
        <v>5758</v>
      </c>
      <c r="M7">
        <v>450</v>
      </c>
      <c r="N7">
        <v>0</v>
      </c>
      <c r="O7" t="s">
        <v>23</v>
      </c>
      <c r="P7">
        <v>20230218</v>
      </c>
      <c r="Q7">
        <v>20230207</v>
      </c>
    </row>
    <row r="8" spans="1:19" x14ac:dyDescent="0.25">
      <c r="A8" t="s">
        <v>476</v>
      </c>
      <c r="B8" t="s">
        <v>477</v>
      </c>
      <c r="C8">
        <v>1</v>
      </c>
      <c r="D8">
        <v>20230207</v>
      </c>
      <c r="E8">
        <v>2</v>
      </c>
      <c r="F8">
        <v>401000</v>
      </c>
      <c r="G8" t="s">
        <v>41</v>
      </c>
      <c r="H8" t="s">
        <v>827</v>
      </c>
      <c r="I8" t="s">
        <v>828</v>
      </c>
      <c r="J8" t="s">
        <v>5082</v>
      </c>
      <c r="K8">
        <v>20230207</v>
      </c>
      <c r="L8" t="s">
        <v>5758</v>
      </c>
      <c r="M8">
        <v>123</v>
      </c>
      <c r="N8">
        <v>0</v>
      </c>
      <c r="O8" t="s">
        <v>23</v>
      </c>
      <c r="P8">
        <v>20230218</v>
      </c>
      <c r="Q8">
        <v>20230207</v>
      </c>
    </row>
    <row r="9" spans="1:19" x14ac:dyDescent="0.25">
      <c r="A9" t="s">
        <v>476</v>
      </c>
      <c r="B9" t="s">
        <v>477</v>
      </c>
      <c r="C9">
        <v>1</v>
      </c>
      <c r="D9">
        <v>20230207</v>
      </c>
      <c r="E9">
        <v>2</v>
      </c>
      <c r="F9">
        <v>512000</v>
      </c>
      <c r="G9" t="s">
        <v>428</v>
      </c>
      <c r="H9" t="s">
        <v>401</v>
      </c>
      <c r="I9" t="s">
        <v>402</v>
      </c>
      <c r="J9" t="s">
        <v>5082</v>
      </c>
      <c r="K9">
        <v>20230207</v>
      </c>
      <c r="L9" t="s">
        <v>5758</v>
      </c>
      <c r="M9">
        <v>0</v>
      </c>
      <c r="N9">
        <v>1602.91</v>
      </c>
      <c r="O9" t="s">
        <v>19</v>
      </c>
      <c r="P9" t="s">
        <v>20</v>
      </c>
      <c r="Q9">
        <v>20230207</v>
      </c>
    </row>
    <row r="10" spans="1:19" x14ac:dyDescent="0.25">
      <c r="A10" t="s">
        <v>476</v>
      </c>
      <c r="B10" t="s">
        <v>477</v>
      </c>
      <c r="C10">
        <v>1</v>
      </c>
      <c r="D10">
        <v>20230207</v>
      </c>
      <c r="E10">
        <v>2</v>
      </c>
      <c r="F10">
        <v>467100</v>
      </c>
      <c r="G10" t="s">
        <v>160</v>
      </c>
      <c r="H10" t="s">
        <v>185</v>
      </c>
      <c r="I10" t="s">
        <v>186</v>
      </c>
      <c r="J10" t="s">
        <v>5083</v>
      </c>
      <c r="K10">
        <v>20230207</v>
      </c>
      <c r="L10" t="s">
        <v>5757</v>
      </c>
      <c r="M10">
        <v>400</v>
      </c>
      <c r="N10">
        <v>0</v>
      </c>
      <c r="O10" t="s">
        <v>19</v>
      </c>
      <c r="P10" t="s">
        <v>20</v>
      </c>
      <c r="Q10">
        <v>20230207</v>
      </c>
    </row>
    <row r="11" spans="1:19" x14ac:dyDescent="0.25">
      <c r="A11" t="s">
        <v>476</v>
      </c>
      <c r="B11" t="s">
        <v>477</v>
      </c>
      <c r="C11">
        <v>1</v>
      </c>
      <c r="D11">
        <v>20230207</v>
      </c>
      <c r="E11">
        <v>2</v>
      </c>
      <c r="F11">
        <v>512000</v>
      </c>
      <c r="G11" t="s">
        <v>428</v>
      </c>
      <c r="H11" t="s">
        <v>401</v>
      </c>
      <c r="I11" t="s">
        <v>402</v>
      </c>
      <c r="J11" t="s">
        <v>5083</v>
      </c>
      <c r="K11">
        <v>20230207</v>
      </c>
      <c r="L11" t="s">
        <v>5757</v>
      </c>
      <c r="M11">
        <v>0</v>
      </c>
      <c r="N11">
        <v>400</v>
      </c>
      <c r="O11" t="s">
        <v>19</v>
      </c>
      <c r="P11" t="s">
        <v>20</v>
      </c>
      <c r="Q11">
        <v>20230207</v>
      </c>
    </row>
    <row r="12" spans="1:19" x14ac:dyDescent="0.25">
      <c r="A12" t="s">
        <v>476</v>
      </c>
      <c r="B12" t="s">
        <v>477</v>
      </c>
      <c r="C12">
        <v>1</v>
      </c>
      <c r="D12">
        <v>20230209</v>
      </c>
      <c r="E12">
        <v>2</v>
      </c>
      <c r="F12">
        <v>411100</v>
      </c>
      <c r="G12" t="s">
        <v>18</v>
      </c>
      <c r="H12" t="s">
        <v>4141</v>
      </c>
      <c r="I12" t="s">
        <v>4142</v>
      </c>
      <c r="J12" t="s">
        <v>5084</v>
      </c>
      <c r="K12">
        <v>20230209</v>
      </c>
      <c r="L12" t="s">
        <v>5757</v>
      </c>
      <c r="M12">
        <v>91.5</v>
      </c>
      <c r="N12">
        <v>0</v>
      </c>
      <c r="O12" t="s">
        <v>19</v>
      </c>
      <c r="P12" t="s">
        <v>20</v>
      </c>
      <c r="Q12">
        <v>20230209</v>
      </c>
    </row>
    <row r="13" spans="1:19" x14ac:dyDescent="0.25">
      <c r="A13" t="s">
        <v>476</v>
      </c>
      <c r="B13" t="s">
        <v>477</v>
      </c>
      <c r="C13">
        <v>1</v>
      </c>
      <c r="D13">
        <v>20230209</v>
      </c>
      <c r="E13">
        <v>2</v>
      </c>
      <c r="F13">
        <v>512000</v>
      </c>
      <c r="G13" t="s">
        <v>428</v>
      </c>
      <c r="H13" t="s">
        <v>401</v>
      </c>
      <c r="I13" t="s">
        <v>402</v>
      </c>
      <c r="J13" t="s">
        <v>5084</v>
      </c>
      <c r="K13">
        <v>20230209</v>
      </c>
      <c r="L13" t="s">
        <v>5757</v>
      </c>
      <c r="M13">
        <v>0</v>
      </c>
      <c r="N13">
        <v>91.5</v>
      </c>
      <c r="O13" t="s">
        <v>19</v>
      </c>
      <c r="P13" t="s">
        <v>20</v>
      </c>
      <c r="Q13">
        <v>20230209</v>
      </c>
    </row>
    <row r="14" spans="1:19" x14ac:dyDescent="0.25">
      <c r="A14" t="s">
        <v>476</v>
      </c>
      <c r="B14" t="s">
        <v>477</v>
      </c>
      <c r="C14">
        <v>1</v>
      </c>
      <c r="D14">
        <v>20230209</v>
      </c>
      <c r="E14">
        <v>2</v>
      </c>
      <c r="F14">
        <v>448100</v>
      </c>
      <c r="G14" t="s">
        <v>420</v>
      </c>
      <c r="H14" t="s">
        <v>401</v>
      </c>
      <c r="I14" t="s">
        <v>402</v>
      </c>
      <c r="J14" t="s">
        <v>5085</v>
      </c>
      <c r="K14">
        <v>20230209</v>
      </c>
      <c r="L14" t="s">
        <v>5757</v>
      </c>
      <c r="M14">
        <v>9461</v>
      </c>
      <c r="N14">
        <v>0</v>
      </c>
      <c r="O14" t="s">
        <v>23</v>
      </c>
      <c r="P14">
        <v>20230218</v>
      </c>
      <c r="Q14">
        <v>20230209</v>
      </c>
    </row>
    <row r="15" spans="1:19" x14ac:dyDescent="0.25">
      <c r="A15" t="s">
        <v>476</v>
      </c>
      <c r="B15" t="s">
        <v>477</v>
      </c>
      <c r="C15">
        <v>1</v>
      </c>
      <c r="D15">
        <v>20230209</v>
      </c>
      <c r="E15">
        <v>2</v>
      </c>
      <c r="F15">
        <v>512000</v>
      </c>
      <c r="G15" t="s">
        <v>428</v>
      </c>
      <c r="H15" t="s">
        <v>401</v>
      </c>
      <c r="I15" t="s">
        <v>402</v>
      </c>
      <c r="J15" t="s">
        <v>5085</v>
      </c>
      <c r="K15">
        <v>20230209</v>
      </c>
      <c r="L15" t="s">
        <v>5757</v>
      </c>
      <c r="M15">
        <v>0</v>
      </c>
      <c r="N15">
        <v>9461</v>
      </c>
      <c r="O15" t="s">
        <v>19</v>
      </c>
      <c r="P15" t="s">
        <v>20</v>
      </c>
      <c r="Q15">
        <v>20230209</v>
      </c>
    </row>
    <row r="16" spans="1:19" x14ac:dyDescent="0.25">
      <c r="A16" t="s">
        <v>476</v>
      </c>
      <c r="B16" t="s">
        <v>477</v>
      </c>
      <c r="C16">
        <v>1</v>
      </c>
      <c r="D16">
        <v>20230216</v>
      </c>
      <c r="E16">
        <v>2</v>
      </c>
      <c r="F16">
        <v>467100</v>
      </c>
      <c r="G16" t="s">
        <v>160</v>
      </c>
      <c r="H16" t="s">
        <v>5086</v>
      </c>
      <c r="I16" t="s">
        <v>5087</v>
      </c>
      <c r="J16" t="s">
        <v>5088</v>
      </c>
      <c r="K16">
        <v>20230216</v>
      </c>
      <c r="L16" t="s">
        <v>5757</v>
      </c>
      <c r="M16">
        <v>130</v>
      </c>
      <c r="N16">
        <v>0</v>
      </c>
      <c r="O16" t="s">
        <v>23</v>
      </c>
      <c r="P16">
        <v>20230308</v>
      </c>
      <c r="Q16">
        <v>20230216</v>
      </c>
    </row>
    <row r="17" spans="1:17" x14ac:dyDescent="0.25">
      <c r="A17" t="s">
        <v>476</v>
      </c>
      <c r="B17" t="s">
        <v>477</v>
      </c>
      <c r="C17">
        <v>1</v>
      </c>
      <c r="D17">
        <v>20230216</v>
      </c>
      <c r="E17">
        <v>2</v>
      </c>
      <c r="F17">
        <v>467100</v>
      </c>
      <c r="G17" t="s">
        <v>160</v>
      </c>
      <c r="H17" t="s">
        <v>172</v>
      </c>
      <c r="I17" t="s">
        <v>173</v>
      </c>
      <c r="J17" t="s">
        <v>5088</v>
      </c>
      <c r="K17">
        <v>20230216</v>
      </c>
      <c r="L17" t="s">
        <v>5757</v>
      </c>
      <c r="M17">
        <v>300</v>
      </c>
      <c r="N17">
        <v>0</v>
      </c>
      <c r="O17" t="s">
        <v>19</v>
      </c>
      <c r="P17" t="s">
        <v>20</v>
      </c>
      <c r="Q17">
        <v>20230216</v>
      </c>
    </row>
    <row r="18" spans="1:17" x14ac:dyDescent="0.25">
      <c r="A18" t="s">
        <v>476</v>
      </c>
      <c r="B18" t="s">
        <v>477</v>
      </c>
      <c r="C18">
        <v>1</v>
      </c>
      <c r="D18">
        <v>20230216</v>
      </c>
      <c r="E18">
        <v>2</v>
      </c>
      <c r="F18">
        <v>512000</v>
      </c>
      <c r="G18" t="s">
        <v>428</v>
      </c>
      <c r="H18" t="s">
        <v>401</v>
      </c>
      <c r="I18" t="s">
        <v>402</v>
      </c>
      <c r="J18" t="s">
        <v>5088</v>
      </c>
      <c r="K18">
        <v>20230216</v>
      </c>
      <c r="L18" t="s">
        <v>5757</v>
      </c>
      <c r="M18">
        <v>0</v>
      </c>
      <c r="N18">
        <v>430</v>
      </c>
      <c r="O18" t="s">
        <v>19</v>
      </c>
      <c r="P18" t="s">
        <v>20</v>
      </c>
      <c r="Q18">
        <v>20230216</v>
      </c>
    </row>
    <row r="19" spans="1:17" x14ac:dyDescent="0.25">
      <c r="A19" t="s">
        <v>476</v>
      </c>
      <c r="B19" t="s">
        <v>477</v>
      </c>
      <c r="C19">
        <v>1</v>
      </c>
      <c r="D19">
        <v>20230224</v>
      </c>
      <c r="E19">
        <v>2</v>
      </c>
      <c r="F19">
        <v>467100</v>
      </c>
      <c r="G19" t="s">
        <v>160</v>
      </c>
      <c r="H19" t="s">
        <v>5089</v>
      </c>
      <c r="I19" t="s">
        <v>5090</v>
      </c>
      <c r="J19" t="s">
        <v>5091</v>
      </c>
      <c r="K19">
        <v>20230224</v>
      </c>
      <c r="L19" t="s">
        <v>5757</v>
      </c>
      <c r="M19">
        <v>404.86</v>
      </c>
      <c r="N19">
        <v>0</v>
      </c>
      <c r="O19" t="s">
        <v>19</v>
      </c>
      <c r="P19" t="s">
        <v>20</v>
      </c>
      <c r="Q19">
        <v>20230224</v>
      </c>
    </row>
    <row r="20" spans="1:17" x14ac:dyDescent="0.25">
      <c r="A20" t="s">
        <v>476</v>
      </c>
      <c r="B20" t="s">
        <v>477</v>
      </c>
      <c r="C20">
        <v>1</v>
      </c>
      <c r="D20">
        <v>20230224</v>
      </c>
      <c r="E20">
        <v>2</v>
      </c>
      <c r="F20">
        <v>467100</v>
      </c>
      <c r="G20" t="s">
        <v>160</v>
      </c>
      <c r="H20" t="s">
        <v>5092</v>
      </c>
      <c r="I20" t="s">
        <v>5093</v>
      </c>
      <c r="J20" t="s">
        <v>5091</v>
      </c>
      <c r="K20">
        <v>20230224</v>
      </c>
      <c r="L20" t="s">
        <v>5757</v>
      </c>
      <c r="M20">
        <v>812.61</v>
      </c>
      <c r="N20">
        <v>0</v>
      </c>
      <c r="O20" t="s">
        <v>19</v>
      </c>
      <c r="P20" t="s">
        <v>20</v>
      </c>
      <c r="Q20">
        <v>20230224</v>
      </c>
    </row>
    <row r="21" spans="1:17" x14ac:dyDescent="0.25">
      <c r="A21" t="s">
        <v>476</v>
      </c>
      <c r="B21" t="s">
        <v>477</v>
      </c>
      <c r="C21">
        <v>1</v>
      </c>
      <c r="D21">
        <v>20230224</v>
      </c>
      <c r="E21">
        <v>2</v>
      </c>
      <c r="F21">
        <v>512000</v>
      </c>
      <c r="G21" t="s">
        <v>428</v>
      </c>
      <c r="H21" t="s">
        <v>401</v>
      </c>
      <c r="I21" t="s">
        <v>402</v>
      </c>
      <c r="J21" t="s">
        <v>5091</v>
      </c>
      <c r="K21">
        <v>20230224</v>
      </c>
      <c r="L21" t="s">
        <v>5757</v>
      </c>
      <c r="M21">
        <v>0</v>
      </c>
      <c r="N21">
        <v>1217.47</v>
      </c>
      <c r="O21" t="s">
        <v>19</v>
      </c>
      <c r="P21" t="s">
        <v>20</v>
      </c>
      <c r="Q21">
        <v>20230224</v>
      </c>
    </row>
    <row r="22" spans="1:17" x14ac:dyDescent="0.25">
      <c r="A22" t="s">
        <v>476</v>
      </c>
      <c r="B22" t="s">
        <v>477</v>
      </c>
      <c r="C22">
        <v>2</v>
      </c>
      <c r="D22">
        <v>20230201</v>
      </c>
      <c r="E22">
        <v>2</v>
      </c>
      <c r="F22">
        <v>431000</v>
      </c>
      <c r="G22" t="s">
        <v>408</v>
      </c>
      <c r="H22" t="s">
        <v>401</v>
      </c>
      <c r="I22" t="s">
        <v>402</v>
      </c>
      <c r="J22" t="s">
        <v>5756</v>
      </c>
      <c r="K22">
        <v>20230201</v>
      </c>
      <c r="L22" t="s">
        <v>513</v>
      </c>
      <c r="M22">
        <v>56</v>
      </c>
      <c r="N22">
        <v>0</v>
      </c>
      <c r="O22" t="s">
        <v>19</v>
      </c>
      <c r="P22" t="s">
        <v>20</v>
      </c>
      <c r="Q22">
        <v>20230201</v>
      </c>
    </row>
    <row r="23" spans="1:17" x14ac:dyDescent="0.25">
      <c r="A23" t="s">
        <v>476</v>
      </c>
      <c r="B23" t="s">
        <v>477</v>
      </c>
      <c r="C23">
        <v>2</v>
      </c>
      <c r="D23">
        <v>20230201</v>
      </c>
      <c r="E23">
        <v>2</v>
      </c>
      <c r="F23">
        <v>512000</v>
      </c>
      <c r="G23" t="s">
        <v>428</v>
      </c>
      <c r="H23" t="s">
        <v>401</v>
      </c>
      <c r="I23" t="s">
        <v>402</v>
      </c>
      <c r="J23" t="s">
        <v>5756</v>
      </c>
      <c r="K23">
        <v>20230201</v>
      </c>
      <c r="L23" t="s">
        <v>513</v>
      </c>
      <c r="M23">
        <v>0</v>
      </c>
      <c r="N23">
        <v>56</v>
      </c>
      <c r="O23" t="s">
        <v>19</v>
      </c>
      <c r="P23" t="s">
        <v>20</v>
      </c>
      <c r="Q23">
        <v>20230201</v>
      </c>
    </row>
    <row r="24" spans="1:17" x14ac:dyDescent="0.25">
      <c r="A24" t="s">
        <v>476</v>
      </c>
      <c r="B24" t="s">
        <v>477</v>
      </c>
      <c r="C24">
        <v>2</v>
      </c>
      <c r="D24">
        <v>20230203</v>
      </c>
      <c r="E24">
        <v>2</v>
      </c>
      <c r="F24">
        <v>468725</v>
      </c>
      <c r="G24" t="s">
        <v>424</v>
      </c>
      <c r="H24" t="s">
        <v>401</v>
      </c>
      <c r="I24" t="s">
        <v>402</v>
      </c>
      <c r="J24" t="s">
        <v>5755</v>
      </c>
      <c r="K24">
        <v>20230203</v>
      </c>
      <c r="L24" t="s">
        <v>2403</v>
      </c>
      <c r="M24">
        <v>0</v>
      </c>
      <c r="N24">
        <v>3333.3</v>
      </c>
      <c r="O24" t="s">
        <v>19</v>
      </c>
      <c r="P24" t="s">
        <v>20</v>
      </c>
      <c r="Q24">
        <v>20230203</v>
      </c>
    </row>
    <row r="25" spans="1:17" x14ac:dyDescent="0.25">
      <c r="A25" t="s">
        <v>476</v>
      </c>
      <c r="B25" t="s">
        <v>477</v>
      </c>
      <c r="C25">
        <v>2</v>
      </c>
      <c r="D25">
        <v>20230203</v>
      </c>
      <c r="E25">
        <v>2</v>
      </c>
      <c r="F25">
        <v>512000</v>
      </c>
      <c r="G25" t="s">
        <v>428</v>
      </c>
      <c r="H25" t="s">
        <v>401</v>
      </c>
      <c r="I25" t="s">
        <v>402</v>
      </c>
      <c r="J25" t="s">
        <v>5755</v>
      </c>
      <c r="K25">
        <v>20230203</v>
      </c>
      <c r="L25" t="s">
        <v>2403</v>
      </c>
      <c r="M25">
        <v>3333.3</v>
      </c>
      <c r="N25">
        <v>0</v>
      </c>
      <c r="O25" t="s">
        <v>19</v>
      </c>
      <c r="P25" t="s">
        <v>20</v>
      </c>
      <c r="Q25">
        <v>20230203</v>
      </c>
    </row>
    <row r="26" spans="1:17" x14ac:dyDescent="0.25">
      <c r="A26" t="s">
        <v>476</v>
      </c>
      <c r="B26" t="s">
        <v>477</v>
      </c>
      <c r="C26">
        <v>2</v>
      </c>
      <c r="D26">
        <v>20230203</v>
      </c>
      <c r="E26">
        <v>2</v>
      </c>
      <c r="F26">
        <v>627000</v>
      </c>
      <c r="G26" t="s">
        <v>480</v>
      </c>
      <c r="H26" t="s">
        <v>401</v>
      </c>
      <c r="I26" t="s">
        <v>402</v>
      </c>
      <c r="J26" t="s">
        <v>5754</v>
      </c>
      <c r="K26">
        <v>20230203</v>
      </c>
      <c r="L26" t="s">
        <v>5753</v>
      </c>
      <c r="M26">
        <v>10.5</v>
      </c>
      <c r="N26">
        <v>0</v>
      </c>
      <c r="O26" t="s">
        <v>19</v>
      </c>
      <c r="P26" t="s">
        <v>20</v>
      </c>
      <c r="Q26">
        <v>20230203</v>
      </c>
    </row>
    <row r="27" spans="1:17" x14ac:dyDescent="0.25">
      <c r="A27" t="s">
        <v>476</v>
      </c>
      <c r="B27" t="s">
        <v>477</v>
      </c>
      <c r="C27">
        <v>2</v>
      </c>
      <c r="D27">
        <v>20230203</v>
      </c>
      <c r="E27">
        <v>2</v>
      </c>
      <c r="F27">
        <v>512000</v>
      </c>
      <c r="G27" t="s">
        <v>428</v>
      </c>
      <c r="H27" t="s">
        <v>401</v>
      </c>
      <c r="I27" t="s">
        <v>402</v>
      </c>
      <c r="J27" t="s">
        <v>5754</v>
      </c>
      <c r="K27">
        <v>20230203</v>
      </c>
      <c r="L27" t="s">
        <v>5753</v>
      </c>
      <c r="M27">
        <v>0</v>
      </c>
      <c r="N27">
        <v>10.5</v>
      </c>
      <c r="O27" t="s">
        <v>19</v>
      </c>
      <c r="P27" t="s">
        <v>20</v>
      </c>
      <c r="Q27">
        <v>20230203</v>
      </c>
    </row>
    <row r="28" spans="1:17" x14ac:dyDescent="0.25">
      <c r="A28" t="s">
        <v>476</v>
      </c>
      <c r="B28" t="s">
        <v>477</v>
      </c>
      <c r="C28">
        <v>2</v>
      </c>
      <c r="D28">
        <v>20230203</v>
      </c>
      <c r="E28">
        <v>2</v>
      </c>
      <c r="F28">
        <v>627000</v>
      </c>
      <c r="G28" t="s">
        <v>480</v>
      </c>
      <c r="H28" t="s">
        <v>401</v>
      </c>
      <c r="I28" t="s">
        <v>402</v>
      </c>
      <c r="J28" t="s">
        <v>5752</v>
      </c>
      <c r="K28">
        <v>20230203</v>
      </c>
      <c r="L28" t="s">
        <v>4488</v>
      </c>
      <c r="M28">
        <v>49</v>
      </c>
      <c r="N28">
        <v>0</v>
      </c>
      <c r="O28" t="s">
        <v>19</v>
      </c>
      <c r="P28" t="s">
        <v>20</v>
      </c>
      <c r="Q28">
        <v>20230203</v>
      </c>
    </row>
    <row r="29" spans="1:17" x14ac:dyDescent="0.25">
      <c r="A29" t="s">
        <v>476</v>
      </c>
      <c r="B29" t="s">
        <v>477</v>
      </c>
      <c r="C29">
        <v>2</v>
      </c>
      <c r="D29">
        <v>20230203</v>
      </c>
      <c r="E29">
        <v>2</v>
      </c>
      <c r="F29">
        <v>512000</v>
      </c>
      <c r="G29" t="s">
        <v>428</v>
      </c>
      <c r="H29" t="s">
        <v>401</v>
      </c>
      <c r="I29" t="s">
        <v>402</v>
      </c>
      <c r="J29" t="s">
        <v>5752</v>
      </c>
      <c r="K29">
        <v>20230203</v>
      </c>
      <c r="L29" t="s">
        <v>4488</v>
      </c>
      <c r="M29">
        <v>0</v>
      </c>
      <c r="N29">
        <v>49</v>
      </c>
      <c r="O29" t="s">
        <v>19</v>
      </c>
      <c r="P29" t="s">
        <v>20</v>
      </c>
      <c r="Q29">
        <v>20230203</v>
      </c>
    </row>
    <row r="30" spans="1:17" x14ac:dyDescent="0.25">
      <c r="A30" t="s">
        <v>476</v>
      </c>
      <c r="B30" t="s">
        <v>477</v>
      </c>
      <c r="C30">
        <v>2</v>
      </c>
      <c r="D30">
        <v>20230203</v>
      </c>
      <c r="E30">
        <v>2</v>
      </c>
      <c r="F30">
        <v>627000</v>
      </c>
      <c r="G30" t="s">
        <v>480</v>
      </c>
      <c r="H30" t="s">
        <v>401</v>
      </c>
      <c r="I30" t="s">
        <v>402</v>
      </c>
      <c r="J30" t="s">
        <v>5751</v>
      </c>
      <c r="K30">
        <v>20230203</v>
      </c>
      <c r="L30" t="s">
        <v>4488</v>
      </c>
      <c r="M30">
        <v>13</v>
      </c>
      <c r="N30">
        <v>0</v>
      </c>
      <c r="O30" t="s">
        <v>19</v>
      </c>
      <c r="P30" t="s">
        <v>20</v>
      </c>
      <c r="Q30">
        <v>20230203</v>
      </c>
    </row>
    <row r="31" spans="1:17" x14ac:dyDescent="0.25">
      <c r="A31" t="s">
        <v>476</v>
      </c>
      <c r="B31" t="s">
        <v>477</v>
      </c>
      <c r="C31">
        <v>2</v>
      </c>
      <c r="D31">
        <v>20230203</v>
      </c>
      <c r="E31">
        <v>2</v>
      </c>
      <c r="F31">
        <v>512000</v>
      </c>
      <c r="G31" t="s">
        <v>428</v>
      </c>
      <c r="H31" t="s">
        <v>401</v>
      </c>
      <c r="I31" t="s">
        <v>402</v>
      </c>
      <c r="J31" t="s">
        <v>5751</v>
      </c>
      <c r="K31">
        <v>20230203</v>
      </c>
      <c r="L31" t="s">
        <v>4488</v>
      </c>
      <c r="M31">
        <v>0</v>
      </c>
      <c r="N31">
        <v>13</v>
      </c>
      <c r="O31" t="s">
        <v>19</v>
      </c>
      <c r="P31" t="s">
        <v>20</v>
      </c>
      <c r="Q31">
        <v>20230203</v>
      </c>
    </row>
    <row r="32" spans="1:17" x14ac:dyDescent="0.25">
      <c r="A32" t="s">
        <v>476</v>
      </c>
      <c r="B32" t="s">
        <v>477</v>
      </c>
      <c r="C32">
        <v>2</v>
      </c>
      <c r="D32">
        <v>20230203</v>
      </c>
      <c r="E32">
        <v>2</v>
      </c>
      <c r="F32">
        <v>447000</v>
      </c>
      <c r="G32" t="s">
        <v>419</v>
      </c>
      <c r="H32" t="s">
        <v>401</v>
      </c>
      <c r="I32" t="s">
        <v>402</v>
      </c>
      <c r="J32" t="s">
        <v>5750</v>
      </c>
      <c r="K32">
        <v>20230203</v>
      </c>
      <c r="L32" t="s">
        <v>5749</v>
      </c>
      <c r="M32">
        <v>8502</v>
      </c>
      <c r="N32">
        <v>0</v>
      </c>
      <c r="O32" t="s">
        <v>19</v>
      </c>
      <c r="P32" t="s">
        <v>20</v>
      </c>
      <c r="Q32">
        <v>20230203</v>
      </c>
    </row>
    <row r="33" spans="1:17" x14ac:dyDescent="0.25">
      <c r="A33" t="s">
        <v>476</v>
      </c>
      <c r="B33" t="s">
        <v>477</v>
      </c>
      <c r="C33">
        <v>2</v>
      </c>
      <c r="D33">
        <v>20230203</v>
      </c>
      <c r="E33">
        <v>2</v>
      </c>
      <c r="F33">
        <v>512000</v>
      </c>
      <c r="G33" t="s">
        <v>428</v>
      </c>
      <c r="H33" t="s">
        <v>401</v>
      </c>
      <c r="I33" t="s">
        <v>402</v>
      </c>
      <c r="J33" t="s">
        <v>5750</v>
      </c>
      <c r="K33">
        <v>20230203</v>
      </c>
      <c r="L33" t="s">
        <v>5749</v>
      </c>
      <c r="M33">
        <v>0</v>
      </c>
      <c r="N33">
        <v>8502</v>
      </c>
      <c r="O33" t="s">
        <v>19</v>
      </c>
      <c r="P33" t="s">
        <v>20</v>
      </c>
      <c r="Q33">
        <v>20230203</v>
      </c>
    </row>
    <row r="34" spans="1:17" x14ac:dyDescent="0.25">
      <c r="A34" t="s">
        <v>476</v>
      </c>
      <c r="B34" t="s">
        <v>477</v>
      </c>
      <c r="C34">
        <v>2</v>
      </c>
      <c r="D34">
        <v>20230206</v>
      </c>
      <c r="E34">
        <v>2</v>
      </c>
      <c r="F34">
        <v>401000</v>
      </c>
      <c r="G34" t="s">
        <v>41</v>
      </c>
      <c r="H34" t="s">
        <v>225</v>
      </c>
      <c r="I34" t="s">
        <v>226</v>
      </c>
      <c r="J34" t="s">
        <v>5748</v>
      </c>
      <c r="K34">
        <v>20230206</v>
      </c>
      <c r="L34" t="s">
        <v>488</v>
      </c>
      <c r="M34">
        <v>475.4</v>
      </c>
      <c r="N34">
        <v>0</v>
      </c>
      <c r="O34" t="s">
        <v>19</v>
      </c>
      <c r="P34" t="s">
        <v>20</v>
      </c>
      <c r="Q34">
        <v>20230206</v>
      </c>
    </row>
    <row r="35" spans="1:17" x14ac:dyDescent="0.25">
      <c r="A35" t="s">
        <v>476</v>
      </c>
      <c r="B35" t="s">
        <v>477</v>
      </c>
      <c r="C35">
        <v>2</v>
      </c>
      <c r="D35">
        <v>20230206</v>
      </c>
      <c r="E35">
        <v>2</v>
      </c>
      <c r="F35">
        <v>512000</v>
      </c>
      <c r="G35" t="s">
        <v>428</v>
      </c>
      <c r="H35" t="s">
        <v>401</v>
      </c>
      <c r="I35" t="s">
        <v>402</v>
      </c>
      <c r="J35" t="s">
        <v>5748</v>
      </c>
      <c r="K35">
        <v>20230206</v>
      </c>
      <c r="L35" t="s">
        <v>488</v>
      </c>
      <c r="M35">
        <v>0</v>
      </c>
      <c r="N35">
        <v>475.4</v>
      </c>
      <c r="O35" t="s">
        <v>19</v>
      </c>
      <c r="P35" t="s">
        <v>20</v>
      </c>
      <c r="Q35">
        <v>20230206</v>
      </c>
    </row>
    <row r="36" spans="1:17" x14ac:dyDescent="0.25">
      <c r="A36" t="s">
        <v>476</v>
      </c>
      <c r="B36" t="s">
        <v>477</v>
      </c>
      <c r="C36">
        <v>2</v>
      </c>
      <c r="D36">
        <v>20230206</v>
      </c>
      <c r="E36">
        <v>2</v>
      </c>
      <c r="F36">
        <v>468200</v>
      </c>
      <c r="G36" t="s">
        <v>421</v>
      </c>
      <c r="H36" t="s">
        <v>401</v>
      </c>
      <c r="I36" t="s">
        <v>402</v>
      </c>
      <c r="J36" t="s">
        <v>5747</v>
      </c>
      <c r="K36">
        <v>20230206</v>
      </c>
      <c r="L36" t="s">
        <v>422</v>
      </c>
      <c r="M36">
        <v>0</v>
      </c>
      <c r="N36">
        <v>247.04</v>
      </c>
      <c r="O36" t="s">
        <v>19</v>
      </c>
      <c r="P36" t="s">
        <v>20</v>
      </c>
      <c r="Q36">
        <v>20230206</v>
      </c>
    </row>
    <row r="37" spans="1:17" x14ac:dyDescent="0.25">
      <c r="A37" t="s">
        <v>476</v>
      </c>
      <c r="B37" t="s">
        <v>477</v>
      </c>
      <c r="C37">
        <v>2</v>
      </c>
      <c r="D37">
        <v>20230206</v>
      </c>
      <c r="E37">
        <v>2</v>
      </c>
      <c r="F37">
        <v>512000</v>
      </c>
      <c r="G37" t="s">
        <v>428</v>
      </c>
      <c r="H37" t="s">
        <v>401</v>
      </c>
      <c r="I37" t="s">
        <v>402</v>
      </c>
      <c r="J37" t="s">
        <v>5747</v>
      </c>
      <c r="K37">
        <v>20230206</v>
      </c>
      <c r="L37" t="s">
        <v>422</v>
      </c>
      <c r="M37">
        <v>247.04</v>
      </c>
      <c r="N37">
        <v>0</v>
      </c>
      <c r="O37" t="s">
        <v>19</v>
      </c>
      <c r="P37" t="s">
        <v>20</v>
      </c>
      <c r="Q37">
        <v>20230206</v>
      </c>
    </row>
    <row r="38" spans="1:17" x14ac:dyDescent="0.25">
      <c r="A38" t="s">
        <v>476</v>
      </c>
      <c r="B38" t="s">
        <v>477</v>
      </c>
      <c r="C38">
        <v>2</v>
      </c>
      <c r="D38">
        <v>20230206</v>
      </c>
      <c r="E38">
        <v>2</v>
      </c>
      <c r="F38">
        <v>580000</v>
      </c>
      <c r="G38" t="s">
        <v>532</v>
      </c>
      <c r="H38" t="s">
        <v>401</v>
      </c>
      <c r="I38" t="s">
        <v>402</v>
      </c>
      <c r="J38" t="s">
        <v>5746</v>
      </c>
      <c r="K38">
        <v>20230206</v>
      </c>
      <c r="L38" t="s">
        <v>5729</v>
      </c>
      <c r="M38">
        <v>0</v>
      </c>
      <c r="N38">
        <v>40000</v>
      </c>
      <c r="O38" t="s">
        <v>19</v>
      </c>
      <c r="P38" t="s">
        <v>20</v>
      </c>
      <c r="Q38">
        <v>20230206</v>
      </c>
    </row>
    <row r="39" spans="1:17" x14ac:dyDescent="0.25">
      <c r="A39" t="s">
        <v>476</v>
      </c>
      <c r="B39" t="s">
        <v>477</v>
      </c>
      <c r="C39">
        <v>2</v>
      </c>
      <c r="D39">
        <v>20230206</v>
      </c>
      <c r="E39">
        <v>2</v>
      </c>
      <c r="F39">
        <v>512000</v>
      </c>
      <c r="G39" t="s">
        <v>428</v>
      </c>
      <c r="H39" t="s">
        <v>401</v>
      </c>
      <c r="I39" t="s">
        <v>402</v>
      </c>
      <c r="J39" t="s">
        <v>5746</v>
      </c>
      <c r="K39">
        <v>20230206</v>
      </c>
      <c r="L39" t="s">
        <v>5729</v>
      </c>
      <c r="M39">
        <v>40000</v>
      </c>
      <c r="N39">
        <v>0</v>
      </c>
      <c r="O39" t="s">
        <v>19</v>
      </c>
      <c r="P39" t="s">
        <v>20</v>
      </c>
      <c r="Q39">
        <v>20230206</v>
      </c>
    </row>
    <row r="40" spans="1:17" x14ac:dyDescent="0.25">
      <c r="A40" t="s">
        <v>476</v>
      </c>
      <c r="B40" t="s">
        <v>477</v>
      </c>
      <c r="C40">
        <v>2</v>
      </c>
      <c r="D40">
        <v>20230208</v>
      </c>
      <c r="E40">
        <v>2</v>
      </c>
      <c r="F40">
        <v>468200</v>
      </c>
      <c r="G40" t="s">
        <v>421</v>
      </c>
      <c r="H40" t="s">
        <v>401</v>
      </c>
      <c r="I40" t="s">
        <v>402</v>
      </c>
      <c r="J40" t="s">
        <v>5745</v>
      </c>
      <c r="K40">
        <v>20230208</v>
      </c>
      <c r="L40" t="s">
        <v>422</v>
      </c>
      <c r="M40">
        <v>0</v>
      </c>
      <c r="N40">
        <v>241.32</v>
      </c>
      <c r="O40" t="s">
        <v>19</v>
      </c>
      <c r="P40" t="s">
        <v>20</v>
      </c>
      <c r="Q40">
        <v>20230208</v>
      </c>
    </row>
    <row r="41" spans="1:17" x14ac:dyDescent="0.25">
      <c r="A41" t="s">
        <v>476</v>
      </c>
      <c r="B41" t="s">
        <v>477</v>
      </c>
      <c r="C41">
        <v>2</v>
      </c>
      <c r="D41">
        <v>20230208</v>
      </c>
      <c r="E41">
        <v>2</v>
      </c>
      <c r="F41">
        <v>512000</v>
      </c>
      <c r="G41" t="s">
        <v>428</v>
      </c>
      <c r="H41" t="s">
        <v>401</v>
      </c>
      <c r="I41" t="s">
        <v>402</v>
      </c>
      <c r="J41" t="s">
        <v>5745</v>
      </c>
      <c r="K41">
        <v>20230208</v>
      </c>
      <c r="L41" t="s">
        <v>422</v>
      </c>
      <c r="M41">
        <v>241.32</v>
      </c>
      <c r="N41">
        <v>0</v>
      </c>
      <c r="O41" t="s">
        <v>19</v>
      </c>
      <c r="P41" t="s">
        <v>20</v>
      </c>
      <c r="Q41">
        <v>20230208</v>
      </c>
    </row>
    <row r="42" spans="1:17" x14ac:dyDescent="0.25">
      <c r="A42" t="s">
        <v>476</v>
      </c>
      <c r="B42" t="s">
        <v>477</v>
      </c>
      <c r="C42">
        <v>2</v>
      </c>
      <c r="D42">
        <v>20230213</v>
      </c>
      <c r="E42">
        <v>2</v>
      </c>
      <c r="F42">
        <v>437000</v>
      </c>
      <c r="G42" t="s">
        <v>430</v>
      </c>
      <c r="H42" t="s">
        <v>401</v>
      </c>
      <c r="I42" t="s">
        <v>402</v>
      </c>
      <c r="J42" t="s">
        <v>5744</v>
      </c>
      <c r="K42">
        <v>20230213</v>
      </c>
      <c r="L42" t="s">
        <v>497</v>
      </c>
      <c r="M42">
        <v>1440.44</v>
      </c>
      <c r="N42">
        <v>0</v>
      </c>
      <c r="O42" t="s">
        <v>19</v>
      </c>
      <c r="P42" t="s">
        <v>20</v>
      </c>
      <c r="Q42">
        <v>20230213</v>
      </c>
    </row>
    <row r="43" spans="1:17" x14ac:dyDescent="0.25">
      <c r="A43" t="s">
        <v>476</v>
      </c>
      <c r="B43" t="s">
        <v>477</v>
      </c>
      <c r="C43">
        <v>2</v>
      </c>
      <c r="D43">
        <v>20230213</v>
      </c>
      <c r="E43">
        <v>2</v>
      </c>
      <c r="F43">
        <v>512000</v>
      </c>
      <c r="G43" t="s">
        <v>428</v>
      </c>
      <c r="H43" t="s">
        <v>401</v>
      </c>
      <c r="I43" t="s">
        <v>402</v>
      </c>
      <c r="J43" t="s">
        <v>5744</v>
      </c>
      <c r="K43">
        <v>20230213</v>
      </c>
      <c r="L43" t="s">
        <v>497</v>
      </c>
      <c r="M43">
        <v>0</v>
      </c>
      <c r="N43">
        <v>1440.44</v>
      </c>
      <c r="O43" t="s">
        <v>19</v>
      </c>
      <c r="P43" t="s">
        <v>20</v>
      </c>
      <c r="Q43">
        <v>20230213</v>
      </c>
    </row>
    <row r="44" spans="1:17" x14ac:dyDescent="0.25">
      <c r="A44" t="s">
        <v>476</v>
      </c>
      <c r="B44" t="s">
        <v>477</v>
      </c>
      <c r="C44">
        <v>2</v>
      </c>
      <c r="D44">
        <v>20230214</v>
      </c>
      <c r="E44">
        <v>2</v>
      </c>
      <c r="F44">
        <v>468200</v>
      </c>
      <c r="G44" t="s">
        <v>421</v>
      </c>
      <c r="H44" t="s">
        <v>401</v>
      </c>
      <c r="I44" t="s">
        <v>402</v>
      </c>
      <c r="J44" t="s">
        <v>5743</v>
      </c>
      <c r="K44">
        <v>20230214</v>
      </c>
      <c r="L44" t="s">
        <v>422</v>
      </c>
      <c r="M44">
        <v>0</v>
      </c>
      <c r="N44">
        <v>136.97</v>
      </c>
      <c r="O44" t="s">
        <v>19</v>
      </c>
      <c r="P44" t="s">
        <v>20</v>
      </c>
      <c r="Q44">
        <v>20230214</v>
      </c>
    </row>
    <row r="45" spans="1:17" x14ac:dyDescent="0.25">
      <c r="A45" t="s">
        <v>476</v>
      </c>
      <c r="B45" t="s">
        <v>477</v>
      </c>
      <c r="C45">
        <v>2</v>
      </c>
      <c r="D45">
        <v>20230214</v>
      </c>
      <c r="E45">
        <v>2</v>
      </c>
      <c r="F45">
        <v>512000</v>
      </c>
      <c r="G45" t="s">
        <v>428</v>
      </c>
      <c r="H45" t="s">
        <v>401</v>
      </c>
      <c r="I45" t="s">
        <v>402</v>
      </c>
      <c r="J45" t="s">
        <v>5743</v>
      </c>
      <c r="K45">
        <v>20230214</v>
      </c>
      <c r="L45" t="s">
        <v>422</v>
      </c>
      <c r="M45">
        <v>136.97</v>
      </c>
      <c r="N45">
        <v>0</v>
      </c>
      <c r="O45" t="s">
        <v>19</v>
      </c>
      <c r="P45" t="s">
        <v>20</v>
      </c>
      <c r="Q45">
        <v>20230214</v>
      </c>
    </row>
    <row r="46" spans="1:17" x14ac:dyDescent="0.25">
      <c r="A46" t="s">
        <v>476</v>
      </c>
      <c r="B46" t="s">
        <v>477</v>
      </c>
      <c r="C46">
        <v>2</v>
      </c>
      <c r="D46">
        <v>20230215</v>
      </c>
      <c r="E46">
        <v>2</v>
      </c>
      <c r="F46">
        <v>468200</v>
      </c>
      <c r="G46" t="s">
        <v>421</v>
      </c>
      <c r="H46" t="s">
        <v>401</v>
      </c>
      <c r="I46" t="s">
        <v>402</v>
      </c>
      <c r="J46" t="s">
        <v>5742</v>
      </c>
      <c r="K46">
        <v>20230215</v>
      </c>
      <c r="L46" t="s">
        <v>422</v>
      </c>
      <c r="M46">
        <v>0</v>
      </c>
      <c r="N46">
        <v>47.18</v>
      </c>
      <c r="O46" t="s">
        <v>19</v>
      </c>
      <c r="P46" t="s">
        <v>20</v>
      </c>
      <c r="Q46">
        <v>20230215</v>
      </c>
    </row>
    <row r="47" spans="1:17" x14ac:dyDescent="0.25">
      <c r="A47" t="s">
        <v>476</v>
      </c>
      <c r="B47" t="s">
        <v>477</v>
      </c>
      <c r="C47">
        <v>2</v>
      </c>
      <c r="D47">
        <v>20230215</v>
      </c>
      <c r="E47">
        <v>2</v>
      </c>
      <c r="F47">
        <v>512000</v>
      </c>
      <c r="G47" t="s">
        <v>428</v>
      </c>
      <c r="H47" t="s">
        <v>401</v>
      </c>
      <c r="I47" t="s">
        <v>402</v>
      </c>
      <c r="J47" t="s">
        <v>5742</v>
      </c>
      <c r="K47">
        <v>20230215</v>
      </c>
      <c r="L47" t="s">
        <v>422</v>
      </c>
      <c r="M47">
        <v>47.18</v>
      </c>
      <c r="N47">
        <v>0</v>
      </c>
      <c r="O47" t="s">
        <v>19</v>
      </c>
      <c r="P47" t="s">
        <v>20</v>
      </c>
      <c r="Q47">
        <v>20230215</v>
      </c>
    </row>
    <row r="48" spans="1:17" x14ac:dyDescent="0.25">
      <c r="A48" t="s">
        <v>476</v>
      </c>
      <c r="B48" t="s">
        <v>477</v>
      </c>
      <c r="C48">
        <v>2</v>
      </c>
      <c r="D48">
        <v>20230215</v>
      </c>
      <c r="E48">
        <v>2</v>
      </c>
      <c r="F48">
        <v>580000</v>
      </c>
      <c r="G48" t="s">
        <v>532</v>
      </c>
      <c r="H48" t="s">
        <v>401</v>
      </c>
      <c r="I48" t="s">
        <v>402</v>
      </c>
      <c r="J48" t="s">
        <v>5741</v>
      </c>
      <c r="K48">
        <v>20230215</v>
      </c>
      <c r="L48" t="s">
        <v>5729</v>
      </c>
      <c r="M48">
        <v>0</v>
      </c>
      <c r="N48">
        <v>20000</v>
      </c>
      <c r="O48" t="s">
        <v>19</v>
      </c>
      <c r="P48" t="s">
        <v>20</v>
      </c>
      <c r="Q48">
        <v>20230215</v>
      </c>
    </row>
    <row r="49" spans="1:17" x14ac:dyDescent="0.25">
      <c r="A49" t="s">
        <v>476</v>
      </c>
      <c r="B49" t="s">
        <v>477</v>
      </c>
      <c r="C49">
        <v>2</v>
      </c>
      <c r="D49">
        <v>20230215</v>
      </c>
      <c r="E49">
        <v>2</v>
      </c>
      <c r="F49">
        <v>512000</v>
      </c>
      <c r="G49" t="s">
        <v>428</v>
      </c>
      <c r="H49" t="s">
        <v>401</v>
      </c>
      <c r="I49" t="s">
        <v>402</v>
      </c>
      <c r="J49" t="s">
        <v>5741</v>
      </c>
      <c r="K49">
        <v>20230215</v>
      </c>
      <c r="L49" t="s">
        <v>5729</v>
      </c>
      <c r="M49">
        <v>20000</v>
      </c>
      <c r="N49">
        <v>0</v>
      </c>
      <c r="O49" t="s">
        <v>19</v>
      </c>
      <c r="P49" t="s">
        <v>20</v>
      </c>
      <c r="Q49">
        <v>20230215</v>
      </c>
    </row>
    <row r="50" spans="1:17" x14ac:dyDescent="0.25">
      <c r="A50" t="s">
        <v>476</v>
      </c>
      <c r="B50" t="s">
        <v>477</v>
      </c>
      <c r="C50">
        <v>3</v>
      </c>
      <c r="D50">
        <v>20230216</v>
      </c>
      <c r="E50">
        <v>2</v>
      </c>
      <c r="F50">
        <v>431000</v>
      </c>
      <c r="G50" t="s">
        <v>408</v>
      </c>
      <c r="H50" t="s">
        <v>401</v>
      </c>
      <c r="I50" t="s">
        <v>402</v>
      </c>
      <c r="J50" t="s">
        <v>5740</v>
      </c>
      <c r="K50">
        <v>20230216</v>
      </c>
      <c r="L50" t="s">
        <v>513</v>
      </c>
      <c r="M50">
        <v>26496</v>
      </c>
      <c r="N50">
        <v>0</v>
      </c>
      <c r="O50" t="s">
        <v>19</v>
      </c>
      <c r="P50" t="s">
        <v>20</v>
      </c>
      <c r="Q50">
        <v>20230216</v>
      </c>
    </row>
    <row r="51" spans="1:17" x14ac:dyDescent="0.25">
      <c r="A51" t="s">
        <v>476</v>
      </c>
      <c r="B51" t="s">
        <v>477</v>
      </c>
      <c r="C51">
        <v>3</v>
      </c>
      <c r="D51">
        <v>20230216</v>
      </c>
      <c r="E51">
        <v>2</v>
      </c>
      <c r="F51">
        <v>512000</v>
      </c>
      <c r="G51" t="s">
        <v>428</v>
      </c>
      <c r="H51" t="s">
        <v>401</v>
      </c>
      <c r="I51" t="s">
        <v>402</v>
      </c>
      <c r="J51" t="s">
        <v>5740</v>
      </c>
      <c r="K51">
        <v>20230216</v>
      </c>
      <c r="L51" t="s">
        <v>513</v>
      </c>
      <c r="M51">
        <v>0</v>
      </c>
      <c r="N51">
        <v>26496</v>
      </c>
      <c r="O51" t="s">
        <v>19</v>
      </c>
      <c r="P51" t="s">
        <v>20</v>
      </c>
      <c r="Q51">
        <v>20230216</v>
      </c>
    </row>
    <row r="52" spans="1:17" x14ac:dyDescent="0.25">
      <c r="A52" t="s">
        <v>476</v>
      </c>
      <c r="B52" t="s">
        <v>477</v>
      </c>
      <c r="C52">
        <v>3</v>
      </c>
      <c r="D52">
        <v>20230216</v>
      </c>
      <c r="E52">
        <v>2</v>
      </c>
      <c r="F52">
        <v>468200</v>
      </c>
      <c r="G52" t="s">
        <v>421</v>
      </c>
      <c r="H52" t="s">
        <v>401</v>
      </c>
      <c r="I52" t="s">
        <v>402</v>
      </c>
      <c r="J52" t="s">
        <v>5739</v>
      </c>
      <c r="K52">
        <v>20230216</v>
      </c>
      <c r="L52" t="s">
        <v>422</v>
      </c>
      <c r="M52">
        <v>0</v>
      </c>
      <c r="N52">
        <v>47.18</v>
      </c>
      <c r="O52" t="s">
        <v>19</v>
      </c>
      <c r="P52" t="s">
        <v>20</v>
      </c>
      <c r="Q52">
        <v>20230216</v>
      </c>
    </row>
    <row r="53" spans="1:17" x14ac:dyDescent="0.25">
      <c r="A53" t="s">
        <v>476</v>
      </c>
      <c r="B53" t="s">
        <v>477</v>
      </c>
      <c r="C53">
        <v>3</v>
      </c>
      <c r="D53">
        <v>20230216</v>
      </c>
      <c r="E53">
        <v>2</v>
      </c>
      <c r="F53">
        <v>512000</v>
      </c>
      <c r="G53" t="s">
        <v>428</v>
      </c>
      <c r="H53" t="s">
        <v>401</v>
      </c>
      <c r="I53" t="s">
        <v>402</v>
      </c>
      <c r="J53" t="s">
        <v>5739</v>
      </c>
      <c r="K53">
        <v>20230216</v>
      </c>
      <c r="L53" t="s">
        <v>422</v>
      </c>
      <c r="M53">
        <v>47.18</v>
      </c>
      <c r="N53">
        <v>0</v>
      </c>
      <c r="O53" t="s">
        <v>19</v>
      </c>
      <c r="P53" t="s">
        <v>20</v>
      </c>
      <c r="Q53">
        <v>20230216</v>
      </c>
    </row>
    <row r="54" spans="1:17" x14ac:dyDescent="0.25">
      <c r="A54" t="s">
        <v>476</v>
      </c>
      <c r="B54" t="s">
        <v>477</v>
      </c>
      <c r="C54">
        <v>3</v>
      </c>
      <c r="D54">
        <v>20230217</v>
      </c>
      <c r="E54">
        <v>2</v>
      </c>
      <c r="F54">
        <v>468200</v>
      </c>
      <c r="G54" t="s">
        <v>421</v>
      </c>
      <c r="H54" t="s">
        <v>401</v>
      </c>
      <c r="I54" t="s">
        <v>402</v>
      </c>
      <c r="J54" t="s">
        <v>5738</v>
      </c>
      <c r="K54">
        <v>20230217</v>
      </c>
      <c r="L54" t="s">
        <v>422</v>
      </c>
      <c r="M54">
        <v>0</v>
      </c>
      <c r="N54">
        <v>667.56</v>
      </c>
      <c r="O54" t="s">
        <v>19</v>
      </c>
      <c r="P54" t="s">
        <v>20</v>
      </c>
      <c r="Q54">
        <v>20230217</v>
      </c>
    </row>
    <row r="55" spans="1:17" x14ac:dyDescent="0.25">
      <c r="A55" t="s">
        <v>476</v>
      </c>
      <c r="B55" t="s">
        <v>477</v>
      </c>
      <c r="C55">
        <v>3</v>
      </c>
      <c r="D55">
        <v>20230217</v>
      </c>
      <c r="E55">
        <v>2</v>
      </c>
      <c r="F55">
        <v>512000</v>
      </c>
      <c r="G55" t="s">
        <v>428</v>
      </c>
      <c r="H55" t="s">
        <v>401</v>
      </c>
      <c r="I55" t="s">
        <v>402</v>
      </c>
      <c r="J55" t="s">
        <v>5738</v>
      </c>
      <c r="K55">
        <v>20230217</v>
      </c>
      <c r="L55" t="s">
        <v>422</v>
      </c>
      <c r="M55">
        <v>667.56</v>
      </c>
      <c r="N55">
        <v>0</v>
      </c>
      <c r="O55" t="s">
        <v>19</v>
      </c>
      <c r="P55" t="s">
        <v>20</v>
      </c>
      <c r="Q55">
        <v>20230217</v>
      </c>
    </row>
    <row r="56" spans="1:17" x14ac:dyDescent="0.25">
      <c r="A56" t="s">
        <v>476</v>
      </c>
      <c r="B56" t="s">
        <v>477</v>
      </c>
      <c r="C56">
        <v>3</v>
      </c>
      <c r="D56">
        <v>20230220</v>
      </c>
      <c r="E56">
        <v>2</v>
      </c>
      <c r="F56">
        <v>468200</v>
      </c>
      <c r="G56" t="s">
        <v>421</v>
      </c>
      <c r="H56" t="s">
        <v>401</v>
      </c>
      <c r="I56" t="s">
        <v>402</v>
      </c>
      <c r="J56" t="s">
        <v>5737</v>
      </c>
      <c r="K56">
        <v>20230220</v>
      </c>
      <c r="L56" t="s">
        <v>422</v>
      </c>
      <c r="M56">
        <v>0</v>
      </c>
      <c r="N56">
        <v>340.3</v>
      </c>
      <c r="O56" t="s">
        <v>19</v>
      </c>
      <c r="P56" t="s">
        <v>20</v>
      </c>
      <c r="Q56">
        <v>20230220</v>
      </c>
    </row>
    <row r="57" spans="1:17" x14ac:dyDescent="0.25">
      <c r="A57" t="s">
        <v>476</v>
      </c>
      <c r="B57" t="s">
        <v>477</v>
      </c>
      <c r="C57">
        <v>3</v>
      </c>
      <c r="D57">
        <v>20230220</v>
      </c>
      <c r="E57">
        <v>2</v>
      </c>
      <c r="F57">
        <v>512000</v>
      </c>
      <c r="G57" t="s">
        <v>428</v>
      </c>
      <c r="H57" t="s">
        <v>401</v>
      </c>
      <c r="I57" t="s">
        <v>402</v>
      </c>
      <c r="J57" t="s">
        <v>5737</v>
      </c>
      <c r="K57">
        <v>20230220</v>
      </c>
      <c r="L57" t="s">
        <v>422</v>
      </c>
      <c r="M57">
        <v>340.3</v>
      </c>
      <c r="N57">
        <v>0</v>
      </c>
      <c r="O57" t="s">
        <v>19</v>
      </c>
      <c r="P57" t="s">
        <v>20</v>
      </c>
      <c r="Q57">
        <v>20230220</v>
      </c>
    </row>
    <row r="58" spans="1:17" x14ac:dyDescent="0.25">
      <c r="A58" t="s">
        <v>476</v>
      </c>
      <c r="B58" t="s">
        <v>477</v>
      </c>
      <c r="C58">
        <v>3</v>
      </c>
      <c r="D58">
        <v>20230222</v>
      </c>
      <c r="E58">
        <v>2</v>
      </c>
      <c r="F58">
        <v>442100</v>
      </c>
      <c r="G58" t="s">
        <v>435</v>
      </c>
      <c r="H58" t="s">
        <v>401</v>
      </c>
      <c r="I58" t="s">
        <v>402</v>
      </c>
      <c r="J58" t="s">
        <v>5736</v>
      </c>
      <c r="K58">
        <v>20230222</v>
      </c>
      <c r="L58" t="s">
        <v>528</v>
      </c>
      <c r="M58">
        <v>596</v>
      </c>
      <c r="N58">
        <v>0</v>
      </c>
      <c r="O58" t="s">
        <v>19</v>
      </c>
      <c r="P58" t="s">
        <v>20</v>
      </c>
      <c r="Q58">
        <v>20230222</v>
      </c>
    </row>
    <row r="59" spans="1:17" x14ac:dyDescent="0.25">
      <c r="A59" t="s">
        <v>476</v>
      </c>
      <c r="B59" t="s">
        <v>477</v>
      </c>
      <c r="C59">
        <v>3</v>
      </c>
      <c r="D59">
        <v>20230222</v>
      </c>
      <c r="E59">
        <v>2</v>
      </c>
      <c r="F59">
        <v>512000</v>
      </c>
      <c r="G59" t="s">
        <v>428</v>
      </c>
      <c r="H59" t="s">
        <v>401</v>
      </c>
      <c r="I59" t="s">
        <v>402</v>
      </c>
      <c r="J59" t="s">
        <v>5736</v>
      </c>
      <c r="K59">
        <v>20230222</v>
      </c>
      <c r="L59" t="s">
        <v>528</v>
      </c>
      <c r="M59">
        <v>0</v>
      </c>
      <c r="N59">
        <v>596</v>
      </c>
      <c r="O59" t="s">
        <v>19</v>
      </c>
      <c r="P59" t="s">
        <v>20</v>
      </c>
      <c r="Q59">
        <v>20230222</v>
      </c>
    </row>
    <row r="60" spans="1:17" x14ac:dyDescent="0.25">
      <c r="A60" t="s">
        <v>476</v>
      </c>
      <c r="B60" t="s">
        <v>477</v>
      </c>
      <c r="C60">
        <v>4</v>
      </c>
      <c r="D60">
        <v>20230222</v>
      </c>
      <c r="E60">
        <v>2</v>
      </c>
      <c r="F60">
        <v>706237</v>
      </c>
      <c r="G60" t="s">
        <v>4203</v>
      </c>
      <c r="H60" t="s">
        <v>401</v>
      </c>
      <c r="I60" t="s">
        <v>402</v>
      </c>
      <c r="J60" t="s">
        <v>5735</v>
      </c>
      <c r="K60">
        <v>20230222</v>
      </c>
      <c r="L60" t="s">
        <v>5734</v>
      </c>
      <c r="M60">
        <v>0</v>
      </c>
      <c r="N60">
        <v>4817.6099999999997</v>
      </c>
      <c r="O60" t="s">
        <v>19</v>
      </c>
      <c r="P60" t="s">
        <v>20</v>
      </c>
      <c r="Q60">
        <v>20230222</v>
      </c>
    </row>
    <row r="61" spans="1:17" x14ac:dyDescent="0.25">
      <c r="A61" t="s">
        <v>476</v>
      </c>
      <c r="B61" t="s">
        <v>477</v>
      </c>
      <c r="C61">
        <v>4</v>
      </c>
      <c r="D61">
        <v>20230222</v>
      </c>
      <c r="E61">
        <v>2</v>
      </c>
      <c r="F61">
        <v>512000</v>
      </c>
      <c r="G61" t="s">
        <v>428</v>
      </c>
      <c r="H61" t="s">
        <v>401</v>
      </c>
      <c r="I61" t="s">
        <v>402</v>
      </c>
      <c r="J61" t="s">
        <v>5735</v>
      </c>
      <c r="K61">
        <v>20230222</v>
      </c>
      <c r="L61" t="s">
        <v>5734</v>
      </c>
      <c r="M61">
        <v>4817.6099999999997</v>
      </c>
      <c r="N61">
        <v>0</v>
      </c>
      <c r="O61" t="s">
        <v>19</v>
      </c>
      <c r="P61" t="s">
        <v>20</v>
      </c>
      <c r="Q61">
        <v>20230222</v>
      </c>
    </row>
    <row r="62" spans="1:17" x14ac:dyDescent="0.25">
      <c r="A62" t="s">
        <v>476</v>
      </c>
      <c r="B62" t="s">
        <v>477</v>
      </c>
      <c r="C62">
        <v>4</v>
      </c>
      <c r="D62">
        <v>20230224</v>
      </c>
      <c r="E62">
        <v>2</v>
      </c>
      <c r="F62">
        <v>468200</v>
      </c>
      <c r="G62" t="s">
        <v>421</v>
      </c>
      <c r="H62" t="s">
        <v>401</v>
      </c>
      <c r="I62" t="s">
        <v>402</v>
      </c>
      <c r="J62" t="s">
        <v>5733</v>
      </c>
      <c r="K62">
        <v>20230224</v>
      </c>
      <c r="L62" t="s">
        <v>422</v>
      </c>
      <c r="M62">
        <v>0</v>
      </c>
      <c r="N62">
        <v>170.15</v>
      </c>
      <c r="O62" t="s">
        <v>19</v>
      </c>
      <c r="P62" t="s">
        <v>20</v>
      </c>
      <c r="Q62">
        <v>20230224</v>
      </c>
    </row>
    <row r="63" spans="1:17" x14ac:dyDescent="0.25">
      <c r="A63" t="s">
        <v>476</v>
      </c>
      <c r="B63" t="s">
        <v>477</v>
      </c>
      <c r="C63">
        <v>4</v>
      </c>
      <c r="D63">
        <v>20230224</v>
      </c>
      <c r="E63">
        <v>2</v>
      </c>
      <c r="F63">
        <v>512000</v>
      </c>
      <c r="G63" t="s">
        <v>428</v>
      </c>
      <c r="H63" t="s">
        <v>401</v>
      </c>
      <c r="I63" t="s">
        <v>402</v>
      </c>
      <c r="J63" t="s">
        <v>5733</v>
      </c>
      <c r="K63">
        <v>20230224</v>
      </c>
      <c r="L63" t="s">
        <v>422</v>
      </c>
      <c r="M63">
        <v>170.15</v>
      </c>
      <c r="N63">
        <v>0</v>
      </c>
      <c r="O63" t="s">
        <v>19</v>
      </c>
      <c r="P63" t="s">
        <v>20</v>
      </c>
      <c r="Q63">
        <v>20230224</v>
      </c>
    </row>
    <row r="64" spans="1:17" x14ac:dyDescent="0.25">
      <c r="A64" t="s">
        <v>476</v>
      </c>
      <c r="B64" t="s">
        <v>477</v>
      </c>
      <c r="C64">
        <v>4</v>
      </c>
      <c r="D64">
        <v>20230224</v>
      </c>
      <c r="E64">
        <v>2</v>
      </c>
      <c r="F64">
        <v>580000</v>
      </c>
      <c r="G64" t="s">
        <v>532</v>
      </c>
      <c r="H64" t="s">
        <v>401</v>
      </c>
      <c r="I64" t="s">
        <v>402</v>
      </c>
      <c r="J64" t="s">
        <v>5732</v>
      </c>
      <c r="K64">
        <v>20230224</v>
      </c>
      <c r="L64" t="s">
        <v>5729</v>
      </c>
      <c r="M64">
        <v>0</v>
      </c>
      <c r="N64">
        <v>29000</v>
      </c>
      <c r="O64" t="s">
        <v>19</v>
      </c>
      <c r="P64" t="s">
        <v>20</v>
      </c>
      <c r="Q64">
        <v>20230224</v>
      </c>
    </row>
    <row r="65" spans="1:17" x14ac:dyDescent="0.25">
      <c r="A65" t="s">
        <v>476</v>
      </c>
      <c r="B65" t="s">
        <v>477</v>
      </c>
      <c r="C65">
        <v>4</v>
      </c>
      <c r="D65">
        <v>20230224</v>
      </c>
      <c r="E65">
        <v>2</v>
      </c>
      <c r="F65">
        <v>512000</v>
      </c>
      <c r="G65" t="s">
        <v>428</v>
      </c>
      <c r="H65" t="s">
        <v>401</v>
      </c>
      <c r="I65" t="s">
        <v>402</v>
      </c>
      <c r="J65" t="s">
        <v>5732</v>
      </c>
      <c r="K65">
        <v>20230224</v>
      </c>
      <c r="L65" t="s">
        <v>5729</v>
      </c>
      <c r="M65">
        <v>29000</v>
      </c>
      <c r="N65">
        <v>0</v>
      </c>
      <c r="O65" t="s">
        <v>19</v>
      </c>
      <c r="P65" t="s">
        <v>20</v>
      </c>
      <c r="Q65">
        <v>20230224</v>
      </c>
    </row>
    <row r="66" spans="1:17" x14ac:dyDescent="0.25">
      <c r="A66" t="s">
        <v>476</v>
      </c>
      <c r="B66" t="s">
        <v>477</v>
      </c>
      <c r="C66">
        <v>4</v>
      </c>
      <c r="D66">
        <v>20230224</v>
      </c>
      <c r="E66">
        <v>2</v>
      </c>
      <c r="F66">
        <v>580000</v>
      </c>
      <c r="G66" t="s">
        <v>532</v>
      </c>
      <c r="H66" t="s">
        <v>401</v>
      </c>
      <c r="I66" t="s">
        <v>402</v>
      </c>
      <c r="J66" t="s">
        <v>5731</v>
      </c>
      <c r="K66">
        <v>20230224</v>
      </c>
      <c r="L66" t="s">
        <v>5727</v>
      </c>
      <c r="M66">
        <v>0</v>
      </c>
      <c r="N66">
        <v>5000</v>
      </c>
      <c r="O66" t="s">
        <v>19</v>
      </c>
      <c r="P66" t="s">
        <v>20</v>
      </c>
      <c r="Q66">
        <v>20230224</v>
      </c>
    </row>
    <row r="67" spans="1:17" x14ac:dyDescent="0.25">
      <c r="A67" t="s">
        <v>476</v>
      </c>
      <c r="B67" t="s">
        <v>477</v>
      </c>
      <c r="C67">
        <v>4</v>
      </c>
      <c r="D67">
        <v>20230224</v>
      </c>
      <c r="E67">
        <v>2</v>
      </c>
      <c r="F67">
        <v>512000</v>
      </c>
      <c r="G67" t="s">
        <v>428</v>
      </c>
      <c r="H67" t="s">
        <v>401</v>
      </c>
      <c r="I67" t="s">
        <v>402</v>
      </c>
      <c r="J67" t="s">
        <v>5731</v>
      </c>
      <c r="K67">
        <v>20230224</v>
      </c>
      <c r="L67" t="s">
        <v>5727</v>
      </c>
      <c r="M67">
        <v>5000</v>
      </c>
      <c r="N67">
        <v>0</v>
      </c>
      <c r="O67" t="s">
        <v>19</v>
      </c>
      <c r="P67" t="s">
        <v>20</v>
      </c>
      <c r="Q67">
        <v>20230224</v>
      </c>
    </row>
    <row r="68" spans="1:17" x14ac:dyDescent="0.25">
      <c r="A68" t="s">
        <v>476</v>
      </c>
      <c r="B68" t="s">
        <v>477</v>
      </c>
      <c r="C68">
        <v>4</v>
      </c>
      <c r="D68">
        <v>20230224</v>
      </c>
      <c r="E68">
        <v>2</v>
      </c>
      <c r="F68">
        <v>580000</v>
      </c>
      <c r="G68" t="s">
        <v>532</v>
      </c>
      <c r="H68" t="s">
        <v>401</v>
      </c>
      <c r="I68" t="s">
        <v>402</v>
      </c>
      <c r="J68" t="s">
        <v>5730</v>
      </c>
      <c r="K68">
        <v>20230224</v>
      </c>
      <c r="L68" t="s">
        <v>5729</v>
      </c>
      <c r="M68">
        <v>0</v>
      </c>
      <c r="N68">
        <v>663.43</v>
      </c>
      <c r="O68" t="s">
        <v>19</v>
      </c>
      <c r="P68" t="s">
        <v>20</v>
      </c>
      <c r="Q68">
        <v>20230224</v>
      </c>
    </row>
    <row r="69" spans="1:17" x14ac:dyDescent="0.25">
      <c r="A69" t="s">
        <v>476</v>
      </c>
      <c r="B69" t="s">
        <v>477</v>
      </c>
      <c r="C69">
        <v>4</v>
      </c>
      <c r="D69">
        <v>20230224</v>
      </c>
      <c r="E69">
        <v>2</v>
      </c>
      <c r="F69">
        <v>512000</v>
      </c>
      <c r="G69" t="s">
        <v>428</v>
      </c>
      <c r="H69" t="s">
        <v>401</v>
      </c>
      <c r="I69" t="s">
        <v>402</v>
      </c>
      <c r="J69" t="s">
        <v>5730</v>
      </c>
      <c r="K69">
        <v>20230224</v>
      </c>
      <c r="L69" t="s">
        <v>5729</v>
      </c>
      <c r="M69">
        <v>663.43</v>
      </c>
      <c r="N69">
        <v>0</v>
      </c>
      <c r="O69" t="s">
        <v>19</v>
      </c>
      <c r="P69" t="s">
        <v>20</v>
      </c>
      <c r="Q69">
        <v>20230224</v>
      </c>
    </row>
    <row r="70" spans="1:17" x14ac:dyDescent="0.25">
      <c r="A70" t="s">
        <v>476</v>
      </c>
      <c r="B70" t="s">
        <v>477</v>
      </c>
      <c r="C70">
        <v>4</v>
      </c>
      <c r="D70">
        <v>20230224</v>
      </c>
      <c r="E70">
        <v>2</v>
      </c>
      <c r="F70">
        <v>580000</v>
      </c>
      <c r="G70" t="s">
        <v>532</v>
      </c>
      <c r="H70" t="s">
        <v>401</v>
      </c>
      <c r="I70" t="s">
        <v>402</v>
      </c>
      <c r="J70" t="s">
        <v>5728</v>
      </c>
      <c r="K70">
        <v>20230224</v>
      </c>
      <c r="L70" t="s">
        <v>5727</v>
      </c>
      <c r="M70">
        <v>0</v>
      </c>
      <c r="N70">
        <v>343.1</v>
      </c>
      <c r="O70" t="s">
        <v>19</v>
      </c>
      <c r="P70" t="s">
        <v>20</v>
      </c>
      <c r="Q70">
        <v>20230224</v>
      </c>
    </row>
    <row r="71" spans="1:17" x14ac:dyDescent="0.25">
      <c r="A71" t="s">
        <v>476</v>
      </c>
      <c r="B71" t="s">
        <v>477</v>
      </c>
      <c r="C71">
        <v>4</v>
      </c>
      <c r="D71">
        <v>20230224</v>
      </c>
      <c r="E71">
        <v>2</v>
      </c>
      <c r="F71">
        <v>512000</v>
      </c>
      <c r="G71" t="s">
        <v>428</v>
      </c>
      <c r="H71" t="s">
        <v>401</v>
      </c>
      <c r="I71" t="s">
        <v>402</v>
      </c>
      <c r="J71" t="s">
        <v>5728</v>
      </c>
      <c r="K71">
        <v>20230224</v>
      </c>
      <c r="L71" t="s">
        <v>5727</v>
      </c>
      <c r="M71">
        <v>343.1</v>
      </c>
      <c r="N71">
        <v>0</v>
      </c>
      <c r="O71" t="s">
        <v>19</v>
      </c>
      <c r="P71" t="s">
        <v>20</v>
      </c>
      <c r="Q71">
        <v>20230224</v>
      </c>
    </row>
    <row r="72" spans="1:17" x14ac:dyDescent="0.25">
      <c r="A72" t="s">
        <v>476</v>
      </c>
      <c r="B72" t="s">
        <v>477</v>
      </c>
      <c r="C72">
        <v>5</v>
      </c>
      <c r="D72">
        <v>20230227</v>
      </c>
      <c r="E72">
        <v>2</v>
      </c>
      <c r="F72">
        <v>421000</v>
      </c>
      <c r="G72" t="s">
        <v>403</v>
      </c>
      <c r="H72" t="s">
        <v>401</v>
      </c>
      <c r="I72" t="s">
        <v>402</v>
      </c>
      <c r="J72" t="s">
        <v>5726</v>
      </c>
      <c r="K72">
        <v>20230227</v>
      </c>
      <c r="L72" t="s">
        <v>5725</v>
      </c>
      <c r="M72">
        <v>61788.74</v>
      </c>
      <c r="N72">
        <v>0</v>
      </c>
      <c r="O72" t="s">
        <v>19</v>
      </c>
      <c r="P72" t="s">
        <v>20</v>
      </c>
      <c r="Q72">
        <v>20230227</v>
      </c>
    </row>
    <row r="73" spans="1:17" x14ac:dyDescent="0.25">
      <c r="A73" t="s">
        <v>476</v>
      </c>
      <c r="B73" t="s">
        <v>477</v>
      </c>
      <c r="C73">
        <v>5</v>
      </c>
      <c r="D73">
        <v>20230227</v>
      </c>
      <c r="E73">
        <v>2</v>
      </c>
      <c r="F73">
        <v>512000</v>
      </c>
      <c r="G73" t="s">
        <v>428</v>
      </c>
      <c r="H73" t="s">
        <v>401</v>
      </c>
      <c r="I73" t="s">
        <v>402</v>
      </c>
      <c r="J73" t="s">
        <v>5726</v>
      </c>
      <c r="K73">
        <v>20230227</v>
      </c>
      <c r="L73" t="s">
        <v>5725</v>
      </c>
      <c r="M73">
        <v>0</v>
      </c>
      <c r="N73">
        <v>61788.74</v>
      </c>
      <c r="O73" t="s">
        <v>19</v>
      </c>
      <c r="P73" t="s">
        <v>20</v>
      </c>
      <c r="Q73">
        <v>20230227</v>
      </c>
    </row>
    <row r="74" spans="1:17" x14ac:dyDescent="0.25">
      <c r="A74" t="s">
        <v>476</v>
      </c>
      <c r="B74" t="s">
        <v>477</v>
      </c>
      <c r="C74">
        <v>5</v>
      </c>
      <c r="D74">
        <v>20230228</v>
      </c>
      <c r="E74">
        <v>2</v>
      </c>
      <c r="F74">
        <v>627000</v>
      </c>
      <c r="G74" t="s">
        <v>480</v>
      </c>
      <c r="H74" t="s">
        <v>401</v>
      </c>
      <c r="I74" t="s">
        <v>402</v>
      </c>
      <c r="J74" t="s">
        <v>5724</v>
      </c>
      <c r="K74">
        <v>20230228</v>
      </c>
      <c r="L74" t="s">
        <v>4488</v>
      </c>
      <c r="M74">
        <v>10.5</v>
      </c>
      <c r="N74">
        <v>0</v>
      </c>
      <c r="O74" t="s">
        <v>19</v>
      </c>
      <c r="P74" t="s">
        <v>20</v>
      </c>
      <c r="Q74">
        <v>20230228</v>
      </c>
    </row>
    <row r="75" spans="1:17" x14ac:dyDescent="0.25">
      <c r="A75" t="s">
        <v>476</v>
      </c>
      <c r="B75" t="s">
        <v>477</v>
      </c>
      <c r="C75">
        <v>5</v>
      </c>
      <c r="D75">
        <v>20230228</v>
      </c>
      <c r="E75">
        <v>2</v>
      </c>
      <c r="F75">
        <v>512000</v>
      </c>
      <c r="G75" t="s">
        <v>428</v>
      </c>
      <c r="H75" t="s">
        <v>401</v>
      </c>
      <c r="I75" t="s">
        <v>402</v>
      </c>
      <c r="J75" t="s">
        <v>5724</v>
      </c>
      <c r="K75">
        <v>20230228</v>
      </c>
      <c r="L75" t="s">
        <v>4488</v>
      </c>
      <c r="M75">
        <v>0</v>
      </c>
      <c r="N75">
        <v>10.5</v>
      </c>
      <c r="O75" t="s">
        <v>19</v>
      </c>
      <c r="P75" t="s">
        <v>20</v>
      </c>
      <c r="Q75">
        <v>20230228</v>
      </c>
    </row>
    <row r="76" spans="1:17" x14ac:dyDescent="0.25">
      <c r="A76" t="s">
        <v>476</v>
      </c>
      <c r="B76" t="s">
        <v>477</v>
      </c>
      <c r="C76">
        <v>5</v>
      </c>
      <c r="D76">
        <v>20230228</v>
      </c>
      <c r="E76">
        <v>2</v>
      </c>
      <c r="F76">
        <v>468200</v>
      </c>
      <c r="G76" t="s">
        <v>421</v>
      </c>
      <c r="H76" t="s">
        <v>401</v>
      </c>
      <c r="I76" t="s">
        <v>402</v>
      </c>
      <c r="J76" t="s">
        <v>5723</v>
      </c>
      <c r="K76">
        <v>20230228</v>
      </c>
      <c r="L76" t="s">
        <v>422</v>
      </c>
      <c r="M76">
        <v>0</v>
      </c>
      <c r="N76">
        <v>148.75</v>
      </c>
      <c r="O76" t="s">
        <v>19</v>
      </c>
      <c r="P76" t="s">
        <v>20</v>
      </c>
      <c r="Q76">
        <v>20230228</v>
      </c>
    </row>
    <row r="77" spans="1:17" x14ac:dyDescent="0.25">
      <c r="A77" t="s">
        <v>476</v>
      </c>
      <c r="B77" t="s">
        <v>477</v>
      </c>
      <c r="C77">
        <v>5</v>
      </c>
      <c r="D77">
        <v>20230228</v>
      </c>
      <c r="E77">
        <v>2</v>
      </c>
      <c r="F77">
        <v>512000</v>
      </c>
      <c r="G77" t="s">
        <v>428</v>
      </c>
      <c r="H77" t="s">
        <v>401</v>
      </c>
      <c r="I77" t="s">
        <v>402</v>
      </c>
      <c r="J77" t="s">
        <v>5723</v>
      </c>
      <c r="K77">
        <v>20230228</v>
      </c>
      <c r="L77" t="s">
        <v>422</v>
      </c>
      <c r="M77">
        <v>148.75</v>
      </c>
      <c r="N77">
        <v>0</v>
      </c>
      <c r="O77" t="s">
        <v>19</v>
      </c>
      <c r="P77" t="s">
        <v>20</v>
      </c>
      <c r="Q77">
        <v>20230228</v>
      </c>
    </row>
    <row r="78" spans="1:17" x14ac:dyDescent="0.25">
      <c r="A78" t="s">
        <v>548</v>
      </c>
      <c r="B78" t="s">
        <v>429</v>
      </c>
      <c r="C78">
        <v>6</v>
      </c>
      <c r="D78">
        <v>20230201</v>
      </c>
      <c r="E78">
        <v>2</v>
      </c>
      <c r="F78">
        <v>411100</v>
      </c>
      <c r="G78" t="s">
        <v>18</v>
      </c>
      <c r="H78" t="s">
        <v>245</v>
      </c>
      <c r="I78" t="s">
        <v>246</v>
      </c>
      <c r="J78">
        <v>364340</v>
      </c>
      <c r="K78">
        <v>20230201</v>
      </c>
      <c r="L78" t="s">
        <v>5094</v>
      </c>
      <c r="M78">
        <v>0</v>
      </c>
      <c r="N78">
        <v>22</v>
      </c>
      <c r="O78" t="s">
        <v>19</v>
      </c>
      <c r="P78" t="s">
        <v>20</v>
      </c>
      <c r="Q78">
        <v>20230201</v>
      </c>
    </row>
    <row r="79" spans="1:17" x14ac:dyDescent="0.25">
      <c r="A79" t="s">
        <v>548</v>
      </c>
      <c r="B79" t="s">
        <v>429</v>
      </c>
      <c r="C79">
        <v>6</v>
      </c>
      <c r="D79">
        <v>20230201</v>
      </c>
      <c r="E79">
        <v>2</v>
      </c>
      <c r="F79">
        <v>411100</v>
      </c>
      <c r="G79" t="s">
        <v>18</v>
      </c>
      <c r="H79" t="s">
        <v>336</v>
      </c>
      <c r="I79" t="s">
        <v>337</v>
      </c>
      <c r="J79">
        <v>122110060</v>
      </c>
      <c r="K79">
        <v>20230201</v>
      </c>
      <c r="L79" t="s">
        <v>5095</v>
      </c>
      <c r="M79">
        <v>0</v>
      </c>
      <c r="N79">
        <v>50</v>
      </c>
      <c r="O79" t="s">
        <v>19</v>
      </c>
      <c r="P79" t="s">
        <v>20</v>
      </c>
      <c r="Q79">
        <v>20230201</v>
      </c>
    </row>
    <row r="80" spans="1:17" x14ac:dyDescent="0.25">
      <c r="A80" t="s">
        <v>548</v>
      </c>
      <c r="B80" t="s">
        <v>429</v>
      </c>
      <c r="C80">
        <v>6</v>
      </c>
      <c r="D80">
        <v>20230201</v>
      </c>
      <c r="E80">
        <v>2</v>
      </c>
      <c r="F80">
        <v>531105</v>
      </c>
      <c r="G80" t="s">
        <v>429</v>
      </c>
      <c r="H80" t="s">
        <v>401</v>
      </c>
      <c r="I80" t="s">
        <v>402</v>
      </c>
      <c r="J80">
        <v>364342</v>
      </c>
      <c r="K80">
        <v>20230201</v>
      </c>
      <c r="L80" t="s">
        <v>565</v>
      </c>
      <c r="M80">
        <v>72</v>
      </c>
      <c r="N80">
        <v>0</v>
      </c>
      <c r="O80" t="s">
        <v>19</v>
      </c>
      <c r="P80" t="s">
        <v>20</v>
      </c>
      <c r="Q80">
        <v>20230201</v>
      </c>
    </row>
    <row r="81" spans="1:17" x14ac:dyDescent="0.25">
      <c r="A81" t="s">
        <v>548</v>
      </c>
      <c r="B81" t="s">
        <v>429</v>
      </c>
      <c r="C81">
        <v>6</v>
      </c>
      <c r="D81">
        <v>20230202</v>
      </c>
      <c r="E81">
        <v>2</v>
      </c>
      <c r="F81">
        <v>467100</v>
      </c>
      <c r="G81" t="s">
        <v>160</v>
      </c>
      <c r="H81" t="s">
        <v>4958</v>
      </c>
      <c r="I81" t="s">
        <v>4959</v>
      </c>
      <c r="J81" t="s">
        <v>5096</v>
      </c>
      <c r="K81">
        <v>20230202</v>
      </c>
      <c r="L81" t="s">
        <v>5097</v>
      </c>
      <c r="M81">
        <v>0</v>
      </c>
      <c r="N81">
        <v>35.03</v>
      </c>
      <c r="O81" t="s">
        <v>23</v>
      </c>
      <c r="P81">
        <v>20230308</v>
      </c>
      <c r="Q81">
        <v>20230202</v>
      </c>
    </row>
    <row r="82" spans="1:17" x14ac:dyDescent="0.25">
      <c r="A82" t="s">
        <v>548</v>
      </c>
      <c r="B82" t="s">
        <v>429</v>
      </c>
      <c r="C82">
        <v>6</v>
      </c>
      <c r="D82">
        <v>20230202</v>
      </c>
      <c r="E82">
        <v>2</v>
      </c>
      <c r="F82">
        <v>531105</v>
      </c>
      <c r="G82" t="s">
        <v>429</v>
      </c>
      <c r="H82" t="s">
        <v>401</v>
      </c>
      <c r="I82" t="s">
        <v>402</v>
      </c>
      <c r="J82" t="s">
        <v>5096</v>
      </c>
      <c r="K82">
        <v>20230202</v>
      </c>
      <c r="L82" t="s">
        <v>5097</v>
      </c>
      <c r="M82">
        <v>35.03</v>
      </c>
      <c r="N82">
        <v>0</v>
      </c>
      <c r="O82" t="s">
        <v>19</v>
      </c>
      <c r="P82" t="s">
        <v>20</v>
      </c>
      <c r="Q82">
        <v>20230202</v>
      </c>
    </row>
    <row r="83" spans="1:17" x14ac:dyDescent="0.25">
      <c r="A83" t="s">
        <v>548</v>
      </c>
      <c r="B83" t="s">
        <v>429</v>
      </c>
      <c r="C83">
        <v>6</v>
      </c>
      <c r="D83">
        <v>20230202</v>
      </c>
      <c r="E83">
        <v>2</v>
      </c>
      <c r="F83">
        <v>411100</v>
      </c>
      <c r="G83" t="s">
        <v>18</v>
      </c>
      <c r="H83" t="s">
        <v>79</v>
      </c>
      <c r="I83" t="s">
        <v>80</v>
      </c>
      <c r="J83">
        <v>364338</v>
      </c>
      <c r="K83">
        <v>20230202</v>
      </c>
      <c r="L83" t="s">
        <v>5098</v>
      </c>
      <c r="M83">
        <v>101.07</v>
      </c>
      <c r="N83">
        <v>0</v>
      </c>
      <c r="O83" t="s">
        <v>19</v>
      </c>
      <c r="P83" t="s">
        <v>20</v>
      </c>
      <c r="Q83">
        <v>20230202</v>
      </c>
    </row>
    <row r="84" spans="1:17" x14ac:dyDescent="0.25">
      <c r="A84" t="s">
        <v>548</v>
      </c>
      <c r="B84" t="s">
        <v>429</v>
      </c>
      <c r="C84">
        <v>6</v>
      </c>
      <c r="D84">
        <v>20230202</v>
      </c>
      <c r="E84">
        <v>2</v>
      </c>
      <c r="F84">
        <v>531105</v>
      </c>
      <c r="G84" t="s">
        <v>429</v>
      </c>
      <c r="H84" t="s">
        <v>401</v>
      </c>
      <c r="I84" t="s">
        <v>402</v>
      </c>
      <c r="J84">
        <v>364339</v>
      </c>
      <c r="K84">
        <v>20230202</v>
      </c>
      <c r="L84" t="s">
        <v>5098</v>
      </c>
      <c r="M84">
        <v>0</v>
      </c>
      <c r="N84">
        <v>101.07</v>
      </c>
      <c r="O84" t="s">
        <v>19</v>
      </c>
      <c r="P84" t="s">
        <v>20</v>
      </c>
      <c r="Q84">
        <v>20230202</v>
      </c>
    </row>
    <row r="85" spans="1:17" x14ac:dyDescent="0.25">
      <c r="A85" t="s">
        <v>548</v>
      </c>
      <c r="B85" t="s">
        <v>429</v>
      </c>
      <c r="C85">
        <v>6</v>
      </c>
      <c r="D85">
        <v>20230202</v>
      </c>
      <c r="E85">
        <v>2</v>
      </c>
      <c r="F85">
        <v>411100</v>
      </c>
      <c r="G85" t="s">
        <v>18</v>
      </c>
      <c r="H85" t="s">
        <v>2969</v>
      </c>
      <c r="I85" t="s">
        <v>2970</v>
      </c>
      <c r="J85">
        <v>122100233</v>
      </c>
      <c r="K85">
        <v>20230202</v>
      </c>
      <c r="L85" t="s">
        <v>5099</v>
      </c>
      <c r="M85">
        <v>0</v>
      </c>
      <c r="N85">
        <v>30</v>
      </c>
      <c r="O85" t="s">
        <v>19</v>
      </c>
      <c r="P85" t="s">
        <v>20</v>
      </c>
      <c r="Q85">
        <v>20230202</v>
      </c>
    </row>
    <row r="86" spans="1:17" x14ac:dyDescent="0.25">
      <c r="A86" t="s">
        <v>548</v>
      </c>
      <c r="B86" t="s">
        <v>429</v>
      </c>
      <c r="C86">
        <v>6</v>
      </c>
      <c r="D86">
        <v>20230202</v>
      </c>
      <c r="E86">
        <v>2</v>
      </c>
      <c r="F86">
        <v>411100</v>
      </c>
      <c r="G86" t="s">
        <v>18</v>
      </c>
      <c r="H86" t="s">
        <v>5100</v>
      </c>
      <c r="I86" t="s">
        <v>5101</v>
      </c>
      <c r="J86">
        <v>364344</v>
      </c>
      <c r="K86">
        <v>20230202</v>
      </c>
      <c r="L86" t="s">
        <v>5102</v>
      </c>
      <c r="M86">
        <v>0</v>
      </c>
      <c r="N86">
        <v>10</v>
      </c>
      <c r="O86" t="s">
        <v>19</v>
      </c>
      <c r="P86" t="s">
        <v>20</v>
      </c>
      <c r="Q86">
        <v>20230202</v>
      </c>
    </row>
    <row r="87" spans="1:17" x14ac:dyDescent="0.25">
      <c r="A87" t="s">
        <v>548</v>
      </c>
      <c r="B87" t="s">
        <v>429</v>
      </c>
      <c r="C87">
        <v>6</v>
      </c>
      <c r="D87">
        <v>20230202</v>
      </c>
      <c r="E87">
        <v>2</v>
      </c>
      <c r="F87">
        <v>531105</v>
      </c>
      <c r="G87" t="s">
        <v>429</v>
      </c>
      <c r="H87" t="s">
        <v>401</v>
      </c>
      <c r="I87" t="s">
        <v>402</v>
      </c>
      <c r="J87">
        <v>364345</v>
      </c>
      <c r="K87">
        <v>20230202</v>
      </c>
      <c r="L87" t="s">
        <v>565</v>
      </c>
      <c r="M87">
        <v>40</v>
      </c>
      <c r="N87">
        <v>0</v>
      </c>
      <c r="O87" t="s">
        <v>19</v>
      </c>
      <c r="P87" t="s">
        <v>20</v>
      </c>
      <c r="Q87">
        <v>20230202</v>
      </c>
    </row>
    <row r="88" spans="1:17" x14ac:dyDescent="0.25">
      <c r="A88" t="s">
        <v>548</v>
      </c>
      <c r="B88" t="s">
        <v>429</v>
      </c>
      <c r="C88">
        <v>6</v>
      </c>
      <c r="D88">
        <v>20230203</v>
      </c>
      <c r="E88">
        <v>2</v>
      </c>
      <c r="F88">
        <v>411100</v>
      </c>
      <c r="G88" t="s">
        <v>18</v>
      </c>
      <c r="H88" t="s">
        <v>5103</v>
      </c>
      <c r="I88" t="s">
        <v>5104</v>
      </c>
      <c r="J88">
        <v>364346</v>
      </c>
      <c r="K88">
        <v>20230203</v>
      </c>
      <c r="L88" t="s">
        <v>5105</v>
      </c>
      <c r="M88">
        <v>0</v>
      </c>
      <c r="N88">
        <v>17.100000000000001</v>
      </c>
      <c r="O88" t="s">
        <v>19</v>
      </c>
      <c r="P88" t="s">
        <v>20</v>
      </c>
      <c r="Q88">
        <v>20230203</v>
      </c>
    </row>
    <row r="89" spans="1:17" x14ac:dyDescent="0.25">
      <c r="A89" t="s">
        <v>548</v>
      </c>
      <c r="B89" t="s">
        <v>429</v>
      </c>
      <c r="C89">
        <v>6</v>
      </c>
      <c r="D89">
        <v>20230203</v>
      </c>
      <c r="E89">
        <v>2</v>
      </c>
      <c r="F89">
        <v>411100</v>
      </c>
      <c r="G89" t="s">
        <v>18</v>
      </c>
      <c r="H89" t="s">
        <v>4747</v>
      </c>
      <c r="I89" t="s">
        <v>4748</v>
      </c>
      <c r="J89">
        <v>364347</v>
      </c>
      <c r="K89">
        <v>20230203</v>
      </c>
      <c r="L89" t="s">
        <v>5106</v>
      </c>
      <c r="M89">
        <v>0</v>
      </c>
      <c r="N89">
        <v>25</v>
      </c>
      <c r="O89" t="s">
        <v>19</v>
      </c>
      <c r="P89" t="s">
        <v>20</v>
      </c>
      <c r="Q89">
        <v>20230203</v>
      </c>
    </row>
    <row r="90" spans="1:17" x14ac:dyDescent="0.25">
      <c r="A90" t="s">
        <v>548</v>
      </c>
      <c r="B90" t="s">
        <v>429</v>
      </c>
      <c r="C90">
        <v>6</v>
      </c>
      <c r="D90">
        <v>20230203</v>
      </c>
      <c r="E90">
        <v>2</v>
      </c>
      <c r="F90">
        <v>411100</v>
      </c>
      <c r="G90" t="s">
        <v>18</v>
      </c>
      <c r="H90" t="s">
        <v>26</v>
      </c>
      <c r="I90" t="s">
        <v>27</v>
      </c>
      <c r="J90">
        <v>364348</v>
      </c>
      <c r="K90">
        <v>20230203</v>
      </c>
      <c r="L90" t="s">
        <v>5107</v>
      </c>
      <c r="M90">
        <v>0</v>
      </c>
      <c r="N90">
        <v>15</v>
      </c>
      <c r="O90" t="s">
        <v>19</v>
      </c>
      <c r="P90" t="s">
        <v>20</v>
      </c>
      <c r="Q90">
        <v>20230203</v>
      </c>
    </row>
    <row r="91" spans="1:17" x14ac:dyDescent="0.25">
      <c r="A91" t="s">
        <v>548</v>
      </c>
      <c r="B91" t="s">
        <v>429</v>
      </c>
      <c r="C91">
        <v>6</v>
      </c>
      <c r="D91">
        <v>20230203</v>
      </c>
      <c r="E91">
        <v>2</v>
      </c>
      <c r="F91">
        <v>411100</v>
      </c>
      <c r="G91" t="s">
        <v>18</v>
      </c>
      <c r="H91" t="s">
        <v>121</v>
      </c>
      <c r="I91" t="s">
        <v>122</v>
      </c>
      <c r="J91">
        <v>364349</v>
      </c>
      <c r="K91">
        <v>20230203</v>
      </c>
      <c r="L91" t="s">
        <v>5108</v>
      </c>
      <c r="M91">
        <v>0</v>
      </c>
      <c r="N91">
        <v>15</v>
      </c>
      <c r="O91" t="s">
        <v>19</v>
      </c>
      <c r="P91" t="s">
        <v>20</v>
      </c>
      <c r="Q91">
        <v>20230203</v>
      </c>
    </row>
    <row r="92" spans="1:17" x14ac:dyDescent="0.25">
      <c r="A92" t="s">
        <v>548</v>
      </c>
      <c r="B92" t="s">
        <v>429</v>
      </c>
      <c r="C92">
        <v>6</v>
      </c>
      <c r="D92">
        <v>20230203</v>
      </c>
      <c r="E92">
        <v>2</v>
      </c>
      <c r="F92">
        <v>411100</v>
      </c>
      <c r="G92" t="s">
        <v>18</v>
      </c>
      <c r="H92" t="s">
        <v>111</v>
      </c>
      <c r="I92" t="s">
        <v>112</v>
      </c>
      <c r="J92">
        <v>364350</v>
      </c>
      <c r="K92">
        <v>20230203</v>
      </c>
      <c r="L92" t="s">
        <v>5109</v>
      </c>
      <c r="M92">
        <v>0</v>
      </c>
      <c r="N92">
        <v>15</v>
      </c>
      <c r="O92" t="s">
        <v>19</v>
      </c>
      <c r="P92" t="s">
        <v>20</v>
      </c>
      <c r="Q92">
        <v>20230203</v>
      </c>
    </row>
    <row r="93" spans="1:17" x14ac:dyDescent="0.25">
      <c r="A93" t="s">
        <v>548</v>
      </c>
      <c r="B93" t="s">
        <v>429</v>
      </c>
      <c r="C93">
        <v>6</v>
      </c>
      <c r="D93">
        <v>20230203</v>
      </c>
      <c r="E93">
        <v>2</v>
      </c>
      <c r="F93">
        <v>411100</v>
      </c>
      <c r="G93" t="s">
        <v>18</v>
      </c>
      <c r="H93" t="s">
        <v>142</v>
      </c>
      <c r="I93" t="s">
        <v>143</v>
      </c>
      <c r="J93">
        <v>364351</v>
      </c>
      <c r="K93">
        <v>20230203</v>
      </c>
      <c r="L93" t="s">
        <v>5110</v>
      </c>
      <c r="M93">
        <v>0</v>
      </c>
      <c r="N93">
        <v>10</v>
      </c>
      <c r="O93" t="s">
        <v>19</v>
      </c>
      <c r="P93" t="s">
        <v>20</v>
      </c>
      <c r="Q93">
        <v>20230203</v>
      </c>
    </row>
    <row r="94" spans="1:17" x14ac:dyDescent="0.25">
      <c r="A94" t="s">
        <v>548</v>
      </c>
      <c r="B94" t="s">
        <v>429</v>
      </c>
      <c r="C94">
        <v>6</v>
      </c>
      <c r="D94">
        <v>20230203</v>
      </c>
      <c r="E94">
        <v>2</v>
      </c>
      <c r="F94">
        <v>411100</v>
      </c>
      <c r="G94" t="s">
        <v>18</v>
      </c>
      <c r="H94" t="s">
        <v>61</v>
      </c>
      <c r="I94" t="s">
        <v>62</v>
      </c>
      <c r="J94">
        <v>364352</v>
      </c>
      <c r="K94">
        <v>20230203</v>
      </c>
      <c r="L94" t="s">
        <v>5111</v>
      </c>
      <c r="M94">
        <v>0</v>
      </c>
      <c r="N94">
        <v>10</v>
      </c>
      <c r="O94" t="s">
        <v>22</v>
      </c>
      <c r="P94">
        <v>20230218</v>
      </c>
      <c r="Q94">
        <v>20230203</v>
      </c>
    </row>
    <row r="95" spans="1:17" x14ac:dyDescent="0.25">
      <c r="A95" t="s">
        <v>548</v>
      </c>
      <c r="B95" t="s">
        <v>429</v>
      </c>
      <c r="C95">
        <v>6</v>
      </c>
      <c r="D95">
        <v>20230203</v>
      </c>
      <c r="E95">
        <v>2</v>
      </c>
      <c r="F95">
        <v>411100</v>
      </c>
      <c r="G95" t="s">
        <v>18</v>
      </c>
      <c r="H95" t="s">
        <v>115</v>
      </c>
      <c r="I95" t="s">
        <v>116</v>
      </c>
      <c r="J95">
        <v>364353</v>
      </c>
      <c r="K95">
        <v>20230203</v>
      </c>
      <c r="L95" t="s">
        <v>5112</v>
      </c>
      <c r="M95">
        <v>0</v>
      </c>
      <c r="N95">
        <v>15</v>
      </c>
      <c r="O95" t="s">
        <v>19</v>
      </c>
      <c r="P95" t="s">
        <v>20</v>
      </c>
      <c r="Q95">
        <v>20230203</v>
      </c>
    </row>
    <row r="96" spans="1:17" x14ac:dyDescent="0.25">
      <c r="A96" t="s">
        <v>548</v>
      </c>
      <c r="B96" t="s">
        <v>429</v>
      </c>
      <c r="C96">
        <v>6</v>
      </c>
      <c r="D96">
        <v>20230203</v>
      </c>
      <c r="E96">
        <v>2</v>
      </c>
      <c r="F96">
        <v>411100</v>
      </c>
      <c r="G96" t="s">
        <v>18</v>
      </c>
      <c r="H96" t="s">
        <v>113</v>
      </c>
      <c r="I96" t="s">
        <v>114</v>
      </c>
      <c r="J96">
        <v>364354</v>
      </c>
      <c r="K96">
        <v>20230203</v>
      </c>
      <c r="L96" t="s">
        <v>5113</v>
      </c>
      <c r="M96">
        <v>0</v>
      </c>
      <c r="N96">
        <v>15</v>
      </c>
      <c r="O96" t="s">
        <v>19</v>
      </c>
      <c r="P96" t="s">
        <v>20</v>
      </c>
      <c r="Q96">
        <v>20230203</v>
      </c>
    </row>
    <row r="97" spans="1:17" x14ac:dyDescent="0.25">
      <c r="A97" t="s">
        <v>548</v>
      </c>
      <c r="B97" t="s">
        <v>429</v>
      </c>
      <c r="C97">
        <v>6</v>
      </c>
      <c r="D97">
        <v>20230203</v>
      </c>
      <c r="E97">
        <v>2</v>
      </c>
      <c r="F97">
        <v>411100</v>
      </c>
      <c r="G97" t="s">
        <v>18</v>
      </c>
      <c r="H97" t="s">
        <v>103</v>
      </c>
      <c r="I97" t="s">
        <v>104</v>
      </c>
      <c r="J97">
        <v>364355</v>
      </c>
      <c r="K97">
        <v>20230203</v>
      </c>
      <c r="L97" t="s">
        <v>5114</v>
      </c>
      <c r="M97">
        <v>0</v>
      </c>
      <c r="N97">
        <v>15</v>
      </c>
      <c r="O97" t="s">
        <v>19</v>
      </c>
      <c r="P97" t="s">
        <v>20</v>
      </c>
      <c r="Q97">
        <v>20230203</v>
      </c>
    </row>
    <row r="98" spans="1:17" x14ac:dyDescent="0.25">
      <c r="A98" t="s">
        <v>548</v>
      </c>
      <c r="B98" t="s">
        <v>429</v>
      </c>
      <c r="C98">
        <v>6</v>
      </c>
      <c r="D98">
        <v>20230203</v>
      </c>
      <c r="E98">
        <v>2</v>
      </c>
      <c r="F98">
        <v>411100</v>
      </c>
      <c r="G98" t="s">
        <v>18</v>
      </c>
      <c r="H98" t="s">
        <v>117</v>
      </c>
      <c r="I98" t="s">
        <v>118</v>
      </c>
      <c r="J98">
        <v>364356</v>
      </c>
      <c r="K98">
        <v>20230203</v>
      </c>
      <c r="L98" t="s">
        <v>5115</v>
      </c>
      <c r="M98">
        <v>0</v>
      </c>
      <c r="N98">
        <v>10</v>
      </c>
      <c r="O98" t="s">
        <v>19</v>
      </c>
      <c r="P98" t="s">
        <v>20</v>
      </c>
      <c r="Q98">
        <v>20230203</v>
      </c>
    </row>
    <row r="99" spans="1:17" x14ac:dyDescent="0.25">
      <c r="A99" t="s">
        <v>548</v>
      </c>
      <c r="B99" t="s">
        <v>429</v>
      </c>
      <c r="C99">
        <v>6</v>
      </c>
      <c r="D99">
        <v>20230203</v>
      </c>
      <c r="E99">
        <v>2</v>
      </c>
      <c r="F99">
        <v>411100</v>
      </c>
      <c r="G99" t="s">
        <v>18</v>
      </c>
      <c r="H99" t="s">
        <v>249</v>
      </c>
      <c r="I99" t="s">
        <v>250</v>
      </c>
      <c r="J99">
        <v>364357</v>
      </c>
      <c r="K99">
        <v>20230203</v>
      </c>
      <c r="L99" t="s">
        <v>5116</v>
      </c>
      <c r="M99">
        <v>0</v>
      </c>
      <c r="N99">
        <v>10</v>
      </c>
      <c r="O99" t="s">
        <v>22</v>
      </c>
      <c r="P99">
        <v>20230218</v>
      </c>
      <c r="Q99">
        <v>20230203</v>
      </c>
    </row>
    <row r="100" spans="1:17" x14ac:dyDescent="0.25">
      <c r="A100" t="s">
        <v>548</v>
      </c>
      <c r="B100" t="s">
        <v>429</v>
      </c>
      <c r="C100">
        <v>6</v>
      </c>
      <c r="D100">
        <v>20230203</v>
      </c>
      <c r="E100">
        <v>2</v>
      </c>
      <c r="F100">
        <v>411100</v>
      </c>
      <c r="G100" t="s">
        <v>18</v>
      </c>
      <c r="H100" t="s">
        <v>2290</v>
      </c>
      <c r="I100" t="s">
        <v>2291</v>
      </c>
      <c r="J100">
        <v>364358</v>
      </c>
      <c r="K100">
        <v>20230203</v>
      </c>
      <c r="L100" t="s">
        <v>5117</v>
      </c>
      <c r="M100">
        <v>0</v>
      </c>
      <c r="N100">
        <v>10</v>
      </c>
      <c r="O100" t="s">
        <v>22</v>
      </c>
      <c r="P100">
        <v>20230218</v>
      </c>
      <c r="Q100">
        <v>20230203</v>
      </c>
    </row>
    <row r="101" spans="1:17" x14ac:dyDescent="0.25">
      <c r="A101" t="s">
        <v>548</v>
      </c>
      <c r="B101" t="s">
        <v>429</v>
      </c>
      <c r="C101">
        <v>6</v>
      </c>
      <c r="D101">
        <v>20230203</v>
      </c>
      <c r="E101">
        <v>2</v>
      </c>
      <c r="F101">
        <v>411100</v>
      </c>
      <c r="G101" t="s">
        <v>18</v>
      </c>
      <c r="H101" t="s">
        <v>63</v>
      </c>
      <c r="I101" t="s">
        <v>64</v>
      </c>
      <c r="J101">
        <v>364359</v>
      </c>
      <c r="K101">
        <v>20230203</v>
      </c>
      <c r="L101" t="s">
        <v>5118</v>
      </c>
      <c r="M101">
        <v>0</v>
      </c>
      <c r="N101">
        <v>10</v>
      </c>
      <c r="O101" t="s">
        <v>22</v>
      </c>
      <c r="P101">
        <v>20230218</v>
      </c>
      <c r="Q101">
        <v>20230203</v>
      </c>
    </row>
    <row r="102" spans="1:17" x14ac:dyDescent="0.25">
      <c r="A102" t="s">
        <v>548</v>
      </c>
      <c r="B102" t="s">
        <v>429</v>
      </c>
      <c r="C102">
        <v>6</v>
      </c>
      <c r="D102">
        <v>20230203</v>
      </c>
      <c r="E102">
        <v>2</v>
      </c>
      <c r="F102">
        <v>411100</v>
      </c>
      <c r="G102" t="s">
        <v>18</v>
      </c>
      <c r="H102" t="s">
        <v>2282</v>
      </c>
      <c r="I102" t="s">
        <v>2283</v>
      </c>
      <c r="J102">
        <v>364360</v>
      </c>
      <c r="K102">
        <v>20230203</v>
      </c>
      <c r="L102" t="s">
        <v>5119</v>
      </c>
      <c r="M102">
        <v>0</v>
      </c>
      <c r="N102">
        <v>5</v>
      </c>
      <c r="O102" t="s">
        <v>22</v>
      </c>
      <c r="P102">
        <v>20230218</v>
      </c>
      <c r="Q102">
        <v>20230203</v>
      </c>
    </row>
    <row r="103" spans="1:17" x14ac:dyDescent="0.25">
      <c r="A103" t="s">
        <v>548</v>
      </c>
      <c r="B103" t="s">
        <v>429</v>
      </c>
      <c r="C103">
        <v>6</v>
      </c>
      <c r="D103">
        <v>20230203</v>
      </c>
      <c r="E103">
        <v>2</v>
      </c>
      <c r="F103">
        <v>531105</v>
      </c>
      <c r="G103" t="s">
        <v>429</v>
      </c>
      <c r="H103" t="s">
        <v>401</v>
      </c>
      <c r="I103" t="s">
        <v>402</v>
      </c>
      <c r="J103">
        <v>364361</v>
      </c>
      <c r="K103">
        <v>20230203</v>
      </c>
      <c r="L103" t="s">
        <v>565</v>
      </c>
      <c r="M103">
        <v>197.1</v>
      </c>
      <c r="N103">
        <v>0</v>
      </c>
      <c r="O103" t="s">
        <v>19</v>
      </c>
      <c r="P103" t="s">
        <v>20</v>
      </c>
      <c r="Q103">
        <v>20230203</v>
      </c>
    </row>
    <row r="104" spans="1:17" x14ac:dyDescent="0.25">
      <c r="A104" t="s">
        <v>548</v>
      </c>
      <c r="B104" t="s">
        <v>429</v>
      </c>
      <c r="C104">
        <v>6</v>
      </c>
      <c r="D104">
        <v>20230203</v>
      </c>
      <c r="E104">
        <v>2</v>
      </c>
      <c r="F104">
        <v>580000</v>
      </c>
      <c r="G104" t="s">
        <v>532</v>
      </c>
      <c r="H104" t="s">
        <v>401</v>
      </c>
      <c r="I104" t="s">
        <v>402</v>
      </c>
      <c r="J104" t="s">
        <v>5120</v>
      </c>
      <c r="K104">
        <v>20230203</v>
      </c>
      <c r="L104" t="s">
        <v>625</v>
      </c>
      <c r="M104">
        <v>1500</v>
      </c>
      <c r="N104">
        <v>0</v>
      </c>
      <c r="O104" t="s">
        <v>22</v>
      </c>
      <c r="P104">
        <v>20230203</v>
      </c>
      <c r="Q104">
        <v>20230203</v>
      </c>
    </row>
    <row r="105" spans="1:17" x14ac:dyDescent="0.25">
      <c r="A105" t="s">
        <v>548</v>
      </c>
      <c r="B105" t="s">
        <v>429</v>
      </c>
      <c r="C105">
        <v>6</v>
      </c>
      <c r="D105">
        <v>20230203</v>
      </c>
      <c r="E105">
        <v>2</v>
      </c>
      <c r="F105">
        <v>531105</v>
      </c>
      <c r="G105" t="s">
        <v>429</v>
      </c>
      <c r="H105" t="s">
        <v>401</v>
      </c>
      <c r="I105" t="s">
        <v>402</v>
      </c>
      <c r="J105" t="s">
        <v>5120</v>
      </c>
      <c r="K105">
        <v>20230203</v>
      </c>
      <c r="L105" t="s">
        <v>625</v>
      </c>
      <c r="M105">
        <v>0</v>
      </c>
      <c r="N105">
        <v>1500</v>
      </c>
      <c r="O105" t="s">
        <v>19</v>
      </c>
      <c r="P105" t="s">
        <v>20</v>
      </c>
      <c r="Q105">
        <v>20230203</v>
      </c>
    </row>
    <row r="106" spans="1:17" x14ac:dyDescent="0.25">
      <c r="A106" t="s">
        <v>548</v>
      </c>
      <c r="B106" t="s">
        <v>429</v>
      </c>
      <c r="C106">
        <v>6</v>
      </c>
      <c r="D106">
        <v>20230203</v>
      </c>
      <c r="E106">
        <v>2</v>
      </c>
      <c r="F106">
        <v>411100</v>
      </c>
      <c r="G106" t="s">
        <v>18</v>
      </c>
      <c r="H106" t="s">
        <v>5121</v>
      </c>
      <c r="I106" t="s">
        <v>5122</v>
      </c>
      <c r="J106">
        <v>364917</v>
      </c>
      <c r="K106">
        <v>20230203</v>
      </c>
      <c r="L106" t="s">
        <v>5123</v>
      </c>
      <c r="M106">
        <v>0</v>
      </c>
      <c r="N106">
        <v>10</v>
      </c>
      <c r="O106" t="s">
        <v>19</v>
      </c>
      <c r="P106" t="s">
        <v>20</v>
      </c>
      <c r="Q106">
        <v>20230203</v>
      </c>
    </row>
    <row r="107" spans="1:17" x14ac:dyDescent="0.25">
      <c r="A107" t="s">
        <v>548</v>
      </c>
      <c r="B107" t="s">
        <v>429</v>
      </c>
      <c r="C107">
        <v>6</v>
      </c>
      <c r="D107">
        <v>20230203</v>
      </c>
      <c r="E107">
        <v>2</v>
      </c>
      <c r="F107">
        <v>411100</v>
      </c>
      <c r="G107" t="s">
        <v>18</v>
      </c>
      <c r="H107" t="s">
        <v>3218</v>
      </c>
      <c r="I107" t="s">
        <v>3219</v>
      </c>
      <c r="J107">
        <v>364918</v>
      </c>
      <c r="K107">
        <v>20230203</v>
      </c>
      <c r="L107" t="s">
        <v>5124</v>
      </c>
      <c r="M107">
        <v>0</v>
      </c>
      <c r="N107">
        <v>6</v>
      </c>
      <c r="O107" t="s">
        <v>23</v>
      </c>
      <c r="P107">
        <v>20230329</v>
      </c>
      <c r="Q107">
        <v>20230203</v>
      </c>
    </row>
    <row r="108" spans="1:17" x14ac:dyDescent="0.25">
      <c r="A108" t="s">
        <v>548</v>
      </c>
      <c r="B108" t="s">
        <v>429</v>
      </c>
      <c r="C108">
        <v>6</v>
      </c>
      <c r="D108">
        <v>20230203</v>
      </c>
      <c r="E108">
        <v>2</v>
      </c>
      <c r="F108">
        <v>531105</v>
      </c>
      <c r="G108" t="s">
        <v>429</v>
      </c>
      <c r="H108" t="s">
        <v>401</v>
      </c>
      <c r="I108" t="s">
        <v>402</v>
      </c>
      <c r="J108">
        <v>364919</v>
      </c>
      <c r="K108">
        <v>20230203</v>
      </c>
      <c r="L108" t="s">
        <v>565</v>
      </c>
      <c r="M108">
        <v>16</v>
      </c>
      <c r="N108">
        <v>0</v>
      </c>
      <c r="O108" t="s">
        <v>19</v>
      </c>
      <c r="P108" t="s">
        <v>20</v>
      </c>
      <c r="Q108">
        <v>20230203</v>
      </c>
    </row>
    <row r="109" spans="1:17" x14ac:dyDescent="0.25">
      <c r="A109" t="s">
        <v>548</v>
      </c>
      <c r="B109" t="s">
        <v>429</v>
      </c>
      <c r="C109">
        <v>6</v>
      </c>
      <c r="D109">
        <v>20230206</v>
      </c>
      <c r="E109">
        <v>2</v>
      </c>
      <c r="F109">
        <v>467100</v>
      </c>
      <c r="G109" t="s">
        <v>160</v>
      </c>
      <c r="H109" t="s">
        <v>316</v>
      </c>
      <c r="I109" t="s">
        <v>317</v>
      </c>
      <c r="J109" t="s">
        <v>5125</v>
      </c>
      <c r="K109">
        <v>20230206</v>
      </c>
      <c r="L109" t="s">
        <v>5126</v>
      </c>
      <c r="M109">
        <v>0</v>
      </c>
      <c r="N109">
        <v>3.47</v>
      </c>
      <c r="O109" t="s">
        <v>23</v>
      </c>
      <c r="P109">
        <v>20230206</v>
      </c>
      <c r="Q109">
        <v>20230206</v>
      </c>
    </row>
    <row r="110" spans="1:17" x14ac:dyDescent="0.25">
      <c r="A110" t="s">
        <v>548</v>
      </c>
      <c r="B110" t="s">
        <v>429</v>
      </c>
      <c r="C110">
        <v>6</v>
      </c>
      <c r="D110">
        <v>20230206</v>
      </c>
      <c r="E110">
        <v>2</v>
      </c>
      <c r="F110">
        <v>531105</v>
      </c>
      <c r="G110" t="s">
        <v>429</v>
      </c>
      <c r="H110" t="s">
        <v>401</v>
      </c>
      <c r="I110" t="s">
        <v>402</v>
      </c>
      <c r="J110" t="s">
        <v>5125</v>
      </c>
      <c r="K110">
        <v>20230206</v>
      </c>
      <c r="L110" t="s">
        <v>5126</v>
      </c>
      <c r="M110">
        <v>3.47</v>
      </c>
      <c r="N110">
        <v>0</v>
      </c>
      <c r="O110" t="s">
        <v>19</v>
      </c>
      <c r="P110" t="s">
        <v>20</v>
      </c>
      <c r="Q110">
        <v>20230206</v>
      </c>
    </row>
    <row r="111" spans="1:17" x14ac:dyDescent="0.25">
      <c r="A111" t="s">
        <v>548</v>
      </c>
      <c r="B111" t="s">
        <v>429</v>
      </c>
      <c r="C111">
        <v>6</v>
      </c>
      <c r="D111">
        <v>20230206</v>
      </c>
      <c r="E111">
        <v>2</v>
      </c>
      <c r="F111">
        <v>467100</v>
      </c>
      <c r="G111" t="s">
        <v>160</v>
      </c>
      <c r="H111" t="s">
        <v>316</v>
      </c>
      <c r="I111" t="s">
        <v>317</v>
      </c>
      <c r="J111" t="s">
        <v>5127</v>
      </c>
      <c r="K111">
        <v>20230206</v>
      </c>
      <c r="L111" t="s">
        <v>5128</v>
      </c>
      <c r="M111">
        <v>0</v>
      </c>
      <c r="N111">
        <v>2</v>
      </c>
      <c r="O111" t="s">
        <v>23</v>
      </c>
      <c r="P111">
        <v>20230206</v>
      </c>
      <c r="Q111">
        <v>20230206</v>
      </c>
    </row>
    <row r="112" spans="1:17" x14ac:dyDescent="0.25">
      <c r="A112" t="s">
        <v>548</v>
      </c>
      <c r="B112" t="s">
        <v>429</v>
      </c>
      <c r="C112">
        <v>6</v>
      </c>
      <c r="D112">
        <v>20230206</v>
      </c>
      <c r="E112">
        <v>2</v>
      </c>
      <c r="F112">
        <v>531105</v>
      </c>
      <c r="G112" t="s">
        <v>429</v>
      </c>
      <c r="H112" t="s">
        <v>401</v>
      </c>
      <c r="I112" t="s">
        <v>402</v>
      </c>
      <c r="J112" t="s">
        <v>5127</v>
      </c>
      <c r="K112">
        <v>20230206</v>
      </c>
      <c r="L112" t="s">
        <v>5128</v>
      </c>
      <c r="M112">
        <v>2</v>
      </c>
      <c r="N112">
        <v>0</v>
      </c>
      <c r="O112" t="s">
        <v>19</v>
      </c>
      <c r="P112" t="s">
        <v>20</v>
      </c>
      <c r="Q112">
        <v>20230206</v>
      </c>
    </row>
    <row r="113" spans="1:17" x14ac:dyDescent="0.25">
      <c r="A113" t="s">
        <v>548</v>
      </c>
      <c r="B113" t="s">
        <v>429</v>
      </c>
      <c r="C113">
        <v>6</v>
      </c>
      <c r="D113">
        <v>20230206</v>
      </c>
      <c r="E113">
        <v>2</v>
      </c>
      <c r="F113">
        <v>411000</v>
      </c>
      <c r="G113" t="s">
        <v>21</v>
      </c>
      <c r="H113" t="s">
        <v>287</v>
      </c>
      <c r="I113" t="s">
        <v>288</v>
      </c>
      <c r="J113">
        <v>122120399</v>
      </c>
      <c r="K113">
        <v>20230206</v>
      </c>
      <c r="L113" t="s">
        <v>5129</v>
      </c>
      <c r="M113">
        <v>0</v>
      </c>
      <c r="N113">
        <v>15</v>
      </c>
      <c r="O113" t="s">
        <v>19</v>
      </c>
      <c r="P113" t="s">
        <v>20</v>
      </c>
      <c r="Q113">
        <v>20230206</v>
      </c>
    </row>
    <row r="114" spans="1:17" x14ac:dyDescent="0.25">
      <c r="A114" t="s">
        <v>548</v>
      </c>
      <c r="B114" t="s">
        <v>429</v>
      </c>
      <c r="C114">
        <v>6</v>
      </c>
      <c r="D114">
        <v>20230206</v>
      </c>
      <c r="E114">
        <v>2</v>
      </c>
      <c r="F114">
        <v>411010</v>
      </c>
      <c r="G114" t="s">
        <v>87</v>
      </c>
      <c r="H114" t="s">
        <v>678</v>
      </c>
      <c r="I114" t="s">
        <v>679</v>
      </c>
      <c r="J114">
        <v>364921</v>
      </c>
      <c r="K114">
        <v>20230206</v>
      </c>
      <c r="L114" t="s">
        <v>5130</v>
      </c>
      <c r="M114">
        <v>0</v>
      </c>
      <c r="N114">
        <v>65.92</v>
      </c>
      <c r="O114" t="s">
        <v>19</v>
      </c>
      <c r="P114" t="s">
        <v>20</v>
      </c>
      <c r="Q114">
        <v>20230206</v>
      </c>
    </row>
    <row r="115" spans="1:17" x14ac:dyDescent="0.25">
      <c r="A115" t="s">
        <v>548</v>
      </c>
      <c r="B115" t="s">
        <v>429</v>
      </c>
      <c r="C115">
        <v>6</v>
      </c>
      <c r="D115">
        <v>20230206</v>
      </c>
      <c r="E115">
        <v>2</v>
      </c>
      <c r="F115">
        <v>411100</v>
      </c>
      <c r="G115" t="s">
        <v>18</v>
      </c>
      <c r="H115" t="s">
        <v>35</v>
      </c>
      <c r="I115" t="s">
        <v>36</v>
      </c>
      <c r="J115">
        <v>364922</v>
      </c>
      <c r="K115">
        <v>20230206</v>
      </c>
      <c r="L115" t="s">
        <v>5131</v>
      </c>
      <c r="M115">
        <v>0</v>
      </c>
      <c r="N115">
        <v>10</v>
      </c>
      <c r="O115" t="s">
        <v>22</v>
      </c>
      <c r="P115">
        <v>20230218</v>
      </c>
      <c r="Q115">
        <v>20230206</v>
      </c>
    </row>
    <row r="116" spans="1:17" x14ac:dyDescent="0.25">
      <c r="A116" t="s">
        <v>548</v>
      </c>
      <c r="B116" t="s">
        <v>429</v>
      </c>
      <c r="C116">
        <v>6</v>
      </c>
      <c r="D116">
        <v>20230206</v>
      </c>
      <c r="E116">
        <v>2</v>
      </c>
      <c r="F116">
        <v>411100</v>
      </c>
      <c r="G116" t="s">
        <v>18</v>
      </c>
      <c r="H116" t="s">
        <v>694</v>
      </c>
      <c r="I116" t="s">
        <v>695</v>
      </c>
      <c r="J116">
        <v>122080026</v>
      </c>
      <c r="K116">
        <v>20230206</v>
      </c>
      <c r="L116" t="s">
        <v>5132</v>
      </c>
      <c r="M116">
        <v>0</v>
      </c>
      <c r="N116">
        <v>350</v>
      </c>
      <c r="O116" t="s">
        <v>19</v>
      </c>
      <c r="P116" t="s">
        <v>20</v>
      </c>
      <c r="Q116">
        <v>20230206</v>
      </c>
    </row>
    <row r="117" spans="1:17" x14ac:dyDescent="0.25">
      <c r="A117" t="s">
        <v>548</v>
      </c>
      <c r="B117" t="s">
        <v>429</v>
      </c>
      <c r="C117">
        <v>6</v>
      </c>
      <c r="D117">
        <v>20230206</v>
      </c>
      <c r="E117">
        <v>2</v>
      </c>
      <c r="F117">
        <v>531105</v>
      </c>
      <c r="G117" t="s">
        <v>429</v>
      </c>
      <c r="H117" t="s">
        <v>401</v>
      </c>
      <c r="I117" t="s">
        <v>402</v>
      </c>
      <c r="J117">
        <v>364924</v>
      </c>
      <c r="K117">
        <v>20230206</v>
      </c>
      <c r="L117" t="s">
        <v>565</v>
      </c>
      <c r="M117">
        <v>440.92</v>
      </c>
      <c r="N117">
        <v>0</v>
      </c>
      <c r="O117" t="s">
        <v>19</v>
      </c>
      <c r="P117" t="s">
        <v>20</v>
      </c>
      <c r="Q117">
        <v>20230206</v>
      </c>
    </row>
    <row r="118" spans="1:17" x14ac:dyDescent="0.25">
      <c r="A118" t="s">
        <v>548</v>
      </c>
      <c r="B118" t="s">
        <v>429</v>
      </c>
      <c r="C118">
        <v>6</v>
      </c>
      <c r="D118">
        <v>20230206</v>
      </c>
      <c r="E118">
        <v>2</v>
      </c>
      <c r="F118">
        <v>411100</v>
      </c>
      <c r="G118" t="s">
        <v>18</v>
      </c>
      <c r="H118" t="s">
        <v>4465</v>
      </c>
      <c r="I118" t="s">
        <v>4466</v>
      </c>
      <c r="J118">
        <v>223010010</v>
      </c>
      <c r="K118">
        <v>20230206</v>
      </c>
      <c r="L118" t="s">
        <v>5133</v>
      </c>
      <c r="M118">
        <v>0</v>
      </c>
      <c r="N118">
        <v>47.25</v>
      </c>
      <c r="O118" t="s">
        <v>22</v>
      </c>
      <c r="P118">
        <v>20230218</v>
      </c>
      <c r="Q118">
        <v>20230206</v>
      </c>
    </row>
    <row r="119" spans="1:17" x14ac:dyDescent="0.25">
      <c r="A119" t="s">
        <v>548</v>
      </c>
      <c r="B119" t="s">
        <v>429</v>
      </c>
      <c r="C119">
        <v>6</v>
      </c>
      <c r="D119">
        <v>20230206</v>
      </c>
      <c r="E119">
        <v>2</v>
      </c>
      <c r="F119">
        <v>411100</v>
      </c>
      <c r="G119" t="s">
        <v>18</v>
      </c>
      <c r="H119" t="s">
        <v>4151</v>
      </c>
      <c r="I119" t="s">
        <v>4152</v>
      </c>
      <c r="J119">
        <v>222120013</v>
      </c>
      <c r="K119">
        <v>20230206</v>
      </c>
      <c r="L119" t="s">
        <v>5134</v>
      </c>
      <c r="M119">
        <v>0</v>
      </c>
      <c r="N119">
        <v>31.82</v>
      </c>
      <c r="O119" t="s">
        <v>22</v>
      </c>
      <c r="P119">
        <v>20230218</v>
      </c>
      <c r="Q119">
        <v>20230206</v>
      </c>
    </row>
    <row r="120" spans="1:17" x14ac:dyDescent="0.25">
      <c r="A120" t="s">
        <v>548</v>
      </c>
      <c r="B120" t="s">
        <v>429</v>
      </c>
      <c r="C120">
        <v>6</v>
      </c>
      <c r="D120">
        <v>20230206</v>
      </c>
      <c r="E120">
        <v>2</v>
      </c>
      <c r="F120">
        <v>531105</v>
      </c>
      <c r="G120" t="s">
        <v>429</v>
      </c>
      <c r="H120" t="s">
        <v>401</v>
      </c>
      <c r="I120" t="s">
        <v>402</v>
      </c>
      <c r="J120">
        <v>365761</v>
      </c>
      <c r="K120">
        <v>20230206</v>
      </c>
      <c r="L120" t="s">
        <v>565</v>
      </c>
      <c r="M120">
        <v>79.069999999999993</v>
      </c>
      <c r="N120">
        <v>0</v>
      </c>
      <c r="O120" t="s">
        <v>19</v>
      </c>
      <c r="P120" t="s">
        <v>20</v>
      </c>
      <c r="Q120">
        <v>20230206</v>
      </c>
    </row>
    <row r="121" spans="1:17" x14ac:dyDescent="0.25">
      <c r="A121" t="s">
        <v>548</v>
      </c>
      <c r="B121" t="s">
        <v>429</v>
      </c>
      <c r="C121">
        <v>6</v>
      </c>
      <c r="D121">
        <v>20230207</v>
      </c>
      <c r="E121">
        <v>2</v>
      </c>
      <c r="F121">
        <v>467100</v>
      </c>
      <c r="G121" t="s">
        <v>160</v>
      </c>
      <c r="H121" t="s">
        <v>1307</v>
      </c>
      <c r="I121" t="s">
        <v>1308</v>
      </c>
      <c r="J121" t="s">
        <v>5135</v>
      </c>
      <c r="K121">
        <v>20230207</v>
      </c>
      <c r="L121" t="s">
        <v>5136</v>
      </c>
      <c r="M121">
        <v>0</v>
      </c>
      <c r="N121">
        <v>5</v>
      </c>
      <c r="O121" t="s">
        <v>23</v>
      </c>
      <c r="P121">
        <v>20230314</v>
      </c>
      <c r="Q121">
        <v>20230207</v>
      </c>
    </row>
    <row r="122" spans="1:17" x14ac:dyDescent="0.25">
      <c r="A122" t="s">
        <v>548</v>
      </c>
      <c r="B122" t="s">
        <v>429</v>
      </c>
      <c r="C122">
        <v>6</v>
      </c>
      <c r="D122">
        <v>20230207</v>
      </c>
      <c r="E122">
        <v>2</v>
      </c>
      <c r="F122">
        <v>531105</v>
      </c>
      <c r="G122" t="s">
        <v>429</v>
      </c>
      <c r="H122" t="s">
        <v>401</v>
      </c>
      <c r="I122" t="s">
        <v>402</v>
      </c>
      <c r="J122" t="s">
        <v>5135</v>
      </c>
      <c r="K122">
        <v>20230207</v>
      </c>
      <c r="L122" t="s">
        <v>5136</v>
      </c>
      <c r="M122">
        <v>5</v>
      </c>
      <c r="N122">
        <v>0</v>
      </c>
      <c r="O122" t="s">
        <v>19</v>
      </c>
      <c r="P122" t="s">
        <v>20</v>
      </c>
      <c r="Q122">
        <v>20230207</v>
      </c>
    </row>
    <row r="123" spans="1:17" x14ac:dyDescent="0.25">
      <c r="A123" t="s">
        <v>548</v>
      </c>
      <c r="B123" t="s">
        <v>429</v>
      </c>
      <c r="C123">
        <v>6</v>
      </c>
      <c r="D123">
        <v>20230207</v>
      </c>
      <c r="E123">
        <v>2</v>
      </c>
      <c r="F123">
        <v>467100</v>
      </c>
      <c r="G123" t="s">
        <v>160</v>
      </c>
      <c r="H123" t="s">
        <v>172</v>
      </c>
      <c r="I123" t="s">
        <v>173</v>
      </c>
      <c r="J123" t="s">
        <v>5137</v>
      </c>
      <c r="K123">
        <v>20230207</v>
      </c>
      <c r="L123" t="s">
        <v>5138</v>
      </c>
      <c r="M123">
        <v>100</v>
      </c>
      <c r="N123">
        <v>0</v>
      </c>
      <c r="O123" t="s">
        <v>23</v>
      </c>
      <c r="P123">
        <v>20230310</v>
      </c>
      <c r="Q123">
        <v>20230207</v>
      </c>
    </row>
    <row r="124" spans="1:17" x14ac:dyDescent="0.25">
      <c r="A124" t="s">
        <v>548</v>
      </c>
      <c r="B124" t="s">
        <v>429</v>
      </c>
      <c r="C124">
        <v>6</v>
      </c>
      <c r="D124">
        <v>20230207</v>
      </c>
      <c r="E124">
        <v>2</v>
      </c>
      <c r="F124">
        <v>531105</v>
      </c>
      <c r="G124" t="s">
        <v>429</v>
      </c>
      <c r="H124" t="s">
        <v>401</v>
      </c>
      <c r="I124" t="s">
        <v>402</v>
      </c>
      <c r="J124" t="s">
        <v>5137</v>
      </c>
      <c r="K124">
        <v>20230207</v>
      </c>
      <c r="L124" t="s">
        <v>5138</v>
      </c>
      <c r="M124">
        <v>0</v>
      </c>
      <c r="N124">
        <v>100</v>
      </c>
      <c r="O124" t="s">
        <v>19</v>
      </c>
      <c r="P124" t="s">
        <v>20</v>
      </c>
      <c r="Q124">
        <v>20230207</v>
      </c>
    </row>
    <row r="125" spans="1:17" x14ac:dyDescent="0.25">
      <c r="A125" t="s">
        <v>548</v>
      </c>
      <c r="B125" t="s">
        <v>429</v>
      </c>
      <c r="C125">
        <v>6</v>
      </c>
      <c r="D125">
        <v>20230207</v>
      </c>
      <c r="E125">
        <v>2</v>
      </c>
      <c r="F125">
        <v>467100</v>
      </c>
      <c r="G125" t="s">
        <v>160</v>
      </c>
      <c r="H125" t="s">
        <v>2645</v>
      </c>
      <c r="I125" t="s">
        <v>2646</v>
      </c>
      <c r="J125" t="s">
        <v>5139</v>
      </c>
      <c r="K125">
        <v>20230207</v>
      </c>
      <c r="L125" t="s">
        <v>5140</v>
      </c>
      <c r="M125">
        <v>12.99</v>
      </c>
      <c r="N125">
        <v>0</v>
      </c>
      <c r="O125" t="s">
        <v>19</v>
      </c>
      <c r="P125" t="s">
        <v>20</v>
      </c>
      <c r="Q125">
        <v>20230207</v>
      </c>
    </row>
    <row r="126" spans="1:17" x14ac:dyDescent="0.25">
      <c r="A126" t="s">
        <v>548</v>
      </c>
      <c r="B126" t="s">
        <v>429</v>
      </c>
      <c r="C126">
        <v>6</v>
      </c>
      <c r="D126">
        <v>20230207</v>
      </c>
      <c r="E126">
        <v>2</v>
      </c>
      <c r="F126">
        <v>531105</v>
      </c>
      <c r="G126" t="s">
        <v>429</v>
      </c>
      <c r="H126" t="s">
        <v>401</v>
      </c>
      <c r="I126" t="s">
        <v>402</v>
      </c>
      <c r="J126" t="s">
        <v>5139</v>
      </c>
      <c r="K126">
        <v>20230207</v>
      </c>
      <c r="L126" t="s">
        <v>5140</v>
      </c>
      <c r="M126">
        <v>0</v>
      </c>
      <c r="N126">
        <v>12.99</v>
      </c>
      <c r="O126" t="s">
        <v>19</v>
      </c>
      <c r="P126" t="s">
        <v>20</v>
      </c>
      <c r="Q126">
        <v>20230207</v>
      </c>
    </row>
    <row r="127" spans="1:17" x14ac:dyDescent="0.25">
      <c r="A127" t="s">
        <v>548</v>
      </c>
      <c r="B127" t="s">
        <v>429</v>
      </c>
      <c r="C127">
        <v>6</v>
      </c>
      <c r="D127">
        <v>20230207</v>
      </c>
      <c r="E127">
        <v>2</v>
      </c>
      <c r="F127">
        <v>467100</v>
      </c>
      <c r="G127" t="s">
        <v>160</v>
      </c>
      <c r="H127" t="s">
        <v>4958</v>
      </c>
      <c r="I127" t="s">
        <v>4959</v>
      </c>
      <c r="J127" t="s">
        <v>5141</v>
      </c>
      <c r="K127">
        <v>20230207</v>
      </c>
      <c r="L127" t="s">
        <v>5142</v>
      </c>
      <c r="M127">
        <v>150</v>
      </c>
      <c r="N127">
        <v>0</v>
      </c>
      <c r="O127" t="s">
        <v>23</v>
      </c>
      <c r="P127">
        <v>20230308</v>
      </c>
      <c r="Q127">
        <v>20230207</v>
      </c>
    </row>
    <row r="128" spans="1:17" x14ac:dyDescent="0.25">
      <c r="A128" t="s">
        <v>548</v>
      </c>
      <c r="B128" t="s">
        <v>429</v>
      </c>
      <c r="C128">
        <v>6</v>
      </c>
      <c r="D128">
        <v>20230207</v>
      </c>
      <c r="E128">
        <v>2</v>
      </c>
      <c r="F128">
        <v>531105</v>
      </c>
      <c r="G128" t="s">
        <v>429</v>
      </c>
      <c r="H128" t="s">
        <v>401</v>
      </c>
      <c r="I128" t="s">
        <v>402</v>
      </c>
      <c r="J128" t="s">
        <v>5141</v>
      </c>
      <c r="K128">
        <v>20230207</v>
      </c>
      <c r="L128" t="s">
        <v>5142</v>
      </c>
      <c r="M128">
        <v>0</v>
      </c>
      <c r="N128">
        <v>150</v>
      </c>
      <c r="O128" t="s">
        <v>19</v>
      </c>
      <c r="P128" t="s">
        <v>20</v>
      </c>
      <c r="Q128">
        <v>20230207</v>
      </c>
    </row>
    <row r="129" spans="1:17" x14ac:dyDescent="0.25">
      <c r="A129" t="s">
        <v>548</v>
      </c>
      <c r="B129" t="s">
        <v>429</v>
      </c>
      <c r="C129">
        <v>6</v>
      </c>
      <c r="D129">
        <v>20230207</v>
      </c>
      <c r="E129">
        <v>2</v>
      </c>
      <c r="F129">
        <v>467100</v>
      </c>
      <c r="G129" t="s">
        <v>160</v>
      </c>
      <c r="H129" t="s">
        <v>4958</v>
      </c>
      <c r="I129" t="s">
        <v>4959</v>
      </c>
      <c r="J129" t="s">
        <v>5143</v>
      </c>
      <c r="K129">
        <v>20230207</v>
      </c>
      <c r="L129" t="s">
        <v>5144</v>
      </c>
      <c r="M129">
        <v>40</v>
      </c>
      <c r="N129">
        <v>0</v>
      </c>
      <c r="O129" t="s">
        <v>23</v>
      </c>
      <c r="P129">
        <v>20230308</v>
      </c>
      <c r="Q129">
        <v>20230207</v>
      </c>
    </row>
    <row r="130" spans="1:17" x14ac:dyDescent="0.25">
      <c r="A130" t="s">
        <v>548</v>
      </c>
      <c r="B130" t="s">
        <v>429</v>
      </c>
      <c r="C130">
        <v>6</v>
      </c>
      <c r="D130">
        <v>20230207</v>
      </c>
      <c r="E130">
        <v>2</v>
      </c>
      <c r="F130">
        <v>531105</v>
      </c>
      <c r="G130" t="s">
        <v>429</v>
      </c>
      <c r="H130" t="s">
        <v>401</v>
      </c>
      <c r="I130" t="s">
        <v>402</v>
      </c>
      <c r="J130" t="s">
        <v>5143</v>
      </c>
      <c r="K130">
        <v>20230207</v>
      </c>
      <c r="L130" t="s">
        <v>5144</v>
      </c>
      <c r="M130">
        <v>0</v>
      </c>
      <c r="N130">
        <v>40</v>
      </c>
      <c r="O130" t="s">
        <v>19</v>
      </c>
      <c r="P130" t="s">
        <v>20</v>
      </c>
      <c r="Q130">
        <v>20230207</v>
      </c>
    </row>
    <row r="131" spans="1:17" x14ac:dyDescent="0.25">
      <c r="A131" t="s">
        <v>548</v>
      </c>
      <c r="B131" t="s">
        <v>429</v>
      </c>
      <c r="C131">
        <v>6</v>
      </c>
      <c r="D131">
        <v>20230207</v>
      </c>
      <c r="E131">
        <v>2</v>
      </c>
      <c r="F131">
        <v>411100</v>
      </c>
      <c r="G131" t="s">
        <v>18</v>
      </c>
      <c r="H131" t="s">
        <v>373</v>
      </c>
      <c r="I131" t="s">
        <v>374</v>
      </c>
      <c r="J131">
        <v>123010078</v>
      </c>
      <c r="K131">
        <v>20230207</v>
      </c>
      <c r="L131" t="s">
        <v>5145</v>
      </c>
      <c r="M131">
        <v>0</v>
      </c>
      <c r="N131">
        <v>27.2</v>
      </c>
      <c r="O131" t="s">
        <v>22</v>
      </c>
      <c r="P131">
        <v>20230218</v>
      </c>
      <c r="Q131">
        <v>20230207</v>
      </c>
    </row>
    <row r="132" spans="1:17" x14ac:dyDescent="0.25">
      <c r="A132" t="s">
        <v>548</v>
      </c>
      <c r="B132" t="s">
        <v>429</v>
      </c>
      <c r="C132">
        <v>6</v>
      </c>
      <c r="D132">
        <v>20230207</v>
      </c>
      <c r="E132">
        <v>2</v>
      </c>
      <c r="F132">
        <v>411100</v>
      </c>
      <c r="G132" t="s">
        <v>18</v>
      </c>
      <c r="H132" t="s">
        <v>373</v>
      </c>
      <c r="I132" t="s">
        <v>374</v>
      </c>
      <c r="J132">
        <v>123010078</v>
      </c>
      <c r="K132">
        <v>20230207</v>
      </c>
      <c r="L132" t="s">
        <v>5722</v>
      </c>
      <c r="M132">
        <v>27</v>
      </c>
      <c r="N132">
        <v>0</v>
      </c>
      <c r="O132" t="s">
        <v>22</v>
      </c>
      <c r="P132">
        <v>20230218</v>
      </c>
      <c r="Q132">
        <v>20230207</v>
      </c>
    </row>
    <row r="133" spans="1:17" x14ac:dyDescent="0.25">
      <c r="A133" t="s">
        <v>548</v>
      </c>
      <c r="B133" t="s">
        <v>429</v>
      </c>
      <c r="C133">
        <v>6</v>
      </c>
      <c r="D133">
        <v>20230207</v>
      </c>
      <c r="E133">
        <v>2</v>
      </c>
      <c r="F133">
        <v>411100</v>
      </c>
      <c r="G133" t="s">
        <v>18</v>
      </c>
      <c r="H133" t="s">
        <v>373</v>
      </c>
      <c r="I133" t="s">
        <v>374</v>
      </c>
      <c r="J133">
        <v>122110120</v>
      </c>
      <c r="K133">
        <v>20230207</v>
      </c>
      <c r="L133" t="s">
        <v>5147</v>
      </c>
      <c r="M133">
        <v>0</v>
      </c>
      <c r="N133">
        <v>41.73</v>
      </c>
      <c r="O133" t="s">
        <v>19</v>
      </c>
      <c r="P133" t="s">
        <v>20</v>
      </c>
      <c r="Q133">
        <v>20230207</v>
      </c>
    </row>
    <row r="134" spans="1:17" x14ac:dyDescent="0.25">
      <c r="A134" t="s">
        <v>548</v>
      </c>
      <c r="B134" t="s">
        <v>429</v>
      </c>
      <c r="C134">
        <v>6</v>
      </c>
      <c r="D134">
        <v>20230207</v>
      </c>
      <c r="E134">
        <v>2</v>
      </c>
      <c r="F134">
        <v>411100</v>
      </c>
      <c r="G134" t="s">
        <v>18</v>
      </c>
      <c r="H134" t="s">
        <v>373</v>
      </c>
      <c r="I134" t="s">
        <v>374</v>
      </c>
      <c r="J134">
        <v>122110120</v>
      </c>
      <c r="K134">
        <v>20230207</v>
      </c>
      <c r="L134" t="s">
        <v>5721</v>
      </c>
      <c r="M134">
        <v>0</v>
      </c>
      <c r="N134">
        <v>8.27</v>
      </c>
      <c r="O134" t="s">
        <v>19</v>
      </c>
      <c r="P134" t="s">
        <v>20</v>
      </c>
      <c r="Q134">
        <v>20230207</v>
      </c>
    </row>
    <row r="135" spans="1:17" x14ac:dyDescent="0.25">
      <c r="A135" t="s">
        <v>548</v>
      </c>
      <c r="B135" t="s">
        <v>429</v>
      </c>
      <c r="C135">
        <v>6</v>
      </c>
      <c r="D135">
        <v>20230207</v>
      </c>
      <c r="E135">
        <v>2</v>
      </c>
      <c r="F135">
        <v>411100</v>
      </c>
      <c r="G135" t="s">
        <v>18</v>
      </c>
      <c r="H135" t="s">
        <v>1417</v>
      </c>
      <c r="I135" t="s">
        <v>1418</v>
      </c>
      <c r="J135">
        <v>364929</v>
      </c>
      <c r="K135">
        <v>20230207</v>
      </c>
      <c r="L135" t="s">
        <v>5149</v>
      </c>
      <c r="M135">
        <v>0</v>
      </c>
      <c r="N135">
        <v>2</v>
      </c>
      <c r="O135" t="s">
        <v>19</v>
      </c>
      <c r="P135" t="s">
        <v>20</v>
      </c>
      <c r="Q135">
        <v>20230207</v>
      </c>
    </row>
    <row r="136" spans="1:17" x14ac:dyDescent="0.25">
      <c r="A136" t="s">
        <v>548</v>
      </c>
      <c r="B136" t="s">
        <v>429</v>
      </c>
      <c r="C136">
        <v>6</v>
      </c>
      <c r="D136">
        <v>20230207</v>
      </c>
      <c r="E136">
        <v>2</v>
      </c>
      <c r="F136">
        <v>411100</v>
      </c>
      <c r="G136" t="s">
        <v>18</v>
      </c>
      <c r="H136" t="s">
        <v>95</v>
      </c>
      <c r="I136" t="s">
        <v>96</v>
      </c>
      <c r="J136">
        <v>364930</v>
      </c>
      <c r="K136">
        <v>20230207</v>
      </c>
      <c r="L136" t="s">
        <v>5150</v>
      </c>
      <c r="M136">
        <v>0</v>
      </c>
      <c r="N136">
        <v>2</v>
      </c>
      <c r="O136" t="s">
        <v>23</v>
      </c>
      <c r="P136">
        <v>20230329</v>
      </c>
      <c r="Q136">
        <v>20230207</v>
      </c>
    </row>
    <row r="137" spans="1:17" x14ac:dyDescent="0.25">
      <c r="A137" t="s">
        <v>548</v>
      </c>
      <c r="B137" t="s">
        <v>429</v>
      </c>
      <c r="C137">
        <v>6</v>
      </c>
      <c r="D137">
        <v>20230207</v>
      </c>
      <c r="E137">
        <v>2</v>
      </c>
      <c r="F137">
        <v>411100</v>
      </c>
      <c r="G137" t="s">
        <v>18</v>
      </c>
      <c r="H137" t="s">
        <v>4870</v>
      </c>
      <c r="I137" t="s">
        <v>4871</v>
      </c>
      <c r="J137">
        <v>364931</v>
      </c>
      <c r="K137">
        <v>20230207</v>
      </c>
      <c r="L137" t="s">
        <v>5151</v>
      </c>
      <c r="M137">
        <v>0</v>
      </c>
      <c r="N137">
        <v>2</v>
      </c>
      <c r="O137" t="s">
        <v>19</v>
      </c>
      <c r="P137" t="s">
        <v>20</v>
      </c>
      <c r="Q137">
        <v>20230207</v>
      </c>
    </row>
    <row r="138" spans="1:17" x14ac:dyDescent="0.25">
      <c r="A138" t="s">
        <v>548</v>
      </c>
      <c r="B138" t="s">
        <v>429</v>
      </c>
      <c r="C138">
        <v>6</v>
      </c>
      <c r="D138">
        <v>20230207</v>
      </c>
      <c r="E138">
        <v>2</v>
      </c>
      <c r="F138">
        <v>411100</v>
      </c>
      <c r="G138" t="s">
        <v>18</v>
      </c>
      <c r="H138" t="s">
        <v>1000</v>
      </c>
      <c r="I138" t="s">
        <v>1001</v>
      </c>
      <c r="J138">
        <v>364932</v>
      </c>
      <c r="K138">
        <v>20230207</v>
      </c>
      <c r="L138" t="s">
        <v>5152</v>
      </c>
      <c r="M138">
        <v>0</v>
      </c>
      <c r="N138">
        <v>2</v>
      </c>
      <c r="O138" t="s">
        <v>19</v>
      </c>
      <c r="P138" t="s">
        <v>20</v>
      </c>
      <c r="Q138">
        <v>20230207</v>
      </c>
    </row>
    <row r="139" spans="1:17" x14ac:dyDescent="0.25">
      <c r="A139" t="s">
        <v>548</v>
      </c>
      <c r="B139" t="s">
        <v>429</v>
      </c>
      <c r="C139">
        <v>6</v>
      </c>
      <c r="D139">
        <v>20230207</v>
      </c>
      <c r="E139">
        <v>2</v>
      </c>
      <c r="F139">
        <v>411100</v>
      </c>
      <c r="G139" t="s">
        <v>18</v>
      </c>
      <c r="H139" t="s">
        <v>3924</v>
      </c>
      <c r="I139" t="s">
        <v>3925</v>
      </c>
      <c r="J139">
        <v>364933</v>
      </c>
      <c r="K139">
        <v>20230207</v>
      </c>
      <c r="L139" t="s">
        <v>5153</v>
      </c>
      <c r="M139">
        <v>0</v>
      </c>
      <c r="N139">
        <v>2</v>
      </c>
      <c r="O139" t="s">
        <v>19</v>
      </c>
      <c r="P139" t="s">
        <v>20</v>
      </c>
      <c r="Q139">
        <v>20230207</v>
      </c>
    </row>
    <row r="140" spans="1:17" x14ac:dyDescent="0.25">
      <c r="A140" t="s">
        <v>548</v>
      </c>
      <c r="B140" t="s">
        <v>429</v>
      </c>
      <c r="C140">
        <v>6</v>
      </c>
      <c r="D140">
        <v>20230207</v>
      </c>
      <c r="E140">
        <v>2</v>
      </c>
      <c r="F140">
        <v>411100</v>
      </c>
      <c r="G140" t="s">
        <v>18</v>
      </c>
      <c r="H140" t="s">
        <v>787</v>
      </c>
      <c r="I140" t="s">
        <v>788</v>
      </c>
      <c r="J140">
        <v>123010033</v>
      </c>
      <c r="K140">
        <v>20230207</v>
      </c>
      <c r="L140" t="s">
        <v>5154</v>
      </c>
      <c r="M140">
        <v>0</v>
      </c>
      <c r="N140">
        <v>21</v>
      </c>
      <c r="O140" t="s">
        <v>19</v>
      </c>
      <c r="P140" t="s">
        <v>20</v>
      </c>
      <c r="Q140">
        <v>20230207</v>
      </c>
    </row>
    <row r="141" spans="1:17" x14ac:dyDescent="0.25">
      <c r="A141" t="s">
        <v>548</v>
      </c>
      <c r="B141" t="s">
        <v>429</v>
      </c>
      <c r="C141">
        <v>6</v>
      </c>
      <c r="D141">
        <v>20230207</v>
      </c>
      <c r="E141">
        <v>2</v>
      </c>
      <c r="F141">
        <v>411100</v>
      </c>
      <c r="G141" t="s">
        <v>18</v>
      </c>
      <c r="H141" t="s">
        <v>787</v>
      </c>
      <c r="I141" t="s">
        <v>788</v>
      </c>
      <c r="J141">
        <v>123010033</v>
      </c>
      <c r="K141">
        <v>20230207</v>
      </c>
      <c r="L141" t="s">
        <v>5720</v>
      </c>
      <c r="M141">
        <v>0</v>
      </c>
      <c r="N141">
        <v>21.5</v>
      </c>
      <c r="O141" t="s">
        <v>19</v>
      </c>
      <c r="P141" t="s">
        <v>20</v>
      </c>
      <c r="Q141">
        <v>20230207</v>
      </c>
    </row>
    <row r="142" spans="1:17" x14ac:dyDescent="0.25">
      <c r="A142" t="s">
        <v>548</v>
      </c>
      <c r="B142" t="s">
        <v>429</v>
      </c>
      <c r="C142">
        <v>6</v>
      </c>
      <c r="D142">
        <v>20230207</v>
      </c>
      <c r="E142">
        <v>2</v>
      </c>
      <c r="F142">
        <v>411100</v>
      </c>
      <c r="G142" t="s">
        <v>18</v>
      </c>
      <c r="H142" t="s">
        <v>592</v>
      </c>
      <c r="I142" t="s">
        <v>593</v>
      </c>
      <c r="J142">
        <v>122110054</v>
      </c>
      <c r="K142">
        <v>20230207</v>
      </c>
      <c r="L142" t="s">
        <v>5156</v>
      </c>
      <c r="M142">
        <v>0</v>
      </c>
      <c r="N142">
        <v>200</v>
      </c>
      <c r="O142" t="s">
        <v>19</v>
      </c>
      <c r="P142" t="s">
        <v>20</v>
      </c>
      <c r="Q142">
        <v>20230207</v>
      </c>
    </row>
    <row r="143" spans="1:17" x14ac:dyDescent="0.25">
      <c r="A143" t="s">
        <v>548</v>
      </c>
      <c r="B143" t="s">
        <v>429</v>
      </c>
      <c r="C143">
        <v>6</v>
      </c>
      <c r="D143">
        <v>20230207</v>
      </c>
      <c r="E143">
        <v>2</v>
      </c>
      <c r="F143">
        <v>411100</v>
      </c>
      <c r="G143" t="s">
        <v>18</v>
      </c>
      <c r="H143" t="s">
        <v>73</v>
      </c>
      <c r="I143" t="s">
        <v>74</v>
      </c>
      <c r="J143">
        <v>364937</v>
      </c>
      <c r="K143">
        <v>20230207</v>
      </c>
      <c r="L143" t="s">
        <v>5157</v>
      </c>
      <c r="M143">
        <v>0</v>
      </c>
      <c r="N143">
        <v>7</v>
      </c>
      <c r="O143" t="s">
        <v>19</v>
      </c>
      <c r="P143" t="s">
        <v>20</v>
      </c>
      <c r="Q143">
        <v>20230207</v>
      </c>
    </row>
    <row r="144" spans="1:17" x14ac:dyDescent="0.25">
      <c r="A144" t="s">
        <v>548</v>
      </c>
      <c r="B144" t="s">
        <v>429</v>
      </c>
      <c r="C144">
        <v>6</v>
      </c>
      <c r="D144">
        <v>20230207</v>
      </c>
      <c r="E144">
        <v>2</v>
      </c>
      <c r="F144">
        <v>411100</v>
      </c>
      <c r="G144" t="s">
        <v>18</v>
      </c>
      <c r="H144" t="s">
        <v>154</v>
      </c>
      <c r="I144" t="s">
        <v>155</v>
      </c>
      <c r="J144">
        <v>364938</v>
      </c>
      <c r="K144">
        <v>20230207</v>
      </c>
      <c r="L144" t="s">
        <v>5158</v>
      </c>
      <c r="M144">
        <v>0</v>
      </c>
      <c r="N144">
        <v>3.5</v>
      </c>
      <c r="O144" t="s">
        <v>19</v>
      </c>
      <c r="P144" t="s">
        <v>20</v>
      </c>
      <c r="Q144">
        <v>20230207</v>
      </c>
    </row>
    <row r="145" spans="1:17" x14ac:dyDescent="0.25">
      <c r="A145" t="s">
        <v>548</v>
      </c>
      <c r="B145" t="s">
        <v>429</v>
      </c>
      <c r="C145">
        <v>6</v>
      </c>
      <c r="D145">
        <v>20230207</v>
      </c>
      <c r="E145">
        <v>2</v>
      </c>
      <c r="F145">
        <v>411100</v>
      </c>
      <c r="G145" t="s">
        <v>18</v>
      </c>
      <c r="H145" t="s">
        <v>1911</v>
      </c>
      <c r="I145" t="s">
        <v>1912</v>
      </c>
      <c r="J145">
        <v>364939</v>
      </c>
      <c r="K145">
        <v>20230207</v>
      </c>
      <c r="L145" t="s">
        <v>5159</v>
      </c>
      <c r="M145">
        <v>0</v>
      </c>
      <c r="N145">
        <v>3.5</v>
      </c>
      <c r="O145" t="s">
        <v>19</v>
      </c>
      <c r="P145" t="s">
        <v>20</v>
      </c>
      <c r="Q145">
        <v>20230207</v>
      </c>
    </row>
    <row r="146" spans="1:17" x14ac:dyDescent="0.25">
      <c r="A146" t="s">
        <v>548</v>
      </c>
      <c r="B146" t="s">
        <v>429</v>
      </c>
      <c r="C146">
        <v>6</v>
      </c>
      <c r="D146">
        <v>20230207</v>
      </c>
      <c r="E146">
        <v>2</v>
      </c>
      <c r="F146">
        <v>411100</v>
      </c>
      <c r="G146" t="s">
        <v>18</v>
      </c>
      <c r="H146" t="s">
        <v>3901</v>
      </c>
      <c r="I146" t="s">
        <v>3902</v>
      </c>
      <c r="J146">
        <v>364940</v>
      </c>
      <c r="K146">
        <v>20230207</v>
      </c>
      <c r="L146" t="s">
        <v>5160</v>
      </c>
      <c r="M146">
        <v>0</v>
      </c>
      <c r="N146">
        <v>3.5</v>
      </c>
      <c r="O146" t="s">
        <v>19</v>
      </c>
      <c r="P146" t="s">
        <v>20</v>
      </c>
      <c r="Q146">
        <v>20230207</v>
      </c>
    </row>
    <row r="147" spans="1:17" x14ac:dyDescent="0.25">
      <c r="A147" t="s">
        <v>548</v>
      </c>
      <c r="B147" t="s">
        <v>429</v>
      </c>
      <c r="C147">
        <v>6</v>
      </c>
      <c r="D147">
        <v>20230207</v>
      </c>
      <c r="E147">
        <v>2</v>
      </c>
      <c r="F147">
        <v>411100</v>
      </c>
      <c r="G147" t="s">
        <v>18</v>
      </c>
      <c r="H147" t="s">
        <v>1172</v>
      </c>
      <c r="I147" t="s">
        <v>1173</v>
      </c>
      <c r="J147">
        <v>364941</v>
      </c>
      <c r="K147">
        <v>20230207</v>
      </c>
      <c r="L147" t="s">
        <v>5161</v>
      </c>
      <c r="M147">
        <v>0</v>
      </c>
      <c r="N147">
        <v>2</v>
      </c>
      <c r="O147" t="s">
        <v>19</v>
      </c>
      <c r="P147" t="s">
        <v>20</v>
      </c>
      <c r="Q147">
        <v>20230207</v>
      </c>
    </row>
    <row r="148" spans="1:17" x14ac:dyDescent="0.25">
      <c r="A148" t="s">
        <v>548</v>
      </c>
      <c r="B148" t="s">
        <v>429</v>
      </c>
      <c r="C148">
        <v>6</v>
      </c>
      <c r="D148">
        <v>20230207</v>
      </c>
      <c r="E148">
        <v>2</v>
      </c>
      <c r="F148">
        <v>411100</v>
      </c>
      <c r="G148" t="s">
        <v>18</v>
      </c>
      <c r="H148" t="s">
        <v>1172</v>
      </c>
      <c r="I148" t="s">
        <v>1173</v>
      </c>
      <c r="J148">
        <v>364942</v>
      </c>
      <c r="K148">
        <v>20230207</v>
      </c>
      <c r="L148" t="s">
        <v>5162</v>
      </c>
      <c r="M148">
        <v>0</v>
      </c>
      <c r="N148">
        <v>2</v>
      </c>
      <c r="O148" t="s">
        <v>19</v>
      </c>
      <c r="P148" t="s">
        <v>20</v>
      </c>
      <c r="Q148">
        <v>20230207</v>
      </c>
    </row>
    <row r="149" spans="1:17" x14ac:dyDescent="0.25">
      <c r="A149" t="s">
        <v>548</v>
      </c>
      <c r="B149" t="s">
        <v>429</v>
      </c>
      <c r="C149">
        <v>6</v>
      </c>
      <c r="D149">
        <v>20230207</v>
      </c>
      <c r="E149">
        <v>2</v>
      </c>
      <c r="F149">
        <v>411100</v>
      </c>
      <c r="G149" t="s">
        <v>18</v>
      </c>
      <c r="H149" t="s">
        <v>259</v>
      </c>
      <c r="I149" t="s">
        <v>260</v>
      </c>
      <c r="J149">
        <v>364943</v>
      </c>
      <c r="K149">
        <v>20230207</v>
      </c>
      <c r="L149" t="s">
        <v>5163</v>
      </c>
      <c r="M149">
        <v>0</v>
      </c>
      <c r="N149">
        <v>4</v>
      </c>
      <c r="O149" t="s">
        <v>19</v>
      </c>
      <c r="P149" t="s">
        <v>20</v>
      </c>
      <c r="Q149">
        <v>20230207</v>
      </c>
    </row>
    <row r="150" spans="1:17" x14ac:dyDescent="0.25">
      <c r="A150" t="s">
        <v>548</v>
      </c>
      <c r="B150" t="s">
        <v>429</v>
      </c>
      <c r="C150">
        <v>6</v>
      </c>
      <c r="D150">
        <v>20230207</v>
      </c>
      <c r="E150">
        <v>2</v>
      </c>
      <c r="F150">
        <v>411100</v>
      </c>
      <c r="G150" t="s">
        <v>18</v>
      </c>
      <c r="H150" t="s">
        <v>81</v>
      </c>
      <c r="I150" t="s">
        <v>82</v>
      </c>
      <c r="J150">
        <v>364944</v>
      </c>
      <c r="K150">
        <v>20230207</v>
      </c>
      <c r="L150" t="s">
        <v>5164</v>
      </c>
      <c r="M150">
        <v>0</v>
      </c>
      <c r="N150">
        <v>2</v>
      </c>
      <c r="O150" t="s">
        <v>19</v>
      </c>
      <c r="P150" t="s">
        <v>20</v>
      </c>
      <c r="Q150">
        <v>20230207</v>
      </c>
    </row>
    <row r="151" spans="1:17" x14ac:dyDescent="0.25">
      <c r="A151" t="s">
        <v>548</v>
      </c>
      <c r="B151" t="s">
        <v>429</v>
      </c>
      <c r="C151">
        <v>6</v>
      </c>
      <c r="D151">
        <v>20230207</v>
      </c>
      <c r="E151">
        <v>2</v>
      </c>
      <c r="F151">
        <v>411100</v>
      </c>
      <c r="G151" t="s">
        <v>18</v>
      </c>
      <c r="H151" t="s">
        <v>1911</v>
      </c>
      <c r="I151" t="s">
        <v>1912</v>
      </c>
      <c r="J151">
        <v>364945</v>
      </c>
      <c r="K151">
        <v>20230207</v>
      </c>
      <c r="L151" t="s">
        <v>5165</v>
      </c>
      <c r="M151">
        <v>0</v>
      </c>
      <c r="N151">
        <v>2</v>
      </c>
      <c r="O151" t="s">
        <v>19</v>
      </c>
      <c r="P151" t="s">
        <v>20</v>
      </c>
      <c r="Q151">
        <v>20230207</v>
      </c>
    </row>
    <row r="152" spans="1:17" x14ac:dyDescent="0.25">
      <c r="A152" t="s">
        <v>548</v>
      </c>
      <c r="B152" t="s">
        <v>429</v>
      </c>
      <c r="C152">
        <v>6</v>
      </c>
      <c r="D152">
        <v>20230207</v>
      </c>
      <c r="E152">
        <v>2</v>
      </c>
      <c r="F152">
        <v>411100</v>
      </c>
      <c r="G152" t="s">
        <v>18</v>
      </c>
      <c r="H152" t="s">
        <v>657</v>
      </c>
      <c r="I152" t="s">
        <v>658</v>
      </c>
      <c r="J152">
        <v>364946</v>
      </c>
      <c r="K152">
        <v>20230207</v>
      </c>
      <c r="L152" t="s">
        <v>5166</v>
      </c>
      <c r="M152">
        <v>0</v>
      </c>
      <c r="N152">
        <v>2</v>
      </c>
      <c r="O152" t="s">
        <v>19</v>
      </c>
      <c r="P152" t="s">
        <v>20</v>
      </c>
      <c r="Q152">
        <v>20230207</v>
      </c>
    </row>
    <row r="153" spans="1:17" x14ac:dyDescent="0.25">
      <c r="A153" t="s">
        <v>548</v>
      </c>
      <c r="B153" t="s">
        <v>429</v>
      </c>
      <c r="C153">
        <v>6</v>
      </c>
      <c r="D153">
        <v>20230207</v>
      </c>
      <c r="E153">
        <v>2</v>
      </c>
      <c r="F153">
        <v>411100</v>
      </c>
      <c r="G153" t="s">
        <v>18</v>
      </c>
      <c r="H153" t="s">
        <v>5167</v>
      </c>
      <c r="I153" t="s">
        <v>5168</v>
      </c>
      <c r="J153">
        <v>364947</v>
      </c>
      <c r="K153">
        <v>20230207</v>
      </c>
      <c r="L153" t="s">
        <v>5169</v>
      </c>
      <c r="M153">
        <v>0</v>
      </c>
      <c r="N153">
        <v>10</v>
      </c>
      <c r="O153" t="s">
        <v>19</v>
      </c>
      <c r="P153" t="s">
        <v>20</v>
      </c>
      <c r="Q153">
        <v>20230207</v>
      </c>
    </row>
    <row r="154" spans="1:17" x14ac:dyDescent="0.25">
      <c r="A154" t="s">
        <v>548</v>
      </c>
      <c r="B154" t="s">
        <v>429</v>
      </c>
      <c r="C154">
        <v>6</v>
      </c>
      <c r="D154">
        <v>20230207</v>
      </c>
      <c r="E154">
        <v>2</v>
      </c>
      <c r="F154">
        <v>531105</v>
      </c>
      <c r="G154" t="s">
        <v>429</v>
      </c>
      <c r="H154" t="s">
        <v>401</v>
      </c>
      <c r="I154" t="s">
        <v>402</v>
      </c>
      <c r="J154">
        <v>364948</v>
      </c>
      <c r="K154">
        <v>20230207</v>
      </c>
      <c r="L154" t="s">
        <v>565</v>
      </c>
      <c r="M154">
        <v>344.2</v>
      </c>
      <c r="N154">
        <v>0</v>
      </c>
      <c r="O154" t="s">
        <v>19</v>
      </c>
      <c r="P154" t="s">
        <v>20</v>
      </c>
      <c r="Q154">
        <v>20230207</v>
      </c>
    </row>
    <row r="155" spans="1:17" x14ac:dyDescent="0.25">
      <c r="A155" t="s">
        <v>548</v>
      </c>
      <c r="B155" t="s">
        <v>429</v>
      </c>
      <c r="C155">
        <v>6</v>
      </c>
      <c r="D155">
        <v>20230208</v>
      </c>
      <c r="E155">
        <v>2</v>
      </c>
      <c r="F155">
        <v>467100</v>
      </c>
      <c r="G155" t="s">
        <v>160</v>
      </c>
      <c r="H155" t="s">
        <v>626</v>
      </c>
      <c r="I155" t="s">
        <v>627</v>
      </c>
      <c r="J155" t="s">
        <v>5170</v>
      </c>
      <c r="K155">
        <v>20230208</v>
      </c>
      <c r="L155" t="s">
        <v>5171</v>
      </c>
      <c r="M155">
        <v>15.05</v>
      </c>
      <c r="N155">
        <v>0</v>
      </c>
      <c r="O155" t="s">
        <v>23</v>
      </c>
      <c r="P155">
        <v>20230314</v>
      </c>
      <c r="Q155">
        <v>20230208</v>
      </c>
    </row>
    <row r="156" spans="1:17" x14ac:dyDescent="0.25">
      <c r="A156" t="s">
        <v>548</v>
      </c>
      <c r="B156" t="s">
        <v>429</v>
      </c>
      <c r="C156">
        <v>6</v>
      </c>
      <c r="D156">
        <v>20230208</v>
      </c>
      <c r="E156">
        <v>2</v>
      </c>
      <c r="F156">
        <v>531105</v>
      </c>
      <c r="G156" t="s">
        <v>429</v>
      </c>
      <c r="H156" t="s">
        <v>401</v>
      </c>
      <c r="I156" t="s">
        <v>402</v>
      </c>
      <c r="J156" t="s">
        <v>5170</v>
      </c>
      <c r="K156">
        <v>20230208</v>
      </c>
      <c r="L156" t="s">
        <v>5171</v>
      </c>
      <c r="M156">
        <v>0</v>
      </c>
      <c r="N156">
        <v>15.05</v>
      </c>
      <c r="O156" t="s">
        <v>19</v>
      </c>
      <c r="P156" t="s">
        <v>20</v>
      </c>
      <c r="Q156">
        <v>20230208</v>
      </c>
    </row>
    <row r="157" spans="1:17" x14ac:dyDescent="0.25">
      <c r="A157" t="s">
        <v>548</v>
      </c>
      <c r="B157" t="s">
        <v>429</v>
      </c>
      <c r="C157">
        <v>6</v>
      </c>
      <c r="D157">
        <v>20230208</v>
      </c>
      <c r="E157">
        <v>2</v>
      </c>
      <c r="F157">
        <v>411100</v>
      </c>
      <c r="G157" t="s">
        <v>18</v>
      </c>
      <c r="H157" t="s">
        <v>196</v>
      </c>
      <c r="I157" t="s">
        <v>197</v>
      </c>
      <c r="J157">
        <v>364949</v>
      </c>
      <c r="K157">
        <v>20230208</v>
      </c>
      <c r="L157" t="s">
        <v>5172</v>
      </c>
      <c r="M157">
        <v>0</v>
      </c>
      <c r="N157">
        <v>3</v>
      </c>
      <c r="O157" t="s">
        <v>22</v>
      </c>
      <c r="P157">
        <v>20230218</v>
      </c>
      <c r="Q157">
        <v>20230208</v>
      </c>
    </row>
    <row r="158" spans="1:17" x14ac:dyDescent="0.25">
      <c r="A158" t="s">
        <v>548</v>
      </c>
      <c r="B158" t="s">
        <v>429</v>
      </c>
      <c r="C158">
        <v>6</v>
      </c>
      <c r="D158">
        <v>20230208</v>
      </c>
      <c r="E158">
        <v>2</v>
      </c>
      <c r="F158">
        <v>531105</v>
      </c>
      <c r="G158" t="s">
        <v>429</v>
      </c>
      <c r="H158" t="s">
        <v>401</v>
      </c>
      <c r="I158" t="s">
        <v>402</v>
      </c>
      <c r="J158">
        <v>364950</v>
      </c>
      <c r="K158">
        <v>20230208</v>
      </c>
      <c r="L158" t="s">
        <v>565</v>
      </c>
      <c r="M158">
        <v>3</v>
      </c>
      <c r="N158">
        <v>0</v>
      </c>
      <c r="O158" t="s">
        <v>19</v>
      </c>
      <c r="P158" t="s">
        <v>20</v>
      </c>
      <c r="Q158">
        <v>20230208</v>
      </c>
    </row>
    <row r="159" spans="1:17" x14ac:dyDescent="0.25">
      <c r="A159" t="s">
        <v>548</v>
      </c>
      <c r="B159" t="s">
        <v>429</v>
      </c>
      <c r="C159">
        <v>6</v>
      </c>
      <c r="D159">
        <v>20230208</v>
      </c>
      <c r="E159">
        <v>2</v>
      </c>
      <c r="F159">
        <v>411100</v>
      </c>
      <c r="G159" t="s">
        <v>18</v>
      </c>
      <c r="H159" t="s">
        <v>2870</v>
      </c>
      <c r="I159" t="s">
        <v>2871</v>
      </c>
      <c r="J159">
        <v>365846</v>
      </c>
      <c r="K159">
        <v>20230208</v>
      </c>
      <c r="L159" t="s">
        <v>5173</v>
      </c>
      <c r="M159">
        <v>0</v>
      </c>
      <c r="N159">
        <v>10</v>
      </c>
      <c r="O159" t="s">
        <v>19</v>
      </c>
      <c r="P159" t="s">
        <v>20</v>
      </c>
      <c r="Q159">
        <v>20230208</v>
      </c>
    </row>
    <row r="160" spans="1:17" x14ac:dyDescent="0.25">
      <c r="A160" t="s">
        <v>548</v>
      </c>
      <c r="B160" t="s">
        <v>429</v>
      </c>
      <c r="C160">
        <v>6</v>
      </c>
      <c r="D160">
        <v>20230208</v>
      </c>
      <c r="E160">
        <v>2</v>
      </c>
      <c r="F160">
        <v>411100</v>
      </c>
      <c r="G160" t="s">
        <v>18</v>
      </c>
      <c r="H160" t="s">
        <v>5174</v>
      </c>
      <c r="I160" t="s">
        <v>5175</v>
      </c>
      <c r="J160" t="s">
        <v>5176</v>
      </c>
      <c r="K160">
        <v>20230208</v>
      </c>
      <c r="L160" t="s">
        <v>5177</v>
      </c>
      <c r="M160">
        <v>0</v>
      </c>
      <c r="N160">
        <v>10</v>
      </c>
      <c r="O160" t="s">
        <v>19</v>
      </c>
      <c r="P160" t="s">
        <v>20</v>
      </c>
      <c r="Q160">
        <v>20230208</v>
      </c>
    </row>
    <row r="161" spans="1:17" x14ac:dyDescent="0.25">
      <c r="A161" t="s">
        <v>548</v>
      </c>
      <c r="B161" t="s">
        <v>429</v>
      </c>
      <c r="C161">
        <v>6</v>
      </c>
      <c r="D161">
        <v>20230208</v>
      </c>
      <c r="E161">
        <v>2</v>
      </c>
      <c r="F161">
        <v>531105</v>
      </c>
      <c r="G161" t="s">
        <v>429</v>
      </c>
      <c r="H161" t="s">
        <v>401</v>
      </c>
      <c r="I161" t="s">
        <v>402</v>
      </c>
      <c r="J161">
        <v>365848</v>
      </c>
      <c r="K161">
        <v>20230208</v>
      </c>
      <c r="L161" t="s">
        <v>565</v>
      </c>
      <c r="M161">
        <v>20</v>
      </c>
      <c r="N161">
        <v>0</v>
      </c>
      <c r="O161" t="s">
        <v>19</v>
      </c>
      <c r="P161" t="s">
        <v>20</v>
      </c>
      <c r="Q161">
        <v>20230208</v>
      </c>
    </row>
    <row r="162" spans="1:17" x14ac:dyDescent="0.25">
      <c r="A162" t="s">
        <v>548</v>
      </c>
      <c r="B162" t="s">
        <v>429</v>
      </c>
      <c r="C162">
        <v>6</v>
      </c>
      <c r="D162">
        <v>20230209</v>
      </c>
      <c r="E162">
        <v>2</v>
      </c>
      <c r="F162">
        <v>467100</v>
      </c>
      <c r="G162" t="s">
        <v>160</v>
      </c>
      <c r="H162" t="s">
        <v>1201</v>
      </c>
      <c r="I162" t="s">
        <v>1202</v>
      </c>
      <c r="J162" t="s">
        <v>5178</v>
      </c>
      <c r="K162">
        <v>20230209</v>
      </c>
      <c r="L162" t="s">
        <v>5179</v>
      </c>
      <c r="M162">
        <v>26.36</v>
      </c>
      <c r="N162">
        <v>0</v>
      </c>
      <c r="O162" t="s">
        <v>23</v>
      </c>
      <c r="P162">
        <v>20230308</v>
      </c>
      <c r="Q162">
        <v>20230209</v>
      </c>
    </row>
    <row r="163" spans="1:17" x14ac:dyDescent="0.25">
      <c r="A163" t="s">
        <v>548</v>
      </c>
      <c r="B163" t="s">
        <v>429</v>
      </c>
      <c r="C163">
        <v>6</v>
      </c>
      <c r="D163">
        <v>20230209</v>
      </c>
      <c r="E163">
        <v>2</v>
      </c>
      <c r="F163">
        <v>531105</v>
      </c>
      <c r="G163" t="s">
        <v>429</v>
      </c>
      <c r="H163" t="s">
        <v>401</v>
      </c>
      <c r="I163" t="s">
        <v>402</v>
      </c>
      <c r="J163" t="s">
        <v>5178</v>
      </c>
      <c r="K163">
        <v>20230209</v>
      </c>
      <c r="L163" t="s">
        <v>5179</v>
      </c>
      <c r="M163">
        <v>0</v>
      </c>
      <c r="N163">
        <v>26.36</v>
      </c>
      <c r="O163" t="s">
        <v>19</v>
      </c>
      <c r="P163" t="s">
        <v>20</v>
      </c>
      <c r="Q163">
        <v>20230209</v>
      </c>
    </row>
    <row r="164" spans="1:17" x14ac:dyDescent="0.25">
      <c r="A164" t="s">
        <v>548</v>
      </c>
      <c r="B164" t="s">
        <v>429</v>
      </c>
      <c r="C164">
        <v>6</v>
      </c>
      <c r="D164">
        <v>20230209</v>
      </c>
      <c r="E164">
        <v>2</v>
      </c>
      <c r="F164">
        <v>411100</v>
      </c>
      <c r="G164" t="s">
        <v>18</v>
      </c>
      <c r="H164" t="s">
        <v>1172</v>
      </c>
      <c r="I164" t="s">
        <v>1173</v>
      </c>
      <c r="J164">
        <v>366122</v>
      </c>
      <c r="K164">
        <v>20230209</v>
      </c>
      <c r="L164" t="s">
        <v>5180</v>
      </c>
      <c r="M164">
        <v>0</v>
      </c>
      <c r="N164">
        <v>3.5</v>
      </c>
      <c r="O164" t="s">
        <v>19</v>
      </c>
      <c r="P164" t="s">
        <v>20</v>
      </c>
      <c r="Q164">
        <v>20230209</v>
      </c>
    </row>
    <row r="165" spans="1:17" x14ac:dyDescent="0.25">
      <c r="A165" t="s">
        <v>548</v>
      </c>
      <c r="B165" t="s">
        <v>429</v>
      </c>
      <c r="C165">
        <v>6</v>
      </c>
      <c r="D165">
        <v>20230209</v>
      </c>
      <c r="E165">
        <v>2</v>
      </c>
      <c r="F165">
        <v>411100</v>
      </c>
      <c r="G165" t="s">
        <v>18</v>
      </c>
      <c r="H165" t="s">
        <v>1172</v>
      </c>
      <c r="I165" t="s">
        <v>1173</v>
      </c>
      <c r="J165">
        <v>366123</v>
      </c>
      <c r="K165">
        <v>20230209</v>
      </c>
      <c r="L165" t="s">
        <v>5181</v>
      </c>
      <c r="M165">
        <v>0</v>
      </c>
      <c r="N165">
        <v>3.5</v>
      </c>
      <c r="O165" t="s">
        <v>19</v>
      </c>
      <c r="P165" t="s">
        <v>20</v>
      </c>
      <c r="Q165">
        <v>20230209</v>
      </c>
    </row>
    <row r="166" spans="1:17" x14ac:dyDescent="0.25">
      <c r="A166" t="s">
        <v>548</v>
      </c>
      <c r="B166" t="s">
        <v>429</v>
      </c>
      <c r="C166">
        <v>6</v>
      </c>
      <c r="D166">
        <v>20230209</v>
      </c>
      <c r="E166">
        <v>2</v>
      </c>
      <c r="F166">
        <v>411100</v>
      </c>
      <c r="G166" t="s">
        <v>18</v>
      </c>
      <c r="H166" t="s">
        <v>150</v>
      </c>
      <c r="I166" t="s">
        <v>151</v>
      </c>
      <c r="J166">
        <v>366124</v>
      </c>
      <c r="K166">
        <v>20230209</v>
      </c>
      <c r="L166" t="s">
        <v>5182</v>
      </c>
      <c r="M166">
        <v>0</v>
      </c>
      <c r="N166">
        <v>3.5</v>
      </c>
      <c r="O166" t="s">
        <v>19</v>
      </c>
      <c r="P166" t="s">
        <v>20</v>
      </c>
      <c r="Q166">
        <v>20230209</v>
      </c>
    </row>
    <row r="167" spans="1:17" x14ac:dyDescent="0.25">
      <c r="A167" t="s">
        <v>548</v>
      </c>
      <c r="B167" t="s">
        <v>429</v>
      </c>
      <c r="C167">
        <v>6</v>
      </c>
      <c r="D167">
        <v>20230209</v>
      </c>
      <c r="E167">
        <v>2</v>
      </c>
      <c r="F167">
        <v>411100</v>
      </c>
      <c r="G167" t="s">
        <v>18</v>
      </c>
      <c r="H167" t="s">
        <v>73</v>
      </c>
      <c r="I167" t="s">
        <v>74</v>
      </c>
      <c r="J167">
        <v>366125</v>
      </c>
      <c r="K167">
        <v>20230209</v>
      </c>
      <c r="L167" t="s">
        <v>5183</v>
      </c>
      <c r="M167">
        <v>0</v>
      </c>
      <c r="N167">
        <v>7</v>
      </c>
      <c r="O167" t="s">
        <v>19</v>
      </c>
      <c r="P167" t="s">
        <v>20</v>
      </c>
      <c r="Q167">
        <v>20230209</v>
      </c>
    </row>
    <row r="168" spans="1:17" x14ac:dyDescent="0.25">
      <c r="A168" t="s">
        <v>548</v>
      </c>
      <c r="B168" t="s">
        <v>429</v>
      </c>
      <c r="C168">
        <v>6</v>
      </c>
      <c r="D168">
        <v>20230209</v>
      </c>
      <c r="E168">
        <v>2</v>
      </c>
      <c r="F168">
        <v>411100</v>
      </c>
      <c r="G168" t="s">
        <v>18</v>
      </c>
      <c r="H168" t="s">
        <v>154</v>
      </c>
      <c r="I168" t="s">
        <v>155</v>
      </c>
      <c r="J168">
        <v>366126</v>
      </c>
      <c r="K168">
        <v>20230209</v>
      </c>
      <c r="L168" t="s">
        <v>5184</v>
      </c>
      <c r="M168">
        <v>0</v>
      </c>
      <c r="N168">
        <v>3.5</v>
      </c>
      <c r="O168" t="s">
        <v>19</v>
      </c>
      <c r="P168" t="s">
        <v>20</v>
      </c>
      <c r="Q168">
        <v>20230209</v>
      </c>
    </row>
    <row r="169" spans="1:17" x14ac:dyDescent="0.25">
      <c r="A169" t="s">
        <v>548</v>
      </c>
      <c r="B169" t="s">
        <v>429</v>
      </c>
      <c r="C169">
        <v>6</v>
      </c>
      <c r="D169">
        <v>20230209</v>
      </c>
      <c r="E169">
        <v>2</v>
      </c>
      <c r="F169">
        <v>411100</v>
      </c>
      <c r="G169" t="s">
        <v>18</v>
      </c>
      <c r="H169" t="s">
        <v>3901</v>
      </c>
      <c r="I169" t="s">
        <v>3902</v>
      </c>
      <c r="J169">
        <v>366127</v>
      </c>
      <c r="K169">
        <v>20230209</v>
      </c>
      <c r="L169" t="s">
        <v>5185</v>
      </c>
      <c r="M169">
        <v>0</v>
      </c>
      <c r="N169">
        <v>3.5</v>
      </c>
      <c r="O169" t="s">
        <v>19</v>
      </c>
      <c r="P169" t="s">
        <v>20</v>
      </c>
      <c r="Q169">
        <v>20230209</v>
      </c>
    </row>
    <row r="170" spans="1:17" x14ac:dyDescent="0.25">
      <c r="A170" t="s">
        <v>548</v>
      </c>
      <c r="B170" t="s">
        <v>429</v>
      </c>
      <c r="C170">
        <v>6</v>
      </c>
      <c r="D170">
        <v>20230209</v>
      </c>
      <c r="E170">
        <v>2</v>
      </c>
      <c r="F170">
        <v>411100</v>
      </c>
      <c r="G170" t="s">
        <v>18</v>
      </c>
      <c r="H170" t="s">
        <v>1911</v>
      </c>
      <c r="I170" t="s">
        <v>1912</v>
      </c>
      <c r="J170">
        <v>366128</v>
      </c>
      <c r="K170">
        <v>20230209</v>
      </c>
      <c r="L170" t="s">
        <v>5186</v>
      </c>
      <c r="M170">
        <v>0</v>
      </c>
      <c r="N170">
        <v>7</v>
      </c>
      <c r="O170" t="s">
        <v>19</v>
      </c>
      <c r="P170" t="s">
        <v>20</v>
      </c>
      <c r="Q170">
        <v>20230209</v>
      </c>
    </row>
    <row r="171" spans="1:17" x14ac:dyDescent="0.25">
      <c r="A171" t="s">
        <v>548</v>
      </c>
      <c r="B171" t="s">
        <v>429</v>
      </c>
      <c r="C171">
        <v>6</v>
      </c>
      <c r="D171">
        <v>20230209</v>
      </c>
      <c r="E171">
        <v>2</v>
      </c>
      <c r="F171">
        <v>411100</v>
      </c>
      <c r="G171" t="s">
        <v>18</v>
      </c>
      <c r="H171" t="s">
        <v>81</v>
      </c>
      <c r="I171" t="s">
        <v>82</v>
      </c>
      <c r="J171">
        <v>366129</v>
      </c>
      <c r="K171">
        <v>20230209</v>
      </c>
      <c r="L171" t="s">
        <v>5187</v>
      </c>
      <c r="M171">
        <v>0</v>
      </c>
      <c r="N171">
        <v>3.5</v>
      </c>
      <c r="O171" t="s">
        <v>19</v>
      </c>
      <c r="P171" t="s">
        <v>20</v>
      </c>
      <c r="Q171">
        <v>20230209</v>
      </c>
    </row>
    <row r="172" spans="1:17" x14ac:dyDescent="0.25">
      <c r="A172" t="s">
        <v>548</v>
      </c>
      <c r="B172" t="s">
        <v>429</v>
      </c>
      <c r="C172">
        <v>6</v>
      </c>
      <c r="D172">
        <v>20230209</v>
      </c>
      <c r="E172">
        <v>2</v>
      </c>
      <c r="F172">
        <v>411100</v>
      </c>
      <c r="G172" t="s">
        <v>18</v>
      </c>
      <c r="H172" t="s">
        <v>800</v>
      </c>
      <c r="I172" t="s">
        <v>801</v>
      </c>
      <c r="J172">
        <v>366130</v>
      </c>
      <c r="K172">
        <v>20230209</v>
      </c>
      <c r="L172" t="s">
        <v>5188</v>
      </c>
      <c r="M172">
        <v>0</v>
      </c>
      <c r="N172">
        <v>2</v>
      </c>
      <c r="O172" t="s">
        <v>19</v>
      </c>
      <c r="P172" t="s">
        <v>20</v>
      </c>
      <c r="Q172">
        <v>20230209</v>
      </c>
    </row>
    <row r="173" spans="1:17" x14ac:dyDescent="0.25">
      <c r="A173" t="s">
        <v>548</v>
      </c>
      <c r="B173" t="s">
        <v>429</v>
      </c>
      <c r="C173">
        <v>6</v>
      </c>
      <c r="D173">
        <v>20230209</v>
      </c>
      <c r="E173">
        <v>2</v>
      </c>
      <c r="F173">
        <v>411100</v>
      </c>
      <c r="G173" t="s">
        <v>18</v>
      </c>
      <c r="H173" t="s">
        <v>5189</v>
      </c>
      <c r="I173" t="s">
        <v>5190</v>
      </c>
      <c r="J173">
        <v>366131</v>
      </c>
      <c r="K173">
        <v>20230209</v>
      </c>
      <c r="L173" t="s">
        <v>5191</v>
      </c>
      <c r="M173">
        <v>0</v>
      </c>
      <c r="N173">
        <v>2</v>
      </c>
      <c r="O173" t="s">
        <v>19</v>
      </c>
      <c r="P173" t="s">
        <v>20</v>
      </c>
      <c r="Q173">
        <v>20230209</v>
      </c>
    </row>
    <row r="174" spans="1:17" x14ac:dyDescent="0.25">
      <c r="A174" t="s">
        <v>548</v>
      </c>
      <c r="B174" t="s">
        <v>429</v>
      </c>
      <c r="C174">
        <v>6</v>
      </c>
      <c r="D174">
        <v>20230209</v>
      </c>
      <c r="E174">
        <v>2</v>
      </c>
      <c r="F174">
        <v>411100</v>
      </c>
      <c r="G174" t="s">
        <v>18</v>
      </c>
      <c r="H174" t="s">
        <v>5192</v>
      </c>
      <c r="I174" t="s">
        <v>5193</v>
      </c>
      <c r="J174">
        <v>366132</v>
      </c>
      <c r="K174">
        <v>20230209</v>
      </c>
      <c r="L174" t="s">
        <v>5194</v>
      </c>
      <c r="M174">
        <v>0</v>
      </c>
      <c r="N174">
        <v>2</v>
      </c>
      <c r="O174" t="s">
        <v>19</v>
      </c>
      <c r="P174" t="s">
        <v>20</v>
      </c>
      <c r="Q174">
        <v>20230209</v>
      </c>
    </row>
    <row r="175" spans="1:17" x14ac:dyDescent="0.25">
      <c r="A175" t="s">
        <v>548</v>
      </c>
      <c r="B175" t="s">
        <v>429</v>
      </c>
      <c r="C175">
        <v>6</v>
      </c>
      <c r="D175">
        <v>20230209</v>
      </c>
      <c r="E175">
        <v>2</v>
      </c>
      <c r="F175">
        <v>411100</v>
      </c>
      <c r="G175" t="s">
        <v>18</v>
      </c>
      <c r="H175" t="s">
        <v>5195</v>
      </c>
      <c r="I175" t="s">
        <v>5196</v>
      </c>
      <c r="J175">
        <v>366133</v>
      </c>
      <c r="K175">
        <v>20230209</v>
      </c>
      <c r="L175" t="s">
        <v>5197</v>
      </c>
      <c r="M175">
        <v>0</v>
      </c>
      <c r="N175">
        <v>2</v>
      </c>
      <c r="O175" t="s">
        <v>19</v>
      </c>
      <c r="P175" t="s">
        <v>20</v>
      </c>
      <c r="Q175">
        <v>20230209</v>
      </c>
    </row>
    <row r="176" spans="1:17" x14ac:dyDescent="0.25">
      <c r="A176" t="s">
        <v>548</v>
      </c>
      <c r="B176" t="s">
        <v>429</v>
      </c>
      <c r="C176">
        <v>6</v>
      </c>
      <c r="D176">
        <v>20230209</v>
      </c>
      <c r="E176">
        <v>2</v>
      </c>
      <c r="F176">
        <v>411100</v>
      </c>
      <c r="G176" t="s">
        <v>18</v>
      </c>
      <c r="H176" t="s">
        <v>941</v>
      </c>
      <c r="I176" t="s">
        <v>942</v>
      </c>
      <c r="J176">
        <v>122110119</v>
      </c>
      <c r="K176">
        <v>20230209</v>
      </c>
      <c r="L176" t="s">
        <v>5198</v>
      </c>
      <c r="M176">
        <v>0</v>
      </c>
      <c r="N176">
        <v>29.22</v>
      </c>
      <c r="O176" t="s">
        <v>19</v>
      </c>
      <c r="P176" t="s">
        <v>20</v>
      </c>
      <c r="Q176">
        <v>20230209</v>
      </c>
    </row>
    <row r="177" spans="1:17" x14ac:dyDescent="0.25">
      <c r="A177" t="s">
        <v>548</v>
      </c>
      <c r="B177" t="s">
        <v>429</v>
      </c>
      <c r="C177">
        <v>6</v>
      </c>
      <c r="D177">
        <v>20230209</v>
      </c>
      <c r="E177">
        <v>2</v>
      </c>
      <c r="F177">
        <v>411100</v>
      </c>
      <c r="G177" t="s">
        <v>18</v>
      </c>
      <c r="H177" t="s">
        <v>150</v>
      </c>
      <c r="I177" t="s">
        <v>151</v>
      </c>
      <c r="J177">
        <v>366135</v>
      </c>
      <c r="K177">
        <v>20230209</v>
      </c>
      <c r="L177" t="s">
        <v>5199</v>
      </c>
      <c r="M177">
        <v>0</v>
      </c>
      <c r="N177">
        <v>3.5</v>
      </c>
      <c r="O177" t="s">
        <v>19</v>
      </c>
      <c r="P177" t="s">
        <v>20</v>
      </c>
      <c r="Q177">
        <v>20230209</v>
      </c>
    </row>
    <row r="178" spans="1:17" x14ac:dyDescent="0.25">
      <c r="A178" t="s">
        <v>548</v>
      </c>
      <c r="B178" t="s">
        <v>429</v>
      </c>
      <c r="C178">
        <v>6</v>
      </c>
      <c r="D178">
        <v>20230209</v>
      </c>
      <c r="E178">
        <v>2</v>
      </c>
      <c r="F178">
        <v>411100</v>
      </c>
      <c r="G178" t="s">
        <v>18</v>
      </c>
      <c r="H178" t="s">
        <v>800</v>
      </c>
      <c r="I178" t="s">
        <v>801</v>
      </c>
      <c r="J178">
        <v>366136</v>
      </c>
      <c r="K178">
        <v>20230209</v>
      </c>
      <c r="L178" t="s">
        <v>5200</v>
      </c>
      <c r="M178">
        <v>0</v>
      </c>
      <c r="N178">
        <v>5</v>
      </c>
      <c r="O178" t="s">
        <v>19</v>
      </c>
      <c r="P178" t="s">
        <v>20</v>
      </c>
      <c r="Q178">
        <v>20230209</v>
      </c>
    </row>
    <row r="179" spans="1:17" x14ac:dyDescent="0.25">
      <c r="A179" t="s">
        <v>548</v>
      </c>
      <c r="B179" t="s">
        <v>429</v>
      </c>
      <c r="C179">
        <v>6</v>
      </c>
      <c r="D179">
        <v>20230209</v>
      </c>
      <c r="E179">
        <v>2</v>
      </c>
      <c r="F179">
        <v>411100</v>
      </c>
      <c r="G179" t="s">
        <v>18</v>
      </c>
      <c r="H179" t="s">
        <v>698</v>
      </c>
      <c r="I179" t="s">
        <v>699</v>
      </c>
      <c r="J179">
        <v>366137</v>
      </c>
      <c r="K179">
        <v>20230209</v>
      </c>
      <c r="L179" t="s">
        <v>5201</v>
      </c>
      <c r="M179">
        <v>0</v>
      </c>
      <c r="N179">
        <v>3.5</v>
      </c>
      <c r="O179" t="s">
        <v>19</v>
      </c>
      <c r="P179" t="s">
        <v>20</v>
      </c>
      <c r="Q179">
        <v>20230209</v>
      </c>
    </row>
    <row r="180" spans="1:17" x14ac:dyDescent="0.25">
      <c r="A180" t="s">
        <v>548</v>
      </c>
      <c r="B180" t="s">
        <v>429</v>
      </c>
      <c r="C180">
        <v>6</v>
      </c>
      <c r="D180">
        <v>20230209</v>
      </c>
      <c r="E180">
        <v>2</v>
      </c>
      <c r="F180">
        <v>411100</v>
      </c>
      <c r="G180" t="s">
        <v>18</v>
      </c>
      <c r="H180" t="s">
        <v>1172</v>
      </c>
      <c r="I180" t="s">
        <v>1173</v>
      </c>
      <c r="J180">
        <v>366138</v>
      </c>
      <c r="K180">
        <v>20230209</v>
      </c>
      <c r="L180" t="s">
        <v>5202</v>
      </c>
      <c r="M180">
        <v>0</v>
      </c>
      <c r="N180">
        <v>3.5</v>
      </c>
      <c r="O180" t="s">
        <v>19</v>
      </c>
      <c r="P180" t="s">
        <v>20</v>
      </c>
      <c r="Q180">
        <v>20230209</v>
      </c>
    </row>
    <row r="181" spans="1:17" x14ac:dyDescent="0.25">
      <c r="A181" t="s">
        <v>548</v>
      </c>
      <c r="B181" t="s">
        <v>429</v>
      </c>
      <c r="C181">
        <v>6</v>
      </c>
      <c r="D181">
        <v>20230209</v>
      </c>
      <c r="E181">
        <v>2</v>
      </c>
      <c r="F181">
        <v>411100</v>
      </c>
      <c r="G181" t="s">
        <v>18</v>
      </c>
      <c r="H181" t="s">
        <v>1172</v>
      </c>
      <c r="I181" t="s">
        <v>1173</v>
      </c>
      <c r="J181">
        <v>366139</v>
      </c>
      <c r="K181">
        <v>20230209</v>
      </c>
      <c r="L181" t="s">
        <v>5203</v>
      </c>
      <c r="M181">
        <v>0</v>
      </c>
      <c r="N181">
        <v>1.5</v>
      </c>
      <c r="O181" t="s">
        <v>19</v>
      </c>
      <c r="P181" t="s">
        <v>20</v>
      </c>
      <c r="Q181">
        <v>20230209</v>
      </c>
    </row>
    <row r="182" spans="1:17" x14ac:dyDescent="0.25">
      <c r="A182" t="s">
        <v>548</v>
      </c>
      <c r="B182" t="s">
        <v>429</v>
      </c>
      <c r="C182">
        <v>6</v>
      </c>
      <c r="D182">
        <v>20230209</v>
      </c>
      <c r="E182">
        <v>2</v>
      </c>
      <c r="F182">
        <v>411100</v>
      </c>
      <c r="G182" t="s">
        <v>18</v>
      </c>
      <c r="H182" t="s">
        <v>73</v>
      </c>
      <c r="I182" t="s">
        <v>74</v>
      </c>
      <c r="J182">
        <v>366140</v>
      </c>
      <c r="K182">
        <v>20230209</v>
      </c>
      <c r="L182" t="s">
        <v>5204</v>
      </c>
      <c r="M182">
        <v>0</v>
      </c>
      <c r="N182">
        <v>5</v>
      </c>
      <c r="O182" t="s">
        <v>19</v>
      </c>
      <c r="P182" t="s">
        <v>20</v>
      </c>
      <c r="Q182">
        <v>20230209</v>
      </c>
    </row>
    <row r="183" spans="1:17" x14ac:dyDescent="0.25">
      <c r="A183" t="s">
        <v>548</v>
      </c>
      <c r="B183" t="s">
        <v>429</v>
      </c>
      <c r="C183">
        <v>6</v>
      </c>
      <c r="D183">
        <v>20230209</v>
      </c>
      <c r="E183">
        <v>2</v>
      </c>
      <c r="F183">
        <v>411100</v>
      </c>
      <c r="G183" t="s">
        <v>18</v>
      </c>
      <c r="H183" t="s">
        <v>5195</v>
      </c>
      <c r="I183" t="s">
        <v>5196</v>
      </c>
      <c r="J183">
        <v>366141</v>
      </c>
      <c r="K183">
        <v>20230209</v>
      </c>
      <c r="L183" t="s">
        <v>5205</v>
      </c>
      <c r="M183">
        <v>0</v>
      </c>
      <c r="N183">
        <v>2</v>
      </c>
      <c r="O183" t="s">
        <v>19</v>
      </c>
      <c r="P183" t="s">
        <v>20</v>
      </c>
      <c r="Q183">
        <v>20230209</v>
      </c>
    </row>
    <row r="184" spans="1:17" x14ac:dyDescent="0.25">
      <c r="A184" t="s">
        <v>548</v>
      </c>
      <c r="B184" t="s">
        <v>429</v>
      </c>
      <c r="C184">
        <v>6</v>
      </c>
      <c r="D184">
        <v>20230209</v>
      </c>
      <c r="E184">
        <v>2</v>
      </c>
      <c r="F184">
        <v>411100</v>
      </c>
      <c r="G184" t="s">
        <v>18</v>
      </c>
      <c r="H184" t="s">
        <v>154</v>
      </c>
      <c r="I184" t="s">
        <v>155</v>
      </c>
      <c r="J184">
        <v>366142</v>
      </c>
      <c r="K184">
        <v>20230209</v>
      </c>
      <c r="L184" t="s">
        <v>5206</v>
      </c>
      <c r="M184">
        <v>0</v>
      </c>
      <c r="N184">
        <v>2</v>
      </c>
      <c r="O184" t="s">
        <v>19</v>
      </c>
      <c r="P184" t="s">
        <v>20</v>
      </c>
      <c r="Q184">
        <v>20230209</v>
      </c>
    </row>
    <row r="185" spans="1:17" x14ac:dyDescent="0.25">
      <c r="A185" t="s">
        <v>548</v>
      </c>
      <c r="B185" t="s">
        <v>429</v>
      </c>
      <c r="C185">
        <v>6</v>
      </c>
      <c r="D185">
        <v>20230209</v>
      </c>
      <c r="E185">
        <v>2</v>
      </c>
      <c r="F185">
        <v>411100</v>
      </c>
      <c r="G185" t="s">
        <v>18</v>
      </c>
      <c r="H185" t="s">
        <v>154</v>
      </c>
      <c r="I185" t="s">
        <v>155</v>
      </c>
      <c r="J185">
        <v>366143</v>
      </c>
      <c r="K185">
        <v>20230209</v>
      </c>
      <c r="L185" t="s">
        <v>5207</v>
      </c>
      <c r="M185">
        <v>0</v>
      </c>
      <c r="N185">
        <v>1.5</v>
      </c>
      <c r="O185" t="s">
        <v>19</v>
      </c>
      <c r="P185" t="s">
        <v>20</v>
      </c>
      <c r="Q185">
        <v>20230209</v>
      </c>
    </row>
    <row r="186" spans="1:17" x14ac:dyDescent="0.25">
      <c r="A186" t="s">
        <v>548</v>
      </c>
      <c r="B186" t="s">
        <v>429</v>
      </c>
      <c r="C186">
        <v>6</v>
      </c>
      <c r="D186">
        <v>20230209</v>
      </c>
      <c r="E186">
        <v>2</v>
      </c>
      <c r="F186">
        <v>411100</v>
      </c>
      <c r="G186" t="s">
        <v>18</v>
      </c>
      <c r="H186" t="s">
        <v>81</v>
      </c>
      <c r="I186" t="s">
        <v>82</v>
      </c>
      <c r="J186">
        <v>366144</v>
      </c>
      <c r="K186">
        <v>20230209</v>
      </c>
      <c r="L186" t="s">
        <v>5208</v>
      </c>
      <c r="M186">
        <v>0</v>
      </c>
      <c r="N186">
        <v>1.5</v>
      </c>
      <c r="O186" t="s">
        <v>19</v>
      </c>
      <c r="P186" t="s">
        <v>20</v>
      </c>
      <c r="Q186">
        <v>20230209</v>
      </c>
    </row>
    <row r="187" spans="1:17" x14ac:dyDescent="0.25">
      <c r="A187" t="s">
        <v>548</v>
      </c>
      <c r="B187" t="s">
        <v>429</v>
      </c>
      <c r="C187">
        <v>6</v>
      </c>
      <c r="D187">
        <v>20230209</v>
      </c>
      <c r="E187">
        <v>2</v>
      </c>
      <c r="F187">
        <v>411100</v>
      </c>
      <c r="G187" t="s">
        <v>18</v>
      </c>
      <c r="H187" t="s">
        <v>1911</v>
      </c>
      <c r="I187" t="s">
        <v>1912</v>
      </c>
      <c r="J187">
        <v>366145</v>
      </c>
      <c r="K187">
        <v>20230209</v>
      </c>
      <c r="L187" t="s">
        <v>5209</v>
      </c>
      <c r="M187">
        <v>0</v>
      </c>
      <c r="N187">
        <v>3</v>
      </c>
      <c r="O187" t="s">
        <v>19</v>
      </c>
      <c r="P187" t="s">
        <v>20</v>
      </c>
      <c r="Q187">
        <v>20230209</v>
      </c>
    </row>
    <row r="188" spans="1:17" x14ac:dyDescent="0.25">
      <c r="A188" t="s">
        <v>548</v>
      </c>
      <c r="B188" t="s">
        <v>429</v>
      </c>
      <c r="C188">
        <v>6</v>
      </c>
      <c r="D188">
        <v>20230209</v>
      </c>
      <c r="E188">
        <v>2</v>
      </c>
      <c r="F188">
        <v>411100</v>
      </c>
      <c r="G188" t="s">
        <v>18</v>
      </c>
      <c r="H188" t="s">
        <v>3901</v>
      </c>
      <c r="I188" t="s">
        <v>3902</v>
      </c>
      <c r="J188">
        <v>366146</v>
      </c>
      <c r="K188">
        <v>20230209</v>
      </c>
      <c r="L188" t="s">
        <v>5210</v>
      </c>
      <c r="M188">
        <v>0</v>
      </c>
      <c r="N188">
        <v>1.5</v>
      </c>
      <c r="O188" t="s">
        <v>19</v>
      </c>
      <c r="P188" t="s">
        <v>20</v>
      </c>
      <c r="Q188">
        <v>20230209</v>
      </c>
    </row>
    <row r="189" spans="1:17" x14ac:dyDescent="0.25">
      <c r="A189" t="s">
        <v>548</v>
      </c>
      <c r="B189" t="s">
        <v>429</v>
      </c>
      <c r="C189">
        <v>6</v>
      </c>
      <c r="D189">
        <v>20230209</v>
      </c>
      <c r="E189">
        <v>2</v>
      </c>
      <c r="F189">
        <v>531105</v>
      </c>
      <c r="G189" t="s">
        <v>429</v>
      </c>
      <c r="H189" t="s">
        <v>401</v>
      </c>
      <c r="I189" t="s">
        <v>402</v>
      </c>
      <c r="J189">
        <v>366147</v>
      </c>
      <c r="K189">
        <v>20230209</v>
      </c>
      <c r="L189" t="s">
        <v>565</v>
      </c>
      <c r="M189">
        <v>105.72</v>
      </c>
      <c r="N189">
        <v>0</v>
      </c>
      <c r="O189" t="s">
        <v>19</v>
      </c>
      <c r="P189" t="s">
        <v>20</v>
      </c>
      <c r="Q189">
        <v>20230209</v>
      </c>
    </row>
    <row r="190" spans="1:17" x14ac:dyDescent="0.25">
      <c r="A190" t="s">
        <v>548</v>
      </c>
      <c r="B190" t="s">
        <v>429</v>
      </c>
      <c r="C190">
        <v>6</v>
      </c>
      <c r="D190">
        <v>20230210</v>
      </c>
      <c r="E190">
        <v>2</v>
      </c>
      <c r="F190">
        <v>467100</v>
      </c>
      <c r="G190" t="s">
        <v>160</v>
      </c>
      <c r="H190" t="s">
        <v>316</v>
      </c>
      <c r="I190" t="s">
        <v>317</v>
      </c>
      <c r="J190" t="s">
        <v>5211</v>
      </c>
      <c r="K190">
        <v>20230210</v>
      </c>
      <c r="L190" t="s">
        <v>5212</v>
      </c>
      <c r="M190">
        <v>300</v>
      </c>
      <c r="N190">
        <v>0</v>
      </c>
      <c r="O190" t="s">
        <v>23</v>
      </c>
      <c r="P190">
        <v>20230316</v>
      </c>
      <c r="Q190">
        <v>20230210</v>
      </c>
    </row>
    <row r="191" spans="1:17" x14ac:dyDescent="0.25">
      <c r="A191" t="s">
        <v>548</v>
      </c>
      <c r="B191" t="s">
        <v>429</v>
      </c>
      <c r="C191">
        <v>6</v>
      </c>
      <c r="D191">
        <v>20230210</v>
      </c>
      <c r="E191">
        <v>2</v>
      </c>
      <c r="F191">
        <v>531105</v>
      </c>
      <c r="G191" t="s">
        <v>429</v>
      </c>
      <c r="H191" t="s">
        <v>401</v>
      </c>
      <c r="I191" t="s">
        <v>402</v>
      </c>
      <c r="J191" t="s">
        <v>5211</v>
      </c>
      <c r="K191">
        <v>20230210</v>
      </c>
      <c r="L191" t="s">
        <v>5212</v>
      </c>
      <c r="M191">
        <v>0</v>
      </c>
      <c r="N191">
        <v>300</v>
      </c>
      <c r="O191" t="s">
        <v>19</v>
      </c>
      <c r="P191" t="s">
        <v>20</v>
      </c>
      <c r="Q191">
        <v>20230210</v>
      </c>
    </row>
    <row r="192" spans="1:17" x14ac:dyDescent="0.25">
      <c r="A192" t="s">
        <v>548</v>
      </c>
      <c r="B192" t="s">
        <v>429</v>
      </c>
      <c r="C192">
        <v>6</v>
      </c>
      <c r="D192">
        <v>20230210</v>
      </c>
      <c r="E192">
        <v>2</v>
      </c>
      <c r="F192">
        <v>411100</v>
      </c>
      <c r="G192" t="s">
        <v>18</v>
      </c>
      <c r="H192" t="s">
        <v>1765</v>
      </c>
      <c r="I192" t="s">
        <v>1766</v>
      </c>
      <c r="J192">
        <v>366148</v>
      </c>
      <c r="K192">
        <v>20230210</v>
      </c>
      <c r="L192" t="s">
        <v>5213</v>
      </c>
      <c r="M192">
        <v>0</v>
      </c>
      <c r="N192">
        <v>7.87</v>
      </c>
      <c r="O192" t="s">
        <v>19</v>
      </c>
      <c r="P192" t="s">
        <v>20</v>
      </c>
      <c r="Q192">
        <v>20230210</v>
      </c>
    </row>
    <row r="193" spans="1:17" x14ac:dyDescent="0.25">
      <c r="A193" t="s">
        <v>548</v>
      </c>
      <c r="B193" t="s">
        <v>429</v>
      </c>
      <c r="C193">
        <v>6</v>
      </c>
      <c r="D193">
        <v>20230210</v>
      </c>
      <c r="E193">
        <v>2</v>
      </c>
      <c r="F193">
        <v>531105</v>
      </c>
      <c r="G193" t="s">
        <v>429</v>
      </c>
      <c r="H193" t="s">
        <v>401</v>
      </c>
      <c r="I193" t="s">
        <v>402</v>
      </c>
      <c r="J193">
        <v>366149</v>
      </c>
      <c r="K193">
        <v>20230210</v>
      </c>
      <c r="L193" t="s">
        <v>565</v>
      </c>
      <c r="M193">
        <v>7.87</v>
      </c>
      <c r="N193">
        <v>0</v>
      </c>
      <c r="O193" t="s">
        <v>19</v>
      </c>
      <c r="P193" t="s">
        <v>20</v>
      </c>
      <c r="Q193">
        <v>20230210</v>
      </c>
    </row>
    <row r="194" spans="1:17" x14ac:dyDescent="0.25">
      <c r="A194" t="s">
        <v>548</v>
      </c>
      <c r="B194" t="s">
        <v>429</v>
      </c>
      <c r="C194">
        <v>6</v>
      </c>
      <c r="D194">
        <v>20230210</v>
      </c>
      <c r="E194">
        <v>2</v>
      </c>
      <c r="F194">
        <v>411010</v>
      </c>
      <c r="G194" t="s">
        <v>87</v>
      </c>
      <c r="H194" t="s">
        <v>363</v>
      </c>
      <c r="I194" t="s">
        <v>364</v>
      </c>
      <c r="J194">
        <v>223010019</v>
      </c>
      <c r="K194">
        <v>20230210</v>
      </c>
      <c r="L194" t="s">
        <v>5214</v>
      </c>
      <c r="M194">
        <v>0</v>
      </c>
      <c r="N194">
        <v>89.15</v>
      </c>
      <c r="O194" t="s">
        <v>22</v>
      </c>
      <c r="P194">
        <v>20230218</v>
      </c>
      <c r="Q194">
        <v>20230210</v>
      </c>
    </row>
    <row r="195" spans="1:17" x14ac:dyDescent="0.25">
      <c r="A195" t="s">
        <v>548</v>
      </c>
      <c r="B195" t="s">
        <v>429</v>
      </c>
      <c r="C195">
        <v>6</v>
      </c>
      <c r="D195">
        <v>20230210</v>
      </c>
      <c r="E195">
        <v>2</v>
      </c>
      <c r="F195">
        <v>411100</v>
      </c>
      <c r="G195" t="s">
        <v>18</v>
      </c>
      <c r="H195" t="s">
        <v>233</v>
      </c>
      <c r="I195" t="s">
        <v>234</v>
      </c>
      <c r="J195">
        <v>222120018</v>
      </c>
      <c r="K195">
        <v>20230210</v>
      </c>
      <c r="L195" t="s">
        <v>5215</v>
      </c>
      <c r="M195">
        <v>0</v>
      </c>
      <c r="N195">
        <v>50</v>
      </c>
      <c r="O195" t="s">
        <v>19</v>
      </c>
      <c r="P195" t="s">
        <v>20</v>
      </c>
      <c r="Q195">
        <v>20230210</v>
      </c>
    </row>
    <row r="196" spans="1:17" x14ac:dyDescent="0.25">
      <c r="A196" t="s">
        <v>548</v>
      </c>
      <c r="B196" t="s">
        <v>429</v>
      </c>
      <c r="C196">
        <v>6</v>
      </c>
      <c r="D196">
        <v>20230210</v>
      </c>
      <c r="E196">
        <v>2</v>
      </c>
      <c r="F196">
        <v>531105</v>
      </c>
      <c r="G196" t="s">
        <v>429</v>
      </c>
      <c r="H196" t="s">
        <v>401</v>
      </c>
      <c r="I196" t="s">
        <v>402</v>
      </c>
      <c r="J196">
        <v>366203</v>
      </c>
      <c r="K196">
        <v>20230210</v>
      </c>
      <c r="L196" t="s">
        <v>565</v>
      </c>
      <c r="M196">
        <v>139.15</v>
      </c>
      <c r="N196">
        <v>0</v>
      </c>
      <c r="O196" t="s">
        <v>19</v>
      </c>
      <c r="P196" t="s">
        <v>20</v>
      </c>
      <c r="Q196">
        <v>20230210</v>
      </c>
    </row>
    <row r="197" spans="1:17" x14ac:dyDescent="0.25">
      <c r="A197" t="s">
        <v>548</v>
      </c>
      <c r="B197" t="s">
        <v>429</v>
      </c>
      <c r="C197">
        <v>6</v>
      </c>
      <c r="D197">
        <v>20230210</v>
      </c>
      <c r="E197">
        <v>2</v>
      </c>
      <c r="F197">
        <v>411020</v>
      </c>
      <c r="G197" t="s">
        <v>30</v>
      </c>
      <c r="H197" t="s">
        <v>4147</v>
      </c>
      <c r="I197" t="s">
        <v>4148</v>
      </c>
      <c r="J197">
        <v>323010016</v>
      </c>
      <c r="K197">
        <v>20230210</v>
      </c>
      <c r="L197" t="s">
        <v>5216</v>
      </c>
      <c r="M197">
        <v>0</v>
      </c>
      <c r="N197">
        <v>43.32</v>
      </c>
      <c r="O197" t="s">
        <v>22</v>
      </c>
      <c r="P197">
        <v>20230218</v>
      </c>
      <c r="Q197">
        <v>20230210</v>
      </c>
    </row>
    <row r="198" spans="1:17" x14ac:dyDescent="0.25">
      <c r="A198" t="s">
        <v>548</v>
      </c>
      <c r="B198" t="s">
        <v>429</v>
      </c>
      <c r="C198">
        <v>6</v>
      </c>
      <c r="D198">
        <v>20230210</v>
      </c>
      <c r="E198">
        <v>2</v>
      </c>
      <c r="F198">
        <v>531105</v>
      </c>
      <c r="G198" t="s">
        <v>429</v>
      </c>
      <c r="H198" t="s">
        <v>401</v>
      </c>
      <c r="I198" t="s">
        <v>402</v>
      </c>
      <c r="J198">
        <v>366222</v>
      </c>
      <c r="K198">
        <v>20230210</v>
      </c>
      <c r="L198" t="s">
        <v>565</v>
      </c>
      <c r="M198">
        <v>43.32</v>
      </c>
      <c r="N198">
        <v>0</v>
      </c>
      <c r="O198" t="s">
        <v>19</v>
      </c>
      <c r="P198" t="s">
        <v>20</v>
      </c>
      <c r="Q198">
        <v>20230210</v>
      </c>
    </row>
    <row r="199" spans="1:17" x14ac:dyDescent="0.25">
      <c r="A199" t="s">
        <v>548</v>
      </c>
      <c r="B199" t="s">
        <v>429</v>
      </c>
      <c r="C199">
        <v>6</v>
      </c>
      <c r="D199">
        <v>20230213</v>
      </c>
      <c r="E199">
        <v>2</v>
      </c>
      <c r="F199">
        <v>467100</v>
      </c>
      <c r="G199" t="s">
        <v>160</v>
      </c>
      <c r="H199" t="s">
        <v>2465</v>
      </c>
      <c r="I199" t="s">
        <v>2466</v>
      </c>
      <c r="J199" t="s">
        <v>5217</v>
      </c>
      <c r="K199">
        <v>20230213</v>
      </c>
      <c r="L199" t="s">
        <v>5218</v>
      </c>
      <c r="M199">
        <v>48</v>
      </c>
      <c r="N199">
        <v>0</v>
      </c>
      <c r="O199" t="s">
        <v>23</v>
      </c>
      <c r="P199">
        <v>20230306</v>
      </c>
      <c r="Q199">
        <v>20230213</v>
      </c>
    </row>
    <row r="200" spans="1:17" x14ac:dyDescent="0.25">
      <c r="A200" t="s">
        <v>548</v>
      </c>
      <c r="B200" t="s">
        <v>429</v>
      </c>
      <c r="C200">
        <v>6</v>
      </c>
      <c r="D200">
        <v>20230213</v>
      </c>
      <c r="E200">
        <v>2</v>
      </c>
      <c r="F200">
        <v>531105</v>
      </c>
      <c r="G200" t="s">
        <v>429</v>
      </c>
      <c r="H200" t="s">
        <v>401</v>
      </c>
      <c r="I200" t="s">
        <v>402</v>
      </c>
      <c r="J200" t="s">
        <v>5217</v>
      </c>
      <c r="K200">
        <v>20230213</v>
      </c>
      <c r="L200" t="s">
        <v>5218</v>
      </c>
      <c r="M200">
        <v>0</v>
      </c>
      <c r="N200">
        <v>48</v>
      </c>
      <c r="O200" t="s">
        <v>19</v>
      </c>
      <c r="P200" t="s">
        <v>20</v>
      </c>
      <c r="Q200">
        <v>20230213</v>
      </c>
    </row>
    <row r="201" spans="1:17" x14ac:dyDescent="0.25">
      <c r="A201" t="s">
        <v>548</v>
      </c>
      <c r="B201" t="s">
        <v>429</v>
      </c>
      <c r="C201">
        <v>6</v>
      </c>
      <c r="D201">
        <v>20230213</v>
      </c>
      <c r="E201">
        <v>2</v>
      </c>
      <c r="F201">
        <v>411000</v>
      </c>
      <c r="G201" t="s">
        <v>21</v>
      </c>
      <c r="H201" t="s">
        <v>271</v>
      </c>
      <c r="I201" t="s">
        <v>272</v>
      </c>
      <c r="J201">
        <v>366150</v>
      </c>
      <c r="K201">
        <v>20230213</v>
      </c>
      <c r="L201" t="s">
        <v>5219</v>
      </c>
      <c r="M201">
        <v>0</v>
      </c>
      <c r="N201">
        <v>9</v>
      </c>
      <c r="O201" t="s">
        <v>19</v>
      </c>
      <c r="P201" t="s">
        <v>20</v>
      </c>
      <c r="Q201">
        <v>20230213</v>
      </c>
    </row>
    <row r="202" spans="1:17" x14ac:dyDescent="0.25">
      <c r="A202" t="s">
        <v>548</v>
      </c>
      <c r="B202" t="s">
        <v>429</v>
      </c>
      <c r="C202">
        <v>6</v>
      </c>
      <c r="D202">
        <v>20230213</v>
      </c>
      <c r="E202">
        <v>2</v>
      </c>
      <c r="F202">
        <v>411100</v>
      </c>
      <c r="G202" t="s">
        <v>18</v>
      </c>
      <c r="H202" t="s">
        <v>3536</v>
      </c>
      <c r="I202" t="s">
        <v>3537</v>
      </c>
      <c r="J202">
        <v>366151</v>
      </c>
      <c r="K202">
        <v>20230213</v>
      </c>
      <c r="L202" t="s">
        <v>5220</v>
      </c>
      <c r="M202">
        <v>0</v>
      </c>
      <c r="N202">
        <v>19.2</v>
      </c>
      <c r="O202" t="s">
        <v>19</v>
      </c>
      <c r="P202" t="s">
        <v>20</v>
      </c>
      <c r="Q202">
        <v>20230213</v>
      </c>
    </row>
    <row r="203" spans="1:17" x14ac:dyDescent="0.25">
      <c r="A203" t="s">
        <v>548</v>
      </c>
      <c r="B203" t="s">
        <v>429</v>
      </c>
      <c r="C203">
        <v>6</v>
      </c>
      <c r="D203">
        <v>20230213</v>
      </c>
      <c r="E203">
        <v>2</v>
      </c>
      <c r="F203">
        <v>411100</v>
      </c>
      <c r="G203" t="s">
        <v>18</v>
      </c>
      <c r="H203" t="s">
        <v>5192</v>
      </c>
      <c r="I203" t="s">
        <v>5193</v>
      </c>
      <c r="J203">
        <v>366152</v>
      </c>
      <c r="K203">
        <v>20230213</v>
      </c>
      <c r="L203" t="s">
        <v>5221</v>
      </c>
      <c r="M203">
        <v>0</v>
      </c>
      <c r="N203">
        <v>3</v>
      </c>
      <c r="O203" t="s">
        <v>19</v>
      </c>
      <c r="P203" t="s">
        <v>20</v>
      </c>
      <c r="Q203">
        <v>20230213</v>
      </c>
    </row>
    <row r="204" spans="1:17" x14ac:dyDescent="0.25">
      <c r="A204" t="s">
        <v>548</v>
      </c>
      <c r="B204" t="s">
        <v>429</v>
      </c>
      <c r="C204">
        <v>6</v>
      </c>
      <c r="D204">
        <v>20230213</v>
      </c>
      <c r="E204">
        <v>2</v>
      </c>
      <c r="F204">
        <v>411100</v>
      </c>
      <c r="G204" t="s">
        <v>18</v>
      </c>
      <c r="H204" t="s">
        <v>5195</v>
      </c>
      <c r="I204" t="s">
        <v>5196</v>
      </c>
      <c r="J204">
        <v>366153</v>
      </c>
      <c r="K204">
        <v>20230213</v>
      </c>
      <c r="L204" t="s">
        <v>5222</v>
      </c>
      <c r="M204">
        <v>0</v>
      </c>
      <c r="N204">
        <v>3</v>
      </c>
      <c r="O204" t="s">
        <v>19</v>
      </c>
      <c r="P204" t="s">
        <v>20</v>
      </c>
      <c r="Q204">
        <v>20230213</v>
      </c>
    </row>
    <row r="205" spans="1:17" x14ac:dyDescent="0.25">
      <c r="A205" t="s">
        <v>548</v>
      </c>
      <c r="B205" t="s">
        <v>429</v>
      </c>
      <c r="C205">
        <v>6</v>
      </c>
      <c r="D205">
        <v>20230213</v>
      </c>
      <c r="E205">
        <v>2</v>
      </c>
      <c r="F205">
        <v>411100</v>
      </c>
      <c r="G205" t="s">
        <v>18</v>
      </c>
      <c r="H205" t="s">
        <v>259</v>
      </c>
      <c r="I205" t="s">
        <v>260</v>
      </c>
      <c r="J205">
        <v>366154</v>
      </c>
      <c r="K205">
        <v>20230213</v>
      </c>
      <c r="L205" t="s">
        <v>5223</v>
      </c>
      <c r="M205">
        <v>0</v>
      </c>
      <c r="N205">
        <v>3</v>
      </c>
      <c r="O205" t="s">
        <v>19</v>
      </c>
      <c r="P205" t="s">
        <v>20</v>
      </c>
      <c r="Q205">
        <v>20230213</v>
      </c>
    </row>
    <row r="206" spans="1:17" x14ac:dyDescent="0.25">
      <c r="A206" t="s">
        <v>548</v>
      </c>
      <c r="B206" t="s">
        <v>429</v>
      </c>
      <c r="C206">
        <v>6</v>
      </c>
      <c r="D206">
        <v>20230213</v>
      </c>
      <c r="E206">
        <v>2</v>
      </c>
      <c r="F206">
        <v>411100</v>
      </c>
      <c r="G206" t="s">
        <v>18</v>
      </c>
      <c r="H206" t="s">
        <v>154</v>
      </c>
      <c r="I206" t="s">
        <v>155</v>
      </c>
      <c r="J206">
        <v>366155</v>
      </c>
      <c r="K206">
        <v>20230213</v>
      </c>
      <c r="L206" t="s">
        <v>5224</v>
      </c>
      <c r="M206">
        <v>0</v>
      </c>
      <c r="N206">
        <v>6</v>
      </c>
      <c r="O206" t="s">
        <v>19</v>
      </c>
      <c r="P206" t="s">
        <v>20</v>
      </c>
      <c r="Q206">
        <v>20230213</v>
      </c>
    </row>
    <row r="207" spans="1:17" x14ac:dyDescent="0.25">
      <c r="A207" t="s">
        <v>548</v>
      </c>
      <c r="B207" t="s">
        <v>429</v>
      </c>
      <c r="C207">
        <v>6</v>
      </c>
      <c r="D207">
        <v>20230213</v>
      </c>
      <c r="E207">
        <v>2</v>
      </c>
      <c r="F207">
        <v>411100</v>
      </c>
      <c r="G207" t="s">
        <v>18</v>
      </c>
      <c r="H207" t="s">
        <v>1911</v>
      </c>
      <c r="I207" t="s">
        <v>1912</v>
      </c>
      <c r="J207">
        <v>366156</v>
      </c>
      <c r="K207">
        <v>20230213</v>
      </c>
      <c r="L207" t="s">
        <v>5225</v>
      </c>
      <c r="M207">
        <v>0</v>
      </c>
      <c r="N207">
        <v>3</v>
      </c>
      <c r="O207" t="s">
        <v>19</v>
      </c>
      <c r="P207" t="s">
        <v>20</v>
      </c>
      <c r="Q207">
        <v>20230213</v>
      </c>
    </row>
    <row r="208" spans="1:17" x14ac:dyDescent="0.25">
      <c r="A208" t="s">
        <v>548</v>
      </c>
      <c r="B208" t="s">
        <v>429</v>
      </c>
      <c r="C208">
        <v>6</v>
      </c>
      <c r="D208">
        <v>20230213</v>
      </c>
      <c r="E208">
        <v>2</v>
      </c>
      <c r="F208">
        <v>411100</v>
      </c>
      <c r="G208" t="s">
        <v>18</v>
      </c>
      <c r="H208" t="s">
        <v>698</v>
      </c>
      <c r="I208" t="s">
        <v>699</v>
      </c>
      <c r="J208">
        <v>366157</v>
      </c>
      <c r="K208">
        <v>20230213</v>
      </c>
      <c r="L208" t="s">
        <v>5226</v>
      </c>
      <c r="M208">
        <v>0</v>
      </c>
      <c r="N208">
        <v>3</v>
      </c>
      <c r="O208" t="s">
        <v>19</v>
      </c>
      <c r="P208" t="s">
        <v>20</v>
      </c>
      <c r="Q208">
        <v>20230213</v>
      </c>
    </row>
    <row r="209" spans="1:17" x14ac:dyDescent="0.25">
      <c r="A209" t="s">
        <v>548</v>
      </c>
      <c r="B209" t="s">
        <v>429</v>
      </c>
      <c r="C209">
        <v>6</v>
      </c>
      <c r="D209">
        <v>20230213</v>
      </c>
      <c r="E209">
        <v>2</v>
      </c>
      <c r="F209">
        <v>411100</v>
      </c>
      <c r="G209" t="s">
        <v>18</v>
      </c>
      <c r="H209" t="s">
        <v>73</v>
      </c>
      <c r="I209" t="s">
        <v>74</v>
      </c>
      <c r="J209">
        <v>366158</v>
      </c>
      <c r="K209">
        <v>20230213</v>
      </c>
      <c r="L209" t="s">
        <v>5227</v>
      </c>
      <c r="M209">
        <v>0</v>
      </c>
      <c r="N209">
        <v>3</v>
      </c>
      <c r="O209" t="s">
        <v>19</v>
      </c>
      <c r="P209" t="s">
        <v>20</v>
      </c>
      <c r="Q209">
        <v>20230213</v>
      </c>
    </row>
    <row r="210" spans="1:17" x14ac:dyDescent="0.25">
      <c r="A210" t="s">
        <v>548</v>
      </c>
      <c r="B210" t="s">
        <v>429</v>
      </c>
      <c r="C210">
        <v>6</v>
      </c>
      <c r="D210">
        <v>20230213</v>
      </c>
      <c r="E210">
        <v>2</v>
      </c>
      <c r="F210">
        <v>411100</v>
      </c>
      <c r="G210" t="s">
        <v>18</v>
      </c>
      <c r="H210" t="s">
        <v>1172</v>
      </c>
      <c r="I210" t="s">
        <v>1173</v>
      </c>
      <c r="J210">
        <v>366159</v>
      </c>
      <c r="K210">
        <v>20230213</v>
      </c>
      <c r="L210" t="s">
        <v>5228</v>
      </c>
      <c r="M210">
        <v>0</v>
      </c>
      <c r="N210">
        <v>3</v>
      </c>
      <c r="O210" t="s">
        <v>19</v>
      </c>
      <c r="P210" t="s">
        <v>20</v>
      </c>
      <c r="Q210">
        <v>20230213</v>
      </c>
    </row>
    <row r="211" spans="1:17" x14ac:dyDescent="0.25">
      <c r="A211" t="s">
        <v>548</v>
      </c>
      <c r="B211" t="s">
        <v>429</v>
      </c>
      <c r="C211">
        <v>6</v>
      </c>
      <c r="D211">
        <v>20230213</v>
      </c>
      <c r="E211">
        <v>2</v>
      </c>
      <c r="F211">
        <v>411100</v>
      </c>
      <c r="G211" t="s">
        <v>18</v>
      </c>
      <c r="H211" t="s">
        <v>800</v>
      </c>
      <c r="I211" t="s">
        <v>801</v>
      </c>
      <c r="J211">
        <v>366160</v>
      </c>
      <c r="K211">
        <v>20230213</v>
      </c>
      <c r="L211" t="s">
        <v>5229</v>
      </c>
      <c r="M211">
        <v>0</v>
      </c>
      <c r="N211">
        <v>3</v>
      </c>
      <c r="O211" t="s">
        <v>19</v>
      </c>
      <c r="P211" t="s">
        <v>20</v>
      </c>
      <c r="Q211">
        <v>20230213</v>
      </c>
    </row>
    <row r="212" spans="1:17" x14ac:dyDescent="0.25">
      <c r="A212" t="s">
        <v>548</v>
      </c>
      <c r="B212" t="s">
        <v>429</v>
      </c>
      <c r="C212">
        <v>6</v>
      </c>
      <c r="D212">
        <v>20230213</v>
      </c>
      <c r="E212">
        <v>2</v>
      </c>
      <c r="F212">
        <v>411100</v>
      </c>
      <c r="G212" t="s">
        <v>18</v>
      </c>
      <c r="H212" t="s">
        <v>800</v>
      </c>
      <c r="I212" t="s">
        <v>801</v>
      </c>
      <c r="J212">
        <v>366161</v>
      </c>
      <c r="K212">
        <v>20230213</v>
      </c>
      <c r="L212" t="s">
        <v>5230</v>
      </c>
      <c r="M212">
        <v>0</v>
      </c>
      <c r="N212">
        <v>3</v>
      </c>
      <c r="O212" t="s">
        <v>19</v>
      </c>
      <c r="P212" t="s">
        <v>20</v>
      </c>
      <c r="Q212">
        <v>20230213</v>
      </c>
    </row>
    <row r="213" spans="1:17" x14ac:dyDescent="0.25">
      <c r="A213" t="s">
        <v>548</v>
      </c>
      <c r="B213" t="s">
        <v>429</v>
      </c>
      <c r="C213">
        <v>6</v>
      </c>
      <c r="D213">
        <v>20230213</v>
      </c>
      <c r="E213">
        <v>2</v>
      </c>
      <c r="F213">
        <v>531105</v>
      </c>
      <c r="G213" t="s">
        <v>429</v>
      </c>
      <c r="H213" t="s">
        <v>401</v>
      </c>
      <c r="I213" t="s">
        <v>402</v>
      </c>
      <c r="J213">
        <v>366162</v>
      </c>
      <c r="K213">
        <v>20230213</v>
      </c>
      <c r="L213" t="s">
        <v>565</v>
      </c>
      <c r="M213">
        <v>61.2</v>
      </c>
      <c r="N213">
        <v>0</v>
      </c>
      <c r="O213" t="s">
        <v>19</v>
      </c>
      <c r="P213" t="s">
        <v>20</v>
      </c>
      <c r="Q213">
        <v>20230213</v>
      </c>
    </row>
    <row r="214" spans="1:17" x14ac:dyDescent="0.25">
      <c r="A214" t="s">
        <v>548</v>
      </c>
      <c r="B214" t="s">
        <v>429</v>
      </c>
      <c r="C214">
        <v>6</v>
      </c>
      <c r="D214">
        <v>20230213</v>
      </c>
      <c r="E214">
        <v>2</v>
      </c>
      <c r="F214">
        <v>411100</v>
      </c>
      <c r="G214" t="s">
        <v>18</v>
      </c>
      <c r="H214" t="s">
        <v>352</v>
      </c>
      <c r="I214" t="s">
        <v>353</v>
      </c>
      <c r="J214">
        <v>223010026</v>
      </c>
      <c r="K214">
        <v>20230213</v>
      </c>
      <c r="L214" t="s">
        <v>5231</v>
      </c>
      <c r="M214">
        <v>0</v>
      </c>
      <c r="N214">
        <v>475.08</v>
      </c>
      <c r="O214" t="s">
        <v>22</v>
      </c>
      <c r="P214">
        <v>20230218</v>
      </c>
      <c r="Q214">
        <v>20230213</v>
      </c>
    </row>
    <row r="215" spans="1:17" x14ac:dyDescent="0.25">
      <c r="A215" t="s">
        <v>548</v>
      </c>
      <c r="B215" t="s">
        <v>429</v>
      </c>
      <c r="C215">
        <v>6</v>
      </c>
      <c r="D215">
        <v>20230213</v>
      </c>
      <c r="E215">
        <v>2</v>
      </c>
      <c r="F215">
        <v>411100</v>
      </c>
      <c r="G215" t="s">
        <v>18</v>
      </c>
      <c r="H215" t="s">
        <v>352</v>
      </c>
      <c r="I215" t="s">
        <v>353</v>
      </c>
      <c r="J215">
        <v>223010026</v>
      </c>
      <c r="K215">
        <v>20230213</v>
      </c>
      <c r="L215" t="s">
        <v>5719</v>
      </c>
      <c r="M215">
        <v>0</v>
      </c>
      <c r="N215">
        <v>4.92</v>
      </c>
      <c r="O215" t="s">
        <v>19</v>
      </c>
      <c r="P215" t="s">
        <v>20</v>
      </c>
      <c r="Q215">
        <v>20230213</v>
      </c>
    </row>
    <row r="216" spans="1:17" x14ac:dyDescent="0.25">
      <c r="A216" t="s">
        <v>548</v>
      </c>
      <c r="B216" t="s">
        <v>429</v>
      </c>
      <c r="C216">
        <v>6</v>
      </c>
      <c r="D216">
        <v>20230213</v>
      </c>
      <c r="E216">
        <v>2</v>
      </c>
      <c r="F216">
        <v>411010</v>
      </c>
      <c r="G216" t="s">
        <v>87</v>
      </c>
      <c r="H216" t="s">
        <v>379</v>
      </c>
      <c r="I216" t="s">
        <v>380</v>
      </c>
      <c r="J216">
        <v>223010028</v>
      </c>
      <c r="K216">
        <v>20230213</v>
      </c>
      <c r="L216" t="s">
        <v>5233</v>
      </c>
      <c r="M216">
        <v>0</v>
      </c>
      <c r="N216">
        <v>20.87</v>
      </c>
      <c r="O216" t="s">
        <v>19</v>
      </c>
      <c r="P216" t="s">
        <v>20</v>
      </c>
      <c r="Q216">
        <v>20230213</v>
      </c>
    </row>
    <row r="217" spans="1:17" x14ac:dyDescent="0.25">
      <c r="A217" t="s">
        <v>548</v>
      </c>
      <c r="B217" t="s">
        <v>429</v>
      </c>
      <c r="C217">
        <v>6</v>
      </c>
      <c r="D217">
        <v>20230213</v>
      </c>
      <c r="E217">
        <v>2</v>
      </c>
      <c r="F217">
        <v>411100</v>
      </c>
      <c r="G217" t="s">
        <v>18</v>
      </c>
      <c r="H217" t="s">
        <v>77</v>
      </c>
      <c r="I217" t="s">
        <v>78</v>
      </c>
      <c r="J217">
        <v>222120017</v>
      </c>
      <c r="K217">
        <v>20230213</v>
      </c>
      <c r="L217" t="s">
        <v>5234</v>
      </c>
      <c r="M217">
        <v>0</v>
      </c>
      <c r="N217">
        <v>62.92</v>
      </c>
      <c r="O217" t="s">
        <v>19</v>
      </c>
      <c r="P217" t="s">
        <v>20</v>
      </c>
      <c r="Q217">
        <v>20230213</v>
      </c>
    </row>
    <row r="218" spans="1:17" x14ac:dyDescent="0.25">
      <c r="A218" t="s">
        <v>548</v>
      </c>
      <c r="B218" t="s">
        <v>429</v>
      </c>
      <c r="C218">
        <v>6</v>
      </c>
      <c r="D218">
        <v>20230213</v>
      </c>
      <c r="E218">
        <v>2</v>
      </c>
      <c r="F218">
        <v>531105</v>
      </c>
      <c r="G218" t="s">
        <v>429</v>
      </c>
      <c r="H218" t="s">
        <v>401</v>
      </c>
      <c r="I218" t="s">
        <v>402</v>
      </c>
      <c r="J218">
        <v>366208</v>
      </c>
      <c r="K218">
        <v>20230213</v>
      </c>
      <c r="L218" t="s">
        <v>565</v>
      </c>
      <c r="M218">
        <v>563.79</v>
      </c>
      <c r="N218">
        <v>0</v>
      </c>
      <c r="O218" t="s">
        <v>19</v>
      </c>
      <c r="P218" t="s">
        <v>20</v>
      </c>
      <c r="Q218">
        <v>20230213</v>
      </c>
    </row>
    <row r="219" spans="1:17" x14ac:dyDescent="0.25">
      <c r="A219" t="s">
        <v>548</v>
      </c>
      <c r="B219" t="s">
        <v>429</v>
      </c>
      <c r="C219">
        <v>6</v>
      </c>
      <c r="D219">
        <v>20230213</v>
      </c>
      <c r="E219">
        <v>2</v>
      </c>
      <c r="F219">
        <v>411020</v>
      </c>
      <c r="G219" t="s">
        <v>30</v>
      </c>
      <c r="H219" t="s">
        <v>3633</v>
      </c>
      <c r="I219" t="s">
        <v>3634</v>
      </c>
      <c r="J219">
        <v>323010004</v>
      </c>
      <c r="K219">
        <v>20230213</v>
      </c>
      <c r="L219" t="s">
        <v>5235</v>
      </c>
      <c r="M219">
        <v>0</v>
      </c>
      <c r="N219">
        <v>96.56</v>
      </c>
      <c r="O219" t="s">
        <v>22</v>
      </c>
      <c r="P219">
        <v>20230218</v>
      </c>
      <c r="Q219">
        <v>20230213</v>
      </c>
    </row>
    <row r="220" spans="1:17" x14ac:dyDescent="0.25">
      <c r="A220" t="s">
        <v>548</v>
      </c>
      <c r="B220" t="s">
        <v>429</v>
      </c>
      <c r="C220">
        <v>6</v>
      </c>
      <c r="D220">
        <v>20230213</v>
      </c>
      <c r="E220">
        <v>2</v>
      </c>
      <c r="F220">
        <v>531105</v>
      </c>
      <c r="G220" t="s">
        <v>429</v>
      </c>
      <c r="H220" t="s">
        <v>401</v>
      </c>
      <c r="I220" t="s">
        <v>402</v>
      </c>
      <c r="J220">
        <v>366224</v>
      </c>
      <c r="K220">
        <v>20230213</v>
      </c>
      <c r="L220" t="s">
        <v>565</v>
      </c>
      <c r="M220">
        <v>96.56</v>
      </c>
      <c r="N220">
        <v>0</v>
      </c>
      <c r="O220" t="s">
        <v>19</v>
      </c>
      <c r="P220" t="s">
        <v>20</v>
      </c>
      <c r="Q220">
        <v>20230213</v>
      </c>
    </row>
    <row r="221" spans="1:17" x14ac:dyDescent="0.25">
      <c r="A221" t="s">
        <v>548</v>
      </c>
      <c r="B221" t="s">
        <v>429</v>
      </c>
      <c r="C221">
        <v>6</v>
      </c>
      <c r="D221">
        <v>20230214</v>
      </c>
      <c r="E221">
        <v>2</v>
      </c>
      <c r="F221">
        <v>411100</v>
      </c>
      <c r="G221" t="s">
        <v>18</v>
      </c>
      <c r="H221" t="s">
        <v>800</v>
      </c>
      <c r="I221" t="s">
        <v>801</v>
      </c>
      <c r="J221">
        <v>366163</v>
      </c>
      <c r="K221">
        <v>20230214</v>
      </c>
      <c r="L221" t="s">
        <v>5236</v>
      </c>
      <c r="M221">
        <v>0</v>
      </c>
      <c r="N221">
        <v>7</v>
      </c>
      <c r="O221" t="s">
        <v>19</v>
      </c>
      <c r="P221" t="s">
        <v>20</v>
      </c>
      <c r="Q221">
        <v>20230214</v>
      </c>
    </row>
    <row r="222" spans="1:17" x14ac:dyDescent="0.25">
      <c r="A222" t="s">
        <v>548</v>
      </c>
      <c r="B222" t="s">
        <v>429</v>
      </c>
      <c r="C222">
        <v>6</v>
      </c>
      <c r="D222">
        <v>20230214</v>
      </c>
      <c r="E222">
        <v>2</v>
      </c>
      <c r="F222">
        <v>411100</v>
      </c>
      <c r="G222" t="s">
        <v>18</v>
      </c>
      <c r="H222" t="s">
        <v>73</v>
      </c>
      <c r="I222" t="s">
        <v>74</v>
      </c>
      <c r="J222">
        <v>366164</v>
      </c>
      <c r="K222">
        <v>20230214</v>
      </c>
      <c r="L222" t="s">
        <v>5237</v>
      </c>
      <c r="M222">
        <v>0</v>
      </c>
      <c r="N222">
        <v>3.5</v>
      </c>
      <c r="O222" t="s">
        <v>19</v>
      </c>
      <c r="P222" t="s">
        <v>20</v>
      </c>
      <c r="Q222">
        <v>20230214</v>
      </c>
    </row>
    <row r="223" spans="1:17" x14ac:dyDescent="0.25">
      <c r="A223" t="s">
        <v>548</v>
      </c>
      <c r="B223" t="s">
        <v>429</v>
      </c>
      <c r="C223">
        <v>6</v>
      </c>
      <c r="D223">
        <v>20230214</v>
      </c>
      <c r="E223">
        <v>2</v>
      </c>
      <c r="F223">
        <v>411100</v>
      </c>
      <c r="G223" t="s">
        <v>18</v>
      </c>
      <c r="H223" t="s">
        <v>1172</v>
      </c>
      <c r="I223" t="s">
        <v>1173</v>
      </c>
      <c r="J223">
        <v>366165</v>
      </c>
      <c r="K223">
        <v>20230214</v>
      </c>
      <c r="L223" t="s">
        <v>5238</v>
      </c>
      <c r="M223">
        <v>0</v>
      </c>
      <c r="N223">
        <v>3.5</v>
      </c>
      <c r="O223" t="s">
        <v>19</v>
      </c>
      <c r="P223" t="s">
        <v>20</v>
      </c>
      <c r="Q223">
        <v>20230214</v>
      </c>
    </row>
    <row r="224" spans="1:17" x14ac:dyDescent="0.25">
      <c r="A224" t="s">
        <v>548</v>
      </c>
      <c r="B224" t="s">
        <v>429</v>
      </c>
      <c r="C224">
        <v>6</v>
      </c>
      <c r="D224">
        <v>20230214</v>
      </c>
      <c r="E224">
        <v>2</v>
      </c>
      <c r="F224">
        <v>411100</v>
      </c>
      <c r="G224" t="s">
        <v>18</v>
      </c>
      <c r="H224" t="s">
        <v>154</v>
      </c>
      <c r="I224" t="s">
        <v>155</v>
      </c>
      <c r="J224">
        <v>366166</v>
      </c>
      <c r="K224">
        <v>20230214</v>
      </c>
      <c r="L224" t="s">
        <v>5239</v>
      </c>
      <c r="M224">
        <v>0</v>
      </c>
      <c r="N224">
        <v>3.5</v>
      </c>
      <c r="O224" t="s">
        <v>19</v>
      </c>
      <c r="P224" t="s">
        <v>20</v>
      </c>
      <c r="Q224">
        <v>20230214</v>
      </c>
    </row>
    <row r="225" spans="1:17" x14ac:dyDescent="0.25">
      <c r="A225" t="s">
        <v>548</v>
      </c>
      <c r="B225" t="s">
        <v>429</v>
      </c>
      <c r="C225">
        <v>6</v>
      </c>
      <c r="D225">
        <v>20230214</v>
      </c>
      <c r="E225">
        <v>2</v>
      </c>
      <c r="F225">
        <v>411100</v>
      </c>
      <c r="G225" t="s">
        <v>18</v>
      </c>
      <c r="H225" t="s">
        <v>5240</v>
      </c>
      <c r="I225" t="s">
        <v>5241</v>
      </c>
      <c r="J225">
        <v>366167</v>
      </c>
      <c r="K225">
        <v>20230214</v>
      </c>
      <c r="L225" t="s">
        <v>5242</v>
      </c>
      <c r="M225">
        <v>0</v>
      </c>
      <c r="N225">
        <v>22</v>
      </c>
      <c r="O225" t="s">
        <v>19</v>
      </c>
      <c r="P225" t="s">
        <v>20</v>
      </c>
      <c r="Q225">
        <v>20230214</v>
      </c>
    </row>
    <row r="226" spans="1:17" x14ac:dyDescent="0.25">
      <c r="A226" t="s">
        <v>548</v>
      </c>
      <c r="B226" t="s">
        <v>429</v>
      </c>
      <c r="C226">
        <v>6</v>
      </c>
      <c r="D226">
        <v>20230214</v>
      </c>
      <c r="E226">
        <v>2</v>
      </c>
      <c r="F226">
        <v>411100</v>
      </c>
      <c r="G226" t="s">
        <v>18</v>
      </c>
      <c r="H226" t="s">
        <v>5243</v>
      </c>
      <c r="I226" t="s">
        <v>5244</v>
      </c>
      <c r="J226">
        <v>366168</v>
      </c>
      <c r="K226">
        <v>20230214</v>
      </c>
      <c r="L226" t="s">
        <v>5245</v>
      </c>
      <c r="M226">
        <v>0</v>
      </c>
      <c r="N226">
        <v>10</v>
      </c>
      <c r="O226" t="s">
        <v>19</v>
      </c>
      <c r="P226" t="s">
        <v>20</v>
      </c>
      <c r="Q226">
        <v>20230214</v>
      </c>
    </row>
    <row r="227" spans="1:17" x14ac:dyDescent="0.25">
      <c r="A227" t="s">
        <v>548</v>
      </c>
      <c r="B227" t="s">
        <v>429</v>
      </c>
      <c r="C227">
        <v>6</v>
      </c>
      <c r="D227">
        <v>20230214</v>
      </c>
      <c r="E227">
        <v>2</v>
      </c>
      <c r="F227">
        <v>411100</v>
      </c>
      <c r="G227" t="s">
        <v>18</v>
      </c>
      <c r="H227" t="s">
        <v>823</v>
      </c>
      <c r="I227" t="s">
        <v>824</v>
      </c>
      <c r="J227">
        <v>366169</v>
      </c>
      <c r="K227">
        <v>20230214</v>
      </c>
      <c r="L227" t="s">
        <v>5246</v>
      </c>
      <c r="M227">
        <v>0</v>
      </c>
      <c r="N227">
        <v>12.15</v>
      </c>
      <c r="O227" t="s">
        <v>19</v>
      </c>
      <c r="P227" t="s">
        <v>20</v>
      </c>
      <c r="Q227">
        <v>20230214</v>
      </c>
    </row>
    <row r="228" spans="1:17" x14ac:dyDescent="0.25">
      <c r="A228" t="s">
        <v>548</v>
      </c>
      <c r="B228" t="s">
        <v>429</v>
      </c>
      <c r="C228">
        <v>6</v>
      </c>
      <c r="D228">
        <v>20230214</v>
      </c>
      <c r="E228">
        <v>2</v>
      </c>
      <c r="F228">
        <v>411100</v>
      </c>
      <c r="G228" t="s">
        <v>18</v>
      </c>
      <c r="H228" t="s">
        <v>823</v>
      </c>
      <c r="I228" t="s">
        <v>824</v>
      </c>
      <c r="J228">
        <v>122110117</v>
      </c>
      <c r="K228">
        <v>20230214</v>
      </c>
      <c r="L228" t="s">
        <v>5247</v>
      </c>
      <c r="M228">
        <v>0</v>
      </c>
      <c r="N228">
        <v>97.85</v>
      </c>
      <c r="O228" t="s">
        <v>19</v>
      </c>
      <c r="P228" t="s">
        <v>20</v>
      </c>
      <c r="Q228">
        <v>20230214</v>
      </c>
    </row>
    <row r="229" spans="1:17" x14ac:dyDescent="0.25">
      <c r="A229" t="s">
        <v>548</v>
      </c>
      <c r="B229" t="s">
        <v>429</v>
      </c>
      <c r="C229">
        <v>6</v>
      </c>
      <c r="D229">
        <v>20230214</v>
      </c>
      <c r="E229">
        <v>2</v>
      </c>
      <c r="F229">
        <v>411100</v>
      </c>
      <c r="G229" t="s">
        <v>18</v>
      </c>
      <c r="H229" t="s">
        <v>823</v>
      </c>
      <c r="I229" t="s">
        <v>824</v>
      </c>
      <c r="J229">
        <v>122110117</v>
      </c>
      <c r="K229">
        <v>20230214</v>
      </c>
      <c r="L229" t="s">
        <v>5718</v>
      </c>
      <c r="M229">
        <v>0.65</v>
      </c>
      <c r="N229">
        <v>0</v>
      </c>
      <c r="O229" t="s">
        <v>22</v>
      </c>
      <c r="P229">
        <v>20230218</v>
      </c>
      <c r="Q229">
        <v>20230214</v>
      </c>
    </row>
    <row r="230" spans="1:17" x14ac:dyDescent="0.25">
      <c r="A230" t="s">
        <v>548</v>
      </c>
      <c r="B230" t="s">
        <v>429</v>
      </c>
      <c r="C230">
        <v>6</v>
      </c>
      <c r="D230">
        <v>20230214</v>
      </c>
      <c r="E230">
        <v>2</v>
      </c>
      <c r="F230">
        <v>411100</v>
      </c>
      <c r="G230" t="s">
        <v>18</v>
      </c>
      <c r="H230" t="s">
        <v>305</v>
      </c>
      <c r="I230" t="s">
        <v>306</v>
      </c>
      <c r="J230">
        <v>123010054</v>
      </c>
      <c r="K230">
        <v>20230214</v>
      </c>
      <c r="L230" t="s">
        <v>5249</v>
      </c>
      <c r="M230">
        <v>0</v>
      </c>
      <c r="N230">
        <v>141.9</v>
      </c>
      <c r="O230" t="s">
        <v>23</v>
      </c>
      <c r="P230">
        <v>20230329</v>
      </c>
      <c r="Q230">
        <v>20230214</v>
      </c>
    </row>
    <row r="231" spans="1:17" x14ac:dyDescent="0.25">
      <c r="A231" t="s">
        <v>548</v>
      </c>
      <c r="B231" t="s">
        <v>429</v>
      </c>
      <c r="C231">
        <v>6</v>
      </c>
      <c r="D231">
        <v>20230214</v>
      </c>
      <c r="E231">
        <v>2</v>
      </c>
      <c r="F231">
        <v>411100</v>
      </c>
      <c r="G231" t="s">
        <v>18</v>
      </c>
      <c r="H231" t="s">
        <v>305</v>
      </c>
      <c r="I231" t="s">
        <v>306</v>
      </c>
      <c r="J231">
        <v>123010054</v>
      </c>
      <c r="K231">
        <v>20230214</v>
      </c>
      <c r="L231" t="s">
        <v>5717</v>
      </c>
      <c r="M231">
        <v>115.1</v>
      </c>
      <c r="N231">
        <v>0</v>
      </c>
      <c r="O231" t="s">
        <v>22</v>
      </c>
      <c r="P231">
        <v>20230218</v>
      </c>
      <c r="Q231">
        <v>20230214</v>
      </c>
    </row>
    <row r="232" spans="1:17" x14ac:dyDescent="0.25">
      <c r="A232" t="s">
        <v>548</v>
      </c>
      <c r="B232" t="s">
        <v>429</v>
      </c>
      <c r="C232">
        <v>6</v>
      </c>
      <c r="D232">
        <v>20230214</v>
      </c>
      <c r="E232">
        <v>2</v>
      </c>
      <c r="F232">
        <v>531105</v>
      </c>
      <c r="G232" t="s">
        <v>429</v>
      </c>
      <c r="H232" t="s">
        <v>401</v>
      </c>
      <c r="I232" t="s">
        <v>402</v>
      </c>
      <c r="J232">
        <v>366174</v>
      </c>
      <c r="K232">
        <v>20230214</v>
      </c>
      <c r="L232" t="s">
        <v>565</v>
      </c>
      <c r="M232">
        <v>185.65</v>
      </c>
      <c r="N232">
        <v>0</v>
      </c>
      <c r="O232" t="s">
        <v>19</v>
      </c>
      <c r="P232" t="s">
        <v>20</v>
      </c>
      <c r="Q232">
        <v>20230214</v>
      </c>
    </row>
    <row r="233" spans="1:17" x14ac:dyDescent="0.25">
      <c r="A233" t="s">
        <v>548</v>
      </c>
      <c r="B233" t="s">
        <v>429</v>
      </c>
      <c r="C233">
        <v>6</v>
      </c>
      <c r="D233">
        <v>20230215</v>
      </c>
      <c r="E233">
        <v>2</v>
      </c>
      <c r="F233">
        <v>411100</v>
      </c>
      <c r="G233" t="s">
        <v>18</v>
      </c>
      <c r="H233" t="s">
        <v>823</v>
      </c>
      <c r="I233" t="s">
        <v>824</v>
      </c>
      <c r="J233">
        <v>366175</v>
      </c>
      <c r="K233">
        <v>20230215</v>
      </c>
      <c r="L233" t="s">
        <v>5251</v>
      </c>
      <c r="M233">
        <v>0</v>
      </c>
      <c r="N233">
        <v>12.15</v>
      </c>
      <c r="O233" t="s">
        <v>19</v>
      </c>
      <c r="P233" t="s">
        <v>20</v>
      </c>
      <c r="Q233">
        <v>20230215</v>
      </c>
    </row>
    <row r="234" spans="1:17" x14ac:dyDescent="0.25">
      <c r="A234" t="s">
        <v>548</v>
      </c>
      <c r="B234" t="s">
        <v>429</v>
      </c>
      <c r="C234">
        <v>6</v>
      </c>
      <c r="D234">
        <v>20230215</v>
      </c>
      <c r="E234">
        <v>2</v>
      </c>
      <c r="F234">
        <v>531105</v>
      </c>
      <c r="G234" t="s">
        <v>429</v>
      </c>
      <c r="H234" t="s">
        <v>401</v>
      </c>
      <c r="I234" t="s">
        <v>402</v>
      </c>
      <c r="J234">
        <v>366176</v>
      </c>
      <c r="K234">
        <v>20230215</v>
      </c>
      <c r="L234" t="s">
        <v>565</v>
      </c>
      <c r="M234">
        <v>12.15</v>
      </c>
      <c r="N234">
        <v>0</v>
      </c>
      <c r="O234" t="s">
        <v>19</v>
      </c>
      <c r="P234" t="s">
        <v>20</v>
      </c>
      <c r="Q234">
        <v>20230215</v>
      </c>
    </row>
    <row r="235" spans="1:17" x14ac:dyDescent="0.25">
      <c r="A235" t="s">
        <v>548</v>
      </c>
      <c r="B235" t="s">
        <v>429</v>
      </c>
      <c r="C235">
        <v>6</v>
      </c>
      <c r="D235">
        <v>20230215</v>
      </c>
      <c r="E235">
        <v>2</v>
      </c>
      <c r="F235">
        <v>411010</v>
      </c>
      <c r="G235" t="s">
        <v>87</v>
      </c>
      <c r="H235" t="s">
        <v>3214</v>
      </c>
      <c r="I235" t="s">
        <v>3215</v>
      </c>
      <c r="J235">
        <v>223010020</v>
      </c>
      <c r="K235">
        <v>20230215</v>
      </c>
      <c r="L235" t="s">
        <v>5252</v>
      </c>
      <c r="M235">
        <v>0</v>
      </c>
      <c r="N235">
        <v>493.46</v>
      </c>
      <c r="O235" t="s">
        <v>22</v>
      </c>
      <c r="P235">
        <v>20230218</v>
      </c>
      <c r="Q235">
        <v>20230215</v>
      </c>
    </row>
    <row r="236" spans="1:17" x14ac:dyDescent="0.25">
      <c r="A236" t="s">
        <v>548</v>
      </c>
      <c r="B236" t="s">
        <v>429</v>
      </c>
      <c r="C236">
        <v>6</v>
      </c>
      <c r="D236">
        <v>20230215</v>
      </c>
      <c r="E236">
        <v>2</v>
      </c>
      <c r="F236">
        <v>531105</v>
      </c>
      <c r="G236" t="s">
        <v>429</v>
      </c>
      <c r="H236" t="s">
        <v>401</v>
      </c>
      <c r="I236" t="s">
        <v>402</v>
      </c>
      <c r="J236">
        <v>366210</v>
      </c>
      <c r="K236">
        <v>20230215</v>
      </c>
      <c r="L236" t="s">
        <v>565</v>
      </c>
      <c r="M236">
        <v>493.46</v>
      </c>
      <c r="N236">
        <v>0</v>
      </c>
      <c r="O236" t="s">
        <v>19</v>
      </c>
      <c r="P236" t="s">
        <v>20</v>
      </c>
      <c r="Q236">
        <v>20230215</v>
      </c>
    </row>
    <row r="237" spans="1:17" x14ac:dyDescent="0.25">
      <c r="A237" t="s">
        <v>548</v>
      </c>
      <c r="B237" t="s">
        <v>429</v>
      </c>
      <c r="C237">
        <v>6</v>
      </c>
      <c r="D237">
        <v>20230215</v>
      </c>
      <c r="E237">
        <v>2</v>
      </c>
      <c r="F237">
        <v>411020</v>
      </c>
      <c r="G237" t="s">
        <v>30</v>
      </c>
      <c r="H237" t="s">
        <v>332</v>
      </c>
      <c r="I237" t="s">
        <v>333</v>
      </c>
      <c r="J237">
        <v>323010006</v>
      </c>
      <c r="K237">
        <v>20230215</v>
      </c>
      <c r="L237" t="s">
        <v>5253</v>
      </c>
      <c r="M237">
        <v>0</v>
      </c>
      <c r="N237">
        <v>65</v>
      </c>
      <c r="O237" t="s">
        <v>19</v>
      </c>
      <c r="P237" t="s">
        <v>20</v>
      </c>
      <c r="Q237">
        <v>20230215</v>
      </c>
    </row>
    <row r="238" spans="1:17" x14ac:dyDescent="0.25">
      <c r="A238" t="s">
        <v>548</v>
      </c>
      <c r="B238" t="s">
        <v>429</v>
      </c>
      <c r="C238">
        <v>6</v>
      </c>
      <c r="D238">
        <v>20230215</v>
      </c>
      <c r="E238">
        <v>2</v>
      </c>
      <c r="F238">
        <v>411020</v>
      </c>
      <c r="G238" t="s">
        <v>30</v>
      </c>
      <c r="H238" t="s">
        <v>338</v>
      </c>
      <c r="I238" t="s">
        <v>339</v>
      </c>
      <c r="J238">
        <v>323010024</v>
      </c>
      <c r="K238">
        <v>20230215</v>
      </c>
      <c r="L238" t="s">
        <v>5254</v>
      </c>
      <c r="M238">
        <v>0</v>
      </c>
      <c r="N238">
        <v>38.19</v>
      </c>
      <c r="O238" t="s">
        <v>22</v>
      </c>
      <c r="P238">
        <v>20230218</v>
      </c>
      <c r="Q238">
        <v>20230215</v>
      </c>
    </row>
    <row r="239" spans="1:17" x14ac:dyDescent="0.25">
      <c r="A239" t="s">
        <v>548</v>
      </c>
      <c r="B239" t="s">
        <v>429</v>
      </c>
      <c r="C239">
        <v>6</v>
      </c>
      <c r="D239">
        <v>20230215</v>
      </c>
      <c r="E239">
        <v>2</v>
      </c>
      <c r="F239">
        <v>531105</v>
      </c>
      <c r="G239" t="s">
        <v>429</v>
      </c>
      <c r="H239" t="s">
        <v>401</v>
      </c>
      <c r="I239" t="s">
        <v>402</v>
      </c>
      <c r="J239">
        <v>366227</v>
      </c>
      <c r="K239">
        <v>20230215</v>
      </c>
      <c r="L239" t="s">
        <v>565</v>
      </c>
      <c r="M239">
        <v>103.19</v>
      </c>
      <c r="N239">
        <v>0</v>
      </c>
      <c r="O239" t="s">
        <v>19</v>
      </c>
      <c r="P239" t="s">
        <v>20</v>
      </c>
      <c r="Q239">
        <v>20230215</v>
      </c>
    </row>
    <row r="240" spans="1:17" x14ac:dyDescent="0.25">
      <c r="A240" t="s">
        <v>548</v>
      </c>
      <c r="B240" t="s">
        <v>429</v>
      </c>
      <c r="C240">
        <v>6</v>
      </c>
      <c r="D240">
        <v>20230216</v>
      </c>
      <c r="E240">
        <v>2</v>
      </c>
      <c r="F240">
        <v>467100</v>
      </c>
      <c r="G240" t="s">
        <v>160</v>
      </c>
      <c r="H240" t="s">
        <v>172</v>
      </c>
      <c r="I240" t="s">
        <v>173</v>
      </c>
      <c r="J240" t="s">
        <v>5255</v>
      </c>
      <c r="K240">
        <v>20230216</v>
      </c>
      <c r="L240" t="s">
        <v>5256</v>
      </c>
      <c r="M240">
        <v>10.92</v>
      </c>
      <c r="N240">
        <v>0</v>
      </c>
      <c r="O240" t="s">
        <v>23</v>
      </c>
      <c r="P240">
        <v>20230310</v>
      </c>
      <c r="Q240">
        <v>20230216</v>
      </c>
    </row>
    <row r="241" spans="1:17" x14ac:dyDescent="0.25">
      <c r="A241" t="s">
        <v>548</v>
      </c>
      <c r="B241" t="s">
        <v>429</v>
      </c>
      <c r="C241">
        <v>6</v>
      </c>
      <c r="D241">
        <v>20230216</v>
      </c>
      <c r="E241">
        <v>2</v>
      </c>
      <c r="F241">
        <v>531105</v>
      </c>
      <c r="G241" t="s">
        <v>429</v>
      </c>
      <c r="H241" t="s">
        <v>401</v>
      </c>
      <c r="I241" t="s">
        <v>402</v>
      </c>
      <c r="J241" t="s">
        <v>5255</v>
      </c>
      <c r="K241">
        <v>20230216</v>
      </c>
      <c r="L241" t="s">
        <v>5256</v>
      </c>
      <c r="M241">
        <v>0</v>
      </c>
      <c r="N241">
        <v>10.92</v>
      </c>
      <c r="O241" t="s">
        <v>19</v>
      </c>
      <c r="P241" t="s">
        <v>20</v>
      </c>
      <c r="Q241">
        <v>20230216</v>
      </c>
    </row>
    <row r="242" spans="1:17" x14ac:dyDescent="0.25">
      <c r="A242" t="s">
        <v>548</v>
      </c>
      <c r="B242" t="s">
        <v>429</v>
      </c>
      <c r="C242">
        <v>6</v>
      </c>
      <c r="D242">
        <v>20230216</v>
      </c>
      <c r="E242">
        <v>2</v>
      </c>
      <c r="F242">
        <v>411100</v>
      </c>
      <c r="G242" t="s">
        <v>18</v>
      </c>
      <c r="H242" t="s">
        <v>81</v>
      </c>
      <c r="I242" t="s">
        <v>82</v>
      </c>
      <c r="J242">
        <v>366177</v>
      </c>
      <c r="K242">
        <v>20230216</v>
      </c>
      <c r="L242" t="s">
        <v>5257</v>
      </c>
      <c r="M242">
        <v>0</v>
      </c>
      <c r="N242">
        <v>4</v>
      </c>
      <c r="O242" t="s">
        <v>19</v>
      </c>
      <c r="P242" t="s">
        <v>20</v>
      </c>
      <c r="Q242">
        <v>20230216</v>
      </c>
    </row>
    <row r="243" spans="1:17" x14ac:dyDescent="0.25">
      <c r="A243" t="s">
        <v>548</v>
      </c>
      <c r="B243" t="s">
        <v>429</v>
      </c>
      <c r="C243">
        <v>6</v>
      </c>
      <c r="D243">
        <v>20230216</v>
      </c>
      <c r="E243">
        <v>2</v>
      </c>
      <c r="F243">
        <v>411100</v>
      </c>
      <c r="G243" t="s">
        <v>18</v>
      </c>
      <c r="H243" t="s">
        <v>154</v>
      </c>
      <c r="I243" t="s">
        <v>155</v>
      </c>
      <c r="J243">
        <v>366178</v>
      </c>
      <c r="K243">
        <v>20230216</v>
      </c>
      <c r="L243" t="s">
        <v>5258</v>
      </c>
      <c r="M243">
        <v>0</v>
      </c>
      <c r="N243">
        <v>4</v>
      </c>
      <c r="O243" t="s">
        <v>19</v>
      </c>
      <c r="P243" t="s">
        <v>20</v>
      </c>
      <c r="Q243">
        <v>20230216</v>
      </c>
    </row>
    <row r="244" spans="1:17" x14ac:dyDescent="0.25">
      <c r="A244" t="s">
        <v>548</v>
      </c>
      <c r="B244" t="s">
        <v>429</v>
      </c>
      <c r="C244">
        <v>6</v>
      </c>
      <c r="D244">
        <v>20230216</v>
      </c>
      <c r="E244">
        <v>2</v>
      </c>
      <c r="F244">
        <v>411100</v>
      </c>
      <c r="G244" t="s">
        <v>18</v>
      </c>
      <c r="H244" t="s">
        <v>800</v>
      </c>
      <c r="I244" t="s">
        <v>801</v>
      </c>
      <c r="J244">
        <v>366179</v>
      </c>
      <c r="K244">
        <v>20230216</v>
      </c>
      <c r="L244" t="s">
        <v>5259</v>
      </c>
      <c r="M244">
        <v>0</v>
      </c>
      <c r="N244">
        <v>8</v>
      </c>
      <c r="O244" t="s">
        <v>19</v>
      </c>
      <c r="P244" t="s">
        <v>20</v>
      </c>
      <c r="Q244">
        <v>20230216</v>
      </c>
    </row>
    <row r="245" spans="1:17" x14ac:dyDescent="0.25">
      <c r="A245" t="s">
        <v>548</v>
      </c>
      <c r="B245" t="s">
        <v>429</v>
      </c>
      <c r="C245">
        <v>6</v>
      </c>
      <c r="D245">
        <v>20230216</v>
      </c>
      <c r="E245">
        <v>2</v>
      </c>
      <c r="F245">
        <v>411100</v>
      </c>
      <c r="G245" t="s">
        <v>18</v>
      </c>
      <c r="H245" t="s">
        <v>73</v>
      </c>
      <c r="I245" t="s">
        <v>74</v>
      </c>
      <c r="J245">
        <v>366180</v>
      </c>
      <c r="K245">
        <v>20230216</v>
      </c>
      <c r="L245" t="s">
        <v>5260</v>
      </c>
      <c r="M245">
        <v>0</v>
      </c>
      <c r="N245">
        <v>4</v>
      </c>
      <c r="O245" t="s">
        <v>19</v>
      </c>
      <c r="P245" t="s">
        <v>20</v>
      </c>
      <c r="Q245">
        <v>20230216</v>
      </c>
    </row>
    <row r="246" spans="1:17" x14ac:dyDescent="0.25">
      <c r="A246" t="s">
        <v>548</v>
      </c>
      <c r="B246" t="s">
        <v>429</v>
      </c>
      <c r="C246">
        <v>6</v>
      </c>
      <c r="D246">
        <v>20230216</v>
      </c>
      <c r="E246">
        <v>2</v>
      </c>
      <c r="F246">
        <v>411100</v>
      </c>
      <c r="G246" t="s">
        <v>18</v>
      </c>
      <c r="H246" t="s">
        <v>1172</v>
      </c>
      <c r="I246" t="s">
        <v>1173</v>
      </c>
      <c r="J246">
        <v>366181</v>
      </c>
      <c r="K246">
        <v>20230216</v>
      </c>
      <c r="L246" t="s">
        <v>5261</v>
      </c>
      <c r="M246">
        <v>0</v>
      </c>
      <c r="N246">
        <v>4</v>
      </c>
      <c r="O246" t="s">
        <v>19</v>
      </c>
      <c r="P246" t="s">
        <v>20</v>
      </c>
      <c r="Q246">
        <v>20230216</v>
      </c>
    </row>
    <row r="247" spans="1:17" x14ac:dyDescent="0.25">
      <c r="A247" t="s">
        <v>548</v>
      </c>
      <c r="B247" t="s">
        <v>429</v>
      </c>
      <c r="C247">
        <v>6</v>
      </c>
      <c r="D247">
        <v>20230216</v>
      </c>
      <c r="E247">
        <v>2</v>
      </c>
      <c r="F247">
        <v>411100</v>
      </c>
      <c r="G247" t="s">
        <v>18</v>
      </c>
      <c r="H247" t="s">
        <v>5195</v>
      </c>
      <c r="I247" t="s">
        <v>5196</v>
      </c>
      <c r="J247">
        <v>366182</v>
      </c>
      <c r="K247">
        <v>20230216</v>
      </c>
      <c r="L247" t="s">
        <v>5262</v>
      </c>
      <c r="M247">
        <v>0</v>
      </c>
      <c r="N247">
        <v>4</v>
      </c>
      <c r="O247" t="s">
        <v>19</v>
      </c>
      <c r="P247" t="s">
        <v>20</v>
      </c>
      <c r="Q247">
        <v>20230216</v>
      </c>
    </row>
    <row r="248" spans="1:17" x14ac:dyDescent="0.25">
      <c r="A248" t="s">
        <v>548</v>
      </c>
      <c r="B248" t="s">
        <v>429</v>
      </c>
      <c r="C248">
        <v>6</v>
      </c>
      <c r="D248">
        <v>20230216</v>
      </c>
      <c r="E248">
        <v>2</v>
      </c>
      <c r="F248">
        <v>411100</v>
      </c>
      <c r="G248" t="s">
        <v>18</v>
      </c>
      <c r="H248" t="s">
        <v>5192</v>
      </c>
      <c r="I248" t="s">
        <v>5193</v>
      </c>
      <c r="J248">
        <v>366183</v>
      </c>
      <c r="K248">
        <v>20230216</v>
      </c>
      <c r="L248" t="s">
        <v>5263</v>
      </c>
      <c r="M248">
        <v>0</v>
      </c>
      <c r="N248">
        <v>4</v>
      </c>
      <c r="O248" t="s">
        <v>19</v>
      </c>
      <c r="P248" t="s">
        <v>20</v>
      </c>
      <c r="Q248">
        <v>20230216</v>
      </c>
    </row>
    <row r="249" spans="1:17" x14ac:dyDescent="0.25">
      <c r="A249" t="s">
        <v>548</v>
      </c>
      <c r="B249" t="s">
        <v>429</v>
      </c>
      <c r="C249">
        <v>6</v>
      </c>
      <c r="D249">
        <v>20230216</v>
      </c>
      <c r="E249">
        <v>2</v>
      </c>
      <c r="F249">
        <v>411100</v>
      </c>
      <c r="G249" t="s">
        <v>18</v>
      </c>
      <c r="H249" t="s">
        <v>259</v>
      </c>
      <c r="I249" t="s">
        <v>260</v>
      </c>
      <c r="J249">
        <v>366184</v>
      </c>
      <c r="K249">
        <v>20230216</v>
      </c>
      <c r="L249" t="s">
        <v>5264</v>
      </c>
      <c r="M249">
        <v>0</v>
      </c>
      <c r="N249">
        <v>4</v>
      </c>
      <c r="O249" t="s">
        <v>19</v>
      </c>
      <c r="P249" t="s">
        <v>20</v>
      </c>
      <c r="Q249">
        <v>20230216</v>
      </c>
    </row>
    <row r="250" spans="1:17" x14ac:dyDescent="0.25">
      <c r="A250" t="s">
        <v>548</v>
      </c>
      <c r="B250" t="s">
        <v>429</v>
      </c>
      <c r="C250">
        <v>6</v>
      </c>
      <c r="D250">
        <v>20230216</v>
      </c>
      <c r="E250">
        <v>2</v>
      </c>
      <c r="F250">
        <v>411100</v>
      </c>
      <c r="G250" t="s">
        <v>18</v>
      </c>
      <c r="H250" t="s">
        <v>259</v>
      </c>
      <c r="I250" t="s">
        <v>260</v>
      </c>
      <c r="J250">
        <v>366185</v>
      </c>
      <c r="K250">
        <v>20230216</v>
      </c>
      <c r="L250" t="s">
        <v>5265</v>
      </c>
      <c r="M250">
        <v>0</v>
      </c>
      <c r="N250">
        <v>4</v>
      </c>
      <c r="O250" t="s">
        <v>19</v>
      </c>
      <c r="P250" t="s">
        <v>20</v>
      </c>
      <c r="Q250">
        <v>20230216</v>
      </c>
    </row>
    <row r="251" spans="1:17" x14ac:dyDescent="0.25">
      <c r="A251" t="s">
        <v>548</v>
      </c>
      <c r="B251" t="s">
        <v>429</v>
      </c>
      <c r="C251">
        <v>6</v>
      </c>
      <c r="D251">
        <v>20230216</v>
      </c>
      <c r="E251">
        <v>2</v>
      </c>
      <c r="F251">
        <v>411100</v>
      </c>
      <c r="G251" t="s">
        <v>18</v>
      </c>
      <c r="H251" t="s">
        <v>77</v>
      </c>
      <c r="I251" t="s">
        <v>78</v>
      </c>
      <c r="J251">
        <v>366186</v>
      </c>
      <c r="K251">
        <v>20230216</v>
      </c>
      <c r="L251" t="s">
        <v>5266</v>
      </c>
      <c r="M251">
        <v>0</v>
      </c>
      <c r="N251">
        <v>12</v>
      </c>
      <c r="O251" t="s">
        <v>19</v>
      </c>
      <c r="P251" t="s">
        <v>20</v>
      </c>
      <c r="Q251">
        <v>20230216</v>
      </c>
    </row>
    <row r="252" spans="1:17" x14ac:dyDescent="0.25">
      <c r="A252" t="s">
        <v>548</v>
      </c>
      <c r="B252" t="s">
        <v>429</v>
      </c>
      <c r="C252">
        <v>6</v>
      </c>
      <c r="D252">
        <v>20230216</v>
      </c>
      <c r="E252">
        <v>2</v>
      </c>
      <c r="F252">
        <v>411100</v>
      </c>
      <c r="G252" t="s">
        <v>18</v>
      </c>
      <c r="H252" t="s">
        <v>3901</v>
      </c>
      <c r="I252" t="s">
        <v>3902</v>
      </c>
      <c r="J252">
        <v>366187</v>
      </c>
      <c r="K252">
        <v>20230216</v>
      </c>
      <c r="L252" t="s">
        <v>5267</v>
      </c>
      <c r="M252">
        <v>0</v>
      </c>
      <c r="N252">
        <v>4</v>
      </c>
      <c r="O252" t="s">
        <v>19</v>
      </c>
      <c r="P252" t="s">
        <v>20</v>
      </c>
      <c r="Q252">
        <v>20230216</v>
      </c>
    </row>
    <row r="253" spans="1:17" x14ac:dyDescent="0.25">
      <c r="A253" t="s">
        <v>548</v>
      </c>
      <c r="B253" t="s">
        <v>429</v>
      </c>
      <c r="C253">
        <v>6</v>
      </c>
      <c r="D253">
        <v>20230216</v>
      </c>
      <c r="E253">
        <v>2</v>
      </c>
      <c r="F253">
        <v>411100</v>
      </c>
      <c r="G253" t="s">
        <v>18</v>
      </c>
      <c r="H253" t="s">
        <v>5195</v>
      </c>
      <c r="I253" t="s">
        <v>5196</v>
      </c>
      <c r="J253">
        <v>366188</v>
      </c>
      <c r="K253">
        <v>20230216</v>
      </c>
      <c r="L253" t="s">
        <v>5268</v>
      </c>
      <c r="M253">
        <v>0</v>
      </c>
      <c r="N253">
        <v>10.5</v>
      </c>
      <c r="O253" t="s">
        <v>19</v>
      </c>
      <c r="P253" t="s">
        <v>20</v>
      </c>
      <c r="Q253">
        <v>20230216</v>
      </c>
    </row>
    <row r="254" spans="1:17" x14ac:dyDescent="0.25">
      <c r="A254" t="s">
        <v>548</v>
      </c>
      <c r="B254" t="s">
        <v>429</v>
      </c>
      <c r="C254">
        <v>6</v>
      </c>
      <c r="D254">
        <v>20230216</v>
      </c>
      <c r="E254">
        <v>2</v>
      </c>
      <c r="F254">
        <v>531105</v>
      </c>
      <c r="G254" t="s">
        <v>429</v>
      </c>
      <c r="H254" t="s">
        <v>401</v>
      </c>
      <c r="I254" t="s">
        <v>402</v>
      </c>
      <c r="J254">
        <v>366189</v>
      </c>
      <c r="K254">
        <v>20230216</v>
      </c>
      <c r="L254" t="s">
        <v>565</v>
      </c>
      <c r="M254">
        <v>66.5</v>
      </c>
      <c r="N254">
        <v>0</v>
      </c>
      <c r="O254" t="s">
        <v>19</v>
      </c>
      <c r="P254" t="s">
        <v>20</v>
      </c>
      <c r="Q254">
        <v>20230216</v>
      </c>
    </row>
    <row r="255" spans="1:17" x14ac:dyDescent="0.25">
      <c r="A255" t="s">
        <v>548</v>
      </c>
      <c r="B255" t="s">
        <v>429</v>
      </c>
      <c r="C255">
        <v>6</v>
      </c>
      <c r="D255">
        <v>20230216</v>
      </c>
      <c r="E255">
        <v>2</v>
      </c>
      <c r="F255">
        <v>411020</v>
      </c>
      <c r="G255" t="s">
        <v>30</v>
      </c>
      <c r="H255" t="s">
        <v>3631</v>
      </c>
      <c r="I255" t="s">
        <v>3632</v>
      </c>
      <c r="J255">
        <v>323010002</v>
      </c>
      <c r="K255">
        <v>20230216</v>
      </c>
      <c r="L255" t="s">
        <v>5269</v>
      </c>
      <c r="M255">
        <v>0</v>
      </c>
      <c r="N255">
        <v>119.32</v>
      </c>
      <c r="O255" t="s">
        <v>19</v>
      </c>
      <c r="P255" t="s">
        <v>20</v>
      </c>
      <c r="Q255">
        <v>20230216</v>
      </c>
    </row>
    <row r="256" spans="1:17" x14ac:dyDescent="0.25">
      <c r="A256" t="s">
        <v>548</v>
      </c>
      <c r="B256" t="s">
        <v>429</v>
      </c>
      <c r="C256">
        <v>6</v>
      </c>
      <c r="D256">
        <v>20230216</v>
      </c>
      <c r="E256">
        <v>2</v>
      </c>
      <c r="F256">
        <v>411020</v>
      </c>
      <c r="G256" t="s">
        <v>30</v>
      </c>
      <c r="H256" t="s">
        <v>3631</v>
      </c>
      <c r="I256" t="s">
        <v>3632</v>
      </c>
      <c r="J256">
        <v>323010002</v>
      </c>
      <c r="K256">
        <v>20230216</v>
      </c>
      <c r="L256" t="s">
        <v>5716</v>
      </c>
      <c r="M256">
        <v>0</v>
      </c>
      <c r="N256">
        <v>10.68</v>
      </c>
      <c r="O256" t="s">
        <v>19</v>
      </c>
      <c r="P256" t="s">
        <v>20</v>
      </c>
      <c r="Q256">
        <v>20230216</v>
      </c>
    </row>
    <row r="257" spans="1:17" x14ac:dyDescent="0.25">
      <c r="A257" t="s">
        <v>548</v>
      </c>
      <c r="B257" t="s">
        <v>429</v>
      </c>
      <c r="C257">
        <v>6</v>
      </c>
      <c r="D257">
        <v>20230216</v>
      </c>
      <c r="E257">
        <v>2</v>
      </c>
      <c r="F257">
        <v>531105</v>
      </c>
      <c r="G257" t="s">
        <v>429</v>
      </c>
      <c r="H257" t="s">
        <v>401</v>
      </c>
      <c r="I257" t="s">
        <v>402</v>
      </c>
      <c r="J257">
        <v>367254</v>
      </c>
      <c r="K257">
        <v>20230216</v>
      </c>
      <c r="L257" t="s">
        <v>565</v>
      </c>
      <c r="M257">
        <v>130</v>
      </c>
      <c r="N257">
        <v>0</v>
      </c>
      <c r="O257" t="s">
        <v>19</v>
      </c>
      <c r="P257" t="s">
        <v>20</v>
      </c>
      <c r="Q257">
        <v>20230216</v>
      </c>
    </row>
    <row r="258" spans="1:17" x14ac:dyDescent="0.25">
      <c r="A258" t="s">
        <v>548</v>
      </c>
      <c r="B258" t="s">
        <v>429</v>
      </c>
      <c r="C258">
        <v>6</v>
      </c>
      <c r="D258">
        <v>20230217</v>
      </c>
      <c r="E258">
        <v>2</v>
      </c>
      <c r="F258">
        <v>411100</v>
      </c>
      <c r="G258" t="s">
        <v>18</v>
      </c>
      <c r="H258" t="s">
        <v>800</v>
      </c>
      <c r="I258" t="s">
        <v>801</v>
      </c>
      <c r="J258">
        <v>123020154</v>
      </c>
      <c r="K258">
        <v>20230217</v>
      </c>
      <c r="L258" t="s">
        <v>5271</v>
      </c>
      <c r="M258">
        <v>0</v>
      </c>
      <c r="N258">
        <v>7</v>
      </c>
      <c r="O258" t="s">
        <v>19</v>
      </c>
      <c r="P258" t="s">
        <v>20</v>
      </c>
      <c r="Q258">
        <v>20230217</v>
      </c>
    </row>
    <row r="259" spans="1:17" x14ac:dyDescent="0.25">
      <c r="A259" t="s">
        <v>548</v>
      </c>
      <c r="B259" t="s">
        <v>429</v>
      </c>
      <c r="C259">
        <v>6</v>
      </c>
      <c r="D259">
        <v>20230217</v>
      </c>
      <c r="E259">
        <v>2</v>
      </c>
      <c r="F259">
        <v>411100</v>
      </c>
      <c r="G259" t="s">
        <v>18</v>
      </c>
      <c r="H259" t="s">
        <v>73</v>
      </c>
      <c r="I259" t="s">
        <v>74</v>
      </c>
      <c r="J259">
        <v>123020177</v>
      </c>
      <c r="K259">
        <v>20230217</v>
      </c>
      <c r="L259" t="s">
        <v>5272</v>
      </c>
      <c r="M259">
        <v>0</v>
      </c>
      <c r="N259">
        <v>5.5</v>
      </c>
      <c r="O259" t="s">
        <v>19</v>
      </c>
      <c r="P259" t="s">
        <v>20</v>
      </c>
      <c r="Q259">
        <v>20230217</v>
      </c>
    </row>
    <row r="260" spans="1:17" x14ac:dyDescent="0.25">
      <c r="A260" t="s">
        <v>548</v>
      </c>
      <c r="B260" t="s">
        <v>429</v>
      </c>
      <c r="C260">
        <v>6</v>
      </c>
      <c r="D260">
        <v>20230217</v>
      </c>
      <c r="E260">
        <v>2</v>
      </c>
      <c r="F260">
        <v>411100</v>
      </c>
      <c r="G260" t="s">
        <v>18</v>
      </c>
      <c r="H260" t="s">
        <v>259</v>
      </c>
      <c r="I260" t="s">
        <v>260</v>
      </c>
      <c r="J260">
        <v>123020015</v>
      </c>
      <c r="K260">
        <v>20230217</v>
      </c>
      <c r="L260" t="s">
        <v>5273</v>
      </c>
      <c r="M260">
        <v>0</v>
      </c>
      <c r="N260">
        <v>4</v>
      </c>
      <c r="O260" t="s">
        <v>19</v>
      </c>
      <c r="P260" t="s">
        <v>20</v>
      </c>
      <c r="Q260">
        <v>20230217</v>
      </c>
    </row>
    <row r="261" spans="1:17" x14ac:dyDescent="0.25">
      <c r="A261" t="s">
        <v>548</v>
      </c>
      <c r="B261" t="s">
        <v>429</v>
      </c>
      <c r="C261">
        <v>6</v>
      </c>
      <c r="D261">
        <v>20230217</v>
      </c>
      <c r="E261">
        <v>2</v>
      </c>
      <c r="F261">
        <v>411100</v>
      </c>
      <c r="G261" t="s">
        <v>18</v>
      </c>
      <c r="H261" t="s">
        <v>5192</v>
      </c>
      <c r="I261" t="s">
        <v>5193</v>
      </c>
      <c r="J261">
        <v>123020133</v>
      </c>
      <c r="K261">
        <v>20230217</v>
      </c>
      <c r="L261" t="s">
        <v>5274</v>
      </c>
      <c r="M261">
        <v>0</v>
      </c>
      <c r="N261">
        <v>2</v>
      </c>
      <c r="O261" t="s">
        <v>19</v>
      </c>
      <c r="P261" t="s">
        <v>20</v>
      </c>
      <c r="Q261">
        <v>20230217</v>
      </c>
    </row>
    <row r="262" spans="1:17" x14ac:dyDescent="0.25">
      <c r="A262" t="s">
        <v>548</v>
      </c>
      <c r="B262" t="s">
        <v>429</v>
      </c>
      <c r="C262">
        <v>6</v>
      </c>
      <c r="D262">
        <v>20230217</v>
      </c>
      <c r="E262">
        <v>2</v>
      </c>
      <c r="F262">
        <v>411100</v>
      </c>
      <c r="G262" t="s">
        <v>18</v>
      </c>
      <c r="H262" t="s">
        <v>5195</v>
      </c>
      <c r="I262" t="s">
        <v>5196</v>
      </c>
      <c r="J262">
        <v>123020104</v>
      </c>
      <c r="K262">
        <v>20230217</v>
      </c>
      <c r="L262" t="s">
        <v>5275</v>
      </c>
      <c r="M262">
        <v>0</v>
      </c>
      <c r="N262">
        <v>2</v>
      </c>
      <c r="O262" t="s">
        <v>19</v>
      </c>
      <c r="P262" t="s">
        <v>20</v>
      </c>
      <c r="Q262">
        <v>20230217</v>
      </c>
    </row>
    <row r="263" spans="1:17" x14ac:dyDescent="0.25">
      <c r="A263" t="s">
        <v>548</v>
      </c>
      <c r="B263" t="s">
        <v>429</v>
      </c>
      <c r="C263">
        <v>6</v>
      </c>
      <c r="D263">
        <v>20230217</v>
      </c>
      <c r="E263">
        <v>2</v>
      </c>
      <c r="F263">
        <v>411100</v>
      </c>
      <c r="G263" t="s">
        <v>18</v>
      </c>
      <c r="H263" t="s">
        <v>1911</v>
      </c>
      <c r="I263" t="s">
        <v>1912</v>
      </c>
      <c r="J263">
        <v>123020045</v>
      </c>
      <c r="K263">
        <v>20230217</v>
      </c>
      <c r="L263" t="s">
        <v>5276</v>
      </c>
      <c r="M263">
        <v>0</v>
      </c>
      <c r="N263">
        <v>2</v>
      </c>
      <c r="O263" t="s">
        <v>19</v>
      </c>
      <c r="P263" t="s">
        <v>20</v>
      </c>
      <c r="Q263">
        <v>20230217</v>
      </c>
    </row>
    <row r="264" spans="1:17" x14ac:dyDescent="0.25">
      <c r="A264" t="s">
        <v>548</v>
      </c>
      <c r="B264" t="s">
        <v>429</v>
      </c>
      <c r="C264">
        <v>6</v>
      </c>
      <c r="D264">
        <v>20230217</v>
      </c>
      <c r="E264">
        <v>2</v>
      </c>
      <c r="F264">
        <v>411100</v>
      </c>
      <c r="G264" t="s">
        <v>18</v>
      </c>
      <c r="H264" t="s">
        <v>3901</v>
      </c>
      <c r="I264" t="s">
        <v>3902</v>
      </c>
      <c r="J264">
        <v>123020128</v>
      </c>
      <c r="K264">
        <v>20230217</v>
      </c>
      <c r="L264" t="s">
        <v>5277</v>
      </c>
      <c r="M264">
        <v>0</v>
      </c>
      <c r="N264">
        <v>2</v>
      </c>
      <c r="O264" t="s">
        <v>19</v>
      </c>
      <c r="P264" t="s">
        <v>20</v>
      </c>
      <c r="Q264">
        <v>20230217</v>
      </c>
    </row>
    <row r="265" spans="1:17" x14ac:dyDescent="0.25">
      <c r="A265" t="s">
        <v>548</v>
      </c>
      <c r="B265" t="s">
        <v>429</v>
      </c>
      <c r="C265">
        <v>6</v>
      </c>
      <c r="D265">
        <v>20230217</v>
      </c>
      <c r="E265">
        <v>2</v>
      </c>
      <c r="F265">
        <v>411100</v>
      </c>
      <c r="G265" t="s">
        <v>18</v>
      </c>
      <c r="H265" t="s">
        <v>77</v>
      </c>
      <c r="I265" t="s">
        <v>78</v>
      </c>
      <c r="J265">
        <v>123020101</v>
      </c>
      <c r="K265">
        <v>20230217</v>
      </c>
      <c r="L265" t="s">
        <v>5278</v>
      </c>
      <c r="M265">
        <v>0</v>
      </c>
      <c r="N265">
        <v>6</v>
      </c>
      <c r="O265" t="s">
        <v>19</v>
      </c>
      <c r="P265" t="s">
        <v>20</v>
      </c>
      <c r="Q265">
        <v>20230217</v>
      </c>
    </row>
    <row r="266" spans="1:17" x14ac:dyDescent="0.25">
      <c r="A266" t="s">
        <v>548</v>
      </c>
      <c r="B266" t="s">
        <v>429</v>
      </c>
      <c r="C266">
        <v>6</v>
      </c>
      <c r="D266">
        <v>20230217</v>
      </c>
      <c r="E266">
        <v>2</v>
      </c>
      <c r="F266">
        <v>411100</v>
      </c>
      <c r="G266" t="s">
        <v>18</v>
      </c>
      <c r="H266" t="s">
        <v>5279</v>
      </c>
      <c r="I266" t="s">
        <v>5280</v>
      </c>
      <c r="J266">
        <v>123020153</v>
      </c>
      <c r="K266">
        <v>20230217</v>
      </c>
      <c r="L266" t="s">
        <v>5281</v>
      </c>
      <c r="M266">
        <v>0</v>
      </c>
      <c r="N266">
        <v>2</v>
      </c>
      <c r="O266" t="s">
        <v>19</v>
      </c>
      <c r="P266" t="s">
        <v>20</v>
      </c>
      <c r="Q266">
        <v>20230217</v>
      </c>
    </row>
    <row r="267" spans="1:17" x14ac:dyDescent="0.25">
      <c r="A267" t="s">
        <v>548</v>
      </c>
      <c r="B267" t="s">
        <v>429</v>
      </c>
      <c r="C267">
        <v>6</v>
      </c>
      <c r="D267">
        <v>20230217</v>
      </c>
      <c r="E267">
        <v>2</v>
      </c>
      <c r="F267">
        <v>531105</v>
      </c>
      <c r="G267" t="s">
        <v>429</v>
      </c>
      <c r="H267" t="s">
        <v>401</v>
      </c>
      <c r="I267" t="s">
        <v>402</v>
      </c>
      <c r="J267">
        <v>366690</v>
      </c>
      <c r="K267">
        <v>20230217</v>
      </c>
      <c r="L267" t="s">
        <v>565</v>
      </c>
      <c r="M267">
        <v>32.5</v>
      </c>
      <c r="N267">
        <v>0</v>
      </c>
      <c r="O267" t="s">
        <v>19</v>
      </c>
      <c r="P267" t="s">
        <v>20</v>
      </c>
      <c r="Q267">
        <v>20230217</v>
      </c>
    </row>
    <row r="268" spans="1:17" x14ac:dyDescent="0.25">
      <c r="A268" t="s">
        <v>548</v>
      </c>
      <c r="B268" t="s">
        <v>429</v>
      </c>
      <c r="C268">
        <v>6</v>
      </c>
      <c r="D268">
        <v>20230220</v>
      </c>
      <c r="E268">
        <v>2</v>
      </c>
      <c r="F268">
        <v>467100</v>
      </c>
      <c r="G268" t="s">
        <v>160</v>
      </c>
      <c r="H268" t="s">
        <v>1201</v>
      </c>
      <c r="I268" t="s">
        <v>1202</v>
      </c>
      <c r="J268" t="s">
        <v>5282</v>
      </c>
      <c r="K268">
        <v>20230220</v>
      </c>
      <c r="L268" t="s">
        <v>5283</v>
      </c>
      <c r="M268">
        <v>56.54</v>
      </c>
      <c r="N268">
        <v>0</v>
      </c>
      <c r="O268" t="s">
        <v>23</v>
      </c>
      <c r="P268">
        <v>20230308</v>
      </c>
      <c r="Q268">
        <v>20230220</v>
      </c>
    </row>
    <row r="269" spans="1:17" x14ac:dyDescent="0.25">
      <c r="A269" t="s">
        <v>548</v>
      </c>
      <c r="B269" t="s">
        <v>429</v>
      </c>
      <c r="C269">
        <v>6</v>
      </c>
      <c r="D269">
        <v>20230220</v>
      </c>
      <c r="E269">
        <v>2</v>
      </c>
      <c r="F269">
        <v>531105</v>
      </c>
      <c r="G269" t="s">
        <v>429</v>
      </c>
      <c r="H269" t="s">
        <v>401</v>
      </c>
      <c r="I269" t="s">
        <v>402</v>
      </c>
      <c r="J269" t="s">
        <v>5282</v>
      </c>
      <c r="K269">
        <v>20230220</v>
      </c>
      <c r="L269" t="s">
        <v>5283</v>
      </c>
      <c r="M269">
        <v>0</v>
      </c>
      <c r="N269">
        <v>56.54</v>
      </c>
      <c r="O269" t="s">
        <v>19</v>
      </c>
      <c r="P269" t="s">
        <v>20</v>
      </c>
      <c r="Q269">
        <v>20230220</v>
      </c>
    </row>
    <row r="270" spans="1:17" x14ac:dyDescent="0.25">
      <c r="A270" t="s">
        <v>548</v>
      </c>
      <c r="B270" t="s">
        <v>429</v>
      </c>
      <c r="C270">
        <v>6</v>
      </c>
      <c r="D270">
        <v>20230220</v>
      </c>
      <c r="E270">
        <v>2</v>
      </c>
      <c r="F270">
        <v>467100</v>
      </c>
      <c r="G270" t="s">
        <v>160</v>
      </c>
      <c r="H270" t="s">
        <v>4958</v>
      </c>
      <c r="I270" t="s">
        <v>4959</v>
      </c>
      <c r="J270" t="s">
        <v>5284</v>
      </c>
      <c r="K270">
        <v>20230220</v>
      </c>
      <c r="L270" t="s">
        <v>5285</v>
      </c>
      <c r="M270">
        <v>0</v>
      </c>
      <c r="N270">
        <v>18.05</v>
      </c>
      <c r="O270" t="s">
        <v>23</v>
      </c>
      <c r="P270">
        <v>20230308</v>
      </c>
      <c r="Q270">
        <v>20230220</v>
      </c>
    </row>
    <row r="271" spans="1:17" x14ac:dyDescent="0.25">
      <c r="A271" t="s">
        <v>548</v>
      </c>
      <c r="B271" t="s">
        <v>429</v>
      </c>
      <c r="C271">
        <v>6</v>
      </c>
      <c r="D271">
        <v>20230220</v>
      </c>
      <c r="E271">
        <v>2</v>
      </c>
      <c r="F271">
        <v>531105</v>
      </c>
      <c r="G271" t="s">
        <v>429</v>
      </c>
      <c r="H271" t="s">
        <v>401</v>
      </c>
      <c r="I271" t="s">
        <v>402</v>
      </c>
      <c r="J271" t="s">
        <v>5284</v>
      </c>
      <c r="K271">
        <v>20230220</v>
      </c>
      <c r="L271" t="s">
        <v>5285</v>
      </c>
      <c r="M271">
        <v>18.05</v>
      </c>
      <c r="N271">
        <v>0</v>
      </c>
      <c r="O271" t="s">
        <v>19</v>
      </c>
      <c r="P271" t="s">
        <v>20</v>
      </c>
      <c r="Q271">
        <v>20230220</v>
      </c>
    </row>
    <row r="272" spans="1:17" x14ac:dyDescent="0.25">
      <c r="A272" t="s">
        <v>548</v>
      </c>
      <c r="B272" t="s">
        <v>429</v>
      </c>
      <c r="C272">
        <v>6</v>
      </c>
      <c r="D272">
        <v>20230220</v>
      </c>
      <c r="E272">
        <v>2</v>
      </c>
      <c r="F272">
        <v>467100</v>
      </c>
      <c r="G272" t="s">
        <v>160</v>
      </c>
      <c r="H272" t="s">
        <v>4958</v>
      </c>
      <c r="I272" t="s">
        <v>4959</v>
      </c>
      <c r="J272" t="s">
        <v>5286</v>
      </c>
      <c r="K272">
        <v>20230220</v>
      </c>
      <c r="L272" t="s">
        <v>5287</v>
      </c>
      <c r="M272">
        <v>0</v>
      </c>
      <c r="N272">
        <v>91.44</v>
      </c>
      <c r="O272" t="s">
        <v>23</v>
      </c>
      <c r="P272">
        <v>20230308</v>
      </c>
      <c r="Q272">
        <v>20230220</v>
      </c>
    </row>
    <row r="273" spans="1:17" x14ac:dyDescent="0.25">
      <c r="A273" t="s">
        <v>548</v>
      </c>
      <c r="B273" t="s">
        <v>429</v>
      </c>
      <c r="C273">
        <v>6</v>
      </c>
      <c r="D273">
        <v>20230220</v>
      </c>
      <c r="E273">
        <v>2</v>
      </c>
      <c r="F273">
        <v>531105</v>
      </c>
      <c r="G273" t="s">
        <v>429</v>
      </c>
      <c r="H273" t="s">
        <v>401</v>
      </c>
      <c r="I273" t="s">
        <v>402</v>
      </c>
      <c r="J273" t="s">
        <v>5286</v>
      </c>
      <c r="K273">
        <v>20230220</v>
      </c>
      <c r="L273" t="s">
        <v>5288</v>
      </c>
      <c r="M273">
        <v>91.44</v>
      </c>
      <c r="N273">
        <v>0</v>
      </c>
      <c r="O273" t="s">
        <v>19</v>
      </c>
      <c r="P273" t="s">
        <v>20</v>
      </c>
      <c r="Q273">
        <v>20230220</v>
      </c>
    </row>
    <row r="274" spans="1:17" x14ac:dyDescent="0.25">
      <c r="A274" t="s">
        <v>548</v>
      </c>
      <c r="B274" t="s">
        <v>429</v>
      </c>
      <c r="C274">
        <v>6</v>
      </c>
      <c r="D274">
        <v>20230220</v>
      </c>
      <c r="E274">
        <v>2</v>
      </c>
      <c r="F274">
        <v>411100</v>
      </c>
      <c r="G274" t="s">
        <v>18</v>
      </c>
      <c r="H274" t="s">
        <v>291</v>
      </c>
      <c r="I274" t="s">
        <v>292</v>
      </c>
      <c r="J274">
        <v>123020161</v>
      </c>
      <c r="K274">
        <v>20230220</v>
      </c>
      <c r="L274" t="s">
        <v>5289</v>
      </c>
      <c r="M274">
        <v>0</v>
      </c>
      <c r="N274">
        <v>2</v>
      </c>
      <c r="O274" t="s">
        <v>19</v>
      </c>
      <c r="P274" t="s">
        <v>20</v>
      </c>
      <c r="Q274">
        <v>20230220</v>
      </c>
    </row>
    <row r="275" spans="1:17" x14ac:dyDescent="0.25">
      <c r="A275" t="s">
        <v>548</v>
      </c>
      <c r="B275" t="s">
        <v>429</v>
      </c>
      <c r="C275">
        <v>6</v>
      </c>
      <c r="D275">
        <v>20230220</v>
      </c>
      <c r="E275">
        <v>2</v>
      </c>
      <c r="F275">
        <v>411100</v>
      </c>
      <c r="G275" t="s">
        <v>18</v>
      </c>
      <c r="H275" t="s">
        <v>1043</v>
      </c>
      <c r="I275" t="s">
        <v>1044</v>
      </c>
      <c r="J275">
        <v>123020141</v>
      </c>
      <c r="K275">
        <v>20230220</v>
      </c>
      <c r="L275" t="s">
        <v>5290</v>
      </c>
      <c r="M275">
        <v>0</v>
      </c>
      <c r="N275">
        <v>3</v>
      </c>
      <c r="O275" t="s">
        <v>23</v>
      </c>
      <c r="P275">
        <v>20230329</v>
      </c>
      <c r="Q275">
        <v>20230220</v>
      </c>
    </row>
    <row r="276" spans="1:17" x14ac:dyDescent="0.25">
      <c r="A276" t="s">
        <v>548</v>
      </c>
      <c r="B276" t="s">
        <v>429</v>
      </c>
      <c r="C276">
        <v>6</v>
      </c>
      <c r="D276">
        <v>20230220</v>
      </c>
      <c r="E276">
        <v>2</v>
      </c>
      <c r="F276">
        <v>411100</v>
      </c>
      <c r="G276" t="s">
        <v>18</v>
      </c>
      <c r="H276" t="s">
        <v>1774</v>
      </c>
      <c r="I276" t="s">
        <v>1775</v>
      </c>
      <c r="J276">
        <v>123020147</v>
      </c>
      <c r="K276">
        <v>20230220</v>
      </c>
      <c r="L276" t="s">
        <v>5291</v>
      </c>
      <c r="M276">
        <v>0</v>
      </c>
      <c r="N276">
        <v>2</v>
      </c>
      <c r="O276" t="s">
        <v>23</v>
      </c>
      <c r="P276">
        <v>20230329</v>
      </c>
      <c r="Q276">
        <v>20230220</v>
      </c>
    </row>
    <row r="277" spans="1:17" x14ac:dyDescent="0.25">
      <c r="A277" t="s">
        <v>548</v>
      </c>
      <c r="B277" t="s">
        <v>429</v>
      </c>
      <c r="C277">
        <v>6</v>
      </c>
      <c r="D277">
        <v>20230220</v>
      </c>
      <c r="E277">
        <v>2</v>
      </c>
      <c r="F277">
        <v>411100</v>
      </c>
      <c r="G277" t="s">
        <v>18</v>
      </c>
      <c r="H277" t="s">
        <v>817</v>
      </c>
      <c r="I277" t="s">
        <v>818</v>
      </c>
      <c r="J277">
        <v>123020019</v>
      </c>
      <c r="K277">
        <v>20230220</v>
      </c>
      <c r="L277" t="s">
        <v>5292</v>
      </c>
      <c r="M277">
        <v>0</v>
      </c>
      <c r="N277">
        <v>1</v>
      </c>
      <c r="O277" t="s">
        <v>19</v>
      </c>
      <c r="P277" t="s">
        <v>20</v>
      </c>
      <c r="Q277">
        <v>20230220</v>
      </c>
    </row>
    <row r="278" spans="1:17" x14ac:dyDescent="0.25">
      <c r="A278" t="s">
        <v>548</v>
      </c>
      <c r="B278" t="s">
        <v>429</v>
      </c>
      <c r="C278">
        <v>6</v>
      </c>
      <c r="D278">
        <v>20230220</v>
      </c>
      <c r="E278">
        <v>2</v>
      </c>
      <c r="F278">
        <v>411100</v>
      </c>
      <c r="G278" t="s">
        <v>18</v>
      </c>
      <c r="H278" t="s">
        <v>734</v>
      </c>
      <c r="I278" t="s">
        <v>735</v>
      </c>
      <c r="J278">
        <v>123020087</v>
      </c>
      <c r="K278">
        <v>20230220</v>
      </c>
      <c r="L278" t="s">
        <v>5293</v>
      </c>
      <c r="M278">
        <v>0</v>
      </c>
      <c r="N278">
        <v>1</v>
      </c>
      <c r="O278" t="s">
        <v>19</v>
      </c>
      <c r="P278" t="s">
        <v>20</v>
      </c>
      <c r="Q278">
        <v>20230220</v>
      </c>
    </row>
    <row r="279" spans="1:17" x14ac:dyDescent="0.25">
      <c r="A279" t="s">
        <v>548</v>
      </c>
      <c r="B279" t="s">
        <v>429</v>
      </c>
      <c r="C279">
        <v>6</v>
      </c>
      <c r="D279">
        <v>20230220</v>
      </c>
      <c r="E279">
        <v>2</v>
      </c>
      <c r="F279">
        <v>531105</v>
      </c>
      <c r="G279" t="s">
        <v>429</v>
      </c>
      <c r="H279" t="s">
        <v>401</v>
      </c>
      <c r="I279" t="s">
        <v>402</v>
      </c>
      <c r="J279">
        <v>366696</v>
      </c>
      <c r="K279">
        <v>20230220</v>
      </c>
      <c r="L279" t="s">
        <v>565</v>
      </c>
      <c r="M279">
        <v>9</v>
      </c>
      <c r="N279">
        <v>0</v>
      </c>
      <c r="O279" t="s">
        <v>19</v>
      </c>
      <c r="P279" t="s">
        <v>20</v>
      </c>
      <c r="Q279">
        <v>20230220</v>
      </c>
    </row>
    <row r="280" spans="1:17" x14ac:dyDescent="0.25">
      <c r="A280" t="s">
        <v>548</v>
      </c>
      <c r="B280" t="s">
        <v>429</v>
      </c>
      <c r="C280">
        <v>6</v>
      </c>
      <c r="D280">
        <v>20230220</v>
      </c>
      <c r="E280">
        <v>2</v>
      </c>
      <c r="F280">
        <v>411100</v>
      </c>
      <c r="G280" t="s">
        <v>18</v>
      </c>
      <c r="H280" t="s">
        <v>192</v>
      </c>
      <c r="I280" t="s">
        <v>193</v>
      </c>
      <c r="J280">
        <v>323010005</v>
      </c>
      <c r="K280">
        <v>20230220</v>
      </c>
      <c r="L280" t="s">
        <v>5294</v>
      </c>
      <c r="M280">
        <v>0</v>
      </c>
      <c r="N280">
        <v>50.45</v>
      </c>
      <c r="O280" t="s">
        <v>19</v>
      </c>
      <c r="P280" t="s">
        <v>20</v>
      </c>
      <c r="Q280">
        <v>20230220</v>
      </c>
    </row>
    <row r="281" spans="1:17" x14ac:dyDescent="0.25">
      <c r="A281" t="s">
        <v>548</v>
      </c>
      <c r="B281" t="s">
        <v>429</v>
      </c>
      <c r="C281">
        <v>6</v>
      </c>
      <c r="D281">
        <v>20230220</v>
      </c>
      <c r="E281">
        <v>2</v>
      </c>
      <c r="F281">
        <v>531105</v>
      </c>
      <c r="G281" t="s">
        <v>429</v>
      </c>
      <c r="H281" t="s">
        <v>401</v>
      </c>
      <c r="I281" t="s">
        <v>402</v>
      </c>
      <c r="J281">
        <v>367256</v>
      </c>
      <c r="K281">
        <v>20230220</v>
      </c>
      <c r="L281" t="s">
        <v>565</v>
      </c>
      <c r="M281">
        <v>50.45</v>
      </c>
      <c r="N281">
        <v>0</v>
      </c>
      <c r="O281" t="s">
        <v>19</v>
      </c>
      <c r="P281" t="s">
        <v>20</v>
      </c>
      <c r="Q281">
        <v>20230220</v>
      </c>
    </row>
    <row r="282" spans="1:17" x14ac:dyDescent="0.25">
      <c r="A282" t="s">
        <v>548</v>
      </c>
      <c r="B282" t="s">
        <v>429</v>
      </c>
      <c r="C282">
        <v>6</v>
      </c>
      <c r="D282">
        <v>20230221</v>
      </c>
      <c r="E282">
        <v>2</v>
      </c>
      <c r="F282">
        <v>467100</v>
      </c>
      <c r="G282" t="s">
        <v>160</v>
      </c>
      <c r="H282" t="s">
        <v>316</v>
      </c>
      <c r="I282" t="s">
        <v>317</v>
      </c>
      <c r="J282" t="s">
        <v>5295</v>
      </c>
      <c r="K282">
        <v>20230221</v>
      </c>
      <c r="L282" t="s">
        <v>5296</v>
      </c>
      <c r="M282">
        <v>0</v>
      </c>
      <c r="N282">
        <v>1.98</v>
      </c>
      <c r="O282" t="s">
        <v>23</v>
      </c>
      <c r="P282">
        <v>20230316</v>
      </c>
      <c r="Q282">
        <v>20230221</v>
      </c>
    </row>
    <row r="283" spans="1:17" x14ac:dyDescent="0.25">
      <c r="A283" t="s">
        <v>548</v>
      </c>
      <c r="B283" t="s">
        <v>429</v>
      </c>
      <c r="C283">
        <v>6</v>
      </c>
      <c r="D283">
        <v>20230221</v>
      </c>
      <c r="E283">
        <v>2</v>
      </c>
      <c r="F283">
        <v>531105</v>
      </c>
      <c r="G283" t="s">
        <v>429</v>
      </c>
      <c r="H283" t="s">
        <v>401</v>
      </c>
      <c r="I283" t="s">
        <v>402</v>
      </c>
      <c r="J283" t="s">
        <v>5295</v>
      </c>
      <c r="K283">
        <v>20230221</v>
      </c>
      <c r="L283" t="s">
        <v>5296</v>
      </c>
      <c r="M283">
        <v>1.98</v>
      </c>
      <c r="N283">
        <v>0</v>
      </c>
      <c r="O283" t="s">
        <v>19</v>
      </c>
      <c r="P283" t="s">
        <v>20</v>
      </c>
      <c r="Q283">
        <v>20230221</v>
      </c>
    </row>
    <row r="284" spans="1:17" x14ac:dyDescent="0.25">
      <c r="A284" t="s">
        <v>548</v>
      </c>
      <c r="B284" t="s">
        <v>429</v>
      </c>
      <c r="C284">
        <v>6</v>
      </c>
      <c r="D284">
        <v>20230221</v>
      </c>
      <c r="E284">
        <v>2</v>
      </c>
      <c r="F284">
        <v>411100</v>
      </c>
      <c r="G284" t="s">
        <v>18</v>
      </c>
      <c r="H284" t="s">
        <v>1911</v>
      </c>
      <c r="I284" t="s">
        <v>1912</v>
      </c>
      <c r="J284">
        <v>123020045</v>
      </c>
      <c r="K284">
        <v>20230221</v>
      </c>
      <c r="L284" t="s">
        <v>5297</v>
      </c>
      <c r="M284">
        <v>0</v>
      </c>
      <c r="N284">
        <v>5</v>
      </c>
      <c r="O284" t="s">
        <v>19</v>
      </c>
      <c r="P284" t="s">
        <v>20</v>
      </c>
      <c r="Q284">
        <v>20230221</v>
      </c>
    </row>
    <row r="285" spans="1:17" x14ac:dyDescent="0.25">
      <c r="A285" t="s">
        <v>548</v>
      </c>
      <c r="B285" t="s">
        <v>429</v>
      </c>
      <c r="C285">
        <v>6</v>
      </c>
      <c r="D285">
        <v>20230221</v>
      </c>
      <c r="E285">
        <v>2</v>
      </c>
      <c r="F285">
        <v>411100</v>
      </c>
      <c r="G285" t="s">
        <v>18</v>
      </c>
      <c r="H285" t="s">
        <v>3901</v>
      </c>
      <c r="I285" t="s">
        <v>3902</v>
      </c>
      <c r="J285">
        <v>123020128</v>
      </c>
      <c r="K285">
        <v>20230221</v>
      </c>
      <c r="L285" t="s">
        <v>5298</v>
      </c>
      <c r="M285">
        <v>0</v>
      </c>
      <c r="N285">
        <v>5</v>
      </c>
      <c r="O285" t="s">
        <v>19</v>
      </c>
      <c r="P285" t="s">
        <v>20</v>
      </c>
      <c r="Q285">
        <v>20230221</v>
      </c>
    </row>
    <row r="286" spans="1:17" x14ac:dyDescent="0.25">
      <c r="A286" t="s">
        <v>548</v>
      </c>
      <c r="B286" t="s">
        <v>429</v>
      </c>
      <c r="C286">
        <v>6</v>
      </c>
      <c r="D286">
        <v>20230221</v>
      </c>
      <c r="E286">
        <v>2</v>
      </c>
      <c r="F286">
        <v>411100</v>
      </c>
      <c r="G286" t="s">
        <v>18</v>
      </c>
      <c r="H286" t="s">
        <v>5192</v>
      </c>
      <c r="I286" t="s">
        <v>5193</v>
      </c>
      <c r="J286">
        <v>123020133</v>
      </c>
      <c r="K286">
        <v>20230221</v>
      </c>
      <c r="L286" t="s">
        <v>5299</v>
      </c>
      <c r="M286">
        <v>0</v>
      </c>
      <c r="N286">
        <v>5</v>
      </c>
      <c r="O286" t="s">
        <v>19</v>
      </c>
      <c r="P286" t="s">
        <v>20</v>
      </c>
      <c r="Q286">
        <v>20230221</v>
      </c>
    </row>
    <row r="287" spans="1:17" x14ac:dyDescent="0.25">
      <c r="A287" t="s">
        <v>548</v>
      </c>
      <c r="B287" t="s">
        <v>429</v>
      </c>
      <c r="C287">
        <v>6</v>
      </c>
      <c r="D287">
        <v>20230221</v>
      </c>
      <c r="E287">
        <v>2</v>
      </c>
      <c r="F287">
        <v>411100</v>
      </c>
      <c r="G287" t="s">
        <v>18</v>
      </c>
      <c r="H287" t="s">
        <v>5195</v>
      </c>
      <c r="I287" t="s">
        <v>5196</v>
      </c>
      <c r="J287">
        <v>123020104</v>
      </c>
      <c r="K287">
        <v>20230221</v>
      </c>
      <c r="L287" t="s">
        <v>5300</v>
      </c>
      <c r="M287">
        <v>0</v>
      </c>
      <c r="N287">
        <v>5</v>
      </c>
      <c r="O287" t="s">
        <v>19</v>
      </c>
      <c r="P287" t="s">
        <v>20</v>
      </c>
      <c r="Q287">
        <v>20230221</v>
      </c>
    </row>
    <row r="288" spans="1:17" x14ac:dyDescent="0.25">
      <c r="A288" t="s">
        <v>548</v>
      </c>
      <c r="B288" t="s">
        <v>429</v>
      </c>
      <c r="C288">
        <v>6</v>
      </c>
      <c r="D288">
        <v>20230221</v>
      </c>
      <c r="E288">
        <v>2</v>
      </c>
      <c r="F288">
        <v>411100</v>
      </c>
      <c r="G288" t="s">
        <v>18</v>
      </c>
      <c r="H288" t="s">
        <v>73</v>
      </c>
      <c r="I288" t="s">
        <v>74</v>
      </c>
      <c r="J288">
        <v>123020177</v>
      </c>
      <c r="K288">
        <v>20230221</v>
      </c>
      <c r="L288" t="s">
        <v>5301</v>
      </c>
      <c r="M288">
        <v>0</v>
      </c>
      <c r="N288">
        <v>5</v>
      </c>
      <c r="O288" t="s">
        <v>19</v>
      </c>
      <c r="P288" t="s">
        <v>20</v>
      </c>
      <c r="Q288">
        <v>20230221</v>
      </c>
    </row>
    <row r="289" spans="1:17" x14ac:dyDescent="0.25">
      <c r="A289" t="s">
        <v>548</v>
      </c>
      <c r="B289" t="s">
        <v>429</v>
      </c>
      <c r="C289">
        <v>6</v>
      </c>
      <c r="D289">
        <v>20230221</v>
      </c>
      <c r="E289">
        <v>2</v>
      </c>
      <c r="F289">
        <v>411100</v>
      </c>
      <c r="G289" t="s">
        <v>18</v>
      </c>
      <c r="H289" t="s">
        <v>1172</v>
      </c>
      <c r="I289" t="s">
        <v>1173</v>
      </c>
      <c r="J289">
        <v>123020152</v>
      </c>
      <c r="K289">
        <v>20230221</v>
      </c>
      <c r="L289" t="s">
        <v>5302</v>
      </c>
      <c r="M289">
        <v>0</v>
      </c>
      <c r="N289">
        <v>5</v>
      </c>
      <c r="O289" t="s">
        <v>19</v>
      </c>
      <c r="P289" t="s">
        <v>20</v>
      </c>
      <c r="Q289">
        <v>20230221</v>
      </c>
    </row>
    <row r="290" spans="1:17" x14ac:dyDescent="0.25">
      <c r="A290" t="s">
        <v>548</v>
      </c>
      <c r="B290" t="s">
        <v>429</v>
      </c>
      <c r="C290">
        <v>6</v>
      </c>
      <c r="D290">
        <v>20230221</v>
      </c>
      <c r="E290">
        <v>2</v>
      </c>
      <c r="F290">
        <v>411100</v>
      </c>
      <c r="G290" t="s">
        <v>18</v>
      </c>
      <c r="H290" t="s">
        <v>81</v>
      </c>
      <c r="I290" t="s">
        <v>82</v>
      </c>
      <c r="J290">
        <v>123020039</v>
      </c>
      <c r="K290">
        <v>20230221</v>
      </c>
      <c r="L290" t="s">
        <v>5303</v>
      </c>
      <c r="M290">
        <v>0</v>
      </c>
      <c r="N290">
        <v>5</v>
      </c>
      <c r="O290" t="s">
        <v>19</v>
      </c>
      <c r="P290" t="s">
        <v>20</v>
      </c>
      <c r="Q290">
        <v>20230221</v>
      </c>
    </row>
    <row r="291" spans="1:17" x14ac:dyDescent="0.25">
      <c r="A291" t="s">
        <v>548</v>
      </c>
      <c r="B291" t="s">
        <v>429</v>
      </c>
      <c r="C291">
        <v>6</v>
      </c>
      <c r="D291">
        <v>20230221</v>
      </c>
      <c r="E291">
        <v>2</v>
      </c>
      <c r="F291">
        <v>411100</v>
      </c>
      <c r="G291" t="s">
        <v>18</v>
      </c>
      <c r="H291" t="s">
        <v>1911</v>
      </c>
      <c r="I291" t="s">
        <v>1912</v>
      </c>
      <c r="J291">
        <v>123020045</v>
      </c>
      <c r="K291">
        <v>20230221</v>
      </c>
      <c r="L291" t="s">
        <v>5304</v>
      </c>
      <c r="M291">
        <v>0</v>
      </c>
      <c r="N291">
        <v>5</v>
      </c>
      <c r="O291" t="s">
        <v>19</v>
      </c>
      <c r="P291" t="s">
        <v>20</v>
      </c>
      <c r="Q291">
        <v>20230221</v>
      </c>
    </row>
    <row r="292" spans="1:17" x14ac:dyDescent="0.25">
      <c r="A292" t="s">
        <v>548</v>
      </c>
      <c r="B292" t="s">
        <v>429</v>
      </c>
      <c r="C292">
        <v>6</v>
      </c>
      <c r="D292">
        <v>20230221</v>
      </c>
      <c r="E292">
        <v>2</v>
      </c>
      <c r="F292">
        <v>411100</v>
      </c>
      <c r="G292" t="s">
        <v>18</v>
      </c>
      <c r="H292" t="s">
        <v>85</v>
      </c>
      <c r="I292" t="s">
        <v>86</v>
      </c>
      <c r="J292">
        <v>123020014</v>
      </c>
      <c r="K292">
        <v>20230221</v>
      </c>
      <c r="L292" t="s">
        <v>5305</v>
      </c>
      <c r="M292">
        <v>0</v>
      </c>
      <c r="N292">
        <v>5</v>
      </c>
      <c r="O292" t="s">
        <v>19</v>
      </c>
      <c r="P292" t="s">
        <v>20</v>
      </c>
      <c r="Q292">
        <v>20230221</v>
      </c>
    </row>
    <row r="293" spans="1:17" x14ac:dyDescent="0.25">
      <c r="A293" t="s">
        <v>548</v>
      </c>
      <c r="B293" t="s">
        <v>429</v>
      </c>
      <c r="C293">
        <v>6</v>
      </c>
      <c r="D293">
        <v>20230221</v>
      </c>
      <c r="E293">
        <v>2</v>
      </c>
      <c r="F293">
        <v>411100</v>
      </c>
      <c r="G293" t="s">
        <v>18</v>
      </c>
      <c r="H293" t="s">
        <v>259</v>
      </c>
      <c r="I293" t="s">
        <v>260</v>
      </c>
      <c r="J293">
        <v>123020015</v>
      </c>
      <c r="K293">
        <v>20230221</v>
      </c>
      <c r="L293" t="s">
        <v>5306</v>
      </c>
      <c r="M293">
        <v>0</v>
      </c>
      <c r="N293">
        <v>5</v>
      </c>
      <c r="O293" t="s">
        <v>19</v>
      </c>
      <c r="P293" t="s">
        <v>20</v>
      </c>
      <c r="Q293">
        <v>20230221</v>
      </c>
    </row>
    <row r="294" spans="1:17" x14ac:dyDescent="0.25">
      <c r="A294" t="s">
        <v>548</v>
      </c>
      <c r="B294" t="s">
        <v>429</v>
      </c>
      <c r="C294">
        <v>6</v>
      </c>
      <c r="D294">
        <v>20230221</v>
      </c>
      <c r="E294">
        <v>2</v>
      </c>
      <c r="F294">
        <v>411100</v>
      </c>
      <c r="G294" t="s">
        <v>18</v>
      </c>
      <c r="H294" t="s">
        <v>217</v>
      </c>
      <c r="I294" t="s">
        <v>218</v>
      </c>
      <c r="J294">
        <v>123020117</v>
      </c>
      <c r="K294">
        <v>20230221</v>
      </c>
      <c r="L294" t="s">
        <v>5307</v>
      </c>
      <c r="M294">
        <v>0</v>
      </c>
      <c r="N294">
        <v>5</v>
      </c>
      <c r="O294" t="s">
        <v>19</v>
      </c>
      <c r="P294" t="s">
        <v>20</v>
      </c>
      <c r="Q294">
        <v>20230221</v>
      </c>
    </row>
    <row r="295" spans="1:17" x14ac:dyDescent="0.25">
      <c r="A295" t="s">
        <v>548</v>
      </c>
      <c r="B295" t="s">
        <v>429</v>
      </c>
      <c r="C295">
        <v>6</v>
      </c>
      <c r="D295">
        <v>20230221</v>
      </c>
      <c r="E295">
        <v>2</v>
      </c>
      <c r="F295">
        <v>411100</v>
      </c>
      <c r="G295" t="s">
        <v>18</v>
      </c>
      <c r="H295" t="s">
        <v>800</v>
      </c>
      <c r="I295" t="s">
        <v>801</v>
      </c>
      <c r="J295">
        <v>123020154</v>
      </c>
      <c r="K295">
        <v>20230221</v>
      </c>
      <c r="L295" t="s">
        <v>5308</v>
      </c>
      <c r="M295">
        <v>0</v>
      </c>
      <c r="N295">
        <v>5</v>
      </c>
      <c r="O295" t="s">
        <v>19</v>
      </c>
      <c r="P295" t="s">
        <v>20</v>
      </c>
      <c r="Q295">
        <v>20230221</v>
      </c>
    </row>
    <row r="296" spans="1:17" x14ac:dyDescent="0.25">
      <c r="A296" t="s">
        <v>548</v>
      </c>
      <c r="B296" t="s">
        <v>429</v>
      </c>
      <c r="C296">
        <v>6</v>
      </c>
      <c r="D296">
        <v>20230221</v>
      </c>
      <c r="E296">
        <v>2</v>
      </c>
      <c r="F296">
        <v>411100</v>
      </c>
      <c r="G296" t="s">
        <v>18</v>
      </c>
      <c r="H296" t="s">
        <v>241</v>
      </c>
      <c r="I296" t="s">
        <v>242</v>
      </c>
      <c r="J296">
        <v>123020136</v>
      </c>
      <c r="K296">
        <v>20230221</v>
      </c>
      <c r="L296" t="s">
        <v>5309</v>
      </c>
      <c r="M296">
        <v>0</v>
      </c>
      <c r="N296">
        <v>5</v>
      </c>
      <c r="O296" t="s">
        <v>19</v>
      </c>
      <c r="P296" t="s">
        <v>20</v>
      </c>
      <c r="Q296">
        <v>20230221</v>
      </c>
    </row>
    <row r="297" spans="1:17" x14ac:dyDescent="0.25">
      <c r="A297" t="s">
        <v>548</v>
      </c>
      <c r="B297" t="s">
        <v>429</v>
      </c>
      <c r="C297">
        <v>6</v>
      </c>
      <c r="D297">
        <v>20230221</v>
      </c>
      <c r="E297">
        <v>2</v>
      </c>
      <c r="F297">
        <v>411100</v>
      </c>
      <c r="G297" t="s">
        <v>18</v>
      </c>
      <c r="H297" t="s">
        <v>5192</v>
      </c>
      <c r="I297" t="s">
        <v>5193</v>
      </c>
      <c r="J297">
        <v>123020133</v>
      </c>
      <c r="K297">
        <v>20230221</v>
      </c>
      <c r="L297" t="s">
        <v>5310</v>
      </c>
      <c r="M297">
        <v>0</v>
      </c>
      <c r="N297">
        <v>2</v>
      </c>
      <c r="O297" t="s">
        <v>19</v>
      </c>
      <c r="P297" t="s">
        <v>20</v>
      </c>
      <c r="Q297">
        <v>20230221</v>
      </c>
    </row>
    <row r="298" spans="1:17" x14ac:dyDescent="0.25">
      <c r="A298" t="s">
        <v>548</v>
      </c>
      <c r="B298" t="s">
        <v>429</v>
      </c>
      <c r="C298">
        <v>6</v>
      </c>
      <c r="D298">
        <v>20230221</v>
      </c>
      <c r="E298">
        <v>2</v>
      </c>
      <c r="F298">
        <v>411100</v>
      </c>
      <c r="G298" t="s">
        <v>18</v>
      </c>
      <c r="H298" t="s">
        <v>5195</v>
      </c>
      <c r="I298" t="s">
        <v>5196</v>
      </c>
      <c r="J298">
        <v>123020104</v>
      </c>
      <c r="K298">
        <v>20230221</v>
      </c>
      <c r="L298" t="s">
        <v>5311</v>
      </c>
      <c r="M298">
        <v>0</v>
      </c>
      <c r="N298">
        <v>2</v>
      </c>
      <c r="O298" t="s">
        <v>19</v>
      </c>
      <c r="P298" t="s">
        <v>20</v>
      </c>
      <c r="Q298">
        <v>20230221</v>
      </c>
    </row>
    <row r="299" spans="1:17" x14ac:dyDescent="0.25">
      <c r="A299" t="s">
        <v>548</v>
      </c>
      <c r="B299" t="s">
        <v>429</v>
      </c>
      <c r="C299">
        <v>6</v>
      </c>
      <c r="D299">
        <v>20230221</v>
      </c>
      <c r="E299">
        <v>2</v>
      </c>
      <c r="F299">
        <v>411100</v>
      </c>
      <c r="G299" t="s">
        <v>18</v>
      </c>
      <c r="H299" t="s">
        <v>800</v>
      </c>
      <c r="I299" t="s">
        <v>801</v>
      </c>
      <c r="J299">
        <v>123020154</v>
      </c>
      <c r="K299">
        <v>20230221</v>
      </c>
      <c r="L299" t="s">
        <v>5312</v>
      </c>
      <c r="M299">
        <v>0</v>
      </c>
      <c r="N299">
        <v>10</v>
      </c>
      <c r="O299" t="s">
        <v>19</v>
      </c>
      <c r="P299" t="s">
        <v>20</v>
      </c>
      <c r="Q299">
        <v>20230221</v>
      </c>
    </row>
    <row r="300" spans="1:17" x14ac:dyDescent="0.25">
      <c r="A300" t="s">
        <v>548</v>
      </c>
      <c r="B300" t="s">
        <v>429</v>
      </c>
      <c r="C300">
        <v>6</v>
      </c>
      <c r="D300">
        <v>20230221</v>
      </c>
      <c r="E300">
        <v>2</v>
      </c>
      <c r="F300">
        <v>411100</v>
      </c>
      <c r="G300" t="s">
        <v>18</v>
      </c>
      <c r="H300" t="s">
        <v>5195</v>
      </c>
      <c r="I300" t="s">
        <v>5196</v>
      </c>
      <c r="J300">
        <v>123020104</v>
      </c>
      <c r="K300">
        <v>20230221</v>
      </c>
      <c r="L300" t="s">
        <v>5313</v>
      </c>
      <c r="M300">
        <v>0</v>
      </c>
      <c r="N300">
        <v>6.5</v>
      </c>
      <c r="O300" t="s">
        <v>19</v>
      </c>
      <c r="P300" t="s">
        <v>20</v>
      </c>
      <c r="Q300">
        <v>20230221</v>
      </c>
    </row>
    <row r="301" spans="1:17" x14ac:dyDescent="0.25">
      <c r="A301" t="s">
        <v>548</v>
      </c>
      <c r="B301" t="s">
        <v>429</v>
      </c>
      <c r="C301">
        <v>6</v>
      </c>
      <c r="D301">
        <v>20230221</v>
      </c>
      <c r="E301">
        <v>2</v>
      </c>
      <c r="F301">
        <v>411100</v>
      </c>
      <c r="G301" t="s">
        <v>18</v>
      </c>
      <c r="H301" t="s">
        <v>1911</v>
      </c>
      <c r="I301" t="s">
        <v>1912</v>
      </c>
      <c r="J301">
        <v>123020045</v>
      </c>
      <c r="K301">
        <v>20230221</v>
      </c>
      <c r="L301" t="s">
        <v>5314</v>
      </c>
      <c r="M301">
        <v>0</v>
      </c>
      <c r="N301">
        <v>7</v>
      </c>
      <c r="O301" t="s">
        <v>19</v>
      </c>
      <c r="P301" t="s">
        <v>20</v>
      </c>
      <c r="Q301">
        <v>20230221</v>
      </c>
    </row>
    <row r="302" spans="1:17" x14ac:dyDescent="0.25">
      <c r="A302" t="s">
        <v>548</v>
      </c>
      <c r="B302" t="s">
        <v>429</v>
      </c>
      <c r="C302">
        <v>6</v>
      </c>
      <c r="D302">
        <v>20230221</v>
      </c>
      <c r="E302">
        <v>2</v>
      </c>
      <c r="F302">
        <v>411100</v>
      </c>
      <c r="G302" t="s">
        <v>18</v>
      </c>
      <c r="H302" t="s">
        <v>81</v>
      </c>
      <c r="I302" t="s">
        <v>82</v>
      </c>
      <c r="J302">
        <v>123020039</v>
      </c>
      <c r="K302">
        <v>20230221</v>
      </c>
      <c r="L302" t="s">
        <v>5315</v>
      </c>
      <c r="M302">
        <v>0</v>
      </c>
      <c r="N302">
        <v>3.5</v>
      </c>
      <c r="O302" t="s">
        <v>19</v>
      </c>
      <c r="P302" t="s">
        <v>20</v>
      </c>
      <c r="Q302">
        <v>20230221</v>
      </c>
    </row>
    <row r="303" spans="1:17" x14ac:dyDescent="0.25">
      <c r="A303" t="s">
        <v>548</v>
      </c>
      <c r="B303" t="s">
        <v>429</v>
      </c>
      <c r="C303">
        <v>6</v>
      </c>
      <c r="D303">
        <v>20230221</v>
      </c>
      <c r="E303">
        <v>2</v>
      </c>
      <c r="F303">
        <v>411100</v>
      </c>
      <c r="G303" t="s">
        <v>18</v>
      </c>
      <c r="H303" t="s">
        <v>259</v>
      </c>
      <c r="I303" t="s">
        <v>260</v>
      </c>
      <c r="J303">
        <v>123020015</v>
      </c>
      <c r="K303">
        <v>20230221</v>
      </c>
      <c r="L303" t="s">
        <v>5316</v>
      </c>
      <c r="M303">
        <v>0</v>
      </c>
      <c r="N303">
        <v>6.5</v>
      </c>
      <c r="O303" t="s">
        <v>19</v>
      </c>
      <c r="P303" t="s">
        <v>20</v>
      </c>
      <c r="Q303">
        <v>20230221</v>
      </c>
    </row>
    <row r="304" spans="1:17" x14ac:dyDescent="0.25">
      <c r="A304" t="s">
        <v>548</v>
      </c>
      <c r="B304" t="s">
        <v>429</v>
      </c>
      <c r="C304">
        <v>6</v>
      </c>
      <c r="D304">
        <v>20230221</v>
      </c>
      <c r="E304">
        <v>2</v>
      </c>
      <c r="F304">
        <v>411100</v>
      </c>
      <c r="G304" t="s">
        <v>18</v>
      </c>
      <c r="H304" t="s">
        <v>5189</v>
      </c>
      <c r="I304" t="s">
        <v>5190</v>
      </c>
      <c r="J304">
        <v>123020013</v>
      </c>
      <c r="K304">
        <v>20230221</v>
      </c>
      <c r="L304" t="s">
        <v>5317</v>
      </c>
      <c r="M304">
        <v>0</v>
      </c>
      <c r="N304">
        <v>2</v>
      </c>
      <c r="O304" t="s">
        <v>19</v>
      </c>
      <c r="P304" t="s">
        <v>20</v>
      </c>
      <c r="Q304">
        <v>20230221</v>
      </c>
    </row>
    <row r="305" spans="1:17" x14ac:dyDescent="0.25">
      <c r="A305" t="s">
        <v>548</v>
      </c>
      <c r="B305" t="s">
        <v>429</v>
      </c>
      <c r="C305">
        <v>6</v>
      </c>
      <c r="D305">
        <v>20230221</v>
      </c>
      <c r="E305">
        <v>2</v>
      </c>
      <c r="F305">
        <v>411100</v>
      </c>
      <c r="G305" t="s">
        <v>18</v>
      </c>
      <c r="H305" t="s">
        <v>73</v>
      </c>
      <c r="I305" t="s">
        <v>74</v>
      </c>
      <c r="J305">
        <v>123020177</v>
      </c>
      <c r="K305">
        <v>20230221</v>
      </c>
      <c r="L305" t="s">
        <v>5318</v>
      </c>
      <c r="M305">
        <v>0</v>
      </c>
      <c r="N305">
        <v>3.5</v>
      </c>
      <c r="O305" t="s">
        <v>19</v>
      </c>
      <c r="P305" t="s">
        <v>20</v>
      </c>
      <c r="Q305">
        <v>20230221</v>
      </c>
    </row>
    <row r="306" spans="1:17" x14ac:dyDescent="0.25">
      <c r="A306" t="s">
        <v>548</v>
      </c>
      <c r="B306" t="s">
        <v>429</v>
      </c>
      <c r="C306">
        <v>6</v>
      </c>
      <c r="D306">
        <v>20230221</v>
      </c>
      <c r="E306">
        <v>2</v>
      </c>
      <c r="F306">
        <v>411100</v>
      </c>
      <c r="G306" t="s">
        <v>18</v>
      </c>
      <c r="H306" t="s">
        <v>698</v>
      </c>
      <c r="I306" t="s">
        <v>699</v>
      </c>
      <c r="J306">
        <v>123020091</v>
      </c>
      <c r="K306">
        <v>20230221</v>
      </c>
      <c r="L306" t="s">
        <v>5319</v>
      </c>
      <c r="M306">
        <v>0</v>
      </c>
      <c r="N306">
        <v>7</v>
      </c>
      <c r="O306" t="s">
        <v>19</v>
      </c>
      <c r="P306" t="s">
        <v>20</v>
      </c>
      <c r="Q306">
        <v>20230221</v>
      </c>
    </row>
    <row r="307" spans="1:17" x14ac:dyDescent="0.25">
      <c r="A307" t="s">
        <v>548</v>
      </c>
      <c r="B307" t="s">
        <v>429</v>
      </c>
      <c r="C307">
        <v>6</v>
      </c>
      <c r="D307">
        <v>20230221</v>
      </c>
      <c r="E307">
        <v>2</v>
      </c>
      <c r="F307">
        <v>411100</v>
      </c>
      <c r="G307" t="s">
        <v>18</v>
      </c>
      <c r="H307" t="s">
        <v>3901</v>
      </c>
      <c r="I307" t="s">
        <v>3902</v>
      </c>
      <c r="J307">
        <v>123020128</v>
      </c>
      <c r="K307">
        <v>20230221</v>
      </c>
      <c r="L307" t="s">
        <v>5320</v>
      </c>
      <c r="M307">
        <v>0</v>
      </c>
      <c r="N307">
        <v>1.5</v>
      </c>
      <c r="O307" t="s">
        <v>19</v>
      </c>
      <c r="P307" t="s">
        <v>20</v>
      </c>
      <c r="Q307">
        <v>20230221</v>
      </c>
    </row>
    <row r="308" spans="1:17" x14ac:dyDescent="0.25">
      <c r="A308" t="s">
        <v>548</v>
      </c>
      <c r="B308" t="s">
        <v>429</v>
      </c>
      <c r="C308">
        <v>6</v>
      </c>
      <c r="D308">
        <v>20230221</v>
      </c>
      <c r="E308">
        <v>2</v>
      </c>
      <c r="F308">
        <v>411100</v>
      </c>
      <c r="G308" t="s">
        <v>18</v>
      </c>
      <c r="H308" t="s">
        <v>1172</v>
      </c>
      <c r="I308" t="s">
        <v>1173</v>
      </c>
      <c r="J308">
        <v>123020152</v>
      </c>
      <c r="K308">
        <v>20230221</v>
      </c>
      <c r="L308" t="s">
        <v>5321</v>
      </c>
      <c r="M308">
        <v>0</v>
      </c>
      <c r="N308">
        <v>2</v>
      </c>
      <c r="O308" t="s">
        <v>19</v>
      </c>
      <c r="P308" t="s">
        <v>20</v>
      </c>
      <c r="Q308">
        <v>20230221</v>
      </c>
    </row>
    <row r="309" spans="1:17" x14ac:dyDescent="0.25">
      <c r="A309" t="s">
        <v>548</v>
      </c>
      <c r="B309" t="s">
        <v>429</v>
      </c>
      <c r="C309">
        <v>6</v>
      </c>
      <c r="D309">
        <v>20230221</v>
      </c>
      <c r="E309">
        <v>2</v>
      </c>
      <c r="F309">
        <v>411100</v>
      </c>
      <c r="G309" t="s">
        <v>18</v>
      </c>
      <c r="H309" t="s">
        <v>1172</v>
      </c>
      <c r="I309" t="s">
        <v>1173</v>
      </c>
      <c r="J309">
        <v>123020151</v>
      </c>
      <c r="K309">
        <v>20230221</v>
      </c>
      <c r="L309" t="s">
        <v>5322</v>
      </c>
      <c r="M309">
        <v>0</v>
      </c>
      <c r="N309">
        <v>1.5</v>
      </c>
      <c r="O309" t="s">
        <v>19</v>
      </c>
      <c r="P309" t="s">
        <v>20</v>
      </c>
      <c r="Q309">
        <v>20230221</v>
      </c>
    </row>
    <row r="310" spans="1:17" x14ac:dyDescent="0.25">
      <c r="A310" t="s">
        <v>548</v>
      </c>
      <c r="B310" t="s">
        <v>429</v>
      </c>
      <c r="C310">
        <v>6</v>
      </c>
      <c r="D310">
        <v>20230221</v>
      </c>
      <c r="E310">
        <v>2</v>
      </c>
      <c r="F310">
        <v>411100</v>
      </c>
      <c r="G310" t="s">
        <v>18</v>
      </c>
      <c r="H310" t="s">
        <v>3586</v>
      </c>
      <c r="I310" t="s">
        <v>3587</v>
      </c>
      <c r="J310">
        <v>123020059</v>
      </c>
      <c r="K310">
        <v>20230221</v>
      </c>
      <c r="L310" t="s">
        <v>5323</v>
      </c>
      <c r="M310">
        <v>0</v>
      </c>
      <c r="N310">
        <v>5</v>
      </c>
      <c r="O310" t="s">
        <v>19</v>
      </c>
      <c r="P310" t="s">
        <v>20</v>
      </c>
      <c r="Q310">
        <v>20230221</v>
      </c>
    </row>
    <row r="311" spans="1:17" x14ac:dyDescent="0.25">
      <c r="A311" t="s">
        <v>548</v>
      </c>
      <c r="B311" t="s">
        <v>429</v>
      </c>
      <c r="C311">
        <v>6</v>
      </c>
      <c r="D311">
        <v>20230221</v>
      </c>
      <c r="E311">
        <v>2</v>
      </c>
      <c r="F311">
        <v>411100</v>
      </c>
      <c r="G311" t="s">
        <v>18</v>
      </c>
      <c r="H311" t="s">
        <v>5324</v>
      </c>
      <c r="I311" t="s">
        <v>5325</v>
      </c>
      <c r="J311">
        <v>123020120</v>
      </c>
      <c r="K311">
        <v>20230221</v>
      </c>
      <c r="L311" t="s">
        <v>5326</v>
      </c>
      <c r="M311">
        <v>0</v>
      </c>
      <c r="N311">
        <v>22</v>
      </c>
      <c r="O311" t="s">
        <v>19</v>
      </c>
      <c r="P311" t="s">
        <v>20</v>
      </c>
      <c r="Q311">
        <v>20230221</v>
      </c>
    </row>
    <row r="312" spans="1:17" x14ac:dyDescent="0.25">
      <c r="A312" t="s">
        <v>548</v>
      </c>
      <c r="B312" t="s">
        <v>429</v>
      </c>
      <c r="C312">
        <v>6</v>
      </c>
      <c r="D312">
        <v>20230221</v>
      </c>
      <c r="E312">
        <v>2</v>
      </c>
      <c r="F312">
        <v>411100</v>
      </c>
      <c r="G312" t="s">
        <v>18</v>
      </c>
      <c r="H312" t="s">
        <v>3001</v>
      </c>
      <c r="I312" t="s">
        <v>3002</v>
      </c>
      <c r="J312">
        <v>123020097</v>
      </c>
      <c r="K312">
        <v>20230221</v>
      </c>
      <c r="L312" t="s">
        <v>5327</v>
      </c>
      <c r="M312">
        <v>0</v>
      </c>
      <c r="N312">
        <v>4</v>
      </c>
      <c r="O312" t="s">
        <v>19</v>
      </c>
      <c r="P312" t="s">
        <v>20</v>
      </c>
      <c r="Q312">
        <v>20230221</v>
      </c>
    </row>
    <row r="313" spans="1:17" x14ac:dyDescent="0.25">
      <c r="A313" t="s">
        <v>548</v>
      </c>
      <c r="B313" t="s">
        <v>429</v>
      </c>
      <c r="C313">
        <v>6</v>
      </c>
      <c r="D313">
        <v>20230221</v>
      </c>
      <c r="E313">
        <v>2</v>
      </c>
      <c r="F313">
        <v>411100</v>
      </c>
      <c r="G313" t="s">
        <v>18</v>
      </c>
      <c r="H313" t="s">
        <v>800</v>
      </c>
      <c r="I313" t="s">
        <v>801</v>
      </c>
      <c r="J313">
        <v>123020154</v>
      </c>
      <c r="K313">
        <v>20230221</v>
      </c>
      <c r="L313" t="s">
        <v>5328</v>
      </c>
      <c r="M313">
        <v>0</v>
      </c>
      <c r="N313">
        <v>11</v>
      </c>
      <c r="O313" t="s">
        <v>19</v>
      </c>
      <c r="P313" t="s">
        <v>20</v>
      </c>
      <c r="Q313">
        <v>20230221</v>
      </c>
    </row>
    <row r="314" spans="1:17" x14ac:dyDescent="0.25">
      <c r="A314" t="s">
        <v>548</v>
      </c>
      <c r="B314" t="s">
        <v>429</v>
      </c>
      <c r="C314">
        <v>6</v>
      </c>
      <c r="D314">
        <v>20230221</v>
      </c>
      <c r="E314">
        <v>2</v>
      </c>
      <c r="F314">
        <v>411100</v>
      </c>
      <c r="G314" t="s">
        <v>18</v>
      </c>
      <c r="H314" t="s">
        <v>73</v>
      </c>
      <c r="I314" t="s">
        <v>74</v>
      </c>
      <c r="J314">
        <v>123020177</v>
      </c>
      <c r="K314">
        <v>20230221</v>
      </c>
      <c r="L314" t="s">
        <v>5329</v>
      </c>
      <c r="M314">
        <v>0</v>
      </c>
      <c r="N314">
        <v>11</v>
      </c>
      <c r="O314" t="s">
        <v>19</v>
      </c>
      <c r="P314" t="s">
        <v>20</v>
      </c>
      <c r="Q314">
        <v>20230221</v>
      </c>
    </row>
    <row r="315" spans="1:17" x14ac:dyDescent="0.25">
      <c r="A315" t="s">
        <v>548</v>
      </c>
      <c r="B315" t="s">
        <v>429</v>
      </c>
      <c r="C315">
        <v>6</v>
      </c>
      <c r="D315">
        <v>20230221</v>
      </c>
      <c r="E315">
        <v>2</v>
      </c>
      <c r="F315">
        <v>411100</v>
      </c>
      <c r="G315" t="s">
        <v>18</v>
      </c>
      <c r="H315" t="s">
        <v>1172</v>
      </c>
      <c r="I315" t="s">
        <v>1173</v>
      </c>
      <c r="J315">
        <v>123020152</v>
      </c>
      <c r="K315">
        <v>20230221</v>
      </c>
      <c r="L315" t="s">
        <v>5330</v>
      </c>
      <c r="M315">
        <v>0</v>
      </c>
      <c r="N315">
        <v>5.5</v>
      </c>
      <c r="O315" t="s">
        <v>19</v>
      </c>
      <c r="P315" t="s">
        <v>20</v>
      </c>
      <c r="Q315">
        <v>20230221</v>
      </c>
    </row>
    <row r="316" spans="1:17" x14ac:dyDescent="0.25">
      <c r="A316" t="s">
        <v>548</v>
      </c>
      <c r="B316" t="s">
        <v>429</v>
      </c>
      <c r="C316">
        <v>6</v>
      </c>
      <c r="D316">
        <v>20230221</v>
      </c>
      <c r="E316">
        <v>2</v>
      </c>
      <c r="F316">
        <v>411100</v>
      </c>
      <c r="G316" t="s">
        <v>18</v>
      </c>
      <c r="H316" t="s">
        <v>1172</v>
      </c>
      <c r="I316" t="s">
        <v>1173</v>
      </c>
      <c r="J316">
        <v>123020151</v>
      </c>
      <c r="K316">
        <v>20230221</v>
      </c>
      <c r="L316" t="s">
        <v>5331</v>
      </c>
      <c r="M316">
        <v>0</v>
      </c>
      <c r="N316">
        <v>5.5</v>
      </c>
      <c r="O316" t="s">
        <v>19</v>
      </c>
      <c r="P316" t="s">
        <v>20</v>
      </c>
      <c r="Q316">
        <v>20230221</v>
      </c>
    </row>
    <row r="317" spans="1:17" x14ac:dyDescent="0.25">
      <c r="A317" t="s">
        <v>548</v>
      </c>
      <c r="B317" t="s">
        <v>429</v>
      </c>
      <c r="C317">
        <v>6</v>
      </c>
      <c r="D317">
        <v>20230221</v>
      </c>
      <c r="E317">
        <v>2</v>
      </c>
      <c r="F317">
        <v>411100</v>
      </c>
      <c r="G317" t="s">
        <v>18</v>
      </c>
      <c r="H317" t="s">
        <v>5279</v>
      </c>
      <c r="I317" t="s">
        <v>5280</v>
      </c>
      <c r="J317">
        <v>123020153</v>
      </c>
      <c r="K317">
        <v>20230221</v>
      </c>
      <c r="L317" t="s">
        <v>5332</v>
      </c>
      <c r="M317">
        <v>0</v>
      </c>
      <c r="N317">
        <v>5.5</v>
      </c>
      <c r="O317" t="s">
        <v>19</v>
      </c>
      <c r="P317" t="s">
        <v>20</v>
      </c>
      <c r="Q317">
        <v>20230221</v>
      </c>
    </row>
    <row r="318" spans="1:17" x14ac:dyDescent="0.25">
      <c r="A318" t="s">
        <v>548</v>
      </c>
      <c r="B318" t="s">
        <v>429</v>
      </c>
      <c r="C318">
        <v>6</v>
      </c>
      <c r="D318">
        <v>20230221</v>
      </c>
      <c r="E318">
        <v>2</v>
      </c>
      <c r="F318">
        <v>411100</v>
      </c>
      <c r="G318" t="s">
        <v>18</v>
      </c>
      <c r="H318" t="s">
        <v>5195</v>
      </c>
      <c r="I318" t="s">
        <v>5196</v>
      </c>
      <c r="J318">
        <v>123020104</v>
      </c>
      <c r="K318">
        <v>20230221</v>
      </c>
      <c r="L318" t="s">
        <v>5333</v>
      </c>
      <c r="M318">
        <v>0</v>
      </c>
      <c r="N318">
        <v>11</v>
      </c>
      <c r="O318" t="s">
        <v>19</v>
      </c>
      <c r="P318" t="s">
        <v>20</v>
      </c>
      <c r="Q318">
        <v>20230221</v>
      </c>
    </row>
    <row r="319" spans="1:17" x14ac:dyDescent="0.25">
      <c r="A319" t="s">
        <v>548</v>
      </c>
      <c r="B319" t="s">
        <v>429</v>
      </c>
      <c r="C319">
        <v>6</v>
      </c>
      <c r="D319">
        <v>20230221</v>
      </c>
      <c r="E319">
        <v>2</v>
      </c>
      <c r="F319">
        <v>411100</v>
      </c>
      <c r="G319" t="s">
        <v>18</v>
      </c>
      <c r="H319" t="s">
        <v>259</v>
      </c>
      <c r="I319" t="s">
        <v>260</v>
      </c>
      <c r="J319">
        <v>123020015</v>
      </c>
      <c r="K319">
        <v>20230221</v>
      </c>
      <c r="L319" t="s">
        <v>5334</v>
      </c>
      <c r="M319">
        <v>0</v>
      </c>
      <c r="N319">
        <v>8</v>
      </c>
      <c r="O319" t="s">
        <v>19</v>
      </c>
      <c r="P319" t="s">
        <v>20</v>
      </c>
      <c r="Q319">
        <v>20230221</v>
      </c>
    </row>
    <row r="320" spans="1:17" x14ac:dyDescent="0.25">
      <c r="A320" t="s">
        <v>548</v>
      </c>
      <c r="B320" t="s">
        <v>429</v>
      </c>
      <c r="C320">
        <v>6</v>
      </c>
      <c r="D320">
        <v>20230221</v>
      </c>
      <c r="E320">
        <v>2</v>
      </c>
      <c r="F320">
        <v>411100</v>
      </c>
      <c r="G320" t="s">
        <v>18</v>
      </c>
      <c r="H320" t="s">
        <v>5192</v>
      </c>
      <c r="I320" t="s">
        <v>5193</v>
      </c>
      <c r="J320">
        <v>123020133</v>
      </c>
      <c r="K320">
        <v>20230221</v>
      </c>
      <c r="L320" t="s">
        <v>5335</v>
      </c>
      <c r="M320">
        <v>0</v>
      </c>
      <c r="N320">
        <v>5.5</v>
      </c>
      <c r="O320" t="s">
        <v>19</v>
      </c>
      <c r="P320" t="s">
        <v>20</v>
      </c>
      <c r="Q320">
        <v>20230221</v>
      </c>
    </row>
    <row r="321" spans="1:17" x14ac:dyDescent="0.25">
      <c r="A321" t="s">
        <v>548</v>
      </c>
      <c r="B321" t="s">
        <v>429</v>
      </c>
      <c r="C321">
        <v>6</v>
      </c>
      <c r="D321">
        <v>20230221</v>
      </c>
      <c r="E321">
        <v>2</v>
      </c>
      <c r="F321">
        <v>411100</v>
      </c>
      <c r="G321" t="s">
        <v>18</v>
      </c>
      <c r="H321" t="s">
        <v>3901</v>
      </c>
      <c r="I321" t="s">
        <v>3902</v>
      </c>
      <c r="J321">
        <v>123020128</v>
      </c>
      <c r="K321">
        <v>20230221</v>
      </c>
      <c r="L321" t="s">
        <v>5336</v>
      </c>
      <c r="M321">
        <v>0</v>
      </c>
      <c r="N321">
        <v>4</v>
      </c>
      <c r="O321" t="s">
        <v>19</v>
      </c>
      <c r="P321" t="s">
        <v>20</v>
      </c>
      <c r="Q321">
        <v>20230221</v>
      </c>
    </row>
    <row r="322" spans="1:17" x14ac:dyDescent="0.25">
      <c r="A322" t="s">
        <v>548</v>
      </c>
      <c r="B322" t="s">
        <v>429</v>
      </c>
      <c r="C322">
        <v>6</v>
      </c>
      <c r="D322">
        <v>20230221</v>
      </c>
      <c r="E322">
        <v>2</v>
      </c>
      <c r="F322">
        <v>411100</v>
      </c>
      <c r="G322" t="s">
        <v>18</v>
      </c>
      <c r="H322" t="s">
        <v>81</v>
      </c>
      <c r="I322" t="s">
        <v>82</v>
      </c>
      <c r="J322">
        <v>123020039</v>
      </c>
      <c r="K322">
        <v>20230221</v>
      </c>
      <c r="L322" t="s">
        <v>5337</v>
      </c>
      <c r="M322">
        <v>0</v>
      </c>
      <c r="N322">
        <v>4</v>
      </c>
      <c r="O322" t="s">
        <v>19</v>
      </c>
      <c r="P322" t="s">
        <v>20</v>
      </c>
      <c r="Q322">
        <v>20230221</v>
      </c>
    </row>
    <row r="323" spans="1:17" x14ac:dyDescent="0.25">
      <c r="A323" t="s">
        <v>548</v>
      </c>
      <c r="B323" t="s">
        <v>429</v>
      </c>
      <c r="C323">
        <v>6</v>
      </c>
      <c r="D323">
        <v>20230221</v>
      </c>
      <c r="E323">
        <v>2</v>
      </c>
      <c r="F323">
        <v>411100</v>
      </c>
      <c r="G323" t="s">
        <v>18</v>
      </c>
      <c r="H323" t="s">
        <v>3001</v>
      </c>
      <c r="I323" t="s">
        <v>3002</v>
      </c>
      <c r="J323">
        <v>123020097</v>
      </c>
      <c r="K323">
        <v>20230221</v>
      </c>
      <c r="L323" t="s">
        <v>5338</v>
      </c>
      <c r="M323">
        <v>0</v>
      </c>
      <c r="N323">
        <v>7</v>
      </c>
      <c r="O323" t="s">
        <v>19</v>
      </c>
      <c r="P323" t="s">
        <v>20</v>
      </c>
      <c r="Q323">
        <v>20230221</v>
      </c>
    </row>
    <row r="324" spans="1:17" x14ac:dyDescent="0.25">
      <c r="A324" t="s">
        <v>548</v>
      </c>
      <c r="B324" t="s">
        <v>429</v>
      </c>
      <c r="C324">
        <v>6</v>
      </c>
      <c r="D324">
        <v>20230221</v>
      </c>
      <c r="E324">
        <v>2</v>
      </c>
      <c r="F324">
        <v>531105</v>
      </c>
      <c r="G324" t="s">
        <v>429</v>
      </c>
      <c r="H324" t="s">
        <v>401</v>
      </c>
      <c r="I324" t="s">
        <v>402</v>
      </c>
      <c r="J324">
        <v>366737</v>
      </c>
      <c r="K324">
        <v>20230221</v>
      </c>
      <c r="L324" t="s">
        <v>565</v>
      </c>
      <c r="M324">
        <v>229</v>
      </c>
      <c r="N324">
        <v>0</v>
      </c>
      <c r="O324" t="s">
        <v>19</v>
      </c>
      <c r="P324" t="s">
        <v>20</v>
      </c>
      <c r="Q324">
        <v>20230221</v>
      </c>
    </row>
    <row r="325" spans="1:17" x14ac:dyDescent="0.25">
      <c r="A325" t="s">
        <v>548</v>
      </c>
      <c r="B325" t="s">
        <v>429</v>
      </c>
      <c r="C325">
        <v>6</v>
      </c>
      <c r="D325">
        <v>20230221</v>
      </c>
      <c r="E325">
        <v>2</v>
      </c>
      <c r="F325">
        <v>411010</v>
      </c>
      <c r="G325" t="s">
        <v>87</v>
      </c>
      <c r="H325" t="s">
        <v>330</v>
      </c>
      <c r="I325" t="s">
        <v>331</v>
      </c>
      <c r="J325">
        <v>222120019</v>
      </c>
      <c r="K325">
        <v>20230221</v>
      </c>
      <c r="L325" t="s">
        <v>5339</v>
      </c>
      <c r="M325">
        <v>0</v>
      </c>
      <c r="N325">
        <v>1.05</v>
      </c>
      <c r="O325" t="s">
        <v>19</v>
      </c>
      <c r="P325" t="s">
        <v>20</v>
      </c>
      <c r="Q325">
        <v>20230221</v>
      </c>
    </row>
    <row r="326" spans="1:17" x14ac:dyDescent="0.25">
      <c r="A326" t="s">
        <v>548</v>
      </c>
      <c r="B326" t="s">
        <v>429</v>
      </c>
      <c r="C326">
        <v>6</v>
      </c>
      <c r="D326">
        <v>20230221</v>
      </c>
      <c r="E326">
        <v>2</v>
      </c>
      <c r="F326">
        <v>531105</v>
      </c>
      <c r="G326" t="s">
        <v>429</v>
      </c>
      <c r="H326" t="s">
        <v>401</v>
      </c>
      <c r="I326" t="s">
        <v>402</v>
      </c>
      <c r="J326">
        <v>367263</v>
      </c>
      <c r="K326">
        <v>20230221</v>
      </c>
      <c r="L326" t="s">
        <v>565</v>
      </c>
      <c r="M326">
        <v>1.05</v>
      </c>
      <c r="N326">
        <v>0</v>
      </c>
      <c r="O326" t="s">
        <v>19</v>
      </c>
      <c r="P326" t="s">
        <v>20</v>
      </c>
      <c r="Q326">
        <v>20230221</v>
      </c>
    </row>
    <row r="327" spans="1:17" x14ac:dyDescent="0.25">
      <c r="A327" t="s">
        <v>548</v>
      </c>
      <c r="B327" t="s">
        <v>429</v>
      </c>
      <c r="C327">
        <v>6</v>
      </c>
      <c r="D327">
        <v>20230222</v>
      </c>
      <c r="E327">
        <v>2</v>
      </c>
      <c r="F327">
        <v>411100</v>
      </c>
      <c r="G327" t="s">
        <v>18</v>
      </c>
      <c r="H327" t="s">
        <v>5167</v>
      </c>
      <c r="I327" t="s">
        <v>5168</v>
      </c>
      <c r="J327">
        <v>123020096</v>
      </c>
      <c r="K327">
        <v>20230222</v>
      </c>
      <c r="L327" t="s">
        <v>5340</v>
      </c>
      <c r="M327">
        <v>0</v>
      </c>
      <c r="N327">
        <v>4</v>
      </c>
      <c r="O327" t="s">
        <v>19</v>
      </c>
      <c r="P327" t="s">
        <v>20</v>
      </c>
      <c r="Q327">
        <v>20230222</v>
      </c>
    </row>
    <row r="328" spans="1:17" x14ac:dyDescent="0.25">
      <c r="A328" t="s">
        <v>548</v>
      </c>
      <c r="B328" t="s">
        <v>429</v>
      </c>
      <c r="C328">
        <v>6</v>
      </c>
      <c r="D328">
        <v>20230222</v>
      </c>
      <c r="E328">
        <v>2</v>
      </c>
      <c r="F328">
        <v>411100</v>
      </c>
      <c r="G328" t="s">
        <v>18</v>
      </c>
      <c r="H328" t="s">
        <v>4137</v>
      </c>
      <c r="I328" t="s">
        <v>4138</v>
      </c>
      <c r="J328">
        <v>123020169</v>
      </c>
      <c r="K328">
        <v>20230222</v>
      </c>
      <c r="L328" t="s">
        <v>5341</v>
      </c>
      <c r="M328">
        <v>0</v>
      </c>
      <c r="N328">
        <v>3</v>
      </c>
      <c r="O328" t="s">
        <v>19</v>
      </c>
      <c r="P328" t="s">
        <v>20</v>
      </c>
      <c r="Q328">
        <v>20230222</v>
      </c>
    </row>
    <row r="329" spans="1:17" x14ac:dyDescent="0.25">
      <c r="A329" t="s">
        <v>548</v>
      </c>
      <c r="B329" t="s">
        <v>429</v>
      </c>
      <c r="C329">
        <v>6</v>
      </c>
      <c r="D329">
        <v>20230222</v>
      </c>
      <c r="E329">
        <v>2</v>
      </c>
      <c r="F329">
        <v>411100</v>
      </c>
      <c r="G329" t="s">
        <v>18</v>
      </c>
      <c r="H329" t="s">
        <v>5121</v>
      </c>
      <c r="I329" t="s">
        <v>5122</v>
      </c>
      <c r="J329">
        <v>123020075</v>
      </c>
      <c r="K329">
        <v>20230222</v>
      </c>
      <c r="L329" t="s">
        <v>5342</v>
      </c>
      <c r="M329">
        <v>0</v>
      </c>
      <c r="N329">
        <v>8</v>
      </c>
      <c r="O329" t="s">
        <v>19</v>
      </c>
      <c r="P329" t="s">
        <v>20</v>
      </c>
      <c r="Q329">
        <v>20230222</v>
      </c>
    </row>
    <row r="330" spans="1:17" x14ac:dyDescent="0.25">
      <c r="A330" t="s">
        <v>548</v>
      </c>
      <c r="B330" t="s">
        <v>429</v>
      </c>
      <c r="C330">
        <v>6</v>
      </c>
      <c r="D330">
        <v>20230222</v>
      </c>
      <c r="E330">
        <v>2</v>
      </c>
      <c r="F330">
        <v>411100</v>
      </c>
      <c r="G330" t="s">
        <v>18</v>
      </c>
      <c r="H330" t="s">
        <v>213</v>
      </c>
      <c r="I330" t="s">
        <v>214</v>
      </c>
      <c r="J330">
        <v>123020073</v>
      </c>
      <c r="K330">
        <v>20230222</v>
      </c>
      <c r="L330" t="s">
        <v>5343</v>
      </c>
      <c r="M330">
        <v>0</v>
      </c>
      <c r="N330">
        <v>2</v>
      </c>
      <c r="O330" t="s">
        <v>19</v>
      </c>
      <c r="P330" t="s">
        <v>20</v>
      </c>
      <c r="Q330">
        <v>20230222</v>
      </c>
    </row>
    <row r="331" spans="1:17" x14ac:dyDescent="0.25">
      <c r="A331" t="s">
        <v>548</v>
      </c>
      <c r="B331" t="s">
        <v>429</v>
      </c>
      <c r="C331">
        <v>6</v>
      </c>
      <c r="D331">
        <v>20230222</v>
      </c>
      <c r="E331">
        <v>2</v>
      </c>
      <c r="F331">
        <v>411100</v>
      </c>
      <c r="G331" t="s">
        <v>18</v>
      </c>
      <c r="H331" t="s">
        <v>2969</v>
      </c>
      <c r="I331" t="s">
        <v>2970</v>
      </c>
      <c r="J331">
        <v>123020138</v>
      </c>
      <c r="K331">
        <v>20230222</v>
      </c>
      <c r="L331" t="s">
        <v>5344</v>
      </c>
      <c r="M331">
        <v>0</v>
      </c>
      <c r="N331">
        <v>2</v>
      </c>
      <c r="O331" t="s">
        <v>19</v>
      </c>
      <c r="P331" t="s">
        <v>20</v>
      </c>
      <c r="Q331">
        <v>20230222</v>
      </c>
    </row>
    <row r="332" spans="1:17" x14ac:dyDescent="0.25">
      <c r="A332" t="s">
        <v>548</v>
      </c>
      <c r="B332" t="s">
        <v>429</v>
      </c>
      <c r="C332">
        <v>6</v>
      </c>
      <c r="D332">
        <v>20230222</v>
      </c>
      <c r="E332">
        <v>2</v>
      </c>
      <c r="F332">
        <v>411100</v>
      </c>
      <c r="G332" t="s">
        <v>18</v>
      </c>
      <c r="H332" t="s">
        <v>2501</v>
      </c>
      <c r="I332" t="s">
        <v>2502</v>
      </c>
      <c r="J332">
        <v>123020074</v>
      </c>
      <c r="K332">
        <v>20230222</v>
      </c>
      <c r="L332" t="s">
        <v>5345</v>
      </c>
      <c r="M332">
        <v>0</v>
      </c>
      <c r="N332">
        <v>6</v>
      </c>
      <c r="O332" t="s">
        <v>23</v>
      </c>
      <c r="P332">
        <v>20230329</v>
      </c>
      <c r="Q332">
        <v>20230222</v>
      </c>
    </row>
    <row r="333" spans="1:17" x14ac:dyDescent="0.25">
      <c r="A333" t="s">
        <v>548</v>
      </c>
      <c r="B333" t="s">
        <v>429</v>
      </c>
      <c r="C333">
        <v>6</v>
      </c>
      <c r="D333">
        <v>20230222</v>
      </c>
      <c r="E333">
        <v>2</v>
      </c>
      <c r="F333">
        <v>411100</v>
      </c>
      <c r="G333" t="s">
        <v>18</v>
      </c>
      <c r="H333" t="s">
        <v>734</v>
      </c>
      <c r="I333" t="s">
        <v>735</v>
      </c>
      <c r="J333">
        <v>123020087</v>
      </c>
      <c r="K333">
        <v>20230222</v>
      </c>
      <c r="L333" t="s">
        <v>5346</v>
      </c>
      <c r="M333">
        <v>0</v>
      </c>
      <c r="N333">
        <v>2</v>
      </c>
      <c r="O333" t="s">
        <v>19</v>
      </c>
      <c r="P333" t="s">
        <v>20</v>
      </c>
      <c r="Q333">
        <v>20230222</v>
      </c>
    </row>
    <row r="334" spans="1:17" x14ac:dyDescent="0.25">
      <c r="A334" t="s">
        <v>548</v>
      </c>
      <c r="B334" t="s">
        <v>429</v>
      </c>
      <c r="C334">
        <v>6</v>
      </c>
      <c r="D334">
        <v>20230222</v>
      </c>
      <c r="E334">
        <v>2</v>
      </c>
      <c r="F334">
        <v>411100</v>
      </c>
      <c r="G334" t="s">
        <v>18</v>
      </c>
      <c r="H334" t="s">
        <v>35</v>
      </c>
      <c r="I334" t="s">
        <v>36</v>
      </c>
      <c r="J334">
        <v>123020102</v>
      </c>
      <c r="K334">
        <v>20230222</v>
      </c>
      <c r="L334" t="s">
        <v>5347</v>
      </c>
      <c r="M334">
        <v>0</v>
      </c>
      <c r="N334">
        <v>4</v>
      </c>
      <c r="O334" t="s">
        <v>19</v>
      </c>
      <c r="P334" t="s">
        <v>20</v>
      </c>
      <c r="Q334">
        <v>20230222</v>
      </c>
    </row>
    <row r="335" spans="1:17" x14ac:dyDescent="0.25">
      <c r="A335" t="s">
        <v>548</v>
      </c>
      <c r="B335" t="s">
        <v>429</v>
      </c>
      <c r="C335">
        <v>6</v>
      </c>
      <c r="D335">
        <v>20230222</v>
      </c>
      <c r="E335">
        <v>2</v>
      </c>
      <c r="F335">
        <v>411100</v>
      </c>
      <c r="G335" t="s">
        <v>18</v>
      </c>
      <c r="H335" t="s">
        <v>5174</v>
      </c>
      <c r="I335" t="s">
        <v>5175</v>
      </c>
      <c r="J335">
        <v>123020149</v>
      </c>
      <c r="K335">
        <v>20230222</v>
      </c>
      <c r="L335" t="s">
        <v>5348</v>
      </c>
      <c r="M335">
        <v>0</v>
      </c>
      <c r="N335">
        <v>6</v>
      </c>
      <c r="O335" t="s">
        <v>19</v>
      </c>
      <c r="P335" t="s">
        <v>20</v>
      </c>
      <c r="Q335">
        <v>20230222</v>
      </c>
    </row>
    <row r="336" spans="1:17" x14ac:dyDescent="0.25">
      <c r="A336" t="s">
        <v>548</v>
      </c>
      <c r="B336" t="s">
        <v>429</v>
      </c>
      <c r="C336">
        <v>6</v>
      </c>
      <c r="D336">
        <v>20230222</v>
      </c>
      <c r="E336">
        <v>2</v>
      </c>
      <c r="F336">
        <v>411100</v>
      </c>
      <c r="G336" t="s">
        <v>18</v>
      </c>
      <c r="H336" t="s">
        <v>1774</v>
      </c>
      <c r="I336" t="s">
        <v>1775</v>
      </c>
      <c r="J336">
        <v>123020147</v>
      </c>
      <c r="K336">
        <v>20230222</v>
      </c>
      <c r="L336" t="s">
        <v>5349</v>
      </c>
      <c r="M336">
        <v>0</v>
      </c>
      <c r="N336">
        <v>4</v>
      </c>
      <c r="O336" t="s">
        <v>23</v>
      </c>
      <c r="P336">
        <v>20230329</v>
      </c>
      <c r="Q336">
        <v>20230222</v>
      </c>
    </row>
    <row r="337" spans="1:17" x14ac:dyDescent="0.25">
      <c r="A337" t="s">
        <v>548</v>
      </c>
      <c r="B337" t="s">
        <v>429</v>
      </c>
      <c r="C337">
        <v>6</v>
      </c>
      <c r="D337">
        <v>20230222</v>
      </c>
      <c r="E337">
        <v>2</v>
      </c>
      <c r="F337">
        <v>411100</v>
      </c>
      <c r="G337" t="s">
        <v>18</v>
      </c>
      <c r="H337" t="s">
        <v>213</v>
      </c>
      <c r="I337" t="s">
        <v>214</v>
      </c>
      <c r="J337">
        <v>123020073</v>
      </c>
      <c r="K337">
        <v>20230222</v>
      </c>
      <c r="L337" t="s">
        <v>5350</v>
      </c>
      <c r="M337">
        <v>0</v>
      </c>
      <c r="N337">
        <v>2</v>
      </c>
      <c r="O337" t="s">
        <v>19</v>
      </c>
      <c r="P337" t="s">
        <v>20</v>
      </c>
      <c r="Q337">
        <v>20230222</v>
      </c>
    </row>
    <row r="338" spans="1:17" x14ac:dyDescent="0.25">
      <c r="A338" t="s">
        <v>548</v>
      </c>
      <c r="B338" t="s">
        <v>429</v>
      </c>
      <c r="C338">
        <v>6</v>
      </c>
      <c r="D338">
        <v>20230222</v>
      </c>
      <c r="E338">
        <v>2</v>
      </c>
      <c r="F338">
        <v>411100</v>
      </c>
      <c r="G338" t="s">
        <v>18</v>
      </c>
      <c r="H338" t="s">
        <v>35</v>
      </c>
      <c r="I338" t="s">
        <v>36</v>
      </c>
      <c r="J338">
        <v>123020102</v>
      </c>
      <c r="K338">
        <v>20230222</v>
      </c>
      <c r="L338" t="s">
        <v>5351</v>
      </c>
      <c r="M338">
        <v>0</v>
      </c>
      <c r="N338">
        <v>4</v>
      </c>
      <c r="O338" t="s">
        <v>19</v>
      </c>
      <c r="P338" t="s">
        <v>20</v>
      </c>
      <c r="Q338">
        <v>20230222</v>
      </c>
    </row>
    <row r="339" spans="1:17" x14ac:dyDescent="0.25">
      <c r="A339" t="s">
        <v>548</v>
      </c>
      <c r="B339" t="s">
        <v>429</v>
      </c>
      <c r="C339">
        <v>6</v>
      </c>
      <c r="D339">
        <v>20230222</v>
      </c>
      <c r="E339">
        <v>2</v>
      </c>
      <c r="F339">
        <v>411100</v>
      </c>
      <c r="G339" t="s">
        <v>18</v>
      </c>
      <c r="H339" t="s">
        <v>5121</v>
      </c>
      <c r="I339" t="s">
        <v>5122</v>
      </c>
      <c r="J339">
        <v>123020075</v>
      </c>
      <c r="K339">
        <v>20230222</v>
      </c>
      <c r="L339" t="s">
        <v>5352</v>
      </c>
      <c r="M339">
        <v>0</v>
      </c>
      <c r="N339">
        <v>10</v>
      </c>
      <c r="O339" t="s">
        <v>19</v>
      </c>
      <c r="P339" t="s">
        <v>20</v>
      </c>
      <c r="Q339">
        <v>20230222</v>
      </c>
    </row>
    <row r="340" spans="1:17" x14ac:dyDescent="0.25">
      <c r="A340" t="s">
        <v>548</v>
      </c>
      <c r="B340" t="s">
        <v>429</v>
      </c>
      <c r="C340">
        <v>6</v>
      </c>
      <c r="D340">
        <v>20230222</v>
      </c>
      <c r="E340">
        <v>2</v>
      </c>
      <c r="F340">
        <v>411100</v>
      </c>
      <c r="G340" t="s">
        <v>18</v>
      </c>
      <c r="H340" t="s">
        <v>1774</v>
      </c>
      <c r="I340" t="s">
        <v>1775</v>
      </c>
      <c r="J340">
        <v>123020147</v>
      </c>
      <c r="K340">
        <v>20230222</v>
      </c>
      <c r="L340" t="s">
        <v>5353</v>
      </c>
      <c r="M340">
        <v>0</v>
      </c>
      <c r="N340">
        <v>2</v>
      </c>
      <c r="O340" t="s">
        <v>23</v>
      </c>
      <c r="P340">
        <v>20230329</v>
      </c>
      <c r="Q340">
        <v>20230222</v>
      </c>
    </row>
    <row r="341" spans="1:17" x14ac:dyDescent="0.25">
      <c r="A341" t="s">
        <v>548</v>
      </c>
      <c r="B341" t="s">
        <v>429</v>
      </c>
      <c r="C341">
        <v>6</v>
      </c>
      <c r="D341">
        <v>20230222</v>
      </c>
      <c r="E341">
        <v>2</v>
      </c>
      <c r="F341">
        <v>411100</v>
      </c>
      <c r="G341" t="s">
        <v>18</v>
      </c>
      <c r="H341" t="s">
        <v>2969</v>
      </c>
      <c r="I341" t="s">
        <v>2970</v>
      </c>
      <c r="J341">
        <v>123020138</v>
      </c>
      <c r="K341">
        <v>20230222</v>
      </c>
      <c r="L341" t="s">
        <v>5354</v>
      </c>
      <c r="M341">
        <v>0</v>
      </c>
      <c r="N341">
        <v>2</v>
      </c>
      <c r="O341" t="s">
        <v>19</v>
      </c>
      <c r="P341" t="s">
        <v>20</v>
      </c>
      <c r="Q341">
        <v>20230222</v>
      </c>
    </row>
    <row r="342" spans="1:17" x14ac:dyDescent="0.25">
      <c r="A342" t="s">
        <v>548</v>
      </c>
      <c r="B342" t="s">
        <v>429</v>
      </c>
      <c r="C342">
        <v>6</v>
      </c>
      <c r="D342">
        <v>20230222</v>
      </c>
      <c r="E342">
        <v>2</v>
      </c>
      <c r="F342">
        <v>411100</v>
      </c>
      <c r="G342" t="s">
        <v>18</v>
      </c>
      <c r="H342" t="s">
        <v>35</v>
      </c>
      <c r="I342" t="s">
        <v>36</v>
      </c>
      <c r="J342">
        <v>123020102</v>
      </c>
      <c r="K342">
        <v>20230222</v>
      </c>
      <c r="L342" t="s">
        <v>5355</v>
      </c>
      <c r="M342">
        <v>0</v>
      </c>
      <c r="N342">
        <v>4</v>
      </c>
      <c r="O342" t="s">
        <v>19</v>
      </c>
      <c r="P342" t="s">
        <v>20</v>
      </c>
      <c r="Q342">
        <v>20230222</v>
      </c>
    </row>
    <row r="343" spans="1:17" x14ac:dyDescent="0.25">
      <c r="A343" t="s">
        <v>548</v>
      </c>
      <c r="B343" t="s">
        <v>429</v>
      </c>
      <c r="C343">
        <v>6</v>
      </c>
      <c r="D343">
        <v>20230222</v>
      </c>
      <c r="E343">
        <v>2</v>
      </c>
      <c r="F343">
        <v>411100</v>
      </c>
      <c r="G343" t="s">
        <v>18</v>
      </c>
      <c r="H343" t="s">
        <v>5174</v>
      </c>
      <c r="I343" t="s">
        <v>5175</v>
      </c>
      <c r="J343">
        <v>123020149</v>
      </c>
      <c r="K343">
        <v>20230222</v>
      </c>
      <c r="L343" t="s">
        <v>5356</v>
      </c>
      <c r="M343">
        <v>0</v>
      </c>
      <c r="N343">
        <v>6</v>
      </c>
      <c r="O343" t="s">
        <v>19</v>
      </c>
      <c r="P343" t="s">
        <v>20</v>
      </c>
      <c r="Q343">
        <v>20230222</v>
      </c>
    </row>
    <row r="344" spans="1:17" x14ac:dyDescent="0.25">
      <c r="A344" t="s">
        <v>548</v>
      </c>
      <c r="B344" t="s">
        <v>429</v>
      </c>
      <c r="C344">
        <v>6</v>
      </c>
      <c r="D344">
        <v>20230222</v>
      </c>
      <c r="E344">
        <v>2</v>
      </c>
      <c r="F344">
        <v>531105</v>
      </c>
      <c r="G344" t="s">
        <v>429</v>
      </c>
      <c r="H344" t="s">
        <v>401</v>
      </c>
      <c r="I344" t="s">
        <v>402</v>
      </c>
      <c r="J344">
        <v>366755</v>
      </c>
      <c r="K344">
        <v>20230222</v>
      </c>
      <c r="L344" t="s">
        <v>565</v>
      </c>
      <c r="M344">
        <v>71</v>
      </c>
      <c r="N344">
        <v>0</v>
      </c>
      <c r="O344" t="s">
        <v>19</v>
      </c>
      <c r="P344" t="s">
        <v>20</v>
      </c>
      <c r="Q344">
        <v>20230222</v>
      </c>
    </row>
    <row r="345" spans="1:17" x14ac:dyDescent="0.25">
      <c r="A345" t="s">
        <v>548</v>
      </c>
      <c r="B345" t="s">
        <v>429</v>
      </c>
      <c r="C345">
        <v>6</v>
      </c>
      <c r="D345">
        <v>20230223</v>
      </c>
      <c r="E345">
        <v>2</v>
      </c>
      <c r="F345">
        <v>411100</v>
      </c>
      <c r="G345" t="s">
        <v>18</v>
      </c>
      <c r="H345" t="s">
        <v>5003</v>
      </c>
      <c r="I345" t="s">
        <v>5004</v>
      </c>
      <c r="J345">
        <v>123020105</v>
      </c>
      <c r="K345">
        <v>20230223</v>
      </c>
      <c r="L345" t="s">
        <v>5357</v>
      </c>
      <c r="M345">
        <v>0</v>
      </c>
      <c r="N345">
        <v>4</v>
      </c>
      <c r="O345" t="s">
        <v>19</v>
      </c>
      <c r="P345" t="s">
        <v>20</v>
      </c>
      <c r="Q345">
        <v>20230223</v>
      </c>
    </row>
    <row r="346" spans="1:17" x14ac:dyDescent="0.25">
      <c r="A346" t="s">
        <v>548</v>
      </c>
      <c r="B346" t="s">
        <v>429</v>
      </c>
      <c r="C346">
        <v>6</v>
      </c>
      <c r="D346">
        <v>20230223</v>
      </c>
      <c r="E346">
        <v>2</v>
      </c>
      <c r="F346">
        <v>411100</v>
      </c>
      <c r="G346" t="s">
        <v>18</v>
      </c>
      <c r="H346" t="s">
        <v>5003</v>
      </c>
      <c r="I346" t="s">
        <v>5004</v>
      </c>
      <c r="J346">
        <v>123020105</v>
      </c>
      <c r="K346">
        <v>20230223</v>
      </c>
      <c r="L346" t="s">
        <v>5358</v>
      </c>
      <c r="M346">
        <v>0</v>
      </c>
      <c r="N346">
        <v>8</v>
      </c>
      <c r="O346" t="s">
        <v>19</v>
      </c>
      <c r="P346" t="s">
        <v>20</v>
      </c>
      <c r="Q346">
        <v>20230223</v>
      </c>
    </row>
    <row r="347" spans="1:17" x14ac:dyDescent="0.25">
      <c r="A347" t="s">
        <v>548</v>
      </c>
      <c r="B347" t="s">
        <v>429</v>
      </c>
      <c r="C347">
        <v>6</v>
      </c>
      <c r="D347">
        <v>20230223</v>
      </c>
      <c r="E347">
        <v>2</v>
      </c>
      <c r="F347">
        <v>411100</v>
      </c>
      <c r="G347" t="s">
        <v>18</v>
      </c>
      <c r="H347" t="s">
        <v>5121</v>
      </c>
      <c r="I347" t="s">
        <v>5122</v>
      </c>
      <c r="J347">
        <v>123020075</v>
      </c>
      <c r="K347">
        <v>20230223</v>
      </c>
      <c r="L347" t="s">
        <v>5359</v>
      </c>
      <c r="M347">
        <v>0</v>
      </c>
      <c r="N347">
        <v>8</v>
      </c>
      <c r="O347" t="s">
        <v>19</v>
      </c>
      <c r="P347" t="s">
        <v>20</v>
      </c>
      <c r="Q347">
        <v>20230223</v>
      </c>
    </row>
    <row r="348" spans="1:17" x14ac:dyDescent="0.25">
      <c r="A348" t="s">
        <v>548</v>
      </c>
      <c r="B348" t="s">
        <v>429</v>
      </c>
      <c r="C348">
        <v>6</v>
      </c>
      <c r="D348">
        <v>20230223</v>
      </c>
      <c r="E348">
        <v>2</v>
      </c>
      <c r="F348">
        <v>411100</v>
      </c>
      <c r="G348" t="s">
        <v>18</v>
      </c>
      <c r="H348" t="s">
        <v>2938</v>
      </c>
      <c r="I348" t="s">
        <v>2939</v>
      </c>
      <c r="J348">
        <v>123020156</v>
      </c>
      <c r="K348">
        <v>20230223</v>
      </c>
      <c r="L348" t="s">
        <v>5360</v>
      </c>
      <c r="M348">
        <v>0</v>
      </c>
      <c r="N348">
        <v>6</v>
      </c>
      <c r="O348" t="s">
        <v>23</v>
      </c>
      <c r="P348">
        <v>20230329</v>
      </c>
      <c r="Q348">
        <v>20230223</v>
      </c>
    </row>
    <row r="349" spans="1:17" x14ac:dyDescent="0.25">
      <c r="A349" t="s">
        <v>548</v>
      </c>
      <c r="B349" t="s">
        <v>429</v>
      </c>
      <c r="C349">
        <v>6</v>
      </c>
      <c r="D349">
        <v>20230223</v>
      </c>
      <c r="E349">
        <v>2</v>
      </c>
      <c r="F349">
        <v>411100</v>
      </c>
      <c r="G349" t="s">
        <v>18</v>
      </c>
      <c r="H349" t="s">
        <v>1043</v>
      </c>
      <c r="I349" t="s">
        <v>1044</v>
      </c>
      <c r="J349">
        <v>123020141</v>
      </c>
      <c r="K349">
        <v>20230223</v>
      </c>
      <c r="L349" t="s">
        <v>5361</v>
      </c>
      <c r="M349">
        <v>0</v>
      </c>
      <c r="N349">
        <v>4</v>
      </c>
      <c r="O349" t="s">
        <v>23</v>
      </c>
      <c r="P349">
        <v>20230329</v>
      </c>
      <c r="Q349">
        <v>20230223</v>
      </c>
    </row>
    <row r="350" spans="1:17" x14ac:dyDescent="0.25">
      <c r="A350" t="s">
        <v>548</v>
      </c>
      <c r="B350" t="s">
        <v>429</v>
      </c>
      <c r="C350">
        <v>6</v>
      </c>
      <c r="D350">
        <v>20230223</v>
      </c>
      <c r="E350">
        <v>2</v>
      </c>
      <c r="F350">
        <v>411100</v>
      </c>
      <c r="G350" t="s">
        <v>18</v>
      </c>
      <c r="H350" t="s">
        <v>2523</v>
      </c>
      <c r="I350" t="s">
        <v>2524</v>
      </c>
      <c r="J350">
        <v>123020157</v>
      </c>
      <c r="K350">
        <v>20230223</v>
      </c>
      <c r="L350" t="s">
        <v>5362</v>
      </c>
      <c r="M350">
        <v>0</v>
      </c>
      <c r="N350">
        <v>2</v>
      </c>
      <c r="O350" t="s">
        <v>19</v>
      </c>
      <c r="P350" t="s">
        <v>20</v>
      </c>
      <c r="Q350">
        <v>20230223</v>
      </c>
    </row>
    <row r="351" spans="1:17" x14ac:dyDescent="0.25">
      <c r="A351" t="s">
        <v>548</v>
      </c>
      <c r="B351" t="s">
        <v>429</v>
      </c>
      <c r="C351">
        <v>6</v>
      </c>
      <c r="D351">
        <v>20230223</v>
      </c>
      <c r="E351">
        <v>2</v>
      </c>
      <c r="F351">
        <v>411100</v>
      </c>
      <c r="G351" t="s">
        <v>18</v>
      </c>
      <c r="H351" t="s">
        <v>154</v>
      </c>
      <c r="I351" t="s">
        <v>155</v>
      </c>
      <c r="J351">
        <v>366762</v>
      </c>
      <c r="K351">
        <v>20230223</v>
      </c>
      <c r="L351" t="s">
        <v>5363</v>
      </c>
      <c r="M351">
        <v>3.5</v>
      </c>
      <c r="N351">
        <v>0</v>
      </c>
      <c r="O351" t="s">
        <v>19</v>
      </c>
      <c r="P351" t="s">
        <v>20</v>
      </c>
      <c r="Q351">
        <v>20230223</v>
      </c>
    </row>
    <row r="352" spans="1:17" x14ac:dyDescent="0.25">
      <c r="A352" t="s">
        <v>548</v>
      </c>
      <c r="B352" t="s">
        <v>429</v>
      </c>
      <c r="C352">
        <v>6</v>
      </c>
      <c r="D352">
        <v>20230223</v>
      </c>
      <c r="E352">
        <v>2</v>
      </c>
      <c r="F352">
        <v>411100</v>
      </c>
      <c r="G352" t="s">
        <v>18</v>
      </c>
      <c r="H352" t="s">
        <v>154</v>
      </c>
      <c r="I352" t="s">
        <v>155</v>
      </c>
      <c r="J352">
        <v>366763</v>
      </c>
      <c r="K352">
        <v>20230223</v>
      </c>
      <c r="L352" t="s">
        <v>5364</v>
      </c>
      <c r="M352">
        <v>3.5</v>
      </c>
      <c r="N352">
        <v>0</v>
      </c>
      <c r="O352" t="s">
        <v>19</v>
      </c>
      <c r="P352" t="s">
        <v>20</v>
      </c>
      <c r="Q352">
        <v>20230223</v>
      </c>
    </row>
    <row r="353" spans="1:17" x14ac:dyDescent="0.25">
      <c r="A353" t="s">
        <v>548</v>
      </c>
      <c r="B353" t="s">
        <v>429</v>
      </c>
      <c r="C353">
        <v>6</v>
      </c>
      <c r="D353">
        <v>20230223</v>
      </c>
      <c r="E353">
        <v>2</v>
      </c>
      <c r="F353">
        <v>411100</v>
      </c>
      <c r="G353" t="s">
        <v>18</v>
      </c>
      <c r="H353" t="s">
        <v>154</v>
      </c>
      <c r="I353" t="s">
        <v>155</v>
      </c>
      <c r="J353">
        <v>366764</v>
      </c>
      <c r="K353">
        <v>20230223</v>
      </c>
      <c r="L353" t="s">
        <v>5365</v>
      </c>
      <c r="M353">
        <v>2</v>
      </c>
      <c r="N353">
        <v>0</v>
      </c>
      <c r="O353" t="s">
        <v>19</v>
      </c>
      <c r="P353" t="s">
        <v>20</v>
      </c>
      <c r="Q353">
        <v>20230223</v>
      </c>
    </row>
    <row r="354" spans="1:17" x14ac:dyDescent="0.25">
      <c r="A354" t="s">
        <v>548</v>
      </c>
      <c r="B354" t="s">
        <v>429</v>
      </c>
      <c r="C354">
        <v>6</v>
      </c>
      <c r="D354">
        <v>20230223</v>
      </c>
      <c r="E354">
        <v>2</v>
      </c>
      <c r="F354">
        <v>411100</v>
      </c>
      <c r="G354" t="s">
        <v>18</v>
      </c>
      <c r="H354" t="s">
        <v>154</v>
      </c>
      <c r="I354" t="s">
        <v>155</v>
      </c>
      <c r="J354">
        <v>366765</v>
      </c>
      <c r="K354">
        <v>20230223</v>
      </c>
      <c r="L354" t="s">
        <v>5366</v>
      </c>
      <c r="M354">
        <v>1.5</v>
      </c>
      <c r="N354">
        <v>0</v>
      </c>
      <c r="O354" t="s">
        <v>19</v>
      </c>
      <c r="P354" t="s">
        <v>20</v>
      </c>
      <c r="Q354">
        <v>20230223</v>
      </c>
    </row>
    <row r="355" spans="1:17" x14ac:dyDescent="0.25">
      <c r="A355" t="s">
        <v>548</v>
      </c>
      <c r="B355" t="s">
        <v>429</v>
      </c>
      <c r="C355">
        <v>6</v>
      </c>
      <c r="D355">
        <v>20230223</v>
      </c>
      <c r="E355">
        <v>2</v>
      </c>
      <c r="F355">
        <v>411100</v>
      </c>
      <c r="G355" t="s">
        <v>18</v>
      </c>
      <c r="H355" t="s">
        <v>154</v>
      </c>
      <c r="I355" t="s">
        <v>155</v>
      </c>
      <c r="J355">
        <v>366766</v>
      </c>
      <c r="K355">
        <v>20230223</v>
      </c>
      <c r="L355" t="s">
        <v>5367</v>
      </c>
      <c r="M355">
        <v>6</v>
      </c>
      <c r="N355">
        <v>0</v>
      </c>
      <c r="O355" t="s">
        <v>19</v>
      </c>
      <c r="P355" t="s">
        <v>20</v>
      </c>
      <c r="Q355">
        <v>20230223</v>
      </c>
    </row>
    <row r="356" spans="1:17" x14ac:dyDescent="0.25">
      <c r="A356" t="s">
        <v>548</v>
      </c>
      <c r="B356" t="s">
        <v>429</v>
      </c>
      <c r="C356">
        <v>6</v>
      </c>
      <c r="D356">
        <v>20230223</v>
      </c>
      <c r="E356">
        <v>2</v>
      </c>
      <c r="F356">
        <v>411100</v>
      </c>
      <c r="G356" t="s">
        <v>18</v>
      </c>
      <c r="H356" t="s">
        <v>154</v>
      </c>
      <c r="I356" t="s">
        <v>155</v>
      </c>
      <c r="J356">
        <v>366767</v>
      </c>
      <c r="K356">
        <v>20230223</v>
      </c>
      <c r="L356" t="s">
        <v>5368</v>
      </c>
      <c r="M356">
        <v>3.5</v>
      </c>
      <c r="N356">
        <v>0</v>
      </c>
      <c r="O356" t="s">
        <v>19</v>
      </c>
      <c r="P356" t="s">
        <v>20</v>
      </c>
      <c r="Q356">
        <v>20230223</v>
      </c>
    </row>
    <row r="357" spans="1:17" x14ac:dyDescent="0.25">
      <c r="A357" t="s">
        <v>548</v>
      </c>
      <c r="B357" t="s">
        <v>429</v>
      </c>
      <c r="C357">
        <v>6</v>
      </c>
      <c r="D357">
        <v>20230223</v>
      </c>
      <c r="E357">
        <v>2</v>
      </c>
      <c r="F357">
        <v>411100</v>
      </c>
      <c r="G357" t="s">
        <v>18</v>
      </c>
      <c r="H357" t="s">
        <v>154</v>
      </c>
      <c r="I357" t="s">
        <v>155</v>
      </c>
      <c r="J357">
        <v>366768</v>
      </c>
      <c r="K357">
        <v>20230223</v>
      </c>
      <c r="L357" t="s">
        <v>5369</v>
      </c>
      <c r="M357">
        <v>4</v>
      </c>
      <c r="N357">
        <v>0</v>
      </c>
      <c r="O357" t="s">
        <v>19</v>
      </c>
      <c r="P357" t="s">
        <v>20</v>
      </c>
      <c r="Q357">
        <v>20230223</v>
      </c>
    </row>
    <row r="358" spans="1:17" x14ac:dyDescent="0.25">
      <c r="A358" t="s">
        <v>548</v>
      </c>
      <c r="B358" t="s">
        <v>429</v>
      </c>
      <c r="C358">
        <v>6</v>
      </c>
      <c r="D358">
        <v>20230223</v>
      </c>
      <c r="E358">
        <v>2</v>
      </c>
      <c r="F358">
        <v>531105</v>
      </c>
      <c r="G358" t="s">
        <v>429</v>
      </c>
      <c r="H358" t="s">
        <v>401</v>
      </c>
      <c r="I358" t="s">
        <v>402</v>
      </c>
      <c r="J358">
        <v>366769</v>
      </c>
      <c r="K358">
        <v>20230223</v>
      </c>
      <c r="L358" t="s">
        <v>565</v>
      </c>
      <c r="M358">
        <v>8</v>
      </c>
      <c r="N358">
        <v>0</v>
      </c>
      <c r="O358" t="s">
        <v>19</v>
      </c>
      <c r="P358" t="s">
        <v>20</v>
      </c>
      <c r="Q358">
        <v>20230223</v>
      </c>
    </row>
    <row r="359" spans="1:17" x14ac:dyDescent="0.25">
      <c r="A359" t="s">
        <v>548</v>
      </c>
      <c r="B359" t="s">
        <v>429</v>
      </c>
      <c r="C359">
        <v>6</v>
      </c>
      <c r="D359">
        <v>20230223</v>
      </c>
      <c r="E359">
        <v>2</v>
      </c>
      <c r="F359">
        <v>411010</v>
      </c>
      <c r="G359" t="s">
        <v>87</v>
      </c>
      <c r="H359" t="s">
        <v>381</v>
      </c>
      <c r="I359" t="s">
        <v>382</v>
      </c>
      <c r="J359">
        <v>223010009</v>
      </c>
      <c r="K359">
        <v>20230223</v>
      </c>
      <c r="L359" t="s">
        <v>5370</v>
      </c>
      <c r="M359">
        <v>0</v>
      </c>
      <c r="N359">
        <v>570</v>
      </c>
      <c r="O359" t="s">
        <v>19</v>
      </c>
      <c r="P359" t="s">
        <v>20</v>
      </c>
      <c r="Q359">
        <v>20230223</v>
      </c>
    </row>
    <row r="360" spans="1:17" x14ac:dyDescent="0.25">
      <c r="A360" t="s">
        <v>548</v>
      </c>
      <c r="B360" t="s">
        <v>429</v>
      </c>
      <c r="C360">
        <v>6</v>
      </c>
      <c r="D360">
        <v>20230223</v>
      </c>
      <c r="E360">
        <v>2</v>
      </c>
      <c r="F360">
        <v>531105</v>
      </c>
      <c r="G360" t="s">
        <v>429</v>
      </c>
      <c r="H360" t="s">
        <v>401</v>
      </c>
      <c r="I360" t="s">
        <v>402</v>
      </c>
      <c r="J360">
        <v>367265</v>
      </c>
      <c r="K360">
        <v>20230223</v>
      </c>
      <c r="L360" t="s">
        <v>565</v>
      </c>
      <c r="M360">
        <v>570</v>
      </c>
      <c r="N360">
        <v>0</v>
      </c>
      <c r="O360" t="s">
        <v>19</v>
      </c>
      <c r="P360" t="s">
        <v>20</v>
      </c>
      <c r="Q360">
        <v>20230223</v>
      </c>
    </row>
    <row r="361" spans="1:17" x14ac:dyDescent="0.25">
      <c r="A361" t="s">
        <v>548</v>
      </c>
      <c r="B361" t="s">
        <v>429</v>
      </c>
      <c r="C361">
        <v>6</v>
      </c>
      <c r="D361">
        <v>20230224</v>
      </c>
      <c r="E361">
        <v>2</v>
      </c>
      <c r="F361">
        <v>467100</v>
      </c>
      <c r="G361" t="s">
        <v>160</v>
      </c>
      <c r="H361" t="s">
        <v>4958</v>
      </c>
      <c r="I361" t="s">
        <v>4959</v>
      </c>
      <c r="J361" t="s">
        <v>5371</v>
      </c>
      <c r="K361">
        <v>20230224</v>
      </c>
      <c r="L361" t="s">
        <v>5372</v>
      </c>
      <c r="M361">
        <v>200</v>
      </c>
      <c r="N361">
        <v>0</v>
      </c>
      <c r="O361" t="s">
        <v>23</v>
      </c>
      <c r="P361">
        <v>20230308</v>
      </c>
      <c r="Q361">
        <v>20230224</v>
      </c>
    </row>
    <row r="362" spans="1:17" x14ac:dyDescent="0.25">
      <c r="A362" t="s">
        <v>548</v>
      </c>
      <c r="B362" t="s">
        <v>429</v>
      </c>
      <c r="C362">
        <v>6</v>
      </c>
      <c r="D362">
        <v>20230224</v>
      </c>
      <c r="E362">
        <v>2</v>
      </c>
      <c r="F362">
        <v>531105</v>
      </c>
      <c r="G362" t="s">
        <v>429</v>
      </c>
      <c r="H362" t="s">
        <v>401</v>
      </c>
      <c r="I362" t="s">
        <v>402</v>
      </c>
      <c r="J362" t="s">
        <v>5371</v>
      </c>
      <c r="K362">
        <v>20230224</v>
      </c>
      <c r="L362" t="s">
        <v>5372</v>
      </c>
      <c r="M362">
        <v>0</v>
      </c>
      <c r="N362">
        <v>200</v>
      </c>
      <c r="O362" t="s">
        <v>19</v>
      </c>
      <c r="P362" t="s">
        <v>20</v>
      </c>
      <c r="Q362">
        <v>20230224</v>
      </c>
    </row>
    <row r="363" spans="1:17" x14ac:dyDescent="0.25">
      <c r="A363" t="s">
        <v>548</v>
      </c>
      <c r="B363" t="s">
        <v>429</v>
      </c>
      <c r="C363">
        <v>6</v>
      </c>
      <c r="D363">
        <v>20230224</v>
      </c>
      <c r="E363">
        <v>2</v>
      </c>
      <c r="F363">
        <v>467100</v>
      </c>
      <c r="G363" t="s">
        <v>160</v>
      </c>
      <c r="H363" t="s">
        <v>4958</v>
      </c>
      <c r="I363" t="s">
        <v>4959</v>
      </c>
      <c r="J363" t="s">
        <v>5373</v>
      </c>
      <c r="K363">
        <v>20230224</v>
      </c>
      <c r="L363" t="s">
        <v>5374</v>
      </c>
      <c r="M363">
        <v>60</v>
      </c>
      <c r="N363">
        <v>0</v>
      </c>
      <c r="O363" t="s">
        <v>23</v>
      </c>
      <c r="P363">
        <v>20230308</v>
      </c>
      <c r="Q363">
        <v>20230224</v>
      </c>
    </row>
    <row r="364" spans="1:17" x14ac:dyDescent="0.25">
      <c r="A364" t="s">
        <v>548</v>
      </c>
      <c r="B364" t="s">
        <v>429</v>
      </c>
      <c r="C364">
        <v>6</v>
      </c>
      <c r="D364">
        <v>20230224</v>
      </c>
      <c r="E364">
        <v>2</v>
      </c>
      <c r="F364">
        <v>531105</v>
      </c>
      <c r="G364" t="s">
        <v>429</v>
      </c>
      <c r="H364" t="s">
        <v>401</v>
      </c>
      <c r="I364" t="s">
        <v>402</v>
      </c>
      <c r="J364" t="s">
        <v>5373</v>
      </c>
      <c r="K364">
        <v>20230224</v>
      </c>
      <c r="L364" t="s">
        <v>5374</v>
      </c>
      <c r="M364">
        <v>0</v>
      </c>
      <c r="N364">
        <v>60</v>
      </c>
      <c r="O364" t="s">
        <v>19</v>
      </c>
      <c r="P364" t="s">
        <v>20</v>
      </c>
      <c r="Q364">
        <v>20230224</v>
      </c>
    </row>
    <row r="365" spans="1:17" x14ac:dyDescent="0.25">
      <c r="A365" t="s">
        <v>548</v>
      </c>
      <c r="B365" t="s">
        <v>429</v>
      </c>
      <c r="C365">
        <v>6</v>
      </c>
      <c r="D365">
        <v>20230224</v>
      </c>
      <c r="E365">
        <v>2</v>
      </c>
      <c r="F365">
        <v>467100</v>
      </c>
      <c r="G365" t="s">
        <v>160</v>
      </c>
      <c r="H365" t="s">
        <v>4958</v>
      </c>
      <c r="I365" t="s">
        <v>4959</v>
      </c>
      <c r="J365" t="s">
        <v>5375</v>
      </c>
      <c r="K365">
        <v>20230224</v>
      </c>
      <c r="L365" t="s">
        <v>5376</v>
      </c>
      <c r="M365">
        <v>60</v>
      </c>
      <c r="N365">
        <v>0</v>
      </c>
      <c r="O365" t="s">
        <v>23</v>
      </c>
      <c r="P365">
        <v>20230308</v>
      </c>
      <c r="Q365">
        <v>20230224</v>
      </c>
    </row>
    <row r="366" spans="1:17" x14ac:dyDescent="0.25">
      <c r="A366" t="s">
        <v>548</v>
      </c>
      <c r="B366" t="s">
        <v>429</v>
      </c>
      <c r="C366">
        <v>6</v>
      </c>
      <c r="D366">
        <v>20230224</v>
      </c>
      <c r="E366">
        <v>2</v>
      </c>
      <c r="F366">
        <v>531105</v>
      </c>
      <c r="G366" t="s">
        <v>429</v>
      </c>
      <c r="H366" t="s">
        <v>401</v>
      </c>
      <c r="I366" t="s">
        <v>402</v>
      </c>
      <c r="J366" t="s">
        <v>5375</v>
      </c>
      <c r="K366">
        <v>20230224</v>
      </c>
      <c r="L366" t="s">
        <v>5376</v>
      </c>
      <c r="M366">
        <v>0</v>
      </c>
      <c r="N366">
        <v>60</v>
      </c>
      <c r="O366" t="s">
        <v>19</v>
      </c>
      <c r="P366" t="s">
        <v>20</v>
      </c>
      <c r="Q366">
        <v>20230224</v>
      </c>
    </row>
    <row r="367" spans="1:17" x14ac:dyDescent="0.25">
      <c r="A367" t="s">
        <v>548</v>
      </c>
      <c r="B367" t="s">
        <v>429</v>
      </c>
      <c r="C367">
        <v>6</v>
      </c>
      <c r="D367">
        <v>20230227</v>
      </c>
      <c r="E367">
        <v>2</v>
      </c>
      <c r="F367">
        <v>580000</v>
      </c>
      <c r="G367" t="s">
        <v>532</v>
      </c>
      <c r="H367" t="s">
        <v>401</v>
      </c>
      <c r="I367" t="s">
        <v>402</v>
      </c>
      <c r="J367" t="s">
        <v>5377</v>
      </c>
      <c r="K367">
        <v>20230227</v>
      </c>
      <c r="L367" t="s">
        <v>625</v>
      </c>
      <c r="M367">
        <v>2700</v>
      </c>
      <c r="N367">
        <v>0</v>
      </c>
      <c r="O367" t="s">
        <v>22</v>
      </c>
      <c r="P367">
        <v>20230227</v>
      </c>
      <c r="Q367">
        <v>20230227</v>
      </c>
    </row>
    <row r="368" spans="1:17" x14ac:dyDescent="0.25">
      <c r="A368" t="s">
        <v>548</v>
      </c>
      <c r="B368" t="s">
        <v>429</v>
      </c>
      <c r="C368">
        <v>6</v>
      </c>
      <c r="D368">
        <v>20230227</v>
      </c>
      <c r="E368">
        <v>2</v>
      </c>
      <c r="F368">
        <v>531105</v>
      </c>
      <c r="G368" t="s">
        <v>429</v>
      </c>
      <c r="H368" t="s">
        <v>401</v>
      </c>
      <c r="I368" t="s">
        <v>402</v>
      </c>
      <c r="J368" t="s">
        <v>5377</v>
      </c>
      <c r="K368">
        <v>20230227</v>
      </c>
      <c r="L368" t="s">
        <v>625</v>
      </c>
      <c r="M368">
        <v>0</v>
      </c>
      <c r="N368">
        <v>2700</v>
      </c>
      <c r="O368" t="s">
        <v>19</v>
      </c>
      <c r="P368" t="s">
        <v>20</v>
      </c>
      <c r="Q368">
        <v>20230227</v>
      </c>
    </row>
    <row r="369" spans="1:17" x14ac:dyDescent="0.25">
      <c r="A369" t="s">
        <v>548</v>
      </c>
      <c r="B369" t="s">
        <v>429</v>
      </c>
      <c r="C369">
        <v>6</v>
      </c>
      <c r="D369">
        <v>20230227</v>
      </c>
      <c r="E369">
        <v>2</v>
      </c>
      <c r="F369">
        <v>411100</v>
      </c>
      <c r="G369" t="s">
        <v>18</v>
      </c>
      <c r="H369" t="s">
        <v>3635</v>
      </c>
      <c r="I369" t="s">
        <v>3636</v>
      </c>
      <c r="J369">
        <v>367458</v>
      </c>
      <c r="K369">
        <v>20230227</v>
      </c>
      <c r="L369" t="s">
        <v>5378</v>
      </c>
      <c r="M369">
        <v>0</v>
      </c>
      <c r="N369">
        <v>3</v>
      </c>
      <c r="O369" t="s">
        <v>19</v>
      </c>
      <c r="P369" t="s">
        <v>20</v>
      </c>
      <c r="Q369">
        <v>20230227</v>
      </c>
    </row>
    <row r="370" spans="1:17" x14ac:dyDescent="0.25">
      <c r="A370" t="s">
        <v>548</v>
      </c>
      <c r="B370" t="s">
        <v>429</v>
      </c>
      <c r="C370">
        <v>6</v>
      </c>
      <c r="D370">
        <v>20230227</v>
      </c>
      <c r="E370">
        <v>2</v>
      </c>
      <c r="F370">
        <v>531105</v>
      </c>
      <c r="G370" t="s">
        <v>429</v>
      </c>
      <c r="H370" t="s">
        <v>401</v>
      </c>
      <c r="I370" t="s">
        <v>402</v>
      </c>
      <c r="J370">
        <v>367459</v>
      </c>
      <c r="K370">
        <v>20230227</v>
      </c>
      <c r="L370" t="s">
        <v>565</v>
      </c>
      <c r="M370">
        <v>3</v>
      </c>
      <c r="N370">
        <v>0</v>
      </c>
      <c r="O370" t="s">
        <v>19</v>
      </c>
      <c r="P370" t="s">
        <v>20</v>
      </c>
      <c r="Q370">
        <v>20230227</v>
      </c>
    </row>
    <row r="371" spans="1:17" x14ac:dyDescent="0.25">
      <c r="A371" t="s">
        <v>548</v>
      </c>
      <c r="B371" t="s">
        <v>429</v>
      </c>
      <c r="C371">
        <v>6</v>
      </c>
      <c r="D371">
        <v>20230227</v>
      </c>
      <c r="E371">
        <v>2</v>
      </c>
      <c r="F371">
        <v>411010</v>
      </c>
      <c r="G371" t="s">
        <v>87</v>
      </c>
      <c r="H371" t="s">
        <v>4464</v>
      </c>
      <c r="I371" t="s">
        <v>5715</v>
      </c>
      <c r="J371">
        <v>222120031</v>
      </c>
      <c r="K371">
        <v>20230227</v>
      </c>
      <c r="L371" t="s">
        <v>5714</v>
      </c>
      <c r="M371">
        <v>0</v>
      </c>
      <c r="N371">
        <v>29.31</v>
      </c>
      <c r="O371" t="s">
        <v>19</v>
      </c>
      <c r="P371" t="s">
        <v>20</v>
      </c>
      <c r="Q371">
        <v>20230227</v>
      </c>
    </row>
    <row r="372" spans="1:17" x14ac:dyDescent="0.25">
      <c r="A372" t="s">
        <v>548</v>
      </c>
      <c r="B372" t="s">
        <v>429</v>
      </c>
      <c r="C372">
        <v>6</v>
      </c>
      <c r="D372">
        <v>20230227</v>
      </c>
      <c r="E372">
        <v>2</v>
      </c>
      <c r="F372">
        <v>531105</v>
      </c>
      <c r="G372" t="s">
        <v>429</v>
      </c>
      <c r="H372" t="s">
        <v>401</v>
      </c>
      <c r="I372" t="s">
        <v>402</v>
      </c>
      <c r="J372">
        <v>367513</v>
      </c>
      <c r="K372">
        <v>20230227</v>
      </c>
      <c r="L372" t="s">
        <v>565</v>
      </c>
      <c r="M372">
        <v>29.31</v>
      </c>
      <c r="N372">
        <v>0</v>
      </c>
      <c r="O372" t="s">
        <v>19</v>
      </c>
      <c r="P372" t="s">
        <v>20</v>
      </c>
      <c r="Q372">
        <v>20230227</v>
      </c>
    </row>
    <row r="373" spans="1:17" x14ac:dyDescent="0.25">
      <c r="A373" t="s">
        <v>548</v>
      </c>
      <c r="B373" t="s">
        <v>429</v>
      </c>
      <c r="C373">
        <v>6</v>
      </c>
      <c r="D373">
        <v>20230228</v>
      </c>
      <c r="E373">
        <v>2</v>
      </c>
      <c r="F373">
        <v>467100</v>
      </c>
      <c r="G373" t="s">
        <v>160</v>
      </c>
      <c r="H373" t="s">
        <v>4847</v>
      </c>
      <c r="I373" t="s">
        <v>4848</v>
      </c>
      <c r="J373" t="s">
        <v>5380</v>
      </c>
      <c r="K373">
        <v>20230228</v>
      </c>
      <c r="L373" t="s">
        <v>5381</v>
      </c>
      <c r="M373">
        <v>25.81</v>
      </c>
      <c r="N373">
        <v>0</v>
      </c>
      <c r="O373" t="s">
        <v>23</v>
      </c>
      <c r="P373">
        <v>20230308</v>
      </c>
      <c r="Q373">
        <v>20230228</v>
      </c>
    </row>
    <row r="374" spans="1:17" x14ac:dyDescent="0.25">
      <c r="A374" t="s">
        <v>548</v>
      </c>
      <c r="B374" t="s">
        <v>429</v>
      </c>
      <c r="C374">
        <v>6</v>
      </c>
      <c r="D374">
        <v>20230228</v>
      </c>
      <c r="E374">
        <v>2</v>
      </c>
      <c r="F374">
        <v>531105</v>
      </c>
      <c r="G374" t="s">
        <v>429</v>
      </c>
      <c r="H374" t="s">
        <v>401</v>
      </c>
      <c r="I374" t="s">
        <v>402</v>
      </c>
      <c r="J374" t="s">
        <v>5380</v>
      </c>
      <c r="K374">
        <v>20230228</v>
      </c>
      <c r="L374" t="s">
        <v>5381</v>
      </c>
      <c r="M374">
        <v>0</v>
      </c>
      <c r="N374">
        <v>25.81</v>
      </c>
      <c r="O374" t="s">
        <v>19</v>
      </c>
      <c r="P374" t="s">
        <v>20</v>
      </c>
      <c r="Q374">
        <v>20230228</v>
      </c>
    </row>
    <row r="375" spans="1:17" x14ac:dyDescent="0.25">
      <c r="A375" t="s">
        <v>715</v>
      </c>
      <c r="B375" t="s">
        <v>432</v>
      </c>
      <c r="C375">
        <v>7</v>
      </c>
      <c r="D375">
        <v>20230201</v>
      </c>
      <c r="E375">
        <v>2</v>
      </c>
      <c r="F375">
        <v>401000</v>
      </c>
      <c r="G375" t="s">
        <v>41</v>
      </c>
      <c r="H375" t="s">
        <v>189</v>
      </c>
      <c r="I375" t="s">
        <v>190</v>
      </c>
      <c r="J375" t="s">
        <v>5713</v>
      </c>
      <c r="K375">
        <v>20230201</v>
      </c>
      <c r="L375" t="s">
        <v>191</v>
      </c>
      <c r="M375">
        <v>2268.98</v>
      </c>
      <c r="N375">
        <v>0</v>
      </c>
      <c r="O375" t="s">
        <v>19</v>
      </c>
      <c r="P375" t="s">
        <v>20</v>
      </c>
      <c r="Q375">
        <v>20230201</v>
      </c>
    </row>
    <row r="376" spans="1:17" x14ac:dyDescent="0.25">
      <c r="A376" t="s">
        <v>715</v>
      </c>
      <c r="B376" t="s">
        <v>432</v>
      </c>
      <c r="C376">
        <v>7</v>
      </c>
      <c r="D376">
        <v>20230201</v>
      </c>
      <c r="E376">
        <v>2</v>
      </c>
      <c r="F376">
        <v>512200</v>
      </c>
      <c r="G376" t="s">
        <v>432</v>
      </c>
      <c r="H376" t="s">
        <v>401</v>
      </c>
      <c r="I376" t="s">
        <v>402</v>
      </c>
      <c r="J376" t="s">
        <v>5713</v>
      </c>
      <c r="K376">
        <v>20230201</v>
      </c>
      <c r="L376" t="s">
        <v>191</v>
      </c>
      <c r="M376">
        <v>0</v>
      </c>
      <c r="N376">
        <v>2268.98</v>
      </c>
      <c r="O376" t="s">
        <v>19</v>
      </c>
      <c r="P376" t="s">
        <v>20</v>
      </c>
      <c r="Q376">
        <v>20230201</v>
      </c>
    </row>
    <row r="377" spans="1:17" x14ac:dyDescent="0.25">
      <c r="A377" t="s">
        <v>715</v>
      </c>
      <c r="B377" t="s">
        <v>432</v>
      </c>
      <c r="C377">
        <v>7</v>
      </c>
      <c r="D377">
        <v>20230202</v>
      </c>
      <c r="E377">
        <v>2</v>
      </c>
      <c r="F377">
        <v>471000</v>
      </c>
      <c r="G377" t="s">
        <v>4801</v>
      </c>
      <c r="H377" t="s">
        <v>401</v>
      </c>
      <c r="I377" t="s">
        <v>402</v>
      </c>
      <c r="J377" t="s">
        <v>5712</v>
      </c>
      <c r="K377">
        <v>20230202</v>
      </c>
      <c r="L377" t="s">
        <v>5679</v>
      </c>
      <c r="M377">
        <v>88.96</v>
      </c>
      <c r="N377">
        <v>0</v>
      </c>
      <c r="O377" t="s">
        <v>19</v>
      </c>
      <c r="P377" t="s">
        <v>20</v>
      </c>
      <c r="Q377">
        <v>20230202</v>
      </c>
    </row>
    <row r="378" spans="1:17" x14ac:dyDescent="0.25">
      <c r="A378" t="s">
        <v>715</v>
      </c>
      <c r="B378" t="s">
        <v>432</v>
      </c>
      <c r="C378">
        <v>7</v>
      </c>
      <c r="D378">
        <v>20230202</v>
      </c>
      <c r="E378">
        <v>2</v>
      </c>
      <c r="F378">
        <v>512200</v>
      </c>
      <c r="G378" t="s">
        <v>432</v>
      </c>
      <c r="H378" t="s">
        <v>401</v>
      </c>
      <c r="I378" t="s">
        <v>402</v>
      </c>
      <c r="J378" t="s">
        <v>5712</v>
      </c>
      <c r="K378">
        <v>20230202</v>
      </c>
      <c r="L378" t="s">
        <v>5679</v>
      </c>
      <c r="M378">
        <v>0</v>
      </c>
      <c r="N378">
        <v>88.96</v>
      </c>
      <c r="O378" t="s">
        <v>19</v>
      </c>
      <c r="P378" t="s">
        <v>20</v>
      </c>
      <c r="Q378">
        <v>20230202</v>
      </c>
    </row>
    <row r="379" spans="1:17" x14ac:dyDescent="0.25">
      <c r="A379" t="s">
        <v>715</v>
      </c>
      <c r="B379" t="s">
        <v>432</v>
      </c>
      <c r="C379">
        <v>7</v>
      </c>
      <c r="D379">
        <v>20230203</v>
      </c>
      <c r="E379">
        <v>2</v>
      </c>
      <c r="F379">
        <v>471000</v>
      </c>
      <c r="G379" t="s">
        <v>4801</v>
      </c>
      <c r="H379" t="s">
        <v>401</v>
      </c>
      <c r="I379" t="s">
        <v>402</v>
      </c>
      <c r="J379" t="s">
        <v>5711</v>
      </c>
      <c r="K379">
        <v>20230203</v>
      </c>
      <c r="L379" t="s">
        <v>5710</v>
      </c>
      <c r="M379">
        <v>58.87</v>
      </c>
      <c r="N379">
        <v>0</v>
      </c>
      <c r="O379" t="s">
        <v>19</v>
      </c>
      <c r="P379" t="s">
        <v>20</v>
      </c>
      <c r="Q379">
        <v>20230203</v>
      </c>
    </row>
    <row r="380" spans="1:17" x14ac:dyDescent="0.25">
      <c r="A380" t="s">
        <v>715</v>
      </c>
      <c r="B380" t="s">
        <v>432</v>
      </c>
      <c r="C380">
        <v>7</v>
      </c>
      <c r="D380">
        <v>20230203</v>
      </c>
      <c r="E380">
        <v>2</v>
      </c>
      <c r="F380">
        <v>512200</v>
      </c>
      <c r="G380" t="s">
        <v>432</v>
      </c>
      <c r="H380" t="s">
        <v>401</v>
      </c>
      <c r="I380" t="s">
        <v>402</v>
      </c>
      <c r="J380" t="s">
        <v>5711</v>
      </c>
      <c r="K380">
        <v>20230203</v>
      </c>
      <c r="L380" t="s">
        <v>5710</v>
      </c>
      <c r="M380">
        <v>0</v>
      </c>
      <c r="N380">
        <v>58.87</v>
      </c>
      <c r="O380" t="s">
        <v>19</v>
      </c>
      <c r="P380" t="s">
        <v>20</v>
      </c>
      <c r="Q380">
        <v>20230203</v>
      </c>
    </row>
    <row r="381" spans="1:17" x14ac:dyDescent="0.25">
      <c r="A381" t="s">
        <v>715</v>
      </c>
      <c r="B381" t="s">
        <v>432</v>
      </c>
      <c r="C381">
        <v>7</v>
      </c>
      <c r="D381">
        <v>20230206</v>
      </c>
      <c r="E381">
        <v>2</v>
      </c>
      <c r="F381">
        <v>401000</v>
      </c>
      <c r="G381" t="s">
        <v>41</v>
      </c>
      <c r="H381" t="s">
        <v>52</v>
      </c>
      <c r="I381" t="s">
        <v>53</v>
      </c>
      <c r="J381" t="s">
        <v>5709</v>
      </c>
      <c r="K381">
        <v>20230206</v>
      </c>
      <c r="L381" t="s">
        <v>5708</v>
      </c>
      <c r="M381">
        <v>61.44</v>
      </c>
      <c r="N381">
        <v>0</v>
      </c>
      <c r="O381" t="s">
        <v>19</v>
      </c>
      <c r="P381" t="s">
        <v>20</v>
      </c>
      <c r="Q381">
        <v>20230206</v>
      </c>
    </row>
    <row r="382" spans="1:17" x14ac:dyDescent="0.25">
      <c r="A382" t="s">
        <v>715</v>
      </c>
      <c r="B382" t="s">
        <v>432</v>
      </c>
      <c r="C382">
        <v>7</v>
      </c>
      <c r="D382">
        <v>20230206</v>
      </c>
      <c r="E382">
        <v>2</v>
      </c>
      <c r="F382">
        <v>512200</v>
      </c>
      <c r="G382" t="s">
        <v>432</v>
      </c>
      <c r="H382" t="s">
        <v>401</v>
      </c>
      <c r="I382" t="s">
        <v>402</v>
      </c>
      <c r="J382" t="s">
        <v>5709</v>
      </c>
      <c r="K382">
        <v>20230206</v>
      </c>
      <c r="L382" t="s">
        <v>5708</v>
      </c>
      <c r="M382">
        <v>0</v>
      </c>
      <c r="N382">
        <v>61.44</v>
      </c>
      <c r="O382" t="s">
        <v>19</v>
      </c>
      <c r="P382" t="s">
        <v>20</v>
      </c>
      <c r="Q382">
        <v>20230206</v>
      </c>
    </row>
    <row r="383" spans="1:17" x14ac:dyDescent="0.25">
      <c r="A383" t="s">
        <v>715</v>
      </c>
      <c r="B383" t="s">
        <v>432</v>
      </c>
      <c r="C383">
        <v>7</v>
      </c>
      <c r="D383">
        <v>20230206</v>
      </c>
      <c r="E383">
        <v>2</v>
      </c>
      <c r="F383">
        <v>401000</v>
      </c>
      <c r="G383" t="s">
        <v>41</v>
      </c>
      <c r="H383" t="s">
        <v>52</v>
      </c>
      <c r="I383" t="s">
        <v>53</v>
      </c>
      <c r="J383" t="s">
        <v>5707</v>
      </c>
      <c r="K383">
        <v>20230206</v>
      </c>
      <c r="L383" t="s">
        <v>5706</v>
      </c>
      <c r="M383">
        <v>62.4</v>
      </c>
      <c r="N383">
        <v>0</v>
      </c>
      <c r="O383" t="s">
        <v>19</v>
      </c>
      <c r="P383" t="s">
        <v>20</v>
      </c>
      <c r="Q383">
        <v>20230206</v>
      </c>
    </row>
    <row r="384" spans="1:17" x14ac:dyDescent="0.25">
      <c r="A384" t="s">
        <v>715</v>
      </c>
      <c r="B384" t="s">
        <v>432</v>
      </c>
      <c r="C384">
        <v>7</v>
      </c>
      <c r="D384">
        <v>20230206</v>
      </c>
      <c r="E384">
        <v>2</v>
      </c>
      <c r="F384">
        <v>512200</v>
      </c>
      <c r="G384" t="s">
        <v>432</v>
      </c>
      <c r="H384" t="s">
        <v>401</v>
      </c>
      <c r="I384" t="s">
        <v>402</v>
      </c>
      <c r="J384" t="s">
        <v>5707</v>
      </c>
      <c r="K384">
        <v>20230206</v>
      </c>
      <c r="L384" t="s">
        <v>5706</v>
      </c>
      <c r="M384">
        <v>0</v>
      </c>
      <c r="N384">
        <v>62.4</v>
      </c>
      <c r="O384" t="s">
        <v>19</v>
      </c>
      <c r="P384" t="s">
        <v>20</v>
      </c>
      <c r="Q384">
        <v>20230206</v>
      </c>
    </row>
    <row r="385" spans="1:17" x14ac:dyDescent="0.25">
      <c r="A385" t="s">
        <v>715</v>
      </c>
      <c r="B385" t="s">
        <v>432</v>
      </c>
      <c r="C385">
        <v>8</v>
      </c>
      <c r="D385">
        <v>20230208</v>
      </c>
      <c r="E385">
        <v>2</v>
      </c>
      <c r="F385">
        <v>471000</v>
      </c>
      <c r="G385" t="s">
        <v>4801</v>
      </c>
      <c r="H385" t="s">
        <v>401</v>
      </c>
      <c r="I385" t="s">
        <v>402</v>
      </c>
      <c r="J385" t="s">
        <v>5705</v>
      </c>
      <c r="K385">
        <v>20230208</v>
      </c>
      <c r="L385" t="s">
        <v>5679</v>
      </c>
      <c r="M385">
        <v>256.48</v>
      </c>
      <c r="N385">
        <v>0</v>
      </c>
      <c r="O385" t="s">
        <v>19</v>
      </c>
      <c r="P385" t="s">
        <v>20</v>
      </c>
      <c r="Q385">
        <v>20230208</v>
      </c>
    </row>
    <row r="386" spans="1:17" x14ac:dyDescent="0.25">
      <c r="A386" t="s">
        <v>715</v>
      </c>
      <c r="B386" t="s">
        <v>432</v>
      </c>
      <c r="C386">
        <v>8</v>
      </c>
      <c r="D386">
        <v>20230208</v>
      </c>
      <c r="E386">
        <v>2</v>
      </c>
      <c r="F386">
        <v>512200</v>
      </c>
      <c r="G386" t="s">
        <v>432</v>
      </c>
      <c r="H386" t="s">
        <v>401</v>
      </c>
      <c r="I386" t="s">
        <v>402</v>
      </c>
      <c r="J386" t="s">
        <v>5705</v>
      </c>
      <c r="K386">
        <v>20230208</v>
      </c>
      <c r="L386" t="s">
        <v>5679</v>
      </c>
      <c r="M386">
        <v>0</v>
      </c>
      <c r="N386">
        <v>256.48</v>
      </c>
      <c r="O386" t="s">
        <v>19</v>
      </c>
      <c r="P386" t="s">
        <v>20</v>
      </c>
      <c r="Q386">
        <v>20230208</v>
      </c>
    </row>
    <row r="387" spans="1:17" x14ac:dyDescent="0.25">
      <c r="A387" t="s">
        <v>715</v>
      </c>
      <c r="B387" t="s">
        <v>432</v>
      </c>
      <c r="C387">
        <v>9</v>
      </c>
      <c r="D387">
        <v>20230206</v>
      </c>
      <c r="E387">
        <v>2</v>
      </c>
      <c r="F387">
        <v>401000</v>
      </c>
      <c r="G387" t="s">
        <v>41</v>
      </c>
      <c r="H387" t="s">
        <v>166</v>
      </c>
      <c r="I387" t="s">
        <v>167</v>
      </c>
      <c r="J387" t="s">
        <v>5704</v>
      </c>
      <c r="K387">
        <v>20230206</v>
      </c>
      <c r="L387" t="s">
        <v>5703</v>
      </c>
      <c r="M387">
        <v>432</v>
      </c>
      <c r="N387">
        <v>0</v>
      </c>
      <c r="O387" t="s">
        <v>19</v>
      </c>
      <c r="P387" t="s">
        <v>20</v>
      </c>
      <c r="Q387">
        <v>20230206</v>
      </c>
    </row>
    <row r="388" spans="1:17" x14ac:dyDescent="0.25">
      <c r="A388" t="s">
        <v>715</v>
      </c>
      <c r="B388" t="s">
        <v>432</v>
      </c>
      <c r="C388">
        <v>9</v>
      </c>
      <c r="D388">
        <v>20230206</v>
      </c>
      <c r="E388">
        <v>2</v>
      </c>
      <c r="F388">
        <v>512200</v>
      </c>
      <c r="G388" t="s">
        <v>432</v>
      </c>
      <c r="H388" t="s">
        <v>401</v>
      </c>
      <c r="I388" t="s">
        <v>402</v>
      </c>
      <c r="J388" t="s">
        <v>5704</v>
      </c>
      <c r="K388">
        <v>20230206</v>
      </c>
      <c r="L388" t="s">
        <v>5703</v>
      </c>
      <c r="M388">
        <v>0</v>
      </c>
      <c r="N388">
        <v>432</v>
      </c>
      <c r="O388" t="s">
        <v>19</v>
      </c>
      <c r="P388" t="s">
        <v>20</v>
      </c>
      <c r="Q388">
        <v>20230206</v>
      </c>
    </row>
    <row r="389" spans="1:17" x14ac:dyDescent="0.25">
      <c r="A389" t="s">
        <v>715</v>
      </c>
      <c r="B389" t="s">
        <v>432</v>
      </c>
      <c r="C389">
        <v>9</v>
      </c>
      <c r="D389">
        <v>20230208</v>
      </c>
      <c r="E389">
        <v>2</v>
      </c>
      <c r="F389">
        <v>401000</v>
      </c>
      <c r="G389" t="s">
        <v>41</v>
      </c>
      <c r="H389" t="s">
        <v>5077</v>
      </c>
      <c r="I389" t="s">
        <v>5078</v>
      </c>
      <c r="J389" t="s">
        <v>5702</v>
      </c>
      <c r="K389">
        <v>20230208</v>
      </c>
      <c r="L389" t="s">
        <v>5701</v>
      </c>
      <c r="M389">
        <v>91</v>
      </c>
      <c r="N389">
        <v>0</v>
      </c>
      <c r="O389" t="s">
        <v>19</v>
      </c>
      <c r="P389" t="s">
        <v>20</v>
      </c>
      <c r="Q389">
        <v>20230208</v>
      </c>
    </row>
    <row r="390" spans="1:17" x14ac:dyDescent="0.25">
      <c r="A390" t="s">
        <v>715</v>
      </c>
      <c r="B390" t="s">
        <v>432</v>
      </c>
      <c r="C390">
        <v>9</v>
      </c>
      <c r="D390">
        <v>20230208</v>
      </c>
      <c r="E390">
        <v>2</v>
      </c>
      <c r="F390">
        <v>512200</v>
      </c>
      <c r="G390" t="s">
        <v>432</v>
      </c>
      <c r="H390" t="s">
        <v>401</v>
      </c>
      <c r="I390" t="s">
        <v>402</v>
      </c>
      <c r="J390" t="s">
        <v>5702</v>
      </c>
      <c r="K390">
        <v>20230208</v>
      </c>
      <c r="L390" t="s">
        <v>5701</v>
      </c>
      <c r="M390">
        <v>0</v>
      </c>
      <c r="N390">
        <v>91</v>
      </c>
      <c r="O390" t="s">
        <v>19</v>
      </c>
      <c r="P390" t="s">
        <v>20</v>
      </c>
      <c r="Q390">
        <v>20230208</v>
      </c>
    </row>
    <row r="391" spans="1:17" x14ac:dyDescent="0.25">
      <c r="A391" t="s">
        <v>715</v>
      </c>
      <c r="B391" t="s">
        <v>432</v>
      </c>
      <c r="C391">
        <v>10</v>
      </c>
      <c r="D391">
        <v>20230209</v>
      </c>
      <c r="E391">
        <v>2</v>
      </c>
      <c r="F391">
        <v>471000</v>
      </c>
      <c r="G391" t="s">
        <v>4801</v>
      </c>
      <c r="H391" t="s">
        <v>401</v>
      </c>
      <c r="I391" t="s">
        <v>402</v>
      </c>
      <c r="J391" t="s">
        <v>5700</v>
      </c>
      <c r="K391">
        <v>20230209</v>
      </c>
      <c r="L391" t="s">
        <v>5699</v>
      </c>
      <c r="M391">
        <v>0</v>
      </c>
      <c r="N391">
        <v>32.32</v>
      </c>
      <c r="O391" t="s">
        <v>19</v>
      </c>
      <c r="P391" t="s">
        <v>20</v>
      </c>
      <c r="Q391">
        <v>20230209</v>
      </c>
    </row>
    <row r="392" spans="1:17" x14ac:dyDescent="0.25">
      <c r="A392" t="s">
        <v>715</v>
      </c>
      <c r="B392" t="s">
        <v>432</v>
      </c>
      <c r="C392">
        <v>10</v>
      </c>
      <c r="D392">
        <v>20230209</v>
      </c>
      <c r="E392">
        <v>2</v>
      </c>
      <c r="F392">
        <v>512200</v>
      </c>
      <c r="G392" t="s">
        <v>432</v>
      </c>
      <c r="H392" t="s">
        <v>401</v>
      </c>
      <c r="I392" t="s">
        <v>402</v>
      </c>
      <c r="J392" t="s">
        <v>5700</v>
      </c>
      <c r="K392">
        <v>20230209</v>
      </c>
      <c r="L392" t="s">
        <v>5699</v>
      </c>
      <c r="M392">
        <v>32.32</v>
      </c>
      <c r="N392">
        <v>0</v>
      </c>
      <c r="O392" t="s">
        <v>19</v>
      </c>
      <c r="P392" t="s">
        <v>20</v>
      </c>
      <c r="Q392">
        <v>20230209</v>
      </c>
    </row>
    <row r="393" spans="1:17" x14ac:dyDescent="0.25">
      <c r="A393" t="s">
        <v>715</v>
      </c>
      <c r="B393" t="s">
        <v>432</v>
      </c>
      <c r="C393">
        <v>10</v>
      </c>
      <c r="D393">
        <v>20230210</v>
      </c>
      <c r="E393">
        <v>2</v>
      </c>
      <c r="F393">
        <v>627000</v>
      </c>
      <c r="G393" t="s">
        <v>480</v>
      </c>
      <c r="H393" t="s">
        <v>401</v>
      </c>
      <c r="I393" t="s">
        <v>402</v>
      </c>
      <c r="J393" t="s">
        <v>5698</v>
      </c>
      <c r="K393">
        <v>20230210</v>
      </c>
      <c r="L393" t="s">
        <v>4488</v>
      </c>
      <c r="M393">
        <v>38.380000000000003</v>
      </c>
      <c r="N393">
        <v>0</v>
      </c>
      <c r="O393" t="s">
        <v>19</v>
      </c>
      <c r="P393" t="s">
        <v>20</v>
      </c>
      <c r="Q393">
        <v>20230210</v>
      </c>
    </row>
    <row r="394" spans="1:17" x14ac:dyDescent="0.25">
      <c r="A394" t="s">
        <v>715</v>
      </c>
      <c r="B394" t="s">
        <v>432</v>
      </c>
      <c r="C394">
        <v>10</v>
      </c>
      <c r="D394">
        <v>20230210</v>
      </c>
      <c r="E394">
        <v>2</v>
      </c>
      <c r="F394">
        <v>512200</v>
      </c>
      <c r="G394" t="s">
        <v>432</v>
      </c>
      <c r="H394" t="s">
        <v>401</v>
      </c>
      <c r="I394" t="s">
        <v>402</v>
      </c>
      <c r="J394" t="s">
        <v>5698</v>
      </c>
      <c r="K394">
        <v>20230210</v>
      </c>
      <c r="L394" t="s">
        <v>4488</v>
      </c>
      <c r="M394">
        <v>0</v>
      </c>
      <c r="N394">
        <v>38.380000000000003</v>
      </c>
      <c r="O394" t="s">
        <v>19</v>
      </c>
      <c r="P394" t="s">
        <v>20</v>
      </c>
      <c r="Q394">
        <v>20230210</v>
      </c>
    </row>
    <row r="395" spans="1:17" x14ac:dyDescent="0.25">
      <c r="A395" t="s">
        <v>715</v>
      </c>
      <c r="B395" t="s">
        <v>432</v>
      </c>
      <c r="C395">
        <v>10</v>
      </c>
      <c r="D395">
        <v>20230213</v>
      </c>
      <c r="E395">
        <v>2</v>
      </c>
      <c r="F395">
        <v>401000</v>
      </c>
      <c r="G395" t="s">
        <v>41</v>
      </c>
      <c r="H395" t="s">
        <v>2392</v>
      </c>
      <c r="I395" t="s">
        <v>2393</v>
      </c>
      <c r="J395" t="s">
        <v>5697</v>
      </c>
      <c r="K395">
        <v>20230213</v>
      </c>
      <c r="L395" t="s">
        <v>5696</v>
      </c>
      <c r="M395">
        <v>348</v>
      </c>
      <c r="N395">
        <v>0</v>
      </c>
      <c r="O395" t="s">
        <v>19</v>
      </c>
      <c r="P395" t="s">
        <v>20</v>
      </c>
      <c r="Q395">
        <v>20230213</v>
      </c>
    </row>
    <row r="396" spans="1:17" x14ac:dyDescent="0.25">
      <c r="A396" t="s">
        <v>715</v>
      </c>
      <c r="B396" t="s">
        <v>432</v>
      </c>
      <c r="C396">
        <v>10</v>
      </c>
      <c r="D396">
        <v>20230213</v>
      </c>
      <c r="E396">
        <v>2</v>
      </c>
      <c r="F396">
        <v>512200</v>
      </c>
      <c r="G396" t="s">
        <v>432</v>
      </c>
      <c r="H396" t="s">
        <v>401</v>
      </c>
      <c r="I396" t="s">
        <v>402</v>
      </c>
      <c r="J396" t="s">
        <v>5697</v>
      </c>
      <c r="K396">
        <v>20230213</v>
      </c>
      <c r="L396" t="s">
        <v>5696</v>
      </c>
      <c r="M396">
        <v>0</v>
      </c>
      <c r="N396">
        <v>348</v>
      </c>
      <c r="O396" t="s">
        <v>19</v>
      </c>
      <c r="P396" t="s">
        <v>20</v>
      </c>
      <c r="Q396">
        <v>20230213</v>
      </c>
    </row>
    <row r="397" spans="1:17" x14ac:dyDescent="0.25">
      <c r="A397" t="s">
        <v>715</v>
      </c>
      <c r="B397" t="s">
        <v>432</v>
      </c>
      <c r="C397">
        <v>10</v>
      </c>
      <c r="D397">
        <v>20230214</v>
      </c>
      <c r="E397">
        <v>2</v>
      </c>
      <c r="F397">
        <v>401000</v>
      </c>
      <c r="G397" t="s">
        <v>41</v>
      </c>
      <c r="H397" t="s">
        <v>5073</v>
      </c>
      <c r="I397" t="s">
        <v>5074</v>
      </c>
      <c r="J397" t="s">
        <v>5695</v>
      </c>
      <c r="K397">
        <v>20230214</v>
      </c>
      <c r="L397" t="s">
        <v>5694</v>
      </c>
      <c r="M397">
        <v>72</v>
      </c>
      <c r="N397">
        <v>0</v>
      </c>
      <c r="O397" t="s">
        <v>19</v>
      </c>
      <c r="P397" t="s">
        <v>20</v>
      </c>
      <c r="Q397">
        <v>20230214</v>
      </c>
    </row>
    <row r="398" spans="1:17" x14ac:dyDescent="0.25">
      <c r="A398" t="s">
        <v>715</v>
      </c>
      <c r="B398" t="s">
        <v>432</v>
      </c>
      <c r="C398">
        <v>10</v>
      </c>
      <c r="D398">
        <v>20230214</v>
      </c>
      <c r="E398">
        <v>2</v>
      </c>
      <c r="F398">
        <v>512200</v>
      </c>
      <c r="G398" t="s">
        <v>432</v>
      </c>
      <c r="H398" t="s">
        <v>401</v>
      </c>
      <c r="I398" t="s">
        <v>402</v>
      </c>
      <c r="J398" t="s">
        <v>5695</v>
      </c>
      <c r="K398">
        <v>20230214</v>
      </c>
      <c r="L398" t="s">
        <v>5694</v>
      </c>
      <c r="M398">
        <v>0</v>
      </c>
      <c r="N398">
        <v>72</v>
      </c>
      <c r="O398" t="s">
        <v>19</v>
      </c>
      <c r="P398" t="s">
        <v>20</v>
      </c>
      <c r="Q398">
        <v>20230214</v>
      </c>
    </row>
    <row r="399" spans="1:17" x14ac:dyDescent="0.25">
      <c r="A399" t="s">
        <v>715</v>
      </c>
      <c r="B399" t="s">
        <v>432</v>
      </c>
      <c r="C399">
        <v>10</v>
      </c>
      <c r="D399">
        <v>20230214</v>
      </c>
      <c r="E399">
        <v>2</v>
      </c>
      <c r="F399">
        <v>471000</v>
      </c>
      <c r="G399" t="s">
        <v>4801</v>
      </c>
      <c r="H399" t="s">
        <v>401</v>
      </c>
      <c r="I399" t="s">
        <v>402</v>
      </c>
      <c r="J399" t="s">
        <v>5693</v>
      </c>
      <c r="K399">
        <v>20230214</v>
      </c>
      <c r="L399" t="s">
        <v>5692</v>
      </c>
      <c r="M399">
        <v>100</v>
      </c>
      <c r="N399">
        <v>0</v>
      </c>
      <c r="O399" t="s">
        <v>19</v>
      </c>
      <c r="P399" t="s">
        <v>20</v>
      </c>
      <c r="Q399">
        <v>20230214</v>
      </c>
    </row>
    <row r="400" spans="1:17" x14ac:dyDescent="0.25">
      <c r="A400" t="s">
        <v>715</v>
      </c>
      <c r="B400" t="s">
        <v>432</v>
      </c>
      <c r="C400">
        <v>10</v>
      </c>
      <c r="D400">
        <v>20230214</v>
      </c>
      <c r="E400">
        <v>2</v>
      </c>
      <c r="F400">
        <v>512200</v>
      </c>
      <c r="G400" t="s">
        <v>432</v>
      </c>
      <c r="H400" t="s">
        <v>401</v>
      </c>
      <c r="I400" t="s">
        <v>402</v>
      </c>
      <c r="J400" t="s">
        <v>5693</v>
      </c>
      <c r="K400">
        <v>20230214</v>
      </c>
      <c r="L400" t="s">
        <v>5692</v>
      </c>
      <c r="M400">
        <v>0</v>
      </c>
      <c r="N400">
        <v>100</v>
      </c>
      <c r="O400" t="s">
        <v>19</v>
      </c>
      <c r="P400" t="s">
        <v>20</v>
      </c>
      <c r="Q400">
        <v>20230214</v>
      </c>
    </row>
    <row r="401" spans="1:17" x14ac:dyDescent="0.25">
      <c r="A401" t="s">
        <v>715</v>
      </c>
      <c r="B401" t="s">
        <v>432</v>
      </c>
      <c r="C401">
        <v>10</v>
      </c>
      <c r="D401">
        <v>20230215</v>
      </c>
      <c r="E401">
        <v>2</v>
      </c>
      <c r="F401">
        <v>401000</v>
      </c>
      <c r="G401" t="s">
        <v>41</v>
      </c>
      <c r="H401" t="s">
        <v>140</v>
      </c>
      <c r="I401" t="s">
        <v>141</v>
      </c>
      <c r="J401" t="s">
        <v>5691</v>
      </c>
      <c r="K401">
        <v>20230215</v>
      </c>
      <c r="L401" t="s">
        <v>5690</v>
      </c>
      <c r="M401">
        <v>149.99</v>
      </c>
      <c r="N401">
        <v>0</v>
      </c>
      <c r="O401" t="s">
        <v>19</v>
      </c>
      <c r="P401" t="s">
        <v>20</v>
      </c>
      <c r="Q401">
        <v>20230215</v>
      </c>
    </row>
    <row r="402" spans="1:17" x14ac:dyDescent="0.25">
      <c r="A402" t="s">
        <v>715</v>
      </c>
      <c r="B402" t="s">
        <v>432</v>
      </c>
      <c r="C402">
        <v>10</v>
      </c>
      <c r="D402">
        <v>20230215</v>
      </c>
      <c r="E402">
        <v>2</v>
      </c>
      <c r="F402">
        <v>512200</v>
      </c>
      <c r="G402" t="s">
        <v>432</v>
      </c>
      <c r="H402" t="s">
        <v>401</v>
      </c>
      <c r="I402" t="s">
        <v>402</v>
      </c>
      <c r="J402" t="s">
        <v>5691</v>
      </c>
      <c r="K402">
        <v>20230215</v>
      </c>
      <c r="L402" t="s">
        <v>5690</v>
      </c>
      <c r="M402">
        <v>0</v>
      </c>
      <c r="N402">
        <v>149.99</v>
      </c>
      <c r="O402" t="s">
        <v>19</v>
      </c>
      <c r="P402" t="s">
        <v>20</v>
      </c>
      <c r="Q402">
        <v>20230215</v>
      </c>
    </row>
    <row r="403" spans="1:17" x14ac:dyDescent="0.25">
      <c r="A403" t="s">
        <v>715</v>
      </c>
      <c r="B403" t="s">
        <v>432</v>
      </c>
      <c r="C403">
        <v>10</v>
      </c>
      <c r="D403">
        <v>20230215</v>
      </c>
      <c r="E403">
        <v>2</v>
      </c>
      <c r="F403">
        <v>401000</v>
      </c>
      <c r="G403" t="s">
        <v>41</v>
      </c>
      <c r="H403" t="s">
        <v>448</v>
      </c>
      <c r="I403" t="s">
        <v>449</v>
      </c>
      <c r="J403" t="s">
        <v>5689</v>
      </c>
      <c r="K403">
        <v>20230215</v>
      </c>
      <c r="L403" t="s">
        <v>1283</v>
      </c>
      <c r="M403">
        <v>1102.48</v>
      </c>
      <c r="N403">
        <v>0</v>
      </c>
      <c r="O403" t="s">
        <v>19</v>
      </c>
      <c r="P403" t="s">
        <v>20</v>
      </c>
      <c r="Q403">
        <v>20230215</v>
      </c>
    </row>
    <row r="404" spans="1:17" x14ac:dyDescent="0.25">
      <c r="A404" t="s">
        <v>715</v>
      </c>
      <c r="B404" t="s">
        <v>432</v>
      </c>
      <c r="C404">
        <v>10</v>
      </c>
      <c r="D404">
        <v>20230215</v>
      </c>
      <c r="E404">
        <v>2</v>
      </c>
      <c r="F404">
        <v>512200</v>
      </c>
      <c r="G404" t="s">
        <v>432</v>
      </c>
      <c r="H404" t="s">
        <v>401</v>
      </c>
      <c r="I404" t="s">
        <v>402</v>
      </c>
      <c r="J404" t="s">
        <v>5689</v>
      </c>
      <c r="K404">
        <v>20230215</v>
      </c>
      <c r="L404" t="s">
        <v>1283</v>
      </c>
      <c r="M404">
        <v>0</v>
      </c>
      <c r="N404">
        <v>1102.48</v>
      </c>
      <c r="O404" t="s">
        <v>19</v>
      </c>
      <c r="P404" t="s">
        <v>20</v>
      </c>
      <c r="Q404">
        <v>20230215</v>
      </c>
    </row>
    <row r="405" spans="1:17" x14ac:dyDescent="0.25">
      <c r="A405" t="s">
        <v>715</v>
      </c>
      <c r="B405" t="s">
        <v>432</v>
      </c>
      <c r="C405">
        <v>10</v>
      </c>
      <c r="D405">
        <v>20230216</v>
      </c>
      <c r="E405">
        <v>2</v>
      </c>
      <c r="F405">
        <v>471000</v>
      </c>
      <c r="G405" t="s">
        <v>4801</v>
      </c>
      <c r="H405" t="s">
        <v>401</v>
      </c>
      <c r="I405" t="s">
        <v>402</v>
      </c>
      <c r="J405" t="s">
        <v>5688</v>
      </c>
      <c r="K405">
        <v>20230216</v>
      </c>
      <c r="L405" t="s">
        <v>5687</v>
      </c>
      <c r="M405">
        <v>0</v>
      </c>
      <c r="N405">
        <v>120</v>
      </c>
      <c r="O405" t="s">
        <v>19</v>
      </c>
      <c r="P405" t="s">
        <v>20</v>
      </c>
      <c r="Q405">
        <v>20230216</v>
      </c>
    </row>
    <row r="406" spans="1:17" x14ac:dyDescent="0.25">
      <c r="A406" t="s">
        <v>715</v>
      </c>
      <c r="B406" t="s">
        <v>432</v>
      </c>
      <c r="C406">
        <v>10</v>
      </c>
      <c r="D406">
        <v>20230216</v>
      </c>
      <c r="E406">
        <v>2</v>
      </c>
      <c r="F406">
        <v>512200</v>
      </c>
      <c r="G406" t="s">
        <v>432</v>
      </c>
      <c r="H406" t="s">
        <v>401</v>
      </c>
      <c r="I406" t="s">
        <v>402</v>
      </c>
      <c r="J406" t="s">
        <v>5688</v>
      </c>
      <c r="K406">
        <v>20230216</v>
      </c>
      <c r="L406" t="s">
        <v>5687</v>
      </c>
      <c r="M406">
        <v>120</v>
      </c>
      <c r="N406">
        <v>0</v>
      </c>
      <c r="O406" t="s">
        <v>19</v>
      </c>
      <c r="P406" t="s">
        <v>20</v>
      </c>
      <c r="Q406">
        <v>20230216</v>
      </c>
    </row>
    <row r="407" spans="1:17" x14ac:dyDescent="0.25">
      <c r="A407" t="s">
        <v>715</v>
      </c>
      <c r="B407" t="s">
        <v>432</v>
      </c>
      <c r="C407">
        <v>10</v>
      </c>
      <c r="D407">
        <v>20230217</v>
      </c>
      <c r="E407">
        <v>2</v>
      </c>
      <c r="F407">
        <v>471000</v>
      </c>
      <c r="G407" t="s">
        <v>4801</v>
      </c>
      <c r="H407" t="s">
        <v>401</v>
      </c>
      <c r="I407" t="s">
        <v>402</v>
      </c>
      <c r="J407" t="s">
        <v>5686</v>
      </c>
      <c r="K407">
        <v>20230217</v>
      </c>
      <c r="L407" t="s">
        <v>5684</v>
      </c>
      <c r="M407">
        <v>135</v>
      </c>
      <c r="N407">
        <v>0</v>
      </c>
      <c r="O407" t="s">
        <v>19</v>
      </c>
      <c r="P407" t="s">
        <v>20</v>
      </c>
      <c r="Q407">
        <v>20230217</v>
      </c>
    </row>
    <row r="408" spans="1:17" x14ac:dyDescent="0.25">
      <c r="A408" t="s">
        <v>715</v>
      </c>
      <c r="B408" t="s">
        <v>432</v>
      </c>
      <c r="C408">
        <v>10</v>
      </c>
      <c r="D408">
        <v>20230217</v>
      </c>
      <c r="E408">
        <v>2</v>
      </c>
      <c r="F408">
        <v>512200</v>
      </c>
      <c r="G408" t="s">
        <v>432</v>
      </c>
      <c r="H408" t="s">
        <v>401</v>
      </c>
      <c r="I408" t="s">
        <v>402</v>
      </c>
      <c r="J408" t="s">
        <v>5686</v>
      </c>
      <c r="K408">
        <v>20230217</v>
      </c>
      <c r="L408" t="s">
        <v>5684</v>
      </c>
      <c r="M408">
        <v>0</v>
      </c>
      <c r="N408">
        <v>135</v>
      </c>
      <c r="O408" t="s">
        <v>19</v>
      </c>
      <c r="P408" t="s">
        <v>20</v>
      </c>
      <c r="Q408">
        <v>20230217</v>
      </c>
    </row>
    <row r="409" spans="1:17" x14ac:dyDescent="0.25">
      <c r="A409" t="s">
        <v>715</v>
      </c>
      <c r="B409" t="s">
        <v>432</v>
      </c>
      <c r="C409">
        <v>10</v>
      </c>
      <c r="D409">
        <v>20230217</v>
      </c>
      <c r="E409">
        <v>2</v>
      </c>
      <c r="F409">
        <v>471000</v>
      </c>
      <c r="G409" t="s">
        <v>4801</v>
      </c>
      <c r="H409" t="s">
        <v>401</v>
      </c>
      <c r="I409" t="s">
        <v>402</v>
      </c>
      <c r="J409" t="s">
        <v>5685</v>
      </c>
      <c r="K409">
        <v>20230217</v>
      </c>
      <c r="L409" t="s">
        <v>5684</v>
      </c>
      <c r="M409">
        <v>140</v>
      </c>
      <c r="N409">
        <v>0</v>
      </c>
      <c r="O409" t="s">
        <v>19</v>
      </c>
      <c r="P409" t="s">
        <v>20</v>
      </c>
      <c r="Q409">
        <v>20230217</v>
      </c>
    </row>
    <row r="410" spans="1:17" x14ac:dyDescent="0.25">
      <c r="A410" t="s">
        <v>715</v>
      </c>
      <c r="B410" t="s">
        <v>432</v>
      </c>
      <c r="C410">
        <v>10</v>
      </c>
      <c r="D410">
        <v>20230217</v>
      </c>
      <c r="E410">
        <v>2</v>
      </c>
      <c r="F410">
        <v>512200</v>
      </c>
      <c r="G410" t="s">
        <v>432</v>
      </c>
      <c r="H410" t="s">
        <v>401</v>
      </c>
      <c r="I410" t="s">
        <v>402</v>
      </c>
      <c r="J410" t="s">
        <v>5685</v>
      </c>
      <c r="K410">
        <v>20230217</v>
      </c>
      <c r="L410" t="s">
        <v>5684</v>
      </c>
      <c r="M410">
        <v>0</v>
      </c>
      <c r="N410">
        <v>140</v>
      </c>
      <c r="O410" t="s">
        <v>19</v>
      </c>
      <c r="P410" t="s">
        <v>20</v>
      </c>
      <c r="Q410">
        <v>20230217</v>
      </c>
    </row>
    <row r="411" spans="1:17" x14ac:dyDescent="0.25">
      <c r="A411" t="s">
        <v>715</v>
      </c>
      <c r="B411" t="s">
        <v>432</v>
      </c>
      <c r="C411">
        <v>11</v>
      </c>
      <c r="D411">
        <v>20230217</v>
      </c>
      <c r="E411">
        <v>2</v>
      </c>
      <c r="F411">
        <v>401000</v>
      </c>
      <c r="G411" t="s">
        <v>41</v>
      </c>
      <c r="H411" t="s">
        <v>132</v>
      </c>
      <c r="I411" t="s">
        <v>133</v>
      </c>
      <c r="J411" t="s">
        <v>5683</v>
      </c>
      <c r="K411">
        <v>20230217</v>
      </c>
      <c r="L411" t="s">
        <v>3374</v>
      </c>
      <c r="M411">
        <v>494.43</v>
      </c>
      <c r="N411">
        <v>0</v>
      </c>
      <c r="O411" t="s">
        <v>19</v>
      </c>
      <c r="P411" t="s">
        <v>20</v>
      </c>
      <c r="Q411">
        <v>20230217</v>
      </c>
    </row>
    <row r="412" spans="1:17" x14ac:dyDescent="0.25">
      <c r="A412" t="s">
        <v>715</v>
      </c>
      <c r="B412" t="s">
        <v>432</v>
      </c>
      <c r="C412">
        <v>11</v>
      </c>
      <c r="D412">
        <v>20230217</v>
      </c>
      <c r="E412">
        <v>2</v>
      </c>
      <c r="F412">
        <v>512200</v>
      </c>
      <c r="G412" t="s">
        <v>432</v>
      </c>
      <c r="H412" t="s">
        <v>401</v>
      </c>
      <c r="I412" t="s">
        <v>402</v>
      </c>
      <c r="J412" t="s">
        <v>5683</v>
      </c>
      <c r="K412">
        <v>20230217</v>
      </c>
      <c r="L412" t="s">
        <v>3374</v>
      </c>
      <c r="M412">
        <v>0</v>
      </c>
      <c r="N412">
        <v>494.43</v>
      </c>
      <c r="O412" t="s">
        <v>19</v>
      </c>
      <c r="P412" t="s">
        <v>20</v>
      </c>
      <c r="Q412">
        <v>20230217</v>
      </c>
    </row>
    <row r="413" spans="1:17" x14ac:dyDescent="0.25">
      <c r="A413" t="s">
        <v>715</v>
      </c>
      <c r="B413" t="s">
        <v>432</v>
      </c>
      <c r="C413">
        <v>11</v>
      </c>
      <c r="D413">
        <v>20230220</v>
      </c>
      <c r="E413">
        <v>2</v>
      </c>
      <c r="F413">
        <v>401000</v>
      </c>
      <c r="G413" t="s">
        <v>41</v>
      </c>
      <c r="H413" t="s">
        <v>52</v>
      </c>
      <c r="I413" t="s">
        <v>53</v>
      </c>
      <c r="J413" t="s">
        <v>5682</v>
      </c>
      <c r="K413">
        <v>20230220</v>
      </c>
      <c r="L413" t="s">
        <v>5681</v>
      </c>
      <c r="M413">
        <v>66</v>
      </c>
      <c r="N413">
        <v>0</v>
      </c>
      <c r="O413" t="s">
        <v>19</v>
      </c>
      <c r="P413" t="s">
        <v>20</v>
      </c>
      <c r="Q413">
        <v>20230220</v>
      </c>
    </row>
    <row r="414" spans="1:17" x14ac:dyDescent="0.25">
      <c r="A414" t="s">
        <v>715</v>
      </c>
      <c r="B414" t="s">
        <v>432</v>
      </c>
      <c r="C414">
        <v>11</v>
      </c>
      <c r="D414">
        <v>20230220</v>
      </c>
      <c r="E414">
        <v>2</v>
      </c>
      <c r="F414">
        <v>512200</v>
      </c>
      <c r="G414" t="s">
        <v>432</v>
      </c>
      <c r="H414" t="s">
        <v>401</v>
      </c>
      <c r="I414" t="s">
        <v>402</v>
      </c>
      <c r="J414" t="s">
        <v>5682</v>
      </c>
      <c r="K414">
        <v>20230220</v>
      </c>
      <c r="L414" t="s">
        <v>5681</v>
      </c>
      <c r="M414">
        <v>0</v>
      </c>
      <c r="N414">
        <v>66</v>
      </c>
      <c r="O414" t="s">
        <v>19</v>
      </c>
      <c r="P414" t="s">
        <v>20</v>
      </c>
      <c r="Q414">
        <v>20230220</v>
      </c>
    </row>
    <row r="415" spans="1:17" x14ac:dyDescent="0.25">
      <c r="A415" t="s">
        <v>715</v>
      </c>
      <c r="B415" t="s">
        <v>432</v>
      </c>
      <c r="C415">
        <v>11</v>
      </c>
      <c r="D415">
        <v>20230221</v>
      </c>
      <c r="E415">
        <v>2</v>
      </c>
      <c r="F415">
        <v>471000</v>
      </c>
      <c r="G415" t="s">
        <v>4801</v>
      </c>
      <c r="H415" t="s">
        <v>401</v>
      </c>
      <c r="I415" t="s">
        <v>402</v>
      </c>
      <c r="J415" t="s">
        <v>5680</v>
      </c>
      <c r="K415">
        <v>20230221</v>
      </c>
      <c r="L415" t="s">
        <v>5679</v>
      </c>
      <c r="M415">
        <v>88.96</v>
      </c>
      <c r="N415">
        <v>0</v>
      </c>
      <c r="O415" t="s">
        <v>19</v>
      </c>
      <c r="P415" t="s">
        <v>20</v>
      </c>
      <c r="Q415">
        <v>20230221</v>
      </c>
    </row>
    <row r="416" spans="1:17" x14ac:dyDescent="0.25">
      <c r="A416" t="s">
        <v>715</v>
      </c>
      <c r="B416" t="s">
        <v>432</v>
      </c>
      <c r="C416">
        <v>11</v>
      </c>
      <c r="D416">
        <v>20230221</v>
      </c>
      <c r="E416">
        <v>2</v>
      </c>
      <c r="F416">
        <v>512200</v>
      </c>
      <c r="G416" t="s">
        <v>432</v>
      </c>
      <c r="H416" t="s">
        <v>401</v>
      </c>
      <c r="I416" t="s">
        <v>402</v>
      </c>
      <c r="J416" t="s">
        <v>5680</v>
      </c>
      <c r="K416">
        <v>20230221</v>
      </c>
      <c r="L416" t="s">
        <v>5679</v>
      </c>
      <c r="M416">
        <v>0</v>
      </c>
      <c r="N416">
        <v>88.96</v>
      </c>
      <c r="O416" t="s">
        <v>19</v>
      </c>
      <c r="P416" t="s">
        <v>20</v>
      </c>
      <c r="Q416">
        <v>20230221</v>
      </c>
    </row>
    <row r="417" spans="1:17" x14ac:dyDescent="0.25">
      <c r="A417" t="s">
        <v>715</v>
      </c>
      <c r="B417" t="s">
        <v>432</v>
      </c>
      <c r="C417">
        <v>11</v>
      </c>
      <c r="D417">
        <v>20230221</v>
      </c>
      <c r="E417">
        <v>2</v>
      </c>
      <c r="F417">
        <v>401000</v>
      </c>
      <c r="G417" t="s">
        <v>41</v>
      </c>
      <c r="H417" t="s">
        <v>3664</v>
      </c>
      <c r="I417" t="s">
        <v>3665</v>
      </c>
      <c r="J417" t="s">
        <v>5678</v>
      </c>
      <c r="K417">
        <v>20230221</v>
      </c>
      <c r="L417" t="s">
        <v>5677</v>
      </c>
      <c r="M417">
        <v>112</v>
      </c>
      <c r="N417">
        <v>0</v>
      </c>
      <c r="O417" t="s">
        <v>19</v>
      </c>
      <c r="P417" t="s">
        <v>20</v>
      </c>
      <c r="Q417">
        <v>20230221</v>
      </c>
    </row>
    <row r="418" spans="1:17" x14ac:dyDescent="0.25">
      <c r="A418" t="s">
        <v>715</v>
      </c>
      <c r="B418" t="s">
        <v>432</v>
      </c>
      <c r="C418">
        <v>11</v>
      </c>
      <c r="D418">
        <v>20230221</v>
      </c>
      <c r="E418">
        <v>2</v>
      </c>
      <c r="F418">
        <v>512200</v>
      </c>
      <c r="G418" t="s">
        <v>432</v>
      </c>
      <c r="H418" t="s">
        <v>401</v>
      </c>
      <c r="I418" t="s">
        <v>402</v>
      </c>
      <c r="J418" t="s">
        <v>5678</v>
      </c>
      <c r="K418">
        <v>20230221</v>
      </c>
      <c r="L418" t="s">
        <v>5677</v>
      </c>
      <c r="M418">
        <v>0</v>
      </c>
      <c r="N418">
        <v>112</v>
      </c>
      <c r="O418" t="s">
        <v>19</v>
      </c>
      <c r="P418" t="s">
        <v>20</v>
      </c>
      <c r="Q418">
        <v>20230221</v>
      </c>
    </row>
    <row r="419" spans="1:17" x14ac:dyDescent="0.25">
      <c r="A419" t="s">
        <v>715</v>
      </c>
      <c r="B419" t="s">
        <v>432</v>
      </c>
      <c r="C419">
        <v>11</v>
      </c>
      <c r="D419">
        <v>20230221</v>
      </c>
      <c r="E419">
        <v>2</v>
      </c>
      <c r="F419">
        <v>401000</v>
      </c>
      <c r="G419" t="s">
        <v>41</v>
      </c>
      <c r="H419" t="s">
        <v>760</v>
      </c>
      <c r="I419" t="s">
        <v>761</v>
      </c>
      <c r="J419" t="s">
        <v>5676</v>
      </c>
      <c r="K419">
        <v>20230221</v>
      </c>
      <c r="L419" t="s">
        <v>5675</v>
      </c>
      <c r="M419">
        <v>425.5</v>
      </c>
      <c r="N419">
        <v>0</v>
      </c>
      <c r="O419" t="s">
        <v>19</v>
      </c>
      <c r="P419" t="s">
        <v>20</v>
      </c>
      <c r="Q419">
        <v>20230221</v>
      </c>
    </row>
    <row r="420" spans="1:17" x14ac:dyDescent="0.25">
      <c r="A420" t="s">
        <v>715</v>
      </c>
      <c r="B420" t="s">
        <v>432</v>
      </c>
      <c r="C420">
        <v>11</v>
      </c>
      <c r="D420">
        <v>20230221</v>
      </c>
      <c r="E420">
        <v>2</v>
      </c>
      <c r="F420">
        <v>512200</v>
      </c>
      <c r="G420" t="s">
        <v>432</v>
      </c>
      <c r="H420" t="s">
        <v>401</v>
      </c>
      <c r="I420" t="s">
        <v>402</v>
      </c>
      <c r="J420" t="s">
        <v>5676</v>
      </c>
      <c r="K420">
        <v>20230221</v>
      </c>
      <c r="L420" t="s">
        <v>5675</v>
      </c>
      <c r="M420">
        <v>0</v>
      </c>
      <c r="N420">
        <v>425.5</v>
      </c>
      <c r="O420" t="s">
        <v>19</v>
      </c>
      <c r="P420" t="s">
        <v>20</v>
      </c>
      <c r="Q420">
        <v>20230221</v>
      </c>
    </row>
    <row r="421" spans="1:17" x14ac:dyDescent="0.25">
      <c r="A421" t="s">
        <v>715</v>
      </c>
      <c r="B421" t="s">
        <v>432</v>
      </c>
      <c r="C421">
        <v>11</v>
      </c>
      <c r="D421">
        <v>20230222</v>
      </c>
      <c r="E421">
        <v>2</v>
      </c>
      <c r="F421">
        <v>401000</v>
      </c>
      <c r="G421" t="s">
        <v>41</v>
      </c>
      <c r="H421" t="s">
        <v>852</v>
      </c>
      <c r="I421" t="s">
        <v>853</v>
      </c>
      <c r="J421" t="s">
        <v>5674</v>
      </c>
      <c r="K421">
        <v>20230222</v>
      </c>
      <c r="L421" t="s">
        <v>5673</v>
      </c>
      <c r="M421">
        <v>240</v>
      </c>
      <c r="N421">
        <v>0</v>
      </c>
      <c r="O421" t="s">
        <v>19</v>
      </c>
      <c r="P421" t="s">
        <v>20</v>
      </c>
      <c r="Q421">
        <v>20230222</v>
      </c>
    </row>
    <row r="422" spans="1:17" x14ac:dyDescent="0.25">
      <c r="A422" t="s">
        <v>715</v>
      </c>
      <c r="B422" t="s">
        <v>432</v>
      </c>
      <c r="C422">
        <v>11</v>
      </c>
      <c r="D422">
        <v>20230222</v>
      </c>
      <c r="E422">
        <v>2</v>
      </c>
      <c r="F422">
        <v>512200</v>
      </c>
      <c r="G422" t="s">
        <v>432</v>
      </c>
      <c r="H422" t="s">
        <v>401</v>
      </c>
      <c r="I422" t="s">
        <v>402</v>
      </c>
      <c r="J422" t="s">
        <v>5674</v>
      </c>
      <c r="K422">
        <v>20230222</v>
      </c>
      <c r="L422" t="s">
        <v>5673</v>
      </c>
      <c r="M422">
        <v>0</v>
      </c>
      <c r="N422">
        <v>240</v>
      </c>
      <c r="O422" t="s">
        <v>19</v>
      </c>
      <c r="P422" t="s">
        <v>20</v>
      </c>
      <c r="Q422">
        <v>20230222</v>
      </c>
    </row>
    <row r="423" spans="1:17" x14ac:dyDescent="0.25">
      <c r="A423" t="s">
        <v>715</v>
      </c>
      <c r="B423" t="s">
        <v>432</v>
      </c>
      <c r="C423">
        <v>11</v>
      </c>
      <c r="D423">
        <v>20230222</v>
      </c>
      <c r="E423">
        <v>2</v>
      </c>
      <c r="F423">
        <v>401000</v>
      </c>
      <c r="G423" t="s">
        <v>41</v>
      </c>
      <c r="H423" t="s">
        <v>1635</v>
      </c>
      <c r="I423" t="s">
        <v>1636</v>
      </c>
      <c r="J423" t="s">
        <v>5672</v>
      </c>
      <c r="K423">
        <v>20230222</v>
      </c>
      <c r="L423" t="s">
        <v>5671</v>
      </c>
      <c r="M423">
        <v>1050</v>
      </c>
      <c r="N423">
        <v>0</v>
      </c>
      <c r="O423" t="s">
        <v>19</v>
      </c>
      <c r="P423" t="s">
        <v>20</v>
      </c>
      <c r="Q423">
        <v>20230222</v>
      </c>
    </row>
    <row r="424" spans="1:17" x14ac:dyDescent="0.25">
      <c r="A424" t="s">
        <v>715</v>
      </c>
      <c r="B424" t="s">
        <v>432</v>
      </c>
      <c r="C424">
        <v>11</v>
      </c>
      <c r="D424">
        <v>20230222</v>
      </c>
      <c r="E424">
        <v>2</v>
      </c>
      <c r="F424">
        <v>512200</v>
      </c>
      <c r="G424" t="s">
        <v>432</v>
      </c>
      <c r="H424" t="s">
        <v>401</v>
      </c>
      <c r="I424" t="s">
        <v>402</v>
      </c>
      <c r="J424" t="s">
        <v>5672</v>
      </c>
      <c r="K424">
        <v>20230222</v>
      </c>
      <c r="L424" t="s">
        <v>5671</v>
      </c>
      <c r="M424">
        <v>0</v>
      </c>
      <c r="N424">
        <v>1050</v>
      </c>
      <c r="O424" t="s">
        <v>19</v>
      </c>
      <c r="P424" t="s">
        <v>20</v>
      </c>
      <c r="Q424">
        <v>20230222</v>
      </c>
    </row>
    <row r="425" spans="1:17" x14ac:dyDescent="0.25">
      <c r="A425" t="s">
        <v>715</v>
      </c>
      <c r="B425" t="s">
        <v>432</v>
      </c>
      <c r="C425">
        <v>11</v>
      </c>
      <c r="D425">
        <v>20230223</v>
      </c>
      <c r="E425">
        <v>2</v>
      </c>
      <c r="F425">
        <v>401000</v>
      </c>
      <c r="G425" t="s">
        <v>41</v>
      </c>
      <c r="H425" t="s">
        <v>448</v>
      </c>
      <c r="I425" t="s">
        <v>449</v>
      </c>
      <c r="J425" t="s">
        <v>5670</v>
      </c>
      <c r="K425">
        <v>20230223</v>
      </c>
      <c r="L425" t="s">
        <v>1283</v>
      </c>
      <c r="M425">
        <v>24</v>
      </c>
      <c r="N425">
        <v>0</v>
      </c>
      <c r="O425" t="s">
        <v>19</v>
      </c>
      <c r="P425" t="s">
        <v>20</v>
      </c>
      <c r="Q425">
        <v>20230223</v>
      </c>
    </row>
    <row r="426" spans="1:17" x14ac:dyDescent="0.25">
      <c r="A426" t="s">
        <v>715</v>
      </c>
      <c r="B426" t="s">
        <v>432</v>
      </c>
      <c r="C426">
        <v>11</v>
      </c>
      <c r="D426">
        <v>20230223</v>
      </c>
      <c r="E426">
        <v>2</v>
      </c>
      <c r="F426">
        <v>512200</v>
      </c>
      <c r="G426" t="s">
        <v>432</v>
      </c>
      <c r="H426" t="s">
        <v>401</v>
      </c>
      <c r="I426" t="s">
        <v>402</v>
      </c>
      <c r="J426" t="s">
        <v>5670</v>
      </c>
      <c r="K426">
        <v>20230223</v>
      </c>
      <c r="L426" t="s">
        <v>1283</v>
      </c>
      <c r="M426">
        <v>0</v>
      </c>
      <c r="N426">
        <v>24</v>
      </c>
      <c r="O426" t="s">
        <v>19</v>
      </c>
      <c r="P426" t="s">
        <v>20</v>
      </c>
      <c r="Q426">
        <v>20230223</v>
      </c>
    </row>
    <row r="427" spans="1:17" x14ac:dyDescent="0.25">
      <c r="A427" t="s">
        <v>715</v>
      </c>
      <c r="B427" t="s">
        <v>432</v>
      </c>
      <c r="C427">
        <v>12</v>
      </c>
      <c r="D427">
        <v>20230201</v>
      </c>
      <c r="E427">
        <v>2</v>
      </c>
      <c r="F427">
        <v>512200</v>
      </c>
      <c r="G427" t="s">
        <v>432</v>
      </c>
      <c r="H427" t="s">
        <v>401</v>
      </c>
      <c r="I427" t="s">
        <v>402</v>
      </c>
      <c r="J427" t="s">
        <v>5382</v>
      </c>
      <c r="K427">
        <v>20230201</v>
      </c>
      <c r="L427" t="s">
        <v>5669</v>
      </c>
      <c r="M427">
        <v>1924.86</v>
      </c>
      <c r="N427">
        <v>0</v>
      </c>
      <c r="O427" t="s">
        <v>19</v>
      </c>
      <c r="P427" t="s">
        <v>20</v>
      </c>
      <c r="Q427">
        <v>20230201</v>
      </c>
    </row>
    <row r="428" spans="1:17" x14ac:dyDescent="0.25">
      <c r="A428" t="s">
        <v>715</v>
      </c>
      <c r="B428" t="s">
        <v>432</v>
      </c>
      <c r="C428">
        <v>12</v>
      </c>
      <c r="D428">
        <v>20230201</v>
      </c>
      <c r="E428">
        <v>2</v>
      </c>
      <c r="F428">
        <v>511000</v>
      </c>
      <c r="G428" t="s">
        <v>431</v>
      </c>
      <c r="H428" t="s">
        <v>401</v>
      </c>
      <c r="I428" t="s">
        <v>402</v>
      </c>
      <c r="J428" t="s">
        <v>5382</v>
      </c>
      <c r="K428">
        <v>20230201</v>
      </c>
      <c r="L428" t="s">
        <v>5669</v>
      </c>
      <c r="M428">
        <v>0</v>
      </c>
      <c r="N428">
        <v>1924.86</v>
      </c>
      <c r="O428" t="s">
        <v>19</v>
      </c>
      <c r="P428" t="s">
        <v>20</v>
      </c>
      <c r="Q428">
        <v>20230201</v>
      </c>
    </row>
    <row r="429" spans="1:17" x14ac:dyDescent="0.25">
      <c r="A429" t="s">
        <v>715</v>
      </c>
      <c r="B429" t="s">
        <v>432</v>
      </c>
      <c r="C429">
        <v>12</v>
      </c>
      <c r="D429">
        <v>20230201</v>
      </c>
      <c r="E429">
        <v>2</v>
      </c>
      <c r="F429">
        <v>411100</v>
      </c>
      <c r="G429" t="s">
        <v>18</v>
      </c>
      <c r="H429" t="s">
        <v>793</v>
      </c>
      <c r="I429" t="s">
        <v>794</v>
      </c>
      <c r="J429" t="s">
        <v>5382</v>
      </c>
      <c r="K429">
        <v>20230201</v>
      </c>
      <c r="L429" t="s">
        <v>5668</v>
      </c>
      <c r="M429">
        <v>125.92</v>
      </c>
      <c r="N429">
        <v>0</v>
      </c>
      <c r="O429" t="s">
        <v>23</v>
      </c>
      <c r="P429">
        <v>20230201</v>
      </c>
      <c r="Q429">
        <v>20230201</v>
      </c>
    </row>
    <row r="430" spans="1:17" x14ac:dyDescent="0.25">
      <c r="A430" t="s">
        <v>715</v>
      </c>
      <c r="B430" t="s">
        <v>432</v>
      </c>
      <c r="C430">
        <v>12</v>
      </c>
      <c r="D430">
        <v>20230201</v>
      </c>
      <c r="E430">
        <v>2</v>
      </c>
      <c r="F430">
        <v>512200</v>
      </c>
      <c r="G430" t="s">
        <v>432</v>
      </c>
      <c r="H430" t="s">
        <v>401</v>
      </c>
      <c r="I430" t="s">
        <v>402</v>
      </c>
      <c r="J430" t="s">
        <v>5382</v>
      </c>
      <c r="K430">
        <v>20230201</v>
      </c>
      <c r="L430" t="s">
        <v>5667</v>
      </c>
      <c r="M430">
        <v>0</v>
      </c>
      <c r="N430">
        <v>125.92</v>
      </c>
      <c r="O430" t="s">
        <v>19</v>
      </c>
      <c r="P430" t="s">
        <v>20</v>
      </c>
      <c r="Q430">
        <v>20230201</v>
      </c>
    </row>
    <row r="431" spans="1:17" x14ac:dyDescent="0.25">
      <c r="A431" t="s">
        <v>715</v>
      </c>
      <c r="B431" t="s">
        <v>432</v>
      </c>
      <c r="C431">
        <v>12</v>
      </c>
      <c r="D431">
        <v>20230203</v>
      </c>
      <c r="E431">
        <v>2</v>
      </c>
      <c r="F431">
        <v>411100</v>
      </c>
      <c r="G431" t="s">
        <v>18</v>
      </c>
      <c r="H431" t="s">
        <v>5065</v>
      </c>
      <c r="I431" t="s">
        <v>5066</v>
      </c>
      <c r="J431" t="s">
        <v>5382</v>
      </c>
      <c r="K431">
        <v>20230203</v>
      </c>
      <c r="L431" t="s">
        <v>5666</v>
      </c>
      <c r="M431">
        <v>61.5</v>
      </c>
      <c r="N431">
        <v>0</v>
      </c>
      <c r="O431" t="s">
        <v>22</v>
      </c>
      <c r="P431">
        <v>20230218</v>
      </c>
      <c r="Q431">
        <v>20230203</v>
      </c>
    </row>
    <row r="432" spans="1:17" x14ac:dyDescent="0.25">
      <c r="A432" t="s">
        <v>715</v>
      </c>
      <c r="B432" t="s">
        <v>432</v>
      </c>
      <c r="C432">
        <v>12</v>
      </c>
      <c r="D432">
        <v>20230203</v>
      </c>
      <c r="E432">
        <v>2</v>
      </c>
      <c r="F432">
        <v>512200</v>
      </c>
      <c r="G432" t="s">
        <v>432</v>
      </c>
      <c r="H432" t="s">
        <v>401</v>
      </c>
      <c r="I432" t="s">
        <v>402</v>
      </c>
      <c r="J432" t="s">
        <v>5382</v>
      </c>
      <c r="K432">
        <v>20230203</v>
      </c>
      <c r="L432" t="s">
        <v>5665</v>
      </c>
      <c r="M432">
        <v>0</v>
      </c>
      <c r="N432">
        <v>61.5</v>
      </c>
      <c r="O432" t="s">
        <v>19</v>
      </c>
      <c r="P432" t="s">
        <v>20</v>
      </c>
      <c r="Q432">
        <v>20230203</v>
      </c>
    </row>
    <row r="433" spans="1:17" x14ac:dyDescent="0.25">
      <c r="A433" t="s">
        <v>715</v>
      </c>
      <c r="B433" t="s">
        <v>432</v>
      </c>
      <c r="C433">
        <v>12</v>
      </c>
      <c r="D433">
        <v>20230203</v>
      </c>
      <c r="E433">
        <v>2</v>
      </c>
      <c r="F433">
        <v>512200</v>
      </c>
      <c r="G433" t="s">
        <v>432</v>
      </c>
      <c r="H433" t="s">
        <v>401</v>
      </c>
      <c r="I433" t="s">
        <v>402</v>
      </c>
      <c r="J433" t="s">
        <v>5120</v>
      </c>
      <c r="K433">
        <v>20230203</v>
      </c>
      <c r="L433" t="s">
        <v>625</v>
      </c>
      <c r="M433">
        <v>1500</v>
      </c>
      <c r="N433">
        <v>0</v>
      </c>
      <c r="O433" t="s">
        <v>19</v>
      </c>
      <c r="P433" t="s">
        <v>20</v>
      </c>
      <c r="Q433">
        <v>20230203</v>
      </c>
    </row>
    <row r="434" spans="1:17" x14ac:dyDescent="0.25">
      <c r="A434" t="s">
        <v>715</v>
      </c>
      <c r="B434" t="s">
        <v>432</v>
      </c>
      <c r="C434">
        <v>12</v>
      </c>
      <c r="D434">
        <v>20230203</v>
      </c>
      <c r="E434">
        <v>2</v>
      </c>
      <c r="F434">
        <v>580000</v>
      </c>
      <c r="G434" t="s">
        <v>532</v>
      </c>
      <c r="H434" t="s">
        <v>401</v>
      </c>
      <c r="I434" t="s">
        <v>402</v>
      </c>
      <c r="J434" t="s">
        <v>5120</v>
      </c>
      <c r="K434">
        <v>20230203</v>
      </c>
      <c r="L434" t="s">
        <v>625</v>
      </c>
      <c r="M434">
        <v>0</v>
      </c>
      <c r="N434">
        <v>1500</v>
      </c>
      <c r="O434" t="s">
        <v>22</v>
      </c>
      <c r="P434">
        <v>20230203</v>
      </c>
      <c r="Q434">
        <v>20230203</v>
      </c>
    </row>
    <row r="435" spans="1:17" x14ac:dyDescent="0.25">
      <c r="A435" t="s">
        <v>715</v>
      </c>
      <c r="B435" t="s">
        <v>432</v>
      </c>
      <c r="C435">
        <v>12</v>
      </c>
      <c r="D435">
        <v>20230216</v>
      </c>
      <c r="E435">
        <v>2</v>
      </c>
      <c r="F435">
        <v>512200</v>
      </c>
      <c r="G435" t="s">
        <v>432</v>
      </c>
      <c r="H435" t="s">
        <v>401</v>
      </c>
      <c r="I435" t="s">
        <v>402</v>
      </c>
      <c r="J435" t="s">
        <v>5388</v>
      </c>
      <c r="K435">
        <v>20230216</v>
      </c>
      <c r="L435" t="s">
        <v>5663</v>
      </c>
      <c r="M435">
        <v>12829.85</v>
      </c>
      <c r="N435">
        <v>0</v>
      </c>
      <c r="O435" t="s">
        <v>19</v>
      </c>
      <c r="P435" t="s">
        <v>20</v>
      </c>
      <c r="Q435">
        <v>20230216</v>
      </c>
    </row>
    <row r="436" spans="1:17" x14ac:dyDescent="0.25">
      <c r="A436" t="s">
        <v>715</v>
      </c>
      <c r="B436" t="s">
        <v>432</v>
      </c>
      <c r="C436">
        <v>12</v>
      </c>
      <c r="D436">
        <v>20230216</v>
      </c>
      <c r="E436">
        <v>2</v>
      </c>
      <c r="F436">
        <v>511000</v>
      </c>
      <c r="G436" t="s">
        <v>431</v>
      </c>
      <c r="H436" t="s">
        <v>401</v>
      </c>
      <c r="I436" t="s">
        <v>402</v>
      </c>
      <c r="J436" t="s">
        <v>5388</v>
      </c>
      <c r="K436">
        <v>20230216</v>
      </c>
      <c r="L436" t="s">
        <v>5663</v>
      </c>
      <c r="M436">
        <v>0</v>
      </c>
      <c r="N436">
        <v>12829.85</v>
      </c>
      <c r="O436" t="s">
        <v>19</v>
      </c>
      <c r="P436" t="s">
        <v>20</v>
      </c>
      <c r="Q436">
        <v>20230216</v>
      </c>
    </row>
    <row r="437" spans="1:17" x14ac:dyDescent="0.25">
      <c r="A437" t="s">
        <v>715</v>
      </c>
      <c r="B437" t="s">
        <v>432</v>
      </c>
      <c r="C437">
        <v>12</v>
      </c>
      <c r="D437">
        <v>20230216</v>
      </c>
      <c r="E437">
        <v>2</v>
      </c>
      <c r="F437">
        <v>512200</v>
      </c>
      <c r="G437" t="s">
        <v>432</v>
      </c>
      <c r="H437" t="s">
        <v>401</v>
      </c>
      <c r="I437" t="s">
        <v>402</v>
      </c>
      <c r="J437" t="s">
        <v>5388</v>
      </c>
      <c r="K437">
        <v>20230216</v>
      </c>
      <c r="L437" t="s">
        <v>5664</v>
      </c>
      <c r="M437">
        <v>0</v>
      </c>
      <c r="N437">
        <v>12829.85</v>
      </c>
      <c r="O437" t="s">
        <v>19</v>
      </c>
      <c r="P437" t="s">
        <v>20</v>
      </c>
      <c r="Q437">
        <v>20230216</v>
      </c>
    </row>
    <row r="438" spans="1:17" x14ac:dyDescent="0.25">
      <c r="A438" t="s">
        <v>715</v>
      </c>
      <c r="B438" t="s">
        <v>432</v>
      </c>
      <c r="C438">
        <v>12</v>
      </c>
      <c r="D438">
        <v>20230216</v>
      </c>
      <c r="E438">
        <v>2</v>
      </c>
      <c r="F438">
        <v>511000</v>
      </c>
      <c r="G438" t="s">
        <v>431</v>
      </c>
      <c r="H438" t="s">
        <v>401</v>
      </c>
      <c r="I438" t="s">
        <v>402</v>
      </c>
      <c r="J438" t="s">
        <v>5388</v>
      </c>
      <c r="K438">
        <v>20230216</v>
      </c>
      <c r="L438" t="s">
        <v>5664</v>
      </c>
      <c r="M438">
        <v>12829.85</v>
      </c>
      <c r="N438">
        <v>0</v>
      </c>
      <c r="O438" t="s">
        <v>19</v>
      </c>
      <c r="P438" t="s">
        <v>20</v>
      </c>
      <c r="Q438">
        <v>20230216</v>
      </c>
    </row>
    <row r="439" spans="1:17" x14ac:dyDescent="0.25">
      <c r="A439" t="s">
        <v>715</v>
      </c>
      <c r="B439" t="s">
        <v>432</v>
      </c>
      <c r="C439">
        <v>12</v>
      </c>
      <c r="D439">
        <v>20230216</v>
      </c>
      <c r="E439">
        <v>2</v>
      </c>
      <c r="F439">
        <v>512200</v>
      </c>
      <c r="G439" t="s">
        <v>432</v>
      </c>
      <c r="H439" t="s">
        <v>401</v>
      </c>
      <c r="I439" t="s">
        <v>402</v>
      </c>
      <c r="J439" t="s">
        <v>5391</v>
      </c>
      <c r="K439">
        <v>20230216</v>
      </c>
      <c r="L439" t="s">
        <v>1283</v>
      </c>
      <c r="M439">
        <v>12878.77</v>
      </c>
      <c r="N439">
        <v>0</v>
      </c>
      <c r="O439" t="s">
        <v>19</v>
      </c>
      <c r="P439" t="s">
        <v>20</v>
      </c>
      <c r="Q439">
        <v>20230216</v>
      </c>
    </row>
    <row r="440" spans="1:17" x14ac:dyDescent="0.25">
      <c r="A440" t="s">
        <v>715</v>
      </c>
      <c r="B440" t="s">
        <v>432</v>
      </c>
      <c r="C440">
        <v>12</v>
      </c>
      <c r="D440">
        <v>20230216</v>
      </c>
      <c r="E440">
        <v>2</v>
      </c>
      <c r="F440">
        <v>511000</v>
      </c>
      <c r="G440" t="s">
        <v>431</v>
      </c>
      <c r="H440" t="s">
        <v>401</v>
      </c>
      <c r="I440" t="s">
        <v>402</v>
      </c>
      <c r="J440" t="s">
        <v>5391</v>
      </c>
      <c r="K440">
        <v>20230216</v>
      </c>
      <c r="L440" t="s">
        <v>5663</v>
      </c>
      <c r="M440">
        <v>0</v>
      </c>
      <c r="N440">
        <v>12878.77</v>
      </c>
      <c r="O440" t="s">
        <v>19</v>
      </c>
      <c r="P440" t="s">
        <v>20</v>
      </c>
      <c r="Q440">
        <v>20230216</v>
      </c>
    </row>
    <row r="441" spans="1:17" x14ac:dyDescent="0.25">
      <c r="A441" t="s">
        <v>715</v>
      </c>
      <c r="B441" t="s">
        <v>432</v>
      </c>
      <c r="C441">
        <v>12</v>
      </c>
      <c r="D441">
        <v>20230227</v>
      </c>
      <c r="E441">
        <v>2</v>
      </c>
      <c r="F441">
        <v>512200</v>
      </c>
      <c r="G441" t="s">
        <v>432</v>
      </c>
      <c r="H441" t="s">
        <v>401</v>
      </c>
      <c r="I441" t="s">
        <v>402</v>
      </c>
      <c r="J441" t="s">
        <v>5392</v>
      </c>
      <c r="K441">
        <v>20230227</v>
      </c>
      <c r="L441" t="s">
        <v>5662</v>
      </c>
      <c r="M441">
        <v>2235</v>
      </c>
      <c r="N441">
        <v>0</v>
      </c>
      <c r="O441" t="s">
        <v>19</v>
      </c>
      <c r="P441" t="s">
        <v>20</v>
      </c>
      <c r="Q441">
        <v>20230227</v>
      </c>
    </row>
    <row r="442" spans="1:17" x14ac:dyDescent="0.25">
      <c r="A442" t="s">
        <v>715</v>
      </c>
      <c r="B442" t="s">
        <v>432</v>
      </c>
      <c r="C442">
        <v>12</v>
      </c>
      <c r="D442">
        <v>20230227</v>
      </c>
      <c r="E442">
        <v>2</v>
      </c>
      <c r="F442">
        <v>511002</v>
      </c>
      <c r="G442" t="s">
        <v>786</v>
      </c>
      <c r="H442" t="s">
        <v>401</v>
      </c>
      <c r="I442" t="s">
        <v>402</v>
      </c>
      <c r="J442" t="s">
        <v>5392</v>
      </c>
      <c r="K442">
        <v>20230227</v>
      </c>
      <c r="L442" t="s">
        <v>5662</v>
      </c>
      <c r="M442">
        <v>0</v>
      </c>
      <c r="N442">
        <v>2235</v>
      </c>
      <c r="O442" t="s">
        <v>23</v>
      </c>
      <c r="P442">
        <v>20230301</v>
      </c>
      <c r="Q442">
        <v>20230227</v>
      </c>
    </row>
    <row r="443" spans="1:17" x14ac:dyDescent="0.25">
      <c r="A443" t="s">
        <v>715</v>
      </c>
      <c r="B443" t="s">
        <v>432</v>
      </c>
      <c r="C443">
        <v>12</v>
      </c>
      <c r="D443">
        <v>20230227</v>
      </c>
      <c r="E443">
        <v>2</v>
      </c>
      <c r="F443">
        <v>512200</v>
      </c>
      <c r="G443" t="s">
        <v>432</v>
      </c>
      <c r="H443" t="s">
        <v>401</v>
      </c>
      <c r="I443" t="s">
        <v>402</v>
      </c>
      <c r="J443" t="s">
        <v>5377</v>
      </c>
      <c r="K443">
        <v>20230227</v>
      </c>
      <c r="L443" t="s">
        <v>625</v>
      </c>
      <c r="M443">
        <v>2700</v>
      </c>
      <c r="N443">
        <v>0</v>
      </c>
      <c r="O443" t="s">
        <v>19</v>
      </c>
      <c r="P443" t="s">
        <v>20</v>
      </c>
      <c r="Q443">
        <v>20230227</v>
      </c>
    </row>
    <row r="444" spans="1:17" x14ac:dyDescent="0.25">
      <c r="A444" t="s">
        <v>715</v>
      </c>
      <c r="B444" t="s">
        <v>432</v>
      </c>
      <c r="C444">
        <v>12</v>
      </c>
      <c r="D444">
        <v>20230227</v>
      </c>
      <c r="E444">
        <v>2</v>
      </c>
      <c r="F444">
        <v>580000</v>
      </c>
      <c r="G444" t="s">
        <v>532</v>
      </c>
      <c r="H444" t="s">
        <v>401</v>
      </c>
      <c r="I444" t="s">
        <v>402</v>
      </c>
      <c r="J444" t="s">
        <v>5377</v>
      </c>
      <c r="K444">
        <v>20230227</v>
      </c>
      <c r="L444" t="s">
        <v>625</v>
      </c>
      <c r="M444">
        <v>0</v>
      </c>
      <c r="N444">
        <v>2700</v>
      </c>
      <c r="O444" t="s">
        <v>22</v>
      </c>
      <c r="P444">
        <v>20230227</v>
      </c>
      <c r="Q444">
        <v>20230227</v>
      </c>
    </row>
    <row r="445" spans="1:17" x14ac:dyDescent="0.25">
      <c r="A445" t="s">
        <v>715</v>
      </c>
      <c r="B445" t="s">
        <v>432</v>
      </c>
      <c r="C445">
        <v>12</v>
      </c>
      <c r="D445">
        <v>20230228</v>
      </c>
      <c r="E445">
        <v>2</v>
      </c>
      <c r="F445">
        <v>512200</v>
      </c>
      <c r="G445" t="s">
        <v>432</v>
      </c>
      <c r="H445" t="s">
        <v>401</v>
      </c>
      <c r="I445" t="s">
        <v>402</v>
      </c>
      <c r="J445" t="s">
        <v>5394</v>
      </c>
      <c r="K445">
        <v>20230228</v>
      </c>
      <c r="L445" t="s">
        <v>5661</v>
      </c>
      <c r="M445">
        <v>1733.31</v>
      </c>
      <c r="N445">
        <v>0</v>
      </c>
      <c r="O445" t="s">
        <v>19</v>
      </c>
      <c r="P445" t="s">
        <v>20</v>
      </c>
      <c r="Q445">
        <v>20230228</v>
      </c>
    </row>
    <row r="446" spans="1:17" x14ac:dyDescent="0.25">
      <c r="A446" t="s">
        <v>715</v>
      </c>
      <c r="B446" t="s">
        <v>432</v>
      </c>
      <c r="C446">
        <v>12</v>
      </c>
      <c r="D446">
        <v>20230228</v>
      </c>
      <c r="E446">
        <v>2</v>
      </c>
      <c r="F446">
        <v>511000</v>
      </c>
      <c r="G446" t="s">
        <v>431</v>
      </c>
      <c r="H446" t="s">
        <v>401</v>
      </c>
      <c r="I446" t="s">
        <v>402</v>
      </c>
      <c r="J446" t="s">
        <v>5394</v>
      </c>
      <c r="K446">
        <v>20230228</v>
      </c>
      <c r="L446" t="s">
        <v>5661</v>
      </c>
      <c r="M446">
        <v>0</v>
      </c>
      <c r="N446">
        <v>1733.31</v>
      </c>
      <c r="O446" t="s">
        <v>19</v>
      </c>
      <c r="P446" t="s">
        <v>20</v>
      </c>
      <c r="Q446">
        <v>20230228</v>
      </c>
    </row>
    <row r="447" spans="1:17" x14ac:dyDescent="0.25">
      <c r="A447" t="s">
        <v>715</v>
      </c>
      <c r="B447" t="s">
        <v>432</v>
      </c>
      <c r="C447">
        <v>13</v>
      </c>
      <c r="D447">
        <v>20230227</v>
      </c>
      <c r="E447">
        <v>2</v>
      </c>
      <c r="F447">
        <v>401000</v>
      </c>
      <c r="G447" t="s">
        <v>41</v>
      </c>
      <c r="H447" t="s">
        <v>52</v>
      </c>
      <c r="I447" t="s">
        <v>53</v>
      </c>
      <c r="J447" t="s">
        <v>5660</v>
      </c>
      <c r="K447">
        <v>20230227</v>
      </c>
      <c r="L447" t="s">
        <v>5659</v>
      </c>
      <c r="M447">
        <v>321.36</v>
      </c>
      <c r="N447">
        <v>0</v>
      </c>
      <c r="O447" t="s">
        <v>19</v>
      </c>
      <c r="P447" t="s">
        <v>20</v>
      </c>
      <c r="Q447">
        <v>20230227</v>
      </c>
    </row>
    <row r="448" spans="1:17" x14ac:dyDescent="0.25">
      <c r="A448" t="s">
        <v>715</v>
      </c>
      <c r="B448" t="s">
        <v>432</v>
      </c>
      <c r="C448">
        <v>13</v>
      </c>
      <c r="D448">
        <v>20230227</v>
      </c>
      <c r="E448">
        <v>2</v>
      </c>
      <c r="F448">
        <v>512200</v>
      </c>
      <c r="G448" t="s">
        <v>432</v>
      </c>
      <c r="H448" t="s">
        <v>401</v>
      </c>
      <c r="I448" t="s">
        <v>402</v>
      </c>
      <c r="J448" t="s">
        <v>5660</v>
      </c>
      <c r="K448">
        <v>20230227</v>
      </c>
      <c r="L448" t="s">
        <v>5659</v>
      </c>
      <c r="M448">
        <v>0</v>
      </c>
      <c r="N448">
        <v>321.36</v>
      </c>
      <c r="O448" t="s">
        <v>19</v>
      </c>
      <c r="P448" t="s">
        <v>20</v>
      </c>
      <c r="Q448">
        <v>20230227</v>
      </c>
    </row>
    <row r="449" spans="1:17" x14ac:dyDescent="0.25">
      <c r="A449" t="s">
        <v>715</v>
      </c>
      <c r="B449" t="s">
        <v>432</v>
      </c>
      <c r="C449">
        <v>13</v>
      </c>
      <c r="D449">
        <v>20230227</v>
      </c>
      <c r="E449">
        <v>2</v>
      </c>
      <c r="F449">
        <v>471000</v>
      </c>
      <c r="G449" t="s">
        <v>4801</v>
      </c>
      <c r="H449" t="s">
        <v>401</v>
      </c>
      <c r="I449" t="s">
        <v>402</v>
      </c>
      <c r="J449" t="s">
        <v>5658</v>
      </c>
      <c r="K449">
        <v>20230227</v>
      </c>
      <c r="L449" t="s">
        <v>5657</v>
      </c>
      <c r="M449">
        <v>370</v>
      </c>
      <c r="N449">
        <v>0</v>
      </c>
      <c r="O449" t="s">
        <v>19</v>
      </c>
      <c r="P449" t="s">
        <v>20</v>
      </c>
      <c r="Q449">
        <v>20230227</v>
      </c>
    </row>
    <row r="450" spans="1:17" x14ac:dyDescent="0.25">
      <c r="A450" t="s">
        <v>715</v>
      </c>
      <c r="B450" t="s">
        <v>432</v>
      </c>
      <c r="C450">
        <v>13</v>
      </c>
      <c r="D450">
        <v>20230227</v>
      </c>
      <c r="E450">
        <v>2</v>
      </c>
      <c r="F450">
        <v>512200</v>
      </c>
      <c r="G450" t="s">
        <v>432</v>
      </c>
      <c r="H450" t="s">
        <v>401</v>
      </c>
      <c r="I450" t="s">
        <v>402</v>
      </c>
      <c r="J450" t="s">
        <v>5658</v>
      </c>
      <c r="K450">
        <v>20230227</v>
      </c>
      <c r="L450" t="s">
        <v>5657</v>
      </c>
      <c r="M450">
        <v>0</v>
      </c>
      <c r="N450">
        <v>370</v>
      </c>
      <c r="O450" t="s">
        <v>19</v>
      </c>
      <c r="P450" t="s">
        <v>20</v>
      </c>
      <c r="Q450">
        <v>20230227</v>
      </c>
    </row>
    <row r="451" spans="1:17" x14ac:dyDescent="0.25">
      <c r="A451" t="s">
        <v>715</v>
      </c>
      <c r="B451" t="s">
        <v>432</v>
      </c>
      <c r="C451">
        <v>13</v>
      </c>
      <c r="D451">
        <v>20230228</v>
      </c>
      <c r="E451">
        <v>2</v>
      </c>
      <c r="F451">
        <v>580000</v>
      </c>
      <c r="G451" t="s">
        <v>532</v>
      </c>
      <c r="H451" t="s">
        <v>401</v>
      </c>
      <c r="I451" t="s">
        <v>402</v>
      </c>
      <c r="J451" t="s">
        <v>5656</v>
      </c>
      <c r="K451">
        <v>20230228</v>
      </c>
      <c r="L451" t="s">
        <v>879</v>
      </c>
      <c r="M451">
        <v>40000</v>
      </c>
      <c r="N451">
        <v>0</v>
      </c>
      <c r="O451" t="s">
        <v>19</v>
      </c>
      <c r="P451" t="s">
        <v>20</v>
      </c>
      <c r="Q451">
        <v>20230228</v>
      </c>
    </row>
    <row r="452" spans="1:17" x14ac:dyDescent="0.25">
      <c r="A452" t="s">
        <v>715</v>
      </c>
      <c r="B452" t="s">
        <v>432</v>
      </c>
      <c r="C452">
        <v>13</v>
      </c>
      <c r="D452">
        <v>20230228</v>
      </c>
      <c r="E452">
        <v>2</v>
      </c>
      <c r="F452">
        <v>512200</v>
      </c>
      <c r="G452" t="s">
        <v>432</v>
      </c>
      <c r="H452" t="s">
        <v>401</v>
      </c>
      <c r="I452" t="s">
        <v>402</v>
      </c>
      <c r="J452" t="s">
        <v>5656</v>
      </c>
      <c r="K452">
        <v>20230228</v>
      </c>
      <c r="L452" t="s">
        <v>879</v>
      </c>
      <c r="M452">
        <v>0</v>
      </c>
      <c r="N452">
        <v>40000</v>
      </c>
      <c r="O452" t="s">
        <v>19</v>
      </c>
      <c r="P452" t="s">
        <v>20</v>
      </c>
      <c r="Q452">
        <v>20230228</v>
      </c>
    </row>
    <row r="453" spans="1:17" x14ac:dyDescent="0.25">
      <c r="A453" t="s">
        <v>715</v>
      </c>
      <c r="B453" t="s">
        <v>432</v>
      </c>
      <c r="C453">
        <v>13</v>
      </c>
      <c r="D453">
        <v>20230228</v>
      </c>
      <c r="E453">
        <v>2</v>
      </c>
      <c r="F453">
        <v>471000</v>
      </c>
      <c r="G453" t="s">
        <v>4801</v>
      </c>
      <c r="H453" t="s">
        <v>401</v>
      </c>
      <c r="I453" t="s">
        <v>402</v>
      </c>
      <c r="J453" t="s">
        <v>5655</v>
      </c>
      <c r="K453">
        <v>20230228</v>
      </c>
      <c r="L453" t="s">
        <v>5654</v>
      </c>
      <c r="M453">
        <v>343.2</v>
      </c>
      <c r="N453">
        <v>0</v>
      </c>
      <c r="O453" t="s">
        <v>19</v>
      </c>
      <c r="P453" t="s">
        <v>20</v>
      </c>
      <c r="Q453">
        <v>20230228</v>
      </c>
    </row>
    <row r="454" spans="1:17" x14ac:dyDescent="0.25">
      <c r="A454" t="s">
        <v>715</v>
      </c>
      <c r="B454" t="s">
        <v>432</v>
      </c>
      <c r="C454">
        <v>13</v>
      </c>
      <c r="D454">
        <v>20230228</v>
      </c>
      <c r="E454">
        <v>2</v>
      </c>
      <c r="F454">
        <v>512200</v>
      </c>
      <c r="G454" t="s">
        <v>432</v>
      </c>
      <c r="H454" t="s">
        <v>401</v>
      </c>
      <c r="I454" t="s">
        <v>402</v>
      </c>
      <c r="J454" t="s">
        <v>5655</v>
      </c>
      <c r="K454">
        <v>20230228</v>
      </c>
      <c r="L454" t="s">
        <v>5654</v>
      </c>
      <c r="M454">
        <v>0</v>
      </c>
      <c r="N454">
        <v>343.2</v>
      </c>
      <c r="O454" t="s">
        <v>19</v>
      </c>
      <c r="P454" t="s">
        <v>20</v>
      </c>
      <c r="Q454">
        <v>20230228</v>
      </c>
    </row>
  </sheetData>
  <autoFilter ref="A1:R1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43"/>
  <sheetViews>
    <sheetView workbookViewId="0">
      <selection activeCell="E2" sqref="E2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4760</v>
      </c>
      <c r="B2" t="s">
        <v>4761</v>
      </c>
      <c r="C2">
        <v>1</v>
      </c>
      <c r="D2">
        <v>20230314</v>
      </c>
      <c r="E2">
        <v>3</v>
      </c>
      <c r="F2">
        <v>411000</v>
      </c>
      <c r="G2" t="s">
        <v>21</v>
      </c>
      <c r="H2" t="s">
        <v>211</v>
      </c>
      <c r="I2" t="s">
        <v>212</v>
      </c>
      <c r="J2">
        <v>123030001</v>
      </c>
      <c r="K2">
        <v>20230314</v>
      </c>
      <c r="L2" t="s">
        <v>5400</v>
      </c>
      <c r="M2">
        <v>0</v>
      </c>
      <c r="N2">
        <v>120</v>
      </c>
      <c r="O2" t="s">
        <v>19</v>
      </c>
      <c r="P2" t="s">
        <v>20</v>
      </c>
      <c r="Q2">
        <v>20230314</v>
      </c>
    </row>
    <row r="3" spans="1:19" x14ac:dyDescent="0.25">
      <c r="A3" t="s">
        <v>4760</v>
      </c>
      <c r="B3" t="s">
        <v>4761</v>
      </c>
      <c r="C3">
        <v>1</v>
      </c>
      <c r="D3">
        <v>20230314</v>
      </c>
      <c r="E3">
        <v>3</v>
      </c>
      <c r="F3">
        <v>512100</v>
      </c>
      <c r="G3" t="s">
        <v>4761</v>
      </c>
      <c r="H3" t="s">
        <v>401</v>
      </c>
      <c r="I3" t="s">
        <v>402</v>
      </c>
      <c r="J3">
        <v>367806</v>
      </c>
      <c r="K3">
        <v>20230314</v>
      </c>
      <c r="L3" t="s">
        <v>3268</v>
      </c>
      <c r="M3">
        <v>120</v>
      </c>
      <c r="N3">
        <v>0</v>
      </c>
      <c r="O3" t="s">
        <v>19</v>
      </c>
      <c r="P3" t="s">
        <v>20</v>
      </c>
      <c r="Q3">
        <v>20230314</v>
      </c>
    </row>
    <row r="4" spans="1:19" x14ac:dyDescent="0.25">
      <c r="A4" t="s">
        <v>476</v>
      </c>
      <c r="B4" t="s">
        <v>477</v>
      </c>
      <c r="C4">
        <v>2</v>
      </c>
      <c r="D4">
        <v>20230306</v>
      </c>
      <c r="E4">
        <v>3</v>
      </c>
      <c r="F4">
        <v>437100</v>
      </c>
      <c r="G4" t="s">
        <v>436</v>
      </c>
      <c r="H4" t="s">
        <v>401</v>
      </c>
      <c r="I4" t="s">
        <v>402</v>
      </c>
      <c r="J4" t="s">
        <v>5401</v>
      </c>
      <c r="K4">
        <v>20230306</v>
      </c>
      <c r="L4" t="s">
        <v>5757</v>
      </c>
      <c r="M4">
        <v>27.01</v>
      </c>
      <c r="N4">
        <v>0</v>
      </c>
      <c r="O4" t="s">
        <v>23</v>
      </c>
      <c r="P4">
        <v>20230317</v>
      </c>
      <c r="Q4">
        <v>20230306</v>
      </c>
    </row>
    <row r="5" spans="1:19" x14ac:dyDescent="0.25">
      <c r="A5" t="s">
        <v>476</v>
      </c>
      <c r="B5" t="s">
        <v>477</v>
      </c>
      <c r="C5">
        <v>2</v>
      </c>
      <c r="D5">
        <v>20230306</v>
      </c>
      <c r="E5">
        <v>3</v>
      </c>
      <c r="F5">
        <v>437100</v>
      </c>
      <c r="G5" t="s">
        <v>436</v>
      </c>
      <c r="H5" t="s">
        <v>401</v>
      </c>
      <c r="I5" t="s">
        <v>402</v>
      </c>
      <c r="J5" t="s">
        <v>5401</v>
      </c>
      <c r="K5">
        <v>20230306</v>
      </c>
      <c r="L5" t="s">
        <v>5757</v>
      </c>
      <c r="M5">
        <v>691.24</v>
      </c>
      <c r="N5">
        <v>0</v>
      </c>
      <c r="O5" t="s">
        <v>23</v>
      </c>
      <c r="P5">
        <v>20230317</v>
      </c>
      <c r="Q5">
        <v>20230306</v>
      </c>
    </row>
    <row r="6" spans="1:19" x14ac:dyDescent="0.25">
      <c r="A6" t="s">
        <v>476</v>
      </c>
      <c r="B6" t="s">
        <v>477</v>
      </c>
      <c r="C6">
        <v>2</v>
      </c>
      <c r="D6">
        <v>20230306</v>
      </c>
      <c r="E6">
        <v>3</v>
      </c>
      <c r="F6">
        <v>437100</v>
      </c>
      <c r="G6" t="s">
        <v>436</v>
      </c>
      <c r="H6" t="s">
        <v>401</v>
      </c>
      <c r="I6" t="s">
        <v>402</v>
      </c>
      <c r="J6" t="s">
        <v>5401</v>
      </c>
      <c r="K6">
        <v>20230306</v>
      </c>
      <c r="L6" t="s">
        <v>5757</v>
      </c>
      <c r="M6">
        <v>691.24</v>
      </c>
      <c r="N6">
        <v>0</v>
      </c>
      <c r="O6" t="s">
        <v>23</v>
      </c>
      <c r="P6">
        <v>20230317</v>
      </c>
      <c r="Q6">
        <v>20230306</v>
      </c>
    </row>
    <row r="7" spans="1:19" x14ac:dyDescent="0.25">
      <c r="A7" t="s">
        <v>476</v>
      </c>
      <c r="B7" t="s">
        <v>477</v>
      </c>
      <c r="C7">
        <v>2</v>
      </c>
      <c r="D7">
        <v>20230306</v>
      </c>
      <c r="E7">
        <v>3</v>
      </c>
      <c r="F7">
        <v>512000</v>
      </c>
      <c r="G7" t="s">
        <v>428</v>
      </c>
      <c r="H7" t="s">
        <v>401</v>
      </c>
      <c r="I7" t="s">
        <v>402</v>
      </c>
      <c r="J7" t="s">
        <v>5401</v>
      </c>
      <c r="K7">
        <v>20230306</v>
      </c>
      <c r="L7" t="s">
        <v>5757</v>
      </c>
      <c r="M7">
        <v>0</v>
      </c>
      <c r="N7">
        <v>1409.49</v>
      </c>
      <c r="O7" t="s">
        <v>19</v>
      </c>
      <c r="P7" t="s">
        <v>20</v>
      </c>
      <c r="Q7">
        <v>20230306</v>
      </c>
    </row>
    <row r="8" spans="1:19" x14ac:dyDescent="0.25">
      <c r="A8" t="s">
        <v>476</v>
      </c>
      <c r="B8" t="s">
        <v>477</v>
      </c>
      <c r="C8">
        <v>2</v>
      </c>
      <c r="D8">
        <v>20230306</v>
      </c>
      <c r="E8">
        <v>3</v>
      </c>
      <c r="F8">
        <v>401000</v>
      </c>
      <c r="G8" t="s">
        <v>41</v>
      </c>
      <c r="H8" t="s">
        <v>48</v>
      </c>
      <c r="I8" t="s">
        <v>49</v>
      </c>
      <c r="J8" t="s">
        <v>5402</v>
      </c>
      <c r="K8">
        <v>20230306</v>
      </c>
      <c r="L8" t="s">
        <v>5758</v>
      </c>
      <c r="M8">
        <v>2594.56</v>
      </c>
      <c r="N8">
        <v>0</v>
      </c>
      <c r="O8" t="s">
        <v>22</v>
      </c>
      <c r="P8">
        <v>20230306</v>
      </c>
      <c r="Q8">
        <v>20230306</v>
      </c>
    </row>
    <row r="9" spans="1:19" x14ac:dyDescent="0.25">
      <c r="A9" t="s">
        <v>476</v>
      </c>
      <c r="B9" t="s">
        <v>477</v>
      </c>
      <c r="C9">
        <v>2</v>
      </c>
      <c r="D9">
        <v>20230306</v>
      </c>
      <c r="E9">
        <v>3</v>
      </c>
      <c r="F9">
        <v>401000</v>
      </c>
      <c r="G9" t="s">
        <v>41</v>
      </c>
      <c r="H9" t="s">
        <v>474</v>
      </c>
      <c r="I9" t="s">
        <v>475</v>
      </c>
      <c r="J9" t="s">
        <v>5402</v>
      </c>
      <c r="K9">
        <v>20230306</v>
      </c>
      <c r="L9" t="s">
        <v>5758</v>
      </c>
      <c r="M9">
        <v>180</v>
      </c>
      <c r="N9">
        <v>0</v>
      </c>
      <c r="O9" t="s">
        <v>22</v>
      </c>
      <c r="P9">
        <v>20230306</v>
      </c>
      <c r="Q9">
        <v>20230306</v>
      </c>
    </row>
    <row r="10" spans="1:19" x14ac:dyDescent="0.25">
      <c r="A10" t="s">
        <v>476</v>
      </c>
      <c r="B10" t="s">
        <v>477</v>
      </c>
      <c r="C10">
        <v>2</v>
      </c>
      <c r="D10">
        <v>20230306</v>
      </c>
      <c r="E10">
        <v>3</v>
      </c>
      <c r="F10">
        <v>401000</v>
      </c>
      <c r="G10" t="s">
        <v>41</v>
      </c>
      <c r="H10" t="s">
        <v>456</v>
      </c>
      <c r="I10" t="s">
        <v>457</v>
      </c>
      <c r="J10" t="s">
        <v>5402</v>
      </c>
      <c r="K10">
        <v>20230306</v>
      </c>
      <c r="L10" t="s">
        <v>5758</v>
      </c>
      <c r="M10">
        <v>105</v>
      </c>
      <c r="N10">
        <v>0</v>
      </c>
      <c r="O10" t="s">
        <v>22</v>
      </c>
      <c r="P10">
        <v>20230306</v>
      </c>
      <c r="Q10">
        <v>20230306</v>
      </c>
    </row>
    <row r="11" spans="1:19" x14ac:dyDescent="0.25">
      <c r="A11" t="s">
        <v>476</v>
      </c>
      <c r="B11" t="s">
        <v>477</v>
      </c>
      <c r="C11">
        <v>2</v>
      </c>
      <c r="D11">
        <v>20230306</v>
      </c>
      <c r="E11">
        <v>3</v>
      </c>
      <c r="F11">
        <v>401000</v>
      </c>
      <c r="G11" t="s">
        <v>41</v>
      </c>
      <c r="H11" t="s">
        <v>472</v>
      </c>
      <c r="I11" t="s">
        <v>473</v>
      </c>
      <c r="J11" t="s">
        <v>5402</v>
      </c>
      <c r="K11">
        <v>20230306</v>
      </c>
      <c r="L11" t="s">
        <v>5758</v>
      </c>
      <c r="M11">
        <v>280</v>
      </c>
      <c r="N11">
        <v>0</v>
      </c>
      <c r="O11" t="s">
        <v>22</v>
      </c>
      <c r="P11">
        <v>20230306</v>
      </c>
      <c r="Q11">
        <v>20230306</v>
      </c>
    </row>
    <row r="12" spans="1:19" x14ac:dyDescent="0.25">
      <c r="A12" t="s">
        <v>476</v>
      </c>
      <c r="B12" t="s">
        <v>477</v>
      </c>
      <c r="C12">
        <v>2</v>
      </c>
      <c r="D12">
        <v>20230306</v>
      </c>
      <c r="E12">
        <v>3</v>
      </c>
      <c r="F12">
        <v>401000</v>
      </c>
      <c r="G12" t="s">
        <v>41</v>
      </c>
      <c r="H12" t="s">
        <v>303</v>
      </c>
      <c r="I12" t="s">
        <v>304</v>
      </c>
      <c r="J12" t="s">
        <v>5402</v>
      </c>
      <c r="K12">
        <v>20230306</v>
      </c>
      <c r="L12" t="s">
        <v>5758</v>
      </c>
      <c r="M12">
        <v>400</v>
      </c>
      <c r="N12">
        <v>0</v>
      </c>
      <c r="O12" t="s">
        <v>22</v>
      </c>
      <c r="P12">
        <v>20230306</v>
      </c>
      <c r="Q12">
        <v>20230306</v>
      </c>
    </row>
    <row r="13" spans="1:19" x14ac:dyDescent="0.25">
      <c r="A13" t="s">
        <v>476</v>
      </c>
      <c r="B13" t="s">
        <v>477</v>
      </c>
      <c r="C13">
        <v>2</v>
      </c>
      <c r="D13">
        <v>20230306</v>
      </c>
      <c r="E13">
        <v>3</v>
      </c>
      <c r="F13">
        <v>401000</v>
      </c>
      <c r="G13" t="s">
        <v>41</v>
      </c>
      <c r="H13" t="s">
        <v>827</v>
      </c>
      <c r="I13" t="s">
        <v>828</v>
      </c>
      <c r="J13" t="s">
        <v>5402</v>
      </c>
      <c r="K13">
        <v>20230306</v>
      </c>
      <c r="L13" t="s">
        <v>5758</v>
      </c>
      <c r="M13">
        <v>123</v>
      </c>
      <c r="N13">
        <v>0</v>
      </c>
      <c r="O13" t="s">
        <v>22</v>
      </c>
      <c r="P13">
        <v>20230306</v>
      </c>
      <c r="Q13">
        <v>20230306</v>
      </c>
    </row>
    <row r="14" spans="1:19" x14ac:dyDescent="0.25">
      <c r="A14" t="s">
        <v>476</v>
      </c>
      <c r="B14" t="s">
        <v>477</v>
      </c>
      <c r="C14">
        <v>2</v>
      </c>
      <c r="D14">
        <v>20230306</v>
      </c>
      <c r="E14">
        <v>3</v>
      </c>
      <c r="F14">
        <v>401000</v>
      </c>
      <c r="G14" t="s">
        <v>41</v>
      </c>
      <c r="H14" t="s">
        <v>830</v>
      </c>
      <c r="I14" t="s">
        <v>831</v>
      </c>
      <c r="J14" t="s">
        <v>5402</v>
      </c>
      <c r="K14">
        <v>20230306</v>
      </c>
      <c r="L14" t="s">
        <v>5758</v>
      </c>
      <c r="M14">
        <v>120</v>
      </c>
      <c r="N14">
        <v>0</v>
      </c>
      <c r="O14" t="s">
        <v>22</v>
      </c>
      <c r="P14">
        <v>20230306</v>
      </c>
      <c r="Q14">
        <v>20230306</v>
      </c>
    </row>
    <row r="15" spans="1:19" x14ac:dyDescent="0.25">
      <c r="A15" t="s">
        <v>476</v>
      </c>
      <c r="B15" t="s">
        <v>477</v>
      </c>
      <c r="C15">
        <v>2</v>
      </c>
      <c r="D15">
        <v>20230306</v>
      </c>
      <c r="E15">
        <v>3</v>
      </c>
      <c r="F15">
        <v>401000</v>
      </c>
      <c r="G15" t="s">
        <v>41</v>
      </c>
      <c r="H15" t="s">
        <v>1659</v>
      </c>
      <c r="I15" t="s">
        <v>1660</v>
      </c>
      <c r="J15" t="s">
        <v>5402</v>
      </c>
      <c r="K15">
        <v>20230306</v>
      </c>
      <c r="L15" t="s">
        <v>5758</v>
      </c>
      <c r="M15">
        <v>100</v>
      </c>
      <c r="N15">
        <v>0</v>
      </c>
      <c r="O15" t="s">
        <v>22</v>
      </c>
      <c r="P15">
        <v>20230306</v>
      </c>
      <c r="Q15">
        <v>20230306</v>
      </c>
    </row>
    <row r="16" spans="1:19" x14ac:dyDescent="0.25">
      <c r="A16" t="s">
        <v>476</v>
      </c>
      <c r="B16" t="s">
        <v>477</v>
      </c>
      <c r="C16">
        <v>2</v>
      </c>
      <c r="D16">
        <v>20230306</v>
      </c>
      <c r="E16">
        <v>3</v>
      </c>
      <c r="F16">
        <v>512000</v>
      </c>
      <c r="G16" t="s">
        <v>428</v>
      </c>
      <c r="H16" t="s">
        <v>401</v>
      </c>
      <c r="I16" t="s">
        <v>402</v>
      </c>
      <c r="J16" t="s">
        <v>5402</v>
      </c>
      <c r="K16">
        <v>20230306</v>
      </c>
      <c r="L16" t="s">
        <v>5758</v>
      </c>
      <c r="M16">
        <v>0</v>
      </c>
      <c r="N16">
        <v>3902.56</v>
      </c>
      <c r="O16" t="s">
        <v>19</v>
      </c>
      <c r="P16" t="s">
        <v>20</v>
      </c>
      <c r="Q16">
        <v>20230306</v>
      </c>
    </row>
    <row r="17" spans="1:17" x14ac:dyDescent="0.25">
      <c r="A17" t="s">
        <v>476</v>
      </c>
      <c r="B17" t="s">
        <v>477</v>
      </c>
      <c r="C17">
        <v>2</v>
      </c>
      <c r="D17">
        <v>20230309</v>
      </c>
      <c r="E17">
        <v>3</v>
      </c>
      <c r="F17">
        <v>401000</v>
      </c>
      <c r="G17" t="s">
        <v>41</v>
      </c>
      <c r="H17" t="s">
        <v>445</v>
      </c>
      <c r="I17" t="s">
        <v>446</v>
      </c>
      <c r="J17" t="s">
        <v>5403</v>
      </c>
      <c r="K17">
        <v>20230309</v>
      </c>
      <c r="L17" t="s">
        <v>5758</v>
      </c>
      <c r="M17">
        <v>5661.96</v>
      </c>
      <c r="N17">
        <v>0</v>
      </c>
      <c r="O17" t="s">
        <v>22</v>
      </c>
      <c r="P17">
        <v>20230309</v>
      </c>
      <c r="Q17">
        <v>20230309</v>
      </c>
    </row>
    <row r="18" spans="1:17" x14ac:dyDescent="0.25">
      <c r="A18" t="s">
        <v>476</v>
      </c>
      <c r="B18" t="s">
        <v>477</v>
      </c>
      <c r="C18">
        <v>2</v>
      </c>
      <c r="D18">
        <v>20230309</v>
      </c>
      <c r="E18">
        <v>3</v>
      </c>
      <c r="F18">
        <v>512000</v>
      </c>
      <c r="G18" t="s">
        <v>428</v>
      </c>
      <c r="H18" t="s">
        <v>401</v>
      </c>
      <c r="I18" t="s">
        <v>402</v>
      </c>
      <c r="J18" t="s">
        <v>5403</v>
      </c>
      <c r="K18">
        <v>20230309</v>
      </c>
      <c r="L18" t="s">
        <v>5758</v>
      </c>
      <c r="M18">
        <v>0</v>
      </c>
      <c r="N18">
        <v>5661.96</v>
      </c>
      <c r="O18" t="s">
        <v>19</v>
      </c>
      <c r="P18" t="s">
        <v>20</v>
      </c>
      <c r="Q18">
        <v>20230309</v>
      </c>
    </row>
    <row r="19" spans="1:17" x14ac:dyDescent="0.25">
      <c r="A19" t="s">
        <v>476</v>
      </c>
      <c r="B19" t="s">
        <v>477</v>
      </c>
      <c r="C19">
        <v>2</v>
      </c>
      <c r="D19">
        <v>20230309</v>
      </c>
      <c r="E19">
        <v>3</v>
      </c>
      <c r="F19">
        <v>467100</v>
      </c>
      <c r="G19" t="s">
        <v>160</v>
      </c>
      <c r="H19" t="s">
        <v>164</v>
      </c>
      <c r="I19" t="s">
        <v>165</v>
      </c>
      <c r="J19" t="s">
        <v>5404</v>
      </c>
      <c r="K19">
        <v>20230309</v>
      </c>
      <c r="L19" t="s">
        <v>5757</v>
      </c>
      <c r="M19">
        <v>500</v>
      </c>
      <c r="N19">
        <v>0</v>
      </c>
      <c r="O19" t="s">
        <v>19</v>
      </c>
      <c r="P19" t="s">
        <v>20</v>
      </c>
      <c r="Q19">
        <v>20230309</v>
      </c>
    </row>
    <row r="20" spans="1:17" x14ac:dyDescent="0.25">
      <c r="A20" t="s">
        <v>476</v>
      </c>
      <c r="B20" t="s">
        <v>477</v>
      </c>
      <c r="C20">
        <v>2</v>
      </c>
      <c r="D20">
        <v>20230309</v>
      </c>
      <c r="E20">
        <v>3</v>
      </c>
      <c r="F20">
        <v>512000</v>
      </c>
      <c r="G20" t="s">
        <v>428</v>
      </c>
      <c r="H20" t="s">
        <v>401</v>
      </c>
      <c r="I20" t="s">
        <v>402</v>
      </c>
      <c r="J20" t="s">
        <v>5404</v>
      </c>
      <c r="K20">
        <v>20230309</v>
      </c>
      <c r="L20" t="s">
        <v>5757</v>
      </c>
      <c r="M20">
        <v>0</v>
      </c>
      <c r="N20">
        <v>500</v>
      </c>
      <c r="O20" t="s">
        <v>19</v>
      </c>
      <c r="P20" t="s">
        <v>20</v>
      </c>
      <c r="Q20">
        <v>20230309</v>
      </c>
    </row>
    <row r="21" spans="1:17" x14ac:dyDescent="0.25">
      <c r="A21" t="s">
        <v>476</v>
      </c>
      <c r="B21" t="s">
        <v>477</v>
      </c>
      <c r="C21">
        <v>3</v>
      </c>
      <c r="D21">
        <v>20230310</v>
      </c>
      <c r="E21">
        <v>3</v>
      </c>
      <c r="F21">
        <v>467100</v>
      </c>
      <c r="G21" t="s">
        <v>160</v>
      </c>
      <c r="H21" t="s">
        <v>185</v>
      </c>
      <c r="I21" t="s">
        <v>186</v>
      </c>
      <c r="J21" t="s">
        <v>5405</v>
      </c>
      <c r="K21">
        <v>20230310</v>
      </c>
      <c r="L21" t="s">
        <v>5757</v>
      </c>
      <c r="M21">
        <v>800</v>
      </c>
      <c r="N21">
        <v>0</v>
      </c>
      <c r="O21" t="s">
        <v>19</v>
      </c>
      <c r="P21" t="s">
        <v>20</v>
      </c>
      <c r="Q21">
        <v>20230310</v>
      </c>
    </row>
    <row r="22" spans="1:17" x14ac:dyDescent="0.25">
      <c r="A22" t="s">
        <v>476</v>
      </c>
      <c r="B22" t="s">
        <v>477</v>
      </c>
      <c r="C22">
        <v>3</v>
      </c>
      <c r="D22">
        <v>20230310</v>
      </c>
      <c r="E22">
        <v>3</v>
      </c>
      <c r="F22">
        <v>512000</v>
      </c>
      <c r="G22" t="s">
        <v>428</v>
      </c>
      <c r="H22" t="s">
        <v>401</v>
      </c>
      <c r="I22" t="s">
        <v>402</v>
      </c>
      <c r="J22" t="s">
        <v>5405</v>
      </c>
      <c r="K22">
        <v>20230310</v>
      </c>
      <c r="L22" t="s">
        <v>5757</v>
      </c>
      <c r="M22">
        <v>0</v>
      </c>
      <c r="N22">
        <v>800</v>
      </c>
      <c r="O22" t="s">
        <v>19</v>
      </c>
      <c r="P22" t="s">
        <v>20</v>
      </c>
      <c r="Q22">
        <v>20230310</v>
      </c>
    </row>
    <row r="23" spans="1:17" x14ac:dyDescent="0.25">
      <c r="A23" t="s">
        <v>476</v>
      </c>
      <c r="B23" t="s">
        <v>477</v>
      </c>
      <c r="C23">
        <v>4</v>
      </c>
      <c r="D23">
        <v>20230310</v>
      </c>
      <c r="E23">
        <v>3</v>
      </c>
      <c r="F23">
        <v>401000</v>
      </c>
      <c r="G23" t="s">
        <v>41</v>
      </c>
      <c r="H23" t="s">
        <v>42</v>
      </c>
      <c r="I23" t="s">
        <v>43</v>
      </c>
      <c r="J23" t="s">
        <v>5406</v>
      </c>
      <c r="K23">
        <v>20230310</v>
      </c>
      <c r="L23" t="s">
        <v>5758</v>
      </c>
      <c r="M23">
        <v>2044.84</v>
      </c>
      <c r="N23">
        <v>0</v>
      </c>
      <c r="O23" t="s">
        <v>22</v>
      </c>
      <c r="P23">
        <v>20230310</v>
      </c>
      <c r="Q23">
        <v>20230310</v>
      </c>
    </row>
    <row r="24" spans="1:17" x14ac:dyDescent="0.25">
      <c r="A24" t="s">
        <v>476</v>
      </c>
      <c r="B24" t="s">
        <v>477</v>
      </c>
      <c r="C24">
        <v>4</v>
      </c>
      <c r="D24">
        <v>20230310</v>
      </c>
      <c r="E24">
        <v>3</v>
      </c>
      <c r="F24">
        <v>401000</v>
      </c>
      <c r="G24" t="s">
        <v>41</v>
      </c>
      <c r="H24" t="s">
        <v>450</v>
      </c>
      <c r="I24" t="s">
        <v>451</v>
      </c>
      <c r="J24" t="s">
        <v>5406</v>
      </c>
      <c r="K24">
        <v>20230310</v>
      </c>
      <c r="L24" t="s">
        <v>5758</v>
      </c>
      <c r="M24">
        <v>77.5</v>
      </c>
      <c r="N24">
        <v>0</v>
      </c>
      <c r="O24" t="s">
        <v>22</v>
      </c>
      <c r="P24">
        <v>20230310</v>
      </c>
      <c r="Q24">
        <v>20230310</v>
      </c>
    </row>
    <row r="25" spans="1:17" x14ac:dyDescent="0.25">
      <c r="A25" t="s">
        <v>476</v>
      </c>
      <c r="B25" t="s">
        <v>477</v>
      </c>
      <c r="C25">
        <v>4</v>
      </c>
      <c r="D25">
        <v>20230310</v>
      </c>
      <c r="E25">
        <v>3</v>
      </c>
      <c r="F25">
        <v>401000</v>
      </c>
      <c r="G25" t="s">
        <v>41</v>
      </c>
      <c r="H25" t="s">
        <v>54</v>
      </c>
      <c r="I25" t="s">
        <v>55</v>
      </c>
      <c r="J25" t="s">
        <v>5406</v>
      </c>
      <c r="K25">
        <v>20230310</v>
      </c>
      <c r="L25" t="s">
        <v>5758</v>
      </c>
      <c r="M25">
        <v>311.82</v>
      </c>
      <c r="N25">
        <v>0</v>
      </c>
      <c r="O25" t="s">
        <v>22</v>
      </c>
      <c r="P25">
        <v>20230310</v>
      </c>
      <c r="Q25">
        <v>20230310</v>
      </c>
    </row>
    <row r="26" spans="1:17" x14ac:dyDescent="0.25">
      <c r="A26" t="s">
        <v>476</v>
      </c>
      <c r="B26" t="s">
        <v>477</v>
      </c>
      <c r="C26">
        <v>4</v>
      </c>
      <c r="D26">
        <v>20230310</v>
      </c>
      <c r="E26">
        <v>3</v>
      </c>
      <c r="F26">
        <v>401000</v>
      </c>
      <c r="G26" t="s">
        <v>41</v>
      </c>
      <c r="H26" t="s">
        <v>56</v>
      </c>
      <c r="I26" t="s">
        <v>57</v>
      </c>
      <c r="J26" t="s">
        <v>5406</v>
      </c>
      <c r="K26">
        <v>20230310</v>
      </c>
      <c r="L26" t="s">
        <v>5758</v>
      </c>
      <c r="M26">
        <v>3753.41</v>
      </c>
      <c r="N26">
        <v>0</v>
      </c>
      <c r="O26" t="s">
        <v>22</v>
      </c>
      <c r="P26">
        <v>20230310</v>
      </c>
      <c r="Q26">
        <v>20230310</v>
      </c>
    </row>
    <row r="27" spans="1:17" x14ac:dyDescent="0.25">
      <c r="A27" t="s">
        <v>476</v>
      </c>
      <c r="B27" t="s">
        <v>477</v>
      </c>
      <c r="C27">
        <v>4</v>
      </c>
      <c r="D27">
        <v>20230310</v>
      </c>
      <c r="E27">
        <v>3</v>
      </c>
      <c r="F27">
        <v>401000</v>
      </c>
      <c r="G27" t="s">
        <v>41</v>
      </c>
      <c r="H27" t="s">
        <v>2059</v>
      </c>
      <c r="I27" t="s">
        <v>2060</v>
      </c>
      <c r="J27" t="s">
        <v>5406</v>
      </c>
      <c r="K27">
        <v>20230310</v>
      </c>
      <c r="L27" t="s">
        <v>5758</v>
      </c>
      <c r="M27">
        <v>265.2</v>
      </c>
      <c r="N27">
        <v>0</v>
      </c>
      <c r="O27" t="s">
        <v>22</v>
      </c>
      <c r="P27">
        <v>20230310</v>
      </c>
      <c r="Q27">
        <v>20230310</v>
      </c>
    </row>
    <row r="28" spans="1:17" x14ac:dyDescent="0.25">
      <c r="A28" t="s">
        <v>476</v>
      </c>
      <c r="B28" t="s">
        <v>477</v>
      </c>
      <c r="C28">
        <v>4</v>
      </c>
      <c r="D28">
        <v>20230310</v>
      </c>
      <c r="E28">
        <v>3</v>
      </c>
      <c r="F28">
        <v>401000</v>
      </c>
      <c r="G28" t="s">
        <v>41</v>
      </c>
      <c r="H28" t="s">
        <v>71</v>
      </c>
      <c r="I28" t="s">
        <v>72</v>
      </c>
      <c r="J28" t="s">
        <v>5406</v>
      </c>
      <c r="K28">
        <v>20230310</v>
      </c>
      <c r="L28" t="s">
        <v>5758</v>
      </c>
      <c r="M28">
        <v>857.2</v>
      </c>
      <c r="N28">
        <v>0</v>
      </c>
      <c r="O28" t="s">
        <v>22</v>
      </c>
      <c r="P28">
        <v>20230310</v>
      </c>
      <c r="Q28">
        <v>20230310</v>
      </c>
    </row>
    <row r="29" spans="1:17" x14ac:dyDescent="0.25">
      <c r="A29" t="s">
        <v>476</v>
      </c>
      <c r="B29" t="s">
        <v>477</v>
      </c>
      <c r="C29">
        <v>4</v>
      </c>
      <c r="D29">
        <v>20230310</v>
      </c>
      <c r="E29">
        <v>3</v>
      </c>
      <c r="F29">
        <v>401000</v>
      </c>
      <c r="G29" t="s">
        <v>41</v>
      </c>
      <c r="H29" t="s">
        <v>140</v>
      </c>
      <c r="I29" t="s">
        <v>141</v>
      </c>
      <c r="J29" t="s">
        <v>5406</v>
      </c>
      <c r="K29">
        <v>20230310</v>
      </c>
      <c r="L29" t="s">
        <v>5758</v>
      </c>
      <c r="M29">
        <v>114</v>
      </c>
      <c r="N29">
        <v>0</v>
      </c>
      <c r="O29" t="s">
        <v>22</v>
      </c>
      <c r="P29">
        <v>20230310</v>
      </c>
      <c r="Q29">
        <v>20230310</v>
      </c>
    </row>
    <row r="30" spans="1:17" x14ac:dyDescent="0.25">
      <c r="A30" t="s">
        <v>476</v>
      </c>
      <c r="B30" t="s">
        <v>477</v>
      </c>
      <c r="C30">
        <v>4</v>
      </c>
      <c r="D30">
        <v>20230310</v>
      </c>
      <c r="E30">
        <v>3</v>
      </c>
      <c r="F30">
        <v>401000</v>
      </c>
      <c r="G30" t="s">
        <v>41</v>
      </c>
      <c r="H30" t="s">
        <v>2061</v>
      </c>
      <c r="I30" t="s">
        <v>2062</v>
      </c>
      <c r="J30" t="s">
        <v>5406</v>
      </c>
      <c r="K30">
        <v>20230310</v>
      </c>
      <c r="L30" t="s">
        <v>5758</v>
      </c>
      <c r="M30">
        <v>198</v>
      </c>
      <c r="N30">
        <v>0</v>
      </c>
      <c r="O30" t="s">
        <v>22</v>
      </c>
      <c r="P30">
        <v>20230310</v>
      </c>
      <c r="Q30">
        <v>20230310</v>
      </c>
    </row>
    <row r="31" spans="1:17" x14ac:dyDescent="0.25">
      <c r="A31" t="s">
        <v>476</v>
      </c>
      <c r="B31" t="s">
        <v>477</v>
      </c>
      <c r="C31">
        <v>4</v>
      </c>
      <c r="D31">
        <v>20230310</v>
      </c>
      <c r="E31">
        <v>3</v>
      </c>
      <c r="F31">
        <v>401000</v>
      </c>
      <c r="G31" t="s">
        <v>41</v>
      </c>
      <c r="H31" t="s">
        <v>223</v>
      </c>
      <c r="I31" t="s">
        <v>224</v>
      </c>
      <c r="J31" t="s">
        <v>5406</v>
      </c>
      <c r="K31">
        <v>20230310</v>
      </c>
      <c r="L31" t="s">
        <v>5758</v>
      </c>
      <c r="M31">
        <v>90</v>
      </c>
      <c r="N31">
        <v>0</v>
      </c>
      <c r="O31" t="s">
        <v>22</v>
      </c>
      <c r="P31">
        <v>20230310</v>
      </c>
      <c r="Q31">
        <v>20230310</v>
      </c>
    </row>
    <row r="32" spans="1:17" x14ac:dyDescent="0.25">
      <c r="A32" t="s">
        <v>476</v>
      </c>
      <c r="B32" t="s">
        <v>477</v>
      </c>
      <c r="C32">
        <v>4</v>
      </c>
      <c r="D32">
        <v>20230310</v>
      </c>
      <c r="E32">
        <v>3</v>
      </c>
      <c r="F32">
        <v>401000</v>
      </c>
      <c r="G32" t="s">
        <v>41</v>
      </c>
      <c r="H32" t="s">
        <v>2765</v>
      </c>
      <c r="I32" t="s">
        <v>2766</v>
      </c>
      <c r="J32" t="s">
        <v>5406</v>
      </c>
      <c r="K32">
        <v>20230310</v>
      </c>
      <c r="L32" t="s">
        <v>5758</v>
      </c>
      <c r="M32">
        <v>80</v>
      </c>
      <c r="N32">
        <v>0</v>
      </c>
      <c r="O32" t="s">
        <v>22</v>
      </c>
      <c r="P32">
        <v>20230310</v>
      </c>
      <c r="Q32">
        <v>20230310</v>
      </c>
    </row>
    <row r="33" spans="1:17" x14ac:dyDescent="0.25">
      <c r="A33" t="s">
        <v>476</v>
      </c>
      <c r="B33" t="s">
        <v>477</v>
      </c>
      <c r="C33">
        <v>4</v>
      </c>
      <c r="D33">
        <v>20230310</v>
      </c>
      <c r="E33">
        <v>3</v>
      </c>
      <c r="F33">
        <v>512000</v>
      </c>
      <c r="G33" t="s">
        <v>428</v>
      </c>
      <c r="H33" t="s">
        <v>401</v>
      </c>
      <c r="I33" t="s">
        <v>402</v>
      </c>
      <c r="J33" t="s">
        <v>5406</v>
      </c>
      <c r="K33">
        <v>20230310</v>
      </c>
      <c r="L33" t="s">
        <v>5758</v>
      </c>
      <c r="M33">
        <v>0</v>
      </c>
      <c r="N33">
        <v>7791.97</v>
      </c>
      <c r="O33" t="s">
        <v>19</v>
      </c>
      <c r="P33" t="s">
        <v>20</v>
      </c>
      <c r="Q33">
        <v>20230310</v>
      </c>
    </row>
    <row r="34" spans="1:17" x14ac:dyDescent="0.25">
      <c r="A34" t="s">
        <v>476</v>
      </c>
      <c r="B34" t="s">
        <v>477</v>
      </c>
      <c r="C34">
        <v>5</v>
      </c>
      <c r="D34">
        <v>20230314</v>
      </c>
      <c r="E34">
        <v>3</v>
      </c>
      <c r="F34">
        <v>467100</v>
      </c>
      <c r="G34" t="s">
        <v>160</v>
      </c>
      <c r="H34" t="s">
        <v>3425</v>
      </c>
      <c r="I34" t="s">
        <v>3426</v>
      </c>
      <c r="J34" t="s">
        <v>5407</v>
      </c>
      <c r="K34">
        <v>20230314</v>
      </c>
      <c r="L34" t="s">
        <v>5757</v>
      </c>
      <c r="M34">
        <v>2272.2800000000002</v>
      </c>
      <c r="N34">
        <v>0</v>
      </c>
      <c r="O34" t="s">
        <v>19</v>
      </c>
      <c r="P34" t="s">
        <v>20</v>
      </c>
      <c r="Q34">
        <v>20230314</v>
      </c>
    </row>
    <row r="35" spans="1:17" x14ac:dyDescent="0.25">
      <c r="A35" t="s">
        <v>476</v>
      </c>
      <c r="B35" t="s">
        <v>477</v>
      </c>
      <c r="C35">
        <v>5</v>
      </c>
      <c r="D35">
        <v>20230314</v>
      </c>
      <c r="E35">
        <v>3</v>
      </c>
      <c r="F35">
        <v>512000</v>
      </c>
      <c r="G35" t="s">
        <v>428</v>
      </c>
      <c r="H35" t="s">
        <v>401</v>
      </c>
      <c r="I35" t="s">
        <v>402</v>
      </c>
      <c r="J35" t="s">
        <v>5407</v>
      </c>
      <c r="K35">
        <v>20230314</v>
      </c>
      <c r="L35" t="s">
        <v>5757</v>
      </c>
      <c r="M35">
        <v>0</v>
      </c>
      <c r="N35">
        <v>2272.2800000000002</v>
      </c>
      <c r="O35" t="s">
        <v>19</v>
      </c>
      <c r="P35" t="s">
        <v>20</v>
      </c>
      <c r="Q35">
        <v>20230314</v>
      </c>
    </row>
    <row r="36" spans="1:17" x14ac:dyDescent="0.25">
      <c r="A36" t="s">
        <v>476</v>
      </c>
      <c r="B36" t="s">
        <v>477</v>
      </c>
      <c r="C36">
        <v>6</v>
      </c>
      <c r="D36">
        <v>20230314</v>
      </c>
      <c r="E36">
        <v>3</v>
      </c>
      <c r="F36">
        <v>401000</v>
      </c>
      <c r="G36" t="s">
        <v>41</v>
      </c>
      <c r="H36" t="s">
        <v>42</v>
      </c>
      <c r="I36" t="s">
        <v>43</v>
      </c>
      <c r="J36" t="s">
        <v>5408</v>
      </c>
      <c r="K36">
        <v>20230314</v>
      </c>
      <c r="L36" t="s">
        <v>5758</v>
      </c>
      <c r="M36">
        <v>187.08</v>
      </c>
      <c r="N36">
        <v>0</v>
      </c>
      <c r="O36" t="s">
        <v>22</v>
      </c>
      <c r="P36">
        <v>20230314</v>
      </c>
      <c r="Q36">
        <v>20230314</v>
      </c>
    </row>
    <row r="37" spans="1:17" x14ac:dyDescent="0.25">
      <c r="A37" t="s">
        <v>476</v>
      </c>
      <c r="B37" t="s">
        <v>477</v>
      </c>
      <c r="C37">
        <v>6</v>
      </c>
      <c r="D37">
        <v>20230314</v>
      </c>
      <c r="E37">
        <v>3</v>
      </c>
      <c r="F37">
        <v>401000</v>
      </c>
      <c r="G37" t="s">
        <v>41</v>
      </c>
      <c r="H37" t="s">
        <v>54</v>
      </c>
      <c r="I37" t="s">
        <v>55</v>
      </c>
      <c r="J37" t="s">
        <v>5408</v>
      </c>
      <c r="K37">
        <v>20230314</v>
      </c>
      <c r="L37" t="s">
        <v>5758</v>
      </c>
      <c r="M37">
        <v>129.56</v>
      </c>
      <c r="N37">
        <v>0</v>
      </c>
      <c r="O37" t="s">
        <v>22</v>
      </c>
      <c r="P37">
        <v>20230314</v>
      </c>
      <c r="Q37">
        <v>20230314</v>
      </c>
    </row>
    <row r="38" spans="1:17" x14ac:dyDescent="0.25">
      <c r="A38" t="s">
        <v>476</v>
      </c>
      <c r="B38" t="s">
        <v>477</v>
      </c>
      <c r="C38">
        <v>6</v>
      </c>
      <c r="D38">
        <v>20230314</v>
      </c>
      <c r="E38">
        <v>3</v>
      </c>
      <c r="F38">
        <v>401000</v>
      </c>
      <c r="G38" t="s">
        <v>41</v>
      </c>
      <c r="H38" t="s">
        <v>56</v>
      </c>
      <c r="I38" t="s">
        <v>57</v>
      </c>
      <c r="J38" t="s">
        <v>5408</v>
      </c>
      <c r="K38">
        <v>20230314</v>
      </c>
      <c r="L38" t="s">
        <v>5758</v>
      </c>
      <c r="M38">
        <v>1467.2</v>
      </c>
      <c r="N38">
        <v>0</v>
      </c>
      <c r="O38" t="s">
        <v>22</v>
      </c>
      <c r="P38">
        <v>20230314</v>
      </c>
      <c r="Q38">
        <v>20230314</v>
      </c>
    </row>
    <row r="39" spans="1:17" x14ac:dyDescent="0.25">
      <c r="A39" t="s">
        <v>476</v>
      </c>
      <c r="B39" t="s">
        <v>477</v>
      </c>
      <c r="C39">
        <v>6</v>
      </c>
      <c r="D39">
        <v>20230314</v>
      </c>
      <c r="E39">
        <v>3</v>
      </c>
      <c r="F39">
        <v>401000</v>
      </c>
      <c r="G39" t="s">
        <v>41</v>
      </c>
      <c r="H39" t="s">
        <v>1313</v>
      </c>
      <c r="I39" t="s">
        <v>1314</v>
      </c>
      <c r="J39" t="s">
        <v>5408</v>
      </c>
      <c r="K39">
        <v>20230314</v>
      </c>
      <c r="L39" t="s">
        <v>5758</v>
      </c>
      <c r="M39">
        <v>1101.02</v>
      </c>
      <c r="N39">
        <v>0</v>
      </c>
      <c r="O39" t="s">
        <v>22</v>
      </c>
      <c r="P39">
        <v>20230314</v>
      </c>
      <c r="Q39">
        <v>20230314</v>
      </c>
    </row>
    <row r="40" spans="1:17" x14ac:dyDescent="0.25">
      <c r="A40" t="s">
        <v>476</v>
      </c>
      <c r="B40" t="s">
        <v>477</v>
      </c>
      <c r="C40">
        <v>6</v>
      </c>
      <c r="D40">
        <v>20230314</v>
      </c>
      <c r="E40">
        <v>3</v>
      </c>
      <c r="F40">
        <v>401000</v>
      </c>
      <c r="G40" t="s">
        <v>41</v>
      </c>
      <c r="H40" t="s">
        <v>69</v>
      </c>
      <c r="I40" t="s">
        <v>70</v>
      </c>
      <c r="J40" t="s">
        <v>5408</v>
      </c>
      <c r="K40">
        <v>20230314</v>
      </c>
      <c r="L40" t="s">
        <v>5758</v>
      </c>
      <c r="M40">
        <v>1651.7</v>
      </c>
      <c r="N40">
        <v>0</v>
      </c>
      <c r="O40" t="s">
        <v>22</v>
      </c>
      <c r="P40">
        <v>20230314</v>
      </c>
      <c r="Q40">
        <v>20230314</v>
      </c>
    </row>
    <row r="41" spans="1:17" x14ac:dyDescent="0.25">
      <c r="A41" t="s">
        <v>476</v>
      </c>
      <c r="B41" t="s">
        <v>477</v>
      </c>
      <c r="C41">
        <v>6</v>
      </c>
      <c r="D41">
        <v>20230314</v>
      </c>
      <c r="E41">
        <v>3</v>
      </c>
      <c r="F41">
        <v>401000</v>
      </c>
      <c r="G41" t="s">
        <v>41</v>
      </c>
      <c r="H41" t="s">
        <v>99</v>
      </c>
      <c r="I41" t="s">
        <v>100</v>
      </c>
      <c r="J41" t="s">
        <v>5408</v>
      </c>
      <c r="K41">
        <v>20230314</v>
      </c>
      <c r="L41" t="s">
        <v>5758</v>
      </c>
      <c r="M41">
        <v>510.89</v>
      </c>
      <c r="N41">
        <v>0</v>
      </c>
      <c r="O41" t="s">
        <v>22</v>
      </c>
      <c r="P41">
        <v>20230314</v>
      </c>
      <c r="Q41">
        <v>20230314</v>
      </c>
    </row>
    <row r="42" spans="1:17" x14ac:dyDescent="0.25">
      <c r="A42" t="s">
        <v>476</v>
      </c>
      <c r="B42" t="s">
        <v>477</v>
      </c>
      <c r="C42">
        <v>6</v>
      </c>
      <c r="D42">
        <v>20230314</v>
      </c>
      <c r="E42">
        <v>3</v>
      </c>
      <c r="F42">
        <v>401000</v>
      </c>
      <c r="G42" t="s">
        <v>41</v>
      </c>
      <c r="H42" t="s">
        <v>864</v>
      </c>
      <c r="I42" t="s">
        <v>865</v>
      </c>
      <c r="J42" t="s">
        <v>5408</v>
      </c>
      <c r="K42">
        <v>20230314</v>
      </c>
      <c r="L42" t="s">
        <v>5758</v>
      </c>
      <c r="M42">
        <v>598.5</v>
      </c>
      <c r="N42">
        <v>0</v>
      </c>
      <c r="O42" t="s">
        <v>22</v>
      </c>
      <c r="P42">
        <v>20230314</v>
      </c>
      <c r="Q42">
        <v>20230314</v>
      </c>
    </row>
    <row r="43" spans="1:17" x14ac:dyDescent="0.25">
      <c r="A43" t="s">
        <v>476</v>
      </c>
      <c r="B43" t="s">
        <v>477</v>
      </c>
      <c r="C43">
        <v>6</v>
      </c>
      <c r="D43">
        <v>20230314</v>
      </c>
      <c r="E43">
        <v>3</v>
      </c>
      <c r="F43">
        <v>401000</v>
      </c>
      <c r="G43" t="s">
        <v>41</v>
      </c>
      <c r="H43" t="s">
        <v>389</v>
      </c>
      <c r="I43" t="s">
        <v>390</v>
      </c>
      <c r="J43" t="s">
        <v>5408</v>
      </c>
      <c r="K43">
        <v>20230314</v>
      </c>
      <c r="L43" t="s">
        <v>5758</v>
      </c>
      <c r="M43">
        <v>420</v>
      </c>
      <c r="N43">
        <v>0</v>
      </c>
      <c r="O43" t="s">
        <v>22</v>
      </c>
      <c r="P43">
        <v>20230314</v>
      </c>
      <c r="Q43">
        <v>20230314</v>
      </c>
    </row>
    <row r="44" spans="1:17" x14ac:dyDescent="0.25">
      <c r="A44" t="s">
        <v>476</v>
      </c>
      <c r="B44" t="s">
        <v>477</v>
      </c>
      <c r="C44">
        <v>6</v>
      </c>
      <c r="D44">
        <v>20230314</v>
      </c>
      <c r="E44">
        <v>3</v>
      </c>
      <c r="F44">
        <v>401000</v>
      </c>
      <c r="G44" t="s">
        <v>41</v>
      </c>
      <c r="H44" t="s">
        <v>2045</v>
      </c>
      <c r="I44" t="s">
        <v>2046</v>
      </c>
      <c r="J44" t="s">
        <v>5408</v>
      </c>
      <c r="K44">
        <v>20230314</v>
      </c>
      <c r="L44" t="s">
        <v>5758</v>
      </c>
      <c r="M44">
        <v>760.62</v>
      </c>
      <c r="N44">
        <v>0</v>
      </c>
      <c r="O44" t="s">
        <v>22</v>
      </c>
      <c r="P44">
        <v>20230314</v>
      </c>
      <c r="Q44">
        <v>20230314</v>
      </c>
    </row>
    <row r="45" spans="1:17" x14ac:dyDescent="0.25">
      <c r="A45" t="s">
        <v>476</v>
      </c>
      <c r="B45" t="s">
        <v>477</v>
      </c>
      <c r="C45">
        <v>6</v>
      </c>
      <c r="D45">
        <v>20230314</v>
      </c>
      <c r="E45">
        <v>3</v>
      </c>
      <c r="F45">
        <v>512000</v>
      </c>
      <c r="G45" t="s">
        <v>428</v>
      </c>
      <c r="H45" t="s">
        <v>401</v>
      </c>
      <c r="I45" t="s">
        <v>402</v>
      </c>
      <c r="J45" t="s">
        <v>5408</v>
      </c>
      <c r="K45">
        <v>20230314</v>
      </c>
      <c r="L45" t="s">
        <v>5758</v>
      </c>
      <c r="M45">
        <v>0</v>
      </c>
      <c r="N45">
        <v>6826.57</v>
      </c>
      <c r="O45" t="s">
        <v>19</v>
      </c>
      <c r="P45" t="s">
        <v>20</v>
      </c>
      <c r="Q45">
        <v>20230314</v>
      </c>
    </row>
    <row r="46" spans="1:17" x14ac:dyDescent="0.25">
      <c r="A46" t="s">
        <v>476</v>
      </c>
      <c r="B46" t="s">
        <v>477</v>
      </c>
      <c r="C46">
        <v>7</v>
      </c>
      <c r="D46">
        <v>20230316</v>
      </c>
      <c r="E46">
        <v>3</v>
      </c>
      <c r="F46">
        <v>401000</v>
      </c>
      <c r="G46" t="s">
        <v>41</v>
      </c>
      <c r="H46" t="s">
        <v>5409</v>
      </c>
      <c r="I46" t="s">
        <v>5410</v>
      </c>
      <c r="J46" t="s">
        <v>5411</v>
      </c>
      <c r="K46">
        <v>20230316</v>
      </c>
      <c r="L46" t="s">
        <v>5757</v>
      </c>
      <c r="M46">
        <v>688.5</v>
      </c>
      <c r="N46">
        <v>0</v>
      </c>
      <c r="O46" t="s">
        <v>19</v>
      </c>
      <c r="P46" t="s">
        <v>20</v>
      </c>
      <c r="Q46">
        <v>20230316</v>
      </c>
    </row>
    <row r="47" spans="1:17" x14ac:dyDescent="0.25">
      <c r="A47" t="s">
        <v>476</v>
      </c>
      <c r="B47" t="s">
        <v>477</v>
      </c>
      <c r="C47">
        <v>7</v>
      </c>
      <c r="D47">
        <v>20230316</v>
      </c>
      <c r="E47">
        <v>3</v>
      </c>
      <c r="F47">
        <v>467100</v>
      </c>
      <c r="G47" t="s">
        <v>160</v>
      </c>
      <c r="H47" t="s">
        <v>1726</v>
      </c>
      <c r="I47" t="s">
        <v>1727</v>
      </c>
      <c r="J47" t="s">
        <v>5411</v>
      </c>
      <c r="K47">
        <v>20230316</v>
      </c>
      <c r="L47" t="s">
        <v>5757</v>
      </c>
      <c r="M47">
        <v>150</v>
      </c>
      <c r="N47">
        <v>0</v>
      </c>
      <c r="O47" t="s">
        <v>19</v>
      </c>
      <c r="P47" t="s">
        <v>20</v>
      </c>
      <c r="Q47">
        <v>20230316</v>
      </c>
    </row>
    <row r="48" spans="1:17" x14ac:dyDescent="0.25">
      <c r="A48" t="s">
        <v>476</v>
      </c>
      <c r="B48" t="s">
        <v>477</v>
      </c>
      <c r="C48">
        <v>7</v>
      </c>
      <c r="D48">
        <v>20230316</v>
      </c>
      <c r="E48">
        <v>3</v>
      </c>
      <c r="F48">
        <v>512000</v>
      </c>
      <c r="G48" t="s">
        <v>428</v>
      </c>
      <c r="H48" t="s">
        <v>401</v>
      </c>
      <c r="I48" t="s">
        <v>402</v>
      </c>
      <c r="J48" t="s">
        <v>5411</v>
      </c>
      <c r="K48">
        <v>20230316</v>
      </c>
      <c r="L48" t="s">
        <v>5757</v>
      </c>
      <c r="M48">
        <v>0</v>
      </c>
      <c r="N48">
        <v>838.5</v>
      </c>
      <c r="O48" t="s">
        <v>19</v>
      </c>
      <c r="P48" t="s">
        <v>20</v>
      </c>
      <c r="Q48">
        <v>20230316</v>
      </c>
    </row>
    <row r="49" spans="1:17" x14ac:dyDescent="0.25">
      <c r="A49" t="s">
        <v>476</v>
      </c>
      <c r="B49" t="s">
        <v>477</v>
      </c>
      <c r="C49">
        <v>8</v>
      </c>
      <c r="D49">
        <v>20230316</v>
      </c>
      <c r="E49">
        <v>3</v>
      </c>
      <c r="F49">
        <v>401000</v>
      </c>
      <c r="G49" t="s">
        <v>41</v>
      </c>
      <c r="H49" t="s">
        <v>140</v>
      </c>
      <c r="I49" t="s">
        <v>141</v>
      </c>
      <c r="J49" t="s">
        <v>5412</v>
      </c>
      <c r="K49">
        <v>20230316</v>
      </c>
      <c r="L49" t="s">
        <v>5757</v>
      </c>
      <c r="M49">
        <v>114</v>
      </c>
      <c r="N49">
        <v>0</v>
      </c>
      <c r="O49" t="s">
        <v>23</v>
      </c>
      <c r="P49">
        <v>20230420</v>
      </c>
      <c r="Q49">
        <v>20230316</v>
      </c>
    </row>
    <row r="50" spans="1:17" x14ac:dyDescent="0.25">
      <c r="A50" t="s">
        <v>476</v>
      </c>
      <c r="B50" t="s">
        <v>477</v>
      </c>
      <c r="C50">
        <v>8</v>
      </c>
      <c r="D50">
        <v>20230316</v>
      </c>
      <c r="E50">
        <v>3</v>
      </c>
      <c r="F50">
        <v>512000</v>
      </c>
      <c r="G50" t="s">
        <v>428</v>
      </c>
      <c r="H50" t="s">
        <v>401</v>
      </c>
      <c r="I50" t="s">
        <v>402</v>
      </c>
      <c r="J50" t="s">
        <v>5412</v>
      </c>
      <c r="K50">
        <v>20230316</v>
      </c>
      <c r="L50" t="s">
        <v>5757</v>
      </c>
      <c r="M50">
        <v>0</v>
      </c>
      <c r="N50">
        <v>114</v>
      </c>
      <c r="O50" t="s">
        <v>19</v>
      </c>
      <c r="P50" t="s">
        <v>20</v>
      </c>
      <c r="Q50">
        <v>20230316</v>
      </c>
    </row>
    <row r="51" spans="1:17" x14ac:dyDescent="0.25">
      <c r="A51" t="s">
        <v>476</v>
      </c>
      <c r="B51" t="s">
        <v>477</v>
      </c>
      <c r="C51">
        <v>9</v>
      </c>
      <c r="D51">
        <v>20230321</v>
      </c>
      <c r="E51">
        <v>3</v>
      </c>
      <c r="F51">
        <v>467100</v>
      </c>
      <c r="G51" t="s">
        <v>160</v>
      </c>
      <c r="H51" t="s">
        <v>1726</v>
      </c>
      <c r="I51" t="s">
        <v>1727</v>
      </c>
      <c r="J51" t="s">
        <v>5413</v>
      </c>
      <c r="K51">
        <v>20230321</v>
      </c>
      <c r="L51" t="s">
        <v>5757</v>
      </c>
      <c r="M51">
        <v>100</v>
      </c>
      <c r="N51">
        <v>0</v>
      </c>
      <c r="O51" t="s">
        <v>19</v>
      </c>
      <c r="P51" t="s">
        <v>20</v>
      </c>
      <c r="Q51">
        <v>20230321</v>
      </c>
    </row>
    <row r="52" spans="1:17" x14ac:dyDescent="0.25">
      <c r="A52" t="s">
        <v>476</v>
      </c>
      <c r="B52" t="s">
        <v>477</v>
      </c>
      <c r="C52">
        <v>9</v>
      </c>
      <c r="D52">
        <v>20230321</v>
      </c>
      <c r="E52">
        <v>3</v>
      </c>
      <c r="F52">
        <v>512000</v>
      </c>
      <c r="G52" t="s">
        <v>428</v>
      </c>
      <c r="H52" t="s">
        <v>401</v>
      </c>
      <c r="I52" t="s">
        <v>402</v>
      </c>
      <c r="J52" t="s">
        <v>5413</v>
      </c>
      <c r="K52">
        <v>20230321</v>
      </c>
      <c r="L52" t="s">
        <v>5757</v>
      </c>
      <c r="M52">
        <v>0</v>
      </c>
      <c r="N52">
        <v>100</v>
      </c>
      <c r="O52" t="s">
        <v>19</v>
      </c>
      <c r="P52" t="s">
        <v>20</v>
      </c>
      <c r="Q52">
        <v>20230321</v>
      </c>
    </row>
    <row r="53" spans="1:17" x14ac:dyDescent="0.25">
      <c r="A53" t="s">
        <v>476</v>
      </c>
      <c r="B53" t="s">
        <v>477</v>
      </c>
      <c r="C53">
        <v>10</v>
      </c>
      <c r="D53">
        <v>20230324</v>
      </c>
      <c r="E53">
        <v>3</v>
      </c>
      <c r="F53">
        <v>401000</v>
      </c>
      <c r="G53" t="s">
        <v>41</v>
      </c>
      <c r="H53" t="s">
        <v>3662</v>
      </c>
      <c r="I53" t="s">
        <v>3663</v>
      </c>
      <c r="J53" t="s">
        <v>5414</v>
      </c>
      <c r="K53">
        <v>20230324</v>
      </c>
      <c r="L53" t="s">
        <v>5758</v>
      </c>
      <c r="M53">
        <v>139.93</v>
      </c>
      <c r="N53">
        <v>0</v>
      </c>
      <c r="O53" t="s">
        <v>22</v>
      </c>
      <c r="P53">
        <v>20230324</v>
      </c>
      <c r="Q53">
        <v>20230324</v>
      </c>
    </row>
    <row r="54" spans="1:17" x14ac:dyDescent="0.25">
      <c r="A54" t="s">
        <v>476</v>
      </c>
      <c r="B54" t="s">
        <v>477</v>
      </c>
      <c r="C54">
        <v>10</v>
      </c>
      <c r="D54">
        <v>20230324</v>
      </c>
      <c r="E54">
        <v>3</v>
      </c>
      <c r="F54">
        <v>401000</v>
      </c>
      <c r="G54" t="s">
        <v>41</v>
      </c>
      <c r="H54" t="s">
        <v>67</v>
      </c>
      <c r="I54" t="s">
        <v>68</v>
      </c>
      <c r="J54" t="s">
        <v>5414</v>
      </c>
      <c r="K54">
        <v>20230324</v>
      </c>
      <c r="L54" t="s">
        <v>5758</v>
      </c>
      <c r="M54">
        <v>1245</v>
      </c>
      <c r="N54">
        <v>0</v>
      </c>
      <c r="O54" t="s">
        <v>22</v>
      </c>
      <c r="P54">
        <v>20230324</v>
      </c>
      <c r="Q54">
        <v>20230324</v>
      </c>
    </row>
    <row r="55" spans="1:17" x14ac:dyDescent="0.25">
      <c r="A55" t="s">
        <v>476</v>
      </c>
      <c r="B55" t="s">
        <v>477</v>
      </c>
      <c r="C55">
        <v>10</v>
      </c>
      <c r="D55">
        <v>20230324</v>
      </c>
      <c r="E55">
        <v>3</v>
      </c>
      <c r="F55">
        <v>401000</v>
      </c>
      <c r="G55" t="s">
        <v>41</v>
      </c>
      <c r="H55" t="s">
        <v>71</v>
      </c>
      <c r="I55" t="s">
        <v>72</v>
      </c>
      <c r="J55" t="s">
        <v>5414</v>
      </c>
      <c r="K55">
        <v>20230324</v>
      </c>
      <c r="L55" t="s">
        <v>5758</v>
      </c>
      <c r="M55">
        <v>347.29</v>
      </c>
      <c r="N55">
        <v>0</v>
      </c>
      <c r="O55" t="s">
        <v>22</v>
      </c>
      <c r="P55">
        <v>20230324</v>
      </c>
      <c r="Q55">
        <v>20230324</v>
      </c>
    </row>
    <row r="56" spans="1:17" x14ac:dyDescent="0.25">
      <c r="A56" t="s">
        <v>476</v>
      </c>
      <c r="B56" t="s">
        <v>477</v>
      </c>
      <c r="C56">
        <v>10</v>
      </c>
      <c r="D56">
        <v>20230324</v>
      </c>
      <c r="E56">
        <v>3</v>
      </c>
      <c r="F56">
        <v>401000</v>
      </c>
      <c r="G56" t="s">
        <v>41</v>
      </c>
      <c r="H56" t="s">
        <v>5071</v>
      </c>
      <c r="I56" t="s">
        <v>5072</v>
      </c>
      <c r="J56" t="s">
        <v>5414</v>
      </c>
      <c r="K56">
        <v>20230324</v>
      </c>
      <c r="L56" t="s">
        <v>5758</v>
      </c>
      <c r="M56">
        <v>525.6</v>
      </c>
      <c r="N56">
        <v>0</v>
      </c>
      <c r="O56" t="s">
        <v>22</v>
      </c>
      <c r="P56">
        <v>20230324</v>
      </c>
      <c r="Q56">
        <v>20230324</v>
      </c>
    </row>
    <row r="57" spans="1:17" x14ac:dyDescent="0.25">
      <c r="A57" t="s">
        <v>476</v>
      </c>
      <c r="B57" t="s">
        <v>477</v>
      </c>
      <c r="C57">
        <v>10</v>
      </c>
      <c r="D57">
        <v>20230324</v>
      </c>
      <c r="E57">
        <v>3</v>
      </c>
      <c r="F57">
        <v>512000</v>
      </c>
      <c r="G57" t="s">
        <v>428</v>
      </c>
      <c r="H57" t="s">
        <v>401</v>
      </c>
      <c r="I57" t="s">
        <v>402</v>
      </c>
      <c r="J57" t="s">
        <v>5414</v>
      </c>
      <c r="K57">
        <v>20230324</v>
      </c>
      <c r="L57" t="s">
        <v>5758</v>
      </c>
      <c r="M57">
        <v>0</v>
      </c>
      <c r="N57">
        <v>2257.8200000000002</v>
      </c>
      <c r="O57" t="s">
        <v>19</v>
      </c>
      <c r="P57" t="s">
        <v>20</v>
      </c>
      <c r="Q57">
        <v>20230324</v>
      </c>
    </row>
    <row r="58" spans="1:17" x14ac:dyDescent="0.25">
      <c r="A58" t="s">
        <v>476</v>
      </c>
      <c r="B58" t="s">
        <v>477</v>
      </c>
      <c r="C58">
        <v>11</v>
      </c>
      <c r="D58">
        <v>20230325</v>
      </c>
      <c r="E58">
        <v>3</v>
      </c>
      <c r="F58">
        <v>401000</v>
      </c>
      <c r="G58" t="s">
        <v>41</v>
      </c>
      <c r="H58" t="s">
        <v>42</v>
      </c>
      <c r="I58" t="s">
        <v>43</v>
      </c>
      <c r="J58" t="s">
        <v>5415</v>
      </c>
      <c r="K58">
        <v>20230325</v>
      </c>
      <c r="L58" t="s">
        <v>5758</v>
      </c>
      <c r="M58">
        <v>212.58</v>
      </c>
      <c r="N58">
        <v>0</v>
      </c>
      <c r="O58" t="s">
        <v>22</v>
      </c>
      <c r="P58">
        <v>20230325</v>
      </c>
      <c r="Q58">
        <v>20230325</v>
      </c>
    </row>
    <row r="59" spans="1:17" x14ac:dyDescent="0.25">
      <c r="A59" t="s">
        <v>476</v>
      </c>
      <c r="B59" t="s">
        <v>477</v>
      </c>
      <c r="C59">
        <v>11</v>
      </c>
      <c r="D59">
        <v>20230325</v>
      </c>
      <c r="E59">
        <v>3</v>
      </c>
      <c r="F59">
        <v>401000</v>
      </c>
      <c r="G59" t="s">
        <v>41</v>
      </c>
      <c r="H59" t="s">
        <v>46</v>
      </c>
      <c r="I59" t="s">
        <v>47</v>
      </c>
      <c r="J59" t="s">
        <v>5415</v>
      </c>
      <c r="K59">
        <v>20230325</v>
      </c>
      <c r="L59" t="s">
        <v>5758</v>
      </c>
      <c r="M59">
        <v>1080</v>
      </c>
      <c r="N59">
        <v>0</v>
      </c>
      <c r="O59" t="s">
        <v>22</v>
      </c>
      <c r="P59">
        <v>20230325</v>
      </c>
      <c r="Q59">
        <v>20230325</v>
      </c>
    </row>
    <row r="60" spans="1:17" x14ac:dyDescent="0.25">
      <c r="A60" t="s">
        <v>476</v>
      </c>
      <c r="B60" t="s">
        <v>477</v>
      </c>
      <c r="C60">
        <v>11</v>
      </c>
      <c r="D60">
        <v>20230325</v>
      </c>
      <c r="E60">
        <v>3</v>
      </c>
      <c r="F60">
        <v>401000</v>
      </c>
      <c r="G60" t="s">
        <v>41</v>
      </c>
      <c r="H60" t="s">
        <v>48</v>
      </c>
      <c r="I60" t="s">
        <v>49</v>
      </c>
      <c r="J60" t="s">
        <v>5415</v>
      </c>
      <c r="K60">
        <v>20230325</v>
      </c>
      <c r="L60" t="s">
        <v>5758</v>
      </c>
      <c r="M60">
        <v>2622.16</v>
      </c>
      <c r="N60">
        <v>0</v>
      </c>
      <c r="O60" t="s">
        <v>22</v>
      </c>
      <c r="P60">
        <v>20230325</v>
      </c>
      <c r="Q60">
        <v>20230325</v>
      </c>
    </row>
    <row r="61" spans="1:17" x14ac:dyDescent="0.25">
      <c r="A61" t="s">
        <v>476</v>
      </c>
      <c r="B61" t="s">
        <v>477</v>
      </c>
      <c r="C61">
        <v>11</v>
      </c>
      <c r="D61">
        <v>20230325</v>
      </c>
      <c r="E61">
        <v>3</v>
      </c>
      <c r="F61">
        <v>401000</v>
      </c>
      <c r="G61" t="s">
        <v>41</v>
      </c>
      <c r="H61" t="s">
        <v>5079</v>
      </c>
      <c r="I61" t="s">
        <v>5080</v>
      </c>
      <c r="J61" t="s">
        <v>5415</v>
      </c>
      <c r="K61">
        <v>20230325</v>
      </c>
      <c r="L61" t="s">
        <v>5758</v>
      </c>
      <c r="M61">
        <v>315</v>
      </c>
      <c r="N61">
        <v>0</v>
      </c>
      <c r="O61" t="s">
        <v>22</v>
      </c>
      <c r="P61">
        <v>20230325</v>
      </c>
      <c r="Q61">
        <v>20230325</v>
      </c>
    </row>
    <row r="62" spans="1:17" x14ac:dyDescent="0.25">
      <c r="A62" t="s">
        <v>476</v>
      </c>
      <c r="B62" t="s">
        <v>477</v>
      </c>
      <c r="C62">
        <v>11</v>
      </c>
      <c r="D62">
        <v>20230325</v>
      </c>
      <c r="E62">
        <v>3</v>
      </c>
      <c r="F62">
        <v>512000</v>
      </c>
      <c r="G62" t="s">
        <v>428</v>
      </c>
      <c r="H62" t="s">
        <v>401</v>
      </c>
      <c r="I62" t="s">
        <v>402</v>
      </c>
      <c r="J62" t="s">
        <v>5415</v>
      </c>
      <c r="K62">
        <v>20230325</v>
      </c>
      <c r="L62" t="s">
        <v>5758</v>
      </c>
      <c r="M62">
        <v>0</v>
      </c>
      <c r="N62">
        <v>4229.74</v>
      </c>
      <c r="O62" t="s">
        <v>19</v>
      </c>
      <c r="P62" t="s">
        <v>20</v>
      </c>
      <c r="Q62">
        <v>20230325</v>
      </c>
    </row>
    <row r="63" spans="1:17" x14ac:dyDescent="0.25">
      <c r="A63" t="s">
        <v>476</v>
      </c>
      <c r="B63" t="s">
        <v>477</v>
      </c>
      <c r="C63">
        <v>12</v>
      </c>
      <c r="D63">
        <v>20230328</v>
      </c>
      <c r="E63">
        <v>3</v>
      </c>
      <c r="F63">
        <v>467100</v>
      </c>
      <c r="G63" t="s">
        <v>160</v>
      </c>
      <c r="H63" t="s">
        <v>5416</v>
      </c>
      <c r="I63" t="s">
        <v>5417</v>
      </c>
      <c r="J63" t="s">
        <v>5418</v>
      </c>
      <c r="K63">
        <v>20230328</v>
      </c>
      <c r="L63" t="s">
        <v>5757</v>
      </c>
      <c r="M63">
        <v>607.5</v>
      </c>
      <c r="N63">
        <v>0</v>
      </c>
      <c r="O63" t="s">
        <v>19</v>
      </c>
      <c r="P63" t="s">
        <v>20</v>
      </c>
      <c r="Q63">
        <v>20230328</v>
      </c>
    </row>
    <row r="64" spans="1:17" x14ac:dyDescent="0.25">
      <c r="A64" t="s">
        <v>476</v>
      </c>
      <c r="B64" t="s">
        <v>477</v>
      </c>
      <c r="C64">
        <v>12</v>
      </c>
      <c r="D64">
        <v>20230328</v>
      </c>
      <c r="E64">
        <v>3</v>
      </c>
      <c r="F64">
        <v>467100</v>
      </c>
      <c r="G64" t="s">
        <v>160</v>
      </c>
      <c r="H64" t="s">
        <v>5419</v>
      </c>
      <c r="I64" t="s">
        <v>5420</v>
      </c>
      <c r="J64" t="s">
        <v>5418</v>
      </c>
      <c r="K64">
        <v>20230328</v>
      </c>
      <c r="L64" t="s">
        <v>5757</v>
      </c>
      <c r="M64">
        <v>925.64</v>
      </c>
      <c r="N64">
        <v>0</v>
      </c>
      <c r="O64" t="s">
        <v>19</v>
      </c>
      <c r="P64" t="s">
        <v>20</v>
      </c>
      <c r="Q64">
        <v>20230328</v>
      </c>
    </row>
    <row r="65" spans="1:17" x14ac:dyDescent="0.25">
      <c r="A65" t="s">
        <v>476</v>
      </c>
      <c r="B65" t="s">
        <v>477</v>
      </c>
      <c r="C65">
        <v>12</v>
      </c>
      <c r="D65">
        <v>20230328</v>
      </c>
      <c r="E65">
        <v>3</v>
      </c>
      <c r="F65">
        <v>401000</v>
      </c>
      <c r="G65" t="s">
        <v>41</v>
      </c>
      <c r="H65" t="s">
        <v>5421</v>
      </c>
      <c r="I65" t="s">
        <v>5422</v>
      </c>
      <c r="J65" t="s">
        <v>5418</v>
      </c>
      <c r="K65">
        <v>20230328</v>
      </c>
      <c r="L65" t="s">
        <v>5757</v>
      </c>
      <c r="M65">
        <v>146.4</v>
      </c>
      <c r="N65">
        <v>0</v>
      </c>
      <c r="O65" t="s">
        <v>19</v>
      </c>
      <c r="P65" t="s">
        <v>20</v>
      </c>
      <c r="Q65">
        <v>20230328</v>
      </c>
    </row>
    <row r="66" spans="1:17" x14ac:dyDescent="0.25">
      <c r="A66" t="s">
        <v>476</v>
      </c>
      <c r="B66" t="s">
        <v>477</v>
      </c>
      <c r="C66">
        <v>12</v>
      </c>
      <c r="D66">
        <v>20230328</v>
      </c>
      <c r="E66">
        <v>3</v>
      </c>
      <c r="F66">
        <v>512000</v>
      </c>
      <c r="G66" t="s">
        <v>428</v>
      </c>
      <c r="H66" t="s">
        <v>401</v>
      </c>
      <c r="I66" t="s">
        <v>402</v>
      </c>
      <c r="J66" t="s">
        <v>5418</v>
      </c>
      <c r="K66">
        <v>20230328</v>
      </c>
      <c r="L66" t="s">
        <v>5757</v>
      </c>
      <c r="M66">
        <v>0</v>
      </c>
      <c r="N66">
        <v>1679.54</v>
      </c>
      <c r="O66" t="s">
        <v>19</v>
      </c>
      <c r="P66" t="s">
        <v>20</v>
      </c>
      <c r="Q66">
        <v>20230328</v>
      </c>
    </row>
    <row r="67" spans="1:17" x14ac:dyDescent="0.25">
      <c r="A67" t="s">
        <v>476</v>
      </c>
      <c r="B67" t="s">
        <v>477</v>
      </c>
      <c r="C67">
        <v>13</v>
      </c>
      <c r="D67">
        <v>20230331</v>
      </c>
      <c r="E67">
        <v>3</v>
      </c>
      <c r="F67">
        <v>401000</v>
      </c>
      <c r="G67" t="s">
        <v>41</v>
      </c>
      <c r="H67" t="s">
        <v>42</v>
      </c>
      <c r="I67" t="s">
        <v>43</v>
      </c>
      <c r="J67" t="s">
        <v>5423</v>
      </c>
      <c r="K67">
        <v>20230331</v>
      </c>
      <c r="L67" t="s">
        <v>5758</v>
      </c>
      <c r="M67">
        <v>274.04000000000002</v>
      </c>
      <c r="N67">
        <v>0</v>
      </c>
      <c r="O67" t="s">
        <v>22</v>
      </c>
      <c r="P67">
        <v>20230331</v>
      </c>
      <c r="Q67">
        <v>20230331</v>
      </c>
    </row>
    <row r="68" spans="1:17" x14ac:dyDescent="0.25">
      <c r="A68" t="s">
        <v>476</v>
      </c>
      <c r="B68" t="s">
        <v>477</v>
      </c>
      <c r="C68">
        <v>13</v>
      </c>
      <c r="D68">
        <v>20230331</v>
      </c>
      <c r="E68">
        <v>3</v>
      </c>
      <c r="F68">
        <v>401000</v>
      </c>
      <c r="G68" t="s">
        <v>41</v>
      </c>
      <c r="H68" t="s">
        <v>44</v>
      </c>
      <c r="I68" t="s">
        <v>45</v>
      </c>
      <c r="J68" t="s">
        <v>5423</v>
      </c>
      <c r="K68">
        <v>20230331</v>
      </c>
      <c r="L68" t="s">
        <v>5758</v>
      </c>
      <c r="M68">
        <v>56.7</v>
      </c>
      <c r="N68">
        <v>0</v>
      </c>
      <c r="O68" t="s">
        <v>22</v>
      </c>
      <c r="P68">
        <v>20230331</v>
      </c>
      <c r="Q68">
        <v>20230331</v>
      </c>
    </row>
    <row r="69" spans="1:17" x14ac:dyDescent="0.25">
      <c r="A69" t="s">
        <v>476</v>
      </c>
      <c r="B69" t="s">
        <v>477</v>
      </c>
      <c r="C69">
        <v>13</v>
      </c>
      <c r="D69">
        <v>20230331</v>
      </c>
      <c r="E69">
        <v>3</v>
      </c>
      <c r="F69">
        <v>401000</v>
      </c>
      <c r="G69" t="s">
        <v>41</v>
      </c>
      <c r="H69" t="s">
        <v>71</v>
      </c>
      <c r="I69" t="s">
        <v>72</v>
      </c>
      <c r="J69" t="s">
        <v>5423</v>
      </c>
      <c r="K69">
        <v>20230331</v>
      </c>
      <c r="L69" t="s">
        <v>5758</v>
      </c>
      <c r="M69">
        <v>401.12</v>
      </c>
      <c r="N69">
        <v>0</v>
      </c>
      <c r="O69" t="s">
        <v>22</v>
      </c>
      <c r="P69">
        <v>20230331</v>
      </c>
      <c r="Q69">
        <v>20230331</v>
      </c>
    </row>
    <row r="70" spans="1:17" x14ac:dyDescent="0.25">
      <c r="A70" t="s">
        <v>476</v>
      </c>
      <c r="B70" t="s">
        <v>477</v>
      </c>
      <c r="C70">
        <v>13</v>
      </c>
      <c r="D70">
        <v>20230331</v>
      </c>
      <c r="E70">
        <v>3</v>
      </c>
      <c r="F70">
        <v>401000</v>
      </c>
      <c r="G70" t="s">
        <v>41</v>
      </c>
      <c r="H70" t="s">
        <v>97</v>
      </c>
      <c r="I70" t="s">
        <v>98</v>
      </c>
      <c r="J70" t="s">
        <v>5423</v>
      </c>
      <c r="K70">
        <v>20230331</v>
      </c>
      <c r="L70" t="s">
        <v>5758</v>
      </c>
      <c r="M70">
        <v>343.02</v>
      </c>
      <c r="N70">
        <v>0</v>
      </c>
      <c r="O70" t="s">
        <v>22</v>
      </c>
      <c r="P70">
        <v>20230331</v>
      </c>
      <c r="Q70">
        <v>20230331</v>
      </c>
    </row>
    <row r="71" spans="1:17" x14ac:dyDescent="0.25">
      <c r="A71" t="s">
        <v>476</v>
      </c>
      <c r="B71" t="s">
        <v>477</v>
      </c>
      <c r="C71">
        <v>13</v>
      </c>
      <c r="D71">
        <v>20230331</v>
      </c>
      <c r="E71">
        <v>3</v>
      </c>
      <c r="F71">
        <v>401000</v>
      </c>
      <c r="G71" t="s">
        <v>41</v>
      </c>
      <c r="H71" t="s">
        <v>452</v>
      </c>
      <c r="I71" t="s">
        <v>453</v>
      </c>
      <c r="J71" t="s">
        <v>5423</v>
      </c>
      <c r="K71">
        <v>20230331</v>
      </c>
      <c r="L71" t="s">
        <v>5758</v>
      </c>
      <c r="M71">
        <v>110</v>
      </c>
      <c r="N71">
        <v>0</v>
      </c>
      <c r="O71" t="s">
        <v>22</v>
      </c>
      <c r="P71">
        <v>20230331</v>
      </c>
      <c r="Q71">
        <v>20230331</v>
      </c>
    </row>
    <row r="72" spans="1:17" x14ac:dyDescent="0.25">
      <c r="A72" t="s">
        <v>476</v>
      </c>
      <c r="B72" t="s">
        <v>477</v>
      </c>
      <c r="C72">
        <v>13</v>
      </c>
      <c r="D72">
        <v>20230331</v>
      </c>
      <c r="E72">
        <v>3</v>
      </c>
      <c r="F72">
        <v>401000</v>
      </c>
      <c r="G72" t="s">
        <v>41</v>
      </c>
      <c r="H72" t="s">
        <v>472</v>
      </c>
      <c r="I72" t="s">
        <v>473</v>
      </c>
      <c r="J72" t="s">
        <v>5423</v>
      </c>
      <c r="K72">
        <v>20230331</v>
      </c>
      <c r="L72" t="s">
        <v>5758</v>
      </c>
      <c r="M72">
        <v>350</v>
      </c>
      <c r="N72">
        <v>0</v>
      </c>
      <c r="O72" t="s">
        <v>22</v>
      </c>
      <c r="P72">
        <v>20230331</v>
      </c>
      <c r="Q72">
        <v>20230331</v>
      </c>
    </row>
    <row r="73" spans="1:17" x14ac:dyDescent="0.25">
      <c r="A73" t="s">
        <v>476</v>
      </c>
      <c r="B73" t="s">
        <v>477</v>
      </c>
      <c r="C73">
        <v>13</v>
      </c>
      <c r="D73">
        <v>20230331</v>
      </c>
      <c r="E73">
        <v>3</v>
      </c>
      <c r="F73">
        <v>401000</v>
      </c>
      <c r="G73" t="s">
        <v>41</v>
      </c>
      <c r="H73" t="s">
        <v>303</v>
      </c>
      <c r="I73" t="s">
        <v>304</v>
      </c>
      <c r="J73" t="s">
        <v>5423</v>
      </c>
      <c r="K73">
        <v>20230331</v>
      </c>
      <c r="L73" t="s">
        <v>5758</v>
      </c>
      <c r="M73">
        <v>620</v>
      </c>
      <c r="N73">
        <v>0</v>
      </c>
      <c r="O73" t="s">
        <v>22</v>
      </c>
      <c r="P73">
        <v>20230331</v>
      </c>
      <c r="Q73">
        <v>20230331</v>
      </c>
    </row>
    <row r="74" spans="1:17" x14ac:dyDescent="0.25">
      <c r="A74" t="s">
        <v>476</v>
      </c>
      <c r="B74" t="s">
        <v>477</v>
      </c>
      <c r="C74">
        <v>13</v>
      </c>
      <c r="D74">
        <v>20230331</v>
      </c>
      <c r="E74">
        <v>3</v>
      </c>
      <c r="F74">
        <v>467100</v>
      </c>
      <c r="G74" t="s">
        <v>160</v>
      </c>
      <c r="H74" t="s">
        <v>316</v>
      </c>
      <c r="I74" t="s">
        <v>317</v>
      </c>
      <c r="J74" t="s">
        <v>5423</v>
      </c>
      <c r="K74">
        <v>20230331</v>
      </c>
      <c r="L74" t="s">
        <v>5758</v>
      </c>
      <c r="M74">
        <v>26.89</v>
      </c>
      <c r="N74">
        <v>0</v>
      </c>
      <c r="O74" t="s">
        <v>22</v>
      </c>
      <c r="P74">
        <v>20230331</v>
      </c>
      <c r="Q74">
        <v>20230331</v>
      </c>
    </row>
    <row r="75" spans="1:17" x14ac:dyDescent="0.25">
      <c r="A75" t="s">
        <v>476</v>
      </c>
      <c r="B75" t="s">
        <v>477</v>
      </c>
      <c r="C75">
        <v>13</v>
      </c>
      <c r="D75">
        <v>20230331</v>
      </c>
      <c r="E75">
        <v>3</v>
      </c>
      <c r="F75">
        <v>467100</v>
      </c>
      <c r="G75" t="s">
        <v>160</v>
      </c>
      <c r="H75" t="s">
        <v>2232</v>
      </c>
      <c r="I75" t="s">
        <v>2233</v>
      </c>
      <c r="J75" t="s">
        <v>5423</v>
      </c>
      <c r="K75">
        <v>20230331</v>
      </c>
      <c r="L75" t="s">
        <v>5758</v>
      </c>
      <c r="M75">
        <v>114.27</v>
      </c>
      <c r="N75">
        <v>0</v>
      </c>
      <c r="O75" t="s">
        <v>22</v>
      </c>
      <c r="P75">
        <v>20230331</v>
      </c>
      <c r="Q75">
        <v>20230331</v>
      </c>
    </row>
    <row r="76" spans="1:17" x14ac:dyDescent="0.25">
      <c r="A76" t="s">
        <v>476</v>
      </c>
      <c r="B76" t="s">
        <v>477</v>
      </c>
      <c r="C76">
        <v>13</v>
      </c>
      <c r="D76">
        <v>20230331</v>
      </c>
      <c r="E76">
        <v>3</v>
      </c>
      <c r="F76">
        <v>512000</v>
      </c>
      <c r="G76" t="s">
        <v>428</v>
      </c>
      <c r="H76" t="s">
        <v>401</v>
      </c>
      <c r="I76" t="s">
        <v>402</v>
      </c>
      <c r="J76" t="s">
        <v>5423</v>
      </c>
      <c r="K76">
        <v>20230331</v>
      </c>
      <c r="L76" t="s">
        <v>5758</v>
      </c>
      <c r="M76">
        <v>0</v>
      </c>
      <c r="N76">
        <v>2296.04</v>
      </c>
      <c r="O76" t="s">
        <v>19</v>
      </c>
      <c r="P76" t="s">
        <v>20</v>
      </c>
      <c r="Q76">
        <v>20230331</v>
      </c>
    </row>
    <row r="77" spans="1:17" x14ac:dyDescent="0.25">
      <c r="A77" t="s">
        <v>476</v>
      </c>
      <c r="B77" t="s">
        <v>477</v>
      </c>
      <c r="C77">
        <v>14</v>
      </c>
      <c r="D77">
        <v>20230301</v>
      </c>
      <c r="E77">
        <v>3</v>
      </c>
      <c r="F77">
        <v>580000</v>
      </c>
      <c r="G77" t="s">
        <v>532</v>
      </c>
      <c r="H77" t="s">
        <v>401</v>
      </c>
      <c r="I77" t="s">
        <v>402</v>
      </c>
      <c r="J77" t="s">
        <v>5871</v>
      </c>
      <c r="K77">
        <v>20230301</v>
      </c>
      <c r="L77" t="s">
        <v>5857</v>
      </c>
      <c r="M77">
        <v>0</v>
      </c>
      <c r="N77">
        <v>40000</v>
      </c>
      <c r="O77" t="s">
        <v>19</v>
      </c>
      <c r="P77" t="s">
        <v>20</v>
      </c>
      <c r="Q77">
        <v>20230301</v>
      </c>
    </row>
    <row r="78" spans="1:17" x14ac:dyDescent="0.25">
      <c r="A78" t="s">
        <v>476</v>
      </c>
      <c r="B78" t="s">
        <v>477</v>
      </c>
      <c r="C78">
        <v>14</v>
      </c>
      <c r="D78">
        <v>20230301</v>
      </c>
      <c r="E78">
        <v>3</v>
      </c>
      <c r="F78">
        <v>512000</v>
      </c>
      <c r="G78" t="s">
        <v>428</v>
      </c>
      <c r="H78" t="s">
        <v>401</v>
      </c>
      <c r="I78" t="s">
        <v>402</v>
      </c>
      <c r="J78" t="s">
        <v>5871</v>
      </c>
      <c r="K78">
        <v>20230301</v>
      </c>
      <c r="L78" t="s">
        <v>5857</v>
      </c>
      <c r="M78">
        <v>40000</v>
      </c>
      <c r="N78">
        <v>0</v>
      </c>
      <c r="O78" t="s">
        <v>19</v>
      </c>
      <c r="P78" t="s">
        <v>20</v>
      </c>
      <c r="Q78">
        <v>20230301</v>
      </c>
    </row>
    <row r="79" spans="1:17" x14ac:dyDescent="0.25">
      <c r="A79" t="s">
        <v>476</v>
      </c>
      <c r="B79" t="s">
        <v>477</v>
      </c>
      <c r="C79">
        <v>14</v>
      </c>
      <c r="D79">
        <v>20230301</v>
      </c>
      <c r="E79">
        <v>3</v>
      </c>
      <c r="F79">
        <v>433100</v>
      </c>
      <c r="G79" t="s">
        <v>411</v>
      </c>
      <c r="H79" t="s">
        <v>401</v>
      </c>
      <c r="I79" t="s">
        <v>402</v>
      </c>
      <c r="J79" t="s">
        <v>5870</v>
      </c>
      <c r="K79">
        <v>20230301</v>
      </c>
      <c r="L79" t="s">
        <v>534</v>
      </c>
      <c r="M79">
        <v>1108.68</v>
      </c>
      <c r="N79">
        <v>0</v>
      </c>
      <c r="O79" t="s">
        <v>19</v>
      </c>
      <c r="P79" t="s">
        <v>20</v>
      </c>
      <c r="Q79">
        <v>20230301</v>
      </c>
    </row>
    <row r="80" spans="1:17" x14ac:dyDescent="0.25">
      <c r="A80" t="s">
        <v>476</v>
      </c>
      <c r="B80" t="s">
        <v>477</v>
      </c>
      <c r="C80">
        <v>14</v>
      </c>
      <c r="D80">
        <v>20230301</v>
      </c>
      <c r="E80">
        <v>3</v>
      </c>
      <c r="F80">
        <v>512000</v>
      </c>
      <c r="G80" t="s">
        <v>428</v>
      </c>
      <c r="H80" t="s">
        <v>401</v>
      </c>
      <c r="I80" t="s">
        <v>402</v>
      </c>
      <c r="J80" t="s">
        <v>5870</v>
      </c>
      <c r="K80">
        <v>20230301</v>
      </c>
      <c r="L80" t="s">
        <v>534</v>
      </c>
      <c r="M80">
        <v>0</v>
      </c>
      <c r="N80">
        <v>1108.68</v>
      </c>
      <c r="O80" t="s">
        <v>19</v>
      </c>
      <c r="P80" t="s">
        <v>20</v>
      </c>
      <c r="Q80">
        <v>20230301</v>
      </c>
    </row>
    <row r="81" spans="1:17" x14ac:dyDescent="0.25">
      <c r="A81" t="s">
        <v>476</v>
      </c>
      <c r="B81" t="s">
        <v>477</v>
      </c>
      <c r="C81">
        <v>14</v>
      </c>
      <c r="D81">
        <v>20230301</v>
      </c>
      <c r="E81">
        <v>3</v>
      </c>
      <c r="F81">
        <v>401000</v>
      </c>
      <c r="G81" t="s">
        <v>41</v>
      </c>
      <c r="H81" t="s">
        <v>458</v>
      </c>
      <c r="I81" t="s">
        <v>459</v>
      </c>
      <c r="J81" t="s">
        <v>5869</v>
      </c>
      <c r="K81">
        <v>20230301</v>
      </c>
      <c r="L81" t="s">
        <v>2072</v>
      </c>
      <c r="M81">
        <v>669.6</v>
      </c>
      <c r="N81">
        <v>0</v>
      </c>
      <c r="O81" t="s">
        <v>19</v>
      </c>
      <c r="P81" t="s">
        <v>20</v>
      </c>
      <c r="Q81">
        <v>20230301</v>
      </c>
    </row>
    <row r="82" spans="1:17" x14ac:dyDescent="0.25">
      <c r="A82" t="s">
        <v>476</v>
      </c>
      <c r="B82" t="s">
        <v>477</v>
      </c>
      <c r="C82">
        <v>14</v>
      </c>
      <c r="D82">
        <v>20230301</v>
      </c>
      <c r="E82">
        <v>3</v>
      </c>
      <c r="F82">
        <v>512000</v>
      </c>
      <c r="G82" t="s">
        <v>428</v>
      </c>
      <c r="H82" t="s">
        <v>401</v>
      </c>
      <c r="I82" t="s">
        <v>402</v>
      </c>
      <c r="J82" t="s">
        <v>5869</v>
      </c>
      <c r="K82">
        <v>20230301</v>
      </c>
      <c r="L82" t="s">
        <v>2072</v>
      </c>
      <c r="M82">
        <v>0</v>
      </c>
      <c r="N82">
        <v>669.6</v>
      </c>
      <c r="O82" t="s">
        <v>19</v>
      </c>
      <c r="P82" t="s">
        <v>20</v>
      </c>
      <c r="Q82">
        <v>20230301</v>
      </c>
    </row>
    <row r="83" spans="1:17" x14ac:dyDescent="0.25">
      <c r="A83" t="s">
        <v>476</v>
      </c>
      <c r="B83" t="s">
        <v>477</v>
      </c>
      <c r="C83">
        <v>14</v>
      </c>
      <c r="D83">
        <v>20230301</v>
      </c>
      <c r="E83">
        <v>3</v>
      </c>
      <c r="F83">
        <v>433000</v>
      </c>
      <c r="G83" t="s">
        <v>410</v>
      </c>
      <c r="H83" t="s">
        <v>401</v>
      </c>
      <c r="I83" t="s">
        <v>402</v>
      </c>
      <c r="J83" t="s">
        <v>5868</v>
      </c>
      <c r="K83">
        <v>20230301</v>
      </c>
      <c r="L83" t="s">
        <v>530</v>
      </c>
      <c r="M83">
        <v>5557.43</v>
      </c>
      <c r="N83">
        <v>0</v>
      </c>
      <c r="O83" t="s">
        <v>19</v>
      </c>
      <c r="P83" t="s">
        <v>20</v>
      </c>
      <c r="Q83">
        <v>20230301</v>
      </c>
    </row>
    <row r="84" spans="1:17" x14ac:dyDescent="0.25">
      <c r="A84" t="s">
        <v>476</v>
      </c>
      <c r="B84" t="s">
        <v>477</v>
      </c>
      <c r="C84">
        <v>14</v>
      </c>
      <c r="D84">
        <v>20230301</v>
      </c>
      <c r="E84">
        <v>3</v>
      </c>
      <c r="F84">
        <v>512000</v>
      </c>
      <c r="G84" t="s">
        <v>428</v>
      </c>
      <c r="H84" t="s">
        <v>401</v>
      </c>
      <c r="I84" t="s">
        <v>402</v>
      </c>
      <c r="J84" t="s">
        <v>5868</v>
      </c>
      <c r="K84">
        <v>20230301</v>
      </c>
      <c r="L84" t="s">
        <v>530</v>
      </c>
      <c r="M84">
        <v>0</v>
      </c>
      <c r="N84">
        <v>5557.43</v>
      </c>
      <c r="O84" t="s">
        <v>19</v>
      </c>
      <c r="P84" t="s">
        <v>20</v>
      </c>
      <c r="Q84">
        <v>20230301</v>
      </c>
    </row>
    <row r="85" spans="1:17" x14ac:dyDescent="0.25">
      <c r="A85" t="s">
        <v>476</v>
      </c>
      <c r="B85" t="s">
        <v>477</v>
      </c>
      <c r="C85">
        <v>14</v>
      </c>
      <c r="D85">
        <v>20230302</v>
      </c>
      <c r="E85">
        <v>3</v>
      </c>
      <c r="F85">
        <v>468200</v>
      </c>
      <c r="G85" t="s">
        <v>421</v>
      </c>
      <c r="H85" t="s">
        <v>401</v>
      </c>
      <c r="I85" t="s">
        <v>402</v>
      </c>
      <c r="J85" t="s">
        <v>5867</v>
      </c>
      <c r="K85">
        <v>20230302</v>
      </c>
      <c r="L85" t="s">
        <v>422</v>
      </c>
      <c r="M85">
        <v>0</v>
      </c>
      <c r="N85">
        <v>106.25</v>
      </c>
      <c r="O85" t="s">
        <v>19</v>
      </c>
      <c r="P85" t="s">
        <v>20</v>
      </c>
      <c r="Q85">
        <v>20230302</v>
      </c>
    </row>
    <row r="86" spans="1:17" x14ac:dyDescent="0.25">
      <c r="A86" t="s">
        <v>476</v>
      </c>
      <c r="B86" t="s">
        <v>477</v>
      </c>
      <c r="C86">
        <v>14</v>
      </c>
      <c r="D86">
        <v>20230302</v>
      </c>
      <c r="E86">
        <v>3</v>
      </c>
      <c r="F86">
        <v>512000</v>
      </c>
      <c r="G86" t="s">
        <v>428</v>
      </c>
      <c r="H86" t="s">
        <v>401</v>
      </c>
      <c r="I86" t="s">
        <v>402</v>
      </c>
      <c r="J86" t="s">
        <v>5867</v>
      </c>
      <c r="K86">
        <v>20230302</v>
      </c>
      <c r="L86" t="s">
        <v>422</v>
      </c>
      <c r="M86">
        <v>106.25</v>
      </c>
      <c r="N86">
        <v>0</v>
      </c>
      <c r="O86" t="s">
        <v>19</v>
      </c>
      <c r="P86" t="s">
        <v>20</v>
      </c>
      <c r="Q86">
        <v>20230302</v>
      </c>
    </row>
    <row r="87" spans="1:17" x14ac:dyDescent="0.25">
      <c r="A87" t="s">
        <v>476</v>
      </c>
      <c r="B87" t="s">
        <v>477</v>
      </c>
      <c r="C87">
        <v>14</v>
      </c>
      <c r="D87">
        <v>20230303</v>
      </c>
      <c r="E87">
        <v>3</v>
      </c>
      <c r="F87">
        <v>627000</v>
      </c>
      <c r="G87" t="s">
        <v>480</v>
      </c>
      <c r="H87" t="s">
        <v>401</v>
      </c>
      <c r="I87" t="s">
        <v>402</v>
      </c>
      <c r="J87" t="s">
        <v>5866</v>
      </c>
      <c r="K87">
        <v>20230303</v>
      </c>
      <c r="L87" t="s">
        <v>4488</v>
      </c>
      <c r="M87">
        <v>49</v>
      </c>
      <c r="N87">
        <v>0</v>
      </c>
      <c r="O87" t="s">
        <v>19</v>
      </c>
      <c r="P87" t="s">
        <v>20</v>
      </c>
      <c r="Q87">
        <v>20230303</v>
      </c>
    </row>
    <row r="88" spans="1:17" x14ac:dyDescent="0.25">
      <c r="A88" t="s">
        <v>476</v>
      </c>
      <c r="B88" t="s">
        <v>477</v>
      </c>
      <c r="C88">
        <v>14</v>
      </c>
      <c r="D88">
        <v>20230303</v>
      </c>
      <c r="E88">
        <v>3</v>
      </c>
      <c r="F88">
        <v>512000</v>
      </c>
      <c r="G88" t="s">
        <v>428</v>
      </c>
      <c r="H88" t="s">
        <v>401</v>
      </c>
      <c r="I88" t="s">
        <v>402</v>
      </c>
      <c r="J88" t="s">
        <v>5866</v>
      </c>
      <c r="K88">
        <v>20230303</v>
      </c>
      <c r="L88" t="s">
        <v>4488</v>
      </c>
      <c r="M88">
        <v>0</v>
      </c>
      <c r="N88">
        <v>49</v>
      </c>
      <c r="O88" t="s">
        <v>19</v>
      </c>
      <c r="P88" t="s">
        <v>20</v>
      </c>
      <c r="Q88">
        <v>20230303</v>
      </c>
    </row>
    <row r="89" spans="1:17" x14ac:dyDescent="0.25">
      <c r="A89" t="s">
        <v>476</v>
      </c>
      <c r="B89" t="s">
        <v>477</v>
      </c>
      <c r="C89">
        <v>14</v>
      </c>
      <c r="D89">
        <v>20230303</v>
      </c>
      <c r="E89">
        <v>3</v>
      </c>
      <c r="F89">
        <v>627000</v>
      </c>
      <c r="G89" t="s">
        <v>480</v>
      </c>
      <c r="H89" t="s">
        <v>401</v>
      </c>
      <c r="I89" t="s">
        <v>402</v>
      </c>
      <c r="J89" t="s">
        <v>5865</v>
      </c>
      <c r="K89">
        <v>20230303</v>
      </c>
      <c r="L89" t="s">
        <v>4488</v>
      </c>
      <c r="M89">
        <v>11.96</v>
      </c>
      <c r="N89">
        <v>0</v>
      </c>
      <c r="O89" t="s">
        <v>19</v>
      </c>
      <c r="P89" t="s">
        <v>20</v>
      </c>
      <c r="Q89">
        <v>20230303</v>
      </c>
    </row>
    <row r="90" spans="1:17" x14ac:dyDescent="0.25">
      <c r="A90" t="s">
        <v>476</v>
      </c>
      <c r="B90" t="s">
        <v>477</v>
      </c>
      <c r="C90">
        <v>14</v>
      </c>
      <c r="D90">
        <v>20230303</v>
      </c>
      <c r="E90">
        <v>3</v>
      </c>
      <c r="F90">
        <v>512000</v>
      </c>
      <c r="G90" t="s">
        <v>428</v>
      </c>
      <c r="H90" t="s">
        <v>401</v>
      </c>
      <c r="I90" t="s">
        <v>402</v>
      </c>
      <c r="J90" t="s">
        <v>5865</v>
      </c>
      <c r="K90">
        <v>20230303</v>
      </c>
      <c r="L90" t="s">
        <v>4488</v>
      </c>
      <c r="M90">
        <v>0</v>
      </c>
      <c r="N90">
        <v>11.96</v>
      </c>
      <c r="O90" t="s">
        <v>19</v>
      </c>
      <c r="P90" t="s">
        <v>20</v>
      </c>
      <c r="Q90">
        <v>20230303</v>
      </c>
    </row>
    <row r="91" spans="1:17" x14ac:dyDescent="0.25">
      <c r="A91" t="s">
        <v>476</v>
      </c>
      <c r="B91" t="s">
        <v>477</v>
      </c>
      <c r="C91">
        <v>14</v>
      </c>
      <c r="D91">
        <v>20230303</v>
      </c>
      <c r="E91">
        <v>3</v>
      </c>
      <c r="F91">
        <v>468200</v>
      </c>
      <c r="G91" t="s">
        <v>421</v>
      </c>
      <c r="H91" t="s">
        <v>401</v>
      </c>
      <c r="I91" t="s">
        <v>402</v>
      </c>
      <c r="J91" t="s">
        <v>5864</v>
      </c>
      <c r="K91">
        <v>20230303</v>
      </c>
      <c r="L91" t="s">
        <v>422</v>
      </c>
      <c r="M91">
        <v>0</v>
      </c>
      <c r="N91">
        <v>622.66</v>
      </c>
      <c r="O91" t="s">
        <v>19</v>
      </c>
      <c r="P91" t="s">
        <v>20</v>
      </c>
      <c r="Q91">
        <v>20230303</v>
      </c>
    </row>
    <row r="92" spans="1:17" x14ac:dyDescent="0.25">
      <c r="A92" t="s">
        <v>476</v>
      </c>
      <c r="B92" t="s">
        <v>477</v>
      </c>
      <c r="C92">
        <v>14</v>
      </c>
      <c r="D92">
        <v>20230303</v>
      </c>
      <c r="E92">
        <v>3</v>
      </c>
      <c r="F92">
        <v>512000</v>
      </c>
      <c r="G92" t="s">
        <v>428</v>
      </c>
      <c r="H92" t="s">
        <v>401</v>
      </c>
      <c r="I92" t="s">
        <v>402</v>
      </c>
      <c r="J92" t="s">
        <v>5864</v>
      </c>
      <c r="K92">
        <v>20230303</v>
      </c>
      <c r="L92" t="s">
        <v>422</v>
      </c>
      <c r="M92">
        <v>622.66</v>
      </c>
      <c r="N92">
        <v>0</v>
      </c>
      <c r="O92" t="s">
        <v>19</v>
      </c>
      <c r="P92" t="s">
        <v>20</v>
      </c>
      <c r="Q92">
        <v>20230303</v>
      </c>
    </row>
    <row r="93" spans="1:17" x14ac:dyDescent="0.25">
      <c r="A93" t="s">
        <v>476</v>
      </c>
      <c r="B93" t="s">
        <v>477</v>
      </c>
      <c r="C93">
        <v>14</v>
      </c>
      <c r="D93">
        <v>20230306</v>
      </c>
      <c r="E93">
        <v>3</v>
      </c>
      <c r="F93">
        <v>401000</v>
      </c>
      <c r="G93" t="s">
        <v>41</v>
      </c>
      <c r="H93" t="s">
        <v>225</v>
      </c>
      <c r="I93" t="s">
        <v>226</v>
      </c>
      <c r="J93" t="s">
        <v>5863</v>
      </c>
      <c r="K93">
        <v>20230306</v>
      </c>
      <c r="L93" t="s">
        <v>488</v>
      </c>
      <c r="M93">
        <v>475.4</v>
      </c>
      <c r="N93">
        <v>0</v>
      </c>
      <c r="O93" t="s">
        <v>19</v>
      </c>
      <c r="P93" t="s">
        <v>20</v>
      </c>
      <c r="Q93">
        <v>20230306</v>
      </c>
    </row>
    <row r="94" spans="1:17" x14ac:dyDescent="0.25">
      <c r="A94" t="s">
        <v>476</v>
      </c>
      <c r="B94" t="s">
        <v>477</v>
      </c>
      <c r="C94">
        <v>14</v>
      </c>
      <c r="D94">
        <v>20230306</v>
      </c>
      <c r="E94">
        <v>3</v>
      </c>
      <c r="F94">
        <v>512000</v>
      </c>
      <c r="G94" t="s">
        <v>428</v>
      </c>
      <c r="H94" t="s">
        <v>401</v>
      </c>
      <c r="I94" t="s">
        <v>402</v>
      </c>
      <c r="J94" t="s">
        <v>5863</v>
      </c>
      <c r="K94">
        <v>20230306</v>
      </c>
      <c r="L94" t="s">
        <v>488</v>
      </c>
      <c r="M94">
        <v>0</v>
      </c>
      <c r="N94">
        <v>475.4</v>
      </c>
      <c r="O94" t="s">
        <v>19</v>
      </c>
      <c r="P94" t="s">
        <v>20</v>
      </c>
      <c r="Q94">
        <v>20230306</v>
      </c>
    </row>
    <row r="95" spans="1:17" x14ac:dyDescent="0.25">
      <c r="A95" t="s">
        <v>476</v>
      </c>
      <c r="B95" t="s">
        <v>477</v>
      </c>
      <c r="C95">
        <v>15</v>
      </c>
      <c r="D95">
        <v>20230307</v>
      </c>
      <c r="E95">
        <v>3</v>
      </c>
      <c r="F95">
        <v>468725</v>
      </c>
      <c r="G95" t="s">
        <v>424</v>
      </c>
      <c r="H95" t="s">
        <v>401</v>
      </c>
      <c r="I95" t="s">
        <v>402</v>
      </c>
      <c r="J95" t="s">
        <v>5862</v>
      </c>
      <c r="K95">
        <v>20230307</v>
      </c>
      <c r="L95" t="s">
        <v>2403</v>
      </c>
      <c r="M95">
        <v>0</v>
      </c>
      <c r="N95">
        <v>2666.64</v>
      </c>
      <c r="O95" t="s">
        <v>19</v>
      </c>
      <c r="P95" t="s">
        <v>20</v>
      </c>
      <c r="Q95">
        <v>20230307</v>
      </c>
    </row>
    <row r="96" spans="1:17" x14ac:dyDescent="0.25">
      <c r="A96" t="s">
        <v>476</v>
      </c>
      <c r="B96" t="s">
        <v>477</v>
      </c>
      <c r="C96">
        <v>15</v>
      </c>
      <c r="D96">
        <v>20230307</v>
      </c>
      <c r="E96">
        <v>3</v>
      </c>
      <c r="F96">
        <v>512000</v>
      </c>
      <c r="G96" t="s">
        <v>428</v>
      </c>
      <c r="H96" t="s">
        <v>401</v>
      </c>
      <c r="I96" t="s">
        <v>402</v>
      </c>
      <c r="J96" t="s">
        <v>5862</v>
      </c>
      <c r="K96">
        <v>20230307</v>
      </c>
      <c r="L96" t="s">
        <v>2403</v>
      </c>
      <c r="M96">
        <v>2666.64</v>
      </c>
      <c r="N96">
        <v>0</v>
      </c>
      <c r="O96" t="s">
        <v>19</v>
      </c>
      <c r="P96" t="s">
        <v>20</v>
      </c>
      <c r="Q96">
        <v>20230307</v>
      </c>
    </row>
    <row r="97" spans="1:17" x14ac:dyDescent="0.25">
      <c r="A97" t="s">
        <v>476</v>
      </c>
      <c r="B97" t="s">
        <v>477</v>
      </c>
      <c r="C97">
        <v>16</v>
      </c>
      <c r="D97">
        <v>20230308</v>
      </c>
      <c r="E97">
        <v>3</v>
      </c>
      <c r="F97">
        <v>428600</v>
      </c>
      <c r="G97" t="s">
        <v>407</v>
      </c>
      <c r="H97" t="s">
        <v>401</v>
      </c>
      <c r="I97" t="s">
        <v>402</v>
      </c>
      <c r="J97" t="s">
        <v>5861</v>
      </c>
      <c r="K97">
        <v>20230308</v>
      </c>
      <c r="L97" t="s">
        <v>5860</v>
      </c>
      <c r="M97">
        <v>0</v>
      </c>
      <c r="N97">
        <v>7888.38</v>
      </c>
      <c r="O97" t="s">
        <v>19</v>
      </c>
      <c r="P97" t="s">
        <v>20</v>
      </c>
      <c r="Q97">
        <v>20230308</v>
      </c>
    </row>
    <row r="98" spans="1:17" x14ac:dyDescent="0.25">
      <c r="A98" t="s">
        <v>476</v>
      </c>
      <c r="B98" t="s">
        <v>477</v>
      </c>
      <c r="C98">
        <v>16</v>
      </c>
      <c r="D98">
        <v>20230308</v>
      </c>
      <c r="E98">
        <v>3</v>
      </c>
      <c r="F98">
        <v>512000</v>
      </c>
      <c r="G98" t="s">
        <v>428</v>
      </c>
      <c r="H98" t="s">
        <v>401</v>
      </c>
      <c r="I98" t="s">
        <v>402</v>
      </c>
      <c r="J98" t="s">
        <v>5861</v>
      </c>
      <c r="K98">
        <v>20230308</v>
      </c>
      <c r="L98" t="s">
        <v>5860</v>
      </c>
      <c r="M98">
        <v>7888.38</v>
      </c>
      <c r="N98">
        <v>0</v>
      </c>
      <c r="O98" t="s">
        <v>19</v>
      </c>
      <c r="P98" t="s">
        <v>20</v>
      </c>
      <c r="Q98">
        <v>20230308</v>
      </c>
    </row>
    <row r="99" spans="1:17" x14ac:dyDescent="0.25">
      <c r="A99" t="s">
        <v>476</v>
      </c>
      <c r="B99" t="s">
        <v>477</v>
      </c>
      <c r="C99">
        <v>16</v>
      </c>
      <c r="D99">
        <v>20230309</v>
      </c>
      <c r="E99">
        <v>3</v>
      </c>
      <c r="F99">
        <v>468200</v>
      </c>
      <c r="G99" t="s">
        <v>421</v>
      </c>
      <c r="H99" t="s">
        <v>401</v>
      </c>
      <c r="I99" t="s">
        <v>402</v>
      </c>
      <c r="J99" t="s">
        <v>5859</v>
      </c>
      <c r="K99">
        <v>20230309</v>
      </c>
      <c r="L99" t="s">
        <v>422</v>
      </c>
      <c r="M99">
        <v>0</v>
      </c>
      <c r="N99">
        <v>476.42</v>
      </c>
      <c r="O99" t="s">
        <v>19</v>
      </c>
      <c r="P99" t="s">
        <v>20</v>
      </c>
      <c r="Q99">
        <v>20230309</v>
      </c>
    </row>
    <row r="100" spans="1:17" x14ac:dyDescent="0.25">
      <c r="A100" t="s">
        <v>476</v>
      </c>
      <c r="B100" t="s">
        <v>477</v>
      </c>
      <c r="C100">
        <v>16</v>
      </c>
      <c r="D100">
        <v>20230309</v>
      </c>
      <c r="E100">
        <v>3</v>
      </c>
      <c r="F100">
        <v>512000</v>
      </c>
      <c r="G100" t="s">
        <v>428</v>
      </c>
      <c r="H100" t="s">
        <v>401</v>
      </c>
      <c r="I100" t="s">
        <v>402</v>
      </c>
      <c r="J100" t="s">
        <v>5859</v>
      </c>
      <c r="K100">
        <v>20230309</v>
      </c>
      <c r="L100" t="s">
        <v>422</v>
      </c>
      <c r="M100">
        <v>476.42</v>
      </c>
      <c r="N100">
        <v>0</v>
      </c>
      <c r="O100" t="s">
        <v>19</v>
      </c>
      <c r="P100" t="s">
        <v>20</v>
      </c>
      <c r="Q100">
        <v>20230309</v>
      </c>
    </row>
    <row r="101" spans="1:17" x14ac:dyDescent="0.25">
      <c r="A101" t="s">
        <v>476</v>
      </c>
      <c r="B101" t="s">
        <v>477</v>
      </c>
      <c r="C101">
        <v>16</v>
      </c>
      <c r="D101">
        <v>20230310</v>
      </c>
      <c r="E101">
        <v>3</v>
      </c>
      <c r="F101">
        <v>580000</v>
      </c>
      <c r="G101" t="s">
        <v>532</v>
      </c>
      <c r="H101" t="s">
        <v>401</v>
      </c>
      <c r="I101" t="s">
        <v>402</v>
      </c>
      <c r="J101" t="s">
        <v>5858</v>
      </c>
      <c r="K101">
        <v>20230310</v>
      </c>
      <c r="L101" t="s">
        <v>5857</v>
      </c>
      <c r="M101">
        <v>0</v>
      </c>
      <c r="N101">
        <v>30000</v>
      </c>
      <c r="O101" t="s">
        <v>19</v>
      </c>
      <c r="P101" t="s">
        <v>20</v>
      </c>
      <c r="Q101">
        <v>20230310</v>
      </c>
    </row>
    <row r="102" spans="1:17" x14ac:dyDescent="0.25">
      <c r="A102" t="s">
        <v>476</v>
      </c>
      <c r="B102" t="s">
        <v>477</v>
      </c>
      <c r="C102">
        <v>16</v>
      </c>
      <c r="D102">
        <v>20230310</v>
      </c>
      <c r="E102">
        <v>3</v>
      </c>
      <c r="F102">
        <v>512000</v>
      </c>
      <c r="G102" t="s">
        <v>428</v>
      </c>
      <c r="H102" t="s">
        <v>401</v>
      </c>
      <c r="I102" t="s">
        <v>402</v>
      </c>
      <c r="J102" t="s">
        <v>5858</v>
      </c>
      <c r="K102">
        <v>20230310</v>
      </c>
      <c r="L102" t="s">
        <v>5857</v>
      </c>
      <c r="M102">
        <v>30000</v>
      </c>
      <c r="N102">
        <v>0</v>
      </c>
      <c r="O102" t="s">
        <v>19</v>
      </c>
      <c r="P102" t="s">
        <v>20</v>
      </c>
      <c r="Q102">
        <v>20230310</v>
      </c>
    </row>
    <row r="103" spans="1:17" x14ac:dyDescent="0.25">
      <c r="A103" t="s">
        <v>476</v>
      </c>
      <c r="B103" t="s">
        <v>477</v>
      </c>
      <c r="C103">
        <v>16</v>
      </c>
      <c r="D103">
        <v>20230310</v>
      </c>
      <c r="E103">
        <v>3</v>
      </c>
      <c r="F103">
        <v>468200</v>
      </c>
      <c r="G103" t="s">
        <v>421</v>
      </c>
      <c r="H103" t="s">
        <v>401</v>
      </c>
      <c r="I103" t="s">
        <v>402</v>
      </c>
      <c r="J103" t="s">
        <v>5856</v>
      </c>
      <c r="K103">
        <v>20230310</v>
      </c>
      <c r="L103" t="s">
        <v>422</v>
      </c>
      <c r="M103">
        <v>0</v>
      </c>
      <c r="N103">
        <v>109.2</v>
      </c>
      <c r="O103" t="s">
        <v>19</v>
      </c>
      <c r="P103" t="s">
        <v>20</v>
      </c>
      <c r="Q103">
        <v>20230310</v>
      </c>
    </row>
    <row r="104" spans="1:17" x14ac:dyDescent="0.25">
      <c r="A104" t="s">
        <v>476</v>
      </c>
      <c r="B104" t="s">
        <v>477</v>
      </c>
      <c r="C104">
        <v>16</v>
      </c>
      <c r="D104">
        <v>20230310</v>
      </c>
      <c r="E104">
        <v>3</v>
      </c>
      <c r="F104">
        <v>512000</v>
      </c>
      <c r="G104" t="s">
        <v>428</v>
      </c>
      <c r="H104" t="s">
        <v>401</v>
      </c>
      <c r="I104" t="s">
        <v>402</v>
      </c>
      <c r="J104" t="s">
        <v>5856</v>
      </c>
      <c r="K104">
        <v>20230310</v>
      </c>
      <c r="L104" t="s">
        <v>422</v>
      </c>
      <c r="M104">
        <v>109.2</v>
      </c>
      <c r="N104">
        <v>0</v>
      </c>
      <c r="O104" t="s">
        <v>19</v>
      </c>
      <c r="P104" t="s">
        <v>20</v>
      </c>
      <c r="Q104">
        <v>20230310</v>
      </c>
    </row>
    <row r="105" spans="1:17" x14ac:dyDescent="0.25">
      <c r="A105" t="s">
        <v>476</v>
      </c>
      <c r="B105" t="s">
        <v>477</v>
      </c>
      <c r="C105">
        <v>17</v>
      </c>
      <c r="D105">
        <v>20230313</v>
      </c>
      <c r="E105">
        <v>3</v>
      </c>
      <c r="F105">
        <v>445030</v>
      </c>
      <c r="G105" t="s">
        <v>415</v>
      </c>
      <c r="H105" t="s">
        <v>401</v>
      </c>
      <c r="I105" t="s">
        <v>402</v>
      </c>
      <c r="J105" t="s">
        <v>5854</v>
      </c>
      <c r="K105">
        <v>20230313</v>
      </c>
      <c r="L105" t="s">
        <v>5855</v>
      </c>
      <c r="M105">
        <v>0</v>
      </c>
      <c r="N105">
        <v>66666.06</v>
      </c>
      <c r="O105" t="s">
        <v>19</v>
      </c>
      <c r="P105" t="s">
        <v>20</v>
      </c>
      <c r="Q105">
        <v>20230313</v>
      </c>
    </row>
    <row r="106" spans="1:17" x14ac:dyDescent="0.25">
      <c r="A106" t="s">
        <v>476</v>
      </c>
      <c r="B106" t="s">
        <v>477</v>
      </c>
      <c r="C106">
        <v>17</v>
      </c>
      <c r="D106">
        <v>20230313</v>
      </c>
      <c r="E106">
        <v>3</v>
      </c>
      <c r="F106">
        <v>445020</v>
      </c>
      <c r="G106" t="s">
        <v>414</v>
      </c>
      <c r="H106" t="s">
        <v>401</v>
      </c>
      <c r="I106" t="s">
        <v>402</v>
      </c>
      <c r="J106" t="s">
        <v>5854</v>
      </c>
      <c r="K106">
        <v>20230313</v>
      </c>
      <c r="L106" t="s">
        <v>5855</v>
      </c>
      <c r="M106">
        <v>0</v>
      </c>
      <c r="N106">
        <v>79819.259999999995</v>
      </c>
      <c r="O106" t="s">
        <v>19</v>
      </c>
      <c r="P106" t="s">
        <v>20</v>
      </c>
      <c r="Q106">
        <v>20230313</v>
      </c>
    </row>
    <row r="107" spans="1:17" x14ac:dyDescent="0.25">
      <c r="A107" t="s">
        <v>476</v>
      </c>
      <c r="B107" t="s">
        <v>477</v>
      </c>
      <c r="C107">
        <v>17</v>
      </c>
      <c r="D107">
        <v>20230313</v>
      </c>
      <c r="E107">
        <v>3</v>
      </c>
      <c r="F107">
        <v>512000</v>
      </c>
      <c r="G107" t="s">
        <v>428</v>
      </c>
      <c r="H107" t="s">
        <v>401</v>
      </c>
      <c r="I107" t="s">
        <v>402</v>
      </c>
      <c r="J107" t="s">
        <v>5854</v>
      </c>
      <c r="K107">
        <v>20230313</v>
      </c>
      <c r="L107" t="s">
        <v>5853</v>
      </c>
      <c r="M107">
        <v>146485.32</v>
      </c>
      <c r="N107">
        <v>0</v>
      </c>
      <c r="O107" t="s">
        <v>19</v>
      </c>
      <c r="P107" t="s">
        <v>20</v>
      </c>
      <c r="Q107">
        <v>20230313</v>
      </c>
    </row>
    <row r="108" spans="1:17" x14ac:dyDescent="0.25">
      <c r="A108" t="s">
        <v>476</v>
      </c>
      <c r="B108" t="s">
        <v>477</v>
      </c>
      <c r="C108">
        <v>18</v>
      </c>
      <c r="D108">
        <v>20230313</v>
      </c>
      <c r="E108">
        <v>3</v>
      </c>
      <c r="F108">
        <v>437000</v>
      </c>
      <c r="G108" t="s">
        <v>430</v>
      </c>
      <c r="H108" t="s">
        <v>401</v>
      </c>
      <c r="I108" t="s">
        <v>402</v>
      </c>
      <c r="J108" t="s">
        <v>5852</v>
      </c>
      <c r="K108">
        <v>20230313</v>
      </c>
      <c r="L108" t="s">
        <v>497</v>
      </c>
      <c r="M108">
        <v>1555.92</v>
      </c>
      <c r="N108">
        <v>0</v>
      </c>
      <c r="O108" t="s">
        <v>19</v>
      </c>
      <c r="P108" t="s">
        <v>20</v>
      </c>
      <c r="Q108">
        <v>20230313</v>
      </c>
    </row>
    <row r="109" spans="1:17" x14ac:dyDescent="0.25">
      <c r="A109" t="s">
        <v>476</v>
      </c>
      <c r="B109" t="s">
        <v>477</v>
      </c>
      <c r="C109">
        <v>18</v>
      </c>
      <c r="D109">
        <v>20230313</v>
      </c>
      <c r="E109">
        <v>3</v>
      </c>
      <c r="F109">
        <v>512000</v>
      </c>
      <c r="G109" t="s">
        <v>428</v>
      </c>
      <c r="H109" t="s">
        <v>401</v>
      </c>
      <c r="I109" t="s">
        <v>402</v>
      </c>
      <c r="J109" t="s">
        <v>5852</v>
      </c>
      <c r="K109">
        <v>20230313</v>
      </c>
      <c r="L109" t="s">
        <v>497</v>
      </c>
      <c r="M109">
        <v>0</v>
      </c>
      <c r="N109">
        <v>1555.92</v>
      </c>
      <c r="O109" t="s">
        <v>19</v>
      </c>
      <c r="P109" t="s">
        <v>20</v>
      </c>
      <c r="Q109">
        <v>20230313</v>
      </c>
    </row>
    <row r="110" spans="1:17" x14ac:dyDescent="0.25">
      <c r="A110" t="s">
        <v>476</v>
      </c>
      <c r="B110" t="s">
        <v>477</v>
      </c>
      <c r="C110">
        <v>19</v>
      </c>
      <c r="D110">
        <v>20230316</v>
      </c>
      <c r="E110">
        <v>3</v>
      </c>
      <c r="F110">
        <v>431000</v>
      </c>
      <c r="G110" t="s">
        <v>408</v>
      </c>
      <c r="H110" t="s">
        <v>401</v>
      </c>
      <c r="I110" t="s">
        <v>402</v>
      </c>
      <c r="J110" t="s">
        <v>5851</v>
      </c>
      <c r="K110">
        <v>20230316</v>
      </c>
      <c r="L110" t="s">
        <v>513</v>
      </c>
      <c r="M110">
        <v>25573</v>
      </c>
      <c r="N110">
        <v>0</v>
      </c>
      <c r="O110" t="s">
        <v>19</v>
      </c>
      <c r="P110" t="s">
        <v>20</v>
      </c>
      <c r="Q110">
        <v>20230316</v>
      </c>
    </row>
    <row r="111" spans="1:17" x14ac:dyDescent="0.25">
      <c r="A111" t="s">
        <v>476</v>
      </c>
      <c r="B111" t="s">
        <v>477</v>
      </c>
      <c r="C111">
        <v>19</v>
      </c>
      <c r="D111">
        <v>20230316</v>
      </c>
      <c r="E111">
        <v>3</v>
      </c>
      <c r="F111">
        <v>512000</v>
      </c>
      <c r="G111" t="s">
        <v>428</v>
      </c>
      <c r="H111" t="s">
        <v>401</v>
      </c>
      <c r="I111" t="s">
        <v>402</v>
      </c>
      <c r="J111" t="s">
        <v>5851</v>
      </c>
      <c r="K111">
        <v>20230316</v>
      </c>
      <c r="L111" t="s">
        <v>513</v>
      </c>
      <c r="M111">
        <v>0</v>
      </c>
      <c r="N111">
        <v>25573</v>
      </c>
      <c r="O111" t="s">
        <v>19</v>
      </c>
      <c r="P111" t="s">
        <v>20</v>
      </c>
      <c r="Q111">
        <v>20230316</v>
      </c>
    </row>
    <row r="112" spans="1:17" x14ac:dyDescent="0.25">
      <c r="A112" t="s">
        <v>476</v>
      </c>
      <c r="B112" t="s">
        <v>477</v>
      </c>
      <c r="C112">
        <v>19</v>
      </c>
      <c r="D112">
        <v>20230316</v>
      </c>
      <c r="E112">
        <v>3</v>
      </c>
      <c r="F112">
        <v>445051</v>
      </c>
      <c r="G112" t="s">
        <v>417</v>
      </c>
      <c r="H112" t="s">
        <v>401</v>
      </c>
      <c r="I112" t="s">
        <v>402</v>
      </c>
      <c r="J112" t="s">
        <v>5850</v>
      </c>
      <c r="K112">
        <v>20230316</v>
      </c>
      <c r="L112" t="s">
        <v>5849</v>
      </c>
      <c r="M112">
        <v>0</v>
      </c>
      <c r="N112">
        <v>10316.34</v>
      </c>
      <c r="O112" t="s">
        <v>19</v>
      </c>
      <c r="P112" t="s">
        <v>20</v>
      </c>
      <c r="Q112">
        <v>20230316</v>
      </c>
    </row>
    <row r="113" spans="1:17" x14ac:dyDescent="0.25">
      <c r="A113" t="s">
        <v>476</v>
      </c>
      <c r="B113" t="s">
        <v>477</v>
      </c>
      <c r="C113">
        <v>19</v>
      </c>
      <c r="D113">
        <v>20230316</v>
      </c>
      <c r="E113">
        <v>3</v>
      </c>
      <c r="F113">
        <v>445051</v>
      </c>
      <c r="G113" t="s">
        <v>417</v>
      </c>
      <c r="H113" t="s">
        <v>401</v>
      </c>
      <c r="I113" t="s">
        <v>402</v>
      </c>
      <c r="J113" t="s">
        <v>5848</v>
      </c>
      <c r="K113">
        <v>20230316</v>
      </c>
      <c r="L113" t="s">
        <v>5847</v>
      </c>
      <c r="M113">
        <v>0</v>
      </c>
      <c r="N113">
        <v>10316.34</v>
      </c>
      <c r="O113" t="s">
        <v>19</v>
      </c>
      <c r="P113" t="s">
        <v>20</v>
      </c>
      <c r="Q113">
        <v>20230316</v>
      </c>
    </row>
    <row r="114" spans="1:17" x14ac:dyDescent="0.25">
      <c r="A114" t="s">
        <v>476</v>
      </c>
      <c r="B114" t="s">
        <v>477</v>
      </c>
      <c r="C114">
        <v>19</v>
      </c>
      <c r="D114">
        <v>20230316</v>
      </c>
      <c r="E114">
        <v>3</v>
      </c>
      <c r="F114">
        <v>512000</v>
      </c>
      <c r="G114" t="s">
        <v>428</v>
      </c>
      <c r="H114" t="s">
        <v>401</v>
      </c>
      <c r="I114" t="s">
        <v>402</v>
      </c>
      <c r="J114" t="s">
        <v>5848</v>
      </c>
      <c r="K114">
        <v>20230316</v>
      </c>
      <c r="L114" t="s">
        <v>5847</v>
      </c>
      <c r="M114">
        <v>20632.68</v>
      </c>
      <c r="N114">
        <v>0</v>
      </c>
      <c r="O114" t="s">
        <v>19</v>
      </c>
      <c r="P114" t="s">
        <v>20</v>
      </c>
      <c r="Q114">
        <v>20230316</v>
      </c>
    </row>
    <row r="115" spans="1:17" x14ac:dyDescent="0.25">
      <c r="A115" t="s">
        <v>476</v>
      </c>
      <c r="B115" t="s">
        <v>477</v>
      </c>
      <c r="C115">
        <v>20</v>
      </c>
      <c r="D115">
        <v>20230316</v>
      </c>
      <c r="E115">
        <v>3</v>
      </c>
      <c r="F115">
        <v>468200</v>
      </c>
      <c r="G115" t="s">
        <v>421</v>
      </c>
      <c r="H115" t="s">
        <v>401</v>
      </c>
      <c r="I115" t="s">
        <v>402</v>
      </c>
      <c r="J115" t="s">
        <v>5846</v>
      </c>
      <c r="K115">
        <v>20230316</v>
      </c>
      <c r="L115" t="s">
        <v>422</v>
      </c>
      <c r="M115">
        <v>0</v>
      </c>
      <c r="N115">
        <v>233.9</v>
      </c>
      <c r="O115" t="s">
        <v>19</v>
      </c>
      <c r="P115" t="s">
        <v>20</v>
      </c>
      <c r="Q115">
        <v>20230316</v>
      </c>
    </row>
    <row r="116" spans="1:17" x14ac:dyDescent="0.25">
      <c r="A116" t="s">
        <v>476</v>
      </c>
      <c r="B116" t="s">
        <v>477</v>
      </c>
      <c r="C116">
        <v>20</v>
      </c>
      <c r="D116">
        <v>20230316</v>
      </c>
      <c r="E116">
        <v>3</v>
      </c>
      <c r="F116">
        <v>512000</v>
      </c>
      <c r="G116" t="s">
        <v>428</v>
      </c>
      <c r="H116" t="s">
        <v>401</v>
      </c>
      <c r="I116" t="s">
        <v>402</v>
      </c>
      <c r="J116" t="s">
        <v>5846</v>
      </c>
      <c r="K116">
        <v>20230316</v>
      </c>
      <c r="L116" t="s">
        <v>422</v>
      </c>
      <c r="M116">
        <v>233.9</v>
      </c>
      <c r="N116">
        <v>0</v>
      </c>
      <c r="O116" t="s">
        <v>19</v>
      </c>
      <c r="P116" t="s">
        <v>20</v>
      </c>
      <c r="Q116">
        <v>20230316</v>
      </c>
    </row>
    <row r="117" spans="1:17" x14ac:dyDescent="0.25">
      <c r="A117" t="s">
        <v>476</v>
      </c>
      <c r="B117" t="s">
        <v>477</v>
      </c>
      <c r="C117">
        <v>20</v>
      </c>
      <c r="D117">
        <v>20230316</v>
      </c>
      <c r="E117">
        <v>3</v>
      </c>
      <c r="F117">
        <v>401000</v>
      </c>
      <c r="G117" t="s">
        <v>41</v>
      </c>
      <c r="H117" t="s">
        <v>5409</v>
      </c>
      <c r="I117" t="s">
        <v>5410</v>
      </c>
      <c r="J117" t="s">
        <v>5845</v>
      </c>
      <c r="K117">
        <v>20230316</v>
      </c>
      <c r="L117" t="s">
        <v>5844</v>
      </c>
      <c r="M117">
        <v>0</v>
      </c>
      <c r="N117">
        <v>688.5</v>
      </c>
      <c r="O117" t="s">
        <v>19</v>
      </c>
      <c r="P117" t="s">
        <v>20</v>
      </c>
      <c r="Q117">
        <v>20230316</v>
      </c>
    </row>
    <row r="118" spans="1:17" x14ac:dyDescent="0.25">
      <c r="A118" t="s">
        <v>476</v>
      </c>
      <c r="B118" t="s">
        <v>477</v>
      </c>
      <c r="C118">
        <v>20</v>
      </c>
      <c r="D118">
        <v>20230316</v>
      </c>
      <c r="E118">
        <v>3</v>
      </c>
      <c r="F118">
        <v>512000</v>
      </c>
      <c r="G118" t="s">
        <v>428</v>
      </c>
      <c r="H118" t="s">
        <v>401</v>
      </c>
      <c r="I118" t="s">
        <v>402</v>
      </c>
      <c r="J118" t="s">
        <v>5845</v>
      </c>
      <c r="K118">
        <v>20230316</v>
      </c>
      <c r="L118" t="s">
        <v>5844</v>
      </c>
      <c r="M118">
        <v>688.5</v>
      </c>
      <c r="N118">
        <v>0</v>
      </c>
      <c r="O118" t="s">
        <v>19</v>
      </c>
      <c r="P118" t="s">
        <v>20</v>
      </c>
      <c r="Q118">
        <v>20230316</v>
      </c>
    </row>
    <row r="119" spans="1:17" x14ac:dyDescent="0.25">
      <c r="A119" t="s">
        <v>476</v>
      </c>
      <c r="B119" t="s">
        <v>477</v>
      </c>
      <c r="C119">
        <v>20</v>
      </c>
      <c r="D119">
        <v>20230317</v>
      </c>
      <c r="E119">
        <v>3</v>
      </c>
      <c r="F119">
        <v>468740</v>
      </c>
      <c r="G119" t="s">
        <v>426</v>
      </c>
      <c r="H119" t="s">
        <v>401</v>
      </c>
      <c r="I119" t="s">
        <v>402</v>
      </c>
      <c r="J119" t="s">
        <v>5843</v>
      </c>
      <c r="K119">
        <v>20230317</v>
      </c>
      <c r="L119" t="s">
        <v>5842</v>
      </c>
      <c r="M119">
        <v>0</v>
      </c>
      <c r="N119">
        <v>4500</v>
      </c>
      <c r="O119" t="s">
        <v>19</v>
      </c>
      <c r="P119" t="s">
        <v>20</v>
      </c>
      <c r="Q119">
        <v>20230317</v>
      </c>
    </row>
    <row r="120" spans="1:17" x14ac:dyDescent="0.25">
      <c r="A120" t="s">
        <v>476</v>
      </c>
      <c r="B120" t="s">
        <v>477</v>
      </c>
      <c r="C120">
        <v>20</v>
      </c>
      <c r="D120">
        <v>20230317</v>
      </c>
      <c r="E120">
        <v>3</v>
      </c>
      <c r="F120">
        <v>512000</v>
      </c>
      <c r="G120" t="s">
        <v>428</v>
      </c>
      <c r="H120" t="s">
        <v>401</v>
      </c>
      <c r="I120" t="s">
        <v>402</v>
      </c>
      <c r="J120" t="s">
        <v>5843</v>
      </c>
      <c r="K120">
        <v>20230317</v>
      </c>
      <c r="L120" t="s">
        <v>5842</v>
      </c>
      <c r="M120">
        <v>4500</v>
      </c>
      <c r="N120">
        <v>0</v>
      </c>
      <c r="O120" t="s">
        <v>19</v>
      </c>
      <c r="P120" t="s">
        <v>20</v>
      </c>
      <c r="Q120">
        <v>20230317</v>
      </c>
    </row>
    <row r="121" spans="1:17" x14ac:dyDescent="0.25">
      <c r="A121" t="s">
        <v>476</v>
      </c>
      <c r="B121" t="s">
        <v>477</v>
      </c>
      <c r="C121">
        <v>20</v>
      </c>
      <c r="D121">
        <v>20230320</v>
      </c>
      <c r="E121">
        <v>3</v>
      </c>
      <c r="F121">
        <v>445050</v>
      </c>
      <c r="G121" t="s">
        <v>416</v>
      </c>
      <c r="H121" t="s">
        <v>401</v>
      </c>
      <c r="I121" t="s">
        <v>402</v>
      </c>
      <c r="J121" t="s">
        <v>5840</v>
      </c>
      <c r="K121">
        <v>20230320</v>
      </c>
      <c r="L121" t="s">
        <v>5841</v>
      </c>
      <c r="M121">
        <v>0</v>
      </c>
      <c r="N121">
        <v>15926.61</v>
      </c>
      <c r="O121" t="s">
        <v>19</v>
      </c>
      <c r="P121" t="s">
        <v>20</v>
      </c>
      <c r="Q121">
        <v>20230320</v>
      </c>
    </row>
    <row r="122" spans="1:17" x14ac:dyDescent="0.25">
      <c r="A122" t="s">
        <v>476</v>
      </c>
      <c r="B122" t="s">
        <v>477</v>
      </c>
      <c r="C122">
        <v>20</v>
      </c>
      <c r="D122">
        <v>20230329</v>
      </c>
      <c r="E122">
        <v>3</v>
      </c>
      <c r="F122">
        <v>445050</v>
      </c>
      <c r="G122" t="s">
        <v>416</v>
      </c>
      <c r="H122" t="s">
        <v>401</v>
      </c>
      <c r="I122" t="s">
        <v>402</v>
      </c>
      <c r="J122" t="s">
        <v>5840</v>
      </c>
      <c r="K122">
        <v>20230329</v>
      </c>
      <c r="L122" t="s">
        <v>5839</v>
      </c>
      <c r="M122">
        <v>0</v>
      </c>
      <c r="N122">
        <v>15926.61</v>
      </c>
      <c r="O122" t="s">
        <v>19</v>
      </c>
      <c r="P122" t="s">
        <v>20</v>
      </c>
      <c r="Q122">
        <v>20230329</v>
      </c>
    </row>
    <row r="123" spans="1:17" x14ac:dyDescent="0.25">
      <c r="A123" t="s">
        <v>476</v>
      </c>
      <c r="B123" t="s">
        <v>477</v>
      </c>
      <c r="C123">
        <v>20</v>
      </c>
      <c r="D123">
        <v>20230329</v>
      </c>
      <c r="E123">
        <v>3</v>
      </c>
      <c r="F123">
        <v>512000</v>
      </c>
      <c r="G123" t="s">
        <v>428</v>
      </c>
      <c r="H123" t="s">
        <v>401</v>
      </c>
      <c r="I123" t="s">
        <v>402</v>
      </c>
      <c r="J123" t="s">
        <v>5840</v>
      </c>
      <c r="K123">
        <v>20230329</v>
      </c>
      <c r="L123" t="s">
        <v>5839</v>
      </c>
      <c r="M123">
        <v>31853.22</v>
      </c>
      <c r="N123">
        <v>0</v>
      </c>
      <c r="O123" t="s">
        <v>19</v>
      </c>
      <c r="P123" t="s">
        <v>20</v>
      </c>
      <c r="Q123">
        <v>20230329</v>
      </c>
    </row>
    <row r="124" spans="1:17" x14ac:dyDescent="0.25">
      <c r="A124" t="s">
        <v>476</v>
      </c>
      <c r="B124" t="s">
        <v>477</v>
      </c>
      <c r="C124">
        <v>21</v>
      </c>
      <c r="D124">
        <v>20230320</v>
      </c>
      <c r="E124">
        <v>3</v>
      </c>
      <c r="F124">
        <v>445000</v>
      </c>
      <c r="G124" t="s">
        <v>412</v>
      </c>
      <c r="H124" t="s">
        <v>401</v>
      </c>
      <c r="I124" t="s">
        <v>402</v>
      </c>
      <c r="J124" t="s">
        <v>5837</v>
      </c>
      <c r="K124">
        <v>20230320</v>
      </c>
      <c r="L124" t="s">
        <v>5838</v>
      </c>
      <c r="M124">
        <v>0</v>
      </c>
      <c r="N124">
        <v>14695.16</v>
      </c>
      <c r="O124" t="s">
        <v>19</v>
      </c>
      <c r="P124" t="s">
        <v>20</v>
      </c>
      <c r="Q124">
        <v>20230320</v>
      </c>
    </row>
    <row r="125" spans="1:17" x14ac:dyDescent="0.25">
      <c r="A125" t="s">
        <v>476</v>
      </c>
      <c r="B125" t="s">
        <v>477</v>
      </c>
      <c r="C125">
        <v>21</v>
      </c>
      <c r="D125">
        <v>20230320</v>
      </c>
      <c r="E125">
        <v>3</v>
      </c>
      <c r="F125">
        <v>445010</v>
      </c>
      <c r="G125" t="s">
        <v>413</v>
      </c>
      <c r="H125" t="s">
        <v>401</v>
      </c>
      <c r="I125" t="s">
        <v>402</v>
      </c>
      <c r="J125" t="s">
        <v>5837</v>
      </c>
      <c r="K125">
        <v>20230320</v>
      </c>
      <c r="L125" t="s">
        <v>5836</v>
      </c>
      <c r="M125">
        <v>0</v>
      </c>
      <c r="N125">
        <v>3808.48</v>
      </c>
      <c r="O125" t="s">
        <v>19</v>
      </c>
      <c r="P125" t="s">
        <v>20</v>
      </c>
      <c r="Q125">
        <v>20230320</v>
      </c>
    </row>
    <row r="126" spans="1:17" x14ac:dyDescent="0.25">
      <c r="A126" t="s">
        <v>476</v>
      </c>
      <c r="B126" t="s">
        <v>477</v>
      </c>
      <c r="C126">
        <v>21</v>
      </c>
      <c r="D126">
        <v>20230320</v>
      </c>
      <c r="E126">
        <v>3</v>
      </c>
      <c r="F126">
        <v>512000</v>
      </c>
      <c r="G126" t="s">
        <v>428</v>
      </c>
      <c r="H126" t="s">
        <v>401</v>
      </c>
      <c r="I126" t="s">
        <v>402</v>
      </c>
      <c r="J126" t="s">
        <v>5837</v>
      </c>
      <c r="K126">
        <v>20230320</v>
      </c>
      <c r="L126" t="s">
        <v>5836</v>
      </c>
      <c r="M126">
        <v>18503.64</v>
      </c>
      <c r="N126">
        <v>0</v>
      </c>
      <c r="O126" t="s">
        <v>19</v>
      </c>
      <c r="P126" t="s">
        <v>20</v>
      </c>
      <c r="Q126">
        <v>20230320</v>
      </c>
    </row>
    <row r="127" spans="1:17" x14ac:dyDescent="0.25">
      <c r="A127" t="s">
        <v>476</v>
      </c>
      <c r="B127" t="s">
        <v>477</v>
      </c>
      <c r="C127">
        <v>21</v>
      </c>
      <c r="D127">
        <v>20230321</v>
      </c>
      <c r="E127">
        <v>3</v>
      </c>
      <c r="F127">
        <v>468200</v>
      </c>
      <c r="G127" t="s">
        <v>421</v>
      </c>
      <c r="H127" t="s">
        <v>401</v>
      </c>
      <c r="I127" t="s">
        <v>402</v>
      </c>
      <c r="J127" t="s">
        <v>5835</v>
      </c>
      <c r="K127">
        <v>20230321</v>
      </c>
      <c r="L127" t="s">
        <v>422</v>
      </c>
      <c r="M127">
        <v>0</v>
      </c>
      <c r="N127">
        <v>1230.73</v>
      </c>
      <c r="O127" t="s">
        <v>19</v>
      </c>
      <c r="P127" t="s">
        <v>20</v>
      </c>
      <c r="Q127">
        <v>20230321</v>
      </c>
    </row>
    <row r="128" spans="1:17" x14ac:dyDescent="0.25">
      <c r="A128" t="s">
        <v>476</v>
      </c>
      <c r="B128" t="s">
        <v>477</v>
      </c>
      <c r="C128">
        <v>21</v>
      </c>
      <c r="D128">
        <v>20230321</v>
      </c>
      <c r="E128">
        <v>3</v>
      </c>
      <c r="F128">
        <v>512000</v>
      </c>
      <c r="G128" t="s">
        <v>428</v>
      </c>
      <c r="H128" t="s">
        <v>401</v>
      </c>
      <c r="I128" t="s">
        <v>402</v>
      </c>
      <c r="J128" t="s">
        <v>5835</v>
      </c>
      <c r="K128">
        <v>20230321</v>
      </c>
      <c r="L128" t="s">
        <v>422</v>
      </c>
      <c r="M128">
        <v>1230.73</v>
      </c>
      <c r="N128">
        <v>0</v>
      </c>
      <c r="O128" t="s">
        <v>19</v>
      </c>
      <c r="P128" t="s">
        <v>20</v>
      </c>
      <c r="Q128">
        <v>20230321</v>
      </c>
    </row>
    <row r="129" spans="1:17" x14ac:dyDescent="0.25">
      <c r="A129" t="s">
        <v>476</v>
      </c>
      <c r="B129" t="s">
        <v>477</v>
      </c>
      <c r="C129">
        <v>21</v>
      </c>
      <c r="D129">
        <v>20230322</v>
      </c>
      <c r="E129">
        <v>3</v>
      </c>
      <c r="F129">
        <v>442100</v>
      </c>
      <c r="G129" t="s">
        <v>435</v>
      </c>
      <c r="H129" t="s">
        <v>401</v>
      </c>
      <c r="I129" t="s">
        <v>402</v>
      </c>
      <c r="J129" t="s">
        <v>5834</v>
      </c>
      <c r="K129">
        <v>20230322</v>
      </c>
      <c r="L129" t="s">
        <v>528</v>
      </c>
      <c r="M129">
        <v>573</v>
      </c>
      <c r="N129">
        <v>0</v>
      </c>
      <c r="O129" t="s">
        <v>19</v>
      </c>
      <c r="P129" t="s">
        <v>20</v>
      </c>
      <c r="Q129">
        <v>20230322</v>
      </c>
    </row>
    <row r="130" spans="1:17" x14ac:dyDescent="0.25">
      <c r="A130" t="s">
        <v>476</v>
      </c>
      <c r="B130" t="s">
        <v>477</v>
      </c>
      <c r="C130">
        <v>21</v>
      </c>
      <c r="D130">
        <v>20230322</v>
      </c>
      <c r="E130">
        <v>3</v>
      </c>
      <c r="F130">
        <v>512000</v>
      </c>
      <c r="G130" t="s">
        <v>428</v>
      </c>
      <c r="H130" t="s">
        <v>401</v>
      </c>
      <c r="I130" t="s">
        <v>402</v>
      </c>
      <c r="J130" t="s">
        <v>5834</v>
      </c>
      <c r="K130">
        <v>20230322</v>
      </c>
      <c r="L130" t="s">
        <v>528</v>
      </c>
      <c r="M130">
        <v>0</v>
      </c>
      <c r="N130">
        <v>573</v>
      </c>
      <c r="O130" t="s">
        <v>19</v>
      </c>
      <c r="P130" t="s">
        <v>20</v>
      </c>
      <c r="Q130">
        <v>20230322</v>
      </c>
    </row>
    <row r="131" spans="1:17" x14ac:dyDescent="0.25">
      <c r="A131" t="s">
        <v>476</v>
      </c>
      <c r="B131" t="s">
        <v>477</v>
      </c>
      <c r="C131">
        <v>21</v>
      </c>
      <c r="D131">
        <v>20230322</v>
      </c>
      <c r="E131">
        <v>3</v>
      </c>
      <c r="F131">
        <v>468200</v>
      </c>
      <c r="G131" t="s">
        <v>421</v>
      </c>
      <c r="H131" t="s">
        <v>401</v>
      </c>
      <c r="I131" t="s">
        <v>402</v>
      </c>
      <c r="J131" t="s">
        <v>5833</v>
      </c>
      <c r="K131">
        <v>20230322</v>
      </c>
      <c r="L131" t="s">
        <v>422</v>
      </c>
      <c r="M131">
        <v>0</v>
      </c>
      <c r="N131">
        <v>23.09</v>
      </c>
      <c r="O131" t="s">
        <v>19</v>
      </c>
      <c r="P131" t="s">
        <v>20</v>
      </c>
      <c r="Q131">
        <v>20230322</v>
      </c>
    </row>
    <row r="132" spans="1:17" x14ac:dyDescent="0.25">
      <c r="A132" t="s">
        <v>476</v>
      </c>
      <c r="B132" t="s">
        <v>477</v>
      </c>
      <c r="C132">
        <v>21</v>
      </c>
      <c r="D132">
        <v>20230322</v>
      </c>
      <c r="E132">
        <v>3</v>
      </c>
      <c r="F132">
        <v>512000</v>
      </c>
      <c r="G132" t="s">
        <v>428</v>
      </c>
      <c r="H132" t="s">
        <v>401</v>
      </c>
      <c r="I132" t="s">
        <v>402</v>
      </c>
      <c r="J132" t="s">
        <v>5833</v>
      </c>
      <c r="K132">
        <v>20230322</v>
      </c>
      <c r="L132" t="s">
        <v>422</v>
      </c>
      <c r="M132">
        <v>23.09</v>
      </c>
      <c r="N132">
        <v>0</v>
      </c>
      <c r="O132" t="s">
        <v>19</v>
      </c>
      <c r="P132" t="s">
        <v>20</v>
      </c>
      <c r="Q132">
        <v>20230322</v>
      </c>
    </row>
    <row r="133" spans="1:17" x14ac:dyDescent="0.25">
      <c r="A133" t="s">
        <v>476</v>
      </c>
      <c r="B133" t="s">
        <v>477</v>
      </c>
      <c r="C133">
        <v>21</v>
      </c>
      <c r="D133">
        <v>20230323</v>
      </c>
      <c r="E133">
        <v>3</v>
      </c>
      <c r="F133">
        <v>468740</v>
      </c>
      <c r="G133" t="s">
        <v>426</v>
      </c>
      <c r="H133" t="s">
        <v>401</v>
      </c>
      <c r="I133" t="s">
        <v>402</v>
      </c>
      <c r="J133" t="s">
        <v>5832</v>
      </c>
      <c r="K133">
        <v>20230323</v>
      </c>
      <c r="L133" t="s">
        <v>5831</v>
      </c>
      <c r="M133">
        <v>0</v>
      </c>
      <c r="N133">
        <v>171780</v>
      </c>
      <c r="O133" t="s">
        <v>19</v>
      </c>
      <c r="P133" t="s">
        <v>20</v>
      </c>
      <c r="Q133">
        <v>20230323</v>
      </c>
    </row>
    <row r="134" spans="1:17" x14ac:dyDescent="0.25">
      <c r="A134" t="s">
        <v>476</v>
      </c>
      <c r="B134" t="s">
        <v>477</v>
      </c>
      <c r="C134">
        <v>21</v>
      </c>
      <c r="D134">
        <v>20230323</v>
      </c>
      <c r="E134">
        <v>3</v>
      </c>
      <c r="F134">
        <v>512000</v>
      </c>
      <c r="G134" t="s">
        <v>428</v>
      </c>
      <c r="H134" t="s">
        <v>401</v>
      </c>
      <c r="I134" t="s">
        <v>402</v>
      </c>
      <c r="J134" t="s">
        <v>5832</v>
      </c>
      <c r="K134">
        <v>20230323</v>
      </c>
      <c r="L134" t="s">
        <v>5831</v>
      </c>
      <c r="M134">
        <v>171780</v>
      </c>
      <c r="N134">
        <v>0</v>
      </c>
      <c r="O134" t="s">
        <v>19</v>
      </c>
      <c r="P134" t="s">
        <v>20</v>
      </c>
      <c r="Q134">
        <v>20230323</v>
      </c>
    </row>
    <row r="135" spans="1:17" x14ac:dyDescent="0.25">
      <c r="A135" t="s">
        <v>476</v>
      </c>
      <c r="B135" t="s">
        <v>477</v>
      </c>
      <c r="C135">
        <v>22</v>
      </c>
      <c r="D135">
        <v>20230323</v>
      </c>
      <c r="E135">
        <v>3</v>
      </c>
      <c r="F135">
        <v>468740</v>
      </c>
      <c r="G135" t="s">
        <v>426</v>
      </c>
      <c r="H135" t="s">
        <v>401</v>
      </c>
      <c r="I135" t="s">
        <v>402</v>
      </c>
      <c r="J135" t="s">
        <v>5830</v>
      </c>
      <c r="K135">
        <v>20230323</v>
      </c>
      <c r="L135" t="s">
        <v>5829</v>
      </c>
      <c r="M135">
        <v>0</v>
      </c>
      <c r="N135">
        <v>90</v>
      </c>
      <c r="O135" t="s">
        <v>19</v>
      </c>
      <c r="P135" t="s">
        <v>20</v>
      </c>
      <c r="Q135">
        <v>20230323</v>
      </c>
    </row>
    <row r="136" spans="1:17" x14ac:dyDescent="0.25">
      <c r="A136" t="s">
        <v>476</v>
      </c>
      <c r="B136" t="s">
        <v>477</v>
      </c>
      <c r="C136">
        <v>22</v>
      </c>
      <c r="D136">
        <v>20230323</v>
      </c>
      <c r="E136">
        <v>3</v>
      </c>
      <c r="F136">
        <v>512000</v>
      </c>
      <c r="G136" t="s">
        <v>428</v>
      </c>
      <c r="H136" t="s">
        <v>401</v>
      </c>
      <c r="I136" t="s">
        <v>402</v>
      </c>
      <c r="J136" t="s">
        <v>5830</v>
      </c>
      <c r="K136">
        <v>20230323</v>
      </c>
      <c r="L136" t="s">
        <v>5829</v>
      </c>
      <c r="M136">
        <v>90</v>
      </c>
      <c r="N136">
        <v>0</v>
      </c>
      <c r="O136" t="s">
        <v>19</v>
      </c>
      <c r="P136" t="s">
        <v>20</v>
      </c>
      <c r="Q136">
        <v>20230323</v>
      </c>
    </row>
    <row r="137" spans="1:17" x14ac:dyDescent="0.25">
      <c r="A137" t="s">
        <v>476</v>
      </c>
      <c r="B137" t="s">
        <v>477</v>
      </c>
      <c r="C137">
        <v>22</v>
      </c>
      <c r="D137">
        <v>20230323</v>
      </c>
      <c r="E137">
        <v>3</v>
      </c>
      <c r="F137">
        <v>791100</v>
      </c>
      <c r="G137" t="s">
        <v>806</v>
      </c>
      <c r="H137" t="s">
        <v>401</v>
      </c>
      <c r="I137" t="s">
        <v>402</v>
      </c>
      <c r="J137" t="s">
        <v>5828</v>
      </c>
      <c r="K137">
        <v>20230323</v>
      </c>
      <c r="L137" t="s">
        <v>1345</v>
      </c>
      <c r="M137">
        <v>0</v>
      </c>
      <c r="N137">
        <v>1548</v>
      </c>
      <c r="O137" t="s">
        <v>19</v>
      </c>
      <c r="P137" t="s">
        <v>20</v>
      </c>
      <c r="Q137">
        <v>20230323</v>
      </c>
    </row>
    <row r="138" spans="1:17" x14ac:dyDescent="0.25">
      <c r="A138" t="s">
        <v>476</v>
      </c>
      <c r="B138" t="s">
        <v>477</v>
      </c>
      <c r="C138">
        <v>22</v>
      </c>
      <c r="D138">
        <v>20230323</v>
      </c>
      <c r="E138">
        <v>3</v>
      </c>
      <c r="F138">
        <v>512000</v>
      </c>
      <c r="G138" t="s">
        <v>428</v>
      </c>
      <c r="H138" t="s">
        <v>401</v>
      </c>
      <c r="I138" t="s">
        <v>402</v>
      </c>
      <c r="J138" t="s">
        <v>5828</v>
      </c>
      <c r="K138">
        <v>20230323</v>
      </c>
      <c r="L138" t="s">
        <v>1345</v>
      </c>
      <c r="M138">
        <v>1548</v>
      </c>
      <c r="N138">
        <v>0</v>
      </c>
      <c r="O138" t="s">
        <v>19</v>
      </c>
      <c r="P138" t="s">
        <v>20</v>
      </c>
      <c r="Q138">
        <v>20230323</v>
      </c>
    </row>
    <row r="139" spans="1:17" x14ac:dyDescent="0.25">
      <c r="A139" t="s">
        <v>476</v>
      </c>
      <c r="B139" t="s">
        <v>477</v>
      </c>
      <c r="C139">
        <v>22</v>
      </c>
      <c r="D139">
        <v>20230324</v>
      </c>
      <c r="E139">
        <v>3</v>
      </c>
      <c r="F139">
        <v>468200</v>
      </c>
      <c r="G139" t="s">
        <v>421</v>
      </c>
      <c r="H139" t="s">
        <v>401</v>
      </c>
      <c r="I139" t="s">
        <v>402</v>
      </c>
      <c r="J139" t="s">
        <v>5827</v>
      </c>
      <c r="K139">
        <v>20230324</v>
      </c>
      <c r="L139" t="s">
        <v>422</v>
      </c>
      <c r="M139">
        <v>0</v>
      </c>
      <c r="N139">
        <v>427.26</v>
      </c>
      <c r="O139" t="s">
        <v>19</v>
      </c>
      <c r="P139" t="s">
        <v>20</v>
      </c>
      <c r="Q139">
        <v>20230324</v>
      </c>
    </row>
    <row r="140" spans="1:17" x14ac:dyDescent="0.25">
      <c r="A140" t="s">
        <v>476</v>
      </c>
      <c r="B140" t="s">
        <v>477</v>
      </c>
      <c r="C140">
        <v>22</v>
      </c>
      <c r="D140">
        <v>20230324</v>
      </c>
      <c r="E140">
        <v>3</v>
      </c>
      <c r="F140">
        <v>512000</v>
      </c>
      <c r="G140" t="s">
        <v>428</v>
      </c>
      <c r="H140" t="s">
        <v>401</v>
      </c>
      <c r="I140" t="s">
        <v>402</v>
      </c>
      <c r="J140" t="s">
        <v>5827</v>
      </c>
      <c r="K140">
        <v>20230324</v>
      </c>
      <c r="L140" t="s">
        <v>422</v>
      </c>
      <c r="M140">
        <v>427.26</v>
      </c>
      <c r="N140">
        <v>0</v>
      </c>
      <c r="O140" t="s">
        <v>19</v>
      </c>
      <c r="P140" t="s">
        <v>20</v>
      </c>
      <c r="Q140">
        <v>20230324</v>
      </c>
    </row>
    <row r="141" spans="1:17" x14ac:dyDescent="0.25">
      <c r="A141" t="s">
        <v>476</v>
      </c>
      <c r="B141" t="s">
        <v>477</v>
      </c>
      <c r="C141">
        <v>22</v>
      </c>
      <c r="D141">
        <v>20230327</v>
      </c>
      <c r="E141">
        <v>3</v>
      </c>
      <c r="F141">
        <v>433100</v>
      </c>
      <c r="G141" t="s">
        <v>411</v>
      </c>
      <c r="H141" t="s">
        <v>401</v>
      </c>
      <c r="I141" t="s">
        <v>402</v>
      </c>
      <c r="J141" t="s">
        <v>5826</v>
      </c>
      <c r="K141">
        <v>20230327</v>
      </c>
      <c r="L141" t="s">
        <v>2468</v>
      </c>
      <c r="M141">
        <v>1108.6400000000001</v>
      </c>
      <c r="N141">
        <v>0</v>
      </c>
      <c r="O141" t="s">
        <v>19</v>
      </c>
      <c r="P141" t="s">
        <v>20</v>
      </c>
      <c r="Q141">
        <v>20230327</v>
      </c>
    </row>
    <row r="142" spans="1:17" x14ac:dyDescent="0.25">
      <c r="A142" t="s">
        <v>476</v>
      </c>
      <c r="B142" t="s">
        <v>477</v>
      </c>
      <c r="C142">
        <v>22</v>
      </c>
      <c r="D142">
        <v>20230327</v>
      </c>
      <c r="E142">
        <v>3</v>
      </c>
      <c r="F142">
        <v>512000</v>
      </c>
      <c r="G142" t="s">
        <v>428</v>
      </c>
      <c r="H142" t="s">
        <v>401</v>
      </c>
      <c r="I142" t="s">
        <v>402</v>
      </c>
      <c r="J142" t="s">
        <v>5826</v>
      </c>
      <c r="K142">
        <v>20230327</v>
      </c>
      <c r="L142" t="s">
        <v>2468</v>
      </c>
      <c r="M142">
        <v>0</v>
      </c>
      <c r="N142">
        <v>1108.6400000000001</v>
      </c>
      <c r="O142" t="s">
        <v>19</v>
      </c>
      <c r="P142" t="s">
        <v>20</v>
      </c>
      <c r="Q142">
        <v>20230327</v>
      </c>
    </row>
    <row r="143" spans="1:17" x14ac:dyDescent="0.25">
      <c r="A143" t="s">
        <v>476</v>
      </c>
      <c r="B143" t="s">
        <v>477</v>
      </c>
      <c r="C143">
        <v>22</v>
      </c>
      <c r="D143">
        <v>20230327</v>
      </c>
      <c r="E143">
        <v>3</v>
      </c>
      <c r="F143">
        <v>433000</v>
      </c>
      <c r="G143" t="s">
        <v>410</v>
      </c>
      <c r="H143" t="s">
        <v>401</v>
      </c>
      <c r="I143" t="s">
        <v>402</v>
      </c>
      <c r="J143" t="s">
        <v>5825</v>
      </c>
      <c r="K143">
        <v>20230327</v>
      </c>
      <c r="L143" t="s">
        <v>530</v>
      </c>
      <c r="M143">
        <v>5789.05</v>
      </c>
      <c r="N143">
        <v>0</v>
      </c>
      <c r="O143" t="s">
        <v>19</v>
      </c>
      <c r="P143" t="s">
        <v>20</v>
      </c>
      <c r="Q143">
        <v>20230327</v>
      </c>
    </row>
    <row r="144" spans="1:17" x14ac:dyDescent="0.25">
      <c r="A144" t="s">
        <v>476</v>
      </c>
      <c r="B144" t="s">
        <v>477</v>
      </c>
      <c r="C144">
        <v>22</v>
      </c>
      <c r="D144">
        <v>20230327</v>
      </c>
      <c r="E144">
        <v>3</v>
      </c>
      <c r="F144">
        <v>512000</v>
      </c>
      <c r="G144" t="s">
        <v>428</v>
      </c>
      <c r="H144" t="s">
        <v>401</v>
      </c>
      <c r="I144" t="s">
        <v>402</v>
      </c>
      <c r="J144" t="s">
        <v>5825</v>
      </c>
      <c r="K144">
        <v>20230327</v>
      </c>
      <c r="L144" t="s">
        <v>530</v>
      </c>
      <c r="M144">
        <v>0</v>
      </c>
      <c r="N144">
        <v>5789.05</v>
      </c>
      <c r="O144" t="s">
        <v>19</v>
      </c>
      <c r="P144" t="s">
        <v>20</v>
      </c>
      <c r="Q144">
        <v>20230327</v>
      </c>
    </row>
    <row r="145" spans="1:17" x14ac:dyDescent="0.25">
      <c r="A145" t="s">
        <v>476</v>
      </c>
      <c r="B145" t="s">
        <v>477</v>
      </c>
      <c r="C145">
        <v>22</v>
      </c>
      <c r="D145">
        <v>20230328</v>
      </c>
      <c r="E145">
        <v>3</v>
      </c>
      <c r="F145">
        <v>468750</v>
      </c>
      <c r="G145" t="s">
        <v>427</v>
      </c>
      <c r="H145" t="s">
        <v>401</v>
      </c>
      <c r="I145" t="s">
        <v>402</v>
      </c>
      <c r="J145" t="s">
        <v>5824</v>
      </c>
      <c r="K145">
        <v>20230328</v>
      </c>
      <c r="L145" t="s">
        <v>5822</v>
      </c>
      <c r="M145">
        <v>0</v>
      </c>
      <c r="N145">
        <v>4617.0600000000004</v>
      </c>
      <c r="O145" t="s">
        <v>19</v>
      </c>
      <c r="P145" t="s">
        <v>20</v>
      </c>
      <c r="Q145">
        <v>20230328</v>
      </c>
    </row>
    <row r="146" spans="1:17" x14ac:dyDescent="0.25">
      <c r="A146" t="s">
        <v>476</v>
      </c>
      <c r="B146" t="s">
        <v>477</v>
      </c>
      <c r="C146">
        <v>22</v>
      </c>
      <c r="D146">
        <v>20230328</v>
      </c>
      <c r="E146">
        <v>3</v>
      </c>
      <c r="F146">
        <v>512000</v>
      </c>
      <c r="G146" t="s">
        <v>428</v>
      </c>
      <c r="H146" t="s">
        <v>401</v>
      </c>
      <c r="I146" t="s">
        <v>402</v>
      </c>
      <c r="J146" t="s">
        <v>5824</v>
      </c>
      <c r="K146">
        <v>20230328</v>
      </c>
      <c r="L146" t="s">
        <v>5822</v>
      </c>
      <c r="M146">
        <v>4617.0600000000004</v>
      </c>
      <c r="N146">
        <v>0</v>
      </c>
      <c r="O146" t="s">
        <v>19</v>
      </c>
      <c r="P146" t="s">
        <v>20</v>
      </c>
      <c r="Q146">
        <v>20230328</v>
      </c>
    </row>
    <row r="147" spans="1:17" x14ac:dyDescent="0.25">
      <c r="A147" t="s">
        <v>476</v>
      </c>
      <c r="B147" t="s">
        <v>477</v>
      </c>
      <c r="C147">
        <v>22</v>
      </c>
      <c r="D147">
        <v>20230328</v>
      </c>
      <c r="E147">
        <v>3</v>
      </c>
      <c r="F147">
        <v>468750</v>
      </c>
      <c r="G147" t="s">
        <v>427</v>
      </c>
      <c r="H147" t="s">
        <v>401</v>
      </c>
      <c r="I147" t="s">
        <v>402</v>
      </c>
      <c r="J147" t="s">
        <v>5823</v>
      </c>
      <c r="K147">
        <v>20230328</v>
      </c>
      <c r="L147" t="s">
        <v>5822</v>
      </c>
      <c r="M147">
        <v>0</v>
      </c>
      <c r="N147">
        <v>4244.5200000000004</v>
      </c>
      <c r="O147" t="s">
        <v>19</v>
      </c>
      <c r="P147" t="s">
        <v>20</v>
      </c>
      <c r="Q147">
        <v>20230328</v>
      </c>
    </row>
    <row r="148" spans="1:17" x14ac:dyDescent="0.25">
      <c r="A148" t="s">
        <v>476</v>
      </c>
      <c r="B148" t="s">
        <v>477</v>
      </c>
      <c r="C148">
        <v>22</v>
      </c>
      <c r="D148">
        <v>20230328</v>
      </c>
      <c r="E148">
        <v>3</v>
      </c>
      <c r="F148">
        <v>512000</v>
      </c>
      <c r="G148" t="s">
        <v>428</v>
      </c>
      <c r="H148" t="s">
        <v>401</v>
      </c>
      <c r="I148" t="s">
        <v>402</v>
      </c>
      <c r="J148" t="s">
        <v>5823</v>
      </c>
      <c r="K148">
        <v>20230328</v>
      </c>
      <c r="L148" t="s">
        <v>5822</v>
      </c>
      <c r="M148">
        <v>4244.5200000000004</v>
      </c>
      <c r="N148">
        <v>0</v>
      </c>
      <c r="O148" t="s">
        <v>19</v>
      </c>
      <c r="P148" t="s">
        <v>20</v>
      </c>
      <c r="Q148">
        <v>20230328</v>
      </c>
    </row>
    <row r="149" spans="1:17" x14ac:dyDescent="0.25">
      <c r="A149" t="s">
        <v>476</v>
      </c>
      <c r="B149" t="s">
        <v>477</v>
      </c>
      <c r="C149">
        <v>22</v>
      </c>
      <c r="D149">
        <v>20230328</v>
      </c>
      <c r="E149">
        <v>3</v>
      </c>
      <c r="F149">
        <v>421000</v>
      </c>
      <c r="G149" t="s">
        <v>403</v>
      </c>
      <c r="H149" t="s">
        <v>401</v>
      </c>
      <c r="I149" t="s">
        <v>402</v>
      </c>
      <c r="J149" t="s">
        <v>5821</v>
      </c>
      <c r="K149">
        <v>20230328</v>
      </c>
      <c r="L149" t="s">
        <v>5820</v>
      </c>
      <c r="M149">
        <v>58754.33</v>
      </c>
      <c r="N149">
        <v>0</v>
      </c>
      <c r="O149" t="s">
        <v>19</v>
      </c>
      <c r="P149" t="s">
        <v>20</v>
      </c>
      <c r="Q149">
        <v>20230328</v>
      </c>
    </row>
    <row r="150" spans="1:17" x14ac:dyDescent="0.25">
      <c r="A150" t="s">
        <v>476</v>
      </c>
      <c r="B150" t="s">
        <v>477</v>
      </c>
      <c r="C150">
        <v>22</v>
      </c>
      <c r="D150">
        <v>20230328</v>
      </c>
      <c r="E150">
        <v>3</v>
      </c>
      <c r="F150">
        <v>512000</v>
      </c>
      <c r="G150" t="s">
        <v>428</v>
      </c>
      <c r="H150" t="s">
        <v>401</v>
      </c>
      <c r="I150" t="s">
        <v>402</v>
      </c>
      <c r="J150" t="s">
        <v>5821</v>
      </c>
      <c r="K150">
        <v>20230328</v>
      </c>
      <c r="L150" t="s">
        <v>5820</v>
      </c>
      <c r="M150">
        <v>0</v>
      </c>
      <c r="N150">
        <v>58754.33</v>
      </c>
      <c r="O150" t="s">
        <v>19</v>
      </c>
      <c r="P150" t="s">
        <v>20</v>
      </c>
      <c r="Q150">
        <v>20230328</v>
      </c>
    </row>
    <row r="151" spans="1:17" x14ac:dyDescent="0.25">
      <c r="A151" t="s">
        <v>476</v>
      </c>
      <c r="B151" t="s">
        <v>477</v>
      </c>
      <c r="C151">
        <v>22</v>
      </c>
      <c r="D151">
        <v>20230330</v>
      </c>
      <c r="E151">
        <v>3</v>
      </c>
      <c r="F151">
        <v>468200</v>
      </c>
      <c r="G151" t="s">
        <v>421</v>
      </c>
      <c r="H151" t="s">
        <v>401</v>
      </c>
      <c r="I151" t="s">
        <v>402</v>
      </c>
      <c r="J151" t="s">
        <v>5819</v>
      </c>
      <c r="K151">
        <v>20230330</v>
      </c>
      <c r="L151" t="s">
        <v>422</v>
      </c>
      <c r="M151">
        <v>0</v>
      </c>
      <c r="N151">
        <v>173.36</v>
      </c>
      <c r="O151" t="s">
        <v>19</v>
      </c>
      <c r="P151" t="s">
        <v>20</v>
      </c>
      <c r="Q151">
        <v>20230330</v>
      </c>
    </row>
    <row r="152" spans="1:17" x14ac:dyDescent="0.25">
      <c r="A152" t="s">
        <v>476</v>
      </c>
      <c r="B152" t="s">
        <v>477</v>
      </c>
      <c r="C152">
        <v>22</v>
      </c>
      <c r="D152">
        <v>20230330</v>
      </c>
      <c r="E152">
        <v>3</v>
      </c>
      <c r="F152">
        <v>512000</v>
      </c>
      <c r="G152" t="s">
        <v>428</v>
      </c>
      <c r="H152" t="s">
        <v>401</v>
      </c>
      <c r="I152" t="s">
        <v>402</v>
      </c>
      <c r="J152" t="s">
        <v>5819</v>
      </c>
      <c r="K152">
        <v>20230330</v>
      </c>
      <c r="L152" t="s">
        <v>422</v>
      </c>
      <c r="M152">
        <v>173.36</v>
      </c>
      <c r="N152">
        <v>0</v>
      </c>
      <c r="O152" t="s">
        <v>19</v>
      </c>
      <c r="P152" t="s">
        <v>20</v>
      </c>
      <c r="Q152">
        <v>20230330</v>
      </c>
    </row>
    <row r="153" spans="1:17" x14ac:dyDescent="0.25">
      <c r="A153" t="s">
        <v>476</v>
      </c>
      <c r="B153" t="s">
        <v>477</v>
      </c>
      <c r="C153">
        <v>22</v>
      </c>
      <c r="D153">
        <v>20230330</v>
      </c>
      <c r="E153">
        <v>3</v>
      </c>
      <c r="F153">
        <v>791100</v>
      </c>
      <c r="G153" t="s">
        <v>806</v>
      </c>
      <c r="H153" t="s">
        <v>401</v>
      </c>
      <c r="I153" t="s">
        <v>402</v>
      </c>
      <c r="J153" t="s">
        <v>5818</v>
      </c>
      <c r="K153">
        <v>20230330</v>
      </c>
      <c r="L153" t="s">
        <v>1345</v>
      </c>
      <c r="M153">
        <v>0</v>
      </c>
      <c r="N153">
        <v>415</v>
      </c>
      <c r="O153" t="s">
        <v>19</v>
      </c>
      <c r="P153" t="s">
        <v>20</v>
      </c>
      <c r="Q153">
        <v>20230330</v>
      </c>
    </row>
    <row r="154" spans="1:17" x14ac:dyDescent="0.25">
      <c r="A154" t="s">
        <v>476</v>
      </c>
      <c r="B154" t="s">
        <v>477</v>
      </c>
      <c r="C154">
        <v>22</v>
      </c>
      <c r="D154">
        <v>20230330</v>
      </c>
      <c r="E154">
        <v>3</v>
      </c>
      <c r="F154">
        <v>512000</v>
      </c>
      <c r="G154" t="s">
        <v>428</v>
      </c>
      <c r="H154" t="s">
        <v>401</v>
      </c>
      <c r="I154" t="s">
        <v>402</v>
      </c>
      <c r="J154" t="s">
        <v>5818</v>
      </c>
      <c r="K154">
        <v>20230330</v>
      </c>
      <c r="L154" t="s">
        <v>1345</v>
      </c>
      <c r="M154">
        <v>415</v>
      </c>
      <c r="N154">
        <v>0</v>
      </c>
      <c r="O154" t="s">
        <v>19</v>
      </c>
      <c r="P154" t="s">
        <v>20</v>
      </c>
      <c r="Q154">
        <v>20230330</v>
      </c>
    </row>
    <row r="155" spans="1:17" x14ac:dyDescent="0.25">
      <c r="A155" t="s">
        <v>476</v>
      </c>
      <c r="B155" t="s">
        <v>477</v>
      </c>
      <c r="C155">
        <v>23</v>
      </c>
      <c r="D155">
        <v>20230313</v>
      </c>
      <c r="E155">
        <v>3</v>
      </c>
      <c r="F155">
        <v>401000</v>
      </c>
      <c r="G155" t="s">
        <v>41</v>
      </c>
      <c r="H155" t="s">
        <v>140</v>
      </c>
      <c r="I155" t="s">
        <v>141</v>
      </c>
      <c r="J155" t="s">
        <v>5817</v>
      </c>
      <c r="K155">
        <v>20230313</v>
      </c>
      <c r="L155" t="s">
        <v>5816</v>
      </c>
      <c r="M155">
        <v>0</v>
      </c>
      <c r="N155">
        <v>114</v>
      </c>
      <c r="O155" t="s">
        <v>23</v>
      </c>
      <c r="P155">
        <v>20230420</v>
      </c>
      <c r="Q155">
        <v>20230313</v>
      </c>
    </row>
    <row r="156" spans="1:17" x14ac:dyDescent="0.25">
      <c r="A156" t="s">
        <v>476</v>
      </c>
      <c r="B156" t="s">
        <v>477</v>
      </c>
      <c r="C156">
        <v>23</v>
      </c>
      <c r="D156">
        <v>20230313</v>
      </c>
      <c r="E156">
        <v>3</v>
      </c>
      <c r="F156">
        <v>512000</v>
      </c>
      <c r="G156" t="s">
        <v>428</v>
      </c>
      <c r="H156" t="s">
        <v>401</v>
      </c>
      <c r="I156" t="s">
        <v>402</v>
      </c>
      <c r="J156" t="s">
        <v>5817</v>
      </c>
      <c r="K156">
        <v>20230313</v>
      </c>
      <c r="L156" t="s">
        <v>5816</v>
      </c>
      <c r="M156">
        <v>114</v>
      </c>
      <c r="N156">
        <v>0</v>
      </c>
      <c r="O156" t="s">
        <v>19</v>
      </c>
      <c r="P156" t="s">
        <v>20</v>
      </c>
      <c r="Q156">
        <v>20230313</v>
      </c>
    </row>
    <row r="157" spans="1:17" x14ac:dyDescent="0.25">
      <c r="A157" t="s">
        <v>476</v>
      </c>
      <c r="B157" t="s">
        <v>477</v>
      </c>
      <c r="C157">
        <v>23</v>
      </c>
      <c r="D157">
        <v>20230314</v>
      </c>
      <c r="E157">
        <v>3</v>
      </c>
      <c r="F157">
        <v>791100</v>
      </c>
      <c r="G157" t="s">
        <v>806</v>
      </c>
      <c r="H157" t="s">
        <v>401</v>
      </c>
      <c r="I157" t="s">
        <v>402</v>
      </c>
      <c r="J157" t="s">
        <v>5815</v>
      </c>
      <c r="K157">
        <v>20230314</v>
      </c>
      <c r="L157" t="s">
        <v>1345</v>
      </c>
      <c r="M157">
        <v>0</v>
      </c>
      <c r="N157">
        <v>2700</v>
      </c>
      <c r="O157" t="s">
        <v>19</v>
      </c>
      <c r="P157" t="s">
        <v>20</v>
      </c>
      <c r="Q157">
        <v>20230314</v>
      </c>
    </row>
    <row r="158" spans="1:17" x14ac:dyDescent="0.25">
      <c r="A158" t="s">
        <v>476</v>
      </c>
      <c r="B158" t="s">
        <v>477</v>
      </c>
      <c r="C158">
        <v>23</v>
      </c>
      <c r="D158">
        <v>20230314</v>
      </c>
      <c r="E158">
        <v>3</v>
      </c>
      <c r="F158">
        <v>512000</v>
      </c>
      <c r="G158" t="s">
        <v>428</v>
      </c>
      <c r="H158" t="s">
        <v>401</v>
      </c>
      <c r="I158" t="s">
        <v>402</v>
      </c>
      <c r="J158" t="s">
        <v>5815</v>
      </c>
      <c r="K158">
        <v>20230314</v>
      </c>
      <c r="L158" t="s">
        <v>1345</v>
      </c>
      <c r="M158">
        <v>2700</v>
      </c>
      <c r="N158">
        <v>0</v>
      </c>
      <c r="O158" t="s">
        <v>19</v>
      </c>
      <c r="P158" t="s">
        <v>20</v>
      </c>
      <c r="Q158">
        <v>20230314</v>
      </c>
    </row>
    <row r="159" spans="1:17" x14ac:dyDescent="0.25">
      <c r="A159" t="s">
        <v>548</v>
      </c>
      <c r="B159" t="s">
        <v>429</v>
      </c>
      <c r="C159">
        <v>24</v>
      </c>
      <c r="D159">
        <v>20230301</v>
      </c>
      <c r="E159">
        <v>3</v>
      </c>
      <c r="F159">
        <v>467100</v>
      </c>
      <c r="G159" t="s">
        <v>160</v>
      </c>
      <c r="H159" t="s">
        <v>172</v>
      </c>
      <c r="I159" t="s">
        <v>173</v>
      </c>
      <c r="J159" t="s">
        <v>5424</v>
      </c>
      <c r="K159">
        <v>20230301</v>
      </c>
      <c r="L159" t="s">
        <v>3310</v>
      </c>
      <c r="M159">
        <v>100</v>
      </c>
      <c r="N159">
        <v>0</v>
      </c>
      <c r="O159" t="s">
        <v>19</v>
      </c>
      <c r="P159" t="s">
        <v>20</v>
      </c>
      <c r="Q159">
        <v>20230301</v>
      </c>
    </row>
    <row r="160" spans="1:17" x14ac:dyDescent="0.25">
      <c r="A160" t="s">
        <v>548</v>
      </c>
      <c r="B160" t="s">
        <v>429</v>
      </c>
      <c r="C160">
        <v>24</v>
      </c>
      <c r="D160">
        <v>20230301</v>
      </c>
      <c r="E160">
        <v>3</v>
      </c>
      <c r="F160">
        <v>531105</v>
      </c>
      <c r="G160" t="s">
        <v>429</v>
      </c>
      <c r="H160" t="s">
        <v>401</v>
      </c>
      <c r="I160" t="s">
        <v>402</v>
      </c>
      <c r="J160" t="s">
        <v>5424</v>
      </c>
      <c r="K160">
        <v>20230301</v>
      </c>
      <c r="L160" t="s">
        <v>3310</v>
      </c>
      <c r="M160">
        <v>0</v>
      </c>
      <c r="N160">
        <v>100</v>
      </c>
      <c r="O160" t="s">
        <v>19</v>
      </c>
      <c r="P160" t="s">
        <v>20</v>
      </c>
      <c r="Q160">
        <v>20230301</v>
      </c>
    </row>
    <row r="161" spans="1:17" x14ac:dyDescent="0.25">
      <c r="A161" t="s">
        <v>548</v>
      </c>
      <c r="B161" t="s">
        <v>429</v>
      </c>
      <c r="C161">
        <v>24</v>
      </c>
      <c r="D161">
        <v>20230301</v>
      </c>
      <c r="E161">
        <v>3</v>
      </c>
      <c r="F161">
        <v>467100</v>
      </c>
      <c r="G161" t="s">
        <v>160</v>
      </c>
      <c r="H161" t="s">
        <v>4958</v>
      </c>
      <c r="I161" t="s">
        <v>4959</v>
      </c>
      <c r="J161" t="s">
        <v>5425</v>
      </c>
      <c r="K161">
        <v>20230301</v>
      </c>
      <c r="L161" t="s">
        <v>5097</v>
      </c>
      <c r="M161">
        <v>0</v>
      </c>
      <c r="N161">
        <v>0.12</v>
      </c>
      <c r="O161" t="s">
        <v>23</v>
      </c>
      <c r="P161">
        <v>20230308</v>
      </c>
      <c r="Q161">
        <v>20230301</v>
      </c>
    </row>
    <row r="162" spans="1:17" x14ac:dyDescent="0.25">
      <c r="A162" t="s">
        <v>548</v>
      </c>
      <c r="B162" t="s">
        <v>429</v>
      </c>
      <c r="C162">
        <v>24</v>
      </c>
      <c r="D162">
        <v>20230301</v>
      </c>
      <c r="E162">
        <v>3</v>
      </c>
      <c r="F162">
        <v>467100</v>
      </c>
      <c r="G162" t="s">
        <v>160</v>
      </c>
      <c r="H162" t="s">
        <v>4958</v>
      </c>
      <c r="I162" t="s">
        <v>4959</v>
      </c>
      <c r="J162" t="s">
        <v>5426</v>
      </c>
      <c r="K162">
        <v>20230301</v>
      </c>
      <c r="L162" t="s">
        <v>5427</v>
      </c>
      <c r="M162">
        <v>0</v>
      </c>
      <c r="N162">
        <v>8.02</v>
      </c>
      <c r="O162" t="s">
        <v>23</v>
      </c>
      <c r="P162">
        <v>20230308</v>
      </c>
      <c r="Q162">
        <v>20230301</v>
      </c>
    </row>
    <row r="163" spans="1:17" x14ac:dyDescent="0.25">
      <c r="A163" t="s">
        <v>548</v>
      </c>
      <c r="B163" t="s">
        <v>429</v>
      </c>
      <c r="C163">
        <v>24</v>
      </c>
      <c r="D163">
        <v>20230301</v>
      </c>
      <c r="E163">
        <v>3</v>
      </c>
      <c r="F163">
        <v>531105</v>
      </c>
      <c r="G163" t="s">
        <v>429</v>
      </c>
      <c r="H163" t="s">
        <v>401</v>
      </c>
      <c r="I163" t="s">
        <v>402</v>
      </c>
      <c r="J163" t="s">
        <v>5425</v>
      </c>
      <c r="K163">
        <v>20230301</v>
      </c>
      <c r="L163" t="s">
        <v>5097</v>
      </c>
      <c r="M163">
        <v>8.02</v>
      </c>
      <c r="N163">
        <v>0</v>
      </c>
      <c r="O163" t="s">
        <v>19</v>
      </c>
      <c r="P163" t="s">
        <v>20</v>
      </c>
      <c r="Q163">
        <v>20230301</v>
      </c>
    </row>
    <row r="164" spans="1:17" x14ac:dyDescent="0.25">
      <c r="A164" t="s">
        <v>548</v>
      </c>
      <c r="B164" t="s">
        <v>429</v>
      </c>
      <c r="C164">
        <v>24</v>
      </c>
      <c r="D164">
        <v>20230301</v>
      </c>
      <c r="E164">
        <v>3</v>
      </c>
      <c r="F164">
        <v>531105</v>
      </c>
      <c r="G164" t="s">
        <v>429</v>
      </c>
      <c r="H164" t="s">
        <v>401</v>
      </c>
      <c r="I164" t="s">
        <v>402</v>
      </c>
      <c r="J164" t="s">
        <v>5425</v>
      </c>
      <c r="K164">
        <v>20230301</v>
      </c>
      <c r="L164" t="s">
        <v>5097</v>
      </c>
      <c r="M164">
        <v>0.12</v>
      </c>
      <c r="N164">
        <v>0</v>
      </c>
      <c r="O164" t="s">
        <v>19</v>
      </c>
      <c r="P164" t="s">
        <v>20</v>
      </c>
      <c r="Q164">
        <v>20230301</v>
      </c>
    </row>
    <row r="165" spans="1:17" x14ac:dyDescent="0.25">
      <c r="A165" t="s">
        <v>548</v>
      </c>
      <c r="B165" t="s">
        <v>429</v>
      </c>
      <c r="C165">
        <v>24</v>
      </c>
      <c r="D165">
        <v>20230301</v>
      </c>
      <c r="E165">
        <v>3</v>
      </c>
      <c r="F165">
        <v>411100</v>
      </c>
      <c r="G165" t="s">
        <v>18</v>
      </c>
      <c r="H165" t="s">
        <v>3658</v>
      </c>
      <c r="I165" t="s">
        <v>3659</v>
      </c>
      <c r="J165">
        <v>123020158</v>
      </c>
      <c r="K165">
        <v>20230301</v>
      </c>
      <c r="L165" t="s">
        <v>5428</v>
      </c>
      <c r="M165">
        <v>0</v>
      </c>
      <c r="N165">
        <v>19.2</v>
      </c>
      <c r="O165" t="s">
        <v>19</v>
      </c>
      <c r="P165" t="s">
        <v>20</v>
      </c>
      <c r="Q165">
        <v>20230301</v>
      </c>
    </row>
    <row r="166" spans="1:17" x14ac:dyDescent="0.25">
      <c r="A166" t="s">
        <v>548</v>
      </c>
      <c r="B166" t="s">
        <v>429</v>
      </c>
      <c r="C166">
        <v>24</v>
      </c>
      <c r="D166">
        <v>20230301</v>
      </c>
      <c r="E166">
        <v>3</v>
      </c>
      <c r="F166">
        <v>411100</v>
      </c>
      <c r="G166" t="s">
        <v>18</v>
      </c>
      <c r="H166" t="s">
        <v>3658</v>
      </c>
      <c r="I166" t="s">
        <v>3659</v>
      </c>
      <c r="J166">
        <v>123020158</v>
      </c>
      <c r="K166">
        <v>20230301</v>
      </c>
      <c r="L166" t="s">
        <v>5814</v>
      </c>
      <c r="M166">
        <v>0</v>
      </c>
      <c r="N166">
        <v>0.8</v>
      </c>
      <c r="O166" t="s">
        <v>19</v>
      </c>
      <c r="P166" t="s">
        <v>20</v>
      </c>
      <c r="Q166">
        <v>20230301</v>
      </c>
    </row>
    <row r="167" spans="1:17" x14ac:dyDescent="0.25">
      <c r="A167" t="s">
        <v>548</v>
      </c>
      <c r="B167" t="s">
        <v>429</v>
      </c>
      <c r="C167">
        <v>24</v>
      </c>
      <c r="D167">
        <v>20230301</v>
      </c>
      <c r="E167">
        <v>3</v>
      </c>
      <c r="F167">
        <v>411100</v>
      </c>
      <c r="G167" t="s">
        <v>18</v>
      </c>
      <c r="H167" t="s">
        <v>3865</v>
      </c>
      <c r="I167" t="s">
        <v>3866</v>
      </c>
      <c r="J167">
        <v>367462</v>
      </c>
      <c r="K167">
        <v>20230301</v>
      </c>
      <c r="L167" t="s">
        <v>5430</v>
      </c>
      <c r="M167">
        <v>0</v>
      </c>
      <c r="N167">
        <v>42</v>
      </c>
      <c r="O167" t="s">
        <v>19</v>
      </c>
      <c r="P167" t="s">
        <v>20</v>
      </c>
      <c r="Q167">
        <v>20230301</v>
      </c>
    </row>
    <row r="168" spans="1:17" x14ac:dyDescent="0.25">
      <c r="A168" t="s">
        <v>548</v>
      </c>
      <c r="B168" t="s">
        <v>429</v>
      </c>
      <c r="C168">
        <v>24</v>
      </c>
      <c r="D168">
        <v>20230301</v>
      </c>
      <c r="E168">
        <v>3</v>
      </c>
      <c r="F168">
        <v>411100</v>
      </c>
      <c r="G168" t="s">
        <v>18</v>
      </c>
      <c r="H168" t="s">
        <v>5398</v>
      </c>
      <c r="I168" t="s">
        <v>5399</v>
      </c>
      <c r="J168">
        <v>367463</v>
      </c>
      <c r="K168">
        <v>20230301</v>
      </c>
      <c r="L168" t="s">
        <v>5431</v>
      </c>
      <c r="M168">
        <v>0</v>
      </c>
      <c r="N168">
        <v>46</v>
      </c>
      <c r="O168" t="s">
        <v>19</v>
      </c>
      <c r="P168" t="s">
        <v>20</v>
      </c>
      <c r="Q168">
        <v>20230301</v>
      </c>
    </row>
    <row r="169" spans="1:17" x14ac:dyDescent="0.25">
      <c r="A169" t="s">
        <v>548</v>
      </c>
      <c r="B169" t="s">
        <v>429</v>
      </c>
      <c r="C169">
        <v>24</v>
      </c>
      <c r="D169">
        <v>20230301</v>
      </c>
      <c r="E169">
        <v>3</v>
      </c>
      <c r="F169">
        <v>411100</v>
      </c>
      <c r="G169" t="s">
        <v>18</v>
      </c>
      <c r="H169" t="s">
        <v>599</v>
      </c>
      <c r="I169" t="s">
        <v>600</v>
      </c>
      <c r="J169">
        <v>367464</v>
      </c>
      <c r="K169">
        <v>20230301</v>
      </c>
      <c r="L169" t="s">
        <v>5432</v>
      </c>
      <c r="M169">
        <v>0</v>
      </c>
      <c r="N169">
        <v>57</v>
      </c>
      <c r="O169" t="s">
        <v>19</v>
      </c>
      <c r="P169" t="s">
        <v>20</v>
      </c>
      <c r="Q169">
        <v>20230301</v>
      </c>
    </row>
    <row r="170" spans="1:17" x14ac:dyDescent="0.25">
      <c r="A170" t="s">
        <v>548</v>
      </c>
      <c r="B170" t="s">
        <v>429</v>
      </c>
      <c r="C170">
        <v>24</v>
      </c>
      <c r="D170">
        <v>20230301</v>
      </c>
      <c r="E170">
        <v>3</v>
      </c>
      <c r="F170">
        <v>411100</v>
      </c>
      <c r="G170" t="s">
        <v>18</v>
      </c>
      <c r="H170" t="s">
        <v>1178</v>
      </c>
      <c r="I170" t="s">
        <v>1179</v>
      </c>
      <c r="J170">
        <v>367465</v>
      </c>
      <c r="K170">
        <v>20230301</v>
      </c>
      <c r="L170" t="s">
        <v>5433</v>
      </c>
      <c r="M170">
        <v>0</v>
      </c>
      <c r="N170">
        <v>49</v>
      </c>
      <c r="O170" t="s">
        <v>19</v>
      </c>
      <c r="P170" t="s">
        <v>20</v>
      </c>
      <c r="Q170">
        <v>20230301</v>
      </c>
    </row>
    <row r="171" spans="1:17" x14ac:dyDescent="0.25">
      <c r="A171" t="s">
        <v>548</v>
      </c>
      <c r="B171" t="s">
        <v>429</v>
      </c>
      <c r="C171">
        <v>24</v>
      </c>
      <c r="D171">
        <v>20230301</v>
      </c>
      <c r="E171">
        <v>3</v>
      </c>
      <c r="F171">
        <v>411000</v>
      </c>
      <c r="G171" t="s">
        <v>21</v>
      </c>
      <c r="H171" t="s">
        <v>271</v>
      </c>
      <c r="I171" t="s">
        <v>272</v>
      </c>
      <c r="J171">
        <v>367466</v>
      </c>
      <c r="K171">
        <v>20230301</v>
      </c>
      <c r="L171" t="s">
        <v>5434</v>
      </c>
      <c r="M171">
        <v>0</v>
      </c>
      <c r="N171">
        <v>21</v>
      </c>
      <c r="O171" t="s">
        <v>19</v>
      </c>
      <c r="P171" t="s">
        <v>20</v>
      </c>
      <c r="Q171">
        <v>20230301</v>
      </c>
    </row>
    <row r="172" spans="1:17" x14ac:dyDescent="0.25">
      <c r="A172" t="s">
        <v>548</v>
      </c>
      <c r="B172" t="s">
        <v>429</v>
      </c>
      <c r="C172">
        <v>24</v>
      </c>
      <c r="D172">
        <v>20230301</v>
      </c>
      <c r="E172">
        <v>3</v>
      </c>
      <c r="F172">
        <v>411100</v>
      </c>
      <c r="G172" t="s">
        <v>18</v>
      </c>
      <c r="H172" t="s">
        <v>3569</v>
      </c>
      <c r="I172" t="s">
        <v>3570</v>
      </c>
      <c r="J172">
        <v>367467</v>
      </c>
      <c r="K172">
        <v>20230301</v>
      </c>
      <c r="L172" t="s">
        <v>5435</v>
      </c>
      <c r="M172">
        <v>0</v>
      </c>
      <c r="N172">
        <v>9</v>
      </c>
      <c r="O172" t="s">
        <v>19</v>
      </c>
      <c r="P172" t="s">
        <v>20</v>
      </c>
      <c r="Q172">
        <v>20230301</v>
      </c>
    </row>
    <row r="173" spans="1:17" x14ac:dyDescent="0.25">
      <c r="A173" t="s">
        <v>548</v>
      </c>
      <c r="B173" t="s">
        <v>429</v>
      </c>
      <c r="C173">
        <v>24</v>
      </c>
      <c r="D173">
        <v>20230301</v>
      </c>
      <c r="E173">
        <v>3</v>
      </c>
      <c r="F173">
        <v>411100</v>
      </c>
      <c r="G173" t="s">
        <v>18</v>
      </c>
      <c r="H173" t="s">
        <v>4064</v>
      </c>
      <c r="I173" t="s">
        <v>4065</v>
      </c>
      <c r="J173">
        <v>367468</v>
      </c>
      <c r="K173">
        <v>20230301</v>
      </c>
      <c r="L173" t="s">
        <v>5436</v>
      </c>
      <c r="M173">
        <v>0</v>
      </c>
      <c r="N173">
        <v>18</v>
      </c>
      <c r="O173" t="s">
        <v>19</v>
      </c>
      <c r="P173" t="s">
        <v>20</v>
      </c>
      <c r="Q173">
        <v>20230301</v>
      </c>
    </row>
    <row r="174" spans="1:17" x14ac:dyDescent="0.25">
      <c r="A174" t="s">
        <v>548</v>
      </c>
      <c r="B174" t="s">
        <v>429</v>
      </c>
      <c r="C174">
        <v>24</v>
      </c>
      <c r="D174">
        <v>20230301</v>
      </c>
      <c r="E174">
        <v>3</v>
      </c>
      <c r="F174">
        <v>411100</v>
      </c>
      <c r="G174" t="s">
        <v>18</v>
      </c>
      <c r="H174" t="s">
        <v>291</v>
      </c>
      <c r="I174" t="s">
        <v>292</v>
      </c>
      <c r="J174">
        <v>367469</v>
      </c>
      <c r="K174">
        <v>20230301</v>
      </c>
      <c r="L174" t="s">
        <v>5437</v>
      </c>
      <c r="M174">
        <v>0</v>
      </c>
      <c r="N174">
        <v>54</v>
      </c>
      <c r="O174" t="s">
        <v>19</v>
      </c>
      <c r="P174" t="s">
        <v>20</v>
      </c>
      <c r="Q174">
        <v>20230301</v>
      </c>
    </row>
    <row r="175" spans="1:17" x14ac:dyDescent="0.25">
      <c r="A175" t="s">
        <v>548</v>
      </c>
      <c r="B175" t="s">
        <v>429</v>
      </c>
      <c r="C175">
        <v>24</v>
      </c>
      <c r="D175">
        <v>20230301</v>
      </c>
      <c r="E175">
        <v>3</v>
      </c>
      <c r="F175">
        <v>531105</v>
      </c>
      <c r="G175" t="s">
        <v>429</v>
      </c>
      <c r="H175" t="s">
        <v>401</v>
      </c>
      <c r="I175" t="s">
        <v>402</v>
      </c>
      <c r="J175">
        <v>367470</v>
      </c>
      <c r="K175">
        <v>20230301</v>
      </c>
      <c r="L175" t="s">
        <v>565</v>
      </c>
      <c r="M175">
        <v>316</v>
      </c>
      <c r="N175">
        <v>0</v>
      </c>
      <c r="O175" t="s">
        <v>19</v>
      </c>
      <c r="P175" t="s">
        <v>20</v>
      </c>
      <c r="Q175">
        <v>20230301</v>
      </c>
    </row>
    <row r="176" spans="1:17" x14ac:dyDescent="0.25">
      <c r="A176" t="s">
        <v>548</v>
      </c>
      <c r="B176" t="s">
        <v>429</v>
      </c>
      <c r="C176">
        <v>24</v>
      </c>
      <c r="D176">
        <v>20230301</v>
      </c>
      <c r="E176">
        <v>3</v>
      </c>
      <c r="F176">
        <v>411020</v>
      </c>
      <c r="G176" t="s">
        <v>30</v>
      </c>
      <c r="H176" t="s">
        <v>324</v>
      </c>
      <c r="I176" t="s">
        <v>325</v>
      </c>
      <c r="J176">
        <v>323010003</v>
      </c>
      <c r="K176">
        <v>20230301</v>
      </c>
      <c r="L176" t="s">
        <v>5438</v>
      </c>
      <c r="M176">
        <v>0</v>
      </c>
      <c r="N176">
        <v>200</v>
      </c>
      <c r="O176" t="s">
        <v>19</v>
      </c>
      <c r="P176" t="s">
        <v>20</v>
      </c>
      <c r="Q176">
        <v>20230301</v>
      </c>
    </row>
    <row r="177" spans="1:17" x14ac:dyDescent="0.25">
      <c r="A177" t="s">
        <v>548</v>
      </c>
      <c r="B177" t="s">
        <v>429</v>
      </c>
      <c r="C177">
        <v>24</v>
      </c>
      <c r="D177">
        <v>20230301</v>
      </c>
      <c r="E177">
        <v>3</v>
      </c>
      <c r="F177">
        <v>531105</v>
      </c>
      <c r="G177" t="s">
        <v>429</v>
      </c>
      <c r="H177" t="s">
        <v>401</v>
      </c>
      <c r="I177" t="s">
        <v>402</v>
      </c>
      <c r="J177">
        <v>367561</v>
      </c>
      <c r="K177">
        <v>20230301</v>
      </c>
      <c r="L177" t="s">
        <v>565</v>
      </c>
      <c r="M177">
        <v>200</v>
      </c>
      <c r="N177">
        <v>0</v>
      </c>
      <c r="O177" t="s">
        <v>19</v>
      </c>
      <c r="P177" t="s">
        <v>20</v>
      </c>
      <c r="Q177">
        <v>20230301</v>
      </c>
    </row>
    <row r="178" spans="1:17" x14ac:dyDescent="0.25">
      <c r="A178" t="s">
        <v>548</v>
      </c>
      <c r="B178" t="s">
        <v>429</v>
      </c>
      <c r="C178">
        <v>24</v>
      </c>
      <c r="D178">
        <v>20230302</v>
      </c>
      <c r="E178">
        <v>3</v>
      </c>
      <c r="F178">
        <v>467100</v>
      </c>
      <c r="G178" t="s">
        <v>160</v>
      </c>
      <c r="H178" t="s">
        <v>4958</v>
      </c>
      <c r="I178" t="s">
        <v>4959</v>
      </c>
      <c r="J178" t="s">
        <v>5439</v>
      </c>
      <c r="K178">
        <v>20230302</v>
      </c>
      <c r="L178" t="s">
        <v>5440</v>
      </c>
      <c r="M178">
        <v>0</v>
      </c>
      <c r="N178">
        <v>120</v>
      </c>
      <c r="O178" t="s">
        <v>23</v>
      </c>
      <c r="P178">
        <v>20230308</v>
      </c>
      <c r="Q178">
        <v>20230302</v>
      </c>
    </row>
    <row r="179" spans="1:17" x14ac:dyDescent="0.25">
      <c r="A179" t="s">
        <v>548</v>
      </c>
      <c r="B179" t="s">
        <v>429</v>
      </c>
      <c r="C179">
        <v>24</v>
      </c>
      <c r="D179">
        <v>20230302</v>
      </c>
      <c r="E179">
        <v>3</v>
      </c>
      <c r="F179">
        <v>531105</v>
      </c>
      <c r="G179" t="s">
        <v>429</v>
      </c>
      <c r="H179" t="s">
        <v>401</v>
      </c>
      <c r="I179" t="s">
        <v>402</v>
      </c>
      <c r="J179" t="s">
        <v>5439</v>
      </c>
      <c r="K179">
        <v>20230302</v>
      </c>
      <c r="L179" t="s">
        <v>5440</v>
      </c>
      <c r="M179">
        <v>120</v>
      </c>
      <c r="N179">
        <v>0</v>
      </c>
      <c r="O179" t="s">
        <v>19</v>
      </c>
      <c r="P179" t="s">
        <v>20</v>
      </c>
      <c r="Q179">
        <v>20230302</v>
      </c>
    </row>
    <row r="180" spans="1:17" x14ac:dyDescent="0.25">
      <c r="A180" t="s">
        <v>548</v>
      </c>
      <c r="B180" t="s">
        <v>429</v>
      </c>
      <c r="C180">
        <v>24</v>
      </c>
      <c r="D180">
        <v>20230302</v>
      </c>
      <c r="E180">
        <v>3</v>
      </c>
      <c r="F180">
        <v>467100</v>
      </c>
      <c r="G180" t="s">
        <v>160</v>
      </c>
      <c r="H180" t="s">
        <v>4958</v>
      </c>
      <c r="I180" t="s">
        <v>4959</v>
      </c>
      <c r="J180" t="s">
        <v>5441</v>
      </c>
      <c r="K180">
        <v>20230302</v>
      </c>
      <c r="L180" t="s">
        <v>5442</v>
      </c>
      <c r="M180">
        <v>30</v>
      </c>
      <c r="N180">
        <v>0</v>
      </c>
      <c r="O180" t="s">
        <v>23</v>
      </c>
      <c r="P180">
        <v>20230308</v>
      </c>
      <c r="Q180">
        <v>20230302</v>
      </c>
    </row>
    <row r="181" spans="1:17" x14ac:dyDescent="0.25">
      <c r="A181" t="s">
        <v>548</v>
      </c>
      <c r="B181" t="s">
        <v>429</v>
      </c>
      <c r="C181">
        <v>24</v>
      </c>
      <c r="D181">
        <v>20230302</v>
      </c>
      <c r="E181">
        <v>3</v>
      </c>
      <c r="F181">
        <v>531105</v>
      </c>
      <c r="G181" t="s">
        <v>429</v>
      </c>
      <c r="H181" t="s">
        <v>401</v>
      </c>
      <c r="I181" t="s">
        <v>402</v>
      </c>
      <c r="J181" t="s">
        <v>5441</v>
      </c>
      <c r="K181">
        <v>20230302</v>
      </c>
      <c r="L181" t="s">
        <v>5442</v>
      </c>
      <c r="M181">
        <v>0</v>
      </c>
      <c r="N181">
        <v>30</v>
      </c>
      <c r="O181" t="s">
        <v>19</v>
      </c>
      <c r="P181" t="s">
        <v>20</v>
      </c>
      <c r="Q181">
        <v>20230302</v>
      </c>
    </row>
    <row r="182" spans="1:17" x14ac:dyDescent="0.25">
      <c r="A182" t="s">
        <v>548</v>
      </c>
      <c r="B182" t="s">
        <v>429</v>
      </c>
      <c r="C182">
        <v>24</v>
      </c>
      <c r="D182">
        <v>20230302</v>
      </c>
      <c r="E182">
        <v>3</v>
      </c>
      <c r="F182">
        <v>467100</v>
      </c>
      <c r="G182" t="s">
        <v>160</v>
      </c>
      <c r="H182" t="s">
        <v>1307</v>
      </c>
      <c r="I182" t="s">
        <v>1308</v>
      </c>
      <c r="J182" t="s">
        <v>5443</v>
      </c>
      <c r="K182">
        <v>20230302</v>
      </c>
      <c r="L182" t="s">
        <v>5444</v>
      </c>
      <c r="M182">
        <v>24.99</v>
      </c>
      <c r="N182">
        <v>0</v>
      </c>
      <c r="O182" t="s">
        <v>23</v>
      </c>
      <c r="P182">
        <v>20230314</v>
      </c>
      <c r="Q182">
        <v>20230302</v>
      </c>
    </row>
    <row r="183" spans="1:17" x14ac:dyDescent="0.25">
      <c r="A183" t="s">
        <v>548</v>
      </c>
      <c r="B183" t="s">
        <v>429</v>
      </c>
      <c r="C183">
        <v>24</v>
      </c>
      <c r="D183">
        <v>20230302</v>
      </c>
      <c r="E183">
        <v>3</v>
      </c>
      <c r="F183">
        <v>531105</v>
      </c>
      <c r="G183" t="s">
        <v>429</v>
      </c>
      <c r="H183" t="s">
        <v>401</v>
      </c>
      <c r="I183" t="s">
        <v>402</v>
      </c>
      <c r="J183" t="s">
        <v>5443</v>
      </c>
      <c r="K183">
        <v>20230302</v>
      </c>
      <c r="L183" t="s">
        <v>5444</v>
      </c>
      <c r="M183">
        <v>0</v>
      </c>
      <c r="N183">
        <v>24.99</v>
      </c>
      <c r="O183" t="s">
        <v>19</v>
      </c>
      <c r="P183" t="s">
        <v>20</v>
      </c>
      <c r="Q183">
        <v>20230302</v>
      </c>
    </row>
    <row r="184" spans="1:17" x14ac:dyDescent="0.25">
      <c r="A184" t="s">
        <v>548</v>
      </c>
      <c r="B184" t="s">
        <v>429</v>
      </c>
      <c r="C184">
        <v>24</v>
      </c>
      <c r="D184">
        <v>20230302</v>
      </c>
      <c r="E184">
        <v>3</v>
      </c>
      <c r="F184">
        <v>411100</v>
      </c>
      <c r="G184" t="s">
        <v>18</v>
      </c>
      <c r="H184" t="s">
        <v>77</v>
      </c>
      <c r="I184" t="s">
        <v>78</v>
      </c>
      <c r="J184">
        <v>367471</v>
      </c>
      <c r="K184">
        <v>20230302</v>
      </c>
      <c r="L184" t="s">
        <v>5445</v>
      </c>
      <c r="M184">
        <v>0</v>
      </c>
      <c r="N184">
        <v>94</v>
      </c>
      <c r="O184" t="s">
        <v>19</v>
      </c>
      <c r="P184" t="s">
        <v>20</v>
      </c>
      <c r="Q184">
        <v>20230302</v>
      </c>
    </row>
    <row r="185" spans="1:17" x14ac:dyDescent="0.25">
      <c r="A185" t="s">
        <v>548</v>
      </c>
      <c r="B185" t="s">
        <v>429</v>
      </c>
      <c r="C185">
        <v>24</v>
      </c>
      <c r="D185">
        <v>20230302</v>
      </c>
      <c r="E185">
        <v>3</v>
      </c>
      <c r="F185">
        <v>411100</v>
      </c>
      <c r="G185" t="s">
        <v>18</v>
      </c>
      <c r="H185" t="s">
        <v>5396</v>
      </c>
      <c r="I185" t="s">
        <v>5397</v>
      </c>
      <c r="J185">
        <v>367472</v>
      </c>
      <c r="K185">
        <v>20230302</v>
      </c>
      <c r="L185" t="s">
        <v>5446</v>
      </c>
      <c r="M185">
        <v>0</v>
      </c>
      <c r="N185">
        <v>39</v>
      </c>
      <c r="O185" t="s">
        <v>19</v>
      </c>
      <c r="P185" t="s">
        <v>20</v>
      </c>
      <c r="Q185">
        <v>20230302</v>
      </c>
    </row>
    <row r="186" spans="1:17" x14ac:dyDescent="0.25">
      <c r="A186" t="s">
        <v>548</v>
      </c>
      <c r="B186" t="s">
        <v>429</v>
      </c>
      <c r="C186">
        <v>24</v>
      </c>
      <c r="D186">
        <v>20230302</v>
      </c>
      <c r="E186">
        <v>3</v>
      </c>
      <c r="F186">
        <v>411100</v>
      </c>
      <c r="G186" t="s">
        <v>18</v>
      </c>
      <c r="H186" t="s">
        <v>2870</v>
      </c>
      <c r="I186" t="s">
        <v>2871</v>
      </c>
      <c r="J186">
        <v>367473</v>
      </c>
      <c r="K186">
        <v>20230302</v>
      </c>
      <c r="L186" t="s">
        <v>5447</v>
      </c>
      <c r="M186">
        <v>0</v>
      </c>
      <c r="N186">
        <v>51</v>
      </c>
      <c r="O186" t="s">
        <v>19</v>
      </c>
      <c r="P186" t="s">
        <v>20</v>
      </c>
      <c r="Q186">
        <v>20230302</v>
      </c>
    </row>
    <row r="187" spans="1:17" x14ac:dyDescent="0.25">
      <c r="A187" t="s">
        <v>548</v>
      </c>
      <c r="B187" t="s">
        <v>429</v>
      </c>
      <c r="C187">
        <v>24</v>
      </c>
      <c r="D187">
        <v>20230302</v>
      </c>
      <c r="E187">
        <v>3</v>
      </c>
      <c r="F187">
        <v>411100</v>
      </c>
      <c r="G187" t="s">
        <v>18</v>
      </c>
      <c r="H187" t="s">
        <v>1417</v>
      </c>
      <c r="I187" t="s">
        <v>1418</v>
      </c>
      <c r="J187">
        <v>367474</v>
      </c>
      <c r="K187">
        <v>20230302</v>
      </c>
      <c r="L187" t="s">
        <v>5448</v>
      </c>
      <c r="M187">
        <v>0</v>
      </c>
      <c r="N187">
        <v>14</v>
      </c>
      <c r="O187" t="s">
        <v>23</v>
      </c>
      <c r="P187">
        <v>20230329</v>
      </c>
      <c r="Q187">
        <v>20230302</v>
      </c>
    </row>
    <row r="188" spans="1:17" x14ac:dyDescent="0.25">
      <c r="A188" t="s">
        <v>548</v>
      </c>
      <c r="B188" t="s">
        <v>429</v>
      </c>
      <c r="C188">
        <v>24</v>
      </c>
      <c r="D188">
        <v>20230302</v>
      </c>
      <c r="E188">
        <v>3</v>
      </c>
      <c r="F188">
        <v>411100</v>
      </c>
      <c r="G188" t="s">
        <v>18</v>
      </c>
      <c r="H188" t="s">
        <v>2246</v>
      </c>
      <c r="I188" t="s">
        <v>2247</v>
      </c>
      <c r="J188">
        <v>367475</v>
      </c>
      <c r="K188">
        <v>20230302</v>
      </c>
      <c r="L188" t="s">
        <v>5449</v>
      </c>
      <c r="M188">
        <v>0</v>
      </c>
      <c r="N188">
        <v>15</v>
      </c>
      <c r="O188" t="s">
        <v>23</v>
      </c>
      <c r="P188">
        <v>20230329</v>
      </c>
      <c r="Q188">
        <v>20230302</v>
      </c>
    </row>
    <row r="189" spans="1:17" x14ac:dyDescent="0.25">
      <c r="A189" t="s">
        <v>548</v>
      </c>
      <c r="B189" t="s">
        <v>429</v>
      </c>
      <c r="C189">
        <v>24</v>
      </c>
      <c r="D189">
        <v>20230302</v>
      </c>
      <c r="E189">
        <v>3</v>
      </c>
      <c r="F189">
        <v>531105</v>
      </c>
      <c r="G189" t="s">
        <v>429</v>
      </c>
      <c r="H189" t="s">
        <v>401</v>
      </c>
      <c r="I189" t="s">
        <v>402</v>
      </c>
      <c r="J189">
        <v>367476</v>
      </c>
      <c r="K189">
        <v>20230302</v>
      </c>
      <c r="L189" t="s">
        <v>565</v>
      </c>
      <c r="M189">
        <v>213</v>
      </c>
      <c r="N189">
        <v>0</v>
      </c>
      <c r="O189" t="s">
        <v>19</v>
      </c>
      <c r="P189" t="s">
        <v>20</v>
      </c>
      <c r="Q189">
        <v>20230302</v>
      </c>
    </row>
    <row r="190" spans="1:17" x14ac:dyDescent="0.25">
      <c r="A190" t="s">
        <v>548</v>
      </c>
      <c r="B190" t="s">
        <v>429</v>
      </c>
      <c r="C190">
        <v>24</v>
      </c>
      <c r="D190">
        <v>20230303</v>
      </c>
      <c r="E190">
        <v>3</v>
      </c>
      <c r="F190">
        <v>467100</v>
      </c>
      <c r="G190" t="s">
        <v>160</v>
      </c>
      <c r="H190" t="s">
        <v>1305</v>
      </c>
      <c r="I190" t="s">
        <v>1306</v>
      </c>
      <c r="J190" t="s">
        <v>5450</v>
      </c>
      <c r="K190">
        <v>20230303</v>
      </c>
      <c r="L190" t="s">
        <v>5451</v>
      </c>
      <c r="M190">
        <v>15.69</v>
      </c>
      <c r="N190">
        <v>0</v>
      </c>
      <c r="O190" t="s">
        <v>23</v>
      </c>
      <c r="P190">
        <v>20230314</v>
      </c>
      <c r="Q190">
        <v>20230303</v>
      </c>
    </row>
    <row r="191" spans="1:17" x14ac:dyDescent="0.25">
      <c r="A191" t="s">
        <v>548</v>
      </c>
      <c r="B191" t="s">
        <v>429</v>
      </c>
      <c r="C191">
        <v>24</v>
      </c>
      <c r="D191">
        <v>20230303</v>
      </c>
      <c r="E191">
        <v>3</v>
      </c>
      <c r="F191">
        <v>531105</v>
      </c>
      <c r="G191" t="s">
        <v>429</v>
      </c>
      <c r="H191" t="s">
        <v>401</v>
      </c>
      <c r="I191" t="s">
        <v>402</v>
      </c>
      <c r="J191" t="s">
        <v>5450</v>
      </c>
      <c r="K191">
        <v>20230303</v>
      </c>
      <c r="L191" t="s">
        <v>5451</v>
      </c>
      <c r="M191">
        <v>0</v>
      </c>
      <c r="N191">
        <v>15.69</v>
      </c>
      <c r="O191" t="s">
        <v>19</v>
      </c>
      <c r="P191" t="s">
        <v>20</v>
      </c>
      <c r="Q191">
        <v>20230303</v>
      </c>
    </row>
    <row r="192" spans="1:17" x14ac:dyDescent="0.25">
      <c r="A192" t="s">
        <v>548</v>
      </c>
      <c r="B192" t="s">
        <v>429</v>
      </c>
      <c r="C192">
        <v>24</v>
      </c>
      <c r="D192">
        <v>20230303</v>
      </c>
      <c r="E192">
        <v>3</v>
      </c>
      <c r="F192">
        <v>467100</v>
      </c>
      <c r="G192" t="s">
        <v>160</v>
      </c>
      <c r="H192" t="s">
        <v>4958</v>
      </c>
      <c r="I192" t="s">
        <v>4959</v>
      </c>
      <c r="J192" t="s">
        <v>5452</v>
      </c>
      <c r="K192">
        <v>20230303</v>
      </c>
      <c r="L192" t="s">
        <v>5453</v>
      </c>
      <c r="M192">
        <v>0</v>
      </c>
      <c r="N192">
        <v>9.9</v>
      </c>
      <c r="O192" t="s">
        <v>23</v>
      </c>
      <c r="P192">
        <v>20230308</v>
      </c>
      <c r="Q192">
        <v>20230303</v>
      </c>
    </row>
    <row r="193" spans="1:17" x14ac:dyDescent="0.25">
      <c r="A193" t="s">
        <v>548</v>
      </c>
      <c r="B193" t="s">
        <v>429</v>
      </c>
      <c r="C193">
        <v>24</v>
      </c>
      <c r="D193">
        <v>20230303</v>
      </c>
      <c r="E193">
        <v>3</v>
      </c>
      <c r="F193">
        <v>531105</v>
      </c>
      <c r="G193" t="s">
        <v>429</v>
      </c>
      <c r="H193" t="s">
        <v>401</v>
      </c>
      <c r="I193" t="s">
        <v>402</v>
      </c>
      <c r="J193" t="s">
        <v>5452</v>
      </c>
      <c r="K193">
        <v>20230303</v>
      </c>
      <c r="L193" t="s">
        <v>5453</v>
      </c>
      <c r="M193">
        <v>9.9</v>
      </c>
      <c r="N193">
        <v>0</v>
      </c>
      <c r="O193" t="s">
        <v>19</v>
      </c>
      <c r="P193" t="s">
        <v>20</v>
      </c>
      <c r="Q193">
        <v>20230303</v>
      </c>
    </row>
    <row r="194" spans="1:17" x14ac:dyDescent="0.25">
      <c r="A194" t="s">
        <v>548</v>
      </c>
      <c r="B194" t="s">
        <v>429</v>
      </c>
      <c r="C194">
        <v>24</v>
      </c>
      <c r="D194">
        <v>20230303</v>
      </c>
      <c r="E194">
        <v>3</v>
      </c>
      <c r="F194">
        <v>411100</v>
      </c>
      <c r="G194" t="s">
        <v>18</v>
      </c>
      <c r="H194" t="s">
        <v>5279</v>
      </c>
      <c r="I194" t="s">
        <v>5280</v>
      </c>
      <c r="J194">
        <v>367477</v>
      </c>
      <c r="K194">
        <v>20230303</v>
      </c>
      <c r="L194" t="s">
        <v>5454</v>
      </c>
      <c r="M194">
        <v>0</v>
      </c>
      <c r="N194">
        <v>5</v>
      </c>
      <c r="O194" t="s">
        <v>19</v>
      </c>
      <c r="P194" t="s">
        <v>20</v>
      </c>
      <c r="Q194">
        <v>20230303</v>
      </c>
    </row>
    <row r="195" spans="1:17" x14ac:dyDescent="0.25">
      <c r="A195" t="s">
        <v>548</v>
      </c>
      <c r="B195" t="s">
        <v>429</v>
      </c>
      <c r="C195">
        <v>24</v>
      </c>
      <c r="D195">
        <v>20230303</v>
      </c>
      <c r="E195">
        <v>3</v>
      </c>
      <c r="F195">
        <v>411100</v>
      </c>
      <c r="G195" t="s">
        <v>18</v>
      </c>
      <c r="H195" t="s">
        <v>3901</v>
      </c>
      <c r="I195" t="s">
        <v>3902</v>
      </c>
      <c r="J195">
        <v>367478</v>
      </c>
      <c r="K195">
        <v>20230303</v>
      </c>
      <c r="L195" t="s">
        <v>5455</v>
      </c>
      <c r="M195">
        <v>0</v>
      </c>
      <c r="N195">
        <v>5</v>
      </c>
      <c r="O195" t="s">
        <v>19</v>
      </c>
      <c r="P195" t="s">
        <v>20</v>
      </c>
      <c r="Q195">
        <v>20230303</v>
      </c>
    </row>
    <row r="196" spans="1:17" x14ac:dyDescent="0.25">
      <c r="A196" t="s">
        <v>548</v>
      </c>
      <c r="B196" t="s">
        <v>429</v>
      </c>
      <c r="C196">
        <v>24</v>
      </c>
      <c r="D196">
        <v>20230303</v>
      </c>
      <c r="E196">
        <v>3</v>
      </c>
      <c r="F196">
        <v>411100</v>
      </c>
      <c r="G196" t="s">
        <v>18</v>
      </c>
      <c r="H196" t="s">
        <v>154</v>
      </c>
      <c r="I196" t="s">
        <v>155</v>
      </c>
      <c r="J196">
        <v>367479</v>
      </c>
      <c r="K196">
        <v>20230303</v>
      </c>
      <c r="L196" t="s">
        <v>5456</v>
      </c>
      <c r="M196">
        <v>0</v>
      </c>
      <c r="N196">
        <v>5</v>
      </c>
      <c r="O196" t="s">
        <v>19</v>
      </c>
      <c r="P196" t="s">
        <v>20</v>
      </c>
      <c r="Q196">
        <v>20230303</v>
      </c>
    </row>
    <row r="197" spans="1:17" x14ac:dyDescent="0.25">
      <c r="A197" t="s">
        <v>548</v>
      </c>
      <c r="B197" t="s">
        <v>429</v>
      </c>
      <c r="C197">
        <v>24</v>
      </c>
      <c r="D197">
        <v>20230303</v>
      </c>
      <c r="E197">
        <v>3</v>
      </c>
      <c r="F197">
        <v>411100</v>
      </c>
      <c r="G197" t="s">
        <v>18</v>
      </c>
      <c r="H197" t="s">
        <v>81</v>
      </c>
      <c r="I197" t="s">
        <v>82</v>
      </c>
      <c r="J197">
        <v>367480</v>
      </c>
      <c r="K197">
        <v>20230303</v>
      </c>
      <c r="L197" t="s">
        <v>5457</v>
      </c>
      <c r="M197">
        <v>0</v>
      </c>
      <c r="N197">
        <v>5</v>
      </c>
      <c r="O197" t="s">
        <v>19</v>
      </c>
      <c r="P197" t="s">
        <v>20</v>
      </c>
      <c r="Q197">
        <v>20230303</v>
      </c>
    </row>
    <row r="198" spans="1:17" x14ac:dyDescent="0.25">
      <c r="A198" t="s">
        <v>548</v>
      </c>
      <c r="B198" t="s">
        <v>429</v>
      </c>
      <c r="C198">
        <v>24</v>
      </c>
      <c r="D198">
        <v>20230303</v>
      </c>
      <c r="E198">
        <v>3</v>
      </c>
      <c r="F198">
        <v>411100</v>
      </c>
      <c r="G198" t="s">
        <v>18</v>
      </c>
      <c r="H198" t="s">
        <v>1911</v>
      </c>
      <c r="I198" t="s">
        <v>1912</v>
      </c>
      <c r="J198">
        <v>367481</v>
      </c>
      <c r="K198">
        <v>20230303</v>
      </c>
      <c r="L198" t="s">
        <v>5458</v>
      </c>
      <c r="M198">
        <v>0</v>
      </c>
      <c r="N198">
        <v>10</v>
      </c>
      <c r="O198" t="s">
        <v>19</v>
      </c>
      <c r="P198" t="s">
        <v>20</v>
      </c>
      <c r="Q198">
        <v>20230303</v>
      </c>
    </row>
    <row r="199" spans="1:17" x14ac:dyDescent="0.25">
      <c r="A199" t="s">
        <v>548</v>
      </c>
      <c r="B199" t="s">
        <v>429</v>
      </c>
      <c r="C199">
        <v>24</v>
      </c>
      <c r="D199">
        <v>20230303</v>
      </c>
      <c r="E199">
        <v>3</v>
      </c>
      <c r="F199">
        <v>411100</v>
      </c>
      <c r="G199" t="s">
        <v>18</v>
      </c>
      <c r="H199" t="s">
        <v>85</v>
      </c>
      <c r="I199" t="s">
        <v>86</v>
      </c>
      <c r="J199">
        <v>367482</v>
      </c>
      <c r="K199">
        <v>20230303</v>
      </c>
      <c r="L199" t="s">
        <v>5459</v>
      </c>
      <c r="M199">
        <v>0</v>
      </c>
      <c r="N199">
        <v>10</v>
      </c>
      <c r="O199" t="s">
        <v>19</v>
      </c>
      <c r="P199" t="s">
        <v>20</v>
      </c>
      <c r="Q199">
        <v>20230303</v>
      </c>
    </row>
    <row r="200" spans="1:17" x14ac:dyDescent="0.25">
      <c r="A200" t="s">
        <v>548</v>
      </c>
      <c r="B200" t="s">
        <v>429</v>
      </c>
      <c r="C200">
        <v>24</v>
      </c>
      <c r="D200">
        <v>20230303</v>
      </c>
      <c r="E200">
        <v>3</v>
      </c>
      <c r="F200">
        <v>411100</v>
      </c>
      <c r="G200" t="s">
        <v>18</v>
      </c>
      <c r="H200" t="s">
        <v>5192</v>
      </c>
      <c r="I200" t="s">
        <v>5193</v>
      </c>
      <c r="J200">
        <v>367483</v>
      </c>
      <c r="K200">
        <v>20230303</v>
      </c>
      <c r="L200" t="s">
        <v>5460</v>
      </c>
      <c r="M200">
        <v>0</v>
      </c>
      <c r="N200">
        <v>5</v>
      </c>
      <c r="O200" t="s">
        <v>19</v>
      </c>
      <c r="P200" t="s">
        <v>20</v>
      </c>
      <c r="Q200">
        <v>20230303</v>
      </c>
    </row>
    <row r="201" spans="1:17" x14ac:dyDescent="0.25">
      <c r="A201" t="s">
        <v>548</v>
      </c>
      <c r="B201" t="s">
        <v>429</v>
      </c>
      <c r="C201">
        <v>24</v>
      </c>
      <c r="D201">
        <v>20230303</v>
      </c>
      <c r="E201">
        <v>3</v>
      </c>
      <c r="F201">
        <v>411100</v>
      </c>
      <c r="G201" t="s">
        <v>18</v>
      </c>
      <c r="H201" t="s">
        <v>5195</v>
      </c>
      <c r="I201" t="s">
        <v>5196</v>
      </c>
      <c r="J201">
        <v>367484</v>
      </c>
      <c r="K201">
        <v>20230303</v>
      </c>
      <c r="L201" t="s">
        <v>5461</v>
      </c>
      <c r="M201">
        <v>0</v>
      </c>
      <c r="N201">
        <v>5</v>
      </c>
      <c r="O201" t="s">
        <v>19</v>
      </c>
      <c r="P201" t="s">
        <v>20</v>
      </c>
      <c r="Q201">
        <v>20230303</v>
      </c>
    </row>
    <row r="202" spans="1:17" x14ac:dyDescent="0.25">
      <c r="A202" t="s">
        <v>548</v>
      </c>
      <c r="B202" t="s">
        <v>429</v>
      </c>
      <c r="C202">
        <v>24</v>
      </c>
      <c r="D202">
        <v>20230303</v>
      </c>
      <c r="E202">
        <v>3</v>
      </c>
      <c r="F202">
        <v>411100</v>
      </c>
      <c r="G202" t="s">
        <v>18</v>
      </c>
      <c r="H202" t="s">
        <v>3001</v>
      </c>
      <c r="I202" t="s">
        <v>3002</v>
      </c>
      <c r="J202">
        <v>367485</v>
      </c>
      <c r="K202">
        <v>20230303</v>
      </c>
      <c r="L202" t="s">
        <v>5462</v>
      </c>
      <c r="M202">
        <v>0</v>
      </c>
      <c r="N202">
        <v>10</v>
      </c>
      <c r="O202" t="s">
        <v>19</v>
      </c>
      <c r="P202" t="s">
        <v>20</v>
      </c>
      <c r="Q202">
        <v>20230303</v>
      </c>
    </row>
    <row r="203" spans="1:17" x14ac:dyDescent="0.25">
      <c r="A203" t="s">
        <v>548</v>
      </c>
      <c r="B203" t="s">
        <v>429</v>
      </c>
      <c r="C203">
        <v>24</v>
      </c>
      <c r="D203">
        <v>20230303</v>
      </c>
      <c r="E203">
        <v>3</v>
      </c>
      <c r="F203">
        <v>531105</v>
      </c>
      <c r="G203" t="s">
        <v>429</v>
      </c>
      <c r="H203" t="s">
        <v>401</v>
      </c>
      <c r="I203" t="s">
        <v>402</v>
      </c>
      <c r="J203">
        <v>367486</v>
      </c>
      <c r="K203">
        <v>20230303</v>
      </c>
      <c r="L203" t="s">
        <v>565</v>
      </c>
      <c r="M203">
        <v>60</v>
      </c>
      <c r="N203">
        <v>0</v>
      </c>
      <c r="O203" t="s">
        <v>19</v>
      </c>
      <c r="P203" t="s">
        <v>20</v>
      </c>
      <c r="Q203">
        <v>20230303</v>
      </c>
    </row>
    <row r="204" spans="1:17" x14ac:dyDescent="0.25">
      <c r="A204" t="s">
        <v>548</v>
      </c>
      <c r="B204" t="s">
        <v>429</v>
      </c>
      <c r="C204">
        <v>24</v>
      </c>
      <c r="D204">
        <v>20230303</v>
      </c>
      <c r="E204">
        <v>3</v>
      </c>
      <c r="F204">
        <v>411100</v>
      </c>
      <c r="G204" t="s">
        <v>18</v>
      </c>
      <c r="H204" t="s">
        <v>3216</v>
      </c>
      <c r="I204" t="s">
        <v>3217</v>
      </c>
      <c r="J204">
        <v>323010009</v>
      </c>
      <c r="K204">
        <v>20230303</v>
      </c>
      <c r="L204" t="s">
        <v>5463</v>
      </c>
      <c r="M204">
        <v>0</v>
      </c>
      <c r="N204">
        <v>82</v>
      </c>
      <c r="O204" t="s">
        <v>19</v>
      </c>
      <c r="P204" t="s">
        <v>20</v>
      </c>
      <c r="Q204">
        <v>20230303</v>
      </c>
    </row>
    <row r="205" spans="1:17" x14ac:dyDescent="0.25">
      <c r="A205" t="s">
        <v>548</v>
      </c>
      <c r="B205" t="s">
        <v>429</v>
      </c>
      <c r="C205">
        <v>24</v>
      </c>
      <c r="D205">
        <v>20230303</v>
      </c>
      <c r="E205">
        <v>3</v>
      </c>
      <c r="F205">
        <v>411100</v>
      </c>
      <c r="G205" t="s">
        <v>18</v>
      </c>
      <c r="H205" t="s">
        <v>3635</v>
      </c>
      <c r="I205" t="s">
        <v>3636</v>
      </c>
      <c r="J205">
        <v>323010011</v>
      </c>
      <c r="K205">
        <v>20230303</v>
      </c>
      <c r="L205" t="s">
        <v>5464</v>
      </c>
      <c r="M205">
        <v>0</v>
      </c>
      <c r="N205">
        <v>89.25</v>
      </c>
      <c r="O205" t="s">
        <v>19</v>
      </c>
      <c r="P205" t="s">
        <v>20</v>
      </c>
      <c r="Q205">
        <v>20230303</v>
      </c>
    </row>
    <row r="206" spans="1:17" x14ac:dyDescent="0.25">
      <c r="A206" t="s">
        <v>548</v>
      </c>
      <c r="B206" t="s">
        <v>429</v>
      </c>
      <c r="C206">
        <v>24</v>
      </c>
      <c r="D206">
        <v>20230303</v>
      </c>
      <c r="E206">
        <v>3</v>
      </c>
      <c r="F206">
        <v>531105</v>
      </c>
      <c r="G206" t="s">
        <v>429</v>
      </c>
      <c r="H206" t="s">
        <v>401</v>
      </c>
      <c r="I206" t="s">
        <v>402</v>
      </c>
      <c r="J206">
        <v>367564</v>
      </c>
      <c r="K206">
        <v>20230303</v>
      </c>
      <c r="L206" t="s">
        <v>565</v>
      </c>
      <c r="M206">
        <v>171.25</v>
      </c>
      <c r="N206">
        <v>0</v>
      </c>
      <c r="O206" t="s">
        <v>19</v>
      </c>
      <c r="P206" t="s">
        <v>20</v>
      </c>
      <c r="Q206">
        <v>20230303</v>
      </c>
    </row>
    <row r="207" spans="1:17" x14ac:dyDescent="0.25">
      <c r="A207" t="s">
        <v>548</v>
      </c>
      <c r="B207" t="s">
        <v>429</v>
      </c>
      <c r="C207">
        <v>24</v>
      </c>
      <c r="D207">
        <v>20230306</v>
      </c>
      <c r="E207">
        <v>3</v>
      </c>
      <c r="F207">
        <v>411100</v>
      </c>
      <c r="G207" t="s">
        <v>18</v>
      </c>
      <c r="H207" t="s">
        <v>1000</v>
      </c>
      <c r="I207" t="s">
        <v>1001</v>
      </c>
      <c r="J207">
        <v>367487</v>
      </c>
      <c r="K207">
        <v>20230306</v>
      </c>
      <c r="L207" t="s">
        <v>5465</v>
      </c>
      <c r="M207">
        <v>0</v>
      </c>
      <c r="N207">
        <v>2</v>
      </c>
      <c r="O207" t="s">
        <v>19</v>
      </c>
      <c r="P207" t="s">
        <v>20</v>
      </c>
      <c r="Q207">
        <v>20230306</v>
      </c>
    </row>
    <row r="208" spans="1:17" x14ac:dyDescent="0.25">
      <c r="A208" t="s">
        <v>548</v>
      </c>
      <c r="B208" t="s">
        <v>429</v>
      </c>
      <c r="C208">
        <v>24</v>
      </c>
      <c r="D208">
        <v>20230306</v>
      </c>
      <c r="E208">
        <v>3</v>
      </c>
      <c r="F208">
        <v>411100</v>
      </c>
      <c r="G208" t="s">
        <v>18</v>
      </c>
      <c r="H208" t="s">
        <v>1003</v>
      </c>
      <c r="I208" t="s">
        <v>1004</v>
      </c>
      <c r="J208">
        <v>367488</v>
      </c>
      <c r="K208">
        <v>20230306</v>
      </c>
      <c r="L208" t="s">
        <v>5466</v>
      </c>
      <c r="M208">
        <v>0</v>
      </c>
      <c r="N208">
        <v>2</v>
      </c>
      <c r="O208" t="s">
        <v>19</v>
      </c>
      <c r="P208" t="s">
        <v>20</v>
      </c>
      <c r="Q208">
        <v>20230306</v>
      </c>
    </row>
    <row r="209" spans="1:17" x14ac:dyDescent="0.25">
      <c r="A209" t="s">
        <v>548</v>
      </c>
      <c r="B209" t="s">
        <v>429</v>
      </c>
      <c r="C209">
        <v>24</v>
      </c>
      <c r="D209">
        <v>20230306</v>
      </c>
      <c r="E209">
        <v>3</v>
      </c>
      <c r="F209">
        <v>411100</v>
      </c>
      <c r="G209" t="s">
        <v>18</v>
      </c>
      <c r="H209" t="s">
        <v>997</v>
      </c>
      <c r="I209" t="s">
        <v>998</v>
      </c>
      <c r="J209">
        <v>367489</v>
      </c>
      <c r="K209">
        <v>20230306</v>
      </c>
      <c r="L209" t="s">
        <v>5467</v>
      </c>
      <c r="M209">
        <v>0</v>
      </c>
      <c r="N209">
        <v>2</v>
      </c>
      <c r="O209" t="s">
        <v>19</v>
      </c>
      <c r="P209" t="s">
        <v>20</v>
      </c>
      <c r="Q209">
        <v>20230306</v>
      </c>
    </row>
    <row r="210" spans="1:17" x14ac:dyDescent="0.25">
      <c r="A210" t="s">
        <v>548</v>
      </c>
      <c r="B210" t="s">
        <v>429</v>
      </c>
      <c r="C210">
        <v>24</v>
      </c>
      <c r="D210">
        <v>20230306</v>
      </c>
      <c r="E210">
        <v>3</v>
      </c>
      <c r="F210">
        <v>411100</v>
      </c>
      <c r="G210" t="s">
        <v>18</v>
      </c>
      <c r="H210" t="s">
        <v>1417</v>
      </c>
      <c r="I210" t="s">
        <v>1418</v>
      </c>
      <c r="J210">
        <v>367490</v>
      </c>
      <c r="K210">
        <v>20230306</v>
      </c>
      <c r="L210" t="s">
        <v>5468</v>
      </c>
      <c r="M210">
        <v>0</v>
      </c>
      <c r="N210">
        <v>2</v>
      </c>
      <c r="O210" t="s">
        <v>19</v>
      </c>
      <c r="P210" t="s">
        <v>20</v>
      </c>
      <c r="Q210">
        <v>20230306</v>
      </c>
    </row>
    <row r="211" spans="1:17" x14ac:dyDescent="0.25">
      <c r="A211" t="s">
        <v>548</v>
      </c>
      <c r="B211" t="s">
        <v>429</v>
      </c>
      <c r="C211">
        <v>24</v>
      </c>
      <c r="D211">
        <v>20230306</v>
      </c>
      <c r="E211">
        <v>3</v>
      </c>
      <c r="F211">
        <v>411100</v>
      </c>
      <c r="G211" t="s">
        <v>18</v>
      </c>
      <c r="H211" t="s">
        <v>3924</v>
      </c>
      <c r="I211" t="s">
        <v>3925</v>
      </c>
      <c r="J211">
        <v>367491</v>
      </c>
      <c r="K211">
        <v>20230306</v>
      </c>
      <c r="L211" t="s">
        <v>5469</v>
      </c>
      <c r="M211">
        <v>0</v>
      </c>
      <c r="N211">
        <v>2</v>
      </c>
      <c r="O211" t="s">
        <v>19</v>
      </c>
      <c r="P211" t="s">
        <v>20</v>
      </c>
      <c r="Q211">
        <v>20230306</v>
      </c>
    </row>
    <row r="212" spans="1:17" x14ac:dyDescent="0.25">
      <c r="A212" t="s">
        <v>548</v>
      </c>
      <c r="B212" t="s">
        <v>429</v>
      </c>
      <c r="C212">
        <v>24</v>
      </c>
      <c r="D212">
        <v>20230306</v>
      </c>
      <c r="E212">
        <v>3</v>
      </c>
      <c r="F212">
        <v>411100</v>
      </c>
      <c r="G212" t="s">
        <v>18</v>
      </c>
      <c r="H212" t="s">
        <v>179</v>
      </c>
      <c r="I212" t="s">
        <v>180</v>
      </c>
      <c r="J212">
        <v>367492</v>
      </c>
      <c r="K212">
        <v>20230306</v>
      </c>
      <c r="L212" t="s">
        <v>5470</v>
      </c>
      <c r="M212">
        <v>0</v>
      </c>
      <c r="N212">
        <v>2</v>
      </c>
      <c r="O212" t="s">
        <v>19</v>
      </c>
      <c r="P212" t="s">
        <v>20</v>
      </c>
      <c r="Q212">
        <v>20230306</v>
      </c>
    </row>
    <row r="213" spans="1:17" x14ac:dyDescent="0.25">
      <c r="A213" t="s">
        <v>548</v>
      </c>
      <c r="B213" t="s">
        <v>429</v>
      </c>
      <c r="C213">
        <v>24</v>
      </c>
      <c r="D213">
        <v>20230306</v>
      </c>
      <c r="E213">
        <v>3</v>
      </c>
      <c r="F213">
        <v>411100</v>
      </c>
      <c r="G213" t="s">
        <v>18</v>
      </c>
      <c r="H213" t="s">
        <v>1515</v>
      </c>
      <c r="I213" t="s">
        <v>1516</v>
      </c>
      <c r="J213">
        <v>367493</v>
      </c>
      <c r="K213">
        <v>20230306</v>
      </c>
      <c r="L213" t="s">
        <v>5471</v>
      </c>
      <c r="M213">
        <v>0</v>
      </c>
      <c r="N213">
        <v>64</v>
      </c>
      <c r="O213" t="s">
        <v>19</v>
      </c>
      <c r="P213" t="s">
        <v>20</v>
      </c>
      <c r="Q213">
        <v>20230306</v>
      </c>
    </row>
    <row r="214" spans="1:17" x14ac:dyDescent="0.25">
      <c r="A214" t="s">
        <v>548</v>
      </c>
      <c r="B214" t="s">
        <v>429</v>
      </c>
      <c r="C214">
        <v>24</v>
      </c>
      <c r="D214">
        <v>20230306</v>
      </c>
      <c r="E214">
        <v>3</v>
      </c>
      <c r="F214">
        <v>531105</v>
      </c>
      <c r="G214" t="s">
        <v>429</v>
      </c>
      <c r="H214" t="s">
        <v>401</v>
      </c>
      <c r="I214" t="s">
        <v>402</v>
      </c>
      <c r="J214">
        <v>367494</v>
      </c>
      <c r="K214">
        <v>20230306</v>
      </c>
      <c r="L214" t="s">
        <v>565</v>
      </c>
      <c r="M214">
        <v>76</v>
      </c>
      <c r="N214">
        <v>0</v>
      </c>
      <c r="O214" t="s">
        <v>19</v>
      </c>
      <c r="P214" t="s">
        <v>20</v>
      </c>
      <c r="Q214">
        <v>20230306</v>
      </c>
    </row>
    <row r="215" spans="1:17" x14ac:dyDescent="0.25">
      <c r="A215" t="s">
        <v>548</v>
      </c>
      <c r="B215" t="s">
        <v>429</v>
      </c>
      <c r="C215">
        <v>25</v>
      </c>
      <c r="D215">
        <v>20230310</v>
      </c>
      <c r="E215">
        <v>3</v>
      </c>
      <c r="F215">
        <v>467100</v>
      </c>
      <c r="G215" t="s">
        <v>160</v>
      </c>
      <c r="H215" t="s">
        <v>172</v>
      </c>
      <c r="I215" t="s">
        <v>173</v>
      </c>
      <c r="J215" t="s">
        <v>5472</v>
      </c>
      <c r="K215">
        <v>20230310</v>
      </c>
      <c r="L215" t="s">
        <v>5813</v>
      </c>
      <c r="M215">
        <v>0</v>
      </c>
      <c r="N215">
        <v>50</v>
      </c>
      <c r="O215" t="s">
        <v>23</v>
      </c>
      <c r="P215">
        <v>20230310</v>
      </c>
      <c r="Q215">
        <v>20230310</v>
      </c>
    </row>
    <row r="216" spans="1:17" x14ac:dyDescent="0.25">
      <c r="A216" t="s">
        <v>548</v>
      </c>
      <c r="B216" t="s">
        <v>429</v>
      </c>
      <c r="C216">
        <v>25</v>
      </c>
      <c r="D216">
        <v>20230310</v>
      </c>
      <c r="E216">
        <v>3</v>
      </c>
      <c r="F216">
        <v>531105</v>
      </c>
      <c r="G216" t="s">
        <v>429</v>
      </c>
      <c r="H216" t="s">
        <v>401</v>
      </c>
      <c r="I216" t="s">
        <v>402</v>
      </c>
      <c r="J216" t="s">
        <v>5472</v>
      </c>
      <c r="K216">
        <v>20230310</v>
      </c>
      <c r="L216" t="s">
        <v>5813</v>
      </c>
      <c r="M216">
        <v>50</v>
      </c>
      <c r="N216">
        <v>0</v>
      </c>
      <c r="O216" t="s">
        <v>19</v>
      </c>
      <c r="P216" t="s">
        <v>20</v>
      </c>
      <c r="Q216">
        <v>20230310</v>
      </c>
    </row>
    <row r="217" spans="1:17" x14ac:dyDescent="0.25">
      <c r="A217" t="s">
        <v>548</v>
      </c>
      <c r="B217" t="s">
        <v>429</v>
      </c>
      <c r="C217">
        <v>26</v>
      </c>
      <c r="D217">
        <v>20230314</v>
      </c>
      <c r="E217">
        <v>3</v>
      </c>
      <c r="F217">
        <v>467100</v>
      </c>
      <c r="G217" t="s">
        <v>160</v>
      </c>
      <c r="H217" t="s">
        <v>4958</v>
      </c>
      <c r="I217" t="s">
        <v>4959</v>
      </c>
      <c r="J217" t="s">
        <v>5474</v>
      </c>
      <c r="K217">
        <v>20230314</v>
      </c>
      <c r="L217" t="s">
        <v>5475</v>
      </c>
      <c r="M217">
        <v>50</v>
      </c>
      <c r="N217">
        <v>0</v>
      </c>
      <c r="O217" t="s">
        <v>19</v>
      </c>
      <c r="P217" t="s">
        <v>20</v>
      </c>
      <c r="Q217">
        <v>20230314</v>
      </c>
    </row>
    <row r="218" spans="1:17" x14ac:dyDescent="0.25">
      <c r="A218" t="s">
        <v>548</v>
      </c>
      <c r="B218" t="s">
        <v>429</v>
      </c>
      <c r="C218">
        <v>26</v>
      </c>
      <c r="D218">
        <v>20230314</v>
      </c>
      <c r="E218">
        <v>3</v>
      </c>
      <c r="F218">
        <v>531105</v>
      </c>
      <c r="G218" t="s">
        <v>429</v>
      </c>
      <c r="H218" t="s">
        <v>401</v>
      </c>
      <c r="I218" t="s">
        <v>402</v>
      </c>
      <c r="J218" t="s">
        <v>5474</v>
      </c>
      <c r="K218">
        <v>20230314</v>
      </c>
      <c r="L218" t="s">
        <v>5475</v>
      </c>
      <c r="M218">
        <v>0</v>
      </c>
      <c r="N218">
        <v>50</v>
      </c>
      <c r="O218" t="s">
        <v>19</v>
      </c>
      <c r="P218" t="s">
        <v>20</v>
      </c>
      <c r="Q218">
        <v>20230314</v>
      </c>
    </row>
    <row r="219" spans="1:17" x14ac:dyDescent="0.25">
      <c r="A219" t="s">
        <v>548</v>
      </c>
      <c r="B219" t="s">
        <v>429</v>
      </c>
      <c r="C219">
        <v>27</v>
      </c>
      <c r="D219">
        <v>20230308</v>
      </c>
      <c r="E219">
        <v>3</v>
      </c>
      <c r="F219">
        <v>411100</v>
      </c>
      <c r="G219" t="s">
        <v>18</v>
      </c>
      <c r="H219" t="s">
        <v>352</v>
      </c>
      <c r="I219" t="s">
        <v>353</v>
      </c>
      <c r="J219">
        <v>123020145</v>
      </c>
      <c r="K219">
        <v>20230308</v>
      </c>
      <c r="L219" t="s">
        <v>5476</v>
      </c>
      <c r="M219">
        <v>0</v>
      </c>
      <c r="N219">
        <v>48.5</v>
      </c>
      <c r="O219" t="s">
        <v>19</v>
      </c>
      <c r="P219" t="s">
        <v>20</v>
      </c>
      <c r="Q219">
        <v>20230308</v>
      </c>
    </row>
    <row r="220" spans="1:17" x14ac:dyDescent="0.25">
      <c r="A220" t="s">
        <v>548</v>
      </c>
      <c r="B220" t="s">
        <v>429</v>
      </c>
      <c r="C220">
        <v>27</v>
      </c>
      <c r="D220">
        <v>20230308</v>
      </c>
      <c r="E220">
        <v>3</v>
      </c>
      <c r="F220">
        <v>411100</v>
      </c>
      <c r="G220" t="s">
        <v>18</v>
      </c>
      <c r="H220" t="s">
        <v>305</v>
      </c>
      <c r="I220" t="s">
        <v>306</v>
      </c>
      <c r="J220">
        <v>367808</v>
      </c>
      <c r="K220">
        <v>20230308</v>
      </c>
      <c r="L220" t="s">
        <v>5477</v>
      </c>
      <c r="M220">
        <v>0</v>
      </c>
      <c r="N220">
        <v>37</v>
      </c>
      <c r="O220" t="s">
        <v>19</v>
      </c>
      <c r="P220" t="s">
        <v>20</v>
      </c>
      <c r="Q220">
        <v>20230308</v>
      </c>
    </row>
    <row r="221" spans="1:17" x14ac:dyDescent="0.25">
      <c r="A221" t="s">
        <v>548</v>
      </c>
      <c r="B221" t="s">
        <v>429</v>
      </c>
      <c r="C221">
        <v>27</v>
      </c>
      <c r="D221">
        <v>20230308</v>
      </c>
      <c r="E221">
        <v>3</v>
      </c>
      <c r="F221">
        <v>531105</v>
      </c>
      <c r="G221" t="s">
        <v>429</v>
      </c>
      <c r="H221" t="s">
        <v>401</v>
      </c>
      <c r="I221" t="s">
        <v>402</v>
      </c>
      <c r="J221">
        <v>367809</v>
      </c>
      <c r="K221">
        <v>20230308</v>
      </c>
      <c r="L221" t="s">
        <v>565</v>
      </c>
      <c r="M221">
        <v>85.5</v>
      </c>
      <c r="N221">
        <v>0</v>
      </c>
      <c r="O221" t="s">
        <v>19</v>
      </c>
      <c r="P221" t="s">
        <v>20</v>
      </c>
      <c r="Q221">
        <v>20230308</v>
      </c>
    </row>
    <row r="222" spans="1:17" x14ac:dyDescent="0.25">
      <c r="A222" t="s">
        <v>548</v>
      </c>
      <c r="B222" t="s">
        <v>429</v>
      </c>
      <c r="C222">
        <v>28</v>
      </c>
      <c r="D222">
        <v>20230310</v>
      </c>
      <c r="E222">
        <v>3</v>
      </c>
      <c r="F222">
        <v>411100</v>
      </c>
      <c r="G222" t="s">
        <v>18</v>
      </c>
      <c r="H222" t="s">
        <v>5478</v>
      </c>
      <c r="I222" t="s">
        <v>5479</v>
      </c>
      <c r="J222">
        <v>367810</v>
      </c>
      <c r="K222">
        <v>20230310</v>
      </c>
      <c r="L222" t="s">
        <v>5480</v>
      </c>
      <c r="M222">
        <v>0</v>
      </c>
      <c r="N222">
        <v>10</v>
      </c>
      <c r="O222" t="s">
        <v>19</v>
      </c>
      <c r="P222" t="s">
        <v>20</v>
      </c>
      <c r="Q222">
        <v>20230310</v>
      </c>
    </row>
    <row r="223" spans="1:17" x14ac:dyDescent="0.25">
      <c r="A223" t="s">
        <v>548</v>
      </c>
      <c r="B223" t="s">
        <v>429</v>
      </c>
      <c r="C223">
        <v>28</v>
      </c>
      <c r="D223">
        <v>20230310</v>
      </c>
      <c r="E223">
        <v>3</v>
      </c>
      <c r="F223">
        <v>411100</v>
      </c>
      <c r="G223" t="s">
        <v>18</v>
      </c>
      <c r="H223" t="s">
        <v>291</v>
      </c>
      <c r="I223" t="s">
        <v>292</v>
      </c>
      <c r="J223">
        <v>123020161</v>
      </c>
      <c r="K223">
        <v>20230310</v>
      </c>
      <c r="L223" t="s">
        <v>5481</v>
      </c>
      <c r="M223">
        <v>0</v>
      </c>
      <c r="N223">
        <v>55</v>
      </c>
      <c r="O223" t="s">
        <v>19</v>
      </c>
      <c r="P223" t="s">
        <v>20</v>
      </c>
      <c r="Q223">
        <v>20230310</v>
      </c>
    </row>
    <row r="224" spans="1:17" x14ac:dyDescent="0.25">
      <c r="A224" t="s">
        <v>548</v>
      </c>
      <c r="B224" t="s">
        <v>429</v>
      </c>
      <c r="C224">
        <v>28</v>
      </c>
      <c r="D224">
        <v>20230310</v>
      </c>
      <c r="E224">
        <v>3</v>
      </c>
      <c r="F224">
        <v>531105</v>
      </c>
      <c r="G224" t="s">
        <v>429</v>
      </c>
      <c r="H224" t="s">
        <v>401</v>
      </c>
      <c r="I224" t="s">
        <v>402</v>
      </c>
      <c r="J224">
        <v>367812</v>
      </c>
      <c r="K224">
        <v>20230310</v>
      </c>
      <c r="L224" t="s">
        <v>565</v>
      </c>
      <c r="M224">
        <v>65</v>
      </c>
      <c r="N224">
        <v>0</v>
      </c>
      <c r="O224" t="s">
        <v>19</v>
      </c>
      <c r="P224" t="s">
        <v>20</v>
      </c>
      <c r="Q224">
        <v>20230310</v>
      </c>
    </row>
    <row r="225" spans="1:17" x14ac:dyDescent="0.25">
      <c r="A225" t="s">
        <v>548</v>
      </c>
      <c r="B225" t="s">
        <v>429</v>
      </c>
      <c r="C225">
        <v>29</v>
      </c>
      <c r="D225">
        <v>20230313</v>
      </c>
      <c r="E225">
        <v>3</v>
      </c>
      <c r="F225">
        <v>411100</v>
      </c>
      <c r="G225" t="s">
        <v>18</v>
      </c>
      <c r="H225" t="s">
        <v>154</v>
      </c>
      <c r="I225" t="s">
        <v>155</v>
      </c>
      <c r="J225">
        <v>367813</v>
      </c>
      <c r="K225">
        <v>20230313</v>
      </c>
      <c r="L225" t="s">
        <v>5482</v>
      </c>
      <c r="M225">
        <v>0</v>
      </c>
      <c r="N225">
        <v>5</v>
      </c>
      <c r="O225" t="s">
        <v>19</v>
      </c>
      <c r="P225" t="s">
        <v>20</v>
      </c>
      <c r="Q225">
        <v>20230313</v>
      </c>
    </row>
    <row r="226" spans="1:17" x14ac:dyDescent="0.25">
      <c r="A226" t="s">
        <v>548</v>
      </c>
      <c r="B226" t="s">
        <v>429</v>
      </c>
      <c r="C226">
        <v>29</v>
      </c>
      <c r="D226">
        <v>20230313</v>
      </c>
      <c r="E226">
        <v>3</v>
      </c>
      <c r="F226">
        <v>411100</v>
      </c>
      <c r="G226" t="s">
        <v>18</v>
      </c>
      <c r="H226" t="s">
        <v>1911</v>
      </c>
      <c r="I226" t="s">
        <v>1912</v>
      </c>
      <c r="J226">
        <v>367814</v>
      </c>
      <c r="K226">
        <v>20230313</v>
      </c>
      <c r="L226" t="s">
        <v>5483</v>
      </c>
      <c r="M226">
        <v>0</v>
      </c>
      <c r="N226">
        <v>5</v>
      </c>
      <c r="O226" t="s">
        <v>19</v>
      </c>
      <c r="P226" t="s">
        <v>20</v>
      </c>
      <c r="Q226">
        <v>20230313</v>
      </c>
    </row>
    <row r="227" spans="1:17" x14ac:dyDescent="0.25">
      <c r="A227" t="s">
        <v>548</v>
      </c>
      <c r="B227" t="s">
        <v>429</v>
      </c>
      <c r="C227">
        <v>29</v>
      </c>
      <c r="D227">
        <v>20230313</v>
      </c>
      <c r="E227">
        <v>3</v>
      </c>
      <c r="F227">
        <v>411100</v>
      </c>
      <c r="G227" t="s">
        <v>18</v>
      </c>
      <c r="H227" t="s">
        <v>81</v>
      </c>
      <c r="I227" t="s">
        <v>82</v>
      </c>
      <c r="J227">
        <v>367815</v>
      </c>
      <c r="K227">
        <v>20230313</v>
      </c>
      <c r="L227" t="s">
        <v>5484</v>
      </c>
      <c r="M227">
        <v>0</v>
      </c>
      <c r="N227">
        <v>5</v>
      </c>
      <c r="O227" t="s">
        <v>19</v>
      </c>
      <c r="P227" t="s">
        <v>20</v>
      </c>
      <c r="Q227">
        <v>20230313</v>
      </c>
    </row>
    <row r="228" spans="1:17" x14ac:dyDescent="0.25">
      <c r="A228" t="s">
        <v>548</v>
      </c>
      <c r="B228" t="s">
        <v>429</v>
      </c>
      <c r="C228">
        <v>29</v>
      </c>
      <c r="D228">
        <v>20230313</v>
      </c>
      <c r="E228">
        <v>3</v>
      </c>
      <c r="F228">
        <v>411100</v>
      </c>
      <c r="G228" t="s">
        <v>18</v>
      </c>
      <c r="H228" t="s">
        <v>85</v>
      </c>
      <c r="I228" t="s">
        <v>86</v>
      </c>
      <c r="J228">
        <v>367816</v>
      </c>
      <c r="K228">
        <v>20230313</v>
      </c>
      <c r="L228" t="s">
        <v>5485</v>
      </c>
      <c r="M228">
        <v>0</v>
      </c>
      <c r="N228">
        <v>5</v>
      </c>
      <c r="O228" t="s">
        <v>19</v>
      </c>
      <c r="P228" t="s">
        <v>20</v>
      </c>
      <c r="Q228">
        <v>20230313</v>
      </c>
    </row>
    <row r="229" spans="1:17" x14ac:dyDescent="0.25">
      <c r="A229" t="s">
        <v>548</v>
      </c>
      <c r="B229" t="s">
        <v>429</v>
      </c>
      <c r="C229">
        <v>29</v>
      </c>
      <c r="D229">
        <v>20230313</v>
      </c>
      <c r="E229">
        <v>3</v>
      </c>
      <c r="F229">
        <v>411100</v>
      </c>
      <c r="G229" t="s">
        <v>18</v>
      </c>
      <c r="H229" t="s">
        <v>1911</v>
      </c>
      <c r="I229" t="s">
        <v>1912</v>
      </c>
      <c r="J229">
        <v>367817</v>
      </c>
      <c r="K229">
        <v>20230313</v>
      </c>
      <c r="L229" t="s">
        <v>5486</v>
      </c>
      <c r="M229">
        <v>0</v>
      </c>
      <c r="N229">
        <v>5</v>
      </c>
      <c r="O229" t="s">
        <v>19</v>
      </c>
      <c r="P229" t="s">
        <v>20</v>
      </c>
      <c r="Q229">
        <v>20230313</v>
      </c>
    </row>
    <row r="230" spans="1:17" x14ac:dyDescent="0.25">
      <c r="A230" t="s">
        <v>548</v>
      </c>
      <c r="B230" t="s">
        <v>429</v>
      </c>
      <c r="C230">
        <v>29</v>
      </c>
      <c r="D230">
        <v>20230313</v>
      </c>
      <c r="E230">
        <v>3</v>
      </c>
      <c r="F230">
        <v>411100</v>
      </c>
      <c r="G230" t="s">
        <v>18</v>
      </c>
      <c r="H230" t="s">
        <v>217</v>
      </c>
      <c r="I230" t="s">
        <v>218</v>
      </c>
      <c r="J230">
        <v>367818</v>
      </c>
      <c r="K230">
        <v>20230313</v>
      </c>
      <c r="L230" t="s">
        <v>5487</v>
      </c>
      <c r="M230">
        <v>0</v>
      </c>
      <c r="N230">
        <v>5</v>
      </c>
      <c r="O230" t="s">
        <v>19</v>
      </c>
      <c r="P230" t="s">
        <v>20</v>
      </c>
      <c r="Q230">
        <v>20230313</v>
      </c>
    </row>
    <row r="231" spans="1:17" x14ac:dyDescent="0.25">
      <c r="A231" t="s">
        <v>548</v>
      </c>
      <c r="B231" t="s">
        <v>429</v>
      </c>
      <c r="C231">
        <v>29</v>
      </c>
      <c r="D231">
        <v>20230313</v>
      </c>
      <c r="E231">
        <v>3</v>
      </c>
      <c r="F231">
        <v>411100</v>
      </c>
      <c r="G231" t="s">
        <v>18</v>
      </c>
      <c r="H231" t="s">
        <v>3901</v>
      </c>
      <c r="I231" t="s">
        <v>3902</v>
      </c>
      <c r="J231">
        <v>367819</v>
      </c>
      <c r="K231">
        <v>20230313</v>
      </c>
      <c r="L231" t="s">
        <v>5488</v>
      </c>
      <c r="M231">
        <v>0</v>
      </c>
      <c r="N231">
        <v>5</v>
      </c>
      <c r="O231" t="s">
        <v>19</v>
      </c>
      <c r="P231" t="s">
        <v>20</v>
      </c>
      <c r="Q231">
        <v>20230313</v>
      </c>
    </row>
    <row r="232" spans="1:17" x14ac:dyDescent="0.25">
      <c r="A232" t="s">
        <v>548</v>
      </c>
      <c r="B232" t="s">
        <v>429</v>
      </c>
      <c r="C232">
        <v>29</v>
      </c>
      <c r="D232">
        <v>20230313</v>
      </c>
      <c r="E232">
        <v>3</v>
      </c>
      <c r="F232">
        <v>411100</v>
      </c>
      <c r="G232" t="s">
        <v>18</v>
      </c>
      <c r="H232" t="s">
        <v>241</v>
      </c>
      <c r="I232" t="s">
        <v>242</v>
      </c>
      <c r="J232">
        <v>367820</v>
      </c>
      <c r="K232">
        <v>20230313</v>
      </c>
      <c r="L232" t="s">
        <v>5489</v>
      </c>
      <c r="M232">
        <v>0</v>
      </c>
      <c r="N232">
        <v>5</v>
      </c>
      <c r="O232" t="s">
        <v>19</v>
      </c>
      <c r="P232" t="s">
        <v>20</v>
      </c>
      <c r="Q232">
        <v>20230313</v>
      </c>
    </row>
    <row r="233" spans="1:17" x14ac:dyDescent="0.25">
      <c r="A233" t="s">
        <v>548</v>
      </c>
      <c r="B233" t="s">
        <v>429</v>
      </c>
      <c r="C233">
        <v>29</v>
      </c>
      <c r="D233">
        <v>20230313</v>
      </c>
      <c r="E233">
        <v>3</v>
      </c>
      <c r="F233">
        <v>411100</v>
      </c>
      <c r="G233" t="s">
        <v>18</v>
      </c>
      <c r="H233" t="s">
        <v>5490</v>
      </c>
      <c r="I233" t="s">
        <v>5491</v>
      </c>
      <c r="J233">
        <v>367821</v>
      </c>
      <c r="K233">
        <v>20230313</v>
      </c>
      <c r="L233" t="s">
        <v>5492</v>
      </c>
      <c r="M233">
        <v>0</v>
      </c>
      <c r="N233">
        <v>3</v>
      </c>
      <c r="O233" t="s">
        <v>19</v>
      </c>
      <c r="P233" t="s">
        <v>20</v>
      </c>
      <c r="Q233">
        <v>20230313</v>
      </c>
    </row>
    <row r="234" spans="1:17" x14ac:dyDescent="0.25">
      <c r="A234" t="s">
        <v>548</v>
      </c>
      <c r="B234" t="s">
        <v>429</v>
      </c>
      <c r="C234">
        <v>29</v>
      </c>
      <c r="D234">
        <v>20230313</v>
      </c>
      <c r="E234">
        <v>3</v>
      </c>
      <c r="F234">
        <v>411100</v>
      </c>
      <c r="G234" t="s">
        <v>18</v>
      </c>
      <c r="H234" t="s">
        <v>641</v>
      </c>
      <c r="I234" t="s">
        <v>642</v>
      </c>
      <c r="J234">
        <v>123020093</v>
      </c>
      <c r="K234">
        <v>20230313</v>
      </c>
      <c r="L234" t="s">
        <v>5493</v>
      </c>
      <c r="M234">
        <v>0</v>
      </c>
      <c r="N234">
        <v>69.2</v>
      </c>
      <c r="O234" t="s">
        <v>19</v>
      </c>
      <c r="P234" t="s">
        <v>20</v>
      </c>
      <c r="Q234">
        <v>20230313</v>
      </c>
    </row>
    <row r="235" spans="1:17" x14ac:dyDescent="0.25">
      <c r="A235" t="s">
        <v>548</v>
      </c>
      <c r="B235" t="s">
        <v>429</v>
      </c>
      <c r="C235">
        <v>29</v>
      </c>
      <c r="D235">
        <v>20230313</v>
      </c>
      <c r="E235">
        <v>3</v>
      </c>
      <c r="F235">
        <v>531105</v>
      </c>
      <c r="G235" t="s">
        <v>429</v>
      </c>
      <c r="H235" t="s">
        <v>401</v>
      </c>
      <c r="I235" t="s">
        <v>402</v>
      </c>
      <c r="J235">
        <v>367823</v>
      </c>
      <c r="K235">
        <v>20230313</v>
      </c>
      <c r="L235" t="s">
        <v>565</v>
      </c>
      <c r="M235">
        <v>112.2</v>
      </c>
      <c r="N235">
        <v>0</v>
      </c>
      <c r="O235" t="s">
        <v>19</v>
      </c>
      <c r="P235" t="s">
        <v>20</v>
      </c>
      <c r="Q235">
        <v>20230313</v>
      </c>
    </row>
    <row r="236" spans="1:17" x14ac:dyDescent="0.25">
      <c r="A236" t="s">
        <v>548</v>
      </c>
      <c r="B236" t="s">
        <v>429</v>
      </c>
      <c r="C236">
        <v>30</v>
      </c>
      <c r="D236">
        <v>20230314</v>
      </c>
      <c r="E236">
        <v>3</v>
      </c>
      <c r="F236">
        <v>411100</v>
      </c>
      <c r="G236" t="s">
        <v>18</v>
      </c>
      <c r="H236" t="s">
        <v>5494</v>
      </c>
      <c r="I236" t="s">
        <v>5495</v>
      </c>
      <c r="J236">
        <v>367824</v>
      </c>
      <c r="K236">
        <v>20230314</v>
      </c>
      <c r="L236" t="s">
        <v>5496</v>
      </c>
      <c r="M236">
        <v>0</v>
      </c>
      <c r="N236">
        <v>10</v>
      </c>
      <c r="O236" t="s">
        <v>19</v>
      </c>
      <c r="P236" t="s">
        <v>20</v>
      </c>
      <c r="Q236">
        <v>20230314</v>
      </c>
    </row>
    <row r="237" spans="1:17" x14ac:dyDescent="0.25">
      <c r="A237" t="s">
        <v>548</v>
      </c>
      <c r="B237" t="s">
        <v>429</v>
      </c>
      <c r="C237">
        <v>30</v>
      </c>
      <c r="D237">
        <v>20230314</v>
      </c>
      <c r="E237">
        <v>3</v>
      </c>
      <c r="F237">
        <v>411100</v>
      </c>
      <c r="G237" t="s">
        <v>18</v>
      </c>
      <c r="H237" t="s">
        <v>196</v>
      </c>
      <c r="I237" t="s">
        <v>197</v>
      </c>
      <c r="J237">
        <v>367825</v>
      </c>
      <c r="K237">
        <v>20230314</v>
      </c>
      <c r="L237" t="s">
        <v>5497</v>
      </c>
      <c r="M237">
        <v>0</v>
      </c>
      <c r="N237">
        <v>7.5</v>
      </c>
      <c r="O237" t="s">
        <v>19</v>
      </c>
      <c r="P237" t="s">
        <v>20</v>
      </c>
      <c r="Q237">
        <v>20230314</v>
      </c>
    </row>
    <row r="238" spans="1:17" x14ac:dyDescent="0.25">
      <c r="A238" t="s">
        <v>548</v>
      </c>
      <c r="B238" t="s">
        <v>429</v>
      </c>
      <c r="C238">
        <v>30</v>
      </c>
      <c r="D238">
        <v>20230314</v>
      </c>
      <c r="E238">
        <v>3</v>
      </c>
      <c r="F238">
        <v>531105</v>
      </c>
      <c r="G238" t="s">
        <v>429</v>
      </c>
      <c r="H238" t="s">
        <v>401</v>
      </c>
      <c r="I238" t="s">
        <v>402</v>
      </c>
      <c r="J238">
        <v>367826</v>
      </c>
      <c r="K238">
        <v>20230314</v>
      </c>
      <c r="L238" t="s">
        <v>565</v>
      </c>
      <c r="M238">
        <v>17.5</v>
      </c>
      <c r="N238">
        <v>0</v>
      </c>
      <c r="O238" t="s">
        <v>19</v>
      </c>
      <c r="P238" t="s">
        <v>20</v>
      </c>
      <c r="Q238">
        <v>20230314</v>
      </c>
    </row>
    <row r="239" spans="1:17" x14ac:dyDescent="0.25">
      <c r="A239" t="s">
        <v>548</v>
      </c>
      <c r="B239" t="s">
        <v>429</v>
      </c>
      <c r="C239">
        <v>31</v>
      </c>
      <c r="D239">
        <v>20230307</v>
      </c>
      <c r="E239">
        <v>3</v>
      </c>
      <c r="F239">
        <v>411010</v>
      </c>
      <c r="G239" t="s">
        <v>87</v>
      </c>
      <c r="H239" t="s">
        <v>5498</v>
      </c>
      <c r="I239" t="s">
        <v>5499</v>
      </c>
      <c r="J239">
        <v>367835</v>
      </c>
      <c r="K239">
        <v>20230307</v>
      </c>
      <c r="L239" t="s">
        <v>5500</v>
      </c>
      <c r="M239">
        <v>0</v>
      </c>
      <c r="N239">
        <v>107.99</v>
      </c>
      <c r="O239" t="s">
        <v>19</v>
      </c>
      <c r="P239" t="s">
        <v>20</v>
      </c>
      <c r="Q239">
        <v>20230307</v>
      </c>
    </row>
    <row r="240" spans="1:17" x14ac:dyDescent="0.25">
      <c r="A240" t="s">
        <v>548</v>
      </c>
      <c r="B240" t="s">
        <v>429</v>
      </c>
      <c r="C240">
        <v>31</v>
      </c>
      <c r="D240">
        <v>20230307</v>
      </c>
      <c r="E240">
        <v>3</v>
      </c>
      <c r="F240">
        <v>411010</v>
      </c>
      <c r="G240" t="s">
        <v>87</v>
      </c>
      <c r="H240" t="s">
        <v>363</v>
      </c>
      <c r="I240" t="s">
        <v>364</v>
      </c>
      <c r="J240">
        <v>367836</v>
      </c>
      <c r="K240">
        <v>20230307</v>
      </c>
      <c r="L240" t="s">
        <v>5501</v>
      </c>
      <c r="M240">
        <v>0</v>
      </c>
      <c r="N240">
        <v>106.79</v>
      </c>
      <c r="O240" t="s">
        <v>19</v>
      </c>
      <c r="P240" t="s">
        <v>20</v>
      </c>
      <c r="Q240">
        <v>20230307</v>
      </c>
    </row>
    <row r="241" spans="1:17" x14ac:dyDescent="0.25">
      <c r="A241" t="s">
        <v>548</v>
      </c>
      <c r="B241" t="s">
        <v>429</v>
      </c>
      <c r="C241">
        <v>31</v>
      </c>
      <c r="D241">
        <v>20230307</v>
      </c>
      <c r="E241">
        <v>3</v>
      </c>
      <c r="F241">
        <v>531105</v>
      </c>
      <c r="G241" t="s">
        <v>429</v>
      </c>
      <c r="H241" t="s">
        <v>401</v>
      </c>
      <c r="I241" t="s">
        <v>402</v>
      </c>
      <c r="J241">
        <v>367837</v>
      </c>
      <c r="K241">
        <v>20230307</v>
      </c>
      <c r="L241" t="s">
        <v>565</v>
      </c>
      <c r="M241">
        <v>214.78</v>
      </c>
      <c r="N241">
        <v>0</v>
      </c>
      <c r="O241" t="s">
        <v>19</v>
      </c>
      <c r="P241" t="s">
        <v>20</v>
      </c>
      <c r="Q241">
        <v>20230307</v>
      </c>
    </row>
    <row r="242" spans="1:17" x14ac:dyDescent="0.25">
      <c r="A242" t="s">
        <v>548</v>
      </c>
      <c r="B242" t="s">
        <v>429</v>
      </c>
      <c r="C242">
        <v>32</v>
      </c>
      <c r="D242">
        <v>20230308</v>
      </c>
      <c r="E242">
        <v>3</v>
      </c>
      <c r="F242">
        <v>411100</v>
      </c>
      <c r="G242" t="s">
        <v>18</v>
      </c>
      <c r="H242" t="s">
        <v>352</v>
      </c>
      <c r="I242" t="s">
        <v>353</v>
      </c>
      <c r="J242">
        <v>367838</v>
      </c>
      <c r="K242">
        <v>20230308</v>
      </c>
      <c r="L242" t="s">
        <v>5502</v>
      </c>
      <c r="M242">
        <v>0</v>
      </c>
      <c r="N242">
        <v>329.92</v>
      </c>
      <c r="O242" t="s">
        <v>19</v>
      </c>
      <c r="P242" t="s">
        <v>20</v>
      </c>
      <c r="Q242">
        <v>20230308</v>
      </c>
    </row>
    <row r="243" spans="1:17" x14ac:dyDescent="0.25">
      <c r="A243" t="s">
        <v>548</v>
      </c>
      <c r="B243" t="s">
        <v>429</v>
      </c>
      <c r="C243">
        <v>32</v>
      </c>
      <c r="D243">
        <v>20230308</v>
      </c>
      <c r="E243">
        <v>3</v>
      </c>
      <c r="F243">
        <v>411100</v>
      </c>
      <c r="G243" t="s">
        <v>18</v>
      </c>
      <c r="H243" t="s">
        <v>352</v>
      </c>
      <c r="I243" t="s">
        <v>353</v>
      </c>
      <c r="J243">
        <v>367839</v>
      </c>
      <c r="K243">
        <v>20230308</v>
      </c>
      <c r="L243" t="s">
        <v>5812</v>
      </c>
      <c r="M243">
        <v>4.92</v>
      </c>
      <c r="N243">
        <v>0</v>
      </c>
      <c r="O243" t="s">
        <v>19</v>
      </c>
      <c r="P243" t="s">
        <v>20</v>
      </c>
      <c r="Q243">
        <v>20230308</v>
      </c>
    </row>
    <row r="244" spans="1:17" x14ac:dyDescent="0.25">
      <c r="A244" t="s">
        <v>548</v>
      </c>
      <c r="B244" t="s">
        <v>429</v>
      </c>
      <c r="C244">
        <v>32</v>
      </c>
      <c r="D244">
        <v>20230308</v>
      </c>
      <c r="E244">
        <v>3</v>
      </c>
      <c r="F244">
        <v>411010</v>
      </c>
      <c r="G244" t="s">
        <v>87</v>
      </c>
      <c r="H244" t="s">
        <v>4467</v>
      </c>
      <c r="I244" t="s">
        <v>4468</v>
      </c>
      <c r="J244">
        <v>223010011</v>
      </c>
      <c r="K244">
        <v>20230308</v>
      </c>
      <c r="L244" t="s">
        <v>5504</v>
      </c>
      <c r="M244">
        <v>0</v>
      </c>
      <c r="N244">
        <v>145.75</v>
      </c>
      <c r="O244" t="s">
        <v>19</v>
      </c>
      <c r="P244" t="s">
        <v>20</v>
      </c>
      <c r="Q244">
        <v>20230308</v>
      </c>
    </row>
    <row r="245" spans="1:17" x14ac:dyDescent="0.25">
      <c r="A245" t="s">
        <v>548</v>
      </c>
      <c r="B245" t="s">
        <v>429</v>
      </c>
      <c r="C245">
        <v>32</v>
      </c>
      <c r="D245">
        <v>20230308</v>
      </c>
      <c r="E245">
        <v>3</v>
      </c>
      <c r="F245">
        <v>411100</v>
      </c>
      <c r="G245" t="s">
        <v>18</v>
      </c>
      <c r="H245" t="s">
        <v>734</v>
      </c>
      <c r="I245" t="s">
        <v>735</v>
      </c>
      <c r="J245">
        <v>367841</v>
      </c>
      <c r="K245">
        <v>20230308</v>
      </c>
      <c r="L245" t="s">
        <v>5505</v>
      </c>
      <c r="M245">
        <v>0</v>
      </c>
      <c r="N245">
        <v>38.5</v>
      </c>
      <c r="O245" t="s">
        <v>19</v>
      </c>
      <c r="P245" t="s">
        <v>20</v>
      </c>
      <c r="Q245">
        <v>20230308</v>
      </c>
    </row>
    <row r="246" spans="1:17" x14ac:dyDescent="0.25">
      <c r="A246" t="s">
        <v>548</v>
      </c>
      <c r="B246" t="s">
        <v>429</v>
      </c>
      <c r="C246">
        <v>32</v>
      </c>
      <c r="D246">
        <v>20230308</v>
      </c>
      <c r="E246">
        <v>3</v>
      </c>
      <c r="F246">
        <v>531105</v>
      </c>
      <c r="G246" t="s">
        <v>429</v>
      </c>
      <c r="H246" t="s">
        <v>401</v>
      </c>
      <c r="I246" t="s">
        <v>402</v>
      </c>
      <c r="J246">
        <v>367842</v>
      </c>
      <c r="K246">
        <v>20230308</v>
      </c>
      <c r="L246" t="s">
        <v>565</v>
      </c>
      <c r="M246">
        <v>509.25</v>
      </c>
      <c r="N246">
        <v>0</v>
      </c>
      <c r="O246" t="s">
        <v>19</v>
      </c>
      <c r="P246" t="s">
        <v>20</v>
      </c>
      <c r="Q246">
        <v>20230308</v>
      </c>
    </row>
    <row r="247" spans="1:17" x14ac:dyDescent="0.25">
      <c r="A247" t="s">
        <v>548</v>
      </c>
      <c r="B247" t="s">
        <v>429</v>
      </c>
      <c r="C247">
        <v>33</v>
      </c>
      <c r="D247">
        <v>20230310</v>
      </c>
      <c r="E247">
        <v>3</v>
      </c>
      <c r="F247">
        <v>411010</v>
      </c>
      <c r="G247" t="s">
        <v>87</v>
      </c>
      <c r="H247" t="s">
        <v>3214</v>
      </c>
      <c r="I247" t="s">
        <v>3215</v>
      </c>
      <c r="J247">
        <v>367843</v>
      </c>
      <c r="K247">
        <v>20230310</v>
      </c>
      <c r="L247" t="s">
        <v>5506</v>
      </c>
      <c r="M247">
        <v>0</v>
      </c>
      <c r="N247">
        <v>349.53</v>
      </c>
      <c r="O247" t="s">
        <v>19</v>
      </c>
      <c r="P247" t="s">
        <v>20</v>
      </c>
      <c r="Q247">
        <v>20230310</v>
      </c>
    </row>
    <row r="248" spans="1:17" x14ac:dyDescent="0.25">
      <c r="A248" t="s">
        <v>548</v>
      </c>
      <c r="B248" t="s">
        <v>429</v>
      </c>
      <c r="C248">
        <v>33</v>
      </c>
      <c r="D248">
        <v>20230310</v>
      </c>
      <c r="E248">
        <v>3</v>
      </c>
      <c r="F248">
        <v>411010</v>
      </c>
      <c r="G248" t="s">
        <v>87</v>
      </c>
      <c r="H248" t="s">
        <v>3214</v>
      </c>
      <c r="I248" t="s">
        <v>3215</v>
      </c>
      <c r="J248">
        <v>367844</v>
      </c>
      <c r="K248">
        <v>20230310</v>
      </c>
      <c r="L248" t="s">
        <v>5811</v>
      </c>
      <c r="M248">
        <v>0</v>
      </c>
      <c r="N248">
        <v>0.47</v>
      </c>
      <c r="O248" t="s">
        <v>19</v>
      </c>
      <c r="P248" t="s">
        <v>20</v>
      </c>
      <c r="Q248">
        <v>20230310</v>
      </c>
    </row>
    <row r="249" spans="1:17" x14ac:dyDescent="0.25">
      <c r="A249" t="s">
        <v>548</v>
      </c>
      <c r="B249" t="s">
        <v>429</v>
      </c>
      <c r="C249">
        <v>33</v>
      </c>
      <c r="D249">
        <v>20230310</v>
      </c>
      <c r="E249">
        <v>3</v>
      </c>
      <c r="F249">
        <v>531105</v>
      </c>
      <c r="G249" t="s">
        <v>429</v>
      </c>
      <c r="H249" t="s">
        <v>401</v>
      </c>
      <c r="I249" t="s">
        <v>402</v>
      </c>
      <c r="J249">
        <v>367845</v>
      </c>
      <c r="K249">
        <v>20230310</v>
      </c>
      <c r="L249" t="s">
        <v>565</v>
      </c>
      <c r="M249">
        <v>350</v>
      </c>
      <c r="N249">
        <v>0</v>
      </c>
      <c r="O249" t="s">
        <v>19</v>
      </c>
      <c r="P249" t="s">
        <v>20</v>
      </c>
      <c r="Q249">
        <v>20230310</v>
      </c>
    </row>
    <row r="250" spans="1:17" x14ac:dyDescent="0.25">
      <c r="A250" t="s">
        <v>548</v>
      </c>
      <c r="B250" t="s">
        <v>429</v>
      </c>
      <c r="C250">
        <v>34</v>
      </c>
      <c r="D250">
        <v>20230313</v>
      </c>
      <c r="E250">
        <v>3</v>
      </c>
      <c r="F250">
        <v>411100</v>
      </c>
      <c r="G250" t="s">
        <v>18</v>
      </c>
      <c r="H250" t="s">
        <v>233</v>
      </c>
      <c r="I250" t="s">
        <v>234</v>
      </c>
      <c r="J250">
        <v>223010017</v>
      </c>
      <c r="K250">
        <v>20230313</v>
      </c>
      <c r="L250" t="s">
        <v>5508</v>
      </c>
      <c r="M250">
        <v>0</v>
      </c>
      <c r="N250">
        <v>43.06</v>
      </c>
      <c r="O250" t="s">
        <v>19</v>
      </c>
      <c r="P250" t="s">
        <v>20</v>
      </c>
      <c r="Q250">
        <v>20230313</v>
      </c>
    </row>
    <row r="251" spans="1:17" x14ac:dyDescent="0.25">
      <c r="A251" t="s">
        <v>548</v>
      </c>
      <c r="B251" t="s">
        <v>429</v>
      </c>
      <c r="C251">
        <v>34</v>
      </c>
      <c r="D251">
        <v>20230313</v>
      </c>
      <c r="E251">
        <v>3</v>
      </c>
      <c r="F251">
        <v>531105</v>
      </c>
      <c r="G251" t="s">
        <v>429</v>
      </c>
      <c r="H251" t="s">
        <v>401</v>
      </c>
      <c r="I251" t="s">
        <v>402</v>
      </c>
      <c r="J251">
        <v>367847</v>
      </c>
      <c r="K251">
        <v>20230313</v>
      </c>
      <c r="L251" t="s">
        <v>565</v>
      </c>
      <c r="M251">
        <v>43.06</v>
      </c>
      <c r="N251">
        <v>0</v>
      </c>
      <c r="O251" t="s">
        <v>19</v>
      </c>
      <c r="P251" t="s">
        <v>20</v>
      </c>
      <c r="Q251">
        <v>20230313</v>
      </c>
    </row>
    <row r="252" spans="1:17" x14ac:dyDescent="0.25">
      <c r="A252" t="s">
        <v>548</v>
      </c>
      <c r="B252" t="s">
        <v>429</v>
      </c>
      <c r="C252">
        <v>35</v>
      </c>
      <c r="D252">
        <v>20230314</v>
      </c>
      <c r="E252">
        <v>3</v>
      </c>
      <c r="F252">
        <v>411010</v>
      </c>
      <c r="G252" t="s">
        <v>87</v>
      </c>
      <c r="H252" t="s">
        <v>379</v>
      </c>
      <c r="I252" t="s">
        <v>380</v>
      </c>
      <c r="J252">
        <v>367848</v>
      </c>
      <c r="K252">
        <v>20230314</v>
      </c>
      <c r="L252" t="s">
        <v>5509</v>
      </c>
      <c r="M252">
        <v>0</v>
      </c>
      <c r="N252">
        <v>32.6</v>
      </c>
      <c r="O252" t="s">
        <v>19</v>
      </c>
      <c r="P252" t="s">
        <v>20</v>
      </c>
      <c r="Q252">
        <v>20230314</v>
      </c>
    </row>
    <row r="253" spans="1:17" x14ac:dyDescent="0.25">
      <c r="A253" t="s">
        <v>548</v>
      </c>
      <c r="B253" t="s">
        <v>429</v>
      </c>
      <c r="C253">
        <v>35</v>
      </c>
      <c r="D253">
        <v>20230314</v>
      </c>
      <c r="E253">
        <v>3</v>
      </c>
      <c r="F253">
        <v>531105</v>
      </c>
      <c r="G253" t="s">
        <v>429</v>
      </c>
      <c r="H253" t="s">
        <v>401</v>
      </c>
      <c r="I253" t="s">
        <v>402</v>
      </c>
      <c r="J253">
        <v>367849</v>
      </c>
      <c r="K253">
        <v>20230314</v>
      </c>
      <c r="L253" t="s">
        <v>565</v>
      </c>
      <c r="M253">
        <v>32.6</v>
      </c>
      <c r="N253">
        <v>0</v>
      </c>
      <c r="O253" t="s">
        <v>19</v>
      </c>
      <c r="P253" t="s">
        <v>20</v>
      </c>
      <c r="Q253">
        <v>20230314</v>
      </c>
    </row>
    <row r="254" spans="1:17" x14ac:dyDescent="0.25">
      <c r="A254" t="s">
        <v>548</v>
      </c>
      <c r="B254" t="s">
        <v>429</v>
      </c>
      <c r="C254">
        <v>36</v>
      </c>
      <c r="D254">
        <v>20230309</v>
      </c>
      <c r="E254">
        <v>3</v>
      </c>
      <c r="F254">
        <v>411020</v>
      </c>
      <c r="G254" t="s">
        <v>30</v>
      </c>
      <c r="H254" t="s">
        <v>4147</v>
      </c>
      <c r="I254" t="s">
        <v>4148</v>
      </c>
      <c r="J254">
        <v>323020015</v>
      </c>
      <c r="K254">
        <v>20230309</v>
      </c>
      <c r="L254" t="s">
        <v>5510</v>
      </c>
      <c r="M254">
        <v>0</v>
      </c>
      <c r="N254">
        <v>28.86</v>
      </c>
      <c r="O254" t="s">
        <v>19</v>
      </c>
      <c r="P254" t="s">
        <v>20</v>
      </c>
      <c r="Q254">
        <v>20230309</v>
      </c>
    </row>
    <row r="255" spans="1:17" x14ac:dyDescent="0.25">
      <c r="A255" t="s">
        <v>548</v>
      </c>
      <c r="B255" t="s">
        <v>429</v>
      </c>
      <c r="C255">
        <v>36</v>
      </c>
      <c r="D255">
        <v>20230309</v>
      </c>
      <c r="E255">
        <v>3</v>
      </c>
      <c r="F255">
        <v>531105</v>
      </c>
      <c r="G255" t="s">
        <v>429</v>
      </c>
      <c r="H255" t="s">
        <v>401</v>
      </c>
      <c r="I255" t="s">
        <v>402</v>
      </c>
      <c r="J255">
        <v>367877</v>
      </c>
      <c r="K255">
        <v>20230309</v>
      </c>
      <c r="L255" t="s">
        <v>565</v>
      </c>
      <c r="M255">
        <v>28.86</v>
      </c>
      <c r="N255">
        <v>0</v>
      </c>
      <c r="O255" t="s">
        <v>19</v>
      </c>
      <c r="P255" t="s">
        <v>20</v>
      </c>
      <c r="Q255">
        <v>20230309</v>
      </c>
    </row>
    <row r="256" spans="1:17" x14ac:dyDescent="0.25">
      <c r="A256" t="s">
        <v>548</v>
      </c>
      <c r="B256" t="s">
        <v>429</v>
      </c>
      <c r="C256">
        <v>37</v>
      </c>
      <c r="D256">
        <v>20230315</v>
      </c>
      <c r="E256">
        <v>3</v>
      </c>
      <c r="F256">
        <v>411020</v>
      </c>
      <c r="G256" t="s">
        <v>30</v>
      </c>
      <c r="H256" t="s">
        <v>399</v>
      </c>
      <c r="I256" t="s">
        <v>400</v>
      </c>
      <c r="J256">
        <v>323010021</v>
      </c>
      <c r="K256">
        <v>20230315</v>
      </c>
      <c r="L256" t="s">
        <v>5511</v>
      </c>
      <c r="M256">
        <v>0</v>
      </c>
      <c r="N256">
        <v>196.08</v>
      </c>
      <c r="O256" t="s">
        <v>19</v>
      </c>
      <c r="P256" t="s">
        <v>20</v>
      </c>
      <c r="Q256">
        <v>20230315</v>
      </c>
    </row>
    <row r="257" spans="1:17" x14ac:dyDescent="0.25">
      <c r="A257" t="s">
        <v>548</v>
      </c>
      <c r="B257" t="s">
        <v>429</v>
      </c>
      <c r="C257">
        <v>37</v>
      </c>
      <c r="D257">
        <v>20230315</v>
      </c>
      <c r="E257">
        <v>3</v>
      </c>
      <c r="F257">
        <v>531105</v>
      </c>
      <c r="G257" t="s">
        <v>429</v>
      </c>
      <c r="H257" t="s">
        <v>401</v>
      </c>
      <c r="I257" t="s">
        <v>402</v>
      </c>
      <c r="J257">
        <v>367879</v>
      </c>
      <c r="K257">
        <v>20230315</v>
      </c>
      <c r="L257" t="s">
        <v>565</v>
      </c>
      <c r="M257">
        <v>196.08</v>
      </c>
      <c r="N257">
        <v>0</v>
      </c>
      <c r="O257" t="s">
        <v>19</v>
      </c>
      <c r="P257" t="s">
        <v>20</v>
      </c>
      <c r="Q257">
        <v>20230315</v>
      </c>
    </row>
    <row r="258" spans="1:17" x14ac:dyDescent="0.25">
      <c r="A258" t="s">
        <v>548</v>
      </c>
      <c r="B258" t="s">
        <v>429</v>
      </c>
      <c r="C258">
        <v>38</v>
      </c>
      <c r="D258">
        <v>20230315</v>
      </c>
      <c r="E258">
        <v>3</v>
      </c>
      <c r="F258">
        <v>580000</v>
      </c>
      <c r="G258" t="s">
        <v>532</v>
      </c>
      <c r="H258" t="s">
        <v>401</v>
      </c>
      <c r="I258" t="s">
        <v>402</v>
      </c>
      <c r="J258" t="s">
        <v>5512</v>
      </c>
      <c r="K258">
        <v>20230315</v>
      </c>
      <c r="L258" t="s">
        <v>625</v>
      </c>
      <c r="M258">
        <v>2798</v>
      </c>
      <c r="N258">
        <v>0</v>
      </c>
      <c r="O258" t="s">
        <v>22</v>
      </c>
      <c r="P258">
        <v>20230315</v>
      </c>
      <c r="Q258">
        <v>20230315</v>
      </c>
    </row>
    <row r="259" spans="1:17" x14ac:dyDescent="0.25">
      <c r="A259" t="s">
        <v>548</v>
      </c>
      <c r="B259" t="s">
        <v>429</v>
      </c>
      <c r="C259">
        <v>38</v>
      </c>
      <c r="D259">
        <v>20230315</v>
      </c>
      <c r="E259">
        <v>3</v>
      </c>
      <c r="F259">
        <v>531105</v>
      </c>
      <c r="G259" t="s">
        <v>429</v>
      </c>
      <c r="H259" t="s">
        <v>401</v>
      </c>
      <c r="I259" t="s">
        <v>402</v>
      </c>
      <c r="J259" t="s">
        <v>5512</v>
      </c>
      <c r="K259">
        <v>20230315</v>
      </c>
      <c r="L259" t="s">
        <v>625</v>
      </c>
      <c r="M259">
        <v>0</v>
      </c>
      <c r="N259">
        <v>2798</v>
      </c>
      <c r="O259" t="s">
        <v>19</v>
      </c>
      <c r="P259" t="s">
        <v>20</v>
      </c>
      <c r="Q259">
        <v>20230315</v>
      </c>
    </row>
    <row r="260" spans="1:17" x14ac:dyDescent="0.25">
      <c r="A260" t="s">
        <v>548</v>
      </c>
      <c r="B260" t="s">
        <v>429</v>
      </c>
      <c r="C260">
        <v>39</v>
      </c>
      <c r="D260">
        <v>20230315</v>
      </c>
      <c r="E260">
        <v>3</v>
      </c>
      <c r="F260">
        <v>467100</v>
      </c>
      <c r="G260" t="s">
        <v>160</v>
      </c>
      <c r="H260" t="s">
        <v>4964</v>
      </c>
      <c r="I260" t="s">
        <v>4965</v>
      </c>
      <c r="J260" t="s">
        <v>5513</v>
      </c>
      <c r="K260">
        <v>20230315</v>
      </c>
      <c r="L260" t="s">
        <v>5514</v>
      </c>
      <c r="M260">
        <v>5.3</v>
      </c>
      <c r="N260">
        <v>0</v>
      </c>
      <c r="O260" t="s">
        <v>19</v>
      </c>
      <c r="P260" t="s">
        <v>20</v>
      </c>
      <c r="Q260">
        <v>20230315</v>
      </c>
    </row>
    <row r="261" spans="1:17" x14ac:dyDescent="0.25">
      <c r="A261" t="s">
        <v>548</v>
      </c>
      <c r="B261" t="s">
        <v>429</v>
      </c>
      <c r="C261">
        <v>39</v>
      </c>
      <c r="D261">
        <v>20230315</v>
      </c>
      <c r="E261">
        <v>3</v>
      </c>
      <c r="F261">
        <v>531105</v>
      </c>
      <c r="G261" t="s">
        <v>429</v>
      </c>
      <c r="H261" t="s">
        <v>401</v>
      </c>
      <c r="I261" t="s">
        <v>402</v>
      </c>
      <c r="J261" t="s">
        <v>5513</v>
      </c>
      <c r="K261">
        <v>20230315</v>
      </c>
      <c r="L261" t="s">
        <v>5514</v>
      </c>
      <c r="M261">
        <v>0</v>
      </c>
      <c r="N261">
        <v>5.3</v>
      </c>
      <c r="O261" t="s">
        <v>19</v>
      </c>
      <c r="P261" t="s">
        <v>20</v>
      </c>
      <c r="Q261">
        <v>20230315</v>
      </c>
    </row>
    <row r="262" spans="1:17" x14ac:dyDescent="0.25">
      <c r="A262" t="s">
        <v>548</v>
      </c>
      <c r="B262" t="s">
        <v>429</v>
      </c>
      <c r="C262">
        <v>40</v>
      </c>
      <c r="D262">
        <v>20230315</v>
      </c>
      <c r="E262">
        <v>3</v>
      </c>
      <c r="F262">
        <v>467100</v>
      </c>
      <c r="G262" t="s">
        <v>160</v>
      </c>
      <c r="H262" t="s">
        <v>2645</v>
      </c>
      <c r="I262" t="s">
        <v>2646</v>
      </c>
      <c r="J262" t="s">
        <v>5515</v>
      </c>
      <c r="K262">
        <v>20230315</v>
      </c>
      <c r="L262" t="s">
        <v>5516</v>
      </c>
      <c r="M262">
        <v>8.42</v>
      </c>
      <c r="N262">
        <v>0</v>
      </c>
      <c r="O262" t="s">
        <v>19</v>
      </c>
      <c r="P262" t="s">
        <v>20</v>
      </c>
      <c r="Q262">
        <v>20230315</v>
      </c>
    </row>
    <row r="263" spans="1:17" x14ac:dyDescent="0.25">
      <c r="A263" t="s">
        <v>548</v>
      </c>
      <c r="B263" t="s">
        <v>429</v>
      </c>
      <c r="C263">
        <v>40</v>
      </c>
      <c r="D263">
        <v>20230315</v>
      </c>
      <c r="E263">
        <v>3</v>
      </c>
      <c r="F263">
        <v>531105</v>
      </c>
      <c r="G263" t="s">
        <v>429</v>
      </c>
      <c r="H263" t="s">
        <v>401</v>
      </c>
      <c r="I263" t="s">
        <v>402</v>
      </c>
      <c r="J263" t="s">
        <v>5515</v>
      </c>
      <c r="K263">
        <v>20230315</v>
      </c>
      <c r="L263" t="s">
        <v>5516</v>
      </c>
      <c r="M263">
        <v>0</v>
      </c>
      <c r="N263">
        <v>8.42</v>
      </c>
      <c r="O263" t="s">
        <v>19</v>
      </c>
      <c r="P263" t="s">
        <v>20</v>
      </c>
      <c r="Q263">
        <v>20230315</v>
      </c>
    </row>
    <row r="264" spans="1:17" x14ac:dyDescent="0.25">
      <c r="A264" t="s">
        <v>548</v>
      </c>
      <c r="B264" t="s">
        <v>429</v>
      </c>
      <c r="C264">
        <v>41</v>
      </c>
      <c r="D264">
        <v>20230317</v>
      </c>
      <c r="E264">
        <v>3</v>
      </c>
      <c r="F264">
        <v>467100</v>
      </c>
      <c r="G264" t="s">
        <v>160</v>
      </c>
      <c r="H264" t="s">
        <v>4964</v>
      </c>
      <c r="I264" t="s">
        <v>4965</v>
      </c>
      <c r="J264" t="s">
        <v>5517</v>
      </c>
      <c r="K264">
        <v>20230317</v>
      </c>
      <c r="L264" t="s">
        <v>5518</v>
      </c>
      <c r="M264">
        <v>120</v>
      </c>
      <c r="N264">
        <v>0</v>
      </c>
      <c r="O264" t="s">
        <v>19</v>
      </c>
      <c r="P264" t="s">
        <v>20</v>
      </c>
      <c r="Q264">
        <v>20230317</v>
      </c>
    </row>
    <row r="265" spans="1:17" x14ac:dyDescent="0.25">
      <c r="A265" t="s">
        <v>548</v>
      </c>
      <c r="B265" t="s">
        <v>429</v>
      </c>
      <c r="C265">
        <v>41</v>
      </c>
      <c r="D265">
        <v>20230317</v>
      </c>
      <c r="E265">
        <v>3</v>
      </c>
      <c r="F265">
        <v>531105</v>
      </c>
      <c r="G265" t="s">
        <v>429</v>
      </c>
      <c r="H265" t="s">
        <v>401</v>
      </c>
      <c r="I265" t="s">
        <v>402</v>
      </c>
      <c r="J265" t="s">
        <v>5517</v>
      </c>
      <c r="K265">
        <v>20230317</v>
      </c>
      <c r="L265" t="s">
        <v>5518</v>
      </c>
      <c r="M265">
        <v>0</v>
      </c>
      <c r="N265">
        <v>120</v>
      </c>
      <c r="O265" t="s">
        <v>19</v>
      </c>
      <c r="P265" t="s">
        <v>20</v>
      </c>
      <c r="Q265">
        <v>20230317</v>
      </c>
    </row>
    <row r="266" spans="1:17" x14ac:dyDescent="0.25">
      <c r="A266" t="s">
        <v>548</v>
      </c>
      <c r="B266" t="s">
        <v>429</v>
      </c>
      <c r="C266">
        <v>42</v>
      </c>
      <c r="D266">
        <v>20230317</v>
      </c>
      <c r="E266">
        <v>3</v>
      </c>
      <c r="F266">
        <v>467100</v>
      </c>
      <c r="G266" t="s">
        <v>160</v>
      </c>
      <c r="H266" t="s">
        <v>316</v>
      </c>
      <c r="I266" t="s">
        <v>317</v>
      </c>
      <c r="J266" t="s">
        <v>5519</v>
      </c>
      <c r="K266">
        <v>20230317</v>
      </c>
      <c r="L266" t="s">
        <v>5520</v>
      </c>
      <c r="M266">
        <v>40</v>
      </c>
      <c r="N266">
        <v>0</v>
      </c>
      <c r="O266" t="s">
        <v>23</v>
      </c>
      <c r="P266">
        <v>20230331</v>
      </c>
      <c r="Q266">
        <v>20230317</v>
      </c>
    </row>
    <row r="267" spans="1:17" x14ac:dyDescent="0.25">
      <c r="A267" t="s">
        <v>548</v>
      </c>
      <c r="B267" t="s">
        <v>429</v>
      </c>
      <c r="C267">
        <v>42</v>
      </c>
      <c r="D267">
        <v>20230317</v>
      </c>
      <c r="E267">
        <v>3</v>
      </c>
      <c r="F267">
        <v>531105</v>
      </c>
      <c r="G267" t="s">
        <v>429</v>
      </c>
      <c r="H267" t="s">
        <v>401</v>
      </c>
      <c r="I267" t="s">
        <v>402</v>
      </c>
      <c r="J267" t="s">
        <v>5519</v>
      </c>
      <c r="K267">
        <v>20230317</v>
      </c>
      <c r="L267" t="s">
        <v>5520</v>
      </c>
      <c r="M267">
        <v>0</v>
      </c>
      <c r="N267">
        <v>40</v>
      </c>
      <c r="O267" t="s">
        <v>19</v>
      </c>
      <c r="P267" t="s">
        <v>20</v>
      </c>
      <c r="Q267">
        <v>20230317</v>
      </c>
    </row>
    <row r="268" spans="1:17" x14ac:dyDescent="0.25">
      <c r="A268" t="s">
        <v>548</v>
      </c>
      <c r="B268" t="s">
        <v>429</v>
      </c>
      <c r="C268">
        <v>43</v>
      </c>
      <c r="D268">
        <v>20230317</v>
      </c>
      <c r="E268">
        <v>3</v>
      </c>
      <c r="F268">
        <v>467100</v>
      </c>
      <c r="G268" t="s">
        <v>160</v>
      </c>
      <c r="H268" t="s">
        <v>4964</v>
      </c>
      <c r="I268" t="s">
        <v>4965</v>
      </c>
      <c r="J268" t="s">
        <v>5521</v>
      </c>
      <c r="K268">
        <v>20230317</v>
      </c>
      <c r="L268" t="s">
        <v>5522</v>
      </c>
      <c r="M268">
        <v>0</v>
      </c>
      <c r="N268">
        <v>15.84</v>
      </c>
      <c r="O268" t="s">
        <v>19</v>
      </c>
      <c r="P268" t="s">
        <v>20</v>
      </c>
      <c r="Q268">
        <v>20230317</v>
      </c>
    </row>
    <row r="269" spans="1:17" x14ac:dyDescent="0.25">
      <c r="A269" t="s">
        <v>548</v>
      </c>
      <c r="B269" t="s">
        <v>429</v>
      </c>
      <c r="C269">
        <v>43</v>
      </c>
      <c r="D269">
        <v>20230317</v>
      </c>
      <c r="E269">
        <v>3</v>
      </c>
      <c r="F269">
        <v>531105</v>
      </c>
      <c r="G269" t="s">
        <v>429</v>
      </c>
      <c r="H269" t="s">
        <v>401</v>
      </c>
      <c r="I269" t="s">
        <v>402</v>
      </c>
      <c r="J269" t="s">
        <v>5521</v>
      </c>
      <c r="K269">
        <v>20230317</v>
      </c>
      <c r="L269" t="s">
        <v>5522</v>
      </c>
      <c r="M269">
        <v>15.84</v>
      </c>
      <c r="N269">
        <v>0</v>
      </c>
      <c r="O269" t="s">
        <v>19</v>
      </c>
      <c r="P269" t="s">
        <v>20</v>
      </c>
      <c r="Q269">
        <v>20230317</v>
      </c>
    </row>
    <row r="270" spans="1:17" x14ac:dyDescent="0.25">
      <c r="A270" t="s">
        <v>548</v>
      </c>
      <c r="B270" t="s">
        <v>429</v>
      </c>
      <c r="C270">
        <v>44</v>
      </c>
      <c r="D270">
        <v>20230321</v>
      </c>
      <c r="E270">
        <v>3</v>
      </c>
      <c r="F270">
        <v>467100</v>
      </c>
      <c r="G270" t="s">
        <v>160</v>
      </c>
      <c r="H270" t="s">
        <v>5523</v>
      </c>
      <c r="I270" t="s">
        <v>5524</v>
      </c>
      <c r="J270" t="s">
        <v>5525</v>
      </c>
      <c r="K270">
        <v>20230321</v>
      </c>
      <c r="L270" t="s">
        <v>5526</v>
      </c>
      <c r="M270">
        <v>20.149999999999999</v>
      </c>
      <c r="N270">
        <v>0</v>
      </c>
      <c r="O270" t="s">
        <v>19</v>
      </c>
      <c r="P270" t="s">
        <v>20</v>
      </c>
      <c r="Q270">
        <v>20230321</v>
      </c>
    </row>
    <row r="271" spans="1:17" x14ac:dyDescent="0.25">
      <c r="A271" t="s">
        <v>548</v>
      </c>
      <c r="B271" t="s">
        <v>429</v>
      </c>
      <c r="C271">
        <v>44</v>
      </c>
      <c r="D271">
        <v>20230321</v>
      </c>
      <c r="E271">
        <v>3</v>
      </c>
      <c r="F271">
        <v>531105</v>
      </c>
      <c r="G271" t="s">
        <v>429</v>
      </c>
      <c r="H271" t="s">
        <v>401</v>
      </c>
      <c r="I271" t="s">
        <v>402</v>
      </c>
      <c r="J271" t="s">
        <v>5525</v>
      </c>
      <c r="K271">
        <v>20230321</v>
      </c>
      <c r="L271" t="s">
        <v>5526</v>
      </c>
      <c r="M271">
        <v>0</v>
      </c>
      <c r="N271">
        <v>20.149999999999999</v>
      </c>
      <c r="O271" t="s">
        <v>19</v>
      </c>
      <c r="P271" t="s">
        <v>20</v>
      </c>
      <c r="Q271">
        <v>20230321</v>
      </c>
    </row>
    <row r="272" spans="1:17" x14ac:dyDescent="0.25">
      <c r="A272" t="s">
        <v>548</v>
      </c>
      <c r="B272" t="s">
        <v>429</v>
      </c>
      <c r="C272">
        <v>45</v>
      </c>
      <c r="D272">
        <v>20230321</v>
      </c>
      <c r="E272">
        <v>3</v>
      </c>
      <c r="F272">
        <v>467100</v>
      </c>
      <c r="G272" t="s">
        <v>160</v>
      </c>
      <c r="H272" t="s">
        <v>316</v>
      </c>
      <c r="I272" t="s">
        <v>317</v>
      </c>
      <c r="J272" t="s">
        <v>5527</v>
      </c>
      <c r="K272">
        <v>20230321</v>
      </c>
      <c r="L272" t="s">
        <v>5528</v>
      </c>
      <c r="M272">
        <v>1.48</v>
      </c>
      <c r="N272">
        <v>0</v>
      </c>
      <c r="O272" t="s">
        <v>23</v>
      </c>
      <c r="P272">
        <v>20230331</v>
      </c>
      <c r="Q272">
        <v>20230321</v>
      </c>
    </row>
    <row r="273" spans="1:17" x14ac:dyDescent="0.25">
      <c r="A273" t="s">
        <v>548</v>
      </c>
      <c r="B273" t="s">
        <v>429</v>
      </c>
      <c r="C273">
        <v>45</v>
      </c>
      <c r="D273">
        <v>20230321</v>
      </c>
      <c r="E273">
        <v>3</v>
      </c>
      <c r="F273">
        <v>531105</v>
      </c>
      <c r="G273" t="s">
        <v>429</v>
      </c>
      <c r="H273" t="s">
        <v>401</v>
      </c>
      <c r="I273" t="s">
        <v>402</v>
      </c>
      <c r="J273" t="s">
        <v>5527</v>
      </c>
      <c r="K273">
        <v>20230321</v>
      </c>
      <c r="L273" t="s">
        <v>5528</v>
      </c>
      <c r="M273">
        <v>0</v>
      </c>
      <c r="N273">
        <v>1.48</v>
      </c>
      <c r="O273" t="s">
        <v>19</v>
      </c>
      <c r="P273" t="s">
        <v>20</v>
      </c>
      <c r="Q273">
        <v>20230321</v>
      </c>
    </row>
    <row r="274" spans="1:17" x14ac:dyDescent="0.25">
      <c r="A274" t="s">
        <v>548</v>
      </c>
      <c r="B274" t="s">
        <v>429</v>
      </c>
      <c r="C274">
        <v>46</v>
      </c>
      <c r="D274">
        <v>20230323</v>
      </c>
      <c r="E274">
        <v>3</v>
      </c>
      <c r="F274">
        <v>467100</v>
      </c>
      <c r="G274" t="s">
        <v>160</v>
      </c>
      <c r="H274" t="s">
        <v>4964</v>
      </c>
      <c r="I274" t="s">
        <v>4965</v>
      </c>
      <c r="J274" t="s">
        <v>5529</v>
      </c>
      <c r="K274">
        <v>20230323</v>
      </c>
      <c r="L274" t="s">
        <v>5530</v>
      </c>
      <c r="M274">
        <v>10</v>
      </c>
      <c r="N274">
        <v>0</v>
      </c>
      <c r="O274" t="s">
        <v>19</v>
      </c>
      <c r="P274" t="s">
        <v>20</v>
      </c>
      <c r="Q274">
        <v>20230323</v>
      </c>
    </row>
    <row r="275" spans="1:17" x14ac:dyDescent="0.25">
      <c r="A275" t="s">
        <v>548</v>
      </c>
      <c r="B275" t="s">
        <v>429</v>
      </c>
      <c r="C275">
        <v>46</v>
      </c>
      <c r="D275">
        <v>20230323</v>
      </c>
      <c r="E275">
        <v>3</v>
      </c>
      <c r="F275">
        <v>531105</v>
      </c>
      <c r="G275" t="s">
        <v>429</v>
      </c>
      <c r="H275" t="s">
        <v>401</v>
      </c>
      <c r="I275" t="s">
        <v>402</v>
      </c>
      <c r="J275" t="s">
        <v>5529</v>
      </c>
      <c r="K275">
        <v>20230323</v>
      </c>
      <c r="L275" t="s">
        <v>5530</v>
      </c>
      <c r="M275">
        <v>0</v>
      </c>
      <c r="N275">
        <v>10</v>
      </c>
      <c r="O275" t="s">
        <v>19</v>
      </c>
      <c r="P275" t="s">
        <v>20</v>
      </c>
      <c r="Q275">
        <v>20230323</v>
      </c>
    </row>
    <row r="276" spans="1:17" x14ac:dyDescent="0.25">
      <c r="A276" t="s">
        <v>548</v>
      </c>
      <c r="B276" t="s">
        <v>429</v>
      </c>
      <c r="C276">
        <v>47</v>
      </c>
      <c r="D276">
        <v>20230315</v>
      </c>
      <c r="E276">
        <v>3</v>
      </c>
      <c r="F276">
        <v>411020</v>
      </c>
      <c r="G276" t="s">
        <v>30</v>
      </c>
      <c r="H276" t="s">
        <v>324</v>
      </c>
      <c r="I276" t="s">
        <v>325</v>
      </c>
      <c r="J276">
        <v>323010003</v>
      </c>
      <c r="K276">
        <v>20230315</v>
      </c>
      <c r="L276" t="s">
        <v>5531</v>
      </c>
      <c r="M276">
        <v>0</v>
      </c>
      <c r="N276">
        <v>92.76</v>
      </c>
      <c r="O276" t="s">
        <v>19</v>
      </c>
      <c r="P276" t="s">
        <v>20</v>
      </c>
      <c r="Q276">
        <v>20230315</v>
      </c>
    </row>
    <row r="277" spans="1:17" x14ac:dyDescent="0.25">
      <c r="A277" t="s">
        <v>548</v>
      </c>
      <c r="B277" t="s">
        <v>429</v>
      </c>
      <c r="C277">
        <v>47</v>
      </c>
      <c r="D277">
        <v>20230315</v>
      </c>
      <c r="E277">
        <v>3</v>
      </c>
      <c r="F277">
        <v>531105</v>
      </c>
      <c r="G277" t="s">
        <v>429</v>
      </c>
      <c r="H277" t="s">
        <v>401</v>
      </c>
      <c r="I277" t="s">
        <v>402</v>
      </c>
      <c r="J277">
        <v>368082</v>
      </c>
      <c r="K277">
        <v>20230315</v>
      </c>
      <c r="L277" t="s">
        <v>565</v>
      </c>
      <c r="M277">
        <v>92.76</v>
      </c>
      <c r="N277">
        <v>0</v>
      </c>
      <c r="O277" t="s">
        <v>19</v>
      </c>
      <c r="P277" t="s">
        <v>20</v>
      </c>
      <c r="Q277">
        <v>20230315</v>
      </c>
    </row>
    <row r="278" spans="1:17" x14ac:dyDescent="0.25">
      <c r="A278" t="s">
        <v>548</v>
      </c>
      <c r="B278" t="s">
        <v>429</v>
      </c>
      <c r="C278">
        <v>48</v>
      </c>
      <c r="D278">
        <v>20230322</v>
      </c>
      <c r="E278">
        <v>3</v>
      </c>
      <c r="F278">
        <v>411020</v>
      </c>
      <c r="G278" t="s">
        <v>30</v>
      </c>
      <c r="H278" t="s">
        <v>4145</v>
      </c>
      <c r="I278" t="s">
        <v>4146</v>
      </c>
      <c r="J278">
        <v>323020012</v>
      </c>
      <c r="K278">
        <v>20230322</v>
      </c>
      <c r="L278" t="s">
        <v>5532</v>
      </c>
      <c r="M278">
        <v>0</v>
      </c>
      <c r="N278">
        <v>93.44</v>
      </c>
      <c r="O278" t="s">
        <v>19</v>
      </c>
      <c r="P278" t="s">
        <v>20</v>
      </c>
      <c r="Q278">
        <v>20230322</v>
      </c>
    </row>
    <row r="279" spans="1:17" x14ac:dyDescent="0.25">
      <c r="A279" t="s">
        <v>548</v>
      </c>
      <c r="B279" t="s">
        <v>429</v>
      </c>
      <c r="C279">
        <v>48</v>
      </c>
      <c r="D279">
        <v>20230322</v>
      </c>
      <c r="E279">
        <v>3</v>
      </c>
      <c r="F279">
        <v>531105</v>
      </c>
      <c r="G279" t="s">
        <v>429</v>
      </c>
      <c r="H279" t="s">
        <v>401</v>
      </c>
      <c r="I279" t="s">
        <v>402</v>
      </c>
      <c r="J279">
        <v>368084</v>
      </c>
      <c r="K279">
        <v>20230322</v>
      </c>
      <c r="L279" t="s">
        <v>565</v>
      </c>
      <c r="M279">
        <v>93.44</v>
      </c>
      <c r="N279">
        <v>0</v>
      </c>
      <c r="O279" t="s">
        <v>19</v>
      </c>
      <c r="P279" t="s">
        <v>20</v>
      </c>
      <c r="Q279">
        <v>20230322</v>
      </c>
    </row>
    <row r="280" spans="1:17" x14ac:dyDescent="0.25">
      <c r="A280" t="s">
        <v>548</v>
      </c>
      <c r="B280" t="s">
        <v>429</v>
      </c>
      <c r="C280">
        <v>49</v>
      </c>
      <c r="D280">
        <v>20230323</v>
      </c>
      <c r="E280">
        <v>3</v>
      </c>
      <c r="F280">
        <v>411100</v>
      </c>
      <c r="G280" t="s">
        <v>18</v>
      </c>
      <c r="H280" t="s">
        <v>192</v>
      </c>
      <c r="I280" t="s">
        <v>193</v>
      </c>
      <c r="J280">
        <v>323010005</v>
      </c>
      <c r="K280">
        <v>20230323</v>
      </c>
      <c r="L280" t="s">
        <v>5533</v>
      </c>
      <c r="M280">
        <v>0</v>
      </c>
      <c r="N280">
        <v>51.54</v>
      </c>
      <c r="O280" t="s">
        <v>19</v>
      </c>
      <c r="P280" t="s">
        <v>20</v>
      </c>
      <c r="Q280">
        <v>20230323</v>
      </c>
    </row>
    <row r="281" spans="1:17" x14ac:dyDescent="0.25">
      <c r="A281" t="s">
        <v>548</v>
      </c>
      <c r="B281" t="s">
        <v>429</v>
      </c>
      <c r="C281">
        <v>49</v>
      </c>
      <c r="D281">
        <v>20230323</v>
      </c>
      <c r="E281">
        <v>3</v>
      </c>
      <c r="F281">
        <v>531105</v>
      </c>
      <c r="G281" t="s">
        <v>429</v>
      </c>
      <c r="H281" t="s">
        <v>401</v>
      </c>
      <c r="I281" t="s">
        <v>402</v>
      </c>
      <c r="J281">
        <v>368086</v>
      </c>
      <c r="K281">
        <v>20230323</v>
      </c>
      <c r="L281" t="s">
        <v>565</v>
      </c>
      <c r="M281">
        <v>51.54</v>
      </c>
      <c r="N281">
        <v>0</v>
      </c>
      <c r="O281" t="s">
        <v>19</v>
      </c>
      <c r="P281" t="s">
        <v>20</v>
      </c>
      <c r="Q281">
        <v>20230323</v>
      </c>
    </row>
    <row r="282" spans="1:17" x14ac:dyDescent="0.25">
      <c r="A282" t="s">
        <v>548</v>
      </c>
      <c r="B282" t="s">
        <v>429</v>
      </c>
      <c r="C282">
        <v>50</v>
      </c>
      <c r="D282">
        <v>20230317</v>
      </c>
      <c r="E282">
        <v>3</v>
      </c>
      <c r="F282">
        <v>411010</v>
      </c>
      <c r="G282" t="s">
        <v>87</v>
      </c>
      <c r="H282" t="s">
        <v>377</v>
      </c>
      <c r="I282" t="s">
        <v>378</v>
      </c>
      <c r="J282">
        <v>223010015</v>
      </c>
      <c r="K282">
        <v>20230317</v>
      </c>
      <c r="L282" t="s">
        <v>5534</v>
      </c>
      <c r="M282">
        <v>0</v>
      </c>
      <c r="N282">
        <v>14.63</v>
      </c>
      <c r="O282" t="s">
        <v>19</v>
      </c>
      <c r="P282" t="s">
        <v>20</v>
      </c>
      <c r="Q282">
        <v>20230317</v>
      </c>
    </row>
    <row r="283" spans="1:17" x14ac:dyDescent="0.25">
      <c r="A283" t="s">
        <v>548</v>
      </c>
      <c r="B283" t="s">
        <v>429</v>
      </c>
      <c r="C283">
        <v>50</v>
      </c>
      <c r="D283">
        <v>20230317</v>
      </c>
      <c r="E283">
        <v>3</v>
      </c>
      <c r="F283">
        <v>411100</v>
      </c>
      <c r="G283" t="s">
        <v>18</v>
      </c>
      <c r="H283" t="s">
        <v>77</v>
      </c>
      <c r="I283" t="s">
        <v>78</v>
      </c>
      <c r="J283">
        <v>368093</v>
      </c>
      <c r="K283">
        <v>20230317</v>
      </c>
      <c r="L283" t="s">
        <v>5535</v>
      </c>
      <c r="M283">
        <v>0</v>
      </c>
      <c r="N283">
        <v>56.76</v>
      </c>
      <c r="O283" t="s">
        <v>19</v>
      </c>
      <c r="P283" t="s">
        <v>20</v>
      </c>
      <c r="Q283">
        <v>20230317</v>
      </c>
    </row>
    <row r="284" spans="1:17" x14ac:dyDescent="0.25">
      <c r="A284" t="s">
        <v>548</v>
      </c>
      <c r="B284" t="s">
        <v>429</v>
      </c>
      <c r="C284">
        <v>50</v>
      </c>
      <c r="D284">
        <v>20230317</v>
      </c>
      <c r="E284">
        <v>3</v>
      </c>
      <c r="F284">
        <v>531105</v>
      </c>
      <c r="G284" t="s">
        <v>429</v>
      </c>
      <c r="H284" t="s">
        <v>401</v>
      </c>
      <c r="I284" t="s">
        <v>402</v>
      </c>
      <c r="J284">
        <v>368094</v>
      </c>
      <c r="K284">
        <v>20230317</v>
      </c>
      <c r="L284" t="s">
        <v>565</v>
      </c>
      <c r="M284">
        <v>71.39</v>
      </c>
      <c r="N284">
        <v>0</v>
      </c>
      <c r="O284" t="s">
        <v>19</v>
      </c>
      <c r="P284" t="s">
        <v>20</v>
      </c>
      <c r="Q284">
        <v>20230317</v>
      </c>
    </row>
    <row r="285" spans="1:17" x14ac:dyDescent="0.25">
      <c r="A285" t="s">
        <v>548</v>
      </c>
      <c r="B285" t="s">
        <v>429</v>
      </c>
      <c r="C285">
        <v>51</v>
      </c>
      <c r="D285">
        <v>20230321</v>
      </c>
      <c r="E285">
        <v>3</v>
      </c>
      <c r="F285">
        <v>411010</v>
      </c>
      <c r="G285" t="s">
        <v>87</v>
      </c>
      <c r="H285" t="s">
        <v>4749</v>
      </c>
      <c r="I285" t="s">
        <v>5810</v>
      </c>
      <c r="J285">
        <v>222120025</v>
      </c>
      <c r="K285">
        <v>20230321</v>
      </c>
      <c r="L285" t="s">
        <v>5809</v>
      </c>
      <c r="M285">
        <v>0</v>
      </c>
      <c r="N285">
        <v>85</v>
      </c>
      <c r="O285" t="s">
        <v>19</v>
      </c>
      <c r="P285" t="s">
        <v>20</v>
      </c>
      <c r="Q285">
        <v>20230321</v>
      </c>
    </row>
    <row r="286" spans="1:17" x14ac:dyDescent="0.25">
      <c r="A286" t="s">
        <v>548</v>
      </c>
      <c r="B286" t="s">
        <v>429</v>
      </c>
      <c r="C286">
        <v>51</v>
      </c>
      <c r="D286">
        <v>20230321</v>
      </c>
      <c r="E286">
        <v>3</v>
      </c>
      <c r="F286">
        <v>531105</v>
      </c>
      <c r="G286" t="s">
        <v>429</v>
      </c>
      <c r="H286" t="s">
        <v>401</v>
      </c>
      <c r="I286" t="s">
        <v>402</v>
      </c>
      <c r="J286">
        <v>368096</v>
      </c>
      <c r="K286">
        <v>20230321</v>
      </c>
      <c r="L286" t="s">
        <v>565</v>
      </c>
      <c r="M286">
        <v>85</v>
      </c>
      <c r="N286">
        <v>0</v>
      </c>
      <c r="O286" t="s">
        <v>19</v>
      </c>
      <c r="P286" t="s">
        <v>20</v>
      </c>
      <c r="Q286">
        <v>20230321</v>
      </c>
    </row>
    <row r="287" spans="1:17" x14ac:dyDescent="0.25">
      <c r="A287" t="s">
        <v>548</v>
      </c>
      <c r="B287" t="s">
        <v>429</v>
      </c>
      <c r="C287">
        <v>52</v>
      </c>
      <c r="D287">
        <v>20230322</v>
      </c>
      <c r="E287">
        <v>3</v>
      </c>
      <c r="F287">
        <v>411100</v>
      </c>
      <c r="G287" t="s">
        <v>18</v>
      </c>
      <c r="H287" t="s">
        <v>4465</v>
      </c>
      <c r="I287" t="s">
        <v>4466</v>
      </c>
      <c r="J287">
        <v>368097</v>
      </c>
      <c r="K287">
        <v>20230322</v>
      </c>
      <c r="L287" t="s">
        <v>5537</v>
      </c>
      <c r="M287">
        <v>0</v>
      </c>
      <c r="N287">
        <v>36.19</v>
      </c>
      <c r="O287" t="s">
        <v>19</v>
      </c>
      <c r="P287" t="s">
        <v>20</v>
      </c>
      <c r="Q287">
        <v>20230322</v>
      </c>
    </row>
    <row r="288" spans="1:17" x14ac:dyDescent="0.25">
      <c r="A288" t="s">
        <v>548</v>
      </c>
      <c r="B288" t="s">
        <v>429</v>
      </c>
      <c r="C288">
        <v>52</v>
      </c>
      <c r="D288">
        <v>20230322</v>
      </c>
      <c r="E288">
        <v>3</v>
      </c>
      <c r="F288">
        <v>531105</v>
      </c>
      <c r="G288" t="s">
        <v>429</v>
      </c>
      <c r="H288" t="s">
        <v>401</v>
      </c>
      <c r="I288" t="s">
        <v>402</v>
      </c>
      <c r="J288">
        <v>368098</v>
      </c>
      <c r="K288">
        <v>20230322</v>
      </c>
      <c r="L288" t="s">
        <v>565</v>
      </c>
      <c r="M288">
        <v>36.19</v>
      </c>
      <c r="N288">
        <v>0</v>
      </c>
      <c r="O288" t="s">
        <v>19</v>
      </c>
      <c r="P288" t="s">
        <v>20</v>
      </c>
      <c r="Q288">
        <v>20230322</v>
      </c>
    </row>
    <row r="289" spans="1:17" x14ac:dyDescent="0.25">
      <c r="A289" t="s">
        <v>548</v>
      </c>
      <c r="B289" t="s">
        <v>429</v>
      </c>
      <c r="C289">
        <v>53</v>
      </c>
      <c r="D289">
        <v>20230315</v>
      </c>
      <c r="E289">
        <v>3</v>
      </c>
      <c r="F289">
        <v>411100</v>
      </c>
      <c r="G289" t="s">
        <v>18</v>
      </c>
      <c r="H289" t="s">
        <v>1417</v>
      </c>
      <c r="I289" t="s">
        <v>1418</v>
      </c>
      <c r="J289">
        <v>368616</v>
      </c>
      <c r="K289">
        <v>20230315</v>
      </c>
      <c r="L289" t="s">
        <v>5538</v>
      </c>
      <c r="M289">
        <v>0</v>
      </c>
      <c r="N289">
        <v>2</v>
      </c>
      <c r="O289" t="s">
        <v>19</v>
      </c>
      <c r="P289" t="s">
        <v>20</v>
      </c>
      <c r="Q289">
        <v>20230315</v>
      </c>
    </row>
    <row r="290" spans="1:17" x14ac:dyDescent="0.25">
      <c r="A290" t="s">
        <v>548</v>
      </c>
      <c r="B290" t="s">
        <v>429</v>
      </c>
      <c r="C290">
        <v>53</v>
      </c>
      <c r="D290">
        <v>20230315</v>
      </c>
      <c r="E290">
        <v>3</v>
      </c>
      <c r="F290">
        <v>411100</v>
      </c>
      <c r="G290" t="s">
        <v>18</v>
      </c>
      <c r="H290" t="s">
        <v>997</v>
      </c>
      <c r="I290" t="s">
        <v>998</v>
      </c>
      <c r="J290">
        <v>368617</v>
      </c>
      <c r="K290">
        <v>20230315</v>
      </c>
      <c r="L290" t="s">
        <v>5539</v>
      </c>
      <c r="M290">
        <v>0</v>
      </c>
      <c r="N290">
        <v>2</v>
      </c>
      <c r="O290" t="s">
        <v>19</v>
      </c>
      <c r="P290" t="s">
        <v>20</v>
      </c>
      <c r="Q290">
        <v>20230315</v>
      </c>
    </row>
    <row r="291" spans="1:17" x14ac:dyDescent="0.25">
      <c r="A291" t="s">
        <v>548</v>
      </c>
      <c r="B291" t="s">
        <v>429</v>
      </c>
      <c r="C291">
        <v>53</v>
      </c>
      <c r="D291">
        <v>20230315</v>
      </c>
      <c r="E291">
        <v>3</v>
      </c>
      <c r="F291">
        <v>411100</v>
      </c>
      <c r="G291" t="s">
        <v>18</v>
      </c>
      <c r="H291" t="s">
        <v>1000</v>
      </c>
      <c r="I291" t="s">
        <v>1001</v>
      </c>
      <c r="J291">
        <v>368618</v>
      </c>
      <c r="K291">
        <v>20230315</v>
      </c>
      <c r="L291" t="s">
        <v>5540</v>
      </c>
      <c r="M291">
        <v>0</v>
      </c>
      <c r="N291">
        <v>2</v>
      </c>
      <c r="O291" t="s">
        <v>19</v>
      </c>
      <c r="P291" t="s">
        <v>20</v>
      </c>
      <c r="Q291">
        <v>20230315</v>
      </c>
    </row>
    <row r="292" spans="1:17" x14ac:dyDescent="0.25">
      <c r="A292" t="s">
        <v>548</v>
      </c>
      <c r="B292" t="s">
        <v>429</v>
      </c>
      <c r="C292">
        <v>53</v>
      </c>
      <c r="D292">
        <v>20230315</v>
      </c>
      <c r="E292">
        <v>3</v>
      </c>
      <c r="F292">
        <v>411100</v>
      </c>
      <c r="G292" t="s">
        <v>18</v>
      </c>
      <c r="H292" t="s">
        <v>1003</v>
      </c>
      <c r="I292" t="s">
        <v>1004</v>
      </c>
      <c r="J292">
        <v>368619</v>
      </c>
      <c r="K292">
        <v>20230315</v>
      </c>
      <c r="L292" t="s">
        <v>5541</v>
      </c>
      <c r="M292">
        <v>0</v>
      </c>
      <c r="N292">
        <v>2</v>
      </c>
      <c r="O292" t="s">
        <v>19</v>
      </c>
      <c r="P292" t="s">
        <v>20</v>
      </c>
      <c r="Q292">
        <v>20230315</v>
      </c>
    </row>
    <row r="293" spans="1:17" x14ac:dyDescent="0.25">
      <c r="A293" t="s">
        <v>548</v>
      </c>
      <c r="B293" t="s">
        <v>429</v>
      </c>
      <c r="C293">
        <v>53</v>
      </c>
      <c r="D293">
        <v>20230315</v>
      </c>
      <c r="E293">
        <v>3</v>
      </c>
      <c r="F293">
        <v>411100</v>
      </c>
      <c r="G293" t="s">
        <v>18</v>
      </c>
      <c r="H293" t="s">
        <v>179</v>
      </c>
      <c r="I293" t="s">
        <v>180</v>
      </c>
      <c r="J293">
        <v>368620</v>
      </c>
      <c r="K293">
        <v>20230315</v>
      </c>
      <c r="L293" t="s">
        <v>5542</v>
      </c>
      <c r="M293">
        <v>0</v>
      </c>
      <c r="N293">
        <v>2</v>
      </c>
      <c r="O293" t="s">
        <v>19</v>
      </c>
      <c r="P293" t="s">
        <v>20</v>
      </c>
      <c r="Q293">
        <v>20230315</v>
      </c>
    </row>
    <row r="294" spans="1:17" x14ac:dyDescent="0.25">
      <c r="A294" t="s">
        <v>548</v>
      </c>
      <c r="B294" t="s">
        <v>429</v>
      </c>
      <c r="C294">
        <v>53</v>
      </c>
      <c r="D294">
        <v>20230315</v>
      </c>
      <c r="E294">
        <v>3</v>
      </c>
      <c r="F294">
        <v>411100</v>
      </c>
      <c r="G294" t="s">
        <v>18</v>
      </c>
      <c r="H294" t="s">
        <v>243</v>
      </c>
      <c r="I294" t="s">
        <v>244</v>
      </c>
      <c r="J294">
        <v>368621</v>
      </c>
      <c r="K294">
        <v>20230315</v>
      </c>
      <c r="L294" t="s">
        <v>5543</v>
      </c>
      <c r="M294">
        <v>0</v>
      </c>
      <c r="N294">
        <v>2</v>
      </c>
      <c r="O294" t="s">
        <v>19</v>
      </c>
      <c r="P294" t="s">
        <v>20</v>
      </c>
      <c r="Q294">
        <v>20230315</v>
      </c>
    </row>
    <row r="295" spans="1:17" x14ac:dyDescent="0.25">
      <c r="A295" t="s">
        <v>548</v>
      </c>
      <c r="B295" t="s">
        <v>429</v>
      </c>
      <c r="C295">
        <v>53</v>
      </c>
      <c r="D295">
        <v>20230315</v>
      </c>
      <c r="E295">
        <v>3</v>
      </c>
      <c r="F295">
        <v>411100</v>
      </c>
      <c r="G295" t="s">
        <v>18</v>
      </c>
      <c r="H295" t="s">
        <v>3569</v>
      </c>
      <c r="I295" t="s">
        <v>3570</v>
      </c>
      <c r="J295">
        <v>368622</v>
      </c>
      <c r="K295">
        <v>20230315</v>
      </c>
      <c r="L295" t="s">
        <v>5544</v>
      </c>
      <c r="M295">
        <v>0</v>
      </c>
      <c r="N295">
        <v>2</v>
      </c>
      <c r="O295" t="s">
        <v>19</v>
      </c>
      <c r="P295" t="s">
        <v>20</v>
      </c>
      <c r="Q295">
        <v>20230315</v>
      </c>
    </row>
    <row r="296" spans="1:17" x14ac:dyDescent="0.25">
      <c r="A296" t="s">
        <v>548</v>
      </c>
      <c r="B296" t="s">
        <v>429</v>
      </c>
      <c r="C296">
        <v>53</v>
      </c>
      <c r="D296">
        <v>20230315</v>
      </c>
      <c r="E296">
        <v>3</v>
      </c>
      <c r="F296">
        <v>531105</v>
      </c>
      <c r="G296" t="s">
        <v>429</v>
      </c>
      <c r="H296" t="s">
        <v>401</v>
      </c>
      <c r="I296" t="s">
        <v>402</v>
      </c>
      <c r="J296">
        <v>368623</v>
      </c>
      <c r="K296">
        <v>20230315</v>
      </c>
      <c r="L296" t="s">
        <v>565</v>
      </c>
      <c r="M296">
        <v>14</v>
      </c>
      <c r="N296">
        <v>0</v>
      </c>
      <c r="O296" t="s">
        <v>19</v>
      </c>
      <c r="P296" t="s">
        <v>20</v>
      </c>
      <c r="Q296">
        <v>20230315</v>
      </c>
    </row>
    <row r="297" spans="1:17" x14ac:dyDescent="0.25">
      <c r="A297" t="s">
        <v>548</v>
      </c>
      <c r="B297" t="s">
        <v>429</v>
      </c>
      <c r="C297">
        <v>54</v>
      </c>
      <c r="D297">
        <v>20230316</v>
      </c>
      <c r="E297">
        <v>3</v>
      </c>
      <c r="F297">
        <v>411100</v>
      </c>
      <c r="G297" t="s">
        <v>18</v>
      </c>
      <c r="H297" t="s">
        <v>154</v>
      </c>
      <c r="I297" t="s">
        <v>155</v>
      </c>
      <c r="J297">
        <v>368624</v>
      </c>
      <c r="K297">
        <v>20230316</v>
      </c>
      <c r="L297" t="s">
        <v>5545</v>
      </c>
      <c r="M297">
        <v>0</v>
      </c>
      <c r="N297">
        <v>7</v>
      </c>
      <c r="O297" t="s">
        <v>19</v>
      </c>
      <c r="P297" t="s">
        <v>20</v>
      </c>
      <c r="Q297">
        <v>20230316</v>
      </c>
    </row>
    <row r="298" spans="1:17" x14ac:dyDescent="0.25">
      <c r="A298" t="s">
        <v>548</v>
      </c>
      <c r="B298" t="s">
        <v>429</v>
      </c>
      <c r="C298">
        <v>54</v>
      </c>
      <c r="D298">
        <v>20230316</v>
      </c>
      <c r="E298">
        <v>3</v>
      </c>
      <c r="F298">
        <v>411100</v>
      </c>
      <c r="G298" t="s">
        <v>18</v>
      </c>
      <c r="H298" t="s">
        <v>1911</v>
      </c>
      <c r="I298" t="s">
        <v>1912</v>
      </c>
      <c r="J298">
        <v>368625</v>
      </c>
      <c r="K298">
        <v>20230316</v>
      </c>
      <c r="L298" t="s">
        <v>5546</v>
      </c>
      <c r="M298">
        <v>0</v>
      </c>
      <c r="N298">
        <v>7</v>
      </c>
      <c r="O298" t="s">
        <v>19</v>
      </c>
      <c r="P298" t="s">
        <v>20</v>
      </c>
      <c r="Q298">
        <v>20230316</v>
      </c>
    </row>
    <row r="299" spans="1:17" x14ac:dyDescent="0.25">
      <c r="A299" t="s">
        <v>548</v>
      </c>
      <c r="B299" t="s">
        <v>429</v>
      </c>
      <c r="C299">
        <v>54</v>
      </c>
      <c r="D299">
        <v>20230316</v>
      </c>
      <c r="E299">
        <v>3</v>
      </c>
      <c r="F299">
        <v>411100</v>
      </c>
      <c r="G299" t="s">
        <v>18</v>
      </c>
      <c r="H299" t="s">
        <v>3001</v>
      </c>
      <c r="I299" t="s">
        <v>3002</v>
      </c>
      <c r="J299">
        <v>368626</v>
      </c>
      <c r="K299">
        <v>20230316</v>
      </c>
      <c r="L299" t="s">
        <v>5547</v>
      </c>
      <c r="M299">
        <v>0</v>
      </c>
      <c r="N299">
        <v>7</v>
      </c>
      <c r="O299" t="s">
        <v>19</v>
      </c>
      <c r="P299" t="s">
        <v>20</v>
      </c>
      <c r="Q299">
        <v>20230316</v>
      </c>
    </row>
    <row r="300" spans="1:17" x14ac:dyDescent="0.25">
      <c r="A300" t="s">
        <v>548</v>
      </c>
      <c r="B300" t="s">
        <v>429</v>
      </c>
      <c r="C300">
        <v>54</v>
      </c>
      <c r="D300">
        <v>20230316</v>
      </c>
      <c r="E300">
        <v>3</v>
      </c>
      <c r="F300">
        <v>411100</v>
      </c>
      <c r="G300" t="s">
        <v>18</v>
      </c>
      <c r="H300" t="s">
        <v>259</v>
      </c>
      <c r="I300" t="s">
        <v>260</v>
      </c>
      <c r="J300">
        <v>368627</v>
      </c>
      <c r="K300">
        <v>20230316</v>
      </c>
      <c r="L300" t="s">
        <v>5548</v>
      </c>
      <c r="M300">
        <v>0</v>
      </c>
      <c r="N300">
        <v>7</v>
      </c>
      <c r="O300" t="s">
        <v>19</v>
      </c>
      <c r="P300" t="s">
        <v>20</v>
      </c>
      <c r="Q300">
        <v>20230316</v>
      </c>
    </row>
    <row r="301" spans="1:17" x14ac:dyDescent="0.25">
      <c r="A301" t="s">
        <v>548</v>
      </c>
      <c r="B301" t="s">
        <v>429</v>
      </c>
      <c r="C301">
        <v>54</v>
      </c>
      <c r="D301">
        <v>20230316</v>
      </c>
      <c r="E301">
        <v>3</v>
      </c>
      <c r="F301">
        <v>411100</v>
      </c>
      <c r="G301" t="s">
        <v>18</v>
      </c>
      <c r="H301" t="s">
        <v>1620</v>
      </c>
      <c r="I301" t="s">
        <v>1621</v>
      </c>
      <c r="J301">
        <v>122030035</v>
      </c>
      <c r="K301">
        <v>20230316</v>
      </c>
      <c r="L301" t="s">
        <v>5549</v>
      </c>
      <c r="M301">
        <v>0</v>
      </c>
      <c r="N301">
        <v>10</v>
      </c>
      <c r="O301" t="s">
        <v>19</v>
      </c>
      <c r="P301" t="s">
        <v>20</v>
      </c>
      <c r="Q301">
        <v>20230316</v>
      </c>
    </row>
    <row r="302" spans="1:17" x14ac:dyDescent="0.25">
      <c r="A302" t="s">
        <v>548</v>
      </c>
      <c r="B302" t="s">
        <v>429</v>
      </c>
      <c r="C302">
        <v>54</v>
      </c>
      <c r="D302">
        <v>20230316</v>
      </c>
      <c r="E302">
        <v>3</v>
      </c>
      <c r="F302">
        <v>531105</v>
      </c>
      <c r="G302" t="s">
        <v>429</v>
      </c>
      <c r="H302" t="s">
        <v>401</v>
      </c>
      <c r="I302" t="s">
        <v>402</v>
      </c>
      <c r="J302">
        <v>368629</v>
      </c>
      <c r="K302">
        <v>20230316</v>
      </c>
      <c r="L302" t="s">
        <v>565</v>
      </c>
      <c r="M302">
        <v>38</v>
      </c>
      <c r="N302">
        <v>0</v>
      </c>
      <c r="O302" t="s">
        <v>19</v>
      </c>
      <c r="P302" t="s">
        <v>20</v>
      </c>
      <c r="Q302">
        <v>20230316</v>
      </c>
    </row>
    <row r="303" spans="1:17" x14ac:dyDescent="0.25">
      <c r="A303" t="s">
        <v>548</v>
      </c>
      <c r="B303" t="s">
        <v>429</v>
      </c>
      <c r="C303">
        <v>55</v>
      </c>
      <c r="D303">
        <v>20230317</v>
      </c>
      <c r="E303">
        <v>3</v>
      </c>
      <c r="F303">
        <v>411100</v>
      </c>
      <c r="G303" t="s">
        <v>18</v>
      </c>
      <c r="H303" t="s">
        <v>5550</v>
      </c>
      <c r="I303" t="s">
        <v>5551</v>
      </c>
      <c r="J303">
        <v>368630</v>
      </c>
      <c r="K303">
        <v>20230317</v>
      </c>
      <c r="L303" t="s">
        <v>5552</v>
      </c>
      <c r="M303">
        <v>0</v>
      </c>
      <c r="N303">
        <v>22</v>
      </c>
      <c r="O303" t="s">
        <v>19</v>
      </c>
      <c r="P303" t="s">
        <v>20</v>
      </c>
      <c r="Q303">
        <v>20230317</v>
      </c>
    </row>
    <row r="304" spans="1:17" x14ac:dyDescent="0.25">
      <c r="A304" t="s">
        <v>548</v>
      </c>
      <c r="B304" t="s">
        <v>429</v>
      </c>
      <c r="C304">
        <v>55</v>
      </c>
      <c r="D304">
        <v>20230317</v>
      </c>
      <c r="E304">
        <v>3</v>
      </c>
      <c r="F304">
        <v>531105</v>
      </c>
      <c r="G304" t="s">
        <v>429</v>
      </c>
      <c r="H304" t="s">
        <v>401</v>
      </c>
      <c r="I304" t="s">
        <v>402</v>
      </c>
      <c r="J304">
        <v>368631</v>
      </c>
      <c r="K304">
        <v>20230317</v>
      </c>
      <c r="L304" t="s">
        <v>565</v>
      </c>
      <c r="M304">
        <v>22</v>
      </c>
      <c r="N304">
        <v>0</v>
      </c>
      <c r="O304" t="s">
        <v>19</v>
      </c>
      <c r="P304" t="s">
        <v>20</v>
      </c>
      <c r="Q304">
        <v>20230317</v>
      </c>
    </row>
    <row r="305" spans="1:17" x14ac:dyDescent="0.25">
      <c r="A305" t="s">
        <v>548</v>
      </c>
      <c r="B305" t="s">
        <v>429</v>
      </c>
      <c r="C305">
        <v>56</v>
      </c>
      <c r="D305">
        <v>20230320</v>
      </c>
      <c r="E305">
        <v>3</v>
      </c>
      <c r="F305">
        <v>411100</v>
      </c>
      <c r="G305" t="s">
        <v>18</v>
      </c>
      <c r="H305" t="s">
        <v>3536</v>
      </c>
      <c r="I305" t="s">
        <v>3537</v>
      </c>
      <c r="J305">
        <v>368632</v>
      </c>
      <c r="K305">
        <v>20230320</v>
      </c>
      <c r="L305" t="s">
        <v>5553</v>
      </c>
      <c r="M305">
        <v>0</v>
      </c>
      <c r="N305">
        <v>164.4</v>
      </c>
      <c r="O305" t="s">
        <v>19</v>
      </c>
      <c r="P305" t="s">
        <v>20</v>
      </c>
      <c r="Q305">
        <v>20230320</v>
      </c>
    </row>
    <row r="306" spans="1:17" x14ac:dyDescent="0.25">
      <c r="A306" t="s">
        <v>548</v>
      </c>
      <c r="B306" t="s">
        <v>429</v>
      </c>
      <c r="C306">
        <v>56</v>
      </c>
      <c r="D306">
        <v>20230320</v>
      </c>
      <c r="E306">
        <v>3</v>
      </c>
      <c r="F306">
        <v>411100</v>
      </c>
      <c r="G306" t="s">
        <v>18</v>
      </c>
      <c r="H306" t="s">
        <v>79</v>
      </c>
      <c r="I306" t="s">
        <v>80</v>
      </c>
      <c r="J306">
        <v>368633</v>
      </c>
      <c r="K306">
        <v>20230320</v>
      </c>
      <c r="L306" t="s">
        <v>5554</v>
      </c>
      <c r="M306">
        <v>0</v>
      </c>
      <c r="N306">
        <v>120</v>
      </c>
      <c r="O306" t="s">
        <v>19</v>
      </c>
      <c r="P306" t="s">
        <v>20</v>
      </c>
      <c r="Q306">
        <v>20230320</v>
      </c>
    </row>
    <row r="307" spans="1:17" x14ac:dyDescent="0.25">
      <c r="A307" t="s">
        <v>548</v>
      </c>
      <c r="B307" t="s">
        <v>429</v>
      </c>
      <c r="C307">
        <v>56</v>
      </c>
      <c r="D307">
        <v>20230320</v>
      </c>
      <c r="E307">
        <v>3</v>
      </c>
      <c r="F307">
        <v>411100</v>
      </c>
      <c r="G307" t="s">
        <v>18</v>
      </c>
      <c r="H307" t="s">
        <v>5555</v>
      </c>
      <c r="I307" t="s">
        <v>5556</v>
      </c>
      <c r="J307">
        <v>368634</v>
      </c>
      <c r="K307">
        <v>20230320</v>
      </c>
      <c r="L307" t="s">
        <v>5557</v>
      </c>
      <c r="M307">
        <v>0</v>
      </c>
      <c r="N307">
        <v>20</v>
      </c>
      <c r="O307" t="s">
        <v>19</v>
      </c>
      <c r="P307" t="s">
        <v>20</v>
      </c>
      <c r="Q307">
        <v>20230320</v>
      </c>
    </row>
    <row r="308" spans="1:17" x14ac:dyDescent="0.25">
      <c r="A308" t="s">
        <v>548</v>
      </c>
      <c r="B308" t="s">
        <v>429</v>
      </c>
      <c r="C308">
        <v>56</v>
      </c>
      <c r="D308">
        <v>20230320</v>
      </c>
      <c r="E308">
        <v>3</v>
      </c>
      <c r="F308">
        <v>411100</v>
      </c>
      <c r="G308" t="s">
        <v>18</v>
      </c>
      <c r="H308" t="s">
        <v>1503</v>
      </c>
      <c r="I308" t="s">
        <v>1504</v>
      </c>
      <c r="J308">
        <v>368635</v>
      </c>
      <c r="K308">
        <v>20230320</v>
      </c>
      <c r="L308" t="s">
        <v>5558</v>
      </c>
      <c r="M308">
        <v>0</v>
      </c>
      <c r="N308">
        <v>22.46</v>
      </c>
      <c r="O308" t="s">
        <v>19</v>
      </c>
      <c r="P308" t="s">
        <v>20</v>
      </c>
      <c r="Q308">
        <v>20230320</v>
      </c>
    </row>
    <row r="309" spans="1:17" x14ac:dyDescent="0.25">
      <c r="A309" t="s">
        <v>548</v>
      </c>
      <c r="B309" t="s">
        <v>429</v>
      </c>
      <c r="C309">
        <v>56</v>
      </c>
      <c r="D309">
        <v>20230320</v>
      </c>
      <c r="E309">
        <v>3</v>
      </c>
      <c r="F309">
        <v>411100</v>
      </c>
      <c r="G309" t="s">
        <v>18</v>
      </c>
      <c r="H309" t="s">
        <v>1503</v>
      </c>
      <c r="I309" t="s">
        <v>1504</v>
      </c>
      <c r="J309">
        <v>368636</v>
      </c>
      <c r="K309">
        <v>20230320</v>
      </c>
      <c r="L309" t="s">
        <v>5808</v>
      </c>
      <c r="M309">
        <v>0.12</v>
      </c>
      <c r="N309">
        <v>0</v>
      </c>
      <c r="O309" t="s">
        <v>19</v>
      </c>
      <c r="P309" t="s">
        <v>20</v>
      </c>
      <c r="Q309">
        <v>20230320</v>
      </c>
    </row>
    <row r="310" spans="1:17" x14ac:dyDescent="0.25">
      <c r="A310" t="s">
        <v>548</v>
      </c>
      <c r="B310" t="s">
        <v>429</v>
      </c>
      <c r="C310">
        <v>56</v>
      </c>
      <c r="D310">
        <v>20230320</v>
      </c>
      <c r="E310">
        <v>3</v>
      </c>
      <c r="F310">
        <v>411100</v>
      </c>
      <c r="G310" t="s">
        <v>18</v>
      </c>
      <c r="H310" t="s">
        <v>5560</v>
      </c>
      <c r="I310" t="s">
        <v>5561</v>
      </c>
      <c r="J310">
        <v>368637</v>
      </c>
      <c r="K310">
        <v>20230320</v>
      </c>
      <c r="L310" t="s">
        <v>5562</v>
      </c>
      <c r="M310">
        <v>0</v>
      </c>
      <c r="N310">
        <v>22</v>
      </c>
      <c r="O310" t="s">
        <v>19</v>
      </c>
      <c r="P310" t="s">
        <v>20</v>
      </c>
      <c r="Q310">
        <v>20230320</v>
      </c>
    </row>
    <row r="311" spans="1:17" x14ac:dyDescent="0.25">
      <c r="A311" t="s">
        <v>548</v>
      </c>
      <c r="B311" t="s">
        <v>429</v>
      </c>
      <c r="C311">
        <v>56</v>
      </c>
      <c r="D311">
        <v>20230320</v>
      </c>
      <c r="E311">
        <v>3</v>
      </c>
      <c r="F311">
        <v>411100</v>
      </c>
      <c r="G311" t="s">
        <v>18</v>
      </c>
      <c r="H311" t="s">
        <v>233</v>
      </c>
      <c r="I311" t="s">
        <v>234</v>
      </c>
      <c r="J311">
        <v>123020106</v>
      </c>
      <c r="K311">
        <v>20230320</v>
      </c>
      <c r="L311" t="s">
        <v>5563</v>
      </c>
      <c r="M311">
        <v>0</v>
      </c>
      <c r="N311">
        <v>70.83</v>
      </c>
      <c r="O311" t="s">
        <v>19</v>
      </c>
      <c r="P311" t="s">
        <v>20</v>
      </c>
      <c r="Q311">
        <v>20230320</v>
      </c>
    </row>
    <row r="312" spans="1:17" x14ac:dyDescent="0.25">
      <c r="A312" t="s">
        <v>548</v>
      </c>
      <c r="B312" t="s">
        <v>429</v>
      </c>
      <c r="C312">
        <v>56</v>
      </c>
      <c r="D312">
        <v>20230320</v>
      </c>
      <c r="E312">
        <v>3</v>
      </c>
      <c r="F312">
        <v>411000</v>
      </c>
      <c r="G312" t="s">
        <v>21</v>
      </c>
      <c r="H312" t="s">
        <v>271</v>
      </c>
      <c r="I312" t="s">
        <v>272</v>
      </c>
      <c r="J312">
        <v>368639</v>
      </c>
      <c r="K312">
        <v>20230320</v>
      </c>
      <c r="L312" t="s">
        <v>5564</v>
      </c>
      <c r="M312">
        <v>0</v>
      </c>
      <c r="N312">
        <v>48</v>
      </c>
      <c r="O312" t="s">
        <v>19</v>
      </c>
      <c r="P312" t="s">
        <v>20</v>
      </c>
      <c r="Q312">
        <v>20230320</v>
      </c>
    </row>
    <row r="313" spans="1:17" x14ac:dyDescent="0.25">
      <c r="A313" t="s">
        <v>548</v>
      </c>
      <c r="B313" t="s">
        <v>429</v>
      </c>
      <c r="C313">
        <v>56</v>
      </c>
      <c r="D313">
        <v>20230320</v>
      </c>
      <c r="E313">
        <v>3</v>
      </c>
      <c r="F313">
        <v>411100</v>
      </c>
      <c r="G313" t="s">
        <v>18</v>
      </c>
      <c r="H313" t="s">
        <v>2730</v>
      </c>
      <c r="I313" t="s">
        <v>2731</v>
      </c>
      <c r="J313">
        <v>368640</v>
      </c>
      <c r="K313">
        <v>20230320</v>
      </c>
      <c r="L313" t="s">
        <v>5565</v>
      </c>
      <c r="M313">
        <v>0</v>
      </c>
      <c r="N313">
        <v>4.32</v>
      </c>
      <c r="O313" t="s">
        <v>19</v>
      </c>
      <c r="P313" t="s">
        <v>20</v>
      </c>
      <c r="Q313">
        <v>20230320</v>
      </c>
    </row>
    <row r="314" spans="1:17" x14ac:dyDescent="0.25">
      <c r="A314" t="s">
        <v>548</v>
      </c>
      <c r="B314" t="s">
        <v>429</v>
      </c>
      <c r="C314">
        <v>56</v>
      </c>
      <c r="D314">
        <v>20230320</v>
      </c>
      <c r="E314">
        <v>3</v>
      </c>
      <c r="F314">
        <v>531105</v>
      </c>
      <c r="G314" t="s">
        <v>429</v>
      </c>
      <c r="H314" t="s">
        <v>401</v>
      </c>
      <c r="I314" t="s">
        <v>402</v>
      </c>
      <c r="J314">
        <v>368641</v>
      </c>
      <c r="K314">
        <v>20230320</v>
      </c>
      <c r="L314" t="s">
        <v>565</v>
      </c>
      <c r="M314">
        <v>471.89</v>
      </c>
      <c r="N314">
        <v>0</v>
      </c>
      <c r="O314" t="s">
        <v>19</v>
      </c>
      <c r="P314" t="s">
        <v>20</v>
      </c>
      <c r="Q314">
        <v>20230320</v>
      </c>
    </row>
    <row r="315" spans="1:17" x14ac:dyDescent="0.25">
      <c r="A315" t="s">
        <v>548</v>
      </c>
      <c r="B315" t="s">
        <v>429</v>
      </c>
      <c r="C315">
        <v>57</v>
      </c>
      <c r="D315">
        <v>20230321</v>
      </c>
      <c r="E315">
        <v>3</v>
      </c>
      <c r="F315">
        <v>411100</v>
      </c>
      <c r="G315" t="s">
        <v>18</v>
      </c>
      <c r="H315" t="s">
        <v>787</v>
      </c>
      <c r="I315" t="s">
        <v>788</v>
      </c>
      <c r="J315">
        <v>368642</v>
      </c>
      <c r="K315">
        <v>20230321</v>
      </c>
      <c r="L315" t="s">
        <v>5566</v>
      </c>
      <c r="M315">
        <v>0</v>
      </c>
      <c r="N315">
        <v>55</v>
      </c>
      <c r="O315" t="s">
        <v>19</v>
      </c>
      <c r="P315" t="s">
        <v>20</v>
      </c>
      <c r="Q315">
        <v>20230321</v>
      </c>
    </row>
    <row r="316" spans="1:17" x14ac:dyDescent="0.25">
      <c r="A316" t="s">
        <v>548</v>
      </c>
      <c r="B316" t="s">
        <v>429</v>
      </c>
      <c r="C316">
        <v>57</v>
      </c>
      <c r="D316">
        <v>20230321</v>
      </c>
      <c r="E316">
        <v>3</v>
      </c>
      <c r="F316">
        <v>411100</v>
      </c>
      <c r="G316" t="s">
        <v>18</v>
      </c>
      <c r="H316" t="s">
        <v>267</v>
      </c>
      <c r="I316" t="s">
        <v>268</v>
      </c>
      <c r="J316">
        <v>368643</v>
      </c>
      <c r="K316">
        <v>20230321</v>
      </c>
      <c r="L316" t="s">
        <v>5567</v>
      </c>
      <c r="M316">
        <v>0</v>
      </c>
      <c r="N316">
        <v>21</v>
      </c>
      <c r="O316" t="s">
        <v>19</v>
      </c>
      <c r="P316" t="s">
        <v>20</v>
      </c>
      <c r="Q316">
        <v>20230321</v>
      </c>
    </row>
    <row r="317" spans="1:17" x14ac:dyDescent="0.25">
      <c r="A317" t="s">
        <v>548</v>
      </c>
      <c r="B317" t="s">
        <v>429</v>
      </c>
      <c r="C317">
        <v>57</v>
      </c>
      <c r="D317">
        <v>20230321</v>
      </c>
      <c r="E317">
        <v>3</v>
      </c>
      <c r="F317">
        <v>411100</v>
      </c>
      <c r="G317" t="s">
        <v>18</v>
      </c>
      <c r="H317" t="s">
        <v>5568</v>
      </c>
      <c r="I317" t="s">
        <v>5569</v>
      </c>
      <c r="J317">
        <v>368644</v>
      </c>
      <c r="K317">
        <v>20230321</v>
      </c>
      <c r="L317" t="s">
        <v>5570</v>
      </c>
      <c r="M317">
        <v>0</v>
      </c>
      <c r="N317">
        <v>22</v>
      </c>
      <c r="O317" t="s">
        <v>19</v>
      </c>
      <c r="P317" t="s">
        <v>20</v>
      </c>
      <c r="Q317">
        <v>20230321</v>
      </c>
    </row>
    <row r="318" spans="1:17" x14ac:dyDescent="0.25">
      <c r="A318" t="s">
        <v>548</v>
      </c>
      <c r="B318" t="s">
        <v>429</v>
      </c>
      <c r="C318">
        <v>57</v>
      </c>
      <c r="D318">
        <v>20230321</v>
      </c>
      <c r="E318">
        <v>3</v>
      </c>
      <c r="F318">
        <v>411100</v>
      </c>
      <c r="G318" t="s">
        <v>18</v>
      </c>
      <c r="H318" t="s">
        <v>3583</v>
      </c>
      <c r="I318" t="s">
        <v>3584</v>
      </c>
      <c r="J318">
        <v>368645</v>
      </c>
      <c r="K318">
        <v>20230321</v>
      </c>
      <c r="L318" t="s">
        <v>5571</v>
      </c>
      <c r="M318">
        <v>0</v>
      </c>
      <c r="N318">
        <v>31.48</v>
      </c>
      <c r="O318" t="s">
        <v>19</v>
      </c>
      <c r="P318" t="s">
        <v>20</v>
      </c>
      <c r="Q318">
        <v>20230321</v>
      </c>
    </row>
    <row r="319" spans="1:17" x14ac:dyDescent="0.25">
      <c r="A319" t="s">
        <v>548</v>
      </c>
      <c r="B319" t="s">
        <v>429</v>
      </c>
      <c r="C319">
        <v>57</v>
      </c>
      <c r="D319">
        <v>20230321</v>
      </c>
      <c r="E319">
        <v>3</v>
      </c>
      <c r="F319">
        <v>411100</v>
      </c>
      <c r="G319" t="s">
        <v>18</v>
      </c>
      <c r="H319" t="s">
        <v>91</v>
      </c>
      <c r="I319" t="s">
        <v>92</v>
      </c>
      <c r="J319">
        <v>368646</v>
      </c>
      <c r="K319">
        <v>20230321</v>
      </c>
      <c r="L319" t="s">
        <v>5572</v>
      </c>
      <c r="M319">
        <v>0</v>
      </c>
      <c r="N319">
        <v>62.96</v>
      </c>
      <c r="O319" t="s">
        <v>19</v>
      </c>
      <c r="P319" t="s">
        <v>20</v>
      </c>
      <c r="Q319">
        <v>20230321</v>
      </c>
    </row>
    <row r="320" spans="1:17" x14ac:dyDescent="0.25">
      <c r="A320" t="s">
        <v>548</v>
      </c>
      <c r="B320" t="s">
        <v>429</v>
      </c>
      <c r="C320">
        <v>57</v>
      </c>
      <c r="D320">
        <v>20230321</v>
      </c>
      <c r="E320">
        <v>3</v>
      </c>
      <c r="F320">
        <v>411100</v>
      </c>
      <c r="G320" t="s">
        <v>18</v>
      </c>
      <c r="H320" t="s">
        <v>5067</v>
      </c>
      <c r="I320" t="s">
        <v>5068</v>
      </c>
      <c r="J320">
        <v>368647</v>
      </c>
      <c r="K320">
        <v>20230321</v>
      </c>
      <c r="L320" t="s">
        <v>5573</v>
      </c>
      <c r="M320">
        <v>0</v>
      </c>
      <c r="N320">
        <v>27.66</v>
      </c>
      <c r="O320" t="s">
        <v>19</v>
      </c>
      <c r="P320" t="s">
        <v>20</v>
      </c>
      <c r="Q320">
        <v>20230321</v>
      </c>
    </row>
    <row r="321" spans="1:17" x14ac:dyDescent="0.25">
      <c r="A321" t="s">
        <v>548</v>
      </c>
      <c r="B321" t="s">
        <v>429</v>
      </c>
      <c r="C321">
        <v>57</v>
      </c>
      <c r="D321">
        <v>20230321</v>
      </c>
      <c r="E321">
        <v>3</v>
      </c>
      <c r="F321">
        <v>411100</v>
      </c>
      <c r="G321" t="s">
        <v>18</v>
      </c>
      <c r="H321" t="s">
        <v>156</v>
      </c>
      <c r="I321" t="s">
        <v>157</v>
      </c>
      <c r="J321">
        <v>368648</v>
      </c>
      <c r="K321">
        <v>20230321</v>
      </c>
      <c r="L321" t="s">
        <v>5574</v>
      </c>
      <c r="M321">
        <v>0</v>
      </c>
      <c r="N321">
        <v>110.64</v>
      </c>
      <c r="O321" t="s">
        <v>19</v>
      </c>
      <c r="P321" t="s">
        <v>20</v>
      </c>
      <c r="Q321">
        <v>20230321</v>
      </c>
    </row>
    <row r="322" spans="1:17" x14ac:dyDescent="0.25">
      <c r="A322" t="s">
        <v>548</v>
      </c>
      <c r="B322" t="s">
        <v>429</v>
      </c>
      <c r="C322">
        <v>57</v>
      </c>
      <c r="D322">
        <v>20230321</v>
      </c>
      <c r="E322">
        <v>3</v>
      </c>
      <c r="F322">
        <v>531105</v>
      </c>
      <c r="G322" t="s">
        <v>429</v>
      </c>
      <c r="H322" t="s">
        <v>401</v>
      </c>
      <c r="I322" t="s">
        <v>402</v>
      </c>
      <c r="J322">
        <v>368649</v>
      </c>
      <c r="K322">
        <v>20230321</v>
      </c>
      <c r="L322" t="s">
        <v>565</v>
      </c>
      <c r="M322">
        <v>330.74</v>
      </c>
      <c r="N322">
        <v>0</v>
      </c>
      <c r="O322" t="s">
        <v>19</v>
      </c>
      <c r="P322" t="s">
        <v>20</v>
      </c>
      <c r="Q322">
        <v>20230321</v>
      </c>
    </row>
    <row r="323" spans="1:17" x14ac:dyDescent="0.25">
      <c r="A323" t="s">
        <v>548</v>
      </c>
      <c r="B323" t="s">
        <v>429</v>
      </c>
      <c r="C323">
        <v>58</v>
      </c>
      <c r="D323">
        <v>20230322</v>
      </c>
      <c r="E323">
        <v>3</v>
      </c>
      <c r="F323">
        <v>411100</v>
      </c>
      <c r="G323" t="s">
        <v>18</v>
      </c>
      <c r="H323" t="s">
        <v>261</v>
      </c>
      <c r="I323" t="s">
        <v>262</v>
      </c>
      <c r="J323">
        <v>122110152</v>
      </c>
      <c r="K323">
        <v>20230322</v>
      </c>
      <c r="L323" t="s">
        <v>5575</v>
      </c>
      <c r="M323">
        <v>0</v>
      </c>
      <c r="N323">
        <v>44.26</v>
      </c>
      <c r="O323" t="s">
        <v>19</v>
      </c>
      <c r="P323" t="s">
        <v>20</v>
      </c>
      <c r="Q323">
        <v>20230322</v>
      </c>
    </row>
    <row r="324" spans="1:17" x14ac:dyDescent="0.25">
      <c r="A324" t="s">
        <v>548</v>
      </c>
      <c r="B324" t="s">
        <v>429</v>
      </c>
      <c r="C324">
        <v>58</v>
      </c>
      <c r="D324">
        <v>20230322</v>
      </c>
      <c r="E324">
        <v>3</v>
      </c>
      <c r="F324">
        <v>411100</v>
      </c>
      <c r="G324" t="s">
        <v>18</v>
      </c>
      <c r="H324" t="s">
        <v>4910</v>
      </c>
      <c r="I324" t="s">
        <v>4911</v>
      </c>
      <c r="J324">
        <v>368651</v>
      </c>
      <c r="K324">
        <v>20230322</v>
      </c>
      <c r="L324" t="s">
        <v>5576</v>
      </c>
      <c r="M324">
        <v>0</v>
      </c>
      <c r="N324">
        <v>89.84</v>
      </c>
      <c r="O324" t="s">
        <v>19</v>
      </c>
      <c r="P324" t="s">
        <v>20</v>
      </c>
      <c r="Q324">
        <v>20230322</v>
      </c>
    </row>
    <row r="325" spans="1:17" x14ac:dyDescent="0.25">
      <c r="A325" t="s">
        <v>548</v>
      </c>
      <c r="B325" t="s">
        <v>429</v>
      </c>
      <c r="C325">
        <v>58</v>
      </c>
      <c r="D325">
        <v>20230322</v>
      </c>
      <c r="E325">
        <v>3</v>
      </c>
      <c r="F325">
        <v>411100</v>
      </c>
      <c r="G325" t="s">
        <v>18</v>
      </c>
      <c r="H325" t="s">
        <v>4127</v>
      </c>
      <c r="I325" t="s">
        <v>4128</v>
      </c>
      <c r="J325">
        <v>368652</v>
      </c>
      <c r="K325">
        <v>20230322</v>
      </c>
      <c r="L325" t="s">
        <v>5577</v>
      </c>
      <c r="M325">
        <v>0</v>
      </c>
      <c r="N325">
        <v>62.16</v>
      </c>
      <c r="O325" t="s">
        <v>19</v>
      </c>
      <c r="P325" t="s">
        <v>20</v>
      </c>
      <c r="Q325">
        <v>20230322</v>
      </c>
    </row>
    <row r="326" spans="1:17" x14ac:dyDescent="0.25">
      <c r="A326" t="s">
        <v>548</v>
      </c>
      <c r="B326" t="s">
        <v>429</v>
      </c>
      <c r="C326">
        <v>58</v>
      </c>
      <c r="D326">
        <v>20230322</v>
      </c>
      <c r="E326">
        <v>3</v>
      </c>
      <c r="F326">
        <v>411100</v>
      </c>
      <c r="G326" t="s">
        <v>18</v>
      </c>
      <c r="H326" t="s">
        <v>823</v>
      </c>
      <c r="I326" t="s">
        <v>824</v>
      </c>
      <c r="J326">
        <v>368653</v>
      </c>
      <c r="K326">
        <v>20230322</v>
      </c>
      <c r="L326" t="s">
        <v>5578</v>
      </c>
      <c r="M326">
        <v>0</v>
      </c>
      <c r="N326">
        <v>134.76</v>
      </c>
      <c r="O326" t="s">
        <v>19</v>
      </c>
      <c r="P326" t="s">
        <v>20</v>
      </c>
      <c r="Q326">
        <v>20230322</v>
      </c>
    </row>
    <row r="327" spans="1:17" x14ac:dyDescent="0.25">
      <c r="A327" t="s">
        <v>548</v>
      </c>
      <c r="B327" t="s">
        <v>429</v>
      </c>
      <c r="C327">
        <v>58</v>
      </c>
      <c r="D327">
        <v>20230322</v>
      </c>
      <c r="E327">
        <v>3</v>
      </c>
      <c r="F327">
        <v>411100</v>
      </c>
      <c r="G327" t="s">
        <v>18</v>
      </c>
      <c r="H327" t="s">
        <v>1765</v>
      </c>
      <c r="I327" t="s">
        <v>1766</v>
      </c>
      <c r="J327">
        <v>123020017</v>
      </c>
      <c r="K327">
        <v>20230322</v>
      </c>
      <c r="L327" t="s">
        <v>5579</v>
      </c>
      <c r="M327">
        <v>0</v>
      </c>
      <c r="N327">
        <v>34.83</v>
      </c>
      <c r="O327" t="s">
        <v>19</v>
      </c>
      <c r="P327" t="s">
        <v>20</v>
      </c>
      <c r="Q327">
        <v>20230322</v>
      </c>
    </row>
    <row r="328" spans="1:17" x14ac:dyDescent="0.25">
      <c r="A328" t="s">
        <v>548</v>
      </c>
      <c r="B328" t="s">
        <v>429</v>
      </c>
      <c r="C328">
        <v>58</v>
      </c>
      <c r="D328">
        <v>20230322</v>
      </c>
      <c r="E328">
        <v>3</v>
      </c>
      <c r="F328">
        <v>411100</v>
      </c>
      <c r="G328" t="s">
        <v>18</v>
      </c>
      <c r="H328" t="s">
        <v>291</v>
      </c>
      <c r="I328" t="s">
        <v>292</v>
      </c>
      <c r="J328">
        <v>368655</v>
      </c>
      <c r="K328">
        <v>20230322</v>
      </c>
      <c r="L328" t="s">
        <v>5580</v>
      </c>
      <c r="M328">
        <v>0</v>
      </c>
      <c r="N328">
        <v>130</v>
      </c>
      <c r="O328" t="s">
        <v>19</v>
      </c>
      <c r="P328" t="s">
        <v>20</v>
      </c>
      <c r="Q328">
        <v>20230322</v>
      </c>
    </row>
    <row r="329" spans="1:17" x14ac:dyDescent="0.25">
      <c r="A329" t="s">
        <v>548</v>
      </c>
      <c r="B329" t="s">
        <v>429</v>
      </c>
      <c r="C329">
        <v>58</v>
      </c>
      <c r="D329">
        <v>20230322</v>
      </c>
      <c r="E329">
        <v>3</v>
      </c>
      <c r="F329">
        <v>531105</v>
      </c>
      <c r="G329" t="s">
        <v>429</v>
      </c>
      <c r="H329" t="s">
        <v>401</v>
      </c>
      <c r="I329" t="s">
        <v>402</v>
      </c>
      <c r="J329">
        <v>368656</v>
      </c>
      <c r="K329">
        <v>20230322</v>
      </c>
      <c r="L329" t="s">
        <v>565</v>
      </c>
      <c r="M329">
        <v>495.85</v>
      </c>
      <c r="N329">
        <v>0</v>
      </c>
      <c r="O329" t="s">
        <v>19</v>
      </c>
      <c r="P329" t="s">
        <v>20</v>
      </c>
      <c r="Q329">
        <v>20230322</v>
      </c>
    </row>
    <row r="330" spans="1:17" x14ac:dyDescent="0.25">
      <c r="A330" t="s">
        <v>548</v>
      </c>
      <c r="B330" t="s">
        <v>429</v>
      </c>
      <c r="C330">
        <v>59</v>
      </c>
      <c r="D330">
        <v>20230323</v>
      </c>
      <c r="E330">
        <v>3</v>
      </c>
      <c r="F330">
        <v>411100</v>
      </c>
      <c r="G330" t="s">
        <v>18</v>
      </c>
      <c r="H330" t="s">
        <v>3654</v>
      </c>
      <c r="I330" t="s">
        <v>3655</v>
      </c>
      <c r="J330">
        <v>122110163</v>
      </c>
      <c r="K330">
        <v>20230323</v>
      </c>
      <c r="L330" t="s">
        <v>5581</v>
      </c>
      <c r="M330">
        <v>0</v>
      </c>
      <c r="N330">
        <v>21</v>
      </c>
      <c r="O330" t="s">
        <v>19</v>
      </c>
      <c r="P330" t="s">
        <v>20</v>
      </c>
      <c r="Q330">
        <v>20230323</v>
      </c>
    </row>
    <row r="331" spans="1:17" x14ac:dyDescent="0.25">
      <c r="A331" t="s">
        <v>548</v>
      </c>
      <c r="B331" t="s">
        <v>429</v>
      </c>
      <c r="C331">
        <v>59</v>
      </c>
      <c r="D331">
        <v>20230323</v>
      </c>
      <c r="E331">
        <v>3</v>
      </c>
      <c r="F331">
        <v>411100</v>
      </c>
      <c r="G331" t="s">
        <v>18</v>
      </c>
      <c r="H331" t="s">
        <v>1762</v>
      </c>
      <c r="I331" t="s">
        <v>1763</v>
      </c>
      <c r="J331">
        <v>368658</v>
      </c>
      <c r="K331">
        <v>20230323</v>
      </c>
      <c r="L331" t="s">
        <v>5582</v>
      </c>
      <c r="M331">
        <v>0</v>
      </c>
      <c r="N331">
        <v>5</v>
      </c>
      <c r="O331" t="s">
        <v>19</v>
      </c>
      <c r="P331" t="s">
        <v>20</v>
      </c>
      <c r="Q331">
        <v>20230323</v>
      </c>
    </row>
    <row r="332" spans="1:17" x14ac:dyDescent="0.25">
      <c r="A332" t="s">
        <v>548</v>
      </c>
      <c r="B332" t="s">
        <v>429</v>
      </c>
      <c r="C332">
        <v>59</v>
      </c>
      <c r="D332">
        <v>20230323</v>
      </c>
      <c r="E332">
        <v>3</v>
      </c>
      <c r="F332">
        <v>411100</v>
      </c>
      <c r="G332" t="s">
        <v>18</v>
      </c>
      <c r="H332" t="s">
        <v>28</v>
      </c>
      <c r="I332" t="s">
        <v>29</v>
      </c>
      <c r="J332">
        <v>123020185</v>
      </c>
      <c r="K332">
        <v>20230323</v>
      </c>
      <c r="L332" t="s">
        <v>5583</v>
      </c>
      <c r="M332">
        <v>0</v>
      </c>
      <c r="N332">
        <v>171.5</v>
      </c>
      <c r="O332" t="s">
        <v>19</v>
      </c>
      <c r="P332" t="s">
        <v>20</v>
      </c>
      <c r="Q332">
        <v>20230323</v>
      </c>
    </row>
    <row r="333" spans="1:17" x14ac:dyDescent="0.25">
      <c r="A333" t="s">
        <v>548</v>
      </c>
      <c r="B333" t="s">
        <v>429</v>
      </c>
      <c r="C333">
        <v>59</v>
      </c>
      <c r="D333">
        <v>20230323</v>
      </c>
      <c r="E333">
        <v>3</v>
      </c>
      <c r="F333">
        <v>411100</v>
      </c>
      <c r="G333" t="s">
        <v>18</v>
      </c>
      <c r="H333" t="s">
        <v>283</v>
      </c>
      <c r="I333" t="s">
        <v>284</v>
      </c>
      <c r="J333">
        <v>368660</v>
      </c>
      <c r="K333">
        <v>20230323</v>
      </c>
      <c r="L333" t="s">
        <v>5584</v>
      </c>
      <c r="M333">
        <v>0</v>
      </c>
      <c r="N333">
        <v>6</v>
      </c>
      <c r="O333" t="s">
        <v>19</v>
      </c>
      <c r="P333" t="s">
        <v>20</v>
      </c>
      <c r="Q333">
        <v>20230323</v>
      </c>
    </row>
    <row r="334" spans="1:17" x14ac:dyDescent="0.25">
      <c r="A334" t="s">
        <v>548</v>
      </c>
      <c r="B334" t="s">
        <v>429</v>
      </c>
      <c r="C334">
        <v>59</v>
      </c>
      <c r="D334">
        <v>20230323</v>
      </c>
      <c r="E334">
        <v>3</v>
      </c>
      <c r="F334">
        <v>531105</v>
      </c>
      <c r="G334" t="s">
        <v>429</v>
      </c>
      <c r="H334" t="s">
        <v>401</v>
      </c>
      <c r="I334" t="s">
        <v>402</v>
      </c>
      <c r="J334">
        <v>368661</v>
      </c>
      <c r="K334">
        <v>20230323</v>
      </c>
      <c r="L334" t="s">
        <v>565</v>
      </c>
      <c r="M334">
        <v>203.5</v>
      </c>
      <c r="N334">
        <v>0</v>
      </c>
      <c r="O334" t="s">
        <v>19</v>
      </c>
      <c r="P334" t="s">
        <v>20</v>
      </c>
      <c r="Q334">
        <v>20230323</v>
      </c>
    </row>
    <row r="335" spans="1:17" x14ac:dyDescent="0.25">
      <c r="A335" t="s">
        <v>548</v>
      </c>
      <c r="B335" t="s">
        <v>429</v>
      </c>
      <c r="C335">
        <v>60</v>
      </c>
      <c r="D335">
        <v>20230323</v>
      </c>
      <c r="E335">
        <v>3</v>
      </c>
      <c r="F335">
        <v>580000</v>
      </c>
      <c r="G335" t="s">
        <v>532</v>
      </c>
      <c r="H335" t="s">
        <v>401</v>
      </c>
      <c r="I335" t="s">
        <v>402</v>
      </c>
      <c r="J335" t="s">
        <v>5585</v>
      </c>
      <c r="K335">
        <v>20230323</v>
      </c>
      <c r="L335" t="s">
        <v>625</v>
      </c>
      <c r="M335">
        <v>1600</v>
      </c>
      <c r="N335">
        <v>0</v>
      </c>
      <c r="O335" t="s">
        <v>22</v>
      </c>
      <c r="P335">
        <v>20230323</v>
      </c>
      <c r="Q335">
        <v>20230323</v>
      </c>
    </row>
    <row r="336" spans="1:17" x14ac:dyDescent="0.25">
      <c r="A336" t="s">
        <v>548</v>
      </c>
      <c r="B336" t="s">
        <v>429</v>
      </c>
      <c r="C336">
        <v>60</v>
      </c>
      <c r="D336">
        <v>20230323</v>
      </c>
      <c r="E336">
        <v>3</v>
      </c>
      <c r="F336">
        <v>531105</v>
      </c>
      <c r="G336" t="s">
        <v>429</v>
      </c>
      <c r="H336" t="s">
        <v>401</v>
      </c>
      <c r="I336" t="s">
        <v>402</v>
      </c>
      <c r="J336" t="s">
        <v>5585</v>
      </c>
      <c r="K336">
        <v>20230323</v>
      </c>
      <c r="L336" t="s">
        <v>625</v>
      </c>
      <c r="M336">
        <v>0</v>
      </c>
      <c r="N336">
        <v>1600</v>
      </c>
      <c r="O336" t="s">
        <v>19</v>
      </c>
      <c r="P336" t="s">
        <v>20</v>
      </c>
      <c r="Q336">
        <v>20230323</v>
      </c>
    </row>
    <row r="337" spans="1:17" x14ac:dyDescent="0.25">
      <c r="A337" t="s">
        <v>548</v>
      </c>
      <c r="B337" t="s">
        <v>429</v>
      </c>
      <c r="C337">
        <v>61</v>
      </c>
      <c r="D337">
        <v>20230324</v>
      </c>
      <c r="E337">
        <v>3</v>
      </c>
      <c r="F337">
        <v>467100</v>
      </c>
      <c r="G337" t="s">
        <v>160</v>
      </c>
      <c r="H337" t="s">
        <v>172</v>
      </c>
      <c r="I337" t="s">
        <v>173</v>
      </c>
      <c r="J337" t="s">
        <v>5586</v>
      </c>
      <c r="K337">
        <v>20230324</v>
      </c>
      <c r="L337" t="s">
        <v>5587</v>
      </c>
      <c r="M337">
        <v>200</v>
      </c>
      <c r="N337">
        <v>0</v>
      </c>
      <c r="O337" t="s">
        <v>19</v>
      </c>
      <c r="P337" t="s">
        <v>20</v>
      </c>
      <c r="Q337">
        <v>20230324</v>
      </c>
    </row>
    <row r="338" spans="1:17" x14ac:dyDescent="0.25">
      <c r="A338" t="s">
        <v>548</v>
      </c>
      <c r="B338" t="s">
        <v>429</v>
      </c>
      <c r="C338">
        <v>61</v>
      </c>
      <c r="D338">
        <v>20230324</v>
      </c>
      <c r="E338">
        <v>3</v>
      </c>
      <c r="F338">
        <v>531105</v>
      </c>
      <c r="G338" t="s">
        <v>429</v>
      </c>
      <c r="H338" t="s">
        <v>401</v>
      </c>
      <c r="I338" t="s">
        <v>402</v>
      </c>
      <c r="J338" t="s">
        <v>5586</v>
      </c>
      <c r="K338">
        <v>20230324</v>
      </c>
      <c r="L338" t="s">
        <v>5587</v>
      </c>
      <c r="M338">
        <v>0</v>
      </c>
      <c r="N338">
        <v>200</v>
      </c>
      <c r="O338" t="s">
        <v>19</v>
      </c>
      <c r="P338" t="s">
        <v>20</v>
      </c>
      <c r="Q338">
        <v>20230324</v>
      </c>
    </row>
    <row r="339" spans="1:17" x14ac:dyDescent="0.25">
      <c r="A339" t="s">
        <v>548</v>
      </c>
      <c r="B339" t="s">
        <v>429</v>
      </c>
      <c r="C339">
        <v>62</v>
      </c>
      <c r="D339">
        <v>20230324</v>
      </c>
      <c r="E339">
        <v>3</v>
      </c>
      <c r="F339">
        <v>467100</v>
      </c>
      <c r="G339" t="s">
        <v>160</v>
      </c>
      <c r="H339" t="s">
        <v>172</v>
      </c>
      <c r="I339" t="s">
        <v>173</v>
      </c>
      <c r="J339" t="s">
        <v>5588</v>
      </c>
      <c r="K339">
        <v>20230324</v>
      </c>
      <c r="L339" t="s">
        <v>174</v>
      </c>
      <c r="M339">
        <v>300</v>
      </c>
      <c r="N339">
        <v>0</v>
      </c>
      <c r="O339" t="s">
        <v>19</v>
      </c>
      <c r="P339" t="s">
        <v>20</v>
      </c>
      <c r="Q339">
        <v>20230324</v>
      </c>
    </row>
    <row r="340" spans="1:17" x14ac:dyDescent="0.25">
      <c r="A340" t="s">
        <v>548</v>
      </c>
      <c r="B340" t="s">
        <v>429</v>
      </c>
      <c r="C340">
        <v>62</v>
      </c>
      <c r="D340">
        <v>20230324</v>
      </c>
      <c r="E340">
        <v>3</v>
      </c>
      <c r="F340">
        <v>531105</v>
      </c>
      <c r="G340" t="s">
        <v>429</v>
      </c>
      <c r="H340" t="s">
        <v>401</v>
      </c>
      <c r="I340" t="s">
        <v>402</v>
      </c>
      <c r="J340" t="s">
        <v>5588</v>
      </c>
      <c r="K340">
        <v>20230324</v>
      </c>
      <c r="L340" t="s">
        <v>174</v>
      </c>
      <c r="M340">
        <v>0</v>
      </c>
      <c r="N340">
        <v>300</v>
      </c>
      <c r="O340" t="s">
        <v>19</v>
      </c>
      <c r="P340" t="s">
        <v>20</v>
      </c>
      <c r="Q340">
        <v>20230324</v>
      </c>
    </row>
    <row r="341" spans="1:17" x14ac:dyDescent="0.25">
      <c r="A341" t="s">
        <v>548</v>
      </c>
      <c r="B341" t="s">
        <v>429</v>
      </c>
      <c r="C341">
        <v>63</v>
      </c>
      <c r="D341">
        <v>20230324</v>
      </c>
      <c r="E341">
        <v>3</v>
      </c>
      <c r="F341">
        <v>467100</v>
      </c>
      <c r="G341" t="s">
        <v>160</v>
      </c>
      <c r="H341" t="s">
        <v>4958</v>
      </c>
      <c r="I341" t="s">
        <v>4959</v>
      </c>
      <c r="J341" t="s">
        <v>5589</v>
      </c>
      <c r="K341">
        <v>20230324</v>
      </c>
      <c r="L341" t="s">
        <v>5590</v>
      </c>
      <c r="M341">
        <v>47</v>
      </c>
      <c r="N341">
        <v>0</v>
      </c>
      <c r="O341" t="s">
        <v>19</v>
      </c>
      <c r="P341" t="s">
        <v>20</v>
      </c>
      <c r="Q341">
        <v>20230324</v>
      </c>
    </row>
    <row r="342" spans="1:17" x14ac:dyDescent="0.25">
      <c r="A342" t="s">
        <v>548</v>
      </c>
      <c r="B342" t="s">
        <v>429</v>
      </c>
      <c r="C342">
        <v>63</v>
      </c>
      <c r="D342">
        <v>20230324</v>
      </c>
      <c r="E342">
        <v>3</v>
      </c>
      <c r="F342">
        <v>531105</v>
      </c>
      <c r="G342" t="s">
        <v>429</v>
      </c>
      <c r="H342" t="s">
        <v>401</v>
      </c>
      <c r="I342" t="s">
        <v>402</v>
      </c>
      <c r="J342" t="s">
        <v>5589</v>
      </c>
      <c r="K342">
        <v>20230324</v>
      </c>
      <c r="L342" t="s">
        <v>5590</v>
      </c>
      <c r="M342">
        <v>0</v>
      </c>
      <c r="N342">
        <v>47</v>
      </c>
      <c r="O342" t="s">
        <v>19</v>
      </c>
      <c r="P342" t="s">
        <v>20</v>
      </c>
      <c r="Q342">
        <v>20230324</v>
      </c>
    </row>
    <row r="343" spans="1:17" x14ac:dyDescent="0.25">
      <c r="A343" t="s">
        <v>548</v>
      </c>
      <c r="B343" t="s">
        <v>429</v>
      </c>
      <c r="C343">
        <v>64</v>
      </c>
      <c r="D343">
        <v>20230324</v>
      </c>
      <c r="E343">
        <v>3</v>
      </c>
      <c r="F343">
        <v>467100</v>
      </c>
      <c r="G343" t="s">
        <v>160</v>
      </c>
      <c r="H343" t="s">
        <v>4958</v>
      </c>
      <c r="I343" t="s">
        <v>4959</v>
      </c>
      <c r="J343" t="s">
        <v>5591</v>
      </c>
      <c r="K343">
        <v>20230324</v>
      </c>
      <c r="L343" t="s">
        <v>5592</v>
      </c>
      <c r="M343">
        <v>20</v>
      </c>
      <c r="N343">
        <v>0</v>
      </c>
      <c r="O343" t="s">
        <v>19</v>
      </c>
      <c r="P343" t="s">
        <v>20</v>
      </c>
      <c r="Q343">
        <v>20230324</v>
      </c>
    </row>
    <row r="344" spans="1:17" x14ac:dyDescent="0.25">
      <c r="A344" t="s">
        <v>548</v>
      </c>
      <c r="B344" t="s">
        <v>429</v>
      </c>
      <c r="C344">
        <v>64</v>
      </c>
      <c r="D344">
        <v>20230324</v>
      </c>
      <c r="E344">
        <v>3</v>
      </c>
      <c r="F344">
        <v>531105</v>
      </c>
      <c r="G344" t="s">
        <v>429</v>
      </c>
      <c r="H344" t="s">
        <v>401</v>
      </c>
      <c r="I344" t="s">
        <v>402</v>
      </c>
      <c r="J344" t="s">
        <v>5591</v>
      </c>
      <c r="K344">
        <v>20230324</v>
      </c>
      <c r="L344" t="s">
        <v>5592</v>
      </c>
      <c r="M344">
        <v>0</v>
      </c>
      <c r="N344">
        <v>20</v>
      </c>
      <c r="O344" t="s">
        <v>19</v>
      </c>
      <c r="P344" t="s">
        <v>20</v>
      </c>
      <c r="Q344">
        <v>20230324</v>
      </c>
    </row>
    <row r="345" spans="1:17" x14ac:dyDescent="0.25">
      <c r="A345" t="s">
        <v>548</v>
      </c>
      <c r="B345" t="s">
        <v>429</v>
      </c>
      <c r="C345">
        <v>65</v>
      </c>
      <c r="D345">
        <v>20230324</v>
      </c>
      <c r="E345">
        <v>3</v>
      </c>
      <c r="F345">
        <v>467100</v>
      </c>
      <c r="G345" t="s">
        <v>160</v>
      </c>
      <c r="H345" t="s">
        <v>4964</v>
      </c>
      <c r="I345" t="s">
        <v>4965</v>
      </c>
      <c r="J345" t="s">
        <v>5593</v>
      </c>
      <c r="K345">
        <v>20230324</v>
      </c>
      <c r="L345" t="s">
        <v>5594</v>
      </c>
      <c r="M345">
        <v>0</v>
      </c>
      <c r="N345">
        <v>1.91</v>
      </c>
      <c r="O345" t="s">
        <v>19</v>
      </c>
      <c r="P345" t="s">
        <v>20</v>
      </c>
      <c r="Q345">
        <v>20230324</v>
      </c>
    </row>
    <row r="346" spans="1:17" x14ac:dyDescent="0.25">
      <c r="A346" t="s">
        <v>548</v>
      </c>
      <c r="B346" t="s">
        <v>429</v>
      </c>
      <c r="C346">
        <v>65</v>
      </c>
      <c r="D346">
        <v>20230324</v>
      </c>
      <c r="E346">
        <v>3</v>
      </c>
      <c r="F346">
        <v>531105</v>
      </c>
      <c r="G346" t="s">
        <v>429</v>
      </c>
      <c r="H346" t="s">
        <v>401</v>
      </c>
      <c r="I346" t="s">
        <v>402</v>
      </c>
      <c r="J346" t="s">
        <v>5593</v>
      </c>
      <c r="K346">
        <v>20230324</v>
      </c>
      <c r="L346" t="s">
        <v>5594</v>
      </c>
      <c r="M346">
        <v>1.91</v>
      </c>
      <c r="N346">
        <v>0</v>
      </c>
      <c r="O346" t="s">
        <v>19</v>
      </c>
      <c r="P346" t="s">
        <v>20</v>
      </c>
      <c r="Q346">
        <v>20230324</v>
      </c>
    </row>
    <row r="347" spans="1:17" x14ac:dyDescent="0.25">
      <c r="A347" t="s">
        <v>548</v>
      </c>
      <c r="B347" t="s">
        <v>429</v>
      </c>
      <c r="C347">
        <v>66</v>
      </c>
      <c r="D347">
        <v>20230331</v>
      </c>
      <c r="E347">
        <v>3</v>
      </c>
      <c r="F347">
        <v>467100</v>
      </c>
      <c r="G347" t="s">
        <v>160</v>
      </c>
      <c r="H347" t="s">
        <v>4847</v>
      </c>
      <c r="I347" t="s">
        <v>4848</v>
      </c>
      <c r="J347" t="s">
        <v>5595</v>
      </c>
      <c r="K347">
        <v>20230331</v>
      </c>
      <c r="L347" t="s">
        <v>5596</v>
      </c>
      <c r="M347">
        <v>23.16</v>
      </c>
      <c r="N347">
        <v>0</v>
      </c>
      <c r="O347" t="s">
        <v>19</v>
      </c>
      <c r="P347" t="s">
        <v>20</v>
      </c>
      <c r="Q347">
        <v>20230331</v>
      </c>
    </row>
    <row r="348" spans="1:17" x14ac:dyDescent="0.25">
      <c r="A348" t="s">
        <v>548</v>
      </c>
      <c r="B348" t="s">
        <v>429</v>
      </c>
      <c r="C348">
        <v>66</v>
      </c>
      <c r="D348">
        <v>20230331</v>
      </c>
      <c r="E348">
        <v>3</v>
      </c>
      <c r="F348">
        <v>531105</v>
      </c>
      <c r="G348" t="s">
        <v>429</v>
      </c>
      <c r="H348" t="s">
        <v>401</v>
      </c>
      <c r="I348" t="s">
        <v>402</v>
      </c>
      <c r="J348" t="s">
        <v>5595</v>
      </c>
      <c r="K348">
        <v>20230331</v>
      </c>
      <c r="L348" t="s">
        <v>5596</v>
      </c>
      <c r="M348">
        <v>0</v>
      </c>
      <c r="N348">
        <v>23.16</v>
      </c>
      <c r="O348" t="s">
        <v>19</v>
      </c>
      <c r="P348" t="s">
        <v>20</v>
      </c>
      <c r="Q348">
        <v>20230331</v>
      </c>
    </row>
    <row r="349" spans="1:17" x14ac:dyDescent="0.25">
      <c r="A349" t="s">
        <v>548</v>
      </c>
      <c r="B349" t="s">
        <v>429</v>
      </c>
      <c r="C349">
        <v>67</v>
      </c>
      <c r="D349">
        <v>20230331</v>
      </c>
      <c r="E349">
        <v>3</v>
      </c>
      <c r="F349">
        <v>467100</v>
      </c>
      <c r="G349" t="s">
        <v>160</v>
      </c>
      <c r="H349" t="s">
        <v>1305</v>
      </c>
      <c r="I349" t="s">
        <v>1306</v>
      </c>
      <c r="J349" t="s">
        <v>5597</v>
      </c>
      <c r="K349">
        <v>20230331</v>
      </c>
      <c r="L349" t="s">
        <v>5598</v>
      </c>
      <c r="M349">
        <v>200</v>
      </c>
      <c r="N349">
        <v>0</v>
      </c>
      <c r="O349" t="s">
        <v>19</v>
      </c>
      <c r="P349" t="s">
        <v>20</v>
      </c>
      <c r="Q349">
        <v>20230331</v>
      </c>
    </row>
    <row r="350" spans="1:17" x14ac:dyDescent="0.25">
      <c r="A350" t="s">
        <v>548</v>
      </c>
      <c r="B350" t="s">
        <v>429</v>
      </c>
      <c r="C350">
        <v>67</v>
      </c>
      <c r="D350">
        <v>20230331</v>
      </c>
      <c r="E350">
        <v>3</v>
      </c>
      <c r="F350">
        <v>531105</v>
      </c>
      <c r="G350" t="s">
        <v>429</v>
      </c>
      <c r="H350" t="s">
        <v>401</v>
      </c>
      <c r="I350" t="s">
        <v>402</v>
      </c>
      <c r="J350" t="s">
        <v>5597</v>
      </c>
      <c r="K350">
        <v>20230331</v>
      </c>
      <c r="L350" t="s">
        <v>5598</v>
      </c>
      <c r="M350">
        <v>0</v>
      </c>
      <c r="N350">
        <v>200</v>
      </c>
      <c r="O350" t="s">
        <v>19</v>
      </c>
      <c r="P350" t="s">
        <v>20</v>
      </c>
      <c r="Q350">
        <v>20230331</v>
      </c>
    </row>
    <row r="351" spans="1:17" x14ac:dyDescent="0.25">
      <c r="A351" t="s">
        <v>548</v>
      </c>
      <c r="B351" t="s">
        <v>429</v>
      </c>
      <c r="C351">
        <v>68</v>
      </c>
      <c r="D351">
        <v>20230323</v>
      </c>
      <c r="E351">
        <v>3</v>
      </c>
      <c r="F351">
        <v>411100</v>
      </c>
      <c r="G351" t="s">
        <v>18</v>
      </c>
      <c r="H351" t="s">
        <v>1762</v>
      </c>
      <c r="I351" t="s">
        <v>1763</v>
      </c>
      <c r="J351">
        <v>369443</v>
      </c>
      <c r="K351">
        <v>20230323</v>
      </c>
      <c r="L351" t="s">
        <v>5599</v>
      </c>
      <c r="M351">
        <v>0</v>
      </c>
      <c r="N351">
        <v>19.350000000000001</v>
      </c>
      <c r="O351" t="s">
        <v>19</v>
      </c>
      <c r="P351" t="s">
        <v>20</v>
      </c>
      <c r="Q351">
        <v>20230323</v>
      </c>
    </row>
    <row r="352" spans="1:17" x14ac:dyDescent="0.25">
      <c r="A352" t="s">
        <v>548</v>
      </c>
      <c r="B352" t="s">
        <v>429</v>
      </c>
      <c r="C352">
        <v>68</v>
      </c>
      <c r="D352">
        <v>20230323</v>
      </c>
      <c r="E352">
        <v>3</v>
      </c>
      <c r="F352">
        <v>531105</v>
      </c>
      <c r="G352" t="s">
        <v>429</v>
      </c>
      <c r="H352" t="s">
        <v>401</v>
      </c>
      <c r="I352" t="s">
        <v>402</v>
      </c>
      <c r="J352">
        <v>369444</v>
      </c>
      <c r="K352">
        <v>20230323</v>
      </c>
      <c r="L352" t="s">
        <v>565</v>
      </c>
      <c r="M352">
        <v>19.350000000000001</v>
      </c>
      <c r="N352">
        <v>0</v>
      </c>
      <c r="O352" t="s">
        <v>19</v>
      </c>
      <c r="P352" t="s">
        <v>20</v>
      </c>
      <c r="Q352">
        <v>20230323</v>
      </c>
    </row>
    <row r="353" spans="1:17" x14ac:dyDescent="0.25">
      <c r="A353" t="s">
        <v>548</v>
      </c>
      <c r="B353" t="s">
        <v>429</v>
      </c>
      <c r="C353">
        <v>69</v>
      </c>
      <c r="D353">
        <v>20230324</v>
      </c>
      <c r="E353">
        <v>3</v>
      </c>
      <c r="F353">
        <v>411100</v>
      </c>
      <c r="G353" t="s">
        <v>18</v>
      </c>
      <c r="H353" t="s">
        <v>297</v>
      </c>
      <c r="I353" t="s">
        <v>298</v>
      </c>
      <c r="J353">
        <v>122080004</v>
      </c>
      <c r="K353">
        <v>20230324</v>
      </c>
      <c r="L353" t="s">
        <v>5600</v>
      </c>
      <c r="M353">
        <v>0</v>
      </c>
      <c r="N353">
        <v>113.32</v>
      </c>
      <c r="O353" t="s">
        <v>19</v>
      </c>
      <c r="P353" t="s">
        <v>20</v>
      </c>
      <c r="Q353">
        <v>20230324</v>
      </c>
    </row>
    <row r="354" spans="1:17" x14ac:dyDescent="0.25">
      <c r="A354" t="s">
        <v>548</v>
      </c>
      <c r="B354" t="s">
        <v>429</v>
      </c>
      <c r="C354">
        <v>69</v>
      </c>
      <c r="D354">
        <v>20230324</v>
      </c>
      <c r="E354">
        <v>3</v>
      </c>
      <c r="F354">
        <v>411100</v>
      </c>
      <c r="G354" t="s">
        <v>18</v>
      </c>
      <c r="H354" t="s">
        <v>3654</v>
      </c>
      <c r="I354" t="s">
        <v>3655</v>
      </c>
      <c r="J354">
        <v>122110163</v>
      </c>
      <c r="K354">
        <v>20230324</v>
      </c>
      <c r="L354" t="s">
        <v>5601</v>
      </c>
      <c r="M354">
        <v>0</v>
      </c>
      <c r="N354">
        <v>1.5</v>
      </c>
      <c r="O354" t="s">
        <v>19</v>
      </c>
      <c r="P354" t="s">
        <v>20</v>
      </c>
      <c r="Q354">
        <v>20230324</v>
      </c>
    </row>
    <row r="355" spans="1:17" x14ac:dyDescent="0.25">
      <c r="A355" t="s">
        <v>548</v>
      </c>
      <c r="B355" t="s">
        <v>429</v>
      </c>
      <c r="C355">
        <v>69</v>
      </c>
      <c r="D355">
        <v>20230324</v>
      </c>
      <c r="E355">
        <v>3</v>
      </c>
      <c r="F355">
        <v>411100</v>
      </c>
      <c r="G355" t="s">
        <v>18</v>
      </c>
      <c r="H355" t="s">
        <v>3654</v>
      </c>
      <c r="I355" t="s">
        <v>3655</v>
      </c>
      <c r="J355">
        <v>122110163</v>
      </c>
      <c r="K355">
        <v>20230324</v>
      </c>
      <c r="L355" t="s">
        <v>5807</v>
      </c>
      <c r="M355">
        <v>0</v>
      </c>
      <c r="N355">
        <v>19.5</v>
      </c>
      <c r="O355" t="s">
        <v>19</v>
      </c>
      <c r="P355" t="s">
        <v>20</v>
      </c>
      <c r="Q355">
        <v>20230324</v>
      </c>
    </row>
    <row r="356" spans="1:17" x14ac:dyDescent="0.25">
      <c r="A356" t="s">
        <v>548</v>
      </c>
      <c r="B356" t="s">
        <v>429</v>
      </c>
      <c r="C356">
        <v>69</v>
      </c>
      <c r="D356">
        <v>20230324</v>
      </c>
      <c r="E356">
        <v>3</v>
      </c>
      <c r="F356">
        <v>411100</v>
      </c>
      <c r="G356" t="s">
        <v>18</v>
      </c>
      <c r="H356" t="s">
        <v>5603</v>
      </c>
      <c r="I356" t="s">
        <v>5604</v>
      </c>
      <c r="J356">
        <v>123030074</v>
      </c>
      <c r="K356">
        <v>20230324</v>
      </c>
      <c r="L356" t="s">
        <v>5605</v>
      </c>
      <c r="M356">
        <v>0</v>
      </c>
      <c r="N356">
        <v>22</v>
      </c>
      <c r="O356" t="s">
        <v>19</v>
      </c>
      <c r="P356" t="s">
        <v>20</v>
      </c>
      <c r="Q356">
        <v>20230324</v>
      </c>
    </row>
    <row r="357" spans="1:17" x14ac:dyDescent="0.25">
      <c r="A357" t="s">
        <v>548</v>
      </c>
      <c r="B357" t="s">
        <v>429</v>
      </c>
      <c r="C357">
        <v>69</v>
      </c>
      <c r="D357">
        <v>20230324</v>
      </c>
      <c r="E357">
        <v>3</v>
      </c>
      <c r="F357">
        <v>411100</v>
      </c>
      <c r="G357" t="s">
        <v>18</v>
      </c>
      <c r="H357" t="s">
        <v>320</v>
      </c>
      <c r="I357" t="s">
        <v>321</v>
      </c>
      <c r="J357">
        <v>123020032</v>
      </c>
      <c r="K357">
        <v>20230324</v>
      </c>
      <c r="L357" t="s">
        <v>5606</v>
      </c>
      <c r="M357">
        <v>0</v>
      </c>
      <c r="N357">
        <v>88.66</v>
      </c>
      <c r="O357" t="s">
        <v>19</v>
      </c>
      <c r="P357" t="s">
        <v>20</v>
      </c>
      <c r="Q357">
        <v>20230324</v>
      </c>
    </row>
    <row r="358" spans="1:17" x14ac:dyDescent="0.25">
      <c r="A358" t="s">
        <v>548</v>
      </c>
      <c r="B358" t="s">
        <v>429</v>
      </c>
      <c r="C358">
        <v>69</v>
      </c>
      <c r="D358">
        <v>20230324</v>
      </c>
      <c r="E358">
        <v>3</v>
      </c>
      <c r="F358">
        <v>411100</v>
      </c>
      <c r="G358" t="s">
        <v>18</v>
      </c>
      <c r="H358" t="s">
        <v>5103</v>
      </c>
      <c r="I358" t="s">
        <v>5104</v>
      </c>
      <c r="J358">
        <v>123030040</v>
      </c>
      <c r="K358">
        <v>20230324</v>
      </c>
      <c r="L358" t="s">
        <v>5607</v>
      </c>
      <c r="M358">
        <v>0</v>
      </c>
      <c r="N358">
        <v>98.46</v>
      </c>
      <c r="O358" t="s">
        <v>19</v>
      </c>
      <c r="P358" t="s">
        <v>20</v>
      </c>
      <c r="Q358">
        <v>20230324</v>
      </c>
    </row>
    <row r="359" spans="1:17" x14ac:dyDescent="0.25">
      <c r="A359" t="s">
        <v>548</v>
      </c>
      <c r="B359" t="s">
        <v>429</v>
      </c>
      <c r="C359">
        <v>69</v>
      </c>
      <c r="D359">
        <v>20230324</v>
      </c>
      <c r="E359">
        <v>3</v>
      </c>
      <c r="F359">
        <v>531105</v>
      </c>
      <c r="G359" t="s">
        <v>429</v>
      </c>
      <c r="H359" t="s">
        <v>401</v>
      </c>
      <c r="I359" t="s">
        <v>402</v>
      </c>
      <c r="J359">
        <v>369451</v>
      </c>
      <c r="K359">
        <v>20230324</v>
      </c>
      <c r="L359" t="s">
        <v>565</v>
      </c>
      <c r="M359">
        <v>343.44</v>
      </c>
      <c r="N359">
        <v>0</v>
      </c>
      <c r="O359" t="s">
        <v>19</v>
      </c>
      <c r="P359" t="s">
        <v>20</v>
      </c>
      <c r="Q359">
        <v>20230324</v>
      </c>
    </row>
    <row r="360" spans="1:17" x14ac:dyDescent="0.25">
      <c r="A360" t="s">
        <v>548</v>
      </c>
      <c r="B360" t="s">
        <v>429</v>
      </c>
      <c r="C360">
        <v>70</v>
      </c>
      <c r="D360">
        <v>20230327</v>
      </c>
      <c r="E360">
        <v>3</v>
      </c>
      <c r="F360">
        <v>411100</v>
      </c>
      <c r="G360" t="s">
        <v>18</v>
      </c>
      <c r="H360" t="s">
        <v>194</v>
      </c>
      <c r="I360" t="s">
        <v>195</v>
      </c>
      <c r="J360">
        <v>123020084</v>
      </c>
      <c r="K360">
        <v>20230327</v>
      </c>
      <c r="L360" t="s">
        <v>5608</v>
      </c>
      <c r="M360">
        <v>0</v>
      </c>
      <c r="N360">
        <v>52.46</v>
      </c>
      <c r="O360" t="s">
        <v>19</v>
      </c>
      <c r="P360" t="s">
        <v>20</v>
      </c>
      <c r="Q360">
        <v>20230327</v>
      </c>
    </row>
    <row r="361" spans="1:17" x14ac:dyDescent="0.25">
      <c r="A361" t="s">
        <v>548</v>
      </c>
      <c r="B361" t="s">
        <v>429</v>
      </c>
      <c r="C361">
        <v>70</v>
      </c>
      <c r="D361">
        <v>20230327</v>
      </c>
      <c r="E361">
        <v>3</v>
      </c>
      <c r="F361">
        <v>411100</v>
      </c>
      <c r="G361" t="s">
        <v>18</v>
      </c>
      <c r="H361" t="s">
        <v>3648</v>
      </c>
      <c r="I361" t="s">
        <v>3649</v>
      </c>
      <c r="J361">
        <v>123020066</v>
      </c>
      <c r="K361">
        <v>20230327</v>
      </c>
      <c r="L361" t="s">
        <v>5609</v>
      </c>
      <c r="M361">
        <v>0</v>
      </c>
      <c r="N361">
        <v>22.5</v>
      </c>
      <c r="O361" t="s">
        <v>19</v>
      </c>
      <c r="P361" t="s">
        <v>20</v>
      </c>
      <c r="Q361">
        <v>20230327</v>
      </c>
    </row>
    <row r="362" spans="1:17" x14ac:dyDescent="0.25">
      <c r="A362" t="s">
        <v>548</v>
      </c>
      <c r="B362" t="s">
        <v>429</v>
      </c>
      <c r="C362">
        <v>70</v>
      </c>
      <c r="D362">
        <v>20230327</v>
      </c>
      <c r="E362">
        <v>3</v>
      </c>
      <c r="F362">
        <v>411100</v>
      </c>
      <c r="G362" t="s">
        <v>18</v>
      </c>
      <c r="H362" t="s">
        <v>804</v>
      </c>
      <c r="I362" t="s">
        <v>805</v>
      </c>
      <c r="J362">
        <v>369454</v>
      </c>
      <c r="K362">
        <v>20230327</v>
      </c>
      <c r="L362" t="s">
        <v>5610</v>
      </c>
      <c r="M362">
        <v>0</v>
      </c>
      <c r="N362">
        <v>19</v>
      </c>
      <c r="O362" t="s">
        <v>19</v>
      </c>
      <c r="P362" t="s">
        <v>20</v>
      </c>
      <c r="Q362">
        <v>20230327</v>
      </c>
    </row>
    <row r="363" spans="1:17" x14ac:dyDescent="0.25">
      <c r="A363" t="s">
        <v>548</v>
      </c>
      <c r="B363" t="s">
        <v>429</v>
      </c>
      <c r="C363">
        <v>70</v>
      </c>
      <c r="D363">
        <v>20230327</v>
      </c>
      <c r="E363">
        <v>3</v>
      </c>
      <c r="F363">
        <v>531105</v>
      </c>
      <c r="G363" t="s">
        <v>429</v>
      </c>
      <c r="H363" t="s">
        <v>401</v>
      </c>
      <c r="I363" t="s">
        <v>402</v>
      </c>
      <c r="J363">
        <v>369455</v>
      </c>
      <c r="K363">
        <v>20230327</v>
      </c>
      <c r="L363" t="s">
        <v>565</v>
      </c>
      <c r="M363">
        <v>93.96</v>
      </c>
      <c r="N363">
        <v>0</v>
      </c>
      <c r="O363" t="s">
        <v>19</v>
      </c>
      <c r="P363" t="s">
        <v>20</v>
      </c>
      <c r="Q363">
        <v>20230327</v>
      </c>
    </row>
    <row r="364" spans="1:17" x14ac:dyDescent="0.25">
      <c r="A364" t="s">
        <v>548</v>
      </c>
      <c r="B364" t="s">
        <v>429</v>
      </c>
      <c r="C364">
        <v>71</v>
      </c>
      <c r="D364">
        <v>20230329</v>
      </c>
      <c r="E364">
        <v>3</v>
      </c>
      <c r="F364">
        <v>411100</v>
      </c>
      <c r="G364" t="s">
        <v>18</v>
      </c>
      <c r="H364" t="s">
        <v>798</v>
      </c>
      <c r="I364" t="s">
        <v>799</v>
      </c>
      <c r="J364">
        <v>122110153</v>
      </c>
      <c r="K364">
        <v>20230329</v>
      </c>
      <c r="L364" t="s">
        <v>5611</v>
      </c>
      <c r="M364">
        <v>0</v>
      </c>
      <c r="N364">
        <v>382.14</v>
      </c>
      <c r="O364" t="s">
        <v>19</v>
      </c>
      <c r="P364" t="s">
        <v>20</v>
      </c>
      <c r="Q364">
        <v>20230329</v>
      </c>
    </row>
    <row r="365" spans="1:17" x14ac:dyDescent="0.25">
      <c r="A365" t="s">
        <v>548</v>
      </c>
      <c r="B365" t="s">
        <v>429</v>
      </c>
      <c r="C365">
        <v>71</v>
      </c>
      <c r="D365">
        <v>20230329</v>
      </c>
      <c r="E365">
        <v>3</v>
      </c>
      <c r="F365">
        <v>411020</v>
      </c>
      <c r="G365" t="s">
        <v>30</v>
      </c>
      <c r="H365" t="s">
        <v>285</v>
      </c>
      <c r="I365" t="s">
        <v>286</v>
      </c>
      <c r="J365">
        <v>369457</v>
      </c>
      <c r="K365">
        <v>20230329</v>
      </c>
      <c r="L365" t="s">
        <v>5612</v>
      </c>
      <c r="M365">
        <v>0</v>
      </c>
      <c r="N365">
        <v>15</v>
      </c>
      <c r="O365" t="s">
        <v>19</v>
      </c>
      <c r="P365" t="s">
        <v>20</v>
      </c>
      <c r="Q365">
        <v>20230329</v>
      </c>
    </row>
    <row r="366" spans="1:17" x14ac:dyDescent="0.25">
      <c r="A366" t="s">
        <v>548</v>
      </c>
      <c r="B366" t="s">
        <v>429</v>
      </c>
      <c r="C366">
        <v>71</v>
      </c>
      <c r="D366">
        <v>20230329</v>
      </c>
      <c r="E366">
        <v>3</v>
      </c>
      <c r="F366">
        <v>411020</v>
      </c>
      <c r="G366" t="s">
        <v>30</v>
      </c>
      <c r="H366" t="s">
        <v>138</v>
      </c>
      <c r="I366" t="s">
        <v>139</v>
      </c>
      <c r="J366">
        <v>369458</v>
      </c>
      <c r="K366">
        <v>20230329</v>
      </c>
      <c r="L366" t="s">
        <v>5613</v>
      </c>
      <c r="M366">
        <v>0</v>
      </c>
      <c r="N366">
        <v>11.49</v>
      </c>
      <c r="O366" t="s">
        <v>19</v>
      </c>
      <c r="P366" t="s">
        <v>20</v>
      </c>
      <c r="Q366">
        <v>20230329</v>
      </c>
    </row>
    <row r="367" spans="1:17" x14ac:dyDescent="0.25">
      <c r="A367" t="s">
        <v>548</v>
      </c>
      <c r="B367" t="s">
        <v>429</v>
      </c>
      <c r="C367">
        <v>71</v>
      </c>
      <c r="D367">
        <v>20230329</v>
      </c>
      <c r="E367">
        <v>3</v>
      </c>
      <c r="F367">
        <v>411100</v>
      </c>
      <c r="G367" t="s">
        <v>18</v>
      </c>
      <c r="H367" t="s">
        <v>941</v>
      </c>
      <c r="I367" t="s">
        <v>942</v>
      </c>
      <c r="J367">
        <v>369459</v>
      </c>
      <c r="K367">
        <v>20230329</v>
      </c>
      <c r="L367" t="s">
        <v>5614</v>
      </c>
      <c r="M367">
        <v>0</v>
      </c>
      <c r="N367">
        <v>19.48</v>
      </c>
      <c r="O367" t="s">
        <v>19</v>
      </c>
      <c r="P367" t="s">
        <v>20</v>
      </c>
      <c r="Q367">
        <v>20230329</v>
      </c>
    </row>
    <row r="368" spans="1:17" x14ac:dyDescent="0.25">
      <c r="A368" t="s">
        <v>548</v>
      </c>
      <c r="B368" t="s">
        <v>429</v>
      </c>
      <c r="C368">
        <v>71</v>
      </c>
      <c r="D368">
        <v>20230329</v>
      </c>
      <c r="E368">
        <v>3</v>
      </c>
      <c r="F368">
        <v>411100</v>
      </c>
      <c r="G368" t="s">
        <v>18</v>
      </c>
      <c r="H368" t="s">
        <v>941</v>
      </c>
      <c r="I368" t="s">
        <v>942</v>
      </c>
      <c r="J368">
        <v>369460</v>
      </c>
      <c r="K368">
        <v>20230329</v>
      </c>
      <c r="L368" t="s">
        <v>5806</v>
      </c>
      <c r="M368">
        <v>0</v>
      </c>
      <c r="N368">
        <v>0.02</v>
      </c>
      <c r="O368" t="s">
        <v>19</v>
      </c>
      <c r="P368" t="s">
        <v>20</v>
      </c>
      <c r="Q368">
        <v>20230329</v>
      </c>
    </row>
    <row r="369" spans="1:17" x14ac:dyDescent="0.25">
      <c r="A369" t="s">
        <v>548</v>
      </c>
      <c r="B369" t="s">
        <v>429</v>
      </c>
      <c r="C369">
        <v>71</v>
      </c>
      <c r="D369">
        <v>20230329</v>
      </c>
      <c r="E369">
        <v>3</v>
      </c>
      <c r="F369">
        <v>411100</v>
      </c>
      <c r="G369" t="s">
        <v>18</v>
      </c>
      <c r="H369" t="s">
        <v>3648</v>
      </c>
      <c r="I369" t="s">
        <v>3649</v>
      </c>
      <c r="J369">
        <v>369461</v>
      </c>
      <c r="K369">
        <v>20230329</v>
      </c>
      <c r="L369" t="s">
        <v>5616</v>
      </c>
      <c r="M369">
        <v>0</v>
      </c>
      <c r="N369">
        <v>12</v>
      </c>
      <c r="O369" t="s">
        <v>19</v>
      </c>
      <c r="P369" t="s">
        <v>20</v>
      </c>
      <c r="Q369">
        <v>20230329</v>
      </c>
    </row>
    <row r="370" spans="1:17" x14ac:dyDescent="0.25">
      <c r="A370" t="s">
        <v>548</v>
      </c>
      <c r="B370" t="s">
        <v>429</v>
      </c>
      <c r="C370">
        <v>71</v>
      </c>
      <c r="D370">
        <v>20230329</v>
      </c>
      <c r="E370">
        <v>3</v>
      </c>
      <c r="F370">
        <v>411100</v>
      </c>
      <c r="G370" t="s">
        <v>18</v>
      </c>
      <c r="H370" t="s">
        <v>3648</v>
      </c>
      <c r="I370" t="s">
        <v>3649</v>
      </c>
      <c r="J370">
        <v>369462</v>
      </c>
      <c r="K370">
        <v>20230329</v>
      </c>
      <c r="L370" t="s">
        <v>5805</v>
      </c>
      <c r="M370">
        <v>7.5</v>
      </c>
      <c r="N370">
        <v>0</v>
      </c>
      <c r="O370" t="s">
        <v>19</v>
      </c>
      <c r="P370" t="s">
        <v>20</v>
      </c>
      <c r="Q370">
        <v>20230329</v>
      </c>
    </row>
    <row r="371" spans="1:17" x14ac:dyDescent="0.25">
      <c r="A371" t="s">
        <v>548</v>
      </c>
      <c r="B371" t="s">
        <v>429</v>
      </c>
      <c r="C371">
        <v>71</v>
      </c>
      <c r="D371">
        <v>20230329</v>
      </c>
      <c r="E371">
        <v>3</v>
      </c>
      <c r="F371">
        <v>411100</v>
      </c>
      <c r="G371" t="s">
        <v>18</v>
      </c>
      <c r="H371" t="s">
        <v>305</v>
      </c>
      <c r="I371" t="s">
        <v>306</v>
      </c>
      <c r="J371">
        <v>369463</v>
      </c>
      <c r="K371">
        <v>20230329</v>
      </c>
      <c r="L371" t="s">
        <v>5618</v>
      </c>
      <c r="M371">
        <v>0</v>
      </c>
      <c r="N371">
        <v>97.2</v>
      </c>
      <c r="O371" t="s">
        <v>19</v>
      </c>
      <c r="P371" t="s">
        <v>20</v>
      </c>
      <c r="Q371">
        <v>20230329</v>
      </c>
    </row>
    <row r="372" spans="1:17" x14ac:dyDescent="0.25">
      <c r="A372" t="s">
        <v>548</v>
      </c>
      <c r="B372" t="s">
        <v>429</v>
      </c>
      <c r="C372">
        <v>71</v>
      </c>
      <c r="D372">
        <v>20230329</v>
      </c>
      <c r="E372">
        <v>3</v>
      </c>
      <c r="F372">
        <v>531105</v>
      </c>
      <c r="G372" t="s">
        <v>429</v>
      </c>
      <c r="H372" t="s">
        <v>401</v>
      </c>
      <c r="I372" t="s">
        <v>402</v>
      </c>
      <c r="J372">
        <v>369464</v>
      </c>
      <c r="K372">
        <v>20230329</v>
      </c>
      <c r="L372" t="s">
        <v>565</v>
      </c>
      <c r="M372">
        <v>529.83000000000004</v>
      </c>
      <c r="N372">
        <v>0</v>
      </c>
      <c r="O372" t="s">
        <v>19</v>
      </c>
      <c r="P372" t="s">
        <v>20</v>
      </c>
      <c r="Q372">
        <v>20230329</v>
      </c>
    </row>
    <row r="373" spans="1:17" x14ac:dyDescent="0.25">
      <c r="A373" t="s">
        <v>548</v>
      </c>
      <c r="B373" t="s">
        <v>429</v>
      </c>
      <c r="C373">
        <v>72</v>
      </c>
      <c r="D373">
        <v>20230330</v>
      </c>
      <c r="E373">
        <v>3</v>
      </c>
      <c r="F373">
        <v>411100</v>
      </c>
      <c r="G373" t="s">
        <v>18</v>
      </c>
      <c r="H373" t="s">
        <v>352</v>
      </c>
      <c r="I373" t="s">
        <v>353</v>
      </c>
      <c r="J373">
        <v>123040003</v>
      </c>
      <c r="K373">
        <v>20230330</v>
      </c>
      <c r="L373" t="s">
        <v>5619</v>
      </c>
      <c r="M373">
        <v>0</v>
      </c>
      <c r="N373">
        <v>65.819999999999993</v>
      </c>
      <c r="O373" t="s">
        <v>19</v>
      </c>
      <c r="P373" t="s">
        <v>20</v>
      </c>
      <c r="Q373">
        <v>20230330</v>
      </c>
    </row>
    <row r="374" spans="1:17" x14ac:dyDescent="0.25">
      <c r="A374" t="s">
        <v>548</v>
      </c>
      <c r="B374" t="s">
        <v>429</v>
      </c>
      <c r="C374">
        <v>72</v>
      </c>
      <c r="D374">
        <v>20230330</v>
      </c>
      <c r="E374">
        <v>3</v>
      </c>
      <c r="F374">
        <v>411100</v>
      </c>
      <c r="G374" t="s">
        <v>18</v>
      </c>
      <c r="H374" t="s">
        <v>77</v>
      </c>
      <c r="I374" t="s">
        <v>78</v>
      </c>
      <c r="J374">
        <v>122020182</v>
      </c>
      <c r="K374">
        <v>20230330</v>
      </c>
      <c r="L374" t="s">
        <v>5620</v>
      </c>
      <c r="M374">
        <v>0</v>
      </c>
      <c r="N374">
        <v>160</v>
      </c>
      <c r="O374" t="s">
        <v>19</v>
      </c>
      <c r="P374" t="s">
        <v>20</v>
      </c>
      <c r="Q374">
        <v>20230330</v>
      </c>
    </row>
    <row r="375" spans="1:17" x14ac:dyDescent="0.25">
      <c r="A375" t="s">
        <v>548</v>
      </c>
      <c r="B375" t="s">
        <v>429</v>
      </c>
      <c r="C375">
        <v>72</v>
      </c>
      <c r="D375">
        <v>20230330</v>
      </c>
      <c r="E375">
        <v>3</v>
      </c>
      <c r="F375">
        <v>531105</v>
      </c>
      <c r="G375" t="s">
        <v>429</v>
      </c>
      <c r="H375" t="s">
        <v>401</v>
      </c>
      <c r="I375" t="s">
        <v>402</v>
      </c>
      <c r="J375">
        <v>369467</v>
      </c>
      <c r="K375">
        <v>20230330</v>
      </c>
      <c r="L375" t="s">
        <v>565</v>
      </c>
      <c r="M375">
        <v>225.82</v>
      </c>
      <c r="N375">
        <v>0</v>
      </c>
      <c r="O375" t="s">
        <v>19</v>
      </c>
      <c r="P375" t="s">
        <v>20</v>
      </c>
      <c r="Q375">
        <v>20230330</v>
      </c>
    </row>
    <row r="376" spans="1:17" x14ac:dyDescent="0.25">
      <c r="A376" t="s">
        <v>548</v>
      </c>
      <c r="B376" t="s">
        <v>429</v>
      </c>
      <c r="C376">
        <v>73</v>
      </c>
      <c r="D376">
        <v>20230331</v>
      </c>
      <c r="E376">
        <v>3</v>
      </c>
      <c r="F376">
        <v>411100</v>
      </c>
      <c r="G376" t="s">
        <v>18</v>
      </c>
      <c r="H376" t="s">
        <v>710</v>
      </c>
      <c r="I376" t="s">
        <v>711</v>
      </c>
      <c r="J376">
        <v>123020163</v>
      </c>
      <c r="K376">
        <v>20230331</v>
      </c>
      <c r="L376" t="s">
        <v>5621</v>
      </c>
      <c r="M376">
        <v>0</v>
      </c>
      <c r="N376">
        <v>145.66</v>
      </c>
      <c r="O376" t="s">
        <v>19</v>
      </c>
      <c r="P376" t="s">
        <v>20</v>
      </c>
      <c r="Q376">
        <v>20230331</v>
      </c>
    </row>
    <row r="377" spans="1:17" x14ac:dyDescent="0.25">
      <c r="A377" t="s">
        <v>548</v>
      </c>
      <c r="B377" t="s">
        <v>429</v>
      </c>
      <c r="C377">
        <v>73</v>
      </c>
      <c r="D377">
        <v>20230331</v>
      </c>
      <c r="E377">
        <v>3</v>
      </c>
      <c r="F377">
        <v>531105</v>
      </c>
      <c r="G377" t="s">
        <v>429</v>
      </c>
      <c r="H377" t="s">
        <v>401</v>
      </c>
      <c r="I377" t="s">
        <v>402</v>
      </c>
      <c r="J377">
        <v>369469</v>
      </c>
      <c r="K377">
        <v>20230331</v>
      </c>
      <c r="L377" t="s">
        <v>565</v>
      </c>
      <c r="M377">
        <v>145.66</v>
      </c>
      <c r="N377">
        <v>0</v>
      </c>
      <c r="O377" t="s">
        <v>19</v>
      </c>
      <c r="P377" t="s">
        <v>20</v>
      </c>
      <c r="Q377">
        <v>20230331</v>
      </c>
    </row>
    <row r="378" spans="1:17" x14ac:dyDescent="0.25">
      <c r="A378" t="s">
        <v>548</v>
      </c>
      <c r="B378" t="s">
        <v>429</v>
      </c>
      <c r="C378">
        <v>74</v>
      </c>
      <c r="D378">
        <v>20230324</v>
      </c>
      <c r="E378">
        <v>3</v>
      </c>
      <c r="F378">
        <v>411100</v>
      </c>
      <c r="G378" t="s">
        <v>18</v>
      </c>
      <c r="H378" t="s">
        <v>3654</v>
      </c>
      <c r="I378" t="s">
        <v>3655</v>
      </c>
      <c r="J378">
        <v>369470</v>
      </c>
      <c r="K378">
        <v>20230324</v>
      </c>
      <c r="L378" t="s">
        <v>5622</v>
      </c>
      <c r="M378">
        <v>21</v>
      </c>
      <c r="N378">
        <v>0</v>
      </c>
      <c r="O378" t="s">
        <v>19</v>
      </c>
      <c r="P378" t="s">
        <v>20</v>
      </c>
      <c r="Q378">
        <v>20230324</v>
      </c>
    </row>
    <row r="379" spans="1:17" x14ac:dyDescent="0.25">
      <c r="A379" t="s">
        <v>548</v>
      </c>
      <c r="B379" t="s">
        <v>429</v>
      </c>
      <c r="C379">
        <v>74</v>
      </c>
      <c r="D379">
        <v>20230324</v>
      </c>
      <c r="E379">
        <v>3</v>
      </c>
      <c r="F379">
        <v>531105</v>
      </c>
      <c r="G379" t="s">
        <v>429</v>
      </c>
      <c r="H379" t="s">
        <v>401</v>
      </c>
      <c r="I379" t="s">
        <v>402</v>
      </c>
      <c r="J379">
        <v>369471</v>
      </c>
      <c r="K379">
        <v>20230324</v>
      </c>
      <c r="L379" t="s">
        <v>565</v>
      </c>
      <c r="M379">
        <v>0</v>
      </c>
      <c r="N379">
        <v>21</v>
      </c>
      <c r="O379" t="s">
        <v>19</v>
      </c>
      <c r="P379" t="s">
        <v>20</v>
      </c>
      <c r="Q379">
        <v>20230324</v>
      </c>
    </row>
    <row r="380" spans="1:17" x14ac:dyDescent="0.25">
      <c r="A380" t="s">
        <v>548</v>
      </c>
      <c r="B380" t="s">
        <v>429</v>
      </c>
      <c r="C380">
        <v>75</v>
      </c>
      <c r="D380">
        <v>20230323</v>
      </c>
      <c r="E380">
        <v>3</v>
      </c>
      <c r="F380">
        <v>411020</v>
      </c>
      <c r="G380" t="s">
        <v>30</v>
      </c>
      <c r="H380" t="s">
        <v>332</v>
      </c>
      <c r="I380" t="s">
        <v>333</v>
      </c>
      <c r="J380">
        <v>323010006</v>
      </c>
      <c r="K380">
        <v>20230323</v>
      </c>
      <c r="L380" t="s">
        <v>5623</v>
      </c>
      <c r="M380">
        <v>0</v>
      </c>
      <c r="N380">
        <v>57.17</v>
      </c>
      <c r="O380" t="s">
        <v>19</v>
      </c>
      <c r="P380" t="s">
        <v>20</v>
      </c>
      <c r="Q380">
        <v>20230323</v>
      </c>
    </row>
    <row r="381" spans="1:17" x14ac:dyDescent="0.25">
      <c r="A381" t="s">
        <v>548</v>
      </c>
      <c r="B381" t="s">
        <v>429</v>
      </c>
      <c r="C381">
        <v>75</v>
      </c>
      <c r="D381">
        <v>20230323</v>
      </c>
      <c r="E381">
        <v>3</v>
      </c>
      <c r="F381">
        <v>531105</v>
      </c>
      <c r="G381" t="s">
        <v>429</v>
      </c>
      <c r="H381" t="s">
        <v>401</v>
      </c>
      <c r="I381" t="s">
        <v>402</v>
      </c>
      <c r="J381">
        <v>369555</v>
      </c>
      <c r="K381">
        <v>20230323</v>
      </c>
      <c r="L381" t="s">
        <v>565</v>
      </c>
      <c r="M381">
        <v>57.17</v>
      </c>
      <c r="N381">
        <v>0</v>
      </c>
      <c r="O381" t="s">
        <v>19</v>
      </c>
      <c r="P381" t="s">
        <v>20</v>
      </c>
      <c r="Q381">
        <v>20230323</v>
      </c>
    </row>
    <row r="382" spans="1:17" x14ac:dyDescent="0.25">
      <c r="A382" t="s">
        <v>548</v>
      </c>
      <c r="B382" t="s">
        <v>429</v>
      </c>
      <c r="C382">
        <v>76</v>
      </c>
      <c r="D382">
        <v>20230330</v>
      </c>
      <c r="E382">
        <v>3</v>
      </c>
      <c r="F382">
        <v>411020</v>
      </c>
      <c r="G382" t="s">
        <v>30</v>
      </c>
      <c r="H382" t="s">
        <v>3633</v>
      </c>
      <c r="I382" t="s">
        <v>3634</v>
      </c>
      <c r="J382">
        <v>323020004</v>
      </c>
      <c r="K382">
        <v>20230330</v>
      </c>
      <c r="L382" t="s">
        <v>5624</v>
      </c>
      <c r="M382">
        <v>0</v>
      </c>
      <c r="N382">
        <v>113.47</v>
      </c>
      <c r="O382" t="s">
        <v>19</v>
      </c>
      <c r="P382" t="s">
        <v>20</v>
      </c>
      <c r="Q382">
        <v>20230330</v>
      </c>
    </row>
    <row r="383" spans="1:17" x14ac:dyDescent="0.25">
      <c r="A383" t="s">
        <v>548</v>
      </c>
      <c r="B383" t="s">
        <v>429</v>
      </c>
      <c r="C383">
        <v>76</v>
      </c>
      <c r="D383">
        <v>20230330</v>
      </c>
      <c r="E383">
        <v>3</v>
      </c>
      <c r="F383">
        <v>411020</v>
      </c>
      <c r="G383" t="s">
        <v>30</v>
      </c>
      <c r="H383" t="s">
        <v>3633</v>
      </c>
      <c r="I383" t="s">
        <v>3634</v>
      </c>
      <c r="J383">
        <v>323020004</v>
      </c>
      <c r="K383">
        <v>20230330</v>
      </c>
      <c r="L383" t="s">
        <v>5804</v>
      </c>
      <c r="M383">
        <v>0</v>
      </c>
      <c r="N383">
        <v>0.53</v>
      </c>
      <c r="O383" t="s">
        <v>19</v>
      </c>
      <c r="P383" t="s">
        <v>20</v>
      </c>
      <c r="Q383">
        <v>20230330</v>
      </c>
    </row>
    <row r="384" spans="1:17" x14ac:dyDescent="0.25">
      <c r="A384" t="s">
        <v>548</v>
      </c>
      <c r="B384" t="s">
        <v>429</v>
      </c>
      <c r="C384">
        <v>76</v>
      </c>
      <c r="D384">
        <v>20230330</v>
      </c>
      <c r="E384">
        <v>3</v>
      </c>
      <c r="F384">
        <v>531105</v>
      </c>
      <c r="G384" t="s">
        <v>429</v>
      </c>
      <c r="H384" t="s">
        <v>401</v>
      </c>
      <c r="I384" t="s">
        <v>402</v>
      </c>
      <c r="J384">
        <v>369558</v>
      </c>
      <c r="K384">
        <v>20230330</v>
      </c>
      <c r="L384" t="s">
        <v>565</v>
      </c>
      <c r="M384">
        <v>114</v>
      </c>
      <c r="N384">
        <v>0</v>
      </c>
      <c r="O384" t="s">
        <v>19</v>
      </c>
      <c r="P384" t="s">
        <v>20</v>
      </c>
      <c r="Q384">
        <v>20230330</v>
      </c>
    </row>
    <row r="385" spans="1:17" x14ac:dyDescent="0.25">
      <c r="A385" t="s">
        <v>548</v>
      </c>
      <c r="B385" t="s">
        <v>429</v>
      </c>
      <c r="C385">
        <v>77</v>
      </c>
      <c r="D385">
        <v>20230331</v>
      </c>
      <c r="E385">
        <v>3</v>
      </c>
      <c r="F385">
        <v>411020</v>
      </c>
      <c r="G385" t="s">
        <v>30</v>
      </c>
      <c r="H385" t="s">
        <v>3631</v>
      </c>
      <c r="I385" t="s">
        <v>3632</v>
      </c>
      <c r="J385">
        <v>323020002</v>
      </c>
      <c r="K385">
        <v>20230331</v>
      </c>
      <c r="L385" t="s">
        <v>5626</v>
      </c>
      <c r="M385">
        <v>0</v>
      </c>
      <c r="N385">
        <v>105.1</v>
      </c>
      <c r="O385" t="s">
        <v>19</v>
      </c>
      <c r="P385" t="s">
        <v>20</v>
      </c>
      <c r="Q385">
        <v>20230331</v>
      </c>
    </row>
    <row r="386" spans="1:17" x14ac:dyDescent="0.25">
      <c r="A386" t="s">
        <v>548</v>
      </c>
      <c r="B386" t="s">
        <v>429</v>
      </c>
      <c r="C386">
        <v>77</v>
      </c>
      <c r="D386">
        <v>20230331</v>
      </c>
      <c r="E386">
        <v>3</v>
      </c>
      <c r="F386">
        <v>411020</v>
      </c>
      <c r="G386" t="s">
        <v>30</v>
      </c>
      <c r="H386" t="s">
        <v>3631</v>
      </c>
      <c r="I386" t="s">
        <v>3632</v>
      </c>
      <c r="J386">
        <v>323020002</v>
      </c>
      <c r="K386">
        <v>20230331</v>
      </c>
      <c r="L386" t="s">
        <v>5803</v>
      </c>
      <c r="M386">
        <v>0</v>
      </c>
      <c r="N386">
        <v>44.9</v>
      </c>
      <c r="O386" t="s">
        <v>19</v>
      </c>
      <c r="P386" t="s">
        <v>20</v>
      </c>
      <c r="Q386">
        <v>20230331</v>
      </c>
    </row>
    <row r="387" spans="1:17" x14ac:dyDescent="0.25">
      <c r="A387" t="s">
        <v>548</v>
      </c>
      <c r="B387" t="s">
        <v>429</v>
      </c>
      <c r="C387">
        <v>77</v>
      </c>
      <c r="D387">
        <v>20230331</v>
      </c>
      <c r="E387">
        <v>3</v>
      </c>
      <c r="F387">
        <v>531105</v>
      </c>
      <c r="G387" t="s">
        <v>429</v>
      </c>
      <c r="H387" t="s">
        <v>401</v>
      </c>
      <c r="I387" t="s">
        <v>402</v>
      </c>
      <c r="J387">
        <v>369561</v>
      </c>
      <c r="K387">
        <v>20230331</v>
      </c>
      <c r="L387" t="s">
        <v>565</v>
      </c>
      <c r="M387">
        <v>150</v>
      </c>
      <c r="N387">
        <v>0</v>
      </c>
      <c r="O387" t="s">
        <v>19</v>
      </c>
      <c r="P387" t="s">
        <v>20</v>
      </c>
      <c r="Q387">
        <v>20230331</v>
      </c>
    </row>
    <row r="388" spans="1:17" x14ac:dyDescent="0.25">
      <c r="A388" t="s">
        <v>548</v>
      </c>
      <c r="B388" t="s">
        <v>429</v>
      </c>
      <c r="C388">
        <v>78</v>
      </c>
      <c r="D388">
        <v>20230331</v>
      </c>
      <c r="E388">
        <v>3</v>
      </c>
      <c r="F388">
        <v>467100</v>
      </c>
      <c r="G388" t="s">
        <v>160</v>
      </c>
      <c r="H388" t="s">
        <v>1305</v>
      </c>
      <c r="I388" t="s">
        <v>1306</v>
      </c>
      <c r="J388" t="s">
        <v>5628</v>
      </c>
      <c r="K388">
        <v>20230331</v>
      </c>
      <c r="L388" t="s">
        <v>5629</v>
      </c>
      <c r="M388">
        <v>0</v>
      </c>
      <c r="N388">
        <v>145</v>
      </c>
      <c r="O388" t="s">
        <v>19</v>
      </c>
      <c r="P388" t="s">
        <v>20</v>
      </c>
      <c r="Q388">
        <v>20230331</v>
      </c>
    </row>
    <row r="389" spans="1:17" x14ac:dyDescent="0.25">
      <c r="A389" t="s">
        <v>548</v>
      </c>
      <c r="B389" t="s">
        <v>429</v>
      </c>
      <c r="C389">
        <v>78</v>
      </c>
      <c r="D389">
        <v>20230331</v>
      </c>
      <c r="E389">
        <v>3</v>
      </c>
      <c r="F389">
        <v>531105</v>
      </c>
      <c r="G389" t="s">
        <v>429</v>
      </c>
      <c r="H389" t="s">
        <v>401</v>
      </c>
      <c r="I389" t="s">
        <v>402</v>
      </c>
      <c r="J389" t="s">
        <v>5628</v>
      </c>
      <c r="K389">
        <v>20230331</v>
      </c>
      <c r="L389" t="s">
        <v>5629</v>
      </c>
      <c r="M389">
        <v>145</v>
      </c>
      <c r="N389">
        <v>0</v>
      </c>
      <c r="O389" t="s">
        <v>19</v>
      </c>
      <c r="P389" t="s">
        <v>20</v>
      </c>
      <c r="Q389">
        <v>20230331</v>
      </c>
    </row>
    <row r="390" spans="1:17" x14ac:dyDescent="0.25">
      <c r="A390" t="s">
        <v>715</v>
      </c>
      <c r="B390" t="s">
        <v>432</v>
      </c>
      <c r="C390">
        <v>79</v>
      </c>
      <c r="D390">
        <v>20230315</v>
      </c>
      <c r="E390">
        <v>3</v>
      </c>
      <c r="F390">
        <v>512200</v>
      </c>
      <c r="G390" t="s">
        <v>432</v>
      </c>
      <c r="H390" t="s">
        <v>401</v>
      </c>
      <c r="I390" t="s">
        <v>402</v>
      </c>
      <c r="J390" t="s">
        <v>5512</v>
      </c>
      <c r="K390">
        <v>20230315</v>
      </c>
      <c r="L390" t="s">
        <v>625</v>
      </c>
      <c r="M390">
        <v>2798</v>
      </c>
      <c r="N390">
        <v>0</v>
      </c>
      <c r="O390" t="s">
        <v>19</v>
      </c>
      <c r="P390" t="s">
        <v>20</v>
      </c>
      <c r="Q390">
        <v>20230315</v>
      </c>
    </row>
    <row r="391" spans="1:17" x14ac:dyDescent="0.25">
      <c r="A391" t="s">
        <v>715</v>
      </c>
      <c r="B391" t="s">
        <v>432</v>
      </c>
      <c r="C391">
        <v>79</v>
      </c>
      <c r="D391">
        <v>20230315</v>
      </c>
      <c r="E391">
        <v>3</v>
      </c>
      <c r="F391">
        <v>580000</v>
      </c>
      <c r="G391" t="s">
        <v>532</v>
      </c>
      <c r="H391" t="s">
        <v>401</v>
      </c>
      <c r="I391" t="s">
        <v>402</v>
      </c>
      <c r="J391" t="s">
        <v>5512</v>
      </c>
      <c r="K391">
        <v>20230315</v>
      </c>
      <c r="L391" t="s">
        <v>625</v>
      </c>
      <c r="M391">
        <v>0</v>
      </c>
      <c r="N391">
        <v>2798</v>
      </c>
      <c r="O391" t="s">
        <v>22</v>
      </c>
      <c r="P391">
        <v>20230315</v>
      </c>
      <c r="Q391">
        <v>20230315</v>
      </c>
    </row>
    <row r="392" spans="1:17" x14ac:dyDescent="0.25">
      <c r="A392" t="s">
        <v>715</v>
      </c>
      <c r="B392" t="s">
        <v>432</v>
      </c>
      <c r="C392">
        <v>80</v>
      </c>
      <c r="D392">
        <v>20230323</v>
      </c>
      <c r="E392">
        <v>3</v>
      </c>
      <c r="F392">
        <v>512200</v>
      </c>
      <c r="G392" t="s">
        <v>432</v>
      </c>
      <c r="H392" t="s">
        <v>401</v>
      </c>
      <c r="I392" t="s">
        <v>402</v>
      </c>
      <c r="J392" t="s">
        <v>5632</v>
      </c>
      <c r="K392">
        <v>20230323</v>
      </c>
      <c r="L392" t="s">
        <v>5802</v>
      </c>
      <c r="M392">
        <v>2930.53</v>
      </c>
      <c r="N392">
        <v>0</v>
      </c>
      <c r="O392" t="s">
        <v>19</v>
      </c>
      <c r="P392" t="s">
        <v>20</v>
      </c>
      <c r="Q392">
        <v>20230323</v>
      </c>
    </row>
    <row r="393" spans="1:17" x14ac:dyDescent="0.25">
      <c r="A393" t="s">
        <v>715</v>
      </c>
      <c r="B393" t="s">
        <v>432</v>
      </c>
      <c r="C393">
        <v>80</v>
      </c>
      <c r="D393">
        <v>20230323</v>
      </c>
      <c r="E393">
        <v>3</v>
      </c>
      <c r="F393">
        <v>511000</v>
      </c>
      <c r="G393" t="s">
        <v>431</v>
      </c>
      <c r="H393" t="s">
        <v>401</v>
      </c>
      <c r="I393" t="s">
        <v>402</v>
      </c>
      <c r="J393" t="s">
        <v>5632</v>
      </c>
      <c r="K393">
        <v>20230323</v>
      </c>
      <c r="L393" t="s">
        <v>5802</v>
      </c>
      <c r="M393">
        <v>0</v>
      </c>
      <c r="N393">
        <v>2930.53</v>
      </c>
      <c r="O393" t="s">
        <v>19</v>
      </c>
      <c r="P393" t="s">
        <v>20</v>
      </c>
      <c r="Q393">
        <v>20230323</v>
      </c>
    </row>
    <row r="394" spans="1:17" x14ac:dyDescent="0.25">
      <c r="A394" t="s">
        <v>715</v>
      </c>
      <c r="B394" t="s">
        <v>432</v>
      </c>
      <c r="C394">
        <v>81</v>
      </c>
      <c r="D394">
        <v>20230323</v>
      </c>
      <c r="E394">
        <v>3</v>
      </c>
      <c r="F394">
        <v>512200</v>
      </c>
      <c r="G394" t="s">
        <v>432</v>
      </c>
      <c r="H394" t="s">
        <v>401</v>
      </c>
      <c r="I394" t="s">
        <v>402</v>
      </c>
      <c r="J394" t="s">
        <v>5585</v>
      </c>
      <c r="K394">
        <v>20230323</v>
      </c>
      <c r="L394" t="s">
        <v>625</v>
      </c>
      <c r="M394">
        <v>1600</v>
      </c>
      <c r="N394">
        <v>0</v>
      </c>
      <c r="O394" t="s">
        <v>19</v>
      </c>
      <c r="P394" t="s">
        <v>20</v>
      </c>
      <c r="Q394">
        <v>20230323</v>
      </c>
    </row>
    <row r="395" spans="1:17" x14ac:dyDescent="0.25">
      <c r="A395" t="s">
        <v>715</v>
      </c>
      <c r="B395" t="s">
        <v>432</v>
      </c>
      <c r="C395">
        <v>81</v>
      </c>
      <c r="D395">
        <v>20230323</v>
      </c>
      <c r="E395">
        <v>3</v>
      </c>
      <c r="F395">
        <v>580000</v>
      </c>
      <c r="G395" t="s">
        <v>532</v>
      </c>
      <c r="H395" t="s">
        <v>401</v>
      </c>
      <c r="I395" t="s">
        <v>402</v>
      </c>
      <c r="J395" t="s">
        <v>5585</v>
      </c>
      <c r="K395">
        <v>20230323</v>
      </c>
      <c r="L395" t="s">
        <v>625</v>
      </c>
      <c r="M395">
        <v>0</v>
      </c>
      <c r="N395">
        <v>1600</v>
      </c>
      <c r="O395" t="s">
        <v>22</v>
      </c>
      <c r="P395">
        <v>20230323</v>
      </c>
      <c r="Q395">
        <v>20230323</v>
      </c>
    </row>
    <row r="396" spans="1:17" x14ac:dyDescent="0.25">
      <c r="A396" t="s">
        <v>715</v>
      </c>
      <c r="B396" t="s">
        <v>432</v>
      </c>
      <c r="C396">
        <v>82</v>
      </c>
      <c r="D396">
        <v>20230327</v>
      </c>
      <c r="E396">
        <v>3</v>
      </c>
      <c r="F396">
        <v>512200</v>
      </c>
      <c r="G396" t="s">
        <v>432</v>
      </c>
      <c r="H396" t="s">
        <v>401</v>
      </c>
      <c r="I396" t="s">
        <v>402</v>
      </c>
      <c r="J396" t="s">
        <v>5634</v>
      </c>
      <c r="K396">
        <v>20230327</v>
      </c>
      <c r="L396" t="s">
        <v>5801</v>
      </c>
      <c r="M396">
        <v>1434.92</v>
      </c>
      <c r="N396">
        <v>0</v>
      </c>
      <c r="O396" t="s">
        <v>19</v>
      </c>
      <c r="P396" t="s">
        <v>20</v>
      </c>
      <c r="Q396">
        <v>20230327</v>
      </c>
    </row>
    <row r="397" spans="1:17" x14ac:dyDescent="0.25">
      <c r="A397" t="s">
        <v>715</v>
      </c>
      <c r="B397" t="s">
        <v>432</v>
      </c>
      <c r="C397">
        <v>82</v>
      </c>
      <c r="D397">
        <v>20230327</v>
      </c>
      <c r="E397">
        <v>3</v>
      </c>
      <c r="F397">
        <v>511002</v>
      </c>
      <c r="G397" t="s">
        <v>786</v>
      </c>
      <c r="H397" t="s">
        <v>401</v>
      </c>
      <c r="I397" t="s">
        <v>402</v>
      </c>
      <c r="J397" t="s">
        <v>5634</v>
      </c>
      <c r="K397">
        <v>20230327</v>
      </c>
      <c r="L397" t="s">
        <v>5801</v>
      </c>
      <c r="M397">
        <v>0</v>
      </c>
      <c r="N397">
        <v>1434.92</v>
      </c>
      <c r="O397" t="s">
        <v>19</v>
      </c>
      <c r="P397" t="s">
        <v>20</v>
      </c>
      <c r="Q397">
        <v>20230327</v>
      </c>
    </row>
    <row r="398" spans="1:17" x14ac:dyDescent="0.25">
      <c r="A398" t="s">
        <v>715</v>
      </c>
      <c r="B398" t="s">
        <v>432</v>
      </c>
      <c r="C398">
        <v>83</v>
      </c>
      <c r="D398">
        <v>20230327</v>
      </c>
      <c r="E398">
        <v>3</v>
      </c>
      <c r="F398">
        <v>512200</v>
      </c>
      <c r="G398" t="s">
        <v>432</v>
      </c>
      <c r="H398" t="s">
        <v>401</v>
      </c>
      <c r="I398" t="s">
        <v>402</v>
      </c>
      <c r="J398" t="s">
        <v>5636</v>
      </c>
      <c r="K398">
        <v>20230327</v>
      </c>
      <c r="L398" t="s">
        <v>5800</v>
      </c>
      <c r="M398">
        <v>460</v>
      </c>
      <c r="N398">
        <v>0</v>
      </c>
      <c r="O398" t="s">
        <v>19</v>
      </c>
      <c r="P398" t="s">
        <v>20</v>
      </c>
      <c r="Q398">
        <v>20230327</v>
      </c>
    </row>
    <row r="399" spans="1:17" x14ac:dyDescent="0.25">
      <c r="A399" t="s">
        <v>715</v>
      </c>
      <c r="B399" t="s">
        <v>432</v>
      </c>
      <c r="C399">
        <v>83</v>
      </c>
      <c r="D399">
        <v>20230327</v>
      </c>
      <c r="E399">
        <v>3</v>
      </c>
      <c r="F399">
        <v>511001</v>
      </c>
      <c r="G399" t="s">
        <v>434</v>
      </c>
      <c r="H399" t="s">
        <v>401</v>
      </c>
      <c r="I399" t="s">
        <v>402</v>
      </c>
      <c r="J399" t="s">
        <v>5636</v>
      </c>
      <c r="K399">
        <v>20230327</v>
      </c>
      <c r="L399" t="s">
        <v>5800</v>
      </c>
      <c r="M399">
        <v>0</v>
      </c>
      <c r="N399">
        <v>460</v>
      </c>
      <c r="O399" t="s">
        <v>19</v>
      </c>
      <c r="P399" t="s">
        <v>20</v>
      </c>
      <c r="Q399">
        <v>20230327</v>
      </c>
    </row>
    <row r="400" spans="1:17" x14ac:dyDescent="0.25">
      <c r="A400" t="s">
        <v>715</v>
      </c>
      <c r="B400" t="s">
        <v>432</v>
      </c>
      <c r="C400">
        <v>84</v>
      </c>
      <c r="D400">
        <v>20230301</v>
      </c>
      <c r="E400">
        <v>3</v>
      </c>
      <c r="F400">
        <v>401000</v>
      </c>
      <c r="G400" t="s">
        <v>41</v>
      </c>
      <c r="H400" t="s">
        <v>5073</v>
      </c>
      <c r="I400" t="s">
        <v>5074</v>
      </c>
      <c r="J400" t="s">
        <v>5799</v>
      </c>
      <c r="K400">
        <v>20230301</v>
      </c>
      <c r="L400" t="s">
        <v>5798</v>
      </c>
      <c r="M400">
        <v>353.5</v>
      </c>
      <c r="N400">
        <v>0</v>
      </c>
      <c r="O400" t="s">
        <v>19</v>
      </c>
      <c r="P400" t="s">
        <v>20</v>
      </c>
      <c r="Q400">
        <v>20230301</v>
      </c>
    </row>
    <row r="401" spans="1:17" x14ac:dyDescent="0.25">
      <c r="A401" t="s">
        <v>715</v>
      </c>
      <c r="B401" t="s">
        <v>432</v>
      </c>
      <c r="C401">
        <v>84</v>
      </c>
      <c r="D401">
        <v>20230301</v>
      </c>
      <c r="E401">
        <v>3</v>
      </c>
      <c r="F401">
        <v>512200</v>
      </c>
      <c r="G401" t="s">
        <v>432</v>
      </c>
      <c r="H401" t="s">
        <v>401</v>
      </c>
      <c r="I401" t="s">
        <v>402</v>
      </c>
      <c r="J401" t="s">
        <v>5799</v>
      </c>
      <c r="K401">
        <v>20230301</v>
      </c>
      <c r="L401" t="s">
        <v>5798</v>
      </c>
      <c r="M401">
        <v>0</v>
      </c>
      <c r="N401">
        <v>353.5</v>
      </c>
      <c r="O401" t="s">
        <v>19</v>
      </c>
      <c r="P401" t="s">
        <v>20</v>
      </c>
      <c r="Q401">
        <v>20230301</v>
      </c>
    </row>
    <row r="402" spans="1:17" x14ac:dyDescent="0.25">
      <c r="A402" t="s">
        <v>715</v>
      </c>
      <c r="B402" t="s">
        <v>432</v>
      </c>
      <c r="C402">
        <v>84</v>
      </c>
      <c r="D402">
        <v>20230302</v>
      </c>
      <c r="E402">
        <v>3</v>
      </c>
      <c r="F402">
        <v>401000</v>
      </c>
      <c r="G402" t="s">
        <v>41</v>
      </c>
      <c r="H402" t="s">
        <v>52</v>
      </c>
      <c r="I402" t="s">
        <v>53</v>
      </c>
      <c r="J402" t="s">
        <v>5797</v>
      </c>
      <c r="K402">
        <v>20230302</v>
      </c>
      <c r="L402" t="s">
        <v>5796</v>
      </c>
      <c r="M402">
        <v>29</v>
      </c>
      <c r="N402">
        <v>0</v>
      </c>
      <c r="O402" t="s">
        <v>19</v>
      </c>
      <c r="P402" t="s">
        <v>20</v>
      </c>
      <c r="Q402">
        <v>20230302</v>
      </c>
    </row>
    <row r="403" spans="1:17" x14ac:dyDescent="0.25">
      <c r="A403" t="s">
        <v>715</v>
      </c>
      <c r="B403" t="s">
        <v>432</v>
      </c>
      <c r="C403">
        <v>84</v>
      </c>
      <c r="D403">
        <v>20230302</v>
      </c>
      <c r="E403">
        <v>3</v>
      </c>
      <c r="F403">
        <v>512200</v>
      </c>
      <c r="G403" t="s">
        <v>432</v>
      </c>
      <c r="H403" t="s">
        <v>401</v>
      </c>
      <c r="I403" t="s">
        <v>402</v>
      </c>
      <c r="J403" t="s">
        <v>5797</v>
      </c>
      <c r="K403">
        <v>20230302</v>
      </c>
      <c r="L403" t="s">
        <v>5796</v>
      </c>
      <c r="M403">
        <v>0</v>
      </c>
      <c r="N403">
        <v>29</v>
      </c>
      <c r="O403" t="s">
        <v>19</v>
      </c>
      <c r="P403" t="s">
        <v>20</v>
      </c>
      <c r="Q403">
        <v>20230302</v>
      </c>
    </row>
    <row r="404" spans="1:17" x14ac:dyDescent="0.25">
      <c r="A404" t="s">
        <v>715</v>
      </c>
      <c r="B404" t="s">
        <v>432</v>
      </c>
      <c r="C404">
        <v>85</v>
      </c>
      <c r="D404">
        <v>20230302</v>
      </c>
      <c r="E404">
        <v>3</v>
      </c>
      <c r="F404">
        <v>401000</v>
      </c>
      <c r="G404" t="s">
        <v>41</v>
      </c>
      <c r="H404" t="s">
        <v>5075</v>
      </c>
      <c r="I404" t="s">
        <v>5076</v>
      </c>
      <c r="J404" t="s">
        <v>5795</v>
      </c>
      <c r="K404">
        <v>20230302</v>
      </c>
      <c r="L404" t="s">
        <v>5794</v>
      </c>
      <c r="M404">
        <v>139.5</v>
      </c>
      <c r="N404">
        <v>0</v>
      </c>
      <c r="O404" t="s">
        <v>19</v>
      </c>
      <c r="P404" t="s">
        <v>20</v>
      </c>
      <c r="Q404">
        <v>20230302</v>
      </c>
    </row>
    <row r="405" spans="1:17" x14ac:dyDescent="0.25">
      <c r="A405" t="s">
        <v>715</v>
      </c>
      <c r="B405" t="s">
        <v>432</v>
      </c>
      <c r="C405">
        <v>85</v>
      </c>
      <c r="D405">
        <v>20230302</v>
      </c>
      <c r="E405">
        <v>3</v>
      </c>
      <c r="F405">
        <v>512200</v>
      </c>
      <c r="G405" t="s">
        <v>432</v>
      </c>
      <c r="H405" t="s">
        <v>401</v>
      </c>
      <c r="I405" t="s">
        <v>402</v>
      </c>
      <c r="J405" t="s">
        <v>5795</v>
      </c>
      <c r="K405">
        <v>20230302</v>
      </c>
      <c r="L405" t="s">
        <v>5794</v>
      </c>
      <c r="M405">
        <v>0</v>
      </c>
      <c r="N405">
        <v>139.5</v>
      </c>
      <c r="O405" t="s">
        <v>19</v>
      </c>
      <c r="P405" t="s">
        <v>20</v>
      </c>
      <c r="Q405">
        <v>20230302</v>
      </c>
    </row>
    <row r="406" spans="1:17" x14ac:dyDescent="0.25">
      <c r="A406" t="s">
        <v>715</v>
      </c>
      <c r="B406" t="s">
        <v>432</v>
      </c>
      <c r="C406">
        <v>85</v>
      </c>
      <c r="D406">
        <v>20230302</v>
      </c>
      <c r="E406">
        <v>3</v>
      </c>
      <c r="F406">
        <v>401000</v>
      </c>
      <c r="G406" t="s">
        <v>41</v>
      </c>
      <c r="H406" t="s">
        <v>189</v>
      </c>
      <c r="I406" t="s">
        <v>190</v>
      </c>
      <c r="J406" t="s">
        <v>5793</v>
      </c>
      <c r="K406">
        <v>20230302</v>
      </c>
      <c r="L406" t="s">
        <v>191</v>
      </c>
      <c r="M406">
        <v>349</v>
      </c>
      <c r="N406">
        <v>0</v>
      </c>
      <c r="O406" t="s">
        <v>19</v>
      </c>
      <c r="P406" t="s">
        <v>20</v>
      </c>
      <c r="Q406">
        <v>20230302</v>
      </c>
    </row>
    <row r="407" spans="1:17" x14ac:dyDescent="0.25">
      <c r="A407" t="s">
        <v>715</v>
      </c>
      <c r="B407" t="s">
        <v>432</v>
      </c>
      <c r="C407">
        <v>85</v>
      </c>
      <c r="D407">
        <v>20230302</v>
      </c>
      <c r="E407">
        <v>3</v>
      </c>
      <c r="F407">
        <v>512200</v>
      </c>
      <c r="G407" t="s">
        <v>432</v>
      </c>
      <c r="H407" t="s">
        <v>401</v>
      </c>
      <c r="I407" t="s">
        <v>402</v>
      </c>
      <c r="J407" t="s">
        <v>5793</v>
      </c>
      <c r="K407">
        <v>20230302</v>
      </c>
      <c r="L407" t="s">
        <v>191</v>
      </c>
      <c r="M407">
        <v>0</v>
      </c>
      <c r="N407">
        <v>349</v>
      </c>
      <c r="O407" t="s">
        <v>19</v>
      </c>
      <c r="P407" t="s">
        <v>20</v>
      </c>
      <c r="Q407">
        <v>20230302</v>
      </c>
    </row>
    <row r="408" spans="1:17" x14ac:dyDescent="0.25">
      <c r="A408" t="s">
        <v>715</v>
      </c>
      <c r="B408" t="s">
        <v>432</v>
      </c>
      <c r="C408">
        <v>85</v>
      </c>
      <c r="D408">
        <v>20230306</v>
      </c>
      <c r="E408">
        <v>3</v>
      </c>
      <c r="F408">
        <v>401000</v>
      </c>
      <c r="G408" t="s">
        <v>41</v>
      </c>
      <c r="H408" t="s">
        <v>52</v>
      </c>
      <c r="I408" t="s">
        <v>53</v>
      </c>
      <c r="J408" t="s">
        <v>5792</v>
      </c>
      <c r="K408">
        <v>20230306</v>
      </c>
      <c r="L408" t="s">
        <v>5791</v>
      </c>
      <c r="M408">
        <v>68.78</v>
      </c>
      <c r="N408">
        <v>0</v>
      </c>
      <c r="O408" t="s">
        <v>19</v>
      </c>
      <c r="P408" t="s">
        <v>20</v>
      </c>
      <c r="Q408">
        <v>20230306</v>
      </c>
    </row>
    <row r="409" spans="1:17" x14ac:dyDescent="0.25">
      <c r="A409" t="s">
        <v>715</v>
      </c>
      <c r="B409" t="s">
        <v>432</v>
      </c>
      <c r="C409">
        <v>85</v>
      </c>
      <c r="D409">
        <v>20230306</v>
      </c>
      <c r="E409">
        <v>3</v>
      </c>
      <c r="F409">
        <v>512200</v>
      </c>
      <c r="G409" t="s">
        <v>432</v>
      </c>
      <c r="H409" t="s">
        <v>401</v>
      </c>
      <c r="I409" t="s">
        <v>402</v>
      </c>
      <c r="J409" t="s">
        <v>5792</v>
      </c>
      <c r="K409">
        <v>20230306</v>
      </c>
      <c r="L409" t="s">
        <v>5791</v>
      </c>
      <c r="M409">
        <v>0</v>
      </c>
      <c r="N409">
        <v>68.78</v>
      </c>
      <c r="O409" t="s">
        <v>19</v>
      </c>
      <c r="P409" t="s">
        <v>20</v>
      </c>
      <c r="Q409">
        <v>20230306</v>
      </c>
    </row>
    <row r="410" spans="1:17" x14ac:dyDescent="0.25">
      <c r="A410" t="s">
        <v>715</v>
      </c>
      <c r="B410" t="s">
        <v>432</v>
      </c>
      <c r="C410">
        <v>85</v>
      </c>
      <c r="D410">
        <v>20230306</v>
      </c>
      <c r="E410">
        <v>3</v>
      </c>
      <c r="F410">
        <v>401000</v>
      </c>
      <c r="G410" t="s">
        <v>41</v>
      </c>
      <c r="H410" t="s">
        <v>52</v>
      </c>
      <c r="I410" t="s">
        <v>53</v>
      </c>
      <c r="J410" t="s">
        <v>5790</v>
      </c>
      <c r="K410">
        <v>20230306</v>
      </c>
      <c r="L410" t="s">
        <v>5789</v>
      </c>
      <c r="M410">
        <v>919.52</v>
      </c>
      <c r="N410">
        <v>0</v>
      </c>
      <c r="O410" t="s">
        <v>19</v>
      </c>
      <c r="P410" t="s">
        <v>20</v>
      </c>
      <c r="Q410">
        <v>20230306</v>
      </c>
    </row>
    <row r="411" spans="1:17" x14ac:dyDescent="0.25">
      <c r="A411" t="s">
        <v>715</v>
      </c>
      <c r="B411" t="s">
        <v>432</v>
      </c>
      <c r="C411">
        <v>85</v>
      </c>
      <c r="D411">
        <v>20230306</v>
      </c>
      <c r="E411">
        <v>3</v>
      </c>
      <c r="F411">
        <v>512200</v>
      </c>
      <c r="G411" t="s">
        <v>432</v>
      </c>
      <c r="H411" t="s">
        <v>401</v>
      </c>
      <c r="I411" t="s">
        <v>402</v>
      </c>
      <c r="J411" t="s">
        <v>5790</v>
      </c>
      <c r="K411">
        <v>20230306</v>
      </c>
      <c r="L411" t="s">
        <v>5789</v>
      </c>
      <c r="M411">
        <v>0</v>
      </c>
      <c r="N411">
        <v>919.52</v>
      </c>
      <c r="O411" t="s">
        <v>19</v>
      </c>
      <c r="P411" t="s">
        <v>20</v>
      </c>
      <c r="Q411">
        <v>20230306</v>
      </c>
    </row>
    <row r="412" spans="1:17" x14ac:dyDescent="0.25">
      <c r="A412" t="s">
        <v>715</v>
      </c>
      <c r="B412" t="s">
        <v>432</v>
      </c>
      <c r="C412">
        <v>85</v>
      </c>
      <c r="D412">
        <v>20230307</v>
      </c>
      <c r="E412">
        <v>3</v>
      </c>
      <c r="F412">
        <v>401000</v>
      </c>
      <c r="G412" t="s">
        <v>41</v>
      </c>
      <c r="H412" t="s">
        <v>829</v>
      </c>
      <c r="I412" t="s">
        <v>5788</v>
      </c>
      <c r="J412" t="s">
        <v>5787</v>
      </c>
      <c r="K412">
        <v>20230307</v>
      </c>
      <c r="L412" t="s">
        <v>5786</v>
      </c>
      <c r="M412">
        <v>290</v>
      </c>
      <c r="N412">
        <v>0</v>
      </c>
      <c r="O412" t="s">
        <v>23</v>
      </c>
      <c r="P412">
        <v>20230420</v>
      </c>
      <c r="Q412">
        <v>20230307</v>
      </c>
    </row>
    <row r="413" spans="1:17" x14ac:dyDescent="0.25">
      <c r="A413" t="s">
        <v>715</v>
      </c>
      <c r="B413" t="s">
        <v>432</v>
      </c>
      <c r="C413">
        <v>85</v>
      </c>
      <c r="D413">
        <v>20230307</v>
      </c>
      <c r="E413">
        <v>3</v>
      </c>
      <c r="F413">
        <v>512200</v>
      </c>
      <c r="G413" t="s">
        <v>432</v>
      </c>
      <c r="H413" t="s">
        <v>401</v>
      </c>
      <c r="I413" t="s">
        <v>402</v>
      </c>
      <c r="J413" t="s">
        <v>5787</v>
      </c>
      <c r="K413">
        <v>20230307</v>
      </c>
      <c r="L413" t="s">
        <v>5786</v>
      </c>
      <c r="M413">
        <v>0</v>
      </c>
      <c r="N413">
        <v>290</v>
      </c>
      <c r="O413" t="s">
        <v>19</v>
      </c>
      <c r="P413" t="s">
        <v>20</v>
      </c>
      <c r="Q413">
        <v>20230307</v>
      </c>
    </row>
    <row r="414" spans="1:17" x14ac:dyDescent="0.25">
      <c r="A414" t="s">
        <v>715</v>
      </c>
      <c r="B414" t="s">
        <v>432</v>
      </c>
      <c r="C414">
        <v>86</v>
      </c>
      <c r="D414">
        <v>20230308</v>
      </c>
      <c r="E414">
        <v>3</v>
      </c>
      <c r="F414">
        <v>471000</v>
      </c>
      <c r="G414" t="s">
        <v>4801</v>
      </c>
      <c r="H414" t="s">
        <v>401</v>
      </c>
      <c r="I414" t="s">
        <v>402</v>
      </c>
      <c r="J414" t="s">
        <v>5785</v>
      </c>
      <c r="K414">
        <v>20230308</v>
      </c>
      <c r="L414" t="s">
        <v>5784</v>
      </c>
      <c r="M414">
        <v>81.14</v>
      </c>
      <c r="N414">
        <v>0</v>
      </c>
      <c r="O414" t="s">
        <v>19</v>
      </c>
      <c r="P414" t="s">
        <v>20</v>
      </c>
      <c r="Q414">
        <v>20230308</v>
      </c>
    </row>
    <row r="415" spans="1:17" x14ac:dyDescent="0.25">
      <c r="A415" t="s">
        <v>715</v>
      </c>
      <c r="B415" t="s">
        <v>432</v>
      </c>
      <c r="C415">
        <v>86</v>
      </c>
      <c r="D415">
        <v>20230308</v>
      </c>
      <c r="E415">
        <v>3</v>
      </c>
      <c r="F415">
        <v>512200</v>
      </c>
      <c r="G415" t="s">
        <v>432</v>
      </c>
      <c r="H415" t="s">
        <v>401</v>
      </c>
      <c r="I415" t="s">
        <v>402</v>
      </c>
      <c r="J415" t="s">
        <v>5785</v>
      </c>
      <c r="K415">
        <v>20230308</v>
      </c>
      <c r="L415" t="s">
        <v>5784</v>
      </c>
      <c r="M415">
        <v>0</v>
      </c>
      <c r="N415">
        <v>81.14</v>
      </c>
      <c r="O415" t="s">
        <v>19</v>
      </c>
      <c r="P415" t="s">
        <v>20</v>
      </c>
      <c r="Q415">
        <v>20230308</v>
      </c>
    </row>
    <row r="416" spans="1:17" x14ac:dyDescent="0.25">
      <c r="A416" t="s">
        <v>715</v>
      </c>
      <c r="B416" t="s">
        <v>432</v>
      </c>
      <c r="C416">
        <v>86</v>
      </c>
      <c r="D416">
        <v>20230309</v>
      </c>
      <c r="E416">
        <v>3</v>
      </c>
      <c r="F416">
        <v>401000</v>
      </c>
      <c r="G416" t="s">
        <v>41</v>
      </c>
      <c r="H416" t="s">
        <v>52</v>
      </c>
      <c r="I416" t="s">
        <v>53</v>
      </c>
      <c r="J416" t="s">
        <v>5783</v>
      </c>
      <c r="K416">
        <v>20230309</v>
      </c>
      <c r="L416" t="s">
        <v>5782</v>
      </c>
      <c r="M416">
        <v>62.4</v>
      </c>
      <c r="N416">
        <v>0</v>
      </c>
      <c r="O416" t="s">
        <v>19</v>
      </c>
      <c r="P416" t="s">
        <v>20</v>
      </c>
      <c r="Q416">
        <v>20230309</v>
      </c>
    </row>
    <row r="417" spans="1:17" x14ac:dyDescent="0.25">
      <c r="A417" t="s">
        <v>715</v>
      </c>
      <c r="B417" t="s">
        <v>432</v>
      </c>
      <c r="C417">
        <v>86</v>
      </c>
      <c r="D417">
        <v>20230309</v>
      </c>
      <c r="E417">
        <v>3</v>
      </c>
      <c r="F417">
        <v>512200</v>
      </c>
      <c r="G417" t="s">
        <v>432</v>
      </c>
      <c r="H417" t="s">
        <v>401</v>
      </c>
      <c r="I417" t="s">
        <v>402</v>
      </c>
      <c r="J417" t="s">
        <v>5783</v>
      </c>
      <c r="K417">
        <v>20230309</v>
      </c>
      <c r="L417" t="s">
        <v>5782</v>
      </c>
      <c r="M417">
        <v>0</v>
      </c>
      <c r="N417">
        <v>62.4</v>
      </c>
      <c r="O417" t="s">
        <v>19</v>
      </c>
      <c r="P417" t="s">
        <v>20</v>
      </c>
      <c r="Q417">
        <v>20230309</v>
      </c>
    </row>
    <row r="418" spans="1:17" x14ac:dyDescent="0.25">
      <c r="A418" t="s">
        <v>715</v>
      </c>
      <c r="B418" t="s">
        <v>432</v>
      </c>
      <c r="C418">
        <v>86</v>
      </c>
      <c r="D418">
        <v>20230309</v>
      </c>
      <c r="E418">
        <v>3</v>
      </c>
      <c r="F418">
        <v>580000</v>
      </c>
      <c r="G418" t="s">
        <v>532</v>
      </c>
      <c r="H418" t="s">
        <v>401</v>
      </c>
      <c r="I418" t="s">
        <v>402</v>
      </c>
      <c r="J418" t="s">
        <v>5781</v>
      </c>
      <c r="K418">
        <v>20230309</v>
      </c>
      <c r="L418" t="s">
        <v>5780</v>
      </c>
      <c r="M418">
        <v>30000</v>
      </c>
      <c r="N418">
        <v>0</v>
      </c>
      <c r="O418" t="s">
        <v>19</v>
      </c>
      <c r="P418" t="s">
        <v>20</v>
      </c>
      <c r="Q418">
        <v>20230309</v>
      </c>
    </row>
    <row r="419" spans="1:17" x14ac:dyDescent="0.25">
      <c r="A419" t="s">
        <v>715</v>
      </c>
      <c r="B419" t="s">
        <v>432</v>
      </c>
      <c r="C419">
        <v>86</v>
      </c>
      <c r="D419">
        <v>20230309</v>
      </c>
      <c r="E419">
        <v>3</v>
      </c>
      <c r="F419">
        <v>512200</v>
      </c>
      <c r="G419" t="s">
        <v>432</v>
      </c>
      <c r="H419" t="s">
        <v>401</v>
      </c>
      <c r="I419" t="s">
        <v>402</v>
      </c>
      <c r="J419" t="s">
        <v>5781</v>
      </c>
      <c r="K419">
        <v>20230309</v>
      </c>
      <c r="L419" t="s">
        <v>5780</v>
      </c>
      <c r="M419">
        <v>0</v>
      </c>
      <c r="N419">
        <v>30000</v>
      </c>
      <c r="O419" t="s">
        <v>19</v>
      </c>
      <c r="P419" t="s">
        <v>20</v>
      </c>
      <c r="Q419">
        <v>20230309</v>
      </c>
    </row>
    <row r="420" spans="1:17" x14ac:dyDescent="0.25">
      <c r="A420" t="s">
        <v>715</v>
      </c>
      <c r="B420" t="s">
        <v>432</v>
      </c>
      <c r="C420">
        <v>87</v>
      </c>
      <c r="D420">
        <v>20230309</v>
      </c>
      <c r="E420">
        <v>3</v>
      </c>
      <c r="F420">
        <v>401000</v>
      </c>
      <c r="G420" t="s">
        <v>41</v>
      </c>
      <c r="H420" t="s">
        <v>140</v>
      </c>
      <c r="I420" t="s">
        <v>141</v>
      </c>
      <c r="J420" t="s">
        <v>5779</v>
      </c>
      <c r="K420">
        <v>20230309</v>
      </c>
      <c r="L420" t="s">
        <v>5690</v>
      </c>
      <c r="M420">
        <v>68.400000000000006</v>
      </c>
      <c r="N420">
        <v>0</v>
      </c>
      <c r="O420" t="s">
        <v>19</v>
      </c>
      <c r="P420" t="s">
        <v>20</v>
      </c>
      <c r="Q420">
        <v>20230309</v>
      </c>
    </row>
    <row r="421" spans="1:17" x14ac:dyDescent="0.25">
      <c r="A421" t="s">
        <v>715</v>
      </c>
      <c r="B421" t="s">
        <v>432</v>
      </c>
      <c r="C421">
        <v>87</v>
      </c>
      <c r="D421">
        <v>20230309</v>
      </c>
      <c r="E421">
        <v>3</v>
      </c>
      <c r="F421">
        <v>512200</v>
      </c>
      <c r="G421" t="s">
        <v>432</v>
      </c>
      <c r="H421" t="s">
        <v>401</v>
      </c>
      <c r="I421" t="s">
        <v>402</v>
      </c>
      <c r="J421" t="s">
        <v>5779</v>
      </c>
      <c r="K421">
        <v>20230309</v>
      </c>
      <c r="L421" t="s">
        <v>5690</v>
      </c>
      <c r="M421">
        <v>0</v>
      </c>
      <c r="N421">
        <v>68.400000000000006</v>
      </c>
      <c r="O421" t="s">
        <v>19</v>
      </c>
      <c r="P421" t="s">
        <v>20</v>
      </c>
      <c r="Q421">
        <v>20230309</v>
      </c>
    </row>
    <row r="422" spans="1:17" x14ac:dyDescent="0.25">
      <c r="A422" t="s">
        <v>715</v>
      </c>
      <c r="B422" t="s">
        <v>432</v>
      </c>
      <c r="C422">
        <v>87</v>
      </c>
      <c r="D422">
        <v>20230309</v>
      </c>
      <c r="E422">
        <v>3</v>
      </c>
      <c r="F422">
        <v>401000</v>
      </c>
      <c r="G422" t="s">
        <v>41</v>
      </c>
      <c r="H422" t="s">
        <v>140</v>
      </c>
      <c r="I422" t="s">
        <v>141</v>
      </c>
      <c r="J422" t="s">
        <v>5778</v>
      </c>
      <c r="K422">
        <v>20230309</v>
      </c>
      <c r="L422" t="s">
        <v>5777</v>
      </c>
      <c r="M422">
        <v>87.4</v>
      </c>
      <c r="N422">
        <v>0</v>
      </c>
      <c r="O422" t="s">
        <v>19</v>
      </c>
      <c r="P422" t="s">
        <v>20</v>
      </c>
      <c r="Q422">
        <v>20230309</v>
      </c>
    </row>
    <row r="423" spans="1:17" x14ac:dyDescent="0.25">
      <c r="A423" t="s">
        <v>715</v>
      </c>
      <c r="B423" t="s">
        <v>432</v>
      </c>
      <c r="C423">
        <v>87</v>
      </c>
      <c r="D423">
        <v>20230309</v>
      </c>
      <c r="E423">
        <v>3</v>
      </c>
      <c r="F423">
        <v>512200</v>
      </c>
      <c r="G423" t="s">
        <v>432</v>
      </c>
      <c r="H423" t="s">
        <v>401</v>
      </c>
      <c r="I423" t="s">
        <v>402</v>
      </c>
      <c r="J423" t="s">
        <v>5778</v>
      </c>
      <c r="K423">
        <v>20230309</v>
      </c>
      <c r="L423" t="s">
        <v>5777</v>
      </c>
      <c r="M423">
        <v>0</v>
      </c>
      <c r="N423">
        <v>87.4</v>
      </c>
      <c r="O423" t="s">
        <v>19</v>
      </c>
      <c r="P423" t="s">
        <v>20</v>
      </c>
      <c r="Q423">
        <v>20230309</v>
      </c>
    </row>
    <row r="424" spans="1:17" x14ac:dyDescent="0.25">
      <c r="A424" t="s">
        <v>715</v>
      </c>
      <c r="B424" t="s">
        <v>432</v>
      </c>
      <c r="C424">
        <v>87</v>
      </c>
      <c r="D424">
        <v>20230309</v>
      </c>
      <c r="E424">
        <v>3</v>
      </c>
      <c r="F424">
        <v>401000</v>
      </c>
      <c r="G424" t="s">
        <v>41</v>
      </c>
      <c r="H424" t="s">
        <v>140</v>
      </c>
      <c r="I424" t="s">
        <v>141</v>
      </c>
      <c r="J424" t="s">
        <v>5776</v>
      </c>
      <c r="K424">
        <v>20230309</v>
      </c>
      <c r="L424" t="s">
        <v>5775</v>
      </c>
      <c r="M424">
        <v>49.4</v>
      </c>
      <c r="N424">
        <v>0</v>
      </c>
      <c r="O424" t="s">
        <v>19</v>
      </c>
      <c r="P424" t="s">
        <v>20</v>
      </c>
      <c r="Q424">
        <v>20230309</v>
      </c>
    </row>
    <row r="425" spans="1:17" x14ac:dyDescent="0.25">
      <c r="A425" t="s">
        <v>715</v>
      </c>
      <c r="B425" t="s">
        <v>432</v>
      </c>
      <c r="C425">
        <v>87</v>
      </c>
      <c r="D425">
        <v>20230309</v>
      </c>
      <c r="E425">
        <v>3</v>
      </c>
      <c r="F425">
        <v>512200</v>
      </c>
      <c r="G425" t="s">
        <v>432</v>
      </c>
      <c r="H425" t="s">
        <v>401</v>
      </c>
      <c r="I425" t="s">
        <v>402</v>
      </c>
      <c r="J425" t="s">
        <v>5776</v>
      </c>
      <c r="K425">
        <v>20230309</v>
      </c>
      <c r="L425" t="s">
        <v>5775</v>
      </c>
      <c r="M425">
        <v>0</v>
      </c>
      <c r="N425">
        <v>49.4</v>
      </c>
      <c r="O425" t="s">
        <v>19</v>
      </c>
      <c r="P425" t="s">
        <v>20</v>
      </c>
      <c r="Q425">
        <v>20230309</v>
      </c>
    </row>
    <row r="426" spans="1:17" x14ac:dyDescent="0.25">
      <c r="A426" t="s">
        <v>715</v>
      </c>
      <c r="B426" t="s">
        <v>432</v>
      </c>
      <c r="C426">
        <v>87</v>
      </c>
      <c r="D426">
        <v>20230310</v>
      </c>
      <c r="E426">
        <v>3</v>
      </c>
      <c r="F426">
        <v>627000</v>
      </c>
      <c r="G426" t="s">
        <v>480</v>
      </c>
      <c r="H426" t="s">
        <v>401</v>
      </c>
      <c r="I426" t="s">
        <v>402</v>
      </c>
      <c r="J426" t="s">
        <v>5774</v>
      </c>
      <c r="K426">
        <v>20230310</v>
      </c>
      <c r="L426" t="s">
        <v>4488</v>
      </c>
      <c r="M426">
        <v>15.88</v>
      </c>
      <c r="N426">
        <v>0</v>
      </c>
      <c r="O426" t="s">
        <v>19</v>
      </c>
      <c r="P426" t="s">
        <v>20</v>
      </c>
      <c r="Q426">
        <v>20230310</v>
      </c>
    </row>
    <row r="427" spans="1:17" x14ac:dyDescent="0.25">
      <c r="A427" t="s">
        <v>715</v>
      </c>
      <c r="B427" t="s">
        <v>432</v>
      </c>
      <c r="C427">
        <v>87</v>
      </c>
      <c r="D427">
        <v>20230310</v>
      </c>
      <c r="E427">
        <v>3</v>
      </c>
      <c r="F427">
        <v>512200</v>
      </c>
      <c r="G427" t="s">
        <v>432</v>
      </c>
      <c r="H427" t="s">
        <v>401</v>
      </c>
      <c r="I427" t="s">
        <v>402</v>
      </c>
      <c r="J427" t="s">
        <v>5774</v>
      </c>
      <c r="K427">
        <v>20230310</v>
      </c>
      <c r="L427" t="s">
        <v>4488</v>
      </c>
      <c r="M427">
        <v>0</v>
      </c>
      <c r="N427">
        <v>15.88</v>
      </c>
      <c r="O427" t="s">
        <v>19</v>
      </c>
      <c r="P427" t="s">
        <v>20</v>
      </c>
      <c r="Q427">
        <v>20230310</v>
      </c>
    </row>
    <row r="428" spans="1:17" x14ac:dyDescent="0.25">
      <c r="A428" t="s">
        <v>715</v>
      </c>
      <c r="B428" t="s">
        <v>432</v>
      </c>
      <c r="C428">
        <v>88</v>
      </c>
      <c r="D428">
        <v>20230314</v>
      </c>
      <c r="E428">
        <v>3</v>
      </c>
      <c r="F428">
        <v>401000</v>
      </c>
      <c r="G428" t="s">
        <v>41</v>
      </c>
      <c r="H428" t="s">
        <v>5073</v>
      </c>
      <c r="I428" t="s">
        <v>5074</v>
      </c>
      <c r="J428" t="s">
        <v>5773</v>
      </c>
      <c r="K428">
        <v>20230314</v>
      </c>
      <c r="L428" t="s">
        <v>5772</v>
      </c>
      <c r="M428">
        <v>110.2</v>
      </c>
      <c r="N428">
        <v>0</v>
      </c>
      <c r="O428" t="s">
        <v>19</v>
      </c>
      <c r="P428" t="s">
        <v>20</v>
      </c>
      <c r="Q428">
        <v>20230314</v>
      </c>
    </row>
    <row r="429" spans="1:17" x14ac:dyDescent="0.25">
      <c r="A429" t="s">
        <v>715</v>
      </c>
      <c r="B429" t="s">
        <v>432</v>
      </c>
      <c r="C429">
        <v>88</v>
      </c>
      <c r="D429">
        <v>20230314</v>
      </c>
      <c r="E429">
        <v>3</v>
      </c>
      <c r="F429">
        <v>512200</v>
      </c>
      <c r="G429" t="s">
        <v>432</v>
      </c>
      <c r="H429" t="s">
        <v>401</v>
      </c>
      <c r="I429" t="s">
        <v>402</v>
      </c>
      <c r="J429" t="s">
        <v>5773</v>
      </c>
      <c r="K429">
        <v>20230314</v>
      </c>
      <c r="L429" t="s">
        <v>5772</v>
      </c>
      <c r="M429">
        <v>0</v>
      </c>
      <c r="N429">
        <v>110.2</v>
      </c>
      <c r="O429" t="s">
        <v>19</v>
      </c>
      <c r="P429" t="s">
        <v>20</v>
      </c>
      <c r="Q429">
        <v>20230314</v>
      </c>
    </row>
    <row r="430" spans="1:17" x14ac:dyDescent="0.25">
      <c r="A430" t="s">
        <v>715</v>
      </c>
      <c r="B430" t="s">
        <v>432</v>
      </c>
      <c r="C430">
        <v>89</v>
      </c>
      <c r="D430">
        <v>20230315</v>
      </c>
      <c r="E430">
        <v>3</v>
      </c>
      <c r="F430">
        <v>512200</v>
      </c>
      <c r="G430" t="s">
        <v>432</v>
      </c>
      <c r="H430" t="s">
        <v>401</v>
      </c>
      <c r="I430" t="s">
        <v>402</v>
      </c>
      <c r="J430" t="s">
        <v>5630</v>
      </c>
      <c r="K430">
        <v>20230315</v>
      </c>
      <c r="L430" t="s">
        <v>5771</v>
      </c>
      <c r="M430">
        <v>4673.3999999999996</v>
      </c>
      <c r="N430">
        <v>0</v>
      </c>
      <c r="O430" t="s">
        <v>19</v>
      </c>
      <c r="P430" t="s">
        <v>20</v>
      </c>
      <c r="Q430">
        <v>20230315</v>
      </c>
    </row>
    <row r="431" spans="1:17" x14ac:dyDescent="0.25">
      <c r="A431" t="s">
        <v>715</v>
      </c>
      <c r="B431" t="s">
        <v>432</v>
      </c>
      <c r="C431">
        <v>89</v>
      </c>
      <c r="D431">
        <v>20230315</v>
      </c>
      <c r="E431">
        <v>3</v>
      </c>
      <c r="F431">
        <v>511000</v>
      </c>
      <c r="G431" t="s">
        <v>431</v>
      </c>
      <c r="H431" t="s">
        <v>401</v>
      </c>
      <c r="I431" t="s">
        <v>402</v>
      </c>
      <c r="J431" t="s">
        <v>5630</v>
      </c>
      <c r="K431">
        <v>20230315</v>
      </c>
      <c r="L431" t="s">
        <v>5771</v>
      </c>
      <c r="M431">
        <v>0</v>
      </c>
      <c r="N431">
        <v>4673.3999999999996</v>
      </c>
      <c r="O431" t="s">
        <v>19</v>
      </c>
      <c r="P431" t="s">
        <v>20</v>
      </c>
      <c r="Q431">
        <v>20230315</v>
      </c>
    </row>
    <row r="432" spans="1:17" x14ac:dyDescent="0.25">
      <c r="A432" t="s">
        <v>715</v>
      </c>
      <c r="B432" t="s">
        <v>432</v>
      </c>
      <c r="C432">
        <v>90</v>
      </c>
      <c r="D432">
        <v>20230320</v>
      </c>
      <c r="E432">
        <v>3</v>
      </c>
      <c r="F432">
        <v>401000</v>
      </c>
      <c r="G432" t="s">
        <v>41</v>
      </c>
      <c r="H432" t="s">
        <v>52</v>
      </c>
      <c r="I432" t="s">
        <v>53</v>
      </c>
      <c r="J432" t="s">
        <v>5770</v>
      </c>
      <c r="K432">
        <v>20230320</v>
      </c>
      <c r="L432" t="s">
        <v>5769</v>
      </c>
      <c r="M432">
        <v>66</v>
      </c>
      <c r="N432">
        <v>0</v>
      </c>
      <c r="O432" t="s">
        <v>19</v>
      </c>
      <c r="P432" t="s">
        <v>20</v>
      </c>
      <c r="Q432">
        <v>20230320</v>
      </c>
    </row>
    <row r="433" spans="1:17" x14ac:dyDescent="0.25">
      <c r="A433" t="s">
        <v>715</v>
      </c>
      <c r="B433" t="s">
        <v>432</v>
      </c>
      <c r="C433">
        <v>90</v>
      </c>
      <c r="D433">
        <v>20230320</v>
      </c>
      <c r="E433">
        <v>3</v>
      </c>
      <c r="F433">
        <v>512200</v>
      </c>
      <c r="G433" t="s">
        <v>432</v>
      </c>
      <c r="H433" t="s">
        <v>401</v>
      </c>
      <c r="I433" t="s">
        <v>402</v>
      </c>
      <c r="J433" t="s">
        <v>5770</v>
      </c>
      <c r="K433">
        <v>20230320</v>
      </c>
      <c r="L433" t="s">
        <v>5769</v>
      </c>
      <c r="M433">
        <v>0</v>
      </c>
      <c r="N433">
        <v>66</v>
      </c>
      <c r="O433" t="s">
        <v>19</v>
      </c>
      <c r="P433" t="s">
        <v>20</v>
      </c>
      <c r="Q433">
        <v>20230320</v>
      </c>
    </row>
    <row r="434" spans="1:17" x14ac:dyDescent="0.25">
      <c r="A434" t="s">
        <v>715</v>
      </c>
      <c r="B434" t="s">
        <v>432</v>
      </c>
      <c r="C434">
        <v>91</v>
      </c>
      <c r="D434">
        <v>20230327</v>
      </c>
      <c r="E434">
        <v>3</v>
      </c>
      <c r="F434">
        <v>401000</v>
      </c>
      <c r="G434" t="s">
        <v>41</v>
      </c>
      <c r="H434" t="s">
        <v>52</v>
      </c>
      <c r="I434" t="s">
        <v>53</v>
      </c>
      <c r="J434" t="s">
        <v>5768</v>
      </c>
      <c r="K434">
        <v>20230327</v>
      </c>
      <c r="L434" t="s">
        <v>5767</v>
      </c>
      <c r="M434">
        <v>49.32</v>
      </c>
      <c r="N434">
        <v>0</v>
      </c>
      <c r="O434" t="s">
        <v>19</v>
      </c>
      <c r="P434" t="s">
        <v>20</v>
      </c>
      <c r="Q434">
        <v>20230327</v>
      </c>
    </row>
    <row r="435" spans="1:17" x14ac:dyDescent="0.25">
      <c r="A435" t="s">
        <v>715</v>
      </c>
      <c r="B435" t="s">
        <v>432</v>
      </c>
      <c r="C435">
        <v>91</v>
      </c>
      <c r="D435">
        <v>20230327</v>
      </c>
      <c r="E435">
        <v>3</v>
      </c>
      <c r="F435">
        <v>512200</v>
      </c>
      <c r="G435" t="s">
        <v>432</v>
      </c>
      <c r="H435" t="s">
        <v>401</v>
      </c>
      <c r="I435" t="s">
        <v>402</v>
      </c>
      <c r="J435" t="s">
        <v>5768</v>
      </c>
      <c r="K435">
        <v>20230327</v>
      </c>
      <c r="L435" t="s">
        <v>5767</v>
      </c>
      <c r="M435">
        <v>0</v>
      </c>
      <c r="N435">
        <v>49.32</v>
      </c>
      <c r="O435" t="s">
        <v>19</v>
      </c>
      <c r="P435" t="s">
        <v>20</v>
      </c>
      <c r="Q435">
        <v>20230327</v>
      </c>
    </row>
    <row r="436" spans="1:17" x14ac:dyDescent="0.25">
      <c r="A436" t="s">
        <v>715</v>
      </c>
      <c r="B436" t="s">
        <v>432</v>
      </c>
      <c r="C436">
        <v>92</v>
      </c>
      <c r="D436">
        <v>20230327</v>
      </c>
      <c r="E436">
        <v>3</v>
      </c>
      <c r="F436">
        <v>401000</v>
      </c>
      <c r="G436" t="s">
        <v>41</v>
      </c>
      <c r="H436" t="s">
        <v>764</v>
      </c>
      <c r="I436" t="s">
        <v>765</v>
      </c>
      <c r="J436" t="s">
        <v>5766</v>
      </c>
      <c r="K436">
        <v>20230327</v>
      </c>
      <c r="L436" t="s">
        <v>5765</v>
      </c>
      <c r="M436">
        <v>242</v>
      </c>
      <c r="N436">
        <v>0</v>
      </c>
      <c r="O436" t="s">
        <v>19</v>
      </c>
      <c r="P436" t="s">
        <v>20</v>
      </c>
      <c r="Q436">
        <v>20230327</v>
      </c>
    </row>
    <row r="437" spans="1:17" x14ac:dyDescent="0.25">
      <c r="A437" t="s">
        <v>715</v>
      </c>
      <c r="B437" t="s">
        <v>432</v>
      </c>
      <c r="C437">
        <v>92</v>
      </c>
      <c r="D437">
        <v>20230327</v>
      </c>
      <c r="E437">
        <v>3</v>
      </c>
      <c r="F437">
        <v>512200</v>
      </c>
      <c r="G437" t="s">
        <v>432</v>
      </c>
      <c r="H437" t="s">
        <v>401</v>
      </c>
      <c r="I437" t="s">
        <v>402</v>
      </c>
      <c r="J437" t="s">
        <v>5766</v>
      </c>
      <c r="K437">
        <v>20230327</v>
      </c>
      <c r="L437" t="s">
        <v>5765</v>
      </c>
      <c r="M437">
        <v>0</v>
      </c>
      <c r="N437">
        <v>242</v>
      </c>
      <c r="O437" t="s">
        <v>19</v>
      </c>
      <c r="P437" t="s">
        <v>20</v>
      </c>
      <c r="Q437">
        <v>20230327</v>
      </c>
    </row>
    <row r="438" spans="1:17" x14ac:dyDescent="0.25">
      <c r="A438" t="s">
        <v>715</v>
      </c>
      <c r="B438" t="s">
        <v>432</v>
      </c>
      <c r="C438">
        <v>92</v>
      </c>
      <c r="D438">
        <v>20230329</v>
      </c>
      <c r="E438">
        <v>3</v>
      </c>
      <c r="F438">
        <v>401000</v>
      </c>
      <c r="G438" t="s">
        <v>41</v>
      </c>
      <c r="H438" t="s">
        <v>189</v>
      </c>
      <c r="I438" t="s">
        <v>190</v>
      </c>
      <c r="J438" t="s">
        <v>5764</v>
      </c>
      <c r="K438">
        <v>20230329</v>
      </c>
      <c r="L438" t="s">
        <v>191</v>
      </c>
      <c r="M438">
        <v>349</v>
      </c>
      <c r="N438">
        <v>0</v>
      </c>
      <c r="O438" t="s">
        <v>19</v>
      </c>
      <c r="P438" t="s">
        <v>20</v>
      </c>
      <c r="Q438">
        <v>20230329</v>
      </c>
    </row>
    <row r="439" spans="1:17" x14ac:dyDescent="0.25">
      <c r="A439" t="s">
        <v>715</v>
      </c>
      <c r="B439" t="s">
        <v>432</v>
      </c>
      <c r="C439">
        <v>92</v>
      </c>
      <c r="D439">
        <v>20230329</v>
      </c>
      <c r="E439">
        <v>3</v>
      </c>
      <c r="F439">
        <v>512200</v>
      </c>
      <c r="G439" t="s">
        <v>432</v>
      </c>
      <c r="H439" t="s">
        <v>401</v>
      </c>
      <c r="I439" t="s">
        <v>402</v>
      </c>
      <c r="J439" t="s">
        <v>5764</v>
      </c>
      <c r="K439">
        <v>20230329</v>
      </c>
      <c r="L439" t="s">
        <v>191</v>
      </c>
      <c r="M439">
        <v>0</v>
      </c>
      <c r="N439">
        <v>349</v>
      </c>
      <c r="O439" t="s">
        <v>19</v>
      </c>
      <c r="P439" t="s">
        <v>20</v>
      </c>
      <c r="Q439">
        <v>20230329</v>
      </c>
    </row>
    <row r="440" spans="1:17" x14ac:dyDescent="0.25">
      <c r="A440" t="s">
        <v>715</v>
      </c>
      <c r="B440" t="s">
        <v>432</v>
      </c>
      <c r="C440">
        <v>92</v>
      </c>
      <c r="D440">
        <v>20230329</v>
      </c>
      <c r="E440">
        <v>3</v>
      </c>
      <c r="F440">
        <v>401000</v>
      </c>
      <c r="G440" t="s">
        <v>41</v>
      </c>
      <c r="H440" t="s">
        <v>4481</v>
      </c>
      <c r="I440" t="s">
        <v>4482</v>
      </c>
      <c r="J440" t="s">
        <v>5763</v>
      </c>
      <c r="K440">
        <v>20230329</v>
      </c>
      <c r="L440" t="s">
        <v>5762</v>
      </c>
      <c r="M440">
        <v>75</v>
      </c>
      <c r="N440">
        <v>0</v>
      </c>
      <c r="O440" t="s">
        <v>19</v>
      </c>
      <c r="P440" t="s">
        <v>20</v>
      </c>
      <c r="Q440">
        <v>20230329</v>
      </c>
    </row>
    <row r="441" spans="1:17" x14ac:dyDescent="0.25">
      <c r="A441" t="s">
        <v>715</v>
      </c>
      <c r="B441" t="s">
        <v>432</v>
      </c>
      <c r="C441">
        <v>92</v>
      </c>
      <c r="D441">
        <v>20230329</v>
      </c>
      <c r="E441">
        <v>3</v>
      </c>
      <c r="F441">
        <v>512200</v>
      </c>
      <c r="G441" t="s">
        <v>432</v>
      </c>
      <c r="H441" t="s">
        <v>401</v>
      </c>
      <c r="I441" t="s">
        <v>402</v>
      </c>
      <c r="J441" t="s">
        <v>5763</v>
      </c>
      <c r="K441">
        <v>20230329</v>
      </c>
      <c r="L441" t="s">
        <v>5762</v>
      </c>
      <c r="M441">
        <v>0</v>
      </c>
      <c r="N441">
        <v>75</v>
      </c>
      <c r="O441" t="s">
        <v>19</v>
      </c>
      <c r="P441" t="s">
        <v>20</v>
      </c>
      <c r="Q441">
        <v>20230329</v>
      </c>
    </row>
    <row r="442" spans="1:17" x14ac:dyDescent="0.25">
      <c r="A442" t="s">
        <v>715</v>
      </c>
      <c r="B442" t="s">
        <v>432</v>
      </c>
      <c r="C442">
        <v>92</v>
      </c>
      <c r="D442">
        <v>20230330</v>
      </c>
      <c r="E442">
        <v>3</v>
      </c>
      <c r="F442">
        <v>401000</v>
      </c>
      <c r="G442" t="s">
        <v>41</v>
      </c>
      <c r="H442" t="s">
        <v>52</v>
      </c>
      <c r="I442" t="s">
        <v>53</v>
      </c>
      <c r="J442" t="s">
        <v>5761</v>
      </c>
      <c r="K442">
        <v>20230330</v>
      </c>
      <c r="L442" t="s">
        <v>5760</v>
      </c>
      <c r="M442">
        <v>29</v>
      </c>
      <c r="N442">
        <v>0</v>
      </c>
      <c r="O442" t="s">
        <v>19</v>
      </c>
      <c r="P442" t="s">
        <v>20</v>
      </c>
      <c r="Q442">
        <v>20230330</v>
      </c>
    </row>
    <row r="443" spans="1:17" x14ac:dyDescent="0.25">
      <c r="A443" t="s">
        <v>715</v>
      </c>
      <c r="B443" t="s">
        <v>432</v>
      </c>
      <c r="C443">
        <v>92</v>
      </c>
      <c r="D443">
        <v>20230330</v>
      </c>
      <c r="E443">
        <v>3</v>
      </c>
      <c r="F443">
        <v>512200</v>
      </c>
      <c r="G443" t="s">
        <v>432</v>
      </c>
      <c r="H443" t="s">
        <v>401</v>
      </c>
      <c r="I443" t="s">
        <v>402</v>
      </c>
      <c r="J443" t="s">
        <v>5761</v>
      </c>
      <c r="K443">
        <v>20230330</v>
      </c>
      <c r="L443" t="s">
        <v>5760</v>
      </c>
      <c r="M443">
        <v>0</v>
      </c>
      <c r="N443">
        <v>29</v>
      </c>
      <c r="O443" t="s">
        <v>19</v>
      </c>
      <c r="P443" t="s">
        <v>20</v>
      </c>
      <c r="Q443">
        <v>20230330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0"/>
  <sheetViews>
    <sheetView topLeftCell="A271" workbookViewId="0">
      <selection activeCell="F2" sqref="F2:F310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17</v>
      </c>
    </row>
    <row r="2" spans="1:20" x14ac:dyDescent="0.25">
      <c r="A2" t="s">
        <v>476</v>
      </c>
      <c r="B2" t="s">
        <v>477</v>
      </c>
      <c r="C2">
        <v>1</v>
      </c>
      <c r="D2">
        <v>20230401</v>
      </c>
      <c r="E2">
        <v>4</v>
      </c>
      <c r="F2">
        <v>627000</v>
      </c>
      <c r="G2" t="s">
        <v>480</v>
      </c>
      <c r="H2" t="s">
        <v>401</v>
      </c>
      <c r="I2" t="s">
        <v>402</v>
      </c>
      <c r="J2" t="s">
        <v>5875</v>
      </c>
      <c r="K2">
        <v>20230401</v>
      </c>
      <c r="L2" t="s">
        <v>4488</v>
      </c>
      <c r="M2">
        <v>7.5</v>
      </c>
      <c r="N2">
        <v>0</v>
      </c>
      <c r="O2" t="s">
        <v>19</v>
      </c>
      <c r="P2" t="s">
        <v>20</v>
      </c>
      <c r="Q2">
        <v>20230401</v>
      </c>
    </row>
    <row r="3" spans="1:20" x14ac:dyDescent="0.25">
      <c r="A3" t="s">
        <v>476</v>
      </c>
      <c r="B3" t="s">
        <v>477</v>
      </c>
      <c r="C3">
        <v>1</v>
      </c>
      <c r="D3">
        <v>20230401</v>
      </c>
      <c r="E3">
        <v>4</v>
      </c>
      <c r="F3">
        <v>512000</v>
      </c>
      <c r="G3" t="s">
        <v>428</v>
      </c>
      <c r="H3" t="s">
        <v>401</v>
      </c>
      <c r="I3" t="s">
        <v>402</v>
      </c>
      <c r="J3" t="s">
        <v>5875</v>
      </c>
      <c r="K3">
        <v>20230401</v>
      </c>
      <c r="L3" t="s">
        <v>4488</v>
      </c>
      <c r="M3">
        <v>0</v>
      </c>
      <c r="N3">
        <v>7.5</v>
      </c>
      <c r="O3" t="s">
        <v>19</v>
      </c>
      <c r="P3" t="s">
        <v>20</v>
      </c>
      <c r="Q3">
        <v>20230401</v>
      </c>
    </row>
    <row r="4" spans="1:20" x14ac:dyDescent="0.25">
      <c r="A4" t="s">
        <v>476</v>
      </c>
      <c r="B4" t="s">
        <v>477</v>
      </c>
      <c r="C4">
        <v>1</v>
      </c>
      <c r="D4">
        <v>20230403</v>
      </c>
      <c r="E4">
        <v>4</v>
      </c>
      <c r="F4">
        <v>421000</v>
      </c>
      <c r="G4" t="s">
        <v>403</v>
      </c>
      <c r="H4" t="s">
        <v>401</v>
      </c>
      <c r="I4" t="s">
        <v>402</v>
      </c>
      <c r="J4" t="s">
        <v>5876</v>
      </c>
      <c r="K4">
        <v>20230403</v>
      </c>
      <c r="L4" t="s">
        <v>3399</v>
      </c>
      <c r="M4">
        <v>1849.22</v>
      </c>
      <c r="N4">
        <v>0</v>
      </c>
      <c r="O4" t="s">
        <v>19</v>
      </c>
      <c r="P4" t="s">
        <v>20</v>
      </c>
      <c r="Q4">
        <v>20230403</v>
      </c>
    </row>
    <row r="5" spans="1:20" x14ac:dyDescent="0.25">
      <c r="A5" t="s">
        <v>476</v>
      </c>
      <c r="B5" t="s">
        <v>477</v>
      </c>
      <c r="C5">
        <v>1</v>
      </c>
      <c r="D5">
        <v>20230403</v>
      </c>
      <c r="E5">
        <v>4</v>
      </c>
      <c r="F5">
        <v>512000</v>
      </c>
      <c r="G5" t="s">
        <v>428</v>
      </c>
      <c r="H5" t="s">
        <v>401</v>
      </c>
      <c r="I5" t="s">
        <v>402</v>
      </c>
      <c r="J5" t="s">
        <v>5876</v>
      </c>
      <c r="K5">
        <v>20230403</v>
      </c>
      <c r="L5" t="s">
        <v>3399</v>
      </c>
      <c r="M5">
        <v>0</v>
      </c>
      <c r="N5">
        <v>1849.22</v>
      </c>
      <c r="O5" t="s">
        <v>19</v>
      </c>
      <c r="P5" t="s">
        <v>20</v>
      </c>
      <c r="Q5">
        <v>20230403</v>
      </c>
    </row>
    <row r="6" spans="1:20" x14ac:dyDescent="0.25">
      <c r="A6" t="s">
        <v>476</v>
      </c>
      <c r="B6" t="s">
        <v>477</v>
      </c>
      <c r="C6">
        <v>1</v>
      </c>
      <c r="D6">
        <v>20230403</v>
      </c>
      <c r="E6">
        <v>4</v>
      </c>
      <c r="F6">
        <v>401000</v>
      </c>
      <c r="G6" t="s">
        <v>41</v>
      </c>
      <c r="H6" t="s">
        <v>458</v>
      </c>
      <c r="I6" t="s">
        <v>459</v>
      </c>
      <c r="J6" t="s">
        <v>5877</v>
      </c>
      <c r="K6">
        <v>20230403</v>
      </c>
      <c r="L6" t="s">
        <v>5878</v>
      </c>
      <c r="M6">
        <v>708</v>
      </c>
      <c r="N6">
        <v>0</v>
      </c>
      <c r="O6" t="s">
        <v>19</v>
      </c>
      <c r="P6" t="s">
        <v>20</v>
      </c>
      <c r="Q6">
        <v>20230403</v>
      </c>
    </row>
    <row r="7" spans="1:20" x14ac:dyDescent="0.25">
      <c r="A7" t="s">
        <v>476</v>
      </c>
      <c r="B7" t="s">
        <v>477</v>
      </c>
      <c r="C7">
        <v>1</v>
      </c>
      <c r="D7">
        <v>20230403</v>
      </c>
      <c r="E7">
        <v>4</v>
      </c>
      <c r="F7">
        <v>512000</v>
      </c>
      <c r="G7" t="s">
        <v>428</v>
      </c>
      <c r="H7" t="s">
        <v>401</v>
      </c>
      <c r="I7" t="s">
        <v>402</v>
      </c>
      <c r="J7" t="s">
        <v>5877</v>
      </c>
      <c r="K7">
        <v>20230403</v>
      </c>
      <c r="L7" t="s">
        <v>5878</v>
      </c>
      <c r="M7">
        <v>0</v>
      </c>
      <c r="N7">
        <v>708</v>
      </c>
      <c r="O7" t="s">
        <v>19</v>
      </c>
      <c r="P7" t="s">
        <v>20</v>
      </c>
      <c r="Q7">
        <v>20230403</v>
      </c>
    </row>
    <row r="8" spans="1:20" x14ac:dyDescent="0.25">
      <c r="A8" t="s">
        <v>476</v>
      </c>
      <c r="B8" t="s">
        <v>477</v>
      </c>
      <c r="C8">
        <v>1</v>
      </c>
      <c r="D8">
        <v>20230403</v>
      </c>
      <c r="E8">
        <v>4</v>
      </c>
      <c r="F8">
        <v>627000</v>
      </c>
      <c r="G8" t="s">
        <v>480</v>
      </c>
      <c r="H8" t="s">
        <v>401</v>
      </c>
      <c r="I8" t="s">
        <v>402</v>
      </c>
      <c r="J8" t="s">
        <v>5879</v>
      </c>
      <c r="K8">
        <v>20230403</v>
      </c>
      <c r="L8" t="s">
        <v>5880</v>
      </c>
      <c r="M8">
        <v>4.03</v>
      </c>
      <c r="N8">
        <v>0</v>
      </c>
      <c r="O8" t="s">
        <v>19</v>
      </c>
      <c r="P8" t="s">
        <v>20</v>
      </c>
      <c r="Q8">
        <v>20230403</v>
      </c>
    </row>
    <row r="9" spans="1:20" x14ac:dyDescent="0.25">
      <c r="A9" t="s">
        <v>476</v>
      </c>
      <c r="B9" t="s">
        <v>477</v>
      </c>
      <c r="C9">
        <v>1</v>
      </c>
      <c r="D9">
        <v>20230403</v>
      </c>
      <c r="E9">
        <v>4</v>
      </c>
      <c r="F9">
        <v>512000</v>
      </c>
      <c r="G9" t="s">
        <v>428</v>
      </c>
      <c r="H9" t="s">
        <v>401</v>
      </c>
      <c r="I9" t="s">
        <v>402</v>
      </c>
      <c r="J9" t="s">
        <v>5879</v>
      </c>
      <c r="K9">
        <v>20230403</v>
      </c>
      <c r="L9" t="s">
        <v>5880</v>
      </c>
      <c r="M9">
        <v>0</v>
      </c>
      <c r="N9">
        <v>4.03</v>
      </c>
      <c r="O9" t="s">
        <v>19</v>
      </c>
      <c r="P9" t="s">
        <v>20</v>
      </c>
      <c r="Q9">
        <v>20230403</v>
      </c>
    </row>
    <row r="10" spans="1:20" x14ac:dyDescent="0.25">
      <c r="A10" t="s">
        <v>476</v>
      </c>
      <c r="B10" t="s">
        <v>477</v>
      </c>
      <c r="C10">
        <v>1</v>
      </c>
      <c r="D10">
        <v>20230403</v>
      </c>
      <c r="E10">
        <v>4</v>
      </c>
      <c r="F10">
        <v>627000</v>
      </c>
      <c r="G10" t="s">
        <v>480</v>
      </c>
      <c r="H10" t="s">
        <v>401</v>
      </c>
      <c r="I10" t="s">
        <v>402</v>
      </c>
      <c r="J10" t="s">
        <v>5881</v>
      </c>
      <c r="K10">
        <v>20230403</v>
      </c>
      <c r="L10" t="s">
        <v>5882</v>
      </c>
      <c r="M10">
        <v>2.64</v>
      </c>
      <c r="N10">
        <v>0</v>
      </c>
      <c r="O10" t="s">
        <v>19</v>
      </c>
      <c r="P10" t="s">
        <v>20</v>
      </c>
      <c r="Q10">
        <v>20230403</v>
      </c>
    </row>
    <row r="11" spans="1:20" x14ac:dyDescent="0.25">
      <c r="A11" t="s">
        <v>476</v>
      </c>
      <c r="B11" t="s">
        <v>477</v>
      </c>
      <c r="C11">
        <v>1</v>
      </c>
      <c r="D11">
        <v>20230403</v>
      </c>
      <c r="E11">
        <v>4</v>
      </c>
      <c r="F11">
        <v>512000</v>
      </c>
      <c r="G11" t="s">
        <v>428</v>
      </c>
      <c r="H11" t="s">
        <v>401</v>
      </c>
      <c r="I11" t="s">
        <v>402</v>
      </c>
      <c r="J11" t="s">
        <v>5881</v>
      </c>
      <c r="K11">
        <v>20230403</v>
      </c>
      <c r="L11" t="s">
        <v>5882</v>
      </c>
      <c r="M11">
        <v>0</v>
      </c>
      <c r="N11">
        <v>2.64</v>
      </c>
      <c r="O11" t="s">
        <v>19</v>
      </c>
      <c r="P11" t="s">
        <v>20</v>
      </c>
      <c r="Q11">
        <v>20230403</v>
      </c>
    </row>
    <row r="12" spans="1:20" x14ac:dyDescent="0.25">
      <c r="A12" t="s">
        <v>476</v>
      </c>
      <c r="B12" t="s">
        <v>477</v>
      </c>
      <c r="C12">
        <v>1</v>
      </c>
      <c r="D12">
        <v>20230403</v>
      </c>
      <c r="E12">
        <v>4</v>
      </c>
      <c r="F12">
        <v>627000</v>
      </c>
      <c r="G12" t="s">
        <v>480</v>
      </c>
      <c r="H12" t="s">
        <v>401</v>
      </c>
      <c r="I12" t="s">
        <v>402</v>
      </c>
      <c r="J12" t="s">
        <v>5883</v>
      </c>
      <c r="K12">
        <v>20230403</v>
      </c>
      <c r="L12" t="s">
        <v>5884</v>
      </c>
      <c r="M12">
        <v>55.67</v>
      </c>
      <c r="N12">
        <v>0</v>
      </c>
      <c r="O12" t="s">
        <v>19</v>
      </c>
      <c r="P12" t="s">
        <v>20</v>
      </c>
      <c r="Q12">
        <v>20230403</v>
      </c>
    </row>
    <row r="13" spans="1:20" x14ac:dyDescent="0.25">
      <c r="A13" t="s">
        <v>476</v>
      </c>
      <c r="B13" t="s">
        <v>477</v>
      </c>
      <c r="C13">
        <v>1</v>
      </c>
      <c r="D13">
        <v>20230403</v>
      </c>
      <c r="E13">
        <v>4</v>
      </c>
      <c r="F13">
        <v>512000</v>
      </c>
      <c r="G13" t="s">
        <v>428</v>
      </c>
      <c r="H13" t="s">
        <v>401</v>
      </c>
      <c r="I13" t="s">
        <v>402</v>
      </c>
      <c r="J13" t="s">
        <v>5883</v>
      </c>
      <c r="K13">
        <v>20230403</v>
      </c>
      <c r="L13" t="s">
        <v>5884</v>
      </c>
      <c r="M13">
        <v>0</v>
      </c>
      <c r="N13">
        <v>55.67</v>
      </c>
      <c r="O13" t="s">
        <v>19</v>
      </c>
      <c r="P13" t="s">
        <v>20</v>
      </c>
      <c r="Q13">
        <v>20230403</v>
      </c>
    </row>
    <row r="14" spans="1:20" x14ac:dyDescent="0.25">
      <c r="A14" t="s">
        <v>476</v>
      </c>
      <c r="B14" t="s">
        <v>477</v>
      </c>
      <c r="C14">
        <v>1</v>
      </c>
      <c r="D14">
        <v>20230404</v>
      </c>
      <c r="E14">
        <v>4</v>
      </c>
      <c r="F14">
        <v>627000</v>
      </c>
      <c r="G14" t="s">
        <v>480</v>
      </c>
      <c r="H14" t="s">
        <v>401</v>
      </c>
      <c r="I14" t="s">
        <v>402</v>
      </c>
      <c r="J14" t="s">
        <v>5885</v>
      </c>
      <c r="K14">
        <v>20230404</v>
      </c>
      <c r="L14" t="s">
        <v>4488</v>
      </c>
      <c r="M14">
        <v>49</v>
      </c>
      <c r="N14">
        <v>0</v>
      </c>
      <c r="O14" t="s">
        <v>19</v>
      </c>
      <c r="P14" t="s">
        <v>20</v>
      </c>
      <c r="Q14">
        <v>20230404</v>
      </c>
    </row>
    <row r="15" spans="1:20" x14ac:dyDescent="0.25">
      <c r="A15" t="s">
        <v>476</v>
      </c>
      <c r="B15" t="s">
        <v>477</v>
      </c>
      <c r="C15">
        <v>1</v>
      </c>
      <c r="D15">
        <v>20230404</v>
      </c>
      <c r="E15">
        <v>4</v>
      </c>
      <c r="F15">
        <v>512000</v>
      </c>
      <c r="G15" t="s">
        <v>428</v>
      </c>
      <c r="H15" t="s">
        <v>401</v>
      </c>
      <c r="I15" t="s">
        <v>402</v>
      </c>
      <c r="J15" t="s">
        <v>5885</v>
      </c>
      <c r="K15">
        <v>20230404</v>
      </c>
      <c r="L15" t="s">
        <v>4488</v>
      </c>
      <c r="M15">
        <v>0</v>
      </c>
      <c r="N15">
        <v>49</v>
      </c>
      <c r="O15" t="s">
        <v>19</v>
      </c>
      <c r="P15" t="s">
        <v>20</v>
      </c>
      <c r="Q15">
        <v>20230404</v>
      </c>
    </row>
    <row r="16" spans="1:20" x14ac:dyDescent="0.25">
      <c r="A16" t="s">
        <v>476</v>
      </c>
      <c r="B16" t="s">
        <v>477</v>
      </c>
      <c r="C16">
        <v>1</v>
      </c>
      <c r="D16">
        <v>20230404</v>
      </c>
      <c r="E16">
        <v>4</v>
      </c>
      <c r="F16">
        <v>627000</v>
      </c>
      <c r="G16" t="s">
        <v>480</v>
      </c>
      <c r="H16" t="s">
        <v>401</v>
      </c>
      <c r="I16" t="s">
        <v>402</v>
      </c>
      <c r="J16" t="s">
        <v>5886</v>
      </c>
      <c r="K16">
        <v>20230404</v>
      </c>
      <c r="L16" t="s">
        <v>4488</v>
      </c>
      <c r="M16">
        <v>14.69</v>
      </c>
      <c r="N16">
        <v>0</v>
      </c>
      <c r="O16" t="s">
        <v>19</v>
      </c>
      <c r="P16" t="s">
        <v>20</v>
      </c>
      <c r="Q16">
        <v>20230404</v>
      </c>
    </row>
    <row r="17" spans="1:17" x14ac:dyDescent="0.25">
      <c r="A17" t="s">
        <v>476</v>
      </c>
      <c r="B17" t="s">
        <v>477</v>
      </c>
      <c r="C17">
        <v>1</v>
      </c>
      <c r="D17">
        <v>20230404</v>
      </c>
      <c r="E17">
        <v>4</v>
      </c>
      <c r="F17">
        <v>512000</v>
      </c>
      <c r="G17" t="s">
        <v>428</v>
      </c>
      <c r="H17" t="s">
        <v>401</v>
      </c>
      <c r="I17" t="s">
        <v>402</v>
      </c>
      <c r="J17" t="s">
        <v>5886</v>
      </c>
      <c r="K17">
        <v>20230404</v>
      </c>
      <c r="L17" t="s">
        <v>4488</v>
      </c>
      <c r="M17">
        <v>0</v>
      </c>
      <c r="N17">
        <v>14.69</v>
      </c>
      <c r="O17" t="s">
        <v>19</v>
      </c>
      <c r="P17" t="s">
        <v>20</v>
      </c>
      <c r="Q17">
        <v>20230404</v>
      </c>
    </row>
    <row r="18" spans="1:17" x14ac:dyDescent="0.25">
      <c r="A18" t="s">
        <v>476</v>
      </c>
      <c r="B18" t="s">
        <v>477</v>
      </c>
      <c r="C18">
        <v>1</v>
      </c>
      <c r="D18">
        <v>20230404</v>
      </c>
      <c r="E18">
        <v>4</v>
      </c>
      <c r="F18">
        <v>468200</v>
      </c>
      <c r="G18" t="s">
        <v>421</v>
      </c>
      <c r="H18" t="s">
        <v>401</v>
      </c>
      <c r="I18" t="s">
        <v>402</v>
      </c>
      <c r="J18" t="s">
        <v>5887</v>
      </c>
      <c r="K18">
        <v>20230404</v>
      </c>
      <c r="L18" t="s">
        <v>422</v>
      </c>
      <c r="M18">
        <v>0</v>
      </c>
      <c r="N18">
        <v>1213.0999999999999</v>
      </c>
      <c r="O18" t="s">
        <v>19</v>
      </c>
      <c r="P18" t="s">
        <v>20</v>
      </c>
      <c r="Q18">
        <v>20230404</v>
      </c>
    </row>
    <row r="19" spans="1:17" x14ac:dyDescent="0.25">
      <c r="A19" t="s">
        <v>476</v>
      </c>
      <c r="B19" t="s">
        <v>477</v>
      </c>
      <c r="C19">
        <v>1</v>
      </c>
      <c r="D19">
        <v>20230404</v>
      </c>
      <c r="E19">
        <v>4</v>
      </c>
      <c r="F19">
        <v>512000</v>
      </c>
      <c r="G19" t="s">
        <v>428</v>
      </c>
      <c r="H19" t="s">
        <v>401</v>
      </c>
      <c r="I19" t="s">
        <v>402</v>
      </c>
      <c r="J19" t="s">
        <v>5887</v>
      </c>
      <c r="K19">
        <v>20230404</v>
      </c>
      <c r="L19" t="s">
        <v>422</v>
      </c>
      <c r="M19">
        <v>1213.0999999999999</v>
      </c>
      <c r="N19">
        <v>0</v>
      </c>
      <c r="O19" t="s">
        <v>19</v>
      </c>
      <c r="P19" t="s">
        <v>20</v>
      </c>
      <c r="Q19">
        <v>20230404</v>
      </c>
    </row>
    <row r="20" spans="1:17" x14ac:dyDescent="0.25">
      <c r="A20" t="s">
        <v>476</v>
      </c>
      <c r="B20" t="s">
        <v>477</v>
      </c>
      <c r="C20">
        <v>1</v>
      </c>
      <c r="D20">
        <v>20230404</v>
      </c>
      <c r="E20">
        <v>4</v>
      </c>
      <c r="F20">
        <v>401000</v>
      </c>
      <c r="G20" t="s">
        <v>41</v>
      </c>
      <c r="H20" t="s">
        <v>225</v>
      </c>
      <c r="I20" t="s">
        <v>226</v>
      </c>
      <c r="J20" t="s">
        <v>5888</v>
      </c>
      <c r="K20">
        <v>20230404</v>
      </c>
      <c r="L20" t="s">
        <v>488</v>
      </c>
      <c r="M20">
        <v>475.4</v>
      </c>
      <c r="N20">
        <v>0</v>
      </c>
      <c r="O20" t="s">
        <v>19</v>
      </c>
      <c r="P20" t="s">
        <v>20</v>
      </c>
      <c r="Q20">
        <v>20230404</v>
      </c>
    </row>
    <row r="21" spans="1:17" x14ac:dyDescent="0.25">
      <c r="A21" t="s">
        <v>476</v>
      </c>
      <c r="B21" t="s">
        <v>477</v>
      </c>
      <c r="C21">
        <v>1</v>
      </c>
      <c r="D21">
        <v>20230404</v>
      </c>
      <c r="E21">
        <v>4</v>
      </c>
      <c r="F21">
        <v>512000</v>
      </c>
      <c r="G21" t="s">
        <v>428</v>
      </c>
      <c r="H21" t="s">
        <v>401</v>
      </c>
      <c r="I21" t="s">
        <v>402</v>
      </c>
      <c r="J21" t="s">
        <v>5888</v>
      </c>
      <c r="K21">
        <v>20230404</v>
      </c>
      <c r="L21" t="s">
        <v>488</v>
      </c>
      <c r="M21">
        <v>0</v>
      </c>
      <c r="N21">
        <v>475.4</v>
      </c>
      <c r="O21" t="s">
        <v>19</v>
      </c>
      <c r="P21" t="s">
        <v>20</v>
      </c>
      <c r="Q21">
        <v>20230404</v>
      </c>
    </row>
    <row r="22" spans="1:17" x14ac:dyDescent="0.25">
      <c r="A22" t="s">
        <v>476</v>
      </c>
      <c r="B22" t="s">
        <v>477</v>
      </c>
      <c r="C22">
        <v>1</v>
      </c>
      <c r="D22">
        <v>20230406</v>
      </c>
      <c r="E22">
        <v>4</v>
      </c>
      <c r="F22">
        <v>468725</v>
      </c>
      <c r="G22" t="s">
        <v>424</v>
      </c>
      <c r="H22" t="s">
        <v>401</v>
      </c>
      <c r="I22" t="s">
        <v>402</v>
      </c>
      <c r="J22" t="s">
        <v>5889</v>
      </c>
      <c r="K22">
        <v>20230406</v>
      </c>
      <c r="L22" t="s">
        <v>2403</v>
      </c>
      <c r="M22">
        <v>0</v>
      </c>
      <c r="N22">
        <v>2666.64</v>
      </c>
      <c r="O22" t="s">
        <v>19</v>
      </c>
      <c r="P22" t="s">
        <v>20</v>
      </c>
      <c r="Q22">
        <v>20230406</v>
      </c>
    </row>
    <row r="23" spans="1:17" x14ac:dyDescent="0.25">
      <c r="A23" t="s">
        <v>476</v>
      </c>
      <c r="B23" t="s">
        <v>477</v>
      </c>
      <c r="C23">
        <v>1</v>
      </c>
      <c r="D23">
        <v>20230406</v>
      </c>
      <c r="E23">
        <v>4</v>
      </c>
      <c r="F23">
        <v>512000</v>
      </c>
      <c r="G23" t="s">
        <v>428</v>
      </c>
      <c r="H23" t="s">
        <v>401</v>
      </c>
      <c r="I23" t="s">
        <v>402</v>
      </c>
      <c r="J23" t="s">
        <v>5889</v>
      </c>
      <c r="K23">
        <v>20230406</v>
      </c>
      <c r="L23" t="s">
        <v>2403</v>
      </c>
      <c r="M23">
        <v>2666.64</v>
      </c>
      <c r="N23">
        <v>0</v>
      </c>
      <c r="O23" t="s">
        <v>19</v>
      </c>
      <c r="P23" t="s">
        <v>20</v>
      </c>
      <c r="Q23">
        <v>20230406</v>
      </c>
    </row>
    <row r="24" spans="1:17" x14ac:dyDescent="0.25">
      <c r="A24" t="s">
        <v>476</v>
      </c>
      <c r="B24" t="s">
        <v>477</v>
      </c>
      <c r="C24">
        <v>1</v>
      </c>
      <c r="D24">
        <v>20230406</v>
      </c>
      <c r="E24">
        <v>4</v>
      </c>
      <c r="F24">
        <v>468740</v>
      </c>
      <c r="G24" t="s">
        <v>426</v>
      </c>
      <c r="H24" t="s">
        <v>401</v>
      </c>
      <c r="I24" t="s">
        <v>402</v>
      </c>
      <c r="J24" t="s">
        <v>5890</v>
      </c>
      <c r="K24">
        <v>20230406</v>
      </c>
      <c r="L24" t="s">
        <v>5891</v>
      </c>
      <c r="M24">
        <v>0</v>
      </c>
      <c r="N24">
        <v>301</v>
      </c>
      <c r="O24" t="s">
        <v>19</v>
      </c>
      <c r="P24" t="s">
        <v>20</v>
      </c>
      <c r="Q24">
        <v>20230406</v>
      </c>
    </row>
    <row r="25" spans="1:17" x14ac:dyDescent="0.25">
      <c r="A25" t="s">
        <v>476</v>
      </c>
      <c r="B25" t="s">
        <v>477</v>
      </c>
      <c r="C25">
        <v>1</v>
      </c>
      <c r="D25">
        <v>20230406</v>
      </c>
      <c r="E25">
        <v>4</v>
      </c>
      <c r="F25">
        <v>512000</v>
      </c>
      <c r="G25" t="s">
        <v>428</v>
      </c>
      <c r="H25" t="s">
        <v>401</v>
      </c>
      <c r="I25" t="s">
        <v>402</v>
      </c>
      <c r="J25" t="s">
        <v>5890</v>
      </c>
      <c r="K25">
        <v>20230406</v>
      </c>
      <c r="L25" t="s">
        <v>5891</v>
      </c>
      <c r="M25">
        <v>301</v>
      </c>
      <c r="N25">
        <v>0</v>
      </c>
      <c r="O25" t="s">
        <v>19</v>
      </c>
      <c r="P25" t="s">
        <v>20</v>
      </c>
      <c r="Q25">
        <v>20230406</v>
      </c>
    </row>
    <row r="26" spans="1:17" x14ac:dyDescent="0.25">
      <c r="A26" t="s">
        <v>476</v>
      </c>
      <c r="B26" t="s">
        <v>477</v>
      </c>
      <c r="C26">
        <v>1</v>
      </c>
      <c r="D26">
        <v>20230406</v>
      </c>
      <c r="E26">
        <v>4</v>
      </c>
      <c r="F26">
        <v>627000</v>
      </c>
      <c r="G26" t="s">
        <v>480</v>
      </c>
      <c r="H26" t="s">
        <v>401</v>
      </c>
      <c r="I26" t="s">
        <v>402</v>
      </c>
      <c r="J26" t="s">
        <v>5892</v>
      </c>
      <c r="K26">
        <v>20230406</v>
      </c>
      <c r="L26" t="s">
        <v>482</v>
      </c>
      <c r="M26">
        <v>9.9</v>
      </c>
      <c r="N26">
        <v>0</v>
      </c>
      <c r="O26" t="s">
        <v>19</v>
      </c>
      <c r="P26" t="s">
        <v>20</v>
      </c>
      <c r="Q26">
        <v>20230406</v>
      </c>
    </row>
    <row r="27" spans="1:17" x14ac:dyDescent="0.25">
      <c r="A27" t="s">
        <v>476</v>
      </c>
      <c r="B27" t="s">
        <v>477</v>
      </c>
      <c r="C27">
        <v>1</v>
      </c>
      <c r="D27">
        <v>20230406</v>
      </c>
      <c r="E27">
        <v>4</v>
      </c>
      <c r="F27">
        <v>512000</v>
      </c>
      <c r="G27" t="s">
        <v>428</v>
      </c>
      <c r="H27" t="s">
        <v>401</v>
      </c>
      <c r="I27" t="s">
        <v>402</v>
      </c>
      <c r="J27" t="s">
        <v>5892</v>
      </c>
      <c r="K27">
        <v>20230406</v>
      </c>
      <c r="L27" t="s">
        <v>482</v>
      </c>
      <c r="M27">
        <v>0</v>
      </c>
      <c r="N27">
        <v>9.9</v>
      </c>
      <c r="O27" t="s">
        <v>19</v>
      </c>
      <c r="P27" t="s">
        <v>20</v>
      </c>
      <c r="Q27">
        <v>20230406</v>
      </c>
    </row>
    <row r="28" spans="1:17" x14ac:dyDescent="0.25">
      <c r="A28" t="s">
        <v>476</v>
      </c>
      <c r="B28" t="s">
        <v>477</v>
      </c>
      <c r="C28">
        <v>1</v>
      </c>
      <c r="D28">
        <v>20230406</v>
      </c>
      <c r="E28">
        <v>4</v>
      </c>
      <c r="F28">
        <v>627000</v>
      </c>
      <c r="G28" t="s">
        <v>480</v>
      </c>
      <c r="H28" t="s">
        <v>401</v>
      </c>
      <c r="I28" t="s">
        <v>402</v>
      </c>
      <c r="J28" t="s">
        <v>5893</v>
      </c>
      <c r="K28">
        <v>20230406</v>
      </c>
      <c r="L28" t="s">
        <v>482</v>
      </c>
      <c r="M28">
        <v>9.9</v>
      </c>
      <c r="N28">
        <v>0</v>
      </c>
      <c r="O28" t="s">
        <v>19</v>
      </c>
      <c r="P28" t="s">
        <v>20</v>
      </c>
      <c r="Q28">
        <v>20230406</v>
      </c>
    </row>
    <row r="29" spans="1:17" x14ac:dyDescent="0.25">
      <c r="A29" t="s">
        <v>476</v>
      </c>
      <c r="B29" t="s">
        <v>477</v>
      </c>
      <c r="C29">
        <v>1</v>
      </c>
      <c r="D29">
        <v>20230406</v>
      </c>
      <c r="E29">
        <v>4</v>
      </c>
      <c r="F29">
        <v>512000</v>
      </c>
      <c r="G29" t="s">
        <v>428</v>
      </c>
      <c r="H29" t="s">
        <v>401</v>
      </c>
      <c r="I29" t="s">
        <v>402</v>
      </c>
      <c r="J29" t="s">
        <v>5893</v>
      </c>
      <c r="K29">
        <v>20230406</v>
      </c>
      <c r="L29" t="s">
        <v>482</v>
      </c>
      <c r="M29">
        <v>0</v>
      </c>
      <c r="N29">
        <v>9.9</v>
      </c>
      <c r="O29" t="s">
        <v>19</v>
      </c>
      <c r="P29" t="s">
        <v>20</v>
      </c>
      <c r="Q29">
        <v>20230406</v>
      </c>
    </row>
    <row r="30" spans="1:17" x14ac:dyDescent="0.25">
      <c r="A30" t="s">
        <v>476</v>
      </c>
      <c r="B30" t="s">
        <v>477</v>
      </c>
      <c r="C30">
        <v>1</v>
      </c>
      <c r="D30">
        <v>20230406</v>
      </c>
      <c r="E30">
        <v>4</v>
      </c>
      <c r="F30">
        <v>468200</v>
      </c>
      <c r="G30" t="s">
        <v>421</v>
      </c>
      <c r="H30" t="s">
        <v>401</v>
      </c>
      <c r="I30" t="s">
        <v>402</v>
      </c>
      <c r="J30" t="s">
        <v>5894</v>
      </c>
      <c r="K30">
        <v>20230406</v>
      </c>
      <c r="L30" t="s">
        <v>422</v>
      </c>
      <c r="M30">
        <v>0</v>
      </c>
      <c r="N30">
        <v>476.74</v>
      </c>
      <c r="O30" t="s">
        <v>19</v>
      </c>
      <c r="P30" t="s">
        <v>20</v>
      </c>
      <c r="Q30">
        <v>20230406</v>
      </c>
    </row>
    <row r="31" spans="1:17" x14ac:dyDescent="0.25">
      <c r="A31" t="s">
        <v>476</v>
      </c>
      <c r="B31" t="s">
        <v>477</v>
      </c>
      <c r="C31">
        <v>1</v>
      </c>
      <c r="D31">
        <v>20230406</v>
      </c>
      <c r="E31">
        <v>4</v>
      </c>
      <c r="F31">
        <v>512000</v>
      </c>
      <c r="G31" t="s">
        <v>428</v>
      </c>
      <c r="H31" t="s">
        <v>401</v>
      </c>
      <c r="I31" t="s">
        <v>402</v>
      </c>
      <c r="J31" t="s">
        <v>5894</v>
      </c>
      <c r="K31">
        <v>20230406</v>
      </c>
      <c r="L31" t="s">
        <v>422</v>
      </c>
      <c r="M31">
        <v>476.74</v>
      </c>
      <c r="N31">
        <v>0</v>
      </c>
      <c r="O31" t="s">
        <v>19</v>
      </c>
      <c r="P31" t="s">
        <v>20</v>
      </c>
      <c r="Q31">
        <v>20230406</v>
      </c>
    </row>
    <row r="32" spans="1:17" x14ac:dyDescent="0.25">
      <c r="A32" t="s">
        <v>476</v>
      </c>
      <c r="B32" t="s">
        <v>477</v>
      </c>
      <c r="C32">
        <v>1</v>
      </c>
      <c r="D32">
        <v>20230411</v>
      </c>
      <c r="E32">
        <v>4</v>
      </c>
      <c r="F32">
        <v>445035</v>
      </c>
      <c r="G32" t="s">
        <v>4750</v>
      </c>
      <c r="H32" t="s">
        <v>401</v>
      </c>
      <c r="I32" t="s">
        <v>402</v>
      </c>
      <c r="J32" t="s">
        <v>5895</v>
      </c>
      <c r="K32">
        <v>20230411</v>
      </c>
      <c r="L32" t="s">
        <v>5896</v>
      </c>
      <c r="M32">
        <v>0</v>
      </c>
      <c r="N32">
        <v>121.93</v>
      </c>
      <c r="O32" t="s">
        <v>19</v>
      </c>
      <c r="P32" t="s">
        <v>20</v>
      </c>
      <c r="Q32">
        <v>20230411</v>
      </c>
    </row>
    <row r="33" spans="1:17" x14ac:dyDescent="0.25">
      <c r="A33" t="s">
        <v>476</v>
      </c>
      <c r="B33" t="s">
        <v>477</v>
      </c>
      <c r="C33">
        <v>1</v>
      </c>
      <c r="D33">
        <v>20230411</v>
      </c>
      <c r="E33">
        <v>4</v>
      </c>
      <c r="F33">
        <v>512000</v>
      </c>
      <c r="G33" t="s">
        <v>428</v>
      </c>
      <c r="H33" t="s">
        <v>401</v>
      </c>
      <c r="I33" t="s">
        <v>402</v>
      </c>
      <c r="J33" t="s">
        <v>5895</v>
      </c>
      <c r="K33">
        <v>20230411</v>
      </c>
      <c r="L33" t="s">
        <v>5896</v>
      </c>
      <c r="M33">
        <v>121.93</v>
      </c>
      <c r="N33">
        <v>0</v>
      </c>
      <c r="O33" t="s">
        <v>19</v>
      </c>
      <c r="P33" t="s">
        <v>20</v>
      </c>
      <c r="Q33">
        <v>20230411</v>
      </c>
    </row>
    <row r="34" spans="1:17" x14ac:dyDescent="0.25">
      <c r="A34" t="s">
        <v>476</v>
      </c>
      <c r="B34" t="s">
        <v>477</v>
      </c>
      <c r="C34">
        <v>1</v>
      </c>
      <c r="D34">
        <v>20230412</v>
      </c>
      <c r="E34">
        <v>4</v>
      </c>
      <c r="F34">
        <v>437000</v>
      </c>
      <c r="G34" t="s">
        <v>430</v>
      </c>
      <c r="H34" t="s">
        <v>401</v>
      </c>
      <c r="I34" t="s">
        <v>402</v>
      </c>
      <c r="J34" t="s">
        <v>5897</v>
      </c>
      <c r="K34">
        <v>20230412</v>
      </c>
      <c r="L34" t="s">
        <v>497</v>
      </c>
      <c r="M34">
        <v>1989.24</v>
      </c>
      <c r="N34">
        <v>0</v>
      </c>
      <c r="O34" t="s">
        <v>19</v>
      </c>
      <c r="P34" t="s">
        <v>20</v>
      </c>
      <c r="Q34">
        <v>20230412</v>
      </c>
    </row>
    <row r="35" spans="1:17" x14ac:dyDescent="0.25">
      <c r="A35" t="s">
        <v>476</v>
      </c>
      <c r="B35" t="s">
        <v>477</v>
      </c>
      <c r="C35">
        <v>1</v>
      </c>
      <c r="D35">
        <v>20230412</v>
      </c>
      <c r="E35">
        <v>4</v>
      </c>
      <c r="F35">
        <v>512000</v>
      </c>
      <c r="G35" t="s">
        <v>428</v>
      </c>
      <c r="H35" t="s">
        <v>401</v>
      </c>
      <c r="I35" t="s">
        <v>402</v>
      </c>
      <c r="J35" t="s">
        <v>5897</v>
      </c>
      <c r="K35">
        <v>20230412</v>
      </c>
      <c r="L35" t="s">
        <v>497</v>
      </c>
      <c r="M35">
        <v>0</v>
      </c>
      <c r="N35">
        <v>1989.24</v>
      </c>
      <c r="O35" t="s">
        <v>19</v>
      </c>
      <c r="P35" t="s">
        <v>20</v>
      </c>
      <c r="Q35">
        <v>20230412</v>
      </c>
    </row>
    <row r="36" spans="1:17" x14ac:dyDescent="0.25">
      <c r="A36" t="s">
        <v>476</v>
      </c>
      <c r="B36" t="s">
        <v>477</v>
      </c>
      <c r="C36">
        <v>1</v>
      </c>
      <c r="D36">
        <v>20230418</v>
      </c>
      <c r="E36">
        <v>4</v>
      </c>
      <c r="F36">
        <v>431000</v>
      </c>
      <c r="G36" t="s">
        <v>408</v>
      </c>
      <c r="H36" t="s">
        <v>401</v>
      </c>
      <c r="I36" t="s">
        <v>402</v>
      </c>
      <c r="J36" t="s">
        <v>5898</v>
      </c>
      <c r="K36">
        <v>20230418</v>
      </c>
      <c r="L36" t="s">
        <v>409</v>
      </c>
      <c r="M36">
        <v>28363</v>
      </c>
      <c r="N36">
        <v>0</v>
      </c>
      <c r="O36" t="s">
        <v>19</v>
      </c>
      <c r="P36" t="s">
        <v>20</v>
      </c>
      <c r="Q36">
        <v>20230418</v>
      </c>
    </row>
    <row r="37" spans="1:17" x14ac:dyDescent="0.25">
      <c r="A37" t="s">
        <v>476</v>
      </c>
      <c r="B37" t="s">
        <v>477</v>
      </c>
      <c r="C37">
        <v>1</v>
      </c>
      <c r="D37">
        <v>20230418</v>
      </c>
      <c r="E37">
        <v>4</v>
      </c>
      <c r="F37">
        <v>512000</v>
      </c>
      <c r="G37" t="s">
        <v>428</v>
      </c>
      <c r="H37" t="s">
        <v>401</v>
      </c>
      <c r="I37" t="s">
        <v>402</v>
      </c>
      <c r="J37" t="s">
        <v>5898</v>
      </c>
      <c r="K37">
        <v>20230418</v>
      </c>
      <c r="L37" t="s">
        <v>409</v>
      </c>
      <c r="M37">
        <v>0</v>
      </c>
      <c r="N37">
        <v>28363</v>
      </c>
      <c r="O37" t="s">
        <v>19</v>
      </c>
      <c r="P37" t="s">
        <v>20</v>
      </c>
      <c r="Q37">
        <v>20230418</v>
      </c>
    </row>
    <row r="38" spans="1:17" x14ac:dyDescent="0.25">
      <c r="A38" t="s">
        <v>476</v>
      </c>
      <c r="B38" t="s">
        <v>477</v>
      </c>
      <c r="C38">
        <v>1</v>
      </c>
      <c r="D38">
        <v>20230418</v>
      </c>
      <c r="E38">
        <v>4</v>
      </c>
      <c r="F38">
        <v>468200</v>
      </c>
      <c r="G38" t="s">
        <v>421</v>
      </c>
      <c r="H38" t="s">
        <v>401</v>
      </c>
      <c r="I38" t="s">
        <v>402</v>
      </c>
      <c r="J38" t="s">
        <v>5899</v>
      </c>
      <c r="K38">
        <v>20230418</v>
      </c>
      <c r="L38" t="s">
        <v>422</v>
      </c>
      <c r="M38">
        <v>0</v>
      </c>
      <c r="N38">
        <v>23.09</v>
      </c>
      <c r="O38" t="s">
        <v>19</v>
      </c>
      <c r="P38" t="s">
        <v>20</v>
      </c>
      <c r="Q38">
        <v>20230418</v>
      </c>
    </row>
    <row r="39" spans="1:17" x14ac:dyDescent="0.25">
      <c r="A39" t="s">
        <v>476</v>
      </c>
      <c r="B39" t="s">
        <v>477</v>
      </c>
      <c r="C39">
        <v>1</v>
      </c>
      <c r="D39">
        <v>20230418</v>
      </c>
      <c r="E39">
        <v>4</v>
      </c>
      <c r="F39">
        <v>512000</v>
      </c>
      <c r="G39" t="s">
        <v>428</v>
      </c>
      <c r="H39" t="s">
        <v>401</v>
      </c>
      <c r="I39" t="s">
        <v>402</v>
      </c>
      <c r="J39" t="s">
        <v>5899</v>
      </c>
      <c r="K39">
        <v>20230418</v>
      </c>
      <c r="L39" t="s">
        <v>422</v>
      </c>
      <c r="M39">
        <v>23.09</v>
      </c>
      <c r="N39">
        <v>0</v>
      </c>
      <c r="O39" t="s">
        <v>19</v>
      </c>
      <c r="P39" t="s">
        <v>20</v>
      </c>
      <c r="Q39">
        <v>20230418</v>
      </c>
    </row>
    <row r="40" spans="1:17" x14ac:dyDescent="0.25">
      <c r="A40" t="s">
        <v>476</v>
      </c>
      <c r="B40" t="s">
        <v>477</v>
      </c>
      <c r="C40">
        <v>1</v>
      </c>
      <c r="D40">
        <v>20230420</v>
      </c>
      <c r="E40">
        <v>4</v>
      </c>
      <c r="F40">
        <v>468200</v>
      </c>
      <c r="G40" t="s">
        <v>421</v>
      </c>
      <c r="H40" t="s">
        <v>401</v>
      </c>
      <c r="I40" t="s">
        <v>402</v>
      </c>
      <c r="J40" t="s">
        <v>5900</v>
      </c>
      <c r="K40">
        <v>20230420</v>
      </c>
      <c r="L40" t="s">
        <v>422</v>
      </c>
      <c r="M40">
        <v>0</v>
      </c>
      <c r="N40">
        <v>606.76</v>
      </c>
      <c r="O40" t="s">
        <v>19</v>
      </c>
      <c r="P40" t="s">
        <v>20</v>
      </c>
      <c r="Q40">
        <v>20230420</v>
      </c>
    </row>
    <row r="41" spans="1:17" x14ac:dyDescent="0.25">
      <c r="A41" t="s">
        <v>476</v>
      </c>
      <c r="B41" t="s">
        <v>477</v>
      </c>
      <c r="C41">
        <v>1</v>
      </c>
      <c r="D41">
        <v>20230420</v>
      </c>
      <c r="E41">
        <v>4</v>
      </c>
      <c r="F41">
        <v>512000</v>
      </c>
      <c r="G41" t="s">
        <v>428</v>
      </c>
      <c r="H41" t="s">
        <v>401</v>
      </c>
      <c r="I41" t="s">
        <v>402</v>
      </c>
      <c r="J41" t="s">
        <v>5900</v>
      </c>
      <c r="K41">
        <v>20230420</v>
      </c>
      <c r="L41" t="s">
        <v>422</v>
      </c>
      <c r="M41">
        <v>606.76</v>
      </c>
      <c r="N41">
        <v>0</v>
      </c>
      <c r="O41" t="s">
        <v>19</v>
      </c>
      <c r="P41" t="s">
        <v>20</v>
      </c>
      <c r="Q41">
        <v>20230420</v>
      </c>
    </row>
    <row r="42" spans="1:17" x14ac:dyDescent="0.25">
      <c r="A42" t="s">
        <v>476</v>
      </c>
      <c r="B42" t="s">
        <v>477</v>
      </c>
      <c r="C42">
        <v>1</v>
      </c>
      <c r="D42">
        <v>20230421</v>
      </c>
      <c r="E42">
        <v>4</v>
      </c>
      <c r="F42">
        <v>468200</v>
      </c>
      <c r="G42" t="s">
        <v>421</v>
      </c>
      <c r="H42" t="s">
        <v>401</v>
      </c>
      <c r="I42" t="s">
        <v>402</v>
      </c>
      <c r="J42" t="s">
        <v>5901</v>
      </c>
      <c r="K42">
        <v>20230421</v>
      </c>
      <c r="L42" t="s">
        <v>422</v>
      </c>
      <c r="M42">
        <v>0</v>
      </c>
      <c r="N42">
        <v>94.36</v>
      </c>
      <c r="O42" t="s">
        <v>19</v>
      </c>
      <c r="P42" t="s">
        <v>20</v>
      </c>
      <c r="Q42">
        <v>20230421</v>
      </c>
    </row>
    <row r="43" spans="1:17" x14ac:dyDescent="0.25">
      <c r="A43" t="s">
        <v>476</v>
      </c>
      <c r="B43" t="s">
        <v>477</v>
      </c>
      <c r="C43">
        <v>1</v>
      </c>
      <c r="D43">
        <v>20230421</v>
      </c>
      <c r="E43">
        <v>4</v>
      </c>
      <c r="F43">
        <v>512000</v>
      </c>
      <c r="G43" t="s">
        <v>428</v>
      </c>
      <c r="H43" t="s">
        <v>401</v>
      </c>
      <c r="I43" t="s">
        <v>402</v>
      </c>
      <c r="J43" t="s">
        <v>5901</v>
      </c>
      <c r="K43">
        <v>20230421</v>
      </c>
      <c r="L43" t="s">
        <v>422</v>
      </c>
      <c r="M43">
        <v>94.36</v>
      </c>
      <c r="N43">
        <v>0</v>
      </c>
      <c r="O43" t="s">
        <v>19</v>
      </c>
      <c r="P43" t="s">
        <v>20</v>
      </c>
      <c r="Q43">
        <v>20230421</v>
      </c>
    </row>
    <row r="44" spans="1:17" x14ac:dyDescent="0.25">
      <c r="A44" t="s">
        <v>476</v>
      </c>
      <c r="B44" t="s">
        <v>477</v>
      </c>
      <c r="C44">
        <v>1</v>
      </c>
      <c r="D44">
        <v>20230425</v>
      </c>
      <c r="E44">
        <v>4</v>
      </c>
      <c r="F44">
        <v>433000</v>
      </c>
      <c r="G44" t="s">
        <v>410</v>
      </c>
      <c r="H44" t="s">
        <v>401</v>
      </c>
      <c r="I44" t="s">
        <v>402</v>
      </c>
      <c r="J44" t="s">
        <v>5902</v>
      </c>
      <c r="K44">
        <v>20230425</v>
      </c>
      <c r="L44" t="s">
        <v>1722</v>
      </c>
      <c r="M44">
        <v>5785.63</v>
      </c>
      <c r="N44">
        <v>0</v>
      </c>
      <c r="O44" t="s">
        <v>19</v>
      </c>
      <c r="P44" t="s">
        <v>20</v>
      </c>
      <c r="Q44">
        <v>20230425</v>
      </c>
    </row>
    <row r="45" spans="1:17" x14ac:dyDescent="0.25">
      <c r="A45" t="s">
        <v>476</v>
      </c>
      <c r="B45" t="s">
        <v>477</v>
      </c>
      <c r="C45">
        <v>1</v>
      </c>
      <c r="D45">
        <v>20230425</v>
      </c>
      <c r="E45">
        <v>4</v>
      </c>
      <c r="F45">
        <v>512000</v>
      </c>
      <c r="G45" t="s">
        <v>428</v>
      </c>
      <c r="H45" t="s">
        <v>401</v>
      </c>
      <c r="I45" t="s">
        <v>402</v>
      </c>
      <c r="J45" t="s">
        <v>5902</v>
      </c>
      <c r="K45">
        <v>20230425</v>
      </c>
      <c r="L45" t="s">
        <v>1722</v>
      </c>
      <c r="M45">
        <v>0</v>
      </c>
      <c r="N45">
        <v>5785.63</v>
      </c>
      <c r="O45" t="s">
        <v>19</v>
      </c>
      <c r="P45" t="s">
        <v>20</v>
      </c>
      <c r="Q45">
        <v>20230425</v>
      </c>
    </row>
    <row r="46" spans="1:17" x14ac:dyDescent="0.25">
      <c r="A46" t="s">
        <v>476</v>
      </c>
      <c r="B46" t="s">
        <v>477</v>
      </c>
      <c r="C46">
        <v>1</v>
      </c>
      <c r="D46">
        <v>20230425</v>
      </c>
      <c r="E46">
        <v>4</v>
      </c>
      <c r="F46">
        <v>442100</v>
      </c>
      <c r="G46" t="s">
        <v>435</v>
      </c>
      <c r="H46" t="s">
        <v>401</v>
      </c>
      <c r="I46" t="s">
        <v>402</v>
      </c>
      <c r="J46" t="s">
        <v>5903</v>
      </c>
      <c r="K46">
        <v>20230425</v>
      </c>
      <c r="L46" t="s">
        <v>528</v>
      </c>
      <c r="M46">
        <v>718</v>
      </c>
      <c r="N46">
        <v>0</v>
      </c>
      <c r="O46" t="s">
        <v>19</v>
      </c>
      <c r="P46" t="s">
        <v>20</v>
      </c>
      <c r="Q46">
        <v>20230425</v>
      </c>
    </row>
    <row r="47" spans="1:17" x14ac:dyDescent="0.25">
      <c r="A47" t="s">
        <v>476</v>
      </c>
      <c r="B47" t="s">
        <v>477</v>
      </c>
      <c r="C47">
        <v>1</v>
      </c>
      <c r="D47">
        <v>20230425</v>
      </c>
      <c r="E47">
        <v>4</v>
      </c>
      <c r="F47">
        <v>512000</v>
      </c>
      <c r="G47" t="s">
        <v>428</v>
      </c>
      <c r="H47" t="s">
        <v>401</v>
      </c>
      <c r="I47" t="s">
        <v>402</v>
      </c>
      <c r="J47" t="s">
        <v>5903</v>
      </c>
      <c r="K47">
        <v>20230425</v>
      </c>
      <c r="L47" t="s">
        <v>528</v>
      </c>
      <c r="M47">
        <v>0</v>
      </c>
      <c r="N47">
        <v>718</v>
      </c>
      <c r="O47" t="s">
        <v>19</v>
      </c>
      <c r="P47" t="s">
        <v>20</v>
      </c>
      <c r="Q47">
        <v>20230425</v>
      </c>
    </row>
    <row r="48" spans="1:17" x14ac:dyDescent="0.25">
      <c r="A48" t="s">
        <v>476</v>
      </c>
      <c r="B48" t="s">
        <v>477</v>
      </c>
      <c r="C48">
        <v>1</v>
      </c>
      <c r="D48">
        <v>20230426</v>
      </c>
      <c r="E48">
        <v>4</v>
      </c>
      <c r="F48">
        <v>468740</v>
      </c>
      <c r="G48" t="s">
        <v>426</v>
      </c>
      <c r="H48" t="s">
        <v>401</v>
      </c>
      <c r="I48" t="s">
        <v>402</v>
      </c>
      <c r="J48" t="s">
        <v>5904</v>
      </c>
      <c r="K48">
        <v>20230426</v>
      </c>
      <c r="L48" t="s">
        <v>5905</v>
      </c>
      <c r="M48">
        <v>0</v>
      </c>
      <c r="N48">
        <v>47197</v>
      </c>
      <c r="O48" t="s">
        <v>19</v>
      </c>
      <c r="P48" t="s">
        <v>20</v>
      </c>
      <c r="Q48">
        <v>20230426</v>
      </c>
    </row>
    <row r="49" spans="1:17" x14ac:dyDescent="0.25">
      <c r="A49" t="s">
        <v>476</v>
      </c>
      <c r="B49" t="s">
        <v>477</v>
      </c>
      <c r="C49">
        <v>1</v>
      </c>
      <c r="D49">
        <v>20230426</v>
      </c>
      <c r="E49">
        <v>4</v>
      </c>
      <c r="F49">
        <v>512000</v>
      </c>
      <c r="G49" t="s">
        <v>428</v>
      </c>
      <c r="H49" t="s">
        <v>401</v>
      </c>
      <c r="I49" t="s">
        <v>402</v>
      </c>
      <c r="J49" t="s">
        <v>5904</v>
      </c>
      <c r="K49">
        <v>20230426</v>
      </c>
      <c r="L49" t="s">
        <v>5905</v>
      </c>
      <c r="M49">
        <v>47197</v>
      </c>
      <c r="N49">
        <v>0</v>
      </c>
      <c r="O49" t="s">
        <v>19</v>
      </c>
      <c r="P49" t="s">
        <v>20</v>
      </c>
      <c r="Q49">
        <v>20230426</v>
      </c>
    </row>
    <row r="50" spans="1:17" x14ac:dyDescent="0.25">
      <c r="A50" t="s">
        <v>476</v>
      </c>
      <c r="B50" t="s">
        <v>477</v>
      </c>
      <c r="C50">
        <v>1</v>
      </c>
      <c r="D50">
        <v>20230426</v>
      </c>
      <c r="E50">
        <v>4</v>
      </c>
      <c r="F50">
        <v>468740</v>
      </c>
      <c r="G50" t="s">
        <v>426</v>
      </c>
      <c r="H50" t="s">
        <v>401</v>
      </c>
      <c r="I50" t="s">
        <v>402</v>
      </c>
      <c r="J50" t="s">
        <v>5906</v>
      </c>
      <c r="K50">
        <v>20230426</v>
      </c>
      <c r="L50" t="s">
        <v>5907</v>
      </c>
      <c r="M50">
        <v>0</v>
      </c>
      <c r="N50">
        <v>40949.5</v>
      </c>
      <c r="O50" t="s">
        <v>19</v>
      </c>
      <c r="P50" t="s">
        <v>20</v>
      </c>
      <c r="Q50">
        <v>20230426</v>
      </c>
    </row>
    <row r="51" spans="1:17" x14ac:dyDescent="0.25">
      <c r="A51" t="s">
        <v>476</v>
      </c>
      <c r="B51" t="s">
        <v>477</v>
      </c>
      <c r="C51">
        <v>1</v>
      </c>
      <c r="D51">
        <v>20230426</v>
      </c>
      <c r="E51">
        <v>4</v>
      </c>
      <c r="F51">
        <v>512000</v>
      </c>
      <c r="G51" t="s">
        <v>428</v>
      </c>
      <c r="H51" t="s">
        <v>401</v>
      </c>
      <c r="I51" t="s">
        <v>402</v>
      </c>
      <c r="J51" t="s">
        <v>5906</v>
      </c>
      <c r="K51">
        <v>20230426</v>
      </c>
      <c r="L51" t="s">
        <v>5907</v>
      </c>
      <c r="M51">
        <v>40949.5</v>
      </c>
      <c r="N51">
        <v>0</v>
      </c>
      <c r="O51" t="s">
        <v>19</v>
      </c>
      <c r="P51" t="s">
        <v>20</v>
      </c>
      <c r="Q51">
        <v>20230426</v>
      </c>
    </row>
    <row r="52" spans="1:17" x14ac:dyDescent="0.25">
      <c r="A52" t="s">
        <v>476</v>
      </c>
      <c r="B52" t="s">
        <v>477</v>
      </c>
      <c r="C52">
        <v>1</v>
      </c>
      <c r="D52">
        <v>20230427</v>
      </c>
      <c r="E52">
        <v>4</v>
      </c>
      <c r="F52">
        <v>433100</v>
      </c>
      <c r="G52" t="s">
        <v>411</v>
      </c>
      <c r="H52" t="s">
        <v>401</v>
      </c>
      <c r="I52" t="s">
        <v>402</v>
      </c>
      <c r="J52" t="s">
        <v>5908</v>
      </c>
      <c r="K52">
        <v>20230427</v>
      </c>
      <c r="L52" t="s">
        <v>534</v>
      </c>
      <c r="M52">
        <v>1264.4100000000001</v>
      </c>
      <c r="N52">
        <v>0</v>
      </c>
      <c r="O52" t="s">
        <v>19</v>
      </c>
      <c r="P52" t="s">
        <v>20</v>
      </c>
      <c r="Q52">
        <v>20230427</v>
      </c>
    </row>
    <row r="53" spans="1:17" x14ac:dyDescent="0.25">
      <c r="A53" t="s">
        <v>476</v>
      </c>
      <c r="B53" t="s">
        <v>477</v>
      </c>
      <c r="C53">
        <v>1</v>
      </c>
      <c r="D53">
        <v>20230427</v>
      </c>
      <c r="E53">
        <v>4</v>
      </c>
      <c r="F53">
        <v>512000</v>
      </c>
      <c r="G53" t="s">
        <v>428</v>
      </c>
      <c r="H53" t="s">
        <v>401</v>
      </c>
      <c r="I53" t="s">
        <v>402</v>
      </c>
      <c r="J53" t="s">
        <v>5908</v>
      </c>
      <c r="K53">
        <v>20230427</v>
      </c>
      <c r="L53" t="s">
        <v>534</v>
      </c>
      <c r="M53">
        <v>0</v>
      </c>
      <c r="N53">
        <v>1264.4100000000001</v>
      </c>
      <c r="O53" t="s">
        <v>19</v>
      </c>
      <c r="P53" t="s">
        <v>20</v>
      </c>
      <c r="Q53">
        <v>20230427</v>
      </c>
    </row>
    <row r="54" spans="1:17" x14ac:dyDescent="0.25">
      <c r="A54" t="s">
        <v>476</v>
      </c>
      <c r="B54" t="s">
        <v>477</v>
      </c>
      <c r="C54">
        <v>1</v>
      </c>
      <c r="D54">
        <v>20230427</v>
      </c>
      <c r="E54">
        <v>4</v>
      </c>
      <c r="F54">
        <v>445050</v>
      </c>
      <c r="G54" t="s">
        <v>416</v>
      </c>
      <c r="H54" t="s">
        <v>401</v>
      </c>
      <c r="I54" t="s">
        <v>402</v>
      </c>
      <c r="J54" t="s">
        <v>5909</v>
      </c>
      <c r="K54">
        <v>20230427</v>
      </c>
      <c r="L54" t="s">
        <v>5910</v>
      </c>
      <c r="M54">
        <v>0</v>
      </c>
      <c r="N54">
        <v>15926.63</v>
      </c>
      <c r="O54" t="s">
        <v>19</v>
      </c>
      <c r="P54" t="s">
        <v>20</v>
      </c>
      <c r="Q54">
        <v>20230427</v>
      </c>
    </row>
    <row r="55" spans="1:17" x14ac:dyDescent="0.25">
      <c r="A55" t="s">
        <v>476</v>
      </c>
      <c r="B55" t="s">
        <v>477</v>
      </c>
      <c r="C55">
        <v>1</v>
      </c>
      <c r="D55">
        <v>20230427</v>
      </c>
      <c r="E55">
        <v>4</v>
      </c>
      <c r="F55">
        <v>512000</v>
      </c>
      <c r="G55" t="s">
        <v>428</v>
      </c>
      <c r="H55" t="s">
        <v>401</v>
      </c>
      <c r="I55" t="s">
        <v>402</v>
      </c>
      <c r="J55" t="s">
        <v>5909</v>
      </c>
      <c r="K55">
        <v>20230427</v>
      </c>
      <c r="L55" t="s">
        <v>5910</v>
      </c>
      <c r="M55">
        <v>15926.63</v>
      </c>
      <c r="N55">
        <v>0</v>
      </c>
      <c r="O55" t="s">
        <v>19</v>
      </c>
      <c r="P55" t="s">
        <v>20</v>
      </c>
      <c r="Q55">
        <v>20230427</v>
      </c>
    </row>
    <row r="56" spans="1:17" x14ac:dyDescent="0.25">
      <c r="A56" t="s">
        <v>476</v>
      </c>
      <c r="B56" t="s">
        <v>477</v>
      </c>
      <c r="C56">
        <v>1</v>
      </c>
      <c r="D56">
        <v>20230427</v>
      </c>
      <c r="E56">
        <v>4</v>
      </c>
      <c r="F56">
        <v>445050</v>
      </c>
      <c r="G56" t="s">
        <v>416</v>
      </c>
      <c r="H56" t="s">
        <v>401</v>
      </c>
      <c r="I56" t="s">
        <v>402</v>
      </c>
      <c r="J56" t="s">
        <v>5911</v>
      </c>
      <c r="K56">
        <v>20230427</v>
      </c>
      <c r="L56" t="s">
        <v>5912</v>
      </c>
      <c r="M56">
        <v>0</v>
      </c>
      <c r="N56">
        <v>15926.63</v>
      </c>
      <c r="O56" t="s">
        <v>19</v>
      </c>
      <c r="P56" t="s">
        <v>20</v>
      </c>
      <c r="Q56">
        <v>20230427</v>
      </c>
    </row>
    <row r="57" spans="1:17" x14ac:dyDescent="0.25">
      <c r="A57" t="s">
        <v>476</v>
      </c>
      <c r="B57" t="s">
        <v>477</v>
      </c>
      <c r="C57">
        <v>1</v>
      </c>
      <c r="D57">
        <v>20230427</v>
      </c>
      <c r="E57">
        <v>4</v>
      </c>
      <c r="F57">
        <v>512000</v>
      </c>
      <c r="G57" t="s">
        <v>428</v>
      </c>
      <c r="H57" t="s">
        <v>401</v>
      </c>
      <c r="I57" t="s">
        <v>402</v>
      </c>
      <c r="J57" t="s">
        <v>5911</v>
      </c>
      <c r="K57">
        <v>20230427</v>
      </c>
      <c r="L57" t="s">
        <v>5912</v>
      </c>
      <c r="M57">
        <v>15926.63</v>
      </c>
      <c r="N57">
        <v>0</v>
      </c>
      <c r="O57" t="s">
        <v>19</v>
      </c>
      <c r="P57" t="s">
        <v>20</v>
      </c>
      <c r="Q57">
        <v>20230427</v>
      </c>
    </row>
    <row r="58" spans="1:17" x14ac:dyDescent="0.25">
      <c r="A58" t="s">
        <v>476</v>
      </c>
      <c r="B58" t="s">
        <v>477</v>
      </c>
      <c r="C58">
        <v>1</v>
      </c>
      <c r="D58">
        <v>20230427</v>
      </c>
      <c r="E58">
        <v>4</v>
      </c>
      <c r="F58">
        <v>421000</v>
      </c>
      <c r="G58" t="s">
        <v>403</v>
      </c>
      <c r="H58" t="s">
        <v>401</v>
      </c>
      <c r="I58" t="s">
        <v>402</v>
      </c>
      <c r="J58" t="s">
        <v>5913</v>
      </c>
      <c r="K58">
        <v>20230427</v>
      </c>
      <c r="L58" t="s">
        <v>922</v>
      </c>
      <c r="M58">
        <v>63149.82</v>
      </c>
      <c r="N58">
        <v>0</v>
      </c>
      <c r="O58" t="s">
        <v>19</v>
      </c>
      <c r="P58" t="s">
        <v>20</v>
      </c>
      <c r="Q58">
        <v>20230427</v>
      </c>
    </row>
    <row r="59" spans="1:17" x14ac:dyDescent="0.25">
      <c r="A59" t="s">
        <v>476</v>
      </c>
      <c r="B59" t="s">
        <v>477</v>
      </c>
      <c r="C59">
        <v>1</v>
      </c>
      <c r="D59">
        <v>20230427</v>
      </c>
      <c r="E59">
        <v>4</v>
      </c>
      <c r="F59">
        <v>512000</v>
      </c>
      <c r="G59" t="s">
        <v>428</v>
      </c>
      <c r="H59" t="s">
        <v>401</v>
      </c>
      <c r="I59" t="s">
        <v>402</v>
      </c>
      <c r="J59" t="s">
        <v>5913</v>
      </c>
      <c r="K59">
        <v>20230427</v>
      </c>
      <c r="L59" t="s">
        <v>922</v>
      </c>
      <c r="M59">
        <v>0</v>
      </c>
      <c r="N59">
        <v>63149.82</v>
      </c>
      <c r="O59" t="s">
        <v>19</v>
      </c>
      <c r="P59" t="s">
        <v>20</v>
      </c>
      <c r="Q59">
        <v>20230427</v>
      </c>
    </row>
    <row r="60" spans="1:17" x14ac:dyDescent="0.25">
      <c r="A60" t="s">
        <v>476</v>
      </c>
      <c r="B60" t="s">
        <v>477</v>
      </c>
      <c r="C60">
        <v>1</v>
      </c>
      <c r="D60">
        <v>20230404</v>
      </c>
      <c r="E60">
        <v>4</v>
      </c>
      <c r="F60">
        <v>401000</v>
      </c>
      <c r="G60" t="s">
        <v>41</v>
      </c>
      <c r="H60" t="s">
        <v>42</v>
      </c>
      <c r="I60" t="s">
        <v>43</v>
      </c>
      <c r="J60" t="s">
        <v>5644</v>
      </c>
      <c r="K60">
        <v>20230404</v>
      </c>
      <c r="L60" t="s">
        <v>5758</v>
      </c>
      <c r="M60">
        <v>437.52</v>
      </c>
      <c r="N60">
        <v>0</v>
      </c>
      <c r="O60" t="s">
        <v>22</v>
      </c>
      <c r="P60">
        <v>20230404</v>
      </c>
      <c r="Q60">
        <v>20230404</v>
      </c>
    </row>
    <row r="61" spans="1:17" x14ac:dyDescent="0.25">
      <c r="A61" t="s">
        <v>476</v>
      </c>
      <c r="B61" t="s">
        <v>477</v>
      </c>
      <c r="C61">
        <v>1</v>
      </c>
      <c r="D61">
        <v>20230404</v>
      </c>
      <c r="E61">
        <v>4</v>
      </c>
      <c r="F61">
        <v>401000</v>
      </c>
      <c r="G61" t="s">
        <v>41</v>
      </c>
      <c r="H61" t="s">
        <v>97</v>
      </c>
      <c r="I61" t="s">
        <v>98</v>
      </c>
      <c r="J61" t="s">
        <v>5644</v>
      </c>
      <c r="K61">
        <v>20230404</v>
      </c>
      <c r="L61" t="s">
        <v>5758</v>
      </c>
      <c r="M61">
        <v>431.83</v>
      </c>
      <c r="N61">
        <v>0</v>
      </c>
      <c r="O61" t="s">
        <v>22</v>
      </c>
      <c r="P61">
        <v>20230404</v>
      </c>
      <c r="Q61">
        <v>20230404</v>
      </c>
    </row>
    <row r="62" spans="1:17" x14ac:dyDescent="0.25">
      <c r="A62" t="s">
        <v>476</v>
      </c>
      <c r="B62" t="s">
        <v>477</v>
      </c>
      <c r="C62">
        <v>1</v>
      </c>
      <c r="D62">
        <v>20230404</v>
      </c>
      <c r="E62">
        <v>4</v>
      </c>
      <c r="F62">
        <v>401000</v>
      </c>
      <c r="G62" t="s">
        <v>41</v>
      </c>
      <c r="H62" t="s">
        <v>830</v>
      </c>
      <c r="I62" t="s">
        <v>831</v>
      </c>
      <c r="J62" t="s">
        <v>5644</v>
      </c>
      <c r="K62">
        <v>20230404</v>
      </c>
      <c r="L62" t="s">
        <v>5758</v>
      </c>
      <c r="M62">
        <v>300</v>
      </c>
      <c r="N62">
        <v>0</v>
      </c>
      <c r="O62" t="s">
        <v>22</v>
      </c>
      <c r="P62">
        <v>20230404</v>
      </c>
      <c r="Q62">
        <v>20230404</v>
      </c>
    </row>
    <row r="63" spans="1:17" x14ac:dyDescent="0.25">
      <c r="A63" t="s">
        <v>476</v>
      </c>
      <c r="B63" t="s">
        <v>477</v>
      </c>
      <c r="C63">
        <v>1</v>
      </c>
      <c r="D63">
        <v>20230404</v>
      </c>
      <c r="E63">
        <v>4</v>
      </c>
      <c r="F63">
        <v>401000</v>
      </c>
      <c r="G63" t="s">
        <v>41</v>
      </c>
      <c r="H63" t="s">
        <v>1659</v>
      </c>
      <c r="I63" t="s">
        <v>1660</v>
      </c>
      <c r="J63" t="s">
        <v>5644</v>
      </c>
      <c r="K63">
        <v>20230404</v>
      </c>
      <c r="L63" t="s">
        <v>5758</v>
      </c>
      <c r="M63">
        <v>250</v>
      </c>
      <c r="N63">
        <v>0</v>
      </c>
      <c r="O63" t="s">
        <v>22</v>
      </c>
      <c r="P63">
        <v>20230404</v>
      </c>
      <c r="Q63">
        <v>20230404</v>
      </c>
    </row>
    <row r="64" spans="1:17" x14ac:dyDescent="0.25">
      <c r="A64" t="s">
        <v>476</v>
      </c>
      <c r="B64" t="s">
        <v>477</v>
      </c>
      <c r="C64">
        <v>1</v>
      </c>
      <c r="D64">
        <v>20230404</v>
      </c>
      <c r="E64">
        <v>4</v>
      </c>
      <c r="F64">
        <v>512000</v>
      </c>
      <c r="G64" t="s">
        <v>428</v>
      </c>
      <c r="H64" t="s">
        <v>401</v>
      </c>
      <c r="I64" t="s">
        <v>402</v>
      </c>
      <c r="J64" t="s">
        <v>5644</v>
      </c>
      <c r="K64">
        <v>20230404</v>
      </c>
      <c r="L64" t="s">
        <v>5758</v>
      </c>
      <c r="M64">
        <v>0</v>
      </c>
      <c r="N64">
        <v>1419.35</v>
      </c>
      <c r="O64" t="s">
        <v>19</v>
      </c>
      <c r="P64" t="s">
        <v>20</v>
      </c>
      <c r="Q64">
        <v>20230404</v>
      </c>
    </row>
    <row r="65" spans="1:17" x14ac:dyDescent="0.25">
      <c r="A65" t="s">
        <v>476</v>
      </c>
      <c r="B65" t="s">
        <v>477</v>
      </c>
      <c r="C65">
        <v>1</v>
      </c>
      <c r="D65">
        <v>20230404</v>
      </c>
      <c r="E65">
        <v>4</v>
      </c>
      <c r="F65">
        <v>401000</v>
      </c>
      <c r="G65" t="s">
        <v>41</v>
      </c>
      <c r="H65" t="s">
        <v>2439</v>
      </c>
      <c r="I65" t="s">
        <v>2440</v>
      </c>
      <c r="J65" t="s">
        <v>5645</v>
      </c>
      <c r="K65">
        <v>20230404</v>
      </c>
      <c r="L65" t="s">
        <v>5757</v>
      </c>
      <c r="M65">
        <v>162</v>
      </c>
      <c r="N65">
        <v>0</v>
      </c>
      <c r="O65" t="s">
        <v>19</v>
      </c>
      <c r="P65" t="s">
        <v>20</v>
      </c>
      <c r="Q65">
        <v>20230404</v>
      </c>
    </row>
    <row r="66" spans="1:17" x14ac:dyDescent="0.25">
      <c r="A66" t="s">
        <v>476</v>
      </c>
      <c r="B66" t="s">
        <v>477</v>
      </c>
      <c r="C66">
        <v>1</v>
      </c>
      <c r="D66">
        <v>20230404</v>
      </c>
      <c r="E66">
        <v>4</v>
      </c>
      <c r="F66">
        <v>512000</v>
      </c>
      <c r="G66" t="s">
        <v>428</v>
      </c>
      <c r="H66" t="s">
        <v>401</v>
      </c>
      <c r="I66" t="s">
        <v>402</v>
      </c>
      <c r="J66" t="s">
        <v>5645</v>
      </c>
      <c r="K66">
        <v>20230404</v>
      </c>
      <c r="L66" t="s">
        <v>5757</v>
      </c>
      <c r="M66">
        <v>0</v>
      </c>
      <c r="N66">
        <v>162</v>
      </c>
      <c r="O66" t="s">
        <v>19</v>
      </c>
      <c r="P66" t="s">
        <v>20</v>
      </c>
      <c r="Q66">
        <v>20230404</v>
      </c>
    </row>
    <row r="67" spans="1:17" x14ac:dyDescent="0.25">
      <c r="A67" t="s">
        <v>476</v>
      </c>
      <c r="B67" t="s">
        <v>477</v>
      </c>
      <c r="C67">
        <v>1</v>
      </c>
      <c r="D67">
        <v>20230407</v>
      </c>
      <c r="E67">
        <v>4</v>
      </c>
      <c r="F67">
        <v>467100</v>
      </c>
      <c r="G67" t="s">
        <v>160</v>
      </c>
      <c r="H67" t="s">
        <v>185</v>
      </c>
      <c r="I67" t="s">
        <v>186</v>
      </c>
      <c r="J67" t="s">
        <v>5646</v>
      </c>
      <c r="K67">
        <v>20230407</v>
      </c>
      <c r="L67" t="s">
        <v>5757</v>
      </c>
      <c r="M67">
        <v>800</v>
      </c>
      <c r="N67">
        <v>0</v>
      </c>
      <c r="O67" t="s">
        <v>23</v>
      </c>
      <c r="P67">
        <v>20230421</v>
      </c>
      <c r="Q67">
        <v>20230407</v>
      </c>
    </row>
    <row r="68" spans="1:17" x14ac:dyDescent="0.25">
      <c r="A68" t="s">
        <v>476</v>
      </c>
      <c r="B68" t="s">
        <v>477</v>
      </c>
      <c r="C68">
        <v>1</v>
      </c>
      <c r="D68">
        <v>20230407</v>
      </c>
      <c r="E68">
        <v>4</v>
      </c>
      <c r="F68">
        <v>512000</v>
      </c>
      <c r="G68" t="s">
        <v>428</v>
      </c>
      <c r="H68" t="s">
        <v>401</v>
      </c>
      <c r="I68" t="s">
        <v>402</v>
      </c>
      <c r="J68" t="s">
        <v>5646</v>
      </c>
      <c r="K68">
        <v>20230407</v>
      </c>
      <c r="L68" t="s">
        <v>5757</v>
      </c>
      <c r="M68">
        <v>0</v>
      </c>
      <c r="N68">
        <v>800</v>
      </c>
      <c r="O68" t="s">
        <v>19</v>
      </c>
      <c r="P68" t="s">
        <v>20</v>
      </c>
      <c r="Q68">
        <v>20230407</v>
      </c>
    </row>
    <row r="69" spans="1:17" x14ac:dyDescent="0.25">
      <c r="A69" t="s">
        <v>476</v>
      </c>
      <c r="B69" t="s">
        <v>477</v>
      </c>
      <c r="C69">
        <v>1</v>
      </c>
      <c r="D69">
        <v>20230417</v>
      </c>
      <c r="E69">
        <v>4</v>
      </c>
      <c r="F69">
        <v>467100</v>
      </c>
      <c r="G69" t="s">
        <v>160</v>
      </c>
      <c r="H69" t="s">
        <v>1726</v>
      </c>
      <c r="I69" t="s">
        <v>1727</v>
      </c>
      <c r="J69" t="s">
        <v>5647</v>
      </c>
      <c r="K69">
        <v>20230417</v>
      </c>
      <c r="L69" t="s">
        <v>5757</v>
      </c>
      <c r="M69">
        <v>200</v>
      </c>
      <c r="N69">
        <v>0</v>
      </c>
      <c r="O69" t="s">
        <v>23</v>
      </c>
      <c r="P69">
        <v>20230421</v>
      </c>
      <c r="Q69">
        <v>20230417</v>
      </c>
    </row>
    <row r="70" spans="1:17" x14ac:dyDescent="0.25">
      <c r="A70" t="s">
        <v>476</v>
      </c>
      <c r="B70" t="s">
        <v>477</v>
      </c>
      <c r="C70">
        <v>1</v>
      </c>
      <c r="D70">
        <v>20230417</v>
      </c>
      <c r="E70">
        <v>4</v>
      </c>
      <c r="F70">
        <v>467100</v>
      </c>
      <c r="G70" t="s">
        <v>160</v>
      </c>
      <c r="H70" t="s">
        <v>316</v>
      </c>
      <c r="I70" t="s">
        <v>317</v>
      </c>
      <c r="J70" t="s">
        <v>5647</v>
      </c>
      <c r="K70">
        <v>20230417</v>
      </c>
      <c r="L70" t="s">
        <v>5757</v>
      </c>
      <c r="M70">
        <v>400</v>
      </c>
      <c r="N70">
        <v>0</v>
      </c>
      <c r="O70" t="s">
        <v>23</v>
      </c>
      <c r="P70">
        <v>20230421</v>
      </c>
      <c r="Q70">
        <v>20230417</v>
      </c>
    </row>
    <row r="71" spans="1:17" x14ac:dyDescent="0.25">
      <c r="A71" t="s">
        <v>476</v>
      </c>
      <c r="B71" t="s">
        <v>477</v>
      </c>
      <c r="C71">
        <v>1</v>
      </c>
      <c r="D71">
        <v>20230417</v>
      </c>
      <c r="E71">
        <v>4</v>
      </c>
      <c r="F71">
        <v>512000</v>
      </c>
      <c r="G71" t="s">
        <v>428</v>
      </c>
      <c r="H71" t="s">
        <v>401</v>
      </c>
      <c r="I71" t="s">
        <v>402</v>
      </c>
      <c r="J71" t="s">
        <v>5647</v>
      </c>
      <c r="K71">
        <v>20230417</v>
      </c>
      <c r="L71" t="s">
        <v>5757</v>
      </c>
      <c r="M71">
        <v>0</v>
      </c>
      <c r="N71">
        <v>600</v>
      </c>
      <c r="O71" t="s">
        <v>19</v>
      </c>
      <c r="P71" t="s">
        <v>20</v>
      </c>
      <c r="Q71">
        <v>20230417</v>
      </c>
    </row>
    <row r="72" spans="1:17" x14ac:dyDescent="0.25">
      <c r="A72" t="s">
        <v>476</v>
      </c>
      <c r="B72" t="s">
        <v>477</v>
      </c>
      <c r="C72">
        <v>1</v>
      </c>
      <c r="D72">
        <v>20230418</v>
      </c>
      <c r="E72">
        <v>4</v>
      </c>
      <c r="F72">
        <v>437100</v>
      </c>
      <c r="G72" t="s">
        <v>436</v>
      </c>
      <c r="H72" t="s">
        <v>401</v>
      </c>
      <c r="I72" t="s">
        <v>402</v>
      </c>
      <c r="J72" t="s">
        <v>5914</v>
      </c>
      <c r="K72">
        <v>20230418</v>
      </c>
      <c r="L72" t="s">
        <v>5757</v>
      </c>
      <c r="M72">
        <v>691.24</v>
      </c>
      <c r="N72">
        <v>0</v>
      </c>
      <c r="O72" t="s">
        <v>19</v>
      </c>
      <c r="P72" t="s">
        <v>20</v>
      </c>
      <c r="Q72">
        <v>20230418</v>
      </c>
    </row>
    <row r="73" spans="1:17" x14ac:dyDescent="0.25">
      <c r="A73" t="s">
        <v>476</v>
      </c>
      <c r="B73" t="s">
        <v>477</v>
      </c>
      <c r="C73">
        <v>1</v>
      </c>
      <c r="D73">
        <v>20230418</v>
      </c>
      <c r="E73">
        <v>4</v>
      </c>
      <c r="F73">
        <v>437100</v>
      </c>
      <c r="G73" t="s">
        <v>436</v>
      </c>
      <c r="H73" t="s">
        <v>401</v>
      </c>
      <c r="I73" t="s">
        <v>402</v>
      </c>
      <c r="J73" t="s">
        <v>5914</v>
      </c>
      <c r="K73">
        <v>20230418</v>
      </c>
      <c r="L73" t="s">
        <v>5757</v>
      </c>
      <c r="M73">
        <v>691.24</v>
      </c>
      <c r="N73">
        <v>0</v>
      </c>
      <c r="O73" t="s">
        <v>19</v>
      </c>
      <c r="P73" t="s">
        <v>20</v>
      </c>
      <c r="Q73">
        <v>20230418</v>
      </c>
    </row>
    <row r="74" spans="1:17" x14ac:dyDescent="0.25">
      <c r="A74" t="s">
        <v>476</v>
      </c>
      <c r="B74" t="s">
        <v>477</v>
      </c>
      <c r="C74">
        <v>1</v>
      </c>
      <c r="D74">
        <v>20230418</v>
      </c>
      <c r="E74">
        <v>4</v>
      </c>
      <c r="F74">
        <v>467100</v>
      </c>
      <c r="G74" t="s">
        <v>160</v>
      </c>
      <c r="H74" t="s">
        <v>164</v>
      </c>
      <c r="I74" t="s">
        <v>165</v>
      </c>
      <c r="J74" t="s">
        <v>5914</v>
      </c>
      <c r="K74">
        <v>20230418</v>
      </c>
      <c r="L74" t="s">
        <v>5757</v>
      </c>
      <c r="M74">
        <v>500</v>
      </c>
      <c r="N74">
        <v>0</v>
      </c>
      <c r="O74" t="s">
        <v>23</v>
      </c>
      <c r="P74">
        <v>20230421</v>
      </c>
      <c r="Q74">
        <v>20230418</v>
      </c>
    </row>
    <row r="75" spans="1:17" x14ac:dyDescent="0.25">
      <c r="A75" t="s">
        <v>476</v>
      </c>
      <c r="B75" t="s">
        <v>477</v>
      </c>
      <c r="C75">
        <v>1</v>
      </c>
      <c r="D75">
        <v>20230418</v>
      </c>
      <c r="E75">
        <v>4</v>
      </c>
      <c r="F75">
        <v>512000</v>
      </c>
      <c r="G75" t="s">
        <v>428</v>
      </c>
      <c r="H75" t="s">
        <v>401</v>
      </c>
      <c r="I75" t="s">
        <v>402</v>
      </c>
      <c r="J75" t="s">
        <v>5914</v>
      </c>
      <c r="K75">
        <v>20230418</v>
      </c>
      <c r="L75" t="s">
        <v>5757</v>
      </c>
      <c r="M75">
        <v>0</v>
      </c>
      <c r="N75">
        <v>1882.48</v>
      </c>
      <c r="O75" t="s">
        <v>19</v>
      </c>
      <c r="P75" t="s">
        <v>20</v>
      </c>
      <c r="Q75">
        <v>20230418</v>
      </c>
    </row>
    <row r="76" spans="1:17" x14ac:dyDescent="0.25">
      <c r="A76" t="s">
        <v>476</v>
      </c>
      <c r="B76" t="s">
        <v>477</v>
      </c>
      <c r="C76">
        <v>1</v>
      </c>
      <c r="D76">
        <v>20230418</v>
      </c>
      <c r="E76">
        <v>4</v>
      </c>
      <c r="F76">
        <v>401000</v>
      </c>
      <c r="G76" t="s">
        <v>41</v>
      </c>
      <c r="H76" t="s">
        <v>56</v>
      </c>
      <c r="I76" t="s">
        <v>57</v>
      </c>
      <c r="J76" t="s">
        <v>5915</v>
      </c>
      <c r="K76">
        <v>20230418</v>
      </c>
      <c r="L76" t="s">
        <v>5758</v>
      </c>
      <c r="M76">
        <v>720.96</v>
      </c>
      <c r="N76">
        <v>0</v>
      </c>
      <c r="O76" t="s">
        <v>22</v>
      </c>
      <c r="P76">
        <v>20230418</v>
      </c>
      <c r="Q76">
        <v>20230418</v>
      </c>
    </row>
    <row r="77" spans="1:17" x14ac:dyDescent="0.25">
      <c r="A77" t="s">
        <v>476</v>
      </c>
      <c r="B77" t="s">
        <v>477</v>
      </c>
      <c r="C77">
        <v>1</v>
      </c>
      <c r="D77">
        <v>20230418</v>
      </c>
      <c r="E77">
        <v>4</v>
      </c>
      <c r="F77">
        <v>401000</v>
      </c>
      <c r="G77" t="s">
        <v>41</v>
      </c>
      <c r="H77" t="s">
        <v>842</v>
      </c>
      <c r="I77" t="s">
        <v>843</v>
      </c>
      <c r="J77" t="s">
        <v>5915</v>
      </c>
      <c r="K77">
        <v>20230418</v>
      </c>
      <c r="L77" t="s">
        <v>5758</v>
      </c>
      <c r="M77">
        <v>700</v>
      </c>
      <c r="N77">
        <v>0</v>
      </c>
      <c r="O77" t="s">
        <v>22</v>
      </c>
      <c r="P77">
        <v>20230418</v>
      </c>
      <c r="Q77">
        <v>20230418</v>
      </c>
    </row>
    <row r="78" spans="1:17" x14ac:dyDescent="0.25">
      <c r="A78" t="s">
        <v>476</v>
      </c>
      <c r="B78" t="s">
        <v>477</v>
      </c>
      <c r="C78">
        <v>1</v>
      </c>
      <c r="D78">
        <v>20230418</v>
      </c>
      <c r="E78">
        <v>4</v>
      </c>
      <c r="F78">
        <v>401000</v>
      </c>
      <c r="G78" t="s">
        <v>41</v>
      </c>
      <c r="H78" t="s">
        <v>474</v>
      </c>
      <c r="I78" t="s">
        <v>475</v>
      </c>
      <c r="J78" t="s">
        <v>5915</v>
      </c>
      <c r="K78">
        <v>20230418</v>
      </c>
      <c r="L78" t="s">
        <v>5758</v>
      </c>
      <c r="M78">
        <v>360</v>
      </c>
      <c r="N78">
        <v>0</v>
      </c>
      <c r="O78" t="s">
        <v>22</v>
      </c>
      <c r="P78">
        <v>20230418</v>
      </c>
      <c r="Q78">
        <v>20230418</v>
      </c>
    </row>
    <row r="79" spans="1:17" x14ac:dyDescent="0.25">
      <c r="A79" t="s">
        <v>476</v>
      </c>
      <c r="B79" t="s">
        <v>477</v>
      </c>
      <c r="C79">
        <v>1</v>
      </c>
      <c r="D79">
        <v>20230418</v>
      </c>
      <c r="E79">
        <v>4</v>
      </c>
      <c r="F79">
        <v>401000</v>
      </c>
      <c r="G79" t="s">
        <v>41</v>
      </c>
      <c r="H79" t="s">
        <v>827</v>
      </c>
      <c r="I79" t="s">
        <v>828</v>
      </c>
      <c r="J79" t="s">
        <v>5915</v>
      </c>
      <c r="K79">
        <v>20230418</v>
      </c>
      <c r="L79" t="s">
        <v>5758</v>
      </c>
      <c r="M79">
        <v>430.5</v>
      </c>
      <c r="N79">
        <v>0</v>
      </c>
      <c r="O79" t="s">
        <v>22</v>
      </c>
      <c r="P79">
        <v>20230418</v>
      </c>
      <c r="Q79">
        <v>20230418</v>
      </c>
    </row>
    <row r="80" spans="1:17" x14ac:dyDescent="0.25">
      <c r="A80" t="s">
        <v>476</v>
      </c>
      <c r="B80" t="s">
        <v>477</v>
      </c>
      <c r="C80">
        <v>1</v>
      </c>
      <c r="D80">
        <v>20230418</v>
      </c>
      <c r="E80">
        <v>4</v>
      </c>
      <c r="F80">
        <v>401000</v>
      </c>
      <c r="G80" t="s">
        <v>41</v>
      </c>
      <c r="H80" t="s">
        <v>4483</v>
      </c>
      <c r="I80" t="s">
        <v>4484</v>
      </c>
      <c r="J80" t="s">
        <v>5915</v>
      </c>
      <c r="K80">
        <v>20230418</v>
      </c>
      <c r="L80" t="s">
        <v>5758</v>
      </c>
      <c r="M80">
        <v>5235.47</v>
      </c>
      <c r="N80">
        <v>0</v>
      </c>
      <c r="O80" t="s">
        <v>22</v>
      </c>
      <c r="P80">
        <v>20230418</v>
      </c>
      <c r="Q80">
        <v>20230418</v>
      </c>
    </row>
    <row r="81" spans="1:17" x14ac:dyDescent="0.25">
      <c r="A81" t="s">
        <v>476</v>
      </c>
      <c r="B81" t="s">
        <v>477</v>
      </c>
      <c r="C81">
        <v>1</v>
      </c>
      <c r="D81">
        <v>20230418</v>
      </c>
      <c r="E81">
        <v>4</v>
      </c>
      <c r="F81">
        <v>512000</v>
      </c>
      <c r="G81" t="s">
        <v>428</v>
      </c>
      <c r="H81" t="s">
        <v>401</v>
      </c>
      <c r="I81" t="s">
        <v>402</v>
      </c>
      <c r="J81" t="s">
        <v>5915</v>
      </c>
      <c r="K81">
        <v>20230418</v>
      </c>
      <c r="L81" t="s">
        <v>5758</v>
      </c>
      <c r="M81">
        <v>0</v>
      </c>
      <c r="N81">
        <v>7446.93</v>
      </c>
      <c r="O81" t="s">
        <v>19</v>
      </c>
      <c r="P81" t="s">
        <v>20</v>
      </c>
      <c r="Q81">
        <v>20230418</v>
      </c>
    </row>
    <row r="82" spans="1:17" x14ac:dyDescent="0.25">
      <c r="A82" t="s">
        <v>548</v>
      </c>
      <c r="B82" t="s">
        <v>429</v>
      </c>
      <c r="C82">
        <v>2</v>
      </c>
      <c r="D82">
        <v>20230404</v>
      </c>
      <c r="E82">
        <v>4</v>
      </c>
      <c r="F82">
        <v>467100</v>
      </c>
      <c r="G82" t="s">
        <v>160</v>
      </c>
      <c r="H82" t="s">
        <v>4958</v>
      </c>
      <c r="I82" t="s">
        <v>4959</v>
      </c>
      <c r="J82" t="s">
        <v>5648</v>
      </c>
      <c r="K82">
        <v>20230404</v>
      </c>
      <c r="L82" t="s">
        <v>5649</v>
      </c>
      <c r="M82">
        <v>100</v>
      </c>
      <c r="N82">
        <v>0</v>
      </c>
      <c r="O82" t="s">
        <v>23</v>
      </c>
      <c r="P82">
        <v>20230526</v>
      </c>
      <c r="Q82">
        <v>20230404</v>
      </c>
    </row>
    <row r="83" spans="1:17" x14ac:dyDescent="0.25">
      <c r="A83" t="s">
        <v>548</v>
      </c>
      <c r="B83" t="s">
        <v>429</v>
      </c>
      <c r="C83">
        <v>2</v>
      </c>
      <c r="D83">
        <v>20230404</v>
      </c>
      <c r="E83">
        <v>4</v>
      </c>
      <c r="F83">
        <v>531105</v>
      </c>
      <c r="G83" t="s">
        <v>429</v>
      </c>
      <c r="H83" t="s">
        <v>401</v>
      </c>
      <c r="I83" t="s">
        <v>402</v>
      </c>
      <c r="J83" t="s">
        <v>5648</v>
      </c>
      <c r="K83">
        <v>20230404</v>
      </c>
      <c r="L83" t="s">
        <v>5649</v>
      </c>
      <c r="M83">
        <v>0</v>
      </c>
      <c r="N83">
        <v>100</v>
      </c>
      <c r="O83" t="s">
        <v>19</v>
      </c>
      <c r="P83" t="s">
        <v>20</v>
      </c>
      <c r="Q83">
        <v>20230404</v>
      </c>
    </row>
    <row r="84" spans="1:17" x14ac:dyDescent="0.25">
      <c r="A84" t="s">
        <v>548</v>
      </c>
      <c r="B84" t="s">
        <v>429</v>
      </c>
      <c r="C84">
        <v>2</v>
      </c>
      <c r="D84">
        <v>20230404</v>
      </c>
      <c r="E84">
        <v>4</v>
      </c>
      <c r="F84">
        <v>467100</v>
      </c>
      <c r="G84" t="s">
        <v>160</v>
      </c>
      <c r="H84" t="s">
        <v>316</v>
      </c>
      <c r="I84" t="s">
        <v>317</v>
      </c>
      <c r="J84" t="s">
        <v>5650</v>
      </c>
      <c r="K84">
        <v>20230404</v>
      </c>
      <c r="L84" t="s">
        <v>5651</v>
      </c>
      <c r="M84">
        <v>200</v>
      </c>
      <c r="N84">
        <v>0</v>
      </c>
      <c r="O84" t="s">
        <v>23</v>
      </c>
      <c r="P84">
        <v>20230526</v>
      </c>
      <c r="Q84">
        <v>20230404</v>
      </c>
    </row>
    <row r="85" spans="1:17" x14ac:dyDescent="0.25">
      <c r="A85" t="s">
        <v>548</v>
      </c>
      <c r="B85" t="s">
        <v>429</v>
      </c>
      <c r="C85">
        <v>2</v>
      </c>
      <c r="D85">
        <v>20230404</v>
      </c>
      <c r="E85">
        <v>4</v>
      </c>
      <c r="F85">
        <v>531105</v>
      </c>
      <c r="G85" t="s">
        <v>429</v>
      </c>
      <c r="H85" t="s">
        <v>401</v>
      </c>
      <c r="I85" t="s">
        <v>402</v>
      </c>
      <c r="J85" t="s">
        <v>5650</v>
      </c>
      <c r="K85">
        <v>20230404</v>
      </c>
      <c r="L85" t="s">
        <v>5651</v>
      </c>
      <c r="M85">
        <v>0</v>
      </c>
      <c r="N85">
        <v>200</v>
      </c>
      <c r="O85" t="s">
        <v>19</v>
      </c>
      <c r="P85" t="s">
        <v>20</v>
      </c>
      <c r="Q85">
        <v>20230404</v>
      </c>
    </row>
    <row r="86" spans="1:17" x14ac:dyDescent="0.25">
      <c r="A86" t="s">
        <v>548</v>
      </c>
      <c r="B86" t="s">
        <v>429</v>
      </c>
      <c r="C86">
        <v>2</v>
      </c>
      <c r="D86">
        <v>20230407</v>
      </c>
      <c r="E86">
        <v>4</v>
      </c>
      <c r="F86">
        <v>467100</v>
      </c>
      <c r="G86" t="s">
        <v>160</v>
      </c>
      <c r="H86" t="s">
        <v>4847</v>
      </c>
      <c r="I86" t="s">
        <v>4848</v>
      </c>
      <c r="J86" t="s">
        <v>5916</v>
      </c>
      <c r="K86">
        <v>20230407</v>
      </c>
      <c r="L86" t="s">
        <v>5917</v>
      </c>
      <c r="M86">
        <v>5.48</v>
      </c>
      <c r="N86">
        <v>0</v>
      </c>
      <c r="O86" t="s">
        <v>19</v>
      </c>
      <c r="P86" t="s">
        <v>20</v>
      </c>
      <c r="Q86">
        <v>20230407</v>
      </c>
    </row>
    <row r="87" spans="1:17" x14ac:dyDescent="0.25">
      <c r="A87" t="s">
        <v>548</v>
      </c>
      <c r="B87" t="s">
        <v>429</v>
      </c>
      <c r="C87">
        <v>2</v>
      </c>
      <c r="D87">
        <v>20230407</v>
      </c>
      <c r="E87">
        <v>4</v>
      </c>
      <c r="F87">
        <v>531105</v>
      </c>
      <c r="G87" t="s">
        <v>429</v>
      </c>
      <c r="H87" t="s">
        <v>401</v>
      </c>
      <c r="I87" t="s">
        <v>402</v>
      </c>
      <c r="J87" t="s">
        <v>5916</v>
      </c>
      <c r="K87">
        <v>20230407</v>
      </c>
      <c r="L87" t="s">
        <v>5917</v>
      </c>
      <c r="M87">
        <v>0</v>
      </c>
      <c r="N87">
        <v>5.48</v>
      </c>
      <c r="O87" t="s">
        <v>19</v>
      </c>
      <c r="P87" t="s">
        <v>20</v>
      </c>
      <c r="Q87">
        <v>20230407</v>
      </c>
    </row>
    <row r="88" spans="1:17" x14ac:dyDescent="0.25">
      <c r="A88" t="s">
        <v>548</v>
      </c>
      <c r="B88" t="s">
        <v>429</v>
      </c>
      <c r="C88">
        <v>2</v>
      </c>
      <c r="D88">
        <v>20230411</v>
      </c>
      <c r="E88">
        <v>4</v>
      </c>
      <c r="F88">
        <v>467100</v>
      </c>
      <c r="G88" t="s">
        <v>160</v>
      </c>
      <c r="H88" t="s">
        <v>4958</v>
      </c>
      <c r="I88" t="s">
        <v>4959</v>
      </c>
      <c r="J88" t="s">
        <v>5918</v>
      </c>
      <c r="K88">
        <v>20230411</v>
      </c>
      <c r="L88" t="s">
        <v>5919</v>
      </c>
      <c r="M88">
        <v>90</v>
      </c>
      <c r="N88">
        <v>0</v>
      </c>
      <c r="O88" t="s">
        <v>23</v>
      </c>
      <c r="P88">
        <v>20230526</v>
      </c>
      <c r="Q88">
        <v>20230411</v>
      </c>
    </row>
    <row r="89" spans="1:17" x14ac:dyDescent="0.25">
      <c r="A89" t="s">
        <v>548</v>
      </c>
      <c r="B89" t="s">
        <v>429</v>
      </c>
      <c r="C89">
        <v>2</v>
      </c>
      <c r="D89">
        <v>20230411</v>
      </c>
      <c r="E89">
        <v>4</v>
      </c>
      <c r="F89">
        <v>531105</v>
      </c>
      <c r="G89" t="s">
        <v>429</v>
      </c>
      <c r="H89" t="s">
        <v>401</v>
      </c>
      <c r="I89" t="s">
        <v>402</v>
      </c>
      <c r="J89" t="s">
        <v>5918</v>
      </c>
      <c r="K89">
        <v>20230411</v>
      </c>
      <c r="L89" t="s">
        <v>5919</v>
      </c>
      <c r="M89">
        <v>0</v>
      </c>
      <c r="N89">
        <v>90</v>
      </c>
      <c r="O89" t="s">
        <v>19</v>
      </c>
      <c r="P89" t="s">
        <v>20</v>
      </c>
      <c r="Q89">
        <v>20230411</v>
      </c>
    </row>
    <row r="90" spans="1:17" x14ac:dyDescent="0.25">
      <c r="A90" t="s">
        <v>548</v>
      </c>
      <c r="B90" t="s">
        <v>429</v>
      </c>
      <c r="C90">
        <v>2</v>
      </c>
      <c r="D90">
        <v>20230413</v>
      </c>
      <c r="E90">
        <v>4</v>
      </c>
      <c r="F90">
        <v>467100</v>
      </c>
      <c r="G90" t="s">
        <v>160</v>
      </c>
      <c r="H90" t="s">
        <v>4958</v>
      </c>
      <c r="I90" t="s">
        <v>4959</v>
      </c>
      <c r="J90" t="s">
        <v>5920</v>
      </c>
      <c r="K90">
        <v>20230413</v>
      </c>
      <c r="L90" t="s">
        <v>5921</v>
      </c>
      <c r="M90">
        <v>70</v>
      </c>
      <c r="N90">
        <v>0</v>
      </c>
      <c r="O90" t="s">
        <v>23</v>
      </c>
      <c r="P90">
        <v>20230526</v>
      </c>
      <c r="Q90">
        <v>20230413</v>
      </c>
    </row>
    <row r="91" spans="1:17" x14ac:dyDescent="0.25">
      <c r="A91" t="s">
        <v>548</v>
      </c>
      <c r="B91" t="s">
        <v>429</v>
      </c>
      <c r="C91">
        <v>2</v>
      </c>
      <c r="D91">
        <v>20230413</v>
      </c>
      <c r="E91">
        <v>4</v>
      </c>
      <c r="F91">
        <v>531105</v>
      </c>
      <c r="G91" t="s">
        <v>429</v>
      </c>
      <c r="H91" t="s">
        <v>401</v>
      </c>
      <c r="I91" t="s">
        <v>402</v>
      </c>
      <c r="J91" t="s">
        <v>5920</v>
      </c>
      <c r="K91">
        <v>20230413</v>
      </c>
      <c r="L91" t="s">
        <v>5921</v>
      </c>
      <c r="M91">
        <v>0</v>
      </c>
      <c r="N91">
        <v>70</v>
      </c>
      <c r="O91" t="s">
        <v>19</v>
      </c>
      <c r="P91" t="s">
        <v>20</v>
      </c>
      <c r="Q91">
        <v>20230413</v>
      </c>
    </row>
    <row r="92" spans="1:17" x14ac:dyDescent="0.25">
      <c r="A92" t="s">
        <v>548</v>
      </c>
      <c r="B92" t="s">
        <v>429</v>
      </c>
      <c r="C92">
        <v>2</v>
      </c>
      <c r="D92">
        <v>20230414</v>
      </c>
      <c r="E92">
        <v>4</v>
      </c>
      <c r="F92">
        <v>467100</v>
      </c>
      <c r="G92" t="s">
        <v>160</v>
      </c>
      <c r="H92" t="s">
        <v>4958</v>
      </c>
      <c r="I92" t="s">
        <v>4959</v>
      </c>
      <c r="J92" t="s">
        <v>5922</v>
      </c>
      <c r="K92">
        <v>20230414</v>
      </c>
      <c r="L92" t="s">
        <v>5923</v>
      </c>
      <c r="M92">
        <v>0</v>
      </c>
      <c r="N92">
        <v>29.2</v>
      </c>
      <c r="O92" t="s">
        <v>23</v>
      </c>
      <c r="P92">
        <v>20230526</v>
      </c>
      <c r="Q92">
        <v>20230414</v>
      </c>
    </row>
    <row r="93" spans="1:17" x14ac:dyDescent="0.25">
      <c r="A93" t="s">
        <v>548</v>
      </c>
      <c r="B93" t="s">
        <v>429</v>
      </c>
      <c r="C93">
        <v>2</v>
      </c>
      <c r="D93">
        <v>20230414</v>
      </c>
      <c r="E93">
        <v>4</v>
      </c>
      <c r="F93">
        <v>531105</v>
      </c>
      <c r="G93" t="s">
        <v>429</v>
      </c>
      <c r="H93" t="s">
        <v>401</v>
      </c>
      <c r="I93" t="s">
        <v>402</v>
      </c>
      <c r="J93" t="s">
        <v>5922</v>
      </c>
      <c r="K93">
        <v>20230414</v>
      </c>
      <c r="L93" t="s">
        <v>5923</v>
      </c>
      <c r="M93">
        <v>29.2</v>
      </c>
      <c r="N93">
        <v>0</v>
      </c>
      <c r="O93" t="s">
        <v>19</v>
      </c>
      <c r="P93" t="s">
        <v>20</v>
      </c>
      <c r="Q93">
        <v>20230414</v>
      </c>
    </row>
    <row r="94" spans="1:17" x14ac:dyDescent="0.25">
      <c r="A94" t="s">
        <v>548</v>
      </c>
      <c r="B94" t="s">
        <v>429</v>
      </c>
      <c r="C94">
        <v>2</v>
      </c>
      <c r="D94">
        <v>20230414</v>
      </c>
      <c r="E94">
        <v>4</v>
      </c>
      <c r="F94">
        <v>467100</v>
      </c>
      <c r="G94" t="s">
        <v>160</v>
      </c>
      <c r="H94" t="s">
        <v>4958</v>
      </c>
      <c r="I94" t="s">
        <v>4959</v>
      </c>
      <c r="J94" t="s">
        <v>5924</v>
      </c>
      <c r="K94">
        <v>20230414</v>
      </c>
      <c r="L94" t="s">
        <v>5925</v>
      </c>
      <c r="M94">
        <v>0</v>
      </c>
      <c r="N94">
        <v>20</v>
      </c>
      <c r="O94" t="s">
        <v>23</v>
      </c>
      <c r="P94">
        <v>20230526</v>
      </c>
      <c r="Q94">
        <v>20230414</v>
      </c>
    </row>
    <row r="95" spans="1:17" x14ac:dyDescent="0.25">
      <c r="A95" t="s">
        <v>548</v>
      </c>
      <c r="B95" t="s">
        <v>429</v>
      </c>
      <c r="C95">
        <v>2</v>
      </c>
      <c r="D95">
        <v>20230414</v>
      </c>
      <c r="E95">
        <v>4</v>
      </c>
      <c r="F95">
        <v>531105</v>
      </c>
      <c r="G95" t="s">
        <v>429</v>
      </c>
      <c r="H95" t="s">
        <v>401</v>
      </c>
      <c r="I95" t="s">
        <v>402</v>
      </c>
      <c r="J95" t="s">
        <v>5924</v>
      </c>
      <c r="K95">
        <v>20230414</v>
      </c>
      <c r="L95" t="s">
        <v>5925</v>
      </c>
      <c r="M95">
        <v>20</v>
      </c>
      <c r="N95">
        <v>0</v>
      </c>
      <c r="O95" t="s">
        <v>19</v>
      </c>
      <c r="P95" t="s">
        <v>20</v>
      </c>
      <c r="Q95">
        <v>20230414</v>
      </c>
    </row>
    <row r="96" spans="1:17" x14ac:dyDescent="0.25">
      <c r="A96" t="s">
        <v>548</v>
      </c>
      <c r="B96" t="s">
        <v>429</v>
      </c>
      <c r="C96">
        <v>2</v>
      </c>
      <c r="D96">
        <v>20230419</v>
      </c>
      <c r="E96">
        <v>4</v>
      </c>
      <c r="F96">
        <v>467100</v>
      </c>
      <c r="G96" t="s">
        <v>160</v>
      </c>
      <c r="H96" t="s">
        <v>4958</v>
      </c>
      <c r="I96" t="s">
        <v>4959</v>
      </c>
      <c r="J96" t="s">
        <v>5926</v>
      </c>
      <c r="K96">
        <v>20230419</v>
      </c>
      <c r="L96" t="s">
        <v>5927</v>
      </c>
      <c r="M96">
        <v>60</v>
      </c>
      <c r="N96">
        <v>0</v>
      </c>
      <c r="O96" t="s">
        <v>23</v>
      </c>
      <c r="P96">
        <v>20230526</v>
      </c>
      <c r="Q96">
        <v>20230419</v>
      </c>
    </row>
    <row r="97" spans="1:17" x14ac:dyDescent="0.25">
      <c r="A97" t="s">
        <v>548</v>
      </c>
      <c r="B97" t="s">
        <v>429</v>
      </c>
      <c r="C97">
        <v>2</v>
      </c>
      <c r="D97">
        <v>20230419</v>
      </c>
      <c r="E97">
        <v>4</v>
      </c>
      <c r="F97">
        <v>531105</v>
      </c>
      <c r="G97" t="s">
        <v>429</v>
      </c>
      <c r="H97" t="s">
        <v>401</v>
      </c>
      <c r="I97" t="s">
        <v>402</v>
      </c>
      <c r="J97" t="s">
        <v>5926</v>
      </c>
      <c r="K97">
        <v>20230419</v>
      </c>
      <c r="L97" t="s">
        <v>5927</v>
      </c>
      <c r="M97">
        <v>0</v>
      </c>
      <c r="N97">
        <v>60</v>
      </c>
      <c r="O97" t="s">
        <v>19</v>
      </c>
      <c r="P97" t="s">
        <v>20</v>
      </c>
      <c r="Q97">
        <v>20230419</v>
      </c>
    </row>
    <row r="98" spans="1:17" x14ac:dyDescent="0.25">
      <c r="A98" t="s">
        <v>548</v>
      </c>
      <c r="B98" t="s">
        <v>429</v>
      </c>
      <c r="C98">
        <v>2</v>
      </c>
      <c r="D98">
        <v>20230419</v>
      </c>
      <c r="E98">
        <v>4</v>
      </c>
      <c r="F98">
        <v>467100</v>
      </c>
      <c r="G98" t="s">
        <v>160</v>
      </c>
      <c r="H98" t="s">
        <v>4958</v>
      </c>
      <c r="I98" t="s">
        <v>4959</v>
      </c>
      <c r="J98" t="s">
        <v>5928</v>
      </c>
      <c r="K98">
        <v>20230419</v>
      </c>
      <c r="L98" t="s">
        <v>5929</v>
      </c>
      <c r="M98">
        <v>0</v>
      </c>
      <c r="N98">
        <v>14.13</v>
      </c>
      <c r="O98" t="s">
        <v>23</v>
      </c>
      <c r="P98">
        <v>20230526</v>
      </c>
      <c r="Q98">
        <v>20230419</v>
      </c>
    </row>
    <row r="99" spans="1:17" x14ac:dyDescent="0.25">
      <c r="A99" t="s">
        <v>548</v>
      </c>
      <c r="B99" t="s">
        <v>429</v>
      </c>
      <c r="C99">
        <v>2</v>
      </c>
      <c r="D99">
        <v>20230419</v>
      </c>
      <c r="E99">
        <v>4</v>
      </c>
      <c r="F99">
        <v>531105</v>
      </c>
      <c r="G99" t="s">
        <v>429</v>
      </c>
      <c r="H99" t="s">
        <v>401</v>
      </c>
      <c r="I99" t="s">
        <v>402</v>
      </c>
      <c r="J99" t="s">
        <v>5928</v>
      </c>
      <c r="K99">
        <v>20230419</v>
      </c>
      <c r="L99" t="s">
        <v>5929</v>
      </c>
      <c r="M99">
        <v>14.13</v>
      </c>
      <c r="N99">
        <v>0</v>
      </c>
      <c r="O99" t="s">
        <v>19</v>
      </c>
      <c r="P99" t="s">
        <v>20</v>
      </c>
      <c r="Q99">
        <v>20230419</v>
      </c>
    </row>
    <row r="100" spans="1:17" x14ac:dyDescent="0.25">
      <c r="A100" t="s">
        <v>548</v>
      </c>
      <c r="B100" t="s">
        <v>429</v>
      </c>
      <c r="C100">
        <v>2</v>
      </c>
      <c r="D100">
        <v>20230421</v>
      </c>
      <c r="E100">
        <v>4</v>
      </c>
      <c r="F100">
        <v>467100</v>
      </c>
      <c r="G100" t="s">
        <v>160</v>
      </c>
      <c r="H100" t="s">
        <v>4958</v>
      </c>
      <c r="I100" t="s">
        <v>4959</v>
      </c>
      <c r="J100" t="s">
        <v>5930</v>
      </c>
      <c r="K100">
        <v>20230421</v>
      </c>
      <c r="L100" t="s">
        <v>5931</v>
      </c>
      <c r="M100">
        <v>0</v>
      </c>
      <c r="N100">
        <v>33.4</v>
      </c>
      <c r="O100" t="s">
        <v>23</v>
      </c>
      <c r="P100">
        <v>20230526</v>
      </c>
      <c r="Q100">
        <v>20230421</v>
      </c>
    </row>
    <row r="101" spans="1:17" x14ac:dyDescent="0.25">
      <c r="A101" t="s">
        <v>548</v>
      </c>
      <c r="B101" t="s">
        <v>429</v>
      </c>
      <c r="C101">
        <v>2</v>
      </c>
      <c r="D101">
        <v>20230421</v>
      </c>
      <c r="E101">
        <v>4</v>
      </c>
      <c r="F101">
        <v>531105</v>
      </c>
      <c r="G101" t="s">
        <v>429</v>
      </c>
      <c r="H101" t="s">
        <v>401</v>
      </c>
      <c r="I101" t="s">
        <v>402</v>
      </c>
      <c r="J101" t="s">
        <v>5930</v>
      </c>
      <c r="K101">
        <v>20230421</v>
      </c>
      <c r="L101" t="s">
        <v>5931</v>
      </c>
      <c r="M101">
        <v>33.4</v>
      </c>
      <c r="N101">
        <v>0</v>
      </c>
      <c r="O101" t="s">
        <v>19</v>
      </c>
      <c r="P101" t="s">
        <v>20</v>
      </c>
      <c r="Q101">
        <v>20230421</v>
      </c>
    </row>
    <row r="102" spans="1:17" x14ac:dyDescent="0.25">
      <c r="A102" t="s">
        <v>548</v>
      </c>
      <c r="B102" t="s">
        <v>429</v>
      </c>
      <c r="C102">
        <v>2</v>
      </c>
      <c r="D102">
        <v>20230404</v>
      </c>
      <c r="E102">
        <v>4</v>
      </c>
      <c r="F102">
        <v>411100</v>
      </c>
      <c r="G102" t="s">
        <v>18</v>
      </c>
      <c r="H102" t="s">
        <v>641</v>
      </c>
      <c r="I102" t="s">
        <v>642</v>
      </c>
      <c r="J102">
        <v>370130</v>
      </c>
      <c r="K102">
        <v>20230404</v>
      </c>
      <c r="L102" t="s">
        <v>5932</v>
      </c>
      <c r="M102">
        <v>0</v>
      </c>
      <c r="N102">
        <v>41.06</v>
      </c>
      <c r="O102" t="s">
        <v>19</v>
      </c>
      <c r="P102" t="s">
        <v>20</v>
      </c>
      <c r="Q102">
        <v>20230404</v>
      </c>
    </row>
    <row r="103" spans="1:17" x14ac:dyDescent="0.25">
      <c r="A103" t="s">
        <v>548</v>
      </c>
      <c r="B103" t="s">
        <v>429</v>
      </c>
      <c r="C103">
        <v>2</v>
      </c>
      <c r="D103">
        <v>20230404</v>
      </c>
      <c r="E103">
        <v>4</v>
      </c>
      <c r="F103">
        <v>531105</v>
      </c>
      <c r="G103" t="s">
        <v>429</v>
      </c>
      <c r="H103" t="s">
        <v>401</v>
      </c>
      <c r="I103" t="s">
        <v>402</v>
      </c>
      <c r="J103">
        <v>370131</v>
      </c>
      <c r="K103">
        <v>20230404</v>
      </c>
      <c r="L103" t="s">
        <v>565</v>
      </c>
      <c r="M103">
        <v>41.06</v>
      </c>
      <c r="N103">
        <v>0</v>
      </c>
      <c r="O103" t="s">
        <v>19</v>
      </c>
      <c r="P103" t="s">
        <v>20</v>
      </c>
      <c r="Q103">
        <v>20230404</v>
      </c>
    </row>
    <row r="104" spans="1:17" x14ac:dyDescent="0.25">
      <c r="A104" t="s">
        <v>548</v>
      </c>
      <c r="B104" t="s">
        <v>429</v>
      </c>
      <c r="C104">
        <v>2</v>
      </c>
      <c r="D104">
        <v>20230406</v>
      </c>
      <c r="E104">
        <v>4</v>
      </c>
      <c r="F104">
        <v>411100</v>
      </c>
      <c r="G104" t="s">
        <v>18</v>
      </c>
      <c r="H104" t="s">
        <v>175</v>
      </c>
      <c r="I104" t="s">
        <v>176</v>
      </c>
      <c r="J104">
        <v>121120108</v>
      </c>
      <c r="K104">
        <v>20230406</v>
      </c>
      <c r="L104" t="s">
        <v>5933</v>
      </c>
      <c r="M104">
        <v>0</v>
      </c>
      <c r="N104">
        <v>44.92</v>
      </c>
      <c r="O104" t="s">
        <v>19</v>
      </c>
      <c r="P104" t="s">
        <v>20</v>
      </c>
      <c r="Q104">
        <v>20230406</v>
      </c>
    </row>
    <row r="105" spans="1:17" x14ac:dyDescent="0.25">
      <c r="A105" t="s">
        <v>548</v>
      </c>
      <c r="B105" t="s">
        <v>429</v>
      </c>
      <c r="C105">
        <v>2</v>
      </c>
      <c r="D105">
        <v>20230406</v>
      </c>
      <c r="E105">
        <v>4</v>
      </c>
      <c r="F105">
        <v>411100</v>
      </c>
      <c r="G105" t="s">
        <v>18</v>
      </c>
      <c r="H105" t="s">
        <v>2523</v>
      </c>
      <c r="I105" t="s">
        <v>5934</v>
      </c>
      <c r="J105">
        <v>370133</v>
      </c>
      <c r="K105">
        <v>20230406</v>
      </c>
      <c r="L105" t="s">
        <v>5935</v>
      </c>
      <c r="M105">
        <v>0</v>
      </c>
      <c r="N105">
        <v>10</v>
      </c>
      <c r="O105" t="s">
        <v>19</v>
      </c>
      <c r="P105" t="s">
        <v>20</v>
      </c>
      <c r="Q105">
        <v>20230406</v>
      </c>
    </row>
    <row r="106" spans="1:17" x14ac:dyDescent="0.25">
      <c r="A106" t="s">
        <v>548</v>
      </c>
      <c r="B106" t="s">
        <v>429</v>
      </c>
      <c r="C106">
        <v>2</v>
      </c>
      <c r="D106">
        <v>20230406</v>
      </c>
      <c r="E106">
        <v>4</v>
      </c>
      <c r="F106">
        <v>531105</v>
      </c>
      <c r="G106" t="s">
        <v>429</v>
      </c>
      <c r="H106" t="s">
        <v>401</v>
      </c>
      <c r="I106" t="s">
        <v>402</v>
      </c>
      <c r="J106">
        <v>370134</v>
      </c>
      <c r="K106">
        <v>20230406</v>
      </c>
      <c r="L106" t="s">
        <v>565</v>
      </c>
      <c r="M106">
        <v>54.92</v>
      </c>
      <c r="N106">
        <v>0</v>
      </c>
      <c r="O106" t="s">
        <v>19</v>
      </c>
      <c r="P106" t="s">
        <v>20</v>
      </c>
      <c r="Q106">
        <v>20230406</v>
      </c>
    </row>
    <row r="107" spans="1:17" x14ac:dyDescent="0.25">
      <c r="A107" t="s">
        <v>548</v>
      </c>
      <c r="B107" t="s">
        <v>429</v>
      </c>
      <c r="C107">
        <v>2</v>
      </c>
      <c r="D107">
        <v>20230407</v>
      </c>
      <c r="E107">
        <v>4</v>
      </c>
      <c r="F107">
        <v>411100</v>
      </c>
      <c r="G107" t="s">
        <v>18</v>
      </c>
      <c r="H107" t="s">
        <v>340</v>
      </c>
      <c r="I107" t="s">
        <v>341</v>
      </c>
      <c r="J107">
        <v>370135</v>
      </c>
      <c r="K107">
        <v>20230407</v>
      </c>
      <c r="L107" t="s">
        <v>5936</v>
      </c>
      <c r="M107">
        <v>0</v>
      </c>
      <c r="N107">
        <v>9.6</v>
      </c>
      <c r="O107" t="s">
        <v>19</v>
      </c>
      <c r="P107" t="s">
        <v>20</v>
      </c>
      <c r="Q107">
        <v>20230407</v>
      </c>
    </row>
    <row r="108" spans="1:17" x14ac:dyDescent="0.25">
      <c r="A108" t="s">
        <v>548</v>
      </c>
      <c r="B108" t="s">
        <v>429</v>
      </c>
      <c r="C108">
        <v>2</v>
      </c>
      <c r="D108">
        <v>20230407</v>
      </c>
      <c r="E108">
        <v>4</v>
      </c>
      <c r="F108">
        <v>411100</v>
      </c>
      <c r="G108" t="s">
        <v>18</v>
      </c>
      <c r="H108" t="s">
        <v>592</v>
      </c>
      <c r="I108" t="s">
        <v>593</v>
      </c>
      <c r="J108">
        <v>123030009</v>
      </c>
      <c r="K108">
        <v>20230407</v>
      </c>
      <c r="L108" t="s">
        <v>5937</v>
      </c>
      <c r="M108">
        <v>0</v>
      </c>
      <c r="N108">
        <v>58.45</v>
      </c>
      <c r="O108" t="s">
        <v>19</v>
      </c>
      <c r="P108" t="s">
        <v>20</v>
      </c>
      <c r="Q108">
        <v>20230407</v>
      </c>
    </row>
    <row r="109" spans="1:17" x14ac:dyDescent="0.25">
      <c r="A109" t="s">
        <v>548</v>
      </c>
      <c r="B109" t="s">
        <v>429</v>
      </c>
      <c r="C109">
        <v>2</v>
      </c>
      <c r="D109">
        <v>20230407</v>
      </c>
      <c r="E109">
        <v>4</v>
      </c>
      <c r="F109">
        <v>411100</v>
      </c>
      <c r="G109" t="s">
        <v>18</v>
      </c>
      <c r="H109" t="s">
        <v>3569</v>
      </c>
      <c r="I109" t="s">
        <v>3570</v>
      </c>
      <c r="J109">
        <v>370137</v>
      </c>
      <c r="K109">
        <v>20230407</v>
      </c>
      <c r="L109" t="s">
        <v>5938</v>
      </c>
      <c r="M109">
        <v>0</v>
      </c>
      <c r="N109">
        <v>2</v>
      </c>
      <c r="O109" t="s">
        <v>19</v>
      </c>
      <c r="P109" t="s">
        <v>20</v>
      </c>
      <c r="Q109">
        <v>20230407</v>
      </c>
    </row>
    <row r="110" spans="1:17" x14ac:dyDescent="0.25">
      <c r="A110" t="s">
        <v>548</v>
      </c>
      <c r="B110" t="s">
        <v>429</v>
      </c>
      <c r="C110">
        <v>2</v>
      </c>
      <c r="D110">
        <v>20230407</v>
      </c>
      <c r="E110">
        <v>4</v>
      </c>
      <c r="F110">
        <v>411100</v>
      </c>
      <c r="G110" t="s">
        <v>18</v>
      </c>
      <c r="H110" t="s">
        <v>1417</v>
      </c>
      <c r="I110" t="s">
        <v>1418</v>
      </c>
      <c r="J110">
        <v>370138</v>
      </c>
      <c r="K110">
        <v>20230407</v>
      </c>
      <c r="L110" t="s">
        <v>5939</v>
      </c>
      <c r="M110">
        <v>0</v>
      </c>
      <c r="N110">
        <v>2</v>
      </c>
      <c r="O110" t="s">
        <v>19</v>
      </c>
      <c r="P110" t="s">
        <v>20</v>
      </c>
      <c r="Q110">
        <v>20230407</v>
      </c>
    </row>
    <row r="111" spans="1:17" x14ac:dyDescent="0.25">
      <c r="A111" t="s">
        <v>548</v>
      </c>
      <c r="B111" t="s">
        <v>429</v>
      </c>
      <c r="C111">
        <v>2</v>
      </c>
      <c r="D111">
        <v>20230407</v>
      </c>
      <c r="E111">
        <v>4</v>
      </c>
      <c r="F111">
        <v>411100</v>
      </c>
      <c r="G111" t="s">
        <v>18</v>
      </c>
      <c r="H111" t="s">
        <v>997</v>
      </c>
      <c r="I111" t="s">
        <v>998</v>
      </c>
      <c r="J111">
        <v>370139</v>
      </c>
      <c r="K111">
        <v>20230407</v>
      </c>
      <c r="L111" t="s">
        <v>5940</v>
      </c>
      <c r="M111">
        <v>0</v>
      </c>
      <c r="N111">
        <v>2</v>
      </c>
      <c r="O111" t="s">
        <v>19</v>
      </c>
      <c r="P111" t="s">
        <v>20</v>
      </c>
      <c r="Q111">
        <v>20230407</v>
      </c>
    </row>
    <row r="112" spans="1:17" x14ac:dyDescent="0.25">
      <c r="A112" t="s">
        <v>548</v>
      </c>
      <c r="B112" t="s">
        <v>429</v>
      </c>
      <c r="C112">
        <v>2</v>
      </c>
      <c r="D112">
        <v>20230407</v>
      </c>
      <c r="E112">
        <v>4</v>
      </c>
      <c r="F112">
        <v>411100</v>
      </c>
      <c r="G112" t="s">
        <v>18</v>
      </c>
      <c r="H112" t="s">
        <v>1006</v>
      </c>
      <c r="I112" t="s">
        <v>1007</v>
      </c>
      <c r="J112">
        <v>370140</v>
      </c>
      <c r="K112">
        <v>20230407</v>
      </c>
      <c r="L112" t="s">
        <v>5941</v>
      </c>
      <c r="M112">
        <v>0</v>
      </c>
      <c r="N112">
        <v>2</v>
      </c>
      <c r="O112" t="s">
        <v>19</v>
      </c>
      <c r="P112" t="s">
        <v>20</v>
      </c>
      <c r="Q112">
        <v>20230407</v>
      </c>
    </row>
    <row r="113" spans="1:17" x14ac:dyDescent="0.25">
      <c r="A113" t="s">
        <v>548</v>
      </c>
      <c r="B113" t="s">
        <v>429</v>
      </c>
      <c r="C113">
        <v>2</v>
      </c>
      <c r="D113">
        <v>20230407</v>
      </c>
      <c r="E113">
        <v>4</v>
      </c>
      <c r="F113">
        <v>411100</v>
      </c>
      <c r="G113" t="s">
        <v>18</v>
      </c>
      <c r="H113" t="s">
        <v>179</v>
      </c>
      <c r="I113" t="s">
        <v>180</v>
      </c>
      <c r="J113">
        <v>370141</v>
      </c>
      <c r="K113">
        <v>20230407</v>
      </c>
      <c r="L113" t="s">
        <v>5942</v>
      </c>
      <c r="M113">
        <v>0</v>
      </c>
      <c r="N113">
        <v>2</v>
      </c>
      <c r="O113" t="s">
        <v>19</v>
      </c>
      <c r="P113" t="s">
        <v>20</v>
      </c>
      <c r="Q113">
        <v>20230407</v>
      </c>
    </row>
    <row r="114" spans="1:17" x14ac:dyDescent="0.25">
      <c r="A114" t="s">
        <v>548</v>
      </c>
      <c r="B114" t="s">
        <v>429</v>
      </c>
      <c r="C114">
        <v>2</v>
      </c>
      <c r="D114">
        <v>20230407</v>
      </c>
      <c r="E114">
        <v>4</v>
      </c>
      <c r="F114">
        <v>411100</v>
      </c>
      <c r="G114" t="s">
        <v>18</v>
      </c>
      <c r="H114" t="s">
        <v>1003</v>
      </c>
      <c r="I114" t="s">
        <v>1004</v>
      </c>
      <c r="J114">
        <v>370142</v>
      </c>
      <c r="K114">
        <v>20230407</v>
      </c>
      <c r="L114" t="s">
        <v>5943</v>
      </c>
      <c r="M114">
        <v>0</v>
      </c>
      <c r="N114">
        <v>2</v>
      </c>
      <c r="O114" t="s">
        <v>19</v>
      </c>
      <c r="P114" t="s">
        <v>20</v>
      </c>
      <c r="Q114">
        <v>20230407</v>
      </c>
    </row>
    <row r="115" spans="1:17" x14ac:dyDescent="0.25">
      <c r="A115" t="s">
        <v>548</v>
      </c>
      <c r="B115" t="s">
        <v>429</v>
      </c>
      <c r="C115">
        <v>2</v>
      </c>
      <c r="D115">
        <v>20230407</v>
      </c>
      <c r="E115">
        <v>4</v>
      </c>
      <c r="F115">
        <v>411100</v>
      </c>
      <c r="G115" t="s">
        <v>18</v>
      </c>
      <c r="H115" t="s">
        <v>1000</v>
      </c>
      <c r="I115" t="s">
        <v>1001</v>
      </c>
      <c r="J115">
        <v>370143</v>
      </c>
      <c r="K115">
        <v>20230407</v>
      </c>
      <c r="L115" t="s">
        <v>5944</v>
      </c>
      <c r="M115">
        <v>0</v>
      </c>
      <c r="N115">
        <v>2</v>
      </c>
      <c r="O115" t="s">
        <v>19</v>
      </c>
      <c r="P115" t="s">
        <v>20</v>
      </c>
      <c r="Q115">
        <v>20230407</v>
      </c>
    </row>
    <row r="116" spans="1:17" x14ac:dyDescent="0.25">
      <c r="A116" t="s">
        <v>548</v>
      </c>
      <c r="B116" t="s">
        <v>429</v>
      </c>
      <c r="C116">
        <v>2</v>
      </c>
      <c r="D116">
        <v>20230407</v>
      </c>
      <c r="E116">
        <v>4</v>
      </c>
      <c r="F116">
        <v>411100</v>
      </c>
      <c r="G116" t="s">
        <v>18</v>
      </c>
      <c r="H116" t="s">
        <v>313</v>
      </c>
      <c r="I116" t="s">
        <v>314</v>
      </c>
      <c r="J116">
        <v>122120132</v>
      </c>
      <c r="K116">
        <v>20230407</v>
      </c>
      <c r="L116" t="s">
        <v>5945</v>
      </c>
      <c r="M116">
        <v>0</v>
      </c>
      <c r="N116">
        <v>170</v>
      </c>
      <c r="O116" t="s">
        <v>19</v>
      </c>
      <c r="P116" t="s">
        <v>20</v>
      </c>
      <c r="Q116">
        <v>20230407</v>
      </c>
    </row>
    <row r="117" spans="1:17" x14ac:dyDescent="0.25">
      <c r="A117" t="s">
        <v>548</v>
      </c>
      <c r="B117" t="s">
        <v>429</v>
      </c>
      <c r="C117">
        <v>2</v>
      </c>
      <c r="D117">
        <v>20230407</v>
      </c>
      <c r="E117">
        <v>4</v>
      </c>
      <c r="F117">
        <v>531105</v>
      </c>
      <c r="G117" t="s">
        <v>429</v>
      </c>
      <c r="H117" t="s">
        <v>401</v>
      </c>
      <c r="I117" t="s">
        <v>402</v>
      </c>
      <c r="J117">
        <v>370145</v>
      </c>
      <c r="K117">
        <v>20230407</v>
      </c>
      <c r="L117" t="s">
        <v>565</v>
      </c>
      <c r="M117">
        <v>252.05</v>
      </c>
      <c r="N117">
        <v>0</v>
      </c>
      <c r="O117" t="s">
        <v>19</v>
      </c>
      <c r="P117" t="s">
        <v>20</v>
      </c>
      <c r="Q117">
        <v>20230407</v>
      </c>
    </row>
    <row r="118" spans="1:17" x14ac:dyDescent="0.25">
      <c r="A118" t="s">
        <v>548</v>
      </c>
      <c r="B118" t="s">
        <v>429</v>
      </c>
      <c r="C118">
        <v>2</v>
      </c>
      <c r="D118">
        <v>20230411</v>
      </c>
      <c r="E118">
        <v>4</v>
      </c>
      <c r="F118">
        <v>411100</v>
      </c>
      <c r="G118" t="s">
        <v>18</v>
      </c>
      <c r="H118" t="s">
        <v>5946</v>
      </c>
      <c r="I118" t="s">
        <v>5947</v>
      </c>
      <c r="J118">
        <v>370146</v>
      </c>
      <c r="K118">
        <v>20230411</v>
      </c>
      <c r="L118" t="s">
        <v>5948</v>
      </c>
      <c r="M118">
        <v>0</v>
      </c>
      <c r="N118">
        <v>10</v>
      </c>
      <c r="O118" t="s">
        <v>19</v>
      </c>
      <c r="P118" t="s">
        <v>20</v>
      </c>
      <c r="Q118">
        <v>20230411</v>
      </c>
    </row>
    <row r="119" spans="1:17" x14ac:dyDescent="0.25">
      <c r="A119" t="s">
        <v>548</v>
      </c>
      <c r="B119" t="s">
        <v>429</v>
      </c>
      <c r="C119">
        <v>2</v>
      </c>
      <c r="D119">
        <v>20230411</v>
      </c>
      <c r="E119">
        <v>4</v>
      </c>
      <c r="F119">
        <v>531105</v>
      </c>
      <c r="G119" t="s">
        <v>429</v>
      </c>
      <c r="H119" t="s">
        <v>401</v>
      </c>
      <c r="I119" t="s">
        <v>402</v>
      </c>
      <c r="J119">
        <v>370147</v>
      </c>
      <c r="K119">
        <v>20230411</v>
      </c>
      <c r="L119" t="s">
        <v>565</v>
      </c>
      <c r="M119">
        <v>10</v>
      </c>
      <c r="N119">
        <v>0</v>
      </c>
      <c r="O119" t="s">
        <v>19</v>
      </c>
      <c r="P119" t="s">
        <v>20</v>
      </c>
      <c r="Q119">
        <v>20230411</v>
      </c>
    </row>
    <row r="120" spans="1:17" x14ac:dyDescent="0.25">
      <c r="A120" t="s">
        <v>548</v>
      </c>
      <c r="B120" t="s">
        <v>429</v>
      </c>
      <c r="C120">
        <v>2</v>
      </c>
      <c r="D120">
        <v>20230413</v>
      </c>
      <c r="E120">
        <v>4</v>
      </c>
      <c r="F120">
        <v>411000</v>
      </c>
      <c r="G120" t="s">
        <v>21</v>
      </c>
      <c r="H120" t="s">
        <v>279</v>
      </c>
      <c r="I120" t="s">
        <v>280</v>
      </c>
      <c r="J120">
        <v>123010073</v>
      </c>
      <c r="K120">
        <v>20230413</v>
      </c>
      <c r="L120" t="s">
        <v>5949</v>
      </c>
      <c r="M120">
        <v>0</v>
      </c>
      <c r="N120">
        <v>48.37</v>
      </c>
      <c r="O120" t="s">
        <v>19</v>
      </c>
      <c r="P120" t="s">
        <v>20</v>
      </c>
      <c r="Q120">
        <v>20230413</v>
      </c>
    </row>
    <row r="121" spans="1:17" x14ac:dyDescent="0.25">
      <c r="A121" t="s">
        <v>548</v>
      </c>
      <c r="B121" t="s">
        <v>429</v>
      </c>
      <c r="C121">
        <v>2</v>
      </c>
      <c r="D121">
        <v>20230413</v>
      </c>
      <c r="E121">
        <v>4</v>
      </c>
      <c r="F121">
        <v>531105</v>
      </c>
      <c r="G121" t="s">
        <v>429</v>
      </c>
      <c r="H121" t="s">
        <v>401</v>
      </c>
      <c r="I121" t="s">
        <v>402</v>
      </c>
      <c r="J121">
        <v>370149</v>
      </c>
      <c r="K121">
        <v>20230413</v>
      </c>
      <c r="L121" t="s">
        <v>565</v>
      </c>
      <c r="M121">
        <v>48.37</v>
      </c>
      <c r="N121">
        <v>0</v>
      </c>
      <c r="O121" t="s">
        <v>19</v>
      </c>
      <c r="P121" t="s">
        <v>20</v>
      </c>
      <c r="Q121">
        <v>20230413</v>
      </c>
    </row>
    <row r="122" spans="1:17" x14ac:dyDescent="0.25">
      <c r="A122" t="s">
        <v>548</v>
      </c>
      <c r="B122" t="s">
        <v>429</v>
      </c>
      <c r="C122">
        <v>2</v>
      </c>
      <c r="D122">
        <v>20230414</v>
      </c>
      <c r="E122">
        <v>4</v>
      </c>
      <c r="F122">
        <v>411100</v>
      </c>
      <c r="G122" t="s">
        <v>18</v>
      </c>
      <c r="H122" t="s">
        <v>305</v>
      </c>
      <c r="I122" t="s">
        <v>306</v>
      </c>
      <c r="J122">
        <v>123030049</v>
      </c>
      <c r="K122">
        <v>20230414</v>
      </c>
      <c r="L122" t="s">
        <v>5950</v>
      </c>
      <c r="M122">
        <v>0</v>
      </c>
      <c r="N122">
        <v>15.15</v>
      </c>
      <c r="O122" t="s">
        <v>19</v>
      </c>
      <c r="P122" t="s">
        <v>20</v>
      </c>
      <c r="Q122">
        <v>20230414</v>
      </c>
    </row>
    <row r="123" spans="1:17" x14ac:dyDescent="0.25">
      <c r="A123" t="s">
        <v>548</v>
      </c>
      <c r="B123" t="s">
        <v>429</v>
      </c>
      <c r="C123">
        <v>2</v>
      </c>
      <c r="D123">
        <v>20230414</v>
      </c>
      <c r="E123">
        <v>4</v>
      </c>
      <c r="F123">
        <v>411100</v>
      </c>
      <c r="G123" t="s">
        <v>18</v>
      </c>
      <c r="H123" t="s">
        <v>5103</v>
      </c>
      <c r="I123" t="s">
        <v>5104</v>
      </c>
      <c r="J123">
        <v>370151</v>
      </c>
      <c r="K123">
        <v>20230414</v>
      </c>
      <c r="L123" t="s">
        <v>5951</v>
      </c>
      <c r="M123">
        <v>0</v>
      </c>
      <c r="N123">
        <v>14.2</v>
      </c>
      <c r="O123" t="s">
        <v>19</v>
      </c>
      <c r="P123" t="s">
        <v>20</v>
      </c>
      <c r="Q123">
        <v>20230414</v>
      </c>
    </row>
    <row r="124" spans="1:17" x14ac:dyDescent="0.25">
      <c r="A124" t="s">
        <v>548</v>
      </c>
      <c r="B124" t="s">
        <v>429</v>
      </c>
      <c r="C124">
        <v>2</v>
      </c>
      <c r="D124">
        <v>20230414</v>
      </c>
      <c r="E124">
        <v>4</v>
      </c>
      <c r="F124">
        <v>531105</v>
      </c>
      <c r="G124" t="s">
        <v>429</v>
      </c>
      <c r="H124" t="s">
        <v>401</v>
      </c>
      <c r="I124" t="s">
        <v>402</v>
      </c>
      <c r="J124">
        <v>370152</v>
      </c>
      <c r="K124">
        <v>20230414</v>
      </c>
      <c r="L124" t="s">
        <v>565</v>
      </c>
      <c r="M124">
        <v>29.35</v>
      </c>
      <c r="N124">
        <v>0</v>
      </c>
      <c r="O124" t="s">
        <v>19</v>
      </c>
      <c r="P124" t="s">
        <v>20</v>
      </c>
      <c r="Q124">
        <v>20230414</v>
      </c>
    </row>
    <row r="125" spans="1:17" x14ac:dyDescent="0.25">
      <c r="A125" t="s">
        <v>548</v>
      </c>
      <c r="B125" t="s">
        <v>429</v>
      </c>
      <c r="C125">
        <v>2</v>
      </c>
      <c r="D125">
        <v>20230418</v>
      </c>
      <c r="E125">
        <v>4</v>
      </c>
      <c r="F125">
        <v>411100</v>
      </c>
      <c r="G125" t="s">
        <v>18</v>
      </c>
      <c r="H125" t="s">
        <v>1765</v>
      </c>
      <c r="I125" t="s">
        <v>1766</v>
      </c>
      <c r="J125">
        <v>370153</v>
      </c>
      <c r="K125">
        <v>20230418</v>
      </c>
      <c r="L125" t="s">
        <v>5952</v>
      </c>
      <c r="M125">
        <v>0</v>
      </c>
      <c r="N125">
        <v>4.87</v>
      </c>
      <c r="O125" t="s">
        <v>19</v>
      </c>
      <c r="P125" t="s">
        <v>20</v>
      </c>
      <c r="Q125">
        <v>20230418</v>
      </c>
    </row>
    <row r="126" spans="1:17" x14ac:dyDescent="0.25">
      <c r="A126" t="s">
        <v>548</v>
      </c>
      <c r="B126" t="s">
        <v>429</v>
      </c>
      <c r="C126">
        <v>2</v>
      </c>
      <c r="D126">
        <v>20230418</v>
      </c>
      <c r="E126">
        <v>4</v>
      </c>
      <c r="F126">
        <v>411100</v>
      </c>
      <c r="G126" t="s">
        <v>18</v>
      </c>
      <c r="H126" t="s">
        <v>694</v>
      </c>
      <c r="I126" t="s">
        <v>695</v>
      </c>
      <c r="J126">
        <v>122110029</v>
      </c>
      <c r="K126">
        <v>20230418</v>
      </c>
      <c r="L126" t="s">
        <v>5953</v>
      </c>
      <c r="M126">
        <v>0</v>
      </c>
      <c r="N126">
        <v>200</v>
      </c>
      <c r="O126" t="s">
        <v>19</v>
      </c>
      <c r="P126" t="s">
        <v>20</v>
      </c>
      <c r="Q126">
        <v>20230418</v>
      </c>
    </row>
    <row r="127" spans="1:17" x14ac:dyDescent="0.25">
      <c r="A127" t="s">
        <v>548</v>
      </c>
      <c r="B127" t="s">
        <v>429</v>
      </c>
      <c r="C127">
        <v>2</v>
      </c>
      <c r="D127">
        <v>20230418</v>
      </c>
      <c r="E127">
        <v>4</v>
      </c>
      <c r="F127">
        <v>531105</v>
      </c>
      <c r="G127" t="s">
        <v>429</v>
      </c>
      <c r="H127" t="s">
        <v>401</v>
      </c>
      <c r="I127" t="s">
        <v>402</v>
      </c>
      <c r="J127">
        <v>370155</v>
      </c>
      <c r="K127">
        <v>20230418</v>
      </c>
      <c r="L127" t="s">
        <v>565</v>
      </c>
      <c r="M127">
        <v>204.87</v>
      </c>
      <c r="N127">
        <v>0</v>
      </c>
      <c r="O127" t="s">
        <v>19</v>
      </c>
      <c r="P127" t="s">
        <v>20</v>
      </c>
      <c r="Q127">
        <v>20230418</v>
      </c>
    </row>
    <row r="128" spans="1:17" x14ac:dyDescent="0.25">
      <c r="A128" t="s">
        <v>548</v>
      </c>
      <c r="B128" t="s">
        <v>429</v>
      </c>
      <c r="C128">
        <v>2</v>
      </c>
      <c r="D128">
        <v>20230405</v>
      </c>
      <c r="E128">
        <v>4</v>
      </c>
      <c r="F128">
        <v>411010</v>
      </c>
      <c r="G128" t="s">
        <v>87</v>
      </c>
      <c r="H128" t="s">
        <v>379</v>
      </c>
      <c r="I128" t="s">
        <v>380</v>
      </c>
      <c r="J128">
        <v>223030028</v>
      </c>
      <c r="K128">
        <v>20230405</v>
      </c>
      <c r="L128" t="s">
        <v>5954</v>
      </c>
      <c r="M128">
        <v>0</v>
      </c>
      <c r="N128">
        <v>20.010000000000002</v>
      </c>
      <c r="O128" t="s">
        <v>19</v>
      </c>
      <c r="P128" t="s">
        <v>20</v>
      </c>
      <c r="Q128">
        <v>20230405</v>
      </c>
    </row>
    <row r="129" spans="1:17" x14ac:dyDescent="0.25">
      <c r="A129" t="s">
        <v>548</v>
      </c>
      <c r="B129" t="s">
        <v>429</v>
      </c>
      <c r="C129">
        <v>2</v>
      </c>
      <c r="D129">
        <v>20230405</v>
      </c>
      <c r="E129">
        <v>4</v>
      </c>
      <c r="F129">
        <v>531105</v>
      </c>
      <c r="G129" t="s">
        <v>429</v>
      </c>
      <c r="H129" t="s">
        <v>401</v>
      </c>
      <c r="I129" t="s">
        <v>402</v>
      </c>
      <c r="J129">
        <v>370328</v>
      </c>
      <c r="K129">
        <v>20230405</v>
      </c>
      <c r="L129" t="s">
        <v>565</v>
      </c>
      <c r="M129">
        <v>20.010000000000002</v>
      </c>
      <c r="N129">
        <v>0</v>
      </c>
      <c r="O129" t="s">
        <v>19</v>
      </c>
      <c r="P129" t="s">
        <v>20</v>
      </c>
      <c r="Q129">
        <v>20230405</v>
      </c>
    </row>
    <row r="130" spans="1:17" x14ac:dyDescent="0.25">
      <c r="A130" t="s">
        <v>548</v>
      </c>
      <c r="B130" t="s">
        <v>429</v>
      </c>
      <c r="C130">
        <v>2</v>
      </c>
      <c r="D130">
        <v>20230407</v>
      </c>
      <c r="E130">
        <v>4</v>
      </c>
      <c r="F130">
        <v>411010</v>
      </c>
      <c r="G130" t="s">
        <v>87</v>
      </c>
      <c r="H130" t="s">
        <v>5498</v>
      </c>
      <c r="I130" t="s">
        <v>5874</v>
      </c>
      <c r="J130">
        <v>223030034</v>
      </c>
      <c r="K130">
        <v>20230407</v>
      </c>
      <c r="L130" t="s">
        <v>5955</v>
      </c>
      <c r="M130">
        <v>0</v>
      </c>
      <c r="N130">
        <v>276.75</v>
      </c>
      <c r="O130" t="s">
        <v>19</v>
      </c>
      <c r="P130" t="s">
        <v>20</v>
      </c>
      <c r="Q130">
        <v>20230407</v>
      </c>
    </row>
    <row r="131" spans="1:17" x14ac:dyDescent="0.25">
      <c r="A131" t="s">
        <v>548</v>
      </c>
      <c r="B131" t="s">
        <v>429</v>
      </c>
      <c r="C131">
        <v>2</v>
      </c>
      <c r="D131">
        <v>20230407</v>
      </c>
      <c r="E131">
        <v>4</v>
      </c>
      <c r="F131">
        <v>411010</v>
      </c>
      <c r="G131" t="s">
        <v>87</v>
      </c>
      <c r="H131" t="s">
        <v>5498</v>
      </c>
      <c r="I131" t="s">
        <v>5874</v>
      </c>
      <c r="J131">
        <v>223030034</v>
      </c>
      <c r="K131">
        <v>20230407</v>
      </c>
      <c r="L131" t="s">
        <v>5956</v>
      </c>
      <c r="M131">
        <v>0</v>
      </c>
      <c r="N131">
        <v>3.25</v>
      </c>
      <c r="O131" t="s">
        <v>19</v>
      </c>
      <c r="P131" t="s">
        <v>20</v>
      </c>
      <c r="Q131">
        <v>20230407</v>
      </c>
    </row>
    <row r="132" spans="1:17" x14ac:dyDescent="0.25">
      <c r="A132" t="s">
        <v>548</v>
      </c>
      <c r="B132" t="s">
        <v>429</v>
      </c>
      <c r="C132">
        <v>2</v>
      </c>
      <c r="D132">
        <v>20230407</v>
      </c>
      <c r="E132">
        <v>4</v>
      </c>
      <c r="F132">
        <v>411010</v>
      </c>
      <c r="G132" t="s">
        <v>87</v>
      </c>
      <c r="H132" t="s">
        <v>4749</v>
      </c>
      <c r="I132" t="s">
        <v>5810</v>
      </c>
      <c r="J132">
        <v>223010024</v>
      </c>
      <c r="K132">
        <v>20230407</v>
      </c>
      <c r="L132" t="s">
        <v>5957</v>
      </c>
      <c r="M132">
        <v>0</v>
      </c>
      <c r="N132">
        <v>120</v>
      </c>
      <c r="O132" t="s">
        <v>19</v>
      </c>
      <c r="P132" t="s">
        <v>20</v>
      </c>
      <c r="Q132">
        <v>20230407</v>
      </c>
    </row>
    <row r="133" spans="1:17" x14ac:dyDescent="0.25">
      <c r="A133" t="s">
        <v>548</v>
      </c>
      <c r="B133" t="s">
        <v>429</v>
      </c>
      <c r="C133">
        <v>2</v>
      </c>
      <c r="D133">
        <v>20230407</v>
      </c>
      <c r="E133">
        <v>4</v>
      </c>
      <c r="F133">
        <v>531105</v>
      </c>
      <c r="G133" t="s">
        <v>429</v>
      </c>
      <c r="H133" t="s">
        <v>401</v>
      </c>
      <c r="I133" t="s">
        <v>402</v>
      </c>
      <c r="J133">
        <v>370332</v>
      </c>
      <c r="K133">
        <v>20230407</v>
      </c>
      <c r="L133" t="s">
        <v>565</v>
      </c>
      <c r="M133">
        <v>400</v>
      </c>
      <c r="N133">
        <v>0</v>
      </c>
      <c r="O133" t="s">
        <v>19</v>
      </c>
      <c r="P133" t="s">
        <v>20</v>
      </c>
      <c r="Q133">
        <v>20230407</v>
      </c>
    </row>
    <row r="134" spans="1:17" x14ac:dyDescent="0.25">
      <c r="A134" t="s">
        <v>548</v>
      </c>
      <c r="B134" t="s">
        <v>429</v>
      </c>
      <c r="C134">
        <v>2</v>
      </c>
      <c r="D134">
        <v>20230411</v>
      </c>
      <c r="E134">
        <v>4</v>
      </c>
      <c r="F134">
        <v>411100</v>
      </c>
      <c r="G134" t="s">
        <v>18</v>
      </c>
      <c r="H134" t="s">
        <v>233</v>
      </c>
      <c r="I134" t="s">
        <v>234</v>
      </c>
      <c r="J134">
        <v>223030018</v>
      </c>
      <c r="K134">
        <v>20230411</v>
      </c>
      <c r="L134" t="s">
        <v>5958</v>
      </c>
      <c r="M134">
        <v>0</v>
      </c>
      <c r="N134">
        <v>52.65</v>
      </c>
      <c r="O134" t="s">
        <v>19</v>
      </c>
      <c r="P134" t="s">
        <v>20</v>
      </c>
      <c r="Q134">
        <v>20230411</v>
      </c>
    </row>
    <row r="135" spans="1:17" x14ac:dyDescent="0.25">
      <c r="A135" t="s">
        <v>548</v>
      </c>
      <c r="B135" t="s">
        <v>429</v>
      </c>
      <c r="C135">
        <v>2</v>
      </c>
      <c r="D135">
        <v>20230411</v>
      </c>
      <c r="E135">
        <v>4</v>
      </c>
      <c r="F135">
        <v>531105</v>
      </c>
      <c r="G135" t="s">
        <v>429</v>
      </c>
      <c r="H135" t="s">
        <v>401</v>
      </c>
      <c r="I135" t="s">
        <v>402</v>
      </c>
      <c r="J135">
        <v>370334</v>
      </c>
      <c r="K135">
        <v>20230411</v>
      </c>
      <c r="L135" t="s">
        <v>565</v>
      </c>
      <c r="M135">
        <v>52.65</v>
      </c>
      <c r="N135">
        <v>0</v>
      </c>
      <c r="O135" t="s">
        <v>19</v>
      </c>
      <c r="P135" t="s">
        <v>20</v>
      </c>
      <c r="Q135">
        <v>20230411</v>
      </c>
    </row>
    <row r="136" spans="1:17" x14ac:dyDescent="0.25">
      <c r="A136" t="s">
        <v>548</v>
      </c>
      <c r="B136" t="s">
        <v>429</v>
      </c>
      <c r="C136">
        <v>2</v>
      </c>
      <c r="D136">
        <v>20230413</v>
      </c>
      <c r="E136">
        <v>4</v>
      </c>
      <c r="F136">
        <v>411010</v>
      </c>
      <c r="G136" t="s">
        <v>87</v>
      </c>
      <c r="H136" t="s">
        <v>381</v>
      </c>
      <c r="I136" t="s">
        <v>382</v>
      </c>
      <c r="J136">
        <v>223010009</v>
      </c>
      <c r="K136">
        <v>20230413</v>
      </c>
      <c r="L136" t="s">
        <v>5959</v>
      </c>
      <c r="M136">
        <v>0</v>
      </c>
      <c r="N136">
        <v>500</v>
      </c>
      <c r="O136" t="s">
        <v>19</v>
      </c>
      <c r="P136" t="s">
        <v>20</v>
      </c>
      <c r="Q136">
        <v>20230413</v>
      </c>
    </row>
    <row r="137" spans="1:17" x14ac:dyDescent="0.25">
      <c r="A137" t="s">
        <v>548</v>
      </c>
      <c r="B137" t="s">
        <v>429</v>
      </c>
      <c r="C137">
        <v>2</v>
      </c>
      <c r="D137">
        <v>20230413</v>
      </c>
      <c r="E137">
        <v>4</v>
      </c>
      <c r="F137">
        <v>531105</v>
      </c>
      <c r="G137" t="s">
        <v>429</v>
      </c>
      <c r="H137" t="s">
        <v>401</v>
      </c>
      <c r="I137" t="s">
        <v>402</v>
      </c>
      <c r="J137">
        <v>370336</v>
      </c>
      <c r="K137">
        <v>20230413</v>
      </c>
      <c r="L137" t="s">
        <v>565</v>
      </c>
      <c r="M137">
        <v>500</v>
      </c>
      <c r="N137">
        <v>0</v>
      </c>
      <c r="O137" t="s">
        <v>19</v>
      </c>
      <c r="P137" t="s">
        <v>20</v>
      </c>
      <c r="Q137">
        <v>20230413</v>
      </c>
    </row>
    <row r="138" spans="1:17" x14ac:dyDescent="0.25">
      <c r="A138" t="s">
        <v>548</v>
      </c>
      <c r="B138" t="s">
        <v>429</v>
      </c>
      <c r="C138">
        <v>2</v>
      </c>
      <c r="D138">
        <v>20230414</v>
      </c>
      <c r="E138">
        <v>4</v>
      </c>
      <c r="F138">
        <v>411010</v>
      </c>
      <c r="G138" t="s">
        <v>87</v>
      </c>
      <c r="H138" t="s">
        <v>4467</v>
      </c>
      <c r="I138" t="s">
        <v>4468</v>
      </c>
      <c r="J138">
        <v>223030011</v>
      </c>
      <c r="K138">
        <v>20230414</v>
      </c>
      <c r="L138" t="s">
        <v>5960</v>
      </c>
      <c r="M138">
        <v>0</v>
      </c>
      <c r="N138">
        <v>105.17</v>
      </c>
      <c r="O138" t="s">
        <v>19</v>
      </c>
      <c r="P138" t="s">
        <v>20</v>
      </c>
      <c r="Q138">
        <v>20230414</v>
      </c>
    </row>
    <row r="139" spans="1:17" x14ac:dyDescent="0.25">
      <c r="A139" t="s">
        <v>548</v>
      </c>
      <c r="B139" t="s">
        <v>429</v>
      </c>
      <c r="C139">
        <v>2</v>
      </c>
      <c r="D139">
        <v>20230414</v>
      </c>
      <c r="E139">
        <v>4</v>
      </c>
      <c r="F139">
        <v>411100</v>
      </c>
      <c r="G139" t="s">
        <v>18</v>
      </c>
      <c r="H139" t="s">
        <v>734</v>
      </c>
      <c r="I139" t="s">
        <v>5873</v>
      </c>
      <c r="J139">
        <v>223030015</v>
      </c>
      <c r="K139">
        <v>20230414</v>
      </c>
      <c r="L139" t="s">
        <v>5961</v>
      </c>
      <c r="M139">
        <v>0</v>
      </c>
      <c r="N139">
        <v>119.25</v>
      </c>
      <c r="O139" t="s">
        <v>19</v>
      </c>
      <c r="P139" t="s">
        <v>20</v>
      </c>
      <c r="Q139">
        <v>20230414</v>
      </c>
    </row>
    <row r="140" spans="1:17" x14ac:dyDescent="0.25">
      <c r="A140" t="s">
        <v>548</v>
      </c>
      <c r="B140" t="s">
        <v>429</v>
      </c>
      <c r="C140">
        <v>2</v>
      </c>
      <c r="D140">
        <v>20230414</v>
      </c>
      <c r="E140">
        <v>4</v>
      </c>
      <c r="F140">
        <v>531105</v>
      </c>
      <c r="G140" t="s">
        <v>429</v>
      </c>
      <c r="H140" t="s">
        <v>401</v>
      </c>
      <c r="I140" t="s">
        <v>402</v>
      </c>
      <c r="J140">
        <v>370339</v>
      </c>
      <c r="K140">
        <v>20230414</v>
      </c>
      <c r="L140" t="s">
        <v>565</v>
      </c>
      <c r="M140">
        <v>224.42</v>
      </c>
      <c r="N140">
        <v>0</v>
      </c>
      <c r="O140" t="s">
        <v>19</v>
      </c>
      <c r="P140" t="s">
        <v>20</v>
      </c>
      <c r="Q140">
        <v>20230414</v>
      </c>
    </row>
    <row r="141" spans="1:17" x14ac:dyDescent="0.25">
      <c r="A141" t="s">
        <v>548</v>
      </c>
      <c r="B141" t="s">
        <v>429</v>
      </c>
      <c r="C141">
        <v>2</v>
      </c>
      <c r="D141">
        <v>20230424</v>
      </c>
      <c r="E141">
        <v>4</v>
      </c>
      <c r="F141">
        <v>411010</v>
      </c>
      <c r="G141" t="s">
        <v>87</v>
      </c>
      <c r="H141" t="s">
        <v>3214</v>
      </c>
      <c r="I141" t="s">
        <v>3215</v>
      </c>
      <c r="J141">
        <v>223030020</v>
      </c>
      <c r="K141">
        <v>20230424</v>
      </c>
      <c r="L141" t="s">
        <v>5962</v>
      </c>
      <c r="M141">
        <v>0</v>
      </c>
      <c r="N141">
        <v>478.48</v>
      </c>
      <c r="O141" t="s">
        <v>19</v>
      </c>
      <c r="P141" t="s">
        <v>20</v>
      </c>
      <c r="Q141">
        <v>20230424</v>
      </c>
    </row>
    <row r="142" spans="1:17" x14ac:dyDescent="0.25">
      <c r="A142" t="s">
        <v>548</v>
      </c>
      <c r="B142" t="s">
        <v>429</v>
      </c>
      <c r="C142">
        <v>2</v>
      </c>
      <c r="D142">
        <v>20230424</v>
      </c>
      <c r="E142">
        <v>4</v>
      </c>
      <c r="F142">
        <v>531105</v>
      </c>
      <c r="G142" t="s">
        <v>429</v>
      </c>
      <c r="H142" t="s">
        <v>401</v>
      </c>
      <c r="I142" t="s">
        <v>402</v>
      </c>
      <c r="J142">
        <v>370341</v>
      </c>
      <c r="K142">
        <v>20230424</v>
      </c>
      <c r="L142" t="s">
        <v>565</v>
      </c>
      <c r="M142">
        <v>478.48</v>
      </c>
      <c r="N142">
        <v>0</v>
      </c>
      <c r="O142" t="s">
        <v>19</v>
      </c>
      <c r="P142" t="s">
        <v>20</v>
      </c>
      <c r="Q142">
        <v>20230424</v>
      </c>
    </row>
    <row r="143" spans="1:17" x14ac:dyDescent="0.25">
      <c r="A143" t="s">
        <v>548</v>
      </c>
      <c r="B143" t="s">
        <v>429</v>
      </c>
      <c r="C143">
        <v>2</v>
      </c>
      <c r="D143">
        <v>20230405</v>
      </c>
      <c r="E143">
        <v>4</v>
      </c>
      <c r="F143">
        <v>411100</v>
      </c>
      <c r="G143" t="s">
        <v>18</v>
      </c>
      <c r="H143" t="s">
        <v>209</v>
      </c>
      <c r="I143" t="s">
        <v>210</v>
      </c>
      <c r="J143">
        <v>322120014</v>
      </c>
      <c r="K143">
        <v>20230405</v>
      </c>
      <c r="L143" t="s">
        <v>5963</v>
      </c>
      <c r="M143">
        <v>0</v>
      </c>
      <c r="N143">
        <v>50</v>
      </c>
      <c r="O143" t="s">
        <v>19</v>
      </c>
      <c r="P143" t="s">
        <v>20</v>
      </c>
      <c r="Q143">
        <v>20230405</v>
      </c>
    </row>
    <row r="144" spans="1:17" x14ac:dyDescent="0.25">
      <c r="A144" t="s">
        <v>548</v>
      </c>
      <c r="B144" t="s">
        <v>429</v>
      </c>
      <c r="C144">
        <v>2</v>
      </c>
      <c r="D144">
        <v>20230405</v>
      </c>
      <c r="E144">
        <v>4</v>
      </c>
      <c r="F144">
        <v>531105</v>
      </c>
      <c r="G144" t="s">
        <v>429</v>
      </c>
      <c r="H144" t="s">
        <v>401</v>
      </c>
      <c r="I144" t="s">
        <v>402</v>
      </c>
      <c r="J144">
        <v>370406</v>
      </c>
      <c r="K144">
        <v>20230405</v>
      </c>
      <c r="L144" t="s">
        <v>565</v>
      </c>
      <c r="M144">
        <v>50</v>
      </c>
      <c r="N144">
        <v>0</v>
      </c>
      <c r="O144" t="s">
        <v>19</v>
      </c>
      <c r="P144" t="s">
        <v>20</v>
      </c>
      <c r="Q144">
        <v>20230405</v>
      </c>
    </row>
    <row r="145" spans="1:17" x14ac:dyDescent="0.25">
      <c r="A145" t="s">
        <v>548</v>
      </c>
      <c r="B145" t="s">
        <v>429</v>
      </c>
      <c r="C145">
        <v>2</v>
      </c>
      <c r="D145">
        <v>20230413</v>
      </c>
      <c r="E145">
        <v>4</v>
      </c>
      <c r="F145">
        <v>411020</v>
      </c>
      <c r="G145" t="s">
        <v>30</v>
      </c>
      <c r="H145" t="s">
        <v>338</v>
      </c>
      <c r="I145" t="s">
        <v>339</v>
      </c>
      <c r="J145">
        <v>323020022</v>
      </c>
      <c r="K145">
        <v>20230413</v>
      </c>
      <c r="L145" t="s">
        <v>5964</v>
      </c>
      <c r="M145">
        <v>0</v>
      </c>
      <c r="N145">
        <v>102.22</v>
      </c>
      <c r="O145" t="s">
        <v>19</v>
      </c>
      <c r="P145" t="s">
        <v>20</v>
      </c>
      <c r="Q145">
        <v>20230413</v>
      </c>
    </row>
    <row r="146" spans="1:17" x14ac:dyDescent="0.25">
      <c r="A146" t="s">
        <v>548</v>
      </c>
      <c r="B146" t="s">
        <v>429</v>
      </c>
      <c r="C146">
        <v>2</v>
      </c>
      <c r="D146">
        <v>20230413</v>
      </c>
      <c r="E146">
        <v>4</v>
      </c>
      <c r="F146">
        <v>531105</v>
      </c>
      <c r="G146" t="s">
        <v>429</v>
      </c>
      <c r="H146" t="s">
        <v>401</v>
      </c>
      <c r="I146" t="s">
        <v>402</v>
      </c>
      <c r="J146">
        <v>370408</v>
      </c>
      <c r="K146">
        <v>20230413</v>
      </c>
      <c r="L146" t="s">
        <v>565</v>
      </c>
      <c r="M146">
        <v>102.22</v>
      </c>
      <c r="N146">
        <v>0</v>
      </c>
      <c r="O146" t="s">
        <v>19</v>
      </c>
      <c r="P146" t="s">
        <v>20</v>
      </c>
      <c r="Q146">
        <v>20230413</v>
      </c>
    </row>
    <row r="147" spans="1:17" x14ac:dyDescent="0.25">
      <c r="A147" t="s">
        <v>548</v>
      </c>
      <c r="B147" t="s">
        <v>429</v>
      </c>
      <c r="C147">
        <v>2</v>
      </c>
      <c r="D147">
        <v>20230414</v>
      </c>
      <c r="E147">
        <v>4</v>
      </c>
      <c r="F147">
        <v>411020</v>
      </c>
      <c r="G147" t="s">
        <v>30</v>
      </c>
      <c r="H147" t="s">
        <v>4147</v>
      </c>
      <c r="I147" t="s">
        <v>4148</v>
      </c>
      <c r="J147">
        <v>323030016</v>
      </c>
      <c r="K147">
        <v>20230414</v>
      </c>
      <c r="L147" t="s">
        <v>5965</v>
      </c>
      <c r="M147">
        <v>0</v>
      </c>
      <c r="N147">
        <v>49.34</v>
      </c>
      <c r="O147" t="s">
        <v>19</v>
      </c>
      <c r="P147" t="s">
        <v>20</v>
      </c>
      <c r="Q147">
        <v>20230414</v>
      </c>
    </row>
    <row r="148" spans="1:17" x14ac:dyDescent="0.25">
      <c r="A148" t="s">
        <v>548</v>
      </c>
      <c r="B148" t="s">
        <v>429</v>
      </c>
      <c r="C148">
        <v>2</v>
      </c>
      <c r="D148">
        <v>20230414</v>
      </c>
      <c r="E148">
        <v>4</v>
      </c>
      <c r="F148">
        <v>531105</v>
      </c>
      <c r="G148" t="s">
        <v>429</v>
      </c>
      <c r="H148" t="s">
        <v>401</v>
      </c>
      <c r="I148" t="s">
        <v>402</v>
      </c>
      <c r="J148">
        <v>370410</v>
      </c>
      <c r="K148">
        <v>20230414</v>
      </c>
      <c r="L148" t="s">
        <v>565</v>
      </c>
      <c r="M148">
        <v>49.34</v>
      </c>
      <c r="N148">
        <v>0</v>
      </c>
      <c r="O148" t="s">
        <v>19</v>
      </c>
      <c r="P148" t="s">
        <v>20</v>
      </c>
      <c r="Q148">
        <v>20230414</v>
      </c>
    </row>
    <row r="149" spans="1:17" x14ac:dyDescent="0.25">
      <c r="A149" t="s">
        <v>548</v>
      </c>
      <c r="B149" t="s">
        <v>429</v>
      </c>
      <c r="C149">
        <v>2</v>
      </c>
      <c r="D149">
        <v>20230417</v>
      </c>
      <c r="E149">
        <v>4</v>
      </c>
      <c r="F149">
        <v>411020</v>
      </c>
      <c r="G149" t="s">
        <v>30</v>
      </c>
      <c r="H149" t="s">
        <v>324</v>
      </c>
      <c r="I149" t="s">
        <v>325</v>
      </c>
      <c r="J149">
        <v>323030003</v>
      </c>
      <c r="K149">
        <v>20230417</v>
      </c>
      <c r="L149" t="s">
        <v>5966</v>
      </c>
      <c r="M149">
        <v>0</v>
      </c>
      <c r="N149">
        <v>280.14</v>
      </c>
      <c r="O149" t="s">
        <v>19</v>
      </c>
      <c r="P149" t="s">
        <v>20</v>
      </c>
      <c r="Q149">
        <v>20230417</v>
      </c>
    </row>
    <row r="150" spans="1:17" x14ac:dyDescent="0.25">
      <c r="A150" t="s">
        <v>548</v>
      </c>
      <c r="B150" t="s">
        <v>429</v>
      </c>
      <c r="C150">
        <v>2</v>
      </c>
      <c r="D150">
        <v>20230417</v>
      </c>
      <c r="E150">
        <v>4</v>
      </c>
      <c r="F150">
        <v>531105</v>
      </c>
      <c r="G150" t="s">
        <v>429</v>
      </c>
      <c r="H150" t="s">
        <v>401</v>
      </c>
      <c r="I150" t="s">
        <v>402</v>
      </c>
      <c r="J150">
        <v>370412</v>
      </c>
      <c r="K150">
        <v>20230417</v>
      </c>
      <c r="L150" t="s">
        <v>565</v>
      </c>
      <c r="M150">
        <v>280.14</v>
      </c>
      <c r="N150">
        <v>0</v>
      </c>
      <c r="O150" t="s">
        <v>19</v>
      </c>
      <c r="P150" t="s">
        <v>20</v>
      </c>
      <c r="Q150">
        <v>20230417</v>
      </c>
    </row>
    <row r="151" spans="1:17" x14ac:dyDescent="0.25">
      <c r="A151" t="s">
        <v>548</v>
      </c>
      <c r="B151" t="s">
        <v>429</v>
      </c>
      <c r="C151">
        <v>2</v>
      </c>
      <c r="D151">
        <v>20230425</v>
      </c>
      <c r="E151">
        <v>4</v>
      </c>
      <c r="F151">
        <v>467100</v>
      </c>
      <c r="G151" t="s">
        <v>160</v>
      </c>
      <c r="H151" t="s">
        <v>4958</v>
      </c>
      <c r="I151" t="s">
        <v>4959</v>
      </c>
      <c r="J151" t="s">
        <v>5967</v>
      </c>
      <c r="K151">
        <v>20230425</v>
      </c>
      <c r="L151" t="s">
        <v>5968</v>
      </c>
      <c r="M151">
        <v>200</v>
      </c>
      <c r="N151">
        <v>0</v>
      </c>
      <c r="O151" t="s">
        <v>23</v>
      </c>
      <c r="P151">
        <v>20230526</v>
      </c>
      <c r="Q151">
        <v>20230425</v>
      </c>
    </row>
    <row r="152" spans="1:17" x14ac:dyDescent="0.25">
      <c r="A152" t="s">
        <v>548</v>
      </c>
      <c r="B152" t="s">
        <v>429</v>
      </c>
      <c r="C152">
        <v>2</v>
      </c>
      <c r="D152">
        <v>20230425</v>
      </c>
      <c r="E152">
        <v>4</v>
      </c>
      <c r="F152">
        <v>531105</v>
      </c>
      <c r="G152" t="s">
        <v>429</v>
      </c>
      <c r="H152" t="s">
        <v>401</v>
      </c>
      <c r="I152" t="s">
        <v>402</v>
      </c>
      <c r="J152" t="s">
        <v>5967</v>
      </c>
      <c r="K152">
        <v>20230425</v>
      </c>
      <c r="L152" t="s">
        <v>5968</v>
      </c>
      <c r="M152">
        <v>0</v>
      </c>
      <c r="N152">
        <v>200</v>
      </c>
      <c r="O152" t="s">
        <v>19</v>
      </c>
      <c r="P152" t="s">
        <v>20</v>
      </c>
      <c r="Q152">
        <v>20230425</v>
      </c>
    </row>
    <row r="153" spans="1:17" x14ac:dyDescent="0.25">
      <c r="A153" t="s">
        <v>548</v>
      </c>
      <c r="B153" t="s">
        <v>429</v>
      </c>
      <c r="C153">
        <v>2</v>
      </c>
      <c r="D153">
        <v>20230425</v>
      </c>
      <c r="E153">
        <v>4</v>
      </c>
      <c r="F153">
        <v>580000</v>
      </c>
      <c r="G153" t="s">
        <v>532</v>
      </c>
      <c r="H153" t="s">
        <v>401</v>
      </c>
      <c r="I153" t="s">
        <v>402</v>
      </c>
      <c r="J153" t="s">
        <v>5969</v>
      </c>
      <c r="K153">
        <v>20230425</v>
      </c>
      <c r="L153" t="s">
        <v>625</v>
      </c>
      <c r="M153">
        <v>2750</v>
      </c>
      <c r="N153">
        <v>0</v>
      </c>
      <c r="O153" t="s">
        <v>22</v>
      </c>
      <c r="P153">
        <v>20230425</v>
      </c>
      <c r="Q153">
        <v>20230425</v>
      </c>
    </row>
    <row r="154" spans="1:17" x14ac:dyDescent="0.25">
      <c r="A154" t="s">
        <v>548</v>
      </c>
      <c r="B154" t="s">
        <v>429</v>
      </c>
      <c r="C154">
        <v>2</v>
      </c>
      <c r="D154">
        <v>20230425</v>
      </c>
      <c r="E154">
        <v>4</v>
      </c>
      <c r="F154">
        <v>531105</v>
      </c>
      <c r="G154" t="s">
        <v>429</v>
      </c>
      <c r="H154" t="s">
        <v>401</v>
      </c>
      <c r="I154" t="s">
        <v>402</v>
      </c>
      <c r="J154" t="s">
        <v>5969</v>
      </c>
      <c r="K154">
        <v>20230425</v>
      </c>
      <c r="L154" t="s">
        <v>625</v>
      </c>
      <c r="M154">
        <v>0</v>
      </c>
      <c r="N154">
        <v>2750</v>
      </c>
      <c r="O154" t="s">
        <v>19</v>
      </c>
      <c r="P154" t="s">
        <v>20</v>
      </c>
      <c r="Q154">
        <v>20230425</v>
      </c>
    </row>
    <row r="155" spans="1:17" x14ac:dyDescent="0.25">
      <c r="A155" t="s">
        <v>548</v>
      </c>
      <c r="B155" t="s">
        <v>429</v>
      </c>
      <c r="C155">
        <v>2</v>
      </c>
      <c r="D155">
        <v>20230425</v>
      </c>
      <c r="E155">
        <v>4</v>
      </c>
      <c r="F155">
        <v>467100</v>
      </c>
      <c r="G155" t="s">
        <v>160</v>
      </c>
      <c r="H155" t="s">
        <v>316</v>
      </c>
      <c r="I155" t="s">
        <v>317</v>
      </c>
      <c r="J155" t="s">
        <v>5970</v>
      </c>
      <c r="K155">
        <v>20230425</v>
      </c>
      <c r="L155" t="s">
        <v>5971</v>
      </c>
      <c r="M155">
        <v>0</v>
      </c>
      <c r="N155">
        <v>69.12</v>
      </c>
      <c r="O155" t="s">
        <v>23</v>
      </c>
      <c r="P155">
        <v>20230526</v>
      </c>
      <c r="Q155">
        <v>20230425</v>
      </c>
    </row>
    <row r="156" spans="1:17" x14ac:dyDescent="0.25">
      <c r="A156" t="s">
        <v>548</v>
      </c>
      <c r="B156" t="s">
        <v>429</v>
      </c>
      <c r="C156">
        <v>2</v>
      </c>
      <c r="D156">
        <v>20230425</v>
      </c>
      <c r="E156">
        <v>4</v>
      </c>
      <c r="F156">
        <v>531105</v>
      </c>
      <c r="G156" t="s">
        <v>429</v>
      </c>
      <c r="H156" t="s">
        <v>401</v>
      </c>
      <c r="I156" t="s">
        <v>402</v>
      </c>
      <c r="J156" t="s">
        <v>5970</v>
      </c>
      <c r="K156">
        <v>20230425</v>
      </c>
      <c r="L156" t="s">
        <v>5971</v>
      </c>
      <c r="M156">
        <v>69.12</v>
      </c>
      <c r="N156">
        <v>0</v>
      </c>
      <c r="O156" t="s">
        <v>19</v>
      </c>
      <c r="P156" t="s">
        <v>20</v>
      </c>
      <c r="Q156">
        <v>20230425</v>
      </c>
    </row>
    <row r="157" spans="1:17" x14ac:dyDescent="0.25">
      <c r="A157" t="s">
        <v>548</v>
      </c>
      <c r="B157" t="s">
        <v>429</v>
      </c>
      <c r="C157">
        <v>2</v>
      </c>
      <c r="D157">
        <v>20230425</v>
      </c>
      <c r="E157">
        <v>4</v>
      </c>
      <c r="F157">
        <v>411100</v>
      </c>
      <c r="G157" t="s">
        <v>18</v>
      </c>
      <c r="H157" t="s">
        <v>1911</v>
      </c>
      <c r="I157" t="s">
        <v>1912</v>
      </c>
      <c r="J157">
        <v>370719</v>
      </c>
      <c r="K157">
        <v>20230425</v>
      </c>
      <c r="L157" t="s">
        <v>5972</v>
      </c>
      <c r="M157">
        <v>0</v>
      </c>
      <c r="N157">
        <v>21.5</v>
      </c>
      <c r="O157" t="s">
        <v>19</v>
      </c>
      <c r="P157" t="s">
        <v>20</v>
      </c>
      <c r="Q157">
        <v>20230425</v>
      </c>
    </row>
    <row r="158" spans="1:17" x14ac:dyDescent="0.25">
      <c r="A158" t="s">
        <v>548</v>
      </c>
      <c r="B158" t="s">
        <v>429</v>
      </c>
      <c r="C158">
        <v>2</v>
      </c>
      <c r="D158">
        <v>20230425</v>
      </c>
      <c r="E158">
        <v>4</v>
      </c>
      <c r="F158">
        <v>411100</v>
      </c>
      <c r="G158" t="s">
        <v>18</v>
      </c>
      <c r="H158" t="s">
        <v>3001</v>
      </c>
      <c r="I158" t="s">
        <v>3002</v>
      </c>
      <c r="J158">
        <v>370720</v>
      </c>
      <c r="K158">
        <v>20230425</v>
      </c>
      <c r="L158" t="s">
        <v>5973</v>
      </c>
      <c r="M158">
        <v>0</v>
      </c>
      <c r="N158">
        <v>16.5</v>
      </c>
      <c r="O158" t="s">
        <v>19</v>
      </c>
      <c r="P158" t="s">
        <v>20</v>
      </c>
      <c r="Q158">
        <v>20230425</v>
      </c>
    </row>
    <row r="159" spans="1:17" x14ac:dyDescent="0.25">
      <c r="A159" t="s">
        <v>548</v>
      </c>
      <c r="B159" t="s">
        <v>429</v>
      </c>
      <c r="C159">
        <v>2</v>
      </c>
      <c r="D159">
        <v>20230425</v>
      </c>
      <c r="E159">
        <v>4</v>
      </c>
      <c r="F159">
        <v>411100</v>
      </c>
      <c r="G159" t="s">
        <v>18</v>
      </c>
      <c r="H159" t="s">
        <v>1911</v>
      </c>
      <c r="I159" t="s">
        <v>1912</v>
      </c>
      <c r="J159">
        <v>370721</v>
      </c>
      <c r="K159">
        <v>20230425</v>
      </c>
      <c r="L159" t="s">
        <v>5974</v>
      </c>
      <c r="M159">
        <v>0</v>
      </c>
      <c r="N159">
        <v>7</v>
      </c>
      <c r="O159" t="s">
        <v>19</v>
      </c>
      <c r="P159" t="s">
        <v>20</v>
      </c>
      <c r="Q159">
        <v>20230425</v>
      </c>
    </row>
    <row r="160" spans="1:17" x14ac:dyDescent="0.25">
      <c r="A160" t="s">
        <v>548</v>
      </c>
      <c r="B160" t="s">
        <v>429</v>
      </c>
      <c r="C160">
        <v>2</v>
      </c>
      <c r="D160">
        <v>20230425</v>
      </c>
      <c r="E160">
        <v>4</v>
      </c>
      <c r="F160">
        <v>411100</v>
      </c>
      <c r="G160" t="s">
        <v>18</v>
      </c>
      <c r="H160" t="s">
        <v>3001</v>
      </c>
      <c r="I160" t="s">
        <v>3002</v>
      </c>
      <c r="J160">
        <v>370722</v>
      </c>
      <c r="K160">
        <v>20230425</v>
      </c>
      <c r="L160" t="s">
        <v>5975</v>
      </c>
      <c r="M160">
        <v>0</v>
      </c>
      <c r="N160">
        <v>21</v>
      </c>
      <c r="O160" t="s">
        <v>19</v>
      </c>
      <c r="P160" t="s">
        <v>20</v>
      </c>
      <c r="Q160">
        <v>20230425</v>
      </c>
    </row>
    <row r="161" spans="1:17" x14ac:dyDescent="0.25">
      <c r="A161" t="s">
        <v>548</v>
      </c>
      <c r="B161" t="s">
        <v>429</v>
      </c>
      <c r="C161">
        <v>2</v>
      </c>
      <c r="D161">
        <v>20230425</v>
      </c>
      <c r="E161">
        <v>4</v>
      </c>
      <c r="F161">
        <v>411100</v>
      </c>
      <c r="G161" t="s">
        <v>18</v>
      </c>
      <c r="H161" t="s">
        <v>5279</v>
      </c>
      <c r="I161" t="s">
        <v>5280</v>
      </c>
      <c r="J161">
        <v>370723</v>
      </c>
      <c r="K161">
        <v>20230425</v>
      </c>
      <c r="L161" t="s">
        <v>5976</v>
      </c>
      <c r="M161">
        <v>0</v>
      </c>
      <c r="N161">
        <v>3</v>
      </c>
      <c r="O161" t="s">
        <v>19</v>
      </c>
      <c r="P161" t="s">
        <v>20</v>
      </c>
      <c r="Q161">
        <v>20230425</v>
      </c>
    </row>
    <row r="162" spans="1:17" x14ac:dyDescent="0.25">
      <c r="A162" t="s">
        <v>548</v>
      </c>
      <c r="B162" t="s">
        <v>429</v>
      </c>
      <c r="C162">
        <v>2</v>
      </c>
      <c r="D162">
        <v>20230425</v>
      </c>
      <c r="E162">
        <v>4</v>
      </c>
      <c r="F162">
        <v>411100</v>
      </c>
      <c r="G162" t="s">
        <v>18</v>
      </c>
      <c r="H162" t="s">
        <v>5192</v>
      </c>
      <c r="I162" t="s">
        <v>5193</v>
      </c>
      <c r="J162">
        <v>370724</v>
      </c>
      <c r="K162">
        <v>20230425</v>
      </c>
      <c r="L162" t="s">
        <v>5977</v>
      </c>
      <c r="M162">
        <v>0</v>
      </c>
      <c r="N162">
        <v>3</v>
      </c>
      <c r="O162" t="s">
        <v>19</v>
      </c>
      <c r="P162" t="s">
        <v>20</v>
      </c>
      <c r="Q162">
        <v>20230425</v>
      </c>
    </row>
    <row r="163" spans="1:17" x14ac:dyDescent="0.25">
      <c r="A163" t="s">
        <v>548</v>
      </c>
      <c r="B163" t="s">
        <v>429</v>
      </c>
      <c r="C163">
        <v>2</v>
      </c>
      <c r="D163">
        <v>20230425</v>
      </c>
      <c r="E163">
        <v>4</v>
      </c>
      <c r="F163">
        <v>411100</v>
      </c>
      <c r="G163" t="s">
        <v>18</v>
      </c>
      <c r="H163" t="s">
        <v>81</v>
      </c>
      <c r="I163" t="s">
        <v>82</v>
      </c>
      <c r="J163">
        <v>370725</v>
      </c>
      <c r="K163">
        <v>20230425</v>
      </c>
      <c r="L163" t="s">
        <v>5978</v>
      </c>
      <c r="M163">
        <v>0</v>
      </c>
      <c r="N163">
        <v>9</v>
      </c>
      <c r="O163" t="s">
        <v>19</v>
      </c>
      <c r="P163" t="s">
        <v>20</v>
      </c>
      <c r="Q163">
        <v>20230425</v>
      </c>
    </row>
    <row r="164" spans="1:17" x14ac:dyDescent="0.25">
      <c r="A164" t="s">
        <v>548</v>
      </c>
      <c r="B164" t="s">
        <v>429</v>
      </c>
      <c r="C164">
        <v>2</v>
      </c>
      <c r="D164">
        <v>20230425</v>
      </c>
      <c r="E164">
        <v>4</v>
      </c>
      <c r="F164">
        <v>411100</v>
      </c>
      <c r="G164" t="s">
        <v>18</v>
      </c>
      <c r="H164" t="s">
        <v>154</v>
      </c>
      <c r="I164" t="s">
        <v>155</v>
      </c>
      <c r="J164">
        <v>370726</v>
      </c>
      <c r="K164">
        <v>20230425</v>
      </c>
      <c r="L164" t="s">
        <v>5979</v>
      </c>
      <c r="M164">
        <v>0</v>
      </c>
      <c r="N164">
        <v>9</v>
      </c>
      <c r="O164" t="s">
        <v>19</v>
      </c>
      <c r="P164" t="s">
        <v>20</v>
      </c>
      <c r="Q164">
        <v>20230425</v>
      </c>
    </row>
    <row r="165" spans="1:17" x14ac:dyDescent="0.25">
      <c r="A165" t="s">
        <v>548</v>
      </c>
      <c r="B165" t="s">
        <v>429</v>
      </c>
      <c r="C165">
        <v>2</v>
      </c>
      <c r="D165">
        <v>20230425</v>
      </c>
      <c r="E165">
        <v>4</v>
      </c>
      <c r="F165">
        <v>411100</v>
      </c>
      <c r="G165" t="s">
        <v>18</v>
      </c>
      <c r="H165" t="s">
        <v>241</v>
      </c>
      <c r="I165" t="s">
        <v>242</v>
      </c>
      <c r="J165">
        <v>370727</v>
      </c>
      <c r="K165">
        <v>20230425</v>
      </c>
      <c r="L165" t="s">
        <v>5980</v>
      </c>
      <c r="M165">
        <v>0</v>
      </c>
      <c r="N165">
        <v>9</v>
      </c>
      <c r="O165" t="s">
        <v>19</v>
      </c>
      <c r="P165" t="s">
        <v>20</v>
      </c>
      <c r="Q165">
        <v>20230425</v>
      </c>
    </row>
    <row r="166" spans="1:17" x14ac:dyDescent="0.25">
      <c r="A166" t="s">
        <v>548</v>
      </c>
      <c r="B166" t="s">
        <v>429</v>
      </c>
      <c r="C166">
        <v>2</v>
      </c>
      <c r="D166">
        <v>20230425</v>
      </c>
      <c r="E166">
        <v>4</v>
      </c>
      <c r="F166">
        <v>411100</v>
      </c>
      <c r="G166" t="s">
        <v>18</v>
      </c>
      <c r="H166" t="s">
        <v>259</v>
      </c>
      <c r="I166" t="s">
        <v>260</v>
      </c>
      <c r="J166">
        <v>370728</v>
      </c>
      <c r="K166">
        <v>20230425</v>
      </c>
      <c r="L166" t="s">
        <v>5981</v>
      </c>
      <c r="M166">
        <v>0</v>
      </c>
      <c r="N166">
        <v>7</v>
      </c>
      <c r="O166" t="s">
        <v>19</v>
      </c>
      <c r="P166" t="s">
        <v>20</v>
      </c>
      <c r="Q166">
        <v>20230425</v>
      </c>
    </row>
    <row r="167" spans="1:17" x14ac:dyDescent="0.25">
      <c r="A167" t="s">
        <v>548</v>
      </c>
      <c r="B167" t="s">
        <v>429</v>
      </c>
      <c r="C167">
        <v>2</v>
      </c>
      <c r="D167">
        <v>20230425</v>
      </c>
      <c r="E167">
        <v>4</v>
      </c>
      <c r="F167">
        <v>411100</v>
      </c>
      <c r="G167" t="s">
        <v>18</v>
      </c>
      <c r="H167" t="s">
        <v>1062</v>
      </c>
      <c r="I167" t="s">
        <v>1063</v>
      </c>
      <c r="J167">
        <v>370729</v>
      </c>
      <c r="K167">
        <v>20230425</v>
      </c>
      <c r="L167" t="s">
        <v>5982</v>
      </c>
      <c r="M167">
        <v>0</v>
      </c>
      <c r="N167">
        <v>9</v>
      </c>
      <c r="O167" t="s">
        <v>19</v>
      </c>
      <c r="P167" t="s">
        <v>20</v>
      </c>
      <c r="Q167">
        <v>20230425</v>
      </c>
    </row>
    <row r="168" spans="1:17" x14ac:dyDescent="0.25">
      <c r="A168" t="s">
        <v>548</v>
      </c>
      <c r="B168" t="s">
        <v>429</v>
      </c>
      <c r="C168">
        <v>2</v>
      </c>
      <c r="D168">
        <v>20230425</v>
      </c>
      <c r="E168">
        <v>4</v>
      </c>
      <c r="F168">
        <v>411100</v>
      </c>
      <c r="G168" t="s">
        <v>18</v>
      </c>
      <c r="H168" t="s">
        <v>85</v>
      </c>
      <c r="I168" t="s">
        <v>86</v>
      </c>
      <c r="J168">
        <v>370730</v>
      </c>
      <c r="K168">
        <v>20230425</v>
      </c>
      <c r="L168" t="s">
        <v>5983</v>
      </c>
      <c r="M168">
        <v>0</v>
      </c>
      <c r="N168">
        <v>16</v>
      </c>
      <c r="O168" t="s">
        <v>19</v>
      </c>
      <c r="P168" t="s">
        <v>20</v>
      </c>
      <c r="Q168">
        <v>20230425</v>
      </c>
    </row>
    <row r="169" spans="1:17" x14ac:dyDescent="0.25">
      <c r="A169" t="s">
        <v>548</v>
      </c>
      <c r="B169" t="s">
        <v>429</v>
      </c>
      <c r="C169">
        <v>2</v>
      </c>
      <c r="D169">
        <v>20230425</v>
      </c>
      <c r="E169">
        <v>4</v>
      </c>
      <c r="F169">
        <v>411100</v>
      </c>
      <c r="G169" t="s">
        <v>18</v>
      </c>
      <c r="H169" t="s">
        <v>1911</v>
      </c>
      <c r="I169" t="s">
        <v>1912</v>
      </c>
      <c r="J169">
        <v>370731</v>
      </c>
      <c r="K169">
        <v>20230425</v>
      </c>
      <c r="L169" t="s">
        <v>5984</v>
      </c>
      <c r="M169">
        <v>0</v>
      </c>
      <c r="N169">
        <v>27</v>
      </c>
      <c r="O169" t="s">
        <v>19</v>
      </c>
      <c r="P169" t="s">
        <v>20</v>
      </c>
      <c r="Q169">
        <v>20230425</v>
      </c>
    </row>
    <row r="170" spans="1:17" x14ac:dyDescent="0.25">
      <c r="A170" t="s">
        <v>548</v>
      </c>
      <c r="B170" t="s">
        <v>429</v>
      </c>
      <c r="C170">
        <v>2</v>
      </c>
      <c r="D170">
        <v>20230425</v>
      </c>
      <c r="E170">
        <v>4</v>
      </c>
      <c r="F170">
        <v>411100</v>
      </c>
      <c r="G170" t="s">
        <v>18</v>
      </c>
      <c r="H170" t="s">
        <v>5195</v>
      </c>
      <c r="I170" t="s">
        <v>5196</v>
      </c>
      <c r="J170">
        <v>370732</v>
      </c>
      <c r="K170">
        <v>20230425</v>
      </c>
      <c r="L170" t="s">
        <v>5985</v>
      </c>
      <c r="M170">
        <v>0</v>
      </c>
      <c r="N170">
        <v>19</v>
      </c>
      <c r="O170" t="s">
        <v>19</v>
      </c>
      <c r="P170" t="s">
        <v>20</v>
      </c>
      <c r="Q170">
        <v>20230425</v>
      </c>
    </row>
    <row r="171" spans="1:17" x14ac:dyDescent="0.25">
      <c r="A171" t="s">
        <v>548</v>
      </c>
      <c r="B171" t="s">
        <v>429</v>
      </c>
      <c r="C171">
        <v>2</v>
      </c>
      <c r="D171">
        <v>20230425</v>
      </c>
      <c r="E171">
        <v>4</v>
      </c>
      <c r="F171">
        <v>411100</v>
      </c>
      <c r="G171" t="s">
        <v>18</v>
      </c>
      <c r="H171" t="s">
        <v>5195</v>
      </c>
      <c r="I171" t="s">
        <v>5196</v>
      </c>
      <c r="J171">
        <v>370733</v>
      </c>
      <c r="K171">
        <v>20230425</v>
      </c>
      <c r="L171" t="s">
        <v>5986</v>
      </c>
      <c r="M171">
        <v>0</v>
      </c>
      <c r="N171">
        <v>7</v>
      </c>
      <c r="O171" t="s">
        <v>19</v>
      </c>
      <c r="P171" t="s">
        <v>20</v>
      </c>
      <c r="Q171">
        <v>20230425</v>
      </c>
    </row>
    <row r="172" spans="1:17" x14ac:dyDescent="0.25">
      <c r="A172" t="s">
        <v>548</v>
      </c>
      <c r="B172" t="s">
        <v>429</v>
      </c>
      <c r="C172">
        <v>2</v>
      </c>
      <c r="D172">
        <v>20230425</v>
      </c>
      <c r="E172">
        <v>4</v>
      </c>
      <c r="F172">
        <v>411100</v>
      </c>
      <c r="G172" t="s">
        <v>18</v>
      </c>
      <c r="H172" t="s">
        <v>5192</v>
      </c>
      <c r="I172" t="s">
        <v>5193</v>
      </c>
      <c r="J172">
        <v>370734</v>
      </c>
      <c r="K172">
        <v>20230425</v>
      </c>
      <c r="L172" t="s">
        <v>5987</v>
      </c>
      <c r="M172">
        <v>0</v>
      </c>
      <c r="N172">
        <v>9</v>
      </c>
      <c r="O172" t="s">
        <v>19</v>
      </c>
      <c r="P172" t="s">
        <v>20</v>
      </c>
      <c r="Q172">
        <v>20230425</v>
      </c>
    </row>
    <row r="173" spans="1:17" x14ac:dyDescent="0.25">
      <c r="A173" t="s">
        <v>548</v>
      </c>
      <c r="B173" t="s">
        <v>429</v>
      </c>
      <c r="C173">
        <v>2</v>
      </c>
      <c r="D173">
        <v>20230425</v>
      </c>
      <c r="E173">
        <v>4</v>
      </c>
      <c r="F173">
        <v>411100</v>
      </c>
      <c r="G173" t="s">
        <v>18</v>
      </c>
      <c r="H173" t="s">
        <v>5279</v>
      </c>
      <c r="I173" t="s">
        <v>5280</v>
      </c>
      <c r="J173">
        <v>370735</v>
      </c>
      <c r="K173">
        <v>20230425</v>
      </c>
      <c r="L173" t="s">
        <v>5988</v>
      </c>
      <c r="M173">
        <v>0</v>
      </c>
      <c r="N173">
        <v>9</v>
      </c>
      <c r="O173" t="s">
        <v>19</v>
      </c>
      <c r="P173" t="s">
        <v>20</v>
      </c>
      <c r="Q173">
        <v>20230425</v>
      </c>
    </row>
    <row r="174" spans="1:17" x14ac:dyDescent="0.25">
      <c r="A174" t="s">
        <v>548</v>
      </c>
      <c r="B174" t="s">
        <v>429</v>
      </c>
      <c r="C174">
        <v>2</v>
      </c>
      <c r="D174">
        <v>20230425</v>
      </c>
      <c r="E174">
        <v>4</v>
      </c>
      <c r="F174">
        <v>411100</v>
      </c>
      <c r="G174" t="s">
        <v>18</v>
      </c>
      <c r="H174" t="s">
        <v>1062</v>
      </c>
      <c r="I174" t="s">
        <v>1063</v>
      </c>
      <c r="J174">
        <v>370736</v>
      </c>
      <c r="K174">
        <v>20230425</v>
      </c>
      <c r="L174" t="s">
        <v>5989</v>
      </c>
      <c r="M174">
        <v>0</v>
      </c>
      <c r="N174">
        <v>9</v>
      </c>
      <c r="O174" t="s">
        <v>19</v>
      </c>
      <c r="P174" t="s">
        <v>20</v>
      </c>
      <c r="Q174">
        <v>20230425</v>
      </c>
    </row>
    <row r="175" spans="1:17" x14ac:dyDescent="0.25">
      <c r="A175" t="s">
        <v>548</v>
      </c>
      <c r="B175" t="s">
        <v>429</v>
      </c>
      <c r="C175">
        <v>2</v>
      </c>
      <c r="D175">
        <v>20230425</v>
      </c>
      <c r="E175">
        <v>4</v>
      </c>
      <c r="F175">
        <v>411100</v>
      </c>
      <c r="G175" t="s">
        <v>18</v>
      </c>
      <c r="H175" t="s">
        <v>698</v>
      </c>
      <c r="I175" t="s">
        <v>699</v>
      </c>
      <c r="J175">
        <v>370737</v>
      </c>
      <c r="K175">
        <v>20230425</v>
      </c>
      <c r="L175" t="s">
        <v>5990</v>
      </c>
      <c r="M175">
        <v>0</v>
      </c>
      <c r="N175">
        <v>5</v>
      </c>
      <c r="O175" t="s">
        <v>19</v>
      </c>
      <c r="P175" t="s">
        <v>20</v>
      </c>
      <c r="Q175">
        <v>20230425</v>
      </c>
    </row>
    <row r="176" spans="1:17" x14ac:dyDescent="0.25">
      <c r="A176" t="s">
        <v>548</v>
      </c>
      <c r="B176" t="s">
        <v>429</v>
      </c>
      <c r="C176">
        <v>2</v>
      </c>
      <c r="D176">
        <v>20230425</v>
      </c>
      <c r="E176">
        <v>4</v>
      </c>
      <c r="F176">
        <v>411100</v>
      </c>
      <c r="G176" t="s">
        <v>18</v>
      </c>
      <c r="H176" t="s">
        <v>73</v>
      </c>
      <c r="I176" t="s">
        <v>74</v>
      </c>
      <c r="J176">
        <v>370738</v>
      </c>
      <c r="K176">
        <v>20230425</v>
      </c>
      <c r="L176" t="s">
        <v>5991</v>
      </c>
      <c r="M176">
        <v>0</v>
      </c>
      <c r="N176">
        <v>2</v>
      </c>
      <c r="O176" t="s">
        <v>19</v>
      </c>
      <c r="P176" t="s">
        <v>20</v>
      </c>
      <c r="Q176">
        <v>20230425</v>
      </c>
    </row>
    <row r="177" spans="1:17" x14ac:dyDescent="0.25">
      <c r="A177" t="s">
        <v>548</v>
      </c>
      <c r="B177" t="s">
        <v>429</v>
      </c>
      <c r="C177">
        <v>2</v>
      </c>
      <c r="D177">
        <v>20230425</v>
      </c>
      <c r="E177">
        <v>4</v>
      </c>
      <c r="F177">
        <v>411100</v>
      </c>
      <c r="G177" t="s">
        <v>18</v>
      </c>
      <c r="H177" t="s">
        <v>150</v>
      </c>
      <c r="I177" t="s">
        <v>151</v>
      </c>
      <c r="J177">
        <v>370739</v>
      </c>
      <c r="K177">
        <v>20230425</v>
      </c>
      <c r="L177" t="s">
        <v>5992</v>
      </c>
      <c r="M177">
        <v>0</v>
      </c>
      <c r="N177">
        <v>4.5</v>
      </c>
      <c r="O177" t="s">
        <v>19</v>
      </c>
      <c r="P177" t="s">
        <v>20</v>
      </c>
      <c r="Q177">
        <v>20230425</v>
      </c>
    </row>
    <row r="178" spans="1:17" x14ac:dyDescent="0.25">
      <c r="A178" t="s">
        <v>548</v>
      </c>
      <c r="B178" t="s">
        <v>429</v>
      </c>
      <c r="C178">
        <v>2</v>
      </c>
      <c r="D178">
        <v>20230425</v>
      </c>
      <c r="E178">
        <v>4</v>
      </c>
      <c r="F178">
        <v>411100</v>
      </c>
      <c r="G178" t="s">
        <v>18</v>
      </c>
      <c r="H178" t="s">
        <v>237</v>
      </c>
      <c r="I178" t="s">
        <v>238</v>
      </c>
      <c r="J178">
        <v>370740</v>
      </c>
      <c r="K178">
        <v>20230425</v>
      </c>
      <c r="L178" t="s">
        <v>5993</v>
      </c>
      <c r="M178">
        <v>0</v>
      </c>
      <c r="N178">
        <v>4.5</v>
      </c>
      <c r="O178" t="s">
        <v>19</v>
      </c>
      <c r="P178" t="s">
        <v>20</v>
      </c>
      <c r="Q178">
        <v>20230425</v>
      </c>
    </row>
    <row r="179" spans="1:17" x14ac:dyDescent="0.25">
      <c r="A179" t="s">
        <v>548</v>
      </c>
      <c r="B179" t="s">
        <v>429</v>
      </c>
      <c r="C179">
        <v>2</v>
      </c>
      <c r="D179">
        <v>20230425</v>
      </c>
      <c r="E179">
        <v>4</v>
      </c>
      <c r="F179">
        <v>411100</v>
      </c>
      <c r="G179" t="s">
        <v>18</v>
      </c>
      <c r="H179" t="s">
        <v>3328</v>
      </c>
      <c r="I179" t="s">
        <v>3329</v>
      </c>
      <c r="J179">
        <v>370741</v>
      </c>
      <c r="K179">
        <v>20230425</v>
      </c>
      <c r="L179" t="s">
        <v>5994</v>
      </c>
      <c r="M179">
        <v>0</v>
      </c>
      <c r="N179">
        <v>9</v>
      </c>
      <c r="O179" t="s">
        <v>19</v>
      </c>
      <c r="P179" t="s">
        <v>20</v>
      </c>
      <c r="Q179">
        <v>20230425</v>
      </c>
    </row>
    <row r="180" spans="1:17" x14ac:dyDescent="0.25">
      <c r="A180" t="s">
        <v>548</v>
      </c>
      <c r="B180" t="s">
        <v>429</v>
      </c>
      <c r="C180">
        <v>2</v>
      </c>
      <c r="D180">
        <v>20230425</v>
      </c>
      <c r="E180">
        <v>4</v>
      </c>
      <c r="F180">
        <v>411100</v>
      </c>
      <c r="G180" t="s">
        <v>18</v>
      </c>
      <c r="H180" t="s">
        <v>698</v>
      </c>
      <c r="I180" t="s">
        <v>699</v>
      </c>
      <c r="J180">
        <v>370742</v>
      </c>
      <c r="K180">
        <v>20230425</v>
      </c>
      <c r="L180" t="s">
        <v>5995</v>
      </c>
      <c r="M180">
        <v>0</v>
      </c>
      <c r="N180">
        <v>2.5</v>
      </c>
      <c r="O180" t="s">
        <v>19</v>
      </c>
      <c r="P180" t="s">
        <v>20</v>
      </c>
      <c r="Q180">
        <v>20230425</v>
      </c>
    </row>
    <row r="181" spans="1:17" x14ac:dyDescent="0.25">
      <c r="A181" t="s">
        <v>548</v>
      </c>
      <c r="B181" t="s">
        <v>429</v>
      </c>
      <c r="C181">
        <v>2</v>
      </c>
      <c r="D181">
        <v>20230425</v>
      </c>
      <c r="E181">
        <v>4</v>
      </c>
      <c r="F181">
        <v>411100</v>
      </c>
      <c r="G181" t="s">
        <v>18</v>
      </c>
      <c r="H181" t="s">
        <v>5279</v>
      </c>
      <c r="I181" t="s">
        <v>5280</v>
      </c>
      <c r="J181">
        <v>370743</v>
      </c>
      <c r="K181">
        <v>20230425</v>
      </c>
      <c r="L181" t="s">
        <v>5996</v>
      </c>
      <c r="M181">
        <v>0</v>
      </c>
      <c r="N181">
        <v>2.5</v>
      </c>
      <c r="O181" t="s">
        <v>19</v>
      </c>
      <c r="P181" t="s">
        <v>20</v>
      </c>
      <c r="Q181">
        <v>20230425</v>
      </c>
    </row>
    <row r="182" spans="1:17" x14ac:dyDescent="0.25">
      <c r="A182" t="s">
        <v>548</v>
      </c>
      <c r="B182" t="s">
        <v>429</v>
      </c>
      <c r="C182">
        <v>2</v>
      </c>
      <c r="D182">
        <v>20230425</v>
      </c>
      <c r="E182">
        <v>4</v>
      </c>
      <c r="F182">
        <v>411100</v>
      </c>
      <c r="G182" t="s">
        <v>18</v>
      </c>
      <c r="H182" t="s">
        <v>259</v>
      </c>
      <c r="I182" t="s">
        <v>260</v>
      </c>
      <c r="J182">
        <v>370744</v>
      </c>
      <c r="K182">
        <v>20230425</v>
      </c>
      <c r="L182" t="s">
        <v>5997</v>
      </c>
      <c r="M182">
        <v>0</v>
      </c>
      <c r="N182">
        <v>2.5</v>
      </c>
      <c r="O182" t="s">
        <v>19</v>
      </c>
      <c r="P182" t="s">
        <v>20</v>
      </c>
      <c r="Q182">
        <v>20230425</v>
      </c>
    </row>
    <row r="183" spans="1:17" x14ac:dyDescent="0.25">
      <c r="A183" t="s">
        <v>548</v>
      </c>
      <c r="B183" t="s">
        <v>429</v>
      </c>
      <c r="C183">
        <v>2</v>
      </c>
      <c r="D183">
        <v>20230425</v>
      </c>
      <c r="E183">
        <v>4</v>
      </c>
      <c r="F183">
        <v>411100</v>
      </c>
      <c r="G183" t="s">
        <v>18</v>
      </c>
      <c r="H183" t="s">
        <v>1911</v>
      </c>
      <c r="I183" t="s">
        <v>1912</v>
      </c>
      <c r="J183">
        <v>370745</v>
      </c>
      <c r="K183">
        <v>20230425</v>
      </c>
      <c r="L183" t="s">
        <v>5998</v>
      </c>
      <c r="M183">
        <v>0</v>
      </c>
      <c r="N183">
        <v>5</v>
      </c>
      <c r="O183" t="s">
        <v>19</v>
      </c>
      <c r="P183" t="s">
        <v>20</v>
      </c>
      <c r="Q183">
        <v>20230425</v>
      </c>
    </row>
    <row r="184" spans="1:17" x14ac:dyDescent="0.25">
      <c r="A184" t="s">
        <v>548</v>
      </c>
      <c r="B184" t="s">
        <v>429</v>
      </c>
      <c r="C184">
        <v>2</v>
      </c>
      <c r="D184">
        <v>20230425</v>
      </c>
      <c r="E184">
        <v>4</v>
      </c>
      <c r="F184">
        <v>411100</v>
      </c>
      <c r="G184" t="s">
        <v>18</v>
      </c>
      <c r="H184" t="s">
        <v>154</v>
      </c>
      <c r="I184" t="s">
        <v>155</v>
      </c>
      <c r="J184">
        <v>370746</v>
      </c>
      <c r="K184">
        <v>20230425</v>
      </c>
      <c r="L184" t="s">
        <v>5999</v>
      </c>
      <c r="M184">
        <v>0</v>
      </c>
      <c r="N184">
        <v>5</v>
      </c>
      <c r="O184" t="s">
        <v>19</v>
      </c>
      <c r="P184" t="s">
        <v>20</v>
      </c>
      <c r="Q184">
        <v>20230425</v>
      </c>
    </row>
    <row r="185" spans="1:17" x14ac:dyDescent="0.25">
      <c r="A185" t="s">
        <v>548</v>
      </c>
      <c r="B185" t="s">
        <v>429</v>
      </c>
      <c r="C185">
        <v>2</v>
      </c>
      <c r="D185">
        <v>20230425</v>
      </c>
      <c r="E185">
        <v>4</v>
      </c>
      <c r="F185">
        <v>411100</v>
      </c>
      <c r="G185" t="s">
        <v>18</v>
      </c>
      <c r="H185" t="s">
        <v>3901</v>
      </c>
      <c r="I185" t="s">
        <v>3902</v>
      </c>
      <c r="J185">
        <v>370747</v>
      </c>
      <c r="K185">
        <v>20230425</v>
      </c>
      <c r="L185" t="s">
        <v>6000</v>
      </c>
      <c r="M185">
        <v>0</v>
      </c>
      <c r="N185">
        <v>2.5</v>
      </c>
      <c r="O185" t="s">
        <v>19</v>
      </c>
      <c r="P185" t="s">
        <v>20</v>
      </c>
      <c r="Q185">
        <v>20230425</v>
      </c>
    </row>
    <row r="186" spans="1:17" x14ac:dyDescent="0.25">
      <c r="A186" t="s">
        <v>548</v>
      </c>
      <c r="B186" t="s">
        <v>429</v>
      </c>
      <c r="C186">
        <v>2</v>
      </c>
      <c r="D186">
        <v>20230425</v>
      </c>
      <c r="E186">
        <v>4</v>
      </c>
      <c r="F186">
        <v>411100</v>
      </c>
      <c r="G186" t="s">
        <v>18</v>
      </c>
      <c r="H186" t="s">
        <v>3001</v>
      </c>
      <c r="I186" t="s">
        <v>3002</v>
      </c>
      <c r="J186">
        <v>370748</v>
      </c>
      <c r="K186">
        <v>20230425</v>
      </c>
      <c r="L186" t="s">
        <v>6001</v>
      </c>
      <c r="M186">
        <v>0</v>
      </c>
      <c r="N186">
        <v>2.5</v>
      </c>
      <c r="O186" t="s">
        <v>19</v>
      </c>
      <c r="P186" t="s">
        <v>20</v>
      </c>
      <c r="Q186">
        <v>20230425</v>
      </c>
    </row>
    <row r="187" spans="1:17" x14ac:dyDescent="0.25">
      <c r="A187" t="s">
        <v>548</v>
      </c>
      <c r="B187" t="s">
        <v>429</v>
      </c>
      <c r="C187">
        <v>2</v>
      </c>
      <c r="D187">
        <v>20230425</v>
      </c>
      <c r="E187">
        <v>4</v>
      </c>
      <c r="F187">
        <v>411100</v>
      </c>
      <c r="G187" t="s">
        <v>18</v>
      </c>
      <c r="H187" t="s">
        <v>39</v>
      </c>
      <c r="I187" t="s">
        <v>40</v>
      </c>
      <c r="J187">
        <v>370749</v>
      </c>
      <c r="K187">
        <v>20230425</v>
      </c>
      <c r="L187" t="s">
        <v>6002</v>
      </c>
      <c r="M187">
        <v>0</v>
      </c>
      <c r="N187">
        <v>4.5</v>
      </c>
      <c r="O187" t="s">
        <v>19</v>
      </c>
      <c r="P187" t="s">
        <v>20</v>
      </c>
      <c r="Q187">
        <v>20230425</v>
      </c>
    </row>
    <row r="188" spans="1:17" x14ac:dyDescent="0.25">
      <c r="A188" t="s">
        <v>548</v>
      </c>
      <c r="B188" t="s">
        <v>429</v>
      </c>
      <c r="C188">
        <v>2</v>
      </c>
      <c r="D188">
        <v>20230425</v>
      </c>
      <c r="E188">
        <v>4</v>
      </c>
      <c r="F188">
        <v>411100</v>
      </c>
      <c r="G188" t="s">
        <v>18</v>
      </c>
      <c r="H188" t="s">
        <v>237</v>
      </c>
      <c r="I188" t="s">
        <v>238</v>
      </c>
      <c r="J188">
        <v>370750</v>
      </c>
      <c r="K188">
        <v>20230425</v>
      </c>
      <c r="L188" t="s">
        <v>6003</v>
      </c>
      <c r="M188">
        <v>0</v>
      </c>
      <c r="N188">
        <v>2</v>
      </c>
      <c r="O188" t="s">
        <v>19</v>
      </c>
      <c r="P188" t="s">
        <v>20</v>
      </c>
      <c r="Q188">
        <v>20230425</v>
      </c>
    </row>
    <row r="189" spans="1:17" x14ac:dyDescent="0.25">
      <c r="A189" t="s">
        <v>548</v>
      </c>
      <c r="B189" t="s">
        <v>429</v>
      </c>
      <c r="C189">
        <v>2</v>
      </c>
      <c r="D189">
        <v>20230425</v>
      </c>
      <c r="E189">
        <v>4</v>
      </c>
      <c r="F189">
        <v>411100</v>
      </c>
      <c r="G189" t="s">
        <v>18</v>
      </c>
      <c r="H189" t="s">
        <v>698</v>
      </c>
      <c r="I189" t="s">
        <v>699</v>
      </c>
      <c r="J189">
        <v>370751</v>
      </c>
      <c r="K189">
        <v>20230425</v>
      </c>
      <c r="L189" t="s">
        <v>6004</v>
      </c>
      <c r="M189">
        <v>0</v>
      </c>
      <c r="N189">
        <v>5</v>
      </c>
      <c r="O189" t="s">
        <v>19</v>
      </c>
      <c r="P189" t="s">
        <v>20</v>
      </c>
      <c r="Q189">
        <v>20230425</v>
      </c>
    </row>
    <row r="190" spans="1:17" x14ac:dyDescent="0.25">
      <c r="A190" t="s">
        <v>548</v>
      </c>
      <c r="B190" t="s">
        <v>429</v>
      </c>
      <c r="C190">
        <v>2</v>
      </c>
      <c r="D190">
        <v>20230425</v>
      </c>
      <c r="E190">
        <v>4</v>
      </c>
      <c r="F190">
        <v>411100</v>
      </c>
      <c r="G190" t="s">
        <v>18</v>
      </c>
      <c r="H190" t="s">
        <v>154</v>
      </c>
      <c r="I190" t="s">
        <v>155</v>
      </c>
      <c r="J190">
        <v>370752</v>
      </c>
      <c r="K190">
        <v>20230425</v>
      </c>
      <c r="L190" t="s">
        <v>6005</v>
      </c>
      <c r="M190">
        <v>0</v>
      </c>
      <c r="N190">
        <v>5</v>
      </c>
      <c r="O190" t="s">
        <v>19</v>
      </c>
      <c r="P190" t="s">
        <v>20</v>
      </c>
      <c r="Q190">
        <v>20230425</v>
      </c>
    </row>
    <row r="191" spans="1:17" x14ac:dyDescent="0.25">
      <c r="A191" t="s">
        <v>548</v>
      </c>
      <c r="B191" t="s">
        <v>429</v>
      </c>
      <c r="C191">
        <v>2</v>
      </c>
      <c r="D191">
        <v>20230425</v>
      </c>
      <c r="E191">
        <v>4</v>
      </c>
      <c r="F191">
        <v>411100</v>
      </c>
      <c r="G191" t="s">
        <v>18</v>
      </c>
      <c r="H191" t="s">
        <v>1293</v>
      </c>
      <c r="I191" t="s">
        <v>1294</v>
      </c>
      <c r="J191">
        <v>370753</v>
      </c>
      <c r="K191">
        <v>20230425</v>
      </c>
      <c r="L191" t="s">
        <v>6006</v>
      </c>
      <c r="M191">
        <v>0</v>
      </c>
      <c r="N191">
        <v>5</v>
      </c>
      <c r="O191" t="s">
        <v>19</v>
      </c>
      <c r="P191" t="s">
        <v>20</v>
      </c>
      <c r="Q191">
        <v>20230425</v>
      </c>
    </row>
    <row r="192" spans="1:17" x14ac:dyDescent="0.25">
      <c r="A192" t="s">
        <v>548</v>
      </c>
      <c r="B192" t="s">
        <v>429</v>
      </c>
      <c r="C192">
        <v>2</v>
      </c>
      <c r="D192">
        <v>20230425</v>
      </c>
      <c r="E192">
        <v>4</v>
      </c>
      <c r="F192">
        <v>411100</v>
      </c>
      <c r="G192" t="s">
        <v>18</v>
      </c>
      <c r="H192" t="s">
        <v>85</v>
      </c>
      <c r="I192" t="s">
        <v>86</v>
      </c>
      <c r="J192">
        <v>370754</v>
      </c>
      <c r="K192">
        <v>20230425</v>
      </c>
      <c r="L192" t="s">
        <v>6007</v>
      </c>
      <c r="M192">
        <v>0</v>
      </c>
      <c r="N192">
        <v>2.5</v>
      </c>
      <c r="O192" t="s">
        <v>19</v>
      </c>
      <c r="P192" t="s">
        <v>20</v>
      </c>
      <c r="Q192">
        <v>20230425</v>
      </c>
    </row>
    <row r="193" spans="1:17" x14ac:dyDescent="0.25">
      <c r="A193" t="s">
        <v>548</v>
      </c>
      <c r="B193" t="s">
        <v>429</v>
      </c>
      <c r="C193">
        <v>2</v>
      </c>
      <c r="D193">
        <v>20230425</v>
      </c>
      <c r="E193">
        <v>4</v>
      </c>
      <c r="F193">
        <v>411100</v>
      </c>
      <c r="G193" t="s">
        <v>18</v>
      </c>
      <c r="H193" t="s">
        <v>1062</v>
      </c>
      <c r="I193" t="s">
        <v>1063</v>
      </c>
      <c r="J193">
        <v>370755</v>
      </c>
      <c r="K193">
        <v>20230425</v>
      </c>
      <c r="L193" t="s">
        <v>6008</v>
      </c>
      <c r="M193">
        <v>0</v>
      </c>
      <c r="N193">
        <v>5</v>
      </c>
      <c r="O193" t="s">
        <v>19</v>
      </c>
      <c r="P193" t="s">
        <v>20</v>
      </c>
      <c r="Q193">
        <v>20230425</v>
      </c>
    </row>
    <row r="194" spans="1:17" x14ac:dyDescent="0.25">
      <c r="A194" t="s">
        <v>548</v>
      </c>
      <c r="B194" t="s">
        <v>429</v>
      </c>
      <c r="C194">
        <v>2</v>
      </c>
      <c r="D194">
        <v>20230425</v>
      </c>
      <c r="E194">
        <v>4</v>
      </c>
      <c r="F194">
        <v>531105</v>
      </c>
      <c r="G194" t="s">
        <v>429</v>
      </c>
      <c r="H194" t="s">
        <v>401</v>
      </c>
      <c r="I194" t="s">
        <v>402</v>
      </c>
      <c r="J194">
        <v>370756</v>
      </c>
      <c r="K194">
        <v>20230425</v>
      </c>
      <c r="L194" t="s">
        <v>565</v>
      </c>
      <c r="M194">
        <v>287.5</v>
      </c>
      <c r="N194">
        <v>0</v>
      </c>
      <c r="O194" t="s">
        <v>19</v>
      </c>
      <c r="P194" t="s">
        <v>20</v>
      </c>
      <c r="Q194">
        <v>20230425</v>
      </c>
    </row>
    <row r="195" spans="1:17" x14ac:dyDescent="0.25">
      <c r="A195" t="s">
        <v>548</v>
      </c>
      <c r="B195" t="s">
        <v>429</v>
      </c>
      <c r="C195">
        <v>2</v>
      </c>
      <c r="D195">
        <v>20230426</v>
      </c>
      <c r="E195">
        <v>4</v>
      </c>
      <c r="F195">
        <v>411020</v>
      </c>
      <c r="G195" t="s">
        <v>30</v>
      </c>
      <c r="H195" t="s">
        <v>307</v>
      </c>
      <c r="I195" t="s">
        <v>308</v>
      </c>
      <c r="J195">
        <v>123020146</v>
      </c>
      <c r="K195">
        <v>20230426</v>
      </c>
      <c r="L195" t="s">
        <v>6009</v>
      </c>
      <c r="M195">
        <v>0</v>
      </c>
      <c r="N195">
        <v>63.9</v>
      </c>
      <c r="O195" t="s">
        <v>19</v>
      </c>
      <c r="P195" t="s">
        <v>20</v>
      </c>
      <c r="Q195">
        <v>20230426</v>
      </c>
    </row>
    <row r="196" spans="1:17" x14ac:dyDescent="0.25">
      <c r="A196" t="s">
        <v>548</v>
      </c>
      <c r="B196" t="s">
        <v>429</v>
      </c>
      <c r="C196">
        <v>2</v>
      </c>
      <c r="D196">
        <v>20230426</v>
      </c>
      <c r="E196">
        <v>4</v>
      </c>
      <c r="F196">
        <v>411020</v>
      </c>
      <c r="G196" t="s">
        <v>30</v>
      </c>
      <c r="H196" t="s">
        <v>307</v>
      </c>
      <c r="I196" t="s">
        <v>308</v>
      </c>
      <c r="J196">
        <v>123020146</v>
      </c>
      <c r="K196">
        <v>20230426</v>
      </c>
      <c r="L196" t="s">
        <v>6010</v>
      </c>
      <c r="M196">
        <v>0</v>
      </c>
      <c r="N196">
        <v>0.99</v>
      </c>
      <c r="O196" t="s">
        <v>19</v>
      </c>
      <c r="P196" t="s">
        <v>20</v>
      </c>
      <c r="Q196">
        <v>20230426</v>
      </c>
    </row>
    <row r="197" spans="1:17" x14ac:dyDescent="0.25">
      <c r="A197" t="s">
        <v>548</v>
      </c>
      <c r="B197" t="s">
        <v>429</v>
      </c>
      <c r="C197">
        <v>2</v>
      </c>
      <c r="D197">
        <v>20230426</v>
      </c>
      <c r="E197">
        <v>4</v>
      </c>
      <c r="F197">
        <v>531105</v>
      </c>
      <c r="G197" t="s">
        <v>429</v>
      </c>
      <c r="H197" t="s">
        <v>401</v>
      </c>
      <c r="I197" t="s">
        <v>402</v>
      </c>
      <c r="J197">
        <v>370759</v>
      </c>
      <c r="K197">
        <v>20230426</v>
      </c>
      <c r="L197" t="s">
        <v>565</v>
      </c>
      <c r="M197">
        <v>64.89</v>
      </c>
      <c r="N197">
        <v>0</v>
      </c>
      <c r="O197" t="s">
        <v>19</v>
      </c>
      <c r="P197" t="s">
        <v>20</v>
      </c>
      <c r="Q197">
        <v>20230426</v>
      </c>
    </row>
    <row r="198" spans="1:17" x14ac:dyDescent="0.25">
      <c r="A198" t="s">
        <v>548</v>
      </c>
      <c r="B198" t="s">
        <v>429</v>
      </c>
      <c r="C198">
        <v>2</v>
      </c>
      <c r="D198">
        <v>20230425</v>
      </c>
      <c r="E198">
        <v>4</v>
      </c>
      <c r="F198">
        <v>411010</v>
      </c>
      <c r="G198" t="s">
        <v>87</v>
      </c>
      <c r="H198" t="s">
        <v>363</v>
      </c>
      <c r="I198" t="s">
        <v>364</v>
      </c>
      <c r="J198">
        <v>223030019</v>
      </c>
      <c r="K198">
        <v>20230425</v>
      </c>
      <c r="L198" t="s">
        <v>6011</v>
      </c>
      <c r="M198">
        <v>0</v>
      </c>
      <c r="N198">
        <v>111.2</v>
      </c>
      <c r="O198" t="s">
        <v>19</v>
      </c>
      <c r="P198" t="s">
        <v>20</v>
      </c>
      <c r="Q198">
        <v>20230425</v>
      </c>
    </row>
    <row r="199" spans="1:17" x14ac:dyDescent="0.25">
      <c r="A199" t="s">
        <v>548</v>
      </c>
      <c r="B199" t="s">
        <v>429</v>
      </c>
      <c r="C199">
        <v>2</v>
      </c>
      <c r="D199">
        <v>20230425</v>
      </c>
      <c r="E199">
        <v>4</v>
      </c>
      <c r="F199">
        <v>411100</v>
      </c>
      <c r="G199" t="s">
        <v>18</v>
      </c>
      <c r="H199" t="s">
        <v>352</v>
      </c>
      <c r="I199" t="s">
        <v>353</v>
      </c>
      <c r="J199">
        <v>223020026</v>
      </c>
      <c r="K199">
        <v>20230425</v>
      </c>
      <c r="L199" t="s">
        <v>6012</v>
      </c>
      <c r="M199">
        <v>0</v>
      </c>
      <c r="N199">
        <v>452.83</v>
      </c>
      <c r="O199" t="s">
        <v>19</v>
      </c>
      <c r="P199" t="s">
        <v>20</v>
      </c>
      <c r="Q199">
        <v>20230425</v>
      </c>
    </row>
    <row r="200" spans="1:17" x14ac:dyDescent="0.25">
      <c r="A200" t="s">
        <v>548</v>
      </c>
      <c r="B200" t="s">
        <v>429</v>
      </c>
      <c r="C200">
        <v>2</v>
      </c>
      <c r="D200">
        <v>20230425</v>
      </c>
      <c r="E200">
        <v>4</v>
      </c>
      <c r="F200">
        <v>531105</v>
      </c>
      <c r="G200" t="s">
        <v>429</v>
      </c>
      <c r="H200" t="s">
        <v>401</v>
      </c>
      <c r="I200" t="s">
        <v>402</v>
      </c>
      <c r="J200">
        <v>370774</v>
      </c>
      <c r="K200">
        <v>20230425</v>
      </c>
      <c r="L200" t="s">
        <v>565</v>
      </c>
      <c r="M200">
        <v>564.03</v>
      </c>
      <c r="N200">
        <v>0</v>
      </c>
      <c r="O200" t="s">
        <v>19</v>
      </c>
      <c r="P200" t="s">
        <v>20</v>
      </c>
      <c r="Q200">
        <v>20230425</v>
      </c>
    </row>
    <row r="201" spans="1:17" x14ac:dyDescent="0.25">
      <c r="A201" t="s">
        <v>548</v>
      </c>
      <c r="B201" t="s">
        <v>429</v>
      </c>
      <c r="C201">
        <v>2</v>
      </c>
      <c r="D201">
        <v>20230418</v>
      </c>
      <c r="E201">
        <v>4</v>
      </c>
      <c r="F201">
        <v>467100</v>
      </c>
      <c r="G201" t="s">
        <v>160</v>
      </c>
      <c r="H201" t="s">
        <v>2232</v>
      </c>
      <c r="I201" t="s">
        <v>2233</v>
      </c>
      <c r="J201" t="s">
        <v>6013</v>
      </c>
      <c r="K201">
        <v>20230418</v>
      </c>
      <c r="L201" t="s">
        <v>6014</v>
      </c>
      <c r="M201">
        <v>4.8</v>
      </c>
      <c r="N201">
        <v>0</v>
      </c>
      <c r="O201" t="s">
        <v>19</v>
      </c>
      <c r="P201" t="s">
        <v>20</v>
      </c>
      <c r="Q201">
        <v>20230418</v>
      </c>
    </row>
    <row r="202" spans="1:17" x14ac:dyDescent="0.25">
      <c r="A202" t="s">
        <v>548</v>
      </c>
      <c r="B202" t="s">
        <v>429</v>
      </c>
      <c r="C202">
        <v>2</v>
      </c>
      <c r="D202">
        <v>20230418</v>
      </c>
      <c r="E202">
        <v>4</v>
      </c>
      <c r="F202">
        <v>531105</v>
      </c>
      <c r="G202" t="s">
        <v>429</v>
      </c>
      <c r="H202" t="s">
        <v>401</v>
      </c>
      <c r="I202" t="s">
        <v>402</v>
      </c>
      <c r="J202" t="s">
        <v>6013</v>
      </c>
      <c r="K202">
        <v>20230418</v>
      </c>
      <c r="L202" t="s">
        <v>6014</v>
      </c>
      <c r="M202">
        <v>0</v>
      </c>
      <c r="N202">
        <v>4.8</v>
      </c>
      <c r="O202" t="s">
        <v>19</v>
      </c>
      <c r="P202" t="s">
        <v>20</v>
      </c>
      <c r="Q202">
        <v>20230418</v>
      </c>
    </row>
    <row r="203" spans="1:17" x14ac:dyDescent="0.25">
      <c r="A203" t="s">
        <v>548</v>
      </c>
      <c r="B203" t="s">
        <v>429</v>
      </c>
      <c r="C203">
        <v>2</v>
      </c>
      <c r="D203">
        <v>20230405</v>
      </c>
      <c r="E203">
        <v>4</v>
      </c>
      <c r="F203">
        <v>467100</v>
      </c>
      <c r="G203" t="s">
        <v>160</v>
      </c>
      <c r="H203" t="s">
        <v>172</v>
      </c>
      <c r="I203" t="s">
        <v>173</v>
      </c>
      <c r="J203" t="s">
        <v>6015</v>
      </c>
      <c r="K203">
        <v>20230405</v>
      </c>
      <c r="L203" t="s">
        <v>6016</v>
      </c>
      <c r="M203">
        <v>100</v>
      </c>
      <c r="N203">
        <v>0</v>
      </c>
      <c r="O203" t="s">
        <v>23</v>
      </c>
      <c r="P203">
        <v>20230523</v>
      </c>
      <c r="Q203">
        <v>20230405</v>
      </c>
    </row>
    <row r="204" spans="1:17" x14ac:dyDescent="0.25">
      <c r="A204" t="s">
        <v>548</v>
      </c>
      <c r="B204" t="s">
        <v>429</v>
      </c>
      <c r="C204">
        <v>2</v>
      </c>
      <c r="D204">
        <v>20230405</v>
      </c>
      <c r="E204">
        <v>4</v>
      </c>
      <c r="F204">
        <v>531105</v>
      </c>
      <c r="G204" t="s">
        <v>429</v>
      </c>
      <c r="H204" t="s">
        <v>401</v>
      </c>
      <c r="I204" t="s">
        <v>402</v>
      </c>
      <c r="J204" t="s">
        <v>6015</v>
      </c>
      <c r="K204">
        <v>20230405</v>
      </c>
      <c r="L204" t="s">
        <v>6016</v>
      </c>
      <c r="M204">
        <v>0</v>
      </c>
      <c r="N204">
        <v>100</v>
      </c>
      <c r="O204" t="s">
        <v>19</v>
      </c>
      <c r="P204" t="s">
        <v>20</v>
      </c>
      <c r="Q204">
        <v>20230405</v>
      </c>
    </row>
    <row r="205" spans="1:17" x14ac:dyDescent="0.25">
      <c r="A205" t="s">
        <v>548</v>
      </c>
      <c r="B205" t="s">
        <v>429</v>
      </c>
      <c r="C205">
        <v>2</v>
      </c>
      <c r="D205">
        <v>20230426</v>
      </c>
      <c r="E205">
        <v>4</v>
      </c>
      <c r="F205">
        <v>467100</v>
      </c>
      <c r="G205" t="s">
        <v>160</v>
      </c>
      <c r="H205" t="s">
        <v>4958</v>
      </c>
      <c r="I205" t="s">
        <v>4959</v>
      </c>
      <c r="J205" t="s">
        <v>6017</v>
      </c>
      <c r="K205">
        <v>20230426</v>
      </c>
      <c r="L205" t="s">
        <v>6018</v>
      </c>
      <c r="M205">
        <v>80</v>
      </c>
      <c r="N205">
        <v>0</v>
      </c>
      <c r="O205" t="s">
        <v>23</v>
      </c>
      <c r="P205">
        <v>20230526</v>
      </c>
      <c r="Q205">
        <v>20230426</v>
      </c>
    </row>
    <row r="206" spans="1:17" x14ac:dyDescent="0.25">
      <c r="A206" t="s">
        <v>548</v>
      </c>
      <c r="B206" t="s">
        <v>429</v>
      </c>
      <c r="C206">
        <v>2</v>
      </c>
      <c r="D206">
        <v>20230426</v>
      </c>
      <c r="E206">
        <v>4</v>
      </c>
      <c r="F206">
        <v>531105</v>
      </c>
      <c r="G206" t="s">
        <v>429</v>
      </c>
      <c r="H206" t="s">
        <v>401</v>
      </c>
      <c r="I206" t="s">
        <v>402</v>
      </c>
      <c r="J206" t="s">
        <v>6017</v>
      </c>
      <c r="K206">
        <v>20230426</v>
      </c>
      <c r="L206" t="s">
        <v>6018</v>
      </c>
      <c r="M206">
        <v>0</v>
      </c>
      <c r="N206">
        <v>80</v>
      </c>
      <c r="O206" t="s">
        <v>19</v>
      </c>
      <c r="P206" t="s">
        <v>20</v>
      </c>
      <c r="Q206">
        <v>20230426</v>
      </c>
    </row>
    <row r="207" spans="1:17" x14ac:dyDescent="0.25">
      <c r="A207" t="s">
        <v>548</v>
      </c>
      <c r="B207" t="s">
        <v>429</v>
      </c>
      <c r="C207">
        <v>2</v>
      </c>
      <c r="D207">
        <v>20230426</v>
      </c>
      <c r="E207">
        <v>4</v>
      </c>
      <c r="F207">
        <v>467100</v>
      </c>
      <c r="G207" t="s">
        <v>160</v>
      </c>
      <c r="H207" t="s">
        <v>4958</v>
      </c>
      <c r="I207" t="s">
        <v>4959</v>
      </c>
      <c r="J207" t="s">
        <v>6019</v>
      </c>
      <c r="K207">
        <v>20230426</v>
      </c>
      <c r="L207" t="s">
        <v>6020</v>
      </c>
      <c r="M207">
        <v>100</v>
      </c>
      <c r="N207">
        <v>0</v>
      </c>
      <c r="O207" t="s">
        <v>23</v>
      </c>
      <c r="P207">
        <v>20230526</v>
      </c>
      <c r="Q207">
        <v>20230426</v>
      </c>
    </row>
    <row r="208" spans="1:17" x14ac:dyDescent="0.25">
      <c r="A208" t="s">
        <v>548</v>
      </c>
      <c r="B208" t="s">
        <v>429</v>
      </c>
      <c r="C208">
        <v>2</v>
      </c>
      <c r="D208">
        <v>20230426</v>
      </c>
      <c r="E208">
        <v>4</v>
      </c>
      <c r="F208">
        <v>531105</v>
      </c>
      <c r="G208" t="s">
        <v>429</v>
      </c>
      <c r="H208" t="s">
        <v>401</v>
      </c>
      <c r="I208" t="s">
        <v>402</v>
      </c>
      <c r="J208" t="s">
        <v>6019</v>
      </c>
      <c r="K208">
        <v>20230426</v>
      </c>
      <c r="L208" t="s">
        <v>6020</v>
      </c>
      <c r="M208">
        <v>0</v>
      </c>
      <c r="N208">
        <v>100</v>
      </c>
      <c r="O208" t="s">
        <v>19</v>
      </c>
      <c r="P208" t="s">
        <v>20</v>
      </c>
      <c r="Q208">
        <v>20230426</v>
      </c>
    </row>
    <row r="209" spans="1:17" x14ac:dyDescent="0.25">
      <c r="A209" t="s">
        <v>548</v>
      </c>
      <c r="B209" t="s">
        <v>429</v>
      </c>
      <c r="C209">
        <v>2</v>
      </c>
      <c r="D209">
        <v>20230426</v>
      </c>
      <c r="E209">
        <v>4</v>
      </c>
      <c r="F209">
        <v>467100</v>
      </c>
      <c r="G209" t="s">
        <v>160</v>
      </c>
      <c r="H209" t="s">
        <v>4958</v>
      </c>
      <c r="I209" t="s">
        <v>4959</v>
      </c>
      <c r="J209" t="s">
        <v>6021</v>
      </c>
      <c r="K209">
        <v>20230426</v>
      </c>
      <c r="L209" t="s">
        <v>6022</v>
      </c>
      <c r="M209">
        <v>0</v>
      </c>
      <c r="N209">
        <v>48.91</v>
      </c>
      <c r="O209" t="s">
        <v>23</v>
      </c>
      <c r="P209">
        <v>20230526</v>
      </c>
      <c r="Q209">
        <v>20230426</v>
      </c>
    </row>
    <row r="210" spans="1:17" x14ac:dyDescent="0.25">
      <c r="A210" t="s">
        <v>548</v>
      </c>
      <c r="B210" t="s">
        <v>429</v>
      </c>
      <c r="C210">
        <v>2</v>
      </c>
      <c r="D210">
        <v>20230426</v>
      </c>
      <c r="E210">
        <v>4</v>
      </c>
      <c r="F210">
        <v>531105</v>
      </c>
      <c r="G210" t="s">
        <v>429</v>
      </c>
      <c r="H210" t="s">
        <v>401</v>
      </c>
      <c r="I210" t="s">
        <v>402</v>
      </c>
      <c r="J210" t="s">
        <v>6021</v>
      </c>
      <c r="K210">
        <v>20230426</v>
      </c>
      <c r="L210" t="s">
        <v>6022</v>
      </c>
      <c r="M210">
        <v>48.91</v>
      </c>
      <c r="N210">
        <v>0</v>
      </c>
      <c r="O210" t="s">
        <v>19</v>
      </c>
      <c r="P210" t="s">
        <v>20</v>
      </c>
      <c r="Q210">
        <v>20230426</v>
      </c>
    </row>
    <row r="211" spans="1:17" x14ac:dyDescent="0.25">
      <c r="A211" t="s">
        <v>548</v>
      </c>
      <c r="B211" t="s">
        <v>429</v>
      </c>
      <c r="C211">
        <v>2</v>
      </c>
      <c r="D211">
        <v>20230424</v>
      </c>
      <c r="E211">
        <v>4</v>
      </c>
      <c r="F211">
        <v>411100</v>
      </c>
      <c r="G211" t="s">
        <v>18</v>
      </c>
      <c r="H211" t="s">
        <v>1037</v>
      </c>
      <c r="I211" t="s">
        <v>1038</v>
      </c>
      <c r="J211">
        <v>122020180</v>
      </c>
      <c r="K211">
        <v>20230424</v>
      </c>
      <c r="L211" t="s">
        <v>6023</v>
      </c>
      <c r="M211">
        <v>0</v>
      </c>
      <c r="N211">
        <v>1</v>
      </c>
      <c r="O211" t="s">
        <v>19</v>
      </c>
      <c r="P211" t="s">
        <v>20</v>
      </c>
      <c r="Q211">
        <v>20230424</v>
      </c>
    </row>
    <row r="212" spans="1:17" x14ac:dyDescent="0.25">
      <c r="A212" t="s">
        <v>548</v>
      </c>
      <c r="B212" t="s">
        <v>429</v>
      </c>
      <c r="C212">
        <v>2</v>
      </c>
      <c r="D212">
        <v>20230424</v>
      </c>
      <c r="E212">
        <v>4</v>
      </c>
      <c r="F212">
        <v>411100</v>
      </c>
      <c r="G212" t="s">
        <v>18</v>
      </c>
      <c r="H212" t="s">
        <v>1037</v>
      </c>
      <c r="I212" t="s">
        <v>1038</v>
      </c>
      <c r="J212">
        <v>122020180</v>
      </c>
      <c r="K212">
        <v>20230424</v>
      </c>
      <c r="L212" t="s">
        <v>6024</v>
      </c>
      <c r="M212">
        <v>0</v>
      </c>
      <c r="N212">
        <v>3.5</v>
      </c>
      <c r="O212" t="s">
        <v>19</v>
      </c>
      <c r="P212" t="s">
        <v>20</v>
      </c>
      <c r="Q212">
        <v>20230424</v>
      </c>
    </row>
    <row r="213" spans="1:17" x14ac:dyDescent="0.25">
      <c r="A213" t="s">
        <v>548</v>
      </c>
      <c r="B213" t="s">
        <v>429</v>
      </c>
      <c r="C213">
        <v>2</v>
      </c>
      <c r="D213">
        <v>20230424</v>
      </c>
      <c r="E213">
        <v>4</v>
      </c>
      <c r="F213">
        <v>411100</v>
      </c>
      <c r="G213" t="s">
        <v>18</v>
      </c>
      <c r="H213" t="s">
        <v>800</v>
      </c>
      <c r="I213" t="s">
        <v>801</v>
      </c>
      <c r="J213">
        <v>370158</v>
      </c>
      <c r="K213">
        <v>20230424</v>
      </c>
      <c r="L213" t="s">
        <v>6025</v>
      </c>
      <c r="M213">
        <v>0</v>
      </c>
      <c r="N213">
        <v>9</v>
      </c>
      <c r="O213" t="s">
        <v>19</v>
      </c>
      <c r="P213" t="s">
        <v>20</v>
      </c>
      <c r="Q213">
        <v>20230424</v>
      </c>
    </row>
    <row r="214" spans="1:17" x14ac:dyDescent="0.25">
      <c r="A214" t="s">
        <v>548</v>
      </c>
      <c r="B214" t="s">
        <v>429</v>
      </c>
      <c r="C214">
        <v>2</v>
      </c>
      <c r="D214">
        <v>20230424</v>
      </c>
      <c r="E214">
        <v>4</v>
      </c>
      <c r="F214">
        <v>411100</v>
      </c>
      <c r="G214" t="s">
        <v>18</v>
      </c>
      <c r="H214" t="s">
        <v>73</v>
      </c>
      <c r="I214" t="s">
        <v>74</v>
      </c>
      <c r="J214">
        <v>123020177</v>
      </c>
      <c r="K214">
        <v>20230424</v>
      </c>
      <c r="L214" t="s">
        <v>6026</v>
      </c>
      <c r="M214">
        <v>1.5</v>
      </c>
      <c r="N214">
        <v>0</v>
      </c>
      <c r="O214" t="s">
        <v>19</v>
      </c>
      <c r="P214" t="s">
        <v>20</v>
      </c>
      <c r="Q214">
        <v>20230424</v>
      </c>
    </row>
    <row r="215" spans="1:17" x14ac:dyDescent="0.25">
      <c r="A215" t="s">
        <v>548</v>
      </c>
      <c r="B215" t="s">
        <v>429</v>
      </c>
      <c r="C215">
        <v>2</v>
      </c>
      <c r="D215">
        <v>20230424</v>
      </c>
      <c r="E215">
        <v>4</v>
      </c>
      <c r="F215">
        <v>411100</v>
      </c>
      <c r="G215" t="s">
        <v>18</v>
      </c>
      <c r="H215" t="s">
        <v>73</v>
      </c>
      <c r="I215" t="s">
        <v>74</v>
      </c>
      <c r="J215">
        <v>123020177</v>
      </c>
      <c r="K215">
        <v>20230424</v>
      </c>
      <c r="L215" t="s">
        <v>6027</v>
      </c>
      <c r="M215">
        <v>0</v>
      </c>
      <c r="N215">
        <v>3.5</v>
      </c>
      <c r="O215" t="s">
        <v>19</v>
      </c>
      <c r="P215" t="s">
        <v>20</v>
      </c>
      <c r="Q215">
        <v>20230424</v>
      </c>
    </row>
    <row r="216" spans="1:17" x14ac:dyDescent="0.25">
      <c r="A216" t="s">
        <v>548</v>
      </c>
      <c r="B216" t="s">
        <v>429</v>
      </c>
      <c r="C216">
        <v>2</v>
      </c>
      <c r="D216">
        <v>20230424</v>
      </c>
      <c r="E216">
        <v>4</v>
      </c>
      <c r="F216">
        <v>411100</v>
      </c>
      <c r="G216" t="s">
        <v>18</v>
      </c>
      <c r="H216" t="s">
        <v>259</v>
      </c>
      <c r="I216" t="s">
        <v>260</v>
      </c>
      <c r="J216">
        <v>370161</v>
      </c>
      <c r="K216">
        <v>20230424</v>
      </c>
      <c r="L216" t="s">
        <v>6028</v>
      </c>
      <c r="M216">
        <v>0</v>
      </c>
      <c r="N216">
        <v>4.5</v>
      </c>
      <c r="O216" t="s">
        <v>19</v>
      </c>
      <c r="P216" t="s">
        <v>20</v>
      </c>
      <c r="Q216">
        <v>20230424</v>
      </c>
    </row>
    <row r="217" spans="1:17" x14ac:dyDescent="0.25">
      <c r="A217" t="s">
        <v>548</v>
      </c>
      <c r="B217" t="s">
        <v>429</v>
      </c>
      <c r="C217">
        <v>2</v>
      </c>
      <c r="D217">
        <v>20230424</v>
      </c>
      <c r="E217">
        <v>4</v>
      </c>
      <c r="F217">
        <v>411100</v>
      </c>
      <c r="G217" t="s">
        <v>18</v>
      </c>
      <c r="H217" t="s">
        <v>698</v>
      </c>
      <c r="I217" t="s">
        <v>699</v>
      </c>
      <c r="J217">
        <v>370162</v>
      </c>
      <c r="K217">
        <v>20230424</v>
      </c>
      <c r="L217" t="s">
        <v>6029</v>
      </c>
      <c r="M217">
        <v>0</v>
      </c>
      <c r="N217">
        <v>2</v>
      </c>
      <c r="O217" t="s">
        <v>19</v>
      </c>
      <c r="P217" t="s">
        <v>20</v>
      </c>
      <c r="Q217">
        <v>20230424</v>
      </c>
    </row>
    <row r="218" spans="1:17" x14ac:dyDescent="0.25">
      <c r="A218" t="s">
        <v>548</v>
      </c>
      <c r="B218" t="s">
        <v>429</v>
      </c>
      <c r="C218">
        <v>2</v>
      </c>
      <c r="D218">
        <v>20230424</v>
      </c>
      <c r="E218">
        <v>4</v>
      </c>
      <c r="F218">
        <v>411100</v>
      </c>
      <c r="G218" t="s">
        <v>18</v>
      </c>
      <c r="H218" t="s">
        <v>73</v>
      </c>
      <c r="I218" t="s">
        <v>74</v>
      </c>
      <c r="J218">
        <v>370163</v>
      </c>
      <c r="K218">
        <v>20230424</v>
      </c>
      <c r="L218" t="s">
        <v>6030</v>
      </c>
      <c r="M218">
        <v>0</v>
      </c>
      <c r="N218">
        <v>2.5</v>
      </c>
      <c r="O218" t="s">
        <v>19</v>
      </c>
      <c r="P218" t="s">
        <v>20</v>
      </c>
      <c r="Q218">
        <v>20230424</v>
      </c>
    </row>
    <row r="219" spans="1:17" x14ac:dyDescent="0.25">
      <c r="A219" t="s">
        <v>548</v>
      </c>
      <c r="B219" t="s">
        <v>429</v>
      </c>
      <c r="C219">
        <v>2</v>
      </c>
      <c r="D219">
        <v>20230424</v>
      </c>
      <c r="E219">
        <v>4</v>
      </c>
      <c r="F219">
        <v>411100</v>
      </c>
      <c r="G219" t="s">
        <v>18</v>
      </c>
      <c r="H219" t="s">
        <v>259</v>
      </c>
      <c r="I219" t="s">
        <v>260</v>
      </c>
      <c r="J219">
        <v>370164</v>
      </c>
      <c r="K219">
        <v>20230424</v>
      </c>
      <c r="L219" t="s">
        <v>6031</v>
      </c>
      <c r="M219">
        <v>0</v>
      </c>
      <c r="N219">
        <v>2.5</v>
      </c>
      <c r="O219" t="s">
        <v>19</v>
      </c>
      <c r="P219" t="s">
        <v>20</v>
      </c>
      <c r="Q219">
        <v>20230424</v>
      </c>
    </row>
    <row r="220" spans="1:17" x14ac:dyDescent="0.25">
      <c r="A220" t="s">
        <v>548</v>
      </c>
      <c r="B220" t="s">
        <v>429</v>
      </c>
      <c r="C220">
        <v>2</v>
      </c>
      <c r="D220">
        <v>20230424</v>
      </c>
      <c r="E220">
        <v>4</v>
      </c>
      <c r="F220">
        <v>411100</v>
      </c>
      <c r="G220" t="s">
        <v>18</v>
      </c>
      <c r="H220" t="s">
        <v>237</v>
      </c>
      <c r="I220" t="s">
        <v>238</v>
      </c>
      <c r="J220">
        <v>370165</v>
      </c>
      <c r="K220">
        <v>20230424</v>
      </c>
      <c r="L220" t="s">
        <v>6032</v>
      </c>
      <c r="M220">
        <v>0</v>
      </c>
      <c r="N220">
        <v>2.5</v>
      </c>
      <c r="O220" t="s">
        <v>19</v>
      </c>
      <c r="P220" t="s">
        <v>20</v>
      </c>
      <c r="Q220">
        <v>20230424</v>
      </c>
    </row>
    <row r="221" spans="1:17" x14ac:dyDescent="0.25">
      <c r="A221" t="s">
        <v>548</v>
      </c>
      <c r="B221" t="s">
        <v>429</v>
      </c>
      <c r="C221">
        <v>2</v>
      </c>
      <c r="D221">
        <v>20230424</v>
      </c>
      <c r="E221">
        <v>4</v>
      </c>
      <c r="F221">
        <v>411100</v>
      </c>
      <c r="G221" t="s">
        <v>18</v>
      </c>
      <c r="H221" t="s">
        <v>81</v>
      </c>
      <c r="I221" t="s">
        <v>82</v>
      </c>
      <c r="J221">
        <v>370166</v>
      </c>
      <c r="K221">
        <v>20230424</v>
      </c>
      <c r="L221" t="s">
        <v>6033</v>
      </c>
      <c r="M221">
        <v>0</v>
      </c>
      <c r="N221">
        <v>2.5</v>
      </c>
      <c r="O221" t="s">
        <v>19</v>
      </c>
      <c r="P221" t="s">
        <v>20</v>
      </c>
      <c r="Q221">
        <v>20230424</v>
      </c>
    </row>
    <row r="222" spans="1:17" x14ac:dyDescent="0.25">
      <c r="A222" t="s">
        <v>548</v>
      </c>
      <c r="B222" t="s">
        <v>429</v>
      </c>
      <c r="C222">
        <v>2</v>
      </c>
      <c r="D222">
        <v>20230424</v>
      </c>
      <c r="E222">
        <v>4</v>
      </c>
      <c r="F222">
        <v>411100</v>
      </c>
      <c r="G222" t="s">
        <v>18</v>
      </c>
      <c r="H222" t="s">
        <v>657</v>
      </c>
      <c r="I222" t="s">
        <v>658</v>
      </c>
      <c r="J222">
        <v>370167</v>
      </c>
      <c r="K222">
        <v>20230424</v>
      </c>
      <c r="L222" t="s">
        <v>6034</v>
      </c>
      <c r="M222">
        <v>0</v>
      </c>
      <c r="N222">
        <v>2.5</v>
      </c>
      <c r="O222" t="s">
        <v>19</v>
      </c>
      <c r="P222" t="s">
        <v>20</v>
      </c>
      <c r="Q222">
        <v>20230424</v>
      </c>
    </row>
    <row r="223" spans="1:17" x14ac:dyDescent="0.25">
      <c r="A223" t="s">
        <v>548</v>
      </c>
      <c r="B223" t="s">
        <v>429</v>
      </c>
      <c r="C223">
        <v>2</v>
      </c>
      <c r="D223">
        <v>20230424</v>
      </c>
      <c r="E223">
        <v>4</v>
      </c>
      <c r="F223">
        <v>411100</v>
      </c>
      <c r="G223" t="s">
        <v>18</v>
      </c>
      <c r="H223" t="s">
        <v>1062</v>
      </c>
      <c r="I223" t="s">
        <v>1063</v>
      </c>
      <c r="J223">
        <v>122020176</v>
      </c>
      <c r="K223">
        <v>20230424</v>
      </c>
      <c r="L223" t="s">
        <v>6035</v>
      </c>
      <c r="M223">
        <v>0</v>
      </c>
      <c r="N223">
        <v>3</v>
      </c>
      <c r="O223" t="s">
        <v>19</v>
      </c>
      <c r="P223" t="s">
        <v>20</v>
      </c>
      <c r="Q223">
        <v>20230424</v>
      </c>
    </row>
    <row r="224" spans="1:17" x14ac:dyDescent="0.25">
      <c r="A224" t="s">
        <v>548</v>
      </c>
      <c r="B224" t="s">
        <v>429</v>
      </c>
      <c r="C224">
        <v>2</v>
      </c>
      <c r="D224">
        <v>20230424</v>
      </c>
      <c r="E224">
        <v>4</v>
      </c>
      <c r="F224">
        <v>411100</v>
      </c>
      <c r="G224" t="s">
        <v>18</v>
      </c>
      <c r="H224" t="s">
        <v>1062</v>
      </c>
      <c r="I224" t="s">
        <v>1063</v>
      </c>
      <c r="J224">
        <v>122020176</v>
      </c>
      <c r="K224">
        <v>20230424</v>
      </c>
      <c r="L224" t="s">
        <v>6036</v>
      </c>
      <c r="M224">
        <v>0</v>
      </c>
      <c r="N224">
        <v>2</v>
      </c>
      <c r="O224" t="s">
        <v>19</v>
      </c>
      <c r="P224" t="s">
        <v>20</v>
      </c>
      <c r="Q224">
        <v>20230424</v>
      </c>
    </row>
    <row r="225" spans="1:17" x14ac:dyDescent="0.25">
      <c r="A225" t="s">
        <v>548</v>
      </c>
      <c r="B225" t="s">
        <v>429</v>
      </c>
      <c r="C225">
        <v>2</v>
      </c>
      <c r="D225">
        <v>20230424</v>
      </c>
      <c r="E225">
        <v>4</v>
      </c>
      <c r="F225">
        <v>411100</v>
      </c>
      <c r="G225" t="s">
        <v>18</v>
      </c>
      <c r="H225" t="s">
        <v>2732</v>
      </c>
      <c r="I225" t="s">
        <v>2733</v>
      </c>
      <c r="J225">
        <v>370170</v>
      </c>
      <c r="K225">
        <v>20230424</v>
      </c>
      <c r="L225" t="s">
        <v>6037</v>
      </c>
      <c r="M225">
        <v>0</v>
      </c>
      <c r="N225">
        <v>2</v>
      </c>
      <c r="O225" t="s">
        <v>19</v>
      </c>
      <c r="P225" t="s">
        <v>20</v>
      </c>
      <c r="Q225">
        <v>20230424</v>
      </c>
    </row>
    <row r="226" spans="1:17" x14ac:dyDescent="0.25">
      <c r="A226" t="s">
        <v>548</v>
      </c>
      <c r="B226" t="s">
        <v>429</v>
      </c>
      <c r="C226">
        <v>2</v>
      </c>
      <c r="D226">
        <v>20230424</v>
      </c>
      <c r="E226">
        <v>4</v>
      </c>
      <c r="F226">
        <v>411100</v>
      </c>
      <c r="G226" t="s">
        <v>18</v>
      </c>
      <c r="H226" t="s">
        <v>800</v>
      </c>
      <c r="I226" t="s">
        <v>801</v>
      </c>
      <c r="J226">
        <v>370171</v>
      </c>
      <c r="K226">
        <v>20230424</v>
      </c>
      <c r="L226" t="s">
        <v>6038</v>
      </c>
      <c r="M226">
        <v>0</v>
      </c>
      <c r="N226">
        <v>10</v>
      </c>
      <c r="O226" t="s">
        <v>19</v>
      </c>
      <c r="P226" t="s">
        <v>20</v>
      </c>
      <c r="Q226">
        <v>20230424</v>
      </c>
    </row>
    <row r="227" spans="1:17" x14ac:dyDescent="0.25">
      <c r="A227" t="s">
        <v>548</v>
      </c>
      <c r="B227" t="s">
        <v>429</v>
      </c>
      <c r="C227">
        <v>2</v>
      </c>
      <c r="D227">
        <v>20230424</v>
      </c>
      <c r="E227">
        <v>4</v>
      </c>
      <c r="F227">
        <v>411100</v>
      </c>
      <c r="G227" t="s">
        <v>18</v>
      </c>
      <c r="H227" t="s">
        <v>259</v>
      </c>
      <c r="I227" t="s">
        <v>260</v>
      </c>
      <c r="J227">
        <v>370172</v>
      </c>
      <c r="K227">
        <v>20230424</v>
      </c>
      <c r="L227" t="s">
        <v>6039</v>
      </c>
      <c r="M227">
        <v>0</v>
      </c>
      <c r="N227">
        <v>3</v>
      </c>
      <c r="O227" t="s">
        <v>19</v>
      </c>
      <c r="P227" t="s">
        <v>20</v>
      </c>
      <c r="Q227">
        <v>20230424</v>
      </c>
    </row>
    <row r="228" spans="1:17" x14ac:dyDescent="0.25">
      <c r="A228" t="s">
        <v>548</v>
      </c>
      <c r="B228" t="s">
        <v>429</v>
      </c>
      <c r="C228">
        <v>2</v>
      </c>
      <c r="D228">
        <v>20230424</v>
      </c>
      <c r="E228">
        <v>4</v>
      </c>
      <c r="F228">
        <v>411100</v>
      </c>
      <c r="G228" t="s">
        <v>18</v>
      </c>
      <c r="H228" t="s">
        <v>73</v>
      </c>
      <c r="I228" t="s">
        <v>74</v>
      </c>
      <c r="J228">
        <v>370173</v>
      </c>
      <c r="K228">
        <v>20230424</v>
      </c>
      <c r="L228" t="s">
        <v>6040</v>
      </c>
      <c r="M228">
        <v>0</v>
      </c>
      <c r="N228">
        <v>7</v>
      </c>
      <c r="O228" t="s">
        <v>19</v>
      </c>
      <c r="P228" t="s">
        <v>20</v>
      </c>
      <c r="Q228">
        <v>20230424</v>
      </c>
    </row>
    <row r="229" spans="1:17" x14ac:dyDescent="0.25">
      <c r="A229" t="s">
        <v>548</v>
      </c>
      <c r="B229" t="s">
        <v>429</v>
      </c>
      <c r="C229">
        <v>2</v>
      </c>
      <c r="D229">
        <v>20230424</v>
      </c>
      <c r="E229">
        <v>4</v>
      </c>
      <c r="F229">
        <v>411100</v>
      </c>
      <c r="G229" t="s">
        <v>18</v>
      </c>
      <c r="H229" t="s">
        <v>259</v>
      </c>
      <c r="I229" t="s">
        <v>260</v>
      </c>
      <c r="J229">
        <v>370174</v>
      </c>
      <c r="K229">
        <v>20230424</v>
      </c>
      <c r="L229" t="s">
        <v>6041</v>
      </c>
      <c r="M229">
        <v>0</v>
      </c>
      <c r="N229">
        <v>7</v>
      </c>
      <c r="O229" t="s">
        <v>19</v>
      </c>
      <c r="P229" t="s">
        <v>20</v>
      </c>
      <c r="Q229">
        <v>20230424</v>
      </c>
    </row>
    <row r="230" spans="1:17" x14ac:dyDescent="0.25">
      <c r="A230" t="s">
        <v>548</v>
      </c>
      <c r="B230" t="s">
        <v>429</v>
      </c>
      <c r="C230">
        <v>2</v>
      </c>
      <c r="D230">
        <v>20230424</v>
      </c>
      <c r="E230">
        <v>4</v>
      </c>
      <c r="F230">
        <v>411100</v>
      </c>
      <c r="G230" t="s">
        <v>18</v>
      </c>
      <c r="H230" t="s">
        <v>237</v>
      </c>
      <c r="I230" t="s">
        <v>238</v>
      </c>
      <c r="J230">
        <v>370175</v>
      </c>
      <c r="K230">
        <v>20230424</v>
      </c>
      <c r="L230" t="s">
        <v>6042</v>
      </c>
      <c r="M230">
        <v>0</v>
      </c>
      <c r="N230">
        <v>7</v>
      </c>
      <c r="O230" t="s">
        <v>19</v>
      </c>
      <c r="P230" t="s">
        <v>20</v>
      </c>
      <c r="Q230">
        <v>20230424</v>
      </c>
    </row>
    <row r="231" spans="1:17" x14ac:dyDescent="0.25">
      <c r="A231" t="s">
        <v>548</v>
      </c>
      <c r="B231" t="s">
        <v>429</v>
      </c>
      <c r="C231">
        <v>2</v>
      </c>
      <c r="D231">
        <v>20230424</v>
      </c>
      <c r="E231">
        <v>4</v>
      </c>
      <c r="F231">
        <v>411100</v>
      </c>
      <c r="G231" t="s">
        <v>18</v>
      </c>
      <c r="H231" t="s">
        <v>85</v>
      </c>
      <c r="I231" t="s">
        <v>86</v>
      </c>
      <c r="J231">
        <v>370176</v>
      </c>
      <c r="K231">
        <v>20230424</v>
      </c>
      <c r="L231" t="s">
        <v>6043</v>
      </c>
      <c r="M231">
        <v>0</v>
      </c>
      <c r="N231">
        <v>7</v>
      </c>
      <c r="O231" t="s">
        <v>19</v>
      </c>
      <c r="P231" t="s">
        <v>20</v>
      </c>
      <c r="Q231">
        <v>20230424</v>
      </c>
    </row>
    <row r="232" spans="1:17" x14ac:dyDescent="0.25">
      <c r="A232" t="s">
        <v>548</v>
      </c>
      <c r="B232" t="s">
        <v>429</v>
      </c>
      <c r="C232">
        <v>2</v>
      </c>
      <c r="D232">
        <v>20230424</v>
      </c>
      <c r="E232">
        <v>4</v>
      </c>
      <c r="F232">
        <v>411100</v>
      </c>
      <c r="G232" t="s">
        <v>18</v>
      </c>
      <c r="H232" t="s">
        <v>241</v>
      </c>
      <c r="I232" t="s">
        <v>242</v>
      </c>
      <c r="J232">
        <v>370177</v>
      </c>
      <c r="K232">
        <v>20230424</v>
      </c>
      <c r="L232" t="s">
        <v>6044</v>
      </c>
      <c r="M232">
        <v>0</v>
      </c>
      <c r="N232">
        <v>7</v>
      </c>
      <c r="O232" t="s">
        <v>19</v>
      </c>
      <c r="P232" t="s">
        <v>20</v>
      </c>
      <c r="Q232">
        <v>20230424</v>
      </c>
    </row>
    <row r="233" spans="1:17" x14ac:dyDescent="0.25">
      <c r="A233" t="s">
        <v>548</v>
      </c>
      <c r="B233" t="s">
        <v>429</v>
      </c>
      <c r="C233">
        <v>2</v>
      </c>
      <c r="D233">
        <v>20230424</v>
      </c>
      <c r="E233">
        <v>4</v>
      </c>
      <c r="F233">
        <v>411100</v>
      </c>
      <c r="G233" t="s">
        <v>18</v>
      </c>
      <c r="H233" t="s">
        <v>800</v>
      </c>
      <c r="I233" t="s">
        <v>801</v>
      </c>
      <c r="J233">
        <v>370178</v>
      </c>
      <c r="K233">
        <v>20230424</v>
      </c>
      <c r="L233" t="s">
        <v>6045</v>
      </c>
      <c r="M233">
        <v>0</v>
      </c>
      <c r="N233">
        <v>7</v>
      </c>
      <c r="O233" t="s">
        <v>19</v>
      </c>
      <c r="P233" t="s">
        <v>20</v>
      </c>
      <c r="Q233">
        <v>20230424</v>
      </c>
    </row>
    <row r="234" spans="1:17" x14ac:dyDescent="0.25">
      <c r="A234" t="s">
        <v>548</v>
      </c>
      <c r="B234" t="s">
        <v>429</v>
      </c>
      <c r="C234">
        <v>2</v>
      </c>
      <c r="D234">
        <v>20230424</v>
      </c>
      <c r="E234">
        <v>4</v>
      </c>
      <c r="F234">
        <v>411100</v>
      </c>
      <c r="G234" t="s">
        <v>18</v>
      </c>
      <c r="H234" t="s">
        <v>1037</v>
      </c>
      <c r="I234" t="s">
        <v>1038</v>
      </c>
      <c r="J234">
        <v>370179</v>
      </c>
      <c r="K234">
        <v>20230424</v>
      </c>
      <c r="L234" t="s">
        <v>6046</v>
      </c>
      <c r="M234">
        <v>0</v>
      </c>
      <c r="N234">
        <v>2.5</v>
      </c>
      <c r="O234" t="s">
        <v>19</v>
      </c>
      <c r="P234" t="s">
        <v>20</v>
      </c>
      <c r="Q234">
        <v>20230424</v>
      </c>
    </row>
    <row r="235" spans="1:17" x14ac:dyDescent="0.25">
      <c r="A235" t="s">
        <v>548</v>
      </c>
      <c r="B235" t="s">
        <v>429</v>
      </c>
      <c r="C235">
        <v>2</v>
      </c>
      <c r="D235">
        <v>20230424</v>
      </c>
      <c r="E235">
        <v>4</v>
      </c>
      <c r="F235">
        <v>411100</v>
      </c>
      <c r="G235" t="s">
        <v>18</v>
      </c>
      <c r="H235" t="s">
        <v>1037</v>
      </c>
      <c r="I235" t="s">
        <v>1038</v>
      </c>
      <c r="J235">
        <v>370180</v>
      </c>
      <c r="K235">
        <v>20230424</v>
      </c>
      <c r="L235" t="s">
        <v>6047</v>
      </c>
      <c r="M235">
        <v>0</v>
      </c>
      <c r="N235">
        <v>4.5</v>
      </c>
      <c r="O235" t="s">
        <v>19</v>
      </c>
      <c r="P235" t="s">
        <v>20</v>
      </c>
      <c r="Q235">
        <v>20230424</v>
      </c>
    </row>
    <row r="236" spans="1:17" x14ac:dyDescent="0.25">
      <c r="A236" t="s">
        <v>548</v>
      </c>
      <c r="B236" t="s">
        <v>429</v>
      </c>
      <c r="C236">
        <v>2</v>
      </c>
      <c r="D236">
        <v>20230424</v>
      </c>
      <c r="E236">
        <v>4</v>
      </c>
      <c r="F236">
        <v>411100</v>
      </c>
      <c r="G236" t="s">
        <v>18</v>
      </c>
      <c r="H236" t="s">
        <v>85</v>
      </c>
      <c r="I236" t="s">
        <v>86</v>
      </c>
      <c r="J236">
        <v>370181</v>
      </c>
      <c r="K236">
        <v>20230424</v>
      </c>
      <c r="L236" t="s">
        <v>6048</v>
      </c>
      <c r="M236">
        <v>0</v>
      </c>
      <c r="N236">
        <v>2.5</v>
      </c>
      <c r="O236" t="s">
        <v>19</v>
      </c>
      <c r="P236" t="s">
        <v>20</v>
      </c>
      <c r="Q236">
        <v>20230424</v>
      </c>
    </row>
    <row r="237" spans="1:17" x14ac:dyDescent="0.25">
      <c r="A237" t="s">
        <v>548</v>
      </c>
      <c r="B237" t="s">
        <v>429</v>
      </c>
      <c r="C237">
        <v>2</v>
      </c>
      <c r="D237">
        <v>20230424</v>
      </c>
      <c r="E237">
        <v>4</v>
      </c>
      <c r="F237">
        <v>411100</v>
      </c>
      <c r="G237" t="s">
        <v>18</v>
      </c>
      <c r="H237" t="s">
        <v>657</v>
      </c>
      <c r="I237" t="s">
        <v>658</v>
      </c>
      <c r="J237">
        <v>370182</v>
      </c>
      <c r="K237">
        <v>20230424</v>
      </c>
      <c r="L237" t="s">
        <v>6049</v>
      </c>
      <c r="M237">
        <v>0</v>
      </c>
      <c r="N237">
        <v>7</v>
      </c>
      <c r="O237" t="s">
        <v>19</v>
      </c>
      <c r="P237" t="s">
        <v>20</v>
      </c>
      <c r="Q237">
        <v>20230424</v>
      </c>
    </row>
    <row r="238" spans="1:17" x14ac:dyDescent="0.25">
      <c r="A238" t="s">
        <v>548</v>
      </c>
      <c r="B238" t="s">
        <v>429</v>
      </c>
      <c r="C238">
        <v>2</v>
      </c>
      <c r="D238">
        <v>20230424</v>
      </c>
      <c r="E238">
        <v>4</v>
      </c>
      <c r="F238">
        <v>411100</v>
      </c>
      <c r="G238" t="s">
        <v>18</v>
      </c>
      <c r="H238" t="s">
        <v>259</v>
      </c>
      <c r="I238" t="s">
        <v>260</v>
      </c>
      <c r="J238">
        <v>370183</v>
      </c>
      <c r="K238">
        <v>20230424</v>
      </c>
      <c r="L238" t="s">
        <v>6050</v>
      </c>
      <c r="M238">
        <v>0</v>
      </c>
      <c r="N238">
        <v>2.5</v>
      </c>
      <c r="O238" t="s">
        <v>19</v>
      </c>
      <c r="P238" t="s">
        <v>20</v>
      </c>
      <c r="Q238">
        <v>20230424</v>
      </c>
    </row>
    <row r="239" spans="1:17" x14ac:dyDescent="0.25">
      <c r="A239" t="s">
        <v>548</v>
      </c>
      <c r="B239" t="s">
        <v>429</v>
      </c>
      <c r="C239">
        <v>2</v>
      </c>
      <c r="D239">
        <v>20230424</v>
      </c>
      <c r="E239">
        <v>4</v>
      </c>
      <c r="F239">
        <v>411100</v>
      </c>
      <c r="G239" t="s">
        <v>18</v>
      </c>
      <c r="H239" t="s">
        <v>154</v>
      </c>
      <c r="I239" t="s">
        <v>155</v>
      </c>
      <c r="J239">
        <v>370184</v>
      </c>
      <c r="K239">
        <v>20230424</v>
      </c>
      <c r="L239" t="s">
        <v>6051</v>
      </c>
      <c r="M239">
        <v>0</v>
      </c>
      <c r="N239">
        <v>7</v>
      </c>
      <c r="O239" t="s">
        <v>19</v>
      </c>
      <c r="P239" t="s">
        <v>20</v>
      </c>
      <c r="Q239">
        <v>20230424</v>
      </c>
    </row>
    <row r="240" spans="1:17" x14ac:dyDescent="0.25">
      <c r="A240" t="s">
        <v>548</v>
      </c>
      <c r="B240" t="s">
        <v>429</v>
      </c>
      <c r="C240">
        <v>2</v>
      </c>
      <c r="D240">
        <v>20230424</v>
      </c>
      <c r="E240">
        <v>4</v>
      </c>
      <c r="F240">
        <v>411100</v>
      </c>
      <c r="G240" t="s">
        <v>18</v>
      </c>
      <c r="H240" t="s">
        <v>638</v>
      </c>
      <c r="I240" t="s">
        <v>639</v>
      </c>
      <c r="J240">
        <v>123020115</v>
      </c>
      <c r="K240">
        <v>20230424</v>
      </c>
      <c r="L240" t="s">
        <v>6052</v>
      </c>
      <c r="M240">
        <v>0</v>
      </c>
      <c r="N240">
        <v>112</v>
      </c>
      <c r="O240" t="s">
        <v>19</v>
      </c>
      <c r="P240" t="s">
        <v>20</v>
      </c>
      <c r="Q240">
        <v>20230424</v>
      </c>
    </row>
    <row r="241" spans="1:17" x14ac:dyDescent="0.25">
      <c r="A241" t="s">
        <v>548</v>
      </c>
      <c r="B241" t="s">
        <v>429</v>
      </c>
      <c r="C241">
        <v>2</v>
      </c>
      <c r="D241">
        <v>20230424</v>
      </c>
      <c r="E241">
        <v>4</v>
      </c>
      <c r="F241">
        <v>531105</v>
      </c>
      <c r="G241" t="s">
        <v>429</v>
      </c>
      <c r="H241" t="s">
        <v>401</v>
      </c>
      <c r="I241" t="s">
        <v>402</v>
      </c>
      <c r="J241" t="s">
        <v>6053</v>
      </c>
      <c r="K241">
        <v>20230424</v>
      </c>
      <c r="L241" t="s">
        <v>565</v>
      </c>
      <c r="M241">
        <v>122.5</v>
      </c>
      <c r="N241">
        <v>0</v>
      </c>
      <c r="O241" t="s">
        <v>19</v>
      </c>
      <c r="P241" t="s">
        <v>20</v>
      </c>
      <c r="Q241">
        <v>20230424</v>
      </c>
    </row>
    <row r="242" spans="1:17" x14ac:dyDescent="0.25">
      <c r="A242" t="s">
        <v>548</v>
      </c>
      <c r="B242" t="s">
        <v>429</v>
      </c>
      <c r="C242">
        <v>2</v>
      </c>
      <c r="D242">
        <v>20230424</v>
      </c>
      <c r="E242">
        <v>4</v>
      </c>
      <c r="F242">
        <v>531105</v>
      </c>
      <c r="G242" t="s">
        <v>429</v>
      </c>
      <c r="H242" t="s">
        <v>401</v>
      </c>
      <c r="I242" t="s">
        <v>402</v>
      </c>
      <c r="J242" t="s">
        <v>6054</v>
      </c>
      <c r="K242">
        <v>20230424</v>
      </c>
      <c r="L242" t="s">
        <v>565</v>
      </c>
      <c r="M242">
        <v>112</v>
      </c>
      <c r="N242">
        <v>0</v>
      </c>
      <c r="O242" t="s">
        <v>19</v>
      </c>
      <c r="P242" t="s">
        <v>20</v>
      </c>
      <c r="Q242">
        <v>20230424</v>
      </c>
    </row>
    <row r="243" spans="1:17" x14ac:dyDescent="0.25">
      <c r="A243" t="s">
        <v>548</v>
      </c>
      <c r="B243" t="s">
        <v>429</v>
      </c>
      <c r="C243">
        <v>2</v>
      </c>
      <c r="D243">
        <v>20230426</v>
      </c>
      <c r="E243">
        <v>4</v>
      </c>
      <c r="F243">
        <v>467100</v>
      </c>
      <c r="G243" t="s">
        <v>160</v>
      </c>
      <c r="H243" t="s">
        <v>4958</v>
      </c>
      <c r="I243" t="s">
        <v>4959</v>
      </c>
      <c r="J243" t="s">
        <v>6055</v>
      </c>
      <c r="K243">
        <v>20230426</v>
      </c>
      <c r="L243" t="s">
        <v>6056</v>
      </c>
      <c r="M243">
        <v>0</v>
      </c>
      <c r="N243">
        <v>36.15</v>
      </c>
      <c r="O243" t="s">
        <v>23</v>
      </c>
      <c r="P243">
        <v>20230526</v>
      </c>
      <c r="Q243">
        <v>20230426</v>
      </c>
    </row>
    <row r="244" spans="1:17" x14ac:dyDescent="0.25">
      <c r="A244" t="s">
        <v>548</v>
      </c>
      <c r="B244" t="s">
        <v>429</v>
      </c>
      <c r="C244">
        <v>2</v>
      </c>
      <c r="D244">
        <v>20230426</v>
      </c>
      <c r="E244">
        <v>4</v>
      </c>
      <c r="F244">
        <v>531105</v>
      </c>
      <c r="G244" t="s">
        <v>429</v>
      </c>
      <c r="H244" t="s">
        <v>401</v>
      </c>
      <c r="I244" t="s">
        <v>402</v>
      </c>
      <c r="J244" t="s">
        <v>6055</v>
      </c>
      <c r="K244">
        <v>20230426</v>
      </c>
      <c r="L244" t="s">
        <v>6056</v>
      </c>
      <c r="M244">
        <v>36.15</v>
      </c>
      <c r="N244">
        <v>0</v>
      </c>
      <c r="O244" t="s">
        <v>19</v>
      </c>
      <c r="P244" t="s">
        <v>20</v>
      </c>
      <c r="Q244">
        <v>20230426</v>
      </c>
    </row>
    <row r="245" spans="1:17" x14ac:dyDescent="0.25">
      <c r="A245" t="s">
        <v>548</v>
      </c>
      <c r="B245" t="s">
        <v>429</v>
      </c>
      <c r="C245">
        <v>2</v>
      </c>
      <c r="D245">
        <v>20230426</v>
      </c>
      <c r="E245">
        <v>4</v>
      </c>
      <c r="F245">
        <v>467100</v>
      </c>
      <c r="G245" t="s">
        <v>160</v>
      </c>
      <c r="H245" t="s">
        <v>4958</v>
      </c>
      <c r="I245" t="s">
        <v>4959</v>
      </c>
      <c r="J245" t="s">
        <v>6057</v>
      </c>
      <c r="K245">
        <v>20230426</v>
      </c>
      <c r="L245" t="s">
        <v>6058</v>
      </c>
      <c r="M245">
        <v>0</v>
      </c>
      <c r="N245">
        <v>38.01</v>
      </c>
      <c r="O245" t="s">
        <v>23</v>
      </c>
      <c r="P245">
        <v>20230526</v>
      </c>
      <c r="Q245">
        <v>20230426</v>
      </c>
    </row>
    <row r="246" spans="1:17" x14ac:dyDescent="0.25">
      <c r="A246" t="s">
        <v>548</v>
      </c>
      <c r="B246" t="s">
        <v>429</v>
      </c>
      <c r="C246">
        <v>2</v>
      </c>
      <c r="D246">
        <v>20230426</v>
      </c>
      <c r="E246">
        <v>4</v>
      </c>
      <c r="F246">
        <v>531105</v>
      </c>
      <c r="G246" t="s">
        <v>429</v>
      </c>
      <c r="H246" t="s">
        <v>401</v>
      </c>
      <c r="I246" t="s">
        <v>402</v>
      </c>
      <c r="J246" t="s">
        <v>6057</v>
      </c>
      <c r="K246">
        <v>20230426</v>
      </c>
      <c r="L246" t="s">
        <v>6058</v>
      </c>
      <c r="M246">
        <v>38.01</v>
      </c>
      <c r="N246">
        <v>0</v>
      </c>
      <c r="O246" t="s">
        <v>19</v>
      </c>
      <c r="P246" t="s">
        <v>20</v>
      </c>
      <c r="Q246">
        <v>20230426</v>
      </c>
    </row>
    <row r="247" spans="1:17" x14ac:dyDescent="0.25">
      <c r="A247" t="s">
        <v>548</v>
      </c>
      <c r="B247" t="s">
        <v>429</v>
      </c>
      <c r="C247">
        <v>2</v>
      </c>
      <c r="D247">
        <v>20230425</v>
      </c>
      <c r="E247">
        <v>4</v>
      </c>
      <c r="F247">
        <v>411100</v>
      </c>
      <c r="G247" t="s">
        <v>18</v>
      </c>
      <c r="H247" t="s">
        <v>192</v>
      </c>
      <c r="I247" t="s">
        <v>193</v>
      </c>
      <c r="J247">
        <v>323030005</v>
      </c>
      <c r="K247">
        <v>20230425</v>
      </c>
      <c r="L247" t="s">
        <v>6059</v>
      </c>
      <c r="M247">
        <v>0</v>
      </c>
      <c r="N247">
        <v>50</v>
      </c>
      <c r="O247" t="s">
        <v>19</v>
      </c>
      <c r="P247" t="s">
        <v>20</v>
      </c>
      <c r="Q247">
        <v>20230425</v>
      </c>
    </row>
    <row r="248" spans="1:17" x14ac:dyDescent="0.25">
      <c r="A248" t="s">
        <v>548</v>
      </c>
      <c r="B248" t="s">
        <v>429</v>
      </c>
      <c r="C248">
        <v>2</v>
      </c>
      <c r="D248">
        <v>20230425</v>
      </c>
      <c r="E248">
        <v>4</v>
      </c>
      <c r="F248">
        <v>531105</v>
      </c>
      <c r="G248" t="s">
        <v>429</v>
      </c>
      <c r="H248" t="s">
        <v>401</v>
      </c>
      <c r="I248" t="s">
        <v>402</v>
      </c>
      <c r="J248">
        <v>370795</v>
      </c>
      <c r="K248">
        <v>20230425</v>
      </c>
      <c r="L248" t="s">
        <v>565</v>
      </c>
      <c r="M248">
        <v>50</v>
      </c>
      <c r="N248">
        <v>0</v>
      </c>
      <c r="O248" t="s">
        <v>19</v>
      </c>
      <c r="P248" t="s">
        <v>20</v>
      </c>
      <c r="Q248">
        <v>20230425</v>
      </c>
    </row>
    <row r="249" spans="1:17" x14ac:dyDescent="0.25">
      <c r="A249" t="s">
        <v>548</v>
      </c>
      <c r="B249" t="s">
        <v>429</v>
      </c>
      <c r="C249">
        <v>2</v>
      </c>
      <c r="D249">
        <v>20230428</v>
      </c>
      <c r="E249">
        <v>4</v>
      </c>
      <c r="F249">
        <v>411010</v>
      </c>
      <c r="G249" t="s">
        <v>87</v>
      </c>
      <c r="H249" t="s">
        <v>381</v>
      </c>
      <c r="I249" t="s">
        <v>382</v>
      </c>
      <c r="J249">
        <v>223030009</v>
      </c>
      <c r="K249">
        <v>20230428</v>
      </c>
      <c r="L249" t="s">
        <v>6060</v>
      </c>
      <c r="M249">
        <v>0</v>
      </c>
      <c r="N249">
        <v>641.41999999999996</v>
      </c>
      <c r="O249" t="s">
        <v>19</v>
      </c>
      <c r="P249" t="s">
        <v>20</v>
      </c>
      <c r="Q249">
        <v>20230428</v>
      </c>
    </row>
    <row r="250" spans="1:17" x14ac:dyDescent="0.25">
      <c r="A250" t="s">
        <v>548</v>
      </c>
      <c r="B250" t="s">
        <v>429</v>
      </c>
      <c r="C250">
        <v>2</v>
      </c>
      <c r="D250">
        <v>20230428</v>
      </c>
      <c r="E250">
        <v>4</v>
      </c>
      <c r="F250">
        <v>411010</v>
      </c>
      <c r="G250" t="s">
        <v>87</v>
      </c>
      <c r="H250" t="s">
        <v>381</v>
      </c>
      <c r="I250" t="s">
        <v>382</v>
      </c>
      <c r="J250">
        <v>223030009</v>
      </c>
      <c r="K250">
        <v>20230428</v>
      </c>
      <c r="L250" t="s">
        <v>6061</v>
      </c>
      <c r="M250">
        <v>0</v>
      </c>
      <c r="N250">
        <v>8.58</v>
      </c>
      <c r="O250" t="s">
        <v>19</v>
      </c>
      <c r="P250" t="s">
        <v>20</v>
      </c>
      <c r="Q250">
        <v>20230428</v>
      </c>
    </row>
    <row r="251" spans="1:17" x14ac:dyDescent="0.25">
      <c r="A251" t="s">
        <v>548</v>
      </c>
      <c r="B251" t="s">
        <v>429</v>
      </c>
      <c r="C251">
        <v>2</v>
      </c>
      <c r="D251">
        <v>20230428</v>
      </c>
      <c r="E251">
        <v>4</v>
      </c>
      <c r="F251">
        <v>531105</v>
      </c>
      <c r="G251" t="s">
        <v>429</v>
      </c>
      <c r="H251" t="s">
        <v>401</v>
      </c>
      <c r="I251" t="s">
        <v>402</v>
      </c>
      <c r="J251">
        <v>370975</v>
      </c>
      <c r="K251">
        <v>20230428</v>
      </c>
      <c r="L251" t="s">
        <v>565</v>
      </c>
      <c r="M251">
        <v>650</v>
      </c>
      <c r="N251">
        <v>0</v>
      </c>
      <c r="O251" t="s">
        <v>19</v>
      </c>
      <c r="P251" t="s">
        <v>20</v>
      </c>
      <c r="Q251">
        <v>20230428</v>
      </c>
    </row>
    <row r="252" spans="1:17" x14ac:dyDescent="0.25">
      <c r="A252" t="s">
        <v>548</v>
      </c>
      <c r="B252" t="s">
        <v>429</v>
      </c>
      <c r="C252">
        <v>2</v>
      </c>
      <c r="D252">
        <v>20230428</v>
      </c>
      <c r="E252">
        <v>4</v>
      </c>
      <c r="F252">
        <v>411100</v>
      </c>
      <c r="G252" t="s">
        <v>18</v>
      </c>
      <c r="H252" t="s">
        <v>3216</v>
      </c>
      <c r="I252" t="s">
        <v>3217</v>
      </c>
      <c r="J252">
        <v>323020009</v>
      </c>
      <c r="K252">
        <v>20230428</v>
      </c>
      <c r="L252" t="s">
        <v>6062</v>
      </c>
      <c r="M252">
        <v>0</v>
      </c>
      <c r="N252">
        <v>54.91</v>
      </c>
      <c r="O252" t="s">
        <v>19</v>
      </c>
      <c r="P252" t="s">
        <v>20</v>
      </c>
      <c r="Q252">
        <v>20230428</v>
      </c>
    </row>
    <row r="253" spans="1:17" x14ac:dyDescent="0.25">
      <c r="A253" t="s">
        <v>548</v>
      </c>
      <c r="B253" t="s">
        <v>429</v>
      </c>
      <c r="C253">
        <v>2</v>
      </c>
      <c r="D253">
        <v>20230428</v>
      </c>
      <c r="E253">
        <v>4</v>
      </c>
      <c r="F253">
        <v>531105</v>
      </c>
      <c r="G253" t="s">
        <v>429</v>
      </c>
      <c r="H253" t="s">
        <v>401</v>
      </c>
      <c r="I253" t="s">
        <v>402</v>
      </c>
      <c r="J253">
        <v>371030</v>
      </c>
      <c r="K253">
        <v>20230428</v>
      </c>
      <c r="L253" t="s">
        <v>565</v>
      </c>
      <c r="M253">
        <v>54.91</v>
      </c>
      <c r="N253">
        <v>0</v>
      </c>
      <c r="O253" t="s">
        <v>19</v>
      </c>
      <c r="P253" t="s">
        <v>20</v>
      </c>
      <c r="Q253">
        <v>20230428</v>
      </c>
    </row>
    <row r="254" spans="1:17" x14ac:dyDescent="0.25">
      <c r="A254" t="s">
        <v>715</v>
      </c>
      <c r="B254" t="s">
        <v>432</v>
      </c>
      <c r="C254">
        <v>3</v>
      </c>
      <c r="D254">
        <v>20230403</v>
      </c>
      <c r="E254">
        <v>4</v>
      </c>
      <c r="F254">
        <v>401000</v>
      </c>
      <c r="G254" t="s">
        <v>41</v>
      </c>
      <c r="H254" t="s">
        <v>189</v>
      </c>
      <c r="I254" t="s">
        <v>190</v>
      </c>
      <c r="J254" t="s">
        <v>6063</v>
      </c>
      <c r="K254">
        <v>20230403</v>
      </c>
      <c r="L254" t="s">
        <v>191</v>
      </c>
      <c r="M254">
        <v>2870.1</v>
      </c>
      <c r="N254">
        <v>0</v>
      </c>
      <c r="O254" t="s">
        <v>19</v>
      </c>
      <c r="P254" t="s">
        <v>20</v>
      </c>
      <c r="Q254">
        <v>20230403</v>
      </c>
    </row>
    <row r="255" spans="1:17" x14ac:dyDescent="0.25">
      <c r="A255" t="s">
        <v>715</v>
      </c>
      <c r="B255" t="s">
        <v>432</v>
      </c>
      <c r="C255">
        <v>3</v>
      </c>
      <c r="D255">
        <v>20230403</v>
      </c>
      <c r="E255">
        <v>4</v>
      </c>
      <c r="F255">
        <v>512200</v>
      </c>
      <c r="G255" t="s">
        <v>432</v>
      </c>
      <c r="H255" t="s">
        <v>401</v>
      </c>
      <c r="I255" t="s">
        <v>402</v>
      </c>
      <c r="J255" t="s">
        <v>6063</v>
      </c>
      <c r="K255">
        <v>20230403</v>
      </c>
      <c r="L255" t="s">
        <v>191</v>
      </c>
      <c r="M255">
        <v>0</v>
      </c>
      <c r="N255">
        <v>2870.1</v>
      </c>
      <c r="O255" t="s">
        <v>19</v>
      </c>
      <c r="P255" t="s">
        <v>20</v>
      </c>
      <c r="Q255">
        <v>20230403</v>
      </c>
    </row>
    <row r="256" spans="1:17" x14ac:dyDescent="0.25">
      <c r="A256" t="s">
        <v>715</v>
      </c>
      <c r="B256" t="s">
        <v>432</v>
      </c>
      <c r="C256">
        <v>3</v>
      </c>
      <c r="D256">
        <v>20230403</v>
      </c>
      <c r="E256">
        <v>4</v>
      </c>
      <c r="F256">
        <v>401000</v>
      </c>
      <c r="G256" t="s">
        <v>41</v>
      </c>
      <c r="H256" t="s">
        <v>52</v>
      </c>
      <c r="I256" t="s">
        <v>53</v>
      </c>
      <c r="J256" t="s">
        <v>6064</v>
      </c>
      <c r="K256">
        <v>20230403</v>
      </c>
      <c r="L256" t="s">
        <v>5051</v>
      </c>
      <c r="M256">
        <v>68.59</v>
      </c>
      <c r="N256">
        <v>0</v>
      </c>
      <c r="O256" t="s">
        <v>19</v>
      </c>
      <c r="P256" t="s">
        <v>20</v>
      </c>
      <c r="Q256">
        <v>20230403</v>
      </c>
    </row>
    <row r="257" spans="1:17" x14ac:dyDescent="0.25">
      <c r="A257" t="s">
        <v>715</v>
      </c>
      <c r="B257" t="s">
        <v>432</v>
      </c>
      <c r="C257">
        <v>3</v>
      </c>
      <c r="D257">
        <v>20230403</v>
      </c>
      <c r="E257">
        <v>4</v>
      </c>
      <c r="F257">
        <v>512200</v>
      </c>
      <c r="G257" t="s">
        <v>432</v>
      </c>
      <c r="H257" t="s">
        <v>401</v>
      </c>
      <c r="I257" t="s">
        <v>402</v>
      </c>
      <c r="J257" t="s">
        <v>6064</v>
      </c>
      <c r="K257">
        <v>20230403</v>
      </c>
      <c r="L257" t="s">
        <v>5051</v>
      </c>
      <c r="M257">
        <v>0</v>
      </c>
      <c r="N257">
        <v>68.59</v>
      </c>
      <c r="O257" t="s">
        <v>19</v>
      </c>
      <c r="P257" t="s">
        <v>20</v>
      </c>
      <c r="Q257">
        <v>20230403</v>
      </c>
    </row>
    <row r="258" spans="1:17" x14ac:dyDescent="0.25">
      <c r="A258" t="s">
        <v>715</v>
      </c>
      <c r="B258" t="s">
        <v>432</v>
      </c>
      <c r="C258">
        <v>3</v>
      </c>
      <c r="D258">
        <v>20230403</v>
      </c>
      <c r="E258">
        <v>4</v>
      </c>
      <c r="F258">
        <v>401000</v>
      </c>
      <c r="G258" t="s">
        <v>41</v>
      </c>
      <c r="H258" t="s">
        <v>52</v>
      </c>
      <c r="I258" t="s">
        <v>53</v>
      </c>
      <c r="J258" t="s">
        <v>6065</v>
      </c>
      <c r="K258">
        <v>20230403</v>
      </c>
      <c r="L258" t="s">
        <v>5051</v>
      </c>
      <c r="M258">
        <v>373.79</v>
      </c>
      <c r="N258">
        <v>0</v>
      </c>
      <c r="O258" t="s">
        <v>19</v>
      </c>
      <c r="P258" t="s">
        <v>20</v>
      </c>
      <c r="Q258">
        <v>20230403</v>
      </c>
    </row>
    <row r="259" spans="1:17" x14ac:dyDescent="0.25">
      <c r="A259" t="s">
        <v>715</v>
      </c>
      <c r="B259" t="s">
        <v>432</v>
      </c>
      <c r="C259">
        <v>3</v>
      </c>
      <c r="D259">
        <v>20230403</v>
      </c>
      <c r="E259">
        <v>4</v>
      </c>
      <c r="F259">
        <v>512200</v>
      </c>
      <c r="G259" t="s">
        <v>432</v>
      </c>
      <c r="H259" t="s">
        <v>401</v>
      </c>
      <c r="I259" t="s">
        <v>402</v>
      </c>
      <c r="J259" t="s">
        <v>6065</v>
      </c>
      <c r="K259">
        <v>20230403</v>
      </c>
      <c r="L259" t="s">
        <v>5051</v>
      </c>
      <c r="M259">
        <v>0</v>
      </c>
      <c r="N259">
        <v>373.79</v>
      </c>
      <c r="O259" t="s">
        <v>19</v>
      </c>
      <c r="P259" t="s">
        <v>20</v>
      </c>
      <c r="Q259">
        <v>20230403</v>
      </c>
    </row>
    <row r="260" spans="1:17" x14ac:dyDescent="0.25">
      <c r="A260" t="s">
        <v>715</v>
      </c>
      <c r="B260" t="s">
        <v>432</v>
      </c>
      <c r="C260">
        <v>3</v>
      </c>
      <c r="D260">
        <v>20230405</v>
      </c>
      <c r="E260">
        <v>4</v>
      </c>
      <c r="F260">
        <v>401000</v>
      </c>
      <c r="G260" t="s">
        <v>41</v>
      </c>
      <c r="H260" t="s">
        <v>6066</v>
      </c>
      <c r="I260" t="s">
        <v>6067</v>
      </c>
      <c r="J260" t="s">
        <v>6068</v>
      </c>
      <c r="K260">
        <v>20230405</v>
      </c>
      <c r="L260" t="s">
        <v>6069</v>
      </c>
      <c r="M260">
        <v>0</v>
      </c>
      <c r="N260">
        <v>14.14</v>
      </c>
      <c r="O260" t="s">
        <v>19</v>
      </c>
      <c r="P260" t="s">
        <v>20</v>
      </c>
      <c r="Q260">
        <v>20230405</v>
      </c>
    </row>
    <row r="261" spans="1:17" x14ac:dyDescent="0.25">
      <c r="A261" t="s">
        <v>715</v>
      </c>
      <c r="B261" t="s">
        <v>432</v>
      </c>
      <c r="C261">
        <v>3</v>
      </c>
      <c r="D261">
        <v>20230405</v>
      </c>
      <c r="E261">
        <v>4</v>
      </c>
      <c r="F261">
        <v>512200</v>
      </c>
      <c r="G261" t="s">
        <v>432</v>
      </c>
      <c r="H261" t="s">
        <v>401</v>
      </c>
      <c r="I261" t="s">
        <v>402</v>
      </c>
      <c r="J261" t="s">
        <v>6068</v>
      </c>
      <c r="K261">
        <v>20230405</v>
      </c>
      <c r="L261" t="s">
        <v>6069</v>
      </c>
      <c r="M261">
        <v>14.14</v>
      </c>
      <c r="N261">
        <v>0</v>
      </c>
      <c r="O261" t="s">
        <v>19</v>
      </c>
      <c r="P261" t="s">
        <v>20</v>
      </c>
      <c r="Q261">
        <v>20230405</v>
      </c>
    </row>
    <row r="262" spans="1:17" x14ac:dyDescent="0.25">
      <c r="A262" t="s">
        <v>715</v>
      </c>
      <c r="B262" t="s">
        <v>432</v>
      </c>
      <c r="C262">
        <v>3</v>
      </c>
      <c r="D262">
        <v>20230405</v>
      </c>
      <c r="E262">
        <v>4</v>
      </c>
      <c r="F262">
        <v>401000</v>
      </c>
      <c r="G262" t="s">
        <v>41</v>
      </c>
      <c r="H262" t="s">
        <v>6066</v>
      </c>
      <c r="I262" t="s">
        <v>6067</v>
      </c>
      <c r="J262" t="s">
        <v>6070</v>
      </c>
      <c r="K262">
        <v>20230405</v>
      </c>
      <c r="L262" t="s">
        <v>6069</v>
      </c>
      <c r="M262">
        <v>0</v>
      </c>
      <c r="N262">
        <v>21.99</v>
      </c>
      <c r="O262" t="s">
        <v>19</v>
      </c>
      <c r="P262" t="s">
        <v>20</v>
      </c>
      <c r="Q262">
        <v>20230405</v>
      </c>
    </row>
    <row r="263" spans="1:17" x14ac:dyDescent="0.25">
      <c r="A263" t="s">
        <v>715</v>
      </c>
      <c r="B263" t="s">
        <v>432</v>
      </c>
      <c r="C263">
        <v>3</v>
      </c>
      <c r="D263">
        <v>20230405</v>
      </c>
      <c r="E263">
        <v>4</v>
      </c>
      <c r="F263">
        <v>512200</v>
      </c>
      <c r="G263" t="s">
        <v>432</v>
      </c>
      <c r="H263" t="s">
        <v>401</v>
      </c>
      <c r="I263" t="s">
        <v>402</v>
      </c>
      <c r="J263" t="s">
        <v>6070</v>
      </c>
      <c r="K263">
        <v>20230405</v>
      </c>
      <c r="L263" t="s">
        <v>6069</v>
      </c>
      <c r="M263">
        <v>21.99</v>
      </c>
      <c r="N263">
        <v>0</v>
      </c>
      <c r="O263" t="s">
        <v>19</v>
      </c>
      <c r="P263" t="s">
        <v>20</v>
      </c>
      <c r="Q263">
        <v>20230405</v>
      </c>
    </row>
    <row r="264" spans="1:17" x14ac:dyDescent="0.25">
      <c r="A264" t="s">
        <v>715</v>
      </c>
      <c r="B264" t="s">
        <v>432</v>
      </c>
      <c r="C264">
        <v>3</v>
      </c>
      <c r="D264">
        <v>20230405</v>
      </c>
      <c r="E264">
        <v>4</v>
      </c>
      <c r="F264">
        <v>401000</v>
      </c>
      <c r="G264" t="s">
        <v>41</v>
      </c>
      <c r="H264" t="s">
        <v>6066</v>
      </c>
      <c r="I264" t="s">
        <v>6067</v>
      </c>
      <c r="J264" t="s">
        <v>6071</v>
      </c>
      <c r="K264">
        <v>20230405</v>
      </c>
      <c r="L264" t="s">
        <v>6069</v>
      </c>
      <c r="M264">
        <v>0</v>
      </c>
      <c r="N264">
        <v>14.16</v>
      </c>
      <c r="O264" t="s">
        <v>19</v>
      </c>
      <c r="P264" t="s">
        <v>20</v>
      </c>
      <c r="Q264">
        <v>20230405</v>
      </c>
    </row>
    <row r="265" spans="1:17" x14ac:dyDescent="0.25">
      <c r="A265" t="s">
        <v>715</v>
      </c>
      <c r="B265" t="s">
        <v>432</v>
      </c>
      <c r="C265">
        <v>3</v>
      </c>
      <c r="D265">
        <v>20230405</v>
      </c>
      <c r="E265">
        <v>4</v>
      </c>
      <c r="F265">
        <v>512200</v>
      </c>
      <c r="G265" t="s">
        <v>432</v>
      </c>
      <c r="H265" t="s">
        <v>401</v>
      </c>
      <c r="I265" t="s">
        <v>402</v>
      </c>
      <c r="J265" t="s">
        <v>6071</v>
      </c>
      <c r="K265">
        <v>20230405</v>
      </c>
      <c r="L265" t="s">
        <v>6069</v>
      </c>
      <c r="M265">
        <v>14.16</v>
      </c>
      <c r="N265">
        <v>0</v>
      </c>
      <c r="O265" t="s">
        <v>19</v>
      </c>
      <c r="P265" t="s">
        <v>20</v>
      </c>
      <c r="Q265">
        <v>20230405</v>
      </c>
    </row>
    <row r="266" spans="1:17" x14ac:dyDescent="0.25">
      <c r="A266" t="s">
        <v>715</v>
      </c>
      <c r="B266" t="s">
        <v>432</v>
      </c>
      <c r="C266">
        <v>3</v>
      </c>
      <c r="D266">
        <v>20230405</v>
      </c>
      <c r="E266">
        <v>4</v>
      </c>
      <c r="F266">
        <v>401000</v>
      </c>
      <c r="G266" t="s">
        <v>41</v>
      </c>
      <c r="H266" t="s">
        <v>6066</v>
      </c>
      <c r="I266" t="s">
        <v>6067</v>
      </c>
      <c r="J266" t="s">
        <v>6072</v>
      </c>
      <c r="K266">
        <v>20230405</v>
      </c>
      <c r="L266" t="s">
        <v>6069</v>
      </c>
      <c r="M266">
        <v>0</v>
      </c>
      <c r="N266">
        <v>21.99</v>
      </c>
      <c r="O266" t="s">
        <v>19</v>
      </c>
      <c r="P266" t="s">
        <v>20</v>
      </c>
      <c r="Q266">
        <v>20230405</v>
      </c>
    </row>
    <row r="267" spans="1:17" x14ac:dyDescent="0.25">
      <c r="A267" t="s">
        <v>715</v>
      </c>
      <c r="B267" t="s">
        <v>432</v>
      </c>
      <c r="C267">
        <v>3</v>
      </c>
      <c r="D267">
        <v>20230405</v>
      </c>
      <c r="E267">
        <v>4</v>
      </c>
      <c r="F267">
        <v>512200</v>
      </c>
      <c r="G267" t="s">
        <v>432</v>
      </c>
      <c r="H267" t="s">
        <v>401</v>
      </c>
      <c r="I267" t="s">
        <v>402</v>
      </c>
      <c r="J267" t="s">
        <v>6072</v>
      </c>
      <c r="K267">
        <v>20230405</v>
      </c>
      <c r="L267" t="s">
        <v>6069</v>
      </c>
      <c r="M267">
        <v>21.99</v>
      </c>
      <c r="N267">
        <v>0</v>
      </c>
      <c r="O267" t="s">
        <v>19</v>
      </c>
      <c r="P267" t="s">
        <v>20</v>
      </c>
      <c r="Q267">
        <v>20230405</v>
      </c>
    </row>
    <row r="268" spans="1:17" x14ac:dyDescent="0.25">
      <c r="A268" t="s">
        <v>715</v>
      </c>
      <c r="B268" t="s">
        <v>432</v>
      </c>
      <c r="C268">
        <v>3</v>
      </c>
      <c r="D268">
        <v>20230406</v>
      </c>
      <c r="E268">
        <v>4</v>
      </c>
      <c r="F268">
        <v>627400</v>
      </c>
      <c r="G268" t="s">
        <v>722</v>
      </c>
      <c r="H268" t="s">
        <v>401</v>
      </c>
      <c r="I268" t="s">
        <v>402</v>
      </c>
      <c r="J268" t="s">
        <v>6073</v>
      </c>
      <c r="K268">
        <v>20230406</v>
      </c>
      <c r="L268" t="s">
        <v>6074</v>
      </c>
      <c r="M268">
        <v>11.5</v>
      </c>
      <c r="N268">
        <v>0</v>
      </c>
      <c r="O268" t="s">
        <v>19</v>
      </c>
      <c r="P268" t="s">
        <v>20</v>
      </c>
      <c r="Q268">
        <v>20230406</v>
      </c>
    </row>
    <row r="269" spans="1:17" x14ac:dyDescent="0.25">
      <c r="A269" t="s">
        <v>715</v>
      </c>
      <c r="B269" t="s">
        <v>432</v>
      </c>
      <c r="C269">
        <v>3</v>
      </c>
      <c r="D269">
        <v>20230406</v>
      </c>
      <c r="E269">
        <v>4</v>
      </c>
      <c r="F269">
        <v>512200</v>
      </c>
      <c r="G269" t="s">
        <v>432</v>
      </c>
      <c r="H269" t="s">
        <v>401</v>
      </c>
      <c r="I269" t="s">
        <v>402</v>
      </c>
      <c r="J269" t="s">
        <v>6073</v>
      </c>
      <c r="K269">
        <v>20230406</v>
      </c>
      <c r="L269" t="s">
        <v>6074</v>
      </c>
      <c r="M269">
        <v>0</v>
      </c>
      <c r="N269">
        <v>11.5</v>
      </c>
      <c r="O269" t="s">
        <v>19</v>
      </c>
      <c r="P269" t="s">
        <v>20</v>
      </c>
      <c r="Q269">
        <v>20230406</v>
      </c>
    </row>
    <row r="270" spans="1:17" x14ac:dyDescent="0.25">
      <c r="A270" t="s">
        <v>715</v>
      </c>
      <c r="B270" t="s">
        <v>432</v>
      </c>
      <c r="C270">
        <v>3</v>
      </c>
      <c r="D270">
        <v>20230406</v>
      </c>
      <c r="E270">
        <v>4</v>
      </c>
      <c r="F270">
        <v>401000</v>
      </c>
      <c r="G270" t="s">
        <v>41</v>
      </c>
      <c r="H270" t="s">
        <v>52</v>
      </c>
      <c r="I270" t="s">
        <v>53</v>
      </c>
      <c r="J270" t="s">
        <v>6075</v>
      </c>
      <c r="K270">
        <v>20230406</v>
      </c>
      <c r="L270" t="s">
        <v>6076</v>
      </c>
      <c r="M270">
        <v>61.44</v>
      </c>
      <c r="N270">
        <v>0</v>
      </c>
      <c r="O270" t="s">
        <v>19</v>
      </c>
      <c r="P270" t="s">
        <v>20</v>
      </c>
      <c r="Q270">
        <v>20230406</v>
      </c>
    </row>
    <row r="271" spans="1:17" x14ac:dyDescent="0.25">
      <c r="A271" t="s">
        <v>715</v>
      </c>
      <c r="B271" t="s">
        <v>432</v>
      </c>
      <c r="C271">
        <v>3</v>
      </c>
      <c r="D271">
        <v>20230406</v>
      </c>
      <c r="E271">
        <v>4</v>
      </c>
      <c r="F271">
        <v>512200</v>
      </c>
      <c r="G271" t="s">
        <v>432</v>
      </c>
      <c r="H271" t="s">
        <v>401</v>
      </c>
      <c r="I271" t="s">
        <v>402</v>
      </c>
      <c r="J271" t="s">
        <v>6075</v>
      </c>
      <c r="K271">
        <v>20230406</v>
      </c>
      <c r="L271" t="s">
        <v>6076</v>
      </c>
      <c r="M271">
        <v>0</v>
      </c>
      <c r="N271">
        <v>61.44</v>
      </c>
      <c r="O271" t="s">
        <v>19</v>
      </c>
      <c r="P271" t="s">
        <v>20</v>
      </c>
      <c r="Q271">
        <v>20230406</v>
      </c>
    </row>
    <row r="272" spans="1:17" x14ac:dyDescent="0.25">
      <c r="A272" t="s">
        <v>715</v>
      </c>
      <c r="B272" t="s">
        <v>432</v>
      </c>
      <c r="C272">
        <v>3</v>
      </c>
      <c r="D272">
        <v>20230406</v>
      </c>
      <c r="E272">
        <v>4</v>
      </c>
      <c r="F272">
        <v>401000</v>
      </c>
      <c r="G272" t="s">
        <v>41</v>
      </c>
      <c r="H272" t="s">
        <v>52</v>
      </c>
      <c r="I272" t="s">
        <v>53</v>
      </c>
      <c r="J272" t="s">
        <v>6077</v>
      </c>
      <c r="K272">
        <v>20230406</v>
      </c>
      <c r="L272" t="s">
        <v>6078</v>
      </c>
      <c r="M272">
        <v>62.4</v>
      </c>
      <c r="N272">
        <v>0</v>
      </c>
      <c r="O272" t="s">
        <v>19</v>
      </c>
      <c r="P272" t="s">
        <v>20</v>
      </c>
      <c r="Q272">
        <v>20230406</v>
      </c>
    </row>
    <row r="273" spans="1:17" x14ac:dyDescent="0.25">
      <c r="A273" t="s">
        <v>715</v>
      </c>
      <c r="B273" t="s">
        <v>432</v>
      </c>
      <c r="C273">
        <v>3</v>
      </c>
      <c r="D273">
        <v>20230406</v>
      </c>
      <c r="E273">
        <v>4</v>
      </c>
      <c r="F273">
        <v>512200</v>
      </c>
      <c r="G273" t="s">
        <v>432</v>
      </c>
      <c r="H273" t="s">
        <v>401</v>
      </c>
      <c r="I273" t="s">
        <v>402</v>
      </c>
      <c r="J273" t="s">
        <v>6077</v>
      </c>
      <c r="K273">
        <v>20230406</v>
      </c>
      <c r="L273" t="s">
        <v>6078</v>
      </c>
      <c r="M273">
        <v>0</v>
      </c>
      <c r="N273">
        <v>62.4</v>
      </c>
      <c r="O273" t="s">
        <v>19</v>
      </c>
      <c r="P273" t="s">
        <v>20</v>
      </c>
      <c r="Q273">
        <v>20230406</v>
      </c>
    </row>
    <row r="274" spans="1:17" x14ac:dyDescent="0.25">
      <c r="A274" t="s">
        <v>715</v>
      </c>
      <c r="B274" t="s">
        <v>432</v>
      </c>
      <c r="C274">
        <v>3</v>
      </c>
      <c r="D274">
        <v>20230406</v>
      </c>
      <c r="E274">
        <v>4</v>
      </c>
      <c r="F274">
        <v>401000</v>
      </c>
      <c r="G274" t="s">
        <v>41</v>
      </c>
      <c r="H274" t="s">
        <v>848</v>
      </c>
      <c r="I274" t="s">
        <v>849</v>
      </c>
      <c r="J274" t="s">
        <v>6079</v>
      </c>
      <c r="K274">
        <v>20230406</v>
      </c>
      <c r="L274" t="s">
        <v>1592</v>
      </c>
      <c r="M274">
        <v>208</v>
      </c>
      <c r="N274">
        <v>0</v>
      </c>
      <c r="O274" t="s">
        <v>19</v>
      </c>
      <c r="P274" t="s">
        <v>20</v>
      </c>
      <c r="Q274">
        <v>20230406</v>
      </c>
    </row>
    <row r="275" spans="1:17" x14ac:dyDescent="0.25">
      <c r="A275" t="s">
        <v>715</v>
      </c>
      <c r="B275" t="s">
        <v>432</v>
      </c>
      <c r="C275">
        <v>3</v>
      </c>
      <c r="D275">
        <v>20230406</v>
      </c>
      <c r="E275">
        <v>4</v>
      </c>
      <c r="F275">
        <v>512200</v>
      </c>
      <c r="G275" t="s">
        <v>432</v>
      </c>
      <c r="H275" t="s">
        <v>401</v>
      </c>
      <c r="I275" t="s">
        <v>402</v>
      </c>
      <c r="J275" t="s">
        <v>6079</v>
      </c>
      <c r="K275">
        <v>20230406</v>
      </c>
      <c r="L275" t="s">
        <v>1592</v>
      </c>
      <c r="M275">
        <v>0</v>
      </c>
      <c r="N275">
        <v>208</v>
      </c>
      <c r="O275" t="s">
        <v>19</v>
      </c>
      <c r="P275" t="s">
        <v>20</v>
      </c>
      <c r="Q275">
        <v>20230406</v>
      </c>
    </row>
    <row r="276" spans="1:17" x14ac:dyDescent="0.25">
      <c r="A276" t="s">
        <v>715</v>
      </c>
      <c r="B276" t="s">
        <v>432</v>
      </c>
      <c r="C276">
        <v>3</v>
      </c>
      <c r="D276">
        <v>20230410</v>
      </c>
      <c r="E276">
        <v>4</v>
      </c>
      <c r="F276">
        <v>627000</v>
      </c>
      <c r="G276" t="s">
        <v>480</v>
      </c>
      <c r="H276" t="s">
        <v>401</v>
      </c>
      <c r="I276" t="s">
        <v>402</v>
      </c>
      <c r="J276" t="s">
        <v>6080</v>
      </c>
      <c r="K276">
        <v>20230410</v>
      </c>
      <c r="L276" t="s">
        <v>4488</v>
      </c>
      <c r="M276">
        <v>15.88</v>
      </c>
      <c r="N276">
        <v>0</v>
      </c>
      <c r="O276" t="s">
        <v>19</v>
      </c>
      <c r="P276" t="s">
        <v>20</v>
      </c>
      <c r="Q276">
        <v>20230410</v>
      </c>
    </row>
    <row r="277" spans="1:17" x14ac:dyDescent="0.25">
      <c r="A277" t="s">
        <v>715</v>
      </c>
      <c r="B277" t="s">
        <v>432</v>
      </c>
      <c r="C277">
        <v>3</v>
      </c>
      <c r="D277">
        <v>20230410</v>
      </c>
      <c r="E277">
        <v>4</v>
      </c>
      <c r="F277">
        <v>512200</v>
      </c>
      <c r="G277" t="s">
        <v>432</v>
      </c>
      <c r="H277" t="s">
        <v>401</v>
      </c>
      <c r="I277" t="s">
        <v>402</v>
      </c>
      <c r="J277" t="s">
        <v>6080</v>
      </c>
      <c r="K277">
        <v>20230410</v>
      </c>
      <c r="L277" t="s">
        <v>4488</v>
      </c>
      <c r="M277">
        <v>0</v>
      </c>
      <c r="N277">
        <v>15.88</v>
      </c>
      <c r="O277" t="s">
        <v>19</v>
      </c>
      <c r="P277" t="s">
        <v>20</v>
      </c>
      <c r="Q277">
        <v>20230410</v>
      </c>
    </row>
    <row r="278" spans="1:17" x14ac:dyDescent="0.25">
      <c r="A278" t="s">
        <v>715</v>
      </c>
      <c r="B278" t="s">
        <v>432</v>
      </c>
      <c r="C278">
        <v>3</v>
      </c>
      <c r="D278">
        <v>20230411</v>
      </c>
      <c r="E278">
        <v>4</v>
      </c>
      <c r="F278">
        <v>401000</v>
      </c>
      <c r="G278" t="s">
        <v>41</v>
      </c>
      <c r="H278" t="s">
        <v>1655</v>
      </c>
      <c r="I278" t="s">
        <v>1656</v>
      </c>
      <c r="J278" t="s">
        <v>6081</v>
      </c>
      <c r="K278">
        <v>20230411</v>
      </c>
      <c r="L278" t="s">
        <v>2313</v>
      </c>
      <c r="M278">
        <v>144.5</v>
      </c>
      <c r="N278">
        <v>0</v>
      </c>
      <c r="O278" t="s">
        <v>19</v>
      </c>
      <c r="P278" t="s">
        <v>20</v>
      </c>
      <c r="Q278">
        <v>20230411</v>
      </c>
    </row>
    <row r="279" spans="1:17" x14ac:dyDescent="0.25">
      <c r="A279" t="s">
        <v>715</v>
      </c>
      <c r="B279" t="s">
        <v>432</v>
      </c>
      <c r="C279">
        <v>3</v>
      </c>
      <c r="D279">
        <v>20230411</v>
      </c>
      <c r="E279">
        <v>4</v>
      </c>
      <c r="F279">
        <v>512200</v>
      </c>
      <c r="G279" t="s">
        <v>432</v>
      </c>
      <c r="H279" t="s">
        <v>401</v>
      </c>
      <c r="I279" t="s">
        <v>402</v>
      </c>
      <c r="J279" t="s">
        <v>6081</v>
      </c>
      <c r="K279">
        <v>20230411</v>
      </c>
      <c r="L279" t="s">
        <v>2313</v>
      </c>
      <c r="M279">
        <v>0</v>
      </c>
      <c r="N279">
        <v>144.5</v>
      </c>
      <c r="O279" t="s">
        <v>19</v>
      </c>
      <c r="P279" t="s">
        <v>20</v>
      </c>
      <c r="Q279">
        <v>20230411</v>
      </c>
    </row>
    <row r="280" spans="1:17" x14ac:dyDescent="0.25">
      <c r="A280" t="s">
        <v>715</v>
      </c>
      <c r="B280" t="s">
        <v>432</v>
      </c>
      <c r="C280">
        <v>3</v>
      </c>
      <c r="D280">
        <v>20230418</v>
      </c>
      <c r="E280">
        <v>4</v>
      </c>
      <c r="F280">
        <v>627500</v>
      </c>
      <c r="G280" t="s">
        <v>729</v>
      </c>
      <c r="H280" t="s">
        <v>401</v>
      </c>
      <c r="I280" t="s">
        <v>402</v>
      </c>
      <c r="J280" t="s">
        <v>6082</v>
      </c>
      <c r="K280">
        <v>20230418</v>
      </c>
      <c r="L280" t="s">
        <v>6083</v>
      </c>
      <c r="M280">
        <v>95.11</v>
      </c>
      <c r="N280">
        <v>0</v>
      </c>
      <c r="O280" t="s">
        <v>19</v>
      </c>
      <c r="P280" t="s">
        <v>20</v>
      </c>
      <c r="Q280">
        <v>20230418</v>
      </c>
    </row>
    <row r="281" spans="1:17" x14ac:dyDescent="0.25">
      <c r="A281" t="s">
        <v>715</v>
      </c>
      <c r="B281" t="s">
        <v>432</v>
      </c>
      <c r="C281">
        <v>3</v>
      </c>
      <c r="D281">
        <v>20230418</v>
      </c>
      <c r="E281">
        <v>4</v>
      </c>
      <c r="F281">
        <v>512200</v>
      </c>
      <c r="G281" t="s">
        <v>432</v>
      </c>
      <c r="H281" t="s">
        <v>401</v>
      </c>
      <c r="I281" t="s">
        <v>402</v>
      </c>
      <c r="J281" t="s">
        <v>6082</v>
      </c>
      <c r="K281">
        <v>20230418</v>
      </c>
      <c r="L281" t="s">
        <v>6083</v>
      </c>
      <c r="M281">
        <v>0</v>
      </c>
      <c r="N281">
        <v>95.11</v>
      </c>
      <c r="O281" t="s">
        <v>19</v>
      </c>
      <c r="P281" t="s">
        <v>20</v>
      </c>
      <c r="Q281">
        <v>20230418</v>
      </c>
    </row>
    <row r="282" spans="1:17" x14ac:dyDescent="0.25">
      <c r="A282" t="s">
        <v>715</v>
      </c>
      <c r="B282" t="s">
        <v>432</v>
      </c>
      <c r="C282">
        <v>3</v>
      </c>
      <c r="D282">
        <v>20230419</v>
      </c>
      <c r="E282">
        <v>4</v>
      </c>
      <c r="F282">
        <v>401000</v>
      </c>
      <c r="G282" t="s">
        <v>41</v>
      </c>
      <c r="H282" t="s">
        <v>6084</v>
      </c>
      <c r="I282" t="s">
        <v>6085</v>
      </c>
      <c r="J282" t="s">
        <v>6086</v>
      </c>
      <c r="K282">
        <v>20230419</v>
      </c>
      <c r="L282" t="s">
        <v>6087</v>
      </c>
      <c r="M282">
        <v>923.99</v>
      </c>
      <c r="N282">
        <v>0</v>
      </c>
      <c r="O282" t="s">
        <v>19</v>
      </c>
      <c r="P282" t="s">
        <v>20</v>
      </c>
      <c r="Q282">
        <v>20230419</v>
      </c>
    </row>
    <row r="283" spans="1:17" x14ac:dyDescent="0.25">
      <c r="A283" t="s">
        <v>715</v>
      </c>
      <c r="B283" t="s">
        <v>432</v>
      </c>
      <c r="C283">
        <v>3</v>
      </c>
      <c r="D283">
        <v>20230419</v>
      </c>
      <c r="E283">
        <v>4</v>
      </c>
      <c r="F283">
        <v>512200</v>
      </c>
      <c r="G283" t="s">
        <v>432</v>
      </c>
      <c r="H283" t="s">
        <v>401</v>
      </c>
      <c r="I283" t="s">
        <v>402</v>
      </c>
      <c r="J283" t="s">
        <v>6086</v>
      </c>
      <c r="K283">
        <v>20230419</v>
      </c>
      <c r="L283" t="s">
        <v>6087</v>
      </c>
      <c r="M283">
        <v>0</v>
      </c>
      <c r="N283">
        <v>923.99</v>
      </c>
      <c r="O283" t="s">
        <v>19</v>
      </c>
      <c r="P283" t="s">
        <v>20</v>
      </c>
      <c r="Q283">
        <v>20230419</v>
      </c>
    </row>
    <row r="284" spans="1:17" x14ac:dyDescent="0.25">
      <c r="A284" t="s">
        <v>715</v>
      </c>
      <c r="B284" t="s">
        <v>432</v>
      </c>
      <c r="C284">
        <v>3</v>
      </c>
      <c r="D284">
        <v>20230420</v>
      </c>
      <c r="E284">
        <v>4</v>
      </c>
      <c r="F284">
        <v>401000</v>
      </c>
      <c r="G284" t="s">
        <v>41</v>
      </c>
      <c r="H284" t="s">
        <v>389</v>
      </c>
      <c r="I284" t="s">
        <v>390</v>
      </c>
      <c r="J284" t="s">
        <v>6088</v>
      </c>
      <c r="K284">
        <v>20230420</v>
      </c>
      <c r="L284" t="s">
        <v>6089</v>
      </c>
      <c r="M284">
        <v>420</v>
      </c>
      <c r="N284">
        <v>0</v>
      </c>
      <c r="O284" t="s">
        <v>19</v>
      </c>
      <c r="P284" t="s">
        <v>20</v>
      </c>
      <c r="Q284">
        <v>20230420</v>
      </c>
    </row>
    <row r="285" spans="1:17" x14ac:dyDescent="0.25">
      <c r="A285" t="s">
        <v>715</v>
      </c>
      <c r="B285" t="s">
        <v>432</v>
      </c>
      <c r="C285">
        <v>3</v>
      </c>
      <c r="D285">
        <v>20230420</v>
      </c>
      <c r="E285">
        <v>4</v>
      </c>
      <c r="F285">
        <v>512200</v>
      </c>
      <c r="G285" t="s">
        <v>432</v>
      </c>
      <c r="H285" t="s">
        <v>401</v>
      </c>
      <c r="I285" t="s">
        <v>402</v>
      </c>
      <c r="J285" t="s">
        <v>6088</v>
      </c>
      <c r="K285">
        <v>20230420</v>
      </c>
      <c r="L285" t="s">
        <v>6089</v>
      </c>
      <c r="M285">
        <v>0</v>
      </c>
      <c r="N285">
        <v>420</v>
      </c>
      <c r="O285" t="s">
        <v>19</v>
      </c>
      <c r="P285" t="s">
        <v>20</v>
      </c>
      <c r="Q285">
        <v>20230420</v>
      </c>
    </row>
    <row r="286" spans="1:17" x14ac:dyDescent="0.25">
      <c r="A286" t="s">
        <v>715</v>
      </c>
      <c r="B286" t="s">
        <v>432</v>
      </c>
      <c r="C286">
        <v>3</v>
      </c>
      <c r="D286">
        <v>20230421</v>
      </c>
      <c r="E286">
        <v>4</v>
      </c>
      <c r="F286">
        <v>401000</v>
      </c>
      <c r="G286" t="s">
        <v>41</v>
      </c>
      <c r="H286" t="s">
        <v>52</v>
      </c>
      <c r="I286" t="s">
        <v>53</v>
      </c>
      <c r="J286" t="s">
        <v>6090</v>
      </c>
      <c r="K286">
        <v>20230421</v>
      </c>
      <c r="L286" t="s">
        <v>6091</v>
      </c>
      <c r="M286">
        <v>66</v>
      </c>
      <c r="N286">
        <v>0</v>
      </c>
      <c r="O286" t="s">
        <v>19</v>
      </c>
      <c r="P286" t="s">
        <v>20</v>
      </c>
      <c r="Q286">
        <v>20230421</v>
      </c>
    </row>
    <row r="287" spans="1:17" x14ac:dyDescent="0.25">
      <c r="A287" t="s">
        <v>715</v>
      </c>
      <c r="B287" t="s">
        <v>432</v>
      </c>
      <c r="C287">
        <v>3</v>
      </c>
      <c r="D287">
        <v>20230421</v>
      </c>
      <c r="E287">
        <v>4</v>
      </c>
      <c r="F287">
        <v>512200</v>
      </c>
      <c r="G287" t="s">
        <v>432</v>
      </c>
      <c r="H287" t="s">
        <v>401</v>
      </c>
      <c r="I287" t="s">
        <v>402</v>
      </c>
      <c r="J287" t="s">
        <v>6090</v>
      </c>
      <c r="K287">
        <v>20230421</v>
      </c>
      <c r="L287" t="s">
        <v>6091</v>
      </c>
      <c r="M287">
        <v>0</v>
      </c>
      <c r="N287">
        <v>66</v>
      </c>
      <c r="O287" t="s">
        <v>19</v>
      </c>
      <c r="P287" t="s">
        <v>20</v>
      </c>
      <c r="Q287">
        <v>20230421</v>
      </c>
    </row>
    <row r="288" spans="1:17" x14ac:dyDescent="0.25">
      <c r="A288" t="s">
        <v>715</v>
      </c>
      <c r="B288" t="s">
        <v>432</v>
      </c>
      <c r="C288">
        <v>3</v>
      </c>
      <c r="D288">
        <v>20230421</v>
      </c>
      <c r="E288">
        <v>4</v>
      </c>
      <c r="F288">
        <v>401000</v>
      </c>
      <c r="G288" t="s">
        <v>41</v>
      </c>
      <c r="H288" t="s">
        <v>4481</v>
      </c>
      <c r="I288" t="s">
        <v>4482</v>
      </c>
      <c r="J288" t="s">
        <v>6092</v>
      </c>
      <c r="K288">
        <v>20230421</v>
      </c>
      <c r="L288" t="s">
        <v>6093</v>
      </c>
      <c r="M288">
        <v>312</v>
      </c>
      <c r="N288">
        <v>0</v>
      </c>
      <c r="O288" t="s">
        <v>19</v>
      </c>
      <c r="P288" t="s">
        <v>20</v>
      </c>
      <c r="Q288">
        <v>20230421</v>
      </c>
    </row>
    <row r="289" spans="1:17" x14ac:dyDescent="0.25">
      <c r="A289" t="s">
        <v>715</v>
      </c>
      <c r="B289" t="s">
        <v>432</v>
      </c>
      <c r="C289">
        <v>3</v>
      </c>
      <c r="D289">
        <v>20230421</v>
      </c>
      <c r="E289">
        <v>4</v>
      </c>
      <c r="F289">
        <v>512200</v>
      </c>
      <c r="G289" t="s">
        <v>432</v>
      </c>
      <c r="H289" t="s">
        <v>401</v>
      </c>
      <c r="I289" t="s">
        <v>402</v>
      </c>
      <c r="J289" t="s">
        <v>6092</v>
      </c>
      <c r="K289">
        <v>20230421</v>
      </c>
      <c r="L289" t="s">
        <v>6093</v>
      </c>
      <c r="M289">
        <v>0</v>
      </c>
      <c r="N289">
        <v>312</v>
      </c>
      <c r="O289" t="s">
        <v>19</v>
      </c>
      <c r="P289" t="s">
        <v>20</v>
      </c>
      <c r="Q289">
        <v>20230421</v>
      </c>
    </row>
    <row r="290" spans="1:17" x14ac:dyDescent="0.25">
      <c r="A290" t="s">
        <v>715</v>
      </c>
      <c r="B290" t="s">
        <v>432</v>
      </c>
      <c r="C290">
        <v>3</v>
      </c>
      <c r="D290">
        <v>20230421</v>
      </c>
      <c r="E290">
        <v>4</v>
      </c>
      <c r="F290">
        <v>401000</v>
      </c>
      <c r="G290" t="s">
        <v>41</v>
      </c>
      <c r="H290" t="s">
        <v>1655</v>
      </c>
      <c r="I290" t="s">
        <v>1656</v>
      </c>
      <c r="J290" t="s">
        <v>6094</v>
      </c>
      <c r="K290">
        <v>20230421</v>
      </c>
      <c r="L290" t="s">
        <v>2313</v>
      </c>
      <c r="M290">
        <v>144.5</v>
      </c>
      <c r="N290">
        <v>0</v>
      </c>
      <c r="O290" t="s">
        <v>19</v>
      </c>
      <c r="P290" t="s">
        <v>20</v>
      </c>
      <c r="Q290">
        <v>20230421</v>
      </c>
    </row>
    <row r="291" spans="1:17" x14ac:dyDescent="0.25">
      <c r="A291" t="s">
        <v>715</v>
      </c>
      <c r="B291" t="s">
        <v>432</v>
      </c>
      <c r="C291">
        <v>3</v>
      </c>
      <c r="D291">
        <v>20230421</v>
      </c>
      <c r="E291">
        <v>4</v>
      </c>
      <c r="F291">
        <v>512200</v>
      </c>
      <c r="G291" t="s">
        <v>432</v>
      </c>
      <c r="H291" t="s">
        <v>401</v>
      </c>
      <c r="I291" t="s">
        <v>402</v>
      </c>
      <c r="J291" t="s">
        <v>6094</v>
      </c>
      <c r="K291">
        <v>20230421</v>
      </c>
      <c r="L291" t="s">
        <v>2313</v>
      </c>
      <c r="M291">
        <v>0</v>
      </c>
      <c r="N291">
        <v>144.5</v>
      </c>
      <c r="O291" t="s">
        <v>19</v>
      </c>
      <c r="P291" t="s">
        <v>20</v>
      </c>
      <c r="Q291">
        <v>20230421</v>
      </c>
    </row>
    <row r="292" spans="1:17" x14ac:dyDescent="0.25">
      <c r="A292" t="s">
        <v>715</v>
      </c>
      <c r="B292" t="s">
        <v>432</v>
      </c>
      <c r="C292">
        <v>3</v>
      </c>
      <c r="D292">
        <v>20230424</v>
      </c>
      <c r="E292">
        <v>4</v>
      </c>
      <c r="F292">
        <v>401000</v>
      </c>
      <c r="G292" t="s">
        <v>41</v>
      </c>
      <c r="H292" t="s">
        <v>852</v>
      </c>
      <c r="I292" t="s">
        <v>853</v>
      </c>
      <c r="J292" t="s">
        <v>6095</v>
      </c>
      <c r="K292">
        <v>20230424</v>
      </c>
      <c r="L292" t="s">
        <v>4788</v>
      </c>
      <c r="M292">
        <v>74.099999999999994</v>
      </c>
      <c r="N292">
        <v>0</v>
      </c>
      <c r="O292" t="s">
        <v>19</v>
      </c>
      <c r="P292" t="s">
        <v>20</v>
      </c>
      <c r="Q292">
        <v>20230424</v>
      </c>
    </row>
    <row r="293" spans="1:17" x14ac:dyDescent="0.25">
      <c r="A293" t="s">
        <v>715</v>
      </c>
      <c r="B293" t="s">
        <v>432</v>
      </c>
      <c r="C293">
        <v>3</v>
      </c>
      <c r="D293">
        <v>20230424</v>
      </c>
      <c r="E293">
        <v>4</v>
      </c>
      <c r="F293">
        <v>512200</v>
      </c>
      <c r="G293" t="s">
        <v>432</v>
      </c>
      <c r="H293" t="s">
        <v>401</v>
      </c>
      <c r="I293" t="s">
        <v>402</v>
      </c>
      <c r="J293" t="s">
        <v>6095</v>
      </c>
      <c r="K293">
        <v>20230424</v>
      </c>
      <c r="L293" t="s">
        <v>4788</v>
      </c>
      <c r="M293">
        <v>0</v>
      </c>
      <c r="N293">
        <v>74.099999999999994</v>
      </c>
      <c r="O293" t="s">
        <v>19</v>
      </c>
      <c r="P293" t="s">
        <v>20</v>
      </c>
      <c r="Q293">
        <v>20230424</v>
      </c>
    </row>
    <row r="294" spans="1:17" x14ac:dyDescent="0.25">
      <c r="A294" t="s">
        <v>715</v>
      </c>
      <c r="B294" t="s">
        <v>432</v>
      </c>
      <c r="C294">
        <v>3</v>
      </c>
      <c r="D294">
        <v>20230426</v>
      </c>
      <c r="E294">
        <v>4</v>
      </c>
      <c r="F294">
        <v>401000</v>
      </c>
      <c r="G294" t="s">
        <v>41</v>
      </c>
      <c r="H294" t="s">
        <v>2047</v>
      </c>
      <c r="I294" t="s">
        <v>2048</v>
      </c>
      <c r="J294" t="s">
        <v>6096</v>
      </c>
      <c r="K294">
        <v>20230426</v>
      </c>
      <c r="L294" t="s">
        <v>3369</v>
      </c>
      <c r="M294">
        <v>145.05000000000001</v>
      </c>
      <c r="N294">
        <v>0</v>
      </c>
      <c r="O294" t="s">
        <v>19</v>
      </c>
      <c r="P294" t="s">
        <v>20</v>
      </c>
      <c r="Q294">
        <v>20230426</v>
      </c>
    </row>
    <row r="295" spans="1:17" x14ac:dyDescent="0.25">
      <c r="A295" t="s">
        <v>715</v>
      </c>
      <c r="B295" t="s">
        <v>432</v>
      </c>
      <c r="C295">
        <v>3</v>
      </c>
      <c r="D295">
        <v>20230426</v>
      </c>
      <c r="E295">
        <v>4</v>
      </c>
      <c r="F295">
        <v>512200</v>
      </c>
      <c r="G295" t="s">
        <v>432</v>
      </c>
      <c r="H295" t="s">
        <v>401</v>
      </c>
      <c r="I295" t="s">
        <v>402</v>
      </c>
      <c r="J295" t="s">
        <v>6096</v>
      </c>
      <c r="K295">
        <v>20230426</v>
      </c>
      <c r="L295" t="s">
        <v>3369</v>
      </c>
      <c r="M295">
        <v>0</v>
      </c>
      <c r="N295">
        <v>145.05000000000001</v>
      </c>
      <c r="O295" t="s">
        <v>19</v>
      </c>
      <c r="P295" t="s">
        <v>20</v>
      </c>
      <c r="Q295">
        <v>20230426</v>
      </c>
    </row>
    <row r="296" spans="1:17" x14ac:dyDescent="0.25">
      <c r="A296" t="s">
        <v>715</v>
      </c>
      <c r="B296" t="s">
        <v>432</v>
      </c>
      <c r="C296">
        <v>3</v>
      </c>
      <c r="D296">
        <v>20230427</v>
      </c>
      <c r="E296">
        <v>4</v>
      </c>
      <c r="F296">
        <v>401000</v>
      </c>
      <c r="G296" t="s">
        <v>41</v>
      </c>
      <c r="H296" t="s">
        <v>5073</v>
      </c>
      <c r="I296" t="s">
        <v>5074</v>
      </c>
      <c r="J296" t="s">
        <v>6097</v>
      </c>
      <c r="K296">
        <v>20230427</v>
      </c>
      <c r="L296" t="s">
        <v>6098</v>
      </c>
      <c r="M296">
        <v>194.7</v>
      </c>
      <c r="N296">
        <v>0</v>
      </c>
      <c r="O296" t="s">
        <v>19</v>
      </c>
      <c r="P296" t="s">
        <v>20</v>
      </c>
      <c r="Q296">
        <v>20230427</v>
      </c>
    </row>
    <row r="297" spans="1:17" x14ac:dyDescent="0.25">
      <c r="A297" t="s">
        <v>715</v>
      </c>
      <c r="B297" t="s">
        <v>432</v>
      </c>
      <c r="C297">
        <v>3</v>
      </c>
      <c r="D297">
        <v>20230427</v>
      </c>
      <c r="E297">
        <v>4</v>
      </c>
      <c r="F297">
        <v>512200</v>
      </c>
      <c r="G297" t="s">
        <v>432</v>
      </c>
      <c r="H297" t="s">
        <v>401</v>
      </c>
      <c r="I297" t="s">
        <v>402</v>
      </c>
      <c r="J297" t="s">
        <v>6097</v>
      </c>
      <c r="K297">
        <v>20230427</v>
      </c>
      <c r="L297" t="s">
        <v>6098</v>
      </c>
      <c r="M297">
        <v>0</v>
      </c>
      <c r="N297">
        <v>194.7</v>
      </c>
      <c r="O297" t="s">
        <v>19</v>
      </c>
      <c r="P297" t="s">
        <v>20</v>
      </c>
      <c r="Q297">
        <v>20230427</v>
      </c>
    </row>
    <row r="298" spans="1:17" x14ac:dyDescent="0.25">
      <c r="A298" t="s">
        <v>715</v>
      </c>
      <c r="B298" t="s">
        <v>432</v>
      </c>
      <c r="C298">
        <v>3</v>
      </c>
      <c r="D298">
        <v>20230427</v>
      </c>
      <c r="E298">
        <v>4</v>
      </c>
      <c r="F298">
        <v>401000</v>
      </c>
      <c r="G298" t="s">
        <v>41</v>
      </c>
      <c r="H298" t="s">
        <v>52</v>
      </c>
      <c r="I298" t="s">
        <v>53</v>
      </c>
      <c r="J298" t="s">
        <v>6099</v>
      </c>
      <c r="K298">
        <v>20230427</v>
      </c>
      <c r="L298" t="s">
        <v>6100</v>
      </c>
      <c r="M298">
        <v>71.88</v>
      </c>
      <c r="N298">
        <v>0</v>
      </c>
      <c r="O298" t="s">
        <v>19</v>
      </c>
      <c r="P298" t="s">
        <v>20</v>
      </c>
      <c r="Q298">
        <v>20230427</v>
      </c>
    </row>
    <row r="299" spans="1:17" x14ac:dyDescent="0.25">
      <c r="A299" t="s">
        <v>715</v>
      </c>
      <c r="B299" t="s">
        <v>432</v>
      </c>
      <c r="C299">
        <v>3</v>
      </c>
      <c r="D299">
        <v>20230427</v>
      </c>
      <c r="E299">
        <v>4</v>
      </c>
      <c r="F299">
        <v>512200</v>
      </c>
      <c r="G299" t="s">
        <v>432</v>
      </c>
      <c r="H299" t="s">
        <v>401</v>
      </c>
      <c r="I299" t="s">
        <v>402</v>
      </c>
      <c r="J299" t="s">
        <v>6099</v>
      </c>
      <c r="K299">
        <v>20230427</v>
      </c>
      <c r="L299" t="s">
        <v>6100</v>
      </c>
      <c r="M299">
        <v>0</v>
      </c>
      <c r="N299">
        <v>71.88</v>
      </c>
      <c r="O299" t="s">
        <v>19</v>
      </c>
      <c r="P299" t="s">
        <v>20</v>
      </c>
      <c r="Q299">
        <v>20230427</v>
      </c>
    </row>
    <row r="300" spans="1:17" x14ac:dyDescent="0.25">
      <c r="A300" t="s">
        <v>715</v>
      </c>
      <c r="B300" t="s">
        <v>432</v>
      </c>
      <c r="C300">
        <v>3</v>
      </c>
      <c r="D300">
        <v>20230427</v>
      </c>
      <c r="E300">
        <v>4</v>
      </c>
      <c r="F300">
        <v>401000</v>
      </c>
      <c r="G300" t="s">
        <v>41</v>
      </c>
      <c r="H300" t="s">
        <v>2047</v>
      </c>
      <c r="I300" t="s">
        <v>2048</v>
      </c>
      <c r="J300" t="s">
        <v>6101</v>
      </c>
      <c r="K300">
        <v>20230427</v>
      </c>
      <c r="L300" t="s">
        <v>3369</v>
      </c>
      <c r="M300">
        <v>75.540000000000006</v>
      </c>
      <c r="N300">
        <v>0</v>
      </c>
      <c r="O300" t="s">
        <v>19</v>
      </c>
      <c r="P300" t="s">
        <v>20</v>
      </c>
      <c r="Q300">
        <v>20230427</v>
      </c>
    </row>
    <row r="301" spans="1:17" x14ac:dyDescent="0.25">
      <c r="A301" t="s">
        <v>715</v>
      </c>
      <c r="B301" t="s">
        <v>432</v>
      </c>
      <c r="C301">
        <v>3</v>
      </c>
      <c r="D301">
        <v>20230427</v>
      </c>
      <c r="E301">
        <v>4</v>
      </c>
      <c r="F301">
        <v>512200</v>
      </c>
      <c r="G301" t="s">
        <v>432</v>
      </c>
      <c r="H301" t="s">
        <v>401</v>
      </c>
      <c r="I301" t="s">
        <v>402</v>
      </c>
      <c r="J301" t="s">
        <v>6101</v>
      </c>
      <c r="K301">
        <v>20230427</v>
      </c>
      <c r="L301" t="s">
        <v>3369</v>
      </c>
      <c r="M301">
        <v>0</v>
      </c>
      <c r="N301">
        <v>75.540000000000006</v>
      </c>
      <c r="O301" t="s">
        <v>19</v>
      </c>
      <c r="P301" t="s">
        <v>20</v>
      </c>
      <c r="Q301">
        <v>20230427</v>
      </c>
    </row>
    <row r="302" spans="1:17" x14ac:dyDescent="0.25">
      <c r="A302" t="s">
        <v>715</v>
      </c>
      <c r="B302" t="s">
        <v>432</v>
      </c>
      <c r="C302">
        <v>3</v>
      </c>
      <c r="D302">
        <v>20230404</v>
      </c>
      <c r="E302">
        <v>4</v>
      </c>
      <c r="F302">
        <v>512200</v>
      </c>
      <c r="G302" t="s">
        <v>432</v>
      </c>
      <c r="H302" t="s">
        <v>401</v>
      </c>
      <c r="I302" t="s">
        <v>402</v>
      </c>
      <c r="J302" t="s">
        <v>5652</v>
      </c>
      <c r="K302">
        <v>20230404</v>
      </c>
      <c r="L302" t="s">
        <v>6102</v>
      </c>
      <c r="M302">
        <v>5621.58</v>
      </c>
      <c r="N302">
        <v>0</v>
      </c>
      <c r="O302" t="s">
        <v>19</v>
      </c>
      <c r="P302" t="s">
        <v>20</v>
      </c>
      <c r="Q302">
        <v>20230404</v>
      </c>
    </row>
    <row r="303" spans="1:17" x14ac:dyDescent="0.25">
      <c r="A303" t="s">
        <v>715</v>
      </c>
      <c r="B303" t="s">
        <v>432</v>
      </c>
      <c r="C303">
        <v>3</v>
      </c>
      <c r="D303">
        <v>20230404</v>
      </c>
      <c r="E303">
        <v>4</v>
      </c>
      <c r="F303">
        <v>511000</v>
      </c>
      <c r="G303" t="s">
        <v>431</v>
      </c>
      <c r="H303" t="s">
        <v>401</v>
      </c>
      <c r="I303" t="s">
        <v>402</v>
      </c>
      <c r="J303" t="s">
        <v>5652</v>
      </c>
      <c r="K303">
        <v>20230404</v>
      </c>
      <c r="L303" t="s">
        <v>6102</v>
      </c>
      <c r="M303">
        <v>0</v>
      </c>
      <c r="N303">
        <v>5621.58</v>
      </c>
      <c r="O303" t="s">
        <v>19</v>
      </c>
      <c r="P303" t="s">
        <v>20</v>
      </c>
      <c r="Q303">
        <v>20230404</v>
      </c>
    </row>
    <row r="304" spans="1:17" x14ac:dyDescent="0.25">
      <c r="A304" t="s">
        <v>715</v>
      </c>
      <c r="B304" t="s">
        <v>432</v>
      </c>
      <c r="C304">
        <v>3</v>
      </c>
      <c r="D304">
        <v>20230425</v>
      </c>
      <c r="E304">
        <v>4</v>
      </c>
      <c r="F304">
        <v>512200</v>
      </c>
      <c r="G304" t="s">
        <v>432</v>
      </c>
      <c r="H304" t="s">
        <v>401</v>
      </c>
      <c r="I304" t="s">
        <v>402</v>
      </c>
      <c r="J304" t="s">
        <v>6103</v>
      </c>
      <c r="K304">
        <v>20230425</v>
      </c>
      <c r="L304" t="s">
        <v>6104</v>
      </c>
      <c r="M304">
        <v>4877.91</v>
      </c>
      <c r="N304">
        <v>0</v>
      </c>
      <c r="O304" t="s">
        <v>19</v>
      </c>
      <c r="P304" t="s">
        <v>20</v>
      </c>
      <c r="Q304">
        <v>20230425</v>
      </c>
    </row>
    <row r="305" spans="1:17" x14ac:dyDescent="0.25">
      <c r="A305" t="s">
        <v>715</v>
      </c>
      <c r="B305" t="s">
        <v>432</v>
      </c>
      <c r="C305">
        <v>3</v>
      </c>
      <c r="D305">
        <v>20230425</v>
      </c>
      <c r="E305">
        <v>4</v>
      </c>
      <c r="F305">
        <v>511000</v>
      </c>
      <c r="G305" t="s">
        <v>431</v>
      </c>
      <c r="H305" t="s">
        <v>401</v>
      </c>
      <c r="I305" t="s">
        <v>402</v>
      </c>
      <c r="J305" t="s">
        <v>6103</v>
      </c>
      <c r="K305">
        <v>20230425</v>
      </c>
      <c r="L305" t="s">
        <v>6104</v>
      </c>
      <c r="M305">
        <v>0</v>
      </c>
      <c r="N305">
        <v>4877.91</v>
      </c>
      <c r="O305" t="s">
        <v>19</v>
      </c>
      <c r="P305" t="s">
        <v>20</v>
      </c>
      <c r="Q305">
        <v>20230425</v>
      </c>
    </row>
    <row r="306" spans="1:17" x14ac:dyDescent="0.25">
      <c r="A306" t="s">
        <v>715</v>
      </c>
      <c r="B306" t="s">
        <v>432</v>
      </c>
      <c r="C306">
        <v>3</v>
      </c>
      <c r="D306">
        <v>20230425</v>
      </c>
      <c r="E306">
        <v>4</v>
      </c>
      <c r="F306">
        <v>512200</v>
      </c>
      <c r="G306" t="s">
        <v>432</v>
      </c>
      <c r="H306" t="s">
        <v>401</v>
      </c>
      <c r="I306" t="s">
        <v>402</v>
      </c>
      <c r="J306" t="s">
        <v>5969</v>
      </c>
      <c r="K306">
        <v>20230425</v>
      </c>
      <c r="L306" t="s">
        <v>625</v>
      </c>
      <c r="M306">
        <v>2750</v>
      </c>
      <c r="N306">
        <v>0</v>
      </c>
      <c r="O306" t="s">
        <v>19</v>
      </c>
      <c r="P306" t="s">
        <v>20</v>
      </c>
      <c r="Q306">
        <v>20230425</v>
      </c>
    </row>
    <row r="307" spans="1:17" x14ac:dyDescent="0.25">
      <c r="A307" t="s">
        <v>715</v>
      </c>
      <c r="B307" t="s">
        <v>432</v>
      </c>
      <c r="C307">
        <v>3</v>
      </c>
      <c r="D307">
        <v>20230425</v>
      </c>
      <c r="E307">
        <v>4</v>
      </c>
      <c r="F307">
        <v>580000</v>
      </c>
      <c r="G307" t="s">
        <v>532</v>
      </c>
      <c r="H307" t="s">
        <v>401</v>
      </c>
      <c r="I307" t="s">
        <v>402</v>
      </c>
      <c r="J307" t="s">
        <v>5969</v>
      </c>
      <c r="K307">
        <v>20230425</v>
      </c>
      <c r="L307" t="s">
        <v>625</v>
      </c>
      <c r="M307">
        <v>0</v>
      </c>
      <c r="N307">
        <v>2750</v>
      </c>
      <c r="O307" t="s">
        <v>22</v>
      </c>
      <c r="P307">
        <v>20230425</v>
      </c>
      <c r="Q307">
        <v>20230425</v>
      </c>
    </row>
    <row r="308" spans="1:17" x14ac:dyDescent="0.25">
      <c r="A308" t="s">
        <v>715</v>
      </c>
      <c r="B308" t="s">
        <v>432</v>
      </c>
      <c r="C308">
        <v>3</v>
      </c>
      <c r="D308">
        <v>20230425</v>
      </c>
      <c r="E308">
        <v>4</v>
      </c>
      <c r="F308">
        <v>411100</v>
      </c>
      <c r="G308" t="s">
        <v>18</v>
      </c>
      <c r="H308" t="s">
        <v>150</v>
      </c>
      <c r="I308" t="s">
        <v>151</v>
      </c>
      <c r="J308">
        <v>223030029</v>
      </c>
      <c r="K308">
        <v>20230425</v>
      </c>
      <c r="L308" t="s">
        <v>6105</v>
      </c>
      <c r="M308">
        <v>0</v>
      </c>
      <c r="N308">
        <v>106.67</v>
      </c>
      <c r="O308" t="s">
        <v>19</v>
      </c>
      <c r="P308" t="s">
        <v>20</v>
      </c>
      <c r="Q308">
        <v>20230425</v>
      </c>
    </row>
    <row r="309" spans="1:17" x14ac:dyDescent="0.25">
      <c r="A309" t="s">
        <v>715</v>
      </c>
      <c r="B309" t="s">
        <v>432</v>
      </c>
      <c r="C309">
        <v>3</v>
      </c>
      <c r="D309">
        <v>20230425</v>
      </c>
      <c r="E309">
        <v>4</v>
      </c>
      <c r="F309">
        <v>411100</v>
      </c>
      <c r="G309" t="s">
        <v>18</v>
      </c>
      <c r="H309" t="s">
        <v>150</v>
      </c>
      <c r="I309" t="s">
        <v>151</v>
      </c>
      <c r="J309">
        <v>223030029</v>
      </c>
      <c r="K309">
        <v>20230425</v>
      </c>
      <c r="L309" t="s">
        <v>6106</v>
      </c>
      <c r="M309">
        <v>0</v>
      </c>
      <c r="N309">
        <v>3.33</v>
      </c>
      <c r="O309" t="s">
        <v>19</v>
      </c>
      <c r="P309" t="s">
        <v>20</v>
      </c>
      <c r="Q309">
        <v>20230425</v>
      </c>
    </row>
    <row r="310" spans="1:17" x14ac:dyDescent="0.25">
      <c r="A310" t="s">
        <v>715</v>
      </c>
      <c r="B310" t="s">
        <v>432</v>
      </c>
      <c r="C310">
        <v>3</v>
      </c>
      <c r="D310">
        <v>20230425</v>
      </c>
      <c r="E310">
        <v>4</v>
      </c>
      <c r="F310">
        <v>512200</v>
      </c>
      <c r="G310" t="s">
        <v>432</v>
      </c>
      <c r="H310" t="s">
        <v>401</v>
      </c>
      <c r="I310" t="s">
        <v>402</v>
      </c>
      <c r="J310">
        <v>370777</v>
      </c>
      <c r="K310">
        <v>20230425</v>
      </c>
      <c r="L310" t="s">
        <v>1607</v>
      </c>
      <c r="M310">
        <v>110</v>
      </c>
      <c r="N310">
        <v>0</v>
      </c>
      <c r="O310" t="s">
        <v>19</v>
      </c>
      <c r="P310" t="s">
        <v>20</v>
      </c>
      <c r="Q310">
        <v>20230425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39"/>
  <sheetViews>
    <sheetView workbookViewId="0">
      <selection activeCell="F2" sqref="F2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1</v>
      </c>
      <c r="D2">
        <v>20230502</v>
      </c>
      <c r="E2">
        <v>5</v>
      </c>
      <c r="F2">
        <v>468736</v>
      </c>
      <c r="G2" t="s">
        <v>1284</v>
      </c>
      <c r="H2" t="s">
        <v>401</v>
      </c>
      <c r="I2" t="s">
        <v>402</v>
      </c>
      <c r="J2" t="s">
        <v>6272</v>
      </c>
      <c r="K2">
        <v>20230502</v>
      </c>
      <c r="L2" t="s">
        <v>1286</v>
      </c>
      <c r="M2">
        <v>0</v>
      </c>
      <c r="N2">
        <v>102</v>
      </c>
      <c r="O2" t="s">
        <v>19</v>
      </c>
      <c r="P2" t="s">
        <v>20</v>
      </c>
      <c r="Q2">
        <v>20230502</v>
      </c>
    </row>
    <row r="3" spans="1:19" x14ac:dyDescent="0.25">
      <c r="A3" t="s">
        <v>476</v>
      </c>
      <c r="B3" t="s">
        <v>477</v>
      </c>
      <c r="C3">
        <v>1</v>
      </c>
      <c r="D3">
        <v>20230502</v>
      </c>
      <c r="E3">
        <v>5</v>
      </c>
      <c r="F3">
        <v>512000</v>
      </c>
      <c r="G3" t="s">
        <v>428</v>
      </c>
      <c r="H3" t="s">
        <v>401</v>
      </c>
      <c r="I3" t="s">
        <v>402</v>
      </c>
      <c r="J3" t="s">
        <v>6272</v>
      </c>
      <c r="K3">
        <v>20230502</v>
      </c>
      <c r="L3" t="s">
        <v>1286</v>
      </c>
      <c r="M3">
        <v>102</v>
      </c>
      <c r="N3">
        <v>0</v>
      </c>
      <c r="O3" t="s">
        <v>19</v>
      </c>
      <c r="P3" t="s">
        <v>20</v>
      </c>
      <c r="Q3">
        <v>20230502</v>
      </c>
    </row>
    <row r="4" spans="1:19" x14ac:dyDescent="0.25">
      <c r="A4" t="s">
        <v>476</v>
      </c>
      <c r="B4" t="s">
        <v>477</v>
      </c>
      <c r="C4">
        <v>1</v>
      </c>
      <c r="D4">
        <v>20230502</v>
      </c>
      <c r="E4">
        <v>5</v>
      </c>
      <c r="F4">
        <v>468200</v>
      </c>
      <c r="G4" t="s">
        <v>421</v>
      </c>
      <c r="H4" t="s">
        <v>401</v>
      </c>
      <c r="I4" t="s">
        <v>402</v>
      </c>
      <c r="J4" t="s">
        <v>6271</v>
      </c>
      <c r="K4">
        <v>20230502</v>
      </c>
      <c r="L4" t="s">
        <v>422</v>
      </c>
      <c r="M4">
        <v>0</v>
      </c>
      <c r="N4">
        <v>346.72</v>
      </c>
      <c r="O4" t="s">
        <v>19</v>
      </c>
      <c r="P4" t="s">
        <v>20</v>
      </c>
      <c r="Q4">
        <v>20230502</v>
      </c>
    </row>
    <row r="5" spans="1:19" x14ac:dyDescent="0.25">
      <c r="A5" t="s">
        <v>476</v>
      </c>
      <c r="B5" t="s">
        <v>477</v>
      </c>
      <c r="C5">
        <v>1</v>
      </c>
      <c r="D5">
        <v>20230502</v>
      </c>
      <c r="E5">
        <v>5</v>
      </c>
      <c r="F5">
        <v>512000</v>
      </c>
      <c r="G5" t="s">
        <v>428</v>
      </c>
      <c r="H5" t="s">
        <v>401</v>
      </c>
      <c r="I5" t="s">
        <v>402</v>
      </c>
      <c r="J5" t="s">
        <v>6271</v>
      </c>
      <c r="K5">
        <v>20230502</v>
      </c>
      <c r="L5" t="s">
        <v>422</v>
      </c>
      <c r="M5">
        <v>346.72</v>
      </c>
      <c r="N5">
        <v>0</v>
      </c>
      <c r="O5" t="s">
        <v>19</v>
      </c>
      <c r="P5" t="s">
        <v>20</v>
      </c>
      <c r="Q5">
        <v>20230502</v>
      </c>
    </row>
    <row r="6" spans="1:19" x14ac:dyDescent="0.25">
      <c r="A6" t="s">
        <v>476</v>
      </c>
      <c r="B6" t="s">
        <v>477</v>
      </c>
      <c r="C6">
        <v>1</v>
      </c>
      <c r="D6">
        <v>20230503</v>
      </c>
      <c r="E6">
        <v>5</v>
      </c>
      <c r="F6">
        <v>401000</v>
      </c>
      <c r="G6" t="s">
        <v>41</v>
      </c>
      <c r="H6" t="s">
        <v>458</v>
      </c>
      <c r="I6" t="s">
        <v>459</v>
      </c>
      <c r="J6" t="s">
        <v>6270</v>
      </c>
      <c r="K6">
        <v>20230503</v>
      </c>
      <c r="L6" t="s">
        <v>2072</v>
      </c>
      <c r="M6">
        <v>1072.8</v>
      </c>
      <c r="N6">
        <v>0</v>
      </c>
      <c r="O6" t="s">
        <v>19</v>
      </c>
      <c r="P6" t="s">
        <v>20</v>
      </c>
      <c r="Q6">
        <v>20230503</v>
      </c>
    </row>
    <row r="7" spans="1:19" x14ac:dyDescent="0.25">
      <c r="A7" t="s">
        <v>476</v>
      </c>
      <c r="B7" t="s">
        <v>477</v>
      </c>
      <c r="C7">
        <v>1</v>
      </c>
      <c r="D7">
        <v>20230503</v>
      </c>
      <c r="E7">
        <v>5</v>
      </c>
      <c r="F7">
        <v>512000</v>
      </c>
      <c r="G7" t="s">
        <v>428</v>
      </c>
      <c r="H7" t="s">
        <v>401</v>
      </c>
      <c r="I7" t="s">
        <v>402</v>
      </c>
      <c r="J7" t="s">
        <v>6270</v>
      </c>
      <c r="K7">
        <v>20230503</v>
      </c>
      <c r="L7" t="s">
        <v>2072</v>
      </c>
      <c r="M7">
        <v>0</v>
      </c>
      <c r="N7">
        <v>1072.8</v>
      </c>
      <c r="O7" t="s">
        <v>19</v>
      </c>
      <c r="P7" t="s">
        <v>20</v>
      </c>
      <c r="Q7">
        <v>20230503</v>
      </c>
    </row>
    <row r="8" spans="1:19" x14ac:dyDescent="0.25">
      <c r="A8" t="s">
        <v>476</v>
      </c>
      <c r="B8" t="s">
        <v>477</v>
      </c>
      <c r="C8">
        <v>1</v>
      </c>
      <c r="D8">
        <v>20230503</v>
      </c>
      <c r="E8">
        <v>5</v>
      </c>
      <c r="F8">
        <v>401000</v>
      </c>
      <c r="G8" t="s">
        <v>41</v>
      </c>
      <c r="H8" t="s">
        <v>458</v>
      </c>
      <c r="I8" t="s">
        <v>459</v>
      </c>
      <c r="J8" t="s">
        <v>6269</v>
      </c>
      <c r="K8">
        <v>20230503</v>
      </c>
      <c r="L8" t="s">
        <v>6268</v>
      </c>
      <c r="M8">
        <v>0</v>
      </c>
      <c r="N8">
        <v>1072.8</v>
      </c>
      <c r="O8" t="s">
        <v>19</v>
      </c>
      <c r="P8" t="s">
        <v>20</v>
      </c>
      <c r="Q8">
        <v>20230503</v>
      </c>
    </row>
    <row r="9" spans="1:19" x14ac:dyDescent="0.25">
      <c r="A9" t="s">
        <v>476</v>
      </c>
      <c r="B9" t="s">
        <v>477</v>
      </c>
      <c r="C9">
        <v>1</v>
      </c>
      <c r="D9">
        <v>20230503</v>
      </c>
      <c r="E9">
        <v>5</v>
      </c>
      <c r="F9">
        <v>512000</v>
      </c>
      <c r="G9" t="s">
        <v>428</v>
      </c>
      <c r="H9" t="s">
        <v>401</v>
      </c>
      <c r="I9" t="s">
        <v>402</v>
      </c>
      <c r="J9" t="s">
        <v>6269</v>
      </c>
      <c r="K9">
        <v>20230503</v>
      </c>
      <c r="L9" t="s">
        <v>6268</v>
      </c>
      <c r="M9">
        <v>1072.8</v>
      </c>
      <c r="N9">
        <v>0</v>
      </c>
      <c r="O9" t="s">
        <v>19</v>
      </c>
      <c r="P9" t="s">
        <v>20</v>
      </c>
      <c r="Q9">
        <v>20230503</v>
      </c>
    </row>
    <row r="10" spans="1:19" x14ac:dyDescent="0.25">
      <c r="A10" t="s">
        <v>476</v>
      </c>
      <c r="B10" t="s">
        <v>477</v>
      </c>
      <c r="C10">
        <v>1</v>
      </c>
      <c r="D10">
        <v>20230503</v>
      </c>
      <c r="E10">
        <v>5</v>
      </c>
      <c r="F10">
        <v>627000</v>
      </c>
      <c r="G10" t="s">
        <v>480</v>
      </c>
      <c r="H10" t="s">
        <v>401</v>
      </c>
      <c r="I10" t="s">
        <v>402</v>
      </c>
      <c r="J10" t="s">
        <v>6267</v>
      </c>
      <c r="K10">
        <v>20230503</v>
      </c>
      <c r="L10" t="s">
        <v>4488</v>
      </c>
      <c r="M10">
        <v>9.9</v>
      </c>
      <c r="N10">
        <v>0</v>
      </c>
      <c r="O10" t="s">
        <v>19</v>
      </c>
      <c r="P10" t="s">
        <v>20</v>
      </c>
      <c r="Q10">
        <v>20230503</v>
      </c>
    </row>
    <row r="11" spans="1:19" x14ac:dyDescent="0.25">
      <c r="A11" t="s">
        <v>476</v>
      </c>
      <c r="B11" t="s">
        <v>477</v>
      </c>
      <c r="C11">
        <v>1</v>
      </c>
      <c r="D11">
        <v>20230503</v>
      </c>
      <c r="E11">
        <v>5</v>
      </c>
      <c r="F11">
        <v>512000</v>
      </c>
      <c r="G11" t="s">
        <v>428</v>
      </c>
      <c r="H11" t="s">
        <v>401</v>
      </c>
      <c r="I11" t="s">
        <v>402</v>
      </c>
      <c r="J11" t="s">
        <v>6267</v>
      </c>
      <c r="K11">
        <v>20230503</v>
      </c>
      <c r="L11" t="s">
        <v>4488</v>
      </c>
      <c r="M11">
        <v>0</v>
      </c>
      <c r="N11">
        <v>9.9</v>
      </c>
      <c r="O11" t="s">
        <v>19</v>
      </c>
      <c r="P11" t="s">
        <v>20</v>
      </c>
      <c r="Q11">
        <v>20230503</v>
      </c>
    </row>
    <row r="12" spans="1:19" x14ac:dyDescent="0.25">
      <c r="A12" t="s">
        <v>476</v>
      </c>
      <c r="B12" t="s">
        <v>477</v>
      </c>
      <c r="C12">
        <v>1</v>
      </c>
      <c r="D12">
        <v>20230503</v>
      </c>
      <c r="E12">
        <v>5</v>
      </c>
      <c r="F12">
        <v>627000</v>
      </c>
      <c r="G12" t="s">
        <v>480</v>
      </c>
      <c r="H12" t="s">
        <v>401</v>
      </c>
      <c r="I12" t="s">
        <v>402</v>
      </c>
      <c r="J12" t="s">
        <v>6266</v>
      </c>
      <c r="K12">
        <v>20230503</v>
      </c>
      <c r="L12" t="s">
        <v>4488</v>
      </c>
      <c r="M12">
        <v>49</v>
      </c>
      <c r="N12">
        <v>0</v>
      </c>
      <c r="O12" t="s">
        <v>19</v>
      </c>
      <c r="P12" t="s">
        <v>20</v>
      </c>
      <c r="Q12">
        <v>20230503</v>
      </c>
    </row>
    <row r="13" spans="1:19" x14ac:dyDescent="0.25">
      <c r="A13" t="s">
        <v>476</v>
      </c>
      <c r="B13" t="s">
        <v>477</v>
      </c>
      <c r="C13">
        <v>1</v>
      </c>
      <c r="D13">
        <v>20230503</v>
      </c>
      <c r="E13">
        <v>5</v>
      </c>
      <c r="F13">
        <v>512000</v>
      </c>
      <c r="G13" t="s">
        <v>428</v>
      </c>
      <c r="H13" t="s">
        <v>401</v>
      </c>
      <c r="I13" t="s">
        <v>402</v>
      </c>
      <c r="J13" t="s">
        <v>6266</v>
      </c>
      <c r="K13">
        <v>20230503</v>
      </c>
      <c r="L13" t="s">
        <v>4488</v>
      </c>
      <c r="M13">
        <v>0</v>
      </c>
      <c r="N13">
        <v>49</v>
      </c>
      <c r="O13" t="s">
        <v>19</v>
      </c>
      <c r="P13" t="s">
        <v>20</v>
      </c>
      <c r="Q13">
        <v>20230503</v>
      </c>
    </row>
    <row r="14" spans="1:19" x14ac:dyDescent="0.25">
      <c r="A14" t="s">
        <v>476</v>
      </c>
      <c r="B14" t="s">
        <v>477</v>
      </c>
      <c r="C14">
        <v>1</v>
      </c>
      <c r="D14">
        <v>20230503</v>
      </c>
      <c r="E14">
        <v>5</v>
      </c>
      <c r="F14">
        <v>627000</v>
      </c>
      <c r="G14" t="s">
        <v>480</v>
      </c>
      <c r="H14" t="s">
        <v>401</v>
      </c>
      <c r="I14" t="s">
        <v>402</v>
      </c>
      <c r="J14" t="s">
        <v>6265</v>
      </c>
      <c r="K14">
        <v>20230503</v>
      </c>
      <c r="L14" t="s">
        <v>4488</v>
      </c>
      <c r="M14">
        <v>14.3</v>
      </c>
      <c r="N14">
        <v>0</v>
      </c>
      <c r="O14" t="s">
        <v>19</v>
      </c>
      <c r="P14" t="s">
        <v>20</v>
      </c>
      <c r="Q14">
        <v>20230503</v>
      </c>
    </row>
    <row r="15" spans="1:19" x14ac:dyDescent="0.25">
      <c r="A15" t="s">
        <v>476</v>
      </c>
      <c r="B15" t="s">
        <v>477</v>
      </c>
      <c r="C15">
        <v>1</v>
      </c>
      <c r="D15">
        <v>20230503</v>
      </c>
      <c r="E15">
        <v>5</v>
      </c>
      <c r="F15">
        <v>512000</v>
      </c>
      <c r="G15" t="s">
        <v>428</v>
      </c>
      <c r="H15" t="s">
        <v>401</v>
      </c>
      <c r="I15" t="s">
        <v>402</v>
      </c>
      <c r="J15" t="s">
        <v>6265</v>
      </c>
      <c r="K15">
        <v>20230503</v>
      </c>
      <c r="L15" t="s">
        <v>4488</v>
      </c>
      <c r="M15">
        <v>0</v>
      </c>
      <c r="N15">
        <v>14.3</v>
      </c>
      <c r="O15" t="s">
        <v>19</v>
      </c>
      <c r="P15" t="s">
        <v>20</v>
      </c>
      <c r="Q15">
        <v>20230503</v>
      </c>
    </row>
    <row r="16" spans="1:19" x14ac:dyDescent="0.25">
      <c r="A16" t="s">
        <v>476</v>
      </c>
      <c r="B16" t="s">
        <v>477</v>
      </c>
      <c r="C16">
        <v>1</v>
      </c>
      <c r="D16">
        <v>20230505</v>
      </c>
      <c r="E16">
        <v>5</v>
      </c>
      <c r="F16">
        <v>401000</v>
      </c>
      <c r="G16" t="s">
        <v>41</v>
      </c>
      <c r="H16" t="s">
        <v>225</v>
      </c>
      <c r="I16" t="s">
        <v>226</v>
      </c>
      <c r="J16" t="s">
        <v>6264</v>
      </c>
      <c r="K16">
        <v>20230505</v>
      </c>
      <c r="L16" t="s">
        <v>488</v>
      </c>
      <c r="M16">
        <v>475.4</v>
      </c>
      <c r="N16">
        <v>0</v>
      </c>
      <c r="O16" t="s">
        <v>19</v>
      </c>
      <c r="P16" t="s">
        <v>20</v>
      </c>
      <c r="Q16">
        <v>20230505</v>
      </c>
    </row>
    <row r="17" spans="1:17" x14ac:dyDescent="0.25">
      <c r="A17" t="s">
        <v>476</v>
      </c>
      <c r="B17" t="s">
        <v>477</v>
      </c>
      <c r="C17">
        <v>1</v>
      </c>
      <c r="D17">
        <v>20230505</v>
      </c>
      <c r="E17">
        <v>5</v>
      </c>
      <c r="F17">
        <v>512000</v>
      </c>
      <c r="G17" t="s">
        <v>428</v>
      </c>
      <c r="H17" t="s">
        <v>401</v>
      </c>
      <c r="I17" t="s">
        <v>402</v>
      </c>
      <c r="J17" t="s">
        <v>6264</v>
      </c>
      <c r="K17">
        <v>20230505</v>
      </c>
      <c r="L17" t="s">
        <v>488</v>
      </c>
      <c r="M17">
        <v>0</v>
      </c>
      <c r="N17">
        <v>475.4</v>
      </c>
      <c r="O17" t="s">
        <v>19</v>
      </c>
      <c r="P17" t="s">
        <v>20</v>
      </c>
      <c r="Q17">
        <v>20230505</v>
      </c>
    </row>
    <row r="18" spans="1:17" x14ac:dyDescent="0.25">
      <c r="A18" t="s">
        <v>476</v>
      </c>
      <c r="B18" t="s">
        <v>477</v>
      </c>
      <c r="C18">
        <v>1</v>
      </c>
      <c r="D18">
        <v>20230505</v>
      </c>
      <c r="E18">
        <v>5</v>
      </c>
      <c r="F18">
        <v>468725</v>
      </c>
      <c r="G18" t="s">
        <v>424</v>
      </c>
      <c r="H18" t="s">
        <v>401</v>
      </c>
      <c r="I18" t="s">
        <v>402</v>
      </c>
      <c r="J18" t="s">
        <v>6263</v>
      </c>
      <c r="K18">
        <v>20230505</v>
      </c>
      <c r="L18" t="s">
        <v>6262</v>
      </c>
      <c r="M18">
        <v>0</v>
      </c>
      <c r="N18">
        <v>2666.64</v>
      </c>
      <c r="O18" t="s">
        <v>19</v>
      </c>
      <c r="P18" t="s">
        <v>20</v>
      </c>
      <c r="Q18">
        <v>20230505</v>
      </c>
    </row>
    <row r="19" spans="1:17" x14ac:dyDescent="0.25">
      <c r="A19" t="s">
        <v>476</v>
      </c>
      <c r="B19" t="s">
        <v>477</v>
      </c>
      <c r="C19">
        <v>1</v>
      </c>
      <c r="D19">
        <v>20230505</v>
      </c>
      <c r="E19">
        <v>5</v>
      </c>
      <c r="F19">
        <v>512000</v>
      </c>
      <c r="G19" t="s">
        <v>428</v>
      </c>
      <c r="H19" t="s">
        <v>401</v>
      </c>
      <c r="I19" t="s">
        <v>402</v>
      </c>
      <c r="J19" t="s">
        <v>6263</v>
      </c>
      <c r="K19">
        <v>20230505</v>
      </c>
      <c r="L19" t="s">
        <v>6262</v>
      </c>
      <c r="M19">
        <v>2666.64</v>
      </c>
      <c r="N19">
        <v>0</v>
      </c>
      <c r="O19" t="s">
        <v>19</v>
      </c>
      <c r="P19" t="s">
        <v>20</v>
      </c>
      <c r="Q19">
        <v>20230505</v>
      </c>
    </row>
    <row r="20" spans="1:17" x14ac:dyDescent="0.25">
      <c r="A20" t="s">
        <v>476</v>
      </c>
      <c r="B20" t="s">
        <v>477</v>
      </c>
      <c r="C20">
        <v>1</v>
      </c>
      <c r="D20">
        <v>20230505</v>
      </c>
      <c r="E20">
        <v>5</v>
      </c>
      <c r="F20">
        <v>421000</v>
      </c>
      <c r="G20" t="s">
        <v>403</v>
      </c>
      <c r="H20" t="s">
        <v>401</v>
      </c>
      <c r="I20" t="s">
        <v>402</v>
      </c>
      <c r="J20" t="s">
        <v>6261</v>
      </c>
      <c r="K20">
        <v>20230505</v>
      </c>
      <c r="L20" t="s">
        <v>922</v>
      </c>
      <c r="M20">
        <v>474.83</v>
      </c>
      <c r="N20">
        <v>0</v>
      </c>
      <c r="O20" t="s">
        <v>19</v>
      </c>
      <c r="P20" t="s">
        <v>20</v>
      </c>
      <c r="Q20">
        <v>20230505</v>
      </c>
    </row>
    <row r="21" spans="1:17" x14ac:dyDescent="0.25">
      <c r="A21" t="s">
        <v>476</v>
      </c>
      <c r="B21" t="s">
        <v>477</v>
      </c>
      <c r="C21">
        <v>1</v>
      </c>
      <c r="D21">
        <v>20230505</v>
      </c>
      <c r="E21">
        <v>5</v>
      </c>
      <c r="F21">
        <v>512000</v>
      </c>
      <c r="G21" t="s">
        <v>428</v>
      </c>
      <c r="H21" t="s">
        <v>401</v>
      </c>
      <c r="I21" t="s">
        <v>402</v>
      </c>
      <c r="J21" t="s">
        <v>6261</v>
      </c>
      <c r="K21">
        <v>20230505</v>
      </c>
      <c r="L21" t="s">
        <v>922</v>
      </c>
      <c r="M21">
        <v>0</v>
      </c>
      <c r="N21">
        <v>474.83</v>
      </c>
      <c r="O21" t="s">
        <v>19</v>
      </c>
      <c r="P21" t="s">
        <v>20</v>
      </c>
      <c r="Q21">
        <v>20230505</v>
      </c>
    </row>
    <row r="22" spans="1:17" x14ac:dyDescent="0.25">
      <c r="A22" t="s">
        <v>476</v>
      </c>
      <c r="B22" t="s">
        <v>477</v>
      </c>
      <c r="C22">
        <v>1</v>
      </c>
      <c r="D22">
        <v>20230510</v>
      </c>
      <c r="E22">
        <v>5</v>
      </c>
      <c r="F22">
        <v>471000</v>
      </c>
      <c r="G22" t="s">
        <v>4801</v>
      </c>
      <c r="H22" t="s">
        <v>401</v>
      </c>
      <c r="I22" t="s">
        <v>402</v>
      </c>
      <c r="J22" t="s">
        <v>6260</v>
      </c>
      <c r="K22">
        <v>20230510</v>
      </c>
      <c r="L22" t="s">
        <v>6259</v>
      </c>
      <c r="M22">
        <v>152.5</v>
      </c>
      <c r="N22">
        <v>0</v>
      </c>
      <c r="O22" t="s">
        <v>19</v>
      </c>
      <c r="P22" t="s">
        <v>20</v>
      </c>
      <c r="Q22">
        <v>20230510</v>
      </c>
    </row>
    <row r="23" spans="1:17" x14ac:dyDescent="0.25">
      <c r="A23" t="s">
        <v>476</v>
      </c>
      <c r="B23" t="s">
        <v>477</v>
      </c>
      <c r="C23">
        <v>1</v>
      </c>
      <c r="D23">
        <v>20230510</v>
      </c>
      <c r="E23">
        <v>5</v>
      </c>
      <c r="F23">
        <v>512000</v>
      </c>
      <c r="G23" t="s">
        <v>428</v>
      </c>
      <c r="H23" t="s">
        <v>401</v>
      </c>
      <c r="I23" t="s">
        <v>402</v>
      </c>
      <c r="J23" t="s">
        <v>6260</v>
      </c>
      <c r="K23">
        <v>20230510</v>
      </c>
      <c r="L23" t="s">
        <v>6259</v>
      </c>
      <c r="M23">
        <v>0</v>
      </c>
      <c r="N23">
        <v>152.5</v>
      </c>
      <c r="O23" t="s">
        <v>19</v>
      </c>
      <c r="P23" t="s">
        <v>20</v>
      </c>
      <c r="Q23">
        <v>20230510</v>
      </c>
    </row>
    <row r="24" spans="1:17" x14ac:dyDescent="0.25">
      <c r="A24" t="s">
        <v>476</v>
      </c>
      <c r="B24" t="s">
        <v>477</v>
      </c>
      <c r="C24">
        <v>1</v>
      </c>
      <c r="D24">
        <v>20230510</v>
      </c>
      <c r="E24">
        <v>5</v>
      </c>
      <c r="F24">
        <v>580000</v>
      </c>
      <c r="G24" t="s">
        <v>532</v>
      </c>
      <c r="H24" t="s">
        <v>401</v>
      </c>
      <c r="I24" t="s">
        <v>402</v>
      </c>
      <c r="J24" t="s">
        <v>6258</v>
      </c>
      <c r="K24">
        <v>20230510</v>
      </c>
      <c r="L24" t="s">
        <v>879</v>
      </c>
      <c r="M24">
        <v>10</v>
      </c>
      <c r="N24">
        <v>0</v>
      </c>
      <c r="O24" t="s">
        <v>19</v>
      </c>
      <c r="P24" t="s">
        <v>20</v>
      </c>
      <c r="Q24">
        <v>20230510</v>
      </c>
    </row>
    <row r="25" spans="1:17" x14ac:dyDescent="0.25">
      <c r="A25" t="s">
        <v>476</v>
      </c>
      <c r="B25" t="s">
        <v>477</v>
      </c>
      <c r="C25">
        <v>1</v>
      </c>
      <c r="D25">
        <v>20230510</v>
      </c>
      <c r="E25">
        <v>5</v>
      </c>
      <c r="F25">
        <v>512000</v>
      </c>
      <c r="G25" t="s">
        <v>428</v>
      </c>
      <c r="H25" t="s">
        <v>401</v>
      </c>
      <c r="I25" t="s">
        <v>402</v>
      </c>
      <c r="J25" t="s">
        <v>6258</v>
      </c>
      <c r="K25">
        <v>20230510</v>
      </c>
      <c r="L25" t="s">
        <v>879</v>
      </c>
      <c r="M25">
        <v>0</v>
      </c>
      <c r="N25">
        <v>10</v>
      </c>
      <c r="O25" t="s">
        <v>19</v>
      </c>
      <c r="P25" t="s">
        <v>20</v>
      </c>
      <c r="Q25">
        <v>20230510</v>
      </c>
    </row>
    <row r="26" spans="1:17" x14ac:dyDescent="0.25">
      <c r="A26" t="s">
        <v>476</v>
      </c>
      <c r="B26" t="s">
        <v>477</v>
      </c>
      <c r="C26">
        <v>1</v>
      </c>
      <c r="D26">
        <v>20230510</v>
      </c>
      <c r="E26">
        <v>5</v>
      </c>
      <c r="F26">
        <v>580000</v>
      </c>
      <c r="G26" t="s">
        <v>532</v>
      </c>
      <c r="H26" t="s">
        <v>401</v>
      </c>
      <c r="I26" t="s">
        <v>402</v>
      </c>
      <c r="J26" t="s">
        <v>6257</v>
      </c>
      <c r="K26">
        <v>20230510</v>
      </c>
      <c r="L26" t="s">
        <v>879</v>
      </c>
      <c r="M26">
        <v>10</v>
      </c>
      <c r="N26">
        <v>0</v>
      </c>
      <c r="O26" t="s">
        <v>19</v>
      </c>
      <c r="P26" t="s">
        <v>20</v>
      </c>
      <c r="Q26">
        <v>20230510</v>
      </c>
    </row>
    <row r="27" spans="1:17" x14ac:dyDescent="0.25">
      <c r="A27" t="s">
        <v>476</v>
      </c>
      <c r="B27" t="s">
        <v>477</v>
      </c>
      <c r="C27">
        <v>1</v>
      </c>
      <c r="D27">
        <v>20230510</v>
      </c>
      <c r="E27">
        <v>5</v>
      </c>
      <c r="F27">
        <v>512000</v>
      </c>
      <c r="G27" t="s">
        <v>428</v>
      </c>
      <c r="H27" t="s">
        <v>401</v>
      </c>
      <c r="I27" t="s">
        <v>402</v>
      </c>
      <c r="J27" t="s">
        <v>6257</v>
      </c>
      <c r="K27">
        <v>20230510</v>
      </c>
      <c r="L27" t="s">
        <v>879</v>
      </c>
      <c r="M27">
        <v>0</v>
      </c>
      <c r="N27">
        <v>10</v>
      </c>
      <c r="O27" t="s">
        <v>19</v>
      </c>
      <c r="P27" t="s">
        <v>20</v>
      </c>
      <c r="Q27">
        <v>20230510</v>
      </c>
    </row>
    <row r="28" spans="1:17" x14ac:dyDescent="0.25">
      <c r="A28" t="s">
        <v>476</v>
      </c>
      <c r="B28" t="s">
        <v>477</v>
      </c>
      <c r="C28">
        <v>1</v>
      </c>
      <c r="D28">
        <v>20230510</v>
      </c>
      <c r="E28">
        <v>5</v>
      </c>
      <c r="F28">
        <v>580000</v>
      </c>
      <c r="G28" t="s">
        <v>532</v>
      </c>
      <c r="H28" t="s">
        <v>401</v>
      </c>
      <c r="I28" t="s">
        <v>402</v>
      </c>
      <c r="J28" t="s">
        <v>6256</v>
      </c>
      <c r="K28">
        <v>20230510</v>
      </c>
      <c r="L28" t="s">
        <v>879</v>
      </c>
      <c r="M28">
        <v>10</v>
      </c>
      <c r="N28">
        <v>0</v>
      </c>
      <c r="O28" t="s">
        <v>19</v>
      </c>
      <c r="P28" t="s">
        <v>20</v>
      </c>
      <c r="Q28">
        <v>20230510</v>
      </c>
    </row>
    <row r="29" spans="1:17" x14ac:dyDescent="0.25">
      <c r="A29" t="s">
        <v>476</v>
      </c>
      <c r="B29" t="s">
        <v>477</v>
      </c>
      <c r="C29">
        <v>1</v>
      </c>
      <c r="D29">
        <v>20230510</v>
      </c>
      <c r="E29">
        <v>5</v>
      </c>
      <c r="F29">
        <v>512000</v>
      </c>
      <c r="G29" t="s">
        <v>428</v>
      </c>
      <c r="H29" t="s">
        <v>401</v>
      </c>
      <c r="I29" t="s">
        <v>402</v>
      </c>
      <c r="J29" t="s">
        <v>6256</v>
      </c>
      <c r="K29">
        <v>20230510</v>
      </c>
      <c r="L29" t="s">
        <v>879</v>
      </c>
      <c r="M29">
        <v>0</v>
      </c>
      <c r="N29">
        <v>10</v>
      </c>
      <c r="O29" t="s">
        <v>19</v>
      </c>
      <c r="P29" t="s">
        <v>20</v>
      </c>
      <c r="Q29">
        <v>20230510</v>
      </c>
    </row>
    <row r="30" spans="1:17" x14ac:dyDescent="0.25">
      <c r="A30" t="s">
        <v>476</v>
      </c>
      <c r="B30" t="s">
        <v>477</v>
      </c>
      <c r="C30">
        <v>1</v>
      </c>
      <c r="D30">
        <v>20230511</v>
      </c>
      <c r="E30">
        <v>5</v>
      </c>
      <c r="F30">
        <v>401000</v>
      </c>
      <c r="G30" t="s">
        <v>41</v>
      </c>
      <c r="H30" t="s">
        <v>2045</v>
      </c>
      <c r="I30" t="s">
        <v>2046</v>
      </c>
      <c r="J30" t="s">
        <v>6255</v>
      </c>
      <c r="K30">
        <v>20230511</v>
      </c>
      <c r="L30" t="s">
        <v>6254</v>
      </c>
      <c r="M30">
        <v>0</v>
      </c>
      <c r="N30">
        <v>675</v>
      </c>
      <c r="O30" t="s">
        <v>19</v>
      </c>
      <c r="P30" t="s">
        <v>20</v>
      </c>
      <c r="Q30">
        <v>20230511</v>
      </c>
    </row>
    <row r="31" spans="1:17" x14ac:dyDescent="0.25">
      <c r="A31" t="s">
        <v>476</v>
      </c>
      <c r="B31" t="s">
        <v>477</v>
      </c>
      <c r="C31">
        <v>1</v>
      </c>
      <c r="D31">
        <v>20230511</v>
      </c>
      <c r="E31">
        <v>5</v>
      </c>
      <c r="F31">
        <v>512000</v>
      </c>
      <c r="G31" t="s">
        <v>428</v>
      </c>
      <c r="H31" t="s">
        <v>401</v>
      </c>
      <c r="I31" t="s">
        <v>402</v>
      </c>
      <c r="J31" t="s">
        <v>6255</v>
      </c>
      <c r="K31">
        <v>20230511</v>
      </c>
      <c r="L31" t="s">
        <v>6254</v>
      </c>
      <c r="M31">
        <v>675</v>
      </c>
      <c r="N31">
        <v>0</v>
      </c>
      <c r="O31" t="s">
        <v>19</v>
      </c>
      <c r="P31" t="s">
        <v>20</v>
      </c>
      <c r="Q31">
        <v>20230511</v>
      </c>
    </row>
    <row r="32" spans="1:17" x14ac:dyDescent="0.25">
      <c r="A32" t="s">
        <v>476</v>
      </c>
      <c r="B32" t="s">
        <v>477</v>
      </c>
      <c r="C32">
        <v>1</v>
      </c>
      <c r="D32">
        <v>20230512</v>
      </c>
      <c r="E32">
        <v>5</v>
      </c>
      <c r="F32">
        <v>437000</v>
      </c>
      <c r="G32" t="s">
        <v>430</v>
      </c>
      <c r="H32" t="s">
        <v>401</v>
      </c>
      <c r="I32" t="s">
        <v>402</v>
      </c>
      <c r="J32" t="s">
        <v>6253</v>
      </c>
      <c r="K32">
        <v>20230512</v>
      </c>
      <c r="L32" t="s">
        <v>497</v>
      </c>
      <c r="M32">
        <v>1757.92</v>
      </c>
      <c r="N32">
        <v>0</v>
      </c>
      <c r="O32" t="s">
        <v>19</v>
      </c>
      <c r="P32" t="s">
        <v>20</v>
      </c>
      <c r="Q32">
        <v>20230512</v>
      </c>
    </row>
    <row r="33" spans="1:17" x14ac:dyDescent="0.25">
      <c r="A33" t="s">
        <v>476</v>
      </c>
      <c r="B33" t="s">
        <v>477</v>
      </c>
      <c r="C33">
        <v>1</v>
      </c>
      <c r="D33">
        <v>20230512</v>
      </c>
      <c r="E33">
        <v>5</v>
      </c>
      <c r="F33">
        <v>512000</v>
      </c>
      <c r="G33" t="s">
        <v>428</v>
      </c>
      <c r="H33" t="s">
        <v>401</v>
      </c>
      <c r="I33" t="s">
        <v>402</v>
      </c>
      <c r="J33" t="s">
        <v>6253</v>
      </c>
      <c r="K33">
        <v>20230512</v>
      </c>
      <c r="L33" t="s">
        <v>497</v>
      </c>
      <c r="M33">
        <v>0</v>
      </c>
      <c r="N33">
        <v>1757.92</v>
      </c>
      <c r="O33" t="s">
        <v>19</v>
      </c>
      <c r="P33" t="s">
        <v>20</v>
      </c>
      <c r="Q33">
        <v>20230512</v>
      </c>
    </row>
    <row r="34" spans="1:17" x14ac:dyDescent="0.25">
      <c r="A34" t="s">
        <v>476</v>
      </c>
      <c r="B34" t="s">
        <v>477</v>
      </c>
      <c r="C34">
        <v>1</v>
      </c>
      <c r="D34">
        <v>20230512</v>
      </c>
      <c r="E34">
        <v>5</v>
      </c>
      <c r="F34">
        <v>468710</v>
      </c>
      <c r="G34" t="s">
        <v>423</v>
      </c>
      <c r="H34" t="s">
        <v>401</v>
      </c>
      <c r="I34" t="s">
        <v>402</v>
      </c>
      <c r="J34" t="s">
        <v>6252</v>
      </c>
      <c r="K34">
        <v>20230512</v>
      </c>
      <c r="L34" t="s">
        <v>6251</v>
      </c>
      <c r="M34">
        <v>0</v>
      </c>
      <c r="N34">
        <v>9261</v>
      </c>
      <c r="O34" t="s">
        <v>19</v>
      </c>
      <c r="P34" t="s">
        <v>20</v>
      </c>
      <c r="Q34">
        <v>20230512</v>
      </c>
    </row>
    <row r="35" spans="1:17" x14ac:dyDescent="0.25">
      <c r="A35" t="s">
        <v>476</v>
      </c>
      <c r="B35" t="s">
        <v>477</v>
      </c>
      <c r="C35">
        <v>1</v>
      </c>
      <c r="D35">
        <v>20230512</v>
      </c>
      <c r="E35">
        <v>5</v>
      </c>
      <c r="F35">
        <v>512000</v>
      </c>
      <c r="G35" t="s">
        <v>428</v>
      </c>
      <c r="H35" t="s">
        <v>401</v>
      </c>
      <c r="I35" t="s">
        <v>402</v>
      </c>
      <c r="J35" t="s">
        <v>6252</v>
      </c>
      <c r="K35">
        <v>20230512</v>
      </c>
      <c r="L35" t="s">
        <v>6251</v>
      </c>
      <c r="M35">
        <v>9261</v>
      </c>
      <c r="N35">
        <v>0</v>
      </c>
      <c r="O35" t="s">
        <v>19</v>
      </c>
      <c r="P35" t="s">
        <v>20</v>
      </c>
      <c r="Q35">
        <v>20230512</v>
      </c>
    </row>
    <row r="36" spans="1:17" x14ac:dyDescent="0.25">
      <c r="A36" t="s">
        <v>476</v>
      </c>
      <c r="B36" t="s">
        <v>477</v>
      </c>
      <c r="C36">
        <v>1</v>
      </c>
      <c r="D36">
        <v>20230512</v>
      </c>
      <c r="E36">
        <v>5</v>
      </c>
      <c r="F36">
        <v>468200</v>
      </c>
      <c r="G36" t="s">
        <v>421</v>
      </c>
      <c r="H36" t="s">
        <v>401</v>
      </c>
      <c r="I36" t="s">
        <v>402</v>
      </c>
      <c r="J36" t="s">
        <v>6250</v>
      </c>
      <c r="K36">
        <v>20230512</v>
      </c>
      <c r="L36" t="s">
        <v>422</v>
      </c>
      <c r="M36">
        <v>0</v>
      </c>
      <c r="N36">
        <v>606.76</v>
      </c>
      <c r="O36" t="s">
        <v>19</v>
      </c>
      <c r="P36" t="s">
        <v>20</v>
      </c>
      <c r="Q36">
        <v>20230512</v>
      </c>
    </row>
    <row r="37" spans="1:17" x14ac:dyDescent="0.25">
      <c r="A37" t="s">
        <v>476</v>
      </c>
      <c r="B37" t="s">
        <v>477</v>
      </c>
      <c r="C37">
        <v>1</v>
      </c>
      <c r="D37">
        <v>20230512</v>
      </c>
      <c r="E37">
        <v>5</v>
      </c>
      <c r="F37">
        <v>512000</v>
      </c>
      <c r="G37" t="s">
        <v>428</v>
      </c>
      <c r="H37" t="s">
        <v>401</v>
      </c>
      <c r="I37" t="s">
        <v>402</v>
      </c>
      <c r="J37" t="s">
        <v>6250</v>
      </c>
      <c r="K37">
        <v>20230512</v>
      </c>
      <c r="L37" t="s">
        <v>422</v>
      </c>
      <c r="M37">
        <v>606.76</v>
      </c>
      <c r="N37">
        <v>0</v>
      </c>
      <c r="O37" t="s">
        <v>19</v>
      </c>
      <c r="P37" t="s">
        <v>20</v>
      </c>
      <c r="Q37">
        <v>20230512</v>
      </c>
    </row>
    <row r="38" spans="1:17" x14ac:dyDescent="0.25">
      <c r="A38" t="s">
        <v>476</v>
      </c>
      <c r="B38" t="s">
        <v>477</v>
      </c>
      <c r="C38">
        <v>1</v>
      </c>
      <c r="D38">
        <v>20230515</v>
      </c>
      <c r="E38">
        <v>5</v>
      </c>
      <c r="F38">
        <v>468740</v>
      </c>
      <c r="G38" t="s">
        <v>426</v>
      </c>
      <c r="H38" t="s">
        <v>401</v>
      </c>
      <c r="I38" t="s">
        <v>402</v>
      </c>
      <c r="J38" t="s">
        <v>6249</v>
      </c>
      <c r="K38">
        <v>20230515</v>
      </c>
      <c r="L38" t="s">
        <v>6248</v>
      </c>
      <c r="M38">
        <v>0</v>
      </c>
      <c r="N38">
        <v>473</v>
      </c>
      <c r="O38" t="s">
        <v>19</v>
      </c>
      <c r="P38" t="s">
        <v>20</v>
      </c>
      <c r="Q38">
        <v>20230515</v>
      </c>
    </row>
    <row r="39" spans="1:17" x14ac:dyDescent="0.25">
      <c r="A39" t="s">
        <v>476</v>
      </c>
      <c r="B39" t="s">
        <v>477</v>
      </c>
      <c r="C39">
        <v>1</v>
      </c>
      <c r="D39">
        <v>20230515</v>
      </c>
      <c r="E39">
        <v>5</v>
      </c>
      <c r="F39">
        <v>512000</v>
      </c>
      <c r="G39" t="s">
        <v>428</v>
      </c>
      <c r="H39" t="s">
        <v>401</v>
      </c>
      <c r="I39" t="s">
        <v>402</v>
      </c>
      <c r="J39" t="s">
        <v>6249</v>
      </c>
      <c r="K39">
        <v>20230515</v>
      </c>
      <c r="L39" t="s">
        <v>6248</v>
      </c>
      <c r="M39">
        <v>473</v>
      </c>
      <c r="N39">
        <v>0</v>
      </c>
      <c r="O39" t="s">
        <v>19</v>
      </c>
      <c r="P39" t="s">
        <v>20</v>
      </c>
      <c r="Q39">
        <v>20230515</v>
      </c>
    </row>
    <row r="40" spans="1:17" x14ac:dyDescent="0.25">
      <c r="A40" t="s">
        <v>476</v>
      </c>
      <c r="B40" t="s">
        <v>477</v>
      </c>
      <c r="C40">
        <v>1</v>
      </c>
      <c r="D40">
        <v>20230515</v>
      </c>
      <c r="E40">
        <v>5</v>
      </c>
      <c r="F40">
        <v>471000</v>
      </c>
      <c r="G40" t="s">
        <v>4801</v>
      </c>
      <c r="H40" t="s">
        <v>401</v>
      </c>
      <c r="I40" t="s">
        <v>402</v>
      </c>
      <c r="J40" t="s">
        <v>6247</v>
      </c>
      <c r="K40">
        <v>20230515</v>
      </c>
      <c r="L40" t="s">
        <v>6246</v>
      </c>
      <c r="M40">
        <v>0</v>
      </c>
      <c r="N40">
        <v>146.4</v>
      </c>
      <c r="O40" t="s">
        <v>19</v>
      </c>
      <c r="P40" t="s">
        <v>20</v>
      </c>
      <c r="Q40">
        <v>20230515</v>
      </c>
    </row>
    <row r="41" spans="1:17" x14ac:dyDescent="0.25">
      <c r="A41" t="s">
        <v>476</v>
      </c>
      <c r="B41" t="s">
        <v>477</v>
      </c>
      <c r="C41">
        <v>1</v>
      </c>
      <c r="D41">
        <v>20230515</v>
      </c>
      <c r="E41">
        <v>5</v>
      </c>
      <c r="F41">
        <v>512000</v>
      </c>
      <c r="G41" t="s">
        <v>428</v>
      </c>
      <c r="H41" t="s">
        <v>401</v>
      </c>
      <c r="I41" t="s">
        <v>402</v>
      </c>
      <c r="J41" t="s">
        <v>6247</v>
      </c>
      <c r="K41">
        <v>20230515</v>
      </c>
      <c r="L41" t="s">
        <v>6246</v>
      </c>
      <c r="M41">
        <v>146.4</v>
      </c>
      <c r="N41">
        <v>0</v>
      </c>
      <c r="O41" t="s">
        <v>19</v>
      </c>
      <c r="P41" t="s">
        <v>20</v>
      </c>
      <c r="Q41">
        <v>20230515</v>
      </c>
    </row>
    <row r="42" spans="1:17" x14ac:dyDescent="0.25">
      <c r="A42" t="s">
        <v>476</v>
      </c>
      <c r="B42" t="s">
        <v>477</v>
      </c>
      <c r="C42">
        <v>1</v>
      </c>
      <c r="D42">
        <v>20230516</v>
      </c>
      <c r="E42">
        <v>5</v>
      </c>
      <c r="F42">
        <v>431000</v>
      </c>
      <c r="G42" t="s">
        <v>408</v>
      </c>
      <c r="H42" t="s">
        <v>401</v>
      </c>
      <c r="I42" t="s">
        <v>402</v>
      </c>
      <c r="J42" t="s">
        <v>6245</v>
      </c>
      <c r="K42">
        <v>20230516</v>
      </c>
      <c r="L42" t="s">
        <v>409</v>
      </c>
      <c r="M42">
        <v>28716</v>
      </c>
      <c r="N42">
        <v>0</v>
      </c>
      <c r="O42" t="s">
        <v>19</v>
      </c>
      <c r="P42" t="s">
        <v>20</v>
      </c>
      <c r="Q42">
        <v>20230516</v>
      </c>
    </row>
    <row r="43" spans="1:17" x14ac:dyDescent="0.25">
      <c r="A43" t="s">
        <v>476</v>
      </c>
      <c r="B43" t="s">
        <v>477</v>
      </c>
      <c r="C43">
        <v>1</v>
      </c>
      <c r="D43">
        <v>20230516</v>
      </c>
      <c r="E43">
        <v>5</v>
      </c>
      <c r="F43">
        <v>512000</v>
      </c>
      <c r="G43" t="s">
        <v>428</v>
      </c>
      <c r="H43" t="s">
        <v>401</v>
      </c>
      <c r="I43" t="s">
        <v>402</v>
      </c>
      <c r="J43" t="s">
        <v>6245</v>
      </c>
      <c r="K43">
        <v>20230516</v>
      </c>
      <c r="L43" t="s">
        <v>409</v>
      </c>
      <c r="M43">
        <v>0</v>
      </c>
      <c r="N43">
        <v>28716</v>
      </c>
      <c r="O43" t="s">
        <v>19</v>
      </c>
      <c r="P43" t="s">
        <v>20</v>
      </c>
      <c r="Q43">
        <v>20230516</v>
      </c>
    </row>
    <row r="44" spans="1:17" x14ac:dyDescent="0.25">
      <c r="A44" t="s">
        <v>476</v>
      </c>
      <c r="B44" t="s">
        <v>477</v>
      </c>
      <c r="C44">
        <v>1</v>
      </c>
      <c r="D44">
        <v>20230516</v>
      </c>
      <c r="E44">
        <v>5</v>
      </c>
      <c r="F44">
        <v>447000</v>
      </c>
      <c r="G44" t="s">
        <v>419</v>
      </c>
      <c r="H44" t="s">
        <v>401</v>
      </c>
      <c r="I44" t="s">
        <v>402</v>
      </c>
      <c r="J44" t="s">
        <v>6244</v>
      </c>
      <c r="K44">
        <v>20230516</v>
      </c>
      <c r="L44" t="s">
        <v>898</v>
      </c>
      <c r="M44">
        <v>474</v>
      </c>
      <c r="N44">
        <v>0</v>
      </c>
      <c r="O44" t="s">
        <v>19</v>
      </c>
      <c r="P44" t="s">
        <v>20</v>
      </c>
      <c r="Q44">
        <v>20230516</v>
      </c>
    </row>
    <row r="45" spans="1:17" x14ac:dyDescent="0.25">
      <c r="A45" t="s">
        <v>476</v>
      </c>
      <c r="B45" t="s">
        <v>477</v>
      </c>
      <c r="C45">
        <v>1</v>
      </c>
      <c r="D45">
        <v>20230516</v>
      </c>
      <c r="E45">
        <v>5</v>
      </c>
      <c r="F45">
        <v>512000</v>
      </c>
      <c r="G45" t="s">
        <v>428</v>
      </c>
      <c r="H45" t="s">
        <v>401</v>
      </c>
      <c r="I45" t="s">
        <v>402</v>
      </c>
      <c r="J45" t="s">
        <v>6244</v>
      </c>
      <c r="K45">
        <v>20230516</v>
      </c>
      <c r="L45" t="s">
        <v>898</v>
      </c>
      <c r="M45">
        <v>0</v>
      </c>
      <c r="N45">
        <v>474</v>
      </c>
      <c r="O45" t="s">
        <v>19</v>
      </c>
      <c r="P45" t="s">
        <v>20</v>
      </c>
      <c r="Q45">
        <v>20230516</v>
      </c>
    </row>
    <row r="46" spans="1:17" x14ac:dyDescent="0.25">
      <c r="A46" t="s">
        <v>476</v>
      </c>
      <c r="B46" t="s">
        <v>477</v>
      </c>
      <c r="C46">
        <v>1</v>
      </c>
      <c r="D46">
        <v>20230516</v>
      </c>
      <c r="E46">
        <v>5</v>
      </c>
      <c r="F46">
        <v>468710</v>
      </c>
      <c r="G46" t="s">
        <v>423</v>
      </c>
      <c r="H46" t="s">
        <v>401</v>
      </c>
      <c r="I46" t="s">
        <v>402</v>
      </c>
      <c r="J46" t="s">
        <v>6243</v>
      </c>
      <c r="K46">
        <v>20230516</v>
      </c>
      <c r="L46" t="s">
        <v>6242</v>
      </c>
      <c r="M46">
        <v>0</v>
      </c>
      <c r="N46">
        <v>15400</v>
      </c>
      <c r="O46" t="s">
        <v>19</v>
      </c>
      <c r="P46" t="s">
        <v>20</v>
      </c>
      <c r="Q46">
        <v>20230516</v>
      </c>
    </row>
    <row r="47" spans="1:17" x14ac:dyDescent="0.25">
      <c r="A47" t="s">
        <v>476</v>
      </c>
      <c r="B47" t="s">
        <v>477</v>
      </c>
      <c r="C47">
        <v>1</v>
      </c>
      <c r="D47">
        <v>20230516</v>
      </c>
      <c r="E47">
        <v>5</v>
      </c>
      <c r="F47">
        <v>512000</v>
      </c>
      <c r="G47" t="s">
        <v>428</v>
      </c>
      <c r="H47" t="s">
        <v>401</v>
      </c>
      <c r="I47" t="s">
        <v>402</v>
      </c>
      <c r="J47" t="s">
        <v>6243</v>
      </c>
      <c r="K47">
        <v>20230516</v>
      </c>
      <c r="L47" t="s">
        <v>6242</v>
      </c>
      <c r="M47">
        <v>15400</v>
      </c>
      <c r="N47">
        <v>0</v>
      </c>
      <c r="O47" t="s">
        <v>19</v>
      </c>
      <c r="P47" t="s">
        <v>20</v>
      </c>
      <c r="Q47">
        <v>20230516</v>
      </c>
    </row>
    <row r="48" spans="1:17" x14ac:dyDescent="0.25">
      <c r="A48" t="s">
        <v>476</v>
      </c>
      <c r="B48" t="s">
        <v>477</v>
      </c>
      <c r="C48">
        <v>1</v>
      </c>
      <c r="D48">
        <v>20230517</v>
      </c>
      <c r="E48">
        <v>5</v>
      </c>
      <c r="F48">
        <v>467100</v>
      </c>
      <c r="G48" t="s">
        <v>160</v>
      </c>
      <c r="H48" t="s">
        <v>1726</v>
      </c>
      <c r="I48" t="s">
        <v>1727</v>
      </c>
      <c r="J48" t="s">
        <v>6241</v>
      </c>
      <c r="K48">
        <v>20230517</v>
      </c>
      <c r="L48" t="s">
        <v>5757</v>
      </c>
      <c r="M48">
        <v>400</v>
      </c>
      <c r="N48">
        <v>0</v>
      </c>
      <c r="O48" t="s">
        <v>19</v>
      </c>
      <c r="P48" t="s">
        <v>20</v>
      </c>
      <c r="Q48">
        <v>20230517</v>
      </c>
    </row>
    <row r="49" spans="1:17" x14ac:dyDescent="0.25">
      <c r="A49" t="s">
        <v>476</v>
      </c>
      <c r="B49" t="s">
        <v>477</v>
      </c>
      <c r="C49">
        <v>1</v>
      </c>
      <c r="D49">
        <v>20230517</v>
      </c>
      <c r="E49">
        <v>5</v>
      </c>
      <c r="F49">
        <v>512000</v>
      </c>
      <c r="G49" t="s">
        <v>428</v>
      </c>
      <c r="H49" t="s">
        <v>401</v>
      </c>
      <c r="I49" t="s">
        <v>402</v>
      </c>
      <c r="J49" t="s">
        <v>6241</v>
      </c>
      <c r="K49">
        <v>20230517</v>
      </c>
      <c r="L49" t="s">
        <v>5757</v>
      </c>
      <c r="M49">
        <v>0</v>
      </c>
      <c r="N49">
        <v>400</v>
      </c>
      <c r="O49" t="s">
        <v>19</v>
      </c>
      <c r="P49" t="s">
        <v>20</v>
      </c>
      <c r="Q49">
        <v>20230517</v>
      </c>
    </row>
    <row r="50" spans="1:17" x14ac:dyDescent="0.25">
      <c r="A50" t="s">
        <v>476</v>
      </c>
      <c r="B50" t="s">
        <v>477</v>
      </c>
      <c r="C50">
        <v>1</v>
      </c>
      <c r="D50">
        <v>20230518</v>
      </c>
      <c r="E50">
        <v>5</v>
      </c>
      <c r="F50">
        <v>791000</v>
      </c>
      <c r="G50" t="s">
        <v>1630</v>
      </c>
      <c r="H50" t="s">
        <v>401</v>
      </c>
      <c r="I50" t="s">
        <v>402</v>
      </c>
      <c r="J50" t="s">
        <v>6240</v>
      </c>
      <c r="K50">
        <v>20230518</v>
      </c>
      <c r="L50" t="s">
        <v>6239</v>
      </c>
      <c r="M50">
        <v>0</v>
      </c>
      <c r="N50">
        <v>875</v>
      </c>
      <c r="O50" t="s">
        <v>19</v>
      </c>
      <c r="P50" t="s">
        <v>20</v>
      </c>
      <c r="Q50">
        <v>20230518</v>
      </c>
    </row>
    <row r="51" spans="1:17" x14ac:dyDescent="0.25">
      <c r="A51" t="s">
        <v>476</v>
      </c>
      <c r="B51" t="s">
        <v>477</v>
      </c>
      <c r="C51">
        <v>1</v>
      </c>
      <c r="D51">
        <v>20230518</v>
      </c>
      <c r="E51">
        <v>5</v>
      </c>
      <c r="F51">
        <v>512000</v>
      </c>
      <c r="G51" t="s">
        <v>428</v>
      </c>
      <c r="H51" t="s">
        <v>401</v>
      </c>
      <c r="I51" t="s">
        <v>402</v>
      </c>
      <c r="J51" t="s">
        <v>6240</v>
      </c>
      <c r="K51">
        <v>20230518</v>
      </c>
      <c r="L51" t="s">
        <v>6239</v>
      </c>
      <c r="M51">
        <v>875</v>
      </c>
      <c r="N51">
        <v>0</v>
      </c>
      <c r="O51" t="s">
        <v>19</v>
      </c>
      <c r="P51" t="s">
        <v>20</v>
      </c>
      <c r="Q51">
        <v>20230518</v>
      </c>
    </row>
    <row r="52" spans="1:17" x14ac:dyDescent="0.25">
      <c r="A52" t="s">
        <v>476</v>
      </c>
      <c r="B52" t="s">
        <v>477</v>
      </c>
      <c r="C52">
        <v>1</v>
      </c>
      <c r="D52">
        <v>20230526</v>
      </c>
      <c r="E52">
        <v>5</v>
      </c>
      <c r="F52">
        <v>401000</v>
      </c>
      <c r="G52" t="s">
        <v>41</v>
      </c>
      <c r="H52" t="s">
        <v>42</v>
      </c>
      <c r="I52" t="s">
        <v>43</v>
      </c>
      <c r="J52" t="s">
        <v>6238</v>
      </c>
      <c r="K52">
        <v>20230526</v>
      </c>
      <c r="L52" t="s">
        <v>5758</v>
      </c>
      <c r="M52">
        <v>400.03</v>
      </c>
      <c r="N52">
        <v>0</v>
      </c>
      <c r="O52" t="s">
        <v>22</v>
      </c>
      <c r="P52">
        <v>20230526</v>
      </c>
      <c r="Q52">
        <v>20230526</v>
      </c>
    </row>
    <row r="53" spans="1:17" x14ac:dyDescent="0.25">
      <c r="A53" t="s">
        <v>476</v>
      </c>
      <c r="B53" t="s">
        <v>477</v>
      </c>
      <c r="C53">
        <v>1</v>
      </c>
      <c r="D53">
        <v>20230526</v>
      </c>
      <c r="E53">
        <v>5</v>
      </c>
      <c r="F53">
        <v>401000</v>
      </c>
      <c r="G53" t="s">
        <v>41</v>
      </c>
      <c r="H53" t="s">
        <v>46</v>
      </c>
      <c r="I53" t="s">
        <v>47</v>
      </c>
      <c r="J53" t="s">
        <v>6238</v>
      </c>
      <c r="K53">
        <v>20230526</v>
      </c>
      <c r="L53" t="s">
        <v>5758</v>
      </c>
      <c r="M53">
        <v>480</v>
      </c>
      <c r="N53">
        <v>0</v>
      </c>
      <c r="O53" t="s">
        <v>22</v>
      </c>
      <c r="P53">
        <v>20230526</v>
      </c>
      <c r="Q53">
        <v>20230526</v>
      </c>
    </row>
    <row r="54" spans="1:17" x14ac:dyDescent="0.25">
      <c r="A54" t="s">
        <v>476</v>
      </c>
      <c r="B54" t="s">
        <v>477</v>
      </c>
      <c r="C54">
        <v>1</v>
      </c>
      <c r="D54">
        <v>20230526</v>
      </c>
      <c r="E54">
        <v>5</v>
      </c>
      <c r="F54">
        <v>401000</v>
      </c>
      <c r="G54" t="s">
        <v>41</v>
      </c>
      <c r="H54" t="s">
        <v>54</v>
      </c>
      <c r="I54" t="s">
        <v>55</v>
      </c>
      <c r="J54" t="s">
        <v>6238</v>
      </c>
      <c r="K54">
        <v>20230526</v>
      </c>
      <c r="L54" t="s">
        <v>5758</v>
      </c>
      <c r="M54">
        <v>335.32</v>
      </c>
      <c r="N54">
        <v>0</v>
      </c>
      <c r="O54" t="s">
        <v>22</v>
      </c>
      <c r="P54">
        <v>20230526</v>
      </c>
      <c r="Q54">
        <v>20230526</v>
      </c>
    </row>
    <row r="55" spans="1:17" x14ac:dyDescent="0.25">
      <c r="A55" t="s">
        <v>476</v>
      </c>
      <c r="B55" t="s">
        <v>477</v>
      </c>
      <c r="C55">
        <v>1</v>
      </c>
      <c r="D55">
        <v>20230526</v>
      </c>
      <c r="E55">
        <v>5</v>
      </c>
      <c r="F55">
        <v>401000</v>
      </c>
      <c r="G55" t="s">
        <v>41</v>
      </c>
      <c r="H55" t="s">
        <v>56</v>
      </c>
      <c r="I55" t="s">
        <v>57</v>
      </c>
      <c r="J55" t="s">
        <v>6238</v>
      </c>
      <c r="K55">
        <v>20230526</v>
      </c>
      <c r="L55" t="s">
        <v>5758</v>
      </c>
      <c r="M55">
        <v>1565.97</v>
      </c>
      <c r="N55">
        <v>0</v>
      </c>
      <c r="O55" t="s">
        <v>22</v>
      </c>
      <c r="P55">
        <v>20230526</v>
      </c>
      <c r="Q55">
        <v>20230526</v>
      </c>
    </row>
    <row r="56" spans="1:17" x14ac:dyDescent="0.25">
      <c r="A56" t="s">
        <v>476</v>
      </c>
      <c r="B56" t="s">
        <v>477</v>
      </c>
      <c r="C56">
        <v>1</v>
      </c>
      <c r="D56">
        <v>20230526</v>
      </c>
      <c r="E56">
        <v>5</v>
      </c>
      <c r="F56">
        <v>401000</v>
      </c>
      <c r="G56" t="s">
        <v>41</v>
      </c>
      <c r="H56" t="s">
        <v>67</v>
      </c>
      <c r="I56" t="s">
        <v>68</v>
      </c>
      <c r="J56" t="s">
        <v>6238</v>
      </c>
      <c r="K56">
        <v>20230526</v>
      </c>
      <c r="L56" t="s">
        <v>5758</v>
      </c>
      <c r="M56">
        <v>731.98</v>
      </c>
      <c r="N56">
        <v>0</v>
      </c>
      <c r="O56" t="s">
        <v>22</v>
      </c>
      <c r="P56">
        <v>20230526</v>
      </c>
      <c r="Q56">
        <v>20230526</v>
      </c>
    </row>
    <row r="57" spans="1:17" x14ac:dyDescent="0.25">
      <c r="A57" t="s">
        <v>476</v>
      </c>
      <c r="B57" t="s">
        <v>477</v>
      </c>
      <c r="C57">
        <v>1</v>
      </c>
      <c r="D57">
        <v>20230526</v>
      </c>
      <c r="E57">
        <v>5</v>
      </c>
      <c r="F57">
        <v>401000</v>
      </c>
      <c r="G57" t="s">
        <v>41</v>
      </c>
      <c r="H57" t="s">
        <v>71</v>
      </c>
      <c r="I57" t="s">
        <v>72</v>
      </c>
      <c r="J57" t="s">
        <v>6238</v>
      </c>
      <c r="K57">
        <v>20230526</v>
      </c>
      <c r="L57" t="s">
        <v>5758</v>
      </c>
      <c r="M57">
        <v>515.14</v>
      </c>
      <c r="N57">
        <v>0</v>
      </c>
      <c r="O57" t="s">
        <v>22</v>
      </c>
      <c r="P57">
        <v>20230526</v>
      </c>
      <c r="Q57">
        <v>20230526</v>
      </c>
    </row>
    <row r="58" spans="1:17" x14ac:dyDescent="0.25">
      <c r="A58" t="s">
        <v>476</v>
      </c>
      <c r="B58" t="s">
        <v>477</v>
      </c>
      <c r="C58">
        <v>1</v>
      </c>
      <c r="D58">
        <v>20230526</v>
      </c>
      <c r="E58">
        <v>5</v>
      </c>
      <c r="F58">
        <v>401000</v>
      </c>
      <c r="G58" t="s">
        <v>41</v>
      </c>
      <c r="H58" t="s">
        <v>75</v>
      </c>
      <c r="I58" t="s">
        <v>76</v>
      </c>
      <c r="J58" t="s">
        <v>6238</v>
      </c>
      <c r="K58">
        <v>20230526</v>
      </c>
      <c r="L58" t="s">
        <v>5758</v>
      </c>
      <c r="M58">
        <v>1370.15</v>
      </c>
      <c r="N58">
        <v>0</v>
      </c>
      <c r="O58" t="s">
        <v>22</v>
      </c>
      <c r="P58">
        <v>20230526</v>
      </c>
      <c r="Q58">
        <v>20230526</v>
      </c>
    </row>
    <row r="59" spans="1:17" x14ac:dyDescent="0.25">
      <c r="A59" t="s">
        <v>476</v>
      </c>
      <c r="B59" t="s">
        <v>477</v>
      </c>
      <c r="C59">
        <v>1</v>
      </c>
      <c r="D59">
        <v>20230526</v>
      </c>
      <c r="E59">
        <v>5</v>
      </c>
      <c r="F59">
        <v>401000</v>
      </c>
      <c r="G59" t="s">
        <v>41</v>
      </c>
      <c r="H59" t="s">
        <v>140</v>
      </c>
      <c r="I59" t="s">
        <v>141</v>
      </c>
      <c r="J59" t="s">
        <v>6238</v>
      </c>
      <c r="K59">
        <v>20230526</v>
      </c>
      <c r="L59" t="s">
        <v>5758</v>
      </c>
      <c r="M59">
        <v>106.4</v>
      </c>
      <c r="N59">
        <v>0</v>
      </c>
      <c r="O59" t="s">
        <v>22</v>
      </c>
      <c r="P59">
        <v>20230526</v>
      </c>
      <c r="Q59">
        <v>20230526</v>
      </c>
    </row>
    <row r="60" spans="1:17" x14ac:dyDescent="0.25">
      <c r="A60" t="s">
        <v>476</v>
      </c>
      <c r="B60" t="s">
        <v>477</v>
      </c>
      <c r="C60">
        <v>1</v>
      </c>
      <c r="D60">
        <v>20230526</v>
      </c>
      <c r="E60">
        <v>5</v>
      </c>
      <c r="F60">
        <v>401000</v>
      </c>
      <c r="G60" t="s">
        <v>41</v>
      </c>
      <c r="H60" t="s">
        <v>827</v>
      </c>
      <c r="I60" t="s">
        <v>828</v>
      </c>
      <c r="J60" t="s">
        <v>6238</v>
      </c>
      <c r="K60">
        <v>20230526</v>
      </c>
      <c r="L60" t="s">
        <v>5758</v>
      </c>
      <c r="M60">
        <v>307.5</v>
      </c>
      <c r="N60">
        <v>0</v>
      </c>
      <c r="O60" t="s">
        <v>22</v>
      </c>
      <c r="P60">
        <v>20230526</v>
      </c>
      <c r="Q60">
        <v>20230526</v>
      </c>
    </row>
    <row r="61" spans="1:17" x14ac:dyDescent="0.25">
      <c r="A61" t="s">
        <v>476</v>
      </c>
      <c r="B61" t="s">
        <v>477</v>
      </c>
      <c r="C61">
        <v>1</v>
      </c>
      <c r="D61">
        <v>20230526</v>
      </c>
      <c r="E61">
        <v>5</v>
      </c>
      <c r="F61">
        <v>467100</v>
      </c>
      <c r="G61" t="s">
        <v>160</v>
      </c>
      <c r="H61" t="s">
        <v>5086</v>
      </c>
      <c r="I61" t="s">
        <v>5087</v>
      </c>
      <c r="J61" t="s">
        <v>6238</v>
      </c>
      <c r="K61">
        <v>20230526</v>
      </c>
      <c r="L61" t="s">
        <v>5758</v>
      </c>
      <c r="M61">
        <v>29.8</v>
      </c>
      <c r="N61">
        <v>0</v>
      </c>
      <c r="O61" t="s">
        <v>22</v>
      </c>
      <c r="P61">
        <v>20230526</v>
      </c>
      <c r="Q61">
        <v>20230526</v>
      </c>
    </row>
    <row r="62" spans="1:17" x14ac:dyDescent="0.25">
      <c r="A62" t="s">
        <v>476</v>
      </c>
      <c r="B62" t="s">
        <v>477</v>
      </c>
      <c r="C62">
        <v>1</v>
      </c>
      <c r="D62">
        <v>20230526</v>
      </c>
      <c r="E62">
        <v>5</v>
      </c>
      <c r="F62">
        <v>512000</v>
      </c>
      <c r="G62" t="s">
        <v>428</v>
      </c>
      <c r="H62" t="s">
        <v>401</v>
      </c>
      <c r="I62" t="s">
        <v>402</v>
      </c>
      <c r="J62" t="s">
        <v>6238</v>
      </c>
      <c r="K62">
        <v>20230526</v>
      </c>
      <c r="L62" t="s">
        <v>5758</v>
      </c>
      <c r="M62">
        <v>0</v>
      </c>
      <c r="N62">
        <v>5842.29</v>
      </c>
      <c r="O62" t="s">
        <v>19</v>
      </c>
      <c r="P62" t="s">
        <v>20</v>
      </c>
      <c r="Q62">
        <v>20230526</v>
      </c>
    </row>
    <row r="63" spans="1:17" x14ac:dyDescent="0.25">
      <c r="A63" t="s">
        <v>476</v>
      </c>
      <c r="B63" t="s">
        <v>477</v>
      </c>
      <c r="C63">
        <v>1</v>
      </c>
      <c r="D63">
        <v>20230502</v>
      </c>
      <c r="E63">
        <v>5</v>
      </c>
      <c r="F63">
        <v>401000</v>
      </c>
      <c r="G63" t="s">
        <v>41</v>
      </c>
      <c r="H63" t="s">
        <v>42</v>
      </c>
      <c r="I63" t="s">
        <v>43</v>
      </c>
      <c r="J63" t="s">
        <v>6237</v>
      </c>
      <c r="K63">
        <v>20230502</v>
      </c>
      <c r="L63" t="s">
        <v>5758</v>
      </c>
      <c r="M63">
        <v>349.92</v>
      </c>
      <c r="N63">
        <v>0</v>
      </c>
      <c r="O63" t="s">
        <v>22</v>
      </c>
      <c r="P63">
        <v>20230502</v>
      </c>
      <c r="Q63">
        <v>20230502</v>
      </c>
    </row>
    <row r="64" spans="1:17" x14ac:dyDescent="0.25">
      <c r="A64" t="s">
        <v>476</v>
      </c>
      <c r="B64" t="s">
        <v>477</v>
      </c>
      <c r="C64">
        <v>1</v>
      </c>
      <c r="D64">
        <v>20230502</v>
      </c>
      <c r="E64">
        <v>5</v>
      </c>
      <c r="F64">
        <v>401000</v>
      </c>
      <c r="G64" t="s">
        <v>41</v>
      </c>
      <c r="H64" t="s">
        <v>450</v>
      </c>
      <c r="I64" t="s">
        <v>451</v>
      </c>
      <c r="J64" t="s">
        <v>6237</v>
      </c>
      <c r="K64">
        <v>20230502</v>
      </c>
      <c r="L64" t="s">
        <v>5758</v>
      </c>
      <c r="M64">
        <v>320.35000000000002</v>
      </c>
      <c r="N64">
        <v>0</v>
      </c>
      <c r="O64" t="s">
        <v>22</v>
      </c>
      <c r="P64">
        <v>20230502</v>
      </c>
      <c r="Q64">
        <v>20230502</v>
      </c>
    </row>
    <row r="65" spans="1:17" x14ac:dyDescent="0.25">
      <c r="A65" t="s">
        <v>476</v>
      </c>
      <c r="B65" t="s">
        <v>477</v>
      </c>
      <c r="C65">
        <v>1</v>
      </c>
      <c r="D65">
        <v>20230502</v>
      </c>
      <c r="E65">
        <v>5</v>
      </c>
      <c r="F65">
        <v>401000</v>
      </c>
      <c r="G65" t="s">
        <v>41</v>
      </c>
      <c r="H65" t="s">
        <v>56</v>
      </c>
      <c r="I65" t="s">
        <v>57</v>
      </c>
      <c r="J65" t="s">
        <v>6237</v>
      </c>
      <c r="K65">
        <v>20230502</v>
      </c>
      <c r="L65" t="s">
        <v>5758</v>
      </c>
      <c r="M65">
        <v>3368.14</v>
      </c>
      <c r="N65">
        <v>0</v>
      </c>
      <c r="O65" t="s">
        <v>22</v>
      </c>
      <c r="P65">
        <v>20230502</v>
      </c>
      <c r="Q65">
        <v>20230502</v>
      </c>
    </row>
    <row r="66" spans="1:17" x14ac:dyDescent="0.25">
      <c r="A66" t="s">
        <v>476</v>
      </c>
      <c r="B66" t="s">
        <v>477</v>
      </c>
      <c r="C66">
        <v>1</v>
      </c>
      <c r="D66">
        <v>20230502</v>
      </c>
      <c r="E66">
        <v>5</v>
      </c>
      <c r="F66">
        <v>401000</v>
      </c>
      <c r="G66" t="s">
        <v>41</v>
      </c>
      <c r="H66" t="s">
        <v>97</v>
      </c>
      <c r="I66" t="s">
        <v>98</v>
      </c>
      <c r="J66" t="s">
        <v>6237</v>
      </c>
      <c r="K66">
        <v>20230502</v>
      </c>
      <c r="L66" t="s">
        <v>5758</v>
      </c>
      <c r="M66">
        <v>240.7</v>
      </c>
      <c r="N66">
        <v>0</v>
      </c>
      <c r="O66" t="s">
        <v>22</v>
      </c>
      <c r="P66">
        <v>20230502</v>
      </c>
      <c r="Q66">
        <v>20230502</v>
      </c>
    </row>
    <row r="67" spans="1:17" x14ac:dyDescent="0.25">
      <c r="A67" t="s">
        <v>476</v>
      </c>
      <c r="B67" t="s">
        <v>477</v>
      </c>
      <c r="C67">
        <v>1</v>
      </c>
      <c r="D67">
        <v>20230502</v>
      </c>
      <c r="E67">
        <v>5</v>
      </c>
      <c r="F67">
        <v>401000</v>
      </c>
      <c r="G67" t="s">
        <v>41</v>
      </c>
      <c r="H67" t="s">
        <v>458</v>
      </c>
      <c r="I67" t="s">
        <v>459</v>
      </c>
      <c r="J67" t="s">
        <v>6237</v>
      </c>
      <c r="K67">
        <v>20230502</v>
      </c>
      <c r="L67" t="s">
        <v>5758</v>
      </c>
      <c r="M67">
        <v>1072.8</v>
      </c>
      <c r="N67">
        <v>0</v>
      </c>
      <c r="O67" t="s">
        <v>22</v>
      </c>
      <c r="P67">
        <v>20230502</v>
      </c>
      <c r="Q67">
        <v>20230502</v>
      </c>
    </row>
    <row r="68" spans="1:17" x14ac:dyDescent="0.25">
      <c r="A68" t="s">
        <v>476</v>
      </c>
      <c r="B68" t="s">
        <v>477</v>
      </c>
      <c r="C68">
        <v>1</v>
      </c>
      <c r="D68">
        <v>20230502</v>
      </c>
      <c r="E68">
        <v>5</v>
      </c>
      <c r="F68">
        <v>401000</v>
      </c>
      <c r="G68" t="s">
        <v>41</v>
      </c>
      <c r="H68" t="s">
        <v>474</v>
      </c>
      <c r="I68" t="s">
        <v>475</v>
      </c>
      <c r="J68" t="s">
        <v>6237</v>
      </c>
      <c r="K68">
        <v>20230502</v>
      </c>
      <c r="L68" t="s">
        <v>5758</v>
      </c>
      <c r="M68">
        <v>180</v>
      </c>
      <c r="N68">
        <v>0</v>
      </c>
      <c r="O68" t="s">
        <v>22</v>
      </c>
      <c r="P68">
        <v>20230502</v>
      </c>
      <c r="Q68">
        <v>20230502</v>
      </c>
    </row>
    <row r="69" spans="1:17" x14ac:dyDescent="0.25">
      <c r="A69" t="s">
        <v>476</v>
      </c>
      <c r="B69" t="s">
        <v>477</v>
      </c>
      <c r="C69">
        <v>1</v>
      </c>
      <c r="D69">
        <v>20230502</v>
      </c>
      <c r="E69">
        <v>5</v>
      </c>
      <c r="F69">
        <v>401000</v>
      </c>
      <c r="G69" t="s">
        <v>41</v>
      </c>
      <c r="H69" t="s">
        <v>456</v>
      </c>
      <c r="I69" t="s">
        <v>457</v>
      </c>
      <c r="J69" t="s">
        <v>6237</v>
      </c>
      <c r="K69">
        <v>20230502</v>
      </c>
      <c r="L69" t="s">
        <v>5758</v>
      </c>
      <c r="M69">
        <v>367.5</v>
      </c>
      <c r="N69">
        <v>0</v>
      </c>
      <c r="O69" t="s">
        <v>22</v>
      </c>
      <c r="P69">
        <v>20230502</v>
      </c>
      <c r="Q69">
        <v>20230502</v>
      </c>
    </row>
    <row r="70" spans="1:17" x14ac:dyDescent="0.25">
      <c r="A70" t="s">
        <v>476</v>
      </c>
      <c r="B70" t="s">
        <v>477</v>
      </c>
      <c r="C70">
        <v>1</v>
      </c>
      <c r="D70">
        <v>20230502</v>
      </c>
      <c r="E70">
        <v>5</v>
      </c>
      <c r="F70">
        <v>401000</v>
      </c>
      <c r="G70" t="s">
        <v>41</v>
      </c>
      <c r="H70" t="s">
        <v>472</v>
      </c>
      <c r="I70" t="s">
        <v>473</v>
      </c>
      <c r="J70" t="s">
        <v>6237</v>
      </c>
      <c r="K70">
        <v>20230502</v>
      </c>
      <c r="L70" t="s">
        <v>5758</v>
      </c>
      <c r="M70">
        <v>140</v>
      </c>
      <c r="N70">
        <v>0</v>
      </c>
      <c r="O70" t="s">
        <v>22</v>
      </c>
      <c r="P70">
        <v>20230502</v>
      </c>
      <c r="Q70">
        <v>20230502</v>
      </c>
    </row>
    <row r="71" spans="1:17" x14ac:dyDescent="0.25">
      <c r="A71" t="s">
        <v>476</v>
      </c>
      <c r="B71" t="s">
        <v>477</v>
      </c>
      <c r="C71">
        <v>1</v>
      </c>
      <c r="D71">
        <v>20230502</v>
      </c>
      <c r="E71">
        <v>5</v>
      </c>
      <c r="F71">
        <v>401000</v>
      </c>
      <c r="G71" t="s">
        <v>41</v>
      </c>
      <c r="H71" t="s">
        <v>830</v>
      </c>
      <c r="I71" t="s">
        <v>831</v>
      </c>
      <c r="J71" t="s">
        <v>6237</v>
      </c>
      <c r="K71">
        <v>20230502</v>
      </c>
      <c r="L71" t="s">
        <v>5758</v>
      </c>
      <c r="M71">
        <v>120</v>
      </c>
      <c r="N71">
        <v>0</v>
      </c>
      <c r="O71" t="s">
        <v>22</v>
      </c>
      <c r="P71">
        <v>20230502</v>
      </c>
      <c r="Q71">
        <v>20230502</v>
      </c>
    </row>
    <row r="72" spans="1:17" x14ac:dyDescent="0.25">
      <c r="A72" t="s">
        <v>476</v>
      </c>
      <c r="B72" t="s">
        <v>477</v>
      </c>
      <c r="C72">
        <v>1</v>
      </c>
      <c r="D72">
        <v>20230502</v>
      </c>
      <c r="E72">
        <v>5</v>
      </c>
      <c r="F72">
        <v>401000</v>
      </c>
      <c r="G72" t="s">
        <v>41</v>
      </c>
      <c r="H72" t="s">
        <v>1659</v>
      </c>
      <c r="I72" t="s">
        <v>1660</v>
      </c>
      <c r="J72" t="s">
        <v>6237</v>
      </c>
      <c r="K72">
        <v>20230502</v>
      </c>
      <c r="L72" t="s">
        <v>5758</v>
      </c>
      <c r="M72">
        <v>100</v>
      </c>
      <c r="N72">
        <v>0</v>
      </c>
      <c r="O72" t="s">
        <v>22</v>
      </c>
      <c r="P72">
        <v>20230502</v>
      </c>
      <c r="Q72">
        <v>20230502</v>
      </c>
    </row>
    <row r="73" spans="1:17" x14ac:dyDescent="0.25">
      <c r="A73" t="s">
        <v>476</v>
      </c>
      <c r="B73" t="s">
        <v>477</v>
      </c>
      <c r="C73">
        <v>1</v>
      </c>
      <c r="D73">
        <v>20230502</v>
      </c>
      <c r="E73">
        <v>5</v>
      </c>
      <c r="F73">
        <v>467100</v>
      </c>
      <c r="G73" t="s">
        <v>160</v>
      </c>
      <c r="H73" t="s">
        <v>4847</v>
      </c>
      <c r="I73" t="s">
        <v>4848</v>
      </c>
      <c r="J73" t="s">
        <v>6237</v>
      </c>
      <c r="K73">
        <v>20230502</v>
      </c>
      <c r="L73" t="s">
        <v>5758</v>
      </c>
      <c r="M73">
        <v>79.59</v>
      </c>
      <c r="N73">
        <v>0</v>
      </c>
      <c r="O73" t="s">
        <v>22</v>
      </c>
      <c r="P73">
        <v>20230502</v>
      </c>
      <c r="Q73">
        <v>20230502</v>
      </c>
    </row>
    <row r="74" spans="1:17" x14ac:dyDescent="0.25">
      <c r="A74" t="s">
        <v>476</v>
      </c>
      <c r="B74" t="s">
        <v>477</v>
      </c>
      <c r="C74">
        <v>1</v>
      </c>
      <c r="D74">
        <v>20230502</v>
      </c>
      <c r="E74">
        <v>5</v>
      </c>
      <c r="F74">
        <v>512000</v>
      </c>
      <c r="G74" t="s">
        <v>428</v>
      </c>
      <c r="H74" t="s">
        <v>401</v>
      </c>
      <c r="I74" t="s">
        <v>402</v>
      </c>
      <c r="J74" t="s">
        <v>6237</v>
      </c>
      <c r="K74">
        <v>20230502</v>
      </c>
      <c r="L74" t="s">
        <v>5758</v>
      </c>
      <c r="M74">
        <v>0</v>
      </c>
      <c r="N74">
        <v>6339</v>
      </c>
      <c r="O74" t="s">
        <v>19</v>
      </c>
      <c r="P74" t="s">
        <v>20</v>
      </c>
      <c r="Q74">
        <v>20230502</v>
      </c>
    </row>
    <row r="75" spans="1:17" x14ac:dyDescent="0.25">
      <c r="A75" t="s">
        <v>476</v>
      </c>
      <c r="B75" t="s">
        <v>477</v>
      </c>
      <c r="C75">
        <v>1</v>
      </c>
      <c r="D75">
        <v>20230502</v>
      </c>
      <c r="E75">
        <v>5</v>
      </c>
      <c r="F75">
        <v>467100</v>
      </c>
      <c r="G75" t="s">
        <v>160</v>
      </c>
      <c r="H75" t="s">
        <v>5416</v>
      </c>
      <c r="I75" t="s">
        <v>5417</v>
      </c>
      <c r="J75" t="s">
        <v>6236</v>
      </c>
      <c r="K75">
        <v>20230502</v>
      </c>
      <c r="L75" t="s">
        <v>5757</v>
      </c>
      <c r="M75">
        <v>364.5</v>
      </c>
      <c r="N75">
        <v>0</v>
      </c>
      <c r="O75" t="s">
        <v>19</v>
      </c>
      <c r="P75" t="s">
        <v>20</v>
      </c>
      <c r="Q75">
        <v>20230502</v>
      </c>
    </row>
    <row r="76" spans="1:17" x14ac:dyDescent="0.25">
      <c r="A76" t="s">
        <v>476</v>
      </c>
      <c r="B76" t="s">
        <v>477</v>
      </c>
      <c r="C76">
        <v>1</v>
      </c>
      <c r="D76">
        <v>20230502</v>
      </c>
      <c r="E76">
        <v>5</v>
      </c>
      <c r="F76">
        <v>512000</v>
      </c>
      <c r="G76" t="s">
        <v>428</v>
      </c>
      <c r="H76" t="s">
        <v>401</v>
      </c>
      <c r="I76" t="s">
        <v>402</v>
      </c>
      <c r="J76" t="s">
        <v>6236</v>
      </c>
      <c r="K76">
        <v>20230502</v>
      </c>
      <c r="L76" t="s">
        <v>5757</v>
      </c>
      <c r="M76">
        <v>0</v>
      </c>
      <c r="N76">
        <v>364.5</v>
      </c>
      <c r="O76" t="s">
        <v>19</v>
      </c>
      <c r="P76" t="s">
        <v>20</v>
      </c>
      <c r="Q76">
        <v>20230502</v>
      </c>
    </row>
    <row r="77" spans="1:17" x14ac:dyDescent="0.25">
      <c r="A77" t="s">
        <v>476</v>
      </c>
      <c r="B77" t="s">
        <v>477</v>
      </c>
      <c r="C77">
        <v>1</v>
      </c>
      <c r="D77">
        <v>20230510</v>
      </c>
      <c r="E77">
        <v>5</v>
      </c>
      <c r="F77">
        <v>467100</v>
      </c>
      <c r="G77" t="s">
        <v>160</v>
      </c>
      <c r="H77" t="s">
        <v>164</v>
      </c>
      <c r="I77" t="s">
        <v>165</v>
      </c>
      <c r="J77" t="s">
        <v>6235</v>
      </c>
      <c r="K77">
        <v>20230510</v>
      </c>
      <c r="L77" t="s">
        <v>5757</v>
      </c>
      <c r="M77">
        <v>500</v>
      </c>
      <c r="N77">
        <v>0</v>
      </c>
      <c r="O77" t="s">
        <v>19</v>
      </c>
      <c r="P77" t="s">
        <v>20</v>
      </c>
      <c r="Q77">
        <v>20230510</v>
      </c>
    </row>
    <row r="78" spans="1:17" x14ac:dyDescent="0.25">
      <c r="A78" t="s">
        <v>476</v>
      </c>
      <c r="B78" t="s">
        <v>477</v>
      </c>
      <c r="C78">
        <v>1</v>
      </c>
      <c r="D78">
        <v>20230510</v>
      </c>
      <c r="E78">
        <v>5</v>
      </c>
      <c r="F78">
        <v>467100</v>
      </c>
      <c r="G78" t="s">
        <v>160</v>
      </c>
      <c r="H78" t="s">
        <v>185</v>
      </c>
      <c r="I78" t="s">
        <v>186</v>
      </c>
      <c r="J78" t="s">
        <v>6235</v>
      </c>
      <c r="K78">
        <v>20230510</v>
      </c>
      <c r="L78" t="s">
        <v>5757</v>
      </c>
      <c r="M78">
        <v>800</v>
      </c>
      <c r="N78">
        <v>0</v>
      </c>
      <c r="O78" t="s">
        <v>19</v>
      </c>
      <c r="P78" t="s">
        <v>20</v>
      </c>
      <c r="Q78">
        <v>20230510</v>
      </c>
    </row>
    <row r="79" spans="1:17" x14ac:dyDescent="0.25">
      <c r="A79" t="s">
        <v>476</v>
      </c>
      <c r="B79" t="s">
        <v>477</v>
      </c>
      <c r="C79">
        <v>1</v>
      </c>
      <c r="D79">
        <v>20230510</v>
      </c>
      <c r="E79">
        <v>5</v>
      </c>
      <c r="F79">
        <v>512000</v>
      </c>
      <c r="G79" t="s">
        <v>428</v>
      </c>
      <c r="H79" t="s">
        <v>401</v>
      </c>
      <c r="I79" t="s">
        <v>402</v>
      </c>
      <c r="J79" t="s">
        <v>6235</v>
      </c>
      <c r="K79">
        <v>20230510</v>
      </c>
      <c r="L79" t="s">
        <v>5757</v>
      </c>
      <c r="M79">
        <v>0</v>
      </c>
      <c r="N79">
        <v>1300</v>
      </c>
      <c r="O79" t="s">
        <v>19</v>
      </c>
      <c r="P79" t="s">
        <v>20</v>
      </c>
      <c r="Q79">
        <v>20230510</v>
      </c>
    </row>
    <row r="80" spans="1:17" x14ac:dyDescent="0.25">
      <c r="A80" t="s">
        <v>476</v>
      </c>
      <c r="B80" t="s">
        <v>477</v>
      </c>
      <c r="C80">
        <v>1</v>
      </c>
      <c r="D80">
        <v>20230510</v>
      </c>
      <c r="E80">
        <v>5</v>
      </c>
      <c r="F80">
        <v>401000</v>
      </c>
      <c r="G80" t="s">
        <v>41</v>
      </c>
      <c r="H80" t="s">
        <v>42</v>
      </c>
      <c r="I80" t="s">
        <v>43</v>
      </c>
      <c r="J80" t="s">
        <v>6234</v>
      </c>
      <c r="K80">
        <v>20230510</v>
      </c>
      <c r="L80" t="s">
        <v>5758</v>
      </c>
      <c r="M80">
        <v>442.04</v>
      </c>
      <c r="N80">
        <v>0</v>
      </c>
      <c r="O80" t="s">
        <v>22</v>
      </c>
      <c r="P80">
        <v>20230510</v>
      </c>
      <c r="Q80">
        <v>20230510</v>
      </c>
    </row>
    <row r="81" spans="1:17" x14ac:dyDescent="0.25">
      <c r="A81" t="s">
        <v>476</v>
      </c>
      <c r="B81" t="s">
        <v>477</v>
      </c>
      <c r="C81">
        <v>1</v>
      </c>
      <c r="D81">
        <v>20230510</v>
      </c>
      <c r="E81">
        <v>5</v>
      </c>
      <c r="F81">
        <v>401000</v>
      </c>
      <c r="G81" t="s">
        <v>41</v>
      </c>
      <c r="H81" t="s">
        <v>46</v>
      </c>
      <c r="I81" t="s">
        <v>47</v>
      </c>
      <c r="J81" t="s">
        <v>6234</v>
      </c>
      <c r="K81">
        <v>20230510</v>
      </c>
      <c r="L81" t="s">
        <v>5758</v>
      </c>
      <c r="M81">
        <v>1000</v>
      </c>
      <c r="N81">
        <v>0</v>
      </c>
      <c r="O81" t="s">
        <v>22</v>
      </c>
      <c r="P81">
        <v>20230510</v>
      </c>
      <c r="Q81">
        <v>20230510</v>
      </c>
    </row>
    <row r="82" spans="1:17" x14ac:dyDescent="0.25">
      <c r="A82" t="s">
        <v>476</v>
      </c>
      <c r="B82" t="s">
        <v>477</v>
      </c>
      <c r="C82">
        <v>1</v>
      </c>
      <c r="D82">
        <v>20230510</v>
      </c>
      <c r="E82">
        <v>5</v>
      </c>
      <c r="F82">
        <v>401000</v>
      </c>
      <c r="G82" t="s">
        <v>41</v>
      </c>
      <c r="H82" t="s">
        <v>56</v>
      </c>
      <c r="I82" t="s">
        <v>57</v>
      </c>
      <c r="J82" t="s">
        <v>6234</v>
      </c>
      <c r="K82">
        <v>20230510</v>
      </c>
      <c r="L82" t="s">
        <v>5758</v>
      </c>
      <c r="M82">
        <v>2420.85</v>
      </c>
      <c r="N82">
        <v>0</v>
      </c>
      <c r="O82" t="s">
        <v>22</v>
      </c>
      <c r="P82">
        <v>20230510</v>
      </c>
      <c r="Q82">
        <v>20230510</v>
      </c>
    </row>
    <row r="83" spans="1:17" x14ac:dyDescent="0.25">
      <c r="A83" t="s">
        <v>476</v>
      </c>
      <c r="B83" t="s">
        <v>477</v>
      </c>
      <c r="C83">
        <v>1</v>
      </c>
      <c r="D83">
        <v>20230510</v>
      </c>
      <c r="E83">
        <v>5</v>
      </c>
      <c r="F83">
        <v>401000</v>
      </c>
      <c r="G83" t="s">
        <v>41</v>
      </c>
      <c r="H83" t="s">
        <v>303</v>
      </c>
      <c r="I83" t="s">
        <v>304</v>
      </c>
      <c r="J83" t="s">
        <v>6234</v>
      </c>
      <c r="K83">
        <v>20230510</v>
      </c>
      <c r="L83" t="s">
        <v>5758</v>
      </c>
      <c r="M83">
        <v>260</v>
      </c>
      <c r="N83">
        <v>0</v>
      </c>
      <c r="O83" t="s">
        <v>22</v>
      </c>
      <c r="P83">
        <v>20230510</v>
      </c>
      <c r="Q83">
        <v>20230510</v>
      </c>
    </row>
    <row r="84" spans="1:17" x14ac:dyDescent="0.25">
      <c r="A84" t="s">
        <v>476</v>
      </c>
      <c r="B84" t="s">
        <v>477</v>
      </c>
      <c r="C84">
        <v>1</v>
      </c>
      <c r="D84">
        <v>20230510</v>
      </c>
      <c r="E84">
        <v>5</v>
      </c>
      <c r="F84">
        <v>401000</v>
      </c>
      <c r="G84" t="s">
        <v>41</v>
      </c>
      <c r="H84" t="s">
        <v>4483</v>
      </c>
      <c r="I84" t="s">
        <v>4484</v>
      </c>
      <c r="J84" t="s">
        <v>6234</v>
      </c>
      <c r="K84">
        <v>20230510</v>
      </c>
      <c r="L84" t="s">
        <v>5758</v>
      </c>
      <c r="M84">
        <v>1516.97</v>
      </c>
      <c r="N84">
        <v>0</v>
      </c>
      <c r="O84" t="s">
        <v>22</v>
      </c>
      <c r="P84">
        <v>20230510</v>
      </c>
      <c r="Q84">
        <v>20230510</v>
      </c>
    </row>
    <row r="85" spans="1:17" x14ac:dyDescent="0.25">
      <c r="A85" t="s">
        <v>476</v>
      </c>
      <c r="B85" t="s">
        <v>477</v>
      </c>
      <c r="C85">
        <v>1</v>
      </c>
      <c r="D85">
        <v>20230510</v>
      </c>
      <c r="E85">
        <v>5</v>
      </c>
      <c r="F85">
        <v>512000</v>
      </c>
      <c r="G85" t="s">
        <v>428</v>
      </c>
      <c r="H85" t="s">
        <v>401</v>
      </c>
      <c r="I85" t="s">
        <v>402</v>
      </c>
      <c r="J85" t="s">
        <v>6234</v>
      </c>
      <c r="K85">
        <v>20230510</v>
      </c>
      <c r="L85" t="s">
        <v>5758</v>
      </c>
      <c r="M85">
        <v>0</v>
      </c>
      <c r="N85">
        <v>5639.86</v>
      </c>
      <c r="O85" t="s">
        <v>19</v>
      </c>
      <c r="P85" t="s">
        <v>20</v>
      </c>
      <c r="Q85">
        <v>20230510</v>
      </c>
    </row>
    <row r="86" spans="1:17" x14ac:dyDescent="0.25">
      <c r="A86" t="s">
        <v>476</v>
      </c>
      <c r="B86" t="s">
        <v>477</v>
      </c>
      <c r="C86">
        <v>1</v>
      </c>
      <c r="D86">
        <v>20230510</v>
      </c>
      <c r="E86">
        <v>5</v>
      </c>
      <c r="F86">
        <v>422000</v>
      </c>
      <c r="G86" t="s">
        <v>405</v>
      </c>
      <c r="H86" t="s">
        <v>401</v>
      </c>
      <c r="I86" t="s">
        <v>402</v>
      </c>
      <c r="J86" t="s">
        <v>6233</v>
      </c>
      <c r="K86">
        <v>20230510</v>
      </c>
      <c r="L86" t="s">
        <v>5757</v>
      </c>
      <c r="M86">
        <v>10082.18</v>
      </c>
      <c r="N86">
        <v>0</v>
      </c>
      <c r="O86" t="s">
        <v>19</v>
      </c>
      <c r="P86" t="s">
        <v>20</v>
      </c>
      <c r="Q86">
        <v>20230510</v>
      </c>
    </row>
    <row r="87" spans="1:17" x14ac:dyDescent="0.25">
      <c r="A87" t="s">
        <v>476</v>
      </c>
      <c r="B87" t="s">
        <v>477</v>
      </c>
      <c r="C87">
        <v>1</v>
      </c>
      <c r="D87">
        <v>20230510</v>
      </c>
      <c r="E87">
        <v>5</v>
      </c>
      <c r="F87">
        <v>512000</v>
      </c>
      <c r="G87" t="s">
        <v>428</v>
      </c>
      <c r="H87" t="s">
        <v>401</v>
      </c>
      <c r="I87" t="s">
        <v>402</v>
      </c>
      <c r="J87" t="s">
        <v>6233</v>
      </c>
      <c r="K87">
        <v>20230510</v>
      </c>
      <c r="L87" t="s">
        <v>5757</v>
      </c>
      <c r="M87">
        <v>0</v>
      </c>
      <c r="N87">
        <v>10082.18</v>
      </c>
      <c r="O87" t="s">
        <v>19</v>
      </c>
      <c r="P87" t="s">
        <v>20</v>
      </c>
      <c r="Q87">
        <v>20230510</v>
      </c>
    </row>
    <row r="88" spans="1:17" x14ac:dyDescent="0.25">
      <c r="A88" t="s">
        <v>548</v>
      </c>
      <c r="B88" t="s">
        <v>429</v>
      </c>
      <c r="C88">
        <v>2</v>
      </c>
      <c r="D88">
        <v>20230510</v>
      </c>
      <c r="E88">
        <v>5</v>
      </c>
      <c r="F88">
        <v>467100</v>
      </c>
      <c r="G88" t="s">
        <v>160</v>
      </c>
      <c r="H88" t="s">
        <v>172</v>
      </c>
      <c r="I88" t="s">
        <v>173</v>
      </c>
      <c r="J88" t="s">
        <v>6232</v>
      </c>
      <c r="K88">
        <v>20230510</v>
      </c>
      <c r="L88" t="s">
        <v>6231</v>
      </c>
      <c r="M88">
        <v>150</v>
      </c>
      <c r="N88">
        <v>0</v>
      </c>
      <c r="O88" t="s">
        <v>19</v>
      </c>
      <c r="P88" t="s">
        <v>20</v>
      </c>
      <c r="Q88">
        <v>20230510</v>
      </c>
    </row>
    <row r="89" spans="1:17" x14ac:dyDescent="0.25">
      <c r="A89" t="s">
        <v>548</v>
      </c>
      <c r="B89" t="s">
        <v>429</v>
      </c>
      <c r="C89">
        <v>2</v>
      </c>
      <c r="D89">
        <v>20230510</v>
      </c>
      <c r="E89">
        <v>5</v>
      </c>
      <c r="F89">
        <v>531105</v>
      </c>
      <c r="G89" t="s">
        <v>429</v>
      </c>
      <c r="H89" t="s">
        <v>401</v>
      </c>
      <c r="I89" t="s">
        <v>402</v>
      </c>
      <c r="J89" t="s">
        <v>6232</v>
      </c>
      <c r="K89">
        <v>20230510</v>
      </c>
      <c r="L89" t="s">
        <v>6231</v>
      </c>
      <c r="M89">
        <v>0</v>
      </c>
      <c r="N89">
        <v>150</v>
      </c>
      <c r="O89" t="s">
        <v>19</v>
      </c>
      <c r="P89" t="s">
        <v>20</v>
      </c>
      <c r="Q89">
        <v>20230510</v>
      </c>
    </row>
    <row r="90" spans="1:17" x14ac:dyDescent="0.25">
      <c r="A90" t="s">
        <v>548</v>
      </c>
      <c r="B90" t="s">
        <v>429</v>
      </c>
      <c r="C90">
        <v>2</v>
      </c>
      <c r="D90">
        <v>20230513</v>
      </c>
      <c r="E90">
        <v>5</v>
      </c>
      <c r="F90">
        <v>467100</v>
      </c>
      <c r="G90" t="s">
        <v>160</v>
      </c>
      <c r="H90" t="s">
        <v>1014</v>
      </c>
      <c r="I90" t="s">
        <v>1015</v>
      </c>
      <c r="J90" t="s">
        <v>6230</v>
      </c>
      <c r="K90">
        <v>20230513</v>
      </c>
      <c r="L90" t="s">
        <v>6229</v>
      </c>
      <c r="M90">
        <v>11.93</v>
      </c>
      <c r="N90">
        <v>0</v>
      </c>
      <c r="O90" t="s">
        <v>23</v>
      </c>
      <c r="P90">
        <v>20230606</v>
      </c>
      <c r="Q90">
        <v>20230513</v>
      </c>
    </row>
    <row r="91" spans="1:17" x14ac:dyDescent="0.25">
      <c r="A91" t="s">
        <v>548</v>
      </c>
      <c r="B91" t="s">
        <v>429</v>
      </c>
      <c r="C91">
        <v>2</v>
      </c>
      <c r="D91">
        <v>20230513</v>
      </c>
      <c r="E91">
        <v>5</v>
      </c>
      <c r="F91">
        <v>531105</v>
      </c>
      <c r="G91" t="s">
        <v>429</v>
      </c>
      <c r="H91" t="s">
        <v>401</v>
      </c>
      <c r="I91" t="s">
        <v>402</v>
      </c>
      <c r="J91" t="s">
        <v>6230</v>
      </c>
      <c r="K91">
        <v>20230513</v>
      </c>
      <c r="L91" t="s">
        <v>6229</v>
      </c>
      <c r="M91">
        <v>0</v>
      </c>
      <c r="N91">
        <v>11.93</v>
      </c>
      <c r="O91" t="s">
        <v>19</v>
      </c>
      <c r="P91" t="s">
        <v>20</v>
      </c>
      <c r="Q91">
        <v>20230513</v>
      </c>
    </row>
    <row r="92" spans="1:17" x14ac:dyDescent="0.25">
      <c r="A92" t="s">
        <v>548</v>
      </c>
      <c r="B92" t="s">
        <v>429</v>
      </c>
      <c r="C92">
        <v>2</v>
      </c>
      <c r="D92">
        <v>20230513</v>
      </c>
      <c r="E92">
        <v>5</v>
      </c>
      <c r="F92">
        <v>467100</v>
      </c>
      <c r="G92" t="s">
        <v>160</v>
      </c>
      <c r="H92" t="s">
        <v>1305</v>
      </c>
      <c r="I92" t="s">
        <v>1306</v>
      </c>
      <c r="J92" t="s">
        <v>6228</v>
      </c>
      <c r="K92">
        <v>20230513</v>
      </c>
      <c r="L92" t="s">
        <v>6227</v>
      </c>
      <c r="M92">
        <v>10</v>
      </c>
      <c r="N92">
        <v>0</v>
      </c>
      <c r="O92" t="s">
        <v>23</v>
      </c>
      <c r="P92">
        <v>20230606</v>
      </c>
      <c r="Q92">
        <v>20230513</v>
      </c>
    </row>
    <row r="93" spans="1:17" x14ac:dyDescent="0.25">
      <c r="A93" t="s">
        <v>548</v>
      </c>
      <c r="B93" t="s">
        <v>429</v>
      </c>
      <c r="C93">
        <v>2</v>
      </c>
      <c r="D93">
        <v>20230513</v>
      </c>
      <c r="E93">
        <v>5</v>
      </c>
      <c r="F93">
        <v>531105</v>
      </c>
      <c r="G93" t="s">
        <v>429</v>
      </c>
      <c r="H93" t="s">
        <v>401</v>
      </c>
      <c r="I93" t="s">
        <v>402</v>
      </c>
      <c r="J93" t="s">
        <v>6228</v>
      </c>
      <c r="K93">
        <v>20230513</v>
      </c>
      <c r="L93" t="s">
        <v>6227</v>
      </c>
      <c r="M93">
        <v>0</v>
      </c>
      <c r="N93">
        <v>10</v>
      </c>
      <c r="O93" t="s">
        <v>19</v>
      </c>
      <c r="P93" t="s">
        <v>20</v>
      </c>
      <c r="Q93">
        <v>20230513</v>
      </c>
    </row>
    <row r="94" spans="1:17" x14ac:dyDescent="0.25">
      <c r="A94" t="s">
        <v>548</v>
      </c>
      <c r="B94" t="s">
        <v>429</v>
      </c>
      <c r="C94">
        <v>2</v>
      </c>
      <c r="D94">
        <v>20230515</v>
      </c>
      <c r="E94">
        <v>5</v>
      </c>
      <c r="F94">
        <v>580000</v>
      </c>
      <c r="G94" t="s">
        <v>532</v>
      </c>
      <c r="H94" t="s">
        <v>401</v>
      </c>
      <c r="I94" t="s">
        <v>402</v>
      </c>
      <c r="J94" t="s">
        <v>6128</v>
      </c>
      <c r="K94">
        <v>20230515</v>
      </c>
      <c r="L94" t="s">
        <v>625</v>
      </c>
      <c r="M94">
        <v>3190</v>
      </c>
      <c r="N94">
        <v>0</v>
      </c>
      <c r="O94" t="s">
        <v>19</v>
      </c>
      <c r="P94" t="s">
        <v>20</v>
      </c>
      <c r="Q94">
        <v>20230515</v>
      </c>
    </row>
    <row r="95" spans="1:17" x14ac:dyDescent="0.25">
      <c r="A95" t="s">
        <v>548</v>
      </c>
      <c r="B95" t="s">
        <v>429</v>
      </c>
      <c r="C95">
        <v>2</v>
      </c>
      <c r="D95">
        <v>20230515</v>
      </c>
      <c r="E95">
        <v>5</v>
      </c>
      <c r="F95">
        <v>531105</v>
      </c>
      <c r="G95" t="s">
        <v>429</v>
      </c>
      <c r="H95" t="s">
        <v>401</v>
      </c>
      <c r="I95" t="s">
        <v>402</v>
      </c>
      <c r="J95" t="s">
        <v>6128</v>
      </c>
      <c r="K95">
        <v>20230515</v>
      </c>
      <c r="L95" t="s">
        <v>625</v>
      </c>
      <c r="M95">
        <v>0</v>
      </c>
      <c r="N95">
        <v>3190</v>
      </c>
      <c r="O95" t="s">
        <v>19</v>
      </c>
      <c r="P95" t="s">
        <v>20</v>
      </c>
      <c r="Q95">
        <v>20230515</v>
      </c>
    </row>
    <row r="96" spans="1:17" x14ac:dyDescent="0.25">
      <c r="A96" t="s">
        <v>548</v>
      </c>
      <c r="B96" t="s">
        <v>429</v>
      </c>
      <c r="C96">
        <v>2</v>
      </c>
      <c r="D96">
        <v>20230526</v>
      </c>
      <c r="E96">
        <v>5</v>
      </c>
      <c r="F96">
        <v>467100</v>
      </c>
      <c r="G96" t="s">
        <v>160</v>
      </c>
      <c r="H96" t="s">
        <v>2232</v>
      </c>
      <c r="I96" t="s">
        <v>2233</v>
      </c>
      <c r="J96" t="s">
        <v>6226</v>
      </c>
      <c r="K96">
        <v>20230526</v>
      </c>
      <c r="L96" t="s">
        <v>6225</v>
      </c>
      <c r="M96">
        <v>11.85</v>
      </c>
      <c r="N96">
        <v>0</v>
      </c>
      <c r="O96" t="s">
        <v>23</v>
      </c>
      <c r="P96">
        <v>20230526</v>
      </c>
      <c r="Q96">
        <v>20230526</v>
      </c>
    </row>
    <row r="97" spans="1:17" x14ac:dyDescent="0.25">
      <c r="A97" t="s">
        <v>548</v>
      </c>
      <c r="B97" t="s">
        <v>429</v>
      </c>
      <c r="C97">
        <v>2</v>
      </c>
      <c r="D97">
        <v>20230526</v>
      </c>
      <c r="E97">
        <v>5</v>
      </c>
      <c r="F97">
        <v>531105</v>
      </c>
      <c r="G97" t="s">
        <v>429</v>
      </c>
      <c r="H97" t="s">
        <v>401</v>
      </c>
      <c r="I97" t="s">
        <v>402</v>
      </c>
      <c r="J97" t="s">
        <v>6226</v>
      </c>
      <c r="K97">
        <v>20230526</v>
      </c>
      <c r="L97" t="s">
        <v>6225</v>
      </c>
      <c r="M97">
        <v>0</v>
      </c>
      <c r="N97">
        <v>11.85</v>
      </c>
      <c r="O97" t="s">
        <v>19</v>
      </c>
      <c r="P97" t="s">
        <v>20</v>
      </c>
      <c r="Q97">
        <v>20230526</v>
      </c>
    </row>
    <row r="98" spans="1:17" x14ac:dyDescent="0.25">
      <c r="A98" t="s">
        <v>548</v>
      </c>
      <c r="B98" t="s">
        <v>429</v>
      </c>
      <c r="C98">
        <v>2</v>
      </c>
      <c r="D98">
        <v>20230526</v>
      </c>
      <c r="E98">
        <v>5</v>
      </c>
      <c r="F98">
        <v>467100</v>
      </c>
      <c r="G98" t="s">
        <v>160</v>
      </c>
      <c r="H98" t="s">
        <v>4958</v>
      </c>
      <c r="I98" t="s">
        <v>4959</v>
      </c>
      <c r="J98" t="s">
        <v>6224</v>
      </c>
      <c r="K98">
        <v>20230526</v>
      </c>
      <c r="L98" t="s">
        <v>6223</v>
      </c>
      <c r="M98">
        <v>0</v>
      </c>
      <c r="N98">
        <v>31.35</v>
      </c>
      <c r="O98" t="s">
        <v>23</v>
      </c>
      <c r="P98">
        <v>20230526</v>
      </c>
      <c r="Q98">
        <v>20230526</v>
      </c>
    </row>
    <row r="99" spans="1:17" x14ac:dyDescent="0.25">
      <c r="A99" t="s">
        <v>548</v>
      </c>
      <c r="B99" t="s">
        <v>429</v>
      </c>
      <c r="C99">
        <v>2</v>
      </c>
      <c r="D99">
        <v>20230526</v>
      </c>
      <c r="E99">
        <v>5</v>
      </c>
      <c r="F99">
        <v>531105</v>
      </c>
      <c r="G99" t="s">
        <v>429</v>
      </c>
      <c r="H99" t="s">
        <v>401</v>
      </c>
      <c r="I99" t="s">
        <v>402</v>
      </c>
      <c r="J99" t="s">
        <v>6224</v>
      </c>
      <c r="K99">
        <v>20230526</v>
      </c>
      <c r="L99" t="s">
        <v>6223</v>
      </c>
      <c r="M99">
        <v>31.35</v>
      </c>
      <c r="N99">
        <v>0</v>
      </c>
      <c r="O99" t="s">
        <v>19</v>
      </c>
      <c r="P99" t="s">
        <v>20</v>
      </c>
      <c r="Q99">
        <v>20230526</v>
      </c>
    </row>
    <row r="100" spans="1:17" x14ac:dyDescent="0.25">
      <c r="A100" t="s">
        <v>548</v>
      </c>
      <c r="B100" t="s">
        <v>429</v>
      </c>
      <c r="C100">
        <v>2</v>
      </c>
      <c r="D100">
        <v>20230526</v>
      </c>
      <c r="E100">
        <v>5</v>
      </c>
      <c r="F100">
        <v>467100</v>
      </c>
      <c r="G100" t="s">
        <v>160</v>
      </c>
      <c r="H100" t="s">
        <v>4958</v>
      </c>
      <c r="I100" t="s">
        <v>4959</v>
      </c>
      <c r="J100" t="s">
        <v>6222</v>
      </c>
      <c r="K100">
        <v>20230526</v>
      </c>
      <c r="L100" t="s">
        <v>6221</v>
      </c>
      <c r="M100">
        <v>50</v>
      </c>
      <c r="N100">
        <v>0</v>
      </c>
      <c r="O100" t="s">
        <v>19</v>
      </c>
      <c r="P100" t="s">
        <v>20</v>
      </c>
      <c r="Q100">
        <v>20230526</v>
      </c>
    </row>
    <row r="101" spans="1:17" x14ac:dyDescent="0.25">
      <c r="A101" t="s">
        <v>548</v>
      </c>
      <c r="B101" t="s">
        <v>429</v>
      </c>
      <c r="C101">
        <v>2</v>
      </c>
      <c r="D101">
        <v>20230526</v>
      </c>
      <c r="E101">
        <v>5</v>
      </c>
      <c r="F101">
        <v>531105</v>
      </c>
      <c r="G101" t="s">
        <v>429</v>
      </c>
      <c r="H101" t="s">
        <v>401</v>
      </c>
      <c r="I101" t="s">
        <v>402</v>
      </c>
      <c r="J101" t="s">
        <v>6222</v>
      </c>
      <c r="K101">
        <v>20230526</v>
      </c>
      <c r="L101" t="s">
        <v>6221</v>
      </c>
      <c r="M101">
        <v>0</v>
      </c>
      <c r="N101">
        <v>50</v>
      </c>
      <c r="O101" t="s">
        <v>19</v>
      </c>
      <c r="P101" t="s">
        <v>20</v>
      </c>
      <c r="Q101">
        <v>20230526</v>
      </c>
    </row>
    <row r="102" spans="1:17" x14ac:dyDescent="0.25">
      <c r="A102" t="s">
        <v>548</v>
      </c>
      <c r="B102" t="s">
        <v>429</v>
      </c>
      <c r="C102">
        <v>2</v>
      </c>
      <c r="D102">
        <v>20230526</v>
      </c>
      <c r="E102">
        <v>5</v>
      </c>
      <c r="F102">
        <v>626100</v>
      </c>
      <c r="G102" t="s">
        <v>812</v>
      </c>
      <c r="H102" t="s">
        <v>401</v>
      </c>
      <c r="I102" t="s">
        <v>402</v>
      </c>
      <c r="J102" t="s">
        <v>6220</v>
      </c>
      <c r="K102">
        <v>20230526</v>
      </c>
      <c r="L102" t="s">
        <v>6219</v>
      </c>
      <c r="M102">
        <v>19.600000000000001</v>
      </c>
      <c r="N102">
        <v>0</v>
      </c>
      <c r="O102" t="s">
        <v>19</v>
      </c>
      <c r="P102" t="s">
        <v>20</v>
      </c>
      <c r="Q102">
        <v>20230526</v>
      </c>
    </row>
    <row r="103" spans="1:17" x14ac:dyDescent="0.25">
      <c r="A103" t="s">
        <v>548</v>
      </c>
      <c r="B103" t="s">
        <v>429</v>
      </c>
      <c r="C103">
        <v>2</v>
      </c>
      <c r="D103">
        <v>20230526</v>
      </c>
      <c r="E103">
        <v>5</v>
      </c>
      <c r="F103">
        <v>531105</v>
      </c>
      <c r="G103" t="s">
        <v>429</v>
      </c>
      <c r="H103" t="s">
        <v>401</v>
      </c>
      <c r="I103" t="s">
        <v>402</v>
      </c>
      <c r="J103" t="s">
        <v>6220</v>
      </c>
      <c r="K103">
        <v>20230526</v>
      </c>
      <c r="L103" t="s">
        <v>6219</v>
      </c>
      <c r="M103">
        <v>0</v>
      </c>
      <c r="N103">
        <v>19.600000000000001</v>
      </c>
      <c r="O103" t="s">
        <v>19</v>
      </c>
      <c r="P103" t="s">
        <v>20</v>
      </c>
      <c r="Q103">
        <v>20230526</v>
      </c>
    </row>
    <row r="104" spans="1:17" x14ac:dyDescent="0.25">
      <c r="A104" t="s">
        <v>548</v>
      </c>
      <c r="B104" t="s">
        <v>429</v>
      </c>
      <c r="C104">
        <v>2</v>
      </c>
      <c r="D104">
        <v>20230502</v>
      </c>
      <c r="E104">
        <v>5</v>
      </c>
      <c r="F104">
        <v>467100</v>
      </c>
      <c r="G104" t="s">
        <v>160</v>
      </c>
      <c r="H104" t="s">
        <v>4958</v>
      </c>
      <c r="I104" t="s">
        <v>4959</v>
      </c>
      <c r="J104" t="s">
        <v>6218</v>
      </c>
      <c r="K104">
        <v>20230502</v>
      </c>
      <c r="L104" t="s">
        <v>6217</v>
      </c>
      <c r="M104">
        <v>50</v>
      </c>
      <c r="N104">
        <v>0</v>
      </c>
      <c r="O104" t="s">
        <v>23</v>
      </c>
      <c r="P104">
        <v>20230526</v>
      </c>
      <c r="Q104">
        <v>20230502</v>
      </c>
    </row>
    <row r="105" spans="1:17" x14ac:dyDescent="0.25">
      <c r="A105" t="s">
        <v>548</v>
      </c>
      <c r="B105" t="s">
        <v>429</v>
      </c>
      <c r="C105">
        <v>2</v>
      </c>
      <c r="D105">
        <v>20230502</v>
      </c>
      <c r="E105">
        <v>5</v>
      </c>
      <c r="F105">
        <v>531105</v>
      </c>
      <c r="G105" t="s">
        <v>429</v>
      </c>
      <c r="H105" t="s">
        <v>401</v>
      </c>
      <c r="I105" t="s">
        <v>402</v>
      </c>
      <c r="J105" t="s">
        <v>6218</v>
      </c>
      <c r="K105">
        <v>20230502</v>
      </c>
      <c r="L105" t="s">
        <v>6217</v>
      </c>
      <c r="M105">
        <v>0</v>
      </c>
      <c r="N105">
        <v>50</v>
      </c>
      <c r="O105" t="s">
        <v>19</v>
      </c>
      <c r="P105" t="s">
        <v>20</v>
      </c>
      <c r="Q105">
        <v>20230502</v>
      </c>
    </row>
    <row r="106" spans="1:17" x14ac:dyDescent="0.25">
      <c r="A106" t="s">
        <v>548</v>
      </c>
      <c r="B106" t="s">
        <v>429</v>
      </c>
      <c r="C106">
        <v>2</v>
      </c>
      <c r="D106">
        <v>20230504</v>
      </c>
      <c r="E106">
        <v>5</v>
      </c>
      <c r="F106">
        <v>467100</v>
      </c>
      <c r="G106" t="s">
        <v>160</v>
      </c>
      <c r="H106" t="s">
        <v>172</v>
      </c>
      <c r="I106" t="s">
        <v>173</v>
      </c>
      <c r="J106" t="s">
        <v>6216</v>
      </c>
      <c r="K106">
        <v>20230504</v>
      </c>
      <c r="L106" t="s">
        <v>6215</v>
      </c>
      <c r="M106">
        <v>0</v>
      </c>
      <c r="N106">
        <v>81.69</v>
      </c>
      <c r="O106" t="s">
        <v>23</v>
      </c>
      <c r="P106">
        <v>20230523</v>
      </c>
      <c r="Q106">
        <v>20230504</v>
      </c>
    </row>
    <row r="107" spans="1:17" x14ac:dyDescent="0.25">
      <c r="A107" t="s">
        <v>548</v>
      </c>
      <c r="B107" t="s">
        <v>429</v>
      </c>
      <c r="C107">
        <v>2</v>
      </c>
      <c r="D107">
        <v>20230504</v>
      </c>
      <c r="E107">
        <v>5</v>
      </c>
      <c r="F107">
        <v>531105</v>
      </c>
      <c r="G107" t="s">
        <v>429</v>
      </c>
      <c r="H107" t="s">
        <v>401</v>
      </c>
      <c r="I107" t="s">
        <v>402</v>
      </c>
      <c r="J107" t="s">
        <v>6216</v>
      </c>
      <c r="K107">
        <v>20230504</v>
      </c>
      <c r="L107" t="s">
        <v>6215</v>
      </c>
      <c r="M107">
        <v>81.69</v>
      </c>
      <c r="N107">
        <v>0</v>
      </c>
      <c r="O107" t="s">
        <v>19</v>
      </c>
      <c r="P107" t="s">
        <v>20</v>
      </c>
      <c r="Q107">
        <v>20230504</v>
      </c>
    </row>
    <row r="108" spans="1:17" x14ac:dyDescent="0.25">
      <c r="A108" t="s">
        <v>548</v>
      </c>
      <c r="B108" t="s">
        <v>429</v>
      </c>
      <c r="C108">
        <v>2</v>
      </c>
      <c r="D108">
        <v>20230502</v>
      </c>
      <c r="E108">
        <v>5</v>
      </c>
      <c r="F108">
        <v>411100</v>
      </c>
      <c r="G108" t="s">
        <v>18</v>
      </c>
      <c r="H108" t="s">
        <v>3641</v>
      </c>
      <c r="I108" t="s">
        <v>3642</v>
      </c>
      <c r="J108">
        <v>322120018</v>
      </c>
      <c r="K108">
        <v>20230502</v>
      </c>
      <c r="L108" t="s">
        <v>6214</v>
      </c>
      <c r="M108">
        <v>0</v>
      </c>
      <c r="N108">
        <v>60.05</v>
      </c>
      <c r="O108" t="s">
        <v>19</v>
      </c>
      <c r="P108" t="s">
        <v>20</v>
      </c>
      <c r="Q108">
        <v>20230502</v>
      </c>
    </row>
    <row r="109" spans="1:17" x14ac:dyDescent="0.25">
      <c r="A109" t="s">
        <v>548</v>
      </c>
      <c r="B109" t="s">
        <v>429</v>
      </c>
      <c r="C109">
        <v>2</v>
      </c>
      <c r="D109">
        <v>20230502</v>
      </c>
      <c r="E109">
        <v>5</v>
      </c>
      <c r="F109">
        <v>531105</v>
      </c>
      <c r="G109" t="s">
        <v>429</v>
      </c>
      <c r="H109" t="s">
        <v>401</v>
      </c>
      <c r="I109" t="s">
        <v>402</v>
      </c>
      <c r="J109">
        <v>371032</v>
      </c>
      <c r="K109">
        <v>20230502</v>
      </c>
      <c r="L109" t="s">
        <v>565</v>
      </c>
      <c r="M109">
        <v>60.05</v>
      </c>
      <c r="N109">
        <v>0</v>
      </c>
      <c r="O109" t="s">
        <v>19</v>
      </c>
      <c r="P109" t="s">
        <v>20</v>
      </c>
      <c r="Q109">
        <v>20230502</v>
      </c>
    </row>
    <row r="110" spans="1:17" x14ac:dyDescent="0.25">
      <c r="A110" t="s">
        <v>548</v>
      </c>
      <c r="B110" t="s">
        <v>429</v>
      </c>
      <c r="C110">
        <v>2</v>
      </c>
      <c r="D110">
        <v>20230509</v>
      </c>
      <c r="E110">
        <v>5</v>
      </c>
      <c r="F110">
        <v>467100</v>
      </c>
      <c r="G110" t="s">
        <v>160</v>
      </c>
      <c r="H110" t="s">
        <v>4958</v>
      </c>
      <c r="I110" t="s">
        <v>4959</v>
      </c>
      <c r="J110" t="s">
        <v>6213</v>
      </c>
      <c r="K110">
        <v>20230509</v>
      </c>
      <c r="L110" t="s">
        <v>6212</v>
      </c>
      <c r="M110">
        <v>0</v>
      </c>
      <c r="N110">
        <v>28.5</v>
      </c>
      <c r="O110" t="s">
        <v>23</v>
      </c>
      <c r="P110">
        <v>20230526</v>
      </c>
      <c r="Q110">
        <v>20230509</v>
      </c>
    </row>
    <row r="111" spans="1:17" x14ac:dyDescent="0.25">
      <c r="A111" t="s">
        <v>548</v>
      </c>
      <c r="B111" t="s">
        <v>429</v>
      </c>
      <c r="C111">
        <v>2</v>
      </c>
      <c r="D111">
        <v>20230509</v>
      </c>
      <c r="E111">
        <v>5</v>
      </c>
      <c r="F111">
        <v>531105</v>
      </c>
      <c r="G111" t="s">
        <v>429</v>
      </c>
      <c r="H111" t="s">
        <v>401</v>
      </c>
      <c r="I111" t="s">
        <v>402</v>
      </c>
      <c r="J111" t="s">
        <v>6213</v>
      </c>
      <c r="K111">
        <v>20230509</v>
      </c>
      <c r="L111" t="s">
        <v>6212</v>
      </c>
      <c r="M111">
        <v>28.5</v>
      </c>
      <c r="N111">
        <v>0</v>
      </c>
      <c r="O111" t="s">
        <v>19</v>
      </c>
      <c r="P111" t="s">
        <v>20</v>
      </c>
      <c r="Q111">
        <v>20230509</v>
      </c>
    </row>
    <row r="112" spans="1:17" x14ac:dyDescent="0.25">
      <c r="A112" t="s">
        <v>548</v>
      </c>
      <c r="B112" t="s">
        <v>429</v>
      </c>
      <c r="C112">
        <v>2</v>
      </c>
      <c r="D112">
        <v>20230509</v>
      </c>
      <c r="E112">
        <v>5</v>
      </c>
      <c r="F112">
        <v>467100</v>
      </c>
      <c r="G112" t="s">
        <v>160</v>
      </c>
      <c r="H112" t="s">
        <v>4958</v>
      </c>
      <c r="I112" t="s">
        <v>4959</v>
      </c>
      <c r="J112" t="s">
        <v>6211</v>
      </c>
      <c r="K112">
        <v>20230509</v>
      </c>
      <c r="L112" t="s">
        <v>6210</v>
      </c>
      <c r="M112">
        <v>80</v>
      </c>
      <c r="N112">
        <v>0</v>
      </c>
      <c r="O112" t="s">
        <v>23</v>
      </c>
      <c r="P112">
        <v>20230526</v>
      </c>
      <c r="Q112">
        <v>20230509</v>
      </c>
    </row>
    <row r="113" spans="1:17" x14ac:dyDescent="0.25">
      <c r="A113" t="s">
        <v>548</v>
      </c>
      <c r="B113" t="s">
        <v>429</v>
      </c>
      <c r="C113">
        <v>2</v>
      </c>
      <c r="D113">
        <v>20230509</v>
      </c>
      <c r="E113">
        <v>5</v>
      </c>
      <c r="F113">
        <v>531105</v>
      </c>
      <c r="G113" t="s">
        <v>429</v>
      </c>
      <c r="H113" t="s">
        <v>401</v>
      </c>
      <c r="I113" t="s">
        <v>402</v>
      </c>
      <c r="J113" t="s">
        <v>6211</v>
      </c>
      <c r="K113">
        <v>20230509</v>
      </c>
      <c r="L113" t="s">
        <v>6210</v>
      </c>
      <c r="M113">
        <v>0</v>
      </c>
      <c r="N113">
        <v>80</v>
      </c>
      <c r="O113" t="s">
        <v>19</v>
      </c>
      <c r="P113" t="s">
        <v>20</v>
      </c>
      <c r="Q113">
        <v>20230509</v>
      </c>
    </row>
    <row r="114" spans="1:17" x14ac:dyDescent="0.25">
      <c r="A114" t="s">
        <v>548</v>
      </c>
      <c r="B114" t="s">
        <v>429</v>
      </c>
      <c r="C114">
        <v>2</v>
      </c>
      <c r="D114">
        <v>20230510</v>
      </c>
      <c r="E114">
        <v>5</v>
      </c>
      <c r="F114">
        <v>467100</v>
      </c>
      <c r="G114" t="s">
        <v>160</v>
      </c>
      <c r="H114" t="s">
        <v>316</v>
      </c>
      <c r="I114" t="s">
        <v>317</v>
      </c>
      <c r="J114" t="s">
        <v>6209</v>
      </c>
      <c r="K114">
        <v>20230510</v>
      </c>
      <c r="L114" t="s">
        <v>6208</v>
      </c>
      <c r="M114">
        <v>150</v>
      </c>
      <c r="N114">
        <v>0</v>
      </c>
      <c r="O114" t="s">
        <v>23</v>
      </c>
      <c r="P114">
        <v>20230606</v>
      </c>
      <c r="Q114">
        <v>20230510</v>
      </c>
    </row>
    <row r="115" spans="1:17" x14ac:dyDescent="0.25">
      <c r="A115" t="s">
        <v>548</v>
      </c>
      <c r="B115" t="s">
        <v>429</v>
      </c>
      <c r="C115">
        <v>2</v>
      </c>
      <c r="D115">
        <v>20230510</v>
      </c>
      <c r="E115">
        <v>5</v>
      </c>
      <c r="F115">
        <v>531105</v>
      </c>
      <c r="G115" t="s">
        <v>429</v>
      </c>
      <c r="H115" t="s">
        <v>401</v>
      </c>
      <c r="I115" t="s">
        <v>402</v>
      </c>
      <c r="J115" t="s">
        <v>6209</v>
      </c>
      <c r="K115">
        <v>20230510</v>
      </c>
      <c r="L115" t="s">
        <v>6208</v>
      </c>
      <c r="M115">
        <v>0</v>
      </c>
      <c r="N115">
        <v>150</v>
      </c>
      <c r="O115" t="s">
        <v>19</v>
      </c>
      <c r="P115" t="s">
        <v>20</v>
      </c>
      <c r="Q115">
        <v>20230510</v>
      </c>
    </row>
    <row r="116" spans="1:17" x14ac:dyDescent="0.25">
      <c r="A116" t="s">
        <v>548</v>
      </c>
      <c r="B116" t="s">
        <v>429</v>
      </c>
      <c r="C116">
        <v>2</v>
      </c>
      <c r="D116">
        <v>20230505</v>
      </c>
      <c r="E116">
        <v>5</v>
      </c>
      <c r="F116">
        <v>411100</v>
      </c>
      <c r="G116" t="s">
        <v>18</v>
      </c>
      <c r="H116" t="s">
        <v>800</v>
      </c>
      <c r="I116" t="s">
        <v>801</v>
      </c>
      <c r="J116">
        <v>123040158</v>
      </c>
      <c r="K116">
        <v>20230505</v>
      </c>
      <c r="L116" t="s">
        <v>6207</v>
      </c>
      <c r="M116">
        <v>0</v>
      </c>
      <c r="N116">
        <v>39.700000000000003</v>
      </c>
      <c r="O116" t="s">
        <v>19</v>
      </c>
      <c r="P116" t="s">
        <v>20</v>
      </c>
      <c r="Q116">
        <v>20230505</v>
      </c>
    </row>
    <row r="117" spans="1:17" x14ac:dyDescent="0.25">
      <c r="A117" t="s">
        <v>548</v>
      </c>
      <c r="B117" t="s">
        <v>429</v>
      </c>
      <c r="C117">
        <v>2</v>
      </c>
      <c r="D117">
        <v>20230505</v>
      </c>
      <c r="E117">
        <v>5</v>
      </c>
      <c r="F117">
        <v>411100</v>
      </c>
      <c r="G117" t="s">
        <v>18</v>
      </c>
      <c r="H117" t="s">
        <v>1911</v>
      </c>
      <c r="I117" t="s">
        <v>1912</v>
      </c>
      <c r="J117">
        <v>123040176</v>
      </c>
      <c r="K117">
        <v>20230505</v>
      </c>
      <c r="L117" t="s">
        <v>6206</v>
      </c>
      <c r="M117">
        <v>0</v>
      </c>
      <c r="N117">
        <v>18</v>
      </c>
      <c r="O117" t="s">
        <v>19</v>
      </c>
      <c r="P117" t="s">
        <v>20</v>
      </c>
      <c r="Q117">
        <v>20230505</v>
      </c>
    </row>
    <row r="118" spans="1:17" x14ac:dyDescent="0.25">
      <c r="A118" t="s">
        <v>548</v>
      </c>
      <c r="B118" t="s">
        <v>429</v>
      </c>
      <c r="C118">
        <v>2</v>
      </c>
      <c r="D118">
        <v>20230505</v>
      </c>
      <c r="E118">
        <v>5</v>
      </c>
      <c r="F118">
        <v>411100</v>
      </c>
      <c r="G118" t="s">
        <v>18</v>
      </c>
      <c r="H118" t="s">
        <v>800</v>
      </c>
      <c r="I118" t="s">
        <v>801</v>
      </c>
      <c r="J118">
        <v>123040190</v>
      </c>
      <c r="K118">
        <v>20230505</v>
      </c>
      <c r="L118" t="s">
        <v>6205</v>
      </c>
      <c r="M118">
        <v>0</v>
      </c>
      <c r="N118">
        <v>20</v>
      </c>
      <c r="O118" t="s">
        <v>19</v>
      </c>
      <c r="P118" t="s">
        <v>20</v>
      </c>
      <c r="Q118">
        <v>20230505</v>
      </c>
    </row>
    <row r="119" spans="1:17" x14ac:dyDescent="0.25">
      <c r="A119" t="s">
        <v>548</v>
      </c>
      <c r="B119" t="s">
        <v>429</v>
      </c>
      <c r="C119">
        <v>2</v>
      </c>
      <c r="D119">
        <v>20230505</v>
      </c>
      <c r="E119">
        <v>5</v>
      </c>
      <c r="F119">
        <v>411100</v>
      </c>
      <c r="G119" t="s">
        <v>18</v>
      </c>
      <c r="H119" t="s">
        <v>259</v>
      </c>
      <c r="I119" t="s">
        <v>260</v>
      </c>
      <c r="J119">
        <v>123040173</v>
      </c>
      <c r="K119">
        <v>20230505</v>
      </c>
      <c r="L119" t="s">
        <v>6204</v>
      </c>
      <c r="M119">
        <v>0</v>
      </c>
      <c r="N119">
        <v>10</v>
      </c>
      <c r="O119" t="s">
        <v>19</v>
      </c>
      <c r="P119" t="s">
        <v>20</v>
      </c>
      <c r="Q119">
        <v>20230505</v>
      </c>
    </row>
    <row r="120" spans="1:17" x14ac:dyDescent="0.25">
      <c r="A120" t="s">
        <v>548</v>
      </c>
      <c r="B120" t="s">
        <v>429</v>
      </c>
      <c r="C120">
        <v>2</v>
      </c>
      <c r="D120">
        <v>20230505</v>
      </c>
      <c r="E120">
        <v>5</v>
      </c>
      <c r="F120">
        <v>411100</v>
      </c>
      <c r="G120" t="s">
        <v>18</v>
      </c>
      <c r="H120" t="s">
        <v>3328</v>
      </c>
      <c r="I120" t="s">
        <v>3329</v>
      </c>
      <c r="J120">
        <v>123040184</v>
      </c>
      <c r="K120">
        <v>20230505</v>
      </c>
      <c r="L120" t="s">
        <v>6203</v>
      </c>
      <c r="M120">
        <v>0</v>
      </c>
      <c r="N120">
        <v>8</v>
      </c>
      <c r="O120" t="s">
        <v>19</v>
      </c>
      <c r="P120" t="s">
        <v>20</v>
      </c>
      <c r="Q120">
        <v>20230505</v>
      </c>
    </row>
    <row r="121" spans="1:17" x14ac:dyDescent="0.25">
      <c r="A121" t="s">
        <v>548</v>
      </c>
      <c r="B121" t="s">
        <v>429</v>
      </c>
      <c r="C121">
        <v>2</v>
      </c>
      <c r="D121">
        <v>20230505</v>
      </c>
      <c r="E121">
        <v>5</v>
      </c>
      <c r="F121">
        <v>411100</v>
      </c>
      <c r="G121" t="s">
        <v>18</v>
      </c>
      <c r="H121" t="s">
        <v>3001</v>
      </c>
      <c r="I121" t="s">
        <v>3002</v>
      </c>
      <c r="J121">
        <v>123040183</v>
      </c>
      <c r="K121">
        <v>20230505</v>
      </c>
      <c r="L121" t="s">
        <v>6202</v>
      </c>
      <c r="M121">
        <v>0</v>
      </c>
      <c r="N121">
        <v>24</v>
      </c>
      <c r="O121" t="s">
        <v>19</v>
      </c>
      <c r="P121" t="s">
        <v>20</v>
      </c>
      <c r="Q121">
        <v>20230505</v>
      </c>
    </row>
    <row r="122" spans="1:17" x14ac:dyDescent="0.25">
      <c r="A122" t="s">
        <v>548</v>
      </c>
      <c r="B122" t="s">
        <v>429</v>
      </c>
      <c r="C122">
        <v>2</v>
      </c>
      <c r="D122">
        <v>20230505</v>
      </c>
      <c r="E122">
        <v>5</v>
      </c>
      <c r="F122">
        <v>411100</v>
      </c>
      <c r="G122" t="s">
        <v>18</v>
      </c>
      <c r="H122" t="s">
        <v>81</v>
      </c>
      <c r="I122" t="s">
        <v>82</v>
      </c>
      <c r="J122">
        <v>123040174</v>
      </c>
      <c r="K122">
        <v>20230505</v>
      </c>
      <c r="L122" t="s">
        <v>6201</v>
      </c>
      <c r="M122">
        <v>0</v>
      </c>
      <c r="N122">
        <v>10</v>
      </c>
      <c r="O122" t="s">
        <v>19</v>
      </c>
      <c r="P122" t="s">
        <v>20</v>
      </c>
      <c r="Q122">
        <v>20230505</v>
      </c>
    </row>
    <row r="123" spans="1:17" x14ac:dyDescent="0.25">
      <c r="A123" t="s">
        <v>548</v>
      </c>
      <c r="B123" t="s">
        <v>429</v>
      </c>
      <c r="C123">
        <v>2</v>
      </c>
      <c r="D123">
        <v>20230505</v>
      </c>
      <c r="E123">
        <v>5</v>
      </c>
      <c r="F123">
        <v>411100</v>
      </c>
      <c r="G123" t="s">
        <v>18</v>
      </c>
      <c r="H123" t="s">
        <v>5192</v>
      </c>
      <c r="I123" t="s">
        <v>5193</v>
      </c>
      <c r="J123">
        <v>123040187</v>
      </c>
      <c r="K123">
        <v>20230505</v>
      </c>
      <c r="L123" t="s">
        <v>6200</v>
      </c>
      <c r="M123">
        <v>0</v>
      </c>
      <c r="N123">
        <v>8</v>
      </c>
      <c r="O123" t="s">
        <v>19</v>
      </c>
      <c r="P123" t="s">
        <v>20</v>
      </c>
      <c r="Q123">
        <v>20230505</v>
      </c>
    </row>
    <row r="124" spans="1:17" x14ac:dyDescent="0.25">
      <c r="A124" t="s">
        <v>548</v>
      </c>
      <c r="B124" t="s">
        <v>429</v>
      </c>
      <c r="C124">
        <v>2</v>
      </c>
      <c r="D124">
        <v>20230505</v>
      </c>
      <c r="E124">
        <v>5</v>
      </c>
      <c r="F124">
        <v>411100</v>
      </c>
      <c r="G124" t="s">
        <v>18</v>
      </c>
      <c r="H124" t="s">
        <v>5195</v>
      </c>
      <c r="I124" t="s">
        <v>5196</v>
      </c>
      <c r="J124">
        <v>123040185</v>
      </c>
      <c r="K124">
        <v>20230505</v>
      </c>
      <c r="L124" t="s">
        <v>6199</v>
      </c>
      <c r="M124">
        <v>0</v>
      </c>
      <c r="N124">
        <v>16</v>
      </c>
      <c r="O124" t="s">
        <v>19</v>
      </c>
      <c r="P124" t="s">
        <v>20</v>
      </c>
      <c r="Q124">
        <v>20230505</v>
      </c>
    </row>
    <row r="125" spans="1:17" x14ac:dyDescent="0.25">
      <c r="A125" t="s">
        <v>548</v>
      </c>
      <c r="B125" t="s">
        <v>429</v>
      </c>
      <c r="C125">
        <v>2</v>
      </c>
      <c r="D125">
        <v>20230505</v>
      </c>
      <c r="E125">
        <v>5</v>
      </c>
      <c r="F125">
        <v>411100</v>
      </c>
      <c r="G125" t="s">
        <v>18</v>
      </c>
      <c r="H125" t="s">
        <v>5279</v>
      </c>
      <c r="I125" t="s">
        <v>5280</v>
      </c>
      <c r="J125">
        <v>123040189</v>
      </c>
      <c r="K125">
        <v>20230505</v>
      </c>
      <c r="L125" t="s">
        <v>6198</v>
      </c>
      <c r="M125">
        <v>0</v>
      </c>
      <c r="N125">
        <v>8</v>
      </c>
      <c r="O125" t="s">
        <v>19</v>
      </c>
      <c r="P125" t="s">
        <v>20</v>
      </c>
      <c r="Q125">
        <v>20230505</v>
      </c>
    </row>
    <row r="126" spans="1:17" x14ac:dyDescent="0.25">
      <c r="A126" t="s">
        <v>548</v>
      </c>
      <c r="B126" t="s">
        <v>429</v>
      </c>
      <c r="C126">
        <v>2</v>
      </c>
      <c r="D126">
        <v>20230505</v>
      </c>
      <c r="E126">
        <v>5</v>
      </c>
      <c r="F126">
        <v>411100</v>
      </c>
      <c r="G126" t="s">
        <v>18</v>
      </c>
      <c r="H126" t="s">
        <v>3901</v>
      </c>
      <c r="I126" t="s">
        <v>3902</v>
      </c>
      <c r="J126">
        <v>123040186</v>
      </c>
      <c r="K126">
        <v>20230505</v>
      </c>
      <c r="L126" t="s">
        <v>6197</v>
      </c>
      <c r="M126">
        <v>0</v>
      </c>
      <c r="N126">
        <v>8</v>
      </c>
      <c r="O126" t="s">
        <v>19</v>
      </c>
      <c r="P126" t="s">
        <v>20</v>
      </c>
      <c r="Q126">
        <v>20230505</v>
      </c>
    </row>
    <row r="127" spans="1:17" x14ac:dyDescent="0.25">
      <c r="A127" t="s">
        <v>548</v>
      </c>
      <c r="B127" t="s">
        <v>429</v>
      </c>
      <c r="C127">
        <v>2</v>
      </c>
      <c r="D127">
        <v>20230505</v>
      </c>
      <c r="E127">
        <v>5</v>
      </c>
      <c r="F127">
        <v>411100</v>
      </c>
      <c r="G127" t="s">
        <v>18</v>
      </c>
      <c r="H127" t="s">
        <v>85</v>
      </c>
      <c r="I127" t="s">
        <v>86</v>
      </c>
      <c r="J127">
        <v>123040172</v>
      </c>
      <c r="K127">
        <v>20230505</v>
      </c>
      <c r="L127" t="s">
        <v>6196</v>
      </c>
      <c r="M127">
        <v>0</v>
      </c>
      <c r="N127">
        <v>8</v>
      </c>
      <c r="O127" t="s">
        <v>19</v>
      </c>
      <c r="P127" t="s">
        <v>20</v>
      </c>
      <c r="Q127">
        <v>20230505</v>
      </c>
    </row>
    <row r="128" spans="1:17" x14ac:dyDescent="0.25">
      <c r="A128" t="s">
        <v>548</v>
      </c>
      <c r="B128" t="s">
        <v>429</v>
      </c>
      <c r="C128">
        <v>2</v>
      </c>
      <c r="D128">
        <v>20230505</v>
      </c>
      <c r="E128">
        <v>5</v>
      </c>
      <c r="F128">
        <v>411100</v>
      </c>
      <c r="G128" t="s">
        <v>18</v>
      </c>
      <c r="H128" t="s">
        <v>1911</v>
      </c>
      <c r="I128" t="s">
        <v>1912</v>
      </c>
      <c r="J128">
        <v>123040176</v>
      </c>
      <c r="K128">
        <v>20230505</v>
      </c>
      <c r="L128" t="s">
        <v>6195</v>
      </c>
      <c r="M128">
        <v>0</v>
      </c>
      <c r="N128">
        <v>16</v>
      </c>
      <c r="O128" t="s">
        <v>19</v>
      </c>
      <c r="P128" t="s">
        <v>20</v>
      </c>
      <c r="Q128">
        <v>20230505</v>
      </c>
    </row>
    <row r="129" spans="1:17" x14ac:dyDescent="0.25">
      <c r="A129" t="s">
        <v>548</v>
      </c>
      <c r="B129" t="s">
        <v>429</v>
      </c>
      <c r="C129">
        <v>2</v>
      </c>
      <c r="D129">
        <v>20230505</v>
      </c>
      <c r="E129">
        <v>5</v>
      </c>
      <c r="F129">
        <v>411100</v>
      </c>
      <c r="G129" t="s">
        <v>18</v>
      </c>
      <c r="H129" t="s">
        <v>237</v>
      </c>
      <c r="I129" t="s">
        <v>238</v>
      </c>
      <c r="J129">
        <v>123040175</v>
      </c>
      <c r="K129">
        <v>20230505</v>
      </c>
      <c r="L129" t="s">
        <v>6194</v>
      </c>
      <c r="M129">
        <v>0</v>
      </c>
      <c r="N129">
        <v>8</v>
      </c>
      <c r="O129" t="s">
        <v>19</v>
      </c>
      <c r="P129" t="s">
        <v>20</v>
      </c>
      <c r="Q129">
        <v>20230505</v>
      </c>
    </row>
    <row r="130" spans="1:17" x14ac:dyDescent="0.25">
      <c r="A130" t="s">
        <v>548</v>
      </c>
      <c r="B130" t="s">
        <v>429</v>
      </c>
      <c r="C130">
        <v>2</v>
      </c>
      <c r="D130">
        <v>20230505</v>
      </c>
      <c r="E130">
        <v>5</v>
      </c>
      <c r="F130">
        <v>411100</v>
      </c>
      <c r="G130" t="s">
        <v>18</v>
      </c>
      <c r="H130" t="s">
        <v>3001</v>
      </c>
      <c r="I130" t="s">
        <v>3002</v>
      </c>
      <c r="J130">
        <v>123040183</v>
      </c>
      <c r="K130">
        <v>20230505</v>
      </c>
      <c r="L130" t="s">
        <v>6193</v>
      </c>
      <c r="M130">
        <v>0</v>
      </c>
      <c r="N130">
        <v>24</v>
      </c>
      <c r="O130" t="s">
        <v>19</v>
      </c>
      <c r="P130" t="s">
        <v>20</v>
      </c>
      <c r="Q130">
        <v>20230505</v>
      </c>
    </row>
    <row r="131" spans="1:17" x14ac:dyDescent="0.25">
      <c r="A131" t="s">
        <v>548</v>
      </c>
      <c r="B131" t="s">
        <v>429</v>
      </c>
      <c r="C131">
        <v>2</v>
      </c>
      <c r="D131">
        <v>20230505</v>
      </c>
      <c r="E131">
        <v>5</v>
      </c>
      <c r="F131">
        <v>411100</v>
      </c>
      <c r="G131" t="s">
        <v>18</v>
      </c>
      <c r="H131" t="s">
        <v>85</v>
      </c>
      <c r="I131" t="s">
        <v>86</v>
      </c>
      <c r="J131">
        <v>123040172</v>
      </c>
      <c r="K131">
        <v>20230505</v>
      </c>
      <c r="L131" t="s">
        <v>6192</v>
      </c>
      <c r="M131">
        <v>0</v>
      </c>
      <c r="N131">
        <v>8</v>
      </c>
      <c r="O131" t="s">
        <v>19</v>
      </c>
      <c r="P131" t="s">
        <v>20</v>
      </c>
      <c r="Q131">
        <v>20230505</v>
      </c>
    </row>
    <row r="132" spans="1:17" x14ac:dyDescent="0.25">
      <c r="A132" t="s">
        <v>548</v>
      </c>
      <c r="B132" t="s">
        <v>429</v>
      </c>
      <c r="C132">
        <v>2</v>
      </c>
      <c r="D132">
        <v>20230505</v>
      </c>
      <c r="E132">
        <v>5</v>
      </c>
      <c r="F132">
        <v>411100</v>
      </c>
      <c r="G132" t="s">
        <v>18</v>
      </c>
      <c r="H132" t="s">
        <v>81</v>
      </c>
      <c r="I132" t="s">
        <v>82</v>
      </c>
      <c r="J132">
        <v>123040174</v>
      </c>
      <c r="K132">
        <v>20230505</v>
      </c>
      <c r="L132" t="s">
        <v>6191</v>
      </c>
      <c r="M132">
        <v>0</v>
      </c>
      <c r="N132">
        <v>8</v>
      </c>
      <c r="O132" t="s">
        <v>19</v>
      </c>
      <c r="P132" t="s">
        <v>20</v>
      </c>
      <c r="Q132">
        <v>20230505</v>
      </c>
    </row>
    <row r="133" spans="1:17" x14ac:dyDescent="0.25">
      <c r="A133" t="s">
        <v>548</v>
      </c>
      <c r="B133" t="s">
        <v>429</v>
      </c>
      <c r="C133">
        <v>2</v>
      </c>
      <c r="D133">
        <v>20230505</v>
      </c>
      <c r="E133">
        <v>5</v>
      </c>
      <c r="F133">
        <v>411100</v>
      </c>
      <c r="G133" t="s">
        <v>18</v>
      </c>
      <c r="H133" t="s">
        <v>800</v>
      </c>
      <c r="I133" t="s">
        <v>801</v>
      </c>
      <c r="J133">
        <v>123040190</v>
      </c>
      <c r="K133">
        <v>20230505</v>
      </c>
      <c r="L133" t="s">
        <v>6190</v>
      </c>
      <c r="M133">
        <v>0</v>
      </c>
      <c r="N133">
        <v>16</v>
      </c>
      <c r="O133" t="s">
        <v>19</v>
      </c>
      <c r="P133" t="s">
        <v>20</v>
      </c>
      <c r="Q133">
        <v>20230505</v>
      </c>
    </row>
    <row r="134" spans="1:17" x14ac:dyDescent="0.25">
      <c r="A134" t="s">
        <v>548</v>
      </c>
      <c r="B134" t="s">
        <v>429</v>
      </c>
      <c r="C134">
        <v>2</v>
      </c>
      <c r="D134">
        <v>20230505</v>
      </c>
      <c r="E134">
        <v>5</v>
      </c>
      <c r="F134">
        <v>411100</v>
      </c>
      <c r="G134" t="s">
        <v>18</v>
      </c>
      <c r="H134" t="s">
        <v>5279</v>
      </c>
      <c r="I134" t="s">
        <v>5280</v>
      </c>
      <c r="J134">
        <v>123040189</v>
      </c>
      <c r="K134">
        <v>20230505</v>
      </c>
      <c r="L134" t="s">
        <v>6189</v>
      </c>
      <c r="M134">
        <v>0</v>
      </c>
      <c r="N134">
        <v>8</v>
      </c>
      <c r="O134" t="s">
        <v>19</v>
      </c>
      <c r="P134" t="s">
        <v>20</v>
      </c>
      <c r="Q134">
        <v>20230505</v>
      </c>
    </row>
    <row r="135" spans="1:17" x14ac:dyDescent="0.25">
      <c r="A135" t="s">
        <v>548</v>
      </c>
      <c r="B135" t="s">
        <v>429</v>
      </c>
      <c r="C135">
        <v>2</v>
      </c>
      <c r="D135">
        <v>20230505</v>
      </c>
      <c r="E135">
        <v>5</v>
      </c>
      <c r="F135">
        <v>411100</v>
      </c>
      <c r="G135" t="s">
        <v>18</v>
      </c>
      <c r="H135" t="s">
        <v>259</v>
      </c>
      <c r="I135" t="s">
        <v>260</v>
      </c>
      <c r="J135">
        <v>123040173</v>
      </c>
      <c r="K135">
        <v>20230505</v>
      </c>
      <c r="L135" t="s">
        <v>6188</v>
      </c>
      <c r="M135">
        <v>0</v>
      </c>
      <c r="N135">
        <v>16</v>
      </c>
      <c r="O135" t="s">
        <v>19</v>
      </c>
      <c r="P135" t="s">
        <v>20</v>
      </c>
      <c r="Q135">
        <v>20230505</v>
      </c>
    </row>
    <row r="136" spans="1:17" x14ac:dyDescent="0.25">
      <c r="A136" t="s">
        <v>548</v>
      </c>
      <c r="B136" t="s">
        <v>429</v>
      </c>
      <c r="C136">
        <v>2</v>
      </c>
      <c r="D136">
        <v>20230505</v>
      </c>
      <c r="E136">
        <v>5</v>
      </c>
      <c r="F136">
        <v>411100</v>
      </c>
      <c r="G136" t="s">
        <v>18</v>
      </c>
      <c r="H136" t="s">
        <v>5192</v>
      </c>
      <c r="I136" t="s">
        <v>5193</v>
      </c>
      <c r="J136">
        <v>123040187</v>
      </c>
      <c r="K136">
        <v>20230505</v>
      </c>
      <c r="L136" t="s">
        <v>6187</v>
      </c>
      <c r="M136">
        <v>0</v>
      </c>
      <c r="N136">
        <v>8</v>
      </c>
      <c r="O136" t="s">
        <v>19</v>
      </c>
      <c r="P136" t="s">
        <v>20</v>
      </c>
      <c r="Q136">
        <v>20230505</v>
      </c>
    </row>
    <row r="137" spans="1:17" x14ac:dyDescent="0.25">
      <c r="A137" t="s">
        <v>548</v>
      </c>
      <c r="B137" t="s">
        <v>429</v>
      </c>
      <c r="C137">
        <v>2</v>
      </c>
      <c r="D137">
        <v>20230505</v>
      </c>
      <c r="E137">
        <v>5</v>
      </c>
      <c r="F137">
        <v>411100</v>
      </c>
      <c r="G137" t="s">
        <v>18</v>
      </c>
      <c r="H137" t="s">
        <v>5195</v>
      </c>
      <c r="I137" t="s">
        <v>5196</v>
      </c>
      <c r="J137">
        <v>123040185</v>
      </c>
      <c r="K137">
        <v>20230505</v>
      </c>
      <c r="L137" t="s">
        <v>6186</v>
      </c>
      <c r="M137">
        <v>0</v>
      </c>
      <c r="N137">
        <v>8</v>
      </c>
      <c r="O137" t="s">
        <v>19</v>
      </c>
      <c r="P137" t="s">
        <v>20</v>
      </c>
      <c r="Q137">
        <v>20230505</v>
      </c>
    </row>
    <row r="138" spans="1:17" x14ac:dyDescent="0.25">
      <c r="A138" t="s">
        <v>548</v>
      </c>
      <c r="B138" t="s">
        <v>429</v>
      </c>
      <c r="C138">
        <v>2</v>
      </c>
      <c r="D138">
        <v>20230505</v>
      </c>
      <c r="E138">
        <v>5</v>
      </c>
      <c r="F138">
        <v>411100</v>
      </c>
      <c r="G138" t="s">
        <v>18</v>
      </c>
      <c r="H138" t="s">
        <v>1037</v>
      </c>
      <c r="I138" t="s">
        <v>1038</v>
      </c>
      <c r="J138">
        <v>123040182</v>
      </c>
      <c r="K138">
        <v>20230505</v>
      </c>
      <c r="L138" t="s">
        <v>6185</v>
      </c>
      <c r="M138">
        <v>0</v>
      </c>
      <c r="N138">
        <v>13</v>
      </c>
      <c r="O138" t="s">
        <v>19</v>
      </c>
      <c r="P138" t="s">
        <v>20</v>
      </c>
      <c r="Q138">
        <v>20230505</v>
      </c>
    </row>
    <row r="139" spans="1:17" x14ac:dyDescent="0.25">
      <c r="A139" t="s">
        <v>548</v>
      </c>
      <c r="B139" t="s">
        <v>429</v>
      </c>
      <c r="C139">
        <v>2</v>
      </c>
      <c r="D139">
        <v>20230505</v>
      </c>
      <c r="E139">
        <v>5</v>
      </c>
      <c r="F139">
        <v>411100</v>
      </c>
      <c r="G139" t="s">
        <v>18</v>
      </c>
      <c r="H139" t="s">
        <v>39</v>
      </c>
      <c r="I139" t="s">
        <v>40</v>
      </c>
      <c r="J139">
        <v>123040191</v>
      </c>
      <c r="K139">
        <v>20230505</v>
      </c>
      <c r="L139" t="s">
        <v>6184</v>
      </c>
      <c r="M139">
        <v>0</v>
      </c>
      <c r="N139">
        <v>16</v>
      </c>
      <c r="O139" t="s">
        <v>19</v>
      </c>
      <c r="P139" t="s">
        <v>20</v>
      </c>
      <c r="Q139">
        <v>20230505</v>
      </c>
    </row>
    <row r="140" spans="1:17" x14ac:dyDescent="0.25">
      <c r="A140" t="s">
        <v>548</v>
      </c>
      <c r="B140" t="s">
        <v>429</v>
      </c>
      <c r="C140">
        <v>2</v>
      </c>
      <c r="D140">
        <v>20230505</v>
      </c>
      <c r="E140">
        <v>5</v>
      </c>
      <c r="F140">
        <v>411100</v>
      </c>
      <c r="G140" t="s">
        <v>18</v>
      </c>
      <c r="H140" t="s">
        <v>5195</v>
      </c>
      <c r="I140" t="s">
        <v>5196</v>
      </c>
      <c r="J140">
        <v>123040185</v>
      </c>
      <c r="K140">
        <v>20230505</v>
      </c>
      <c r="L140" t="s">
        <v>6183</v>
      </c>
      <c r="M140">
        <v>0</v>
      </c>
      <c r="N140">
        <v>5</v>
      </c>
      <c r="O140" t="s">
        <v>19</v>
      </c>
      <c r="P140" t="s">
        <v>20</v>
      </c>
      <c r="Q140">
        <v>20230505</v>
      </c>
    </row>
    <row r="141" spans="1:17" x14ac:dyDescent="0.25">
      <c r="A141" t="s">
        <v>548</v>
      </c>
      <c r="B141" t="s">
        <v>429</v>
      </c>
      <c r="C141">
        <v>2</v>
      </c>
      <c r="D141">
        <v>20230505</v>
      </c>
      <c r="E141">
        <v>5</v>
      </c>
      <c r="F141">
        <v>411000</v>
      </c>
      <c r="G141" t="s">
        <v>21</v>
      </c>
      <c r="H141" t="s">
        <v>271</v>
      </c>
      <c r="I141" t="s">
        <v>272</v>
      </c>
      <c r="J141">
        <v>123040109</v>
      </c>
      <c r="K141">
        <v>20230505</v>
      </c>
      <c r="L141" t="s">
        <v>6182</v>
      </c>
      <c r="M141">
        <v>0</v>
      </c>
      <c r="N141">
        <v>10.5</v>
      </c>
      <c r="O141" t="s">
        <v>19</v>
      </c>
      <c r="P141" t="s">
        <v>20</v>
      </c>
      <c r="Q141">
        <v>20230505</v>
      </c>
    </row>
    <row r="142" spans="1:17" x14ac:dyDescent="0.25">
      <c r="A142" t="s">
        <v>548</v>
      </c>
      <c r="B142" t="s">
        <v>429</v>
      </c>
      <c r="C142">
        <v>2</v>
      </c>
      <c r="D142">
        <v>20230505</v>
      </c>
      <c r="E142">
        <v>5</v>
      </c>
      <c r="F142">
        <v>531105</v>
      </c>
      <c r="G142" t="s">
        <v>429</v>
      </c>
      <c r="H142" t="s">
        <v>401</v>
      </c>
      <c r="I142" t="s">
        <v>402</v>
      </c>
      <c r="J142">
        <v>371176</v>
      </c>
      <c r="K142">
        <v>20230505</v>
      </c>
      <c r="L142" t="s">
        <v>565</v>
      </c>
      <c r="M142">
        <v>342.2</v>
      </c>
      <c r="N142">
        <v>0</v>
      </c>
      <c r="O142" t="s">
        <v>19</v>
      </c>
      <c r="P142" t="s">
        <v>20</v>
      </c>
      <c r="Q142">
        <v>20230505</v>
      </c>
    </row>
    <row r="143" spans="1:17" x14ac:dyDescent="0.25">
      <c r="A143" t="s">
        <v>548</v>
      </c>
      <c r="B143" t="s">
        <v>429</v>
      </c>
      <c r="C143">
        <v>2</v>
      </c>
      <c r="D143">
        <v>20230509</v>
      </c>
      <c r="E143">
        <v>5</v>
      </c>
      <c r="F143">
        <v>411100</v>
      </c>
      <c r="G143" t="s">
        <v>18</v>
      </c>
      <c r="H143" t="s">
        <v>592</v>
      </c>
      <c r="I143" t="s">
        <v>593</v>
      </c>
      <c r="J143">
        <v>123020026</v>
      </c>
      <c r="K143">
        <v>20230509</v>
      </c>
      <c r="L143" t="s">
        <v>6181</v>
      </c>
      <c r="M143">
        <v>0</v>
      </c>
      <c r="N143">
        <v>50</v>
      </c>
      <c r="O143" t="s">
        <v>19</v>
      </c>
      <c r="P143" t="s">
        <v>20</v>
      </c>
      <c r="Q143">
        <v>20230509</v>
      </c>
    </row>
    <row r="144" spans="1:17" x14ac:dyDescent="0.25">
      <c r="A144" t="s">
        <v>548</v>
      </c>
      <c r="B144" t="s">
        <v>429</v>
      </c>
      <c r="C144">
        <v>2</v>
      </c>
      <c r="D144">
        <v>20230509</v>
      </c>
      <c r="E144">
        <v>5</v>
      </c>
      <c r="F144">
        <v>411100</v>
      </c>
      <c r="G144" t="s">
        <v>18</v>
      </c>
      <c r="H144" t="s">
        <v>6180</v>
      </c>
      <c r="I144" t="s">
        <v>6179</v>
      </c>
      <c r="J144">
        <v>371178</v>
      </c>
      <c r="K144">
        <v>20230509</v>
      </c>
      <c r="L144" t="s">
        <v>6178</v>
      </c>
      <c r="M144">
        <v>0</v>
      </c>
      <c r="N144">
        <v>13</v>
      </c>
      <c r="O144" t="s">
        <v>19</v>
      </c>
      <c r="P144" t="s">
        <v>20</v>
      </c>
      <c r="Q144">
        <v>20230509</v>
      </c>
    </row>
    <row r="145" spans="1:17" x14ac:dyDescent="0.25">
      <c r="A145" t="s">
        <v>548</v>
      </c>
      <c r="B145" t="s">
        <v>429</v>
      </c>
      <c r="C145">
        <v>2</v>
      </c>
      <c r="D145">
        <v>20230509</v>
      </c>
      <c r="E145">
        <v>5</v>
      </c>
      <c r="F145">
        <v>411100</v>
      </c>
      <c r="G145" t="s">
        <v>18</v>
      </c>
      <c r="H145" t="s">
        <v>5103</v>
      </c>
      <c r="I145" t="s">
        <v>5104</v>
      </c>
      <c r="J145">
        <v>371179</v>
      </c>
      <c r="K145">
        <v>20230509</v>
      </c>
      <c r="L145" t="s">
        <v>6177</v>
      </c>
      <c r="M145">
        <v>0</v>
      </c>
      <c r="N145">
        <v>35.5</v>
      </c>
      <c r="O145" t="s">
        <v>19</v>
      </c>
      <c r="P145" t="s">
        <v>20</v>
      </c>
      <c r="Q145">
        <v>20230509</v>
      </c>
    </row>
    <row r="146" spans="1:17" x14ac:dyDescent="0.25">
      <c r="A146" t="s">
        <v>548</v>
      </c>
      <c r="B146" t="s">
        <v>429</v>
      </c>
      <c r="C146">
        <v>2</v>
      </c>
      <c r="D146">
        <v>20230509</v>
      </c>
      <c r="E146">
        <v>5</v>
      </c>
      <c r="F146">
        <v>531105</v>
      </c>
      <c r="G146" t="s">
        <v>429</v>
      </c>
      <c r="H146" t="s">
        <v>401</v>
      </c>
      <c r="I146" t="s">
        <v>402</v>
      </c>
      <c r="J146">
        <v>371180</v>
      </c>
      <c r="K146">
        <v>20230509</v>
      </c>
      <c r="L146" t="s">
        <v>565</v>
      </c>
      <c r="M146">
        <v>98.5</v>
      </c>
      <c r="N146">
        <v>0</v>
      </c>
      <c r="O146" t="s">
        <v>19</v>
      </c>
      <c r="P146" t="s">
        <v>20</v>
      </c>
      <c r="Q146">
        <v>20230509</v>
      </c>
    </row>
    <row r="147" spans="1:17" x14ac:dyDescent="0.25">
      <c r="A147" t="s">
        <v>548</v>
      </c>
      <c r="B147" t="s">
        <v>429</v>
      </c>
      <c r="C147">
        <v>2</v>
      </c>
      <c r="D147">
        <v>20230505</v>
      </c>
      <c r="E147">
        <v>5</v>
      </c>
      <c r="F147">
        <v>411010</v>
      </c>
      <c r="G147" t="s">
        <v>87</v>
      </c>
      <c r="H147" t="s">
        <v>4749</v>
      </c>
      <c r="I147" t="s">
        <v>5810</v>
      </c>
      <c r="J147">
        <v>223020032</v>
      </c>
      <c r="K147">
        <v>20230505</v>
      </c>
      <c r="L147" t="s">
        <v>6176</v>
      </c>
      <c r="M147">
        <v>0</v>
      </c>
      <c r="N147">
        <v>200</v>
      </c>
      <c r="O147" t="s">
        <v>19</v>
      </c>
      <c r="P147" t="s">
        <v>20</v>
      </c>
      <c r="Q147">
        <v>20230505</v>
      </c>
    </row>
    <row r="148" spans="1:17" x14ac:dyDescent="0.25">
      <c r="A148" t="s">
        <v>548</v>
      </c>
      <c r="B148" t="s">
        <v>429</v>
      </c>
      <c r="C148">
        <v>2</v>
      </c>
      <c r="D148">
        <v>20230505</v>
      </c>
      <c r="E148">
        <v>5</v>
      </c>
      <c r="F148">
        <v>411010</v>
      </c>
      <c r="G148" t="s">
        <v>87</v>
      </c>
      <c r="H148" t="s">
        <v>5498</v>
      </c>
      <c r="I148" t="s">
        <v>5874</v>
      </c>
      <c r="J148">
        <v>223030034</v>
      </c>
      <c r="K148">
        <v>20230505</v>
      </c>
      <c r="L148" t="s">
        <v>6175</v>
      </c>
      <c r="M148">
        <v>0</v>
      </c>
      <c r="N148">
        <v>188.22</v>
      </c>
      <c r="O148" t="s">
        <v>19</v>
      </c>
      <c r="P148" t="s">
        <v>20</v>
      </c>
      <c r="Q148">
        <v>20230505</v>
      </c>
    </row>
    <row r="149" spans="1:17" x14ac:dyDescent="0.25">
      <c r="A149" t="s">
        <v>548</v>
      </c>
      <c r="B149" t="s">
        <v>429</v>
      </c>
      <c r="C149">
        <v>2</v>
      </c>
      <c r="D149">
        <v>20230505</v>
      </c>
      <c r="E149">
        <v>5</v>
      </c>
      <c r="F149">
        <v>531105</v>
      </c>
      <c r="G149" t="s">
        <v>429</v>
      </c>
      <c r="H149" t="s">
        <v>401</v>
      </c>
      <c r="I149" t="s">
        <v>402</v>
      </c>
      <c r="J149">
        <v>371208</v>
      </c>
      <c r="K149">
        <v>20230505</v>
      </c>
      <c r="L149" t="s">
        <v>565</v>
      </c>
      <c r="M149">
        <v>388.22</v>
      </c>
      <c r="N149">
        <v>0</v>
      </c>
      <c r="O149" t="s">
        <v>19</v>
      </c>
      <c r="P149" t="s">
        <v>20</v>
      </c>
      <c r="Q149">
        <v>20230505</v>
      </c>
    </row>
    <row r="150" spans="1:17" x14ac:dyDescent="0.25">
      <c r="A150" t="s">
        <v>548</v>
      </c>
      <c r="B150" t="s">
        <v>429</v>
      </c>
      <c r="C150">
        <v>2</v>
      </c>
      <c r="D150">
        <v>20230509</v>
      </c>
      <c r="E150">
        <v>5</v>
      </c>
      <c r="F150">
        <v>411010</v>
      </c>
      <c r="G150" t="s">
        <v>87</v>
      </c>
      <c r="H150" t="s">
        <v>381</v>
      </c>
      <c r="I150" t="s">
        <v>382</v>
      </c>
      <c r="J150">
        <v>371209</v>
      </c>
      <c r="K150">
        <v>20230509</v>
      </c>
      <c r="L150" t="s">
        <v>6174</v>
      </c>
      <c r="M150">
        <v>0</v>
      </c>
      <c r="N150">
        <v>540</v>
      </c>
      <c r="O150" t="s">
        <v>19</v>
      </c>
      <c r="P150" t="s">
        <v>20</v>
      </c>
      <c r="Q150">
        <v>20230509</v>
      </c>
    </row>
    <row r="151" spans="1:17" x14ac:dyDescent="0.25">
      <c r="A151" t="s">
        <v>548</v>
      </c>
      <c r="B151" t="s">
        <v>429</v>
      </c>
      <c r="C151">
        <v>2</v>
      </c>
      <c r="D151">
        <v>20230509</v>
      </c>
      <c r="E151">
        <v>5</v>
      </c>
      <c r="F151">
        <v>531105</v>
      </c>
      <c r="G151" t="s">
        <v>429</v>
      </c>
      <c r="H151" t="s">
        <v>401</v>
      </c>
      <c r="I151" t="s">
        <v>402</v>
      </c>
      <c r="J151">
        <v>371210</v>
      </c>
      <c r="K151">
        <v>20230509</v>
      </c>
      <c r="L151" t="s">
        <v>565</v>
      </c>
      <c r="M151">
        <v>540</v>
      </c>
      <c r="N151">
        <v>0</v>
      </c>
      <c r="O151" t="s">
        <v>19</v>
      </c>
      <c r="P151" t="s">
        <v>20</v>
      </c>
      <c r="Q151">
        <v>20230509</v>
      </c>
    </row>
    <row r="152" spans="1:17" x14ac:dyDescent="0.25">
      <c r="A152" t="s">
        <v>548</v>
      </c>
      <c r="B152" t="s">
        <v>429</v>
      </c>
      <c r="C152">
        <v>2</v>
      </c>
      <c r="D152">
        <v>20230510</v>
      </c>
      <c r="E152">
        <v>5</v>
      </c>
      <c r="F152">
        <v>411020</v>
      </c>
      <c r="G152" t="s">
        <v>30</v>
      </c>
      <c r="H152" t="s">
        <v>3631</v>
      </c>
      <c r="I152" t="s">
        <v>3632</v>
      </c>
      <c r="J152">
        <v>323030002</v>
      </c>
      <c r="K152">
        <v>20230510</v>
      </c>
      <c r="L152" t="s">
        <v>6173</v>
      </c>
      <c r="M152">
        <v>0</v>
      </c>
      <c r="N152">
        <v>193.43</v>
      </c>
      <c r="O152" t="s">
        <v>19</v>
      </c>
      <c r="P152" t="s">
        <v>20</v>
      </c>
      <c r="Q152">
        <v>20230510</v>
      </c>
    </row>
    <row r="153" spans="1:17" x14ac:dyDescent="0.25">
      <c r="A153" t="s">
        <v>548</v>
      </c>
      <c r="B153" t="s">
        <v>429</v>
      </c>
      <c r="C153">
        <v>2</v>
      </c>
      <c r="D153">
        <v>20230510</v>
      </c>
      <c r="E153">
        <v>5</v>
      </c>
      <c r="F153">
        <v>411020</v>
      </c>
      <c r="G153" t="s">
        <v>30</v>
      </c>
      <c r="H153" t="s">
        <v>3631</v>
      </c>
      <c r="I153" t="s">
        <v>3632</v>
      </c>
      <c r="J153">
        <v>323030002</v>
      </c>
      <c r="K153">
        <v>20230510</v>
      </c>
      <c r="L153" t="s">
        <v>6172</v>
      </c>
      <c r="M153">
        <v>0</v>
      </c>
      <c r="N153">
        <v>6.57</v>
      </c>
      <c r="O153" t="s">
        <v>19</v>
      </c>
      <c r="P153" t="s">
        <v>20</v>
      </c>
      <c r="Q153">
        <v>20230510</v>
      </c>
    </row>
    <row r="154" spans="1:17" x14ac:dyDescent="0.25">
      <c r="A154" t="s">
        <v>548</v>
      </c>
      <c r="B154" t="s">
        <v>429</v>
      </c>
      <c r="C154">
        <v>2</v>
      </c>
      <c r="D154">
        <v>20230510</v>
      </c>
      <c r="E154">
        <v>5</v>
      </c>
      <c r="F154">
        <v>411020</v>
      </c>
      <c r="G154" t="s">
        <v>30</v>
      </c>
      <c r="H154" t="s">
        <v>4147</v>
      </c>
      <c r="I154" t="s">
        <v>4148</v>
      </c>
      <c r="J154">
        <v>323040016</v>
      </c>
      <c r="K154">
        <v>20230510</v>
      </c>
      <c r="L154" t="s">
        <v>6171</v>
      </c>
      <c r="M154">
        <v>0</v>
      </c>
      <c r="N154">
        <v>42.61</v>
      </c>
      <c r="O154" t="s">
        <v>19</v>
      </c>
      <c r="P154" t="s">
        <v>20</v>
      </c>
      <c r="Q154">
        <v>20230510</v>
      </c>
    </row>
    <row r="155" spans="1:17" x14ac:dyDescent="0.25">
      <c r="A155" t="s">
        <v>548</v>
      </c>
      <c r="B155" t="s">
        <v>429</v>
      </c>
      <c r="C155">
        <v>2</v>
      </c>
      <c r="D155">
        <v>20230510</v>
      </c>
      <c r="E155">
        <v>5</v>
      </c>
      <c r="F155">
        <v>411020</v>
      </c>
      <c r="G155" t="s">
        <v>30</v>
      </c>
      <c r="H155" t="s">
        <v>332</v>
      </c>
      <c r="I155" t="s">
        <v>333</v>
      </c>
      <c r="J155">
        <v>323030006</v>
      </c>
      <c r="K155">
        <v>20230510</v>
      </c>
      <c r="L155" t="s">
        <v>6170</v>
      </c>
      <c r="M155">
        <v>0</v>
      </c>
      <c r="N155">
        <v>94.87</v>
      </c>
      <c r="O155" t="s">
        <v>19</v>
      </c>
      <c r="P155" t="s">
        <v>20</v>
      </c>
      <c r="Q155">
        <v>20230510</v>
      </c>
    </row>
    <row r="156" spans="1:17" x14ac:dyDescent="0.25">
      <c r="A156" t="s">
        <v>548</v>
      </c>
      <c r="B156" t="s">
        <v>429</v>
      </c>
      <c r="C156">
        <v>2</v>
      </c>
      <c r="D156">
        <v>20230510</v>
      </c>
      <c r="E156">
        <v>5</v>
      </c>
      <c r="F156">
        <v>531105</v>
      </c>
      <c r="G156" t="s">
        <v>429</v>
      </c>
      <c r="H156" t="s">
        <v>401</v>
      </c>
      <c r="I156" t="s">
        <v>402</v>
      </c>
      <c r="J156">
        <v>371227</v>
      </c>
      <c r="K156">
        <v>20230510</v>
      </c>
      <c r="L156" t="s">
        <v>565</v>
      </c>
      <c r="M156">
        <v>337.48</v>
      </c>
      <c r="N156">
        <v>0</v>
      </c>
      <c r="O156" t="s">
        <v>19</v>
      </c>
      <c r="P156" t="s">
        <v>20</v>
      </c>
      <c r="Q156">
        <v>20230510</v>
      </c>
    </row>
    <row r="157" spans="1:17" x14ac:dyDescent="0.25">
      <c r="A157" t="s">
        <v>548</v>
      </c>
      <c r="B157" t="s">
        <v>429</v>
      </c>
      <c r="C157">
        <v>2</v>
      </c>
      <c r="D157">
        <v>20230511</v>
      </c>
      <c r="E157">
        <v>5</v>
      </c>
      <c r="F157">
        <v>411020</v>
      </c>
      <c r="G157" t="s">
        <v>30</v>
      </c>
      <c r="H157" t="s">
        <v>338</v>
      </c>
      <c r="I157" t="s">
        <v>339</v>
      </c>
      <c r="J157">
        <v>323040023</v>
      </c>
      <c r="K157">
        <v>20230511</v>
      </c>
      <c r="L157" t="s">
        <v>6169</v>
      </c>
      <c r="M157">
        <v>0</v>
      </c>
      <c r="N157">
        <v>45.47</v>
      </c>
      <c r="O157" t="s">
        <v>19</v>
      </c>
      <c r="P157" t="s">
        <v>20</v>
      </c>
      <c r="Q157">
        <v>20230511</v>
      </c>
    </row>
    <row r="158" spans="1:17" x14ac:dyDescent="0.25">
      <c r="A158" t="s">
        <v>548</v>
      </c>
      <c r="B158" t="s">
        <v>429</v>
      </c>
      <c r="C158">
        <v>2</v>
      </c>
      <c r="D158">
        <v>20230511</v>
      </c>
      <c r="E158">
        <v>5</v>
      </c>
      <c r="F158">
        <v>531105</v>
      </c>
      <c r="G158" t="s">
        <v>429</v>
      </c>
      <c r="H158" t="s">
        <v>401</v>
      </c>
      <c r="I158" t="s">
        <v>402</v>
      </c>
      <c r="J158">
        <v>371229</v>
      </c>
      <c r="K158">
        <v>20230511</v>
      </c>
      <c r="L158" t="s">
        <v>565</v>
      </c>
      <c r="M158">
        <v>45.47</v>
      </c>
      <c r="N158">
        <v>0</v>
      </c>
      <c r="O158" t="s">
        <v>19</v>
      </c>
      <c r="P158" t="s">
        <v>20</v>
      </c>
      <c r="Q158">
        <v>20230511</v>
      </c>
    </row>
    <row r="159" spans="1:17" x14ac:dyDescent="0.25">
      <c r="A159" t="s">
        <v>548</v>
      </c>
      <c r="B159" t="s">
        <v>429</v>
      </c>
      <c r="C159">
        <v>2</v>
      </c>
      <c r="D159">
        <v>20230515</v>
      </c>
      <c r="E159">
        <v>5</v>
      </c>
      <c r="F159">
        <v>411100</v>
      </c>
      <c r="G159" t="s">
        <v>18</v>
      </c>
      <c r="H159" t="s">
        <v>3536</v>
      </c>
      <c r="I159" t="s">
        <v>3537</v>
      </c>
      <c r="J159">
        <v>371285</v>
      </c>
      <c r="K159">
        <v>20230515</v>
      </c>
      <c r="L159" t="s">
        <v>6168</v>
      </c>
      <c r="M159">
        <v>0</v>
      </c>
      <c r="N159">
        <v>48</v>
      </c>
      <c r="O159" t="s">
        <v>19</v>
      </c>
      <c r="P159" t="s">
        <v>20</v>
      </c>
      <c r="Q159">
        <v>20230515</v>
      </c>
    </row>
    <row r="160" spans="1:17" x14ac:dyDescent="0.25">
      <c r="A160" t="s">
        <v>548</v>
      </c>
      <c r="B160" t="s">
        <v>429</v>
      </c>
      <c r="C160">
        <v>2</v>
      </c>
      <c r="D160">
        <v>20230515</v>
      </c>
      <c r="E160">
        <v>5</v>
      </c>
      <c r="F160">
        <v>411100</v>
      </c>
      <c r="G160" t="s">
        <v>18</v>
      </c>
      <c r="H160" t="s">
        <v>638</v>
      </c>
      <c r="I160" t="s">
        <v>639</v>
      </c>
      <c r="J160">
        <v>371286</v>
      </c>
      <c r="K160">
        <v>20230515</v>
      </c>
      <c r="L160" t="s">
        <v>6167</v>
      </c>
      <c r="M160">
        <v>0</v>
      </c>
      <c r="N160">
        <v>85.2</v>
      </c>
      <c r="O160" t="s">
        <v>19</v>
      </c>
      <c r="P160" t="s">
        <v>20</v>
      </c>
      <c r="Q160">
        <v>20230515</v>
      </c>
    </row>
    <row r="161" spans="1:17" x14ac:dyDescent="0.25">
      <c r="A161" t="s">
        <v>548</v>
      </c>
      <c r="B161" t="s">
        <v>429</v>
      </c>
      <c r="C161">
        <v>2</v>
      </c>
      <c r="D161">
        <v>20230515</v>
      </c>
      <c r="E161">
        <v>5</v>
      </c>
      <c r="F161">
        <v>531105</v>
      </c>
      <c r="G161" t="s">
        <v>429</v>
      </c>
      <c r="H161" t="s">
        <v>401</v>
      </c>
      <c r="I161" t="s">
        <v>402</v>
      </c>
      <c r="J161">
        <v>371287</v>
      </c>
      <c r="K161">
        <v>20230515</v>
      </c>
      <c r="L161" t="s">
        <v>565</v>
      </c>
      <c r="M161">
        <v>133.19999999999999</v>
      </c>
      <c r="N161">
        <v>0</v>
      </c>
      <c r="O161" t="s">
        <v>19</v>
      </c>
      <c r="P161" t="s">
        <v>20</v>
      </c>
      <c r="Q161">
        <v>20230515</v>
      </c>
    </row>
    <row r="162" spans="1:17" x14ac:dyDescent="0.25">
      <c r="A162" t="s">
        <v>548</v>
      </c>
      <c r="B162" t="s">
        <v>429</v>
      </c>
      <c r="C162">
        <v>2</v>
      </c>
      <c r="D162">
        <v>20230517</v>
      </c>
      <c r="E162">
        <v>5</v>
      </c>
      <c r="F162">
        <v>411100</v>
      </c>
      <c r="G162" t="s">
        <v>18</v>
      </c>
      <c r="H162" t="s">
        <v>352</v>
      </c>
      <c r="I162" t="s">
        <v>353</v>
      </c>
      <c r="J162">
        <v>123050004</v>
      </c>
      <c r="K162">
        <v>20230517</v>
      </c>
      <c r="L162" t="s">
        <v>6166</v>
      </c>
      <c r="M162">
        <v>0</v>
      </c>
      <c r="N162">
        <v>38.4</v>
      </c>
      <c r="O162" t="s">
        <v>19</v>
      </c>
      <c r="P162" t="s">
        <v>20</v>
      </c>
      <c r="Q162">
        <v>20230517</v>
      </c>
    </row>
    <row r="163" spans="1:17" x14ac:dyDescent="0.25">
      <c r="A163" t="s">
        <v>548</v>
      </c>
      <c r="B163" t="s">
        <v>429</v>
      </c>
      <c r="C163">
        <v>2</v>
      </c>
      <c r="D163">
        <v>20230517</v>
      </c>
      <c r="E163">
        <v>5</v>
      </c>
      <c r="F163">
        <v>531105</v>
      </c>
      <c r="G163" t="s">
        <v>429</v>
      </c>
      <c r="H163" t="s">
        <v>401</v>
      </c>
      <c r="I163" t="s">
        <v>402</v>
      </c>
      <c r="J163">
        <v>371289</v>
      </c>
      <c r="K163">
        <v>20230517</v>
      </c>
      <c r="L163" t="s">
        <v>565</v>
      </c>
      <c r="M163">
        <v>38.4</v>
      </c>
      <c r="N163">
        <v>0</v>
      </c>
      <c r="O163" t="s">
        <v>19</v>
      </c>
      <c r="P163" t="s">
        <v>20</v>
      </c>
      <c r="Q163">
        <v>20230517</v>
      </c>
    </row>
    <row r="164" spans="1:17" x14ac:dyDescent="0.25">
      <c r="A164" t="s">
        <v>548</v>
      </c>
      <c r="B164" t="s">
        <v>429</v>
      </c>
      <c r="C164">
        <v>2</v>
      </c>
      <c r="D164">
        <v>20230522</v>
      </c>
      <c r="E164">
        <v>5</v>
      </c>
      <c r="F164">
        <v>411100</v>
      </c>
      <c r="G164" t="s">
        <v>18</v>
      </c>
      <c r="H164" t="s">
        <v>237</v>
      </c>
      <c r="I164" t="s">
        <v>238</v>
      </c>
      <c r="J164">
        <v>123040026</v>
      </c>
      <c r="K164">
        <v>20230522</v>
      </c>
      <c r="L164" t="s">
        <v>6165</v>
      </c>
      <c r="M164">
        <v>0</v>
      </c>
      <c r="N164">
        <v>48.48</v>
      </c>
      <c r="O164" t="s">
        <v>19</v>
      </c>
      <c r="P164" t="s">
        <v>20</v>
      </c>
      <c r="Q164">
        <v>20230522</v>
      </c>
    </row>
    <row r="165" spans="1:17" x14ac:dyDescent="0.25">
      <c r="A165" t="s">
        <v>548</v>
      </c>
      <c r="B165" t="s">
        <v>429</v>
      </c>
      <c r="C165">
        <v>2</v>
      </c>
      <c r="D165">
        <v>20230522</v>
      </c>
      <c r="E165">
        <v>5</v>
      </c>
      <c r="F165">
        <v>411100</v>
      </c>
      <c r="G165" t="s">
        <v>18</v>
      </c>
      <c r="H165" t="s">
        <v>237</v>
      </c>
      <c r="I165" t="s">
        <v>238</v>
      </c>
      <c r="J165">
        <v>123040026</v>
      </c>
      <c r="K165">
        <v>20230522</v>
      </c>
      <c r="L165" t="s">
        <v>6164</v>
      </c>
      <c r="M165">
        <v>0.4</v>
      </c>
      <c r="N165">
        <v>0</v>
      </c>
      <c r="O165" t="s">
        <v>19</v>
      </c>
      <c r="P165" t="s">
        <v>20</v>
      </c>
      <c r="Q165">
        <v>20230522</v>
      </c>
    </row>
    <row r="166" spans="1:17" x14ac:dyDescent="0.25">
      <c r="A166" t="s">
        <v>548</v>
      </c>
      <c r="B166" t="s">
        <v>429</v>
      </c>
      <c r="C166">
        <v>2</v>
      </c>
      <c r="D166">
        <v>20230522</v>
      </c>
      <c r="E166">
        <v>5</v>
      </c>
      <c r="F166">
        <v>531105</v>
      </c>
      <c r="G166" t="s">
        <v>429</v>
      </c>
      <c r="H166" t="s">
        <v>401</v>
      </c>
      <c r="I166" t="s">
        <v>402</v>
      </c>
      <c r="J166">
        <v>371292</v>
      </c>
      <c r="K166">
        <v>20230522</v>
      </c>
      <c r="L166" t="s">
        <v>565</v>
      </c>
      <c r="M166">
        <v>48.08</v>
      </c>
      <c r="N166">
        <v>0</v>
      </c>
      <c r="O166" t="s">
        <v>19</v>
      </c>
      <c r="P166" t="s">
        <v>20</v>
      </c>
      <c r="Q166">
        <v>20230522</v>
      </c>
    </row>
    <row r="167" spans="1:17" x14ac:dyDescent="0.25">
      <c r="A167" t="s">
        <v>548</v>
      </c>
      <c r="B167" t="s">
        <v>429</v>
      </c>
      <c r="C167">
        <v>2</v>
      </c>
      <c r="D167">
        <v>20230512</v>
      </c>
      <c r="E167">
        <v>5</v>
      </c>
      <c r="F167">
        <v>411100</v>
      </c>
      <c r="G167" t="s">
        <v>18</v>
      </c>
      <c r="H167" t="s">
        <v>107</v>
      </c>
      <c r="I167" t="s">
        <v>108</v>
      </c>
      <c r="J167">
        <v>371306</v>
      </c>
      <c r="K167">
        <v>20230512</v>
      </c>
      <c r="L167" t="s">
        <v>6163</v>
      </c>
      <c r="M167">
        <v>0</v>
      </c>
      <c r="N167">
        <v>42.35</v>
      </c>
      <c r="O167" t="s">
        <v>19</v>
      </c>
      <c r="P167" t="s">
        <v>20</v>
      </c>
      <c r="Q167">
        <v>20230512</v>
      </c>
    </row>
    <row r="168" spans="1:17" x14ac:dyDescent="0.25">
      <c r="A168" t="s">
        <v>548</v>
      </c>
      <c r="B168" t="s">
        <v>429</v>
      </c>
      <c r="C168">
        <v>2</v>
      </c>
      <c r="D168">
        <v>20230512</v>
      </c>
      <c r="E168">
        <v>5</v>
      </c>
      <c r="F168">
        <v>411100</v>
      </c>
      <c r="G168" t="s">
        <v>18</v>
      </c>
      <c r="H168" t="s">
        <v>734</v>
      </c>
      <c r="I168" t="s">
        <v>5873</v>
      </c>
      <c r="J168">
        <v>371307</v>
      </c>
      <c r="K168">
        <v>20230512</v>
      </c>
      <c r="L168" t="s">
        <v>6162</v>
      </c>
      <c r="M168">
        <v>0</v>
      </c>
      <c r="N168">
        <v>109.5</v>
      </c>
      <c r="O168" t="s">
        <v>19</v>
      </c>
      <c r="P168" t="s">
        <v>20</v>
      </c>
      <c r="Q168">
        <v>20230512</v>
      </c>
    </row>
    <row r="169" spans="1:17" x14ac:dyDescent="0.25">
      <c r="A169" t="s">
        <v>548</v>
      </c>
      <c r="B169" t="s">
        <v>429</v>
      </c>
      <c r="C169">
        <v>2</v>
      </c>
      <c r="D169">
        <v>20230512</v>
      </c>
      <c r="E169">
        <v>5</v>
      </c>
      <c r="F169">
        <v>531105</v>
      </c>
      <c r="G169" t="s">
        <v>429</v>
      </c>
      <c r="H169" t="s">
        <v>401</v>
      </c>
      <c r="I169" t="s">
        <v>402</v>
      </c>
      <c r="J169">
        <v>371308</v>
      </c>
      <c r="K169">
        <v>20230512</v>
      </c>
      <c r="L169" t="s">
        <v>565</v>
      </c>
      <c r="M169">
        <v>151.85</v>
      </c>
      <c r="N169">
        <v>0</v>
      </c>
      <c r="O169" t="s">
        <v>19</v>
      </c>
      <c r="P169" t="s">
        <v>20</v>
      </c>
      <c r="Q169">
        <v>20230512</v>
      </c>
    </row>
    <row r="170" spans="1:17" x14ac:dyDescent="0.25">
      <c r="A170" t="s">
        <v>548</v>
      </c>
      <c r="B170" t="s">
        <v>429</v>
      </c>
      <c r="C170">
        <v>2</v>
      </c>
      <c r="D170">
        <v>20230517</v>
      </c>
      <c r="E170">
        <v>5</v>
      </c>
      <c r="F170">
        <v>411100</v>
      </c>
      <c r="G170" t="s">
        <v>18</v>
      </c>
      <c r="H170" t="s">
        <v>4465</v>
      </c>
      <c r="I170" t="s">
        <v>4466</v>
      </c>
      <c r="J170">
        <v>223030010</v>
      </c>
      <c r="K170">
        <v>20230517</v>
      </c>
      <c r="L170" t="s">
        <v>6161</v>
      </c>
      <c r="M170">
        <v>0</v>
      </c>
      <c r="N170">
        <v>78.56</v>
      </c>
      <c r="O170" t="s">
        <v>19</v>
      </c>
      <c r="P170" t="s">
        <v>20</v>
      </c>
      <c r="Q170">
        <v>20230517</v>
      </c>
    </row>
    <row r="171" spans="1:17" x14ac:dyDescent="0.25">
      <c r="A171" t="s">
        <v>548</v>
      </c>
      <c r="B171" t="s">
        <v>429</v>
      </c>
      <c r="C171">
        <v>2</v>
      </c>
      <c r="D171">
        <v>20230517</v>
      </c>
      <c r="E171">
        <v>5</v>
      </c>
      <c r="F171">
        <v>531105</v>
      </c>
      <c r="G171" t="s">
        <v>429</v>
      </c>
      <c r="H171" t="s">
        <v>401</v>
      </c>
      <c r="I171" t="s">
        <v>402</v>
      </c>
      <c r="J171">
        <v>371310</v>
      </c>
      <c r="K171">
        <v>20230517</v>
      </c>
      <c r="L171" t="s">
        <v>565</v>
      </c>
      <c r="M171">
        <v>78.56</v>
      </c>
      <c r="N171">
        <v>0</v>
      </c>
      <c r="O171" t="s">
        <v>19</v>
      </c>
      <c r="P171" t="s">
        <v>20</v>
      </c>
      <c r="Q171">
        <v>20230517</v>
      </c>
    </row>
    <row r="172" spans="1:17" x14ac:dyDescent="0.25">
      <c r="A172" t="s">
        <v>548</v>
      </c>
      <c r="B172" t="s">
        <v>429</v>
      </c>
      <c r="C172">
        <v>2</v>
      </c>
      <c r="D172">
        <v>20230517</v>
      </c>
      <c r="E172">
        <v>5</v>
      </c>
      <c r="F172">
        <v>411020</v>
      </c>
      <c r="G172" t="s">
        <v>30</v>
      </c>
      <c r="H172" t="s">
        <v>399</v>
      </c>
      <c r="I172" t="s">
        <v>400</v>
      </c>
      <c r="J172">
        <v>323030021</v>
      </c>
      <c r="K172">
        <v>20230517</v>
      </c>
      <c r="L172" t="s">
        <v>6160</v>
      </c>
      <c r="M172">
        <v>0</v>
      </c>
      <c r="N172">
        <v>150</v>
      </c>
      <c r="O172" t="s">
        <v>19</v>
      </c>
      <c r="P172" t="s">
        <v>20</v>
      </c>
      <c r="Q172">
        <v>20230517</v>
      </c>
    </row>
    <row r="173" spans="1:17" x14ac:dyDescent="0.25">
      <c r="A173" t="s">
        <v>548</v>
      </c>
      <c r="B173" t="s">
        <v>429</v>
      </c>
      <c r="C173">
        <v>2</v>
      </c>
      <c r="D173">
        <v>20230517</v>
      </c>
      <c r="E173">
        <v>5</v>
      </c>
      <c r="F173">
        <v>531105</v>
      </c>
      <c r="G173" t="s">
        <v>429</v>
      </c>
      <c r="H173" t="s">
        <v>401</v>
      </c>
      <c r="I173" t="s">
        <v>402</v>
      </c>
      <c r="J173">
        <v>371327</v>
      </c>
      <c r="K173">
        <v>20230517</v>
      </c>
      <c r="L173" t="s">
        <v>565</v>
      </c>
      <c r="M173">
        <v>150</v>
      </c>
      <c r="N173">
        <v>0</v>
      </c>
      <c r="O173" t="s">
        <v>19</v>
      </c>
      <c r="P173" t="s">
        <v>20</v>
      </c>
      <c r="Q173">
        <v>20230517</v>
      </c>
    </row>
    <row r="174" spans="1:17" x14ac:dyDescent="0.25">
      <c r="A174" t="s">
        <v>548</v>
      </c>
      <c r="B174" t="s">
        <v>429</v>
      </c>
      <c r="C174">
        <v>2</v>
      </c>
      <c r="D174">
        <v>20230523</v>
      </c>
      <c r="E174">
        <v>5</v>
      </c>
      <c r="F174">
        <v>411100</v>
      </c>
      <c r="G174" t="s">
        <v>18</v>
      </c>
      <c r="H174" t="s">
        <v>194</v>
      </c>
      <c r="I174" t="s">
        <v>195</v>
      </c>
      <c r="J174">
        <v>371347</v>
      </c>
      <c r="K174">
        <v>20230523</v>
      </c>
      <c r="L174" t="s">
        <v>6159</v>
      </c>
      <c r="M174">
        <v>0</v>
      </c>
      <c r="N174">
        <v>7.5</v>
      </c>
      <c r="O174" t="s">
        <v>19</v>
      </c>
      <c r="P174" t="s">
        <v>20</v>
      </c>
      <c r="Q174">
        <v>20230523</v>
      </c>
    </row>
    <row r="175" spans="1:17" x14ac:dyDescent="0.25">
      <c r="A175" t="s">
        <v>548</v>
      </c>
      <c r="B175" t="s">
        <v>429</v>
      </c>
      <c r="C175">
        <v>2</v>
      </c>
      <c r="D175">
        <v>20230523</v>
      </c>
      <c r="E175">
        <v>5</v>
      </c>
      <c r="F175">
        <v>531105</v>
      </c>
      <c r="G175" t="s">
        <v>429</v>
      </c>
      <c r="H175" t="s">
        <v>401</v>
      </c>
      <c r="I175" t="s">
        <v>402</v>
      </c>
      <c r="J175">
        <v>371348</v>
      </c>
      <c r="K175">
        <v>20230523</v>
      </c>
      <c r="L175" t="s">
        <v>565</v>
      </c>
      <c r="M175">
        <v>7.5</v>
      </c>
      <c r="N175">
        <v>0</v>
      </c>
      <c r="O175" t="s">
        <v>19</v>
      </c>
      <c r="P175" t="s">
        <v>20</v>
      </c>
      <c r="Q175">
        <v>20230523</v>
      </c>
    </row>
    <row r="176" spans="1:17" x14ac:dyDescent="0.25">
      <c r="A176" t="s">
        <v>548</v>
      </c>
      <c r="B176" t="s">
        <v>429</v>
      </c>
      <c r="C176">
        <v>2</v>
      </c>
      <c r="D176">
        <v>20230522</v>
      </c>
      <c r="E176">
        <v>5</v>
      </c>
      <c r="F176">
        <v>411100</v>
      </c>
      <c r="G176" t="s">
        <v>18</v>
      </c>
      <c r="H176" t="s">
        <v>233</v>
      </c>
      <c r="I176" t="s">
        <v>234</v>
      </c>
      <c r="J176">
        <v>371360</v>
      </c>
      <c r="K176">
        <v>20230522</v>
      </c>
      <c r="L176" t="s">
        <v>6158</v>
      </c>
      <c r="M176">
        <v>0</v>
      </c>
      <c r="N176">
        <v>47.68</v>
      </c>
      <c r="O176" t="s">
        <v>19</v>
      </c>
      <c r="P176" t="s">
        <v>20</v>
      </c>
      <c r="Q176">
        <v>20230522</v>
      </c>
    </row>
    <row r="177" spans="1:17" x14ac:dyDescent="0.25">
      <c r="A177" t="s">
        <v>548</v>
      </c>
      <c r="B177" t="s">
        <v>429</v>
      </c>
      <c r="C177">
        <v>2</v>
      </c>
      <c r="D177">
        <v>20230522</v>
      </c>
      <c r="E177">
        <v>5</v>
      </c>
      <c r="F177">
        <v>531105</v>
      </c>
      <c r="G177" t="s">
        <v>429</v>
      </c>
      <c r="H177" t="s">
        <v>401</v>
      </c>
      <c r="I177" t="s">
        <v>402</v>
      </c>
      <c r="J177">
        <v>371361</v>
      </c>
      <c r="K177">
        <v>20230522</v>
      </c>
      <c r="L177" t="s">
        <v>565</v>
      </c>
      <c r="M177">
        <v>47.68</v>
      </c>
      <c r="N177">
        <v>0</v>
      </c>
      <c r="O177" t="s">
        <v>19</v>
      </c>
      <c r="P177" t="s">
        <v>20</v>
      </c>
      <c r="Q177">
        <v>20230522</v>
      </c>
    </row>
    <row r="178" spans="1:17" x14ac:dyDescent="0.25">
      <c r="A178" t="s">
        <v>548</v>
      </c>
      <c r="B178" t="s">
        <v>429</v>
      </c>
      <c r="C178">
        <v>2</v>
      </c>
      <c r="D178">
        <v>20230522</v>
      </c>
      <c r="E178">
        <v>5</v>
      </c>
      <c r="F178">
        <v>411100</v>
      </c>
      <c r="G178" t="s">
        <v>18</v>
      </c>
      <c r="H178" t="s">
        <v>209</v>
      </c>
      <c r="I178" t="s">
        <v>210</v>
      </c>
      <c r="J178">
        <v>322120014</v>
      </c>
      <c r="K178">
        <v>20230522</v>
      </c>
      <c r="L178" t="s">
        <v>6157</v>
      </c>
      <c r="M178">
        <v>0</v>
      </c>
      <c r="N178">
        <v>20</v>
      </c>
      <c r="O178" t="s">
        <v>19</v>
      </c>
      <c r="P178" t="s">
        <v>20</v>
      </c>
      <c r="Q178">
        <v>20230522</v>
      </c>
    </row>
    <row r="179" spans="1:17" x14ac:dyDescent="0.25">
      <c r="A179" t="s">
        <v>548</v>
      </c>
      <c r="B179" t="s">
        <v>429</v>
      </c>
      <c r="C179">
        <v>2</v>
      </c>
      <c r="D179">
        <v>20230522</v>
      </c>
      <c r="E179">
        <v>5</v>
      </c>
      <c r="F179">
        <v>531105</v>
      </c>
      <c r="G179" t="s">
        <v>429</v>
      </c>
      <c r="H179" t="s">
        <v>401</v>
      </c>
      <c r="I179" t="s">
        <v>402</v>
      </c>
      <c r="J179">
        <v>371365</v>
      </c>
      <c r="K179">
        <v>20230522</v>
      </c>
      <c r="L179" t="s">
        <v>565</v>
      </c>
      <c r="M179">
        <v>20</v>
      </c>
      <c r="N179">
        <v>0</v>
      </c>
      <c r="O179" t="s">
        <v>19</v>
      </c>
      <c r="P179" t="s">
        <v>20</v>
      </c>
      <c r="Q179">
        <v>20230522</v>
      </c>
    </row>
    <row r="180" spans="1:17" x14ac:dyDescent="0.25">
      <c r="A180" t="s">
        <v>548</v>
      </c>
      <c r="B180" t="s">
        <v>429</v>
      </c>
      <c r="C180">
        <v>2</v>
      </c>
      <c r="D180">
        <v>20230523</v>
      </c>
      <c r="E180">
        <v>5</v>
      </c>
      <c r="F180">
        <v>411100</v>
      </c>
      <c r="G180" t="s">
        <v>18</v>
      </c>
      <c r="H180" t="s">
        <v>192</v>
      </c>
      <c r="I180" t="s">
        <v>193</v>
      </c>
      <c r="J180">
        <v>323030005</v>
      </c>
      <c r="K180">
        <v>20230523</v>
      </c>
      <c r="L180" t="s">
        <v>6156</v>
      </c>
      <c r="M180">
        <v>0</v>
      </c>
      <c r="N180">
        <v>53.35</v>
      </c>
      <c r="O180" t="s">
        <v>19</v>
      </c>
      <c r="P180" t="s">
        <v>20</v>
      </c>
      <c r="Q180">
        <v>20230523</v>
      </c>
    </row>
    <row r="181" spans="1:17" x14ac:dyDescent="0.25">
      <c r="A181" t="s">
        <v>548</v>
      </c>
      <c r="B181" t="s">
        <v>429</v>
      </c>
      <c r="C181">
        <v>2</v>
      </c>
      <c r="D181">
        <v>20230523</v>
      </c>
      <c r="E181">
        <v>5</v>
      </c>
      <c r="F181">
        <v>531105</v>
      </c>
      <c r="G181" t="s">
        <v>429</v>
      </c>
      <c r="H181" t="s">
        <v>401</v>
      </c>
      <c r="I181" t="s">
        <v>402</v>
      </c>
      <c r="J181">
        <v>371367</v>
      </c>
      <c r="K181">
        <v>20230523</v>
      </c>
      <c r="L181" t="s">
        <v>565</v>
      </c>
      <c r="M181">
        <v>53.35</v>
      </c>
      <c r="N181">
        <v>0</v>
      </c>
      <c r="O181" t="s">
        <v>19</v>
      </c>
      <c r="P181" t="s">
        <v>20</v>
      </c>
      <c r="Q181">
        <v>20230523</v>
      </c>
    </row>
    <row r="182" spans="1:17" x14ac:dyDescent="0.25">
      <c r="A182" t="s">
        <v>548</v>
      </c>
      <c r="B182" t="s">
        <v>429</v>
      </c>
      <c r="C182">
        <v>2</v>
      </c>
      <c r="D182">
        <v>20230524</v>
      </c>
      <c r="E182">
        <v>5</v>
      </c>
      <c r="F182">
        <v>411020</v>
      </c>
      <c r="G182" t="s">
        <v>30</v>
      </c>
      <c r="H182" t="s">
        <v>4145</v>
      </c>
      <c r="I182" t="s">
        <v>4146</v>
      </c>
      <c r="J182">
        <v>323030012</v>
      </c>
      <c r="K182">
        <v>20230524</v>
      </c>
      <c r="L182" t="s">
        <v>6155</v>
      </c>
      <c r="M182">
        <v>0</v>
      </c>
      <c r="N182">
        <v>172.18</v>
      </c>
      <c r="O182" t="s">
        <v>19</v>
      </c>
      <c r="P182" t="s">
        <v>20</v>
      </c>
      <c r="Q182">
        <v>20230524</v>
      </c>
    </row>
    <row r="183" spans="1:17" x14ac:dyDescent="0.25">
      <c r="A183" t="s">
        <v>548</v>
      </c>
      <c r="B183" t="s">
        <v>429</v>
      </c>
      <c r="C183">
        <v>2</v>
      </c>
      <c r="D183">
        <v>20230524</v>
      </c>
      <c r="E183">
        <v>5</v>
      </c>
      <c r="F183">
        <v>531105</v>
      </c>
      <c r="G183" t="s">
        <v>429</v>
      </c>
      <c r="H183" t="s">
        <v>401</v>
      </c>
      <c r="I183" t="s">
        <v>402</v>
      </c>
      <c r="J183">
        <v>371369</v>
      </c>
      <c r="K183">
        <v>20230524</v>
      </c>
      <c r="L183" t="s">
        <v>565</v>
      </c>
      <c r="M183">
        <v>172.18</v>
      </c>
      <c r="N183">
        <v>0</v>
      </c>
      <c r="O183" t="s">
        <v>19</v>
      </c>
      <c r="P183" t="s">
        <v>20</v>
      </c>
      <c r="Q183">
        <v>20230524</v>
      </c>
    </row>
    <row r="184" spans="1:17" x14ac:dyDescent="0.25">
      <c r="A184" t="s">
        <v>548</v>
      </c>
      <c r="B184" t="s">
        <v>429</v>
      </c>
      <c r="C184">
        <v>2</v>
      </c>
      <c r="D184">
        <v>20230526</v>
      </c>
      <c r="E184">
        <v>5</v>
      </c>
      <c r="F184">
        <v>411100</v>
      </c>
      <c r="G184" t="s">
        <v>18</v>
      </c>
      <c r="H184" t="s">
        <v>320</v>
      </c>
      <c r="I184" t="s">
        <v>321</v>
      </c>
      <c r="J184">
        <v>123040121</v>
      </c>
      <c r="K184">
        <v>20230526</v>
      </c>
      <c r="L184" t="s">
        <v>6154</v>
      </c>
      <c r="M184">
        <v>0</v>
      </c>
      <c r="N184">
        <v>49.7</v>
      </c>
      <c r="O184" t="s">
        <v>19</v>
      </c>
      <c r="P184" t="s">
        <v>20</v>
      </c>
      <c r="Q184">
        <v>20230526</v>
      </c>
    </row>
    <row r="185" spans="1:17" x14ac:dyDescent="0.25">
      <c r="A185" t="s">
        <v>548</v>
      </c>
      <c r="B185" t="s">
        <v>429</v>
      </c>
      <c r="C185">
        <v>2</v>
      </c>
      <c r="D185">
        <v>20230526</v>
      </c>
      <c r="E185">
        <v>5</v>
      </c>
      <c r="F185">
        <v>531105</v>
      </c>
      <c r="G185" t="s">
        <v>429</v>
      </c>
      <c r="H185" t="s">
        <v>401</v>
      </c>
      <c r="I185" t="s">
        <v>402</v>
      </c>
      <c r="J185">
        <v>372225</v>
      </c>
      <c r="K185">
        <v>20230526</v>
      </c>
      <c r="L185" t="s">
        <v>565</v>
      </c>
      <c r="M185">
        <v>49.7</v>
      </c>
      <c r="N185">
        <v>0</v>
      </c>
      <c r="O185" t="s">
        <v>19</v>
      </c>
      <c r="P185" t="s">
        <v>20</v>
      </c>
      <c r="Q185">
        <v>20230526</v>
      </c>
    </row>
    <row r="186" spans="1:17" x14ac:dyDescent="0.25">
      <c r="A186" t="s">
        <v>548</v>
      </c>
      <c r="B186" t="s">
        <v>429</v>
      </c>
      <c r="C186">
        <v>2</v>
      </c>
      <c r="D186">
        <v>20230526</v>
      </c>
      <c r="E186">
        <v>5</v>
      </c>
      <c r="F186">
        <v>411100</v>
      </c>
      <c r="G186" t="s">
        <v>18</v>
      </c>
      <c r="H186" t="s">
        <v>3216</v>
      </c>
      <c r="I186" t="s">
        <v>3217</v>
      </c>
      <c r="J186">
        <v>323040009</v>
      </c>
      <c r="K186">
        <v>20230526</v>
      </c>
      <c r="L186" t="s">
        <v>6153</v>
      </c>
      <c r="M186">
        <v>0</v>
      </c>
      <c r="N186">
        <v>44.07</v>
      </c>
      <c r="O186" t="s">
        <v>19</v>
      </c>
      <c r="P186" t="s">
        <v>20</v>
      </c>
      <c r="Q186">
        <v>20230526</v>
      </c>
    </row>
    <row r="187" spans="1:17" x14ac:dyDescent="0.25">
      <c r="A187" t="s">
        <v>548</v>
      </c>
      <c r="B187" t="s">
        <v>429</v>
      </c>
      <c r="C187">
        <v>2</v>
      </c>
      <c r="D187">
        <v>20230526</v>
      </c>
      <c r="E187">
        <v>5</v>
      </c>
      <c r="F187">
        <v>411020</v>
      </c>
      <c r="G187" t="s">
        <v>30</v>
      </c>
      <c r="H187" t="s">
        <v>3633</v>
      </c>
      <c r="I187" t="s">
        <v>3634</v>
      </c>
      <c r="J187">
        <v>323030004</v>
      </c>
      <c r="K187">
        <v>20230526</v>
      </c>
      <c r="L187" t="s">
        <v>6152</v>
      </c>
      <c r="M187">
        <v>0</v>
      </c>
      <c r="N187">
        <v>166.75</v>
      </c>
      <c r="O187" t="s">
        <v>19</v>
      </c>
      <c r="P187" t="s">
        <v>20</v>
      </c>
      <c r="Q187">
        <v>20230526</v>
      </c>
    </row>
    <row r="188" spans="1:17" x14ac:dyDescent="0.25">
      <c r="A188" t="s">
        <v>548</v>
      </c>
      <c r="B188" t="s">
        <v>429</v>
      </c>
      <c r="C188">
        <v>2</v>
      </c>
      <c r="D188">
        <v>20230526</v>
      </c>
      <c r="E188">
        <v>5</v>
      </c>
      <c r="F188">
        <v>531105</v>
      </c>
      <c r="G188" t="s">
        <v>429</v>
      </c>
      <c r="H188" t="s">
        <v>401</v>
      </c>
      <c r="I188" t="s">
        <v>402</v>
      </c>
      <c r="J188">
        <v>372317</v>
      </c>
      <c r="K188">
        <v>20230526</v>
      </c>
      <c r="L188" t="s">
        <v>565</v>
      </c>
      <c r="M188">
        <v>210.82</v>
      </c>
      <c r="N188">
        <v>0</v>
      </c>
      <c r="O188" t="s">
        <v>19</v>
      </c>
      <c r="P188" t="s">
        <v>20</v>
      </c>
      <c r="Q188">
        <v>20230526</v>
      </c>
    </row>
    <row r="189" spans="1:17" x14ac:dyDescent="0.25">
      <c r="A189" t="s">
        <v>548</v>
      </c>
      <c r="B189" t="s">
        <v>429</v>
      </c>
      <c r="C189">
        <v>2</v>
      </c>
      <c r="D189">
        <v>20230526</v>
      </c>
      <c r="E189">
        <v>5</v>
      </c>
      <c r="F189">
        <v>411100</v>
      </c>
      <c r="G189" t="s">
        <v>18</v>
      </c>
      <c r="H189" t="s">
        <v>352</v>
      </c>
      <c r="I189" t="s">
        <v>353</v>
      </c>
      <c r="J189">
        <v>223040027</v>
      </c>
      <c r="K189">
        <v>20230526</v>
      </c>
      <c r="L189" t="s">
        <v>6151</v>
      </c>
      <c r="M189">
        <v>0</v>
      </c>
      <c r="N189">
        <v>304.58</v>
      </c>
      <c r="O189" t="s">
        <v>19</v>
      </c>
      <c r="P189" t="s">
        <v>20</v>
      </c>
      <c r="Q189">
        <v>20230526</v>
      </c>
    </row>
    <row r="190" spans="1:17" x14ac:dyDescent="0.25">
      <c r="A190" t="s">
        <v>548</v>
      </c>
      <c r="B190" t="s">
        <v>429</v>
      </c>
      <c r="C190">
        <v>2</v>
      </c>
      <c r="D190">
        <v>20230526</v>
      </c>
      <c r="E190">
        <v>5</v>
      </c>
      <c r="F190">
        <v>531105</v>
      </c>
      <c r="G190" t="s">
        <v>429</v>
      </c>
      <c r="H190" t="s">
        <v>401</v>
      </c>
      <c r="I190" t="s">
        <v>402</v>
      </c>
      <c r="J190">
        <v>372391</v>
      </c>
      <c r="K190">
        <v>20230526</v>
      </c>
      <c r="L190" t="s">
        <v>565</v>
      </c>
      <c r="M190">
        <v>304.58</v>
      </c>
      <c r="N190">
        <v>0</v>
      </c>
      <c r="O190" t="s">
        <v>19</v>
      </c>
      <c r="P190" t="s">
        <v>20</v>
      </c>
      <c r="Q190">
        <v>20230526</v>
      </c>
    </row>
    <row r="191" spans="1:17" x14ac:dyDescent="0.25">
      <c r="A191" t="s">
        <v>548</v>
      </c>
      <c r="B191" t="s">
        <v>429</v>
      </c>
      <c r="C191">
        <v>2</v>
      </c>
      <c r="D191">
        <v>20230531</v>
      </c>
      <c r="E191">
        <v>5</v>
      </c>
      <c r="F191">
        <v>411100</v>
      </c>
      <c r="G191" t="s">
        <v>18</v>
      </c>
      <c r="H191" t="s">
        <v>77</v>
      </c>
      <c r="I191" t="s">
        <v>78</v>
      </c>
      <c r="J191">
        <v>223030017</v>
      </c>
      <c r="K191">
        <v>20230531</v>
      </c>
      <c r="L191" t="s">
        <v>6150</v>
      </c>
      <c r="M191">
        <v>0</v>
      </c>
      <c r="N191">
        <v>93.32</v>
      </c>
      <c r="O191" t="s">
        <v>19</v>
      </c>
      <c r="P191" t="s">
        <v>20</v>
      </c>
      <c r="Q191">
        <v>20230531</v>
      </c>
    </row>
    <row r="192" spans="1:17" x14ac:dyDescent="0.25">
      <c r="A192" t="s">
        <v>548</v>
      </c>
      <c r="B192" t="s">
        <v>429</v>
      </c>
      <c r="C192">
        <v>2</v>
      </c>
      <c r="D192">
        <v>20230531</v>
      </c>
      <c r="E192">
        <v>5</v>
      </c>
      <c r="F192">
        <v>411100</v>
      </c>
      <c r="G192" t="s">
        <v>18</v>
      </c>
      <c r="H192" t="s">
        <v>77</v>
      </c>
      <c r="I192" t="s">
        <v>78</v>
      </c>
      <c r="J192">
        <v>223030017</v>
      </c>
      <c r="K192">
        <v>20230531</v>
      </c>
      <c r="L192" t="s">
        <v>6149</v>
      </c>
      <c r="M192">
        <v>0</v>
      </c>
      <c r="N192">
        <v>47</v>
      </c>
      <c r="O192" t="s">
        <v>19</v>
      </c>
      <c r="P192" t="s">
        <v>20</v>
      </c>
      <c r="Q192">
        <v>20230531</v>
      </c>
    </row>
    <row r="193" spans="1:17" x14ac:dyDescent="0.25">
      <c r="A193" t="s">
        <v>548</v>
      </c>
      <c r="B193" t="s">
        <v>429</v>
      </c>
      <c r="C193">
        <v>2</v>
      </c>
      <c r="D193">
        <v>20230531</v>
      </c>
      <c r="E193">
        <v>5</v>
      </c>
      <c r="F193">
        <v>531105</v>
      </c>
      <c r="G193" t="s">
        <v>429</v>
      </c>
      <c r="H193" t="s">
        <v>401</v>
      </c>
      <c r="I193" t="s">
        <v>402</v>
      </c>
      <c r="J193">
        <v>372394</v>
      </c>
      <c r="K193">
        <v>20230531</v>
      </c>
      <c r="L193" t="s">
        <v>565</v>
      </c>
      <c r="M193">
        <v>140.32</v>
      </c>
      <c r="N193">
        <v>0</v>
      </c>
      <c r="O193" t="s">
        <v>19</v>
      </c>
      <c r="P193" t="s">
        <v>20</v>
      </c>
      <c r="Q193">
        <v>20230531</v>
      </c>
    </row>
    <row r="194" spans="1:17" x14ac:dyDescent="0.25">
      <c r="A194" t="s">
        <v>715</v>
      </c>
      <c r="B194" t="s">
        <v>432</v>
      </c>
      <c r="C194">
        <v>3</v>
      </c>
      <c r="D194">
        <v>20230502</v>
      </c>
      <c r="E194">
        <v>5</v>
      </c>
      <c r="F194">
        <v>401000</v>
      </c>
      <c r="G194" t="s">
        <v>41</v>
      </c>
      <c r="H194" t="s">
        <v>52</v>
      </c>
      <c r="I194" t="s">
        <v>53</v>
      </c>
      <c r="J194" t="s">
        <v>6148</v>
      </c>
      <c r="K194">
        <v>20230502</v>
      </c>
      <c r="L194" t="s">
        <v>6147</v>
      </c>
      <c r="M194">
        <v>68.59</v>
      </c>
      <c r="N194">
        <v>0</v>
      </c>
      <c r="O194" t="s">
        <v>19</v>
      </c>
      <c r="P194" t="s">
        <v>20</v>
      </c>
      <c r="Q194">
        <v>20230502</v>
      </c>
    </row>
    <row r="195" spans="1:17" x14ac:dyDescent="0.25">
      <c r="A195" t="s">
        <v>715</v>
      </c>
      <c r="B195" t="s">
        <v>432</v>
      </c>
      <c r="C195">
        <v>3</v>
      </c>
      <c r="D195">
        <v>20230502</v>
      </c>
      <c r="E195">
        <v>5</v>
      </c>
      <c r="F195">
        <v>512200</v>
      </c>
      <c r="G195" t="s">
        <v>432</v>
      </c>
      <c r="H195" t="s">
        <v>401</v>
      </c>
      <c r="I195" t="s">
        <v>402</v>
      </c>
      <c r="J195" t="s">
        <v>6148</v>
      </c>
      <c r="K195">
        <v>20230502</v>
      </c>
      <c r="L195" t="s">
        <v>6147</v>
      </c>
      <c r="M195">
        <v>0</v>
      </c>
      <c r="N195">
        <v>68.59</v>
      </c>
      <c r="O195" t="s">
        <v>19</v>
      </c>
      <c r="P195" t="s">
        <v>20</v>
      </c>
      <c r="Q195">
        <v>20230502</v>
      </c>
    </row>
    <row r="196" spans="1:17" x14ac:dyDescent="0.25">
      <c r="A196" t="s">
        <v>715</v>
      </c>
      <c r="B196" t="s">
        <v>432</v>
      </c>
      <c r="C196">
        <v>3</v>
      </c>
      <c r="D196">
        <v>20230502</v>
      </c>
      <c r="E196">
        <v>5</v>
      </c>
      <c r="F196">
        <v>401000</v>
      </c>
      <c r="G196" t="s">
        <v>41</v>
      </c>
      <c r="H196" t="s">
        <v>52</v>
      </c>
      <c r="I196" t="s">
        <v>53</v>
      </c>
      <c r="J196" t="s">
        <v>6146</v>
      </c>
      <c r="K196">
        <v>20230502</v>
      </c>
      <c r="L196" t="s">
        <v>6145</v>
      </c>
      <c r="M196">
        <v>424.8</v>
      </c>
      <c r="N196">
        <v>0</v>
      </c>
      <c r="O196" t="s">
        <v>19</v>
      </c>
      <c r="P196" t="s">
        <v>20</v>
      </c>
      <c r="Q196">
        <v>20230502</v>
      </c>
    </row>
    <row r="197" spans="1:17" x14ac:dyDescent="0.25">
      <c r="A197" t="s">
        <v>715</v>
      </c>
      <c r="B197" t="s">
        <v>432</v>
      </c>
      <c r="C197">
        <v>3</v>
      </c>
      <c r="D197">
        <v>20230502</v>
      </c>
      <c r="E197">
        <v>5</v>
      </c>
      <c r="F197">
        <v>512200</v>
      </c>
      <c r="G197" t="s">
        <v>432</v>
      </c>
      <c r="H197" t="s">
        <v>401</v>
      </c>
      <c r="I197" t="s">
        <v>402</v>
      </c>
      <c r="J197" t="s">
        <v>6146</v>
      </c>
      <c r="K197">
        <v>20230502</v>
      </c>
      <c r="L197" t="s">
        <v>6145</v>
      </c>
      <c r="M197">
        <v>0</v>
      </c>
      <c r="N197">
        <v>424.8</v>
      </c>
      <c r="O197" t="s">
        <v>19</v>
      </c>
      <c r="P197" t="s">
        <v>20</v>
      </c>
      <c r="Q197">
        <v>20230502</v>
      </c>
    </row>
    <row r="198" spans="1:17" x14ac:dyDescent="0.25">
      <c r="A198" t="s">
        <v>715</v>
      </c>
      <c r="B198" t="s">
        <v>432</v>
      </c>
      <c r="C198">
        <v>3</v>
      </c>
      <c r="D198">
        <v>20230502</v>
      </c>
      <c r="E198">
        <v>5</v>
      </c>
      <c r="F198">
        <v>401000</v>
      </c>
      <c r="G198" t="s">
        <v>41</v>
      </c>
      <c r="H198" t="s">
        <v>52</v>
      </c>
      <c r="I198" t="s">
        <v>53</v>
      </c>
      <c r="J198" t="s">
        <v>6144</v>
      </c>
      <c r="K198">
        <v>20230502</v>
      </c>
      <c r="L198" t="s">
        <v>6143</v>
      </c>
      <c r="M198">
        <v>31</v>
      </c>
      <c r="N198">
        <v>0</v>
      </c>
      <c r="O198" t="s">
        <v>19</v>
      </c>
      <c r="P198" t="s">
        <v>20</v>
      </c>
      <c r="Q198">
        <v>20230502</v>
      </c>
    </row>
    <row r="199" spans="1:17" x14ac:dyDescent="0.25">
      <c r="A199" t="s">
        <v>715</v>
      </c>
      <c r="B199" t="s">
        <v>432</v>
      </c>
      <c r="C199">
        <v>3</v>
      </c>
      <c r="D199">
        <v>20230502</v>
      </c>
      <c r="E199">
        <v>5</v>
      </c>
      <c r="F199">
        <v>512200</v>
      </c>
      <c r="G199" t="s">
        <v>432</v>
      </c>
      <c r="H199" t="s">
        <v>401</v>
      </c>
      <c r="I199" t="s">
        <v>402</v>
      </c>
      <c r="J199" t="s">
        <v>6144</v>
      </c>
      <c r="K199">
        <v>20230502</v>
      </c>
      <c r="L199" t="s">
        <v>6143</v>
      </c>
      <c r="M199">
        <v>0</v>
      </c>
      <c r="N199">
        <v>31</v>
      </c>
      <c r="O199" t="s">
        <v>19</v>
      </c>
      <c r="P199" t="s">
        <v>20</v>
      </c>
      <c r="Q199">
        <v>20230502</v>
      </c>
    </row>
    <row r="200" spans="1:17" x14ac:dyDescent="0.25">
      <c r="A200" t="s">
        <v>715</v>
      </c>
      <c r="B200" t="s">
        <v>432</v>
      </c>
      <c r="C200">
        <v>3</v>
      </c>
      <c r="D200">
        <v>20230502</v>
      </c>
      <c r="E200">
        <v>5</v>
      </c>
      <c r="F200">
        <v>401000</v>
      </c>
      <c r="G200" t="s">
        <v>41</v>
      </c>
      <c r="H200" t="s">
        <v>125</v>
      </c>
      <c r="I200" t="s">
        <v>126</v>
      </c>
      <c r="J200" t="s">
        <v>6142</v>
      </c>
      <c r="K200">
        <v>20230502</v>
      </c>
      <c r="L200" t="s">
        <v>2320</v>
      </c>
      <c r="M200">
        <v>140</v>
      </c>
      <c r="N200">
        <v>0</v>
      </c>
      <c r="O200" t="s">
        <v>19</v>
      </c>
      <c r="P200" t="s">
        <v>20</v>
      </c>
      <c r="Q200">
        <v>20230502</v>
      </c>
    </row>
    <row r="201" spans="1:17" x14ac:dyDescent="0.25">
      <c r="A201" t="s">
        <v>715</v>
      </c>
      <c r="B201" t="s">
        <v>432</v>
      </c>
      <c r="C201">
        <v>3</v>
      </c>
      <c r="D201">
        <v>20230502</v>
      </c>
      <c r="E201">
        <v>5</v>
      </c>
      <c r="F201">
        <v>512200</v>
      </c>
      <c r="G201" t="s">
        <v>432</v>
      </c>
      <c r="H201" t="s">
        <v>401</v>
      </c>
      <c r="I201" t="s">
        <v>402</v>
      </c>
      <c r="J201" t="s">
        <v>6142</v>
      </c>
      <c r="K201">
        <v>20230502</v>
      </c>
      <c r="L201" t="s">
        <v>2320</v>
      </c>
      <c r="M201">
        <v>0</v>
      </c>
      <c r="N201">
        <v>140</v>
      </c>
      <c r="O201" t="s">
        <v>19</v>
      </c>
      <c r="P201" t="s">
        <v>20</v>
      </c>
      <c r="Q201">
        <v>20230502</v>
      </c>
    </row>
    <row r="202" spans="1:17" x14ac:dyDescent="0.25">
      <c r="A202" t="s">
        <v>715</v>
      </c>
      <c r="B202" t="s">
        <v>432</v>
      </c>
      <c r="C202">
        <v>3</v>
      </c>
      <c r="D202">
        <v>20230503</v>
      </c>
      <c r="E202">
        <v>5</v>
      </c>
      <c r="F202">
        <v>401000</v>
      </c>
      <c r="G202" t="s">
        <v>41</v>
      </c>
      <c r="H202" t="s">
        <v>5421</v>
      </c>
      <c r="I202" t="s">
        <v>5422</v>
      </c>
      <c r="J202" t="s">
        <v>6141</v>
      </c>
      <c r="K202">
        <v>20230503</v>
      </c>
      <c r="L202" t="s">
        <v>6140</v>
      </c>
      <c r="M202">
        <v>448.5</v>
      </c>
      <c r="N202">
        <v>0</v>
      </c>
      <c r="O202" t="s">
        <v>19</v>
      </c>
      <c r="P202" t="s">
        <v>20</v>
      </c>
      <c r="Q202">
        <v>20230503</v>
      </c>
    </row>
    <row r="203" spans="1:17" x14ac:dyDescent="0.25">
      <c r="A203" t="s">
        <v>715</v>
      </c>
      <c r="B203" t="s">
        <v>432</v>
      </c>
      <c r="C203">
        <v>3</v>
      </c>
      <c r="D203">
        <v>20230503</v>
      </c>
      <c r="E203">
        <v>5</v>
      </c>
      <c r="F203">
        <v>512200</v>
      </c>
      <c r="G203" t="s">
        <v>432</v>
      </c>
      <c r="H203" t="s">
        <v>401</v>
      </c>
      <c r="I203" t="s">
        <v>402</v>
      </c>
      <c r="J203" t="s">
        <v>6141</v>
      </c>
      <c r="K203">
        <v>20230503</v>
      </c>
      <c r="L203" t="s">
        <v>6140</v>
      </c>
      <c r="M203">
        <v>0</v>
      </c>
      <c r="N203">
        <v>448.5</v>
      </c>
      <c r="O203" t="s">
        <v>19</v>
      </c>
      <c r="P203" t="s">
        <v>20</v>
      </c>
      <c r="Q203">
        <v>20230503</v>
      </c>
    </row>
    <row r="204" spans="1:17" x14ac:dyDescent="0.25">
      <c r="A204" t="s">
        <v>715</v>
      </c>
      <c r="B204" t="s">
        <v>432</v>
      </c>
      <c r="C204">
        <v>3</v>
      </c>
      <c r="D204">
        <v>20230503</v>
      </c>
      <c r="E204">
        <v>5</v>
      </c>
      <c r="F204">
        <v>401000</v>
      </c>
      <c r="G204" t="s">
        <v>41</v>
      </c>
      <c r="H204" t="s">
        <v>6139</v>
      </c>
      <c r="I204" t="s">
        <v>6138</v>
      </c>
      <c r="J204" t="s">
        <v>6137</v>
      </c>
      <c r="K204">
        <v>20230503</v>
      </c>
      <c r="L204" t="s">
        <v>6136</v>
      </c>
      <c r="M204">
        <v>625</v>
      </c>
      <c r="N204">
        <v>0</v>
      </c>
      <c r="O204" t="s">
        <v>19</v>
      </c>
      <c r="P204" t="s">
        <v>20</v>
      </c>
      <c r="Q204">
        <v>20230503</v>
      </c>
    </row>
    <row r="205" spans="1:17" x14ac:dyDescent="0.25">
      <c r="A205" t="s">
        <v>715</v>
      </c>
      <c r="B205" t="s">
        <v>432</v>
      </c>
      <c r="C205">
        <v>3</v>
      </c>
      <c r="D205">
        <v>20230503</v>
      </c>
      <c r="E205">
        <v>5</v>
      </c>
      <c r="F205">
        <v>512200</v>
      </c>
      <c r="G205" t="s">
        <v>432</v>
      </c>
      <c r="H205" t="s">
        <v>401</v>
      </c>
      <c r="I205" t="s">
        <v>402</v>
      </c>
      <c r="J205" t="s">
        <v>6137</v>
      </c>
      <c r="K205">
        <v>20230503</v>
      </c>
      <c r="L205" t="s">
        <v>6136</v>
      </c>
      <c r="M205">
        <v>0</v>
      </c>
      <c r="N205">
        <v>625</v>
      </c>
      <c r="O205" t="s">
        <v>19</v>
      </c>
      <c r="P205" t="s">
        <v>20</v>
      </c>
      <c r="Q205">
        <v>20230503</v>
      </c>
    </row>
    <row r="206" spans="1:17" x14ac:dyDescent="0.25">
      <c r="A206" t="s">
        <v>715</v>
      </c>
      <c r="B206" t="s">
        <v>432</v>
      </c>
      <c r="C206">
        <v>3</v>
      </c>
      <c r="D206">
        <v>20230509</v>
      </c>
      <c r="E206">
        <v>5</v>
      </c>
      <c r="F206">
        <v>401000</v>
      </c>
      <c r="G206" t="s">
        <v>41</v>
      </c>
      <c r="H206" t="s">
        <v>52</v>
      </c>
      <c r="I206" t="s">
        <v>53</v>
      </c>
      <c r="J206" t="s">
        <v>6135</v>
      </c>
      <c r="K206">
        <v>20230509</v>
      </c>
      <c r="L206" t="s">
        <v>6134</v>
      </c>
      <c r="M206">
        <v>62.4</v>
      </c>
      <c r="N206">
        <v>0</v>
      </c>
      <c r="O206" t="s">
        <v>19</v>
      </c>
      <c r="P206" t="s">
        <v>20</v>
      </c>
      <c r="Q206">
        <v>20230509</v>
      </c>
    </row>
    <row r="207" spans="1:17" x14ac:dyDescent="0.25">
      <c r="A207" t="s">
        <v>715</v>
      </c>
      <c r="B207" t="s">
        <v>432</v>
      </c>
      <c r="C207">
        <v>3</v>
      </c>
      <c r="D207">
        <v>20230509</v>
      </c>
      <c r="E207">
        <v>5</v>
      </c>
      <c r="F207">
        <v>512200</v>
      </c>
      <c r="G207" t="s">
        <v>432</v>
      </c>
      <c r="H207" t="s">
        <v>401</v>
      </c>
      <c r="I207" t="s">
        <v>402</v>
      </c>
      <c r="J207" t="s">
        <v>6135</v>
      </c>
      <c r="K207">
        <v>20230509</v>
      </c>
      <c r="L207" t="s">
        <v>6134</v>
      </c>
      <c r="M207">
        <v>0</v>
      </c>
      <c r="N207">
        <v>62.4</v>
      </c>
      <c r="O207" t="s">
        <v>19</v>
      </c>
      <c r="P207" t="s">
        <v>20</v>
      </c>
      <c r="Q207">
        <v>20230509</v>
      </c>
    </row>
    <row r="208" spans="1:17" x14ac:dyDescent="0.25">
      <c r="A208" t="s">
        <v>715</v>
      </c>
      <c r="B208" t="s">
        <v>432</v>
      </c>
      <c r="C208">
        <v>3</v>
      </c>
      <c r="D208">
        <v>20230510</v>
      </c>
      <c r="E208">
        <v>5</v>
      </c>
      <c r="F208">
        <v>627000</v>
      </c>
      <c r="G208" t="s">
        <v>480</v>
      </c>
      <c r="H208" t="s">
        <v>401</v>
      </c>
      <c r="I208" t="s">
        <v>402</v>
      </c>
      <c r="J208" t="s">
        <v>6133</v>
      </c>
      <c r="K208">
        <v>20230510</v>
      </c>
      <c r="L208" t="s">
        <v>4488</v>
      </c>
      <c r="M208">
        <v>15.88</v>
      </c>
      <c r="N208">
        <v>0</v>
      </c>
      <c r="O208" t="s">
        <v>19</v>
      </c>
      <c r="P208" t="s">
        <v>20</v>
      </c>
      <c r="Q208">
        <v>20230510</v>
      </c>
    </row>
    <row r="209" spans="1:17" x14ac:dyDescent="0.25">
      <c r="A209" t="s">
        <v>715</v>
      </c>
      <c r="B209" t="s">
        <v>432</v>
      </c>
      <c r="C209">
        <v>3</v>
      </c>
      <c r="D209">
        <v>20230510</v>
      </c>
      <c r="E209">
        <v>5</v>
      </c>
      <c r="F209">
        <v>512200</v>
      </c>
      <c r="G209" t="s">
        <v>432</v>
      </c>
      <c r="H209" t="s">
        <v>401</v>
      </c>
      <c r="I209" t="s">
        <v>402</v>
      </c>
      <c r="J209" t="s">
        <v>6133</v>
      </c>
      <c r="K209">
        <v>20230510</v>
      </c>
      <c r="L209" t="s">
        <v>4488</v>
      </c>
      <c r="M209">
        <v>0</v>
      </c>
      <c r="N209">
        <v>15.88</v>
      </c>
      <c r="O209" t="s">
        <v>19</v>
      </c>
      <c r="P209" t="s">
        <v>20</v>
      </c>
      <c r="Q209">
        <v>20230510</v>
      </c>
    </row>
    <row r="210" spans="1:17" x14ac:dyDescent="0.25">
      <c r="A210" t="s">
        <v>715</v>
      </c>
      <c r="B210" t="s">
        <v>432</v>
      </c>
      <c r="C210">
        <v>3</v>
      </c>
      <c r="D210">
        <v>20230510</v>
      </c>
      <c r="E210">
        <v>5</v>
      </c>
      <c r="F210">
        <v>401000</v>
      </c>
      <c r="G210" t="s">
        <v>41</v>
      </c>
      <c r="H210" t="s">
        <v>6132</v>
      </c>
      <c r="I210" t="s">
        <v>6131</v>
      </c>
      <c r="J210" t="s">
        <v>6130</v>
      </c>
      <c r="K210">
        <v>20230510</v>
      </c>
      <c r="L210" t="s">
        <v>6129</v>
      </c>
      <c r="M210">
        <v>110.73</v>
      </c>
      <c r="N210">
        <v>0</v>
      </c>
      <c r="O210" t="s">
        <v>19</v>
      </c>
      <c r="P210" t="s">
        <v>20</v>
      </c>
      <c r="Q210">
        <v>20230510</v>
      </c>
    </row>
    <row r="211" spans="1:17" x14ac:dyDescent="0.25">
      <c r="A211" t="s">
        <v>715</v>
      </c>
      <c r="B211" t="s">
        <v>432</v>
      </c>
      <c r="C211">
        <v>3</v>
      </c>
      <c r="D211">
        <v>20230510</v>
      </c>
      <c r="E211">
        <v>5</v>
      </c>
      <c r="F211">
        <v>512200</v>
      </c>
      <c r="G211" t="s">
        <v>432</v>
      </c>
      <c r="H211" t="s">
        <v>401</v>
      </c>
      <c r="I211" t="s">
        <v>402</v>
      </c>
      <c r="J211" t="s">
        <v>6130</v>
      </c>
      <c r="K211">
        <v>20230510</v>
      </c>
      <c r="L211" t="s">
        <v>6129</v>
      </c>
      <c r="M211">
        <v>0</v>
      </c>
      <c r="N211">
        <v>110.73</v>
      </c>
      <c r="O211" t="s">
        <v>19</v>
      </c>
      <c r="P211" t="s">
        <v>20</v>
      </c>
      <c r="Q211">
        <v>20230510</v>
      </c>
    </row>
    <row r="212" spans="1:17" x14ac:dyDescent="0.25">
      <c r="A212" t="s">
        <v>715</v>
      </c>
      <c r="B212" t="s">
        <v>432</v>
      </c>
      <c r="C212">
        <v>3</v>
      </c>
      <c r="D212">
        <v>20230515</v>
      </c>
      <c r="E212">
        <v>5</v>
      </c>
      <c r="F212">
        <v>512200</v>
      </c>
      <c r="G212" t="s">
        <v>432</v>
      </c>
      <c r="H212" t="s">
        <v>401</v>
      </c>
      <c r="I212" t="s">
        <v>402</v>
      </c>
      <c r="J212" t="s">
        <v>6128</v>
      </c>
      <c r="K212">
        <v>20230515</v>
      </c>
      <c r="L212" t="s">
        <v>625</v>
      </c>
      <c r="M212">
        <v>3190</v>
      </c>
      <c r="N212">
        <v>0</v>
      </c>
      <c r="O212" t="s">
        <v>19</v>
      </c>
      <c r="P212" t="s">
        <v>20</v>
      </c>
      <c r="Q212">
        <v>20230515</v>
      </c>
    </row>
    <row r="213" spans="1:17" x14ac:dyDescent="0.25">
      <c r="A213" t="s">
        <v>715</v>
      </c>
      <c r="B213" t="s">
        <v>432</v>
      </c>
      <c r="C213">
        <v>3</v>
      </c>
      <c r="D213">
        <v>20230515</v>
      </c>
      <c r="E213">
        <v>5</v>
      </c>
      <c r="F213">
        <v>580000</v>
      </c>
      <c r="G213" t="s">
        <v>532</v>
      </c>
      <c r="H213" t="s">
        <v>401</v>
      </c>
      <c r="I213" t="s">
        <v>402</v>
      </c>
      <c r="J213" t="s">
        <v>6128</v>
      </c>
      <c r="K213">
        <v>20230515</v>
      </c>
      <c r="L213" t="s">
        <v>625</v>
      </c>
      <c r="M213">
        <v>0</v>
      </c>
      <c r="N213">
        <v>3190</v>
      </c>
      <c r="O213" t="s">
        <v>19</v>
      </c>
      <c r="P213" t="s">
        <v>20</v>
      </c>
      <c r="Q213">
        <v>20230515</v>
      </c>
    </row>
    <row r="214" spans="1:17" x14ac:dyDescent="0.25">
      <c r="A214" t="s">
        <v>715</v>
      </c>
      <c r="B214" t="s">
        <v>432</v>
      </c>
      <c r="C214">
        <v>3</v>
      </c>
      <c r="D214">
        <v>20230516</v>
      </c>
      <c r="E214">
        <v>5</v>
      </c>
      <c r="F214">
        <v>401000</v>
      </c>
      <c r="G214" t="s">
        <v>41</v>
      </c>
      <c r="H214" t="s">
        <v>448</v>
      </c>
      <c r="I214" t="s">
        <v>449</v>
      </c>
      <c r="J214" t="s">
        <v>6127</v>
      </c>
      <c r="K214">
        <v>20230516</v>
      </c>
      <c r="L214" t="s">
        <v>1283</v>
      </c>
      <c r="M214">
        <v>1052.6500000000001</v>
      </c>
      <c r="N214">
        <v>0</v>
      </c>
      <c r="O214" t="s">
        <v>19</v>
      </c>
      <c r="P214" t="s">
        <v>20</v>
      </c>
      <c r="Q214">
        <v>20230516</v>
      </c>
    </row>
    <row r="215" spans="1:17" x14ac:dyDescent="0.25">
      <c r="A215" t="s">
        <v>715</v>
      </c>
      <c r="B215" t="s">
        <v>432</v>
      </c>
      <c r="C215">
        <v>3</v>
      </c>
      <c r="D215">
        <v>20230516</v>
      </c>
      <c r="E215">
        <v>5</v>
      </c>
      <c r="F215">
        <v>512200</v>
      </c>
      <c r="G215" t="s">
        <v>432</v>
      </c>
      <c r="H215" t="s">
        <v>401</v>
      </c>
      <c r="I215" t="s">
        <v>402</v>
      </c>
      <c r="J215" t="s">
        <v>6127</v>
      </c>
      <c r="K215">
        <v>20230516</v>
      </c>
      <c r="L215" t="s">
        <v>1283</v>
      </c>
      <c r="M215">
        <v>0</v>
      </c>
      <c r="N215">
        <v>1052.6500000000001</v>
      </c>
      <c r="O215" t="s">
        <v>19</v>
      </c>
      <c r="P215" t="s">
        <v>20</v>
      </c>
      <c r="Q215">
        <v>20230516</v>
      </c>
    </row>
    <row r="216" spans="1:17" x14ac:dyDescent="0.25">
      <c r="A216" t="s">
        <v>715</v>
      </c>
      <c r="B216" t="s">
        <v>432</v>
      </c>
      <c r="C216">
        <v>3</v>
      </c>
      <c r="D216">
        <v>20230522</v>
      </c>
      <c r="E216">
        <v>5</v>
      </c>
      <c r="F216">
        <v>401000</v>
      </c>
      <c r="G216" t="s">
        <v>41</v>
      </c>
      <c r="H216" t="s">
        <v>52</v>
      </c>
      <c r="I216" t="s">
        <v>53</v>
      </c>
      <c r="J216" t="s">
        <v>6126</v>
      </c>
      <c r="K216">
        <v>20230522</v>
      </c>
      <c r="L216" t="s">
        <v>6125</v>
      </c>
      <c r="M216">
        <v>66</v>
      </c>
      <c r="N216">
        <v>0</v>
      </c>
      <c r="O216" t="s">
        <v>19</v>
      </c>
      <c r="P216" t="s">
        <v>20</v>
      </c>
      <c r="Q216">
        <v>20230522</v>
      </c>
    </row>
    <row r="217" spans="1:17" x14ac:dyDescent="0.25">
      <c r="A217" t="s">
        <v>715</v>
      </c>
      <c r="B217" t="s">
        <v>432</v>
      </c>
      <c r="C217">
        <v>3</v>
      </c>
      <c r="D217">
        <v>20230522</v>
      </c>
      <c r="E217">
        <v>5</v>
      </c>
      <c r="F217">
        <v>512200</v>
      </c>
      <c r="G217" t="s">
        <v>432</v>
      </c>
      <c r="H217" t="s">
        <v>401</v>
      </c>
      <c r="I217" t="s">
        <v>402</v>
      </c>
      <c r="J217" t="s">
        <v>6126</v>
      </c>
      <c r="K217">
        <v>20230522</v>
      </c>
      <c r="L217" t="s">
        <v>6125</v>
      </c>
      <c r="M217">
        <v>0</v>
      </c>
      <c r="N217">
        <v>66</v>
      </c>
      <c r="O217" t="s">
        <v>19</v>
      </c>
      <c r="P217" t="s">
        <v>20</v>
      </c>
      <c r="Q217">
        <v>20230522</v>
      </c>
    </row>
    <row r="218" spans="1:17" x14ac:dyDescent="0.25">
      <c r="A218" t="s">
        <v>715</v>
      </c>
      <c r="B218" t="s">
        <v>432</v>
      </c>
      <c r="C218">
        <v>3</v>
      </c>
      <c r="D218">
        <v>20230524</v>
      </c>
      <c r="E218">
        <v>5</v>
      </c>
      <c r="F218">
        <v>512200</v>
      </c>
      <c r="G218" t="s">
        <v>432</v>
      </c>
      <c r="H218" t="s">
        <v>401</v>
      </c>
      <c r="I218" t="s">
        <v>402</v>
      </c>
      <c r="J218" t="s">
        <v>6124</v>
      </c>
      <c r="K218">
        <v>20230524</v>
      </c>
      <c r="L218" t="s">
        <v>6123</v>
      </c>
      <c r="M218">
        <v>3396.27</v>
      </c>
      <c r="N218">
        <v>0</v>
      </c>
      <c r="O218" t="s">
        <v>19</v>
      </c>
      <c r="P218" t="s">
        <v>20</v>
      </c>
      <c r="Q218">
        <v>20230524</v>
      </c>
    </row>
    <row r="219" spans="1:17" x14ac:dyDescent="0.25">
      <c r="A219" t="s">
        <v>715</v>
      </c>
      <c r="B219" t="s">
        <v>432</v>
      </c>
      <c r="C219">
        <v>3</v>
      </c>
      <c r="D219">
        <v>20230524</v>
      </c>
      <c r="E219">
        <v>5</v>
      </c>
      <c r="F219">
        <v>511000</v>
      </c>
      <c r="G219" t="s">
        <v>431</v>
      </c>
      <c r="H219" t="s">
        <v>401</v>
      </c>
      <c r="I219" t="s">
        <v>402</v>
      </c>
      <c r="J219" t="s">
        <v>6124</v>
      </c>
      <c r="K219">
        <v>20230524</v>
      </c>
      <c r="L219" t="s">
        <v>6123</v>
      </c>
      <c r="M219">
        <v>0</v>
      </c>
      <c r="N219">
        <v>3396.27</v>
      </c>
      <c r="O219" t="s">
        <v>19</v>
      </c>
      <c r="P219" t="s">
        <v>20</v>
      </c>
      <c r="Q219">
        <v>20230524</v>
      </c>
    </row>
    <row r="220" spans="1:17" x14ac:dyDescent="0.25">
      <c r="A220" t="s">
        <v>715</v>
      </c>
      <c r="B220" t="s">
        <v>432</v>
      </c>
      <c r="C220">
        <v>3</v>
      </c>
      <c r="D220">
        <v>20230529</v>
      </c>
      <c r="E220">
        <v>5</v>
      </c>
      <c r="F220">
        <v>471000</v>
      </c>
      <c r="G220" t="s">
        <v>4801</v>
      </c>
      <c r="H220" t="s">
        <v>401</v>
      </c>
      <c r="I220" t="s">
        <v>402</v>
      </c>
      <c r="J220" t="s">
        <v>6122</v>
      </c>
      <c r="K220">
        <v>20230529</v>
      </c>
      <c r="L220" t="s">
        <v>6121</v>
      </c>
      <c r="M220">
        <v>72.819999999999993</v>
      </c>
      <c r="N220">
        <v>0</v>
      </c>
      <c r="O220" t="s">
        <v>19</v>
      </c>
      <c r="P220" t="s">
        <v>20</v>
      </c>
      <c r="Q220">
        <v>20230529</v>
      </c>
    </row>
    <row r="221" spans="1:17" x14ac:dyDescent="0.25">
      <c r="A221" t="s">
        <v>715</v>
      </c>
      <c r="B221" t="s">
        <v>432</v>
      </c>
      <c r="C221">
        <v>3</v>
      </c>
      <c r="D221">
        <v>20230529</v>
      </c>
      <c r="E221">
        <v>5</v>
      </c>
      <c r="F221">
        <v>512200</v>
      </c>
      <c r="G221" t="s">
        <v>432</v>
      </c>
      <c r="H221" t="s">
        <v>401</v>
      </c>
      <c r="I221" t="s">
        <v>402</v>
      </c>
      <c r="J221" t="s">
        <v>6122</v>
      </c>
      <c r="K221">
        <v>20230529</v>
      </c>
      <c r="L221" t="s">
        <v>6121</v>
      </c>
      <c r="M221">
        <v>0</v>
      </c>
      <c r="N221">
        <v>72.819999999999993</v>
      </c>
      <c r="O221" t="s">
        <v>19</v>
      </c>
      <c r="P221" t="s">
        <v>20</v>
      </c>
      <c r="Q221">
        <v>20230529</v>
      </c>
    </row>
    <row r="222" spans="1:17" x14ac:dyDescent="0.25">
      <c r="A222" t="s">
        <v>715</v>
      </c>
      <c r="B222" t="s">
        <v>432</v>
      </c>
      <c r="C222">
        <v>3</v>
      </c>
      <c r="D222">
        <v>20230530</v>
      </c>
      <c r="E222">
        <v>5</v>
      </c>
      <c r="F222">
        <v>401000</v>
      </c>
      <c r="G222" t="s">
        <v>41</v>
      </c>
      <c r="H222" t="s">
        <v>52</v>
      </c>
      <c r="I222" t="s">
        <v>53</v>
      </c>
      <c r="J222" t="s">
        <v>6120</v>
      </c>
      <c r="K222">
        <v>20230530</v>
      </c>
      <c r="L222" t="s">
        <v>6119</v>
      </c>
      <c r="M222">
        <v>31</v>
      </c>
      <c r="N222">
        <v>0</v>
      </c>
      <c r="O222" t="s">
        <v>19</v>
      </c>
      <c r="P222" t="s">
        <v>20</v>
      </c>
      <c r="Q222">
        <v>20230530</v>
      </c>
    </row>
    <row r="223" spans="1:17" x14ac:dyDescent="0.25">
      <c r="A223" t="s">
        <v>715</v>
      </c>
      <c r="B223" t="s">
        <v>432</v>
      </c>
      <c r="C223">
        <v>3</v>
      </c>
      <c r="D223">
        <v>20230530</v>
      </c>
      <c r="E223">
        <v>5</v>
      </c>
      <c r="F223">
        <v>512200</v>
      </c>
      <c r="G223" t="s">
        <v>432</v>
      </c>
      <c r="H223" t="s">
        <v>401</v>
      </c>
      <c r="I223" t="s">
        <v>402</v>
      </c>
      <c r="J223" t="s">
        <v>6120</v>
      </c>
      <c r="K223">
        <v>20230530</v>
      </c>
      <c r="L223" t="s">
        <v>6119</v>
      </c>
      <c r="M223">
        <v>0</v>
      </c>
      <c r="N223">
        <v>31</v>
      </c>
      <c r="O223" t="s">
        <v>19</v>
      </c>
      <c r="P223" t="s">
        <v>20</v>
      </c>
      <c r="Q223">
        <v>20230530</v>
      </c>
    </row>
    <row r="224" spans="1:17" x14ac:dyDescent="0.25">
      <c r="A224" t="s">
        <v>715</v>
      </c>
      <c r="B224" t="s">
        <v>432</v>
      </c>
      <c r="C224">
        <v>3</v>
      </c>
      <c r="D224">
        <v>20230530</v>
      </c>
      <c r="E224">
        <v>5</v>
      </c>
      <c r="F224">
        <v>401000</v>
      </c>
      <c r="G224" t="s">
        <v>41</v>
      </c>
      <c r="H224" t="s">
        <v>140</v>
      </c>
      <c r="I224" t="s">
        <v>141</v>
      </c>
      <c r="J224" t="s">
        <v>6118</v>
      </c>
      <c r="K224">
        <v>20230530</v>
      </c>
      <c r="L224" t="s">
        <v>6117</v>
      </c>
      <c r="M224">
        <v>106.4</v>
      </c>
      <c r="N224">
        <v>0</v>
      </c>
      <c r="O224" t="s">
        <v>19</v>
      </c>
      <c r="P224" t="s">
        <v>20</v>
      </c>
      <c r="Q224">
        <v>20230530</v>
      </c>
    </row>
    <row r="225" spans="1:17" x14ac:dyDescent="0.25">
      <c r="A225" t="s">
        <v>715</v>
      </c>
      <c r="B225" t="s">
        <v>432</v>
      </c>
      <c r="C225">
        <v>3</v>
      </c>
      <c r="D225">
        <v>20230530</v>
      </c>
      <c r="E225">
        <v>5</v>
      </c>
      <c r="F225">
        <v>512200</v>
      </c>
      <c r="G225" t="s">
        <v>432</v>
      </c>
      <c r="H225" t="s">
        <v>401</v>
      </c>
      <c r="I225" t="s">
        <v>402</v>
      </c>
      <c r="J225" t="s">
        <v>6118</v>
      </c>
      <c r="K225">
        <v>20230530</v>
      </c>
      <c r="L225" t="s">
        <v>6117</v>
      </c>
      <c r="M225">
        <v>0</v>
      </c>
      <c r="N225">
        <v>106.4</v>
      </c>
      <c r="O225" t="s">
        <v>19</v>
      </c>
      <c r="P225" t="s">
        <v>20</v>
      </c>
      <c r="Q225">
        <v>20230530</v>
      </c>
    </row>
    <row r="226" spans="1:17" x14ac:dyDescent="0.25">
      <c r="A226" t="s">
        <v>715</v>
      </c>
      <c r="B226" t="s">
        <v>432</v>
      </c>
      <c r="C226">
        <v>3</v>
      </c>
      <c r="D226">
        <v>20230531</v>
      </c>
      <c r="E226">
        <v>5</v>
      </c>
      <c r="F226">
        <v>401000</v>
      </c>
      <c r="G226" t="s">
        <v>41</v>
      </c>
      <c r="H226" t="s">
        <v>5073</v>
      </c>
      <c r="I226" t="s">
        <v>5074</v>
      </c>
      <c r="J226" t="s">
        <v>6116</v>
      </c>
      <c r="K226">
        <v>20230531</v>
      </c>
      <c r="L226" t="s">
        <v>6115</v>
      </c>
      <c r="M226">
        <v>279.5</v>
      </c>
      <c r="N226">
        <v>0</v>
      </c>
      <c r="O226" t="s">
        <v>19</v>
      </c>
      <c r="P226" t="s">
        <v>20</v>
      </c>
      <c r="Q226">
        <v>20230531</v>
      </c>
    </row>
    <row r="227" spans="1:17" x14ac:dyDescent="0.25">
      <c r="A227" t="s">
        <v>715</v>
      </c>
      <c r="B227" t="s">
        <v>432</v>
      </c>
      <c r="C227">
        <v>3</v>
      </c>
      <c r="D227">
        <v>20230531</v>
      </c>
      <c r="E227">
        <v>5</v>
      </c>
      <c r="F227">
        <v>512200</v>
      </c>
      <c r="G227" t="s">
        <v>432</v>
      </c>
      <c r="H227" t="s">
        <v>401</v>
      </c>
      <c r="I227" t="s">
        <v>402</v>
      </c>
      <c r="J227" t="s">
        <v>6116</v>
      </c>
      <c r="K227">
        <v>20230531</v>
      </c>
      <c r="L227" t="s">
        <v>6115</v>
      </c>
      <c r="M227">
        <v>0</v>
      </c>
      <c r="N227">
        <v>279.5</v>
      </c>
      <c r="O227" t="s">
        <v>19</v>
      </c>
      <c r="P227" t="s">
        <v>20</v>
      </c>
      <c r="Q227">
        <v>20230531</v>
      </c>
    </row>
    <row r="228" spans="1:17" x14ac:dyDescent="0.25">
      <c r="A228" t="s">
        <v>715</v>
      </c>
      <c r="B228" t="s">
        <v>432</v>
      </c>
      <c r="C228">
        <v>3</v>
      </c>
      <c r="D228">
        <v>20230504</v>
      </c>
      <c r="E228">
        <v>5</v>
      </c>
      <c r="F228">
        <v>411100</v>
      </c>
      <c r="G228" t="s">
        <v>18</v>
      </c>
      <c r="H228" t="s">
        <v>105</v>
      </c>
      <c r="I228" t="s">
        <v>106</v>
      </c>
      <c r="J228">
        <v>123020114</v>
      </c>
      <c r="K228">
        <v>20230504</v>
      </c>
      <c r="L228" t="s">
        <v>6114</v>
      </c>
      <c r="M228">
        <v>0</v>
      </c>
      <c r="N228">
        <v>42</v>
      </c>
      <c r="O228" t="s">
        <v>19</v>
      </c>
      <c r="P228" t="s">
        <v>20</v>
      </c>
      <c r="Q228">
        <v>20230504</v>
      </c>
    </row>
    <row r="229" spans="1:17" x14ac:dyDescent="0.25">
      <c r="A229" t="s">
        <v>715</v>
      </c>
      <c r="B229" t="s">
        <v>432</v>
      </c>
      <c r="C229">
        <v>3</v>
      </c>
      <c r="D229">
        <v>20230504</v>
      </c>
      <c r="E229">
        <v>5</v>
      </c>
      <c r="F229">
        <v>512200</v>
      </c>
      <c r="G229" t="s">
        <v>432</v>
      </c>
      <c r="H229" t="s">
        <v>401</v>
      </c>
      <c r="I229" t="s">
        <v>402</v>
      </c>
      <c r="J229">
        <v>370966</v>
      </c>
      <c r="K229">
        <v>20230504</v>
      </c>
      <c r="L229" t="s">
        <v>1607</v>
      </c>
      <c r="M229">
        <v>42</v>
      </c>
      <c r="N229">
        <v>0</v>
      </c>
      <c r="O229" t="s">
        <v>19</v>
      </c>
      <c r="P229" t="s">
        <v>20</v>
      </c>
      <c r="Q229">
        <v>20230504</v>
      </c>
    </row>
    <row r="230" spans="1:17" x14ac:dyDescent="0.25">
      <c r="A230" t="s">
        <v>715</v>
      </c>
      <c r="B230" t="s">
        <v>432</v>
      </c>
      <c r="C230">
        <v>3</v>
      </c>
      <c r="D230">
        <v>20230505</v>
      </c>
      <c r="E230">
        <v>5</v>
      </c>
      <c r="F230">
        <v>512200</v>
      </c>
      <c r="G230" t="s">
        <v>432</v>
      </c>
      <c r="H230" t="s">
        <v>401</v>
      </c>
      <c r="I230" t="s">
        <v>402</v>
      </c>
      <c r="J230" t="s">
        <v>6113</v>
      </c>
      <c r="K230">
        <v>20230505</v>
      </c>
      <c r="L230" t="s">
        <v>6112</v>
      </c>
      <c r="M230">
        <v>739</v>
      </c>
      <c r="N230">
        <v>0</v>
      </c>
      <c r="O230" t="s">
        <v>19</v>
      </c>
      <c r="P230" t="s">
        <v>20</v>
      </c>
      <c r="Q230">
        <v>20230505</v>
      </c>
    </row>
    <row r="231" spans="1:17" x14ac:dyDescent="0.25">
      <c r="A231" t="s">
        <v>715</v>
      </c>
      <c r="B231" t="s">
        <v>432</v>
      </c>
      <c r="C231">
        <v>3</v>
      </c>
      <c r="D231">
        <v>20230505</v>
      </c>
      <c r="E231">
        <v>5</v>
      </c>
      <c r="F231">
        <v>511000</v>
      </c>
      <c r="G231" t="s">
        <v>431</v>
      </c>
      <c r="H231" t="s">
        <v>401</v>
      </c>
      <c r="I231" t="s">
        <v>402</v>
      </c>
      <c r="J231" t="s">
        <v>6113</v>
      </c>
      <c r="K231">
        <v>20230505</v>
      </c>
      <c r="L231" t="s">
        <v>6112</v>
      </c>
      <c r="M231">
        <v>0</v>
      </c>
      <c r="N231">
        <v>739</v>
      </c>
      <c r="O231" t="s">
        <v>19</v>
      </c>
      <c r="P231" t="s">
        <v>20</v>
      </c>
      <c r="Q231">
        <v>20230505</v>
      </c>
    </row>
    <row r="232" spans="1:17" x14ac:dyDescent="0.25">
      <c r="A232" t="s">
        <v>715</v>
      </c>
      <c r="B232" t="s">
        <v>432</v>
      </c>
      <c r="C232">
        <v>3</v>
      </c>
      <c r="D232">
        <v>20230505</v>
      </c>
      <c r="E232">
        <v>5</v>
      </c>
      <c r="F232">
        <v>411100</v>
      </c>
      <c r="G232" t="s">
        <v>18</v>
      </c>
      <c r="H232" t="s">
        <v>299</v>
      </c>
      <c r="I232" t="s">
        <v>300</v>
      </c>
      <c r="J232">
        <v>371181</v>
      </c>
      <c r="K232">
        <v>20230505</v>
      </c>
      <c r="L232" t="s">
        <v>6111</v>
      </c>
      <c r="M232">
        <v>0</v>
      </c>
      <c r="N232">
        <v>43.5</v>
      </c>
      <c r="O232" t="s">
        <v>19</v>
      </c>
      <c r="P232" t="s">
        <v>20</v>
      </c>
      <c r="Q232">
        <v>20230505</v>
      </c>
    </row>
    <row r="233" spans="1:17" x14ac:dyDescent="0.25">
      <c r="A233" t="s">
        <v>715</v>
      </c>
      <c r="B233" t="s">
        <v>432</v>
      </c>
      <c r="C233">
        <v>3</v>
      </c>
      <c r="D233">
        <v>20230505</v>
      </c>
      <c r="E233">
        <v>5</v>
      </c>
      <c r="F233">
        <v>512200</v>
      </c>
      <c r="G233" t="s">
        <v>432</v>
      </c>
      <c r="H233" t="s">
        <v>401</v>
      </c>
      <c r="I233" t="s">
        <v>402</v>
      </c>
      <c r="J233">
        <v>371182</v>
      </c>
      <c r="K233">
        <v>20230505</v>
      </c>
      <c r="L233" t="s">
        <v>6108</v>
      </c>
      <c r="M233">
        <v>43.5</v>
      </c>
      <c r="N233">
        <v>0</v>
      </c>
      <c r="O233" t="s">
        <v>19</v>
      </c>
      <c r="P233" t="s">
        <v>20</v>
      </c>
      <c r="Q233">
        <v>20230505</v>
      </c>
    </row>
    <row r="234" spans="1:17" x14ac:dyDescent="0.25">
      <c r="A234" t="s">
        <v>715</v>
      </c>
      <c r="B234" t="s">
        <v>432</v>
      </c>
      <c r="C234">
        <v>3</v>
      </c>
      <c r="D234">
        <v>20230510</v>
      </c>
      <c r="E234">
        <v>5</v>
      </c>
      <c r="F234">
        <v>411100</v>
      </c>
      <c r="G234" t="s">
        <v>18</v>
      </c>
      <c r="H234" t="s">
        <v>3629</v>
      </c>
      <c r="I234" t="s">
        <v>3630</v>
      </c>
      <c r="J234">
        <v>123040124</v>
      </c>
      <c r="K234">
        <v>20230510</v>
      </c>
      <c r="L234" t="s">
        <v>6110</v>
      </c>
      <c r="M234">
        <v>0</v>
      </c>
      <c r="N234">
        <v>67.2</v>
      </c>
      <c r="O234" t="s">
        <v>19</v>
      </c>
      <c r="P234" t="s">
        <v>20</v>
      </c>
      <c r="Q234">
        <v>20230510</v>
      </c>
    </row>
    <row r="235" spans="1:17" x14ac:dyDescent="0.25">
      <c r="A235" t="s">
        <v>715</v>
      </c>
      <c r="B235" t="s">
        <v>432</v>
      </c>
      <c r="C235">
        <v>3</v>
      </c>
      <c r="D235">
        <v>20230510</v>
      </c>
      <c r="E235">
        <v>5</v>
      </c>
      <c r="F235">
        <v>512200</v>
      </c>
      <c r="G235" t="s">
        <v>432</v>
      </c>
      <c r="H235" t="s">
        <v>401</v>
      </c>
      <c r="I235" t="s">
        <v>402</v>
      </c>
      <c r="J235">
        <v>371184</v>
      </c>
      <c r="K235">
        <v>20230510</v>
      </c>
      <c r="L235" t="s">
        <v>6108</v>
      </c>
      <c r="M235">
        <v>67.2</v>
      </c>
      <c r="N235">
        <v>0</v>
      </c>
      <c r="O235" t="s">
        <v>19</v>
      </c>
      <c r="P235" t="s">
        <v>20</v>
      </c>
      <c r="Q235">
        <v>20230510</v>
      </c>
    </row>
    <row r="236" spans="1:17" x14ac:dyDescent="0.25">
      <c r="A236" t="s">
        <v>715</v>
      </c>
      <c r="B236" t="s">
        <v>432</v>
      </c>
      <c r="C236">
        <v>3</v>
      </c>
      <c r="D236">
        <v>20230524</v>
      </c>
      <c r="E236">
        <v>5</v>
      </c>
      <c r="F236">
        <v>411100</v>
      </c>
      <c r="G236" t="s">
        <v>18</v>
      </c>
      <c r="H236" t="s">
        <v>3629</v>
      </c>
      <c r="I236" t="s">
        <v>3630</v>
      </c>
      <c r="J236">
        <v>371349</v>
      </c>
      <c r="K236">
        <v>20230524</v>
      </c>
      <c r="L236" t="s">
        <v>6109</v>
      </c>
      <c r="M236">
        <v>67.2</v>
      </c>
      <c r="N236">
        <v>0</v>
      </c>
      <c r="O236" t="s">
        <v>19</v>
      </c>
      <c r="P236" t="s">
        <v>20</v>
      </c>
      <c r="Q236">
        <v>20230524</v>
      </c>
    </row>
    <row r="237" spans="1:17" x14ac:dyDescent="0.25">
      <c r="A237" t="s">
        <v>715</v>
      </c>
      <c r="B237" t="s">
        <v>432</v>
      </c>
      <c r="C237">
        <v>3</v>
      </c>
      <c r="D237">
        <v>20230524</v>
      </c>
      <c r="E237">
        <v>5</v>
      </c>
      <c r="F237">
        <v>512200</v>
      </c>
      <c r="G237" t="s">
        <v>432</v>
      </c>
      <c r="H237" t="s">
        <v>401</v>
      </c>
      <c r="I237" t="s">
        <v>402</v>
      </c>
      <c r="J237">
        <v>371350</v>
      </c>
      <c r="K237">
        <v>20230524</v>
      </c>
      <c r="L237" t="s">
        <v>6108</v>
      </c>
      <c r="M237">
        <v>0</v>
      </c>
      <c r="N237">
        <v>67.2</v>
      </c>
      <c r="O237" t="s">
        <v>19</v>
      </c>
      <c r="P237" t="s">
        <v>20</v>
      </c>
      <c r="Q237">
        <v>20230524</v>
      </c>
    </row>
    <row r="238" spans="1:17" x14ac:dyDescent="0.25">
      <c r="A238" t="s">
        <v>715</v>
      </c>
      <c r="B238" t="s">
        <v>432</v>
      </c>
      <c r="C238">
        <v>3</v>
      </c>
      <c r="D238">
        <v>20230524</v>
      </c>
      <c r="E238">
        <v>5</v>
      </c>
      <c r="F238">
        <v>411100</v>
      </c>
      <c r="G238" t="s">
        <v>18</v>
      </c>
      <c r="H238" t="s">
        <v>105</v>
      </c>
      <c r="I238" t="s">
        <v>106</v>
      </c>
      <c r="J238">
        <v>371351</v>
      </c>
      <c r="K238">
        <v>20230524</v>
      </c>
      <c r="L238" t="s">
        <v>6107</v>
      </c>
      <c r="M238">
        <v>42</v>
      </c>
      <c r="N238">
        <v>0</v>
      </c>
      <c r="O238" t="s">
        <v>19</v>
      </c>
      <c r="P238" t="s">
        <v>20</v>
      </c>
      <c r="Q238">
        <v>20230524</v>
      </c>
    </row>
    <row r="239" spans="1:17" x14ac:dyDescent="0.25">
      <c r="A239" t="s">
        <v>715</v>
      </c>
      <c r="B239" t="s">
        <v>432</v>
      </c>
      <c r="C239">
        <v>3</v>
      </c>
      <c r="D239">
        <v>20230524</v>
      </c>
      <c r="E239">
        <v>5</v>
      </c>
      <c r="F239">
        <v>512200</v>
      </c>
      <c r="G239" t="s">
        <v>432</v>
      </c>
      <c r="H239" t="s">
        <v>401</v>
      </c>
      <c r="I239" t="s">
        <v>402</v>
      </c>
      <c r="J239">
        <v>371352</v>
      </c>
      <c r="K239">
        <v>20230524</v>
      </c>
      <c r="L239" t="s">
        <v>1607</v>
      </c>
      <c r="M239">
        <v>0</v>
      </c>
      <c r="N239">
        <v>42</v>
      </c>
      <c r="O239" t="s">
        <v>19</v>
      </c>
      <c r="P239" t="s">
        <v>20</v>
      </c>
      <c r="Q239">
        <v>20230524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4"/>
  <sheetViews>
    <sheetView workbookViewId="0">
      <selection activeCell="F3" sqref="F3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4760</v>
      </c>
      <c r="B2" t="s">
        <v>4761</v>
      </c>
      <c r="C2">
        <v>1</v>
      </c>
      <c r="D2">
        <v>20230615</v>
      </c>
      <c r="E2">
        <v>6</v>
      </c>
      <c r="F2">
        <v>411010</v>
      </c>
      <c r="G2" t="s">
        <v>87</v>
      </c>
      <c r="H2" t="s">
        <v>367</v>
      </c>
      <c r="I2" t="s">
        <v>368</v>
      </c>
      <c r="J2">
        <v>223010001</v>
      </c>
      <c r="K2">
        <v>20230615</v>
      </c>
      <c r="L2" t="s">
        <v>6508</v>
      </c>
      <c r="M2">
        <v>0</v>
      </c>
      <c r="N2">
        <v>1058.47</v>
      </c>
      <c r="O2" t="s">
        <v>19</v>
      </c>
      <c r="P2" t="s">
        <v>20</v>
      </c>
      <c r="Q2">
        <v>20230615</v>
      </c>
    </row>
    <row r="3" spans="1:19" x14ac:dyDescent="0.25">
      <c r="A3" t="s">
        <v>4760</v>
      </c>
      <c r="B3" t="s">
        <v>4761</v>
      </c>
      <c r="C3">
        <v>1</v>
      </c>
      <c r="D3">
        <v>20230615</v>
      </c>
      <c r="E3">
        <v>6</v>
      </c>
      <c r="F3">
        <v>512100</v>
      </c>
      <c r="G3" t="s">
        <v>4761</v>
      </c>
      <c r="H3" t="s">
        <v>401</v>
      </c>
      <c r="I3" t="s">
        <v>402</v>
      </c>
      <c r="J3">
        <v>372389</v>
      </c>
      <c r="K3">
        <v>20230615</v>
      </c>
      <c r="L3" t="s">
        <v>3268</v>
      </c>
      <c r="M3">
        <v>1058.47</v>
      </c>
      <c r="N3">
        <v>0</v>
      </c>
      <c r="O3" t="s">
        <v>19</v>
      </c>
      <c r="P3" t="s">
        <v>20</v>
      </c>
      <c r="Q3">
        <v>20230615</v>
      </c>
    </row>
    <row r="4" spans="1:19" x14ac:dyDescent="0.25">
      <c r="A4" t="s">
        <v>476</v>
      </c>
      <c r="B4" t="s">
        <v>477</v>
      </c>
      <c r="C4">
        <v>2</v>
      </c>
      <c r="D4">
        <v>20230603</v>
      </c>
      <c r="E4">
        <v>6</v>
      </c>
      <c r="F4">
        <v>627000</v>
      </c>
      <c r="G4" t="s">
        <v>480</v>
      </c>
      <c r="H4" t="s">
        <v>401</v>
      </c>
      <c r="I4" t="s">
        <v>402</v>
      </c>
      <c r="J4" t="s">
        <v>6507</v>
      </c>
      <c r="K4">
        <v>20230603</v>
      </c>
      <c r="L4" t="s">
        <v>4488</v>
      </c>
      <c r="M4">
        <v>49</v>
      </c>
      <c r="N4">
        <v>0</v>
      </c>
      <c r="O4" t="s">
        <v>19</v>
      </c>
      <c r="P4" t="s">
        <v>20</v>
      </c>
      <c r="Q4">
        <v>20230603</v>
      </c>
    </row>
    <row r="5" spans="1:19" x14ac:dyDescent="0.25">
      <c r="A5" t="s">
        <v>476</v>
      </c>
      <c r="B5" t="s">
        <v>477</v>
      </c>
      <c r="C5">
        <v>2</v>
      </c>
      <c r="D5">
        <v>20230603</v>
      </c>
      <c r="E5">
        <v>6</v>
      </c>
      <c r="F5">
        <v>512000</v>
      </c>
      <c r="G5" t="s">
        <v>428</v>
      </c>
      <c r="H5" t="s">
        <v>401</v>
      </c>
      <c r="I5" t="s">
        <v>402</v>
      </c>
      <c r="J5" t="s">
        <v>6507</v>
      </c>
      <c r="K5">
        <v>20230603</v>
      </c>
      <c r="L5" t="s">
        <v>4488</v>
      </c>
      <c r="M5">
        <v>0</v>
      </c>
      <c r="N5">
        <v>49</v>
      </c>
      <c r="O5" t="s">
        <v>19</v>
      </c>
      <c r="P5" t="s">
        <v>20</v>
      </c>
      <c r="Q5">
        <v>20230603</v>
      </c>
    </row>
    <row r="6" spans="1:19" x14ac:dyDescent="0.25">
      <c r="A6" t="s">
        <v>476</v>
      </c>
      <c r="B6" t="s">
        <v>477</v>
      </c>
      <c r="C6">
        <v>2</v>
      </c>
      <c r="D6">
        <v>20230603</v>
      </c>
      <c r="E6">
        <v>6</v>
      </c>
      <c r="F6">
        <v>627000</v>
      </c>
      <c r="G6" t="s">
        <v>480</v>
      </c>
      <c r="H6" t="s">
        <v>401</v>
      </c>
      <c r="I6" t="s">
        <v>402</v>
      </c>
      <c r="J6" t="s">
        <v>6506</v>
      </c>
      <c r="K6">
        <v>20230603</v>
      </c>
      <c r="L6" t="s">
        <v>4488</v>
      </c>
      <c r="M6">
        <v>12.74</v>
      </c>
      <c r="N6">
        <v>0</v>
      </c>
      <c r="O6" t="s">
        <v>19</v>
      </c>
      <c r="P6" t="s">
        <v>20</v>
      </c>
      <c r="Q6">
        <v>20230603</v>
      </c>
    </row>
    <row r="7" spans="1:19" x14ac:dyDescent="0.25">
      <c r="A7" t="s">
        <v>476</v>
      </c>
      <c r="B7" t="s">
        <v>477</v>
      </c>
      <c r="C7">
        <v>2</v>
      </c>
      <c r="D7">
        <v>20230603</v>
      </c>
      <c r="E7">
        <v>6</v>
      </c>
      <c r="F7">
        <v>512000</v>
      </c>
      <c r="G7" t="s">
        <v>428</v>
      </c>
      <c r="H7" t="s">
        <v>401</v>
      </c>
      <c r="I7" t="s">
        <v>402</v>
      </c>
      <c r="J7" t="s">
        <v>6506</v>
      </c>
      <c r="K7">
        <v>20230603</v>
      </c>
      <c r="L7" t="s">
        <v>4488</v>
      </c>
      <c r="M7">
        <v>0</v>
      </c>
      <c r="N7">
        <v>12.74</v>
      </c>
      <c r="O7" t="s">
        <v>19</v>
      </c>
      <c r="P7" t="s">
        <v>20</v>
      </c>
      <c r="Q7">
        <v>20230603</v>
      </c>
    </row>
    <row r="8" spans="1:19" x14ac:dyDescent="0.25">
      <c r="A8" t="s">
        <v>476</v>
      </c>
      <c r="B8" t="s">
        <v>477</v>
      </c>
      <c r="C8">
        <v>2</v>
      </c>
      <c r="D8">
        <v>20230605</v>
      </c>
      <c r="E8">
        <v>6</v>
      </c>
      <c r="F8">
        <v>401000</v>
      </c>
      <c r="G8" t="s">
        <v>41</v>
      </c>
      <c r="H8" t="s">
        <v>225</v>
      </c>
      <c r="I8" t="s">
        <v>226</v>
      </c>
      <c r="J8" t="s">
        <v>6505</v>
      </c>
      <c r="K8">
        <v>20230605</v>
      </c>
      <c r="L8" t="s">
        <v>488</v>
      </c>
      <c r="M8">
        <v>475.4</v>
      </c>
      <c r="N8">
        <v>0</v>
      </c>
      <c r="O8" t="s">
        <v>19</v>
      </c>
      <c r="P8" t="s">
        <v>20</v>
      </c>
      <c r="Q8">
        <v>20230605</v>
      </c>
    </row>
    <row r="9" spans="1:19" x14ac:dyDescent="0.25">
      <c r="A9" t="s">
        <v>476</v>
      </c>
      <c r="B9" t="s">
        <v>477</v>
      </c>
      <c r="C9">
        <v>2</v>
      </c>
      <c r="D9">
        <v>20230605</v>
      </c>
      <c r="E9">
        <v>6</v>
      </c>
      <c r="F9">
        <v>512000</v>
      </c>
      <c r="G9" t="s">
        <v>428</v>
      </c>
      <c r="H9" t="s">
        <v>401</v>
      </c>
      <c r="I9" t="s">
        <v>402</v>
      </c>
      <c r="J9" t="s">
        <v>6505</v>
      </c>
      <c r="K9">
        <v>20230605</v>
      </c>
      <c r="L9" t="s">
        <v>488</v>
      </c>
      <c r="M9">
        <v>0</v>
      </c>
      <c r="N9">
        <v>475.4</v>
      </c>
      <c r="O9" t="s">
        <v>19</v>
      </c>
      <c r="P9" t="s">
        <v>20</v>
      </c>
      <c r="Q9">
        <v>20230605</v>
      </c>
    </row>
    <row r="10" spans="1:19" x14ac:dyDescent="0.25">
      <c r="A10" t="s">
        <v>476</v>
      </c>
      <c r="B10" t="s">
        <v>477</v>
      </c>
      <c r="C10">
        <v>2</v>
      </c>
      <c r="D10">
        <v>20230606</v>
      </c>
      <c r="E10">
        <v>6</v>
      </c>
      <c r="F10">
        <v>445050</v>
      </c>
      <c r="G10" t="s">
        <v>416</v>
      </c>
      <c r="H10" t="s">
        <v>401</v>
      </c>
      <c r="I10" t="s">
        <v>402</v>
      </c>
      <c r="J10" t="s">
        <v>6504</v>
      </c>
      <c r="K10">
        <v>20230606</v>
      </c>
      <c r="L10" t="s">
        <v>6503</v>
      </c>
      <c r="M10">
        <v>0</v>
      </c>
      <c r="N10">
        <v>7078.5</v>
      </c>
      <c r="O10" t="s">
        <v>23</v>
      </c>
      <c r="P10">
        <v>20230706</v>
      </c>
      <c r="Q10">
        <v>20230606</v>
      </c>
    </row>
    <row r="11" spans="1:19" x14ac:dyDescent="0.25">
      <c r="A11" t="s">
        <v>476</v>
      </c>
      <c r="B11" t="s">
        <v>477</v>
      </c>
      <c r="C11">
        <v>2</v>
      </c>
      <c r="D11">
        <v>20230606</v>
      </c>
      <c r="E11">
        <v>6</v>
      </c>
      <c r="F11">
        <v>512000</v>
      </c>
      <c r="G11" t="s">
        <v>428</v>
      </c>
      <c r="H11" t="s">
        <v>401</v>
      </c>
      <c r="I11" t="s">
        <v>402</v>
      </c>
      <c r="J11" t="s">
        <v>6504</v>
      </c>
      <c r="K11">
        <v>20230606</v>
      </c>
      <c r="L11" t="s">
        <v>6503</v>
      </c>
      <c r="M11">
        <v>7078.5</v>
      </c>
      <c r="N11">
        <v>0</v>
      </c>
      <c r="O11" t="s">
        <v>19</v>
      </c>
      <c r="P11" t="s">
        <v>20</v>
      </c>
      <c r="Q11">
        <v>20230606</v>
      </c>
    </row>
    <row r="12" spans="1:19" x14ac:dyDescent="0.25">
      <c r="A12" t="s">
        <v>476</v>
      </c>
      <c r="B12" t="s">
        <v>477</v>
      </c>
      <c r="C12">
        <v>2</v>
      </c>
      <c r="D12">
        <v>20230606</v>
      </c>
      <c r="E12">
        <v>6</v>
      </c>
      <c r="F12">
        <v>445050</v>
      </c>
      <c r="G12" t="s">
        <v>416</v>
      </c>
      <c r="H12" t="s">
        <v>401</v>
      </c>
      <c r="I12" t="s">
        <v>402</v>
      </c>
      <c r="J12" t="s">
        <v>6501</v>
      </c>
      <c r="K12">
        <v>20230606</v>
      </c>
      <c r="L12" t="s">
        <v>6502</v>
      </c>
      <c r="M12">
        <v>0</v>
      </c>
      <c r="N12">
        <v>7078.5</v>
      </c>
      <c r="O12" t="s">
        <v>23</v>
      </c>
      <c r="P12">
        <v>20230706</v>
      </c>
      <c r="Q12">
        <v>20230606</v>
      </c>
    </row>
    <row r="13" spans="1:19" x14ac:dyDescent="0.25">
      <c r="A13" t="s">
        <v>476</v>
      </c>
      <c r="B13" t="s">
        <v>477</v>
      </c>
      <c r="C13">
        <v>2</v>
      </c>
      <c r="D13">
        <v>20230606</v>
      </c>
      <c r="E13">
        <v>6</v>
      </c>
      <c r="F13">
        <v>445050</v>
      </c>
      <c r="G13" t="s">
        <v>416</v>
      </c>
      <c r="H13" t="s">
        <v>401</v>
      </c>
      <c r="I13" t="s">
        <v>402</v>
      </c>
      <c r="J13" t="s">
        <v>6501</v>
      </c>
      <c r="K13">
        <v>20230606</v>
      </c>
      <c r="L13" t="s">
        <v>6500</v>
      </c>
      <c r="M13">
        <v>776.88</v>
      </c>
      <c r="N13">
        <v>0</v>
      </c>
      <c r="O13" t="s">
        <v>23</v>
      </c>
      <c r="P13">
        <v>20230706</v>
      </c>
      <c r="Q13">
        <v>20230606</v>
      </c>
    </row>
    <row r="14" spans="1:19" x14ac:dyDescent="0.25">
      <c r="A14" t="s">
        <v>476</v>
      </c>
      <c r="B14" t="s">
        <v>477</v>
      </c>
      <c r="C14">
        <v>2</v>
      </c>
      <c r="D14">
        <v>20230606</v>
      </c>
      <c r="E14">
        <v>6</v>
      </c>
      <c r="F14">
        <v>512000</v>
      </c>
      <c r="G14" t="s">
        <v>428</v>
      </c>
      <c r="H14" t="s">
        <v>401</v>
      </c>
      <c r="I14" t="s">
        <v>402</v>
      </c>
      <c r="J14" t="s">
        <v>6501</v>
      </c>
      <c r="K14">
        <v>20230606</v>
      </c>
      <c r="L14" t="s">
        <v>6500</v>
      </c>
      <c r="M14">
        <v>6301.62</v>
      </c>
      <c r="N14">
        <v>0</v>
      </c>
      <c r="O14" t="s">
        <v>19</v>
      </c>
      <c r="P14" t="s">
        <v>20</v>
      </c>
      <c r="Q14">
        <v>20230606</v>
      </c>
    </row>
    <row r="15" spans="1:19" x14ac:dyDescent="0.25">
      <c r="A15" t="s">
        <v>476</v>
      </c>
      <c r="B15" t="s">
        <v>477</v>
      </c>
      <c r="C15">
        <v>2</v>
      </c>
      <c r="D15">
        <v>20230606</v>
      </c>
      <c r="E15">
        <v>6</v>
      </c>
      <c r="F15">
        <v>468725</v>
      </c>
      <c r="G15" t="s">
        <v>424</v>
      </c>
      <c r="H15" t="s">
        <v>401</v>
      </c>
      <c r="I15" t="s">
        <v>402</v>
      </c>
      <c r="J15" t="s">
        <v>6499</v>
      </c>
      <c r="K15">
        <v>20230606</v>
      </c>
      <c r="L15" t="s">
        <v>2403</v>
      </c>
      <c r="M15">
        <v>0</v>
      </c>
      <c r="N15">
        <v>2666.64</v>
      </c>
      <c r="O15" t="s">
        <v>19</v>
      </c>
      <c r="P15" t="s">
        <v>20</v>
      </c>
      <c r="Q15">
        <v>20230606</v>
      </c>
    </row>
    <row r="16" spans="1:19" x14ac:dyDescent="0.25">
      <c r="A16" t="s">
        <v>476</v>
      </c>
      <c r="B16" t="s">
        <v>477</v>
      </c>
      <c r="C16">
        <v>2</v>
      </c>
      <c r="D16">
        <v>20230606</v>
      </c>
      <c r="E16">
        <v>6</v>
      </c>
      <c r="F16">
        <v>512000</v>
      </c>
      <c r="G16" t="s">
        <v>428</v>
      </c>
      <c r="H16" t="s">
        <v>401</v>
      </c>
      <c r="I16" t="s">
        <v>402</v>
      </c>
      <c r="J16" t="s">
        <v>6499</v>
      </c>
      <c r="K16">
        <v>20230606</v>
      </c>
      <c r="L16" t="s">
        <v>2403</v>
      </c>
      <c r="M16">
        <v>2666.64</v>
      </c>
      <c r="N16">
        <v>0</v>
      </c>
      <c r="O16" t="s">
        <v>19</v>
      </c>
      <c r="P16" t="s">
        <v>20</v>
      </c>
      <c r="Q16">
        <v>20230606</v>
      </c>
    </row>
    <row r="17" spans="1:17" x14ac:dyDescent="0.25">
      <c r="A17" t="s">
        <v>476</v>
      </c>
      <c r="B17" t="s">
        <v>477</v>
      </c>
      <c r="C17">
        <v>2</v>
      </c>
      <c r="D17">
        <v>20230607</v>
      </c>
      <c r="E17">
        <v>6</v>
      </c>
      <c r="F17">
        <v>467100</v>
      </c>
      <c r="G17" t="s">
        <v>160</v>
      </c>
      <c r="H17" t="s">
        <v>5416</v>
      </c>
      <c r="I17" t="s">
        <v>5417</v>
      </c>
      <c r="J17" t="s">
        <v>6498</v>
      </c>
      <c r="K17">
        <v>20230607</v>
      </c>
      <c r="L17" t="s">
        <v>5757</v>
      </c>
      <c r="M17">
        <v>315.89999999999998</v>
      </c>
      <c r="N17">
        <v>0</v>
      </c>
      <c r="O17" t="s">
        <v>19</v>
      </c>
      <c r="P17" t="s">
        <v>20</v>
      </c>
      <c r="Q17">
        <v>20230607</v>
      </c>
    </row>
    <row r="18" spans="1:17" x14ac:dyDescent="0.25">
      <c r="A18" t="s">
        <v>476</v>
      </c>
      <c r="B18" t="s">
        <v>477</v>
      </c>
      <c r="C18">
        <v>2</v>
      </c>
      <c r="D18">
        <v>20230607</v>
      </c>
      <c r="E18">
        <v>6</v>
      </c>
      <c r="F18">
        <v>467100</v>
      </c>
      <c r="G18" t="s">
        <v>160</v>
      </c>
      <c r="H18" t="s">
        <v>185</v>
      </c>
      <c r="I18" t="s">
        <v>186</v>
      </c>
      <c r="J18" t="s">
        <v>6498</v>
      </c>
      <c r="K18">
        <v>20230607</v>
      </c>
      <c r="L18" t="s">
        <v>5757</v>
      </c>
      <c r="M18">
        <v>800</v>
      </c>
      <c r="N18">
        <v>0</v>
      </c>
      <c r="O18" t="s">
        <v>19</v>
      </c>
      <c r="P18" t="s">
        <v>20</v>
      </c>
      <c r="Q18">
        <v>20230607</v>
      </c>
    </row>
    <row r="19" spans="1:17" x14ac:dyDescent="0.25">
      <c r="A19" t="s">
        <v>476</v>
      </c>
      <c r="B19" t="s">
        <v>477</v>
      </c>
      <c r="C19">
        <v>2</v>
      </c>
      <c r="D19">
        <v>20230607</v>
      </c>
      <c r="E19">
        <v>6</v>
      </c>
      <c r="F19">
        <v>512000</v>
      </c>
      <c r="G19" t="s">
        <v>428</v>
      </c>
      <c r="H19" t="s">
        <v>401</v>
      </c>
      <c r="I19" t="s">
        <v>402</v>
      </c>
      <c r="J19" t="s">
        <v>6498</v>
      </c>
      <c r="K19">
        <v>20230607</v>
      </c>
      <c r="L19" t="s">
        <v>5757</v>
      </c>
      <c r="M19">
        <v>0</v>
      </c>
      <c r="N19">
        <v>1115.9000000000001</v>
      </c>
      <c r="O19" t="s">
        <v>19</v>
      </c>
      <c r="P19" t="s">
        <v>20</v>
      </c>
      <c r="Q19">
        <v>20230607</v>
      </c>
    </row>
    <row r="20" spans="1:17" x14ac:dyDescent="0.25">
      <c r="A20" t="s">
        <v>476</v>
      </c>
      <c r="B20" t="s">
        <v>477</v>
      </c>
      <c r="C20">
        <v>2</v>
      </c>
      <c r="D20">
        <v>20230607</v>
      </c>
      <c r="E20">
        <v>6</v>
      </c>
      <c r="F20">
        <v>468200</v>
      </c>
      <c r="G20" t="s">
        <v>421</v>
      </c>
      <c r="H20" t="s">
        <v>401</v>
      </c>
      <c r="I20" t="s">
        <v>402</v>
      </c>
      <c r="J20" t="s">
        <v>6497</v>
      </c>
      <c r="K20">
        <v>20230607</v>
      </c>
      <c r="L20" t="s">
        <v>422</v>
      </c>
      <c r="M20">
        <v>0</v>
      </c>
      <c r="N20">
        <v>404.32</v>
      </c>
      <c r="O20" t="s">
        <v>19</v>
      </c>
      <c r="P20" t="s">
        <v>20</v>
      </c>
      <c r="Q20">
        <v>20230607</v>
      </c>
    </row>
    <row r="21" spans="1:17" x14ac:dyDescent="0.25">
      <c r="A21" t="s">
        <v>476</v>
      </c>
      <c r="B21" t="s">
        <v>477</v>
      </c>
      <c r="C21">
        <v>2</v>
      </c>
      <c r="D21">
        <v>20230607</v>
      </c>
      <c r="E21">
        <v>6</v>
      </c>
      <c r="F21">
        <v>512000</v>
      </c>
      <c r="G21" t="s">
        <v>428</v>
      </c>
      <c r="H21" t="s">
        <v>401</v>
      </c>
      <c r="I21" t="s">
        <v>402</v>
      </c>
      <c r="J21" t="s">
        <v>6497</v>
      </c>
      <c r="K21">
        <v>20230607</v>
      </c>
      <c r="L21" t="s">
        <v>422</v>
      </c>
      <c r="M21">
        <v>404.32</v>
      </c>
      <c r="N21">
        <v>0</v>
      </c>
      <c r="O21" t="s">
        <v>19</v>
      </c>
      <c r="P21" t="s">
        <v>20</v>
      </c>
      <c r="Q21">
        <v>20230607</v>
      </c>
    </row>
    <row r="22" spans="1:17" x14ac:dyDescent="0.25">
      <c r="A22" t="s">
        <v>476</v>
      </c>
      <c r="B22" t="s">
        <v>477</v>
      </c>
      <c r="C22">
        <v>2</v>
      </c>
      <c r="D22">
        <v>20230608</v>
      </c>
      <c r="E22">
        <v>6</v>
      </c>
      <c r="F22">
        <v>445060</v>
      </c>
      <c r="G22" t="s">
        <v>2452</v>
      </c>
      <c r="H22" t="s">
        <v>401</v>
      </c>
      <c r="I22" t="s">
        <v>402</v>
      </c>
      <c r="J22" t="s">
        <v>6496</v>
      </c>
      <c r="K22">
        <v>20230608</v>
      </c>
      <c r="L22" t="s">
        <v>6495</v>
      </c>
      <c r="M22">
        <v>0</v>
      </c>
      <c r="N22">
        <v>44039</v>
      </c>
      <c r="O22" t="s">
        <v>19</v>
      </c>
      <c r="P22" t="s">
        <v>20</v>
      </c>
      <c r="Q22">
        <v>20230608</v>
      </c>
    </row>
    <row r="23" spans="1:17" x14ac:dyDescent="0.25">
      <c r="A23" t="s">
        <v>476</v>
      </c>
      <c r="B23" t="s">
        <v>477</v>
      </c>
      <c r="C23">
        <v>2</v>
      </c>
      <c r="D23">
        <v>20230608</v>
      </c>
      <c r="E23">
        <v>6</v>
      </c>
      <c r="F23">
        <v>512000</v>
      </c>
      <c r="G23" t="s">
        <v>428</v>
      </c>
      <c r="H23" t="s">
        <v>401</v>
      </c>
      <c r="I23" t="s">
        <v>402</v>
      </c>
      <c r="J23" t="s">
        <v>6496</v>
      </c>
      <c r="K23">
        <v>20230608</v>
      </c>
      <c r="L23" t="s">
        <v>6495</v>
      </c>
      <c r="M23">
        <v>44039</v>
      </c>
      <c r="N23">
        <v>0</v>
      </c>
      <c r="O23" t="s">
        <v>19</v>
      </c>
      <c r="P23" t="s">
        <v>20</v>
      </c>
      <c r="Q23">
        <v>20230608</v>
      </c>
    </row>
    <row r="24" spans="1:17" x14ac:dyDescent="0.25">
      <c r="A24" t="s">
        <v>476</v>
      </c>
      <c r="B24" t="s">
        <v>477</v>
      </c>
      <c r="C24">
        <v>2</v>
      </c>
      <c r="D24">
        <v>20230608</v>
      </c>
      <c r="E24">
        <v>6</v>
      </c>
      <c r="F24">
        <v>401000</v>
      </c>
      <c r="G24" t="s">
        <v>41</v>
      </c>
      <c r="H24" t="s">
        <v>852</v>
      </c>
      <c r="I24" t="s">
        <v>853</v>
      </c>
      <c r="J24" t="s">
        <v>6494</v>
      </c>
      <c r="K24">
        <v>20230608</v>
      </c>
      <c r="L24" t="s">
        <v>6493</v>
      </c>
      <c r="M24">
        <v>1050</v>
      </c>
      <c r="N24">
        <v>0</v>
      </c>
      <c r="O24" t="s">
        <v>19</v>
      </c>
      <c r="P24" t="s">
        <v>20</v>
      </c>
      <c r="Q24">
        <v>20230608</v>
      </c>
    </row>
    <row r="25" spans="1:17" x14ac:dyDescent="0.25">
      <c r="A25" t="s">
        <v>476</v>
      </c>
      <c r="B25" t="s">
        <v>477</v>
      </c>
      <c r="C25">
        <v>2</v>
      </c>
      <c r="D25">
        <v>20230608</v>
      </c>
      <c r="E25">
        <v>6</v>
      </c>
      <c r="F25">
        <v>512000</v>
      </c>
      <c r="G25" t="s">
        <v>428</v>
      </c>
      <c r="H25" t="s">
        <v>401</v>
      </c>
      <c r="I25" t="s">
        <v>402</v>
      </c>
      <c r="J25" t="s">
        <v>6494</v>
      </c>
      <c r="K25">
        <v>20230608</v>
      </c>
      <c r="L25" t="s">
        <v>6493</v>
      </c>
      <c r="M25">
        <v>0</v>
      </c>
      <c r="N25">
        <v>1050</v>
      </c>
      <c r="O25" t="s">
        <v>19</v>
      </c>
      <c r="P25" t="s">
        <v>20</v>
      </c>
      <c r="Q25">
        <v>20230608</v>
      </c>
    </row>
    <row r="26" spans="1:17" x14ac:dyDescent="0.25">
      <c r="A26" t="s">
        <v>476</v>
      </c>
      <c r="B26" t="s">
        <v>477</v>
      </c>
      <c r="C26">
        <v>2</v>
      </c>
      <c r="D26">
        <v>20230608</v>
      </c>
      <c r="E26">
        <v>6</v>
      </c>
      <c r="F26">
        <v>791100</v>
      </c>
      <c r="G26" t="s">
        <v>806</v>
      </c>
      <c r="H26" t="s">
        <v>401</v>
      </c>
      <c r="I26" t="s">
        <v>402</v>
      </c>
      <c r="J26" t="s">
        <v>6492</v>
      </c>
      <c r="K26">
        <v>20230608</v>
      </c>
      <c r="L26" t="s">
        <v>1345</v>
      </c>
      <c r="M26">
        <v>0</v>
      </c>
      <c r="N26">
        <v>390</v>
      </c>
      <c r="O26" t="s">
        <v>19</v>
      </c>
      <c r="P26" t="s">
        <v>20</v>
      </c>
      <c r="Q26">
        <v>20230608</v>
      </c>
    </row>
    <row r="27" spans="1:17" x14ac:dyDescent="0.25">
      <c r="A27" t="s">
        <v>476</v>
      </c>
      <c r="B27" t="s">
        <v>477</v>
      </c>
      <c r="C27">
        <v>2</v>
      </c>
      <c r="D27">
        <v>20230608</v>
      </c>
      <c r="E27">
        <v>6</v>
      </c>
      <c r="F27">
        <v>512000</v>
      </c>
      <c r="G27" t="s">
        <v>428</v>
      </c>
      <c r="H27" t="s">
        <v>401</v>
      </c>
      <c r="I27" t="s">
        <v>402</v>
      </c>
      <c r="J27" t="s">
        <v>6492</v>
      </c>
      <c r="K27">
        <v>20230608</v>
      </c>
      <c r="L27" t="s">
        <v>1345</v>
      </c>
      <c r="M27">
        <v>390</v>
      </c>
      <c r="N27">
        <v>0</v>
      </c>
      <c r="O27" t="s">
        <v>19</v>
      </c>
      <c r="P27" t="s">
        <v>20</v>
      </c>
      <c r="Q27">
        <v>20230608</v>
      </c>
    </row>
    <row r="28" spans="1:17" x14ac:dyDescent="0.25">
      <c r="A28" t="s">
        <v>476</v>
      </c>
      <c r="B28" t="s">
        <v>477</v>
      </c>
      <c r="C28">
        <v>2</v>
      </c>
      <c r="D28">
        <v>20230608</v>
      </c>
      <c r="E28">
        <v>6</v>
      </c>
      <c r="F28">
        <v>468200</v>
      </c>
      <c r="G28" t="s">
        <v>421</v>
      </c>
      <c r="H28" t="s">
        <v>401</v>
      </c>
      <c r="I28" t="s">
        <v>402</v>
      </c>
      <c r="J28" t="s">
        <v>6491</v>
      </c>
      <c r="K28">
        <v>20230608</v>
      </c>
      <c r="L28" t="s">
        <v>422</v>
      </c>
      <c r="M28">
        <v>0</v>
      </c>
      <c r="N28">
        <v>701.12</v>
      </c>
      <c r="O28" t="s">
        <v>19</v>
      </c>
      <c r="P28" t="s">
        <v>20</v>
      </c>
      <c r="Q28">
        <v>20230608</v>
      </c>
    </row>
    <row r="29" spans="1:17" x14ac:dyDescent="0.25">
      <c r="A29" t="s">
        <v>476</v>
      </c>
      <c r="B29" t="s">
        <v>477</v>
      </c>
      <c r="C29">
        <v>2</v>
      </c>
      <c r="D29">
        <v>20230608</v>
      </c>
      <c r="E29">
        <v>6</v>
      </c>
      <c r="F29">
        <v>512000</v>
      </c>
      <c r="G29" t="s">
        <v>428</v>
      </c>
      <c r="H29" t="s">
        <v>401</v>
      </c>
      <c r="I29" t="s">
        <v>402</v>
      </c>
      <c r="J29" t="s">
        <v>6491</v>
      </c>
      <c r="K29">
        <v>20230608</v>
      </c>
      <c r="L29" t="s">
        <v>422</v>
      </c>
      <c r="M29">
        <v>701.12</v>
      </c>
      <c r="N29">
        <v>0</v>
      </c>
      <c r="O29" t="s">
        <v>19</v>
      </c>
      <c r="P29" t="s">
        <v>20</v>
      </c>
      <c r="Q29">
        <v>20230608</v>
      </c>
    </row>
    <row r="30" spans="1:17" x14ac:dyDescent="0.25">
      <c r="A30" t="s">
        <v>476</v>
      </c>
      <c r="B30" t="s">
        <v>477</v>
      </c>
      <c r="C30">
        <v>2</v>
      </c>
      <c r="D30">
        <v>20230608</v>
      </c>
      <c r="E30">
        <v>6</v>
      </c>
      <c r="F30">
        <v>437000</v>
      </c>
      <c r="G30" t="s">
        <v>430</v>
      </c>
      <c r="H30" t="s">
        <v>401</v>
      </c>
      <c r="I30" t="s">
        <v>402</v>
      </c>
      <c r="J30" t="s">
        <v>6490</v>
      </c>
      <c r="K30">
        <v>20230608</v>
      </c>
      <c r="L30" t="s">
        <v>497</v>
      </c>
      <c r="M30">
        <v>0</v>
      </c>
      <c r="N30">
        <v>1468.32</v>
      </c>
      <c r="O30" t="s">
        <v>19</v>
      </c>
      <c r="P30" t="s">
        <v>20</v>
      </c>
      <c r="Q30">
        <v>20230608</v>
      </c>
    </row>
    <row r="31" spans="1:17" x14ac:dyDescent="0.25">
      <c r="A31" t="s">
        <v>476</v>
      </c>
      <c r="B31" t="s">
        <v>477</v>
      </c>
      <c r="C31">
        <v>2</v>
      </c>
      <c r="D31">
        <v>20230608</v>
      </c>
      <c r="E31">
        <v>6</v>
      </c>
      <c r="F31">
        <v>512000</v>
      </c>
      <c r="G31" t="s">
        <v>428</v>
      </c>
      <c r="H31" t="s">
        <v>401</v>
      </c>
      <c r="I31" t="s">
        <v>402</v>
      </c>
      <c r="J31" t="s">
        <v>6490</v>
      </c>
      <c r="K31">
        <v>20230608</v>
      </c>
      <c r="L31" t="s">
        <v>497</v>
      </c>
      <c r="M31">
        <v>1468.32</v>
      </c>
      <c r="N31">
        <v>0</v>
      </c>
      <c r="O31" t="s">
        <v>19</v>
      </c>
      <c r="P31" t="s">
        <v>20</v>
      </c>
      <c r="Q31">
        <v>20230608</v>
      </c>
    </row>
    <row r="32" spans="1:17" x14ac:dyDescent="0.25">
      <c r="A32" t="s">
        <v>476</v>
      </c>
      <c r="B32" t="s">
        <v>477</v>
      </c>
      <c r="C32">
        <v>2</v>
      </c>
      <c r="D32">
        <v>20230609</v>
      </c>
      <c r="E32">
        <v>6</v>
      </c>
      <c r="F32">
        <v>401000</v>
      </c>
      <c r="G32" t="s">
        <v>41</v>
      </c>
      <c r="H32" t="s">
        <v>42</v>
      </c>
      <c r="I32" t="s">
        <v>43</v>
      </c>
      <c r="J32" t="s">
        <v>6489</v>
      </c>
      <c r="K32">
        <v>20230609</v>
      </c>
      <c r="L32" t="s">
        <v>5758</v>
      </c>
      <c r="M32">
        <v>687.49</v>
      </c>
      <c r="N32">
        <v>0</v>
      </c>
      <c r="O32" t="s">
        <v>22</v>
      </c>
      <c r="P32">
        <v>20230609</v>
      </c>
      <c r="Q32">
        <v>20230609</v>
      </c>
    </row>
    <row r="33" spans="1:17" x14ac:dyDescent="0.25">
      <c r="A33" t="s">
        <v>476</v>
      </c>
      <c r="B33" t="s">
        <v>477</v>
      </c>
      <c r="C33">
        <v>2</v>
      </c>
      <c r="D33">
        <v>20230609</v>
      </c>
      <c r="E33">
        <v>6</v>
      </c>
      <c r="F33">
        <v>401000</v>
      </c>
      <c r="G33" t="s">
        <v>41</v>
      </c>
      <c r="H33" t="s">
        <v>2394</v>
      </c>
      <c r="I33" t="s">
        <v>2395</v>
      </c>
      <c r="J33" t="s">
        <v>6489</v>
      </c>
      <c r="K33">
        <v>20230609</v>
      </c>
      <c r="L33" t="s">
        <v>5758</v>
      </c>
      <c r="M33">
        <v>5880</v>
      </c>
      <c r="N33">
        <v>0</v>
      </c>
      <c r="O33" t="s">
        <v>22</v>
      </c>
      <c r="P33">
        <v>20230609</v>
      </c>
      <c r="Q33">
        <v>20230609</v>
      </c>
    </row>
    <row r="34" spans="1:17" x14ac:dyDescent="0.25">
      <c r="A34" t="s">
        <v>476</v>
      </c>
      <c r="B34" t="s">
        <v>477</v>
      </c>
      <c r="C34">
        <v>2</v>
      </c>
      <c r="D34">
        <v>20230609</v>
      </c>
      <c r="E34">
        <v>6</v>
      </c>
      <c r="F34">
        <v>401000</v>
      </c>
      <c r="G34" t="s">
        <v>41</v>
      </c>
      <c r="H34" t="s">
        <v>56</v>
      </c>
      <c r="I34" t="s">
        <v>57</v>
      </c>
      <c r="J34" t="s">
        <v>6489</v>
      </c>
      <c r="K34">
        <v>20230609</v>
      </c>
      <c r="L34" t="s">
        <v>5758</v>
      </c>
      <c r="M34">
        <v>663.43</v>
      </c>
      <c r="N34">
        <v>0</v>
      </c>
      <c r="O34" t="s">
        <v>22</v>
      </c>
      <c r="P34">
        <v>20230609</v>
      </c>
      <c r="Q34">
        <v>20230609</v>
      </c>
    </row>
    <row r="35" spans="1:17" x14ac:dyDescent="0.25">
      <c r="A35" t="s">
        <v>476</v>
      </c>
      <c r="B35" t="s">
        <v>477</v>
      </c>
      <c r="C35">
        <v>2</v>
      </c>
      <c r="D35">
        <v>20230609</v>
      </c>
      <c r="E35">
        <v>6</v>
      </c>
      <c r="F35">
        <v>401000</v>
      </c>
      <c r="G35" t="s">
        <v>41</v>
      </c>
      <c r="H35" t="s">
        <v>2059</v>
      </c>
      <c r="I35" t="s">
        <v>2060</v>
      </c>
      <c r="J35" t="s">
        <v>6489</v>
      </c>
      <c r="K35">
        <v>20230609</v>
      </c>
      <c r="L35" t="s">
        <v>5758</v>
      </c>
      <c r="M35">
        <v>13293.18</v>
      </c>
      <c r="N35">
        <v>0</v>
      </c>
      <c r="O35" t="s">
        <v>22</v>
      </c>
      <c r="P35">
        <v>20230609</v>
      </c>
      <c r="Q35">
        <v>20230609</v>
      </c>
    </row>
    <row r="36" spans="1:17" x14ac:dyDescent="0.25">
      <c r="A36" t="s">
        <v>476</v>
      </c>
      <c r="B36" t="s">
        <v>477</v>
      </c>
      <c r="C36">
        <v>2</v>
      </c>
      <c r="D36">
        <v>20230609</v>
      </c>
      <c r="E36">
        <v>6</v>
      </c>
      <c r="F36">
        <v>401000</v>
      </c>
      <c r="G36" t="s">
        <v>41</v>
      </c>
      <c r="H36" t="s">
        <v>4157</v>
      </c>
      <c r="I36" t="s">
        <v>4158</v>
      </c>
      <c r="J36" t="s">
        <v>6489</v>
      </c>
      <c r="K36">
        <v>20230609</v>
      </c>
      <c r="L36" t="s">
        <v>5758</v>
      </c>
      <c r="M36">
        <v>280</v>
      </c>
      <c r="N36">
        <v>0</v>
      </c>
      <c r="O36" t="s">
        <v>22</v>
      </c>
      <c r="P36">
        <v>20230609</v>
      </c>
      <c r="Q36">
        <v>20230609</v>
      </c>
    </row>
    <row r="37" spans="1:17" x14ac:dyDescent="0.25">
      <c r="A37" t="s">
        <v>476</v>
      </c>
      <c r="B37" t="s">
        <v>477</v>
      </c>
      <c r="C37">
        <v>2</v>
      </c>
      <c r="D37">
        <v>20230609</v>
      </c>
      <c r="E37">
        <v>6</v>
      </c>
      <c r="F37">
        <v>401000</v>
      </c>
      <c r="G37" t="s">
        <v>41</v>
      </c>
      <c r="H37" t="s">
        <v>474</v>
      </c>
      <c r="I37" t="s">
        <v>475</v>
      </c>
      <c r="J37" t="s">
        <v>6489</v>
      </c>
      <c r="K37">
        <v>20230609</v>
      </c>
      <c r="L37" t="s">
        <v>5758</v>
      </c>
      <c r="M37">
        <v>450</v>
      </c>
      <c r="N37">
        <v>0</v>
      </c>
      <c r="O37" t="s">
        <v>22</v>
      </c>
      <c r="P37">
        <v>20230609</v>
      </c>
      <c r="Q37">
        <v>20230609</v>
      </c>
    </row>
    <row r="38" spans="1:17" x14ac:dyDescent="0.25">
      <c r="A38" t="s">
        <v>476</v>
      </c>
      <c r="B38" t="s">
        <v>477</v>
      </c>
      <c r="C38">
        <v>2</v>
      </c>
      <c r="D38">
        <v>20230609</v>
      </c>
      <c r="E38">
        <v>6</v>
      </c>
      <c r="F38">
        <v>401000</v>
      </c>
      <c r="G38" t="s">
        <v>41</v>
      </c>
      <c r="H38" t="s">
        <v>456</v>
      </c>
      <c r="I38" t="s">
        <v>457</v>
      </c>
      <c r="J38" t="s">
        <v>6489</v>
      </c>
      <c r="K38">
        <v>20230609</v>
      </c>
      <c r="L38" t="s">
        <v>5758</v>
      </c>
      <c r="M38">
        <v>157.5</v>
      </c>
      <c r="N38">
        <v>0</v>
      </c>
      <c r="O38" t="s">
        <v>22</v>
      </c>
      <c r="P38">
        <v>20230609</v>
      </c>
      <c r="Q38">
        <v>20230609</v>
      </c>
    </row>
    <row r="39" spans="1:17" x14ac:dyDescent="0.25">
      <c r="A39" t="s">
        <v>476</v>
      </c>
      <c r="B39" t="s">
        <v>477</v>
      </c>
      <c r="C39">
        <v>2</v>
      </c>
      <c r="D39">
        <v>20230609</v>
      </c>
      <c r="E39">
        <v>6</v>
      </c>
      <c r="F39">
        <v>401000</v>
      </c>
      <c r="G39" t="s">
        <v>41</v>
      </c>
      <c r="H39" t="s">
        <v>472</v>
      </c>
      <c r="I39" t="s">
        <v>473</v>
      </c>
      <c r="J39" t="s">
        <v>6489</v>
      </c>
      <c r="K39">
        <v>20230609</v>
      </c>
      <c r="L39" t="s">
        <v>5758</v>
      </c>
      <c r="M39">
        <v>350</v>
      </c>
      <c r="N39">
        <v>0</v>
      </c>
      <c r="O39" t="s">
        <v>22</v>
      </c>
      <c r="P39">
        <v>20230609</v>
      </c>
      <c r="Q39">
        <v>20230609</v>
      </c>
    </row>
    <row r="40" spans="1:17" x14ac:dyDescent="0.25">
      <c r="A40" t="s">
        <v>476</v>
      </c>
      <c r="B40" t="s">
        <v>477</v>
      </c>
      <c r="C40">
        <v>2</v>
      </c>
      <c r="D40">
        <v>20230609</v>
      </c>
      <c r="E40">
        <v>6</v>
      </c>
      <c r="F40">
        <v>401000</v>
      </c>
      <c r="G40" t="s">
        <v>41</v>
      </c>
      <c r="H40" t="s">
        <v>303</v>
      </c>
      <c r="I40" t="s">
        <v>304</v>
      </c>
      <c r="J40" t="s">
        <v>6489</v>
      </c>
      <c r="K40">
        <v>20230609</v>
      </c>
      <c r="L40" t="s">
        <v>5758</v>
      </c>
      <c r="M40">
        <v>600</v>
      </c>
      <c r="N40">
        <v>0</v>
      </c>
      <c r="O40" t="s">
        <v>22</v>
      </c>
      <c r="P40">
        <v>20230609</v>
      </c>
      <c r="Q40">
        <v>20230609</v>
      </c>
    </row>
    <row r="41" spans="1:17" x14ac:dyDescent="0.25">
      <c r="A41" t="s">
        <v>476</v>
      </c>
      <c r="B41" t="s">
        <v>477</v>
      </c>
      <c r="C41">
        <v>2</v>
      </c>
      <c r="D41">
        <v>20230609</v>
      </c>
      <c r="E41">
        <v>6</v>
      </c>
      <c r="F41">
        <v>467100</v>
      </c>
      <c r="G41" t="s">
        <v>160</v>
      </c>
      <c r="H41" t="s">
        <v>316</v>
      </c>
      <c r="I41" t="s">
        <v>317</v>
      </c>
      <c r="J41" t="s">
        <v>6489</v>
      </c>
      <c r="K41">
        <v>20230609</v>
      </c>
      <c r="L41" t="s">
        <v>5758</v>
      </c>
      <c r="M41">
        <v>75.38</v>
      </c>
      <c r="N41">
        <v>0</v>
      </c>
      <c r="O41" t="s">
        <v>22</v>
      </c>
      <c r="P41">
        <v>20230609</v>
      </c>
      <c r="Q41">
        <v>20230609</v>
      </c>
    </row>
    <row r="42" spans="1:17" x14ac:dyDescent="0.25">
      <c r="A42" t="s">
        <v>476</v>
      </c>
      <c r="B42" t="s">
        <v>477</v>
      </c>
      <c r="C42">
        <v>2</v>
      </c>
      <c r="D42">
        <v>20230609</v>
      </c>
      <c r="E42">
        <v>6</v>
      </c>
      <c r="F42">
        <v>467100</v>
      </c>
      <c r="G42" t="s">
        <v>160</v>
      </c>
      <c r="H42" t="s">
        <v>1726</v>
      </c>
      <c r="I42" t="s">
        <v>1727</v>
      </c>
      <c r="J42" t="s">
        <v>6489</v>
      </c>
      <c r="K42">
        <v>20230609</v>
      </c>
      <c r="L42" t="s">
        <v>5758</v>
      </c>
      <c r="M42">
        <v>19.61</v>
      </c>
      <c r="N42">
        <v>0</v>
      </c>
      <c r="O42" t="s">
        <v>22</v>
      </c>
      <c r="P42">
        <v>20230609</v>
      </c>
      <c r="Q42">
        <v>20230609</v>
      </c>
    </row>
    <row r="43" spans="1:17" x14ac:dyDescent="0.25">
      <c r="A43" t="s">
        <v>476</v>
      </c>
      <c r="B43" t="s">
        <v>477</v>
      </c>
      <c r="C43">
        <v>2</v>
      </c>
      <c r="D43">
        <v>20230609</v>
      </c>
      <c r="E43">
        <v>6</v>
      </c>
      <c r="F43">
        <v>401000</v>
      </c>
      <c r="G43" t="s">
        <v>41</v>
      </c>
      <c r="H43" t="s">
        <v>830</v>
      </c>
      <c r="I43" t="s">
        <v>831</v>
      </c>
      <c r="J43" t="s">
        <v>6489</v>
      </c>
      <c r="K43">
        <v>20230609</v>
      </c>
      <c r="L43" t="s">
        <v>5758</v>
      </c>
      <c r="M43">
        <v>180</v>
      </c>
      <c r="N43">
        <v>0</v>
      </c>
      <c r="O43" t="s">
        <v>22</v>
      </c>
      <c r="P43">
        <v>20230609</v>
      </c>
      <c r="Q43">
        <v>20230609</v>
      </c>
    </row>
    <row r="44" spans="1:17" x14ac:dyDescent="0.25">
      <c r="A44" t="s">
        <v>476</v>
      </c>
      <c r="B44" t="s">
        <v>477</v>
      </c>
      <c r="C44">
        <v>2</v>
      </c>
      <c r="D44">
        <v>20230609</v>
      </c>
      <c r="E44">
        <v>6</v>
      </c>
      <c r="F44">
        <v>401000</v>
      </c>
      <c r="G44" t="s">
        <v>41</v>
      </c>
      <c r="H44" t="s">
        <v>1659</v>
      </c>
      <c r="I44" t="s">
        <v>1660</v>
      </c>
      <c r="J44" t="s">
        <v>6489</v>
      </c>
      <c r="K44">
        <v>20230609</v>
      </c>
      <c r="L44" t="s">
        <v>5758</v>
      </c>
      <c r="M44">
        <v>250</v>
      </c>
      <c r="N44">
        <v>0</v>
      </c>
      <c r="O44" t="s">
        <v>22</v>
      </c>
      <c r="P44">
        <v>20230609</v>
      </c>
      <c r="Q44">
        <v>20230609</v>
      </c>
    </row>
    <row r="45" spans="1:17" x14ac:dyDescent="0.25">
      <c r="A45" t="s">
        <v>476</v>
      </c>
      <c r="B45" t="s">
        <v>477</v>
      </c>
      <c r="C45">
        <v>2</v>
      </c>
      <c r="D45">
        <v>20230609</v>
      </c>
      <c r="E45">
        <v>6</v>
      </c>
      <c r="F45">
        <v>401000</v>
      </c>
      <c r="G45" t="s">
        <v>41</v>
      </c>
      <c r="H45" t="s">
        <v>4483</v>
      </c>
      <c r="I45" t="s">
        <v>4484</v>
      </c>
      <c r="J45" t="s">
        <v>6489</v>
      </c>
      <c r="K45">
        <v>20230609</v>
      </c>
      <c r="L45" t="s">
        <v>5758</v>
      </c>
      <c r="M45">
        <v>1715.97</v>
      </c>
      <c r="N45">
        <v>0</v>
      </c>
      <c r="O45" t="s">
        <v>22</v>
      </c>
      <c r="P45">
        <v>20230609</v>
      </c>
      <c r="Q45">
        <v>20230609</v>
      </c>
    </row>
    <row r="46" spans="1:17" x14ac:dyDescent="0.25">
      <c r="A46" t="s">
        <v>476</v>
      </c>
      <c r="B46" t="s">
        <v>477</v>
      </c>
      <c r="C46">
        <v>2</v>
      </c>
      <c r="D46">
        <v>20230609</v>
      </c>
      <c r="E46">
        <v>6</v>
      </c>
      <c r="F46">
        <v>467100</v>
      </c>
      <c r="G46" t="s">
        <v>160</v>
      </c>
      <c r="H46" t="s">
        <v>5086</v>
      </c>
      <c r="I46" t="s">
        <v>5087</v>
      </c>
      <c r="J46" t="s">
        <v>6489</v>
      </c>
      <c r="K46">
        <v>20230609</v>
      </c>
      <c r="L46" t="s">
        <v>5758</v>
      </c>
      <c r="M46">
        <v>57.8</v>
      </c>
      <c r="N46">
        <v>0</v>
      </c>
      <c r="O46" t="s">
        <v>22</v>
      </c>
      <c r="P46">
        <v>20230609</v>
      </c>
      <c r="Q46">
        <v>20230609</v>
      </c>
    </row>
    <row r="47" spans="1:17" x14ac:dyDescent="0.25">
      <c r="A47" t="s">
        <v>476</v>
      </c>
      <c r="B47" t="s">
        <v>477</v>
      </c>
      <c r="C47">
        <v>2</v>
      </c>
      <c r="D47">
        <v>20230609</v>
      </c>
      <c r="E47">
        <v>6</v>
      </c>
      <c r="F47">
        <v>512000</v>
      </c>
      <c r="G47" t="s">
        <v>428</v>
      </c>
      <c r="H47" t="s">
        <v>401</v>
      </c>
      <c r="I47" t="s">
        <v>402</v>
      </c>
      <c r="J47" t="s">
        <v>6489</v>
      </c>
      <c r="K47">
        <v>20230609</v>
      </c>
      <c r="L47" t="s">
        <v>5758</v>
      </c>
      <c r="M47">
        <v>0</v>
      </c>
      <c r="N47">
        <v>24660.36</v>
      </c>
      <c r="O47" t="s">
        <v>19</v>
      </c>
      <c r="P47" t="s">
        <v>20</v>
      </c>
      <c r="Q47">
        <v>20230609</v>
      </c>
    </row>
    <row r="48" spans="1:17" x14ac:dyDescent="0.25">
      <c r="A48" t="s">
        <v>476</v>
      </c>
      <c r="B48" t="s">
        <v>477</v>
      </c>
      <c r="C48">
        <v>2</v>
      </c>
      <c r="D48">
        <v>20230609</v>
      </c>
      <c r="E48">
        <v>6</v>
      </c>
      <c r="F48">
        <v>467100</v>
      </c>
      <c r="G48" t="s">
        <v>160</v>
      </c>
      <c r="H48" t="s">
        <v>164</v>
      </c>
      <c r="I48" t="s">
        <v>165</v>
      </c>
      <c r="J48" t="s">
        <v>6488</v>
      </c>
      <c r="K48">
        <v>20230609</v>
      </c>
      <c r="L48" t="s">
        <v>5757</v>
      </c>
      <c r="M48">
        <v>500</v>
      </c>
      <c r="N48">
        <v>0</v>
      </c>
      <c r="O48" t="s">
        <v>19</v>
      </c>
      <c r="P48" t="s">
        <v>20</v>
      </c>
      <c r="Q48">
        <v>20230609</v>
      </c>
    </row>
    <row r="49" spans="1:17" x14ac:dyDescent="0.25">
      <c r="A49" t="s">
        <v>476</v>
      </c>
      <c r="B49" t="s">
        <v>477</v>
      </c>
      <c r="C49">
        <v>2</v>
      </c>
      <c r="D49">
        <v>20230609</v>
      </c>
      <c r="E49">
        <v>6</v>
      </c>
      <c r="F49">
        <v>512000</v>
      </c>
      <c r="G49" t="s">
        <v>428</v>
      </c>
      <c r="H49" t="s">
        <v>401</v>
      </c>
      <c r="I49" t="s">
        <v>402</v>
      </c>
      <c r="J49" t="s">
        <v>6488</v>
      </c>
      <c r="K49">
        <v>20230609</v>
      </c>
      <c r="L49" t="s">
        <v>5757</v>
      </c>
      <c r="M49">
        <v>0</v>
      </c>
      <c r="N49">
        <v>500</v>
      </c>
      <c r="O49" t="s">
        <v>19</v>
      </c>
      <c r="P49" t="s">
        <v>20</v>
      </c>
      <c r="Q49">
        <v>20230609</v>
      </c>
    </row>
    <row r="50" spans="1:17" x14ac:dyDescent="0.25">
      <c r="A50" t="s">
        <v>476</v>
      </c>
      <c r="B50" t="s">
        <v>477</v>
      </c>
      <c r="C50">
        <v>2</v>
      </c>
      <c r="D50">
        <v>20230609</v>
      </c>
      <c r="E50">
        <v>6</v>
      </c>
      <c r="F50">
        <v>401000</v>
      </c>
      <c r="G50" t="s">
        <v>41</v>
      </c>
      <c r="H50" t="s">
        <v>6487</v>
      </c>
      <c r="I50" t="s">
        <v>6486</v>
      </c>
      <c r="J50" t="s">
        <v>6485</v>
      </c>
      <c r="K50">
        <v>20230609</v>
      </c>
      <c r="L50" t="s">
        <v>5757</v>
      </c>
      <c r="M50">
        <v>390</v>
      </c>
      <c r="N50">
        <v>0</v>
      </c>
      <c r="O50" t="s">
        <v>19</v>
      </c>
      <c r="P50" t="s">
        <v>20</v>
      </c>
      <c r="Q50">
        <v>20230609</v>
      </c>
    </row>
    <row r="51" spans="1:17" x14ac:dyDescent="0.25">
      <c r="A51" t="s">
        <v>476</v>
      </c>
      <c r="B51" t="s">
        <v>477</v>
      </c>
      <c r="C51">
        <v>2</v>
      </c>
      <c r="D51">
        <v>20230609</v>
      </c>
      <c r="E51">
        <v>6</v>
      </c>
      <c r="F51">
        <v>512000</v>
      </c>
      <c r="G51" t="s">
        <v>428</v>
      </c>
      <c r="H51" t="s">
        <v>401</v>
      </c>
      <c r="I51" t="s">
        <v>402</v>
      </c>
      <c r="J51" t="s">
        <v>6485</v>
      </c>
      <c r="K51">
        <v>20230609</v>
      </c>
      <c r="L51" t="s">
        <v>5757</v>
      </c>
      <c r="M51">
        <v>0</v>
      </c>
      <c r="N51">
        <v>390</v>
      </c>
      <c r="O51" t="s">
        <v>19</v>
      </c>
      <c r="P51" t="s">
        <v>20</v>
      </c>
      <c r="Q51">
        <v>20230609</v>
      </c>
    </row>
    <row r="52" spans="1:17" x14ac:dyDescent="0.25">
      <c r="A52" t="s">
        <v>476</v>
      </c>
      <c r="B52" t="s">
        <v>477</v>
      </c>
      <c r="C52">
        <v>2</v>
      </c>
      <c r="D52">
        <v>20230612</v>
      </c>
      <c r="E52">
        <v>6</v>
      </c>
      <c r="F52">
        <v>411010</v>
      </c>
      <c r="G52" t="s">
        <v>87</v>
      </c>
      <c r="H52" t="s">
        <v>367</v>
      </c>
      <c r="I52" t="s">
        <v>368</v>
      </c>
      <c r="J52" t="s">
        <v>6484</v>
      </c>
      <c r="K52">
        <v>20230612</v>
      </c>
      <c r="L52" t="s">
        <v>6483</v>
      </c>
      <c r="M52">
        <v>0</v>
      </c>
      <c r="N52">
        <v>1058.47</v>
      </c>
      <c r="O52" t="s">
        <v>19</v>
      </c>
      <c r="P52" t="s">
        <v>20</v>
      </c>
      <c r="Q52">
        <v>20230612</v>
      </c>
    </row>
    <row r="53" spans="1:17" x14ac:dyDescent="0.25">
      <c r="A53" t="s">
        <v>476</v>
      </c>
      <c r="B53" t="s">
        <v>477</v>
      </c>
      <c r="C53">
        <v>2</v>
      </c>
      <c r="D53">
        <v>20230612</v>
      </c>
      <c r="E53">
        <v>6</v>
      </c>
      <c r="F53">
        <v>512000</v>
      </c>
      <c r="G53" t="s">
        <v>428</v>
      </c>
      <c r="H53" t="s">
        <v>401</v>
      </c>
      <c r="I53" t="s">
        <v>402</v>
      </c>
      <c r="J53" t="s">
        <v>6484</v>
      </c>
      <c r="K53">
        <v>20230612</v>
      </c>
      <c r="L53" t="s">
        <v>6483</v>
      </c>
      <c r="M53">
        <v>1058.47</v>
      </c>
      <c r="N53">
        <v>0</v>
      </c>
      <c r="O53" t="s">
        <v>19</v>
      </c>
      <c r="P53" t="s">
        <v>20</v>
      </c>
      <c r="Q53">
        <v>20230612</v>
      </c>
    </row>
    <row r="54" spans="1:17" x14ac:dyDescent="0.25">
      <c r="A54" t="s">
        <v>476</v>
      </c>
      <c r="B54" t="s">
        <v>477</v>
      </c>
      <c r="C54">
        <v>2</v>
      </c>
      <c r="D54">
        <v>20230612</v>
      </c>
      <c r="E54">
        <v>6</v>
      </c>
      <c r="F54">
        <v>468200</v>
      </c>
      <c r="G54" t="s">
        <v>421</v>
      </c>
      <c r="H54" t="s">
        <v>401</v>
      </c>
      <c r="I54" t="s">
        <v>402</v>
      </c>
      <c r="J54" t="s">
        <v>6482</v>
      </c>
      <c r="K54">
        <v>20230612</v>
      </c>
      <c r="L54" t="s">
        <v>422</v>
      </c>
      <c r="M54">
        <v>0</v>
      </c>
      <c r="N54">
        <v>108.1</v>
      </c>
      <c r="O54" t="s">
        <v>19</v>
      </c>
      <c r="P54" t="s">
        <v>20</v>
      </c>
      <c r="Q54">
        <v>20230612</v>
      </c>
    </row>
    <row r="55" spans="1:17" x14ac:dyDescent="0.25">
      <c r="A55" t="s">
        <v>476</v>
      </c>
      <c r="B55" t="s">
        <v>477</v>
      </c>
      <c r="C55">
        <v>2</v>
      </c>
      <c r="D55">
        <v>20230612</v>
      </c>
      <c r="E55">
        <v>6</v>
      </c>
      <c r="F55">
        <v>512000</v>
      </c>
      <c r="G55" t="s">
        <v>428</v>
      </c>
      <c r="H55" t="s">
        <v>401</v>
      </c>
      <c r="I55" t="s">
        <v>402</v>
      </c>
      <c r="J55" t="s">
        <v>6482</v>
      </c>
      <c r="K55">
        <v>20230612</v>
      </c>
      <c r="L55" t="s">
        <v>422</v>
      </c>
      <c r="M55">
        <v>108.1</v>
      </c>
      <c r="N55">
        <v>0</v>
      </c>
      <c r="O55" t="s">
        <v>19</v>
      </c>
      <c r="P55" t="s">
        <v>20</v>
      </c>
      <c r="Q55">
        <v>20230612</v>
      </c>
    </row>
    <row r="56" spans="1:17" x14ac:dyDescent="0.25">
      <c r="A56" t="s">
        <v>476</v>
      </c>
      <c r="B56" t="s">
        <v>477</v>
      </c>
      <c r="C56">
        <v>2</v>
      </c>
      <c r="D56">
        <v>20230614</v>
      </c>
      <c r="E56">
        <v>6</v>
      </c>
      <c r="F56">
        <v>445010</v>
      </c>
      <c r="G56" t="s">
        <v>413</v>
      </c>
      <c r="H56" t="s">
        <v>401</v>
      </c>
      <c r="I56" t="s">
        <v>402</v>
      </c>
      <c r="J56" t="s">
        <v>6481</v>
      </c>
      <c r="K56">
        <v>20230614</v>
      </c>
      <c r="L56" t="s">
        <v>6480</v>
      </c>
      <c r="M56">
        <v>0</v>
      </c>
      <c r="N56">
        <v>2289.7199999999998</v>
      </c>
      <c r="O56" t="s">
        <v>19</v>
      </c>
      <c r="P56" t="s">
        <v>20</v>
      </c>
      <c r="Q56">
        <v>20230614</v>
      </c>
    </row>
    <row r="57" spans="1:17" x14ac:dyDescent="0.25">
      <c r="A57" t="s">
        <v>476</v>
      </c>
      <c r="B57" t="s">
        <v>477</v>
      </c>
      <c r="C57">
        <v>2</v>
      </c>
      <c r="D57">
        <v>20230614</v>
      </c>
      <c r="E57">
        <v>6</v>
      </c>
      <c r="F57">
        <v>512000</v>
      </c>
      <c r="G57" t="s">
        <v>428</v>
      </c>
      <c r="H57" t="s">
        <v>401</v>
      </c>
      <c r="I57" t="s">
        <v>402</v>
      </c>
      <c r="J57" t="s">
        <v>6481</v>
      </c>
      <c r="K57">
        <v>20230614</v>
      </c>
      <c r="L57" t="s">
        <v>6480</v>
      </c>
      <c r="M57">
        <v>2289.7199999999998</v>
      </c>
      <c r="N57">
        <v>0</v>
      </c>
      <c r="O57" t="s">
        <v>19</v>
      </c>
      <c r="P57" t="s">
        <v>20</v>
      </c>
      <c r="Q57">
        <v>20230614</v>
      </c>
    </row>
    <row r="58" spans="1:17" x14ac:dyDescent="0.25">
      <c r="A58" t="s">
        <v>476</v>
      </c>
      <c r="B58" t="s">
        <v>477</v>
      </c>
      <c r="C58">
        <v>2</v>
      </c>
      <c r="D58">
        <v>20230614</v>
      </c>
      <c r="E58">
        <v>6</v>
      </c>
      <c r="F58">
        <v>468200</v>
      </c>
      <c r="G58" t="s">
        <v>421</v>
      </c>
      <c r="H58" t="s">
        <v>401</v>
      </c>
      <c r="I58" t="s">
        <v>402</v>
      </c>
      <c r="J58" t="s">
        <v>6479</v>
      </c>
      <c r="K58">
        <v>20230614</v>
      </c>
      <c r="L58" t="s">
        <v>422</v>
      </c>
      <c r="M58">
        <v>0</v>
      </c>
      <c r="N58">
        <v>115.52</v>
      </c>
      <c r="O58" t="s">
        <v>19</v>
      </c>
      <c r="P58" t="s">
        <v>20</v>
      </c>
      <c r="Q58">
        <v>20230614</v>
      </c>
    </row>
    <row r="59" spans="1:17" x14ac:dyDescent="0.25">
      <c r="A59" t="s">
        <v>476</v>
      </c>
      <c r="B59" t="s">
        <v>477</v>
      </c>
      <c r="C59">
        <v>2</v>
      </c>
      <c r="D59">
        <v>20230614</v>
      </c>
      <c r="E59">
        <v>6</v>
      </c>
      <c r="F59">
        <v>512000</v>
      </c>
      <c r="G59" t="s">
        <v>428</v>
      </c>
      <c r="H59" t="s">
        <v>401</v>
      </c>
      <c r="I59" t="s">
        <v>402</v>
      </c>
      <c r="J59" t="s">
        <v>6479</v>
      </c>
      <c r="K59">
        <v>20230614</v>
      </c>
      <c r="L59" t="s">
        <v>422</v>
      </c>
      <c r="M59">
        <v>115.52</v>
      </c>
      <c r="N59">
        <v>0</v>
      </c>
      <c r="O59" t="s">
        <v>19</v>
      </c>
      <c r="P59" t="s">
        <v>20</v>
      </c>
      <c r="Q59">
        <v>20230614</v>
      </c>
    </row>
    <row r="60" spans="1:17" x14ac:dyDescent="0.25">
      <c r="A60" t="s">
        <v>476</v>
      </c>
      <c r="B60" t="s">
        <v>477</v>
      </c>
      <c r="C60">
        <v>2</v>
      </c>
      <c r="D60">
        <v>20230615</v>
      </c>
      <c r="E60">
        <v>6</v>
      </c>
      <c r="F60">
        <v>447000</v>
      </c>
      <c r="G60" t="s">
        <v>419</v>
      </c>
      <c r="H60" t="s">
        <v>401</v>
      </c>
      <c r="I60" t="s">
        <v>402</v>
      </c>
      <c r="J60" t="s">
        <v>6478</v>
      </c>
      <c r="K60">
        <v>20230615</v>
      </c>
      <c r="L60" t="s">
        <v>898</v>
      </c>
      <c r="M60">
        <v>5985</v>
      </c>
      <c r="N60">
        <v>0</v>
      </c>
      <c r="O60" t="s">
        <v>19</v>
      </c>
      <c r="P60" t="s">
        <v>20</v>
      </c>
      <c r="Q60">
        <v>20230615</v>
      </c>
    </row>
    <row r="61" spans="1:17" x14ac:dyDescent="0.25">
      <c r="A61" t="s">
        <v>476</v>
      </c>
      <c r="B61" t="s">
        <v>477</v>
      </c>
      <c r="C61">
        <v>2</v>
      </c>
      <c r="D61">
        <v>20230615</v>
      </c>
      <c r="E61">
        <v>6</v>
      </c>
      <c r="F61">
        <v>512000</v>
      </c>
      <c r="G61" t="s">
        <v>428</v>
      </c>
      <c r="H61" t="s">
        <v>401</v>
      </c>
      <c r="I61" t="s">
        <v>402</v>
      </c>
      <c r="J61" t="s">
        <v>6478</v>
      </c>
      <c r="K61">
        <v>20230615</v>
      </c>
      <c r="L61" t="s">
        <v>898</v>
      </c>
      <c r="M61">
        <v>0</v>
      </c>
      <c r="N61">
        <v>5985</v>
      </c>
      <c r="O61" t="s">
        <v>19</v>
      </c>
      <c r="P61" t="s">
        <v>20</v>
      </c>
      <c r="Q61">
        <v>20230615</v>
      </c>
    </row>
    <row r="62" spans="1:17" x14ac:dyDescent="0.25">
      <c r="A62" t="s">
        <v>476</v>
      </c>
      <c r="B62" t="s">
        <v>477</v>
      </c>
      <c r="C62">
        <v>2</v>
      </c>
      <c r="D62">
        <v>20230615</v>
      </c>
      <c r="E62">
        <v>6</v>
      </c>
      <c r="F62">
        <v>468200</v>
      </c>
      <c r="G62" t="s">
        <v>421</v>
      </c>
      <c r="H62" t="s">
        <v>401</v>
      </c>
      <c r="I62" t="s">
        <v>402</v>
      </c>
      <c r="J62" t="s">
        <v>6477</v>
      </c>
      <c r="K62">
        <v>20230615</v>
      </c>
      <c r="L62" t="s">
        <v>422</v>
      </c>
      <c r="M62">
        <v>0</v>
      </c>
      <c r="N62">
        <v>16.48</v>
      </c>
      <c r="O62" t="s">
        <v>19</v>
      </c>
      <c r="P62" t="s">
        <v>20</v>
      </c>
      <c r="Q62">
        <v>20230615</v>
      </c>
    </row>
    <row r="63" spans="1:17" x14ac:dyDescent="0.25">
      <c r="A63" t="s">
        <v>476</v>
      </c>
      <c r="B63" t="s">
        <v>477</v>
      </c>
      <c r="C63">
        <v>2</v>
      </c>
      <c r="D63">
        <v>20230615</v>
      </c>
      <c r="E63">
        <v>6</v>
      </c>
      <c r="F63">
        <v>512000</v>
      </c>
      <c r="G63" t="s">
        <v>428</v>
      </c>
      <c r="H63" t="s">
        <v>401</v>
      </c>
      <c r="I63" t="s">
        <v>402</v>
      </c>
      <c r="J63" t="s">
        <v>6477</v>
      </c>
      <c r="K63">
        <v>20230615</v>
      </c>
      <c r="L63" t="s">
        <v>422</v>
      </c>
      <c r="M63">
        <v>16.48</v>
      </c>
      <c r="N63">
        <v>0</v>
      </c>
      <c r="O63" t="s">
        <v>19</v>
      </c>
      <c r="P63" t="s">
        <v>20</v>
      </c>
      <c r="Q63">
        <v>20230615</v>
      </c>
    </row>
    <row r="64" spans="1:17" x14ac:dyDescent="0.25">
      <c r="A64" t="s">
        <v>476</v>
      </c>
      <c r="B64" t="s">
        <v>477</v>
      </c>
      <c r="C64">
        <v>2</v>
      </c>
      <c r="D64">
        <v>20230616</v>
      </c>
      <c r="E64">
        <v>6</v>
      </c>
      <c r="F64">
        <v>401000</v>
      </c>
      <c r="G64" t="s">
        <v>41</v>
      </c>
      <c r="H64" t="s">
        <v>42</v>
      </c>
      <c r="I64" t="s">
        <v>43</v>
      </c>
      <c r="J64" t="s">
        <v>6474</v>
      </c>
      <c r="K64">
        <v>20230616</v>
      </c>
      <c r="L64" t="s">
        <v>5758</v>
      </c>
      <c r="M64">
        <v>215.52</v>
      </c>
      <c r="N64">
        <v>0</v>
      </c>
      <c r="O64" t="s">
        <v>22</v>
      </c>
      <c r="P64">
        <v>20230616</v>
      </c>
      <c r="Q64">
        <v>20230616</v>
      </c>
    </row>
    <row r="65" spans="1:17" x14ac:dyDescent="0.25">
      <c r="A65" t="s">
        <v>476</v>
      </c>
      <c r="B65" t="s">
        <v>477</v>
      </c>
      <c r="C65">
        <v>2</v>
      </c>
      <c r="D65">
        <v>20230616</v>
      </c>
      <c r="E65">
        <v>6</v>
      </c>
      <c r="F65">
        <v>401000</v>
      </c>
      <c r="G65" t="s">
        <v>41</v>
      </c>
      <c r="H65" t="s">
        <v>48</v>
      </c>
      <c r="I65" t="s">
        <v>49</v>
      </c>
      <c r="J65" t="s">
        <v>6474</v>
      </c>
      <c r="K65">
        <v>20230616</v>
      </c>
      <c r="L65" t="s">
        <v>5758</v>
      </c>
      <c r="M65">
        <v>2622.16</v>
      </c>
      <c r="N65">
        <v>0</v>
      </c>
      <c r="O65" t="s">
        <v>22</v>
      </c>
      <c r="P65">
        <v>20230616</v>
      </c>
      <c r="Q65">
        <v>20230616</v>
      </c>
    </row>
    <row r="66" spans="1:17" x14ac:dyDescent="0.25">
      <c r="A66" t="s">
        <v>476</v>
      </c>
      <c r="B66" t="s">
        <v>477</v>
      </c>
      <c r="C66">
        <v>2</v>
      </c>
      <c r="D66">
        <v>20230616</v>
      </c>
      <c r="E66">
        <v>6</v>
      </c>
      <c r="F66">
        <v>401000</v>
      </c>
      <c r="G66" t="s">
        <v>41</v>
      </c>
      <c r="H66" t="s">
        <v>56</v>
      </c>
      <c r="I66" t="s">
        <v>57</v>
      </c>
      <c r="J66" t="s">
        <v>6474</v>
      </c>
      <c r="K66">
        <v>20230616</v>
      </c>
      <c r="L66" t="s">
        <v>5758</v>
      </c>
      <c r="M66">
        <v>578.13</v>
      </c>
      <c r="N66">
        <v>0</v>
      </c>
      <c r="O66" t="s">
        <v>22</v>
      </c>
      <c r="P66">
        <v>20230616</v>
      </c>
      <c r="Q66">
        <v>20230616</v>
      </c>
    </row>
    <row r="67" spans="1:17" x14ac:dyDescent="0.25">
      <c r="A67" t="s">
        <v>476</v>
      </c>
      <c r="B67" t="s">
        <v>477</v>
      </c>
      <c r="C67">
        <v>2</v>
      </c>
      <c r="D67">
        <v>20230616</v>
      </c>
      <c r="E67">
        <v>6</v>
      </c>
      <c r="F67">
        <v>401000</v>
      </c>
      <c r="G67" t="s">
        <v>41</v>
      </c>
      <c r="H67" t="s">
        <v>69</v>
      </c>
      <c r="I67" t="s">
        <v>70</v>
      </c>
      <c r="J67" t="s">
        <v>6474</v>
      </c>
      <c r="K67">
        <v>20230616</v>
      </c>
      <c r="L67" t="s">
        <v>5758</v>
      </c>
      <c r="M67">
        <v>3084.5</v>
      </c>
      <c r="N67">
        <v>0</v>
      </c>
      <c r="O67" t="s">
        <v>22</v>
      </c>
      <c r="P67">
        <v>20230616</v>
      </c>
      <c r="Q67">
        <v>20230616</v>
      </c>
    </row>
    <row r="68" spans="1:17" x14ac:dyDescent="0.25">
      <c r="A68" t="s">
        <v>476</v>
      </c>
      <c r="B68" t="s">
        <v>477</v>
      </c>
      <c r="C68">
        <v>2</v>
      </c>
      <c r="D68">
        <v>20230616</v>
      </c>
      <c r="E68">
        <v>6</v>
      </c>
      <c r="F68">
        <v>401000</v>
      </c>
      <c r="G68" t="s">
        <v>41</v>
      </c>
      <c r="H68" t="s">
        <v>6476</v>
      </c>
      <c r="I68" t="s">
        <v>6475</v>
      </c>
      <c r="J68" t="s">
        <v>6474</v>
      </c>
      <c r="K68">
        <v>20230616</v>
      </c>
      <c r="L68" t="s">
        <v>5758</v>
      </c>
      <c r="M68">
        <v>457.3</v>
      </c>
      <c r="N68">
        <v>0</v>
      </c>
      <c r="O68" t="s">
        <v>22</v>
      </c>
      <c r="P68">
        <v>20230616</v>
      </c>
      <c r="Q68">
        <v>20230616</v>
      </c>
    </row>
    <row r="69" spans="1:17" x14ac:dyDescent="0.25">
      <c r="A69" t="s">
        <v>476</v>
      </c>
      <c r="B69" t="s">
        <v>477</v>
      </c>
      <c r="C69">
        <v>2</v>
      </c>
      <c r="D69">
        <v>20230616</v>
      </c>
      <c r="E69">
        <v>6</v>
      </c>
      <c r="F69">
        <v>512000</v>
      </c>
      <c r="G69" t="s">
        <v>428</v>
      </c>
      <c r="H69" t="s">
        <v>401</v>
      </c>
      <c r="I69" t="s">
        <v>402</v>
      </c>
      <c r="J69" t="s">
        <v>6474</v>
      </c>
      <c r="K69">
        <v>20230616</v>
      </c>
      <c r="L69" t="s">
        <v>5758</v>
      </c>
      <c r="M69">
        <v>0</v>
      </c>
      <c r="N69">
        <v>6957.61</v>
      </c>
      <c r="O69" t="s">
        <v>19</v>
      </c>
      <c r="P69" t="s">
        <v>20</v>
      </c>
      <c r="Q69">
        <v>20230616</v>
      </c>
    </row>
    <row r="70" spans="1:17" x14ac:dyDescent="0.25">
      <c r="A70" t="s">
        <v>476</v>
      </c>
      <c r="B70" t="s">
        <v>477</v>
      </c>
      <c r="C70">
        <v>2</v>
      </c>
      <c r="D70">
        <v>20230616</v>
      </c>
      <c r="E70">
        <v>6</v>
      </c>
      <c r="F70">
        <v>467100</v>
      </c>
      <c r="G70" t="s">
        <v>160</v>
      </c>
      <c r="H70" t="s">
        <v>1726</v>
      </c>
      <c r="I70" t="s">
        <v>1727</v>
      </c>
      <c r="J70" t="s">
        <v>6473</v>
      </c>
      <c r="K70">
        <v>20230616</v>
      </c>
      <c r="L70" t="s">
        <v>5757</v>
      </c>
      <c r="M70">
        <v>250</v>
      </c>
      <c r="N70">
        <v>0</v>
      </c>
      <c r="O70" t="s">
        <v>19</v>
      </c>
      <c r="P70" t="s">
        <v>20</v>
      </c>
      <c r="Q70">
        <v>20230616</v>
      </c>
    </row>
    <row r="71" spans="1:17" x14ac:dyDescent="0.25">
      <c r="A71" t="s">
        <v>476</v>
      </c>
      <c r="B71" t="s">
        <v>477</v>
      </c>
      <c r="C71">
        <v>2</v>
      </c>
      <c r="D71">
        <v>20230616</v>
      </c>
      <c r="E71">
        <v>6</v>
      </c>
      <c r="F71">
        <v>401000</v>
      </c>
      <c r="G71" t="s">
        <v>41</v>
      </c>
      <c r="H71" t="s">
        <v>2340</v>
      </c>
      <c r="I71" t="s">
        <v>2341</v>
      </c>
      <c r="J71" t="s">
        <v>6473</v>
      </c>
      <c r="K71">
        <v>20230616</v>
      </c>
      <c r="L71" t="s">
        <v>5757</v>
      </c>
      <c r="M71">
        <v>390</v>
      </c>
      <c r="N71">
        <v>0</v>
      </c>
      <c r="O71" t="s">
        <v>23</v>
      </c>
      <c r="P71">
        <v>20230713</v>
      </c>
      <c r="Q71">
        <v>20230616</v>
      </c>
    </row>
    <row r="72" spans="1:17" x14ac:dyDescent="0.25">
      <c r="A72" t="s">
        <v>476</v>
      </c>
      <c r="B72" t="s">
        <v>477</v>
      </c>
      <c r="C72">
        <v>2</v>
      </c>
      <c r="D72">
        <v>20230616</v>
      </c>
      <c r="E72">
        <v>6</v>
      </c>
      <c r="F72">
        <v>512000</v>
      </c>
      <c r="G72" t="s">
        <v>428</v>
      </c>
      <c r="H72" t="s">
        <v>401</v>
      </c>
      <c r="I72" t="s">
        <v>402</v>
      </c>
      <c r="J72" t="s">
        <v>6473</v>
      </c>
      <c r="K72">
        <v>20230616</v>
      </c>
      <c r="L72" t="s">
        <v>5757</v>
      </c>
      <c r="M72">
        <v>0</v>
      </c>
      <c r="N72">
        <v>640</v>
      </c>
      <c r="O72" t="s">
        <v>19</v>
      </c>
      <c r="P72" t="s">
        <v>20</v>
      </c>
      <c r="Q72">
        <v>20230616</v>
      </c>
    </row>
    <row r="73" spans="1:17" x14ac:dyDescent="0.25">
      <c r="A73" t="s">
        <v>476</v>
      </c>
      <c r="B73" t="s">
        <v>477</v>
      </c>
      <c r="C73">
        <v>2</v>
      </c>
      <c r="D73">
        <v>20230616</v>
      </c>
      <c r="E73">
        <v>6</v>
      </c>
      <c r="F73">
        <v>437100</v>
      </c>
      <c r="G73" t="s">
        <v>436</v>
      </c>
      <c r="H73" t="s">
        <v>401</v>
      </c>
      <c r="I73" t="s">
        <v>402</v>
      </c>
      <c r="J73" t="s">
        <v>6472</v>
      </c>
      <c r="K73">
        <v>20230616</v>
      </c>
      <c r="L73" t="s">
        <v>5757</v>
      </c>
      <c r="M73">
        <v>691.24</v>
      </c>
      <c r="N73">
        <v>0</v>
      </c>
      <c r="O73" t="s">
        <v>19</v>
      </c>
      <c r="P73" t="s">
        <v>20</v>
      </c>
      <c r="Q73">
        <v>20230616</v>
      </c>
    </row>
    <row r="74" spans="1:17" x14ac:dyDescent="0.25">
      <c r="A74" t="s">
        <v>476</v>
      </c>
      <c r="B74" t="s">
        <v>477</v>
      </c>
      <c r="C74">
        <v>2</v>
      </c>
      <c r="D74">
        <v>20230616</v>
      </c>
      <c r="E74">
        <v>6</v>
      </c>
      <c r="F74">
        <v>512000</v>
      </c>
      <c r="G74" t="s">
        <v>428</v>
      </c>
      <c r="H74" t="s">
        <v>401</v>
      </c>
      <c r="I74" t="s">
        <v>402</v>
      </c>
      <c r="J74" t="s">
        <v>6472</v>
      </c>
      <c r="K74">
        <v>20230616</v>
      </c>
      <c r="L74" t="s">
        <v>5757</v>
      </c>
      <c r="M74">
        <v>0</v>
      </c>
      <c r="N74">
        <v>691.24</v>
      </c>
      <c r="O74" t="s">
        <v>19</v>
      </c>
      <c r="P74" t="s">
        <v>20</v>
      </c>
      <c r="Q74">
        <v>20230616</v>
      </c>
    </row>
    <row r="75" spans="1:17" x14ac:dyDescent="0.25">
      <c r="A75" t="s">
        <v>476</v>
      </c>
      <c r="B75" t="s">
        <v>477</v>
      </c>
      <c r="C75">
        <v>2</v>
      </c>
      <c r="D75">
        <v>20230616</v>
      </c>
      <c r="E75">
        <v>6</v>
      </c>
      <c r="F75">
        <v>431000</v>
      </c>
      <c r="G75" t="s">
        <v>408</v>
      </c>
      <c r="H75" t="s">
        <v>401</v>
      </c>
      <c r="I75" t="s">
        <v>402</v>
      </c>
      <c r="J75" t="s">
        <v>6471</v>
      </c>
      <c r="K75">
        <v>20230616</v>
      </c>
      <c r="L75" t="s">
        <v>409</v>
      </c>
      <c r="M75">
        <v>27170</v>
      </c>
      <c r="N75">
        <v>0</v>
      </c>
      <c r="O75" t="s">
        <v>19</v>
      </c>
      <c r="P75" t="s">
        <v>20</v>
      </c>
      <c r="Q75">
        <v>20230616</v>
      </c>
    </row>
    <row r="76" spans="1:17" x14ac:dyDescent="0.25">
      <c r="A76" t="s">
        <v>476</v>
      </c>
      <c r="B76" t="s">
        <v>477</v>
      </c>
      <c r="C76">
        <v>2</v>
      </c>
      <c r="D76">
        <v>20230616</v>
      </c>
      <c r="E76">
        <v>6</v>
      </c>
      <c r="F76">
        <v>512000</v>
      </c>
      <c r="G76" t="s">
        <v>428</v>
      </c>
      <c r="H76" t="s">
        <v>401</v>
      </c>
      <c r="I76" t="s">
        <v>402</v>
      </c>
      <c r="J76" t="s">
        <v>6471</v>
      </c>
      <c r="K76">
        <v>20230616</v>
      </c>
      <c r="L76" t="s">
        <v>409</v>
      </c>
      <c r="M76">
        <v>0</v>
      </c>
      <c r="N76">
        <v>27170</v>
      </c>
      <c r="O76" t="s">
        <v>19</v>
      </c>
      <c r="P76" t="s">
        <v>20</v>
      </c>
      <c r="Q76">
        <v>20230616</v>
      </c>
    </row>
    <row r="77" spans="1:17" x14ac:dyDescent="0.25">
      <c r="A77" t="s">
        <v>476</v>
      </c>
      <c r="B77" t="s">
        <v>477</v>
      </c>
      <c r="C77">
        <v>2</v>
      </c>
      <c r="D77">
        <v>20230621</v>
      </c>
      <c r="E77">
        <v>6</v>
      </c>
      <c r="F77">
        <v>442100</v>
      </c>
      <c r="G77" t="s">
        <v>435</v>
      </c>
      <c r="H77" t="s">
        <v>401</v>
      </c>
      <c r="I77" t="s">
        <v>402</v>
      </c>
      <c r="J77" t="s">
        <v>6470</v>
      </c>
      <c r="K77">
        <v>20230621</v>
      </c>
      <c r="L77" t="s">
        <v>528</v>
      </c>
      <c r="M77">
        <v>809</v>
      </c>
      <c r="N77">
        <v>0</v>
      </c>
      <c r="O77" t="s">
        <v>19</v>
      </c>
      <c r="P77" t="s">
        <v>20</v>
      </c>
      <c r="Q77">
        <v>20230621</v>
      </c>
    </row>
    <row r="78" spans="1:17" x14ac:dyDescent="0.25">
      <c r="A78" t="s">
        <v>476</v>
      </c>
      <c r="B78" t="s">
        <v>477</v>
      </c>
      <c r="C78">
        <v>2</v>
      </c>
      <c r="D78">
        <v>20230621</v>
      </c>
      <c r="E78">
        <v>6</v>
      </c>
      <c r="F78">
        <v>512000</v>
      </c>
      <c r="G78" t="s">
        <v>428</v>
      </c>
      <c r="H78" t="s">
        <v>401</v>
      </c>
      <c r="I78" t="s">
        <v>402</v>
      </c>
      <c r="J78" t="s">
        <v>6470</v>
      </c>
      <c r="K78">
        <v>20230621</v>
      </c>
      <c r="L78" t="s">
        <v>528</v>
      </c>
      <c r="M78">
        <v>0</v>
      </c>
      <c r="N78">
        <v>809</v>
      </c>
      <c r="O78" t="s">
        <v>19</v>
      </c>
      <c r="P78" t="s">
        <v>20</v>
      </c>
      <c r="Q78">
        <v>20230621</v>
      </c>
    </row>
    <row r="79" spans="1:17" x14ac:dyDescent="0.25">
      <c r="A79" t="s">
        <v>476</v>
      </c>
      <c r="B79" t="s">
        <v>477</v>
      </c>
      <c r="C79">
        <v>2</v>
      </c>
      <c r="D79">
        <v>20230623</v>
      </c>
      <c r="E79">
        <v>6</v>
      </c>
      <c r="F79">
        <v>471000</v>
      </c>
      <c r="G79" t="s">
        <v>4801</v>
      </c>
      <c r="H79" t="s">
        <v>401</v>
      </c>
      <c r="I79" t="s">
        <v>402</v>
      </c>
      <c r="J79" t="s">
        <v>6469</v>
      </c>
      <c r="K79">
        <v>20230623</v>
      </c>
      <c r="L79" t="s">
        <v>6468</v>
      </c>
      <c r="M79">
        <v>0</v>
      </c>
      <c r="N79">
        <v>66195.62</v>
      </c>
      <c r="O79" t="s">
        <v>19</v>
      </c>
      <c r="P79" t="s">
        <v>20</v>
      </c>
      <c r="Q79">
        <v>20230623</v>
      </c>
    </row>
    <row r="80" spans="1:17" x14ac:dyDescent="0.25">
      <c r="A80" t="s">
        <v>476</v>
      </c>
      <c r="B80" t="s">
        <v>477</v>
      </c>
      <c r="C80">
        <v>2</v>
      </c>
      <c r="D80">
        <v>20230623</v>
      </c>
      <c r="E80">
        <v>6</v>
      </c>
      <c r="F80">
        <v>512000</v>
      </c>
      <c r="G80" t="s">
        <v>428</v>
      </c>
      <c r="H80" t="s">
        <v>401</v>
      </c>
      <c r="I80" t="s">
        <v>402</v>
      </c>
      <c r="J80" t="s">
        <v>6469</v>
      </c>
      <c r="K80">
        <v>20230623</v>
      </c>
      <c r="L80" t="s">
        <v>6468</v>
      </c>
      <c r="M80">
        <v>66195.62</v>
      </c>
      <c r="N80">
        <v>0</v>
      </c>
      <c r="O80" t="s">
        <v>19</v>
      </c>
      <c r="P80" t="s">
        <v>20</v>
      </c>
      <c r="Q80">
        <v>20230623</v>
      </c>
    </row>
    <row r="81" spans="1:17" x14ac:dyDescent="0.25">
      <c r="A81" t="s">
        <v>476</v>
      </c>
      <c r="B81" t="s">
        <v>477</v>
      </c>
      <c r="C81">
        <v>2</v>
      </c>
      <c r="D81">
        <v>20230623</v>
      </c>
      <c r="E81">
        <v>6</v>
      </c>
      <c r="F81">
        <v>468200</v>
      </c>
      <c r="G81" t="s">
        <v>421</v>
      </c>
      <c r="H81" t="s">
        <v>401</v>
      </c>
      <c r="I81" t="s">
        <v>402</v>
      </c>
      <c r="J81" t="s">
        <v>6467</v>
      </c>
      <c r="K81">
        <v>20230623</v>
      </c>
      <c r="L81" t="s">
        <v>422</v>
      </c>
      <c r="M81">
        <v>0</v>
      </c>
      <c r="N81">
        <v>606.76</v>
      </c>
      <c r="O81" t="s">
        <v>19</v>
      </c>
      <c r="P81" t="s">
        <v>20</v>
      </c>
      <c r="Q81">
        <v>20230623</v>
      </c>
    </row>
    <row r="82" spans="1:17" x14ac:dyDescent="0.25">
      <c r="A82" t="s">
        <v>476</v>
      </c>
      <c r="B82" t="s">
        <v>477</v>
      </c>
      <c r="C82">
        <v>2</v>
      </c>
      <c r="D82">
        <v>20230623</v>
      </c>
      <c r="E82">
        <v>6</v>
      </c>
      <c r="F82">
        <v>512000</v>
      </c>
      <c r="G82" t="s">
        <v>428</v>
      </c>
      <c r="H82" t="s">
        <v>401</v>
      </c>
      <c r="I82" t="s">
        <v>402</v>
      </c>
      <c r="J82" t="s">
        <v>6467</v>
      </c>
      <c r="K82">
        <v>20230623</v>
      </c>
      <c r="L82" t="s">
        <v>422</v>
      </c>
      <c r="M82">
        <v>606.76</v>
      </c>
      <c r="N82">
        <v>0</v>
      </c>
      <c r="O82" t="s">
        <v>19</v>
      </c>
      <c r="P82" t="s">
        <v>20</v>
      </c>
      <c r="Q82">
        <v>20230623</v>
      </c>
    </row>
    <row r="83" spans="1:17" x14ac:dyDescent="0.25">
      <c r="A83" t="s">
        <v>476</v>
      </c>
      <c r="B83" t="s">
        <v>477</v>
      </c>
      <c r="C83">
        <v>2</v>
      </c>
      <c r="D83">
        <v>20230626</v>
      </c>
      <c r="E83">
        <v>6</v>
      </c>
      <c r="F83">
        <v>433000</v>
      </c>
      <c r="G83" t="s">
        <v>410</v>
      </c>
      <c r="H83" t="s">
        <v>401</v>
      </c>
      <c r="I83" t="s">
        <v>402</v>
      </c>
      <c r="J83" t="s">
        <v>6466</v>
      </c>
      <c r="K83">
        <v>20230626</v>
      </c>
      <c r="L83" t="s">
        <v>530</v>
      </c>
      <c r="M83">
        <v>5549.88</v>
      </c>
      <c r="N83">
        <v>0</v>
      </c>
      <c r="O83" t="s">
        <v>19</v>
      </c>
      <c r="P83" t="s">
        <v>20</v>
      </c>
      <c r="Q83">
        <v>20230626</v>
      </c>
    </row>
    <row r="84" spans="1:17" x14ac:dyDescent="0.25">
      <c r="A84" t="s">
        <v>476</v>
      </c>
      <c r="B84" t="s">
        <v>477</v>
      </c>
      <c r="C84">
        <v>2</v>
      </c>
      <c r="D84">
        <v>20230626</v>
      </c>
      <c r="E84">
        <v>6</v>
      </c>
      <c r="F84">
        <v>512000</v>
      </c>
      <c r="G84" t="s">
        <v>428</v>
      </c>
      <c r="H84" t="s">
        <v>401</v>
      </c>
      <c r="I84" t="s">
        <v>402</v>
      </c>
      <c r="J84" t="s">
        <v>6466</v>
      </c>
      <c r="K84">
        <v>20230626</v>
      </c>
      <c r="L84" t="s">
        <v>6465</v>
      </c>
      <c r="M84">
        <v>0</v>
      </c>
      <c r="N84">
        <v>5549.88</v>
      </c>
      <c r="O84" t="s">
        <v>19</v>
      </c>
      <c r="P84" t="s">
        <v>20</v>
      </c>
      <c r="Q84">
        <v>20230626</v>
      </c>
    </row>
    <row r="85" spans="1:17" x14ac:dyDescent="0.25">
      <c r="A85" t="s">
        <v>476</v>
      </c>
      <c r="B85" t="s">
        <v>477</v>
      </c>
      <c r="C85">
        <v>2</v>
      </c>
      <c r="D85">
        <v>20230626</v>
      </c>
      <c r="E85">
        <v>6</v>
      </c>
      <c r="F85">
        <v>433100</v>
      </c>
      <c r="G85" t="s">
        <v>411</v>
      </c>
      <c r="H85" t="s">
        <v>401</v>
      </c>
      <c r="I85" t="s">
        <v>402</v>
      </c>
      <c r="J85" t="s">
        <v>6464</v>
      </c>
      <c r="K85">
        <v>20230626</v>
      </c>
      <c r="L85" t="s">
        <v>2468</v>
      </c>
      <c r="M85">
        <v>1315.28</v>
      </c>
      <c r="N85">
        <v>0</v>
      </c>
      <c r="O85" t="s">
        <v>19</v>
      </c>
      <c r="P85" t="s">
        <v>20</v>
      </c>
      <c r="Q85">
        <v>20230626</v>
      </c>
    </row>
    <row r="86" spans="1:17" x14ac:dyDescent="0.25">
      <c r="A86" t="s">
        <v>476</v>
      </c>
      <c r="B86" t="s">
        <v>477</v>
      </c>
      <c r="C86">
        <v>2</v>
      </c>
      <c r="D86">
        <v>20230626</v>
      </c>
      <c r="E86">
        <v>6</v>
      </c>
      <c r="F86">
        <v>512000</v>
      </c>
      <c r="G86" t="s">
        <v>428</v>
      </c>
      <c r="H86" t="s">
        <v>401</v>
      </c>
      <c r="I86" t="s">
        <v>402</v>
      </c>
      <c r="J86" t="s">
        <v>6464</v>
      </c>
      <c r="K86">
        <v>20230626</v>
      </c>
      <c r="L86" t="s">
        <v>2468</v>
      </c>
      <c r="M86">
        <v>0</v>
      </c>
      <c r="N86">
        <v>1315.28</v>
      </c>
      <c r="O86" t="s">
        <v>19</v>
      </c>
      <c r="P86" t="s">
        <v>20</v>
      </c>
      <c r="Q86">
        <v>20230626</v>
      </c>
    </row>
    <row r="87" spans="1:17" x14ac:dyDescent="0.25">
      <c r="A87" t="s">
        <v>476</v>
      </c>
      <c r="B87" t="s">
        <v>477</v>
      </c>
      <c r="C87">
        <v>2</v>
      </c>
      <c r="D87">
        <v>20230626</v>
      </c>
      <c r="E87">
        <v>6</v>
      </c>
      <c r="F87">
        <v>445000</v>
      </c>
      <c r="G87" t="s">
        <v>412</v>
      </c>
      <c r="H87" t="s">
        <v>401</v>
      </c>
      <c r="I87" t="s">
        <v>402</v>
      </c>
      <c r="J87" t="s">
        <v>6463</v>
      </c>
      <c r="K87">
        <v>20230626</v>
      </c>
      <c r="L87" t="s">
        <v>6462</v>
      </c>
      <c r="M87">
        <v>0</v>
      </c>
      <c r="N87">
        <v>6291.27</v>
      </c>
      <c r="O87" t="s">
        <v>19</v>
      </c>
      <c r="P87" t="s">
        <v>20</v>
      </c>
      <c r="Q87">
        <v>20230626</v>
      </c>
    </row>
    <row r="88" spans="1:17" x14ac:dyDescent="0.25">
      <c r="A88" t="s">
        <v>476</v>
      </c>
      <c r="B88" t="s">
        <v>477</v>
      </c>
      <c r="C88">
        <v>2</v>
      </c>
      <c r="D88">
        <v>20230626</v>
      </c>
      <c r="E88">
        <v>6</v>
      </c>
      <c r="F88">
        <v>512000</v>
      </c>
      <c r="G88" t="s">
        <v>428</v>
      </c>
      <c r="H88" t="s">
        <v>401</v>
      </c>
      <c r="I88" t="s">
        <v>402</v>
      </c>
      <c r="J88" t="s">
        <v>6463</v>
      </c>
      <c r="K88">
        <v>20230626</v>
      </c>
      <c r="L88" t="s">
        <v>6462</v>
      </c>
      <c r="M88">
        <v>6291.27</v>
      </c>
      <c r="N88">
        <v>0</v>
      </c>
      <c r="O88" t="s">
        <v>19</v>
      </c>
      <c r="P88" t="s">
        <v>20</v>
      </c>
      <c r="Q88">
        <v>20230626</v>
      </c>
    </row>
    <row r="89" spans="1:17" x14ac:dyDescent="0.25">
      <c r="A89" t="s">
        <v>476</v>
      </c>
      <c r="B89" t="s">
        <v>477</v>
      </c>
      <c r="C89">
        <v>2</v>
      </c>
      <c r="D89">
        <v>20230626</v>
      </c>
      <c r="E89">
        <v>6</v>
      </c>
      <c r="F89">
        <v>445020</v>
      </c>
      <c r="G89" t="s">
        <v>414</v>
      </c>
      <c r="H89" t="s">
        <v>401</v>
      </c>
      <c r="I89" t="s">
        <v>402</v>
      </c>
      <c r="J89" t="s">
        <v>6461</v>
      </c>
      <c r="K89">
        <v>20230626</v>
      </c>
      <c r="L89" t="s">
        <v>6460</v>
      </c>
      <c r="M89">
        <v>0</v>
      </c>
      <c r="N89">
        <v>47728.19</v>
      </c>
      <c r="O89" t="s">
        <v>19</v>
      </c>
      <c r="P89" t="s">
        <v>20</v>
      </c>
      <c r="Q89">
        <v>20230626</v>
      </c>
    </row>
    <row r="90" spans="1:17" x14ac:dyDescent="0.25">
      <c r="A90" t="s">
        <v>476</v>
      </c>
      <c r="B90" t="s">
        <v>477</v>
      </c>
      <c r="C90">
        <v>2</v>
      </c>
      <c r="D90">
        <v>20230626</v>
      </c>
      <c r="E90">
        <v>6</v>
      </c>
      <c r="F90">
        <v>512000</v>
      </c>
      <c r="G90" t="s">
        <v>428</v>
      </c>
      <c r="H90" t="s">
        <v>401</v>
      </c>
      <c r="I90" t="s">
        <v>402</v>
      </c>
      <c r="J90" t="s">
        <v>6461</v>
      </c>
      <c r="K90">
        <v>20230626</v>
      </c>
      <c r="L90" t="s">
        <v>6460</v>
      </c>
      <c r="M90">
        <v>47728.19</v>
      </c>
      <c r="N90">
        <v>0</v>
      </c>
      <c r="O90" t="s">
        <v>19</v>
      </c>
      <c r="P90" t="s">
        <v>20</v>
      </c>
      <c r="Q90">
        <v>20230626</v>
      </c>
    </row>
    <row r="91" spans="1:17" x14ac:dyDescent="0.25">
      <c r="A91" t="s">
        <v>476</v>
      </c>
      <c r="B91" t="s">
        <v>477</v>
      </c>
      <c r="C91">
        <v>2</v>
      </c>
      <c r="D91">
        <v>20230626</v>
      </c>
      <c r="E91">
        <v>6</v>
      </c>
      <c r="F91">
        <v>468200</v>
      </c>
      <c r="G91" t="s">
        <v>421</v>
      </c>
      <c r="H91" t="s">
        <v>401</v>
      </c>
      <c r="I91" t="s">
        <v>402</v>
      </c>
      <c r="J91" t="s">
        <v>6459</v>
      </c>
      <c r="K91">
        <v>20230626</v>
      </c>
      <c r="L91" t="s">
        <v>422</v>
      </c>
      <c r="M91">
        <v>0</v>
      </c>
      <c r="N91">
        <v>368.04</v>
      </c>
      <c r="O91" t="s">
        <v>19</v>
      </c>
      <c r="P91" t="s">
        <v>20</v>
      </c>
      <c r="Q91">
        <v>20230626</v>
      </c>
    </row>
    <row r="92" spans="1:17" x14ac:dyDescent="0.25">
      <c r="A92" t="s">
        <v>476</v>
      </c>
      <c r="B92" t="s">
        <v>477</v>
      </c>
      <c r="C92">
        <v>2</v>
      </c>
      <c r="D92">
        <v>20230626</v>
      </c>
      <c r="E92">
        <v>6</v>
      </c>
      <c r="F92">
        <v>512000</v>
      </c>
      <c r="G92" t="s">
        <v>428</v>
      </c>
      <c r="H92" t="s">
        <v>401</v>
      </c>
      <c r="I92" t="s">
        <v>402</v>
      </c>
      <c r="J92" t="s">
        <v>6459</v>
      </c>
      <c r="K92">
        <v>20230626</v>
      </c>
      <c r="L92" t="s">
        <v>422</v>
      </c>
      <c r="M92">
        <v>368.04</v>
      </c>
      <c r="N92">
        <v>0</v>
      </c>
      <c r="O92" t="s">
        <v>19</v>
      </c>
      <c r="P92" t="s">
        <v>20</v>
      </c>
      <c r="Q92">
        <v>20230626</v>
      </c>
    </row>
    <row r="93" spans="1:17" x14ac:dyDescent="0.25">
      <c r="A93" t="s">
        <v>476</v>
      </c>
      <c r="B93" t="s">
        <v>477</v>
      </c>
      <c r="C93">
        <v>2</v>
      </c>
      <c r="D93">
        <v>20230627</v>
      </c>
      <c r="E93">
        <v>6</v>
      </c>
      <c r="F93">
        <v>468200</v>
      </c>
      <c r="G93" t="s">
        <v>421</v>
      </c>
      <c r="H93" t="s">
        <v>401</v>
      </c>
      <c r="I93" t="s">
        <v>402</v>
      </c>
      <c r="J93" t="s">
        <v>6458</v>
      </c>
      <c r="K93">
        <v>20230627</v>
      </c>
      <c r="L93" t="s">
        <v>422</v>
      </c>
      <c r="M93">
        <v>0</v>
      </c>
      <c r="N93">
        <v>404.32</v>
      </c>
      <c r="O93" t="s">
        <v>19</v>
      </c>
      <c r="P93" t="s">
        <v>20</v>
      </c>
      <c r="Q93">
        <v>20230627</v>
      </c>
    </row>
    <row r="94" spans="1:17" x14ac:dyDescent="0.25">
      <c r="A94" t="s">
        <v>476</v>
      </c>
      <c r="B94" t="s">
        <v>477</v>
      </c>
      <c r="C94">
        <v>2</v>
      </c>
      <c r="D94">
        <v>20230627</v>
      </c>
      <c r="E94">
        <v>6</v>
      </c>
      <c r="F94">
        <v>512000</v>
      </c>
      <c r="G94" t="s">
        <v>428</v>
      </c>
      <c r="H94" t="s">
        <v>401</v>
      </c>
      <c r="I94" t="s">
        <v>402</v>
      </c>
      <c r="J94" t="s">
        <v>6458</v>
      </c>
      <c r="K94">
        <v>20230627</v>
      </c>
      <c r="L94" t="s">
        <v>422</v>
      </c>
      <c r="M94">
        <v>404.32</v>
      </c>
      <c r="N94">
        <v>0</v>
      </c>
      <c r="O94" t="s">
        <v>19</v>
      </c>
      <c r="P94" t="s">
        <v>20</v>
      </c>
      <c r="Q94">
        <v>20230627</v>
      </c>
    </row>
    <row r="95" spans="1:17" x14ac:dyDescent="0.25">
      <c r="A95" t="s">
        <v>476</v>
      </c>
      <c r="B95" t="s">
        <v>477</v>
      </c>
      <c r="C95">
        <v>2</v>
      </c>
      <c r="D95">
        <v>20230628</v>
      </c>
      <c r="E95">
        <v>6</v>
      </c>
      <c r="F95">
        <v>421000</v>
      </c>
      <c r="G95" t="s">
        <v>403</v>
      </c>
      <c r="H95" t="s">
        <v>401</v>
      </c>
      <c r="I95" t="s">
        <v>402</v>
      </c>
      <c r="J95" t="s">
        <v>6457</v>
      </c>
      <c r="K95">
        <v>20230628</v>
      </c>
      <c r="L95" t="s">
        <v>922</v>
      </c>
      <c r="M95">
        <v>60431.22</v>
      </c>
      <c r="N95">
        <v>0</v>
      </c>
      <c r="O95" t="s">
        <v>19</v>
      </c>
      <c r="P95" t="s">
        <v>20</v>
      </c>
      <c r="Q95">
        <v>20230628</v>
      </c>
    </row>
    <row r="96" spans="1:17" x14ac:dyDescent="0.25">
      <c r="A96" t="s">
        <v>476</v>
      </c>
      <c r="B96" t="s">
        <v>477</v>
      </c>
      <c r="C96">
        <v>2</v>
      </c>
      <c r="D96">
        <v>20230628</v>
      </c>
      <c r="E96">
        <v>6</v>
      </c>
      <c r="F96">
        <v>512000</v>
      </c>
      <c r="G96" t="s">
        <v>428</v>
      </c>
      <c r="H96" t="s">
        <v>401</v>
      </c>
      <c r="I96" t="s">
        <v>402</v>
      </c>
      <c r="J96" t="s">
        <v>6457</v>
      </c>
      <c r="K96">
        <v>20230628</v>
      </c>
      <c r="L96" t="s">
        <v>922</v>
      </c>
      <c r="M96">
        <v>0</v>
      </c>
      <c r="N96">
        <v>60431.22</v>
      </c>
      <c r="O96" t="s">
        <v>19</v>
      </c>
      <c r="P96" t="s">
        <v>20</v>
      </c>
      <c r="Q96">
        <v>20230628</v>
      </c>
    </row>
    <row r="97" spans="1:17" x14ac:dyDescent="0.25">
      <c r="A97" t="s">
        <v>476</v>
      </c>
      <c r="B97" t="s">
        <v>477</v>
      </c>
      <c r="C97">
        <v>2</v>
      </c>
      <c r="D97">
        <v>20230628</v>
      </c>
      <c r="E97">
        <v>6</v>
      </c>
      <c r="F97">
        <v>468200</v>
      </c>
      <c r="G97" t="s">
        <v>421</v>
      </c>
      <c r="H97" t="s">
        <v>401</v>
      </c>
      <c r="I97" t="s">
        <v>402</v>
      </c>
      <c r="J97" t="s">
        <v>6456</v>
      </c>
      <c r="K97">
        <v>20230628</v>
      </c>
      <c r="L97" t="s">
        <v>422</v>
      </c>
      <c r="M97">
        <v>0</v>
      </c>
      <c r="N97">
        <v>149.82</v>
      </c>
      <c r="O97" t="s">
        <v>19</v>
      </c>
      <c r="P97" t="s">
        <v>20</v>
      </c>
      <c r="Q97">
        <v>20230628</v>
      </c>
    </row>
    <row r="98" spans="1:17" x14ac:dyDescent="0.25">
      <c r="A98" t="s">
        <v>476</v>
      </c>
      <c r="B98" t="s">
        <v>477</v>
      </c>
      <c r="C98">
        <v>2</v>
      </c>
      <c r="D98">
        <v>20230628</v>
      </c>
      <c r="E98">
        <v>6</v>
      </c>
      <c r="F98">
        <v>512000</v>
      </c>
      <c r="G98" t="s">
        <v>428</v>
      </c>
      <c r="H98" t="s">
        <v>401</v>
      </c>
      <c r="I98" t="s">
        <v>402</v>
      </c>
      <c r="J98" t="s">
        <v>6456</v>
      </c>
      <c r="K98">
        <v>20230628</v>
      </c>
      <c r="L98" t="s">
        <v>422</v>
      </c>
      <c r="M98">
        <v>149.82</v>
      </c>
      <c r="N98">
        <v>0</v>
      </c>
      <c r="O98" t="s">
        <v>19</v>
      </c>
      <c r="P98" t="s">
        <v>20</v>
      </c>
      <c r="Q98">
        <v>20230628</v>
      </c>
    </row>
    <row r="99" spans="1:17" x14ac:dyDescent="0.25">
      <c r="A99" t="s">
        <v>476</v>
      </c>
      <c r="B99" t="s">
        <v>477</v>
      </c>
      <c r="C99">
        <v>2</v>
      </c>
      <c r="D99">
        <v>20230628</v>
      </c>
      <c r="E99">
        <v>6</v>
      </c>
      <c r="F99">
        <v>401000</v>
      </c>
      <c r="G99" t="s">
        <v>41</v>
      </c>
      <c r="H99" t="s">
        <v>140</v>
      </c>
      <c r="I99" t="s">
        <v>141</v>
      </c>
      <c r="J99" t="s">
        <v>6455</v>
      </c>
      <c r="K99">
        <v>20230628</v>
      </c>
      <c r="L99" t="s">
        <v>6454</v>
      </c>
      <c r="M99">
        <v>0</v>
      </c>
      <c r="N99">
        <v>41.8</v>
      </c>
      <c r="O99" t="s">
        <v>19</v>
      </c>
      <c r="P99" t="s">
        <v>20</v>
      </c>
      <c r="Q99">
        <v>20230628</v>
      </c>
    </row>
    <row r="100" spans="1:17" x14ac:dyDescent="0.25">
      <c r="A100" t="s">
        <v>476</v>
      </c>
      <c r="B100" t="s">
        <v>477</v>
      </c>
      <c r="C100">
        <v>2</v>
      </c>
      <c r="D100">
        <v>20230628</v>
      </c>
      <c r="E100">
        <v>6</v>
      </c>
      <c r="F100">
        <v>512000</v>
      </c>
      <c r="G100" t="s">
        <v>428</v>
      </c>
      <c r="H100" t="s">
        <v>401</v>
      </c>
      <c r="I100" t="s">
        <v>402</v>
      </c>
      <c r="J100" t="s">
        <v>6455</v>
      </c>
      <c r="K100">
        <v>20230628</v>
      </c>
      <c r="L100" t="s">
        <v>6454</v>
      </c>
      <c r="M100">
        <v>41.8</v>
      </c>
      <c r="N100">
        <v>0</v>
      </c>
      <c r="O100" t="s">
        <v>19</v>
      </c>
      <c r="P100" t="s">
        <v>20</v>
      </c>
      <c r="Q100">
        <v>20230628</v>
      </c>
    </row>
    <row r="101" spans="1:17" x14ac:dyDescent="0.25">
      <c r="A101" t="s">
        <v>476</v>
      </c>
      <c r="B101" t="s">
        <v>477</v>
      </c>
      <c r="C101">
        <v>2</v>
      </c>
      <c r="D101">
        <v>20230629</v>
      </c>
      <c r="E101">
        <v>6</v>
      </c>
      <c r="F101">
        <v>401000</v>
      </c>
      <c r="G101" t="s">
        <v>41</v>
      </c>
      <c r="H101" t="s">
        <v>42</v>
      </c>
      <c r="I101" t="s">
        <v>43</v>
      </c>
      <c r="J101" t="s">
        <v>6453</v>
      </c>
      <c r="K101">
        <v>20230629</v>
      </c>
      <c r="L101" t="s">
        <v>5758</v>
      </c>
      <c r="M101">
        <v>478.04</v>
      </c>
      <c r="N101">
        <v>0</v>
      </c>
      <c r="O101" t="s">
        <v>22</v>
      </c>
      <c r="P101">
        <v>20230629</v>
      </c>
      <c r="Q101">
        <v>20230629</v>
      </c>
    </row>
    <row r="102" spans="1:17" x14ac:dyDescent="0.25">
      <c r="A102" t="s">
        <v>476</v>
      </c>
      <c r="B102" t="s">
        <v>477</v>
      </c>
      <c r="C102">
        <v>2</v>
      </c>
      <c r="D102">
        <v>20230629</v>
      </c>
      <c r="E102">
        <v>6</v>
      </c>
      <c r="F102">
        <v>401000</v>
      </c>
      <c r="G102" t="s">
        <v>41</v>
      </c>
      <c r="H102" t="s">
        <v>450</v>
      </c>
      <c r="I102" t="s">
        <v>451</v>
      </c>
      <c r="J102" t="s">
        <v>6453</v>
      </c>
      <c r="K102">
        <v>20230629</v>
      </c>
      <c r="L102" t="s">
        <v>5758</v>
      </c>
      <c r="M102">
        <v>30.25</v>
      </c>
      <c r="N102">
        <v>0</v>
      </c>
      <c r="O102" t="s">
        <v>22</v>
      </c>
      <c r="P102">
        <v>20230629</v>
      </c>
      <c r="Q102">
        <v>20230629</v>
      </c>
    </row>
    <row r="103" spans="1:17" x14ac:dyDescent="0.25">
      <c r="A103" t="s">
        <v>476</v>
      </c>
      <c r="B103" t="s">
        <v>477</v>
      </c>
      <c r="C103">
        <v>2</v>
      </c>
      <c r="D103">
        <v>20230629</v>
      </c>
      <c r="E103">
        <v>6</v>
      </c>
      <c r="F103">
        <v>401000</v>
      </c>
      <c r="G103" t="s">
        <v>41</v>
      </c>
      <c r="H103" t="s">
        <v>454</v>
      </c>
      <c r="I103" t="s">
        <v>455</v>
      </c>
      <c r="J103" t="s">
        <v>6453</v>
      </c>
      <c r="K103">
        <v>20230629</v>
      </c>
      <c r="L103" t="s">
        <v>5758</v>
      </c>
      <c r="M103">
        <v>176.87</v>
      </c>
      <c r="N103">
        <v>0</v>
      </c>
      <c r="O103" t="s">
        <v>22</v>
      </c>
      <c r="P103">
        <v>20230629</v>
      </c>
      <c r="Q103">
        <v>20230629</v>
      </c>
    </row>
    <row r="104" spans="1:17" x14ac:dyDescent="0.25">
      <c r="A104" t="s">
        <v>476</v>
      </c>
      <c r="B104" t="s">
        <v>477</v>
      </c>
      <c r="C104">
        <v>2</v>
      </c>
      <c r="D104">
        <v>20230629</v>
      </c>
      <c r="E104">
        <v>6</v>
      </c>
      <c r="F104">
        <v>401000</v>
      </c>
      <c r="G104" t="s">
        <v>41</v>
      </c>
      <c r="H104" t="s">
        <v>842</v>
      </c>
      <c r="I104" t="s">
        <v>843</v>
      </c>
      <c r="J104" t="s">
        <v>6453</v>
      </c>
      <c r="K104">
        <v>20230629</v>
      </c>
      <c r="L104" t="s">
        <v>5758</v>
      </c>
      <c r="M104">
        <v>700</v>
      </c>
      <c r="N104">
        <v>0</v>
      </c>
      <c r="O104" t="s">
        <v>22</v>
      </c>
      <c r="P104">
        <v>20230629</v>
      </c>
      <c r="Q104">
        <v>20230629</v>
      </c>
    </row>
    <row r="105" spans="1:17" x14ac:dyDescent="0.25">
      <c r="A105" t="s">
        <v>476</v>
      </c>
      <c r="B105" t="s">
        <v>477</v>
      </c>
      <c r="C105">
        <v>2</v>
      </c>
      <c r="D105">
        <v>20230629</v>
      </c>
      <c r="E105">
        <v>6</v>
      </c>
      <c r="F105">
        <v>401000</v>
      </c>
      <c r="G105" t="s">
        <v>41</v>
      </c>
      <c r="H105" t="s">
        <v>67</v>
      </c>
      <c r="I105" t="s">
        <v>68</v>
      </c>
      <c r="J105" t="s">
        <v>6453</v>
      </c>
      <c r="K105">
        <v>20230629</v>
      </c>
      <c r="L105" t="s">
        <v>5758</v>
      </c>
      <c r="M105">
        <v>207.36</v>
      </c>
      <c r="N105">
        <v>0</v>
      </c>
      <c r="O105" t="s">
        <v>22</v>
      </c>
      <c r="P105">
        <v>20230629</v>
      </c>
      <c r="Q105">
        <v>20230629</v>
      </c>
    </row>
    <row r="106" spans="1:17" x14ac:dyDescent="0.25">
      <c r="A106" t="s">
        <v>476</v>
      </c>
      <c r="B106" t="s">
        <v>477</v>
      </c>
      <c r="C106">
        <v>2</v>
      </c>
      <c r="D106">
        <v>20230629</v>
      </c>
      <c r="E106">
        <v>6</v>
      </c>
      <c r="F106">
        <v>401000</v>
      </c>
      <c r="G106" t="s">
        <v>41</v>
      </c>
      <c r="H106" t="s">
        <v>69</v>
      </c>
      <c r="I106" t="s">
        <v>70</v>
      </c>
      <c r="J106" t="s">
        <v>6453</v>
      </c>
      <c r="K106">
        <v>20230629</v>
      </c>
      <c r="L106" t="s">
        <v>5758</v>
      </c>
      <c r="M106">
        <v>1480.56</v>
      </c>
      <c r="N106">
        <v>0</v>
      </c>
      <c r="O106" t="s">
        <v>22</v>
      </c>
      <c r="P106">
        <v>20230629</v>
      </c>
      <c r="Q106">
        <v>20230629</v>
      </c>
    </row>
    <row r="107" spans="1:17" x14ac:dyDescent="0.25">
      <c r="A107" t="s">
        <v>476</v>
      </c>
      <c r="B107" t="s">
        <v>477</v>
      </c>
      <c r="C107">
        <v>2</v>
      </c>
      <c r="D107">
        <v>20230629</v>
      </c>
      <c r="E107">
        <v>6</v>
      </c>
      <c r="F107">
        <v>401000</v>
      </c>
      <c r="G107" t="s">
        <v>41</v>
      </c>
      <c r="H107" t="s">
        <v>71</v>
      </c>
      <c r="I107" t="s">
        <v>72</v>
      </c>
      <c r="J107" t="s">
        <v>6453</v>
      </c>
      <c r="K107">
        <v>20230629</v>
      </c>
      <c r="L107" t="s">
        <v>5758</v>
      </c>
      <c r="M107">
        <v>247.79</v>
      </c>
      <c r="N107">
        <v>0</v>
      </c>
      <c r="O107" t="s">
        <v>22</v>
      </c>
      <c r="P107">
        <v>20230629</v>
      </c>
      <c r="Q107">
        <v>20230629</v>
      </c>
    </row>
    <row r="108" spans="1:17" x14ac:dyDescent="0.25">
      <c r="A108" t="s">
        <v>476</v>
      </c>
      <c r="B108" t="s">
        <v>477</v>
      </c>
      <c r="C108">
        <v>2</v>
      </c>
      <c r="D108">
        <v>20230629</v>
      </c>
      <c r="E108">
        <v>6</v>
      </c>
      <c r="F108">
        <v>401000</v>
      </c>
      <c r="G108" t="s">
        <v>41</v>
      </c>
      <c r="H108" t="s">
        <v>456</v>
      </c>
      <c r="I108" t="s">
        <v>457</v>
      </c>
      <c r="J108" t="s">
        <v>6453</v>
      </c>
      <c r="K108">
        <v>20230629</v>
      </c>
      <c r="L108" t="s">
        <v>5758</v>
      </c>
      <c r="M108">
        <v>210</v>
      </c>
      <c r="N108">
        <v>0</v>
      </c>
      <c r="O108" t="s">
        <v>22</v>
      </c>
      <c r="P108">
        <v>20230629</v>
      </c>
      <c r="Q108">
        <v>20230629</v>
      </c>
    </row>
    <row r="109" spans="1:17" x14ac:dyDescent="0.25">
      <c r="A109" t="s">
        <v>476</v>
      </c>
      <c r="B109" t="s">
        <v>477</v>
      </c>
      <c r="C109">
        <v>2</v>
      </c>
      <c r="D109">
        <v>20230629</v>
      </c>
      <c r="E109">
        <v>6</v>
      </c>
      <c r="F109">
        <v>401000</v>
      </c>
      <c r="G109" t="s">
        <v>41</v>
      </c>
      <c r="H109" t="s">
        <v>472</v>
      </c>
      <c r="I109" t="s">
        <v>473</v>
      </c>
      <c r="J109" t="s">
        <v>6453</v>
      </c>
      <c r="K109">
        <v>20230629</v>
      </c>
      <c r="L109" t="s">
        <v>5758</v>
      </c>
      <c r="M109">
        <v>140</v>
      </c>
      <c r="N109">
        <v>0</v>
      </c>
      <c r="O109" t="s">
        <v>22</v>
      </c>
      <c r="P109">
        <v>20230629</v>
      </c>
      <c r="Q109">
        <v>20230629</v>
      </c>
    </row>
    <row r="110" spans="1:17" x14ac:dyDescent="0.25">
      <c r="A110" t="s">
        <v>476</v>
      </c>
      <c r="B110" t="s">
        <v>477</v>
      </c>
      <c r="C110">
        <v>2</v>
      </c>
      <c r="D110">
        <v>20230629</v>
      </c>
      <c r="E110">
        <v>6</v>
      </c>
      <c r="F110">
        <v>401000</v>
      </c>
      <c r="G110" t="s">
        <v>41</v>
      </c>
      <c r="H110" t="s">
        <v>827</v>
      </c>
      <c r="I110" t="s">
        <v>828</v>
      </c>
      <c r="J110" t="s">
        <v>6453</v>
      </c>
      <c r="K110">
        <v>20230629</v>
      </c>
      <c r="L110" t="s">
        <v>5758</v>
      </c>
      <c r="M110">
        <v>307.5</v>
      </c>
      <c r="N110">
        <v>0</v>
      </c>
      <c r="O110" t="s">
        <v>22</v>
      </c>
      <c r="P110">
        <v>20230629</v>
      </c>
      <c r="Q110">
        <v>20230629</v>
      </c>
    </row>
    <row r="111" spans="1:17" x14ac:dyDescent="0.25">
      <c r="A111" t="s">
        <v>476</v>
      </c>
      <c r="B111" t="s">
        <v>477</v>
      </c>
      <c r="C111">
        <v>2</v>
      </c>
      <c r="D111">
        <v>20230629</v>
      </c>
      <c r="E111">
        <v>6</v>
      </c>
      <c r="F111">
        <v>401000</v>
      </c>
      <c r="G111" t="s">
        <v>41</v>
      </c>
      <c r="H111" t="s">
        <v>830</v>
      </c>
      <c r="I111" t="s">
        <v>831</v>
      </c>
      <c r="J111" t="s">
        <v>6453</v>
      </c>
      <c r="K111">
        <v>20230629</v>
      </c>
      <c r="L111" t="s">
        <v>5758</v>
      </c>
      <c r="M111">
        <v>240</v>
      </c>
      <c r="N111">
        <v>0</v>
      </c>
      <c r="O111" t="s">
        <v>22</v>
      </c>
      <c r="P111">
        <v>20230629</v>
      </c>
      <c r="Q111">
        <v>20230629</v>
      </c>
    </row>
    <row r="112" spans="1:17" x14ac:dyDescent="0.25">
      <c r="A112" t="s">
        <v>476</v>
      </c>
      <c r="B112" t="s">
        <v>477</v>
      </c>
      <c r="C112">
        <v>2</v>
      </c>
      <c r="D112">
        <v>20230629</v>
      </c>
      <c r="E112">
        <v>6</v>
      </c>
      <c r="F112">
        <v>512000</v>
      </c>
      <c r="G112" t="s">
        <v>428</v>
      </c>
      <c r="H112" t="s">
        <v>401</v>
      </c>
      <c r="I112" t="s">
        <v>402</v>
      </c>
      <c r="J112" t="s">
        <v>6453</v>
      </c>
      <c r="K112">
        <v>20230629</v>
      </c>
      <c r="L112" t="s">
        <v>5758</v>
      </c>
      <c r="M112">
        <v>0</v>
      </c>
      <c r="N112">
        <v>4218.37</v>
      </c>
      <c r="O112" t="s">
        <v>19</v>
      </c>
      <c r="P112" t="s">
        <v>20</v>
      </c>
      <c r="Q112">
        <v>20230629</v>
      </c>
    </row>
    <row r="113" spans="1:17" x14ac:dyDescent="0.25">
      <c r="A113" t="s">
        <v>476</v>
      </c>
      <c r="B113" t="s">
        <v>477</v>
      </c>
      <c r="C113">
        <v>2</v>
      </c>
      <c r="D113">
        <v>20230629</v>
      </c>
      <c r="E113">
        <v>6</v>
      </c>
      <c r="F113">
        <v>411100</v>
      </c>
      <c r="G113" t="s">
        <v>18</v>
      </c>
      <c r="H113" t="s">
        <v>6452</v>
      </c>
      <c r="I113" t="s">
        <v>6451</v>
      </c>
      <c r="J113" t="s">
        <v>6450</v>
      </c>
      <c r="K113">
        <v>20230629</v>
      </c>
      <c r="L113" t="s">
        <v>6449</v>
      </c>
      <c r="M113">
        <v>0</v>
      </c>
      <c r="N113">
        <v>346.8</v>
      </c>
      <c r="O113" t="s">
        <v>19</v>
      </c>
      <c r="P113" t="s">
        <v>20</v>
      </c>
      <c r="Q113">
        <v>20230629</v>
      </c>
    </row>
    <row r="114" spans="1:17" x14ac:dyDescent="0.25">
      <c r="A114" t="s">
        <v>476</v>
      </c>
      <c r="B114" t="s">
        <v>477</v>
      </c>
      <c r="C114">
        <v>2</v>
      </c>
      <c r="D114">
        <v>20230629</v>
      </c>
      <c r="E114">
        <v>6</v>
      </c>
      <c r="F114">
        <v>512000</v>
      </c>
      <c r="G114" t="s">
        <v>428</v>
      </c>
      <c r="H114" t="s">
        <v>401</v>
      </c>
      <c r="I114" t="s">
        <v>402</v>
      </c>
      <c r="J114" t="s">
        <v>6450</v>
      </c>
      <c r="K114">
        <v>20230629</v>
      </c>
      <c r="L114" t="s">
        <v>6449</v>
      </c>
      <c r="M114">
        <v>346.8</v>
      </c>
      <c r="N114">
        <v>0</v>
      </c>
      <c r="O114" t="s">
        <v>19</v>
      </c>
      <c r="P114" t="s">
        <v>20</v>
      </c>
      <c r="Q114">
        <v>20230629</v>
      </c>
    </row>
    <row r="115" spans="1:17" x14ac:dyDescent="0.25">
      <c r="A115" t="s">
        <v>548</v>
      </c>
      <c r="B115" t="s">
        <v>429</v>
      </c>
      <c r="C115">
        <v>3</v>
      </c>
      <c r="D115">
        <v>20230605</v>
      </c>
      <c r="E115">
        <v>6</v>
      </c>
      <c r="F115">
        <v>467100</v>
      </c>
      <c r="G115" t="s">
        <v>160</v>
      </c>
      <c r="H115" t="s">
        <v>4958</v>
      </c>
      <c r="I115" t="s">
        <v>4959</v>
      </c>
      <c r="J115" t="s">
        <v>6448</v>
      </c>
      <c r="K115">
        <v>20230605</v>
      </c>
      <c r="L115" t="s">
        <v>6447</v>
      </c>
      <c r="M115">
        <v>50</v>
      </c>
      <c r="N115">
        <v>0</v>
      </c>
      <c r="O115" t="s">
        <v>19</v>
      </c>
      <c r="P115" t="s">
        <v>20</v>
      </c>
      <c r="Q115">
        <v>20230605</v>
      </c>
    </row>
    <row r="116" spans="1:17" x14ac:dyDescent="0.25">
      <c r="A116" t="s">
        <v>548</v>
      </c>
      <c r="B116" t="s">
        <v>429</v>
      </c>
      <c r="C116">
        <v>3</v>
      </c>
      <c r="D116">
        <v>20230605</v>
      </c>
      <c r="E116">
        <v>6</v>
      </c>
      <c r="F116">
        <v>531105</v>
      </c>
      <c r="G116" t="s">
        <v>429</v>
      </c>
      <c r="H116" t="s">
        <v>401</v>
      </c>
      <c r="I116" t="s">
        <v>402</v>
      </c>
      <c r="J116" t="s">
        <v>6448</v>
      </c>
      <c r="K116">
        <v>20230605</v>
      </c>
      <c r="L116" t="s">
        <v>6447</v>
      </c>
      <c r="M116">
        <v>0</v>
      </c>
      <c r="N116">
        <v>50</v>
      </c>
      <c r="O116" t="s">
        <v>19</v>
      </c>
      <c r="P116" t="s">
        <v>20</v>
      </c>
      <c r="Q116">
        <v>20230605</v>
      </c>
    </row>
    <row r="117" spans="1:17" x14ac:dyDescent="0.25">
      <c r="A117" t="s">
        <v>548</v>
      </c>
      <c r="B117" t="s">
        <v>429</v>
      </c>
      <c r="C117">
        <v>3</v>
      </c>
      <c r="D117">
        <v>20230605</v>
      </c>
      <c r="E117">
        <v>6</v>
      </c>
      <c r="F117">
        <v>467100</v>
      </c>
      <c r="G117" t="s">
        <v>160</v>
      </c>
      <c r="H117" t="s">
        <v>4958</v>
      </c>
      <c r="I117" t="s">
        <v>4959</v>
      </c>
      <c r="J117" t="s">
        <v>6446</v>
      </c>
      <c r="K117">
        <v>20230605</v>
      </c>
      <c r="L117" t="s">
        <v>6445</v>
      </c>
      <c r="M117">
        <v>0</v>
      </c>
      <c r="N117">
        <v>12.78</v>
      </c>
      <c r="O117" t="s">
        <v>19</v>
      </c>
      <c r="P117" t="s">
        <v>20</v>
      </c>
      <c r="Q117">
        <v>20230605</v>
      </c>
    </row>
    <row r="118" spans="1:17" x14ac:dyDescent="0.25">
      <c r="A118" t="s">
        <v>548</v>
      </c>
      <c r="B118" t="s">
        <v>429</v>
      </c>
      <c r="C118">
        <v>3</v>
      </c>
      <c r="D118">
        <v>20230605</v>
      </c>
      <c r="E118">
        <v>6</v>
      </c>
      <c r="F118">
        <v>531105</v>
      </c>
      <c r="G118" t="s">
        <v>429</v>
      </c>
      <c r="H118" t="s">
        <v>401</v>
      </c>
      <c r="I118" t="s">
        <v>402</v>
      </c>
      <c r="J118" t="s">
        <v>6446</v>
      </c>
      <c r="K118">
        <v>20230605</v>
      </c>
      <c r="L118" t="s">
        <v>6445</v>
      </c>
      <c r="M118">
        <v>12.78</v>
      </c>
      <c r="N118">
        <v>0</v>
      </c>
      <c r="O118" t="s">
        <v>19</v>
      </c>
      <c r="P118" t="s">
        <v>20</v>
      </c>
      <c r="Q118">
        <v>20230605</v>
      </c>
    </row>
    <row r="119" spans="1:17" x14ac:dyDescent="0.25">
      <c r="A119" t="s">
        <v>548</v>
      </c>
      <c r="B119" t="s">
        <v>429</v>
      </c>
      <c r="C119">
        <v>3</v>
      </c>
      <c r="D119">
        <v>20230606</v>
      </c>
      <c r="E119">
        <v>6</v>
      </c>
      <c r="F119">
        <v>706100</v>
      </c>
      <c r="G119" t="s">
        <v>807</v>
      </c>
      <c r="H119" t="s">
        <v>401</v>
      </c>
      <c r="I119" t="s">
        <v>402</v>
      </c>
      <c r="J119" t="s">
        <v>6444</v>
      </c>
      <c r="K119">
        <v>20230606</v>
      </c>
      <c r="L119" t="s">
        <v>6443</v>
      </c>
      <c r="M119">
        <v>0</v>
      </c>
      <c r="N119">
        <v>185</v>
      </c>
      <c r="O119" t="s">
        <v>19</v>
      </c>
      <c r="P119" t="s">
        <v>20</v>
      </c>
      <c r="Q119">
        <v>20230606</v>
      </c>
    </row>
    <row r="120" spans="1:17" x14ac:dyDescent="0.25">
      <c r="A120" t="s">
        <v>548</v>
      </c>
      <c r="B120" t="s">
        <v>429</v>
      </c>
      <c r="C120">
        <v>3</v>
      </c>
      <c r="D120">
        <v>20230606</v>
      </c>
      <c r="E120">
        <v>6</v>
      </c>
      <c r="F120">
        <v>531105</v>
      </c>
      <c r="G120" t="s">
        <v>429</v>
      </c>
      <c r="H120" t="s">
        <v>401</v>
      </c>
      <c r="I120" t="s">
        <v>402</v>
      </c>
      <c r="J120" t="s">
        <v>6444</v>
      </c>
      <c r="K120">
        <v>20230606</v>
      </c>
      <c r="L120" t="s">
        <v>6443</v>
      </c>
      <c r="M120">
        <v>185</v>
      </c>
      <c r="N120">
        <v>0</v>
      </c>
      <c r="O120" t="s">
        <v>19</v>
      </c>
      <c r="P120" t="s">
        <v>20</v>
      </c>
      <c r="Q120">
        <v>20230606</v>
      </c>
    </row>
    <row r="121" spans="1:17" x14ac:dyDescent="0.25">
      <c r="A121" t="s">
        <v>548</v>
      </c>
      <c r="B121" t="s">
        <v>429</v>
      </c>
      <c r="C121">
        <v>3</v>
      </c>
      <c r="D121">
        <v>20230606</v>
      </c>
      <c r="E121">
        <v>6</v>
      </c>
      <c r="F121">
        <v>706100</v>
      </c>
      <c r="G121" t="s">
        <v>807</v>
      </c>
      <c r="H121" t="s">
        <v>401</v>
      </c>
      <c r="I121" t="s">
        <v>402</v>
      </c>
      <c r="J121" t="s">
        <v>6442</v>
      </c>
      <c r="K121">
        <v>20230606</v>
      </c>
      <c r="L121" t="s">
        <v>6441</v>
      </c>
      <c r="M121">
        <v>0</v>
      </c>
      <c r="N121">
        <v>407</v>
      </c>
      <c r="O121" t="s">
        <v>19</v>
      </c>
      <c r="P121" t="s">
        <v>20</v>
      </c>
      <c r="Q121">
        <v>20230606</v>
      </c>
    </row>
    <row r="122" spans="1:17" x14ac:dyDescent="0.25">
      <c r="A122" t="s">
        <v>548</v>
      </c>
      <c r="B122" t="s">
        <v>429</v>
      </c>
      <c r="C122">
        <v>3</v>
      </c>
      <c r="D122">
        <v>20230606</v>
      </c>
      <c r="E122">
        <v>6</v>
      </c>
      <c r="F122">
        <v>531105</v>
      </c>
      <c r="G122" t="s">
        <v>429</v>
      </c>
      <c r="H122" t="s">
        <v>401</v>
      </c>
      <c r="I122" t="s">
        <v>402</v>
      </c>
      <c r="J122" t="s">
        <v>6442</v>
      </c>
      <c r="K122">
        <v>20230606</v>
      </c>
      <c r="L122" t="s">
        <v>6441</v>
      </c>
      <c r="M122">
        <v>407</v>
      </c>
      <c r="N122">
        <v>0</v>
      </c>
      <c r="O122" t="s">
        <v>19</v>
      </c>
      <c r="P122" t="s">
        <v>20</v>
      </c>
      <c r="Q122">
        <v>20230606</v>
      </c>
    </row>
    <row r="123" spans="1:17" x14ac:dyDescent="0.25">
      <c r="A123" t="s">
        <v>548</v>
      </c>
      <c r="B123" t="s">
        <v>429</v>
      </c>
      <c r="C123">
        <v>3</v>
      </c>
      <c r="D123">
        <v>20230606</v>
      </c>
      <c r="E123">
        <v>6</v>
      </c>
      <c r="F123">
        <v>706100</v>
      </c>
      <c r="G123" t="s">
        <v>807</v>
      </c>
      <c r="H123" t="s">
        <v>401</v>
      </c>
      <c r="I123" t="s">
        <v>402</v>
      </c>
      <c r="J123" t="s">
        <v>6440</v>
      </c>
      <c r="K123">
        <v>20230606</v>
      </c>
      <c r="L123" t="s">
        <v>6439</v>
      </c>
      <c r="M123">
        <v>0</v>
      </c>
      <c r="N123">
        <v>84</v>
      </c>
      <c r="O123" t="s">
        <v>19</v>
      </c>
      <c r="P123" t="s">
        <v>20</v>
      </c>
      <c r="Q123">
        <v>20230606</v>
      </c>
    </row>
    <row r="124" spans="1:17" x14ac:dyDescent="0.25">
      <c r="A124" t="s">
        <v>548</v>
      </c>
      <c r="B124" t="s">
        <v>429</v>
      </c>
      <c r="C124">
        <v>3</v>
      </c>
      <c r="D124">
        <v>20230606</v>
      </c>
      <c r="E124">
        <v>6</v>
      </c>
      <c r="F124">
        <v>531105</v>
      </c>
      <c r="G124" t="s">
        <v>429</v>
      </c>
      <c r="H124" t="s">
        <v>401</v>
      </c>
      <c r="I124" t="s">
        <v>402</v>
      </c>
      <c r="J124" t="s">
        <v>6440</v>
      </c>
      <c r="K124">
        <v>20230606</v>
      </c>
      <c r="L124" t="s">
        <v>6439</v>
      </c>
      <c r="M124">
        <v>84</v>
      </c>
      <c r="N124">
        <v>0</v>
      </c>
      <c r="O124" t="s">
        <v>19</v>
      </c>
      <c r="P124" t="s">
        <v>20</v>
      </c>
      <c r="Q124">
        <v>20230606</v>
      </c>
    </row>
    <row r="125" spans="1:17" x14ac:dyDescent="0.25">
      <c r="A125" t="s">
        <v>548</v>
      </c>
      <c r="B125" t="s">
        <v>429</v>
      </c>
      <c r="C125">
        <v>3</v>
      </c>
      <c r="D125">
        <v>20230606</v>
      </c>
      <c r="E125">
        <v>6</v>
      </c>
      <c r="F125">
        <v>706100</v>
      </c>
      <c r="G125" t="s">
        <v>807</v>
      </c>
      <c r="H125" t="s">
        <v>401</v>
      </c>
      <c r="I125" t="s">
        <v>402</v>
      </c>
      <c r="J125" t="s">
        <v>6438</v>
      </c>
      <c r="K125">
        <v>20230606</v>
      </c>
      <c r="L125" t="s">
        <v>6437</v>
      </c>
      <c r="M125">
        <v>0</v>
      </c>
      <c r="N125">
        <v>44</v>
      </c>
      <c r="O125" t="s">
        <v>19</v>
      </c>
      <c r="P125" t="s">
        <v>20</v>
      </c>
      <c r="Q125">
        <v>20230606</v>
      </c>
    </row>
    <row r="126" spans="1:17" x14ac:dyDescent="0.25">
      <c r="A126" t="s">
        <v>548</v>
      </c>
      <c r="B126" t="s">
        <v>429</v>
      </c>
      <c r="C126">
        <v>3</v>
      </c>
      <c r="D126">
        <v>20230606</v>
      </c>
      <c r="E126">
        <v>6</v>
      </c>
      <c r="F126">
        <v>531105</v>
      </c>
      <c r="G126" t="s">
        <v>429</v>
      </c>
      <c r="H126" t="s">
        <v>401</v>
      </c>
      <c r="I126" t="s">
        <v>402</v>
      </c>
      <c r="J126" t="s">
        <v>6438</v>
      </c>
      <c r="K126">
        <v>20230606</v>
      </c>
      <c r="L126" t="s">
        <v>6437</v>
      </c>
      <c r="M126">
        <v>44</v>
      </c>
      <c r="N126">
        <v>0</v>
      </c>
      <c r="O126" t="s">
        <v>19</v>
      </c>
      <c r="P126" t="s">
        <v>20</v>
      </c>
      <c r="Q126">
        <v>20230606</v>
      </c>
    </row>
    <row r="127" spans="1:17" x14ac:dyDescent="0.25">
      <c r="A127" t="s">
        <v>548</v>
      </c>
      <c r="B127" t="s">
        <v>429</v>
      </c>
      <c r="C127">
        <v>3</v>
      </c>
      <c r="D127">
        <v>20230606</v>
      </c>
      <c r="E127">
        <v>6</v>
      </c>
      <c r="F127">
        <v>467100</v>
      </c>
      <c r="G127" t="s">
        <v>160</v>
      </c>
      <c r="H127" t="s">
        <v>316</v>
      </c>
      <c r="I127" t="s">
        <v>317</v>
      </c>
      <c r="J127" t="s">
        <v>6436</v>
      </c>
      <c r="K127">
        <v>20230606</v>
      </c>
      <c r="L127" t="s">
        <v>6435</v>
      </c>
      <c r="M127">
        <v>0</v>
      </c>
      <c r="N127">
        <v>73.14</v>
      </c>
      <c r="O127" t="s">
        <v>23</v>
      </c>
      <c r="P127">
        <v>20230606</v>
      </c>
      <c r="Q127">
        <v>20230606</v>
      </c>
    </row>
    <row r="128" spans="1:17" x14ac:dyDescent="0.25">
      <c r="A128" t="s">
        <v>548</v>
      </c>
      <c r="B128" t="s">
        <v>429</v>
      </c>
      <c r="C128">
        <v>3</v>
      </c>
      <c r="D128">
        <v>20230606</v>
      </c>
      <c r="E128">
        <v>6</v>
      </c>
      <c r="F128">
        <v>531105</v>
      </c>
      <c r="G128" t="s">
        <v>429</v>
      </c>
      <c r="H128" t="s">
        <v>401</v>
      </c>
      <c r="I128" t="s">
        <v>402</v>
      </c>
      <c r="J128" t="s">
        <v>6436</v>
      </c>
      <c r="K128">
        <v>20230606</v>
      </c>
      <c r="L128" t="s">
        <v>6435</v>
      </c>
      <c r="M128">
        <v>73.14</v>
      </c>
      <c r="N128">
        <v>0</v>
      </c>
      <c r="O128" t="s">
        <v>19</v>
      </c>
      <c r="P128" t="s">
        <v>20</v>
      </c>
      <c r="Q128">
        <v>20230606</v>
      </c>
    </row>
    <row r="129" spans="1:17" x14ac:dyDescent="0.25">
      <c r="A129" t="s">
        <v>548</v>
      </c>
      <c r="B129" t="s">
        <v>429</v>
      </c>
      <c r="C129">
        <v>3</v>
      </c>
      <c r="D129">
        <v>20230609</v>
      </c>
      <c r="E129">
        <v>6</v>
      </c>
      <c r="F129">
        <v>467100</v>
      </c>
      <c r="G129" t="s">
        <v>160</v>
      </c>
      <c r="H129" t="s">
        <v>316</v>
      </c>
      <c r="I129" t="s">
        <v>317</v>
      </c>
      <c r="J129" t="s">
        <v>6434</v>
      </c>
      <c r="K129">
        <v>20230609</v>
      </c>
      <c r="L129" t="s">
        <v>6433</v>
      </c>
      <c r="M129">
        <v>30</v>
      </c>
      <c r="N129">
        <v>0</v>
      </c>
      <c r="O129" t="s">
        <v>19</v>
      </c>
      <c r="P129" t="s">
        <v>20</v>
      </c>
      <c r="Q129">
        <v>20230609</v>
      </c>
    </row>
    <row r="130" spans="1:17" x14ac:dyDescent="0.25">
      <c r="A130" t="s">
        <v>548</v>
      </c>
      <c r="B130" t="s">
        <v>429</v>
      </c>
      <c r="C130">
        <v>3</v>
      </c>
      <c r="D130">
        <v>20230609</v>
      </c>
      <c r="E130">
        <v>6</v>
      </c>
      <c r="F130">
        <v>531105</v>
      </c>
      <c r="G130" t="s">
        <v>429</v>
      </c>
      <c r="H130" t="s">
        <v>401</v>
      </c>
      <c r="I130" t="s">
        <v>402</v>
      </c>
      <c r="J130" t="s">
        <v>6434</v>
      </c>
      <c r="K130">
        <v>20230609</v>
      </c>
      <c r="L130" t="s">
        <v>6433</v>
      </c>
      <c r="M130">
        <v>0</v>
      </c>
      <c r="N130">
        <v>30</v>
      </c>
      <c r="O130" t="s">
        <v>19</v>
      </c>
      <c r="P130" t="s">
        <v>20</v>
      </c>
      <c r="Q130">
        <v>20230609</v>
      </c>
    </row>
    <row r="131" spans="1:17" x14ac:dyDescent="0.25">
      <c r="A131" t="s">
        <v>548</v>
      </c>
      <c r="B131" t="s">
        <v>429</v>
      </c>
      <c r="C131">
        <v>3</v>
      </c>
      <c r="D131">
        <v>20230616</v>
      </c>
      <c r="E131">
        <v>6</v>
      </c>
      <c r="F131">
        <v>467100</v>
      </c>
      <c r="G131" t="s">
        <v>160</v>
      </c>
      <c r="H131" t="s">
        <v>172</v>
      </c>
      <c r="I131" t="s">
        <v>173</v>
      </c>
      <c r="J131" t="s">
        <v>6432</v>
      </c>
      <c r="K131">
        <v>20230616</v>
      </c>
      <c r="L131" t="s">
        <v>6431</v>
      </c>
      <c r="M131">
        <v>120</v>
      </c>
      <c r="N131">
        <v>0</v>
      </c>
      <c r="O131" t="s">
        <v>23</v>
      </c>
      <c r="P131">
        <v>20230725</v>
      </c>
      <c r="Q131">
        <v>20230616</v>
      </c>
    </row>
    <row r="132" spans="1:17" x14ac:dyDescent="0.25">
      <c r="A132" t="s">
        <v>548</v>
      </c>
      <c r="B132" t="s">
        <v>429</v>
      </c>
      <c r="C132">
        <v>3</v>
      </c>
      <c r="D132">
        <v>20230616</v>
      </c>
      <c r="E132">
        <v>6</v>
      </c>
      <c r="F132">
        <v>531105</v>
      </c>
      <c r="G132" t="s">
        <v>429</v>
      </c>
      <c r="H132" t="s">
        <v>401</v>
      </c>
      <c r="I132" t="s">
        <v>402</v>
      </c>
      <c r="J132" t="s">
        <v>6432</v>
      </c>
      <c r="K132">
        <v>20230616</v>
      </c>
      <c r="L132" t="s">
        <v>6431</v>
      </c>
      <c r="M132">
        <v>0</v>
      </c>
      <c r="N132">
        <v>120</v>
      </c>
      <c r="O132" t="s">
        <v>19</v>
      </c>
      <c r="P132" t="s">
        <v>20</v>
      </c>
      <c r="Q132">
        <v>20230616</v>
      </c>
    </row>
    <row r="133" spans="1:17" x14ac:dyDescent="0.25">
      <c r="A133" t="s">
        <v>548</v>
      </c>
      <c r="B133" t="s">
        <v>429</v>
      </c>
      <c r="C133">
        <v>3</v>
      </c>
      <c r="D133">
        <v>20230620</v>
      </c>
      <c r="E133">
        <v>6</v>
      </c>
      <c r="F133">
        <v>580000</v>
      </c>
      <c r="G133" t="s">
        <v>532</v>
      </c>
      <c r="H133" t="s">
        <v>401</v>
      </c>
      <c r="I133" t="s">
        <v>402</v>
      </c>
      <c r="J133" t="s">
        <v>6287</v>
      </c>
      <c r="K133">
        <v>20230620</v>
      </c>
      <c r="L133" t="s">
        <v>625</v>
      </c>
      <c r="M133">
        <v>5250</v>
      </c>
      <c r="N133">
        <v>0</v>
      </c>
      <c r="O133" t="s">
        <v>22</v>
      </c>
      <c r="P133">
        <v>20230623</v>
      </c>
      <c r="Q133">
        <v>20230620</v>
      </c>
    </row>
    <row r="134" spans="1:17" x14ac:dyDescent="0.25">
      <c r="A134" t="s">
        <v>548</v>
      </c>
      <c r="B134" t="s">
        <v>429</v>
      </c>
      <c r="C134">
        <v>3</v>
      </c>
      <c r="D134">
        <v>20230620</v>
      </c>
      <c r="E134">
        <v>6</v>
      </c>
      <c r="F134">
        <v>531105</v>
      </c>
      <c r="G134" t="s">
        <v>429</v>
      </c>
      <c r="H134" t="s">
        <v>401</v>
      </c>
      <c r="I134" t="s">
        <v>402</v>
      </c>
      <c r="J134" t="s">
        <v>6287</v>
      </c>
      <c r="K134">
        <v>20230620</v>
      </c>
      <c r="L134" t="s">
        <v>625</v>
      </c>
      <c r="M134">
        <v>0</v>
      </c>
      <c r="N134">
        <v>5250</v>
      </c>
      <c r="O134" t="s">
        <v>19</v>
      </c>
      <c r="P134" t="s">
        <v>20</v>
      </c>
      <c r="Q134">
        <v>20230620</v>
      </c>
    </row>
    <row r="135" spans="1:17" x14ac:dyDescent="0.25">
      <c r="A135" t="s">
        <v>548</v>
      </c>
      <c r="B135" t="s">
        <v>429</v>
      </c>
      <c r="C135">
        <v>3</v>
      </c>
      <c r="D135">
        <v>20230627</v>
      </c>
      <c r="E135">
        <v>6</v>
      </c>
      <c r="F135">
        <v>467100</v>
      </c>
      <c r="G135" t="s">
        <v>160</v>
      </c>
      <c r="H135" t="s">
        <v>316</v>
      </c>
      <c r="I135" t="s">
        <v>317</v>
      </c>
      <c r="J135" t="s">
        <v>6430</v>
      </c>
      <c r="K135">
        <v>20230627</v>
      </c>
      <c r="L135" t="s">
        <v>6429</v>
      </c>
      <c r="M135">
        <v>200</v>
      </c>
      <c r="N135">
        <v>0</v>
      </c>
      <c r="O135" t="s">
        <v>23</v>
      </c>
      <c r="P135">
        <v>20230724</v>
      </c>
      <c r="Q135">
        <v>20230627</v>
      </c>
    </row>
    <row r="136" spans="1:17" x14ac:dyDescent="0.25">
      <c r="A136" t="s">
        <v>548</v>
      </c>
      <c r="B136" t="s">
        <v>429</v>
      </c>
      <c r="C136">
        <v>3</v>
      </c>
      <c r="D136">
        <v>20230627</v>
      </c>
      <c r="E136">
        <v>6</v>
      </c>
      <c r="F136">
        <v>531105</v>
      </c>
      <c r="G136" t="s">
        <v>429</v>
      </c>
      <c r="H136" t="s">
        <v>401</v>
      </c>
      <c r="I136" t="s">
        <v>402</v>
      </c>
      <c r="J136" t="s">
        <v>6430</v>
      </c>
      <c r="K136">
        <v>20230627</v>
      </c>
      <c r="L136" t="s">
        <v>6429</v>
      </c>
      <c r="M136">
        <v>0</v>
      </c>
      <c r="N136">
        <v>200</v>
      </c>
      <c r="O136" t="s">
        <v>19</v>
      </c>
      <c r="P136" t="s">
        <v>20</v>
      </c>
      <c r="Q136">
        <v>20230627</v>
      </c>
    </row>
    <row r="137" spans="1:17" x14ac:dyDescent="0.25">
      <c r="A137" t="s">
        <v>548</v>
      </c>
      <c r="B137" t="s">
        <v>429</v>
      </c>
      <c r="C137">
        <v>3</v>
      </c>
      <c r="D137">
        <v>20230627</v>
      </c>
      <c r="E137">
        <v>6</v>
      </c>
      <c r="F137">
        <v>467100</v>
      </c>
      <c r="G137" t="s">
        <v>160</v>
      </c>
      <c r="H137" t="s">
        <v>2465</v>
      </c>
      <c r="I137" t="s">
        <v>2466</v>
      </c>
      <c r="J137" t="s">
        <v>6428</v>
      </c>
      <c r="K137">
        <v>20230627</v>
      </c>
      <c r="L137" t="s">
        <v>6427</v>
      </c>
      <c r="M137">
        <v>50</v>
      </c>
      <c r="N137">
        <v>0</v>
      </c>
      <c r="O137" t="s">
        <v>19</v>
      </c>
      <c r="P137" t="s">
        <v>20</v>
      </c>
      <c r="Q137">
        <v>20230627</v>
      </c>
    </row>
    <row r="138" spans="1:17" x14ac:dyDescent="0.25">
      <c r="A138" t="s">
        <v>548</v>
      </c>
      <c r="B138" t="s">
        <v>429</v>
      </c>
      <c r="C138">
        <v>3</v>
      </c>
      <c r="D138">
        <v>20230627</v>
      </c>
      <c r="E138">
        <v>6</v>
      </c>
      <c r="F138">
        <v>531105</v>
      </c>
      <c r="G138" t="s">
        <v>429</v>
      </c>
      <c r="H138" t="s">
        <v>401</v>
      </c>
      <c r="I138" t="s">
        <v>402</v>
      </c>
      <c r="J138" t="s">
        <v>6428</v>
      </c>
      <c r="K138">
        <v>20230627</v>
      </c>
      <c r="L138" t="s">
        <v>6427</v>
      </c>
      <c r="M138">
        <v>0</v>
      </c>
      <c r="N138">
        <v>50</v>
      </c>
      <c r="O138" t="s">
        <v>19</v>
      </c>
      <c r="P138" t="s">
        <v>20</v>
      </c>
      <c r="Q138">
        <v>20230627</v>
      </c>
    </row>
    <row r="139" spans="1:17" x14ac:dyDescent="0.25">
      <c r="A139" t="s">
        <v>548</v>
      </c>
      <c r="B139" t="s">
        <v>429</v>
      </c>
      <c r="C139">
        <v>3</v>
      </c>
      <c r="D139">
        <v>20230627</v>
      </c>
      <c r="E139">
        <v>6</v>
      </c>
      <c r="F139">
        <v>467100</v>
      </c>
      <c r="G139" t="s">
        <v>160</v>
      </c>
      <c r="H139" t="s">
        <v>2465</v>
      </c>
      <c r="I139" t="s">
        <v>2466</v>
      </c>
      <c r="J139" t="s">
        <v>6426</v>
      </c>
      <c r="K139">
        <v>20230627</v>
      </c>
      <c r="L139" t="s">
        <v>6425</v>
      </c>
      <c r="M139">
        <v>0</v>
      </c>
      <c r="N139">
        <v>26</v>
      </c>
      <c r="O139" t="s">
        <v>19</v>
      </c>
      <c r="P139" t="s">
        <v>20</v>
      </c>
      <c r="Q139">
        <v>20230627</v>
      </c>
    </row>
    <row r="140" spans="1:17" x14ac:dyDescent="0.25">
      <c r="A140" t="s">
        <v>548</v>
      </c>
      <c r="B140" t="s">
        <v>429</v>
      </c>
      <c r="C140">
        <v>3</v>
      </c>
      <c r="D140">
        <v>20230627</v>
      </c>
      <c r="E140">
        <v>6</v>
      </c>
      <c r="F140">
        <v>531105</v>
      </c>
      <c r="G140" t="s">
        <v>429</v>
      </c>
      <c r="H140" t="s">
        <v>401</v>
      </c>
      <c r="I140" t="s">
        <v>402</v>
      </c>
      <c r="J140" t="s">
        <v>6426</v>
      </c>
      <c r="K140">
        <v>20230627</v>
      </c>
      <c r="L140" t="s">
        <v>6425</v>
      </c>
      <c r="M140">
        <v>26</v>
      </c>
      <c r="N140">
        <v>0</v>
      </c>
      <c r="O140" t="s">
        <v>19</v>
      </c>
      <c r="P140" t="s">
        <v>20</v>
      </c>
      <c r="Q140">
        <v>20230627</v>
      </c>
    </row>
    <row r="141" spans="1:17" x14ac:dyDescent="0.25">
      <c r="A141" t="s">
        <v>548</v>
      </c>
      <c r="B141" t="s">
        <v>429</v>
      </c>
      <c r="C141">
        <v>3</v>
      </c>
      <c r="D141">
        <v>20230629</v>
      </c>
      <c r="E141">
        <v>6</v>
      </c>
      <c r="F141">
        <v>467100</v>
      </c>
      <c r="G141" t="s">
        <v>160</v>
      </c>
      <c r="H141" t="s">
        <v>4958</v>
      </c>
      <c r="I141" t="s">
        <v>4959</v>
      </c>
      <c r="J141" t="s">
        <v>6424</v>
      </c>
      <c r="K141">
        <v>20230629</v>
      </c>
      <c r="L141" t="s">
        <v>6423</v>
      </c>
      <c r="M141">
        <v>200</v>
      </c>
      <c r="N141">
        <v>0</v>
      </c>
      <c r="O141" t="s">
        <v>19</v>
      </c>
      <c r="P141" t="s">
        <v>20</v>
      </c>
      <c r="Q141">
        <v>20230629</v>
      </c>
    </row>
    <row r="142" spans="1:17" x14ac:dyDescent="0.25">
      <c r="A142" t="s">
        <v>548</v>
      </c>
      <c r="B142" t="s">
        <v>429</v>
      </c>
      <c r="C142">
        <v>3</v>
      </c>
      <c r="D142">
        <v>20230629</v>
      </c>
      <c r="E142">
        <v>6</v>
      </c>
      <c r="F142">
        <v>531105</v>
      </c>
      <c r="G142" t="s">
        <v>429</v>
      </c>
      <c r="H142" t="s">
        <v>401</v>
      </c>
      <c r="I142" t="s">
        <v>402</v>
      </c>
      <c r="J142" t="s">
        <v>6424</v>
      </c>
      <c r="K142">
        <v>20230629</v>
      </c>
      <c r="L142" t="s">
        <v>6423</v>
      </c>
      <c r="M142">
        <v>0</v>
      </c>
      <c r="N142">
        <v>200</v>
      </c>
      <c r="O142" t="s">
        <v>19</v>
      </c>
      <c r="P142" t="s">
        <v>20</v>
      </c>
      <c r="Q142">
        <v>20230629</v>
      </c>
    </row>
    <row r="143" spans="1:17" x14ac:dyDescent="0.25">
      <c r="A143" t="s">
        <v>548</v>
      </c>
      <c r="B143" t="s">
        <v>429</v>
      </c>
      <c r="C143">
        <v>3</v>
      </c>
      <c r="D143">
        <v>20230629</v>
      </c>
      <c r="E143">
        <v>6</v>
      </c>
      <c r="F143">
        <v>467100</v>
      </c>
      <c r="G143" t="s">
        <v>160</v>
      </c>
      <c r="H143" t="s">
        <v>316</v>
      </c>
      <c r="I143" t="s">
        <v>317</v>
      </c>
      <c r="J143" t="s">
        <v>6422</v>
      </c>
      <c r="K143">
        <v>20230629</v>
      </c>
      <c r="L143" t="s">
        <v>6421</v>
      </c>
      <c r="M143">
        <v>73.88</v>
      </c>
      <c r="N143">
        <v>0</v>
      </c>
      <c r="O143" t="s">
        <v>23</v>
      </c>
      <c r="P143">
        <v>20230724</v>
      </c>
      <c r="Q143">
        <v>20230629</v>
      </c>
    </row>
    <row r="144" spans="1:17" x14ac:dyDescent="0.25">
      <c r="A144" t="s">
        <v>548</v>
      </c>
      <c r="B144" t="s">
        <v>429</v>
      </c>
      <c r="C144">
        <v>3</v>
      </c>
      <c r="D144">
        <v>20230629</v>
      </c>
      <c r="E144">
        <v>6</v>
      </c>
      <c r="F144">
        <v>531105</v>
      </c>
      <c r="G144" t="s">
        <v>429</v>
      </c>
      <c r="H144" t="s">
        <v>401</v>
      </c>
      <c r="I144" t="s">
        <v>402</v>
      </c>
      <c r="J144" t="s">
        <v>6422</v>
      </c>
      <c r="K144">
        <v>20230629</v>
      </c>
      <c r="L144" t="s">
        <v>6421</v>
      </c>
      <c r="M144">
        <v>0</v>
      </c>
      <c r="N144">
        <v>73.88</v>
      </c>
      <c r="O144" t="s">
        <v>19</v>
      </c>
      <c r="P144" t="s">
        <v>20</v>
      </c>
      <c r="Q144">
        <v>20230629</v>
      </c>
    </row>
    <row r="145" spans="1:17" x14ac:dyDescent="0.25">
      <c r="A145" t="s">
        <v>548</v>
      </c>
      <c r="B145" t="s">
        <v>429</v>
      </c>
      <c r="C145">
        <v>3</v>
      </c>
      <c r="D145">
        <v>20230630</v>
      </c>
      <c r="E145">
        <v>6</v>
      </c>
      <c r="F145">
        <v>706105</v>
      </c>
      <c r="G145" t="s">
        <v>2258</v>
      </c>
      <c r="H145" t="s">
        <v>401</v>
      </c>
      <c r="I145" t="s">
        <v>402</v>
      </c>
      <c r="J145" t="s">
        <v>6420</v>
      </c>
      <c r="K145">
        <v>20230630</v>
      </c>
      <c r="L145" t="s">
        <v>6419</v>
      </c>
      <c r="M145">
        <v>0</v>
      </c>
      <c r="N145">
        <v>307</v>
      </c>
      <c r="O145" t="s">
        <v>19</v>
      </c>
      <c r="P145" t="s">
        <v>20</v>
      </c>
      <c r="Q145">
        <v>20230630</v>
      </c>
    </row>
    <row r="146" spans="1:17" x14ac:dyDescent="0.25">
      <c r="A146" t="s">
        <v>548</v>
      </c>
      <c r="B146" t="s">
        <v>429</v>
      </c>
      <c r="C146">
        <v>3</v>
      </c>
      <c r="D146">
        <v>20230630</v>
      </c>
      <c r="E146">
        <v>6</v>
      </c>
      <c r="F146">
        <v>531105</v>
      </c>
      <c r="G146" t="s">
        <v>429</v>
      </c>
      <c r="H146" t="s">
        <v>401</v>
      </c>
      <c r="I146" t="s">
        <v>402</v>
      </c>
      <c r="J146" t="s">
        <v>6420</v>
      </c>
      <c r="K146">
        <v>20230630</v>
      </c>
      <c r="L146" t="s">
        <v>6419</v>
      </c>
      <c r="M146">
        <v>307</v>
      </c>
      <c r="N146">
        <v>0</v>
      </c>
      <c r="O146" t="s">
        <v>19</v>
      </c>
      <c r="P146" t="s">
        <v>20</v>
      </c>
      <c r="Q146">
        <v>20230630</v>
      </c>
    </row>
    <row r="147" spans="1:17" x14ac:dyDescent="0.25">
      <c r="A147" t="s">
        <v>548</v>
      </c>
      <c r="B147" t="s">
        <v>429</v>
      </c>
      <c r="C147">
        <v>3</v>
      </c>
      <c r="D147">
        <v>20230630</v>
      </c>
      <c r="E147">
        <v>6</v>
      </c>
      <c r="F147">
        <v>467100</v>
      </c>
      <c r="G147" t="s">
        <v>160</v>
      </c>
      <c r="H147" t="s">
        <v>4958</v>
      </c>
      <c r="I147" t="s">
        <v>4959</v>
      </c>
      <c r="J147" t="s">
        <v>6418</v>
      </c>
      <c r="K147">
        <v>20230630</v>
      </c>
      <c r="L147" t="s">
        <v>6417</v>
      </c>
      <c r="M147">
        <v>0</v>
      </c>
      <c r="N147">
        <v>92.6</v>
      </c>
      <c r="O147" t="s">
        <v>19</v>
      </c>
      <c r="P147" t="s">
        <v>20</v>
      </c>
      <c r="Q147">
        <v>20230630</v>
      </c>
    </row>
    <row r="148" spans="1:17" x14ac:dyDescent="0.25">
      <c r="A148" t="s">
        <v>548</v>
      </c>
      <c r="B148" t="s">
        <v>429</v>
      </c>
      <c r="C148">
        <v>3</v>
      </c>
      <c r="D148">
        <v>20230630</v>
      </c>
      <c r="E148">
        <v>6</v>
      </c>
      <c r="F148">
        <v>531105</v>
      </c>
      <c r="G148" t="s">
        <v>429</v>
      </c>
      <c r="H148" t="s">
        <v>401</v>
      </c>
      <c r="I148" t="s">
        <v>402</v>
      </c>
      <c r="J148" t="s">
        <v>6418</v>
      </c>
      <c r="K148">
        <v>20230630</v>
      </c>
      <c r="L148" t="s">
        <v>6417</v>
      </c>
      <c r="M148">
        <v>92.6</v>
      </c>
      <c r="N148">
        <v>0</v>
      </c>
      <c r="O148" t="s">
        <v>19</v>
      </c>
      <c r="P148" t="s">
        <v>20</v>
      </c>
      <c r="Q148">
        <v>20230630</v>
      </c>
    </row>
    <row r="149" spans="1:17" x14ac:dyDescent="0.25">
      <c r="A149" t="s">
        <v>548</v>
      </c>
      <c r="B149" t="s">
        <v>429</v>
      </c>
      <c r="C149">
        <v>3</v>
      </c>
      <c r="D149">
        <v>20230602</v>
      </c>
      <c r="E149">
        <v>6</v>
      </c>
      <c r="F149">
        <v>411010</v>
      </c>
      <c r="G149" t="s">
        <v>87</v>
      </c>
      <c r="H149" t="s">
        <v>4749</v>
      </c>
      <c r="I149" t="s">
        <v>5810</v>
      </c>
      <c r="J149">
        <v>123050044</v>
      </c>
      <c r="K149">
        <v>20230602</v>
      </c>
      <c r="L149" t="s">
        <v>6416</v>
      </c>
      <c r="M149">
        <v>0</v>
      </c>
      <c r="N149">
        <v>79</v>
      </c>
      <c r="O149" t="s">
        <v>19</v>
      </c>
      <c r="P149" t="s">
        <v>20</v>
      </c>
      <c r="Q149">
        <v>20230602</v>
      </c>
    </row>
    <row r="150" spans="1:17" x14ac:dyDescent="0.25">
      <c r="A150" t="s">
        <v>548</v>
      </c>
      <c r="B150" t="s">
        <v>429</v>
      </c>
      <c r="C150">
        <v>3</v>
      </c>
      <c r="D150">
        <v>20230602</v>
      </c>
      <c r="E150">
        <v>6</v>
      </c>
      <c r="F150">
        <v>411100</v>
      </c>
      <c r="G150" t="s">
        <v>18</v>
      </c>
      <c r="H150" t="s">
        <v>305</v>
      </c>
      <c r="I150" t="s">
        <v>306</v>
      </c>
      <c r="J150">
        <v>123050040</v>
      </c>
      <c r="K150">
        <v>20230602</v>
      </c>
      <c r="L150" t="s">
        <v>6415</v>
      </c>
      <c r="M150">
        <v>0</v>
      </c>
      <c r="N150">
        <v>29.8</v>
      </c>
      <c r="O150" t="s">
        <v>19</v>
      </c>
      <c r="P150" t="s">
        <v>20</v>
      </c>
      <c r="Q150">
        <v>20230602</v>
      </c>
    </row>
    <row r="151" spans="1:17" x14ac:dyDescent="0.25">
      <c r="A151" t="s">
        <v>548</v>
      </c>
      <c r="B151" t="s">
        <v>429</v>
      </c>
      <c r="C151">
        <v>3</v>
      </c>
      <c r="D151">
        <v>20230602</v>
      </c>
      <c r="E151">
        <v>6</v>
      </c>
      <c r="F151">
        <v>531105</v>
      </c>
      <c r="G151" t="s">
        <v>429</v>
      </c>
      <c r="H151" t="s">
        <v>401</v>
      </c>
      <c r="I151" t="s">
        <v>402</v>
      </c>
      <c r="J151">
        <v>372228</v>
      </c>
      <c r="K151">
        <v>20230602</v>
      </c>
      <c r="L151" t="s">
        <v>565</v>
      </c>
      <c r="M151">
        <v>108.8</v>
      </c>
      <c r="N151">
        <v>0</v>
      </c>
      <c r="O151" t="s">
        <v>19</v>
      </c>
      <c r="P151" t="s">
        <v>20</v>
      </c>
      <c r="Q151">
        <v>20230602</v>
      </c>
    </row>
    <row r="152" spans="1:17" x14ac:dyDescent="0.25">
      <c r="A152" t="s">
        <v>548</v>
      </c>
      <c r="B152" t="s">
        <v>429</v>
      </c>
      <c r="C152">
        <v>3</v>
      </c>
      <c r="D152">
        <v>20230605</v>
      </c>
      <c r="E152">
        <v>6</v>
      </c>
      <c r="F152">
        <v>411100</v>
      </c>
      <c r="G152" t="s">
        <v>18</v>
      </c>
      <c r="H152" t="s">
        <v>3648</v>
      </c>
      <c r="I152" t="s">
        <v>3649</v>
      </c>
      <c r="J152">
        <v>123050022</v>
      </c>
      <c r="K152">
        <v>20230605</v>
      </c>
      <c r="L152" t="s">
        <v>6414</v>
      </c>
      <c r="M152">
        <v>0</v>
      </c>
      <c r="N152">
        <v>7.5</v>
      </c>
      <c r="O152" t="s">
        <v>19</v>
      </c>
      <c r="P152" t="s">
        <v>20</v>
      </c>
      <c r="Q152">
        <v>20230605</v>
      </c>
    </row>
    <row r="153" spans="1:17" x14ac:dyDescent="0.25">
      <c r="A153" t="s">
        <v>548</v>
      </c>
      <c r="B153" t="s">
        <v>429</v>
      </c>
      <c r="C153">
        <v>3</v>
      </c>
      <c r="D153">
        <v>20230605</v>
      </c>
      <c r="E153">
        <v>6</v>
      </c>
      <c r="F153">
        <v>411100</v>
      </c>
      <c r="G153" t="s">
        <v>18</v>
      </c>
      <c r="H153" t="s">
        <v>3648</v>
      </c>
      <c r="I153" t="s">
        <v>3649</v>
      </c>
      <c r="J153">
        <v>123050022</v>
      </c>
      <c r="K153">
        <v>20230605</v>
      </c>
      <c r="L153" t="s">
        <v>6413</v>
      </c>
      <c r="M153">
        <v>0</v>
      </c>
      <c r="N153">
        <v>12.5</v>
      </c>
      <c r="O153" t="s">
        <v>19</v>
      </c>
      <c r="P153" t="s">
        <v>20</v>
      </c>
      <c r="Q153">
        <v>20230605</v>
      </c>
    </row>
    <row r="154" spans="1:17" x14ac:dyDescent="0.25">
      <c r="A154" t="s">
        <v>548</v>
      </c>
      <c r="B154" t="s">
        <v>429</v>
      </c>
      <c r="C154">
        <v>3</v>
      </c>
      <c r="D154">
        <v>20230605</v>
      </c>
      <c r="E154">
        <v>6</v>
      </c>
      <c r="F154">
        <v>531105</v>
      </c>
      <c r="G154" t="s">
        <v>429</v>
      </c>
      <c r="H154" t="s">
        <v>401</v>
      </c>
      <c r="I154" t="s">
        <v>402</v>
      </c>
      <c r="J154">
        <v>372231</v>
      </c>
      <c r="K154">
        <v>20230605</v>
      </c>
      <c r="L154" t="s">
        <v>565</v>
      </c>
      <c r="M154">
        <v>20</v>
      </c>
      <c r="N154">
        <v>0</v>
      </c>
      <c r="O154" t="s">
        <v>19</v>
      </c>
      <c r="P154" t="s">
        <v>20</v>
      </c>
      <c r="Q154">
        <v>20230605</v>
      </c>
    </row>
    <row r="155" spans="1:17" x14ac:dyDescent="0.25">
      <c r="A155" t="s">
        <v>548</v>
      </c>
      <c r="B155" t="s">
        <v>429</v>
      </c>
      <c r="C155">
        <v>3</v>
      </c>
      <c r="D155">
        <v>20230608</v>
      </c>
      <c r="E155">
        <v>6</v>
      </c>
      <c r="F155">
        <v>411100</v>
      </c>
      <c r="G155" t="s">
        <v>18</v>
      </c>
      <c r="H155" t="s">
        <v>787</v>
      </c>
      <c r="I155" t="s">
        <v>788</v>
      </c>
      <c r="J155">
        <v>123040042</v>
      </c>
      <c r="K155">
        <v>20230608</v>
      </c>
      <c r="L155" t="s">
        <v>6412</v>
      </c>
      <c r="M155">
        <v>0</v>
      </c>
      <c r="N155">
        <v>70</v>
      </c>
      <c r="O155" t="s">
        <v>19</v>
      </c>
      <c r="P155" t="s">
        <v>20</v>
      </c>
      <c r="Q155">
        <v>20230608</v>
      </c>
    </row>
    <row r="156" spans="1:17" x14ac:dyDescent="0.25">
      <c r="A156" t="s">
        <v>548</v>
      </c>
      <c r="B156" t="s">
        <v>429</v>
      </c>
      <c r="C156">
        <v>3</v>
      </c>
      <c r="D156">
        <v>20230608</v>
      </c>
      <c r="E156">
        <v>6</v>
      </c>
      <c r="F156">
        <v>411000</v>
      </c>
      <c r="G156" t="s">
        <v>21</v>
      </c>
      <c r="H156" t="s">
        <v>279</v>
      </c>
      <c r="I156" t="s">
        <v>280</v>
      </c>
      <c r="J156">
        <v>123050052</v>
      </c>
      <c r="K156">
        <v>20230608</v>
      </c>
      <c r="L156" t="s">
        <v>6411</v>
      </c>
      <c r="M156">
        <v>0</v>
      </c>
      <c r="N156">
        <v>27</v>
      </c>
      <c r="O156" t="s">
        <v>19</v>
      </c>
      <c r="P156" t="s">
        <v>20</v>
      </c>
      <c r="Q156">
        <v>20230608</v>
      </c>
    </row>
    <row r="157" spans="1:17" x14ac:dyDescent="0.25">
      <c r="A157" t="s">
        <v>548</v>
      </c>
      <c r="B157" t="s">
        <v>429</v>
      </c>
      <c r="C157">
        <v>3</v>
      </c>
      <c r="D157">
        <v>20230608</v>
      </c>
      <c r="E157">
        <v>6</v>
      </c>
      <c r="F157">
        <v>531105</v>
      </c>
      <c r="G157" t="s">
        <v>429</v>
      </c>
      <c r="H157" t="s">
        <v>401</v>
      </c>
      <c r="I157" t="s">
        <v>402</v>
      </c>
      <c r="J157">
        <v>372234</v>
      </c>
      <c r="K157">
        <v>20230608</v>
      </c>
      <c r="L157" t="s">
        <v>565</v>
      </c>
      <c r="M157">
        <v>97</v>
      </c>
      <c r="N157">
        <v>0</v>
      </c>
      <c r="O157" t="s">
        <v>19</v>
      </c>
      <c r="P157" t="s">
        <v>20</v>
      </c>
      <c r="Q157">
        <v>20230608</v>
      </c>
    </row>
    <row r="158" spans="1:17" x14ac:dyDescent="0.25">
      <c r="A158" t="s">
        <v>548</v>
      </c>
      <c r="B158" t="s">
        <v>429</v>
      </c>
      <c r="C158">
        <v>3</v>
      </c>
      <c r="D158">
        <v>20230612</v>
      </c>
      <c r="E158">
        <v>6</v>
      </c>
      <c r="F158">
        <v>411100</v>
      </c>
      <c r="G158" t="s">
        <v>18</v>
      </c>
      <c r="H158" t="s">
        <v>592</v>
      </c>
      <c r="I158" t="s">
        <v>593</v>
      </c>
      <c r="J158">
        <v>123020026</v>
      </c>
      <c r="K158">
        <v>20230612</v>
      </c>
      <c r="L158" t="s">
        <v>6410</v>
      </c>
      <c r="M158">
        <v>0</v>
      </c>
      <c r="N158">
        <v>100</v>
      </c>
      <c r="O158" t="s">
        <v>19</v>
      </c>
      <c r="P158" t="s">
        <v>20</v>
      </c>
      <c r="Q158">
        <v>20230612</v>
      </c>
    </row>
    <row r="159" spans="1:17" x14ac:dyDescent="0.25">
      <c r="A159" t="s">
        <v>548</v>
      </c>
      <c r="B159" t="s">
        <v>429</v>
      </c>
      <c r="C159">
        <v>3</v>
      </c>
      <c r="D159">
        <v>20230612</v>
      </c>
      <c r="E159">
        <v>6</v>
      </c>
      <c r="F159">
        <v>411100</v>
      </c>
      <c r="G159" t="s">
        <v>18</v>
      </c>
      <c r="H159" t="s">
        <v>3536</v>
      </c>
      <c r="I159" t="s">
        <v>3537</v>
      </c>
      <c r="J159">
        <v>372236</v>
      </c>
      <c r="K159">
        <v>20230612</v>
      </c>
      <c r="L159" t="s">
        <v>6409</v>
      </c>
      <c r="M159">
        <v>0</v>
      </c>
      <c r="N159">
        <v>38.4</v>
      </c>
      <c r="O159" t="s">
        <v>19</v>
      </c>
      <c r="P159" t="s">
        <v>20</v>
      </c>
      <c r="Q159">
        <v>20230612</v>
      </c>
    </row>
    <row r="160" spans="1:17" x14ac:dyDescent="0.25">
      <c r="A160" t="s">
        <v>548</v>
      </c>
      <c r="B160" t="s">
        <v>429</v>
      </c>
      <c r="C160">
        <v>3</v>
      </c>
      <c r="D160">
        <v>20230612</v>
      </c>
      <c r="E160">
        <v>6</v>
      </c>
      <c r="F160">
        <v>531105</v>
      </c>
      <c r="G160" t="s">
        <v>429</v>
      </c>
      <c r="H160" t="s">
        <v>401</v>
      </c>
      <c r="I160" t="s">
        <v>402</v>
      </c>
      <c r="J160">
        <v>372237</v>
      </c>
      <c r="K160">
        <v>20230612</v>
      </c>
      <c r="L160" t="s">
        <v>565</v>
      </c>
      <c r="M160">
        <v>138.4</v>
      </c>
      <c r="N160">
        <v>0</v>
      </c>
      <c r="O160" t="s">
        <v>19</v>
      </c>
      <c r="P160" t="s">
        <v>20</v>
      </c>
      <c r="Q160">
        <v>20230612</v>
      </c>
    </row>
    <row r="161" spans="1:17" x14ac:dyDescent="0.25">
      <c r="A161" t="s">
        <v>548</v>
      </c>
      <c r="B161" t="s">
        <v>429</v>
      </c>
      <c r="C161">
        <v>3</v>
      </c>
      <c r="D161">
        <v>20230613</v>
      </c>
      <c r="E161">
        <v>6</v>
      </c>
      <c r="F161">
        <v>411100</v>
      </c>
      <c r="G161" t="s">
        <v>18</v>
      </c>
      <c r="H161" t="s">
        <v>5103</v>
      </c>
      <c r="I161" t="s">
        <v>5104</v>
      </c>
      <c r="J161">
        <v>372238</v>
      </c>
      <c r="K161">
        <v>20230613</v>
      </c>
      <c r="L161" t="s">
        <v>6408</v>
      </c>
      <c r="M161">
        <v>0</v>
      </c>
      <c r="N161">
        <v>28.4</v>
      </c>
      <c r="O161" t="s">
        <v>19</v>
      </c>
      <c r="P161" t="s">
        <v>20</v>
      </c>
      <c r="Q161">
        <v>20230613</v>
      </c>
    </row>
    <row r="162" spans="1:17" x14ac:dyDescent="0.25">
      <c r="A162" t="s">
        <v>548</v>
      </c>
      <c r="B162" t="s">
        <v>429</v>
      </c>
      <c r="C162">
        <v>3</v>
      </c>
      <c r="D162">
        <v>20230613</v>
      </c>
      <c r="E162">
        <v>6</v>
      </c>
      <c r="F162">
        <v>531105</v>
      </c>
      <c r="G162" t="s">
        <v>429</v>
      </c>
      <c r="H162" t="s">
        <v>401</v>
      </c>
      <c r="I162" t="s">
        <v>402</v>
      </c>
      <c r="J162">
        <v>372239</v>
      </c>
      <c r="K162">
        <v>20230613</v>
      </c>
      <c r="L162" t="s">
        <v>565</v>
      </c>
      <c r="M162">
        <v>28.4</v>
      </c>
      <c r="N162">
        <v>0</v>
      </c>
      <c r="O162" t="s">
        <v>19</v>
      </c>
      <c r="P162" t="s">
        <v>20</v>
      </c>
      <c r="Q162">
        <v>20230613</v>
      </c>
    </row>
    <row r="163" spans="1:17" x14ac:dyDescent="0.25">
      <c r="A163" t="s">
        <v>548</v>
      </c>
      <c r="B163" t="s">
        <v>429</v>
      </c>
      <c r="C163">
        <v>3</v>
      </c>
      <c r="D163">
        <v>20230615</v>
      </c>
      <c r="E163">
        <v>6</v>
      </c>
      <c r="F163">
        <v>411020</v>
      </c>
      <c r="G163" t="s">
        <v>30</v>
      </c>
      <c r="H163" t="s">
        <v>307</v>
      </c>
      <c r="I163" t="s">
        <v>308</v>
      </c>
      <c r="J163">
        <v>123050048</v>
      </c>
      <c r="K163">
        <v>20230615</v>
      </c>
      <c r="L163" t="s">
        <v>6407</v>
      </c>
      <c r="M163">
        <v>0</v>
      </c>
      <c r="N163">
        <v>60</v>
      </c>
      <c r="O163" t="s">
        <v>19</v>
      </c>
      <c r="P163" t="s">
        <v>20</v>
      </c>
      <c r="Q163">
        <v>20230615</v>
      </c>
    </row>
    <row r="164" spans="1:17" x14ac:dyDescent="0.25">
      <c r="A164" t="s">
        <v>548</v>
      </c>
      <c r="B164" t="s">
        <v>429</v>
      </c>
      <c r="C164">
        <v>3</v>
      </c>
      <c r="D164">
        <v>20230615</v>
      </c>
      <c r="E164">
        <v>6</v>
      </c>
      <c r="F164">
        <v>531105</v>
      </c>
      <c r="G164" t="s">
        <v>429</v>
      </c>
      <c r="H164" t="s">
        <v>401</v>
      </c>
      <c r="I164" t="s">
        <v>402</v>
      </c>
      <c r="J164">
        <v>372241</v>
      </c>
      <c r="K164">
        <v>20230615</v>
      </c>
      <c r="L164" t="s">
        <v>565</v>
      </c>
      <c r="M164">
        <v>60</v>
      </c>
      <c r="N164">
        <v>0</v>
      </c>
      <c r="O164" t="s">
        <v>19</v>
      </c>
      <c r="P164" t="s">
        <v>20</v>
      </c>
      <c r="Q164">
        <v>20230615</v>
      </c>
    </row>
    <row r="165" spans="1:17" x14ac:dyDescent="0.25">
      <c r="A165" t="s">
        <v>548</v>
      </c>
      <c r="B165" t="s">
        <v>429</v>
      </c>
      <c r="C165">
        <v>3</v>
      </c>
      <c r="D165">
        <v>20230616</v>
      </c>
      <c r="E165">
        <v>6</v>
      </c>
      <c r="F165">
        <v>411100</v>
      </c>
      <c r="G165" t="s">
        <v>18</v>
      </c>
      <c r="H165" t="s">
        <v>6406</v>
      </c>
      <c r="I165" t="s">
        <v>6405</v>
      </c>
      <c r="J165">
        <v>123040072</v>
      </c>
      <c r="K165">
        <v>20230616</v>
      </c>
      <c r="L165" t="s">
        <v>6404</v>
      </c>
      <c r="M165">
        <v>0</v>
      </c>
      <c r="N165">
        <v>84.8</v>
      </c>
      <c r="O165" t="s">
        <v>19</v>
      </c>
      <c r="P165" t="s">
        <v>20</v>
      </c>
      <c r="Q165">
        <v>20230616</v>
      </c>
    </row>
    <row r="166" spans="1:17" x14ac:dyDescent="0.25">
      <c r="A166" t="s">
        <v>548</v>
      </c>
      <c r="B166" t="s">
        <v>429</v>
      </c>
      <c r="C166">
        <v>3</v>
      </c>
      <c r="D166">
        <v>20230616</v>
      </c>
      <c r="E166">
        <v>6</v>
      </c>
      <c r="F166">
        <v>411100</v>
      </c>
      <c r="G166" t="s">
        <v>18</v>
      </c>
      <c r="H166" t="s">
        <v>352</v>
      </c>
      <c r="I166" t="s">
        <v>353</v>
      </c>
      <c r="J166">
        <v>372243</v>
      </c>
      <c r="K166">
        <v>20230616</v>
      </c>
      <c r="L166" t="s">
        <v>6403</v>
      </c>
      <c r="M166">
        <v>0</v>
      </c>
      <c r="N166">
        <v>38.4</v>
      </c>
      <c r="O166" t="s">
        <v>19</v>
      </c>
      <c r="P166" t="s">
        <v>20</v>
      </c>
      <c r="Q166">
        <v>20230616</v>
      </c>
    </row>
    <row r="167" spans="1:17" x14ac:dyDescent="0.25">
      <c r="A167" t="s">
        <v>548</v>
      </c>
      <c r="B167" t="s">
        <v>429</v>
      </c>
      <c r="C167">
        <v>3</v>
      </c>
      <c r="D167">
        <v>20230616</v>
      </c>
      <c r="E167">
        <v>6</v>
      </c>
      <c r="F167">
        <v>411100</v>
      </c>
      <c r="G167" t="s">
        <v>18</v>
      </c>
      <c r="H167" t="s">
        <v>352</v>
      </c>
      <c r="I167" t="s">
        <v>353</v>
      </c>
      <c r="J167">
        <v>372244</v>
      </c>
      <c r="K167">
        <v>20230616</v>
      </c>
      <c r="L167" t="s">
        <v>6402</v>
      </c>
      <c r="M167">
        <v>0</v>
      </c>
      <c r="N167">
        <v>11.6</v>
      </c>
      <c r="O167" t="s">
        <v>19</v>
      </c>
      <c r="P167" t="s">
        <v>20</v>
      </c>
      <c r="Q167">
        <v>20230616</v>
      </c>
    </row>
    <row r="168" spans="1:17" x14ac:dyDescent="0.25">
      <c r="A168" t="s">
        <v>548</v>
      </c>
      <c r="B168" t="s">
        <v>429</v>
      </c>
      <c r="C168">
        <v>3</v>
      </c>
      <c r="D168">
        <v>20230616</v>
      </c>
      <c r="E168">
        <v>6</v>
      </c>
      <c r="F168">
        <v>531105</v>
      </c>
      <c r="G168" t="s">
        <v>429</v>
      </c>
      <c r="H168" t="s">
        <v>401</v>
      </c>
      <c r="I168" t="s">
        <v>402</v>
      </c>
      <c r="J168">
        <v>372245</v>
      </c>
      <c r="K168">
        <v>20230616</v>
      </c>
      <c r="L168" t="s">
        <v>565</v>
      </c>
      <c r="M168">
        <v>134.80000000000001</v>
      </c>
      <c r="N168">
        <v>0</v>
      </c>
      <c r="O168" t="s">
        <v>19</v>
      </c>
      <c r="P168" t="s">
        <v>20</v>
      </c>
      <c r="Q168">
        <v>20230616</v>
      </c>
    </row>
    <row r="169" spans="1:17" x14ac:dyDescent="0.25">
      <c r="A169" t="s">
        <v>548</v>
      </c>
      <c r="B169" t="s">
        <v>429</v>
      </c>
      <c r="C169">
        <v>3</v>
      </c>
      <c r="D169">
        <v>20230606</v>
      </c>
      <c r="E169">
        <v>6</v>
      </c>
      <c r="F169">
        <v>411100</v>
      </c>
      <c r="G169" t="s">
        <v>18</v>
      </c>
      <c r="H169" t="s">
        <v>3635</v>
      </c>
      <c r="I169" t="s">
        <v>6401</v>
      </c>
      <c r="J169">
        <v>323030011</v>
      </c>
      <c r="K169">
        <v>20230606</v>
      </c>
      <c r="L169" t="s">
        <v>6400</v>
      </c>
      <c r="M169">
        <v>0</v>
      </c>
      <c r="N169">
        <v>213.9</v>
      </c>
      <c r="O169" t="s">
        <v>19</v>
      </c>
      <c r="P169" t="s">
        <v>20</v>
      </c>
      <c r="Q169">
        <v>20230606</v>
      </c>
    </row>
    <row r="170" spans="1:17" x14ac:dyDescent="0.25">
      <c r="A170" t="s">
        <v>548</v>
      </c>
      <c r="B170" t="s">
        <v>429</v>
      </c>
      <c r="C170">
        <v>3</v>
      </c>
      <c r="D170">
        <v>20230606</v>
      </c>
      <c r="E170">
        <v>6</v>
      </c>
      <c r="F170">
        <v>531105</v>
      </c>
      <c r="G170" t="s">
        <v>429</v>
      </c>
      <c r="H170" t="s">
        <v>401</v>
      </c>
      <c r="I170" t="s">
        <v>402</v>
      </c>
      <c r="J170">
        <v>372319</v>
      </c>
      <c r="K170">
        <v>20230606</v>
      </c>
      <c r="L170" t="s">
        <v>565</v>
      </c>
      <c r="M170">
        <v>213.9</v>
      </c>
      <c r="N170">
        <v>0</v>
      </c>
      <c r="O170" t="s">
        <v>19</v>
      </c>
      <c r="P170" t="s">
        <v>20</v>
      </c>
      <c r="Q170">
        <v>20230606</v>
      </c>
    </row>
    <row r="171" spans="1:17" x14ac:dyDescent="0.25">
      <c r="A171" t="s">
        <v>548</v>
      </c>
      <c r="B171" t="s">
        <v>429</v>
      </c>
      <c r="C171">
        <v>3</v>
      </c>
      <c r="D171">
        <v>20230607</v>
      </c>
      <c r="E171">
        <v>6</v>
      </c>
      <c r="F171">
        <v>411020</v>
      </c>
      <c r="G171" t="s">
        <v>30</v>
      </c>
      <c r="H171" t="s">
        <v>4147</v>
      </c>
      <c r="I171" t="s">
        <v>4148</v>
      </c>
      <c r="J171">
        <v>323050015</v>
      </c>
      <c r="K171">
        <v>20230607</v>
      </c>
      <c r="L171" t="s">
        <v>6399</v>
      </c>
      <c r="M171">
        <v>0</v>
      </c>
      <c r="N171">
        <v>36.76</v>
      </c>
      <c r="O171" t="s">
        <v>19</v>
      </c>
      <c r="P171" t="s">
        <v>20</v>
      </c>
      <c r="Q171">
        <v>20230607</v>
      </c>
    </row>
    <row r="172" spans="1:17" x14ac:dyDescent="0.25">
      <c r="A172" t="s">
        <v>548</v>
      </c>
      <c r="B172" t="s">
        <v>429</v>
      </c>
      <c r="C172">
        <v>3</v>
      </c>
      <c r="D172">
        <v>20230607</v>
      </c>
      <c r="E172">
        <v>6</v>
      </c>
      <c r="F172">
        <v>531105</v>
      </c>
      <c r="G172" t="s">
        <v>429</v>
      </c>
      <c r="H172" t="s">
        <v>401</v>
      </c>
      <c r="I172" t="s">
        <v>402</v>
      </c>
      <c r="J172">
        <v>372321</v>
      </c>
      <c r="K172">
        <v>20230607</v>
      </c>
      <c r="L172" t="s">
        <v>565</v>
      </c>
      <c r="M172">
        <v>36.76</v>
      </c>
      <c r="N172">
        <v>0</v>
      </c>
      <c r="O172" t="s">
        <v>19</v>
      </c>
      <c r="P172" t="s">
        <v>20</v>
      </c>
      <c r="Q172">
        <v>20230607</v>
      </c>
    </row>
    <row r="173" spans="1:17" x14ac:dyDescent="0.25">
      <c r="A173" t="s">
        <v>548</v>
      </c>
      <c r="B173" t="s">
        <v>429</v>
      </c>
      <c r="C173">
        <v>3</v>
      </c>
      <c r="D173">
        <v>20230602</v>
      </c>
      <c r="E173">
        <v>6</v>
      </c>
      <c r="F173">
        <v>411010</v>
      </c>
      <c r="G173" t="s">
        <v>87</v>
      </c>
      <c r="H173" t="s">
        <v>4749</v>
      </c>
      <c r="I173" t="s">
        <v>5810</v>
      </c>
      <c r="J173">
        <v>223040025</v>
      </c>
      <c r="K173">
        <v>20230602</v>
      </c>
      <c r="L173" t="s">
        <v>6398</v>
      </c>
      <c r="M173">
        <v>0</v>
      </c>
      <c r="N173">
        <v>27.24</v>
      </c>
      <c r="O173" t="s">
        <v>19</v>
      </c>
      <c r="P173" t="s">
        <v>20</v>
      </c>
      <c r="Q173">
        <v>20230602</v>
      </c>
    </row>
    <row r="174" spans="1:17" x14ac:dyDescent="0.25">
      <c r="A174" t="s">
        <v>548</v>
      </c>
      <c r="B174" t="s">
        <v>429</v>
      </c>
      <c r="C174">
        <v>3</v>
      </c>
      <c r="D174">
        <v>20230602</v>
      </c>
      <c r="E174">
        <v>6</v>
      </c>
      <c r="F174">
        <v>411010</v>
      </c>
      <c r="G174" t="s">
        <v>87</v>
      </c>
      <c r="H174" t="s">
        <v>4749</v>
      </c>
      <c r="I174" t="s">
        <v>5810</v>
      </c>
      <c r="J174">
        <v>223040025</v>
      </c>
      <c r="K174">
        <v>20230602</v>
      </c>
      <c r="L174" t="s">
        <v>6397</v>
      </c>
      <c r="M174">
        <v>0</v>
      </c>
      <c r="N174">
        <v>132.76</v>
      </c>
      <c r="O174" t="s">
        <v>19</v>
      </c>
      <c r="P174" t="s">
        <v>20</v>
      </c>
      <c r="Q174">
        <v>20230602</v>
      </c>
    </row>
    <row r="175" spans="1:17" x14ac:dyDescent="0.25">
      <c r="A175" t="s">
        <v>548</v>
      </c>
      <c r="B175" t="s">
        <v>429</v>
      </c>
      <c r="C175">
        <v>3</v>
      </c>
      <c r="D175">
        <v>20230602</v>
      </c>
      <c r="E175">
        <v>6</v>
      </c>
      <c r="F175">
        <v>531105</v>
      </c>
      <c r="G175" t="s">
        <v>429</v>
      </c>
      <c r="H175" t="s">
        <v>401</v>
      </c>
      <c r="I175" t="s">
        <v>402</v>
      </c>
      <c r="J175">
        <v>372397</v>
      </c>
      <c r="K175">
        <v>20230602</v>
      </c>
      <c r="L175" t="s">
        <v>565</v>
      </c>
      <c r="M175">
        <v>160</v>
      </c>
      <c r="N175">
        <v>0</v>
      </c>
      <c r="O175" t="s">
        <v>19</v>
      </c>
      <c r="P175" t="s">
        <v>20</v>
      </c>
      <c r="Q175">
        <v>20230602</v>
      </c>
    </row>
    <row r="176" spans="1:17" x14ac:dyDescent="0.25">
      <c r="A176" t="s">
        <v>548</v>
      </c>
      <c r="B176" t="s">
        <v>429</v>
      </c>
      <c r="C176">
        <v>3</v>
      </c>
      <c r="D176">
        <v>20230605</v>
      </c>
      <c r="E176">
        <v>6</v>
      </c>
      <c r="F176">
        <v>411100</v>
      </c>
      <c r="G176" t="s">
        <v>18</v>
      </c>
      <c r="H176" t="s">
        <v>233</v>
      </c>
      <c r="I176" t="s">
        <v>234</v>
      </c>
      <c r="J176">
        <v>372398</v>
      </c>
      <c r="K176">
        <v>20230605</v>
      </c>
      <c r="L176" t="s">
        <v>6396</v>
      </c>
      <c r="M176">
        <v>0</v>
      </c>
      <c r="N176">
        <v>40.56</v>
      </c>
      <c r="O176" t="s">
        <v>19</v>
      </c>
      <c r="P176" t="s">
        <v>20</v>
      </c>
      <c r="Q176">
        <v>20230605</v>
      </c>
    </row>
    <row r="177" spans="1:17" x14ac:dyDescent="0.25">
      <c r="A177" t="s">
        <v>548</v>
      </c>
      <c r="B177" t="s">
        <v>429</v>
      </c>
      <c r="C177">
        <v>3</v>
      </c>
      <c r="D177">
        <v>20230605</v>
      </c>
      <c r="E177">
        <v>6</v>
      </c>
      <c r="F177">
        <v>411010</v>
      </c>
      <c r="G177" t="s">
        <v>87</v>
      </c>
      <c r="H177" t="s">
        <v>5498</v>
      </c>
      <c r="I177" t="s">
        <v>5874</v>
      </c>
      <c r="J177">
        <v>372399</v>
      </c>
      <c r="K177">
        <v>20230605</v>
      </c>
      <c r="L177" t="s">
        <v>6395</v>
      </c>
      <c r="M177">
        <v>0</v>
      </c>
      <c r="N177">
        <v>161.54</v>
      </c>
      <c r="O177" t="s">
        <v>19</v>
      </c>
      <c r="P177" t="s">
        <v>20</v>
      </c>
      <c r="Q177">
        <v>20230605</v>
      </c>
    </row>
    <row r="178" spans="1:17" x14ac:dyDescent="0.25">
      <c r="A178" t="s">
        <v>548</v>
      </c>
      <c r="B178" t="s">
        <v>429</v>
      </c>
      <c r="C178">
        <v>3</v>
      </c>
      <c r="D178">
        <v>20230605</v>
      </c>
      <c r="E178">
        <v>6</v>
      </c>
      <c r="F178">
        <v>531105</v>
      </c>
      <c r="G178" t="s">
        <v>429</v>
      </c>
      <c r="H178" t="s">
        <v>401</v>
      </c>
      <c r="I178" t="s">
        <v>402</v>
      </c>
      <c r="J178">
        <v>372400</v>
      </c>
      <c r="K178">
        <v>20230605</v>
      </c>
      <c r="L178" t="s">
        <v>565</v>
      </c>
      <c r="M178">
        <v>202.1</v>
      </c>
      <c r="N178">
        <v>0</v>
      </c>
      <c r="O178" t="s">
        <v>19</v>
      </c>
      <c r="P178" t="s">
        <v>20</v>
      </c>
      <c r="Q178">
        <v>20230605</v>
      </c>
    </row>
    <row r="179" spans="1:17" x14ac:dyDescent="0.25">
      <c r="A179" t="s">
        <v>548</v>
      </c>
      <c r="B179" t="s">
        <v>429</v>
      </c>
      <c r="C179">
        <v>3</v>
      </c>
      <c r="D179">
        <v>20230606</v>
      </c>
      <c r="E179">
        <v>6</v>
      </c>
      <c r="F179">
        <v>411010</v>
      </c>
      <c r="G179" t="s">
        <v>87</v>
      </c>
      <c r="H179" t="s">
        <v>363</v>
      </c>
      <c r="I179" t="s">
        <v>364</v>
      </c>
      <c r="J179">
        <v>372401</v>
      </c>
      <c r="K179">
        <v>20230606</v>
      </c>
      <c r="L179" t="s">
        <v>6394</v>
      </c>
      <c r="M179">
        <v>0</v>
      </c>
      <c r="N179">
        <v>174.05</v>
      </c>
      <c r="O179" t="s">
        <v>19</v>
      </c>
      <c r="P179" t="s">
        <v>20</v>
      </c>
      <c r="Q179">
        <v>20230606</v>
      </c>
    </row>
    <row r="180" spans="1:17" x14ac:dyDescent="0.25">
      <c r="A180" t="s">
        <v>548</v>
      </c>
      <c r="B180" t="s">
        <v>429</v>
      </c>
      <c r="C180">
        <v>3</v>
      </c>
      <c r="D180">
        <v>20230606</v>
      </c>
      <c r="E180">
        <v>6</v>
      </c>
      <c r="F180">
        <v>531105</v>
      </c>
      <c r="G180" t="s">
        <v>429</v>
      </c>
      <c r="H180" t="s">
        <v>401</v>
      </c>
      <c r="I180" t="s">
        <v>402</v>
      </c>
      <c r="J180">
        <v>372402</v>
      </c>
      <c r="K180">
        <v>20230606</v>
      </c>
      <c r="L180" t="s">
        <v>565</v>
      </c>
      <c r="M180">
        <v>174.05</v>
      </c>
      <c r="N180">
        <v>0</v>
      </c>
      <c r="O180" t="s">
        <v>19</v>
      </c>
      <c r="P180" t="s">
        <v>20</v>
      </c>
      <c r="Q180">
        <v>20230606</v>
      </c>
    </row>
    <row r="181" spans="1:17" x14ac:dyDescent="0.25">
      <c r="A181" t="s">
        <v>548</v>
      </c>
      <c r="B181" t="s">
        <v>429</v>
      </c>
      <c r="C181">
        <v>3</v>
      </c>
      <c r="D181">
        <v>20230608</v>
      </c>
      <c r="E181">
        <v>6</v>
      </c>
      <c r="F181">
        <v>411100</v>
      </c>
      <c r="G181" t="s">
        <v>18</v>
      </c>
      <c r="H181" t="s">
        <v>4465</v>
      </c>
      <c r="I181" t="s">
        <v>4466</v>
      </c>
      <c r="J181">
        <v>372403</v>
      </c>
      <c r="K181">
        <v>20230608</v>
      </c>
      <c r="L181" t="s">
        <v>6393</v>
      </c>
      <c r="M181">
        <v>0</v>
      </c>
      <c r="N181">
        <v>41.44</v>
      </c>
      <c r="O181" t="s">
        <v>19</v>
      </c>
      <c r="P181" t="s">
        <v>20</v>
      </c>
      <c r="Q181">
        <v>20230608</v>
      </c>
    </row>
    <row r="182" spans="1:17" x14ac:dyDescent="0.25">
      <c r="A182" t="s">
        <v>548</v>
      </c>
      <c r="B182" t="s">
        <v>429</v>
      </c>
      <c r="C182">
        <v>3</v>
      </c>
      <c r="D182">
        <v>20230608</v>
      </c>
      <c r="E182">
        <v>6</v>
      </c>
      <c r="F182">
        <v>411100</v>
      </c>
      <c r="G182" t="s">
        <v>18</v>
      </c>
      <c r="H182" t="s">
        <v>734</v>
      </c>
      <c r="I182" t="s">
        <v>5873</v>
      </c>
      <c r="J182">
        <v>372404</v>
      </c>
      <c r="K182">
        <v>20230608</v>
      </c>
      <c r="L182" t="s">
        <v>6392</v>
      </c>
      <c r="M182">
        <v>0</v>
      </c>
      <c r="N182">
        <v>105.75</v>
      </c>
      <c r="O182" t="s">
        <v>19</v>
      </c>
      <c r="P182" t="s">
        <v>20</v>
      </c>
      <c r="Q182">
        <v>20230608</v>
      </c>
    </row>
    <row r="183" spans="1:17" x14ac:dyDescent="0.25">
      <c r="A183" t="s">
        <v>548</v>
      </c>
      <c r="B183" t="s">
        <v>429</v>
      </c>
      <c r="C183">
        <v>3</v>
      </c>
      <c r="D183">
        <v>20230608</v>
      </c>
      <c r="E183">
        <v>6</v>
      </c>
      <c r="F183">
        <v>531105</v>
      </c>
      <c r="G183" t="s">
        <v>429</v>
      </c>
      <c r="H183" t="s">
        <v>401</v>
      </c>
      <c r="I183" t="s">
        <v>402</v>
      </c>
      <c r="J183">
        <v>372405</v>
      </c>
      <c r="K183">
        <v>20230608</v>
      </c>
      <c r="L183" t="s">
        <v>565</v>
      </c>
      <c r="M183">
        <v>147.19</v>
      </c>
      <c r="N183">
        <v>0</v>
      </c>
      <c r="O183" t="s">
        <v>19</v>
      </c>
      <c r="P183" t="s">
        <v>20</v>
      </c>
      <c r="Q183">
        <v>20230608</v>
      </c>
    </row>
    <row r="184" spans="1:17" x14ac:dyDescent="0.25">
      <c r="A184" t="s">
        <v>548</v>
      </c>
      <c r="B184" t="s">
        <v>429</v>
      </c>
      <c r="C184">
        <v>3</v>
      </c>
      <c r="D184">
        <v>20230612</v>
      </c>
      <c r="E184">
        <v>6</v>
      </c>
      <c r="F184">
        <v>411010</v>
      </c>
      <c r="G184" t="s">
        <v>87</v>
      </c>
      <c r="H184" t="s">
        <v>3214</v>
      </c>
      <c r="I184" t="s">
        <v>3215</v>
      </c>
      <c r="J184">
        <v>223040021</v>
      </c>
      <c r="K184">
        <v>20230612</v>
      </c>
      <c r="L184" t="s">
        <v>6391</v>
      </c>
      <c r="M184">
        <v>0</v>
      </c>
      <c r="N184">
        <v>706.03</v>
      </c>
      <c r="O184" t="s">
        <v>19</v>
      </c>
      <c r="P184" t="s">
        <v>20</v>
      </c>
      <c r="Q184">
        <v>20230612</v>
      </c>
    </row>
    <row r="185" spans="1:17" x14ac:dyDescent="0.25">
      <c r="A185" t="s">
        <v>548</v>
      </c>
      <c r="B185" t="s">
        <v>429</v>
      </c>
      <c r="C185">
        <v>3</v>
      </c>
      <c r="D185">
        <v>20230612</v>
      </c>
      <c r="E185">
        <v>6</v>
      </c>
      <c r="F185">
        <v>531105</v>
      </c>
      <c r="G185" t="s">
        <v>429</v>
      </c>
      <c r="H185" t="s">
        <v>401</v>
      </c>
      <c r="I185" t="s">
        <v>402</v>
      </c>
      <c r="J185">
        <v>372407</v>
      </c>
      <c r="K185">
        <v>20230612</v>
      </c>
      <c r="L185" t="s">
        <v>565</v>
      </c>
      <c r="M185">
        <v>706.03</v>
      </c>
      <c r="N185">
        <v>0</v>
      </c>
      <c r="O185" t="s">
        <v>19</v>
      </c>
      <c r="P185" t="s">
        <v>20</v>
      </c>
      <c r="Q185">
        <v>20230612</v>
      </c>
    </row>
    <row r="186" spans="1:17" x14ac:dyDescent="0.25">
      <c r="A186" t="s">
        <v>548</v>
      </c>
      <c r="B186" t="s">
        <v>429</v>
      </c>
      <c r="C186">
        <v>3</v>
      </c>
      <c r="D186">
        <v>20230613</v>
      </c>
      <c r="E186">
        <v>6</v>
      </c>
      <c r="F186">
        <v>411010</v>
      </c>
      <c r="G186" t="s">
        <v>87</v>
      </c>
      <c r="H186" t="s">
        <v>381</v>
      </c>
      <c r="I186" t="s">
        <v>382</v>
      </c>
      <c r="J186">
        <v>372408</v>
      </c>
      <c r="K186">
        <v>20230613</v>
      </c>
      <c r="L186" t="s">
        <v>6390</v>
      </c>
      <c r="M186">
        <v>0</v>
      </c>
      <c r="N186">
        <v>420</v>
      </c>
      <c r="O186" t="s">
        <v>19</v>
      </c>
      <c r="P186" t="s">
        <v>20</v>
      </c>
      <c r="Q186">
        <v>20230613</v>
      </c>
    </row>
    <row r="187" spans="1:17" x14ac:dyDescent="0.25">
      <c r="A187" t="s">
        <v>548</v>
      </c>
      <c r="B187" t="s">
        <v>429</v>
      </c>
      <c r="C187">
        <v>3</v>
      </c>
      <c r="D187">
        <v>20230613</v>
      </c>
      <c r="E187">
        <v>6</v>
      </c>
      <c r="F187">
        <v>531105</v>
      </c>
      <c r="G187" t="s">
        <v>429</v>
      </c>
      <c r="H187" t="s">
        <v>401</v>
      </c>
      <c r="I187" t="s">
        <v>402</v>
      </c>
      <c r="J187">
        <v>372409</v>
      </c>
      <c r="K187">
        <v>20230613</v>
      </c>
      <c r="L187" t="s">
        <v>565</v>
      </c>
      <c r="M187">
        <v>420</v>
      </c>
      <c r="N187">
        <v>0</v>
      </c>
      <c r="O187" t="s">
        <v>19</v>
      </c>
      <c r="P187" t="s">
        <v>20</v>
      </c>
      <c r="Q187">
        <v>20230613</v>
      </c>
    </row>
    <row r="188" spans="1:17" x14ac:dyDescent="0.25">
      <c r="A188" t="s">
        <v>548</v>
      </c>
      <c r="B188" t="s">
        <v>429</v>
      </c>
      <c r="C188">
        <v>3</v>
      </c>
      <c r="D188">
        <v>20230615</v>
      </c>
      <c r="E188">
        <v>6</v>
      </c>
      <c r="F188">
        <v>411010</v>
      </c>
      <c r="G188" t="s">
        <v>87</v>
      </c>
      <c r="H188" t="s">
        <v>381</v>
      </c>
      <c r="I188" t="s">
        <v>382</v>
      </c>
      <c r="J188">
        <v>372410</v>
      </c>
      <c r="K188">
        <v>20230615</v>
      </c>
      <c r="L188" t="s">
        <v>6389</v>
      </c>
      <c r="M188">
        <v>0</v>
      </c>
      <c r="N188">
        <v>165.35</v>
      </c>
      <c r="O188" t="s">
        <v>19</v>
      </c>
      <c r="P188" t="s">
        <v>20</v>
      </c>
      <c r="Q188">
        <v>20230615</v>
      </c>
    </row>
    <row r="189" spans="1:17" x14ac:dyDescent="0.25">
      <c r="A189" t="s">
        <v>548</v>
      </c>
      <c r="B189" t="s">
        <v>429</v>
      </c>
      <c r="C189">
        <v>3</v>
      </c>
      <c r="D189">
        <v>20230615</v>
      </c>
      <c r="E189">
        <v>6</v>
      </c>
      <c r="F189">
        <v>531105</v>
      </c>
      <c r="G189" t="s">
        <v>429</v>
      </c>
      <c r="H189" t="s">
        <v>401</v>
      </c>
      <c r="I189" t="s">
        <v>402</v>
      </c>
      <c r="J189">
        <v>372411</v>
      </c>
      <c r="K189">
        <v>20230615</v>
      </c>
      <c r="L189" t="s">
        <v>565</v>
      </c>
      <c r="M189">
        <v>165.35</v>
      </c>
      <c r="N189">
        <v>0</v>
      </c>
      <c r="O189" t="s">
        <v>19</v>
      </c>
      <c r="P189" t="s">
        <v>20</v>
      </c>
      <c r="Q189">
        <v>20230615</v>
      </c>
    </row>
    <row r="190" spans="1:17" x14ac:dyDescent="0.25">
      <c r="A190" t="s">
        <v>548</v>
      </c>
      <c r="B190" t="s">
        <v>429</v>
      </c>
      <c r="C190">
        <v>3</v>
      </c>
      <c r="D190">
        <v>20230616</v>
      </c>
      <c r="E190">
        <v>6</v>
      </c>
      <c r="F190">
        <v>411100</v>
      </c>
      <c r="G190" t="s">
        <v>18</v>
      </c>
      <c r="H190" t="s">
        <v>107</v>
      </c>
      <c r="I190" t="s">
        <v>108</v>
      </c>
      <c r="J190">
        <v>372412</v>
      </c>
      <c r="K190">
        <v>20230616</v>
      </c>
      <c r="L190" t="s">
        <v>6388</v>
      </c>
      <c r="M190">
        <v>0</v>
      </c>
      <c r="N190">
        <v>58.52</v>
      </c>
      <c r="O190" t="s">
        <v>19</v>
      </c>
      <c r="P190" t="s">
        <v>20</v>
      </c>
      <c r="Q190">
        <v>20230616</v>
      </c>
    </row>
    <row r="191" spans="1:17" x14ac:dyDescent="0.25">
      <c r="A191" t="s">
        <v>548</v>
      </c>
      <c r="B191" t="s">
        <v>429</v>
      </c>
      <c r="C191">
        <v>3</v>
      </c>
      <c r="D191">
        <v>20230616</v>
      </c>
      <c r="E191">
        <v>6</v>
      </c>
      <c r="F191">
        <v>411100</v>
      </c>
      <c r="G191" t="s">
        <v>18</v>
      </c>
      <c r="H191" t="s">
        <v>107</v>
      </c>
      <c r="I191" t="s">
        <v>108</v>
      </c>
      <c r="J191">
        <v>372413</v>
      </c>
      <c r="K191">
        <v>20230616</v>
      </c>
      <c r="L191" t="s">
        <v>6387</v>
      </c>
      <c r="M191">
        <v>0</v>
      </c>
      <c r="N191">
        <v>1.48</v>
      </c>
      <c r="O191" t="s">
        <v>19</v>
      </c>
      <c r="P191" t="s">
        <v>20</v>
      </c>
      <c r="Q191">
        <v>20230616</v>
      </c>
    </row>
    <row r="192" spans="1:17" x14ac:dyDescent="0.25">
      <c r="A192" t="s">
        <v>548</v>
      </c>
      <c r="B192" t="s">
        <v>429</v>
      </c>
      <c r="C192">
        <v>3</v>
      </c>
      <c r="D192">
        <v>20230616</v>
      </c>
      <c r="E192">
        <v>6</v>
      </c>
      <c r="F192">
        <v>411100</v>
      </c>
      <c r="G192" t="s">
        <v>18</v>
      </c>
      <c r="H192" t="s">
        <v>352</v>
      </c>
      <c r="I192" t="s">
        <v>353</v>
      </c>
      <c r="J192">
        <v>372414</v>
      </c>
      <c r="K192">
        <v>20230616</v>
      </c>
      <c r="L192" t="s">
        <v>6386</v>
      </c>
      <c r="M192">
        <v>0</v>
      </c>
      <c r="N192">
        <v>347.2</v>
      </c>
      <c r="O192" t="s">
        <v>19</v>
      </c>
      <c r="P192" t="s">
        <v>20</v>
      </c>
      <c r="Q192">
        <v>20230616</v>
      </c>
    </row>
    <row r="193" spans="1:17" x14ac:dyDescent="0.25">
      <c r="A193" t="s">
        <v>548</v>
      </c>
      <c r="B193" t="s">
        <v>429</v>
      </c>
      <c r="C193">
        <v>3</v>
      </c>
      <c r="D193">
        <v>20230616</v>
      </c>
      <c r="E193">
        <v>6</v>
      </c>
      <c r="F193">
        <v>411100</v>
      </c>
      <c r="G193" t="s">
        <v>18</v>
      </c>
      <c r="H193" t="s">
        <v>352</v>
      </c>
      <c r="I193" t="s">
        <v>353</v>
      </c>
      <c r="J193">
        <v>372415</v>
      </c>
      <c r="K193">
        <v>20230616</v>
      </c>
      <c r="L193" t="s">
        <v>6385</v>
      </c>
      <c r="M193">
        <v>0</v>
      </c>
      <c r="N193">
        <v>12.8</v>
      </c>
      <c r="O193" t="s">
        <v>19</v>
      </c>
      <c r="P193" t="s">
        <v>20</v>
      </c>
      <c r="Q193">
        <v>20230616</v>
      </c>
    </row>
    <row r="194" spans="1:17" x14ac:dyDescent="0.25">
      <c r="A194" t="s">
        <v>548</v>
      </c>
      <c r="B194" t="s">
        <v>429</v>
      </c>
      <c r="C194">
        <v>3</v>
      </c>
      <c r="D194">
        <v>20230616</v>
      </c>
      <c r="E194">
        <v>6</v>
      </c>
      <c r="F194">
        <v>531105</v>
      </c>
      <c r="G194" t="s">
        <v>429</v>
      </c>
      <c r="H194" t="s">
        <v>401</v>
      </c>
      <c r="I194" t="s">
        <v>402</v>
      </c>
      <c r="J194">
        <v>372416</v>
      </c>
      <c r="K194">
        <v>20230616</v>
      </c>
      <c r="L194" t="s">
        <v>565</v>
      </c>
      <c r="M194">
        <v>420</v>
      </c>
      <c r="N194">
        <v>0</v>
      </c>
      <c r="O194" t="s">
        <v>19</v>
      </c>
      <c r="P194" t="s">
        <v>20</v>
      </c>
      <c r="Q194">
        <v>20230616</v>
      </c>
    </row>
    <row r="195" spans="1:17" x14ac:dyDescent="0.25">
      <c r="A195" t="s">
        <v>548</v>
      </c>
      <c r="B195" t="s">
        <v>429</v>
      </c>
      <c r="C195">
        <v>3</v>
      </c>
      <c r="D195">
        <v>20230616</v>
      </c>
      <c r="E195">
        <v>6</v>
      </c>
      <c r="F195">
        <v>411100</v>
      </c>
      <c r="G195" t="s">
        <v>18</v>
      </c>
      <c r="H195" t="s">
        <v>352</v>
      </c>
      <c r="I195" t="s">
        <v>353</v>
      </c>
      <c r="J195">
        <v>373169</v>
      </c>
      <c r="K195">
        <v>20230616</v>
      </c>
      <c r="L195" t="s">
        <v>6384</v>
      </c>
      <c r="M195">
        <v>0</v>
      </c>
      <c r="N195">
        <v>38.4</v>
      </c>
      <c r="O195" t="s">
        <v>19</v>
      </c>
      <c r="P195" t="s">
        <v>20</v>
      </c>
      <c r="Q195">
        <v>20230616</v>
      </c>
    </row>
    <row r="196" spans="1:17" x14ac:dyDescent="0.25">
      <c r="A196" t="s">
        <v>548</v>
      </c>
      <c r="B196" t="s">
        <v>429</v>
      </c>
      <c r="C196">
        <v>3</v>
      </c>
      <c r="D196">
        <v>20230616</v>
      </c>
      <c r="E196">
        <v>6</v>
      </c>
      <c r="F196">
        <v>411100</v>
      </c>
      <c r="G196" t="s">
        <v>18</v>
      </c>
      <c r="H196" t="s">
        <v>352</v>
      </c>
      <c r="I196" t="s">
        <v>353</v>
      </c>
      <c r="J196">
        <v>373170</v>
      </c>
      <c r="K196">
        <v>20230616</v>
      </c>
      <c r="L196" t="s">
        <v>6383</v>
      </c>
      <c r="M196">
        <v>0</v>
      </c>
      <c r="N196">
        <v>51.6</v>
      </c>
      <c r="O196" t="s">
        <v>19</v>
      </c>
      <c r="P196" t="s">
        <v>20</v>
      </c>
      <c r="Q196">
        <v>20230616</v>
      </c>
    </row>
    <row r="197" spans="1:17" x14ac:dyDescent="0.25">
      <c r="A197" t="s">
        <v>548</v>
      </c>
      <c r="B197" t="s">
        <v>429</v>
      </c>
      <c r="C197">
        <v>3</v>
      </c>
      <c r="D197">
        <v>20230616</v>
      </c>
      <c r="E197">
        <v>6</v>
      </c>
      <c r="F197">
        <v>531105</v>
      </c>
      <c r="G197" t="s">
        <v>429</v>
      </c>
      <c r="H197" t="s">
        <v>401</v>
      </c>
      <c r="I197" t="s">
        <v>402</v>
      </c>
      <c r="J197">
        <v>373171</v>
      </c>
      <c r="K197">
        <v>20230616</v>
      </c>
      <c r="L197" t="s">
        <v>565</v>
      </c>
      <c r="M197">
        <v>90</v>
      </c>
      <c r="N197">
        <v>0</v>
      </c>
      <c r="O197" t="s">
        <v>19</v>
      </c>
      <c r="P197" t="s">
        <v>20</v>
      </c>
      <c r="Q197">
        <v>20230616</v>
      </c>
    </row>
    <row r="198" spans="1:17" x14ac:dyDescent="0.25">
      <c r="A198" t="s">
        <v>548</v>
      </c>
      <c r="B198" t="s">
        <v>429</v>
      </c>
      <c r="C198">
        <v>3</v>
      </c>
      <c r="D198">
        <v>20230619</v>
      </c>
      <c r="E198">
        <v>6</v>
      </c>
      <c r="F198">
        <v>411100</v>
      </c>
      <c r="G198" t="s">
        <v>18</v>
      </c>
      <c r="H198" t="s">
        <v>791</v>
      </c>
      <c r="I198" t="s">
        <v>792</v>
      </c>
      <c r="J198">
        <v>123040038</v>
      </c>
      <c r="K198">
        <v>20230619</v>
      </c>
      <c r="L198" t="s">
        <v>6382</v>
      </c>
      <c r="M198">
        <v>0</v>
      </c>
      <c r="N198">
        <v>120</v>
      </c>
      <c r="O198" t="s">
        <v>19</v>
      </c>
      <c r="P198" t="s">
        <v>20</v>
      </c>
      <c r="Q198">
        <v>20230619</v>
      </c>
    </row>
    <row r="199" spans="1:17" x14ac:dyDescent="0.25">
      <c r="A199" t="s">
        <v>548</v>
      </c>
      <c r="B199" t="s">
        <v>429</v>
      </c>
      <c r="C199">
        <v>3</v>
      </c>
      <c r="D199">
        <v>20230619</v>
      </c>
      <c r="E199">
        <v>6</v>
      </c>
      <c r="F199">
        <v>411100</v>
      </c>
      <c r="G199" t="s">
        <v>18</v>
      </c>
      <c r="H199" t="s">
        <v>6381</v>
      </c>
      <c r="I199" t="s">
        <v>6380</v>
      </c>
      <c r="J199">
        <v>373173</v>
      </c>
      <c r="K199">
        <v>20230619</v>
      </c>
      <c r="L199" t="s">
        <v>6379</v>
      </c>
      <c r="M199">
        <v>0</v>
      </c>
      <c r="N199">
        <v>113.68</v>
      </c>
      <c r="O199" t="s">
        <v>19</v>
      </c>
      <c r="P199" t="s">
        <v>20</v>
      </c>
      <c r="Q199">
        <v>20230619</v>
      </c>
    </row>
    <row r="200" spans="1:17" x14ac:dyDescent="0.25">
      <c r="A200" t="s">
        <v>548</v>
      </c>
      <c r="B200" t="s">
        <v>429</v>
      </c>
      <c r="C200">
        <v>3</v>
      </c>
      <c r="D200">
        <v>20230619</v>
      </c>
      <c r="E200">
        <v>6</v>
      </c>
      <c r="F200">
        <v>411100</v>
      </c>
      <c r="G200" t="s">
        <v>18</v>
      </c>
      <c r="H200" t="s">
        <v>800</v>
      </c>
      <c r="I200" t="s">
        <v>801</v>
      </c>
      <c r="J200">
        <v>373174</v>
      </c>
      <c r="K200">
        <v>20230619</v>
      </c>
      <c r="L200" t="s">
        <v>6378</v>
      </c>
      <c r="M200">
        <v>0</v>
      </c>
      <c r="N200">
        <v>29.8</v>
      </c>
      <c r="O200" t="s">
        <v>19</v>
      </c>
      <c r="P200" t="s">
        <v>20</v>
      </c>
      <c r="Q200">
        <v>20230619</v>
      </c>
    </row>
    <row r="201" spans="1:17" x14ac:dyDescent="0.25">
      <c r="A201" t="s">
        <v>548</v>
      </c>
      <c r="B201" t="s">
        <v>429</v>
      </c>
      <c r="C201">
        <v>3</v>
      </c>
      <c r="D201">
        <v>20230619</v>
      </c>
      <c r="E201">
        <v>6</v>
      </c>
      <c r="F201">
        <v>411100</v>
      </c>
      <c r="G201" t="s">
        <v>18</v>
      </c>
      <c r="H201" t="s">
        <v>800</v>
      </c>
      <c r="I201" t="s">
        <v>801</v>
      </c>
      <c r="J201">
        <v>373175</v>
      </c>
      <c r="K201">
        <v>20230619</v>
      </c>
      <c r="L201" t="s">
        <v>6377</v>
      </c>
      <c r="M201">
        <v>0</v>
      </c>
      <c r="N201">
        <v>0.2</v>
      </c>
      <c r="O201" t="s">
        <v>19</v>
      </c>
      <c r="P201" t="s">
        <v>20</v>
      </c>
      <c r="Q201">
        <v>20230619</v>
      </c>
    </row>
    <row r="202" spans="1:17" x14ac:dyDescent="0.25">
      <c r="A202" t="s">
        <v>548</v>
      </c>
      <c r="B202" t="s">
        <v>429</v>
      </c>
      <c r="C202">
        <v>3</v>
      </c>
      <c r="D202">
        <v>20230619</v>
      </c>
      <c r="E202">
        <v>6</v>
      </c>
      <c r="F202">
        <v>411100</v>
      </c>
      <c r="G202" t="s">
        <v>18</v>
      </c>
      <c r="H202" t="s">
        <v>638</v>
      </c>
      <c r="I202" t="s">
        <v>639</v>
      </c>
      <c r="J202">
        <v>123040004</v>
      </c>
      <c r="K202">
        <v>20230619</v>
      </c>
      <c r="L202" t="s">
        <v>6376</v>
      </c>
      <c r="M202">
        <v>0</v>
      </c>
      <c r="N202">
        <v>55</v>
      </c>
      <c r="O202" t="s">
        <v>19</v>
      </c>
      <c r="P202" t="s">
        <v>20</v>
      </c>
      <c r="Q202">
        <v>20230619</v>
      </c>
    </row>
    <row r="203" spans="1:17" x14ac:dyDescent="0.25">
      <c r="A203" t="s">
        <v>548</v>
      </c>
      <c r="B203" t="s">
        <v>429</v>
      </c>
      <c r="C203">
        <v>3</v>
      </c>
      <c r="D203">
        <v>20230619</v>
      </c>
      <c r="E203">
        <v>6</v>
      </c>
      <c r="F203">
        <v>411100</v>
      </c>
      <c r="G203" t="s">
        <v>18</v>
      </c>
      <c r="H203" t="s">
        <v>3648</v>
      </c>
      <c r="I203" t="s">
        <v>3649</v>
      </c>
      <c r="J203">
        <v>373177</v>
      </c>
      <c r="K203">
        <v>20230619</v>
      </c>
      <c r="L203" t="s">
        <v>6375</v>
      </c>
      <c r="M203">
        <v>0</v>
      </c>
      <c r="N203">
        <v>74.400000000000006</v>
      </c>
      <c r="O203" t="s">
        <v>19</v>
      </c>
      <c r="P203" t="s">
        <v>20</v>
      </c>
      <c r="Q203">
        <v>20230619</v>
      </c>
    </row>
    <row r="204" spans="1:17" x14ac:dyDescent="0.25">
      <c r="A204" t="s">
        <v>548</v>
      </c>
      <c r="B204" t="s">
        <v>429</v>
      </c>
      <c r="C204">
        <v>3</v>
      </c>
      <c r="D204">
        <v>20230619</v>
      </c>
      <c r="E204">
        <v>6</v>
      </c>
      <c r="F204">
        <v>411100</v>
      </c>
      <c r="G204" t="s">
        <v>18</v>
      </c>
      <c r="H204" t="s">
        <v>3648</v>
      </c>
      <c r="I204" t="s">
        <v>3649</v>
      </c>
      <c r="J204">
        <v>373178</v>
      </c>
      <c r="K204">
        <v>20230619</v>
      </c>
      <c r="L204" t="s">
        <v>6374</v>
      </c>
      <c r="M204">
        <v>0</v>
      </c>
      <c r="N204">
        <v>10</v>
      </c>
      <c r="O204" t="s">
        <v>19</v>
      </c>
      <c r="P204" t="s">
        <v>20</v>
      </c>
      <c r="Q204">
        <v>20230619</v>
      </c>
    </row>
    <row r="205" spans="1:17" x14ac:dyDescent="0.25">
      <c r="A205" t="s">
        <v>548</v>
      </c>
      <c r="B205" t="s">
        <v>429</v>
      </c>
      <c r="C205">
        <v>3</v>
      </c>
      <c r="D205">
        <v>20230619</v>
      </c>
      <c r="E205">
        <v>6</v>
      </c>
      <c r="F205">
        <v>411100</v>
      </c>
      <c r="G205" t="s">
        <v>18</v>
      </c>
      <c r="H205" t="s">
        <v>6373</v>
      </c>
      <c r="I205" t="s">
        <v>6372</v>
      </c>
      <c r="J205">
        <v>373179</v>
      </c>
      <c r="K205">
        <v>20230619</v>
      </c>
      <c r="L205" t="s">
        <v>6371</v>
      </c>
      <c r="M205">
        <v>0</v>
      </c>
      <c r="N205">
        <v>145</v>
      </c>
      <c r="O205" t="s">
        <v>19</v>
      </c>
      <c r="P205" t="s">
        <v>20</v>
      </c>
      <c r="Q205">
        <v>20230619</v>
      </c>
    </row>
    <row r="206" spans="1:17" x14ac:dyDescent="0.25">
      <c r="A206" t="s">
        <v>548</v>
      </c>
      <c r="B206" t="s">
        <v>429</v>
      </c>
      <c r="C206">
        <v>3</v>
      </c>
      <c r="D206">
        <v>20230619</v>
      </c>
      <c r="E206">
        <v>6</v>
      </c>
      <c r="F206">
        <v>531105</v>
      </c>
      <c r="G206" t="s">
        <v>429</v>
      </c>
      <c r="H206" t="s">
        <v>401</v>
      </c>
      <c r="I206" t="s">
        <v>402</v>
      </c>
      <c r="J206">
        <v>373180</v>
      </c>
      <c r="K206">
        <v>20230619</v>
      </c>
      <c r="L206" t="s">
        <v>565</v>
      </c>
      <c r="M206">
        <v>548.08000000000004</v>
      </c>
      <c r="N206">
        <v>0</v>
      </c>
      <c r="O206" t="s">
        <v>19</v>
      </c>
      <c r="P206" t="s">
        <v>20</v>
      </c>
      <c r="Q206">
        <v>20230619</v>
      </c>
    </row>
    <row r="207" spans="1:17" x14ac:dyDescent="0.25">
      <c r="A207" t="s">
        <v>548</v>
      </c>
      <c r="B207" t="s">
        <v>429</v>
      </c>
      <c r="C207">
        <v>3</v>
      </c>
      <c r="D207">
        <v>20230620</v>
      </c>
      <c r="E207">
        <v>6</v>
      </c>
      <c r="F207">
        <v>411000</v>
      </c>
      <c r="G207" t="s">
        <v>21</v>
      </c>
      <c r="H207" t="s">
        <v>271</v>
      </c>
      <c r="I207" t="s">
        <v>272</v>
      </c>
      <c r="J207">
        <v>373181</v>
      </c>
      <c r="K207">
        <v>20230620</v>
      </c>
      <c r="L207" t="s">
        <v>6370</v>
      </c>
      <c r="M207">
        <v>0</v>
      </c>
      <c r="N207">
        <v>40.68</v>
      </c>
      <c r="O207" t="s">
        <v>19</v>
      </c>
      <c r="P207" t="s">
        <v>20</v>
      </c>
      <c r="Q207">
        <v>20230620</v>
      </c>
    </row>
    <row r="208" spans="1:17" x14ac:dyDescent="0.25">
      <c r="A208" t="s">
        <v>548</v>
      </c>
      <c r="B208" t="s">
        <v>429</v>
      </c>
      <c r="C208">
        <v>3</v>
      </c>
      <c r="D208">
        <v>20230620</v>
      </c>
      <c r="E208">
        <v>6</v>
      </c>
      <c r="F208">
        <v>411100</v>
      </c>
      <c r="G208" t="s">
        <v>18</v>
      </c>
      <c r="H208" t="s">
        <v>313</v>
      </c>
      <c r="I208" t="s">
        <v>314</v>
      </c>
      <c r="J208">
        <v>123040002</v>
      </c>
      <c r="K208">
        <v>20230620</v>
      </c>
      <c r="L208" t="s">
        <v>6369</v>
      </c>
      <c r="M208">
        <v>0</v>
      </c>
      <c r="N208">
        <v>100</v>
      </c>
      <c r="O208" t="s">
        <v>19</v>
      </c>
      <c r="P208" t="s">
        <v>20</v>
      </c>
      <c r="Q208">
        <v>20230620</v>
      </c>
    </row>
    <row r="209" spans="1:17" x14ac:dyDescent="0.25">
      <c r="A209" t="s">
        <v>548</v>
      </c>
      <c r="B209" t="s">
        <v>429</v>
      </c>
      <c r="C209">
        <v>3</v>
      </c>
      <c r="D209">
        <v>20230620</v>
      </c>
      <c r="E209">
        <v>6</v>
      </c>
      <c r="F209">
        <v>531105</v>
      </c>
      <c r="G209" t="s">
        <v>429</v>
      </c>
      <c r="H209" t="s">
        <v>401</v>
      </c>
      <c r="I209" t="s">
        <v>402</v>
      </c>
      <c r="J209">
        <v>373183</v>
      </c>
      <c r="K209">
        <v>20230620</v>
      </c>
      <c r="L209" t="s">
        <v>565</v>
      </c>
      <c r="M209">
        <v>140.68</v>
      </c>
      <c r="N209">
        <v>0</v>
      </c>
      <c r="O209" t="s">
        <v>19</v>
      </c>
      <c r="P209" t="s">
        <v>20</v>
      </c>
      <c r="Q209">
        <v>20230620</v>
      </c>
    </row>
    <row r="210" spans="1:17" x14ac:dyDescent="0.25">
      <c r="A210" t="s">
        <v>548</v>
      </c>
      <c r="B210" t="s">
        <v>429</v>
      </c>
      <c r="C210">
        <v>3</v>
      </c>
      <c r="D210">
        <v>20230621</v>
      </c>
      <c r="E210">
        <v>6</v>
      </c>
      <c r="F210">
        <v>411100</v>
      </c>
      <c r="G210" t="s">
        <v>18</v>
      </c>
      <c r="H210" t="s">
        <v>823</v>
      </c>
      <c r="I210" t="s">
        <v>824</v>
      </c>
      <c r="J210">
        <v>373184</v>
      </c>
      <c r="K210">
        <v>20230621</v>
      </c>
      <c r="L210" t="s">
        <v>6368</v>
      </c>
      <c r="M210">
        <v>0</v>
      </c>
      <c r="N210">
        <v>251.92</v>
      </c>
      <c r="O210" t="s">
        <v>19</v>
      </c>
      <c r="P210" t="s">
        <v>20</v>
      </c>
      <c r="Q210">
        <v>20230621</v>
      </c>
    </row>
    <row r="211" spans="1:17" x14ac:dyDescent="0.25">
      <c r="A211" t="s">
        <v>548</v>
      </c>
      <c r="B211" t="s">
        <v>429</v>
      </c>
      <c r="C211">
        <v>3</v>
      </c>
      <c r="D211">
        <v>20230621</v>
      </c>
      <c r="E211">
        <v>6</v>
      </c>
      <c r="F211">
        <v>411100</v>
      </c>
      <c r="G211" t="s">
        <v>18</v>
      </c>
      <c r="H211" t="s">
        <v>340</v>
      </c>
      <c r="I211" t="s">
        <v>341</v>
      </c>
      <c r="J211">
        <v>373185</v>
      </c>
      <c r="K211">
        <v>20230621</v>
      </c>
      <c r="L211" t="s">
        <v>6367</v>
      </c>
      <c r="M211">
        <v>0</v>
      </c>
      <c r="N211">
        <v>10</v>
      </c>
      <c r="O211" t="s">
        <v>19</v>
      </c>
      <c r="P211" t="s">
        <v>20</v>
      </c>
      <c r="Q211">
        <v>20230621</v>
      </c>
    </row>
    <row r="212" spans="1:17" x14ac:dyDescent="0.25">
      <c r="A212" t="s">
        <v>548</v>
      </c>
      <c r="B212" t="s">
        <v>429</v>
      </c>
      <c r="C212">
        <v>3</v>
      </c>
      <c r="D212">
        <v>20230621</v>
      </c>
      <c r="E212">
        <v>6</v>
      </c>
      <c r="F212">
        <v>411100</v>
      </c>
      <c r="G212" t="s">
        <v>18</v>
      </c>
      <c r="H212" t="s">
        <v>340</v>
      </c>
      <c r="I212" t="s">
        <v>341</v>
      </c>
      <c r="J212">
        <v>373186</v>
      </c>
      <c r="K212">
        <v>20230621</v>
      </c>
      <c r="L212" t="s">
        <v>6366</v>
      </c>
      <c r="M212">
        <v>7.68</v>
      </c>
      <c r="N212">
        <v>0</v>
      </c>
      <c r="O212" t="s">
        <v>19</v>
      </c>
      <c r="P212" t="s">
        <v>20</v>
      </c>
      <c r="Q212">
        <v>20230621</v>
      </c>
    </row>
    <row r="213" spans="1:17" x14ac:dyDescent="0.25">
      <c r="A213" t="s">
        <v>548</v>
      </c>
      <c r="B213" t="s">
        <v>429</v>
      </c>
      <c r="C213">
        <v>3</v>
      </c>
      <c r="D213">
        <v>20230621</v>
      </c>
      <c r="E213">
        <v>6</v>
      </c>
      <c r="F213">
        <v>411100</v>
      </c>
      <c r="G213" t="s">
        <v>18</v>
      </c>
      <c r="H213" t="s">
        <v>6365</v>
      </c>
      <c r="I213" t="s">
        <v>6364</v>
      </c>
      <c r="J213">
        <v>373187</v>
      </c>
      <c r="K213">
        <v>20230621</v>
      </c>
      <c r="L213" t="s">
        <v>6363</v>
      </c>
      <c r="M213">
        <v>0</v>
      </c>
      <c r="N213">
        <v>157.84</v>
      </c>
      <c r="O213" t="s">
        <v>19</v>
      </c>
      <c r="P213" t="s">
        <v>20</v>
      </c>
      <c r="Q213">
        <v>20230621</v>
      </c>
    </row>
    <row r="214" spans="1:17" x14ac:dyDescent="0.25">
      <c r="A214" t="s">
        <v>548</v>
      </c>
      <c r="B214" t="s">
        <v>429</v>
      </c>
      <c r="C214">
        <v>3</v>
      </c>
      <c r="D214">
        <v>20230621</v>
      </c>
      <c r="E214">
        <v>6</v>
      </c>
      <c r="F214">
        <v>411100</v>
      </c>
      <c r="G214" t="s">
        <v>18</v>
      </c>
      <c r="H214" t="s">
        <v>6362</v>
      </c>
      <c r="I214" t="s">
        <v>6361</v>
      </c>
      <c r="J214">
        <v>373188</v>
      </c>
      <c r="K214">
        <v>20230621</v>
      </c>
      <c r="L214" t="s">
        <v>6360</v>
      </c>
      <c r="M214">
        <v>0</v>
      </c>
      <c r="N214">
        <v>10</v>
      </c>
      <c r="O214" t="s">
        <v>19</v>
      </c>
      <c r="P214" t="s">
        <v>20</v>
      </c>
      <c r="Q214">
        <v>20230621</v>
      </c>
    </row>
    <row r="215" spans="1:17" x14ac:dyDescent="0.25">
      <c r="A215" t="s">
        <v>548</v>
      </c>
      <c r="B215" t="s">
        <v>429</v>
      </c>
      <c r="C215">
        <v>3</v>
      </c>
      <c r="D215">
        <v>20230621</v>
      </c>
      <c r="E215">
        <v>6</v>
      </c>
      <c r="F215">
        <v>411100</v>
      </c>
      <c r="G215" t="s">
        <v>18</v>
      </c>
      <c r="H215" t="s">
        <v>336</v>
      </c>
      <c r="I215" t="s">
        <v>337</v>
      </c>
      <c r="J215">
        <v>373189</v>
      </c>
      <c r="K215">
        <v>20230621</v>
      </c>
      <c r="L215" t="s">
        <v>6359</v>
      </c>
      <c r="M215">
        <v>0</v>
      </c>
      <c r="N215">
        <v>7.16</v>
      </c>
      <c r="O215" t="s">
        <v>19</v>
      </c>
      <c r="P215" t="s">
        <v>20</v>
      </c>
      <c r="Q215">
        <v>20230621</v>
      </c>
    </row>
    <row r="216" spans="1:17" x14ac:dyDescent="0.25">
      <c r="A216" t="s">
        <v>548</v>
      </c>
      <c r="B216" t="s">
        <v>429</v>
      </c>
      <c r="C216">
        <v>3</v>
      </c>
      <c r="D216">
        <v>20230621</v>
      </c>
      <c r="E216">
        <v>6</v>
      </c>
      <c r="F216">
        <v>531105</v>
      </c>
      <c r="G216" t="s">
        <v>429</v>
      </c>
      <c r="H216" t="s">
        <v>401</v>
      </c>
      <c r="I216" t="s">
        <v>402</v>
      </c>
      <c r="J216">
        <v>373190</v>
      </c>
      <c r="K216">
        <v>20230621</v>
      </c>
      <c r="L216" t="s">
        <v>565</v>
      </c>
      <c r="M216">
        <v>429.24</v>
      </c>
      <c r="N216">
        <v>0</v>
      </c>
      <c r="O216" t="s">
        <v>19</v>
      </c>
      <c r="P216" t="s">
        <v>20</v>
      </c>
      <c r="Q216">
        <v>20230621</v>
      </c>
    </row>
    <row r="217" spans="1:17" x14ac:dyDescent="0.25">
      <c r="A217" t="s">
        <v>548</v>
      </c>
      <c r="B217" t="s">
        <v>429</v>
      </c>
      <c r="C217">
        <v>3</v>
      </c>
      <c r="D217">
        <v>20230622</v>
      </c>
      <c r="E217">
        <v>6</v>
      </c>
      <c r="F217">
        <v>411100</v>
      </c>
      <c r="G217" t="s">
        <v>18</v>
      </c>
      <c r="H217" t="s">
        <v>194</v>
      </c>
      <c r="I217" t="s">
        <v>195</v>
      </c>
      <c r="J217">
        <v>373191</v>
      </c>
      <c r="K217">
        <v>20230622</v>
      </c>
      <c r="L217" t="s">
        <v>6358</v>
      </c>
      <c r="M217">
        <v>0</v>
      </c>
      <c r="N217">
        <v>120.64</v>
      </c>
      <c r="O217" t="s">
        <v>19</v>
      </c>
      <c r="P217" t="s">
        <v>20</v>
      </c>
      <c r="Q217">
        <v>20230622</v>
      </c>
    </row>
    <row r="218" spans="1:17" x14ac:dyDescent="0.25">
      <c r="A218" t="s">
        <v>548</v>
      </c>
      <c r="B218" t="s">
        <v>429</v>
      </c>
      <c r="C218">
        <v>3</v>
      </c>
      <c r="D218">
        <v>20230622</v>
      </c>
      <c r="E218">
        <v>6</v>
      </c>
      <c r="F218">
        <v>411100</v>
      </c>
      <c r="G218" t="s">
        <v>18</v>
      </c>
      <c r="H218" t="s">
        <v>4117</v>
      </c>
      <c r="I218" t="s">
        <v>4118</v>
      </c>
      <c r="J218">
        <v>373192</v>
      </c>
      <c r="K218">
        <v>20230622</v>
      </c>
      <c r="L218" t="s">
        <v>6357</v>
      </c>
      <c r="M218">
        <v>0</v>
      </c>
      <c r="N218">
        <v>2.3199999999999998</v>
      </c>
      <c r="O218" t="s">
        <v>19</v>
      </c>
      <c r="P218" t="s">
        <v>20</v>
      </c>
      <c r="Q218">
        <v>20230622</v>
      </c>
    </row>
    <row r="219" spans="1:17" x14ac:dyDescent="0.25">
      <c r="A219" t="s">
        <v>548</v>
      </c>
      <c r="B219" t="s">
        <v>429</v>
      </c>
      <c r="C219">
        <v>3</v>
      </c>
      <c r="D219">
        <v>20230622</v>
      </c>
      <c r="E219">
        <v>6</v>
      </c>
      <c r="F219">
        <v>411100</v>
      </c>
      <c r="G219" t="s">
        <v>18</v>
      </c>
      <c r="H219" t="s">
        <v>4117</v>
      </c>
      <c r="I219" t="s">
        <v>4118</v>
      </c>
      <c r="J219">
        <v>373193</v>
      </c>
      <c r="K219">
        <v>20230622</v>
      </c>
      <c r="L219" t="s">
        <v>6356</v>
      </c>
      <c r="M219">
        <v>0</v>
      </c>
      <c r="N219">
        <v>0.08</v>
      </c>
      <c r="O219" t="s">
        <v>19</v>
      </c>
      <c r="P219" t="s">
        <v>20</v>
      </c>
      <c r="Q219">
        <v>20230622</v>
      </c>
    </row>
    <row r="220" spans="1:17" x14ac:dyDescent="0.25">
      <c r="A220" t="s">
        <v>548</v>
      </c>
      <c r="B220" t="s">
        <v>429</v>
      </c>
      <c r="C220">
        <v>3</v>
      </c>
      <c r="D220">
        <v>20230622</v>
      </c>
      <c r="E220">
        <v>6</v>
      </c>
      <c r="F220">
        <v>411100</v>
      </c>
      <c r="G220" t="s">
        <v>18</v>
      </c>
      <c r="H220" t="s">
        <v>237</v>
      </c>
      <c r="I220" t="s">
        <v>238</v>
      </c>
      <c r="J220">
        <v>373194</v>
      </c>
      <c r="K220">
        <v>20230622</v>
      </c>
      <c r="L220" t="s">
        <v>6355</v>
      </c>
      <c r="M220">
        <v>0</v>
      </c>
      <c r="N220">
        <v>29.8</v>
      </c>
      <c r="O220" t="s">
        <v>19</v>
      </c>
      <c r="P220" t="s">
        <v>20</v>
      </c>
      <c r="Q220">
        <v>20230622</v>
      </c>
    </row>
    <row r="221" spans="1:17" x14ac:dyDescent="0.25">
      <c r="A221" t="s">
        <v>548</v>
      </c>
      <c r="B221" t="s">
        <v>429</v>
      </c>
      <c r="C221">
        <v>3</v>
      </c>
      <c r="D221">
        <v>20230622</v>
      </c>
      <c r="E221">
        <v>6</v>
      </c>
      <c r="F221">
        <v>411100</v>
      </c>
      <c r="G221" t="s">
        <v>18</v>
      </c>
      <c r="H221" t="s">
        <v>245</v>
      </c>
      <c r="I221" t="s">
        <v>246</v>
      </c>
      <c r="J221">
        <v>373195</v>
      </c>
      <c r="K221">
        <v>20230622</v>
      </c>
      <c r="L221" t="s">
        <v>6354</v>
      </c>
      <c r="M221">
        <v>0</v>
      </c>
      <c r="N221">
        <v>120.4</v>
      </c>
      <c r="O221" t="s">
        <v>19</v>
      </c>
      <c r="P221" t="s">
        <v>20</v>
      </c>
      <c r="Q221">
        <v>20230622</v>
      </c>
    </row>
    <row r="222" spans="1:17" x14ac:dyDescent="0.25">
      <c r="A222" t="s">
        <v>548</v>
      </c>
      <c r="B222" t="s">
        <v>429</v>
      </c>
      <c r="C222">
        <v>3</v>
      </c>
      <c r="D222">
        <v>20230622</v>
      </c>
      <c r="E222">
        <v>6</v>
      </c>
      <c r="F222">
        <v>411100</v>
      </c>
      <c r="G222" t="s">
        <v>18</v>
      </c>
      <c r="H222" t="s">
        <v>233</v>
      </c>
      <c r="I222" t="s">
        <v>234</v>
      </c>
      <c r="J222">
        <v>373196</v>
      </c>
      <c r="K222">
        <v>20230622</v>
      </c>
      <c r="L222" t="s">
        <v>6353</v>
      </c>
      <c r="M222">
        <v>0</v>
      </c>
      <c r="N222">
        <v>101.2</v>
      </c>
      <c r="O222" t="s">
        <v>19</v>
      </c>
      <c r="P222" t="s">
        <v>20</v>
      </c>
      <c r="Q222">
        <v>20230622</v>
      </c>
    </row>
    <row r="223" spans="1:17" x14ac:dyDescent="0.25">
      <c r="A223" t="s">
        <v>548</v>
      </c>
      <c r="B223" t="s">
        <v>429</v>
      </c>
      <c r="C223">
        <v>3</v>
      </c>
      <c r="D223">
        <v>20230622</v>
      </c>
      <c r="E223">
        <v>6</v>
      </c>
      <c r="F223">
        <v>531105</v>
      </c>
      <c r="G223" t="s">
        <v>429</v>
      </c>
      <c r="H223" t="s">
        <v>401</v>
      </c>
      <c r="I223" t="s">
        <v>402</v>
      </c>
      <c r="J223">
        <v>373197</v>
      </c>
      <c r="K223">
        <v>20230622</v>
      </c>
      <c r="L223" t="s">
        <v>565</v>
      </c>
      <c r="M223">
        <v>374.44</v>
      </c>
      <c r="N223">
        <v>0</v>
      </c>
      <c r="O223" t="s">
        <v>19</v>
      </c>
      <c r="P223" t="s">
        <v>20</v>
      </c>
      <c r="Q223">
        <v>20230622</v>
      </c>
    </row>
    <row r="224" spans="1:17" x14ac:dyDescent="0.25">
      <c r="A224" t="s">
        <v>548</v>
      </c>
      <c r="B224" t="s">
        <v>429</v>
      </c>
      <c r="C224">
        <v>3</v>
      </c>
      <c r="D224">
        <v>20230623</v>
      </c>
      <c r="E224">
        <v>6</v>
      </c>
      <c r="F224">
        <v>411100</v>
      </c>
      <c r="G224" t="s">
        <v>18</v>
      </c>
      <c r="H224" t="s">
        <v>320</v>
      </c>
      <c r="I224" t="s">
        <v>321</v>
      </c>
      <c r="J224">
        <v>373198</v>
      </c>
      <c r="K224">
        <v>20230623</v>
      </c>
      <c r="L224" t="s">
        <v>6352</v>
      </c>
      <c r="M224">
        <v>0</v>
      </c>
      <c r="N224">
        <v>54.64</v>
      </c>
      <c r="O224" t="s">
        <v>19</v>
      </c>
      <c r="P224" t="s">
        <v>20</v>
      </c>
      <c r="Q224">
        <v>20230623</v>
      </c>
    </row>
    <row r="225" spans="1:17" x14ac:dyDescent="0.25">
      <c r="A225" t="s">
        <v>548</v>
      </c>
      <c r="B225" t="s">
        <v>429</v>
      </c>
      <c r="C225">
        <v>3</v>
      </c>
      <c r="D225">
        <v>20230623</v>
      </c>
      <c r="E225">
        <v>6</v>
      </c>
      <c r="F225">
        <v>531105</v>
      </c>
      <c r="G225" t="s">
        <v>429</v>
      </c>
      <c r="H225" t="s">
        <v>401</v>
      </c>
      <c r="I225" t="s">
        <v>402</v>
      </c>
      <c r="J225">
        <v>373199</v>
      </c>
      <c r="K225">
        <v>20230623</v>
      </c>
      <c r="L225" t="s">
        <v>565</v>
      </c>
      <c r="M225">
        <v>54.64</v>
      </c>
      <c r="N225">
        <v>0</v>
      </c>
      <c r="O225" t="s">
        <v>19</v>
      </c>
      <c r="P225" t="s">
        <v>20</v>
      </c>
      <c r="Q225">
        <v>20230623</v>
      </c>
    </row>
    <row r="226" spans="1:17" x14ac:dyDescent="0.25">
      <c r="A226" t="s">
        <v>548</v>
      </c>
      <c r="B226" t="s">
        <v>429</v>
      </c>
      <c r="C226">
        <v>3</v>
      </c>
      <c r="D226">
        <v>20230616</v>
      </c>
      <c r="E226">
        <v>6</v>
      </c>
      <c r="F226">
        <v>411100</v>
      </c>
      <c r="G226" t="s">
        <v>18</v>
      </c>
      <c r="H226" t="s">
        <v>352</v>
      </c>
      <c r="I226" t="s">
        <v>353</v>
      </c>
      <c r="J226">
        <v>373200</v>
      </c>
      <c r="K226">
        <v>20230616</v>
      </c>
      <c r="L226" t="s">
        <v>6351</v>
      </c>
      <c r="M226">
        <v>50</v>
      </c>
      <c r="N226">
        <v>0</v>
      </c>
      <c r="O226" t="s">
        <v>19</v>
      </c>
      <c r="P226" t="s">
        <v>20</v>
      </c>
      <c r="Q226">
        <v>20230616</v>
      </c>
    </row>
    <row r="227" spans="1:17" x14ac:dyDescent="0.25">
      <c r="A227" t="s">
        <v>548</v>
      </c>
      <c r="B227" t="s">
        <v>429</v>
      </c>
      <c r="C227">
        <v>3</v>
      </c>
      <c r="D227">
        <v>20230616</v>
      </c>
      <c r="E227">
        <v>6</v>
      </c>
      <c r="F227">
        <v>531105</v>
      </c>
      <c r="G227" t="s">
        <v>429</v>
      </c>
      <c r="H227" t="s">
        <v>401</v>
      </c>
      <c r="I227" t="s">
        <v>402</v>
      </c>
      <c r="J227">
        <v>373201</v>
      </c>
      <c r="K227">
        <v>20230616</v>
      </c>
      <c r="L227" t="s">
        <v>565</v>
      </c>
      <c r="M227">
        <v>0</v>
      </c>
      <c r="N227">
        <v>50</v>
      </c>
      <c r="O227" t="s">
        <v>19</v>
      </c>
      <c r="P227" t="s">
        <v>20</v>
      </c>
      <c r="Q227">
        <v>20230616</v>
      </c>
    </row>
    <row r="228" spans="1:17" x14ac:dyDescent="0.25">
      <c r="A228" t="s">
        <v>548</v>
      </c>
      <c r="B228" t="s">
        <v>429</v>
      </c>
      <c r="C228">
        <v>3</v>
      </c>
      <c r="D228">
        <v>20230620</v>
      </c>
      <c r="E228">
        <v>6</v>
      </c>
      <c r="F228">
        <v>411020</v>
      </c>
      <c r="G228" t="s">
        <v>30</v>
      </c>
      <c r="H228" t="s">
        <v>399</v>
      </c>
      <c r="I228" t="s">
        <v>400</v>
      </c>
      <c r="J228">
        <v>323040021</v>
      </c>
      <c r="K228">
        <v>20230620</v>
      </c>
      <c r="L228" t="s">
        <v>6350</v>
      </c>
      <c r="M228">
        <v>0</v>
      </c>
      <c r="N228">
        <v>102.23</v>
      </c>
      <c r="O228" t="s">
        <v>19</v>
      </c>
      <c r="P228" t="s">
        <v>20</v>
      </c>
      <c r="Q228">
        <v>20230620</v>
      </c>
    </row>
    <row r="229" spans="1:17" x14ac:dyDescent="0.25">
      <c r="A229" t="s">
        <v>548</v>
      </c>
      <c r="B229" t="s">
        <v>429</v>
      </c>
      <c r="C229">
        <v>3</v>
      </c>
      <c r="D229">
        <v>20230620</v>
      </c>
      <c r="E229">
        <v>6</v>
      </c>
      <c r="F229">
        <v>531105</v>
      </c>
      <c r="G229" t="s">
        <v>429</v>
      </c>
      <c r="H229" t="s">
        <v>401</v>
      </c>
      <c r="I229" t="s">
        <v>402</v>
      </c>
      <c r="J229">
        <v>373348</v>
      </c>
      <c r="K229">
        <v>20230620</v>
      </c>
      <c r="L229" t="s">
        <v>565</v>
      </c>
      <c r="M229">
        <v>102.23</v>
      </c>
      <c r="N229">
        <v>0</v>
      </c>
      <c r="O229" t="s">
        <v>19</v>
      </c>
      <c r="P229" t="s">
        <v>20</v>
      </c>
      <c r="Q229">
        <v>20230620</v>
      </c>
    </row>
    <row r="230" spans="1:17" x14ac:dyDescent="0.25">
      <c r="A230" t="s">
        <v>548</v>
      </c>
      <c r="B230" t="s">
        <v>429</v>
      </c>
      <c r="C230">
        <v>3</v>
      </c>
      <c r="D230">
        <v>20230621</v>
      </c>
      <c r="E230">
        <v>6</v>
      </c>
      <c r="F230">
        <v>411020</v>
      </c>
      <c r="G230" t="s">
        <v>30</v>
      </c>
      <c r="H230" t="s">
        <v>3639</v>
      </c>
      <c r="I230" t="s">
        <v>3640</v>
      </c>
      <c r="J230">
        <v>323040015</v>
      </c>
      <c r="K230">
        <v>20230621</v>
      </c>
      <c r="L230" t="s">
        <v>6349</v>
      </c>
      <c r="M230">
        <v>0</v>
      </c>
      <c r="N230">
        <v>34.57</v>
      </c>
      <c r="O230" t="s">
        <v>19</v>
      </c>
      <c r="P230" t="s">
        <v>20</v>
      </c>
      <c r="Q230">
        <v>20230621</v>
      </c>
    </row>
    <row r="231" spans="1:17" x14ac:dyDescent="0.25">
      <c r="A231" t="s">
        <v>548</v>
      </c>
      <c r="B231" t="s">
        <v>429</v>
      </c>
      <c r="C231">
        <v>3</v>
      </c>
      <c r="D231">
        <v>20230621</v>
      </c>
      <c r="E231">
        <v>6</v>
      </c>
      <c r="F231">
        <v>531105</v>
      </c>
      <c r="G231" t="s">
        <v>429</v>
      </c>
      <c r="H231" t="s">
        <v>401</v>
      </c>
      <c r="I231" t="s">
        <v>402</v>
      </c>
      <c r="J231">
        <v>373350</v>
      </c>
      <c r="K231">
        <v>20230621</v>
      </c>
      <c r="L231" t="s">
        <v>565</v>
      </c>
      <c r="M231">
        <v>34.57</v>
      </c>
      <c r="N231">
        <v>0</v>
      </c>
      <c r="O231" t="s">
        <v>19</v>
      </c>
      <c r="P231" t="s">
        <v>20</v>
      </c>
      <c r="Q231">
        <v>20230621</v>
      </c>
    </row>
    <row r="232" spans="1:17" x14ac:dyDescent="0.25">
      <c r="A232" t="s">
        <v>548</v>
      </c>
      <c r="B232" t="s">
        <v>429</v>
      </c>
      <c r="C232">
        <v>3</v>
      </c>
      <c r="D232">
        <v>20230619</v>
      </c>
      <c r="E232">
        <v>6</v>
      </c>
      <c r="F232">
        <v>411100</v>
      </c>
      <c r="G232" t="s">
        <v>18</v>
      </c>
      <c r="H232" t="s">
        <v>2168</v>
      </c>
      <c r="I232" t="s">
        <v>2169</v>
      </c>
      <c r="J232">
        <v>373359</v>
      </c>
      <c r="K232">
        <v>20230619</v>
      </c>
      <c r="L232" t="s">
        <v>6348</v>
      </c>
      <c r="M232">
        <v>0</v>
      </c>
      <c r="N232">
        <v>37.520000000000003</v>
      </c>
      <c r="O232" t="s">
        <v>19</v>
      </c>
      <c r="P232" t="s">
        <v>20</v>
      </c>
      <c r="Q232">
        <v>20230619</v>
      </c>
    </row>
    <row r="233" spans="1:17" x14ac:dyDescent="0.25">
      <c r="A233" t="s">
        <v>548</v>
      </c>
      <c r="B233" t="s">
        <v>429</v>
      </c>
      <c r="C233">
        <v>3</v>
      </c>
      <c r="D233">
        <v>20230619</v>
      </c>
      <c r="E233">
        <v>6</v>
      </c>
      <c r="F233">
        <v>411100</v>
      </c>
      <c r="G233" t="s">
        <v>18</v>
      </c>
      <c r="H233" t="s">
        <v>2168</v>
      </c>
      <c r="I233" t="s">
        <v>2169</v>
      </c>
      <c r="J233">
        <v>373360</v>
      </c>
      <c r="K233">
        <v>20230619</v>
      </c>
      <c r="L233" t="s">
        <v>6347</v>
      </c>
      <c r="M233">
        <v>0</v>
      </c>
      <c r="N233">
        <v>9.48</v>
      </c>
      <c r="O233" t="s">
        <v>19</v>
      </c>
      <c r="P233" t="s">
        <v>20</v>
      </c>
      <c r="Q233">
        <v>20230619</v>
      </c>
    </row>
    <row r="234" spans="1:17" x14ac:dyDescent="0.25">
      <c r="A234" t="s">
        <v>548</v>
      </c>
      <c r="B234" t="s">
        <v>429</v>
      </c>
      <c r="C234">
        <v>3</v>
      </c>
      <c r="D234">
        <v>20230619</v>
      </c>
      <c r="E234">
        <v>6</v>
      </c>
      <c r="F234">
        <v>411010</v>
      </c>
      <c r="G234" t="s">
        <v>87</v>
      </c>
      <c r="H234" t="s">
        <v>363</v>
      </c>
      <c r="I234" t="s">
        <v>364</v>
      </c>
      <c r="J234">
        <v>223040020</v>
      </c>
      <c r="K234">
        <v>20230619</v>
      </c>
      <c r="L234" t="s">
        <v>6346</v>
      </c>
      <c r="M234">
        <v>0</v>
      </c>
      <c r="N234">
        <v>175.82</v>
      </c>
      <c r="O234" t="s">
        <v>19</v>
      </c>
      <c r="P234" t="s">
        <v>20</v>
      </c>
      <c r="Q234">
        <v>20230619</v>
      </c>
    </row>
    <row r="235" spans="1:17" x14ac:dyDescent="0.25">
      <c r="A235" t="s">
        <v>548</v>
      </c>
      <c r="B235" t="s">
        <v>429</v>
      </c>
      <c r="C235">
        <v>3</v>
      </c>
      <c r="D235">
        <v>20230619</v>
      </c>
      <c r="E235">
        <v>6</v>
      </c>
      <c r="F235">
        <v>531105</v>
      </c>
      <c r="G235" t="s">
        <v>429</v>
      </c>
      <c r="H235" t="s">
        <v>401</v>
      </c>
      <c r="I235" t="s">
        <v>402</v>
      </c>
      <c r="J235">
        <v>373362</v>
      </c>
      <c r="K235">
        <v>20230619</v>
      </c>
      <c r="L235" t="s">
        <v>565</v>
      </c>
      <c r="M235">
        <v>222.82</v>
      </c>
      <c r="N235">
        <v>0</v>
      </c>
      <c r="O235" t="s">
        <v>19</v>
      </c>
      <c r="P235" t="s">
        <v>20</v>
      </c>
      <c r="Q235">
        <v>20230619</v>
      </c>
    </row>
    <row r="236" spans="1:17" x14ac:dyDescent="0.25">
      <c r="A236" t="s">
        <v>548</v>
      </c>
      <c r="B236" t="s">
        <v>429</v>
      </c>
      <c r="C236">
        <v>3</v>
      </c>
      <c r="D236">
        <v>20230627</v>
      </c>
      <c r="E236">
        <v>6</v>
      </c>
      <c r="F236">
        <v>411100</v>
      </c>
      <c r="G236" t="s">
        <v>18</v>
      </c>
      <c r="H236" t="s">
        <v>3654</v>
      </c>
      <c r="I236" t="s">
        <v>3655</v>
      </c>
      <c r="J236">
        <v>374067</v>
      </c>
      <c r="K236">
        <v>20230627</v>
      </c>
      <c r="L236" t="s">
        <v>6345</v>
      </c>
      <c r="M236">
        <v>19.5</v>
      </c>
      <c r="N236">
        <v>0</v>
      </c>
      <c r="O236" t="s">
        <v>19</v>
      </c>
      <c r="P236" t="s">
        <v>20</v>
      </c>
      <c r="Q236">
        <v>20230627</v>
      </c>
    </row>
    <row r="237" spans="1:17" x14ac:dyDescent="0.25">
      <c r="A237" t="s">
        <v>548</v>
      </c>
      <c r="B237" t="s">
        <v>429</v>
      </c>
      <c r="C237">
        <v>3</v>
      </c>
      <c r="D237">
        <v>20230627</v>
      </c>
      <c r="E237">
        <v>6</v>
      </c>
      <c r="F237">
        <v>531105</v>
      </c>
      <c r="G237" t="s">
        <v>429</v>
      </c>
      <c r="H237" t="s">
        <v>401</v>
      </c>
      <c r="I237" t="s">
        <v>402</v>
      </c>
      <c r="J237">
        <v>374068</v>
      </c>
      <c r="K237">
        <v>20230627</v>
      </c>
      <c r="L237" t="s">
        <v>6344</v>
      </c>
      <c r="M237">
        <v>0</v>
      </c>
      <c r="N237">
        <v>19.5</v>
      </c>
      <c r="O237" t="s">
        <v>19</v>
      </c>
      <c r="P237" t="s">
        <v>20</v>
      </c>
      <c r="Q237">
        <v>20230627</v>
      </c>
    </row>
    <row r="238" spans="1:17" x14ac:dyDescent="0.25">
      <c r="A238" t="s">
        <v>548</v>
      </c>
      <c r="B238" t="s">
        <v>429</v>
      </c>
      <c r="C238">
        <v>3</v>
      </c>
      <c r="D238">
        <v>20230626</v>
      </c>
      <c r="E238">
        <v>6</v>
      </c>
      <c r="F238">
        <v>411100</v>
      </c>
      <c r="G238" t="s">
        <v>18</v>
      </c>
      <c r="H238" t="s">
        <v>352</v>
      </c>
      <c r="I238" t="s">
        <v>353</v>
      </c>
      <c r="J238">
        <v>123060047</v>
      </c>
      <c r="K238">
        <v>20230626</v>
      </c>
      <c r="L238" t="s">
        <v>6343</v>
      </c>
      <c r="M238">
        <v>0</v>
      </c>
      <c r="N238">
        <v>177.28</v>
      </c>
      <c r="O238" t="s">
        <v>19</v>
      </c>
      <c r="P238" t="s">
        <v>20</v>
      </c>
      <c r="Q238">
        <v>20230626</v>
      </c>
    </row>
    <row r="239" spans="1:17" x14ac:dyDescent="0.25">
      <c r="A239" t="s">
        <v>548</v>
      </c>
      <c r="B239" t="s">
        <v>429</v>
      </c>
      <c r="C239">
        <v>3</v>
      </c>
      <c r="D239">
        <v>20230626</v>
      </c>
      <c r="E239">
        <v>6</v>
      </c>
      <c r="F239">
        <v>411100</v>
      </c>
      <c r="G239" t="s">
        <v>18</v>
      </c>
      <c r="H239" t="s">
        <v>710</v>
      </c>
      <c r="I239" t="s">
        <v>711</v>
      </c>
      <c r="J239">
        <v>123060055</v>
      </c>
      <c r="K239">
        <v>20230626</v>
      </c>
      <c r="L239" t="s">
        <v>6342</v>
      </c>
      <c r="M239">
        <v>0</v>
      </c>
      <c r="N239">
        <v>150</v>
      </c>
      <c r="O239" t="s">
        <v>19</v>
      </c>
      <c r="P239" t="s">
        <v>20</v>
      </c>
      <c r="Q239">
        <v>20230626</v>
      </c>
    </row>
    <row r="240" spans="1:17" x14ac:dyDescent="0.25">
      <c r="A240" t="s">
        <v>548</v>
      </c>
      <c r="B240" t="s">
        <v>429</v>
      </c>
      <c r="C240">
        <v>3</v>
      </c>
      <c r="D240">
        <v>20230626</v>
      </c>
      <c r="E240">
        <v>6</v>
      </c>
      <c r="F240">
        <v>531105</v>
      </c>
      <c r="G240" t="s">
        <v>429</v>
      </c>
      <c r="H240" t="s">
        <v>401</v>
      </c>
      <c r="I240" t="s">
        <v>402</v>
      </c>
      <c r="J240">
        <v>374071</v>
      </c>
      <c r="K240">
        <v>20230626</v>
      </c>
      <c r="L240" t="s">
        <v>565</v>
      </c>
      <c r="M240">
        <v>327.27999999999997</v>
      </c>
      <c r="N240">
        <v>0</v>
      </c>
      <c r="O240" t="s">
        <v>19</v>
      </c>
      <c r="P240" t="s">
        <v>20</v>
      </c>
      <c r="Q240">
        <v>20230626</v>
      </c>
    </row>
    <row r="241" spans="1:17" x14ac:dyDescent="0.25">
      <c r="A241" t="s">
        <v>548</v>
      </c>
      <c r="B241" t="s">
        <v>429</v>
      </c>
      <c r="C241">
        <v>3</v>
      </c>
      <c r="D241">
        <v>20230627</v>
      </c>
      <c r="E241">
        <v>6</v>
      </c>
      <c r="F241">
        <v>411000</v>
      </c>
      <c r="G241" t="s">
        <v>21</v>
      </c>
      <c r="H241" t="s">
        <v>271</v>
      </c>
      <c r="I241" t="s">
        <v>272</v>
      </c>
      <c r="J241">
        <v>374072</v>
      </c>
      <c r="K241">
        <v>20230627</v>
      </c>
      <c r="L241" t="s">
        <v>6341</v>
      </c>
      <c r="M241">
        <v>0</v>
      </c>
      <c r="N241">
        <v>140.91999999999999</v>
      </c>
      <c r="O241" t="s">
        <v>19</v>
      </c>
      <c r="P241" t="s">
        <v>20</v>
      </c>
      <c r="Q241">
        <v>20230627</v>
      </c>
    </row>
    <row r="242" spans="1:17" x14ac:dyDescent="0.25">
      <c r="A242" t="s">
        <v>548</v>
      </c>
      <c r="B242" t="s">
        <v>429</v>
      </c>
      <c r="C242">
        <v>3</v>
      </c>
      <c r="D242">
        <v>20230627</v>
      </c>
      <c r="E242">
        <v>6</v>
      </c>
      <c r="F242">
        <v>411100</v>
      </c>
      <c r="G242" t="s">
        <v>18</v>
      </c>
      <c r="H242" t="s">
        <v>243</v>
      </c>
      <c r="I242" t="s">
        <v>6339</v>
      </c>
      <c r="J242">
        <v>374073</v>
      </c>
      <c r="K242">
        <v>20230627</v>
      </c>
      <c r="L242" t="s">
        <v>6340</v>
      </c>
      <c r="M242">
        <v>0</v>
      </c>
      <c r="N242">
        <v>184.72</v>
      </c>
      <c r="O242" t="s">
        <v>19</v>
      </c>
      <c r="P242" t="s">
        <v>20</v>
      </c>
      <c r="Q242">
        <v>20230627</v>
      </c>
    </row>
    <row r="243" spans="1:17" x14ac:dyDescent="0.25">
      <c r="A243" t="s">
        <v>548</v>
      </c>
      <c r="B243" t="s">
        <v>429</v>
      </c>
      <c r="C243">
        <v>3</v>
      </c>
      <c r="D243">
        <v>20230627</v>
      </c>
      <c r="E243">
        <v>6</v>
      </c>
      <c r="F243">
        <v>411100</v>
      </c>
      <c r="G243" t="s">
        <v>18</v>
      </c>
      <c r="H243" t="s">
        <v>243</v>
      </c>
      <c r="I243" t="s">
        <v>6339</v>
      </c>
      <c r="J243">
        <v>374074</v>
      </c>
      <c r="K243">
        <v>20230627</v>
      </c>
      <c r="L243" t="s">
        <v>6338</v>
      </c>
      <c r="M243">
        <v>0</v>
      </c>
      <c r="N243">
        <v>65.28</v>
      </c>
      <c r="O243" t="s">
        <v>19</v>
      </c>
      <c r="P243" t="s">
        <v>20</v>
      </c>
      <c r="Q243">
        <v>20230627</v>
      </c>
    </row>
    <row r="244" spans="1:17" x14ac:dyDescent="0.25">
      <c r="A244" t="s">
        <v>548</v>
      </c>
      <c r="B244" t="s">
        <v>429</v>
      </c>
      <c r="C244">
        <v>3</v>
      </c>
      <c r="D244">
        <v>20230627</v>
      </c>
      <c r="E244">
        <v>6</v>
      </c>
      <c r="F244">
        <v>411100</v>
      </c>
      <c r="G244" t="s">
        <v>18</v>
      </c>
      <c r="H244" t="s">
        <v>311</v>
      </c>
      <c r="I244" t="s">
        <v>312</v>
      </c>
      <c r="J244">
        <v>123060058</v>
      </c>
      <c r="K244">
        <v>20230627</v>
      </c>
      <c r="L244" t="s">
        <v>6337</v>
      </c>
      <c r="M244">
        <v>0</v>
      </c>
      <c r="N244">
        <v>100</v>
      </c>
      <c r="O244" t="s">
        <v>19</v>
      </c>
      <c r="P244" t="s">
        <v>20</v>
      </c>
      <c r="Q244">
        <v>20230627</v>
      </c>
    </row>
    <row r="245" spans="1:17" x14ac:dyDescent="0.25">
      <c r="A245" t="s">
        <v>548</v>
      </c>
      <c r="B245" t="s">
        <v>429</v>
      </c>
      <c r="C245">
        <v>3</v>
      </c>
      <c r="D245">
        <v>20230627</v>
      </c>
      <c r="E245">
        <v>6</v>
      </c>
      <c r="F245">
        <v>531105</v>
      </c>
      <c r="G245" t="s">
        <v>429</v>
      </c>
      <c r="H245" t="s">
        <v>401</v>
      </c>
      <c r="I245" t="s">
        <v>402</v>
      </c>
      <c r="J245">
        <v>374076</v>
      </c>
      <c r="K245">
        <v>20230627</v>
      </c>
      <c r="L245" t="s">
        <v>565</v>
      </c>
      <c r="M245">
        <v>490.92</v>
      </c>
      <c r="N245">
        <v>0</v>
      </c>
      <c r="O245" t="s">
        <v>19</v>
      </c>
      <c r="P245" t="s">
        <v>20</v>
      </c>
      <c r="Q245">
        <v>20230627</v>
      </c>
    </row>
    <row r="246" spans="1:17" x14ac:dyDescent="0.25">
      <c r="A246" t="s">
        <v>548</v>
      </c>
      <c r="B246" t="s">
        <v>429</v>
      </c>
      <c r="C246">
        <v>3</v>
      </c>
      <c r="D246">
        <v>20230628</v>
      </c>
      <c r="E246">
        <v>6</v>
      </c>
      <c r="F246">
        <v>411000</v>
      </c>
      <c r="G246" t="s">
        <v>21</v>
      </c>
      <c r="H246" t="s">
        <v>6336</v>
      </c>
      <c r="I246" t="s">
        <v>6335</v>
      </c>
      <c r="J246">
        <v>123050043</v>
      </c>
      <c r="K246">
        <v>20230628</v>
      </c>
      <c r="L246" t="s">
        <v>6334</v>
      </c>
      <c r="M246">
        <v>0</v>
      </c>
      <c r="N246">
        <v>31.3</v>
      </c>
      <c r="O246" t="s">
        <v>19</v>
      </c>
      <c r="P246" t="s">
        <v>20</v>
      </c>
      <c r="Q246">
        <v>20230628</v>
      </c>
    </row>
    <row r="247" spans="1:17" x14ac:dyDescent="0.25">
      <c r="A247" t="s">
        <v>548</v>
      </c>
      <c r="B247" t="s">
        <v>429</v>
      </c>
      <c r="C247">
        <v>3</v>
      </c>
      <c r="D247">
        <v>20230628</v>
      </c>
      <c r="E247">
        <v>6</v>
      </c>
      <c r="F247">
        <v>411100</v>
      </c>
      <c r="G247" t="s">
        <v>18</v>
      </c>
      <c r="H247" t="s">
        <v>3658</v>
      </c>
      <c r="I247" t="s">
        <v>3659</v>
      </c>
      <c r="J247">
        <v>374078</v>
      </c>
      <c r="K247">
        <v>20230628</v>
      </c>
      <c r="L247" t="s">
        <v>6333</v>
      </c>
      <c r="M247">
        <v>0</v>
      </c>
      <c r="N247">
        <v>1.92</v>
      </c>
      <c r="O247" t="s">
        <v>19</v>
      </c>
      <c r="P247" t="s">
        <v>20</v>
      </c>
      <c r="Q247">
        <v>20230628</v>
      </c>
    </row>
    <row r="248" spans="1:17" x14ac:dyDescent="0.25">
      <c r="A248" t="s">
        <v>548</v>
      </c>
      <c r="B248" t="s">
        <v>429</v>
      </c>
      <c r="C248">
        <v>3</v>
      </c>
      <c r="D248">
        <v>20230628</v>
      </c>
      <c r="E248">
        <v>6</v>
      </c>
      <c r="F248">
        <v>411100</v>
      </c>
      <c r="G248" t="s">
        <v>18</v>
      </c>
      <c r="H248" t="s">
        <v>3658</v>
      </c>
      <c r="I248" t="s">
        <v>3659</v>
      </c>
      <c r="J248">
        <v>374079</v>
      </c>
      <c r="K248">
        <v>20230628</v>
      </c>
      <c r="L248" t="s">
        <v>6332</v>
      </c>
      <c r="M248">
        <v>0</v>
      </c>
      <c r="N248">
        <v>0.08</v>
      </c>
      <c r="O248" t="s">
        <v>19</v>
      </c>
      <c r="P248" t="s">
        <v>20</v>
      </c>
      <c r="Q248">
        <v>20230628</v>
      </c>
    </row>
    <row r="249" spans="1:17" x14ac:dyDescent="0.25">
      <c r="A249" t="s">
        <v>548</v>
      </c>
      <c r="B249" t="s">
        <v>429</v>
      </c>
      <c r="C249">
        <v>3</v>
      </c>
      <c r="D249">
        <v>20230628</v>
      </c>
      <c r="E249">
        <v>6</v>
      </c>
      <c r="F249">
        <v>411100</v>
      </c>
      <c r="G249" t="s">
        <v>18</v>
      </c>
      <c r="H249" t="s">
        <v>5640</v>
      </c>
      <c r="I249" t="s">
        <v>5641</v>
      </c>
      <c r="J249">
        <v>374080</v>
      </c>
      <c r="K249">
        <v>20230628</v>
      </c>
      <c r="L249" t="s">
        <v>6331</v>
      </c>
      <c r="M249">
        <v>0</v>
      </c>
      <c r="N249">
        <v>161.30000000000001</v>
      </c>
      <c r="O249" t="s">
        <v>19</v>
      </c>
      <c r="P249" t="s">
        <v>20</v>
      </c>
      <c r="Q249">
        <v>20230628</v>
      </c>
    </row>
    <row r="250" spans="1:17" x14ac:dyDescent="0.25">
      <c r="A250" t="s">
        <v>548</v>
      </c>
      <c r="B250" t="s">
        <v>429</v>
      </c>
      <c r="C250">
        <v>3</v>
      </c>
      <c r="D250">
        <v>20230628</v>
      </c>
      <c r="E250">
        <v>6</v>
      </c>
      <c r="F250">
        <v>531105</v>
      </c>
      <c r="G250" t="s">
        <v>429</v>
      </c>
      <c r="H250" t="s">
        <v>401</v>
      </c>
      <c r="I250" t="s">
        <v>402</v>
      </c>
      <c r="J250">
        <v>374081</v>
      </c>
      <c r="K250">
        <v>20230628</v>
      </c>
      <c r="L250" t="s">
        <v>565</v>
      </c>
      <c r="M250">
        <v>194.6</v>
      </c>
      <c r="N250">
        <v>0</v>
      </c>
      <c r="O250" t="s">
        <v>19</v>
      </c>
      <c r="P250" t="s">
        <v>20</v>
      </c>
      <c r="Q250">
        <v>20230628</v>
      </c>
    </row>
    <row r="251" spans="1:17" x14ac:dyDescent="0.25">
      <c r="A251" t="s">
        <v>548</v>
      </c>
      <c r="B251" t="s">
        <v>429</v>
      </c>
      <c r="C251">
        <v>3</v>
      </c>
      <c r="D251">
        <v>20230629</v>
      </c>
      <c r="E251">
        <v>6</v>
      </c>
      <c r="F251">
        <v>411100</v>
      </c>
      <c r="G251" t="s">
        <v>18</v>
      </c>
      <c r="H251" t="s">
        <v>941</v>
      </c>
      <c r="I251" t="s">
        <v>942</v>
      </c>
      <c r="J251">
        <v>374082</v>
      </c>
      <c r="K251">
        <v>20230629</v>
      </c>
      <c r="L251" t="s">
        <v>6330</v>
      </c>
      <c r="M251">
        <v>0</v>
      </c>
      <c r="N251">
        <v>84.38</v>
      </c>
      <c r="O251" t="s">
        <v>19</v>
      </c>
      <c r="P251" t="s">
        <v>20</v>
      </c>
      <c r="Q251">
        <v>20230629</v>
      </c>
    </row>
    <row r="252" spans="1:17" x14ac:dyDescent="0.25">
      <c r="A252" t="s">
        <v>548</v>
      </c>
      <c r="B252" t="s">
        <v>429</v>
      </c>
      <c r="C252">
        <v>3</v>
      </c>
      <c r="D252">
        <v>20230629</v>
      </c>
      <c r="E252">
        <v>6</v>
      </c>
      <c r="F252">
        <v>411100</v>
      </c>
      <c r="G252" t="s">
        <v>18</v>
      </c>
      <c r="H252" t="s">
        <v>293</v>
      </c>
      <c r="I252" t="s">
        <v>6329</v>
      </c>
      <c r="J252">
        <v>122080056</v>
      </c>
      <c r="K252">
        <v>20230629</v>
      </c>
      <c r="L252" t="s">
        <v>6328</v>
      </c>
      <c r="M252">
        <v>0</v>
      </c>
      <c r="N252">
        <v>220</v>
      </c>
      <c r="O252" t="s">
        <v>19</v>
      </c>
      <c r="P252" t="s">
        <v>20</v>
      </c>
      <c r="Q252">
        <v>20230629</v>
      </c>
    </row>
    <row r="253" spans="1:17" x14ac:dyDescent="0.25">
      <c r="A253" t="s">
        <v>548</v>
      </c>
      <c r="B253" t="s">
        <v>429</v>
      </c>
      <c r="C253">
        <v>3</v>
      </c>
      <c r="D253">
        <v>20230629</v>
      </c>
      <c r="E253">
        <v>6</v>
      </c>
      <c r="F253">
        <v>411100</v>
      </c>
      <c r="G253" t="s">
        <v>18</v>
      </c>
      <c r="H253" t="s">
        <v>6326</v>
      </c>
      <c r="I253" t="s">
        <v>6325</v>
      </c>
      <c r="J253">
        <v>374084</v>
      </c>
      <c r="K253">
        <v>20230629</v>
      </c>
      <c r="L253" t="s">
        <v>6327</v>
      </c>
      <c r="M253">
        <v>0</v>
      </c>
      <c r="N253">
        <v>28.4</v>
      </c>
      <c r="O253" t="s">
        <v>19</v>
      </c>
      <c r="P253" t="s">
        <v>20</v>
      </c>
      <c r="Q253">
        <v>20230629</v>
      </c>
    </row>
    <row r="254" spans="1:17" x14ac:dyDescent="0.25">
      <c r="A254" t="s">
        <v>548</v>
      </c>
      <c r="B254" t="s">
        <v>429</v>
      </c>
      <c r="C254">
        <v>3</v>
      </c>
      <c r="D254">
        <v>20230629</v>
      </c>
      <c r="E254">
        <v>6</v>
      </c>
      <c r="F254">
        <v>411100</v>
      </c>
      <c r="G254" t="s">
        <v>18</v>
      </c>
      <c r="H254" t="s">
        <v>6326</v>
      </c>
      <c r="I254" t="s">
        <v>6325</v>
      </c>
      <c r="J254">
        <v>374085</v>
      </c>
      <c r="K254">
        <v>20230629</v>
      </c>
      <c r="L254" t="s">
        <v>6324</v>
      </c>
      <c r="M254">
        <v>0</v>
      </c>
      <c r="N254">
        <v>0.54</v>
      </c>
      <c r="O254" t="s">
        <v>19</v>
      </c>
      <c r="P254" t="s">
        <v>20</v>
      </c>
      <c r="Q254">
        <v>20230629</v>
      </c>
    </row>
    <row r="255" spans="1:17" x14ac:dyDescent="0.25">
      <c r="A255" t="s">
        <v>548</v>
      </c>
      <c r="B255" t="s">
        <v>429</v>
      </c>
      <c r="C255">
        <v>3</v>
      </c>
      <c r="D255">
        <v>20230629</v>
      </c>
      <c r="E255">
        <v>6</v>
      </c>
      <c r="F255">
        <v>411100</v>
      </c>
      <c r="G255" t="s">
        <v>18</v>
      </c>
      <c r="H255" t="s">
        <v>6323</v>
      </c>
      <c r="I255" t="s">
        <v>6322</v>
      </c>
      <c r="J255">
        <v>374086</v>
      </c>
      <c r="K255">
        <v>20230629</v>
      </c>
      <c r="L255" t="s">
        <v>6321</v>
      </c>
      <c r="M255">
        <v>0</v>
      </c>
      <c r="N255">
        <v>200</v>
      </c>
      <c r="O255" t="s">
        <v>19</v>
      </c>
      <c r="P255" t="s">
        <v>20</v>
      </c>
      <c r="Q255">
        <v>20230629</v>
      </c>
    </row>
    <row r="256" spans="1:17" x14ac:dyDescent="0.25">
      <c r="A256" t="s">
        <v>548</v>
      </c>
      <c r="B256" t="s">
        <v>429</v>
      </c>
      <c r="C256">
        <v>3</v>
      </c>
      <c r="D256">
        <v>20230629</v>
      </c>
      <c r="E256">
        <v>6</v>
      </c>
      <c r="F256">
        <v>531105</v>
      </c>
      <c r="G256" t="s">
        <v>429</v>
      </c>
      <c r="H256" t="s">
        <v>401</v>
      </c>
      <c r="I256" t="s">
        <v>402</v>
      </c>
      <c r="J256">
        <v>374087</v>
      </c>
      <c r="K256">
        <v>20230629</v>
      </c>
      <c r="L256" t="s">
        <v>565</v>
      </c>
      <c r="M256">
        <v>533.32000000000005</v>
      </c>
      <c r="N256">
        <v>0</v>
      </c>
      <c r="O256" t="s">
        <v>19</v>
      </c>
      <c r="P256" t="s">
        <v>20</v>
      </c>
      <c r="Q256">
        <v>20230629</v>
      </c>
    </row>
    <row r="257" spans="1:17" x14ac:dyDescent="0.25">
      <c r="A257" t="s">
        <v>548</v>
      </c>
      <c r="B257" t="s">
        <v>429</v>
      </c>
      <c r="C257">
        <v>3</v>
      </c>
      <c r="D257">
        <v>20230630</v>
      </c>
      <c r="E257">
        <v>6</v>
      </c>
      <c r="F257">
        <v>411100</v>
      </c>
      <c r="G257" t="s">
        <v>18</v>
      </c>
      <c r="H257" t="s">
        <v>6320</v>
      </c>
      <c r="I257" t="s">
        <v>6319</v>
      </c>
      <c r="J257">
        <v>374088</v>
      </c>
      <c r="K257">
        <v>20230630</v>
      </c>
      <c r="L257" t="s">
        <v>6318</v>
      </c>
      <c r="M257">
        <v>0</v>
      </c>
      <c r="N257">
        <v>200</v>
      </c>
      <c r="O257" t="s">
        <v>19</v>
      </c>
      <c r="P257" t="s">
        <v>20</v>
      </c>
      <c r="Q257">
        <v>20230630</v>
      </c>
    </row>
    <row r="258" spans="1:17" x14ac:dyDescent="0.25">
      <c r="A258" t="s">
        <v>548</v>
      </c>
      <c r="B258" t="s">
        <v>429</v>
      </c>
      <c r="C258">
        <v>3</v>
      </c>
      <c r="D258">
        <v>20230630</v>
      </c>
      <c r="E258">
        <v>6</v>
      </c>
      <c r="F258">
        <v>411020</v>
      </c>
      <c r="G258" t="s">
        <v>30</v>
      </c>
      <c r="H258" t="s">
        <v>307</v>
      </c>
      <c r="I258" t="s">
        <v>308</v>
      </c>
      <c r="J258">
        <v>123060048</v>
      </c>
      <c r="K258">
        <v>20230630</v>
      </c>
      <c r="L258" t="s">
        <v>6317</v>
      </c>
      <c r="M258">
        <v>0</v>
      </c>
      <c r="N258">
        <v>147.91</v>
      </c>
      <c r="O258" t="s">
        <v>19</v>
      </c>
      <c r="P258" t="s">
        <v>20</v>
      </c>
      <c r="Q258">
        <v>20230630</v>
      </c>
    </row>
    <row r="259" spans="1:17" x14ac:dyDescent="0.25">
      <c r="A259" t="s">
        <v>548</v>
      </c>
      <c r="B259" t="s">
        <v>429</v>
      </c>
      <c r="C259">
        <v>3</v>
      </c>
      <c r="D259">
        <v>20230630</v>
      </c>
      <c r="E259">
        <v>6</v>
      </c>
      <c r="F259">
        <v>411100</v>
      </c>
      <c r="G259" t="s">
        <v>18</v>
      </c>
      <c r="H259" t="s">
        <v>5069</v>
      </c>
      <c r="I259" t="s">
        <v>6316</v>
      </c>
      <c r="J259">
        <v>374090</v>
      </c>
      <c r="K259">
        <v>20230630</v>
      </c>
      <c r="L259" t="s">
        <v>6315</v>
      </c>
      <c r="M259">
        <v>0</v>
      </c>
      <c r="N259">
        <v>28.4</v>
      </c>
      <c r="O259" t="s">
        <v>19</v>
      </c>
      <c r="P259" t="s">
        <v>20</v>
      </c>
      <c r="Q259">
        <v>20230630</v>
      </c>
    </row>
    <row r="260" spans="1:17" x14ac:dyDescent="0.25">
      <c r="A260" t="s">
        <v>548</v>
      </c>
      <c r="B260" t="s">
        <v>429</v>
      </c>
      <c r="C260">
        <v>3</v>
      </c>
      <c r="D260">
        <v>20230630</v>
      </c>
      <c r="E260">
        <v>6</v>
      </c>
      <c r="F260">
        <v>411100</v>
      </c>
      <c r="G260" t="s">
        <v>18</v>
      </c>
      <c r="H260" t="s">
        <v>192</v>
      </c>
      <c r="I260" t="s">
        <v>193</v>
      </c>
      <c r="J260">
        <v>374091</v>
      </c>
      <c r="K260">
        <v>20230630</v>
      </c>
      <c r="L260" t="s">
        <v>6314</v>
      </c>
      <c r="M260">
        <v>0</v>
      </c>
      <c r="N260">
        <v>70</v>
      </c>
      <c r="O260" t="s">
        <v>19</v>
      </c>
      <c r="P260" t="s">
        <v>20</v>
      </c>
      <c r="Q260">
        <v>20230630</v>
      </c>
    </row>
    <row r="261" spans="1:17" x14ac:dyDescent="0.25">
      <c r="A261" t="s">
        <v>548</v>
      </c>
      <c r="B261" t="s">
        <v>429</v>
      </c>
      <c r="C261">
        <v>3</v>
      </c>
      <c r="D261">
        <v>20230630</v>
      </c>
      <c r="E261">
        <v>6</v>
      </c>
      <c r="F261">
        <v>411100</v>
      </c>
      <c r="G261" t="s">
        <v>18</v>
      </c>
      <c r="H261" t="s">
        <v>77</v>
      </c>
      <c r="I261" t="s">
        <v>78</v>
      </c>
      <c r="J261">
        <v>123040069</v>
      </c>
      <c r="K261">
        <v>20230630</v>
      </c>
      <c r="L261" t="s">
        <v>6313</v>
      </c>
      <c r="M261">
        <v>0</v>
      </c>
      <c r="N261">
        <v>196.34</v>
      </c>
      <c r="O261" t="s">
        <v>19</v>
      </c>
      <c r="P261" t="s">
        <v>20</v>
      </c>
      <c r="Q261">
        <v>20230630</v>
      </c>
    </row>
    <row r="262" spans="1:17" x14ac:dyDescent="0.25">
      <c r="A262" t="s">
        <v>548</v>
      </c>
      <c r="B262" t="s">
        <v>429</v>
      </c>
      <c r="C262">
        <v>3</v>
      </c>
      <c r="D262">
        <v>20230630</v>
      </c>
      <c r="E262">
        <v>6</v>
      </c>
      <c r="F262">
        <v>411100</v>
      </c>
      <c r="G262" t="s">
        <v>18</v>
      </c>
      <c r="H262" t="s">
        <v>787</v>
      </c>
      <c r="I262" t="s">
        <v>788</v>
      </c>
      <c r="J262">
        <v>123060019</v>
      </c>
      <c r="K262">
        <v>20230630</v>
      </c>
      <c r="L262" t="s">
        <v>6312</v>
      </c>
      <c r="M262">
        <v>0</v>
      </c>
      <c r="N262">
        <v>368.33</v>
      </c>
      <c r="O262" t="s">
        <v>19</v>
      </c>
      <c r="P262" t="s">
        <v>20</v>
      </c>
      <c r="Q262">
        <v>20230630</v>
      </c>
    </row>
    <row r="263" spans="1:17" x14ac:dyDescent="0.25">
      <c r="A263" t="s">
        <v>548</v>
      </c>
      <c r="B263" t="s">
        <v>429</v>
      </c>
      <c r="C263">
        <v>3</v>
      </c>
      <c r="D263">
        <v>20230630</v>
      </c>
      <c r="E263">
        <v>6</v>
      </c>
      <c r="F263">
        <v>531105</v>
      </c>
      <c r="G263" t="s">
        <v>429</v>
      </c>
      <c r="H263" t="s">
        <v>401</v>
      </c>
      <c r="I263" t="s">
        <v>402</v>
      </c>
      <c r="J263">
        <v>374094</v>
      </c>
      <c r="K263">
        <v>20230630</v>
      </c>
      <c r="L263" t="s">
        <v>565</v>
      </c>
      <c r="M263">
        <v>1010.98</v>
      </c>
      <c r="N263">
        <v>0</v>
      </c>
      <c r="O263" t="s">
        <v>19</v>
      </c>
      <c r="P263" t="s">
        <v>20</v>
      </c>
      <c r="Q263">
        <v>20230630</v>
      </c>
    </row>
    <row r="264" spans="1:17" x14ac:dyDescent="0.25">
      <c r="A264" t="s">
        <v>548</v>
      </c>
      <c r="B264" t="s">
        <v>429</v>
      </c>
      <c r="C264">
        <v>3</v>
      </c>
      <c r="D264">
        <v>20230626</v>
      </c>
      <c r="E264">
        <v>6</v>
      </c>
      <c r="F264">
        <v>411100</v>
      </c>
      <c r="G264" t="s">
        <v>18</v>
      </c>
      <c r="H264" t="s">
        <v>192</v>
      </c>
      <c r="I264" t="s">
        <v>193</v>
      </c>
      <c r="J264">
        <v>323050004</v>
      </c>
      <c r="K264">
        <v>20230626</v>
      </c>
      <c r="L264" t="s">
        <v>6311</v>
      </c>
      <c r="M264">
        <v>0</v>
      </c>
      <c r="N264">
        <v>51.38</v>
      </c>
      <c r="O264" t="s">
        <v>19</v>
      </c>
      <c r="P264" t="s">
        <v>20</v>
      </c>
      <c r="Q264">
        <v>20230626</v>
      </c>
    </row>
    <row r="265" spans="1:17" x14ac:dyDescent="0.25">
      <c r="A265" t="s">
        <v>548</v>
      </c>
      <c r="B265" t="s">
        <v>429</v>
      </c>
      <c r="C265">
        <v>3</v>
      </c>
      <c r="D265">
        <v>20230626</v>
      </c>
      <c r="E265">
        <v>6</v>
      </c>
      <c r="F265">
        <v>531105</v>
      </c>
      <c r="G265" t="s">
        <v>429</v>
      </c>
      <c r="H265" t="s">
        <v>401</v>
      </c>
      <c r="I265" t="s">
        <v>402</v>
      </c>
      <c r="J265">
        <v>374367</v>
      </c>
      <c r="K265">
        <v>20230626</v>
      </c>
      <c r="L265" t="s">
        <v>565</v>
      </c>
      <c r="M265">
        <v>51.38</v>
      </c>
      <c r="N265">
        <v>0</v>
      </c>
      <c r="O265" t="s">
        <v>19</v>
      </c>
      <c r="P265" t="s">
        <v>20</v>
      </c>
      <c r="Q265">
        <v>20230626</v>
      </c>
    </row>
    <row r="266" spans="1:17" x14ac:dyDescent="0.25">
      <c r="A266" t="s">
        <v>548</v>
      </c>
      <c r="B266" t="s">
        <v>429</v>
      </c>
      <c r="C266">
        <v>3</v>
      </c>
      <c r="D266">
        <v>20230627</v>
      </c>
      <c r="E266">
        <v>6</v>
      </c>
      <c r="F266">
        <v>411020</v>
      </c>
      <c r="G266" t="s">
        <v>30</v>
      </c>
      <c r="H266" t="s">
        <v>338</v>
      </c>
      <c r="I266" t="s">
        <v>339</v>
      </c>
      <c r="J266">
        <v>323050022</v>
      </c>
      <c r="K266">
        <v>20230627</v>
      </c>
      <c r="L266" t="s">
        <v>6310</v>
      </c>
      <c r="M266">
        <v>0</v>
      </c>
      <c r="N266">
        <v>32.43</v>
      </c>
      <c r="O266" t="s">
        <v>19</v>
      </c>
      <c r="P266" t="s">
        <v>20</v>
      </c>
      <c r="Q266">
        <v>20230627</v>
      </c>
    </row>
    <row r="267" spans="1:17" x14ac:dyDescent="0.25">
      <c r="A267" t="s">
        <v>548</v>
      </c>
      <c r="B267" t="s">
        <v>429</v>
      </c>
      <c r="C267">
        <v>3</v>
      </c>
      <c r="D267">
        <v>20230627</v>
      </c>
      <c r="E267">
        <v>6</v>
      </c>
      <c r="F267">
        <v>411020</v>
      </c>
      <c r="G267" t="s">
        <v>30</v>
      </c>
      <c r="H267" t="s">
        <v>338</v>
      </c>
      <c r="I267" t="s">
        <v>339</v>
      </c>
      <c r="J267">
        <v>323050022</v>
      </c>
      <c r="K267">
        <v>20230627</v>
      </c>
      <c r="L267" t="s">
        <v>6309</v>
      </c>
      <c r="M267">
        <v>0</v>
      </c>
      <c r="N267">
        <v>2.57</v>
      </c>
      <c r="O267" t="s">
        <v>19</v>
      </c>
      <c r="P267" t="s">
        <v>20</v>
      </c>
      <c r="Q267">
        <v>20230627</v>
      </c>
    </row>
    <row r="268" spans="1:17" x14ac:dyDescent="0.25">
      <c r="A268" t="s">
        <v>548</v>
      </c>
      <c r="B268" t="s">
        <v>429</v>
      </c>
      <c r="C268">
        <v>3</v>
      </c>
      <c r="D268">
        <v>20230627</v>
      </c>
      <c r="E268">
        <v>6</v>
      </c>
      <c r="F268">
        <v>531105</v>
      </c>
      <c r="G268" t="s">
        <v>429</v>
      </c>
      <c r="H268" t="s">
        <v>401</v>
      </c>
      <c r="I268" t="s">
        <v>402</v>
      </c>
      <c r="J268">
        <v>374370</v>
      </c>
      <c r="K268">
        <v>20230627</v>
      </c>
      <c r="L268" t="s">
        <v>565</v>
      </c>
      <c r="M268">
        <v>35</v>
      </c>
      <c r="N268">
        <v>0</v>
      </c>
      <c r="O268" t="s">
        <v>19</v>
      </c>
      <c r="P268" t="s">
        <v>20</v>
      </c>
      <c r="Q268">
        <v>20230627</v>
      </c>
    </row>
    <row r="269" spans="1:17" x14ac:dyDescent="0.25">
      <c r="A269" t="s">
        <v>548</v>
      </c>
      <c r="B269" t="s">
        <v>429</v>
      </c>
      <c r="C269">
        <v>3</v>
      </c>
      <c r="D269">
        <v>20230629</v>
      </c>
      <c r="E269">
        <v>6</v>
      </c>
      <c r="F269">
        <v>411100</v>
      </c>
      <c r="G269" t="s">
        <v>18</v>
      </c>
      <c r="H269" t="s">
        <v>3216</v>
      </c>
      <c r="I269" t="s">
        <v>6308</v>
      </c>
      <c r="J269">
        <v>323050008</v>
      </c>
      <c r="K269">
        <v>20230629</v>
      </c>
      <c r="L269" t="s">
        <v>6307</v>
      </c>
      <c r="M269">
        <v>0</v>
      </c>
      <c r="N269">
        <v>44.95</v>
      </c>
      <c r="O269" t="s">
        <v>19</v>
      </c>
      <c r="P269" t="s">
        <v>20</v>
      </c>
      <c r="Q269">
        <v>20230629</v>
      </c>
    </row>
    <row r="270" spans="1:17" x14ac:dyDescent="0.25">
      <c r="A270" t="s">
        <v>548</v>
      </c>
      <c r="B270" t="s">
        <v>429</v>
      </c>
      <c r="C270">
        <v>3</v>
      </c>
      <c r="D270">
        <v>20230629</v>
      </c>
      <c r="E270">
        <v>6</v>
      </c>
      <c r="F270">
        <v>531105</v>
      </c>
      <c r="G270" t="s">
        <v>429</v>
      </c>
      <c r="H270" t="s">
        <v>401</v>
      </c>
      <c r="I270" t="s">
        <v>402</v>
      </c>
      <c r="J270">
        <v>374372</v>
      </c>
      <c r="K270">
        <v>20230629</v>
      </c>
      <c r="L270" t="s">
        <v>565</v>
      </c>
      <c r="M270">
        <v>44.95</v>
      </c>
      <c r="N270">
        <v>0</v>
      </c>
      <c r="O270" t="s">
        <v>19</v>
      </c>
      <c r="P270" t="s">
        <v>20</v>
      </c>
      <c r="Q270">
        <v>20230629</v>
      </c>
    </row>
    <row r="271" spans="1:17" x14ac:dyDescent="0.25">
      <c r="A271" t="s">
        <v>548</v>
      </c>
      <c r="B271" t="s">
        <v>429</v>
      </c>
      <c r="C271">
        <v>3</v>
      </c>
      <c r="D271">
        <v>20230630</v>
      </c>
      <c r="E271">
        <v>6</v>
      </c>
      <c r="F271">
        <v>411020</v>
      </c>
      <c r="G271" t="s">
        <v>30</v>
      </c>
      <c r="H271" t="s">
        <v>3631</v>
      </c>
      <c r="I271" t="s">
        <v>3632</v>
      </c>
      <c r="J271">
        <v>323050002</v>
      </c>
      <c r="K271">
        <v>20230630</v>
      </c>
      <c r="L271" t="s">
        <v>6306</v>
      </c>
      <c r="M271">
        <v>0</v>
      </c>
      <c r="N271">
        <v>74.959999999999994</v>
      </c>
      <c r="O271" t="s">
        <v>19</v>
      </c>
      <c r="P271" t="s">
        <v>20</v>
      </c>
      <c r="Q271">
        <v>20230630</v>
      </c>
    </row>
    <row r="272" spans="1:17" x14ac:dyDescent="0.25">
      <c r="A272" t="s">
        <v>548</v>
      </c>
      <c r="B272" t="s">
        <v>429</v>
      </c>
      <c r="C272">
        <v>3</v>
      </c>
      <c r="D272">
        <v>20230630</v>
      </c>
      <c r="E272">
        <v>6</v>
      </c>
      <c r="F272">
        <v>411020</v>
      </c>
      <c r="G272" t="s">
        <v>30</v>
      </c>
      <c r="H272" t="s">
        <v>3631</v>
      </c>
      <c r="I272" t="s">
        <v>3632</v>
      </c>
      <c r="J272">
        <v>323050002</v>
      </c>
      <c r="K272">
        <v>20230630</v>
      </c>
      <c r="L272" t="s">
        <v>6305</v>
      </c>
      <c r="M272">
        <v>0</v>
      </c>
      <c r="N272">
        <v>40.04</v>
      </c>
      <c r="O272" t="s">
        <v>19</v>
      </c>
      <c r="P272" t="s">
        <v>20</v>
      </c>
      <c r="Q272">
        <v>20230630</v>
      </c>
    </row>
    <row r="273" spans="1:17" x14ac:dyDescent="0.25">
      <c r="A273" t="s">
        <v>548</v>
      </c>
      <c r="B273" t="s">
        <v>429</v>
      </c>
      <c r="C273">
        <v>3</v>
      </c>
      <c r="D273">
        <v>20230630</v>
      </c>
      <c r="E273">
        <v>6</v>
      </c>
      <c r="F273">
        <v>531105</v>
      </c>
      <c r="G273" t="s">
        <v>429</v>
      </c>
      <c r="H273" t="s">
        <v>401</v>
      </c>
      <c r="I273" t="s">
        <v>402</v>
      </c>
      <c r="J273">
        <v>374375</v>
      </c>
      <c r="K273">
        <v>20230630</v>
      </c>
      <c r="L273" t="s">
        <v>565</v>
      </c>
      <c r="M273">
        <v>115</v>
      </c>
      <c r="N273">
        <v>0</v>
      </c>
      <c r="O273" t="s">
        <v>19</v>
      </c>
      <c r="P273" t="s">
        <v>20</v>
      </c>
      <c r="Q273">
        <v>20230630</v>
      </c>
    </row>
    <row r="274" spans="1:17" x14ac:dyDescent="0.25">
      <c r="A274" t="s">
        <v>715</v>
      </c>
      <c r="B274" t="s">
        <v>432</v>
      </c>
      <c r="C274">
        <v>4</v>
      </c>
      <c r="D274">
        <v>20230601</v>
      </c>
      <c r="E274">
        <v>6</v>
      </c>
      <c r="F274">
        <v>401000</v>
      </c>
      <c r="G274" t="s">
        <v>41</v>
      </c>
      <c r="H274" t="s">
        <v>189</v>
      </c>
      <c r="I274" t="s">
        <v>190</v>
      </c>
      <c r="J274" t="s">
        <v>6304</v>
      </c>
      <c r="K274">
        <v>20230601</v>
      </c>
      <c r="L274" t="s">
        <v>191</v>
      </c>
      <c r="M274">
        <v>993.29</v>
      </c>
      <c r="N274">
        <v>0</v>
      </c>
      <c r="O274" t="s">
        <v>19</v>
      </c>
      <c r="P274" t="s">
        <v>20</v>
      </c>
      <c r="Q274">
        <v>20230601</v>
      </c>
    </row>
    <row r="275" spans="1:17" x14ac:dyDescent="0.25">
      <c r="A275" t="s">
        <v>715</v>
      </c>
      <c r="B275" t="s">
        <v>432</v>
      </c>
      <c r="C275">
        <v>4</v>
      </c>
      <c r="D275">
        <v>20230601</v>
      </c>
      <c r="E275">
        <v>6</v>
      </c>
      <c r="F275">
        <v>512200</v>
      </c>
      <c r="G275" t="s">
        <v>432</v>
      </c>
      <c r="H275" t="s">
        <v>401</v>
      </c>
      <c r="I275" t="s">
        <v>402</v>
      </c>
      <c r="J275" t="s">
        <v>6304</v>
      </c>
      <c r="K275">
        <v>20230601</v>
      </c>
      <c r="L275" t="s">
        <v>191</v>
      </c>
      <c r="M275">
        <v>0</v>
      </c>
      <c r="N275">
        <v>993.29</v>
      </c>
      <c r="O275" t="s">
        <v>19</v>
      </c>
      <c r="P275" t="s">
        <v>20</v>
      </c>
      <c r="Q275">
        <v>20230601</v>
      </c>
    </row>
    <row r="276" spans="1:17" x14ac:dyDescent="0.25">
      <c r="A276" t="s">
        <v>715</v>
      </c>
      <c r="B276" t="s">
        <v>432</v>
      </c>
      <c r="C276">
        <v>4</v>
      </c>
      <c r="D276">
        <v>20230602</v>
      </c>
      <c r="E276">
        <v>6</v>
      </c>
      <c r="F276">
        <v>401000</v>
      </c>
      <c r="G276" t="s">
        <v>41</v>
      </c>
      <c r="H276" t="s">
        <v>189</v>
      </c>
      <c r="I276" t="s">
        <v>190</v>
      </c>
      <c r="J276" t="s">
        <v>6303</v>
      </c>
      <c r="K276">
        <v>20230602</v>
      </c>
      <c r="L276" t="s">
        <v>191</v>
      </c>
      <c r="M276">
        <v>1344.38</v>
      </c>
      <c r="N276">
        <v>0</v>
      </c>
      <c r="O276" t="s">
        <v>19</v>
      </c>
      <c r="P276" t="s">
        <v>20</v>
      </c>
      <c r="Q276">
        <v>20230602</v>
      </c>
    </row>
    <row r="277" spans="1:17" x14ac:dyDescent="0.25">
      <c r="A277" t="s">
        <v>715</v>
      </c>
      <c r="B277" t="s">
        <v>432</v>
      </c>
      <c r="C277">
        <v>4</v>
      </c>
      <c r="D277">
        <v>20230602</v>
      </c>
      <c r="E277">
        <v>6</v>
      </c>
      <c r="F277">
        <v>512200</v>
      </c>
      <c r="G277" t="s">
        <v>432</v>
      </c>
      <c r="H277" t="s">
        <v>401</v>
      </c>
      <c r="I277" t="s">
        <v>402</v>
      </c>
      <c r="J277" t="s">
        <v>6303</v>
      </c>
      <c r="K277">
        <v>20230602</v>
      </c>
      <c r="L277" t="s">
        <v>191</v>
      </c>
      <c r="M277">
        <v>0</v>
      </c>
      <c r="N277">
        <v>1344.38</v>
      </c>
      <c r="O277" t="s">
        <v>19</v>
      </c>
      <c r="P277" t="s">
        <v>20</v>
      </c>
      <c r="Q277">
        <v>20230602</v>
      </c>
    </row>
    <row r="278" spans="1:17" x14ac:dyDescent="0.25">
      <c r="A278" t="s">
        <v>715</v>
      </c>
      <c r="B278" t="s">
        <v>432</v>
      </c>
      <c r="C278">
        <v>4</v>
      </c>
      <c r="D278">
        <v>20230605</v>
      </c>
      <c r="E278">
        <v>6</v>
      </c>
      <c r="F278">
        <v>401000</v>
      </c>
      <c r="G278" t="s">
        <v>41</v>
      </c>
      <c r="H278" t="s">
        <v>52</v>
      </c>
      <c r="I278" t="s">
        <v>53</v>
      </c>
      <c r="J278" t="s">
        <v>6302</v>
      </c>
      <c r="K278">
        <v>20230605</v>
      </c>
      <c r="L278" t="s">
        <v>5051</v>
      </c>
      <c r="M278">
        <v>68.59</v>
      </c>
      <c r="N278">
        <v>0</v>
      </c>
      <c r="O278" t="s">
        <v>19</v>
      </c>
      <c r="P278" t="s">
        <v>20</v>
      </c>
      <c r="Q278">
        <v>20230605</v>
      </c>
    </row>
    <row r="279" spans="1:17" x14ac:dyDescent="0.25">
      <c r="A279" t="s">
        <v>715</v>
      </c>
      <c r="B279" t="s">
        <v>432</v>
      </c>
      <c r="C279">
        <v>4</v>
      </c>
      <c r="D279">
        <v>20230605</v>
      </c>
      <c r="E279">
        <v>6</v>
      </c>
      <c r="F279">
        <v>512200</v>
      </c>
      <c r="G279" t="s">
        <v>432</v>
      </c>
      <c r="H279" t="s">
        <v>401</v>
      </c>
      <c r="I279" t="s">
        <v>402</v>
      </c>
      <c r="J279" t="s">
        <v>6302</v>
      </c>
      <c r="K279">
        <v>20230605</v>
      </c>
      <c r="L279" t="s">
        <v>5051</v>
      </c>
      <c r="M279">
        <v>0</v>
      </c>
      <c r="N279">
        <v>68.59</v>
      </c>
      <c r="O279" t="s">
        <v>19</v>
      </c>
      <c r="P279" t="s">
        <v>20</v>
      </c>
      <c r="Q279">
        <v>20230605</v>
      </c>
    </row>
    <row r="280" spans="1:17" x14ac:dyDescent="0.25">
      <c r="A280" t="s">
        <v>715</v>
      </c>
      <c r="B280" t="s">
        <v>432</v>
      </c>
      <c r="C280">
        <v>4</v>
      </c>
      <c r="D280">
        <v>20230605</v>
      </c>
      <c r="E280">
        <v>6</v>
      </c>
      <c r="F280">
        <v>401000</v>
      </c>
      <c r="G280" t="s">
        <v>41</v>
      </c>
      <c r="H280" t="s">
        <v>52</v>
      </c>
      <c r="I280" t="s">
        <v>53</v>
      </c>
      <c r="J280" t="s">
        <v>6301</v>
      </c>
      <c r="K280">
        <v>20230605</v>
      </c>
      <c r="L280" t="s">
        <v>6300</v>
      </c>
      <c r="M280">
        <v>344.86</v>
      </c>
      <c r="N280">
        <v>0</v>
      </c>
      <c r="O280" t="s">
        <v>19</v>
      </c>
      <c r="P280" t="s">
        <v>20</v>
      </c>
      <c r="Q280">
        <v>20230605</v>
      </c>
    </row>
    <row r="281" spans="1:17" x14ac:dyDescent="0.25">
      <c r="A281" t="s">
        <v>715</v>
      </c>
      <c r="B281" t="s">
        <v>432</v>
      </c>
      <c r="C281">
        <v>4</v>
      </c>
      <c r="D281">
        <v>20230605</v>
      </c>
      <c r="E281">
        <v>6</v>
      </c>
      <c r="F281">
        <v>512200</v>
      </c>
      <c r="G281" t="s">
        <v>432</v>
      </c>
      <c r="H281" t="s">
        <v>401</v>
      </c>
      <c r="I281" t="s">
        <v>402</v>
      </c>
      <c r="J281" t="s">
        <v>6301</v>
      </c>
      <c r="K281">
        <v>20230605</v>
      </c>
      <c r="L281" t="s">
        <v>6300</v>
      </c>
      <c r="M281">
        <v>0</v>
      </c>
      <c r="N281">
        <v>344.86</v>
      </c>
      <c r="O281" t="s">
        <v>19</v>
      </c>
      <c r="P281" t="s">
        <v>20</v>
      </c>
      <c r="Q281">
        <v>20230605</v>
      </c>
    </row>
    <row r="282" spans="1:17" x14ac:dyDescent="0.25">
      <c r="A282" t="s">
        <v>715</v>
      </c>
      <c r="B282" t="s">
        <v>432</v>
      </c>
      <c r="C282">
        <v>4</v>
      </c>
      <c r="D282">
        <v>20230605</v>
      </c>
      <c r="E282">
        <v>6</v>
      </c>
      <c r="F282">
        <v>401000</v>
      </c>
      <c r="G282" t="s">
        <v>41</v>
      </c>
      <c r="H282" t="s">
        <v>52</v>
      </c>
      <c r="I282" t="s">
        <v>53</v>
      </c>
      <c r="J282" t="s">
        <v>6299</v>
      </c>
      <c r="K282">
        <v>20230605</v>
      </c>
      <c r="L282" t="s">
        <v>6298</v>
      </c>
      <c r="M282">
        <v>67.44</v>
      </c>
      <c r="N282">
        <v>0</v>
      </c>
      <c r="O282" t="s">
        <v>19</v>
      </c>
      <c r="P282" t="s">
        <v>20</v>
      </c>
      <c r="Q282">
        <v>20230605</v>
      </c>
    </row>
    <row r="283" spans="1:17" x14ac:dyDescent="0.25">
      <c r="A283" t="s">
        <v>715</v>
      </c>
      <c r="B283" t="s">
        <v>432</v>
      </c>
      <c r="C283">
        <v>4</v>
      </c>
      <c r="D283">
        <v>20230605</v>
      </c>
      <c r="E283">
        <v>6</v>
      </c>
      <c r="F283">
        <v>512200</v>
      </c>
      <c r="G283" t="s">
        <v>432</v>
      </c>
      <c r="H283" t="s">
        <v>401</v>
      </c>
      <c r="I283" t="s">
        <v>402</v>
      </c>
      <c r="J283" t="s">
        <v>6299</v>
      </c>
      <c r="K283">
        <v>20230605</v>
      </c>
      <c r="L283" t="s">
        <v>6298</v>
      </c>
      <c r="M283">
        <v>0</v>
      </c>
      <c r="N283">
        <v>67.44</v>
      </c>
      <c r="O283" t="s">
        <v>19</v>
      </c>
      <c r="P283" t="s">
        <v>20</v>
      </c>
      <c r="Q283">
        <v>20230605</v>
      </c>
    </row>
    <row r="284" spans="1:17" x14ac:dyDescent="0.25">
      <c r="A284" t="s">
        <v>715</v>
      </c>
      <c r="B284" t="s">
        <v>432</v>
      </c>
      <c r="C284">
        <v>4</v>
      </c>
      <c r="D284">
        <v>20230605</v>
      </c>
      <c r="E284">
        <v>6</v>
      </c>
      <c r="F284">
        <v>401000</v>
      </c>
      <c r="G284" t="s">
        <v>41</v>
      </c>
      <c r="H284" t="s">
        <v>52</v>
      </c>
      <c r="I284" t="s">
        <v>53</v>
      </c>
      <c r="J284" t="s">
        <v>6297</v>
      </c>
      <c r="K284">
        <v>20230605</v>
      </c>
      <c r="L284" t="s">
        <v>6296</v>
      </c>
      <c r="M284">
        <v>62.4</v>
      </c>
      <c r="N284">
        <v>0</v>
      </c>
      <c r="O284" t="s">
        <v>19</v>
      </c>
      <c r="P284" t="s">
        <v>20</v>
      </c>
      <c r="Q284">
        <v>20230605</v>
      </c>
    </row>
    <row r="285" spans="1:17" x14ac:dyDescent="0.25">
      <c r="A285" t="s">
        <v>715</v>
      </c>
      <c r="B285" t="s">
        <v>432</v>
      </c>
      <c r="C285">
        <v>4</v>
      </c>
      <c r="D285">
        <v>20230605</v>
      </c>
      <c r="E285">
        <v>6</v>
      </c>
      <c r="F285">
        <v>512200</v>
      </c>
      <c r="G285" t="s">
        <v>432</v>
      </c>
      <c r="H285" t="s">
        <v>401</v>
      </c>
      <c r="I285" t="s">
        <v>402</v>
      </c>
      <c r="J285" t="s">
        <v>6297</v>
      </c>
      <c r="K285">
        <v>20230605</v>
      </c>
      <c r="L285" t="s">
        <v>6296</v>
      </c>
      <c r="M285">
        <v>0</v>
      </c>
      <c r="N285">
        <v>62.4</v>
      </c>
      <c r="O285" t="s">
        <v>19</v>
      </c>
      <c r="P285" t="s">
        <v>20</v>
      </c>
      <c r="Q285">
        <v>20230605</v>
      </c>
    </row>
    <row r="286" spans="1:17" x14ac:dyDescent="0.25">
      <c r="A286" t="s">
        <v>715</v>
      </c>
      <c r="B286" t="s">
        <v>432</v>
      </c>
      <c r="C286">
        <v>4</v>
      </c>
      <c r="D286">
        <v>20230607</v>
      </c>
      <c r="E286">
        <v>6</v>
      </c>
      <c r="F286">
        <v>471000</v>
      </c>
      <c r="G286" t="s">
        <v>4801</v>
      </c>
      <c r="H286" t="s">
        <v>401</v>
      </c>
      <c r="I286" t="s">
        <v>402</v>
      </c>
      <c r="J286" t="s">
        <v>6295</v>
      </c>
      <c r="K286">
        <v>20230607</v>
      </c>
      <c r="L286" t="s">
        <v>6294</v>
      </c>
      <c r="M286">
        <v>184.95</v>
      </c>
      <c r="N286">
        <v>0</v>
      </c>
      <c r="O286" t="s">
        <v>19</v>
      </c>
      <c r="P286" t="s">
        <v>20</v>
      </c>
      <c r="Q286">
        <v>20230607</v>
      </c>
    </row>
    <row r="287" spans="1:17" x14ac:dyDescent="0.25">
      <c r="A287" t="s">
        <v>715</v>
      </c>
      <c r="B287" t="s">
        <v>432</v>
      </c>
      <c r="C287">
        <v>4</v>
      </c>
      <c r="D287">
        <v>20230607</v>
      </c>
      <c r="E287">
        <v>6</v>
      </c>
      <c r="F287">
        <v>512200</v>
      </c>
      <c r="G287" t="s">
        <v>432</v>
      </c>
      <c r="H287" t="s">
        <v>401</v>
      </c>
      <c r="I287" t="s">
        <v>402</v>
      </c>
      <c r="J287" t="s">
        <v>6295</v>
      </c>
      <c r="K287">
        <v>20230607</v>
      </c>
      <c r="L287" t="s">
        <v>6294</v>
      </c>
      <c r="M287">
        <v>0</v>
      </c>
      <c r="N287">
        <v>184.95</v>
      </c>
      <c r="O287" t="s">
        <v>19</v>
      </c>
      <c r="P287" t="s">
        <v>20</v>
      </c>
      <c r="Q287">
        <v>20230607</v>
      </c>
    </row>
    <row r="288" spans="1:17" x14ac:dyDescent="0.25">
      <c r="A288" t="s">
        <v>715</v>
      </c>
      <c r="B288" t="s">
        <v>432</v>
      </c>
      <c r="C288">
        <v>4</v>
      </c>
      <c r="D288">
        <v>20230609</v>
      </c>
      <c r="E288">
        <v>6</v>
      </c>
      <c r="F288">
        <v>401000</v>
      </c>
      <c r="G288" t="s">
        <v>41</v>
      </c>
      <c r="H288" t="s">
        <v>2047</v>
      </c>
      <c r="I288" t="s">
        <v>2048</v>
      </c>
      <c r="J288" t="s">
        <v>6293</v>
      </c>
      <c r="K288">
        <v>20230609</v>
      </c>
      <c r="L288" t="s">
        <v>3369</v>
      </c>
      <c r="M288">
        <v>29.83</v>
      </c>
      <c r="N288">
        <v>0</v>
      </c>
      <c r="O288" t="s">
        <v>19</v>
      </c>
      <c r="P288" t="s">
        <v>20</v>
      </c>
      <c r="Q288">
        <v>20230609</v>
      </c>
    </row>
    <row r="289" spans="1:17" x14ac:dyDescent="0.25">
      <c r="A289" t="s">
        <v>715</v>
      </c>
      <c r="B289" t="s">
        <v>432</v>
      </c>
      <c r="C289">
        <v>4</v>
      </c>
      <c r="D289">
        <v>20230609</v>
      </c>
      <c r="E289">
        <v>6</v>
      </c>
      <c r="F289">
        <v>512200</v>
      </c>
      <c r="G289" t="s">
        <v>432</v>
      </c>
      <c r="H289" t="s">
        <v>401</v>
      </c>
      <c r="I289" t="s">
        <v>402</v>
      </c>
      <c r="J289" t="s">
        <v>6293</v>
      </c>
      <c r="K289">
        <v>20230609</v>
      </c>
      <c r="L289" t="s">
        <v>3369</v>
      </c>
      <c r="M289">
        <v>0</v>
      </c>
      <c r="N289">
        <v>29.83</v>
      </c>
      <c r="O289" t="s">
        <v>19</v>
      </c>
      <c r="P289" t="s">
        <v>20</v>
      </c>
      <c r="Q289">
        <v>20230609</v>
      </c>
    </row>
    <row r="290" spans="1:17" x14ac:dyDescent="0.25">
      <c r="A290" t="s">
        <v>715</v>
      </c>
      <c r="B290" t="s">
        <v>432</v>
      </c>
      <c r="C290">
        <v>4</v>
      </c>
      <c r="D290">
        <v>20230612</v>
      </c>
      <c r="E290">
        <v>6</v>
      </c>
      <c r="F290">
        <v>627000</v>
      </c>
      <c r="G290" t="s">
        <v>480</v>
      </c>
      <c r="H290" t="s">
        <v>401</v>
      </c>
      <c r="I290" t="s">
        <v>402</v>
      </c>
      <c r="J290" t="s">
        <v>6292</v>
      </c>
      <c r="K290">
        <v>20230612</v>
      </c>
      <c r="L290" t="s">
        <v>4488</v>
      </c>
      <c r="M290">
        <v>15.88</v>
      </c>
      <c r="N290">
        <v>0</v>
      </c>
      <c r="O290" t="s">
        <v>19</v>
      </c>
      <c r="P290" t="s">
        <v>20</v>
      </c>
      <c r="Q290">
        <v>20230612</v>
      </c>
    </row>
    <row r="291" spans="1:17" x14ac:dyDescent="0.25">
      <c r="A291" t="s">
        <v>715</v>
      </c>
      <c r="B291" t="s">
        <v>432</v>
      </c>
      <c r="C291">
        <v>4</v>
      </c>
      <c r="D291">
        <v>20230612</v>
      </c>
      <c r="E291">
        <v>6</v>
      </c>
      <c r="F291">
        <v>512200</v>
      </c>
      <c r="G291" t="s">
        <v>432</v>
      </c>
      <c r="H291" t="s">
        <v>401</v>
      </c>
      <c r="I291" t="s">
        <v>402</v>
      </c>
      <c r="J291" t="s">
        <v>6292</v>
      </c>
      <c r="K291">
        <v>20230612</v>
      </c>
      <c r="L291" t="s">
        <v>4488</v>
      </c>
      <c r="M291">
        <v>0</v>
      </c>
      <c r="N291">
        <v>15.88</v>
      </c>
      <c r="O291" t="s">
        <v>19</v>
      </c>
      <c r="P291" t="s">
        <v>20</v>
      </c>
      <c r="Q291">
        <v>20230612</v>
      </c>
    </row>
    <row r="292" spans="1:17" x14ac:dyDescent="0.25">
      <c r="A292" t="s">
        <v>715</v>
      </c>
      <c r="B292" t="s">
        <v>432</v>
      </c>
      <c r="C292">
        <v>4</v>
      </c>
      <c r="D292">
        <v>20230613</v>
      </c>
      <c r="E292">
        <v>6</v>
      </c>
      <c r="F292">
        <v>471000</v>
      </c>
      <c r="G292" t="s">
        <v>4801</v>
      </c>
      <c r="H292" t="s">
        <v>401</v>
      </c>
      <c r="I292" t="s">
        <v>402</v>
      </c>
      <c r="J292" t="s">
        <v>6291</v>
      </c>
      <c r="K292">
        <v>20230613</v>
      </c>
      <c r="L292" t="s">
        <v>6290</v>
      </c>
      <c r="M292">
        <v>0</v>
      </c>
      <c r="N292">
        <v>200</v>
      </c>
      <c r="O292" t="s">
        <v>19</v>
      </c>
      <c r="P292" t="s">
        <v>20</v>
      </c>
      <c r="Q292">
        <v>20230613</v>
      </c>
    </row>
    <row r="293" spans="1:17" x14ac:dyDescent="0.25">
      <c r="A293" t="s">
        <v>715</v>
      </c>
      <c r="B293" t="s">
        <v>432</v>
      </c>
      <c r="C293">
        <v>4</v>
      </c>
      <c r="D293">
        <v>20230613</v>
      </c>
      <c r="E293">
        <v>6</v>
      </c>
      <c r="F293">
        <v>512200</v>
      </c>
      <c r="G293" t="s">
        <v>432</v>
      </c>
      <c r="H293" t="s">
        <v>401</v>
      </c>
      <c r="I293" t="s">
        <v>402</v>
      </c>
      <c r="J293" t="s">
        <v>6291</v>
      </c>
      <c r="K293">
        <v>20230613</v>
      </c>
      <c r="L293" t="s">
        <v>6290</v>
      </c>
      <c r="M293">
        <v>200</v>
      </c>
      <c r="N293">
        <v>0</v>
      </c>
      <c r="O293" t="s">
        <v>19</v>
      </c>
      <c r="P293" t="s">
        <v>20</v>
      </c>
      <c r="Q293">
        <v>20230613</v>
      </c>
    </row>
    <row r="294" spans="1:17" x14ac:dyDescent="0.25">
      <c r="A294" t="s">
        <v>715</v>
      </c>
      <c r="B294" t="s">
        <v>432</v>
      </c>
      <c r="C294">
        <v>4</v>
      </c>
      <c r="D294">
        <v>20230619</v>
      </c>
      <c r="E294">
        <v>6</v>
      </c>
      <c r="F294">
        <v>401000</v>
      </c>
      <c r="G294" t="s">
        <v>41</v>
      </c>
      <c r="H294" t="s">
        <v>52</v>
      </c>
      <c r="I294" t="s">
        <v>53</v>
      </c>
      <c r="J294" t="s">
        <v>6289</v>
      </c>
      <c r="K294">
        <v>20230619</v>
      </c>
      <c r="L294" t="s">
        <v>6288</v>
      </c>
      <c r="M294">
        <v>66</v>
      </c>
      <c r="N294">
        <v>0</v>
      </c>
      <c r="O294" t="s">
        <v>19</v>
      </c>
      <c r="P294" t="s">
        <v>20</v>
      </c>
      <c r="Q294">
        <v>20230619</v>
      </c>
    </row>
    <row r="295" spans="1:17" x14ac:dyDescent="0.25">
      <c r="A295" t="s">
        <v>715</v>
      </c>
      <c r="B295" t="s">
        <v>432</v>
      </c>
      <c r="C295">
        <v>4</v>
      </c>
      <c r="D295">
        <v>20230619</v>
      </c>
      <c r="E295">
        <v>6</v>
      </c>
      <c r="F295">
        <v>512200</v>
      </c>
      <c r="G295" t="s">
        <v>432</v>
      </c>
      <c r="H295" t="s">
        <v>401</v>
      </c>
      <c r="I295" t="s">
        <v>402</v>
      </c>
      <c r="J295" t="s">
        <v>6289</v>
      </c>
      <c r="K295">
        <v>20230619</v>
      </c>
      <c r="L295" t="s">
        <v>6288</v>
      </c>
      <c r="M295">
        <v>0</v>
      </c>
      <c r="N295">
        <v>66</v>
      </c>
      <c r="O295" t="s">
        <v>19</v>
      </c>
      <c r="P295" t="s">
        <v>20</v>
      </c>
      <c r="Q295">
        <v>20230619</v>
      </c>
    </row>
    <row r="296" spans="1:17" x14ac:dyDescent="0.25">
      <c r="A296" t="s">
        <v>715</v>
      </c>
      <c r="B296" t="s">
        <v>432</v>
      </c>
      <c r="C296">
        <v>4</v>
      </c>
      <c r="D296">
        <v>20230620</v>
      </c>
      <c r="E296">
        <v>6</v>
      </c>
      <c r="F296">
        <v>512200</v>
      </c>
      <c r="G296" t="s">
        <v>432</v>
      </c>
      <c r="H296" t="s">
        <v>401</v>
      </c>
      <c r="I296" t="s">
        <v>402</v>
      </c>
      <c r="J296" t="s">
        <v>6287</v>
      </c>
      <c r="K296">
        <v>20230620</v>
      </c>
      <c r="L296" t="s">
        <v>625</v>
      </c>
      <c r="M296">
        <v>5250</v>
      </c>
      <c r="N296">
        <v>0</v>
      </c>
      <c r="O296" t="s">
        <v>19</v>
      </c>
      <c r="P296" t="s">
        <v>20</v>
      </c>
      <c r="Q296">
        <v>20230620</v>
      </c>
    </row>
    <row r="297" spans="1:17" x14ac:dyDescent="0.25">
      <c r="A297" t="s">
        <v>715</v>
      </c>
      <c r="B297" t="s">
        <v>432</v>
      </c>
      <c r="C297">
        <v>4</v>
      </c>
      <c r="D297">
        <v>20230620</v>
      </c>
      <c r="E297">
        <v>6</v>
      </c>
      <c r="F297">
        <v>580000</v>
      </c>
      <c r="G297" t="s">
        <v>532</v>
      </c>
      <c r="H297" t="s">
        <v>401</v>
      </c>
      <c r="I297" t="s">
        <v>402</v>
      </c>
      <c r="J297" t="s">
        <v>6287</v>
      </c>
      <c r="K297">
        <v>20230620</v>
      </c>
      <c r="L297" t="s">
        <v>625</v>
      </c>
      <c r="M297">
        <v>0</v>
      </c>
      <c r="N297">
        <v>5250</v>
      </c>
      <c r="O297" t="s">
        <v>22</v>
      </c>
      <c r="P297">
        <v>20230623</v>
      </c>
      <c r="Q297">
        <v>20230620</v>
      </c>
    </row>
    <row r="298" spans="1:17" x14ac:dyDescent="0.25">
      <c r="A298" t="s">
        <v>715</v>
      </c>
      <c r="B298" t="s">
        <v>432</v>
      </c>
      <c r="C298">
        <v>4</v>
      </c>
      <c r="D298">
        <v>20230620</v>
      </c>
      <c r="E298">
        <v>6</v>
      </c>
      <c r="F298">
        <v>401000</v>
      </c>
      <c r="G298" t="s">
        <v>41</v>
      </c>
      <c r="H298" t="s">
        <v>189</v>
      </c>
      <c r="I298" t="s">
        <v>190</v>
      </c>
      <c r="J298" t="s">
        <v>6284</v>
      </c>
      <c r="K298">
        <v>20230620</v>
      </c>
      <c r="L298" t="s">
        <v>191</v>
      </c>
      <c r="M298">
        <v>3191.26</v>
      </c>
      <c r="N298">
        <v>0</v>
      </c>
      <c r="O298" t="s">
        <v>19</v>
      </c>
      <c r="P298" t="s">
        <v>20</v>
      </c>
      <c r="Q298">
        <v>20230620</v>
      </c>
    </row>
    <row r="299" spans="1:17" x14ac:dyDescent="0.25">
      <c r="A299" t="s">
        <v>715</v>
      </c>
      <c r="B299" t="s">
        <v>432</v>
      </c>
      <c r="C299">
        <v>4</v>
      </c>
      <c r="D299">
        <v>20230620</v>
      </c>
      <c r="E299">
        <v>6</v>
      </c>
      <c r="F299">
        <v>758000</v>
      </c>
      <c r="G299" t="s">
        <v>811</v>
      </c>
      <c r="H299" t="s">
        <v>401</v>
      </c>
      <c r="I299" t="s">
        <v>402</v>
      </c>
      <c r="J299" t="s">
        <v>6286</v>
      </c>
      <c r="K299">
        <v>20230620</v>
      </c>
      <c r="L299" t="s">
        <v>6285</v>
      </c>
      <c r="M299">
        <v>0</v>
      </c>
      <c r="N299">
        <v>20</v>
      </c>
      <c r="O299" t="s">
        <v>19</v>
      </c>
      <c r="P299" t="s">
        <v>20</v>
      </c>
      <c r="Q299">
        <v>20230620</v>
      </c>
    </row>
    <row r="300" spans="1:17" x14ac:dyDescent="0.25">
      <c r="A300" t="s">
        <v>715</v>
      </c>
      <c r="B300" t="s">
        <v>432</v>
      </c>
      <c r="C300">
        <v>4</v>
      </c>
      <c r="D300">
        <v>20230620</v>
      </c>
      <c r="E300">
        <v>6</v>
      </c>
      <c r="F300">
        <v>512200</v>
      </c>
      <c r="G300" t="s">
        <v>432</v>
      </c>
      <c r="H300" t="s">
        <v>401</v>
      </c>
      <c r="I300" t="s">
        <v>402</v>
      </c>
      <c r="J300" t="s">
        <v>6284</v>
      </c>
      <c r="K300">
        <v>20230620</v>
      </c>
      <c r="L300" t="s">
        <v>6285</v>
      </c>
      <c r="M300">
        <v>20</v>
      </c>
      <c r="N300">
        <v>0</v>
      </c>
      <c r="O300" t="s">
        <v>19</v>
      </c>
      <c r="P300" t="s">
        <v>20</v>
      </c>
      <c r="Q300">
        <v>20230620</v>
      </c>
    </row>
    <row r="301" spans="1:17" x14ac:dyDescent="0.25">
      <c r="A301" t="s">
        <v>715</v>
      </c>
      <c r="B301" t="s">
        <v>432</v>
      </c>
      <c r="C301">
        <v>4</v>
      </c>
      <c r="D301">
        <v>20230620</v>
      </c>
      <c r="E301">
        <v>6</v>
      </c>
      <c r="F301">
        <v>512200</v>
      </c>
      <c r="G301" t="s">
        <v>432</v>
      </c>
      <c r="H301" t="s">
        <v>401</v>
      </c>
      <c r="I301" t="s">
        <v>402</v>
      </c>
      <c r="J301" t="s">
        <v>6284</v>
      </c>
      <c r="K301">
        <v>20230620</v>
      </c>
      <c r="L301" t="s">
        <v>191</v>
      </c>
      <c r="M301">
        <v>0</v>
      </c>
      <c r="N301">
        <v>3191.26</v>
      </c>
      <c r="O301" t="s">
        <v>19</v>
      </c>
      <c r="P301" t="s">
        <v>20</v>
      </c>
      <c r="Q301">
        <v>20230620</v>
      </c>
    </row>
    <row r="302" spans="1:17" x14ac:dyDescent="0.25">
      <c r="A302" t="s">
        <v>715</v>
      </c>
      <c r="B302" t="s">
        <v>432</v>
      </c>
      <c r="C302">
        <v>4</v>
      </c>
      <c r="D302">
        <v>20230628</v>
      </c>
      <c r="E302">
        <v>6</v>
      </c>
      <c r="F302">
        <v>401000</v>
      </c>
      <c r="G302" t="s">
        <v>41</v>
      </c>
      <c r="H302" t="s">
        <v>448</v>
      </c>
      <c r="I302" t="s">
        <v>449</v>
      </c>
      <c r="J302" t="s">
        <v>6283</v>
      </c>
      <c r="K302">
        <v>20230628</v>
      </c>
      <c r="L302" t="s">
        <v>1283</v>
      </c>
      <c r="M302">
        <v>18</v>
      </c>
      <c r="N302">
        <v>0</v>
      </c>
      <c r="O302" t="s">
        <v>19</v>
      </c>
      <c r="P302" t="s">
        <v>20</v>
      </c>
      <c r="Q302">
        <v>20230628</v>
      </c>
    </row>
    <row r="303" spans="1:17" x14ac:dyDescent="0.25">
      <c r="A303" t="s">
        <v>715</v>
      </c>
      <c r="B303" t="s">
        <v>432</v>
      </c>
      <c r="C303">
        <v>4</v>
      </c>
      <c r="D303">
        <v>20230628</v>
      </c>
      <c r="E303">
        <v>6</v>
      </c>
      <c r="F303">
        <v>512200</v>
      </c>
      <c r="G303" t="s">
        <v>432</v>
      </c>
      <c r="H303" t="s">
        <v>401</v>
      </c>
      <c r="I303" t="s">
        <v>402</v>
      </c>
      <c r="J303" t="s">
        <v>6283</v>
      </c>
      <c r="K303">
        <v>20230628</v>
      </c>
      <c r="L303" t="s">
        <v>1283</v>
      </c>
      <c r="M303">
        <v>0</v>
      </c>
      <c r="N303">
        <v>18</v>
      </c>
      <c r="O303" t="s">
        <v>19</v>
      </c>
      <c r="P303" t="s">
        <v>20</v>
      </c>
      <c r="Q303">
        <v>20230628</v>
      </c>
    </row>
    <row r="304" spans="1:17" x14ac:dyDescent="0.25">
      <c r="A304" t="s">
        <v>715</v>
      </c>
      <c r="B304" t="s">
        <v>432</v>
      </c>
      <c r="C304">
        <v>4</v>
      </c>
      <c r="D304">
        <v>20230629</v>
      </c>
      <c r="E304">
        <v>6</v>
      </c>
      <c r="F304">
        <v>401000</v>
      </c>
      <c r="G304" t="s">
        <v>41</v>
      </c>
      <c r="H304" t="s">
        <v>6066</v>
      </c>
      <c r="I304" t="s">
        <v>6067</v>
      </c>
      <c r="J304" t="s">
        <v>6282</v>
      </c>
      <c r="K304">
        <v>20230629</v>
      </c>
      <c r="L304" t="s">
        <v>6281</v>
      </c>
      <c r="M304">
        <v>142.99</v>
      </c>
      <c r="N304">
        <v>0</v>
      </c>
      <c r="O304" t="s">
        <v>19</v>
      </c>
      <c r="P304" t="s">
        <v>20</v>
      </c>
      <c r="Q304">
        <v>20230629</v>
      </c>
    </row>
    <row r="305" spans="1:17" x14ac:dyDescent="0.25">
      <c r="A305" t="s">
        <v>715</v>
      </c>
      <c r="B305" t="s">
        <v>432</v>
      </c>
      <c r="C305">
        <v>4</v>
      </c>
      <c r="D305">
        <v>20230629</v>
      </c>
      <c r="E305">
        <v>6</v>
      </c>
      <c r="F305">
        <v>512200</v>
      </c>
      <c r="G305" t="s">
        <v>432</v>
      </c>
      <c r="H305" t="s">
        <v>401</v>
      </c>
      <c r="I305" t="s">
        <v>402</v>
      </c>
      <c r="J305" t="s">
        <v>6282</v>
      </c>
      <c r="K305">
        <v>20230629</v>
      </c>
      <c r="L305" t="s">
        <v>6281</v>
      </c>
      <c r="M305">
        <v>0</v>
      </c>
      <c r="N305">
        <v>142.99</v>
      </c>
      <c r="O305" t="s">
        <v>19</v>
      </c>
      <c r="P305" t="s">
        <v>20</v>
      </c>
      <c r="Q305">
        <v>20230629</v>
      </c>
    </row>
    <row r="306" spans="1:17" x14ac:dyDescent="0.25">
      <c r="A306" t="s">
        <v>715</v>
      </c>
      <c r="B306" t="s">
        <v>432</v>
      </c>
      <c r="C306">
        <v>4</v>
      </c>
      <c r="D306">
        <v>20230629</v>
      </c>
      <c r="E306">
        <v>6</v>
      </c>
      <c r="F306">
        <v>401000</v>
      </c>
      <c r="G306" t="s">
        <v>41</v>
      </c>
      <c r="H306" t="s">
        <v>52</v>
      </c>
      <c r="I306" t="s">
        <v>53</v>
      </c>
      <c r="J306" t="s">
        <v>6280</v>
      </c>
      <c r="K306">
        <v>20230629</v>
      </c>
      <c r="L306" t="s">
        <v>6279</v>
      </c>
      <c r="M306">
        <v>31</v>
      </c>
      <c r="N306">
        <v>0</v>
      </c>
      <c r="O306" t="s">
        <v>19</v>
      </c>
      <c r="P306" t="s">
        <v>20</v>
      </c>
      <c r="Q306">
        <v>20230629</v>
      </c>
    </row>
    <row r="307" spans="1:17" x14ac:dyDescent="0.25">
      <c r="A307" t="s">
        <v>715</v>
      </c>
      <c r="B307" t="s">
        <v>432</v>
      </c>
      <c r="C307">
        <v>4</v>
      </c>
      <c r="D307">
        <v>20230629</v>
      </c>
      <c r="E307">
        <v>6</v>
      </c>
      <c r="F307">
        <v>512200</v>
      </c>
      <c r="G307" t="s">
        <v>432</v>
      </c>
      <c r="H307" t="s">
        <v>401</v>
      </c>
      <c r="I307" t="s">
        <v>402</v>
      </c>
      <c r="J307" t="s">
        <v>6280</v>
      </c>
      <c r="K307">
        <v>20230629</v>
      </c>
      <c r="L307" t="s">
        <v>6279</v>
      </c>
      <c r="M307">
        <v>0</v>
      </c>
      <c r="N307">
        <v>31</v>
      </c>
      <c r="O307" t="s">
        <v>19</v>
      </c>
      <c r="P307" t="s">
        <v>20</v>
      </c>
      <c r="Q307">
        <v>20230629</v>
      </c>
    </row>
    <row r="308" spans="1:17" x14ac:dyDescent="0.25">
      <c r="A308" t="s">
        <v>715</v>
      </c>
      <c r="B308" t="s">
        <v>432</v>
      </c>
      <c r="C308">
        <v>4</v>
      </c>
      <c r="D308">
        <v>20230630</v>
      </c>
      <c r="E308">
        <v>6</v>
      </c>
      <c r="F308">
        <v>471000</v>
      </c>
      <c r="G308" t="s">
        <v>4801</v>
      </c>
      <c r="H308" t="s">
        <v>401</v>
      </c>
      <c r="I308" t="s">
        <v>402</v>
      </c>
      <c r="J308" t="s">
        <v>6278</v>
      </c>
      <c r="K308">
        <v>20230630</v>
      </c>
      <c r="L308" t="s">
        <v>6277</v>
      </c>
      <c r="M308">
        <v>80.94</v>
      </c>
      <c r="N308">
        <v>0</v>
      </c>
      <c r="O308" t="s">
        <v>19</v>
      </c>
      <c r="P308" t="s">
        <v>20</v>
      </c>
      <c r="Q308">
        <v>20230630</v>
      </c>
    </row>
    <row r="309" spans="1:17" x14ac:dyDescent="0.25">
      <c r="A309" t="s">
        <v>715</v>
      </c>
      <c r="B309" t="s">
        <v>432</v>
      </c>
      <c r="C309">
        <v>4</v>
      </c>
      <c r="D309">
        <v>20230630</v>
      </c>
      <c r="E309">
        <v>6</v>
      </c>
      <c r="F309">
        <v>512200</v>
      </c>
      <c r="G309" t="s">
        <v>432</v>
      </c>
      <c r="H309" t="s">
        <v>401</v>
      </c>
      <c r="I309" t="s">
        <v>402</v>
      </c>
      <c r="J309" t="s">
        <v>6278</v>
      </c>
      <c r="K309">
        <v>20230630</v>
      </c>
      <c r="L309" t="s">
        <v>6277</v>
      </c>
      <c r="M309">
        <v>0</v>
      </c>
      <c r="N309">
        <v>80.94</v>
      </c>
      <c r="O309" t="s">
        <v>19</v>
      </c>
      <c r="P309" t="s">
        <v>20</v>
      </c>
      <c r="Q309">
        <v>20230630</v>
      </c>
    </row>
    <row r="310" spans="1:17" x14ac:dyDescent="0.25">
      <c r="A310" t="s">
        <v>715</v>
      </c>
      <c r="B310" t="s">
        <v>432</v>
      </c>
      <c r="C310">
        <v>4</v>
      </c>
      <c r="D310">
        <v>20230612</v>
      </c>
      <c r="E310">
        <v>6</v>
      </c>
      <c r="F310">
        <v>411100</v>
      </c>
      <c r="G310" t="s">
        <v>18</v>
      </c>
      <c r="H310" t="s">
        <v>152</v>
      </c>
      <c r="I310" t="s">
        <v>153</v>
      </c>
      <c r="J310">
        <v>372246</v>
      </c>
      <c r="K310">
        <v>20230612</v>
      </c>
      <c r="L310" t="s">
        <v>6276</v>
      </c>
      <c r="M310">
        <v>0</v>
      </c>
      <c r="N310">
        <v>69.599999999999994</v>
      </c>
      <c r="O310" t="s">
        <v>19</v>
      </c>
      <c r="P310" t="s">
        <v>20</v>
      </c>
      <c r="Q310">
        <v>20230612</v>
      </c>
    </row>
    <row r="311" spans="1:17" x14ac:dyDescent="0.25">
      <c r="A311" t="s">
        <v>715</v>
      </c>
      <c r="B311" t="s">
        <v>432</v>
      </c>
      <c r="C311">
        <v>4</v>
      </c>
      <c r="D311">
        <v>20230612</v>
      </c>
      <c r="E311">
        <v>6</v>
      </c>
      <c r="F311">
        <v>512200</v>
      </c>
      <c r="G311" t="s">
        <v>432</v>
      </c>
      <c r="H311" t="s">
        <v>401</v>
      </c>
      <c r="I311" t="s">
        <v>402</v>
      </c>
      <c r="J311">
        <v>372247</v>
      </c>
      <c r="K311">
        <v>20230612</v>
      </c>
      <c r="L311" t="s">
        <v>1607</v>
      </c>
      <c r="M311">
        <v>69.599999999999994</v>
      </c>
      <c r="N311">
        <v>0</v>
      </c>
      <c r="O311" t="s">
        <v>19</v>
      </c>
      <c r="P311" t="s">
        <v>20</v>
      </c>
      <c r="Q311">
        <v>20230612</v>
      </c>
    </row>
    <row r="312" spans="1:17" x14ac:dyDescent="0.25">
      <c r="A312" t="s">
        <v>715</v>
      </c>
      <c r="B312" t="s">
        <v>432</v>
      </c>
      <c r="C312">
        <v>4</v>
      </c>
      <c r="D312">
        <v>20230619</v>
      </c>
      <c r="E312">
        <v>6</v>
      </c>
      <c r="F312">
        <v>411100</v>
      </c>
      <c r="G312" t="s">
        <v>18</v>
      </c>
      <c r="H312" t="s">
        <v>791</v>
      </c>
      <c r="I312" t="s">
        <v>792</v>
      </c>
      <c r="J312">
        <v>373202</v>
      </c>
      <c r="K312">
        <v>20230619</v>
      </c>
      <c r="L312" t="s">
        <v>6275</v>
      </c>
      <c r="M312">
        <v>0</v>
      </c>
      <c r="N312">
        <v>268.68</v>
      </c>
      <c r="O312" t="s">
        <v>19</v>
      </c>
      <c r="P312" t="s">
        <v>20</v>
      </c>
      <c r="Q312">
        <v>20230619</v>
      </c>
    </row>
    <row r="313" spans="1:17" x14ac:dyDescent="0.25">
      <c r="A313" t="s">
        <v>715</v>
      </c>
      <c r="B313" t="s">
        <v>432</v>
      </c>
      <c r="C313">
        <v>4</v>
      </c>
      <c r="D313">
        <v>20230619</v>
      </c>
      <c r="E313">
        <v>6</v>
      </c>
      <c r="F313">
        <v>411100</v>
      </c>
      <c r="G313" t="s">
        <v>18</v>
      </c>
      <c r="H313" t="s">
        <v>791</v>
      </c>
      <c r="I313" t="s">
        <v>792</v>
      </c>
      <c r="J313">
        <v>373203</v>
      </c>
      <c r="K313">
        <v>20230619</v>
      </c>
      <c r="L313" t="s">
        <v>6274</v>
      </c>
      <c r="M313">
        <v>0</v>
      </c>
      <c r="N313">
        <v>0.2</v>
      </c>
      <c r="O313" t="s">
        <v>19</v>
      </c>
      <c r="P313" t="s">
        <v>20</v>
      </c>
      <c r="Q313">
        <v>20230619</v>
      </c>
    </row>
    <row r="314" spans="1:17" x14ac:dyDescent="0.25">
      <c r="A314" t="s">
        <v>715</v>
      </c>
      <c r="B314" t="s">
        <v>432</v>
      </c>
      <c r="C314">
        <v>4</v>
      </c>
      <c r="D314">
        <v>20230619</v>
      </c>
      <c r="E314">
        <v>6</v>
      </c>
      <c r="F314">
        <v>512200</v>
      </c>
      <c r="G314" t="s">
        <v>432</v>
      </c>
      <c r="H314" t="s">
        <v>401</v>
      </c>
      <c r="I314" t="s">
        <v>402</v>
      </c>
      <c r="J314">
        <v>373204</v>
      </c>
      <c r="K314">
        <v>20230619</v>
      </c>
      <c r="L314" t="s">
        <v>1607</v>
      </c>
      <c r="M314">
        <v>268.88</v>
      </c>
      <c r="N314">
        <v>0</v>
      </c>
      <c r="O314" t="s">
        <v>19</v>
      </c>
      <c r="P314" t="s">
        <v>20</v>
      </c>
      <c r="Q314">
        <v>20230619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71"/>
  <sheetViews>
    <sheetView topLeftCell="A333" workbookViewId="0">
      <selection activeCell="F2" sqref="F2:F371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6810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1</v>
      </c>
      <c r="D2">
        <v>20230701</v>
      </c>
      <c r="E2">
        <v>7</v>
      </c>
      <c r="F2">
        <v>627000</v>
      </c>
      <c r="G2" t="s">
        <v>480</v>
      </c>
      <c r="H2" t="s">
        <v>401</v>
      </c>
      <c r="I2" t="s">
        <v>402</v>
      </c>
      <c r="J2" t="s">
        <v>6809</v>
      </c>
      <c r="K2">
        <v>20230701</v>
      </c>
      <c r="L2" t="s">
        <v>4488</v>
      </c>
      <c r="M2">
        <v>7.5</v>
      </c>
      <c r="N2">
        <v>0</v>
      </c>
      <c r="O2" t="s">
        <v>19</v>
      </c>
      <c r="P2" t="s">
        <v>20</v>
      </c>
      <c r="Q2">
        <v>20230701</v>
      </c>
    </row>
    <row r="3" spans="1:19" x14ac:dyDescent="0.25">
      <c r="A3" t="s">
        <v>476</v>
      </c>
      <c r="B3" t="s">
        <v>477</v>
      </c>
      <c r="C3">
        <v>1</v>
      </c>
      <c r="D3">
        <v>20230701</v>
      </c>
      <c r="E3">
        <v>7</v>
      </c>
      <c r="F3">
        <v>512000</v>
      </c>
      <c r="G3" t="s">
        <v>428</v>
      </c>
      <c r="H3" t="s">
        <v>401</v>
      </c>
      <c r="I3" t="s">
        <v>402</v>
      </c>
      <c r="J3" t="s">
        <v>6809</v>
      </c>
      <c r="K3">
        <v>20230701</v>
      </c>
      <c r="L3" t="s">
        <v>4488</v>
      </c>
      <c r="M3">
        <v>0</v>
      </c>
      <c r="N3">
        <v>7.5</v>
      </c>
      <c r="O3" t="s">
        <v>19</v>
      </c>
      <c r="P3" t="s">
        <v>20</v>
      </c>
      <c r="Q3">
        <v>20230701</v>
      </c>
    </row>
    <row r="4" spans="1:19" x14ac:dyDescent="0.25">
      <c r="A4" t="s">
        <v>476</v>
      </c>
      <c r="B4" t="s">
        <v>477</v>
      </c>
      <c r="C4">
        <v>1</v>
      </c>
      <c r="D4">
        <v>20230703</v>
      </c>
      <c r="E4">
        <v>7</v>
      </c>
      <c r="F4">
        <v>467100</v>
      </c>
      <c r="G4" t="s">
        <v>160</v>
      </c>
      <c r="H4" t="s">
        <v>5416</v>
      </c>
      <c r="I4" t="s">
        <v>5417</v>
      </c>
      <c r="J4" t="s">
        <v>6808</v>
      </c>
      <c r="K4">
        <v>20230703</v>
      </c>
      <c r="L4" t="s">
        <v>5757</v>
      </c>
      <c r="M4">
        <v>291.60000000000002</v>
      </c>
      <c r="N4">
        <v>0</v>
      </c>
      <c r="O4" t="s">
        <v>19</v>
      </c>
      <c r="P4" t="s">
        <v>20</v>
      </c>
      <c r="Q4">
        <v>20230703</v>
      </c>
    </row>
    <row r="5" spans="1:19" x14ac:dyDescent="0.25">
      <c r="A5" t="s">
        <v>476</v>
      </c>
      <c r="B5" t="s">
        <v>477</v>
      </c>
      <c r="C5">
        <v>1</v>
      </c>
      <c r="D5">
        <v>20230703</v>
      </c>
      <c r="E5">
        <v>7</v>
      </c>
      <c r="F5">
        <v>512000</v>
      </c>
      <c r="G5" t="s">
        <v>428</v>
      </c>
      <c r="H5" t="s">
        <v>401</v>
      </c>
      <c r="I5" t="s">
        <v>402</v>
      </c>
      <c r="J5" t="s">
        <v>6808</v>
      </c>
      <c r="K5">
        <v>20230703</v>
      </c>
      <c r="L5" t="s">
        <v>5757</v>
      </c>
      <c r="M5">
        <v>0</v>
      </c>
      <c r="N5">
        <v>291.60000000000002</v>
      </c>
      <c r="O5" t="s">
        <v>19</v>
      </c>
      <c r="P5" t="s">
        <v>20</v>
      </c>
      <c r="Q5">
        <v>20230703</v>
      </c>
    </row>
    <row r="6" spans="1:19" x14ac:dyDescent="0.25">
      <c r="A6" t="s">
        <v>476</v>
      </c>
      <c r="B6" t="s">
        <v>477</v>
      </c>
      <c r="C6">
        <v>1</v>
      </c>
      <c r="D6">
        <v>20230703</v>
      </c>
      <c r="E6">
        <v>7</v>
      </c>
      <c r="F6">
        <v>421000</v>
      </c>
      <c r="G6" t="s">
        <v>403</v>
      </c>
      <c r="H6" t="s">
        <v>401</v>
      </c>
      <c r="I6" t="s">
        <v>402</v>
      </c>
      <c r="J6" t="s">
        <v>6807</v>
      </c>
      <c r="K6">
        <v>20230703</v>
      </c>
      <c r="L6" t="s">
        <v>922</v>
      </c>
      <c r="M6">
        <v>1817.36</v>
      </c>
      <c r="N6">
        <v>0</v>
      </c>
      <c r="O6" t="s">
        <v>23</v>
      </c>
      <c r="P6">
        <v>20230918</v>
      </c>
      <c r="Q6">
        <v>20230703</v>
      </c>
    </row>
    <row r="7" spans="1:19" x14ac:dyDescent="0.25">
      <c r="A7" t="s">
        <v>476</v>
      </c>
      <c r="B7" t="s">
        <v>477</v>
      </c>
      <c r="C7">
        <v>1</v>
      </c>
      <c r="D7">
        <v>20230703</v>
      </c>
      <c r="E7">
        <v>7</v>
      </c>
      <c r="F7">
        <v>512000</v>
      </c>
      <c r="G7" t="s">
        <v>428</v>
      </c>
      <c r="H7" t="s">
        <v>401</v>
      </c>
      <c r="I7" t="s">
        <v>402</v>
      </c>
      <c r="J7" t="s">
        <v>6807</v>
      </c>
      <c r="K7">
        <v>20230703</v>
      </c>
      <c r="L7" t="s">
        <v>922</v>
      </c>
      <c r="M7">
        <v>0</v>
      </c>
      <c r="N7">
        <v>1817.36</v>
      </c>
      <c r="O7" t="s">
        <v>19</v>
      </c>
      <c r="P7" t="s">
        <v>20</v>
      </c>
      <c r="Q7">
        <v>20230703</v>
      </c>
    </row>
    <row r="8" spans="1:19" x14ac:dyDescent="0.25">
      <c r="A8" t="s">
        <v>476</v>
      </c>
      <c r="B8" t="s">
        <v>477</v>
      </c>
      <c r="C8">
        <v>1</v>
      </c>
      <c r="D8">
        <v>20230703</v>
      </c>
      <c r="E8">
        <v>7</v>
      </c>
      <c r="F8">
        <v>401000</v>
      </c>
      <c r="G8" t="s">
        <v>41</v>
      </c>
      <c r="H8" t="s">
        <v>458</v>
      </c>
      <c r="I8" t="s">
        <v>459</v>
      </c>
      <c r="J8" t="s">
        <v>6806</v>
      </c>
      <c r="K8">
        <v>20230703</v>
      </c>
      <c r="L8" t="s">
        <v>2072</v>
      </c>
      <c r="M8">
        <v>708</v>
      </c>
      <c r="N8">
        <v>0</v>
      </c>
      <c r="O8" t="s">
        <v>19</v>
      </c>
      <c r="P8" t="s">
        <v>20</v>
      </c>
      <c r="Q8">
        <v>20230703</v>
      </c>
    </row>
    <row r="9" spans="1:19" x14ac:dyDescent="0.25">
      <c r="A9" t="s">
        <v>476</v>
      </c>
      <c r="B9" t="s">
        <v>477</v>
      </c>
      <c r="C9">
        <v>1</v>
      </c>
      <c r="D9">
        <v>20230703</v>
      </c>
      <c r="E9">
        <v>7</v>
      </c>
      <c r="F9">
        <v>512000</v>
      </c>
      <c r="G9" t="s">
        <v>428</v>
      </c>
      <c r="H9" t="s">
        <v>401</v>
      </c>
      <c r="I9" t="s">
        <v>402</v>
      </c>
      <c r="J9" t="s">
        <v>6806</v>
      </c>
      <c r="K9">
        <v>20230703</v>
      </c>
      <c r="L9" t="s">
        <v>2072</v>
      </c>
      <c r="M9">
        <v>0</v>
      </c>
      <c r="N9">
        <v>708</v>
      </c>
      <c r="O9" t="s">
        <v>19</v>
      </c>
      <c r="P9" t="s">
        <v>20</v>
      </c>
      <c r="Q9">
        <v>20230703</v>
      </c>
    </row>
    <row r="10" spans="1:19" x14ac:dyDescent="0.25">
      <c r="A10" t="s">
        <v>476</v>
      </c>
      <c r="B10" t="s">
        <v>477</v>
      </c>
      <c r="C10">
        <v>1</v>
      </c>
      <c r="D10">
        <v>20230703</v>
      </c>
      <c r="E10">
        <v>7</v>
      </c>
      <c r="F10">
        <v>468200</v>
      </c>
      <c r="G10" t="s">
        <v>421</v>
      </c>
      <c r="H10" t="s">
        <v>401</v>
      </c>
      <c r="I10" t="s">
        <v>402</v>
      </c>
      <c r="J10" t="s">
        <v>6805</v>
      </c>
      <c r="K10">
        <v>20230703</v>
      </c>
      <c r="L10" t="s">
        <v>422</v>
      </c>
      <c r="M10">
        <v>0</v>
      </c>
      <c r="N10">
        <v>149.82</v>
      </c>
      <c r="O10" t="s">
        <v>19</v>
      </c>
      <c r="P10" t="s">
        <v>20</v>
      </c>
      <c r="Q10">
        <v>20230703</v>
      </c>
    </row>
    <row r="11" spans="1:19" x14ac:dyDescent="0.25">
      <c r="A11" t="s">
        <v>476</v>
      </c>
      <c r="B11" t="s">
        <v>477</v>
      </c>
      <c r="C11">
        <v>1</v>
      </c>
      <c r="D11">
        <v>20230703</v>
      </c>
      <c r="E11">
        <v>7</v>
      </c>
      <c r="F11">
        <v>512000</v>
      </c>
      <c r="G11" t="s">
        <v>428</v>
      </c>
      <c r="H11" t="s">
        <v>401</v>
      </c>
      <c r="I11" t="s">
        <v>402</v>
      </c>
      <c r="J11" t="s">
        <v>6805</v>
      </c>
      <c r="K11">
        <v>20230703</v>
      </c>
      <c r="L11" t="s">
        <v>422</v>
      </c>
      <c r="M11">
        <v>149.82</v>
      </c>
      <c r="N11">
        <v>0</v>
      </c>
      <c r="O11" t="s">
        <v>19</v>
      </c>
      <c r="P11" t="s">
        <v>20</v>
      </c>
      <c r="Q11">
        <v>20230703</v>
      </c>
    </row>
    <row r="12" spans="1:19" x14ac:dyDescent="0.25">
      <c r="A12" t="s">
        <v>476</v>
      </c>
      <c r="B12" t="s">
        <v>477</v>
      </c>
      <c r="C12">
        <v>1</v>
      </c>
      <c r="D12">
        <v>20230703</v>
      </c>
      <c r="E12">
        <v>7</v>
      </c>
      <c r="F12">
        <v>627000</v>
      </c>
      <c r="G12" t="s">
        <v>480</v>
      </c>
      <c r="H12" t="s">
        <v>401</v>
      </c>
      <c r="I12" t="s">
        <v>402</v>
      </c>
      <c r="J12" t="s">
        <v>6804</v>
      </c>
      <c r="K12">
        <v>20230703</v>
      </c>
      <c r="L12" t="s">
        <v>4488</v>
      </c>
      <c r="M12">
        <v>55.67</v>
      </c>
      <c r="N12">
        <v>0</v>
      </c>
      <c r="O12" t="s">
        <v>19</v>
      </c>
      <c r="P12" t="s">
        <v>20</v>
      </c>
      <c r="Q12">
        <v>20230703</v>
      </c>
    </row>
    <row r="13" spans="1:19" x14ac:dyDescent="0.25">
      <c r="A13" t="s">
        <v>476</v>
      </c>
      <c r="B13" t="s">
        <v>477</v>
      </c>
      <c r="C13">
        <v>1</v>
      </c>
      <c r="D13">
        <v>20230703</v>
      </c>
      <c r="E13">
        <v>7</v>
      </c>
      <c r="F13">
        <v>512000</v>
      </c>
      <c r="G13" t="s">
        <v>428</v>
      </c>
      <c r="H13" t="s">
        <v>401</v>
      </c>
      <c r="I13" t="s">
        <v>402</v>
      </c>
      <c r="J13" t="s">
        <v>6804</v>
      </c>
      <c r="K13">
        <v>20230703</v>
      </c>
      <c r="L13" t="s">
        <v>4488</v>
      </c>
      <c r="M13">
        <v>0</v>
      </c>
      <c r="N13">
        <v>55.67</v>
      </c>
      <c r="O13" t="s">
        <v>19</v>
      </c>
      <c r="P13" t="s">
        <v>20</v>
      </c>
      <c r="Q13">
        <v>20230703</v>
      </c>
    </row>
    <row r="14" spans="1:19" x14ac:dyDescent="0.25">
      <c r="A14" t="s">
        <v>476</v>
      </c>
      <c r="B14" t="s">
        <v>477</v>
      </c>
      <c r="C14">
        <v>1</v>
      </c>
      <c r="D14">
        <v>20230704</v>
      </c>
      <c r="E14">
        <v>7</v>
      </c>
      <c r="F14">
        <v>627000</v>
      </c>
      <c r="G14" t="s">
        <v>480</v>
      </c>
      <c r="H14" t="s">
        <v>401</v>
      </c>
      <c r="I14" t="s">
        <v>402</v>
      </c>
      <c r="J14" t="s">
        <v>6803</v>
      </c>
      <c r="K14">
        <v>20230704</v>
      </c>
      <c r="L14" t="s">
        <v>4488</v>
      </c>
      <c r="M14">
        <v>49</v>
      </c>
      <c r="N14">
        <v>0</v>
      </c>
      <c r="O14" t="s">
        <v>19</v>
      </c>
      <c r="P14" t="s">
        <v>20</v>
      </c>
      <c r="Q14">
        <v>20230704</v>
      </c>
    </row>
    <row r="15" spans="1:19" x14ac:dyDescent="0.25">
      <c r="A15" t="s">
        <v>476</v>
      </c>
      <c r="B15" t="s">
        <v>477</v>
      </c>
      <c r="C15">
        <v>1</v>
      </c>
      <c r="D15">
        <v>20230704</v>
      </c>
      <c r="E15">
        <v>7</v>
      </c>
      <c r="F15">
        <v>512000</v>
      </c>
      <c r="G15" t="s">
        <v>428</v>
      </c>
      <c r="H15" t="s">
        <v>401</v>
      </c>
      <c r="I15" t="s">
        <v>402</v>
      </c>
      <c r="J15" t="s">
        <v>6803</v>
      </c>
      <c r="K15">
        <v>20230704</v>
      </c>
      <c r="L15" t="s">
        <v>4488</v>
      </c>
      <c r="M15">
        <v>0</v>
      </c>
      <c r="N15">
        <v>49</v>
      </c>
      <c r="O15" t="s">
        <v>19</v>
      </c>
      <c r="P15" t="s">
        <v>20</v>
      </c>
      <c r="Q15">
        <v>20230704</v>
      </c>
    </row>
    <row r="16" spans="1:19" x14ac:dyDescent="0.25">
      <c r="A16" t="s">
        <v>476</v>
      </c>
      <c r="B16" t="s">
        <v>477</v>
      </c>
      <c r="C16">
        <v>1</v>
      </c>
      <c r="D16">
        <v>20230704</v>
      </c>
      <c r="E16">
        <v>7</v>
      </c>
      <c r="F16">
        <v>627000</v>
      </c>
      <c r="G16" t="s">
        <v>480</v>
      </c>
      <c r="H16" t="s">
        <v>401</v>
      </c>
      <c r="I16" t="s">
        <v>402</v>
      </c>
      <c r="J16" t="s">
        <v>6802</v>
      </c>
      <c r="K16">
        <v>20230704</v>
      </c>
      <c r="L16" t="s">
        <v>4488</v>
      </c>
      <c r="M16">
        <v>12.48</v>
      </c>
      <c r="N16">
        <v>0</v>
      </c>
      <c r="O16" t="s">
        <v>19</v>
      </c>
      <c r="P16" t="s">
        <v>20</v>
      </c>
      <c r="Q16">
        <v>20230704</v>
      </c>
    </row>
    <row r="17" spans="1:17" x14ac:dyDescent="0.25">
      <c r="A17" t="s">
        <v>476</v>
      </c>
      <c r="B17" t="s">
        <v>477</v>
      </c>
      <c r="C17">
        <v>1</v>
      </c>
      <c r="D17">
        <v>20230704</v>
      </c>
      <c r="E17">
        <v>7</v>
      </c>
      <c r="F17">
        <v>512000</v>
      </c>
      <c r="G17" t="s">
        <v>428</v>
      </c>
      <c r="H17" t="s">
        <v>401</v>
      </c>
      <c r="I17" t="s">
        <v>402</v>
      </c>
      <c r="J17" t="s">
        <v>6802</v>
      </c>
      <c r="K17">
        <v>20230704</v>
      </c>
      <c r="L17" t="s">
        <v>4488</v>
      </c>
      <c r="M17">
        <v>0</v>
      </c>
      <c r="N17">
        <v>12.48</v>
      </c>
      <c r="O17" t="s">
        <v>19</v>
      </c>
      <c r="P17" t="s">
        <v>20</v>
      </c>
      <c r="Q17">
        <v>20230704</v>
      </c>
    </row>
    <row r="18" spans="1:17" x14ac:dyDescent="0.25">
      <c r="A18" t="s">
        <v>476</v>
      </c>
      <c r="B18" t="s">
        <v>477</v>
      </c>
      <c r="C18">
        <v>1</v>
      </c>
      <c r="D18">
        <v>20230705</v>
      </c>
      <c r="E18">
        <v>7</v>
      </c>
      <c r="F18">
        <v>401000</v>
      </c>
      <c r="G18" t="s">
        <v>41</v>
      </c>
      <c r="H18" t="s">
        <v>225</v>
      </c>
      <c r="I18" t="s">
        <v>226</v>
      </c>
      <c r="J18" t="s">
        <v>6801</v>
      </c>
      <c r="K18">
        <v>20230705</v>
      </c>
      <c r="L18" t="s">
        <v>488</v>
      </c>
      <c r="M18">
        <v>475.4</v>
      </c>
      <c r="N18">
        <v>0</v>
      </c>
      <c r="O18" t="s">
        <v>23</v>
      </c>
      <c r="P18">
        <v>20230928</v>
      </c>
      <c r="Q18">
        <v>20230705</v>
      </c>
    </row>
    <row r="19" spans="1:17" x14ac:dyDescent="0.25">
      <c r="A19" t="s">
        <v>476</v>
      </c>
      <c r="B19" t="s">
        <v>477</v>
      </c>
      <c r="C19">
        <v>1</v>
      </c>
      <c r="D19">
        <v>20230705</v>
      </c>
      <c r="E19">
        <v>7</v>
      </c>
      <c r="F19">
        <v>512000</v>
      </c>
      <c r="G19" t="s">
        <v>428</v>
      </c>
      <c r="H19" t="s">
        <v>401</v>
      </c>
      <c r="I19" t="s">
        <v>402</v>
      </c>
      <c r="J19" t="s">
        <v>6801</v>
      </c>
      <c r="K19">
        <v>20230705</v>
      </c>
      <c r="L19" t="s">
        <v>488</v>
      </c>
      <c r="M19">
        <v>0</v>
      </c>
      <c r="N19">
        <v>475.4</v>
      </c>
      <c r="O19" t="s">
        <v>19</v>
      </c>
      <c r="P19" t="s">
        <v>20</v>
      </c>
      <c r="Q19">
        <v>20230705</v>
      </c>
    </row>
    <row r="20" spans="1:17" x14ac:dyDescent="0.25">
      <c r="A20" t="s">
        <v>476</v>
      </c>
      <c r="B20" t="s">
        <v>477</v>
      </c>
      <c r="C20">
        <v>1</v>
      </c>
      <c r="D20">
        <v>20230705</v>
      </c>
      <c r="E20">
        <v>7</v>
      </c>
      <c r="F20">
        <v>468740</v>
      </c>
      <c r="G20" t="s">
        <v>426</v>
      </c>
      <c r="H20" t="s">
        <v>401</v>
      </c>
      <c r="I20" t="s">
        <v>402</v>
      </c>
      <c r="J20" t="s">
        <v>6800</v>
      </c>
      <c r="K20">
        <v>20230705</v>
      </c>
      <c r="L20" t="s">
        <v>6799</v>
      </c>
      <c r="M20">
        <v>0</v>
      </c>
      <c r="N20">
        <v>32000</v>
      </c>
      <c r="O20" t="s">
        <v>19</v>
      </c>
      <c r="P20" t="s">
        <v>20</v>
      </c>
      <c r="Q20">
        <v>20230705</v>
      </c>
    </row>
    <row r="21" spans="1:17" x14ac:dyDescent="0.25">
      <c r="A21" t="s">
        <v>476</v>
      </c>
      <c r="B21" t="s">
        <v>477</v>
      </c>
      <c r="C21">
        <v>1</v>
      </c>
      <c r="D21">
        <v>20230705</v>
      </c>
      <c r="E21">
        <v>7</v>
      </c>
      <c r="F21">
        <v>512000</v>
      </c>
      <c r="G21" t="s">
        <v>428</v>
      </c>
      <c r="H21" t="s">
        <v>401</v>
      </c>
      <c r="I21" t="s">
        <v>402</v>
      </c>
      <c r="J21" t="s">
        <v>6800</v>
      </c>
      <c r="K21">
        <v>20230705</v>
      </c>
      <c r="L21" t="s">
        <v>6799</v>
      </c>
      <c r="M21">
        <v>32000</v>
      </c>
      <c r="N21">
        <v>0</v>
      </c>
      <c r="O21" t="s">
        <v>19</v>
      </c>
      <c r="P21" t="s">
        <v>20</v>
      </c>
      <c r="Q21">
        <v>20230705</v>
      </c>
    </row>
    <row r="22" spans="1:17" x14ac:dyDescent="0.25">
      <c r="A22" t="s">
        <v>476</v>
      </c>
      <c r="B22" t="s">
        <v>477</v>
      </c>
      <c r="C22">
        <v>1</v>
      </c>
      <c r="D22">
        <v>20230705</v>
      </c>
      <c r="E22">
        <v>7</v>
      </c>
      <c r="F22">
        <v>421000</v>
      </c>
      <c r="G22" t="s">
        <v>403</v>
      </c>
      <c r="H22" t="s">
        <v>401</v>
      </c>
      <c r="I22" t="s">
        <v>402</v>
      </c>
      <c r="J22" t="s">
        <v>6798</v>
      </c>
      <c r="K22">
        <v>20230705</v>
      </c>
      <c r="L22" t="s">
        <v>922</v>
      </c>
      <c r="M22">
        <v>659.52</v>
      </c>
      <c r="N22">
        <v>0</v>
      </c>
      <c r="O22" t="s">
        <v>23</v>
      </c>
      <c r="P22">
        <v>20230918</v>
      </c>
      <c r="Q22">
        <v>20230705</v>
      </c>
    </row>
    <row r="23" spans="1:17" x14ac:dyDescent="0.25">
      <c r="A23" t="s">
        <v>476</v>
      </c>
      <c r="B23" t="s">
        <v>477</v>
      </c>
      <c r="C23">
        <v>1</v>
      </c>
      <c r="D23">
        <v>20230705</v>
      </c>
      <c r="E23">
        <v>7</v>
      </c>
      <c r="F23">
        <v>512000</v>
      </c>
      <c r="G23" t="s">
        <v>428</v>
      </c>
      <c r="H23" t="s">
        <v>401</v>
      </c>
      <c r="I23" t="s">
        <v>402</v>
      </c>
      <c r="J23" t="s">
        <v>6798</v>
      </c>
      <c r="K23">
        <v>20230705</v>
      </c>
      <c r="L23" t="s">
        <v>922</v>
      </c>
      <c r="M23">
        <v>0</v>
      </c>
      <c r="N23">
        <v>659.52</v>
      </c>
      <c r="O23" t="s">
        <v>19</v>
      </c>
      <c r="P23" t="s">
        <v>20</v>
      </c>
      <c r="Q23">
        <v>20230705</v>
      </c>
    </row>
    <row r="24" spans="1:17" x14ac:dyDescent="0.25">
      <c r="A24" t="s">
        <v>476</v>
      </c>
      <c r="B24" t="s">
        <v>477</v>
      </c>
      <c r="C24">
        <v>1</v>
      </c>
      <c r="D24">
        <v>20230705</v>
      </c>
      <c r="E24">
        <v>7</v>
      </c>
      <c r="F24">
        <v>468725</v>
      </c>
      <c r="G24" t="s">
        <v>424</v>
      </c>
      <c r="H24" t="s">
        <v>401</v>
      </c>
      <c r="I24" t="s">
        <v>402</v>
      </c>
      <c r="J24" t="s">
        <v>6797</v>
      </c>
      <c r="K24">
        <v>20230705</v>
      </c>
      <c r="L24" t="s">
        <v>6796</v>
      </c>
      <c r="M24">
        <v>0</v>
      </c>
      <c r="N24">
        <v>2666.64</v>
      </c>
      <c r="O24" t="s">
        <v>19</v>
      </c>
      <c r="P24" t="s">
        <v>20</v>
      </c>
      <c r="Q24">
        <v>20230705</v>
      </c>
    </row>
    <row r="25" spans="1:17" x14ac:dyDescent="0.25">
      <c r="A25" t="s">
        <v>476</v>
      </c>
      <c r="B25" t="s">
        <v>477</v>
      </c>
      <c r="C25">
        <v>1</v>
      </c>
      <c r="D25">
        <v>20230705</v>
      </c>
      <c r="E25">
        <v>7</v>
      </c>
      <c r="F25">
        <v>512000</v>
      </c>
      <c r="G25" t="s">
        <v>428</v>
      </c>
      <c r="H25" t="s">
        <v>401</v>
      </c>
      <c r="I25" t="s">
        <v>402</v>
      </c>
      <c r="J25" t="s">
        <v>6797</v>
      </c>
      <c r="K25">
        <v>20230705</v>
      </c>
      <c r="L25" t="s">
        <v>6796</v>
      </c>
      <c r="M25">
        <v>2666.64</v>
      </c>
      <c r="N25">
        <v>0</v>
      </c>
      <c r="O25" t="s">
        <v>19</v>
      </c>
      <c r="P25" t="s">
        <v>20</v>
      </c>
      <c r="Q25">
        <v>20230705</v>
      </c>
    </row>
    <row r="26" spans="1:17" x14ac:dyDescent="0.25">
      <c r="A26" t="s">
        <v>476</v>
      </c>
      <c r="B26" t="s">
        <v>477</v>
      </c>
      <c r="C26">
        <v>1</v>
      </c>
      <c r="D26">
        <v>20230707</v>
      </c>
      <c r="E26">
        <v>7</v>
      </c>
      <c r="F26">
        <v>401000</v>
      </c>
      <c r="G26" t="s">
        <v>41</v>
      </c>
      <c r="H26" t="s">
        <v>125</v>
      </c>
      <c r="I26" t="s">
        <v>126</v>
      </c>
      <c r="J26" t="s">
        <v>6793</v>
      </c>
      <c r="K26">
        <v>20230707</v>
      </c>
      <c r="L26" t="s">
        <v>5758</v>
      </c>
      <c r="M26">
        <v>161</v>
      </c>
      <c r="N26">
        <v>0</v>
      </c>
      <c r="O26" t="s">
        <v>22</v>
      </c>
      <c r="P26">
        <v>20230707</v>
      </c>
      <c r="Q26">
        <v>20230707</v>
      </c>
    </row>
    <row r="27" spans="1:17" x14ac:dyDescent="0.25">
      <c r="A27" t="s">
        <v>476</v>
      </c>
      <c r="B27" t="s">
        <v>477</v>
      </c>
      <c r="C27">
        <v>1</v>
      </c>
      <c r="D27">
        <v>20230707</v>
      </c>
      <c r="E27">
        <v>7</v>
      </c>
      <c r="F27">
        <v>401000</v>
      </c>
      <c r="G27" t="s">
        <v>41</v>
      </c>
      <c r="H27" t="s">
        <v>303</v>
      </c>
      <c r="I27" t="s">
        <v>304</v>
      </c>
      <c r="J27" t="s">
        <v>6793</v>
      </c>
      <c r="K27">
        <v>20230707</v>
      </c>
      <c r="L27" t="s">
        <v>5758</v>
      </c>
      <c r="M27">
        <v>600</v>
      </c>
      <c r="N27">
        <v>0</v>
      </c>
      <c r="O27" t="s">
        <v>22</v>
      </c>
      <c r="P27">
        <v>20230707</v>
      </c>
      <c r="Q27">
        <v>20230707</v>
      </c>
    </row>
    <row r="28" spans="1:17" x14ac:dyDescent="0.25">
      <c r="A28" t="s">
        <v>476</v>
      </c>
      <c r="B28" t="s">
        <v>477</v>
      </c>
      <c r="C28">
        <v>1</v>
      </c>
      <c r="D28">
        <v>20230707</v>
      </c>
      <c r="E28">
        <v>7</v>
      </c>
      <c r="F28">
        <v>401000</v>
      </c>
      <c r="G28" t="s">
        <v>41</v>
      </c>
      <c r="H28" t="s">
        <v>1659</v>
      </c>
      <c r="I28" t="s">
        <v>1660</v>
      </c>
      <c r="J28" t="s">
        <v>6793</v>
      </c>
      <c r="K28">
        <v>20230707</v>
      </c>
      <c r="L28" t="s">
        <v>5758</v>
      </c>
      <c r="M28">
        <v>150</v>
      </c>
      <c r="N28">
        <v>0</v>
      </c>
      <c r="O28" t="s">
        <v>22</v>
      </c>
      <c r="P28">
        <v>20230707</v>
      </c>
      <c r="Q28">
        <v>20230707</v>
      </c>
    </row>
    <row r="29" spans="1:17" x14ac:dyDescent="0.25">
      <c r="A29" t="s">
        <v>476</v>
      </c>
      <c r="B29" t="s">
        <v>477</v>
      </c>
      <c r="C29">
        <v>1</v>
      </c>
      <c r="D29">
        <v>20230707</v>
      </c>
      <c r="E29">
        <v>7</v>
      </c>
      <c r="F29">
        <v>467100</v>
      </c>
      <c r="G29" t="s">
        <v>160</v>
      </c>
      <c r="H29" t="s">
        <v>4847</v>
      </c>
      <c r="I29" t="s">
        <v>4848</v>
      </c>
      <c r="J29" t="s">
        <v>6793</v>
      </c>
      <c r="K29">
        <v>20230707</v>
      </c>
      <c r="L29" t="s">
        <v>5758</v>
      </c>
      <c r="M29">
        <v>70.48</v>
      </c>
      <c r="N29">
        <v>0</v>
      </c>
      <c r="O29" t="s">
        <v>22</v>
      </c>
      <c r="P29">
        <v>20230707</v>
      </c>
      <c r="Q29">
        <v>20230707</v>
      </c>
    </row>
    <row r="30" spans="1:17" x14ac:dyDescent="0.25">
      <c r="A30" t="s">
        <v>476</v>
      </c>
      <c r="B30" t="s">
        <v>477</v>
      </c>
      <c r="C30">
        <v>1</v>
      </c>
      <c r="D30">
        <v>20230707</v>
      </c>
      <c r="E30">
        <v>7</v>
      </c>
      <c r="F30">
        <v>467100</v>
      </c>
      <c r="G30" t="s">
        <v>160</v>
      </c>
      <c r="H30" t="s">
        <v>5419</v>
      </c>
      <c r="I30" t="s">
        <v>5420</v>
      </c>
      <c r="J30" t="s">
        <v>6793</v>
      </c>
      <c r="K30">
        <v>20230707</v>
      </c>
      <c r="L30" t="s">
        <v>5758</v>
      </c>
      <c r="M30">
        <v>38.65</v>
      </c>
      <c r="N30">
        <v>0</v>
      </c>
      <c r="O30" t="s">
        <v>22</v>
      </c>
      <c r="P30">
        <v>20230707</v>
      </c>
      <c r="Q30">
        <v>20230707</v>
      </c>
    </row>
    <row r="31" spans="1:17" x14ac:dyDescent="0.25">
      <c r="A31" t="s">
        <v>476</v>
      </c>
      <c r="B31" t="s">
        <v>477</v>
      </c>
      <c r="C31">
        <v>1</v>
      </c>
      <c r="D31">
        <v>20230707</v>
      </c>
      <c r="E31">
        <v>7</v>
      </c>
      <c r="F31">
        <v>401000</v>
      </c>
      <c r="G31" t="s">
        <v>41</v>
      </c>
      <c r="H31" t="s">
        <v>6795</v>
      </c>
      <c r="I31" t="s">
        <v>6794</v>
      </c>
      <c r="J31" t="s">
        <v>6793</v>
      </c>
      <c r="K31">
        <v>20230707</v>
      </c>
      <c r="L31" t="s">
        <v>5758</v>
      </c>
      <c r="M31">
        <v>79.97</v>
      </c>
      <c r="N31">
        <v>0</v>
      </c>
      <c r="O31" t="s">
        <v>22</v>
      </c>
      <c r="P31">
        <v>20230707</v>
      </c>
      <c r="Q31">
        <v>20230707</v>
      </c>
    </row>
    <row r="32" spans="1:17" x14ac:dyDescent="0.25">
      <c r="A32" t="s">
        <v>476</v>
      </c>
      <c r="B32" t="s">
        <v>477</v>
      </c>
      <c r="C32">
        <v>1</v>
      </c>
      <c r="D32">
        <v>20230707</v>
      </c>
      <c r="E32">
        <v>7</v>
      </c>
      <c r="F32">
        <v>512000</v>
      </c>
      <c r="G32" t="s">
        <v>428</v>
      </c>
      <c r="H32" t="s">
        <v>401</v>
      </c>
      <c r="I32" t="s">
        <v>402</v>
      </c>
      <c r="J32" t="s">
        <v>6793</v>
      </c>
      <c r="K32">
        <v>20230707</v>
      </c>
      <c r="L32" t="s">
        <v>5758</v>
      </c>
      <c r="M32">
        <v>0</v>
      </c>
      <c r="N32">
        <v>1100.0999999999999</v>
      </c>
      <c r="O32" t="s">
        <v>19</v>
      </c>
      <c r="P32" t="s">
        <v>20</v>
      </c>
      <c r="Q32">
        <v>20230707</v>
      </c>
    </row>
    <row r="33" spans="1:17" x14ac:dyDescent="0.25">
      <c r="A33" t="s">
        <v>476</v>
      </c>
      <c r="B33" t="s">
        <v>477</v>
      </c>
      <c r="C33">
        <v>1</v>
      </c>
      <c r="D33">
        <v>20230707</v>
      </c>
      <c r="E33">
        <v>7</v>
      </c>
      <c r="F33">
        <v>468200</v>
      </c>
      <c r="G33" t="s">
        <v>421</v>
      </c>
      <c r="H33" t="s">
        <v>401</v>
      </c>
      <c r="I33" t="s">
        <v>402</v>
      </c>
      <c r="J33" t="s">
        <v>6792</v>
      </c>
      <c r="K33">
        <v>20230707</v>
      </c>
      <c r="L33" t="s">
        <v>422</v>
      </c>
      <c r="M33">
        <v>0</v>
      </c>
      <c r="N33">
        <v>606.76</v>
      </c>
      <c r="O33" t="s">
        <v>19</v>
      </c>
      <c r="P33" t="s">
        <v>20</v>
      </c>
      <c r="Q33">
        <v>20230707</v>
      </c>
    </row>
    <row r="34" spans="1:17" x14ac:dyDescent="0.25">
      <c r="A34" t="s">
        <v>476</v>
      </c>
      <c r="B34" t="s">
        <v>477</v>
      </c>
      <c r="C34">
        <v>1</v>
      </c>
      <c r="D34">
        <v>20230707</v>
      </c>
      <c r="E34">
        <v>7</v>
      </c>
      <c r="F34">
        <v>512000</v>
      </c>
      <c r="G34" t="s">
        <v>428</v>
      </c>
      <c r="H34" t="s">
        <v>401</v>
      </c>
      <c r="I34" t="s">
        <v>402</v>
      </c>
      <c r="J34" t="s">
        <v>6792</v>
      </c>
      <c r="K34">
        <v>20230707</v>
      </c>
      <c r="L34" t="s">
        <v>422</v>
      </c>
      <c r="M34">
        <v>606.76</v>
      </c>
      <c r="N34">
        <v>0</v>
      </c>
      <c r="O34" t="s">
        <v>19</v>
      </c>
      <c r="P34" t="s">
        <v>20</v>
      </c>
      <c r="Q34">
        <v>20230707</v>
      </c>
    </row>
    <row r="35" spans="1:17" x14ac:dyDescent="0.25">
      <c r="A35" t="s">
        <v>476</v>
      </c>
      <c r="B35" t="s">
        <v>477</v>
      </c>
      <c r="C35">
        <v>1</v>
      </c>
      <c r="D35">
        <v>20230710</v>
      </c>
      <c r="E35">
        <v>7</v>
      </c>
      <c r="F35">
        <v>467100</v>
      </c>
      <c r="G35" t="s">
        <v>160</v>
      </c>
      <c r="H35" t="s">
        <v>185</v>
      </c>
      <c r="I35" t="s">
        <v>186</v>
      </c>
      <c r="J35" t="s">
        <v>6791</v>
      </c>
      <c r="K35">
        <v>20230710</v>
      </c>
      <c r="L35" t="s">
        <v>5757</v>
      </c>
      <c r="M35">
        <v>800</v>
      </c>
      <c r="N35">
        <v>0</v>
      </c>
      <c r="O35" t="s">
        <v>19</v>
      </c>
      <c r="P35" t="s">
        <v>20</v>
      </c>
      <c r="Q35">
        <v>20230710</v>
      </c>
    </row>
    <row r="36" spans="1:17" x14ac:dyDescent="0.25">
      <c r="A36" t="s">
        <v>476</v>
      </c>
      <c r="B36" t="s">
        <v>477</v>
      </c>
      <c r="C36">
        <v>1</v>
      </c>
      <c r="D36">
        <v>20230710</v>
      </c>
      <c r="E36">
        <v>7</v>
      </c>
      <c r="F36">
        <v>467100</v>
      </c>
      <c r="G36" t="s">
        <v>160</v>
      </c>
      <c r="H36" t="s">
        <v>164</v>
      </c>
      <c r="I36" t="s">
        <v>165</v>
      </c>
      <c r="J36" t="s">
        <v>6791</v>
      </c>
      <c r="K36">
        <v>20230710</v>
      </c>
      <c r="L36" t="s">
        <v>5757</v>
      </c>
      <c r="M36">
        <v>500</v>
      </c>
      <c r="N36">
        <v>0</v>
      </c>
      <c r="O36" t="s">
        <v>19</v>
      </c>
      <c r="P36" t="s">
        <v>20</v>
      </c>
      <c r="Q36">
        <v>20230710</v>
      </c>
    </row>
    <row r="37" spans="1:17" x14ac:dyDescent="0.25">
      <c r="A37" t="s">
        <v>476</v>
      </c>
      <c r="B37" t="s">
        <v>477</v>
      </c>
      <c r="C37">
        <v>1</v>
      </c>
      <c r="D37">
        <v>20230710</v>
      </c>
      <c r="E37">
        <v>7</v>
      </c>
      <c r="F37">
        <v>512000</v>
      </c>
      <c r="G37" t="s">
        <v>428</v>
      </c>
      <c r="H37" t="s">
        <v>401</v>
      </c>
      <c r="I37" t="s">
        <v>402</v>
      </c>
      <c r="J37" t="s">
        <v>6791</v>
      </c>
      <c r="K37">
        <v>20230710</v>
      </c>
      <c r="L37" t="s">
        <v>5757</v>
      </c>
      <c r="M37">
        <v>0</v>
      </c>
      <c r="N37">
        <v>1300</v>
      </c>
      <c r="O37" t="s">
        <v>19</v>
      </c>
      <c r="P37" t="s">
        <v>20</v>
      </c>
      <c r="Q37">
        <v>20230710</v>
      </c>
    </row>
    <row r="38" spans="1:17" x14ac:dyDescent="0.25">
      <c r="A38" t="s">
        <v>476</v>
      </c>
      <c r="B38" t="s">
        <v>477</v>
      </c>
      <c r="C38">
        <v>1</v>
      </c>
      <c r="D38">
        <v>20230710</v>
      </c>
      <c r="E38">
        <v>7</v>
      </c>
      <c r="F38">
        <v>401000</v>
      </c>
      <c r="G38" t="s">
        <v>41</v>
      </c>
      <c r="H38" t="s">
        <v>46</v>
      </c>
      <c r="I38" t="s">
        <v>47</v>
      </c>
      <c r="J38" t="s">
        <v>6790</v>
      </c>
      <c r="K38">
        <v>20230710</v>
      </c>
      <c r="L38" t="s">
        <v>5758</v>
      </c>
      <c r="M38">
        <v>651</v>
      </c>
      <c r="N38">
        <v>0</v>
      </c>
      <c r="O38" t="s">
        <v>22</v>
      </c>
      <c r="P38">
        <v>20230710</v>
      </c>
      <c r="Q38">
        <v>20230710</v>
      </c>
    </row>
    <row r="39" spans="1:17" x14ac:dyDescent="0.25">
      <c r="A39" t="s">
        <v>476</v>
      </c>
      <c r="B39" t="s">
        <v>477</v>
      </c>
      <c r="C39">
        <v>1</v>
      </c>
      <c r="D39">
        <v>20230710</v>
      </c>
      <c r="E39">
        <v>7</v>
      </c>
      <c r="F39">
        <v>401000</v>
      </c>
      <c r="G39" t="s">
        <v>41</v>
      </c>
      <c r="H39" t="s">
        <v>56</v>
      </c>
      <c r="I39" t="s">
        <v>57</v>
      </c>
      <c r="J39" t="s">
        <v>6790</v>
      </c>
      <c r="K39">
        <v>20230710</v>
      </c>
      <c r="L39" t="s">
        <v>5758</v>
      </c>
      <c r="M39">
        <v>531.70000000000005</v>
      </c>
      <c r="N39">
        <v>0</v>
      </c>
      <c r="O39" t="s">
        <v>22</v>
      </c>
      <c r="P39">
        <v>20230710</v>
      </c>
      <c r="Q39">
        <v>20230710</v>
      </c>
    </row>
    <row r="40" spans="1:17" x14ac:dyDescent="0.25">
      <c r="A40" t="s">
        <v>476</v>
      </c>
      <c r="B40" t="s">
        <v>477</v>
      </c>
      <c r="C40">
        <v>1</v>
      </c>
      <c r="D40">
        <v>20230710</v>
      </c>
      <c r="E40">
        <v>7</v>
      </c>
      <c r="F40">
        <v>401000</v>
      </c>
      <c r="G40" t="s">
        <v>41</v>
      </c>
      <c r="H40" t="s">
        <v>71</v>
      </c>
      <c r="I40" t="s">
        <v>72</v>
      </c>
      <c r="J40" t="s">
        <v>6790</v>
      </c>
      <c r="K40">
        <v>20230710</v>
      </c>
      <c r="L40" t="s">
        <v>5758</v>
      </c>
      <c r="M40">
        <v>311.3</v>
      </c>
      <c r="N40">
        <v>0</v>
      </c>
      <c r="O40" t="s">
        <v>22</v>
      </c>
      <c r="P40">
        <v>20230710</v>
      </c>
      <c r="Q40">
        <v>20230710</v>
      </c>
    </row>
    <row r="41" spans="1:17" x14ac:dyDescent="0.25">
      <c r="A41" t="s">
        <v>476</v>
      </c>
      <c r="B41" t="s">
        <v>477</v>
      </c>
      <c r="C41">
        <v>1</v>
      </c>
      <c r="D41">
        <v>20230710</v>
      </c>
      <c r="E41">
        <v>7</v>
      </c>
      <c r="F41">
        <v>401000</v>
      </c>
      <c r="G41" t="s">
        <v>41</v>
      </c>
      <c r="H41" t="s">
        <v>474</v>
      </c>
      <c r="I41" t="s">
        <v>475</v>
      </c>
      <c r="J41" t="s">
        <v>6790</v>
      </c>
      <c r="K41">
        <v>20230710</v>
      </c>
      <c r="L41" t="s">
        <v>5758</v>
      </c>
      <c r="M41">
        <v>180</v>
      </c>
      <c r="N41">
        <v>0</v>
      </c>
      <c r="O41" t="s">
        <v>22</v>
      </c>
      <c r="P41">
        <v>20230710</v>
      </c>
      <c r="Q41">
        <v>20230710</v>
      </c>
    </row>
    <row r="42" spans="1:17" x14ac:dyDescent="0.25">
      <c r="A42" t="s">
        <v>476</v>
      </c>
      <c r="B42" t="s">
        <v>477</v>
      </c>
      <c r="C42">
        <v>1</v>
      </c>
      <c r="D42">
        <v>20230710</v>
      </c>
      <c r="E42">
        <v>7</v>
      </c>
      <c r="F42">
        <v>512000</v>
      </c>
      <c r="G42" t="s">
        <v>428</v>
      </c>
      <c r="H42" t="s">
        <v>401</v>
      </c>
      <c r="I42" t="s">
        <v>402</v>
      </c>
      <c r="J42" t="s">
        <v>6790</v>
      </c>
      <c r="K42">
        <v>20230710</v>
      </c>
      <c r="L42" t="s">
        <v>5758</v>
      </c>
      <c r="M42">
        <v>0</v>
      </c>
      <c r="N42">
        <v>1674</v>
      </c>
      <c r="O42" t="s">
        <v>19</v>
      </c>
      <c r="P42" t="s">
        <v>20</v>
      </c>
      <c r="Q42">
        <v>20230710</v>
      </c>
    </row>
    <row r="43" spans="1:17" x14ac:dyDescent="0.25">
      <c r="A43" t="s">
        <v>476</v>
      </c>
      <c r="B43" t="s">
        <v>477</v>
      </c>
      <c r="C43">
        <v>1</v>
      </c>
      <c r="D43">
        <v>20230710</v>
      </c>
      <c r="E43">
        <v>7</v>
      </c>
      <c r="F43">
        <v>468200</v>
      </c>
      <c r="G43" t="s">
        <v>421</v>
      </c>
      <c r="H43" t="s">
        <v>401</v>
      </c>
      <c r="I43" t="s">
        <v>402</v>
      </c>
      <c r="J43" t="s">
        <v>6789</v>
      </c>
      <c r="K43">
        <v>20230710</v>
      </c>
      <c r="L43" t="s">
        <v>422</v>
      </c>
      <c r="M43">
        <v>0</v>
      </c>
      <c r="N43">
        <v>111.1</v>
      </c>
      <c r="O43" t="s">
        <v>19</v>
      </c>
      <c r="P43" t="s">
        <v>20</v>
      </c>
      <c r="Q43">
        <v>20230710</v>
      </c>
    </row>
    <row r="44" spans="1:17" x14ac:dyDescent="0.25">
      <c r="A44" t="s">
        <v>476</v>
      </c>
      <c r="B44" t="s">
        <v>477</v>
      </c>
      <c r="C44">
        <v>1</v>
      </c>
      <c r="D44">
        <v>20230710</v>
      </c>
      <c r="E44">
        <v>7</v>
      </c>
      <c r="F44">
        <v>512000</v>
      </c>
      <c r="G44" t="s">
        <v>428</v>
      </c>
      <c r="H44" t="s">
        <v>401</v>
      </c>
      <c r="I44" t="s">
        <v>402</v>
      </c>
      <c r="J44" t="s">
        <v>6789</v>
      </c>
      <c r="K44">
        <v>20230710</v>
      </c>
      <c r="L44" t="s">
        <v>422</v>
      </c>
      <c r="M44">
        <v>111.1</v>
      </c>
      <c r="N44">
        <v>0</v>
      </c>
      <c r="O44" t="s">
        <v>19</v>
      </c>
      <c r="P44" t="s">
        <v>20</v>
      </c>
      <c r="Q44">
        <v>20230710</v>
      </c>
    </row>
    <row r="45" spans="1:17" x14ac:dyDescent="0.25">
      <c r="A45" t="s">
        <v>476</v>
      </c>
      <c r="B45" t="s">
        <v>477</v>
      </c>
      <c r="C45">
        <v>1</v>
      </c>
      <c r="D45">
        <v>20230711</v>
      </c>
      <c r="E45">
        <v>7</v>
      </c>
      <c r="F45">
        <v>468200</v>
      </c>
      <c r="G45" t="s">
        <v>421</v>
      </c>
      <c r="H45" t="s">
        <v>401</v>
      </c>
      <c r="I45" t="s">
        <v>402</v>
      </c>
      <c r="J45" t="s">
        <v>6788</v>
      </c>
      <c r="K45">
        <v>20230711</v>
      </c>
      <c r="L45" t="s">
        <v>422</v>
      </c>
      <c r="M45">
        <v>0</v>
      </c>
      <c r="N45">
        <v>404.32</v>
      </c>
      <c r="O45" t="s">
        <v>19</v>
      </c>
      <c r="P45" t="s">
        <v>20</v>
      </c>
      <c r="Q45">
        <v>20230711</v>
      </c>
    </row>
    <row r="46" spans="1:17" x14ac:dyDescent="0.25">
      <c r="A46" t="s">
        <v>476</v>
      </c>
      <c r="B46" t="s">
        <v>477</v>
      </c>
      <c r="C46">
        <v>1</v>
      </c>
      <c r="D46">
        <v>20230711</v>
      </c>
      <c r="E46">
        <v>7</v>
      </c>
      <c r="F46">
        <v>512000</v>
      </c>
      <c r="G46" t="s">
        <v>428</v>
      </c>
      <c r="H46" t="s">
        <v>401</v>
      </c>
      <c r="I46" t="s">
        <v>402</v>
      </c>
      <c r="J46" t="s">
        <v>6788</v>
      </c>
      <c r="K46">
        <v>20230711</v>
      </c>
      <c r="L46" t="s">
        <v>422</v>
      </c>
      <c r="M46">
        <v>404.32</v>
      </c>
      <c r="N46">
        <v>0</v>
      </c>
      <c r="O46" t="s">
        <v>19</v>
      </c>
      <c r="P46" t="s">
        <v>20</v>
      </c>
      <c r="Q46">
        <v>20230711</v>
      </c>
    </row>
    <row r="47" spans="1:17" x14ac:dyDescent="0.25">
      <c r="A47" t="s">
        <v>476</v>
      </c>
      <c r="B47" t="s">
        <v>477</v>
      </c>
      <c r="C47">
        <v>1</v>
      </c>
      <c r="D47">
        <v>20230712</v>
      </c>
      <c r="E47">
        <v>7</v>
      </c>
      <c r="F47">
        <v>437000</v>
      </c>
      <c r="G47" t="s">
        <v>430</v>
      </c>
      <c r="H47" t="s">
        <v>401</v>
      </c>
      <c r="I47" t="s">
        <v>402</v>
      </c>
      <c r="J47" t="s">
        <v>6787</v>
      </c>
      <c r="K47">
        <v>20230712</v>
      </c>
      <c r="L47" t="s">
        <v>497</v>
      </c>
      <c r="M47">
        <v>2076.48</v>
      </c>
      <c r="N47">
        <v>0</v>
      </c>
      <c r="O47" t="s">
        <v>19</v>
      </c>
      <c r="P47" t="s">
        <v>20</v>
      </c>
      <c r="Q47">
        <v>20230712</v>
      </c>
    </row>
    <row r="48" spans="1:17" x14ac:dyDescent="0.25">
      <c r="A48" t="s">
        <v>476</v>
      </c>
      <c r="B48" t="s">
        <v>477</v>
      </c>
      <c r="C48">
        <v>1</v>
      </c>
      <c r="D48">
        <v>20230712</v>
      </c>
      <c r="E48">
        <v>7</v>
      </c>
      <c r="F48">
        <v>512000</v>
      </c>
      <c r="G48" t="s">
        <v>428</v>
      </c>
      <c r="H48" t="s">
        <v>401</v>
      </c>
      <c r="I48" t="s">
        <v>402</v>
      </c>
      <c r="J48" t="s">
        <v>6787</v>
      </c>
      <c r="K48">
        <v>20230712</v>
      </c>
      <c r="L48" t="s">
        <v>497</v>
      </c>
      <c r="M48">
        <v>0</v>
      </c>
      <c r="N48">
        <v>2076.48</v>
      </c>
      <c r="O48" t="s">
        <v>19</v>
      </c>
      <c r="P48" t="s">
        <v>20</v>
      </c>
      <c r="Q48">
        <v>20230712</v>
      </c>
    </row>
    <row r="49" spans="1:17" x14ac:dyDescent="0.25">
      <c r="A49" t="s">
        <v>476</v>
      </c>
      <c r="B49" t="s">
        <v>477</v>
      </c>
      <c r="C49">
        <v>1</v>
      </c>
      <c r="D49">
        <v>20230712</v>
      </c>
      <c r="E49">
        <v>7</v>
      </c>
      <c r="F49">
        <v>468740</v>
      </c>
      <c r="G49" t="s">
        <v>426</v>
      </c>
      <c r="H49" t="s">
        <v>401</v>
      </c>
      <c r="I49" t="s">
        <v>402</v>
      </c>
      <c r="J49" t="s">
        <v>6786</v>
      </c>
      <c r="K49">
        <v>20230712</v>
      </c>
      <c r="L49" t="s">
        <v>6785</v>
      </c>
      <c r="M49">
        <v>0</v>
      </c>
      <c r="N49">
        <v>10000</v>
      </c>
      <c r="O49" t="s">
        <v>23</v>
      </c>
      <c r="P49">
        <v>20230918</v>
      </c>
      <c r="Q49">
        <v>20230712</v>
      </c>
    </row>
    <row r="50" spans="1:17" x14ac:dyDescent="0.25">
      <c r="A50" t="s">
        <v>476</v>
      </c>
      <c r="B50" t="s">
        <v>477</v>
      </c>
      <c r="C50">
        <v>1</v>
      </c>
      <c r="D50">
        <v>20230712</v>
      </c>
      <c r="E50">
        <v>7</v>
      </c>
      <c r="F50">
        <v>512000</v>
      </c>
      <c r="G50" t="s">
        <v>428</v>
      </c>
      <c r="H50" t="s">
        <v>401</v>
      </c>
      <c r="I50" t="s">
        <v>402</v>
      </c>
      <c r="J50" t="s">
        <v>6786</v>
      </c>
      <c r="K50">
        <v>20230712</v>
      </c>
      <c r="L50" t="s">
        <v>6785</v>
      </c>
      <c r="M50">
        <v>10000</v>
      </c>
      <c r="N50">
        <v>0</v>
      </c>
      <c r="O50" t="s">
        <v>19</v>
      </c>
      <c r="P50" t="s">
        <v>20</v>
      </c>
      <c r="Q50">
        <v>20230712</v>
      </c>
    </row>
    <row r="51" spans="1:17" x14ac:dyDescent="0.25">
      <c r="A51" t="s">
        <v>476</v>
      </c>
      <c r="B51" t="s">
        <v>477</v>
      </c>
      <c r="C51">
        <v>1</v>
      </c>
      <c r="D51">
        <v>20230712</v>
      </c>
      <c r="E51">
        <v>7</v>
      </c>
      <c r="F51">
        <v>468740</v>
      </c>
      <c r="G51" t="s">
        <v>426</v>
      </c>
      <c r="H51" t="s">
        <v>401</v>
      </c>
      <c r="I51" t="s">
        <v>402</v>
      </c>
      <c r="J51" t="s">
        <v>6784</v>
      </c>
      <c r="K51">
        <v>20230712</v>
      </c>
      <c r="L51" t="s">
        <v>6783</v>
      </c>
      <c r="M51">
        <v>0</v>
      </c>
      <c r="N51">
        <v>7000</v>
      </c>
      <c r="O51" t="s">
        <v>23</v>
      </c>
      <c r="P51">
        <v>20230918</v>
      </c>
      <c r="Q51">
        <v>20230712</v>
      </c>
    </row>
    <row r="52" spans="1:17" x14ac:dyDescent="0.25">
      <c r="A52" t="s">
        <v>476</v>
      </c>
      <c r="B52" t="s">
        <v>477</v>
      </c>
      <c r="C52">
        <v>1</v>
      </c>
      <c r="D52">
        <v>20230712</v>
      </c>
      <c r="E52">
        <v>7</v>
      </c>
      <c r="F52">
        <v>512000</v>
      </c>
      <c r="G52" t="s">
        <v>428</v>
      </c>
      <c r="H52" t="s">
        <v>401</v>
      </c>
      <c r="I52" t="s">
        <v>402</v>
      </c>
      <c r="J52" t="s">
        <v>6784</v>
      </c>
      <c r="K52">
        <v>20230712</v>
      </c>
      <c r="L52" t="s">
        <v>6783</v>
      </c>
      <c r="M52">
        <v>7000</v>
      </c>
      <c r="N52">
        <v>0</v>
      </c>
      <c r="O52" t="s">
        <v>19</v>
      </c>
      <c r="P52" t="s">
        <v>20</v>
      </c>
      <c r="Q52">
        <v>20230712</v>
      </c>
    </row>
    <row r="53" spans="1:17" x14ac:dyDescent="0.25">
      <c r="A53" t="s">
        <v>476</v>
      </c>
      <c r="B53" t="s">
        <v>477</v>
      </c>
      <c r="C53">
        <v>1</v>
      </c>
      <c r="D53">
        <v>20230712</v>
      </c>
      <c r="E53">
        <v>7</v>
      </c>
      <c r="F53">
        <v>468740</v>
      </c>
      <c r="G53" t="s">
        <v>426</v>
      </c>
      <c r="H53" t="s">
        <v>401</v>
      </c>
      <c r="I53" t="s">
        <v>402</v>
      </c>
      <c r="J53" t="s">
        <v>6782</v>
      </c>
      <c r="K53">
        <v>20230712</v>
      </c>
      <c r="L53" t="s">
        <v>6781</v>
      </c>
      <c r="M53">
        <v>0</v>
      </c>
      <c r="N53">
        <v>5000</v>
      </c>
      <c r="O53" t="s">
        <v>23</v>
      </c>
      <c r="P53">
        <v>20230918</v>
      </c>
      <c r="Q53">
        <v>20230712</v>
      </c>
    </row>
    <row r="54" spans="1:17" x14ac:dyDescent="0.25">
      <c r="A54" t="s">
        <v>476</v>
      </c>
      <c r="B54" t="s">
        <v>477</v>
      </c>
      <c r="C54">
        <v>1</v>
      </c>
      <c r="D54">
        <v>20230712</v>
      </c>
      <c r="E54">
        <v>7</v>
      </c>
      <c r="F54">
        <v>512000</v>
      </c>
      <c r="G54" t="s">
        <v>428</v>
      </c>
      <c r="H54" t="s">
        <v>401</v>
      </c>
      <c r="I54" t="s">
        <v>402</v>
      </c>
      <c r="J54" t="s">
        <v>6782</v>
      </c>
      <c r="K54">
        <v>20230712</v>
      </c>
      <c r="L54" t="s">
        <v>6781</v>
      </c>
      <c r="M54">
        <v>5000</v>
      </c>
      <c r="N54">
        <v>0</v>
      </c>
      <c r="O54" t="s">
        <v>19</v>
      </c>
      <c r="P54" t="s">
        <v>20</v>
      </c>
      <c r="Q54">
        <v>20230712</v>
      </c>
    </row>
    <row r="55" spans="1:17" x14ac:dyDescent="0.25">
      <c r="A55" t="s">
        <v>476</v>
      </c>
      <c r="B55" t="s">
        <v>477</v>
      </c>
      <c r="C55">
        <v>1</v>
      </c>
      <c r="D55">
        <v>20230712</v>
      </c>
      <c r="E55">
        <v>7</v>
      </c>
      <c r="F55">
        <v>468200</v>
      </c>
      <c r="G55" t="s">
        <v>421</v>
      </c>
      <c r="H55" t="s">
        <v>401</v>
      </c>
      <c r="I55" t="s">
        <v>402</v>
      </c>
      <c r="J55" t="s">
        <v>6780</v>
      </c>
      <c r="K55">
        <v>20230712</v>
      </c>
      <c r="L55" t="s">
        <v>422</v>
      </c>
      <c r="M55">
        <v>0</v>
      </c>
      <c r="N55">
        <v>46.8</v>
      </c>
      <c r="O55" t="s">
        <v>19</v>
      </c>
      <c r="P55" t="s">
        <v>20</v>
      </c>
      <c r="Q55">
        <v>20230712</v>
      </c>
    </row>
    <row r="56" spans="1:17" x14ac:dyDescent="0.25">
      <c r="A56" t="s">
        <v>476</v>
      </c>
      <c r="B56" t="s">
        <v>477</v>
      </c>
      <c r="C56">
        <v>1</v>
      </c>
      <c r="D56">
        <v>20230712</v>
      </c>
      <c r="E56">
        <v>7</v>
      </c>
      <c r="F56">
        <v>512000</v>
      </c>
      <c r="G56" t="s">
        <v>428</v>
      </c>
      <c r="H56" t="s">
        <v>401</v>
      </c>
      <c r="I56" t="s">
        <v>402</v>
      </c>
      <c r="J56" t="s">
        <v>6780</v>
      </c>
      <c r="K56">
        <v>20230712</v>
      </c>
      <c r="L56" t="s">
        <v>422</v>
      </c>
      <c r="M56">
        <v>46.8</v>
      </c>
      <c r="N56">
        <v>0</v>
      </c>
      <c r="O56" t="s">
        <v>19</v>
      </c>
      <c r="P56" t="s">
        <v>20</v>
      </c>
      <c r="Q56">
        <v>20230712</v>
      </c>
    </row>
    <row r="57" spans="1:17" x14ac:dyDescent="0.25">
      <c r="A57" t="s">
        <v>476</v>
      </c>
      <c r="B57" t="s">
        <v>477</v>
      </c>
      <c r="C57">
        <v>1</v>
      </c>
      <c r="D57">
        <v>20230714</v>
      </c>
      <c r="E57">
        <v>7</v>
      </c>
      <c r="F57">
        <v>401000</v>
      </c>
      <c r="G57" t="s">
        <v>41</v>
      </c>
      <c r="H57" t="s">
        <v>6779</v>
      </c>
      <c r="I57" t="s">
        <v>2772</v>
      </c>
      <c r="J57" t="s">
        <v>6778</v>
      </c>
      <c r="K57">
        <v>20230714</v>
      </c>
      <c r="L57" t="s">
        <v>3351</v>
      </c>
      <c r="M57">
        <v>70</v>
      </c>
      <c r="N57">
        <v>0</v>
      </c>
      <c r="O57" t="s">
        <v>23</v>
      </c>
      <c r="P57">
        <v>20230913</v>
      </c>
      <c r="Q57">
        <v>20230714</v>
      </c>
    </row>
    <row r="58" spans="1:17" x14ac:dyDescent="0.25">
      <c r="A58" t="s">
        <v>476</v>
      </c>
      <c r="B58" t="s">
        <v>477</v>
      </c>
      <c r="C58">
        <v>1</v>
      </c>
      <c r="D58">
        <v>20230714</v>
      </c>
      <c r="E58">
        <v>7</v>
      </c>
      <c r="F58">
        <v>512000</v>
      </c>
      <c r="G58" t="s">
        <v>428</v>
      </c>
      <c r="H58" t="s">
        <v>401</v>
      </c>
      <c r="I58" t="s">
        <v>402</v>
      </c>
      <c r="J58" t="s">
        <v>6778</v>
      </c>
      <c r="K58">
        <v>20230714</v>
      </c>
      <c r="L58" t="s">
        <v>3351</v>
      </c>
      <c r="M58">
        <v>0</v>
      </c>
      <c r="N58">
        <v>70</v>
      </c>
      <c r="O58" t="s">
        <v>19</v>
      </c>
      <c r="P58" t="s">
        <v>20</v>
      </c>
      <c r="Q58">
        <v>20230714</v>
      </c>
    </row>
    <row r="59" spans="1:17" x14ac:dyDescent="0.25">
      <c r="A59" t="s">
        <v>476</v>
      </c>
      <c r="B59" t="s">
        <v>477</v>
      </c>
      <c r="C59">
        <v>1</v>
      </c>
      <c r="D59">
        <v>20230717</v>
      </c>
      <c r="E59">
        <v>7</v>
      </c>
      <c r="F59">
        <v>467100</v>
      </c>
      <c r="G59" t="s">
        <v>160</v>
      </c>
      <c r="H59" t="s">
        <v>316</v>
      </c>
      <c r="I59" t="s">
        <v>317</v>
      </c>
      <c r="J59" t="s">
        <v>6777</v>
      </c>
      <c r="K59">
        <v>20230717</v>
      </c>
      <c r="L59" t="s">
        <v>5757</v>
      </c>
      <c r="M59">
        <v>370</v>
      </c>
      <c r="N59">
        <v>0</v>
      </c>
      <c r="O59" t="s">
        <v>23</v>
      </c>
      <c r="P59">
        <v>20230908</v>
      </c>
      <c r="Q59">
        <v>20230717</v>
      </c>
    </row>
    <row r="60" spans="1:17" x14ac:dyDescent="0.25">
      <c r="A60" t="s">
        <v>476</v>
      </c>
      <c r="B60" t="s">
        <v>477</v>
      </c>
      <c r="C60">
        <v>1</v>
      </c>
      <c r="D60">
        <v>20230717</v>
      </c>
      <c r="E60">
        <v>7</v>
      </c>
      <c r="F60">
        <v>467100</v>
      </c>
      <c r="G60" t="s">
        <v>160</v>
      </c>
      <c r="H60" t="s">
        <v>1726</v>
      </c>
      <c r="I60" t="s">
        <v>1727</v>
      </c>
      <c r="J60" t="s">
        <v>6777</v>
      </c>
      <c r="K60">
        <v>20230717</v>
      </c>
      <c r="L60" t="s">
        <v>5757</v>
      </c>
      <c r="M60">
        <v>200</v>
      </c>
      <c r="N60">
        <v>0</v>
      </c>
      <c r="O60" t="s">
        <v>19</v>
      </c>
      <c r="P60" t="s">
        <v>20</v>
      </c>
      <c r="Q60">
        <v>20230717</v>
      </c>
    </row>
    <row r="61" spans="1:17" x14ac:dyDescent="0.25">
      <c r="A61" t="s">
        <v>476</v>
      </c>
      <c r="B61" t="s">
        <v>477</v>
      </c>
      <c r="C61">
        <v>1</v>
      </c>
      <c r="D61">
        <v>20230717</v>
      </c>
      <c r="E61">
        <v>7</v>
      </c>
      <c r="F61">
        <v>512000</v>
      </c>
      <c r="G61" t="s">
        <v>428</v>
      </c>
      <c r="H61" t="s">
        <v>401</v>
      </c>
      <c r="I61" t="s">
        <v>402</v>
      </c>
      <c r="J61" t="s">
        <v>6777</v>
      </c>
      <c r="K61">
        <v>20230717</v>
      </c>
      <c r="L61" t="s">
        <v>5757</v>
      </c>
      <c r="M61">
        <v>0</v>
      </c>
      <c r="N61">
        <v>570</v>
      </c>
      <c r="O61" t="s">
        <v>19</v>
      </c>
      <c r="P61" t="s">
        <v>20</v>
      </c>
      <c r="Q61">
        <v>20230717</v>
      </c>
    </row>
    <row r="62" spans="1:17" x14ac:dyDescent="0.25">
      <c r="A62" t="s">
        <v>476</v>
      </c>
      <c r="B62" t="s">
        <v>477</v>
      </c>
      <c r="C62">
        <v>1</v>
      </c>
      <c r="D62">
        <v>20230717</v>
      </c>
      <c r="E62">
        <v>7</v>
      </c>
      <c r="F62">
        <v>471000</v>
      </c>
      <c r="G62" t="s">
        <v>4801</v>
      </c>
      <c r="H62" t="s">
        <v>401</v>
      </c>
      <c r="I62" t="s">
        <v>402</v>
      </c>
      <c r="J62" t="s">
        <v>6776</v>
      </c>
      <c r="K62">
        <v>20230717</v>
      </c>
      <c r="L62" t="s">
        <v>6774</v>
      </c>
      <c r="M62">
        <v>0</v>
      </c>
      <c r="N62">
        <v>1122</v>
      </c>
      <c r="O62" t="s">
        <v>19</v>
      </c>
      <c r="P62" t="s">
        <v>20</v>
      </c>
      <c r="Q62">
        <v>20230717</v>
      </c>
    </row>
    <row r="63" spans="1:17" x14ac:dyDescent="0.25">
      <c r="A63" t="s">
        <v>476</v>
      </c>
      <c r="B63" t="s">
        <v>477</v>
      </c>
      <c r="C63">
        <v>1</v>
      </c>
      <c r="D63">
        <v>20230717</v>
      </c>
      <c r="E63">
        <v>7</v>
      </c>
      <c r="F63">
        <v>512000</v>
      </c>
      <c r="G63" t="s">
        <v>428</v>
      </c>
      <c r="H63" t="s">
        <v>401</v>
      </c>
      <c r="I63" t="s">
        <v>402</v>
      </c>
      <c r="J63" t="s">
        <v>6776</v>
      </c>
      <c r="K63">
        <v>20230717</v>
      </c>
      <c r="L63" t="s">
        <v>6774</v>
      </c>
      <c r="M63">
        <v>1122</v>
      </c>
      <c r="N63">
        <v>0</v>
      </c>
      <c r="O63" t="s">
        <v>19</v>
      </c>
      <c r="P63" t="s">
        <v>20</v>
      </c>
      <c r="Q63">
        <v>20230717</v>
      </c>
    </row>
    <row r="64" spans="1:17" x14ac:dyDescent="0.25">
      <c r="A64" t="s">
        <v>476</v>
      </c>
      <c r="B64" t="s">
        <v>477</v>
      </c>
      <c r="C64">
        <v>1</v>
      </c>
      <c r="D64">
        <v>20230717</v>
      </c>
      <c r="E64">
        <v>7</v>
      </c>
      <c r="F64">
        <v>471000</v>
      </c>
      <c r="G64" t="s">
        <v>4801</v>
      </c>
      <c r="H64" t="s">
        <v>401</v>
      </c>
      <c r="I64" t="s">
        <v>402</v>
      </c>
      <c r="J64" t="s">
        <v>6775</v>
      </c>
      <c r="K64">
        <v>20230717</v>
      </c>
      <c r="L64" t="s">
        <v>6774</v>
      </c>
      <c r="M64">
        <v>0</v>
      </c>
      <c r="N64">
        <v>1003</v>
      </c>
      <c r="O64" t="s">
        <v>19</v>
      </c>
      <c r="P64" t="s">
        <v>20</v>
      </c>
      <c r="Q64">
        <v>20230717</v>
      </c>
    </row>
    <row r="65" spans="1:17" x14ac:dyDescent="0.25">
      <c r="A65" t="s">
        <v>476</v>
      </c>
      <c r="B65" t="s">
        <v>477</v>
      </c>
      <c r="C65">
        <v>1</v>
      </c>
      <c r="D65">
        <v>20230717</v>
      </c>
      <c r="E65">
        <v>7</v>
      </c>
      <c r="F65">
        <v>512000</v>
      </c>
      <c r="G65" t="s">
        <v>428</v>
      </c>
      <c r="H65" t="s">
        <v>401</v>
      </c>
      <c r="I65" t="s">
        <v>402</v>
      </c>
      <c r="J65" t="s">
        <v>6775</v>
      </c>
      <c r="K65">
        <v>20230717</v>
      </c>
      <c r="L65" t="s">
        <v>6774</v>
      </c>
      <c r="M65">
        <v>1003</v>
      </c>
      <c r="N65">
        <v>0</v>
      </c>
      <c r="O65" t="s">
        <v>19</v>
      </c>
      <c r="P65" t="s">
        <v>20</v>
      </c>
      <c r="Q65">
        <v>20230717</v>
      </c>
    </row>
    <row r="66" spans="1:17" x14ac:dyDescent="0.25">
      <c r="A66" t="s">
        <v>476</v>
      </c>
      <c r="B66" t="s">
        <v>477</v>
      </c>
      <c r="C66">
        <v>1</v>
      </c>
      <c r="D66">
        <v>20230718</v>
      </c>
      <c r="E66">
        <v>7</v>
      </c>
      <c r="F66">
        <v>431000</v>
      </c>
      <c r="G66" t="s">
        <v>408</v>
      </c>
      <c r="H66" t="s">
        <v>401</v>
      </c>
      <c r="I66" t="s">
        <v>402</v>
      </c>
      <c r="J66" t="s">
        <v>6773</v>
      </c>
      <c r="K66">
        <v>20230718</v>
      </c>
      <c r="L66" t="s">
        <v>409</v>
      </c>
      <c r="M66">
        <v>30592</v>
      </c>
      <c r="N66">
        <v>0</v>
      </c>
      <c r="O66" t="s">
        <v>19</v>
      </c>
      <c r="P66" t="s">
        <v>20</v>
      </c>
      <c r="Q66">
        <v>20230718</v>
      </c>
    </row>
    <row r="67" spans="1:17" x14ac:dyDescent="0.25">
      <c r="A67" t="s">
        <v>476</v>
      </c>
      <c r="B67" t="s">
        <v>477</v>
      </c>
      <c r="C67">
        <v>1</v>
      </c>
      <c r="D67">
        <v>20230718</v>
      </c>
      <c r="E67">
        <v>7</v>
      </c>
      <c r="F67">
        <v>512000</v>
      </c>
      <c r="G67" t="s">
        <v>428</v>
      </c>
      <c r="H67" t="s">
        <v>401</v>
      </c>
      <c r="I67" t="s">
        <v>402</v>
      </c>
      <c r="J67" t="s">
        <v>6773</v>
      </c>
      <c r="K67">
        <v>20230718</v>
      </c>
      <c r="L67" t="s">
        <v>409</v>
      </c>
      <c r="M67">
        <v>0</v>
      </c>
      <c r="N67">
        <v>30592</v>
      </c>
      <c r="O67" t="s">
        <v>19</v>
      </c>
      <c r="P67" t="s">
        <v>20</v>
      </c>
      <c r="Q67">
        <v>20230718</v>
      </c>
    </row>
    <row r="68" spans="1:17" x14ac:dyDescent="0.25">
      <c r="A68" t="s">
        <v>476</v>
      </c>
      <c r="B68" t="s">
        <v>477</v>
      </c>
      <c r="C68">
        <v>1</v>
      </c>
      <c r="D68">
        <v>20230718</v>
      </c>
      <c r="E68">
        <v>7</v>
      </c>
      <c r="F68">
        <v>468200</v>
      </c>
      <c r="G68" t="s">
        <v>421</v>
      </c>
      <c r="H68" t="s">
        <v>401</v>
      </c>
      <c r="I68" t="s">
        <v>402</v>
      </c>
      <c r="J68" t="s">
        <v>6772</v>
      </c>
      <c r="K68">
        <v>20230718</v>
      </c>
      <c r="L68" t="s">
        <v>422</v>
      </c>
      <c r="M68">
        <v>0</v>
      </c>
      <c r="N68">
        <v>24.97</v>
      </c>
      <c r="O68" t="s">
        <v>19</v>
      </c>
      <c r="P68" t="s">
        <v>20</v>
      </c>
      <c r="Q68">
        <v>20230718</v>
      </c>
    </row>
    <row r="69" spans="1:17" x14ac:dyDescent="0.25">
      <c r="A69" t="s">
        <v>476</v>
      </c>
      <c r="B69" t="s">
        <v>477</v>
      </c>
      <c r="C69">
        <v>1</v>
      </c>
      <c r="D69">
        <v>20230718</v>
      </c>
      <c r="E69">
        <v>7</v>
      </c>
      <c r="F69">
        <v>512000</v>
      </c>
      <c r="G69" t="s">
        <v>428</v>
      </c>
      <c r="H69" t="s">
        <v>401</v>
      </c>
      <c r="I69" t="s">
        <v>402</v>
      </c>
      <c r="J69" t="s">
        <v>6772</v>
      </c>
      <c r="K69">
        <v>20230718</v>
      </c>
      <c r="L69" t="s">
        <v>422</v>
      </c>
      <c r="M69">
        <v>24.97</v>
      </c>
      <c r="N69">
        <v>0</v>
      </c>
      <c r="O69" t="s">
        <v>19</v>
      </c>
      <c r="P69" t="s">
        <v>20</v>
      </c>
      <c r="Q69">
        <v>20230718</v>
      </c>
    </row>
    <row r="70" spans="1:17" x14ac:dyDescent="0.25">
      <c r="A70" t="s">
        <v>476</v>
      </c>
      <c r="B70" t="s">
        <v>477</v>
      </c>
      <c r="C70">
        <v>1</v>
      </c>
      <c r="D70">
        <v>20230719</v>
      </c>
      <c r="E70">
        <v>7</v>
      </c>
      <c r="F70">
        <v>467100</v>
      </c>
      <c r="G70" t="s">
        <v>160</v>
      </c>
      <c r="H70" t="s">
        <v>4847</v>
      </c>
      <c r="I70" t="s">
        <v>4848</v>
      </c>
      <c r="J70" t="s">
        <v>6771</v>
      </c>
      <c r="K70">
        <v>20230719</v>
      </c>
      <c r="L70" t="s">
        <v>5758</v>
      </c>
      <c r="M70">
        <v>162.81</v>
      </c>
      <c r="N70">
        <v>0</v>
      </c>
      <c r="O70" t="s">
        <v>22</v>
      </c>
      <c r="P70">
        <v>20230719</v>
      </c>
      <c r="Q70">
        <v>20230719</v>
      </c>
    </row>
    <row r="71" spans="1:17" x14ac:dyDescent="0.25">
      <c r="A71" t="s">
        <v>476</v>
      </c>
      <c r="B71" t="s">
        <v>477</v>
      </c>
      <c r="C71">
        <v>1</v>
      </c>
      <c r="D71">
        <v>20230719</v>
      </c>
      <c r="E71">
        <v>7</v>
      </c>
      <c r="F71">
        <v>512000</v>
      </c>
      <c r="G71" t="s">
        <v>428</v>
      </c>
      <c r="H71" t="s">
        <v>401</v>
      </c>
      <c r="I71" t="s">
        <v>402</v>
      </c>
      <c r="J71" t="s">
        <v>6771</v>
      </c>
      <c r="K71">
        <v>20230719</v>
      </c>
      <c r="L71" t="s">
        <v>5758</v>
      </c>
      <c r="M71">
        <v>0</v>
      </c>
      <c r="N71">
        <v>162.81</v>
      </c>
      <c r="O71" t="s">
        <v>19</v>
      </c>
      <c r="P71" t="s">
        <v>20</v>
      </c>
      <c r="Q71">
        <v>20230719</v>
      </c>
    </row>
    <row r="72" spans="1:17" x14ac:dyDescent="0.25">
      <c r="A72" t="s">
        <v>476</v>
      </c>
      <c r="B72" t="s">
        <v>477</v>
      </c>
      <c r="C72">
        <v>1</v>
      </c>
      <c r="D72">
        <v>20230719</v>
      </c>
      <c r="E72">
        <v>7</v>
      </c>
      <c r="F72">
        <v>447000</v>
      </c>
      <c r="G72" t="s">
        <v>419</v>
      </c>
      <c r="H72" t="s">
        <v>401</v>
      </c>
      <c r="I72" t="s">
        <v>402</v>
      </c>
      <c r="J72" t="s">
        <v>6770</v>
      </c>
      <c r="K72">
        <v>20230719</v>
      </c>
      <c r="L72" t="s">
        <v>898</v>
      </c>
      <c r="M72">
        <v>6209</v>
      </c>
      <c r="N72">
        <v>0</v>
      </c>
      <c r="O72" t="s">
        <v>19</v>
      </c>
      <c r="P72" t="s">
        <v>20</v>
      </c>
      <c r="Q72">
        <v>20230719</v>
      </c>
    </row>
    <row r="73" spans="1:17" x14ac:dyDescent="0.25">
      <c r="A73" t="s">
        <v>476</v>
      </c>
      <c r="B73" t="s">
        <v>477</v>
      </c>
      <c r="C73">
        <v>1</v>
      </c>
      <c r="D73">
        <v>20230719</v>
      </c>
      <c r="E73">
        <v>7</v>
      </c>
      <c r="F73">
        <v>512000</v>
      </c>
      <c r="G73" t="s">
        <v>428</v>
      </c>
      <c r="H73" t="s">
        <v>401</v>
      </c>
      <c r="I73" t="s">
        <v>402</v>
      </c>
      <c r="J73" t="s">
        <v>6770</v>
      </c>
      <c r="K73">
        <v>20230719</v>
      </c>
      <c r="L73" t="s">
        <v>898</v>
      </c>
      <c r="M73">
        <v>0</v>
      </c>
      <c r="N73">
        <v>6209</v>
      </c>
      <c r="O73" t="s">
        <v>19</v>
      </c>
      <c r="P73" t="s">
        <v>20</v>
      </c>
      <c r="Q73">
        <v>20230719</v>
      </c>
    </row>
    <row r="74" spans="1:17" x14ac:dyDescent="0.25">
      <c r="A74" t="s">
        <v>476</v>
      </c>
      <c r="B74" t="s">
        <v>477</v>
      </c>
      <c r="C74">
        <v>1</v>
      </c>
      <c r="D74">
        <v>20230719</v>
      </c>
      <c r="E74">
        <v>7</v>
      </c>
      <c r="F74">
        <v>468200</v>
      </c>
      <c r="G74" t="s">
        <v>421</v>
      </c>
      <c r="H74" t="s">
        <v>401</v>
      </c>
      <c r="I74" t="s">
        <v>402</v>
      </c>
      <c r="J74" t="s">
        <v>6769</v>
      </c>
      <c r="K74">
        <v>20230719</v>
      </c>
      <c r="L74" t="s">
        <v>422</v>
      </c>
      <c r="M74">
        <v>0</v>
      </c>
      <c r="N74">
        <v>173.28</v>
      </c>
      <c r="O74" t="s">
        <v>19</v>
      </c>
      <c r="P74" t="s">
        <v>20</v>
      </c>
      <c r="Q74">
        <v>20230719</v>
      </c>
    </row>
    <row r="75" spans="1:17" x14ac:dyDescent="0.25">
      <c r="A75" t="s">
        <v>476</v>
      </c>
      <c r="B75" t="s">
        <v>477</v>
      </c>
      <c r="C75">
        <v>1</v>
      </c>
      <c r="D75">
        <v>20230719</v>
      </c>
      <c r="E75">
        <v>7</v>
      </c>
      <c r="F75">
        <v>512000</v>
      </c>
      <c r="G75" t="s">
        <v>428</v>
      </c>
      <c r="H75" t="s">
        <v>401</v>
      </c>
      <c r="I75" t="s">
        <v>402</v>
      </c>
      <c r="J75" t="s">
        <v>6769</v>
      </c>
      <c r="K75">
        <v>20230719</v>
      </c>
      <c r="L75" t="s">
        <v>422</v>
      </c>
      <c r="M75">
        <v>173.28</v>
      </c>
      <c r="N75">
        <v>0</v>
      </c>
      <c r="O75" t="s">
        <v>19</v>
      </c>
      <c r="P75" t="s">
        <v>20</v>
      </c>
      <c r="Q75">
        <v>20230719</v>
      </c>
    </row>
    <row r="76" spans="1:17" x14ac:dyDescent="0.25">
      <c r="A76" t="s">
        <v>476</v>
      </c>
      <c r="B76" t="s">
        <v>477</v>
      </c>
      <c r="C76">
        <v>1</v>
      </c>
      <c r="D76">
        <v>20230720</v>
      </c>
      <c r="E76">
        <v>7</v>
      </c>
      <c r="F76">
        <v>401000</v>
      </c>
      <c r="G76" t="s">
        <v>41</v>
      </c>
      <c r="H76" t="s">
        <v>852</v>
      </c>
      <c r="I76" t="s">
        <v>853</v>
      </c>
      <c r="J76" t="s">
        <v>6768</v>
      </c>
      <c r="K76">
        <v>20230720</v>
      </c>
      <c r="L76" t="s">
        <v>6767</v>
      </c>
      <c r="M76">
        <v>519.6</v>
      </c>
      <c r="N76">
        <v>0</v>
      </c>
      <c r="O76" t="s">
        <v>23</v>
      </c>
      <c r="P76">
        <v>20230912</v>
      </c>
      <c r="Q76">
        <v>20230720</v>
      </c>
    </row>
    <row r="77" spans="1:17" x14ac:dyDescent="0.25">
      <c r="A77" t="s">
        <v>476</v>
      </c>
      <c r="B77" t="s">
        <v>477</v>
      </c>
      <c r="C77">
        <v>1</v>
      </c>
      <c r="D77">
        <v>20230720</v>
      </c>
      <c r="E77">
        <v>7</v>
      </c>
      <c r="F77">
        <v>512000</v>
      </c>
      <c r="G77" t="s">
        <v>428</v>
      </c>
      <c r="H77" t="s">
        <v>401</v>
      </c>
      <c r="I77" t="s">
        <v>402</v>
      </c>
      <c r="J77" t="s">
        <v>6768</v>
      </c>
      <c r="K77">
        <v>20230720</v>
      </c>
      <c r="L77" t="s">
        <v>6767</v>
      </c>
      <c r="M77">
        <v>0</v>
      </c>
      <c r="N77">
        <v>519.6</v>
      </c>
      <c r="O77" t="s">
        <v>19</v>
      </c>
      <c r="P77" t="s">
        <v>20</v>
      </c>
      <c r="Q77">
        <v>20230720</v>
      </c>
    </row>
    <row r="78" spans="1:17" x14ac:dyDescent="0.25">
      <c r="A78" t="s">
        <v>476</v>
      </c>
      <c r="B78" t="s">
        <v>477</v>
      </c>
      <c r="C78">
        <v>1</v>
      </c>
      <c r="D78">
        <v>20230720</v>
      </c>
      <c r="E78">
        <v>7</v>
      </c>
      <c r="F78">
        <v>421000</v>
      </c>
      <c r="G78" t="s">
        <v>403</v>
      </c>
      <c r="H78" t="s">
        <v>401</v>
      </c>
      <c r="I78" t="s">
        <v>402</v>
      </c>
      <c r="J78" t="s">
        <v>6766</v>
      </c>
      <c r="K78">
        <v>20230720</v>
      </c>
      <c r="L78" t="s">
        <v>6765</v>
      </c>
      <c r="M78">
        <v>1830.23</v>
      </c>
      <c r="N78">
        <v>0</v>
      </c>
      <c r="O78" t="s">
        <v>19</v>
      </c>
      <c r="P78" t="s">
        <v>20</v>
      </c>
      <c r="Q78">
        <v>20230720</v>
      </c>
    </row>
    <row r="79" spans="1:17" x14ac:dyDescent="0.25">
      <c r="A79" t="s">
        <v>476</v>
      </c>
      <c r="B79" t="s">
        <v>477</v>
      </c>
      <c r="C79">
        <v>1</v>
      </c>
      <c r="D79">
        <v>20230720</v>
      </c>
      <c r="E79">
        <v>7</v>
      </c>
      <c r="F79">
        <v>512000</v>
      </c>
      <c r="G79" t="s">
        <v>428</v>
      </c>
      <c r="H79" t="s">
        <v>401</v>
      </c>
      <c r="I79" t="s">
        <v>402</v>
      </c>
      <c r="J79" t="s">
        <v>6766</v>
      </c>
      <c r="K79">
        <v>20230720</v>
      </c>
      <c r="L79" t="s">
        <v>6765</v>
      </c>
      <c r="M79">
        <v>0</v>
      </c>
      <c r="N79">
        <v>1830.23</v>
      </c>
      <c r="O79" t="s">
        <v>19</v>
      </c>
      <c r="P79" t="s">
        <v>20</v>
      </c>
      <c r="Q79">
        <v>20230720</v>
      </c>
    </row>
    <row r="80" spans="1:17" x14ac:dyDescent="0.25">
      <c r="A80" t="s">
        <v>476</v>
      </c>
      <c r="B80" t="s">
        <v>477</v>
      </c>
      <c r="C80">
        <v>1</v>
      </c>
      <c r="D80">
        <v>20230721</v>
      </c>
      <c r="E80">
        <v>7</v>
      </c>
      <c r="F80">
        <v>445055</v>
      </c>
      <c r="G80" t="s">
        <v>3441</v>
      </c>
      <c r="H80" t="s">
        <v>401</v>
      </c>
      <c r="I80" t="s">
        <v>402</v>
      </c>
      <c r="J80" t="s">
        <v>6764</v>
      </c>
      <c r="K80">
        <v>20230721</v>
      </c>
      <c r="L80" t="s">
        <v>6763</v>
      </c>
      <c r="M80">
        <v>0</v>
      </c>
      <c r="N80">
        <v>245</v>
      </c>
      <c r="O80" t="s">
        <v>19</v>
      </c>
      <c r="P80" t="s">
        <v>20</v>
      </c>
      <c r="Q80">
        <v>20230721</v>
      </c>
    </row>
    <row r="81" spans="1:17" x14ac:dyDescent="0.25">
      <c r="A81" t="s">
        <v>476</v>
      </c>
      <c r="B81" t="s">
        <v>477</v>
      </c>
      <c r="C81">
        <v>1</v>
      </c>
      <c r="D81">
        <v>20230721</v>
      </c>
      <c r="E81">
        <v>7</v>
      </c>
      <c r="F81">
        <v>512000</v>
      </c>
      <c r="G81" t="s">
        <v>428</v>
      </c>
      <c r="H81" t="s">
        <v>401</v>
      </c>
      <c r="I81" t="s">
        <v>402</v>
      </c>
      <c r="J81" t="s">
        <v>6764</v>
      </c>
      <c r="K81">
        <v>20230721</v>
      </c>
      <c r="L81" t="s">
        <v>6763</v>
      </c>
      <c r="M81">
        <v>245</v>
      </c>
      <c r="N81">
        <v>0</v>
      </c>
      <c r="O81" t="s">
        <v>19</v>
      </c>
      <c r="P81" t="s">
        <v>20</v>
      </c>
      <c r="Q81">
        <v>20230721</v>
      </c>
    </row>
    <row r="82" spans="1:17" x14ac:dyDescent="0.25">
      <c r="A82" t="s">
        <v>476</v>
      </c>
      <c r="B82" t="s">
        <v>477</v>
      </c>
      <c r="C82">
        <v>1</v>
      </c>
      <c r="D82">
        <v>20230721</v>
      </c>
      <c r="E82">
        <v>7</v>
      </c>
      <c r="F82">
        <v>468200</v>
      </c>
      <c r="G82" t="s">
        <v>421</v>
      </c>
      <c r="H82" t="s">
        <v>401</v>
      </c>
      <c r="I82" t="s">
        <v>402</v>
      </c>
      <c r="J82" t="s">
        <v>6762</v>
      </c>
      <c r="K82">
        <v>20230721</v>
      </c>
      <c r="L82" t="s">
        <v>422</v>
      </c>
      <c r="M82">
        <v>0</v>
      </c>
      <c r="N82">
        <v>216.7</v>
      </c>
      <c r="O82" t="s">
        <v>19</v>
      </c>
      <c r="P82" t="s">
        <v>20</v>
      </c>
      <c r="Q82">
        <v>20230721</v>
      </c>
    </row>
    <row r="83" spans="1:17" x14ac:dyDescent="0.25">
      <c r="A83" t="s">
        <v>476</v>
      </c>
      <c r="B83" t="s">
        <v>477</v>
      </c>
      <c r="C83">
        <v>1</v>
      </c>
      <c r="D83">
        <v>20230721</v>
      </c>
      <c r="E83">
        <v>7</v>
      </c>
      <c r="F83">
        <v>512000</v>
      </c>
      <c r="G83" t="s">
        <v>428</v>
      </c>
      <c r="H83" t="s">
        <v>401</v>
      </c>
      <c r="I83" t="s">
        <v>402</v>
      </c>
      <c r="J83" t="s">
        <v>6762</v>
      </c>
      <c r="K83">
        <v>20230721</v>
      </c>
      <c r="L83" t="s">
        <v>422</v>
      </c>
      <c r="M83">
        <v>216.7</v>
      </c>
      <c r="N83">
        <v>0</v>
      </c>
      <c r="O83" t="s">
        <v>19</v>
      </c>
      <c r="P83" t="s">
        <v>20</v>
      </c>
      <c r="Q83">
        <v>20230721</v>
      </c>
    </row>
    <row r="84" spans="1:17" x14ac:dyDescent="0.25">
      <c r="A84" t="s">
        <v>476</v>
      </c>
      <c r="B84" t="s">
        <v>477</v>
      </c>
      <c r="C84">
        <v>1</v>
      </c>
      <c r="D84">
        <v>20230725</v>
      </c>
      <c r="E84">
        <v>7</v>
      </c>
      <c r="F84">
        <v>437100</v>
      </c>
      <c r="G84" t="s">
        <v>436</v>
      </c>
      <c r="H84" t="s">
        <v>401</v>
      </c>
      <c r="I84" t="s">
        <v>402</v>
      </c>
      <c r="J84" t="s">
        <v>6761</v>
      </c>
      <c r="K84">
        <v>20230725</v>
      </c>
      <c r="L84" t="s">
        <v>5757</v>
      </c>
      <c r="M84">
        <v>691.24</v>
      </c>
      <c r="N84">
        <v>0</v>
      </c>
      <c r="O84" t="s">
        <v>23</v>
      </c>
      <c r="P84">
        <v>20230915</v>
      </c>
      <c r="Q84">
        <v>20230725</v>
      </c>
    </row>
    <row r="85" spans="1:17" x14ac:dyDescent="0.25">
      <c r="A85" t="s">
        <v>476</v>
      </c>
      <c r="B85" t="s">
        <v>477</v>
      </c>
      <c r="C85">
        <v>1</v>
      </c>
      <c r="D85">
        <v>20230725</v>
      </c>
      <c r="E85">
        <v>7</v>
      </c>
      <c r="F85">
        <v>512000</v>
      </c>
      <c r="G85" t="s">
        <v>428</v>
      </c>
      <c r="H85" t="s">
        <v>401</v>
      </c>
      <c r="I85" t="s">
        <v>402</v>
      </c>
      <c r="J85" t="s">
        <v>6761</v>
      </c>
      <c r="K85">
        <v>20230725</v>
      </c>
      <c r="L85" t="s">
        <v>5757</v>
      </c>
      <c r="M85">
        <v>0</v>
      </c>
      <c r="N85">
        <v>691.24</v>
      </c>
      <c r="O85" t="s">
        <v>19</v>
      </c>
      <c r="P85" t="s">
        <v>20</v>
      </c>
      <c r="Q85">
        <v>20230725</v>
      </c>
    </row>
    <row r="86" spans="1:17" x14ac:dyDescent="0.25">
      <c r="A86" t="s">
        <v>476</v>
      </c>
      <c r="B86" t="s">
        <v>477</v>
      </c>
      <c r="C86">
        <v>1</v>
      </c>
      <c r="D86">
        <v>20230725</v>
      </c>
      <c r="E86">
        <v>7</v>
      </c>
      <c r="F86">
        <v>401000</v>
      </c>
      <c r="G86" t="s">
        <v>41</v>
      </c>
      <c r="H86" t="s">
        <v>42</v>
      </c>
      <c r="I86" t="s">
        <v>43</v>
      </c>
      <c r="J86" t="s">
        <v>6752</v>
      </c>
      <c r="K86">
        <v>20230725</v>
      </c>
      <c r="L86" t="s">
        <v>5758</v>
      </c>
      <c r="M86">
        <v>228.84</v>
      </c>
      <c r="N86">
        <v>0</v>
      </c>
      <c r="O86" t="s">
        <v>23</v>
      </c>
      <c r="P86">
        <v>20230831</v>
      </c>
      <c r="Q86">
        <v>20230725</v>
      </c>
    </row>
    <row r="87" spans="1:17" x14ac:dyDescent="0.25">
      <c r="A87" t="s">
        <v>476</v>
      </c>
      <c r="B87" t="s">
        <v>477</v>
      </c>
      <c r="C87">
        <v>1</v>
      </c>
      <c r="D87">
        <v>20230725</v>
      </c>
      <c r="E87">
        <v>7</v>
      </c>
      <c r="F87">
        <v>401000</v>
      </c>
      <c r="G87" t="s">
        <v>41</v>
      </c>
      <c r="H87" t="s">
        <v>44</v>
      </c>
      <c r="I87" t="s">
        <v>45</v>
      </c>
      <c r="J87" t="s">
        <v>6752</v>
      </c>
      <c r="K87">
        <v>20230725</v>
      </c>
      <c r="L87" t="s">
        <v>5758</v>
      </c>
      <c r="M87">
        <v>594</v>
      </c>
      <c r="N87">
        <v>0</v>
      </c>
      <c r="O87" t="s">
        <v>23</v>
      </c>
      <c r="P87">
        <v>20230908</v>
      </c>
      <c r="Q87">
        <v>20230725</v>
      </c>
    </row>
    <row r="88" spans="1:17" x14ac:dyDescent="0.25">
      <c r="A88" t="s">
        <v>476</v>
      </c>
      <c r="B88" t="s">
        <v>477</v>
      </c>
      <c r="C88">
        <v>1</v>
      </c>
      <c r="D88">
        <v>20230725</v>
      </c>
      <c r="E88">
        <v>7</v>
      </c>
      <c r="F88">
        <v>401000</v>
      </c>
      <c r="G88" t="s">
        <v>41</v>
      </c>
      <c r="H88" t="s">
        <v>56</v>
      </c>
      <c r="I88" t="s">
        <v>57</v>
      </c>
      <c r="J88" t="s">
        <v>6752</v>
      </c>
      <c r="K88">
        <v>20230725</v>
      </c>
      <c r="L88" t="s">
        <v>5758</v>
      </c>
      <c r="M88">
        <v>458.29</v>
      </c>
      <c r="N88">
        <v>0</v>
      </c>
      <c r="O88" t="s">
        <v>23</v>
      </c>
      <c r="P88">
        <v>20230908</v>
      </c>
      <c r="Q88">
        <v>20230725</v>
      </c>
    </row>
    <row r="89" spans="1:17" x14ac:dyDescent="0.25">
      <c r="A89" t="s">
        <v>476</v>
      </c>
      <c r="B89" t="s">
        <v>477</v>
      </c>
      <c r="C89">
        <v>1</v>
      </c>
      <c r="D89">
        <v>20230725</v>
      </c>
      <c r="E89">
        <v>7</v>
      </c>
      <c r="F89">
        <v>401000</v>
      </c>
      <c r="G89" t="s">
        <v>41</v>
      </c>
      <c r="H89" t="s">
        <v>97</v>
      </c>
      <c r="I89" t="s">
        <v>98</v>
      </c>
      <c r="J89" t="s">
        <v>6752</v>
      </c>
      <c r="K89">
        <v>20230725</v>
      </c>
      <c r="L89" t="s">
        <v>5758</v>
      </c>
      <c r="M89">
        <v>728.82</v>
      </c>
      <c r="N89">
        <v>0</v>
      </c>
      <c r="O89" t="s">
        <v>23</v>
      </c>
      <c r="P89">
        <v>20230913</v>
      </c>
      <c r="Q89">
        <v>20230725</v>
      </c>
    </row>
    <row r="90" spans="1:17" x14ac:dyDescent="0.25">
      <c r="A90" t="s">
        <v>476</v>
      </c>
      <c r="B90" t="s">
        <v>477</v>
      </c>
      <c r="C90">
        <v>1</v>
      </c>
      <c r="D90">
        <v>20230725</v>
      </c>
      <c r="E90">
        <v>7</v>
      </c>
      <c r="F90">
        <v>401000</v>
      </c>
      <c r="G90" t="s">
        <v>41</v>
      </c>
      <c r="H90" t="s">
        <v>125</v>
      </c>
      <c r="I90" t="s">
        <v>126</v>
      </c>
      <c r="J90" t="s">
        <v>6752</v>
      </c>
      <c r="K90">
        <v>20230725</v>
      </c>
      <c r="L90" t="s">
        <v>5758</v>
      </c>
      <c r="M90">
        <v>161</v>
      </c>
      <c r="N90">
        <v>0</v>
      </c>
      <c r="O90" t="s">
        <v>23</v>
      </c>
      <c r="P90">
        <v>20230918</v>
      </c>
      <c r="Q90">
        <v>20230725</v>
      </c>
    </row>
    <row r="91" spans="1:17" x14ac:dyDescent="0.25">
      <c r="A91" t="s">
        <v>476</v>
      </c>
      <c r="B91" t="s">
        <v>477</v>
      </c>
      <c r="C91">
        <v>1</v>
      </c>
      <c r="D91">
        <v>20230725</v>
      </c>
      <c r="E91">
        <v>7</v>
      </c>
      <c r="F91">
        <v>401000</v>
      </c>
      <c r="G91" t="s">
        <v>41</v>
      </c>
      <c r="H91" t="s">
        <v>1661</v>
      </c>
      <c r="I91" t="s">
        <v>1662</v>
      </c>
      <c r="J91" t="s">
        <v>6752</v>
      </c>
      <c r="K91">
        <v>20230725</v>
      </c>
      <c r="L91" t="s">
        <v>5758</v>
      </c>
      <c r="M91">
        <v>494</v>
      </c>
      <c r="N91">
        <v>0</v>
      </c>
      <c r="O91" t="s">
        <v>23</v>
      </c>
      <c r="P91">
        <v>20230908</v>
      </c>
      <c r="Q91">
        <v>20230725</v>
      </c>
    </row>
    <row r="92" spans="1:17" x14ac:dyDescent="0.25">
      <c r="A92" t="s">
        <v>476</v>
      </c>
      <c r="B92" t="s">
        <v>477</v>
      </c>
      <c r="C92">
        <v>1</v>
      </c>
      <c r="D92">
        <v>20230725</v>
      </c>
      <c r="E92">
        <v>7</v>
      </c>
      <c r="F92">
        <v>401000</v>
      </c>
      <c r="G92" t="s">
        <v>41</v>
      </c>
      <c r="H92" t="s">
        <v>223</v>
      </c>
      <c r="I92" t="s">
        <v>224</v>
      </c>
      <c r="J92" t="s">
        <v>6752</v>
      </c>
      <c r="K92">
        <v>20230725</v>
      </c>
      <c r="L92" t="s">
        <v>5758</v>
      </c>
      <c r="M92">
        <v>7356.81</v>
      </c>
      <c r="N92">
        <v>0</v>
      </c>
      <c r="O92" t="s">
        <v>23</v>
      </c>
      <c r="P92">
        <v>20230908</v>
      </c>
      <c r="Q92">
        <v>20230725</v>
      </c>
    </row>
    <row r="93" spans="1:17" x14ac:dyDescent="0.25">
      <c r="A93" t="s">
        <v>476</v>
      </c>
      <c r="B93" t="s">
        <v>477</v>
      </c>
      <c r="C93">
        <v>1</v>
      </c>
      <c r="D93">
        <v>20230725</v>
      </c>
      <c r="E93">
        <v>7</v>
      </c>
      <c r="F93">
        <v>467100</v>
      </c>
      <c r="G93" t="s">
        <v>160</v>
      </c>
      <c r="H93" t="s">
        <v>316</v>
      </c>
      <c r="I93" t="s">
        <v>317</v>
      </c>
      <c r="J93" t="s">
        <v>6752</v>
      </c>
      <c r="K93">
        <v>20230725</v>
      </c>
      <c r="L93" t="s">
        <v>5758</v>
      </c>
      <c r="M93">
        <v>183.58</v>
      </c>
      <c r="N93">
        <v>0</v>
      </c>
      <c r="O93" t="s">
        <v>23</v>
      </c>
      <c r="P93">
        <v>20230726</v>
      </c>
      <c r="Q93">
        <v>20230725</v>
      </c>
    </row>
    <row r="94" spans="1:17" x14ac:dyDescent="0.25">
      <c r="A94" t="s">
        <v>476</v>
      </c>
      <c r="B94" t="s">
        <v>477</v>
      </c>
      <c r="C94">
        <v>1</v>
      </c>
      <c r="D94">
        <v>20230725</v>
      </c>
      <c r="E94">
        <v>7</v>
      </c>
      <c r="F94">
        <v>467100</v>
      </c>
      <c r="G94" t="s">
        <v>160</v>
      </c>
      <c r="H94" t="s">
        <v>4847</v>
      </c>
      <c r="I94" t="s">
        <v>4848</v>
      </c>
      <c r="J94" t="s">
        <v>6752</v>
      </c>
      <c r="K94">
        <v>20230725</v>
      </c>
      <c r="L94" t="s">
        <v>5758</v>
      </c>
      <c r="M94">
        <v>47.51</v>
      </c>
      <c r="N94">
        <v>0</v>
      </c>
      <c r="O94" t="s">
        <v>23</v>
      </c>
      <c r="P94">
        <v>20230914</v>
      </c>
      <c r="Q94">
        <v>20230725</v>
      </c>
    </row>
    <row r="95" spans="1:17" x14ac:dyDescent="0.25">
      <c r="A95" t="s">
        <v>476</v>
      </c>
      <c r="B95" t="s">
        <v>477</v>
      </c>
      <c r="C95">
        <v>1</v>
      </c>
      <c r="D95">
        <v>20230725</v>
      </c>
      <c r="E95">
        <v>7</v>
      </c>
      <c r="F95">
        <v>401000</v>
      </c>
      <c r="G95" t="s">
        <v>41</v>
      </c>
      <c r="H95" t="s">
        <v>6760</v>
      </c>
      <c r="I95" t="s">
        <v>6759</v>
      </c>
      <c r="J95" t="s">
        <v>6752</v>
      </c>
      <c r="K95">
        <v>20230725</v>
      </c>
      <c r="L95" t="s">
        <v>5758</v>
      </c>
      <c r="M95">
        <v>750</v>
      </c>
      <c r="N95">
        <v>0</v>
      </c>
      <c r="O95" t="s">
        <v>23</v>
      </c>
      <c r="P95">
        <v>20230908</v>
      </c>
      <c r="Q95">
        <v>20230725</v>
      </c>
    </row>
    <row r="96" spans="1:17" x14ac:dyDescent="0.25">
      <c r="A96" t="s">
        <v>476</v>
      </c>
      <c r="B96" t="s">
        <v>477</v>
      </c>
      <c r="C96">
        <v>1</v>
      </c>
      <c r="D96">
        <v>20230725</v>
      </c>
      <c r="E96">
        <v>7</v>
      </c>
      <c r="F96">
        <v>401000</v>
      </c>
      <c r="G96" t="s">
        <v>41</v>
      </c>
      <c r="H96" t="s">
        <v>6758</v>
      </c>
      <c r="I96" t="s">
        <v>6757</v>
      </c>
      <c r="J96" t="s">
        <v>6752</v>
      </c>
      <c r="K96">
        <v>20230725</v>
      </c>
      <c r="L96" t="s">
        <v>5758</v>
      </c>
      <c r="M96">
        <v>600</v>
      </c>
      <c r="N96">
        <v>0</v>
      </c>
      <c r="O96" t="s">
        <v>23</v>
      </c>
      <c r="P96">
        <v>20230908</v>
      </c>
      <c r="Q96">
        <v>20230725</v>
      </c>
    </row>
    <row r="97" spans="1:17" x14ac:dyDescent="0.25">
      <c r="A97" t="s">
        <v>476</v>
      </c>
      <c r="B97" t="s">
        <v>477</v>
      </c>
      <c r="C97">
        <v>1</v>
      </c>
      <c r="D97">
        <v>20230725</v>
      </c>
      <c r="E97">
        <v>7</v>
      </c>
      <c r="F97">
        <v>401000</v>
      </c>
      <c r="G97" t="s">
        <v>41</v>
      </c>
      <c r="H97" t="s">
        <v>6756</v>
      </c>
      <c r="I97" t="s">
        <v>6755</v>
      </c>
      <c r="J97" t="s">
        <v>6752</v>
      </c>
      <c r="K97">
        <v>20230725</v>
      </c>
      <c r="L97" t="s">
        <v>5758</v>
      </c>
      <c r="M97">
        <v>2527.5700000000002</v>
      </c>
      <c r="N97">
        <v>0</v>
      </c>
      <c r="O97" t="s">
        <v>23</v>
      </c>
      <c r="P97">
        <v>20230908</v>
      </c>
      <c r="Q97">
        <v>20230725</v>
      </c>
    </row>
    <row r="98" spans="1:17" x14ac:dyDescent="0.25">
      <c r="A98" t="s">
        <v>476</v>
      </c>
      <c r="B98" t="s">
        <v>477</v>
      </c>
      <c r="C98">
        <v>1</v>
      </c>
      <c r="D98">
        <v>20230725</v>
      </c>
      <c r="E98">
        <v>7</v>
      </c>
      <c r="F98">
        <v>401000</v>
      </c>
      <c r="G98" t="s">
        <v>41</v>
      </c>
      <c r="H98" t="s">
        <v>6754</v>
      </c>
      <c r="I98" t="s">
        <v>6753</v>
      </c>
      <c r="J98" t="s">
        <v>6752</v>
      </c>
      <c r="K98">
        <v>20230725</v>
      </c>
      <c r="L98" t="s">
        <v>5758</v>
      </c>
      <c r="M98">
        <v>1868.09</v>
      </c>
      <c r="N98">
        <v>0</v>
      </c>
      <c r="O98" t="s">
        <v>23</v>
      </c>
      <c r="P98">
        <v>20230908</v>
      </c>
      <c r="Q98">
        <v>20230725</v>
      </c>
    </row>
    <row r="99" spans="1:17" x14ac:dyDescent="0.25">
      <c r="A99" t="s">
        <v>476</v>
      </c>
      <c r="B99" t="s">
        <v>477</v>
      </c>
      <c r="C99">
        <v>1</v>
      </c>
      <c r="D99">
        <v>20230725</v>
      </c>
      <c r="E99">
        <v>7</v>
      </c>
      <c r="F99">
        <v>512000</v>
      </c>
      <c r="G99" t="s">
        <v>428</v>
      </c>
      <c r="H99" t="s">
        <v>401</v>
      </c>
      <c r="I99" t="s">
        <v>402</v>
      </c>
      <c r="J99" t="s">
        <v>6752</v>
      </c>
      <c r="K99">
        <v>20230725</v>
      </c>
      <c r="L99" t="s">
        <v>5758</v>
      </c>
      <c r="M99">
        <v>0</v>
      </c>
      <c r="N99">
        <v>15998.51</v>
      </c>
      <c r="O99" t="s">
        <v>19</v>
      </c>
      <c r="P99" t="s">
        <v>20</v>
      </c>
      <c r="Q99">
        <v>20230725</v>
      </c>
    </row>
    <row r="100" spans="1:17" x14ac:dyDescent="0.25">
      <c r="A100" t="s">
        <v>476</v>
      </c>
      <c r="B100" t="s">
        <v>477</v>
      </c>
      <c r="C100">
        <v>1</v>
      </c>
      <c r="D100">
        <v>20230725</v>
      </c>
      <c r="E100">
        <v>7</v>
      </c>
      <c r="F100">
        <v>433000</v>
      </c>
      <c r="G100" t="s">
        <v>410</v>
      </c>
      <c r="H100" t="s">
        <v>401</v>
      </c>
      <c r="I100" t="s">
        <v>402</v>
      </c>
      <c r="J100" t="s">
        <v>6751</v>
      </c>
      <c r="K100">
        <v>20230725</v>
      </c>
      <c r="L100" t="s">
        <v>530</v>
      </c>
      <c r="M100">
        <v>6253.92</v>
      </c>
      <c r="N100">
        <v>0</v>
      </c>
      <c r="O100" t="s">
        <v>19</v>
      </c>
      <c r="P100" t="s">
        <v>20</v>
      </c>
      <c r="Q100">
        <v>20230725</v>
      </c>
    </row>
    <row r="101" spans="1:17" x14ac:dyDescent="0.25">
      <c r="A101" t="s">
        <v>476</v>
      </c>
      <c r="B101" t="s">
        <v>477</v>
      </c>
      <c r="C101">
        <v>1</v>
      </c>
      <c r="D101">
        <v>20230725</v>
      </c>
      <c r="E101">
        <v>7</v>
      </c>
      <c r="F101">
        <v>512000</v>
      </c>
      <c r="G101" t="s">
        <v>428</v>
      </c>
      <c r="H101" t="s">
        <v>401</v>
      </c>
      <c r="I101" t="s">
        <v>402</v>
      </c>
      <c r="J101" t="s">
        <v>6751</v>
      </c>
      <c r="K101">
        <v>20230725</v>
      </c>
      <c r="L101" t="s">
        <v>530</v>
      </c>
      <c r="M101">
        <v>0</v>
      </c>
      <c r="N101">
        <v>6253.92</v>
      </c>
      <c r="O101" t="s">
        <v>19</v>
      </c>
      <c r="P101" t="s">
        <v>20</v>
      </c>
      <c r="Q101">
        <v>20230725</v>
      </c>
    </row>
    <row r="102" spans="1:17" x14ac:dyDescent="0.25">
      <c r="A102" t="s">
        <v>476</v>
      </c>
      <c r="B102" t="s">
        <v>477</v>
      </c>
      <c r="C102">
        <v>1</v>
      </c>
      <c r="D102">
        <v>20230725</v>
      </c>
      <c r="E102">
        <v>7</v>
      </c>
      <c r="F102">
        <v>442100</v>
      </c>
      <c r="G102" t="s">
        <v>435</v>
      </c>
      <c r="H102" t="s">
        <v>401</v>
      </c>
      <c r="I102" t="s">
        <v>402</v>
      </c>
      <c r="J102" t="s">
        <v>6750</v>
      </c>
      <c r="K102">
        <v>20230725</v>
      </c>
      <c r="L102" t="s">
        <v>528</v>
      </c>
      <c r="M102">
        <v>825</v>
      </c>
      <c r="N102">
        <v>0</v>
      </c>
      <c r="O102" t="s">
        <v>19</v>
      </c>
      <c r="P102" t="s">
        <v>20</v>
      </c>
      <c r="Q102">
        <v>20230725</v>
      </c>
    </row>
    <row r="103" spans="1:17" x14ac:dyDescent="0.25">
      <c r="A103" t="s">
        <v>476</v>
      </c>
      <c r="B103" t="s">
        <v>477</v>
      </c>
      <c r="C103">
        <v>1</v>
      </c>
      <c r="D103">
        <v>20230725</v>
      </c>
      <c r="E103">
        <v>7</v>
      </c>
      <c r="F103">
        <v>512000</v>
      </c>
      <c r="G103" t="s">
        <v>428</v>
      </c>
      <c r="H103" t="s">
        <v>401</v>
      </c>
      <c r="I103" t="s">
        <v>402</v>
      </c>
      <c r="J103" t="s">
        <v>6750</v>
      </c>
      <c r="K103">
        <v>20230725</v>
      </c>
      <c r="L103" t="s">
        <v>528</v>
      </c>
      <c r="M103">
        <v>0</v>
      </c>
      <c r="N103">
        <v>825</v>
      </c>
      <c r="O103" t="s">
        <v>19</v>
      </c>
      <c r="P103" t="s">
        <v>20</v>
      </c>
      <c r="Q103">
        <v>20230725</v>
      </c>
    </row>
    <row r="104" spans="1:17" x14ac:dyDescent="0.25">
      <c r="A104" t="s">
        <v>476</v>
      </c>
      <c r="B104" t="s">
        <v>477</v>
      </c>
      <c r="C104">
        <v>1</v>
      </c>
      <c r="D104">
        <v>20230726</v>
      </c>
      <c r="E104">
        <v>7</v>
      </c>
      <c r="F104">
        <v>433100</v>
      </c>
      <c r="G104" t="s">
        <v>411</v>
      </c>
      <c r="H104" t="s">
        <v>401</v>
      </c>
      <c r="I104" t="s">
        <v>402</v>
      </c>
      <c r="J104" t="s">
        <v>6749</v>
      </c>
      <c r="K104">
        <v>20230726</v>
      </c>
      <c r="L104" t="s">
        <v>534</v>
      </c>
      <c r="M104">
        <v>1485.08</v>
      </c>
      <c r="N104">
        <v>0</v>
      </c>
      <c r="O104" t="s">
        <v>19</v>
      </c>
      <c r="P104" t="s">
        <v>20</v>
      </c>
      <c r="Q104">
        <v>20230726</v>
      </c>
    </row>
    <row r="105" spans="1:17" x14ac:dyDescent="0.25">
      <c r="A105" t="s">
        <v>476</v>
      </c>
      <c r="B105" t="s">
        <v>477</v>
      </c>
      <c r="C105">
        <v>1</v>
      </c>
      <c r="D105">
        <v>20230726</v>
      </c>
      <c r="E105">
        <v>7</v>
      </c>
      <c r="F105">
        <v>512000</v>
      </c>
      <c r="G105" t="s">
        <v>428</v>
      </c>
      <c r="H105" t="s">
        <v>401</v>
      </c>
      <c r="I105" t="s">
        <v>402</v>
      </c>
      <c r="J105" t="s">
        <v>6749</v>
      </c>
      <c r="K105">
        <v>20230726</v>
      </c>
      <c r="L105" t="s">
        <v>534</v>
      </c>
      <c r="M105">
        <v>0</v>
      </c>
      <c r="N105">
        <v>1485.08</v>
      </c>
      <c r="O105" t="s">
        <v>19</v>
      </c>
      <c r="P105" t="s">
        <v>20</v>
      </c>
      <c r="Q105">
        <v>20230726</v>
      </c>
    </row>
    <row r="106" spans="1:17" x14ac:dyDescent="0.25">
      <c r="A106" t="s">
        <v>476</v>
      </c>
      <c r="B106" t="s">
        <v>477</v>
      </c>
      <c r="C106">
        <v>1</v>
      </c>
      <c r="D106">
        <v>20230726</v>
      </c>
      <c r="E106">
        <v>7</v>
      </c>
      <c r="F106">
        <v>445050</v>
      </c>
      <c r="G106" t="s">
        <v>416</v>
      </c>
      <c r="H106" t="s">
        <v>401</v>
      </c>
      <c r="I106" t="s">
        <v>402</v>
      </c>
      <c r="J106" t="s">
        <v>6746</v>
      </c>
      <c r="K106">
        <v>20230726</v>
      </c>
      <c r="L106" t="s">
        <v>6748</v>
      </c>
      <c r="M106">
        <v>0</v>
      </c>
      <c r="N106">
        <v>15926.63</v>
      </c>
      <c r="O106" t="s">
        <v>19</v>
      </c>
      <c r="P106" t="s">
        <v>20</v>
      </c>
      <c r="Q106">
        <v>20230726</v>
      </c>
    </row>
    <row r="107" spans="1:17" x14ac:dyDescent="0.25">
      <c r="A107" t="s">
        <v>476</v>
      </c>
      <c r="B107" t="s">
        <v>477</v>
      </c>
      <c r="C107">
        <v>1</v>
      </c>
      <c r="D107">
        <v>20230726</v>
      </c>
      <c r="E107">
        <v>7</v>
      </c>
      <c r="F107">
        <v>445050</v>
      </c>
      <c r="G107" t="s">
        <v>416</v>
      </c>
      <c r="H107" t="s">
        <v>401</v>
      </c>
      <c r="I107" t="s">
        <v>402</v>
      </c>
      <c r="J107" t="s">
        <v>6746</v>
      </c>
      <c r="K107">
        <v>20230726</v>
      </c>
      <c r="L107" t="s">
        <v>6747</v>
      </c>
      <c r="M107">
        <v>0</v>
      </c>
      <c r="N107">
        <v>15926.63</v>
      </c>
      <c r="O107" t="s">
        <v>19</v>
      </c>
      <c r="P107" t="s">
        <v>20</v>
      </c>
      <c r="Q107">
        <v>20230726</v>
      </c>
    </row>
    <row r="108" spans="1:17" x14ac:dyDescent="0.25">
      <c r="A108" t="s">
        <v>476</v>
      </c>
      <c r="B108" t="s">
        <v>477</v>
      </c>
      <c r="C108">
        <v>1</v>
      </c>
      <c r="D108">
        <v>20230726</v>
      </c>
      <c r="E108">
        <v>7</v>
      </c>
      <c r="F108">
        <v>512000</v>
      </c>
      <c r="G108" t="s">
        <v>428</v>
      </c>
      <c r="H108" t="s">
        <v>401</v>
      </c>
      <c r="I108" t="s">
        <v>402</v>
      </c>
      <c r="J108" t="s">
        <v>6746</v>
      </c>
      <c r="K108">
        <v>20230726</v>
      </c>
      <c r="L108" t="s">
        <v>6745</v>
      </c>
      <c r="M108">
        <v>31853.26</v>
      </c>
      <c r="N108">
        <v>0</v>
      </c>
      <c r="O108" t="s">
        <v>19</v>
      </c>
      <c r="P108" t="s">
        <v>20</v>
      </c>
      <c r="Q108">
        <v>20230726</v>
      </c>
    </row>
    <row r="109" spans="1:17" x14ac:dyDescent="0.25">
      <c r="A109" t="s">
        <v>476</v>
      </c>
      <c r="B109" t="s">
        <v>477</v>
      </c>
      <c r="C109">
        <v>1</v>
      </c>
      <c r="D109">
        <v>20230728</v>
      </c>
      <c r="E109">
        <v>7</v>
      </c>
      <c r="F109">
        <v>421000</v>
      </c>
      <c r="G109" t="s">
        <v>403</v>
      </c>
      <c r="H109" t="s">
        <v>401</v>
      </c>
      <c r="I109" t="s">
        <v>402</v>
      </c>
      <c r="J109" t="s">
        <v>6744</v>
      </c>
      <c r="K109">
        <v>20230728</v>
      </c>
      <c r="L109" t="s">
        <v>922</v>
      </c>
      <c r="M109">
        <v>69673.990000000005</v>
      </c>
      <c r="N109">
        <v>0</v>
      </c>
      <c r="O109" t="s">
        <v>19</v>
      </c>
      <c r="P109" t="s">
        <v>20</v>
      </c>
      <c r="Q109">
        <v>20230728</v>
      </c>
    </row>
    <row r="110" spans="1:17" x14ac:dyDescent="0.25">
      <c r="A110" t="s">
        <v>476</v>
      </c>
      <c r="B110" t="s">
        <v>477</v>
      </c>
      <c r="C110">
        <v>1</v>
      </c>
      <c r="D110">
        <v>20230728</v>
      </c>
      <c r="E110">
        <v>7</v>
      </c>
      <c r="F110">
        <v>512000</v>
      </c>
      <c r="G110" t="s">
        <v>428</v>
      </c>
      <c r="H110" t="s">
        <v>401</v>
      </c>
      <c r="I110" t="s">
        <v>402</v>
      </c>
      <c r="J110" t="s">
        <v>6744</v>
      </c>
      <c r="K110">
        <v>20230728</v>
      </c>
      <c r="L110" t="s">
        <v>922</v>
      </c>
      <c r="M110">
        <v>0</v>
      </c>
      <c r="N110">
        <v>69673.990000000005</v>
      </c>
      <c r="O110" t="s">
        <v>19</v>
      </c>
      <c r="P110" t="s">
        <v>20</v>
      </c>
      <c r="Q110">
        <v>20230728</v>
      </c>
    </row>
    <row r="111" spans="1:17" x14ac:dyDescent="0.25">
      <c r="A111" t="s">
        <v>476</v>
      </c>
      <c r="B111" t="s">
        <v>477</v>
      </c>
      <c r="C111">
        <v>1</v>
      </c>
      <c r="D111">
        <v>20230731</v>
      </c>
      <c r="E111">
        <v>7</v>
      </c>
      <c r="F111">
        <v>468730</v>
      </c>
      <c r="G111" t="s">
        <v>2371</v>
      </c>
      <c r="H111" t="s">
        <v>401</v>
      </c>
      <c r="I111" t="s">
        <v>402</v>
      </c>
      <c r="J111" t="s">
        <v>6743</v>
      </c>
      <c r="K111">
        <v>20230731</v>
      </c>
      <c r="L111" t="s">
        <v>6739</v>
      </c>
      <c r="M111">
        <v>0</v>
      </c>
      <c r="N111">
        <v>7000</v>
      </c>
      <c r="O111" t="s">
        <v>23</v>
      </c>
      <c r="P111">
        <v>20230918</v>
      </c>
      <c r="Q111">
        <v>20230731</v>
      </c>
    </row>
    <row r="112" spans="1:17" x14ac:dyDescent="0.25">
      <c r="A112" t="s">
        <v>476</v>
      </c>
      <c r="B112" t="s">
        <v>477</v>
      </c>
      <c r="C112">
        <v>1</v>
      </c>
      <c r="D112">
        <v>20230731</v>
      </c>
      <c r="E112">
        <v>7</v>
      </c>
      <c r="F112">
        <v>512000</v>
      </c>
      <c r="G112" t="s">
        <v>428</v>
      </c>
      <c r="H112" t="s">
        <v>401</v>
      </c>
      <c r="I112" t="s">
        <v>402</v>
      </c>
      <c r="J112" t="s">
        <v>6743</v>
      </c>
      <c r="K112">
        <v>20230731</v>
      </c>
      <c r="L112" t="s">
        <v>6739</v>
      </c>
      <c r="M112">
        <v>7000</v>
      </c>
      <c r="N112">
        <v>0</v>
      </c>
      <c r="O112" t="s">
        <v>19</v>
      </c>
      <c r="P112" t="s">
        <v>20</v>
      </c>
      <c r="Q112">
        <v>20230731</v>
      </c>
    </row>
    <row r="113" spans="1:17" x14ac:dyDescent="0.25">
      <c r="A113" t="s">
        <v>476</v>
      </c>
      <c r="B113" t="s">
        <v>477</v>
      </c>
      <c r="C113">
        <v>1</v>
      </c>
      <c r="D113">
        <v>20230731</v>
      </c>
      <c r="E113">
        <v>7</v>
      </c>
      <c r="F113">
        <v>468730</v>
      </c>
      <c r="G113" t="s">
        <v>2371</v>
      </c>
      <c r="H113" t="s">
        <v>401</v>
      </c>
      <c r="I113" t="s">
        <v>402</v>
      </c>
      <c r="J113" t="s">
        <v>6742</v>
      </c>
      <c r="K113">
        <v>20230731</v>
      </c>
      <c r="L113" t="s">
        <v>6739</v>
      </c>
      <c r="M113">
        <v>0</v>
      </c>
      <c r="N113">
        <v>10000</v>
      </c>
      <c r="O113" t="s">
        <v>23</v>
      </c>
      <c r="P113">
        <v>20230918</v>
      </c>
      <c r="Q113">
        <v>20230731</v>
      </c>
    </row>
    <row r="114" spans="1:17" x14ac:dyDescent="0.25">
      <c r="A114" t="s">
        <v>476</v>
      </c>
      <c r="B114" t="s">
        <v>477</v>
      </c>
      <c r="C114">
        <v>1</v>
      </c>
      <c r="D114">
        <v>20230731</v>
      </c>
      <c r="E114">
        <v>7</v>
      </c>
      <c r="F114">
        <v>512000</v>
      </c>
      <c r="G114" t="s">
        <v>428</v>
      </c>
      <c r="H114" t="s">
        <v>401</v>
      </c>
      <c r="I114" t="s">
        <v>402</v>
      </c>
      <c r="J114" t="s">
        <v>6742</v>
      </c>
      <c r="K114">
        <v>20230731</v>
      </c>
      <c r="L114" t="s">
        <v>6739</v>
      </c>
      <c r="M114">
        <v>10000</v>
      </c>
      <c r="N114">
        <v>0</v>
      </c>
      <c r="O114" t="s">
        <v>19</v>
      </c>
      <c r="P114" t="s">
        <v>20</v>
      </c>
      <c r="Q114">
        <v>20230731</v>
      </c>
    </row>
    <row r="115" spans="1:17" x14ac:dyDescent="0.25">
      <c r="A115" t="s">
        <v>476</v>
      </c>
      <c r="B115" t="s">
        <v>477</v>
      </c>
      <c r="C115">
        <v>1</v>
      </c>
      <c r="D115">
        <v>20230731</v>
      </c>
      <c r="E115">
        <v>7</v>
      </c>
      <c r="F115">
        <v>468730</v>
      </c>
      <c r="G115" t="s">
        <v>2371</v>
      </c>
      <c r="H115" t="s">
        <v>401</v>
      </c>
      <c r="I115" t="s">
        <v>402</v>
      </c>
      <c r="J115" t="s">
        <v>6741</v>
      </c>
      <c r="K115">
        <v>20230731</v>
      </c>
      <c r="L115" t="s">
        <v>6739</v>
      </c>
      <c r="M115">
        <v>0</v>
      </c>
      <c r="N115">
        <v>5000</v>
      </c>
      <c r="O115" t="s">
        <v>23</v>
      </c>
      <c r="P115">
        <v>20230918</v>
      </c>
      <c r="Q115">
        <v>20230731</v>
      </c>
    </row>
    <row r="116" spans="1:17" x14ac:dyDescent="0.25">
      <c r="A116" t="s">
        <v>476</v>
      </c>
      <c r="B116" t="s">
        <v>477</v>
      </c>
      <c r="C116">
        <v>1</v>
      </c>
      <c r="D116">
        <v>20230731</v>
      </c>
      <c r="E116">
        <v>7</v>
      </c>
      <c r="F116">
        <v>512000</v>
      </c>
      <c r="G116" t="s">
        <v>428</v>
      </c>
      <c r="H116" t="s">
        <v>401</v>
      </c>
      <c r="I116" t="s">
        <v>402</v>
      </c>
      <c r="J116" t="s">
        <v>6741</v>
      </c>
      <c r="K116">
        <v>20230731</v>
      </c>
      <c r="L116" t="s">
        <v>6739</v>
      </c>
      <c r="M116">
        <v>5000</v>
      </c>
      <c r="N116">
        <v>0</v>
      </c>
      <c r="O116" t="s">
        <v>19</v>
      </c>
      <c r="P116" t="s">
        <v>20</v>
      </c>
      <c r="Q116">
        <v>20230731</v>
      </c>
    </row>
    <row r="117" spans="1:17" x14ac:dyDescent="0.25">
      <c r="A117" t="s">
        <v>476</v>
      </c>
      <c r="B117" t="s">
        <v>477</v>
      </c>
      <c r="C117">
        <v>1</v>
      </c>
      <c r="D117">
        <v>20230731</v>
      </c>
      <c r="E117">
        <v>7</v>
      </c>
      <c r="F117">
        <v>468730</v>
      </c>
      <c r="G117" t="s">
        <v>2371</v>
      </c>
      <c r="H117" t="s">
        <v>401</v>
      </c>
      <c r="I117" t="s">
        <v>402</v>
      </c>
      <c r="J117" t="s">
        <v>6740</v>
      </c>
      <c r="K117">
        <v>20230731</v>
      </c>
      <c r="L117" t="s">
        <v>6739</v>
      </c>
      <c r="M117">
        <v>0</v>
      </c>
      <c r="N117">
        <v>21000</v>
      </c>
      <c r="O117" t="s">
        <v>23</v>
      </c>
      <c r="P117">
        <v>20230918</v>
      </c>
      <c r="Q117">
        <v>20230731</v>
      </c>
    </row>
    <row r="118" spans="1:17" x14ac:dyDescent="0.25">
      <c r="A118" t="s">
        <v>476</v>
      </c>
      <c r="B118" t="s">
        <v>477</v>
      </c>
      <c r="C118">
        <v>1</v>
      </c>
      <c r="D118">
        <v>20230731</v>
      </c>
      <c r="E118">
        <v>7</v>
      </c>
      <c r="F118">
        <v>512000</v>
      </c>
      <c r="G118" t="s">
        <v>428</v>
      </c>
      <c r="H118" t="s">
        <v>401</v>
      </c>
      <c r="I118" t="s">
        <v>402</v>
      </c>
      <c r="J118" t="s">
        <v>6740</v>
      </c>
      <c r="K118">
        <v>20230731</v>
      </c>
      <c r="L118" t="s">
        <v>6739</v>
      </c>
      <c r="M118">
        <v>21000</v>
      </c>
      <c r="N118">
        <v>0</v>
      </c>
      <c r="O118" t="s">
        <v>19</v>
      </c>
      <c r="P118" t="s">
        <v>20</v>
      </c>
      <c r="Q118">
        <v>20230731</v>
      </c>
    </row>
    <row r="119" spans="1:17" x14ac:dyDescent="0.25">
      <c r="A119" t="s">
        <v>476</v>
      </c>
      <c r="B119" t="s">
        <v>477</v>
      </c>
      <c r="C119">
        <v>1</v>
      </c>
      <c r="D119">
        <v>20230731</v>
      </c>
      <c r="E119">
        <v>7</v>
      </c>
      <c r="F119">
        <v>468750</v>
      </c>
      <c r="G119" t="s">
        <v>427</v>
      </c>
      <c r="H119" t="s">
        <v>401</v>
      </c>
      <c r="I119" t="s">
        <v>402</v>
      </c>
      <c r="J119" t="s">
        <v>6738</v>
      </c>
      <c r="K119">
        <v>20230731</v>
      </c>
      <c r="L119" t="s">
        <v>6737</v>
      </c>
      <c r="M119">
        <v>0</v>
      </c>
      <c r="N119">
        <v>25200</v>
      </c>
      <c r="O119" t="s">
        <v>19</v>
      </c>
      <c r="P119" t="s">
        <v>20</v>
      </c>
      <c r="Q119">
        <v>20230731</v>
      </c>
    </row>
    <row r="120" spans="1:17" x14ac:dyDescent="0.25">
      <c r="A120" t="s">
        <v>476</v>
      </c>
      <c r="B120" t="s">
        <v>477</v>
      </c>
      <c r="C120">
        <v>1</v>
      </c>
      <c r="D120">
        <v>20230731</v>
      </c>
      <c r="E120">
        <v>7</v>
      </c>
      <c r="F120">
        <v>512000</v>
      </c>
      <c r="G120" t="s">
        <v>428</v>
      </c>
      <c r="H120" t="s">
        <v>401</v>
      </c>
      <c r="I120" t="s">
        <v>402</v>
      </c>
      <c r="J120" t="s">
        <v>6738</v>
      </c>
      <c r="K120">
        <v>20230731</v>
      </c>
      <c r="L120" t="s">
        <v>6737</v>
      </c>
      <c r="M120">
        <v>25200</v>
      </c>
      <c r="N120">
        <v>0</v>
      </c>
      <c r="O120" t="s">
        <v>19</v>
      </c>
      <c r="P120" t="s">
        <v>20</v>
      </c>
      <c r="Q120">
        <v>20230731</v>
      </c>
    </row>
    <row r="121" spans="1:17" x14ac:dyDescent="0.25">
      <c r="A121" t="s">
        <v>476</v>
      </c>
      <c r="B121" t="s">
        <v>477</v>
      </c>
      <c r="C121">
        <v>1</v>
      </c>
      <c r="D121">
        <v>20230731</v>
      </c>
      <c r="E121">
        <v>7</v>
      </c>
      <c r="F121">
        <v>401000</v>
      </c>
      <c r="G121" t="s">
        <v>41</v>
      </c>
      <c r="H121" t="s">
        <v>6736</v>
      </c>
      <c r="I121" t="s">
        <v>6735</v>
      </c>
      <c r="J121" t="s">
        <v>6734</v>
      </c>
      <c r="K121">
        <v>20230731</v>
      </c>
      <c r="L121" t="s">
        <v>6733</v>
      </c>
      <c r="M121">
        <v>380</v>
      </c>
      <c r="N121">
        <v>0</v>
      </c>
      <c r="O121" t="s">
        <v>19</v>
      </c>
      <c r="P121" t="s">
        <v>20</v>
      </c>
      <c r="Q121">
        <v>20230731</v>
      </c>
    </row>
    <row r="122" spans="1:17" x14ac:dyDescent="0.25">
      <c r="A122" t="s">
        <v>476</v>
      </c>
      <c r="B122" t="s">
        <v>477</v>
      </c>
      <c r="C122">
        <v>1</v>
      </c>
      <c r="D122">
        <v>20230731</v>
      </c>
      <c r="E122">
        <v>7</v>
      </c>
      <c r="F122">
        <v>512000</v>
      </c>
      <c r="G122" t="s">
        <v>428</v>
      </c>
      <c r="H122" t="s">
        <v>401</v>
      </c>
      <c r="I122" t="s">
        <v>402</v>
      </c>
      <c r="J122" t="s">
        <v>6734</v>
      </c>
      <c r="K122">
        <v>20230731</v>
      </c>
      <c r="L122" t="s">
        <v>6733</v>
      </c>
      <c r="M122">
        <v>0</v>
      </c>
      <c r="N122">
        <v>380</v>
      </c>
      <c r="O122" t="s">
        <v>19</v>
      </c>
      <c r="P122" t="s">
        <v>20</v>
      </c>
      <c r="Q122">
        <v>20230731</v>
      </c>
    </row>
    <row r="123" spans="1:17" x14ac:dyDescent="0.25">
      <c r="A123" t="s">
        <v>476</v>
      </c>
      <c r="B123" t="s">
        <v>477</v>
      </c>
      <c r="C123">
        <v>1</v>
      </c>
      <c r="D123">
        <v>20230731</v>
      </c>
      <c r="E123">
        <v>7</v>
      </c>
      <c r="F123">
        <v>468200</v>
      </c>
      <c r="G123" t="s">
        <v>421</v>
      </c>
      <c r="H123" t="s">
        <v>401</v>
      </c>
      <c r="I123" t="s">
        <v>402</v>
      </c>
      <c r="J123" t="s">
        <v>6732</v>
      </c>
      <c r="K123">
        <v>20230731</v>
      </c>
      <c r="L123" t="s">
        <v>422</v>
      </c>
      <c r="M123">
        <v>0</v>
      </c>
      <c r="N123">
        <v>404.32</v>
      </c>
      <c r="O123" t="s">
        <v>19</v>
      </c>
      <c r="P123" t="s">
        <v>20</v>
      </c>
      <c r="Q123">
        <v>20230731</v>
      </c>
    </row>
    <row r="124" spans="1:17" x14ac:dyDescent="0.25">
      <c r="A124" t="s">
        <v>476</v>
      </c>
      <c r="B124" t="s">
        <v>477</v>
      </c>
      <c r="C124">
        <v>1</v>
      </c>
      <c r="D124">
        <v>20230731</v>
      </c>
      <c r="E124">
        <v>7</v>
      </c>
      <c r="F124">
        <v>512000</v>
      </c>
      <c r="G124" t="s">
        <v>428</v>
      </c>
      <c r="H124" t="s">
        <v>401</v>
      </c>
      <c r="I124" t="s">
        <v>402</v>
      </c>
      <c r="J124" t="s">
        <v>6732</v>
      </c>
      <c r="K124">
        <v>20230731</v>
      </c>
      <c r="L124" t="s">
        <v>422</v>
      </c>
      <c r="M124">
        <v>404.32</v>
      </c>
      <c r="N124">
        <v>0</v>
      </c>
      <c r="O124" t="s">
        <v>19</v>
      </c>
      <c r="P124" t="s">
        <v>20</v>
      </c>
      <c r="Q124">
        <v>20230731</v>
      </c>
    </row>
    <row r="125" spans="1:17" x14ac:dyDescent="0.25">
      <c r="A125" t="s">
        <v>476</v>
      </c>
      <c r="B125" t="s">
        <v>477</v>
      </c>
      <c r="C125">
        <v>1</v>
      </c>
      <c r="D125">
        <v>20230707</v>
      </c>
      <c r="E125">
        <v>7</v>
      </c>
      <c r="F125">
        <v>411100</v>
      </c>
      <c r="G125" t="s">
        <v>18</v>
      </c>
      <c r="H125" t="s">
        <v>694</v>
      </c>
      <c r="I125" t="s">
        <v>695</v>
      </c>
      <c r="J125">
        <v>123020051</v>
      </c>
      <c r="K125">
        <v>20230707</v>
      </c>
      <c r="L125" t="s">
        <v>6731</v>
      </c>
      <c r="M125">
        <v>0</v>
      </c>
      <c r="N125">
        <v>500</v>
      </c>
      <c r="O125" t="s">
        <v>19</v>
      </c>
      <c r="P125" t="s">
        <v>20</v>
      </c>
      <c r="Q125">
        <v>20230707</v>
      </c>
    </row>
    <row r="126" spans="1:17" x14ac:dyDescent="0.25">
      <c r="A126" t="s">
        <v>476</v>
      </c>
      <c r="B126" t="s">
        <v>477</v>
      </c>
      <c r="C126">
        <v>1</v>
      </c>
      <c r="D126">
        <v>20230707</v>
      </c>
      <c r="E126">
        <v>7</v>
      </c>
      <c r="F126">
        <v>512000</v>
      </c>
      <c r="G126" t="s">
        <v>428</v>
      </c>
      <c r="H126" t="s">
        <v>401</v>
      </c>
      <c r="I126" t="s">
        <v>402</v>
      </c>
      <c r="J126">
        <v>374064</v>
      </c>
      <c r="K126">
        <v>20230707</v>
      </c>
      <c r="L126" t="s">
        <v>3268</v>
      </c>
      <c r="M126">
        <v>500</v>
      </c>
      <c r="N126">
        <v>0</v>
      </c>
      <c r="O126" t="s">
        <v>19</v>
      </c>
      <c r="P126" t="s">
        <v>20</v>
      </c>
      <c r="Q126">
        <v>20230707</v>
      </c>
    </row>
    <row r="127" spans="1:17" x14ac:dyDescent="0.25">
      <c r="A127" t="s">
        <v>476</v>
      </c>
      <c r="B127" t="s">
        <v>477</v>
      </c>
      <c r="C127">
        <v>1</v>
      </c>
      <c r="D127">
        <v>20230711</v>
      </c>
      <c r="E127">
        <v>7</v>
      </c>
      <c r="F127">
        <v>411000</v>
      </c>
      <c r="G127" t="s">
        <v>21</v>
      </c>
      <c r="H127" t="s">
        <v>2416</v>
      </c>
      <c r="I127" t="s">
        <v>2417</v>
      </c>
      <c r="J127">
        <v>123060001</v>
      </c>
      <c r="K127">
        <v>20230711</v>
      </c>
      <c r="L127" t="s">
        <v>6730</v>
      </c>
      <c r="M127">
        <v>0</v>
      </c>
      <c r="N127">
        <v>120</v>
      </c>
      <c r="O127" t="s">
        <v>19</v>
      </c>
      <c r="P127" t="s">
        <v>20</v>
      </c>
      <c r="Q127">
        <v>20230711</v>
      </c>
    </row>
    <row r="128" spans="1:17" x14ac:dyDescent="0.25">
      <c r="A128" t="s">
        <v>476</v>
      </c>
      <c r="B128" t="s">
        <v>477</v>
      </c>
      <c r="C128">
        <v>1</v>
      </c>
      <c r="D128">
        <v>20230711</v>
      </c>
      <c r="E128">
        <v>7</v>
      </c>
      <c r="F128">
        <v>512000</v>
      </c>
      <c r="G128" t="s">
        <v>428</v>
      </c>
      <c r="H128" t="s">
        <v>401</v>
      </c>
      <c r="I128" t="s">
        <v>402</v>
      </c>
      <c r="J128">
        <v>374066</v>
      </c>
      <c r="K128">
        <v>20230711</v>
      </c>
      <c r="L128" t="s">
        <v>3268</v>
      </c>
      <c r="M128">
        <v>120</v>
      </c>
      <c r="N128">
        <v>0</v>
      </c>
      <c r="O128" t="s">
        <v>19</v>
      </c>
      <c r="P128" t="s">
        <v>20</v>
      </c>
      <c r="Q128">
        <v>20230711</v>
      </c>
    </row>
    <row r="129" spans="1:17" x14ac:dyDescent="0.25">
      <c r="A129" t="s">
        <v>548</v>
      </c>
      <c r="B129" t="s">
        <v>429</v>
      </c>
      <c r="C129">
        <v>2</v>
      </c>
      <c r="D129">
        <v>20230704</v>
      </c>
      <c r="E129">
        <v>7</v>
      </c>
      <c r="F129">
        <v>467100</v>
      </c>
      <c r="G129" t="s">
        <v>160</v>
      </c>
      <c r="H129" t="s">
        <v>316</v>
      </c>
      <c r="I129" t="s">
        <v>317</v>
      </c>
      <c r="J129" t="s">
        <v>6729</v>
      </c>
      <c r="K129">
        <v>20230704</v>
      </c>
      <c r="L129" t="s">
        <v>6728</v>
      </c>
      <c r="M129">
        <v>250</v>
      </c>
      <c r="N129">
        <v>0</v>
      </c>
      <c r="O129" t="s">
        <v>23</v>
      </c>
      <c r="P129">
        <v>20230726</v>
      </c>
      <c r="Q129">
        <v>20230704</v>
      </c>
    </row>
    <row r="130" spans="1:17" x14ac:dyDescent="0.25">
      <c r="A130" t="s">
        <v>548</v>
      </c>
      <c r="B130" t="s">
        <v>429</v>
      </c>
      <c r="C130">
        <v>2</v>
      </c>
      <c r="D130">
        <v>20230704</v>
      </c>
      <c r="E130">
        <v>7</v>
      </c>
      <c r="F130">
        <v>531105</v>
      </c>
      <c r="G130" t="s">
        <v>429</v>
      </c>
      <c r="H130" t="s">
        <v>401</v>
      </c>
      <c r="I130" t="s">
        <v>402</v>
      </c>
      <c r="J130" t="s">
        <v>6729</v>
      </c>
      <c r="K130">
        <v>20230704</v>
      </c>
      <c r="L130" t="s">
        <v>6728</v>
      </c>
      <c r="M130">
        <v>0</v>
      </c>
      <c r="N130">
        <v>250</v>
      </c>
      <c r="O130" t="s">
        <v>19</v>
      </c>
      <c r="P130" t="s">
        <v>20</v>
      </c>
      <c r="Q130">
        <v>20230704</v>
      </c>
    </row>
    <row r="131" spans="1:17" x14ac:dyDescent="0.25">
      <c r="A131" t="s">
        <v>548</v>
      </c>
      <c r="B131" t="s">
        <v>429</v>
      </c>
      <c r="C131">
        <v>2</v>
      </c>
      <c r="D131">
        <v>20230706</v>
      </c>
      <c r="E131">
        <v>7</v>
      </c>
      <c r="F131">
        <v>467100</v>
      </c>
      <c r="G131" t="s">
        <v>160</v>
      </c>
      <c r="H131" t="s">
        <v>1726</v>
      </c>
      <c r="I131" t="s">
        <v>1727</v>
      </c>
      <c r="J131" t="s">
        <v>6727</v>
      </c>
      <c r="K131">
        <v>20230706</v>
      </c>
      <c r="L131" t="s">
        <v>6726</v>
      </c>
      <c r="M131">
        <v>130</v>
      </c>
      <c r="N131">
        <v>0</v>
      </c>
      <c r="O131" t="s">
        <v>19</v>
      </c>
      <c r="P131" t="s">
        <v>20</v>
      </c>
      <c r="Q131">
        <v>20230706</v>
      </c>
    </row>
    <row r="132" spans="1:17" x14ac:dyDescent="0.25">
      <c r="A132" t="s">
        <v>548</v>
      </c>
      <c r="B132" t="s">
        <v>429</v>
      </c>
      <c r="C132">
        <v>2</v>
      </c>
      <c r="D132">
        <v>20230706</v>
      </c>
      <c r="E132">
        <v>7</v>
      </c>
      <c r="F132">
        <v>531105</v>
      </c>
      <c r="G132" t="s">
        <v>429</v>
      </c>
      <c r="H132" t="s">
        <v>401</v>
      </c>
      <c r="I132" t="s">
        <v>402</v>
      </c>
      <c r="J132" t="s">
        <v>6727</v>
      </c>
      <c r="K132">
        <v>20230706</v>
      </c>
      <c r="L132" t="s">
        <v>6726</v>
      </c>
      <c r="M132">
        <v>0</v>
      </c>
      <c r="N132">
        <v>130</v>
      </c>
      <c r="O132" t="s">
        <v>19</v>
      </c>
      <c r="P132" t="s">
        <v>20</v>
      </c>
      <c r="Q132">
        <v>20230706</v>
      </c>
    </row>
    <row r="133" spans="1:17" x14ac:dyDescent="0.25">
      <c r="A133" t="s">
        <v>548</v>
      </c>
      <c r="B133" t="s">
        <v>429</v>
      </c>
      <c r="C133">
        <v>2</v>
      </c>
      <c r="D133">
        <v>20230706</v>
      </c>
      <c r="E133">
        <v>7</v>
      </c>
      <c r="F133">
        <v>467100</v>
      </c>
      <c r="G133" t="s">
        <v>160</v>
      </c>
      <c r="H133" t="s">
        <v>1726</v>
      </c>
      <c r="I133" t="s">
        <v>1727</v>
      </c>
      <c r="J133" t="s">
        <v>6725</v>
      </c>
      <c r="K133">
        <v>20230706</v>
      </c>
      <c r="L133" t="s">
        <v>6724</v>
      </c>
      <c r="M133">
        <v>0</v>
      </c>
      <c r="N133">
        <v>51.6</v>
      </c>
      <c r="O133" t="s">
        <v>19</v>
      </c>
      <c r="P133" t="s">
        <v>20</v>
      </c>
      <c r="Q133">
        <v>20230706</v>
      </c>
    </row>
    <row r="134" spans="1:17" x14ac:dyDescent="0.25">
      <c r="A134" t="s">
        <v>548</v>
      </c>
      <c r="B134" t="s">
        <v>429</v>
      </c>
      <c r="C134">
        <v>2</v>
      </c>
      <c r="D134">
        <v>20230706</v>
      </c>
      <c r="E134">
        <v>7</v>
      </c>
      <c r="F134">
        <v>531105</v>
      </c>
      <c r="G134" t="s">
        <v>429</v>
      </c>
      <c r="H134" t="s">
        <v>401</v>
      </c>
      <c r="I134" t="s">
        <v>402</v>
      </c>
      <c r="J134" t="s">
        <v>6725</v>
      </c>
      <c r="K134">
        <v>20230706</v>
      </c>
      <c r="L134" t="s">
        <v>6724</v>
      </c>
      <c r="M134">
        <v>51.6</v>
      </c>
      <c r="N134">
        <v>0</v>
      </c>
      <c r="O134" t="s">
        <v>19</v>
      </c>
      <c r="P134" t="s">
        <v>20</v>
      </c>
      <c r="Q134">
        <v>20230706</v>
      </c>
    </row>
    <row r="135" spans="1:17" x14ac:dyDescent="0.25">
      <c r="A135" t="s">
        <v>548</v>
      </c>
      <c r="B135" t="s">
        <v>429</v>
      </c>
      <c r="C135">
        <v>2</v>
      </c>
      <c r="D135">
        <v>20230706</v>
      </c>
      <c r="E135">
        <v>7</v>
      </c>
      <c r="F135">
        <v>467100</v>
      </c>
      <c r="G135" t="s">
        <v>160</v>
      </c>
      <c r="H135" t="s">
        <v>4958</v>
      </c>
      <c r="I135" t="s">
        <v>4959</v>
      </c>
      <c r="J135" t="s">
        <v>6723</v>
      </c>
      <c r="K135">
        <v>20230706</v>
      </c>
      <c r="L135" t="s">
        <v>6722</v>
      </c>
      <c r="M135">
        <v>50</v>
      </c>
      <c r="N135">
        <v>0</v>
      </c>
      <c r="O135" t="s">
        <v>23</v>
      </c>
      <c r="P135">
        <v>20230914</v>
      </c>
      <c r="Q135">
        <v>20230706</v>
      </c>
    </row>
    <row r="136" spans="1:17" x14ac:dyDescent="0.25">
      <c r="A136" t="s">
        <v>548</v>
      </c>
      <c r="B136" t="s">
        <v>429</v>
      </c>
      <c r="C136">
        <v>2</v>
      </c>
      <c r="D136">
        <v>20230706</v>
      </c>
      <c r="E136">
        <v>7</v>
      </c>
      <c r="F136">
        <v>531105</v>
      </c>
      <c r="G136" t="s">
        <v>429</v>
      </c>
      <c r="H136" t="s">
        <v>401</v>
      </c>
      <c r="I136" t="s">
        <v>402</v>
      </c>
      <c r="J136" t="s">
        <v>6723</v>
      </c>
      <c r="K136">
        <v>20230706</v>
      </c>
      <c r="L136" t="s">
        <v>6722</v>
      </c>
      <c r="M136">
        <v>0</v>
      </c>
      <c r="N136">
        <v>50</v>
      </c>
      <c r="O136" t="s">
        <v>19</v>
      </c>
      <c r="P136" t="s">
        <v>20</v>
      </c>
      <c r="Q136">
        <v>20230706</v>
      </c>
    </row>
    <row r="137" spans="1:17" x14ac:dyDescent="0.25">
      <c r="A137" t="s">
        <v>548</v>
      </c>
      <c r="B137" t="s">
        <v>429</v>
      </c>
      <c r="C137">
        <v>2</v>
      </c>
      <c r="D137">
        <v>20230707</v>
      </c>
      <c r="E137">
        <v>7</v>
      </c>
      <c r="F137">
        <v>467100</v>
      </c>
      <c r="G137" t="s">
        <v>160</v>
      </c>
      <c r="H137" t="s">
        <v>4958</v>
      </c>
      <c r="I137" t="s">
        <v>4959</v>
      </c>
      <c r="J137" t="s">
        <v>6721</v>
      </c>
      <c r="K137">
        <v>20230707</v>
      </c>
      <c r="L137" t="s">
        <v>6720</v>
      </c>
      <c r="M137">
        <v>0</v>
      </c>
      <c r="N137">
        <v>14.1</v>
      </c>
      <c r="O137" t="s">
        <v>23</v>
      </c>
      <c r="P137">
        <v>20230914</v>
      </c>
      <c r="Q137">
        <v>20230707</v>
      </c>
    </row>
    <row r="138" spans="1:17" x14ac:dyDescent="0.25">
      <c r="A138" t="s">
        <v>548</v>
      </c>
      <c r="B138" t="s">
        <v>429</v>
      </c>
      <c r="C138">
        <v>2</v>
      </c>
      <c r="D138">
        <v>20230707</v>
      </c>
      <c r="E138">
        <v>7</v>
      </c>
      <c r="F138">
        <v>531105</v>
      </c>
      <c r="G138" t="s">
        <v>429</v>
      </c>
      <c r="H138" t="s">
        <v>401</v>
      </c>
      <c r="I138" t="s">
        <v>402</v>
      </c>
      <c r="J138" t="s">
        <v>6721</v>
      </c>
      <c r="K138">
        <v>20230707</v>
      </c>
      <c r="L138" t="s">
        <v>6720</v>
      </c>
      <c r="M138">
        <v>14.1</v>
      </c>
      <c r="N138">
        <v>0</v>
      </c>
      <c r="O138" t="s">
        <v>19</v>
      </c>
      <c r="P138" t="s">
        <v>20</v>
      </c>
      <c r="Q138">
        <v>20230707</v>
      </c>
    </row>
    <row r="139" spans="1:17" x14ac:dyDescent="0.25">
      <c r="A139" t="s">
        <v>548</v>
      </c>
      <c r="B139" t="s">
        <v>429</v>
      </c>
      <c r="C139">
        <v>2</v>
      </c>
      <c r="D139">
        <v>20230707</v>
      </c>
      <c r="E139">
        <v>7</v>
      </c>
      <c r="F139">
        <v>467100</v>
      </c>
      <c r="G139" t="s">
        <v>160</v>
      </c>
      <c r="H139" t="s">
        <v>4958</v>
      </c>
      <c r="I139" t="s">
        <v>4959</v>
      </c>
      <c r="J139" t="s">
        <v>6719</v>
      </c>
      <c r="K139">
        <v>20230707</v>
      </c>
      <c r="L139" t="s">
        <v>6718</v>
      </c>
      <c r="M139">
        <v>0</v>
      </c>
      <c r="N139">
        <v>14.04</v>
      </c>
      <c r="O139" t="s">
        <v>23</v>
      </c>
      <c r="P139">
        <v>20230914</v>
      </c>
      <c r="Q139">
        <v>20230707</v>
      </c>
    </row>
    <row r="140" spans="1:17" x14ac:dyDescent="0.25">
      <c r="A140" t="s">
        <v>548</v>
      </c>
      <c r="B140" t="s">
        <v>429</v>
      </c>
      <c r="C140">
        <v>2</v>
      </c>
      <c r="D140">
        <v>20230707</v>
      </c>
      <c r="E140">
        <v>7</v>
      </c>
      <c r="F140">
        <v>531105</v>
      </c>
      <c r="G140" t="s">
        <v>429</v>
      </c>
      <c r="H140" t="s">
        <v>401</v>
      </c>
      <c r="I140" t="s">
        <v>402</v>
      </c>
      <c r="J140" t="s">
        <v>6719</v>
      </c>
      <c r="K140">
        <v>20230707</v>
      </c>
      <c r="L140" t="s">
        <v>6718</v>
      </c>
      <c r="M140">
        <v>14.04</v>
      </c>
      <c r="N140">
        <v>0</v>
      </c>
      <c r="O140" t="s">
        <v>19</v>
      </c>
      <c r="P140" t="s">
        <v>20</v>
      </c>
      <c r="Q140">
        <v>20230707</v>
      </c>
    </row>
    <row r="141" spans="1:17" x14ac:dyDescent="0.25">
      <c r="A141" t="s">
        <v>548</v>
      </c>
      <c r="B141" t="s">
        <v>429</v>
      </c>
      <c r="C141">
        <v>2</v>
      </c>
      <c r="D141">
        <v>20230707</v>
      </c>
      <c r="E141">
        <v>7</v>
      </c>
      <c r="F141">
        <v>467100</v>
      </c>
      <c r="G141" t="s">
        <v>160</v>
      </c>
      <c r="H141" t="s">
        <v>172</v>
      </c>
      <c r="I141" t="s">
        <v>173</v>
      </c>
      <c r="J141" t="s">
        <v>6717</v>
      </c>
      <c r="K141">
        <v>20230707</v>
      </c>
      <c r="L141" t="s">
        <v>6716</v>
      </c>
      <c r="M141">
        <v>155.01</v>
      </c>
      <c r="N141">
        <v>0</v>
      </c>
      <c r="O141" t="s">
        <v>23</v>
      </c>
      <c r="P141">
        <v>20230725</v>
      </c>
      <c r="Q141">
        <v>20230707</v>
      </c>
    </row>
    <row r="142" spans="1:17" x14ac:dyDescent="0.25">
      <c r="A142" t="s">
        <v>548</v>
      </c>
      <c r="B142" t="s">
        <v>429</v>
      </c>
      <c r="C142">
        <v>2</v>
      </c>
      <c r="D142">
        <v>20230707</v>
      </c>
      <c r="E142">
        <v>7</v>
      </c>
      <c r="F142">
        <v>531105</v>
      </c>
      <c r="G142" t="s">
        <v>429</v>
      </c>
      <c r="H142" t="s">
        <v>401</v>
      </c>
      <c r="I142" t="s">
        <v>402</v>
      </c>
      <c r="J142" t="s">
        <v>6717</v>
      </c>
      <c r="K142">
        <v>20230707</v>
      </c>
      <c r="L142" t="s">
        <v>6716</v>
      </c>
      <c r="M142">
        <v>0</v>
      </c>
      <c r="N142">
        <v>155.01</v>
      </c>
      <c r="O142" t="s">
        <v>19</v>
      </c>
      <c r="P142" t="s">
        <v>20</v>
      </c>
      <c r="Q142">
        <v>20230707</v>
      </c>
    </row>
    <row r="143" spans="1:17" x14ac:dyDescent="0.25">
      <c r="A143" t="s">
        <v>548</v>
      </c>
      <c r="B143" t="s">
        <v>429</v>
      </c>
      <c r="C143">
        <v>2</v>
      </c>
      <c r="D143">
        <v>20230707</v>
      </c>
      <c r="E143">
        <v>7</v>
      </c>
      <c r="F143">
        <v>467100</v>
      </c>
      <c r="G143" t="s">
        <v>160</v>
      </c>
      <c r="H143" t="s">
        <v>172</v>
      </c>
      <c r="I143" t="s">
        <v>173</v>
      </c>
      <c r="J143" t="s">
        <v>6715</v>
      </c>
      <c r="K143">
        <v>20230707</v>
      </c>
      <c r="L143" t="s">
        <v>6714</v>
      </c>
      <c r="M143">
        <v>150</v>
      </c>
      <c r="N143">
        <v>0</v>
      </c>
      <c r="O143" t="s">
        <v>19</v>
      </c>
      <c r="P143" t="s">
        <v>20</v>
      </c>
      <c r="Q143">
        <v>20230707</v>
      </c>
    </row>
    <row r="144" spans="1:17" x14ac:dyDescent="0.25">
      <c r="A144" t="s">
        <v>548</v>
      </c>
      <c r="B144" t="s">
        <v>429</v>
      </c>
      <c r="C144">
        <v>2</v>
      </c>
      <c r="D144">
        <v>20230707</v>
      </c>
      <c r="E144">
        <v>7</v>
      </c>
      <c r="F144">
        <v>531105</v>
      </c>
      <c r="G144" t="s">
        <v>429</v>
      </c>
      <c r="H144" t="s">
        <v>401</v>
      </c>
      <c r="I144" t="s">
        <v>402</v>
      </c>
      <c r="J144" t="s">
        <v>6715</v>
      </c>
      <c r="K144">
        <v>20230707</v>
      </c>
      <c r="L144" t="s">
        <v>6714</v>
      </c>
      <c r="M144">
        <v>0</v>
      </c>
      <c r="N144">
        <v>150</v>
      </c>
      <c r="O144" t="s">
        <v>19</v>
      </c>
      <c r="P144" t="s">
        <v>20</v>
      </c>
      <c r="Q144">
        <v>20230707</v>
      </c>
    </row>
    <row r="145" spans="1:17" x14ac:dyDescent="0.25">
      <c r="A145" t="s">
        <v>548</v>
      </c>
      <c r="B145" t="s">
        <v>429</v>
      </c>
      <c r="C145">
        <v>2</v>
      </c>
      <c r="D145">
        <v>20230707</v>
      </c>
      <c r="E145">
        <v>7</v>
      </c>
      <c r="F145">
        <v>467100</v>
      </c>
      <c r="G145" t="s">
        <v>160</v>
      </c>
      <c r="H145" t="s">
        <v>172</v>
      </c>
      <c r="I145" t="s">
        <v>173</v>
      </c>
      <c r="J145" t="s">
        <v>6713</v>
      </c>
      <c r="K145">
        <v>20230707</v>
      </c>
      <c r="L145" t="s">
        <v>6712</v>
      </c>
      <c r="M145">
        <v>300</v>
      </c>
      <c r="N145">
        <v>0</v>
      </c>
      <c r="O145" t="s">
        <v>19</v>
      </c>
      <c r="P145" t="s">
        <v>20</v>
      </c>
      <c r="Q145">
        <v>20230707</v>
      </c>
    </row>
    <row r="146" spans="1:17" x14ac:dyDescent="0.25">
      <c r="A146" t="s">
        <v>548</v>
      </c>
      <c r="B146" t="s">
        <v>429</v>
      </c>
      <c r="C146">
        <v>2</v>
      </c>
      <c r="D146">
        <v>20230707</v>
      </c>
      <c r="E146">
        <v>7</v>
      </c>
      <c r="F146">
        <v>531105</v>
      </c>
      <c r="G146" t="s">
        <v>429</v>
      </c>
      <c r="H146" t="s">
        <v>401</v>
      </c>
      <c r="I146" t="s">
        <v>402</v>
      </c>
      <c r="J146" t="s">
        <v>6713</v>
      </c>
      <c r="K146">
        <v>20230707</v>
      </c>
      <c r="L146" t="s">
        <v>6712</v>
      </c>
      <c r="M146">
        <v>0</v>
      </c>
      <c r="N146">
        <v>300</v>
      </c>
      <c r="O146" t="s">
        <v>19</v>
      </c>
      <c r="P146" t="s">
        <v>20</v>
      </c>
      <c r="Q146">
        <v>20230707</v>
      </c>
    </row>
    <row r="147" spans="1:17" x14ac:dyDescent="0.25">
      <c r="A147" t="s">
        <v>548</v>
      </c>
      <c r="B147" t="s">
        <v>429</v>
      </c>
      <c r="C147">
        <v>2</v>
      </c>
      <c r="D147">
        <v>20230711</v>
      </c>
      <c r="E147">
        <v>7</v>
      </c>
      <c r="F147">
        <v>467100</v>
      </c>
      <c r="G147" t="s">
        <v>160</v>
      </c>
      <c r="H147" t="s">
        <v>4958</v>
      </c>
      <c r="I147" t="s">
        <v>4959</v>
      </c>
      <c r="J147" t="s">
        <v>6711</v>
      </c>
      <c r="K147">
        <v>20230711</v>
      </c>
      <c r="L147" t="s">
        <v>6697</v>
      </c>
      <c r="M147">
        <v>40</v>
      </c>
      <c r="N147">
        <v>0</v>
      </c>
      <c r="O147" t="s">
        <v>23</v>
      </c>
      <c r="P147">
        <v>20230911</v>
      </c>
      <c r="Q147">
        <v>20230711</v>
      </c>
    </row>
    <row r="148" spans="1:17" x14ac:dyDescent="0.25">
      <c r="A148" t="s">
        <v>548</v>
      </c>
      <c r="B148" t="s">
        <v>429</v>
      </c>
      <c r="C148">
        <v>2</v>
      </c>
      <c r="D148">
        <v>20230711</v>
      </c>
      <c r="E148">
        <v>7</v>
      </c>
      <c r="F148">
        <v>531105</v>
      </c>
      <c r="G148" t="s">
        <v>429</v>
      </c>
      <c r="H148" t="s">
        <v>401</v>
      </c>
      <c r="I148" t="s">
        <v>402</v>
      </c>
      <c r="J148" t="s">
        <v>6711</v>
      </c>
      <c r="K148">
        <v>20230711</v>
      </c>
      <c r="L148" t="s">
        <v>6697</v>
      </c>
      <c r="M148">
        <v>0</v>
      </c>
      <c r="N148">
        <v>40</v>
      </c>
      <c r="O148" t="s">
        <v>19</v>
      </c>
      <c r="P148" t="s">
        <v>20</v>
      </c>
      <c r="Q148">
        <v>20230711</v>
      </c>
    </row>
    <row r="149" spans="1:17" x14ac:dyDescent="0.25">
      <c r="A149" t="s">
        <v>548</v>
      </c>
      <c r="B149" t="s">
        <v>429</v>
      </c>
      <c r="C149">
        <v>2</v>
      </c>
      <c r="D149">
        <v>20230712</v>
      </c>
      <c r="E149">
        <v>7</v>
      </c>
      <c r="F149">
        <v>467100</v>
      </c>
      <c r="G149" t="s">
        <v>160</v>
      </c>
      <c r="H149" t="s">
        <v>1014</v>
      </c>
      <c r="I149" t="s">
        <v>1015</v>
      </c>
      <c r="J149" t="s">
        <v>6710</v>
      </c>
      <c r="K149">
        <v>20230712</v>
      </c>
      <c r="L149" t="s">
        <v>6709</v>
      </c>
      <c r="M149">
        <v>11.72</v>
      </c>
      <c r="N149">
        <v>0</v>
      </c>
      <c r="O149" t="s">
        <v>23</v>
      </c>
      <c r="P149">
        <v>20230911</v>
      </c>
      <c r="Q149">
        <v>20230712</v>
      </c>
    </row>
    <row r="150" spans="1:17" x14ac:dyDescent="0.25">
      <c r="A150" t="s">
        <v>548</v>
      </c>
      <c r="B150" t="s">
        <v>429</v>
      </c>
      <c r="C150">
        <v>2</v>
      </c>
      <c r="D150">
        <v>20230712</v>
      </c>
      <c r="E150">
        <v>7</v>
      </c>
      <c r="F150">
        <v>531105</v>
      </c>
      <c r="G150" t="s">
        <v>429</v>
      </c>
      <c r="H150" t="s">
        <v>401</v>
      </c>
      <c r="I150" t="s">
        <v>402</v>
      </c>
      <c r="J150" t="s">
        <v>6710</v>
      </c>
      <c r="K150">
        <v>20230712</v>
      </c>
      <c r="L150" t="s">
        <v>6709</v>
      </c>
      <c r="M150">
        <v>0</v>
      </c>
      <c r="N150">
        <v>11.72</v>
      </c>
      <c r="O150" t="s">
        <v>19</v>
      </c>
      <c r="P150" t="s">
        <v>20</v>
      </c>
      <c r="Q150">
        <v>20230712</v>
      </c>
    </row>
    <row r="151" spans="1:17" x14ac:dyDescent="0.25">
      <c r="A151" t="s">
        <v>548</v>
      </c>
      <c r="B151" t="s">
        <v>429</v>
      </c>
      <c r="C151">
        <v>2</v>
      </c>
      <c r="D151">
        <v>20230717</v>
      </c>
      <c r="E151">
        <v>7</v>
      </c>
      <c r="F151">
        <v>467100</v>
      </c>
      <c r="G151" t="s">
        <v>160</v>
      </c>
      <c r="H151" t="s">
        <v>4958</v>
      </c>
      <c r="I151" t="s">
        <v>4959</v>
      </c>
      <c r="J151" t="s">
        <v>6708</v>
      </c>
      <c r="K151">
        <v>20230717</v>
      </c>
      <c r="L151" t="s">
        <v>6707</v>
      </c>
      <c r="M151">
        <v>0</v>
      </c>
      <c r="N151">
        <v>20.83</v>
      </c>
      <c r="O151" t="s">
        <v>23</v>
      </c>
      <c r="P151">
        <v>20230911</v>
      </c>
      <c r="Q151">
        <v>20230717</v>
      </c>
    </row>
    <row r="152" spans="1:17" x14ac:dyDescent="0.25">
      <c r="A152" t="s">
        <v>548</v>
      </c>
      <c r="B152" t="s">
        <v>429</v>
      </c>
      <c r="C152">
        <v>2</v>
      </c>
      <c r="D152">
        <v>20230717</v>
      </c>
      <c r="E152">
        <v>7</v>
      </c>
      <c r="F152">
        <v>531105</v>
      </c>
      <c r="G152" t="s">
        <v>429</v>
      </c>
      <c r="H152" t="s">
        <v>401</v>
      </c>
      <c r="I152" t="s">
        <v>402</v>
      </c>
      <c r="J152" t="s">
        <v>6708</v>
      </c>
      <c r="K152">
        <v>20230717</v>
      </c>
      <c r="L152" t="s">
        <v>6707</v>
      </c>
      <c r="M152">
        <v>20.83</v>
      </c>
      <c r="N152">
        <v>0</v>
      </c>
      <c r="O152" t="s">
        <v>19</v>
      </c>
      <c r="P152" t="s">
        <v>20</v>
      </c>
      <c r="Q152">
        <v>20230717</v>
      </c>
    </row>
    <row r="153" spans="1:17" x14ac:dyDescent="0.25">
      <c r="A153" t="s">
        <v>548</v>
      </c>
      <c r="B153" t="s">
        <v>429</v>
      </c>
      <c r="C153">
        <v>2</v>
      </c>
      <c r="D153">
        <v>20230717</v>
      </c>
      <c r="E153">
        <v>7</v>
      </c>
      <c r="F153">
        <v>467100</v>
      </c>
      <c r="G153" t="s">
        <v>160</v>
      </c>
      <c r="H153" t="s">
        <v>4958</v>
      </c>
      <c r="I153" t="s">
        <v>4959</v>
      </c>
      <c r="J153" t="s">
        <v>6706</v>
      </c>
      <c r="K153">
        <v>20230717</v>
      </c>
      <c r="L153" t="s">
        <v>6705</v>
      </c>
      <c r="M153">
        <v>500</v>
      </c>
      <c r="N153">
        <v>0</v>
      </c>
      <c r="O153" t="s">
        <v>23</v>
      </c>
      <c r="P153">
        <v>20230926</v>
      </c>
      <c r="Q153">
        <v>20230717</v>
      </c>
    </row>
    <row r="154" spans="1:17" x14ac:dyDescent="0.25">
      <c r="A154" t="s">
        <v>548</v>
      </c>
      <c r="B154" t="s">
        <v>429</v>
      </c>
      <c r="C154">
        <v>2</v>
      </c>
      <c r="D154">
        <v>20230717</v>
      </c>
      <c r="E154">
        <v>7</v>
      </c>
      <c r="F154">
        <v>531105</v>
      </c>
      <c r="G154" t="s">
        <v>429</v>
      </c>
      <c r="H154" t="s">
        <v>401</v>
      </c>
      <c r="I154" t="s">
        <v>402</v>
      </c>
      <c r="J154" t="s">
        <v>6706</v>
      </c>
      <c r="K154">
        <v>20230717</v>
      </c>
      <c r="L154" t="s">
        <v>6705</v>
      </c>
      <c r="M154">
        <v>0</v>
      </c>
      <c r="N154">
        <v>500</v>
      </c>
      <c r="O154" t="s">
        <v>19</v>
      </c>
      <c r="P154" t="s">
        <v>20</v>
      </c>
      <c r="Q154">
        <v>20230717</v>
      </c>
    </row>
    <row r="155" spans="1:17" x14ac:dyDescent="0.25">
      <c r="A155" t="s">
        <v>548</v>
      </c>
      <c r="B155" t="s">
        <v>429</v>
      </c>
      <c r="C155">
        <v>2</v>
      </c>
      <c r="D155">
        <v>20230717</v>
      </c>
      <c r="E155">
        <v>7</v>
      </c>
      <c r="F155">
        <v>467100</v>
      </c>
      <c r="G155" t="s">
        <v>160</v>
      </c>
      <c r="H155" t="s">
        <v>4958</v>
      </c>
      <c r="I155" t="s">
        <v>4959</v>
      </c>
      <c r="J155" t="s">
        <v>6704</v>
      </c>
      <c r="K155">
        <v>20230717</v>
      </c>
      <c r="L155" t="s">
        <v>6703</v>
      </c>
      <c r="M155">
        <v>150</v>
      </c>
      <c r="N155">
        <v>0</v>
      </c>
      <c r="O155" t="s">
        <v>23</v>
      </c>
      <c r="P155">
        <v>20230926</v>
      </c>
      <c r="Q155">
        <v>20230717</v>
      </c>
    </row>
    <row r="156" spans="1:17" x14ac:dyDescent="0.25">
      <c r="A156" t="s">
        <v>548</v>
      </c>
      <c r="B156" t="s">
        <v>429</v>
      </c>
      <c r="C156">
        <v>2</v>
      </c>
      <c r="D156">
        <v>20230717</v>
      </c>
      <c r="E156">
        <v>7</v>
      </c>
      <c r="F156">
        <v>531105</v>
      </c>
      <c r="G156" t="s">
        <v>429</v>
      </c>
      <c r="H156" t="s">
        <v>401</v>
      </c>
      <c r="I156" t="s">
        <v>402</v>
      </c>
      <c r="J156" t="s">
        <v>6704</v>
      </c>
      <c r="K156">
        <v>20230717</v>
      </c>
      <c r="L156" t="s">
        <v>6703</v>
      </c>
      <c r="M156">
        <v>0</v>
      </c>
      <c r="N156">
        <v>150</v>
      </c>
      <c r="O156" t="s">
        <v>19</v>
      </c>
      <c r="P156" t="s">
        <v>20</v>
      </c>
      <c r="Q156">
        <v>20230717</v>
      </c>
    </row>
    <row r="157" spans="1:17" x14ac:dyDescent="0.25">
      <c r="A157" t="s">
        <v>548</v>
      </c>
      <c r="B157" t="s">
        <v>429</v>
      </c>
      <c r="C157">
        <v>2</v>
      </c>
      <c r="D157">
        <v>20230718</v>
      </c>
      <c r="E157">
        <v>7</v>
      </c>
      <c r="F157">
        <v>706105</v>
      </c>
      <c r="G157" t="s">
        <v>2258</v>
      </c>
      <c r="H157" t="s">
        <v>401</v>
      </c>
      <c r="I157" t="s">
        <v>402</v>
      </c>
      <c r="J157" t="s">
        <v>6702</v>
      </c>
      <c r="K157">
        <v>20230718</v>
      </c>
      <c r="L157" t="s">
        <v>6701</v>
      </c>
      <c r="M157">
        <v>0</v>
      </c>
      <c r="N157">
        <v>126</v>
      </c>
      <c r="O157" t="s">
        <v>19</v>
      </c>
      <c r="P157" t="s">
        <v>20</v>
      </c>
      <c r="Q157">
        <v>20230718</v>
      </c>
    </row>
    <row r="158" spans="1:17" x14ac:dyDescent="0.25">
      <c r="A158" t="s">
        <v>548</v>
      </c>
      <c r="B158" t="s">
        <v>429</v>
      </c>
      <c r="C158">
        <v>2</v>
      </c>
      <c r="D158">
        <v>20230718</v>
      </c>
      <c r="E158">
        <v>7</v>
      </c>
      <c r="F158">
        <v>531105</v>
      </c>
      <c r="G158" t="s">
        <v>429</v>
      </c>
      <c r="H158" t="s">
        <v>401</v>
      </c>
      <c r="I158" t="s">
        <v>402</v>
      </c>
      <c r="J158" t="s">
        <v>6702</v>
      </c>
      <c r="K158">
        <v>20230718</v>
      </c>
      <c r="L158" t="s">
        <v>6701</v>
      </c>
      <c r="M158">
        <v>126</v>
      </c>
      <c r="N158">
        <v>0</v>
      </c>
      <c r="O158" t="s">
        <v>19</v>
      </c>
      <c r="P158" t="s">
        <v>20</v>
      </c>
      <c r="Q158">
        <v>20230718</v>
      </c>
    </row>
    <row r="159" spans="1:17" x14ac:dyDescent="0.25">
      <c r="A159" t="s">
        <v>548</v>
      </c>
      <c r="B159" t="s">
        <v>429</v>
      </c>
      <c r="C159">
        <v>2</v>
      </c>
      <c r="D159">
        <v>20230718</v>
      </c>
      <c r="E159">
        <v>7</v>
      </c>
      <c r="F159">
        <v>467100</v>
      </c>
      <c r="G159" t="s">
        <v>160</v>
      </c>
      <c r="H159" t="s">
        <v>2465</v>
      </c>
      <c r="I159" t="s">
        <v>2466</v>
      </c>
      <c r="J159" t="s">
        <v>6700</v>
      </c>
      <c r="K159">
        <v>20230718</v>
      </c>
      <c r="L159" t="s">
        <v>6699</v>
      </c>
      <c r="M159">
        <v>24</v>
      </c>
      <c r="N159">
        <v>0</v>
      </c>
      <c r="O159" t="s">
        <v>19</v>
      </c>
      <c r="P159" t="s">
        <v>20</v>
      </c>
      <c r="Q159">
        <v>20230718</v>
      </c>
    </row>
    <row r="160" spans="1:17" x14ac:dyDescent="0.25">
      <c r="A160" t="s">
        <v>548</v>
      </c>
      <c r="B160" t="s">
        <v>429</v>
      </c>
      <c r="C160">
        <v>2</v>
      </c>
      <c r="D160">
        <v>20230718</v>
      </c>
      <c r="E160">
        <v>7</v>
      </c>
      <c r="F160">
        <v>531105</v>
      </c>
      <c r="G160" t="s">
        <v>429</v>
      </c>
      <c r="H160" t="s">
        <v>401</v>
      </c>
      <c r="I160" t="s">
        <v>402</v>
      </c>
      <c r="J160" t="s">
        <v>6700</v>
      </c>
      <c r="K160">
        <v>20230718</v>
      </c>
      <c r="L160" t="s">
        <v>6699</v>
      </c>
      <c r="M160">
        <v>0</v>
      </c>
      <c r="N160">
        <v>24</v>
      </c>
      <c r="O160" t="s">
        <v>19</v>
      </c>
      <c r="P160" t="s">
        <v>20</v>
      </c>
      <c r="Q160">
        <v>20230718</v>
      </c>
    </row>
    <row r="161" spans="1:17" x14ac:dyDescent="0.25">
      <c r="A161" t="s">
        <v>548</v>
      </c>
      <c r="B161" t="s">
        <v>429</v>
      </c>
      <c r="C161">
        <v>2</v>
      </c>
      <c r="D161">
        <v>20230719</v>
      </c>
      <c r="E161">
        <v>7</v>
      </c>
      <c r="F161">
        <v>467100</v>
      </c>
      <c r="G161" t="s">
        <v>160</v>
      </c>
      <c r="H161" t="s">
        <v>4958</v>
      </c>
      <c r="I161" t="s">
        <v>4959</v>
      </c>
      <c r="J161" t="s">
        <v>6698</v>
      </c>
      <c r="K161">
        <v>20230719</v>
      </c>
      <c r="L161" t="s">
        <v>6697</v>
      </c>
      <c r="M161">
        <v>50</v>
      </c>
      <c r="N161">
        <v>0</v>
      </c>
      <c r="O161" t="s">
        <v>23</v>
      </c>
      <c r="P161">
        <v>20230914</v>
      </c>
      <c r="Q161">
        <v>20230719</v>
      </c>
    </row>
    <row r="162" spans="1:17" x14ac:dyDescent="0.25">
      <c r="A162" t="s">
        <v>548</v>
      </c>
      <c r="B162" t="s">
        <v>429</v>
      </c>
      <c r="C162">
        <v>2</v>
      </c>
      <c r="D162">
        <v>20230719</v>
      </c>
      <c r="E162">
        <v>7</v>
      </c>
      <c r="F162">
        <v>531105</v>
      </c>
      <c r="G162" t="s">
        <v>429</v>
      </c>
      <c r="H162" t="s">
        <v>401</v>
      </c>
      <c r="I162" t="s">
        <v>402</v>
      </c>
      <c r="J162" t="s">
        <v>6698</v>
      </c>
      <c r="K162">
        <v>20230719</v>
      </c>
      <c r="L162" t="s">
        <v>6697</v>
      </c>
      <c r="M162">
        <v>0</v>
      </c>
      <c r="N162">
        <v>50</v>
      </c>
      <c r="O162" t="s">
        <v>19</v>
      </c>
      <c r="P162" t="s">
        <v>20</v>
      </c>
      <c r="Q162">
        <v>20230719</v>
      </c>
    </row>
    <row r="163" spans="1:17" x14ac:dyDescent="0.25">
      <c r="A163" t="s">
        <v>548</v>
      </c>
      <c r="B163" t="s">
        <v>429</v>
      </c>
      <c r="C163">
        <v>2</v>
      </c>
      <c r="D163">
        <v>20230719</v>
      </c>
      <c r="E163">
        <v>7</v>
      </c>
      <c r="F163">
        <v>467100</v>
      </c>
      <c r="G163" t="s">
        <v>160</v>
      </c>
      <c r="H163" t="s">
        <v>4958</v>
      </c>
      <c r="I163" t="s">
        <v>4959</v>
      </c>
      <c r="J163" t="s">
        <v>6696</v>
      </c>
      <c r="K163">
        <v>20230719</v>
      </c>
      <c r="L163" t="s">
        <v>6694</v>
      </c>
      <c r="M163">
        <v>0</v>
      </c>
      <c r="N163">
        <v>21.26</v>
      </c>
      <c r="O163" t="s">
        <v>23</v>
      </c>
      <c r="P163">
        <v>20230914</v>
      </c>
      <c r="Q163">
        <v>20230719</v>
      </c>
    </row>
    <row r="164" spans="1:17" x14ac:dyDescent="0.25">
      <c r="A164" t="s">
        <v>548</v>
      </c>
      <c r="B164" t="s">
        <v>429</v>
      </c>
      <c r="C164">
        <v>2</v>
      </c>
      <c r="D164">
        <v>20230719</v>
      </c>
      <c r="E164">
        <v>7</v>
      </c>
      <c r="F164">
        <v>531105</v>
      </c>
      <c r="G164" t="s">
        <v>429</v>
      </c>
      <c r="H164" t="s">
        <v>401</v>
      </c>
      <c r="I164" t="s">
        <v>402</v>
      </c>
      <c r="J164" t="s">
        <v>6696</v>
      </c>
      <c r="K164">
        <v>20230719</v>
      </c>
      <c r="L164" t="s">
        <v>6694</v>
      </c>
      <c r="M164">
        <v>21.26</v>
      </c>
      <c r="N164">
        <v>0</v>
      </c>
      <c r="O164" t="s">
        <v>19</v>
      </c>
      <c r="P164" t="s">
        <v>20</v>
      </c>
      <c r="Q164">
        <v>20230719</v>
      </c>
    </row>
    <row r="165" spans="1:17" x14ac:dyDescent="0.25">
      <c r="A165" t="s">
        <v>548</v>
      </c>
      <c r="B165" t="s">
        <v>429</v>
      </c>
      <c r="C165">
        <v>2</v>
      </c>
      <c r="D165">
        <v>20230719</v>
      </c>
      <c r="E165">
        <v>7</v>
      </c>
      <c r="F165">
        <v>467100</v>
      </c>
      <c r="G165" t="s">
        <v>160</v>
      </c>
      <c r="H165" t="s">
        <v>4958</v>
      </c>
      <c r="I165" t="s">
        <v>4959</v>
      </c>
      <c r="J165" t="s">
        <v>6695</v>
      </c>
      <c r="K165">
        <v>20230719</v>
      </c>
      <c r="L165" t="s">
        <v>6694</v>
      </c>
      <c r="M165">
        <v>0</v>
      </c>
      <c r="N165">
        <v>87.61</v>
      </c>
      <c r="O165" t="s">
        <v>23</v>
      </c>
      <c r="P165">
        <v>20230926</v>
      </c>
      <c r="Q165">
        <v>20230719</v>
      </c>
    </row>
    <row r="166" spans="1:17" x14ac:dyDescent="0.25">
      <c r="A166" t="s">
        <v>548</v>
      </c>
      <c r="B166" t="s">
        <v>429</v>
      </c>
      <c r="C166">
        <v>2</v>
      </c>
      <c r="D166">
        <v>20230719</v>
      </c>
      <c r="E166">
        <v>7</v>
      </c>
      <c r="F166">
        <v>531105</v>
      </c>
      <c r="G166" t="s">
        <v>429</v>
      </c>
      <c r="H166" t="s">
        <v>401</v>
      </c>
      <c r="I166" t="s">
        <v>402</v>
      </c>
      <c r="J166" t="s">
        <v>6695</v>
      </c>
      <c r="K166">
        <v>20230719</v>
      </c>
      <c r="L166" t="s">
        <v>6694</v>
      </c>
      <c r="M166">
        <v>87.61</v>
      </c>
      <c r="N166">
        <v>0</v>
      </c>
      <c r="O166" t="s">
        <v>19</v>
      </c>
      <c r="P166" t="s">
        <v>20</v>
      </c>
      <c r="Q166">
        <v>20230719</v>
      </c>
    </row>
    <row r="167" spans="1:17" x14ac:dyDescent="0.25">
      <c r="A167" t="s">
        <v>548</v>
      </c>
      <c r="B167" t="s">
        <v>429</v>
      </c>
      <c r="C167">
        <v>2</v>
      </c>
      <c r="D167">
        <v>20230720</v>
      </c>
      <c r="E167">
        <v>7</v>
      </c>
      <c r="F167">
        <v>467100</v>
      </c>
      <c r="G167" t="s">
        <v>160</v>
      </c>
      <c r="H167" t="s">
        <v>4958</v>
      </c>
      <c r="I167" t="s">
        <v>4959</v>
      </c>
      <c r="J167" t="s">
        <v>6693</v>
      </c>
      <c r="K167">
        <v>20230720</v>
      </c>
      <c r="L167" t="s">
        <v>6692</v>
      </c>
      <c r="M167">
        <v>0</v>
      </c>
      <c r="N167">
        <v>133.5</v>
      </c>
      <c r="O167" t="s">
        <v>23</v>
      </c>
      <c r="P167">
        <v>20230926</v>
      </c>
      <c r="Q167">
        <v>20230720</v>
      </c>
    </row>
    <row r="168" spans="1:17" x14ac:dyDescent="0.25">
      <c r="A168" t="s">
        <v>548</v>
      </c>
      <c r="B168" t="s">
        <v>429</v>
      </c>
      <c r="C168">
        <v>2</v>
      </c>
      <c r="D168">
        <v>20230720</v>
      </c>
      <c r="E168">
        <v>7</v>
      </c>
      <c r="F168">
        <v>531105</v>
      </c>
      <c r="G168" t="s">
        <v>429</v>
      </c>
      <c r="H168" t="s">
        <v>401</v>
      </c>
      <c r="I168" t="s">
        <v>402</v>
      </c>
      <c r="J168" t="s">
        <v>6693</v>
      </c>
      <c r="K168">
        <v>20230720</v>
      </c>
      <c r="L168" t="s">
        <v>6692</v>
      </c>
      <c r="M168">
        <v>133.5</v>
      </c>
      <c r="N168">
        <v>0</v>
      </c>
      <c r="O168" t="s">
        <v>19</v>
      </c>
      <c r="P168" t="s">
        <v>20</v>
      </c>
      <c r="Q168">
        <v>20230720</v>
      </c>
    </row>
    <row r="169" spans="1:17" x14ac:dyDescent="0.25">
      <c r="A169" t="s">
        <v>548</v>
      </c>
      <c r="B169" t="s">
        <v>429</v>
      </c>
      <c r="C169">
        <v>2</v>
      </c>
      <c r="D169">
        <v>20230720</v>
      </c>
      <c r="E169">
        <v>7</v>
      </c>
      <c r="F169">
        <v>467100</v>
      </c>
      <c r="G169" t="s">
        <v>160</v>
      </c>
      <c r="H169" t="s">
        <v>2465</v>
      </c>
      <c r="I169" t="s">
        <v>2466</v>
      </c>
      <c r="J169" t="s">
        <v>6691</v>
      </c>
      <c r="K169">
        <v>20230720</v>
      </c>
      <c r="L169" t="s">
        <v>6690</v>
      </c>
      <c r="M169">
        <v>49</v>
      </c>
      <c r="N169">
        <v>0</v>
      </c>
      <c r="O169" t="s">
        <v>23</v>
      </c>
      <c r="P169">
        <v>20230926</v>
      </c>
      <c r="Q169">
        <v>20230720</v>
      </c>
    </row>
    <row r="170" spans="1:17" x14ac:dyDescent="0.25">
      <c r="A170" t="s">
        <v>548</v>
      </c>
      <c r="B170" t="s">
        <v>429</v>
      </c>
      <c r="C170">
        <v>2</v>
      </c>
      <c r="D170">
        <v>20230720</v>
      </c>
      <c r="E170">
        <v>7</v>
      </c>
      <c r="F170">
        <v>531105</v>
      </c>
      <c r="G170" t="s">
        <v>429</v>
      </c>
      <c r="H170" t="s">
        <v>401</v>
      </c>
      <c r="I170" t="s">
        <v>402</v>
      </c>
      <c r="J170" t="s">
        <v>6691</v>
      </c>
      <c r="K170">
        <v>20230720</v>
      </c>
      <c r="L170" t="s">
        <v>6690</v>
      </c>
      <c r="M170">
        <v>0</v>
      </c>
      <c r="N170">
        <v>49</v>
      </c>
      <c r="O170" t="s">
        <v>19</v>
      </c>
      <c r="P170" t="s">
        <v>20</v>
      </c>
      <c r="Q170">
        <v>20230720</v>
      </c>
    </row>
    <row r="171" spans="1:17" x14ac:dyDescent="0.25">
      <c r="A171" t="s">
        <v>548</v>
      </c>
      <c r="B171" t="s">
        <v>429</v>
      </c>
      <c r="C171">
        <v>2</v>
      </c>
      <c r="D171">
        <v>20230720</v>
      </c>
      <c r="E171">
        <v>7</v>
      </c>
      <c r="F171">
        <v>580000</v>
      </c>
      <c r="G171" t="s">
        <v>532</v>
      </c>
      <c r="H171" t="s">
        <v>401</v>
      </c>
      <c r="I171" t="s">
        <v>402</v>
      </c>
      <c r="J171" t="s">
        <v>6523</v>
      </c>
      <c r="K171">
        <v>20230720</v>
      </c>
      <c r="L171" t="s">
        <v>625</v>
      </c>
      <c r="M171">
        <v>8040</v>
      </c>
      <c r="N171">
        <v>0</v>
      </c>
      <c r="O171" t="s">
        <v>22</v>
      </c>
      <c r="P171">
        <v>20230724</v>
      </c>
      <c r="Q171">
        <v>20230720</v>
      </c>
    </row>
    <row r="172" spans="1:17" x14ac:dyDescent="0.25">
      <c r="A172" t="s">
        <v>548</v>
      </c>
      <c r="B172" t="s">
        <v>429</v>
      </c>
      <c r="C172">
        <v>2</v>
      </c>
      <c r="D172">
        <v>20230720</v>
      </c>
      <c r="E172">
        <v>7</v>
      </c>
      <c r="F172">
        <v>531105</v>
      </c>
      <c r="G172" t="s">
        <v>429</v>
      </c>
      <c r="H172" t="s">
        <v>401</v>
      </c>
      <c r="I172" t="s">
        <v>402</v>
      </c>
      <c r="J172" t="s">
        <v>6523</v>
      </c>
      <c r="K172">
        <v>20230720</v>
      </c>
      <c r="L172" t="s">
        <v>625</v>
      </c>
      <c r="M172">
        <v>0</v>
      </c>
      <c r="N172">
        <v>8040</v>
      </c>
      <c r="O172" t="s">
        <v>19</v>
      </c>
      <c r="P172" t="s">
        <v>20</v>
      </c>
      <c r="Q172">
        <v>20230720</v>
      </c>
    </row>
    <row r="173" spans="1:17" x14ac:dyDescent="0.25">
      <c r="A173" t="s">
        <v>548</v>
      </c>
      <c r="B173" t="s">
        <v>429</v>
      </c>
      <c r="C173">
        <v>2</v>
      </c>
      <c r="D173">
        <v>20230724</v>
      </c>
      <c r="E173">
        <v>7</v>
      </c>
      <c r="F173">
        <v>467100</v>
      </c>
      <c r="G173" t="s">
        <v>160</v>
      </c>
      <c r="H173" t="s">
        <v>4958</v>
      </c>
      <c r="I173" t="s">
        <v>4959</v>
      </c>
      <c r="J173" t="s">
        <v>6689</v>
      </c>
      <c r="K173">
        <v>20230724</v>
      </c>
      <c r="L173" t="s">
        <v>6688</v>
      </c>
      <c r="M173">
        <v>600</v>
      </c>
      <c r="N173">
        <v>0</v>
      </c>
      <c r="O173" t="s">
        <v>23</v>
      </c>
      <c r="P173">
        <v>20230914</v>
      </c>
      <c r="Q173">
        <v>20230724</v>
      </c>
    </row>
    <row r="174" spans="1:17" x14ac:dyDescent="0.25">
      <c r="A174" t="s">
        <v>548</v>
      </c>
      <c r="B174" t="s">
        <v>429</v>
      </c>
      <c r="C174">
        <v>2</v>
      </c>
      <c r="D174">
        <v>20230724</v>
      </c>
      <c r="E174">
        <v>7</v>
      </c>
      <c r="F174">
        <v>531105</v>
      </c>
      <c r="G174" t="s">
        <v>429</v>
      </c>
      <c r="H174" t="s">
        <v>401</v>
      </c>
      <c r="I174" t="s">
        <v>402</v>
      </c>
      <c r="J174" t="s">
        <v>6689</v>
      </c>
      <c r="K174">
        <v>20230724</v>
      </c>
      <c r="L174" t="s">
        <v>6688</v>
      </c>
      <c r="M174">
        <v>0</v>
      </c>
      <c r="N174">
        <v>600</v>
      </c>
      <c r="O174" t="s">
        <v>19</v>
      </c>
      <c r="P174" t="s">
        <v>20</v>
      </c>
      <c r="Q174">
        <v>20230724</v>
      </c>
    </row>
    <row r="175" spans="1:17" x14ac:dyDescent="0.25">
      <c r="A175" t="s">
        <v>548</v>
      </c>
      <c r="B175" t="s">
        <v>429</v>
      </c>
      <c r="C175">
        <v>2</v>
      </c>
      <c r="D175">
        <v>20230724</v>
      </c>
      <c r="E175">
        <v>7</v>
      </c>
      <c r="F175">
        <v>467100</v>
      </c>
      <c r="G175" t="s">
        <v>160</v>
      </c>
      <c r="H175" t="s">
        <v>3392</v>
      </c>
      <c r="I175" t="s">
        <v>3393</v>
      </c>
      <c r="J175" t="s">
        <v>6687</v>
      </c>
      <c r="K175">
        <v>20230724</v>
      </c>
      <c r="L175" t="s">
        <v>6686</v>
      </c>
      <c r="M175">
        <v>15.16</v>
      </c>
      <c r="N175">
        <v>0</v>
      </c>
      <c r="O175" t="s">
        <v>23</v>
      </c>
      <c r="P175">
        <v>20230918</v>
      </c>
      <c r="Q175">
        <v>20230724</v>
      </c>
    </row>
    <row r="176" spans="1:17" x14ac:dyDescent="0.25">
      <c r="A176" t="s">
        <v>548</v>
      </c>
      <c r="B176" t="s">
        <v>429</v>
      </c>
      <c r="C176">
        <v>2</v>
      </c>
      <c r="D176">
        <v>20230724</v>
      </c>
      <c r="E176">
        <v>7</v>
      </c>
      <c r="F176">
        <v>531105</v>
      </c>
      <c r="G176" t="s">
        <v>429</v>
      </c>
      <c r="H176" t="s">
        <v>401</v>
      </c>
      <c r="I176" t="s">
        <v>402</v>
      </c>
      <c r="J176" t="s">
        <v>6687</v>
      </c>
      <c r="K176">
        <v>20230724</v>
      </c>
      <c r="L176" t="s">
        <v>6686</v>
      </c>
      <c r="M176">
        <v>0</v>
      </c>
      <c r="N176">
        <v>15.16</v>
      </c>
      <c r="O176" t="s">
        <v>19</v>
      </c>
      <c r="P176" t="s">
        <v>20</v>
      </c>
      <c r="Q176">
        <v>20230724</v>
      </c>
    </row>
    <row r="177" spans="1:17" x14ac:dyDescent="0.25">
      <c r="A177" t="s">
        <v>548</v>
      </c>
      <c r="B177" t="s">
        <v>429</v>
      </c>
      <c r="C177">
        <v>2</v>
      </c>
      <c r="D177">
        <v>20230725</v>
      </c>
      <c r="E177">
        <v>7</v>
      </c>
      <c r="F177">
        <v>706105</v>
      </c>
      <c r="G177" t="s">
        <v>2258</v>
      </c>
      <c r="H177" t="s">
        <v>401</v>
      </c>
      <c r="I177" t="s">
        <v>402</v>
      </c>
      <c r="J177" t="s">
        <v>6685</v>
      </c>
      <c r="K177">
        <v>20230725</v>
      </c>
      <c r="L177" t="s">
        <v>6684</v>
      </c>
      <c r="M177">
        <v>0</v>
      </c>
      <c r="N177">
        <v>146</v>
      </c>
      <c r="O177" t="s">
        <v>19</v>
      </c>
      <c r="P177" t="s">
        <v>20</v>
      </c>
      <c r="Q177">
        <v>20230725</v>
      </c>
    </row>
    <row r="178" spans="1:17" x14ac:dyDescent="0.25">
      <c r="A178" t="s">
        <v>548</v>
      </c>
      <c r="B178" t="s">
        <v>429</v>
      </c>
      <c r="C178">
        <v>2</v>
      </c>
      <c r="D178">
        <v>20230725</v>
      </c>
      <c r="E178">
        <v>7</v>
      </c>
      <c r="F178">
        <v>531105</v>
      </c>
      <c r="G178" t="s">
        <v>429</v>
      </c>
      <c r="H178" t="s">
        <v>401</v>
      </c>
      <c r="I178" t="s">
        <v>402</v>
      </c>
      <c r="J178" t="s">
        <v>6685</v>
      </c>
      <c r="K178">
        <v>20230725</v>
      </c>
      <c r="L178" t="s">
        <v>6684</v>
      </c>
      <c r="M178">
        <v>146</v>
      </c>
      <c r="N178">
        <v>0</v>
      </c>
      <c r="O178" t="s">
        <v>19</v>
      </c>
      <c r="P178" t="s">
        <v>20</v>
      </c>
      <c r="Q178">
        <v>20230725</v>
      </c>
    </row>
    <row r="179" spans="1:17" x14ac:dyDescent="0.25">
      <c r="A179" t="s">
        <v>548</v>
      </c>
      <c r="B179" t="s">
        <v>429</v>
      </c>
      <c r="C179">
        <v>2</v>
      </c>
      <c r="D179">
        <v>20230725</v>
      </c>
      <c r="E179">
        <v>7</v>
      </c>
      <c r="F179">
        <v>706105</v>
      </c>
      <c r="G179" t="s">
        <v>2258</v>
      </c>
      <c r="H179" t="s">
        <v>401</v>
      </c>
      <c r="I179" t="s">
        <v>402</v>
      </c>
      <c r="J179" t="s">
        <v>6683</v>
      </c>
      <c r="K179">
        <v>20230725</v>
      </c>
      <c r="L179" t="s">
        <v>6682</v>
      </c>
      <c r="M179">
        <v>0</v>
      </c>
      <c r="N179">
        <v>85</v>
      </c>
      <c r="O179" t="s">
        <v>19</v>
      </c>
      <c r="P179" t="s">
        <v>20</v>
      </c>
      <c r="Q179">
        <v>20230725</v>
      </c>
    </row>
    <row r="180" spans="1:17" x14ac:dyDescent="0.25">
      <c r="A180" t="s">
        <v>548</v>
      </c>
      <c r="B180" t="s">
        <v>429</v>
      </c>
      <c r="C180">
        <v>2</v>
      </c>
      <c r="D180">
        <v>20230725</v>
      </c>
      <c r="E180">
        <v>7</v>
      </c>
      <c r="F180">
        <v>531105</v>
      </c>
      <c r="G180" t="s">
        <v>429</v>
      </c>
      <c r="H180" t="s">
        <v>401</v>
      </c>
      <c r="I180" t="s">
        <v>402</v>
      </c>
      <c r="J180" t="s">
        <v>6683</v>
      </c>
      <c r="K180">
        <v>20230725</v>
      </c>
      <c r="L180" t="s">
        <v>6682</v>
      </c>
      <c r="M180">
        <v>85</v>
      </c>
      <c r="N180">
        <v>0</v>
      </c>
      <c r="O180" t="s">
        <v>19</v>
      </c>
      <c r="P180" t="s">
        <v>20</v>
      </c>
      <c r="Q180">
        <v>20230725</v>
      </c>
    </row>
    <row r="181" spans="1:17" x14ac:dyDescent="0.25">
      <c r="A181" t="s">
        <v>548</v>
      </c>
      <c r="B181" t="s">
        <v>429</v>
      </c>
      <c r="C181">
        <v>2</v>
      </c>
      <c r="D181">
        <v>20230725</v>
      </c>
      <c r="E181">
        <v>7</v>
      </c>
      <c r="F181">
        <v>467100</v>
      </c>
      <c r="G181" t="s">
        <v>160</v>
      </c>
      <c r="H181" t="s">
        <v>668</v>
      </c>
      <c r="I181" t="s">
        <v>669</v>
      </c>
      <c r="J181" t="s">
        <v>6681</v>
      </c>
      <c r="K181">
        <v>20230725</v>
      </c>
      <c r="L181" t="s">
        <v>6680</v>
      </c>
      <c r="M181">
        <v>4</v>
      </c>
      <c r="N181">
        <v>0</v>
      </c>
      <c r="O181" t="s">
        <v>23</v>
      </c>
      <c r="P181">
        <v>20230911</v>
      </c>
      <c r="Q181">
        <v>20230725</v>
      </c>
    </row>
    <row r="182" spans="1:17" x14ac:dyDescent="0.25">
      <c r="A182" t="s">
        <v>548</v>
      </c>
      <c r="B182" t="s">
        <v>429</v>
      </c>
      <c r="C182">
        <v>2</v>
      </c>
      <c r="D182">
        <v>20230725</v>
      </c>
      <c r="E182">
        <v>7</v>
      </c>
      <c r="F182">
        <v>531105</v>
      </c>
      <c r="G182" t="s">
        <v>429</v>
      </c>
      <c r="H182" t="s">
        <v>401</v>
      </c>
      <c r="I182" t="s">
        <v>402</v>
      </c>
      <c r="J182" t="s">
        <v>6681</v>
      </c>
      <c r="K182">
        <v>20230725</v>
      </c>
      <c r="L182" t="s">
        <v>6680</v>
      </c>
      <c r="M182">
        <v>0</v>
      </c>
      <c r="N182">
        <v>4</v>
      </c>
      <c r="O182" t="s">
        <v>19</v>
      </c>
      <c r="P182" t="s">
        <v>20</v>
      </c>
      <c r="Q182">
        <v>20230725</v>
      </c>
    </row>
    <row r="183" spans="1:17" x14ac:dyDescent="0.25">
      <c r="A183" t="s">
        <v>548</v>
      </c>
      <c r="B183" t="s">
        <v>429</v>
      </c>
      <c r="C183">
        <v>2</v>
      </c>
      <c r="D183">
        <v>20230726</v>
      </c>
      <c r="E183">
        <v>7</v>
      </c>
      <c r="F183">
        <v>467100</v>
      </c>
      <c r="G183" t="s">
        <v>160</v>
      </c>
      <c r="H183" t="s">
        <v>4958</v>
      </c>
      <c r="I183" t="s">
        <v>4959</v>
      </c>
      <c r="J183" t="s">
        <v>6679</v>
      </c>
      <c r="K183">
        <v>20230726</v>
      </c>
      <c r="L183" t="s">
        <v>6678</v>
      </c>
      <c r="M183">
        <v>0</v>
      </c>
      <c r="N183">
        <v>412.5</v>
      </c>
      <c r="O183" t="s">
        <v>23</v>
      </c>
      <c r="P183">
        <v>20230914</v>
      </c>
      <c r="Q183">
        <v>20230726</v>
      </c>
    </row>
    <row r="184" spans="1:17" x14ac:dyDescent="0.25">
      <c r="A184" t="s">
        <v>548</v>
      </c>
      <c r="B184" t="s">
        <v>429</v>
      </c>
      <c r="C184">
        <v>2</v>
      </c>
      <c r="D184">
        <v>20230726</v>
      </c>
      <c r="E184">
        <v>7</v>
      </c>
      <c r="F184">
        <v>531105</v>
      </c>
      <c r="G184" t="s">
        <v>429</v>
      </c>
      <c r="H184" t="s">
        <v>401</v>
      </c>
      <c r="I184" t="s">
        <v>402</v>
      </c>
      <c r="J184" t="s">
        <v>6679</v>
      </c>
      <c r="K184">
        <v>20230726</v>
      </c>
      <c r="L184" t="s">
        <v>6678</v>
      </c>
      <c r="M184">
        <v>412.5</v>
      </c>
      <c r="N184">
        <v>0</v>
      </c>
      <c r="O184" t="s">
        <v>19</v>
      </c>
      <c r="P184" t="s">
        <v>20</v>
      </c>
      <c r="Q184">
        <v>20230726</v>
      </c>
    </row>
    <row r="185" spans="1:17" x14ac:dyDescent="0.25">
      <c r="A185" t="s">
        <v>548</v>
      </c>
      <c r="B185" t="s">
        <v>429</v>
      </c>
      <c r="C185">
        <v>2</v>
      </c>
      <c r="D185">
        <v>20230703</v>
      </c>
      <c r="E185">
        <v>7</v>
      </c>
      <c r="F185">
        <v>411100</v>
      </c>
      <c r="G185" t="s">
        <v>18</v>
      </c>
      <c r="H185" t="s">
        <v>291</v>
      </c>
      <c r="I185" t="s">
        <v>292</v>
      </c>
      <c r="J185">
        <v>123040102</v>
      </c>
      <c r="K185">
        <v>20230703</v>
      </c>
      <c r="L185" t="s">
        <v>6677</v>
      </c>
      <c r="M185">
        <v>0</v>
      </c>
      <c r="N185">
        <v>321</v>
      </c>
      <c r="O185" t="s">
        <v>19</v>
      </c>
      <c r="P185" t="s">
        <v>20</v>
      </c>
      <c r="Q185">
        <v>20230703</v>
      </c>
    </row>
    <row r="186" spans="1:17" x14ac:dyDescent="0.25">
      <c r="A186" t="s">
        <v>548</v>
      </c>
      <c r="B186" t="s">
        <v>429</v>
      </c>
      <c r="C186">
        <v>2</v>
      </c>
      <c r="D186">
        <v>20230703</v>
      </c>
      <c r="E186">
        <v>7</v>
      </c>
      <c r="F186">
        <v>411100</v>
      </c>
      <c r="G186" t="s">
        <v>18</v>
      </c>
      <c r="H186" t="s">
        <v>5642</v>
      </c>
      <c r="I186" t="s">
        <v>5643</v>
      </c>
      <c r="J186">
        <v>374096</v>
      </c>
      <c r="K186">
        <v>20230703</v>
      </c>
      <c r="L186" t="s">
        <v>6676</v>
      </c>
      <c r="M186">
        <v>0</v>
      </c>
      <c r="N186">
        <v>19.04</v>
      </c>
      <c r="O186" t="s">
        <v>19</v>
      </c>
      <c r="P186" t="s">
        <v>20</v>
      </c>
      <c r="Q186">
        <v>20230703</v>
      </c>
    </row>
    <row r="187" spans="1:17" x14ac:dyDescent="0.25">
      <c r="A187" t="s">
        <v>548</v>
      </c>
      <c r="B187" t="s">
        <v>429</v>
      </c>
      <c r="C187">
        <v>2</v>
      </c>
      <c r="D187">
        <v>20230703</v>
      </c>
      <c r="E187">
        <v>7</v>
      </c>
      <c r="F187">
        <v>411100</v>
      </c>
      <c r="G187" t="s">
        <v>18</v>
      </c>
      <c r="H187" t="s">
        <v>5642</v>
      </c>
      <c r="I187" t="s">
        <v>5643</v>
      </c>
      <c r="J187">
        <v>374097</v>
      </c>
      <c r="K187">
        <v>20230703</v>
      </c>
      <c r="L187" t="s">
        <v>6675</v>
      </c>
      <c r="M187">
        <v>0</v>
      </c>
      <c r="N187">
        <v>1</v>
      </c>
      <c r="O187" t="s">
        <v>19</v>
      </c>
      <c r="P187" t="s">
        <v>20</v>
      </c>
      <c r="Q187">
        <v>20230703</v>
      </c>
    </row>
    <row r="188" spans="1:17" x14ac:dyDescent="0.25">
      <c r="A188" t="s">
        <v>548</v>
      </c>
      <c r="B188" t="s">
        <v>429</v>
      </c>
      <c r="C188">
        <v>2</v>
      </c>
      <c r="D188">
        <v>20230703</v>
      </c>
      <c r="E188">
        <v>7</v>
      </c>
      <c r="F188">
        <v>531105</v>
      </c>
      <c r="G188" t="s">
        <v>429</v>
      </c>
      <c r="H188" t="s">
        <v>401</v>
      </c>
      <c r="I188" t="s">
        <v>402</v>
      </c>
      <c r="J188">
        <v>374098</v>
      </c>
      <c r="K188">
        <v>20230703</v>
      </c>
      <c r="L188" t="s">
        <v>565</v>
      </c>
      <c r="M188">
        <v>341.04</v>
      </c>
      <c r="N188">
        <v>0</v>
      </c>
      <c r="O188" t="s">
        <v>19</v>
      </c>
      <c r="P188" t="s">
        <v>20</v>
      </c>
      <c r="Q188">
        <v>20230703</v>
      </c>
    </row>
    <row r="189" spans="1:17" x14ac:dyDescent="0.25">
      <c r="A189" t="s">
        <v>548</v>
      </c>
      <c r="B189" t="s">
        <v>429</v>
      </c>
      <c r="C189">
        <v>2</v>
      </c>
      <c r="D189">
        <v>20230704</v>
      </c>
      <c r="E189">
        <v>7</v>
      </c>
      <c r="F189">
        <v>411100</v>
      </c>
      <c r="G189" t="s">
        <v>18</v>
      </c>
      <c r="H189" t="s">
        <v>710</v>
      </c>
      <c r="I189" t="s">
        <v>711</v>
      </c>
      <c r="J189">
        <v>123050056</v>
      </c>
      <c r="K189">
        <v>20230704</v>
      </c>
      <c r="L189" t="s">
        <v>6674</v>
      </c>
      <c r="M189">
        <v>0</v>
      </c>
      <c r="N189">
        <v>39.549999999999997</v>
      </c>
      <c r="O189" t="s">
        <v>19</v>
      </c>
      <c r="P189" t="s">
        <v>20</v>
      </c>
      <c r="Q189">
        <v>20230704</v>
      </c>
    </row>
    <row r="190" spans="1:17" x14ac:dyDescent="0.25">
      <c r="A190" t="s">
        <v>548</v>
      </c>
      <c r="B190" t="s">
        <v>429</v>
      </c>
      <c r="C190">
        <v>2</v>
      </c>
      <c r="D190">
        <v>20230704</v>
      </c>
      <c r="E190">
        <v>7</v>
      </c>
      <c r="F190">
        <v>531105</v>
      </c>
      <c r="G190" t="s">
        <v>429</v>
      </c>
      <c r="H190" t="s">
        <v>401</v>
      </c>
      <c r="I190" t="s">
        <v>402</v>
      </c>
      <c r="J190">
        <v>374100</v>
      </c>
      <c r="K190">
        <v>20230704</v>
      </c>
      <c r="L190" t="s">
        <v>565</v>
      </c>
      <c r="M190">
        <v>39.549999999999997</v>
      </c>
      <c r="N190">
        <v>0</v>
      </c>
      <c r="O190" t="s">
        <v>19</v>
      </c>
      <c r="P190" t="s">
        <v>20</v>
      </c>
      <c r="Q190">
        <v>20230704</v>
      </c>
    </row>
    <row r="191" spans="1:17" x14ac:dyDescent="0.25">
      <c r="A191" t="s">
        <v>548</v>
      </c>
      <c r="B191" t="s">
        <v>429</v>
      </c>
      <c r="C191">
        <v>2</v>
      </c>
      <c r="D191">
        <v>20230705</v>
      </c>
      <c r="E191">
        <v>7</v>
      </c>
      <c r="F191">
        <v>411100</v>
      </c>
      <c r="G191" t="s">
        <v>18</v>
      </c>
      <c r="H191" t="s">
        <v>305</v>
      </c>
      <c r="I191" t="s">
        <v>306</v>
      </c>
      <c r="J191">
        <v>374101</v>
      </c>
      <c r="K191">
        <v>20230705</v>
      </c>
      <c r="L191" t="s">
        <v>6673</v>
      </c>
      <c r="M191">
        <v>0</v>
      </c>
      <c r="N191">
        <v>101.4</v>
      </c>
      <c r="O191" t="s">
        <v>19</v>
      </c>
      <c r="P191" t="s">
        <v>20</v>
      </c>
      <c r="Q191">
        <v>20230705</v>
      </c>
    </row>
    <row r="192" spans="1:17" x14ac:dyDescent="0.25">
      <c r="A192" t="s">
        <v>548</v>
      </c>
      <c r="B192" t="s">
        <v>429</v>
      </c>
      <c r="C192">
        <v>2</v>
      </c>
      <c r="D192">
        <v>20230705</v>
      </c>
      <c r="E192">
        <v>7</v>
      </c>
      <c r="F192">
        <v>411100</v>
      </c>
      <c r="G192" t="s">
        <v>18</v>
      </c>
      <c r="H192" t="s">
        <v>305</v>
      </c>
      <c r="I192" t="s">
        <v>306</v>
      </c>
      <c r="J192">
        <v>374102</v>
      </c>
      <c r="K192">
        <v>20230705</v>
      </c>
      <c r="L192" t="s">
        <v>6672</v>
      </c>
      <c r="M192">
        <v>0</v>
      </c>
      <c r="N192">
        <v>0.6</v>
      </c>
      <c r="O192" t="s">
        <v>19</v>
      </c>
      <c r="P192" t="s">
        <v>20</v>
      </c>
      <c r="Q192">
        <v>20230705</v>
      </c>
    </row>
    <row r="193" spans="1:17" x14ac:dyDescent="0.25">
      <c r="A193" t="s">
        <v>548</v>
      </c>
      <c r="B193" t="s">
        <v>429</v>
      </c>
      <c r="C193">
        <v>2</v>
      </c>
      <c r="D193">
        <v>20230705</v>
      </c>
      <c r="E193">
        <v>7</v>
      </c>
      <c r="F193">
        <v>411100</v>
      </c>
      <c r="G193" t="s">
        <v>18</v>
      </c>
      <c r="H193" t="s">
        <v>6671</v>
      </c>
      <c r="I193" t="s">
        <v>6670</v>
      </c>
      <c r="J193">
        <v>374103</v>
      </c>
      <c r="K193">
        <v>20230705</v>
      </c>
      <c r="L193" t="s">
        <v>6669</v>
      </c>
      <c r="M193">
        <v>0</v>
      </c>
      <c r="N193">
        <v>88.75</v>
      </c>
      <c r="O193" t="s">
        <v>19</v>
      </c>
      <c r="P193" t="s">
        <v>20</v>
      </c>
      <c r="Q193">
        <v>20230705</v>
      </c>
    </row>
    <row r="194" spans="1:17" x14ac:dyDescent="0.25">
      <c r="A194" t="s">
        <v>548</v>
      </c>
      <c r="B194" t="s">
        <v>429</v>
      </c>
      <c r="C194">
        <v>2</v>
      </c>
      <c r="D194">
        <v>20230705</v>
      </c>
      <c r="E194">
        <v>7</v>
      </c>
      <c r="F194">
        <v>411100</v>
      </c>
      <c r="G194" t="s">
        <v>18</v>
      </c>
      <c r="H194" t="s">
        <v>2969</v>
      </c>
      <c r="I194" t="s">
        <v>2970</v>
      </c>
      <c r="J194">
        <v>374104</v>
      </c>
      <c r="K194">
        <v>20230705</v>
      </c>
      <c r="L194" t="s">
        <v>6668</v>
      </c>
      <c r="M194">
        <v>0</v>
      </c>
      <c r="N194">
        <v>10</v>
      </c>
      <c r="O194" t="s">
        <v>19</v>
      </c>
      <c r="P194" t="s">
        <v>20</v>
      </c>
      <c r="Q194">
        <v>20230705</v>
      </c>
    </row>
    <row r="195" spans="1:17" x14ac:dyDescent="0.25">
      <c r="A195" t="s">
        <v>548</v>
      </c>
      <c r="B195" t="s">
        <v>429</v>
      </c>
      <c r="C195">
        <v>2</v>
      </c>
      <c r="D195">
        <v>20230705</v>
      </c>
      <c r="E195">
        <v>7</v>
      </c>
      <c r="F195">
        <v>531105</v>
      </c>
      <c r="G195" t="s">
        <v>429</v>
      </c>
      <c r="H195" t="s">
        <v>401</v>
      </c>
      <c r="I195" t="s">
        <v>402</v>
      </c>
      <c r="J195">
        <v>374105</v>
      </c>
      <c r="K195">
        <v>20230705</v>
      </c>
      <c r="L195" t="s">
        <v>565</v>
      </c>
      <c r="M195">
        <v>200.75</v>
      </c>
      <c r="N195">
        <v>0</v>
      </c>
      <c r="O195" t="s">
        <v>19</v>
      </c>
      <c r="P195" t="s">
        <v>20</v>
      </c>
      <c r="Q195">
        <v>20230705</v>
      </c>
    </row>
    <row r="196" spans="1:17" x14ac:dyDescent="0.25">
      <c r="A196" t="s">
        <v>548</v>
      </c>
      <c r="B196" t="s">
        <v>429</v>
      </c>
      <c r="C196">
        <v>2</v>
      </c>
      <c r="D196">
        <v>20230706</v>
      </c>
      <c r="E196">
        <v>7</v>
      </c>
      <c r="F196">
        <v>411000</v>
      </c>
      <c r="G196" t="s">
        <v>21</v>
      </c>
      <c r="H196" t="s">
        <v>279</v>
      </c>
      <c r="I196" t="s">
        <v>280</v>
      </c>
      <c r="J196">
        <v>374106</v>
      </c>
      <c r="K196">
        <v>20230706</v>
      </c>
      <c r="L196" t="s">
        <v>6667</v>
      </c>
      <c r="M196">
        <v>0</v>
      </c>
      <c r="N196">
        <v>86.6</v>
      </c>
      <c r="O196" t="s">
        <v>19</v>
      </c>
      <c r="P196" t="s">
        <v>20</v>
      </c>
      <c r="Q196">
        <v>20230706</v>
      </c>
    </row>
    <row r="197" spans="1:17" x14ac:dyDescent="0.25">
      <c r="A197" t="s">
        <v>548</v>
      </c>
      <c r="B197" t="s">
        <v>429</v>
      </c>
      <c r="C197">
        <v>2</v>
      </c>
      <c r="D197">
        <v>20230706</v>
      </c>
      <c r="E197">
        <v>7</v>
      </c>
      <c r="F197">
        <v>531105</v>
      </c>
      <c r="G197" t="s">
        <v>429</v>
      </c>
      <c r="H197" t="s">
        <v>401</v>
      </c>
      <c r="I197" t="s">
        <v>402</v>
      </c>
      <c r="J197">
        <v>374107</v>
      </c>
      <c r="K197">
        <v>20230706</v>
      </c>
      <c r="L197" t="s">
        <v>565</v>
      </c>
      <c r="M197">
        <v>86.6</v>
      </c>
      <c r="N197">
        <v>0</v>
      </c>
      <c r="O197" t="s">
        <v>19</v>
      </c>
      <c r="P197" t="s">
        <v>20</v>
      </c>
      <c r="Q197">
        <v>20230706</v>
      </c>
    </row>
    <row r="198" spans="1:17" x14ac:dyDescent="0.25">
      <c r="A198" t="s">
        <v>548</v>
      </c>
      <c r="B198" t="s">
        <v>429</v>
      </c>
      <c r="C198">
        <v>2</v>
      </c>
      <c r="D198">
        <v>20230707</v>
      </c>
      <c r="E198">
        <v>7</v>
      </c>
      <c r="F198">
        <v>411100</v>
      </c>
      <c r="G198" t="s">
        <v>18</v>
      </c>
      <c r="H198" t="s">
        <v>2870</v>
      </c>
      <c r="I198" t="s">
        <v>2871</v>
      </c>
      <c r="J198">
        <v>374108</v>
      </c>
      <c r="K198">
        <v>20230707</v>
      </c>
      <c r="L198" t="s">
        <v>6666</v>
      </c>
      <c r="M198">
        <v>0</v>
      </c>
      <c r="N198">
        <v>10</v>
      </c>
      <c r="O198" t="s">
        <v>19</v>
      </c>
      <c r="P198" t="s">
        <v>20</v>
      </c>
      <c r="Q198">
        <v>20230707</v>
      </c>
    </row>
    <row r="199" spans="1:17" x14ac:dyDescent="0.25">
      <c r="A199" t="s">
        <v>548</v>
      </c>
      <c r="B199" t="s">
        <v>429</v>
      </c>
      <c r="C199">
        <v>2</v>
      </c>
      <c r="D199">
        <v>20230707</v>
      </c>
      <c r="E199">
        <v>7</v>
      </c>
      <c r="F199">
        <v>531105</v>
      </c>
      <c r="G199" t="s">
        <v>429</v>
      </c>
      <c r="H199" t="s">
        <v>401</v>
      </c>
      <c r="I199" t="s">
        <v>402</v>
      </c>
      <c r="J199">
        <v>374109</v>
      </c>
      <c r="K199">
        <v>20230707</v>
      </c>
      <c r="L199" t="s">
        <v>565</v>
      </c>
      <c r="M199">
        <v>10</v>
      </c>
      <c r="N199">
        <v>0</v>
      </c>
      <c r="O199" t="s">
        <v>19</v>
      </c>
      <c r="P199" t="s">
        <v>20</v>
      </c>
      <c r="Q199">
        <v>20230707</v>
      </c>
    </row>
    <row r="200" spans="1:17" x14ac:dyDescent="0.25">
      <c r="A200" t="s">
        <v>548</v>
      </c>
      <c r="B200" t="s">
        <v>429</v>
      </c>
      <c r="C200">
        <v>2</v>
      </c>
      <c r="D200">
        <v>20230710</v>
      </c>
      <c r="E200">
        <v>7</v>
      </c>
      <c r="F200">
        <v>411100</v>
      </c>
      <c r="G200" t="s">
        <v>18</v>
      </c>
      <c r="H200" t="s">
        <v>798</v>
      </c>
      <c r="I200" t="s">
        <v>799</v>
      </c>
      <c r="J200">
        <v>123040052</v>
      </c>
      <c r="K200">
        <v>20230710</v>
      </c>
      <c r="L200" t="s">
        <v>6665</v>
      </c>
      <c r="M200">
        <v>0</v>
      </c>
      <c r="N200">
        <v>600</v>
      </c>
      <c r="O200" t="s">
        <v>19</v>
      </c>
      <c r="P200" t="s">
        <v>20</v>
      </c>
      <c r="Q200">
        <v>20230710</v>
      </c>
    </row>
    <row r="201" spans="1:17" x14ac:dyDescent="0.25">
      <c r="A201" t="s">
        <v>548</v>
      </c>
      <c r="B201" t="s">
        <v>429</v>
      </c>
      <c r="C201">
        <v>2</v>
      </c>
      <c r="D201">
        <v>20230710</v>
      </c>
      <c r="E201">
        <v>7</v>
      </c>
      <c r="F201">
        <v>531105</v>
      </c>
      <c r="G201" t="s">
        <v>429</v>
      </c>
      <c r="H201" t="s">
        <v>401</v>
      </c>
      <c r="I201" t="s">
        <v>402</v>
      </c>
      <c r="J201">
        <v>374111</v>
      </c>
      <c r="K201">
        <v>20230710</v>
      </c>
      <c r="L201" t="s">
        <v>565</v>
      </c>
      <c r="M201">
        <v>600</v>
      </c>
      <c r="N201">
        <v>0</v>
      </c>
      <c r="O201" t="s">
        <v>19</v>
      </c>
      <c r="P201" t="s">
        <v>20</v>
      </c>
      <c r="Q201">
        <v>20230710</v>
      </c>
    </row>
    <row r="202" spans="1:17" x14ac:dyDescent="0.25">
      <c r="A202" t="s">
        <v>548</v>
      </c>
      <c r="B202" t="s">
        <v>429</v>
      </c>
      <c r="C202">
        <v>2</v>
      </c>
      <c r="D202">
        <v>20230713</v>
      </c>
      <c r="E202">
        <v>7</v>
      </c>
      <c r="F202">
        <v>411100</v>
      </c>
      <c r="G202" t="s">
        <v>18</v>
      </c>
      <c r="H202" t="s">
        <v>6663</v>
      </c>
      <c r="I202" t="s">
        <v>6662</v>
      </c>
      <c r="J202">
        <v>374112</v>
      </c>
      <c r="K202">
        <v>20230713</v>
      </c>
      <c r="L202" t="s">
        <v>6664</v>
      </c>
      <c r="M202">
        <v>0</v>
      </c>
      <c r="N202">
        <v>46</v>
      </c>
      <c r="O202" t="s">
        <v>19</v>
      </c>
      <c r="P202" t="s">
        <v>20</v>
      </c>
      <c r="Q202">
        <v>20230713</v>
      </c>
    </row>
    <row r="203" spans="1:17" x14ac:dyDescent="0.25">
      <c r="A203" t="s">
        <v>548</v>
      </c>
      <c r="B203" t="s">
        <v>429</v>
      </c>
      <c r="C203">
        <v>2</v>
      </c>
      <c r="D203">
        <v>20230713</v>
      </c>
      <c r="E203">
        <v>7</v>
      </c>
      <c r="F203">
        <v>411100</v>
      </c>
      <c r="G203" t="s">
        <v>18</v>
      </c>
      <c r="H203" t="s">
        <v>6663</v>
      </c>
      <c r="I203" t="s">
        <v>6662</v>
      </c>
      <c r="J203">
        <v>374113</v>
      </c>
      <c r="K203">
        <v>20230713</v>
      </c>
      <c r="L203" t="s">
        <v>6661</v>
      </c>
      <c r="M203">
        <v>0</v>
      </c>
      <c r="N203">
        <v>0.8</v>
      </c>
      <c r="O203" t="s">
        <v>19</v>
      </c>
      <c r="P203" t="s">
        <v>20</v>
      </c>
      <c r="Q203">
        <v>20230713</v>
      </c>
    </row>
    <row r="204" spans="1:17" x14ac:dyDescent="0.25">
      <c r="A204" t="s">
        <v>548</v>
      </c>
      <c r="B204" t="s">
        <v>429</v>
      </c>
      <c r="C204">
        <v>2</v>
      </c>
      <c r="D204">
        <v>20230713</v>
      </c>
      <c r="E204">
        <v>7</v>
      </c>
      <c r="F204">
        <v>531105</v>
      </c>
      <c r="G204" t="s">
        <v>429</v>
      </c>
      <c r="H204" t="s">
        <v>401</v>
      </c>
      <c r="I204" t="s">
        <v>402</v>
      </c>
      <c r="J204">
        <v>374114</v>
      </c>
      <c r="K204">
        <v>20230713</v>
      </c>
      <c r="L204" t="s">
        <v>565</v>
      </c>
      <c r="M204">
        <v>46.8</v>
      </c>
      <c r="N204">
        <v>0</v>
      </c>
      <c r="O204" t="s">
        <v>19</v>
      </c>
      <c r="P204" t="s">
        <v>20</v>
      </c>
      <c r="Q204">
        <v>20230713</v>
      </c>
    </row>
    <row r="205" spans="1:17" x14ac:dyDescent="0.25">
      <c r="A205" t="s">
        <v>548</v>
      </c>
      <c r="B205" t="s">
        <v>429</v>
      </c>
      <c r="C205">
        <v>2</v>
      </c>
      <c r="D205">
        <v>20230707</v>
      </c>
      <c r="E205">
        <v>7</v>
      </c>
      <c r="F205">
        <v>411010</v>
      </c>
      <c r="G205" t="s">
        <v>87</v>
      </c>
      <c r="H205" t="s">
        <v>363</v>
      </c>
      <c r="I205" t="s">
        <v>6660</v>
      </c>
      <c r="J205">
        <v>374290</v>
      </c>
      <c r="K205">
        <v>20230707</v>
      </c>
      <c r="L205" t="s">
        <v>6659</v>
      </c>
      <c r="M205">
        <v>0</v>
      </c>
      <c r="N205">
        <v>191.16</v>
      </c>
      <c r="O205" t="s">
        <v>19</v>
      </c>
      <c r="P205" t="s">
        <v>20</v>
      </c>
      <c r="Q205">
        <v>20230707</v>
      </c>
    </row>
    <row r="206" spans="1:17" x14ac:dyDescent="0.25">
      <c r="A206" t="s">
        <v>548</v>
      </c>
      <c r="B206" t="s">
        <v>429</v>
      </c>
      <c r="C206">
        <v>2</v>
      </c>
      <c r="D206">
        <v>20230707</v>
      </c>
      <c r="E206">
        <v>7</v>
      </c>
      <c r="F206">
        <v>411010</v>
      </c>
      <c r="G206" t="s">
        <v>87</v>
      </c>
      <c r="H206" t="s">
        <v>381</v>
      </c>
      <c r="I206" t="s">
        <v>382</v>
      </c>
      <c r="J206">
        <v>374291</v>
      </c>
      <c r="K206">
        <v>20230707</v>
      </c>
      <c r="L206" t="s">
        <v>6658</v>
      </c>
      <c r="M206">
        <v>0</v>
      </c>
      <c r="N206">
        <v>500</v>
      </c>
      <c r="O206" t="s">
        <v>19</v>
      </c>
      <c r="P206" t="s">
        <v>20</v>
      </c>
      <c r="Q206">
        <v>20230707</v>
      </c>
    </row>
    <row r="207" spans="1:17" x14ac:dyDescent="0.25">
      <c r="A207" t="s">
        <v>548</v>
      </c>
      <c r="B207" t="s">
        <v>429</v>
      </c>
      <c r="C207">
        <v>2</v>
      </c>
      <c r="D207">
        <v>20230707</v>
      </c>
      <c r="E207">
        <v>7</v>
      </c>
      <c r="F207">
        <v>411100</v>
      </c>
      <c r="G207" t="s">
        <v>18</v>
      </c>
      <c r="H207" t="s">
        <v>352</v>
      </c>
      <c r="I207" t="s">
        <v>353</v>
      </c>
      <c r="J207">
        <v>374292</v>
      </c>
      <c r="K207">
        <v>20230707</v>
      </c>
      <c r="L207" t="s">
        <v>6657</v>
      </c>
      <c r="M207">
        <v>0</v>
      </c>
      <c r="N207">
        <v>399.5</v>
      </c>
      <c r="O207" t="s">
        <v>19</v>
      </c>
      <c r="P207" t="s">
        <v>20</v>
      </c>
      <c r="Q207">
        <v>20230707</v>
      </c>
    </row>
    <row r="208" spans="1:17" x14ac:dyDescent="0.25">
      <c r="A208" t="s">
        <v>548</v>
      </c>
      <c r="B208" t="s">
        <v>429</v>
      </c>
      <c r="C208">
        <v>2</v>
      </c>
      <c r="D208">
        <v>20230707</v>
      </c>
      <c r="E208">
        <v>7</v>
      </c>
      <c r="F208">
        <v>411010</v>
      </c>
      <c r="G208" t="s">
        <v>87</v>
      </c>
      <c r="H208" t="s">
        <v>379</v>
      </c>
      <c r="I208" t="s">
        <v>380</v>
      </c>
      <c r="J208">
        <v>223040029</v>
      </c>
      <c r="K208">
        <v>20230707</v>
      </c>
      <c r="L208" t="s">
        <v>6656</v>
      </c>
      <c r="M208">
        <v>0</v>
      </c>
      <c r="N208">
        <v>70</v>
      </c>
      <c r="O208" t="s">
        <v>19</v>
      </c>
      <c r="P208" t="s">
        <v>20</v>
      </c>
      <c r="Q208">
        <v>20230707</v>
      </c>
    </row>
    <row r="209" spans="1:17" x14ac:dyDescent="0.25">
      <c r="A209" t="s">
        <v>548</v>
      </c>
      <c r="B209" t="s">
        <v>429</v>
      </c>
      <c r="C209">
        <v>2</v>
      </c>
      <c r="D209">
        <v>20230707</v>
      </c>
      <c r="E209">
        <v>7</v>
      </c>
      <c r="F209">
        <v>531105</v>
      </c>
      <c r="G209" t="s">
        <v>429</v>
      </c>
      <c r="H209" t="s">
        <v>401</v>
      </c>
      <c r="I209" t="s">
        <v>402</v>
      </c>
      <c r="J209">
        <v>374294</v>
      </c>
      <c r="K209">
        <v>20230707</v>
      </c>
      <c r="L209" t="s">
        <v>565</v>
      </c>
      <c r="M209">
        <v>1160.6600000000001</v>
      </c>
      <c r="N209">
        <v>0</v>
      </c>
      <c r="O209" t="s">
        <v>19</v>
      </c>
      <c r="P209" t="s">
        <v>20</v>
      </c>
      <c r="Q209">
        <v>20230707</v>
      </c>
    </row>
    <row r="210" spans="1:17" x14ac:dyDescent="0.25">
      <c r="A210" t="s">
        <v>548</v>
      </c>
      <c r="B210" t="s">
        <v>429</v>
      </c>
      <c r="C210">
        <v>2</v>
      </c>
      <c r="D210">
        <v>20230710</v>
      </c>
      <c r="E210">
        <v>7</v>
      </c>
      <c r="F210">
        <v>411010</v>
      </c>
      <c r="G210" t="s">
        <v>87</v>
      </c>
      <c r="H210" t="s">
        <v>381</v>
      </c>
      <c r="I210" t="s">
        <v>382</v>
      </c>
      <c r="J210">
        <v>374295</v>
      </c>
      <c r="K210">
        <v>20230710</v>
      </c>
      <c r="L210" t="s">
        <v>6655</v>
      </c>
      <c r="M210">
        <v>0</v>
      </c>
      <c r="N210">
        <v>182.5</v>
      </c>
      <c r="O210" t="s">
        <v>19</v>
      </c>
      <c r="P210" t="s">
        <v>20</v>
      </c>
      <c r="Q210">
        <v>20230710</v>
      </c>
    </row>
    <row r="211" spans="1:17" x14ac:dyDescent="0.25">
      <c r="A211" t="s">
        <v>548</v>
      </c>
      <c r="B211" t="s">
        <v>429</v>
      </c>
      <c r="C211">
        <v>2</v>
      </c>
      <c r="D211">
        <v>20230710</v>
      </c>
      <c r="E211">
        <v>7</v>
      </c>
      <c r="F211">
        <v>411100</v>
      </c>
      <c r="G211" t="s">
        <v>18</v>
      </c>
      <c r="H211" t="s">
        <v>233</v>
      </c>
      <c r="I211" t="s">
        <v>234</v>
      </c>
      <c r="J211">
        <v>374296</v>
      </c>
      <c r="K211">
        <v>20230710</v>
      </c>
      <c r="L211" t="s">
        <v>6654</v>
      </c>
      <c r="M211">
        <v>0</v>
      </c>
      <c r="N211">
        <v>54.5</v>
      </c>
      <c r="O211" t="s">
        <v>19</v>
      </c>
      <c r="P211" t="s">
        <v>20</v>
      </c>
      <c r="Q211">
        <v>20230710</v>
      </c>
    </row>
    <row r="212" spans="1:17" x14ac:dyDescent="0.25">
      <c r="A212" t="s">
        <v>548</v>
      </c>
      <c r="B212" t="s">
        <v>429</v>
      </c>
      <c r="C212">
        <v>2</v>
      </c>
      <c r="D212">
        <v>20230710</v>
      </c>
      <c r="E212">
        <v>7</v>
      </c>
      <c r="F212">
        <v>531105</v>
      </c>
      <c r="G212" t="s">
        <v>429</v>
      </c>
      <c r="H212" t="s">
        <v>401</v>
      </c>
      <c r="I212" t="s">
        <v>402</v>
      </c>
      <c r="J212">
        <v>374297</v>
      </c>
      <c r="K212">
        <v>20230710</v>
      </c>
      <c r="L212" t="s">
        <v>565</v>
      </c>
      <c r="M212">
        <v>237</v>
      </c>
      <c r="N212">
        <v>0</v>
      </c>
      <c r="O212" t="s">
        <v>19</v>
      </c>
      <c r="P212" t="s">
        <v>20</v>
      </c>
      <c r="Q212">
        <v>20230710</v>
      </c>
    </row>
    <row r="213" spans="1:17" x14ac:dyDescent="0.25">
      <c r="A213" t="s">
        <v>548</v>
      </c>
      <c r="B213" t="s">
        <v>429</v>
      </c>
      <c r="C213">
        <v>2</v>
      </c>
      <c r="D213">
        <v>20230711</v>
      </c>
      <c r="E213">
        <v>7</v>
      </c>
      <c r="F213">
        <v>411010</v>
      </c>
      <c r="G213" t="s">
        <v>87</v>
      </c>
      <c r="H213" t="s">
        <v>3214</v>
      </c>
      <c r="I213" t="s">
        <v>3215</v>
      </c>
      <c r="J213">
        <v>374298</v>
      </c>
      <c r="K213">
        <v>20230711</v>
      </c>
      <c r="L213" t="s">
        <v>6653</v>
      </c>
      <c r="M213">
        <v>0</v>
      </c>
      <c r="N213">
        <v>473.53</v>
      </c>
      <c r="O213" t="s">
        <v>19</v>
      </c>
      <c r="P213" t="s">
        <v>20</v>
      </c>
      <c r="Q213">
        <v>20230711</v>
      </c>
    </row>
    <row r="214" spans="1:17" x14ac:dyDescent="0.25">
      <c r="A214" t="s">
        <v>548</v>
      </c>
      <c r="B214" t="s">
        <v>429</v>
      </c>
      <c r="C214">
        <v>2</v>
      </c>
      <c r="D214">
        <v>20230711</v>
      </c>
      <c r="E214">
        <v>7</v>
      </c>
      <c r="F214">
        <v>531105</v>
      </c>
      <c r="G214" t="s">
        <v>429</v>
      </c>
      <c r="H214" t="s">
        <v>401</v>
      </c>
      <c r="I214" t="s">
        <v>402</v>
      </c>
      <c r="J214">
        <v>374299</v>
      </c>
      <c r="K214">
        <v>20230711</v>
      </c>
      <c r="L214" t="s">
        <v>565</v>
      </c>
      <c r="M214">
        <v>473.53</v>
      </c>
      <c r="N214">
        <v>0</v>
      </c>
      <c r="O214" t="s">
        <v>19</v>
      </c>
      <c r="P214" t="s">
        <v>20</v>
      </c>
      <c r="Q214">
        <v>20230711</v>
      </c>
    </row>
    <row r="215" spans="1:17" x14ac:dyDescent="0.25">
      <c r="A215" t="s">
        <v>548</v>
      </c>
      <c r="B215" t="s">
        <v>429</v>
      </c>
      <c r="C215">
        <v>2</v>
      </c>
      <c r="D215">
        <v>20230705</v>
      </c>
      <c r="E215">
        <v>7</v>
      </c>
      <c r="F215">
        <v>411020</v>
      </c>
      <c r="G215" t="s">
        <v>30</v>
      </c>
      <c r="H215" t="s">
        <v>4147</v>
      </c>
      <c r="I215" t="s">
        <v>4148</v>
      </c>
      <c r="J215">
        <v>323060015</v>
      </c>
      <c r="K215">
        <v>20230705</v>
      </c>
      <c r="L215" t="s">
        <v>6652</v>
      </c>
      <c r="M215">
        <v>0</v>
      </c>
      <c r="N215">
        <v>46.8</v>
      </c>
      <c r="O215" t="s">
        <v>19</v>
      </c>
      <c r="P215" t="s">
        <v>20</v>
      </c>
      <c r="Q215">
        <v>20230705</v>
      </c>
    </row>
    <row r="216" spans="1:17" x14ac:dyDescent="0.25">
      <c r="A216" t="s">
        <v>548</v>
      </c>
      <c r="B216" t="s">
        <v>429</v>
      </c>
      <c r="C216">
        <v>2</v>
      </c>
      <c r="D216">
        <v>20230705</v>
      </c>
      <c r="E216">
        <v>7</v>
      </c>
      <c r="F216">
        <v>531105</v>
      </c>
      <c r="G216" t="s">
        <v>429</v>
      </c>
      <c r="H216" t="s">
        <v>401</v>
      </c>
      <c r="I216" t="s">
        <v>402</v>
      </c>
      <c r="J216">
        <v>374377</v>
      </c>
      <c r="K216">
        <v>20230705</v>
      </c>
      <c r="L216" t="s">
        <v>565</v>
      </c>
      <c r="M216">
        <v>46.8</v>
      </c>
      <c r="N216">
        <v>0</v>
      </c>
      <c r="O216" t="s">
        <v>19</v>
      </c>
      <c r="P216" t="s">
        <v>20</v>
      </c>
      <c r="Q216">
        <v>20230705</v>
      </c>
    </row>
    <row r="217" spans="1:17" x14ac:dyDescent="0.25">
      <c r="A217" t="s">
        <v>548</v>
      </c>
      <c r="B217" t="s">
        <v>429</v>
      </c>
      <c r="C217">
        <v>2</v>
      </c>
      <c r="D217">
        <v>20230706</v>
      </c>
      <c r="E217">
        <v>7</v>
      </c>
      <c r="F217">
        <v>411010</v>
      </c>
      <c r="G217" t="s">
        <v>87</v>
      </c>
      <c r="H217" t="s">
        <v>1618</v>
      </c>
      <c r="I217" t="s">
        <v>1619</v>
      </c>
      <c r="J217">
        <v>323060007</v>
      </c>
      <c r="K217">
        <v>20230706</v>
      </c>
      <c r="L217" t="s">
        <v>6651</v>
      </c>
      <c r="M217">
        <v>0</v>
      </c>
      <c r="N217">
        <v>20.67</v>
      </c>
      <c r="O217" t="s">
        <v>19</v>
      </c>
      <c r="P217" t="s">
        <v>20</v>
      </c>
      <c r="Q217">
        <v>20230706</v>
      </c>
    </row>
    <row r="218" spans="1:17" x14ac:dyDescent="0.25">
      <c r="A218" t="s">
        <v>548</v>
      </c>
      <c r="B218" t="s">
        <v>429</v>
      </c>
      <c r="C218">
        <v>2</v>
      </c>
      <c r="D218">
        <v>20230706</v>
      </c>
      <c r="E218">
        <v>7</v>
      </c>
      <c r="F218">
        <v>411010</v>
      </c>
      <c r="G218" t="s">
        <v>87</v>
      </c>
      <c r="H218" t="s">
        <v>1618</v>
      </c>
      <c r="I218" t="s">
        <v>1619</v>
      </c>
      <c r="J218">
        <v>323060007</v>
      </c>
      <c r="K218">
        <v>20230706</v>
      </c>
      <c r="L218" t="s">
        <v>6650</v>
      </c>
      <c r="M218">
        <v>0</v>
      </c>
      <c r="N218">
        <v>0.33</v>
      </c>
      <c r="O218" t="s">
        <v>19</v>
      </c>
      <c r="P218" t="s">
        <v>20</v>
      </c>
      <c r="Q218">
        <v>20230706</v>
      </c>
    </row>
    <row r="219" spans="1:17" x14ac:dyDescent="0.25">
      <c r="A219" t="s">
        <v>548</v>
      </c>
      <c r="B219" t="s">
        <v>429</v>
      </c>
      <c r="C219">
        <v>2</v>
      </c>
      <c r="D219">
        <v>20230706</v>
      </c>
      <c r="E219">
        <v>7</v>
      </c>
      <c r="F219">
        <v>531105</v>
      </c>
      <c r="G219" t="s">
        <v>429</v>
      </c>
      <c r="H219" t="s">
        <v>401</v>
      </c>
      <c r="I219" t="s">
        <v>402</v>
      </c>
      <c r="J219">
        <v>374380</v>
      </c>
      <c r="K219">
        <v>20230706</v>
      </c>
      <c r="L219" t="s">
        <v>565</v>
      </c>
      <c r="M219">
        <v>21</v>
      </c>
      <c r="N219">
        <v>0</v>
      </c>
      <c r="O219" t="s">
        <v>19</v>
      </c>
      <c r="P219" t="s">
        <v>20</v>
      </c>
      <c r="Q219">
        <v>20230706</v>
      </c>
    </row>
    <row r="220" spans="1:17" x14ac:dyDescent="0.25">
      <c r="A220" t="s">
        <v>548</v>
      </c>
      <c r="B220" t="s">
        <v>429</v>
      </c>
      <c r="C220">
        <v>2</v>
      </c>
      <c r="D220">
        <v>20230712</v>
      </c>
      <c r="E220">
        <v>7</v>
      </c>
      <c r="F220">
        <v>411020</v>
      </c>
      <c r="G220" t="s">
        <v>30</v>
      </c>
      <c r="H220" t="s">
        <v>3633</v>
      </c>
      <c r="I220" t="s">
        <v>3634</v>
      </c>
      <c r="J220">
        <v>323060004</v>
      </c>
      <c r="K220">
        <v>20230712</v>
      </c>
      <c r="L220" t="s">
        <v>6649</v>
      </c>
      <c r="M220">
        <v>0</v>
      </c>
      <c r="N220">
        <v>105.78</v>
      </c>
      <c r="O220" t="s">
        <v>19</v>
      </c>
      <c r="P220" t="s">
        <v>20</v>
      </c>
      <c r="Q220">
        <v>20230712</v>
      </c>
    </row>
    <row r="221" spans="1:17" x14ac:dyDescent="0.25">
      <c r="A221" t="s">
        <v>548</v>
      </c>
      <c r="B221" t="s">
        <v>429</v>
      </c>
      <c r="C221">
        <v>2</v>
      </c>
      <c r="D221">
        <v>20230712</v>
      </c>
      <c r="E221">
        <v>7</v>
      </c>
      <c r="F221">
        <v>531105</v>
      </c>
      <c r="G221" t="s">
        <v>429</v>
      </c>
      <c r="H221" t="s">
        <v>401</v>
      </c>
      <c r="I221" t="s">
        <v>402</v>
      </c>
      <c r="J221">
        <v>374382</v>
      </c>
      <c r="K221">
        <v>20230712</v>
      </c>
      <c r="L221" t="s">
        <v>565</v>
      </c>
      <c r="M221">
        <v>105.78</v>
      </c>
      <c r="N221">
        <v>0</v>
      </c>
      <c r="O221" t="s">
        <v>19</v>
      </c>
      <c r="P221" t="s">
        <v>20</v>
      </c>
      <c r="Q221">
        <v>20230712</v>
      </c>
    </row>
    <row r="222" spans="1:17" x14ac:dyDescent="0.25">
      <c r="A222" t="s">
        <v>548</v>
      </c>
      <c r="B222" t="s">
        <v>429</v>
      </c>
      <c r="C222">
        <v>2</v>
      </c>
      <c r="D222">
        <v>20230713</v>
      </c>
      <c r="E222">
        <v>7</v>
      </c>
      <c r="F222">
        <v>411100</v>
      </c>
      <c r="G222" t="s">
        <v>18</v>
      </c>
      <c r="H222" t="s">
        <v>6323</v>
      </c>
      <c r="I222" t="s">
        <v>6322</v>
      </c>
      <c r="J222">
        <v>374963</v>
      </c>
      <c r="K222">
        <v>20230713</v>
      </c>
      <c r="L222" t="s">
        <v>6648</v>
      </c>
      <c r="M222">
        <v>0</v>
      </c>
      <c r="N222">
        <v>11.6</v>
      </c>
      <c r="O222" t="s">
        <v>19</v>
      </c>
      <c r="P222" t="s">
        <v>20</v>
      </c>
      <c r="Q222">
        <v>20230713</v>
      </c>
    </row>
    <row r="223" spans="1:17" x14ac:dyDescent="0.25">
      <c r="A223" t="s">
        <v>548</v>
      </c>
      <c r="B223" t="s">
        <v>429</v>
      </c>
      <c r="C223">
        <v>2</v>
      </c>
      <c r="D223">
        <v>20230713</v>
      </c>
      <c r="E223">
        <v>7</v>
      </c>
      <c r="F223">
        <v>411100</v>
      </c>
      <c r="G223" t="s">
        <v>18</v>
      </c>
      <c r="H223" t="s">
        <v>77</v>
      </c>
      <c r="I223" t="s">
        <v>78</v>
      </c>
      <c r="J223">
        <v>374964</v>
      </c>
      <c r="K223">
        <v>20230713</v>
      </c>
      <c r="L223" t="s">
        <v>6647</v>
      </c>
      <c r="M223">
        <v>0</v>
      </c>
      <c r="N223">
        <v>22.5</v>
      </c>
      <c r="O223" t="s">
        <v>19</v>
      </c>
      <c r="P223" t="s">
        <v>20</v>
      </c>
      <c r="Q223">
        <v>20230713</v>
      </c>
    </row>
    <row r="224" spans="1:17" x14ac:dyDescent="0.25">
      <c r="A224" t="s">
        <v>548</v>
      </c>
      <c r="B224" t="s">
        <v>429</v>
      </c>
      <c r="C224">
        <v>2</v>
      </c>
      <c r="D224">
        <v>20230713</v>
      </c>
      <c r="E224">
        <v>7</v>
      </c>
      <c r="F224">
        <v>531105</v>
      </c>
      <c r="G224" t="s">
        <v>429</v>
      </c>
      <c r="H224" t="s">
        <v>401</v>
      </c>
      <c r="I224" t="s">
        <v>402</v>
      </c>
      <c r="J224">
        <v>374965</v>
      </c>
      <c r="K224">
        <v>20230713</v>
      </c>
      <c r="L224" t="s">
        <v>565</v>
      </c>
      <c r="M224">
        <v>34.1</v>
      </c>
      <c r="N224">
        <v>0</v>
      </c>
      <c r="O224" t="s">
        <v>19</v>
      </c>
      <c r="P224" t="s">
        <v>20</v>
      </c>
      <c r="Q224">
        <v>20230713</v>
      </c>
    </row>
    <row r="225" spans="1:17" x14ac:dyDescent="0.25">
      <c r="A225" t="s">
        <v>548</v>
      </c>
      <c r="B225" t="s">
        <v>429</v>
      </c>
      <c r="C225">
        <v>2</v>
      </c>
      <c r="D225">
        <v>20230717</v>
      </c>
      <c r="E225">
        <v>7</v>
      </c>
      <c r="F225">
        <v>411100</v>
      </c>
      <c r="G225" t="s">
        <v>18</v>
      </c>
      <c r="H225" t="s">
        <v>154</v>
      </c>
      <c r="I225" t="s">
        <v>155</v>
      </c>
      <c r="J225">
        <v>374966</v>
      </c>
      <c r="K225">
        <v>20230717</v>
      </c>
      <c r="L225" t="s">
        <v>6646</v>
      </c>
      <c r="M225">
        <v>0</v>
      </c>
      <c r="N225">
        <v>4.5</v>
      </c>
      <c r="O225" t="s">
        <v>19</v>
      </c>
      <c r="P225" t="s">
        <v>20</v>
      </c>
      <c r="Q225">
        <v>20230717</v>
      </c>
    </row>
    <row r="226" spans="1:17" x14ac:dyDescent="0.25">
      <c r="A226" t="s">
        <v>548</v>
      </c>
      <c r="B226" t="s">
        <v>429</v>
      </c>
      <c r="C226">
        <v>2</v>
      </c>
      <c r="D226">
        <v>20230717</v>
      </c>
      <c r="E226">
        <v>7</v>
      </c>
      <c r="F226">
        <v>411100</v>
      </c>
      <c r="G226" t="s">
        <v>18</v>
      </c>
      <c r="H226" t="s">
        <v>698</v>
      </c>
      <c r="I226" t="s">
        <v>699</v>
      </c>
      <c r="J226">
        <v>374967</v>
      </c>
      <c r="K226">
        <v>20230717</v>
      </c>
      <c r="L226" t="s">
        <v>6645</v>
      </c>
      <c r="M226">
        <v>0</v>
      </c>
      <c r="N226">
        <v>4.5</v>
      </c>
      <c r="O226" t="s">
        <v>19</v>
      </c>
      <c r="P226" t="s">
        <v>20</v>
      </c>
      <c r="Q226">
        <v>20230717</v>
      </c>
    </row>
    <row r="227" spans="1:17" x14ac:dyDescent="0.25">
      <c r="A227" t="s">
        <v>548</v>
      </c>
      <c r="B227" t="s">
        <v>429</v>
      </c>
      <c r="C227">
        <v>2</v>
      </c>
      <c r="D227">
        <v>20230717</v>
      </c>
      <c r="E227">
        <v>7</v>
      </c>
      <c r="F227">
        <v>411100</v>
      </c>
      <c r="G227" t="s">
        <v>18</v>
      </c>
      <c r="H227" t="s">
        <v>73</v>
      </c>
      <c r="I227" t="s">
        <v>74</v>
      </c>
      <c r="J227">
        <v>374968</v>
      </c>
      <c r="K227">
        <v>20230717</v>
      </c>
      <c r="L227" t="s">
        <v>6644</v>
      </c>
      <c r="M227">
        <v>0</v>
      </c>
      <c r="N227">
        <v>4.5</v>
      </c>
      <c r="O227" t="s">
        <v>19</v>
      </c>
      <c r="P227" t="s">
        <v>20</v>
      </c>
      <c r="Q227">
        <v>20230717</v>
      </c>
    </row>
    <row r="228" spans="1:17" x14ac:dyDescent="0.25">
      <c r="A228" t="s">
        <v>548</v>
      </c>
      <c r="B228" t="s">
        <v>429</v>
      </c>
      <c r="C228">
        <v>2</v>
      </c>
      <c r="D228">
        <v>20230717</v>
      </c>
      <c r="E228">
        <v>7</v>
      </c>
      <c r="F228">
        <v>411020</v>
      </c>
      <c r="G228" t="s">
        <v>30</v>
      </c>
      <c r="H228" t="s">
        <v>275</v>
      </c>
      <c r="I228" t="s">
        <v>276</v>
      </c>
      <c r="J228">
        <v>374969</v>
      </c>
      <c r="K228">
        <v>20230717</v>
      </c>
      <c r="L228" t="s">
        <v>6643</v>
      </c>
      <c r="M228">
        <v>0</v>
      </c>
      <c r="N228">
        <v>38.08</v>
      </c>
      <c r="O228" t="s">
        <v>19</v>
      </c>
      <c r="P228" t="s">
        <v>20</v>
      </c>
      <c r="Q228">
        <v>20230717</v>
      </c>
    </row>
    <row r="229" spans="1:17" x14ac:dyDescent="0.25">
      <c r="A229" t="s">
        <v>548</v>
      </c>
      <c r="B229" t="s">
        <v>429</v>
      </c>
      <c r="C229">
        <v>2</v>
      </c>
      <c r="D229">
        <v>20230717</v>
      </c>
      <c r="E229">
        <v>7</v>
      </c>
      <c r="F229">
        <v>411100</v>
      </c>
      <c r="G229" t="s">
        <v>18</v>
      </c>
      <c r="H229" t="s">
        <v>1172</v>
      </c>
      <c r="I229" t="s">
        <v>6571</v>
      </c>
      <c r="J229">
        <v>374970</v>
      </c>
      <c r="K229">
        <v>20230717</v>
      </c>
      <c r="L229" t="s">
        <v>6642</v>
      </c>
      <c r="M229">
        <v>0</v>
      </c>
      <c r="N229">
        <v>4.5</v>
      </c>
      <c r="O229" t="s">
        <v>19</v>
      </c>
      <c r="P229" t="s">
        <v>20</v>
      </c>
      <c r="Q229">
        <v>20230717</v>
      </c>
    </row>
    <row r="230" spans="1:17" x14ac:dyDescent="0.25">
      <c r="A230" t="s">
        <v>548</v>
      </c>
      <c r="B230" t="s">
        <v>429</v>
      </c>
      <c r="C230">
        <v>2</v>
      </c>
      <c r="D230">
        <v>20230717</v>
      </c>
      <c r="E230">
        <v>7</v>
      </c>
      <c r="F230">
        <v>411100</v>
      </c>
      <c r="G230" t="s">
        <v>18</v>
      </c>
      <c r="H230" t="s">
        <v>241</v>
      </c>
      <c r="I230" t="s">
        <v>242</v>
      </c>
      <c r="J230">
        <v>374971</v>
      </c>
      <c r="K230">
        <v>20230717</v>
      </c>
      <c r="L230" t="s">
        <v>6641</v>
      </c>
      <c r="M230">
        <v>0</v>
      </c>
      <c r="N230">
        <v>4.5</v>
      </c>
      <c r="O230" t="s">
        <v>19</v>
      </c>
      <c r="P230" t="s">
        <v>20</v>
      </c>
      <c r="Q230">
        <v>20230717</v>
      </c>
    </row>
    <row r="231" spans="1:17" x14ac:dyDescent="0.25">
      <c r="A231" t="s">
        <v>548</v>
      </c>
      <c r="B231" t="s">
        <v>429</v>
      </c>
      <c r="C231">
        <v>2</v>
      </c>
      <c r="D231">
        <v>20230717</v>
      </c>
      <c r="E231">
        <v>7</v>
      </c>
      <c r="F231">
        <v>411100</v>
      </c>
      <c r="G231" t="s">
        <v>18</v>
      </c>
      <c r="H231" t="s">
        <v>1911</v>
      </c>
      <c r="I231" t="s">
        <v>1912</v>
      </c>
      <c r="J231">
        <v>374972</v>
      </c>
      <c r="K231">
        <v>20230717</v>
      </c>
      <c r="L231" t="s">
        <v>6640</v>
      </c>
      <c r="M231">
        <v>0</v>
      </c>
      <c r="N231">
        <v>4.5</v>
      </c>
      <c r="O231" t="s">
        <v>19</v>
      </c>
      <c r="P231" t="s">
        <v>20</v>
      </c>
      <c r="Q231">
        <v>20230717</v>
      </c>
    </row>
    <row r="232" spans="1:17" x14ac:dyDescent="0.25">
      <c r="A232" t="s">
        <v>548</v>
      </c>
      <c r="B232" t="s">
        <v>429</v>
      </c>
      <c r="C232">
        <v>2</v>
      </c>
      <c r="D232">
        <v>20230717</v>
      </c>
      <c r="E232">
        <v>7</v>
      </c>
      <c r="F232">
        <v>411100</v>
      </c>
      <c r="G232" t="s">
        <v>18</v>
      </c>
      <c r="H232" t="s">
        <v>660</v>
      </c>
      <c r="I232" t="s">
        <v>661</v>
      </c>
      <c r="J232">
        <v>374973</v>
      </c>
      <c r="K232">
        <v>20230717</v>
      </c>
      <c r="L232" t="s">
        <v>6639</v>
      </c>
      <c r="M232">
        <v>0</v>
      </c>
      <c r="N232">
        <v>4.5</v>
      </c>
      <c r="O232" t="s">
        <v>19</v>
      </c>
      <c r="P232" t="s">
        <v>20</v>
      </c>
      <c r="Q232">
        <v>20230717</v>
      </c>
    </row>
    <row r="233" spans="1:17" x14ac:dyDescent="0.25">
      <c r="A233" t="s">
        <v>548</v>
      </c>
      <c r="B233" t="s">
        <v>429</v>
      </c>
      <c r="C233">
        <v>2</v>
      </c>
      <c r="D233">
        <v>20230717</v>
      </c>
      <c r="E233">
        <v>7</v>
      </c>
      <c r="F233">
        <v>411100</v>
      </c>
      <c r="G233" t="s">
        <v>18</v>
      </c>
      <c r="H233" t="s">
        <v>105</v>
      </c>
      <c r="I233" t="s">
        <v>106</v>
      </c>
      <c r="J233">
        <v>374974</v>
      </c>
      <c r="K233">
        <v>20230717</v>
      </c>
      <c r="L233" t="s">
        <v>6638</v>
      </c>
      <c r="M233">
        <v>0</v>
      </c>
      <c r="N233">
        <v>2</v>
      </c>
      <c r="O233" t="s">
        <v>19</v>
      </c>
      <c r="P233" t="s">
        <v>20</v>
      </c>
      <c r="Q233">
        <v>20230717</v>
      </c>
    </row>
    <row r="234" spans="1:17" x14ac:dyDescent="0.25">
      <c r="A234" t="s">
        <v>548</v>
      </c>
      <c r="B234" t="s">
        <v>429</v>
      </c>
      <c r="C234">
        <v>2</v>
      </c>
      <c r="D234">
        <v>20230717</v>
      </c>
      <c r="E234">
        <v>7</v>
      </c>
      <c r="F234">
        <v>411100</v>
      </c>
      <c r="G234" t="s">
        <v>18</v>
      </c>
      <c r="H234" t="s">
        <v>259</v>
      </c>
      <c r="I234" t="s">
        <v>260</v>
      </c>
      <c r="J234">
        <v>374975</v>
      </c>
      <c r="K234">
        <v>20230717</v>
      </c>
      <c r="L234" t="s">
        <v>6637</v>
      </c>
      <c r="M234">
        <v>0</v>
      </c>
      <c r="N234">
        <v>2</v>
      </c>
      <c r="O234" t="s">
        <v>19</v>
      </c>
      <c r="P234" t="s">
        <v>20</v>
      </c>
      <c r="Q234">
        <v>20230717</v>
      </c>
    </row>
    <row r="235" spans="1:17" x14ac:dyDescent="0.25">
      <c r="A235" t="s">
        <v>548</v>
      </c>
      <c r="B235" t="s">
        <v>429</v>
      </c>
      <c r="C235">
        <v>2</v>
      </c>
      <c r="D235">
        <v>20230717</v>
      </c>
      <c r="E235">
        <v>7</v>
      </c>
      <c r="F235">
        <v>411100</v>
      </c>
      <c r="G235" t="s">
        <v>18</v>
      </c>
      <c r="H235" t="s">
        <v>6636</v>
      </c>
      <c r="I235" t="s">
        <v>6635</v>
      </c>
      <c r="J235">
        <v>374976</v>
      </c>
      <c r="K235">
        <v>20230717</v>
      </c>
      <c r="L235" t="s">
        <v>6634</v>
      </c>
      <c r="M235">
        <v>0</v>
      </c>
      <c r="N235">
        <v>2</v>
      </c>
      <c r="O235" t="s">
        <v>19</v>
      </c>
      <c r="P235" t="s">
        <v>20</v>
      </c>
      <c r="Q235">
        <v>20230717</v>
      </c>
    </row>
    <row r="236" spans="1:17" x14ac:dyDescent="0.25">
      <c r="A236" t="s">
        <v>548</v>
      </c>
      <c r="B236" t="s">
        <v>429</v>
      </c>
      <c r="C236">
        <v>2</v>
      </c>
      <c r="D236">
        <v>20230717</v>
      </c>
      <c r="E236">
        <v>7</v>
      </c>
      <c r="F236">
        <v>411100</v>
      </c>
      <c r="G236" t="s">
        <v>18</v>
      </c>
      <c r="H236" t="s">
        <v>6633</v>
      </c>
      <c r="I236" t="s">
        <v>6632</v>
      </c>
      <c r="J236">
        <v>374977</v>
      </c>
      <c r="K236">
        <v>20230717</v>
      </c>
      <c r="L236" t="s">
        <v>6631</v>
      </c>
      <c r="M236">
        <v>0</v>
      </c>
      <c r="N236">
        <v>2.5</v>
      </c>
      <c r="O236" t="s">
        <v>19</v>
      </c>
      <c r="P236" t="s">
        <v>20</v>
      </c>
      <c r="Q236">
        <v>20230717</v>
      </c>
    </row>
    <row r="237" spans="1:17" x14ac:dyDescent="0.25">
      <c r="A237" t="s">
        <v>548</v>
      </c>
      <c r="B237" t="s">
        <v>429</v>
      </c>
      <c r="C237">
        <v>2</v>
      </c>
      <c r="D237">
        <v>20230717</v>
      </c>
      <c r="E237">
        <v>7</v>
      </c>
      <c r="F237">
        <v>411100</v>
      </c>
      <c r="G237" t="s">
        <v>18</v>
      </c>
      <c r="H237" t="s">
        <v>73</v>
      </c>
      <c r="I237" t="s">
        <v>74</v>
      </c>
      <c r="J237">
        <v>374978</v>
      </c>
      <c r="K237">
        <v>20230717</v>
      </c>
      <c r="L237" t="s">
        <v>6630</v>
      </c>
      <c r="M237">
        <v>0</v>
      </c>
      <c r="N237">
        <v>4.5</v>
      </c>
      <c r="O237" t="s">
        <v>19</v>
      </c>
      <c r="P237" t="s">
        <v>20</v>
      </c>
      <c r="Q237">
        <v>20230717</v>
      </c>
    </row>
    <row r="238" spans="1:17" x14ac:dyDescent="0.25">
      <c r="A238" t="s">
        <v>548</v>
      </c>
      <c r="B238" t="s">
        <v>429</v>
      </c>
      <c r="C238">
        <v>2</v>
      </c>
      <c r="D238">
        <v>20230717</v>
      </c>
      <c r="E238">
        <v>7</v>
      </c>
      <c r="F238">
        <v>411100</v>
      </c>
      <c r="G238" t="s">
        <v>18</v>
      </c>
      <c r="H238" t="s">
        <v>73</v>
      </c>
      <c r="I238" t="s">
        <v>74</v>
      </c>
      <c r="J238">
        <v>374979</v>
      </c>
      <c r="K238">
        <v>20230717</v>
      </c>
      <c r="L238" t="s">
        <v>6629</v>
      </c>
      <c r="M238">
        <v>0</v>
      </c>
      <c r="N238">
        <v>4.5</v>
      </c>
      <c r="O238" t="s">
        <v>19</v>
      </c>
      <c r="P238" t="s">
        <v>20</v>
      </c>
      <c r="Q238">
        <v>20230717</v>
      </c>
    </row>
    <row r="239" spans="1:17" x14ac:dyDescent="0.25">
      <c r="A239" t="s">
        <v>548</v>
      </c>
      <c r="B239" t="s">
        <v>429</v>
      </c>
      <c r="C239">
        <v>2</v>
      </c>
      <c r="D239">
        <v>20230717</v>
      </c>
      <c r="E239">
        <v>7</v>
      </c>
      <c r="F239">
        <v>411100</v>
      </c>
      <c r="G239" t="s">
        <v>18</v>
      </c>
      <c r="H239" t="s">
        <v>73</v>
      </c>
      <c r="I239" t="s">
        <v>74</v>
      </c>
      <c r="J239">
        <v>374980</v>
      </c>
      <c r="K239">
        <v>20230717</v>
      </c>
      <c r="L239" t="s">
        <v>6628</v>
      </c>
      <c r="M239">
        <v>0</v>
      </c>
      <c r="N239">
        <v>4.5</v>
      </c>
      <c r="O239" t="s">
        <v>19</v>
      </c>
      <c r="P239" t="s">
        <v>20</v>
      </c>
      <c r="Q239">
        <v>20230717</v>
      </c>
    </row>
    <row r="240" spans="1:17" x14ac:dyDescent="0.25">
      <c r="A240" t="s">
        <v>548</v>
      </c>
      <c r="B240" t="s">
        <v>429</v>
      </c>
      <c r="C240">
        <v>2</v>
      </c>
      <c r="D240">
        <v>20230717</v>
      </c>
      <c r="E240">
        <v>7</v>
      </c>
      <c r="F240">
        <v>411100</v>
      </c>
      <c r="G240" t="s">
        <v>18</v>
      </c>
      <c r="H240" t="s">
        <v>1172</v>
      </c>
      <c r="I240" t="s">
        <v>6571</v>
      </c>
      <c r="J240">
        <v>374981</v>
      </c>
      <c r="K240">
        <v>20230717</v>
      </c>
      <c r="L240" t="s">
        <v>6627</v>
      </c>
      <c r="M240">
        <v>0</v>
      </c>
      <c r="N240">
        <v>13.5</v>
      </c>
      <c r="O240" t="s">
        <v>19</v>
      </c>
      <c r="P240" t="s">
        <v>20</v>
      </c>
      <c r="Q240">
        <v>20230717</v>
      </c>
    </row>
    <row r="241" spans="1:17" x14ac:dyDescent="0.25">
      <c r="A241" t="s">
        <v>548</v>
      </c>
      <c r="B241" t="s">
        <v>429</v>
      </c>
      <c r="C241">
        <v>2</v>
      </c>
      <c r="D241">
        <v>20230717</v>
      </c>
      <c r="E241">
        <v>7</v>
      </c>
      <c r="F241">
        <v>411100</v>
      </c>
      <c r="G241" t="s">
        <v>18</v>
      </c>
      <c r="H241" t="s">
        <v>698</v>
      </c>
      <c r="I241" t="s">
        <v>699</v>
      </c>
      <c r="J241">
        <v>374982</v>
      </c>
      <c r="K241">
        <v>20230717</v>
      </c>
      <c r="L241" t="s">
        <v>6626</v>
      </c>
      <c r="M241">
        <v>0</v>
      </c>
      <c r="N241">
        <v>4.5</v>
      </c>
      <c r="O241" t="s">
        <v>19</v>
      </c>
      <c r="P241" t="s">
        <v>20</v>
      </c>
      <c r="Q241">
        <v>20230717</v>
      </c>
    </row>
    <row r="242" spans="1:17" x14ac:dyDescent="0.25">
      <c r="A242" t="s">
        <v>548</v>
      </c>
      <c r="B242" t="s">
        <v>429</v>
      </c>
      <c r="C242">
        <v>2</v>
      </c>
      <c r="D242">
        <v>20230717</v>
      </c>
      <c r="E242">
        <v>7</v>
      </c>
      <c r="F242">
        <v>411100</v>
      </c>
      <c r="G242" t="s">
        <v>18</v>
      </c>
      <c r="H242" t="s">
        <v>1043</v>
      </c>
      <c r="I242" t="s">
        <v>1044</v>
      </c>
      <c r="J242">
        <v>374983</v>
      </c>
      <c r="K242">
        <v>20230717</v>
      </c>
      <c r="L242" t="s">
        <v>6625</v>
      </c>
      <c r="M242">
        <v>0</v>
      </c>
      <c r="N242">
        <v>4.5</v>
      </c>
      <c r="O242" t="s">
        <v>19</v>
      </c>
      <c r="P242" t="s">
        <v>20</v>
      </c>
      <c r="Q242">
        <v>20230717</v>
      </c>
    </row>
    <row r="243" spans="1:17" x14ac:dyDescent="0.25">
      <c r="A243" t="s">
        <v>548</v>
      </c>
      <c r="B243" t="s">
        <v>429</v>
      </c>
      <c r="C243">
        <v>2</v>
      </c>
      <c r="D243">
        <v>20230717</v>
      </c>
      <c r="E243">
        <v>7</v>
      </c>
      <c r="F243">
        <v>411100</v>
      </c>
      <c r="G243" t="s">
        <v>18</v>
      </c>
      <c r="H243" t="s">
        <v>81</v>
      </c>
      <c r="I243" t="s">
        <v>82</v>
      </c>
      <c r="J243">
        <v>374984</v>
      </c>
      <c r="K243">
        <v>20230717</v>
      </c>
      <c r="L243" t="s">
        <v>6624</v>
      </c>
      <c r="M243">
        <v>0</v>
      </c>
      <c r="N243">
        <v>4.5</v>
      </c>
      <c r="O243" t="s">
        <v>19</v>
      </c>
      <c r="P243" t="s">
        <v>20</v>
      </c>
      <c r="Q243">
        <v>20230717</v>
      </c>
    </row>
    <row r="244" spans="1:17" x14ac:dyDescent="0.25">
      <c r="A244" t="s">
        <v>548</v>
      </c>
      <c r="B244" t="s">
        <v>429</v>
      </c>
      <c r="C244">
        <v>2</v>
      </c>
      <c r="D244">
        <v>20230717</v>
      </c>
      <c r="E244">
        <v>7</v>
      </c>
      <c r="F244">
        <v>411100</v>
      </c>
      <c r="G244" t="s">
        <v>18</v>
      </c>
      <c r="H244" t="s">
        <v>660</v>
      </c>
      <c r="I244" t="s">
        <v>661</v>
      </c>
      <c r="J244">
        <v>374985</v>
      </c>
      <c r="K244">
        <v>20230717</v>
      </c>
      <c r="L244" t="s">
        <v>6623</v>
      </c>
      <c r="M244">
        <v>0</v>
      </c>
      <c r="N244">
        <v>4.5</v>
      </c>
      <c r="O244" t="s">
        <v>19</v>
      </c>
      <c r="P244" t="s">
        <v>20</v>
      </c>
      <c r="Q244">
        <v>20230717</v>
      </c>
    </row>
    <row r="245" spans="1:17" x14ac:dyDescent="0.25">
      <c r="A245" t="s">
        <v>548</v>
      </c>
      <c r="B245" t="s">
        <v>429</v>
      </c>
      <c r="C245">
        <v>2</v>
      </c>
      <c r="D245">
        <v>20230717</v>
      </c>
      <c r="E245">
        <v>7</v>
      </c>
      <c r="F245">
        <v>411100</v>
      </c>
      <c r="G245" t="s">
        <v>18</v>
      </c>
      <c r="H245" t="s">
        <v>6617</v>
      </c>
      <c r="I245" t="s">
        <v>6616</v>
      </c>
      <c r="J245">
        <v>374986</v>
      </c>
      <c r="K245">
        <v>20230717</v>
      </c>
      <c r="L245" t="s">
        <v>6622</v>
      </c>
      <c r="M245">
        <v>0</v>
      </c>
      <c r="N245">
        <v>2.5</v>
      </c>
      <c r="O245" t="s">
        <v>19</v>
      </c>
      <c r="P245" t="s">
        <v>20</v>
      </c>
      <c r="Q245">
        <v>20230717</v>
      </c>
    </row>
    <row r="246" spans="1:17" x14ac:dyDescent="0.25">
      <c r="A246" t="s">
        <v>548</v>
      </c>
      <c r="B246" t="s">
        <v>429</v>
      </c>
      <c r="C246">
        <v>2</v>
      </c>
      <c r="D246">
        <v>20230717</v>
      </c>
      <c r="E246">
        <v>7</v>
      </c>
      <c r="F246">
        <v>531105</v>
      </c>
      <c r="G246" t="s">
        <v>429</v>
      </c>
      <c r="H246" t="s">
        <v>401</v>
      </c>
      <c r="I246" t="s">
        <v>402</v>
      </c>
      <c r="J246">
        <v>374987</v>
      </c>
      <c r="K246">
        <v>20230717</v>
      </c>
      <c r="L246" t="s">
        <v>565</v>
      </c>
      <c r="M246">
        <v>125.58</v>
      </c>
      <c r="N246">
        <v>0</v>
      </c>
      <c r="O246" t="s">
        <v>19</v>
      </c>
      <c r="P246" t="s">
        <v>20</v>
      </c>
      <c r="Q246">
        <v>20230717</v>
      </c>
    </row>
    <row r="247" spans="1:17" x14ac:dyDescent="0.25">
      <c r="A247" t="s">
        <v>548</v>
      </c>
      <c r="B247" t="s">
        <v>429</v>
      </c>
      <c r="C247">
        <v>2</v>
      </c>
      <c r="D247">
        <v>20230718</v>
      </c>
      <c r="E247">
        <v>7</v>
      </c>
      <c r="F247">
        <v>411100</v>
      </c>
      <c r="G247" t="s">
        <v>18</v>
      </c>
      <c r="H247" t="s">
        <v>237</v>
      </c>
      <c r="I247" t="s">
        <v>238</v>
      </c>
      <c r="J247">
        <v>374988</v>
      </c>
      <c r="K247">
        <v>20230718</v>
      </c>
      <c r="L247" t="s">
        <v>6621</v>
      </c>
      <c r="M247">
        <v>0</v>
      </c>
      <c r="N247">
        <v>223.75</v>
      </c>
      <c r="O247" t="s">
        <v>19</v>
      </c>
      <c r="P247" t="s">
        <v>20</v>
      </c>
      <c r="Q247">
        <v>20230718</v>
      </c>
    </row>
    <row r="248" spans="1:17" x14ac:dyDescent="0.25">
      <c r="A248" t="s">
        <v>548</v>
      </c>
      <c r="B248" t="s">
        <v>429</v>
      </c>
      <c r="C248">
        <v>2</v>
      </c>
      <c r="D248">
        <v>20230718</v>
      </c>
      <c r="E248">
        <v>7</v>
      </c>
      <c r="F248">
        <v>411100</v>
      </c>
      <c r="G248" t="s">
        <v>18</v>
      </c>
      <c r="H248" t="s">
        <v>6320</v>
      </c>
      <c r="I248" t="s">
        <v>6319</v>
      </c>
      <c r="J248">
        <v>374989</v>
      </c>
      <c r="K248">
        <v>20230718</v>
      </c>
      <c r="L248" t="s">
        <v>6620</v>
      </c>
      <c r="M248">
        <v>0</v>
      </c>
      <c r="N248">
        <v>150</v>
      </c>
      <c r="O248" t="s">
        <v>19</v>
      </c>
      <c r="P248" t="s">
        <v>20</v>
      </c>
      <c r="Q248">
        <v>20230718</v>
      </c>
    </row>
    <row r="249" spans="1:17" x14ac:dyDescent="0.25">
      <c r="A249" t="s">
        <v>548</v>
      </c>
      <c r="B249" t="s">
        <v>429</v>
      </c>
      <c r="C249">
        <v>2</v>
      </c>
      <c r="D249">
        <v>20230718</v>
      </c>
      <c r="E249">
        <v>7</v>
      </c>
      <c r="F249">
        <v>531105</v>
      </c>
      <c r="G249" t="s">
        <v>429</v>
      </c>
      <c r="H249" t="s">
        <v>401</v>
      </c>
      <c r="I249" t="s">
        <v>402</v>
      </c>
      <c r="J249">
        <v>374990</v>
      </c>
      <c r="K249">
        <v>20230718</v>
      </c>
      <c r="L249" t="s">
        <v>565</v>
      </c>
      <c r="M249">
        <v>373.75</v>
      </c>
      <c r="N249">
        <v>0</v>
      </c>
      <c r="O249" t="s">
        <v>19</v>
      </c>
      <c r="P249" t="s">
        <v>20</v>
      </c>
      <c r="Q249">
        <v>20230718</v>
      </c>
    </row>
    <row r="250" spans="1:17" x14ac:dyDescent="0.25">
      <c r="A250" t="s">
        <v>548</v>
      </c>
      <c r="B250" t="s">
        <v>429</v>
      </c>
      <c r="C250">
        <v>2</v>
      </c>
      <c r="D250">
        <v>20230721</v>
      </c>
      <c r="E250">
        <v>7</v>
      </c>
      <c r="F250">
        <v>411000</v>
      </c>
      <c r="G250" t="s">
        <v>21</v>
      </c>
      <c r="H250" t="s">
        <v>3210</v>
      </c>
      <c r="I250" t="s">
        <v>3211</v>
      </c>
      <c r="J250">
        <v>123090010</v>
      </c>
      <c r="K250">
        <v>20230721</v>
      </c>
      <c r="L250" t="s">
        <v>6619</v>
      </c>
      <c r="M250">
        <v>0</v>
      </c>
      <c r="N250">
        <v>23</v>
      </c>
      <c r="O250" t="s">
        <v>19</v>
      </c>
      <c r="P250" t="s">
        <v>20</v>
      </c>
      <c r="Q250">
        <v>20230721</v>
      </c>
    </row>
    <row r="251" spans="1:17" x14ac:dyDescent="0.25">
      <c r="A251" t="s">
        <v>548</v>
      </c>
      <c r="B251" t="s">
        <v>429</v>
      </c>
      <c r="C251">
        <v>2</v>
      </c>
      <c r="D251">
        <v>20230721</v>
      </c>
      <c r="E251">
        <v>7</v>
      </c>
      <c r="F251">
        <v>411000</v>
      </c>
      <c r="G251" t="s">
        <v>21</v>
      </c>
      <c r="H251" t="s">
        <v>3210</v>
      </c>
      <c r="I251" t="s">
        <v>3211</v>
      </c>
      <c r="J251">
        <v>123090010</v>
      </c>
      <c r="K251">
        <v>20230721</v>
      </c>
      <c r="L251" t="s">
        <v>6618</v>
      </c>
      <c r="M251">
        <v>0</v>
      </c>
      <c r="N251">
        <v>12</v>
      </c>
      <c r="O251" t="s">
        <v>19</v>
      </c>
      <c r="P251" t="s">
        <v>20</v>
      </c>
      <c r="Q251">
        <v>20230721</v>
      </c>
    </row>
    <row r="252" spans="1:17" x14ac:dyDescent="0.25">
      <c r="A252" t="s">
        <v>548</v>
      </c>
      <c r="B252" t="s">
        <v>429</v>
      </c>
      <c r="C252">
        <v>2</v>
      </c>
      <c r="D252">
        <v>20230721</v>
      </c>
      <c r="E252">
        <v>7</v>
      </c>
      <c r="F252">
        <v>531105</v>
      </c>
      <c r="G252" t="s">
        <v>429</v>
      </c>
      <c r="H252" t="s">
        <v>401</v>
      </c>
      <c r="I252" t="s">
        <v>402</v>
      </c>
      <c r="J252">
        <v>374993</v>
      </c>
      <c r="K252">
        <v>20230721</v>
      </c>
      <c r="L252" t="s">
        <v>565</v>
      </c>
      <c r="M252">
        <v>35</v>
      </c>
      <c r="N252">
        <v>0</v>
      </c>
      <c r="O252" t="s">
        <v>19</v>
      </c>
      <c r="P252" t="s">
        <v>20</v>
      </c>
      <c r="Q252">
        <v>20230721</v>
      </c>
    </row>
    <row r="253" spans="1:17" x14ac:dyDescent="0.25">
      <c r="A253" t="s">
        <v>548</v>
      </c>
      <c r="B253" t="s">
        <v>429</v>
      </c>
      <c r="C253">
        <v>2</v>
      </c>
      <c r="D253">
        <v>20230724</v>
      </c>
      <c r="E253">
        <v>7</v>
      </c>
      <c r="F253">
        <v>411100</v>
      </c>
      <c r="G253" t="s">
        <v>18</v>
      </c>
      <c r="H253" t="s">
        <v>6617</v>
      </c>
      <c r="I253" t="s">
        <v>6616</v>
      </c>
      <c r="J253">
        <v>374994</v>
      </c>
      <c r="K253">
        <v>20230724</v>
      </c>
      <c r="L253" t="s">
        <v>6615</v>
      </c>
      <c r="M253">
        <v>0</v>
      </c>
      <c r="N253">
        <v>7</v>
      </c>
      <c r="O253" t="s">
        <v>19</v>
      </c>
      <c r="P253" t="s">
        <v>20</v>
      </c>
      <c r="Q253">
        <v>20230724</v>
      </c>
    </row>
    <row r="254" spans="1:17" x14ac:dyDescent="0.25">
      <c r="A254" t="s">
        <v>548</v>
      </c>
      <c r="B254" t="s">
        <v>429</v>
      </c>
      <c r="C254">
        <v>2</v>
      </c>
      <c r="D254">
        <v>20230724</v>
      </c>
      <c r="E254">
        <v>7</v>
      </c>
      <c r="F254">
        <v>411100</v>
      </c>
      <c r="G254" t="s">
        <v>18</v>
      </c>
      <c r="H254" t="s">
        <v>105</v>
      </c>
      <c r="I254" t="s">
        <v>106</v>
      </c>
      <c r="J254">
        <v>374995</v>
      </c>
      <c r="K254">
        <v>20230724</v>
      </c>
      <c r="L254" t="s">
        <v>6614</v>
      </c>
      <c r="M254">
        <v>0</v>
      </c>
      <c r="N254">
        <v>7</v>
      </c>
      <c r="O254" t="s">
        <v>19</v>
      </c>
      <c r="P254" t="s">
        <v>20</v>
      </c>
      <c r="Q254">
        <v>20230724</v>
      </c>
    </row>
    <row r="255" spans="1:17" x14ac:dyDescent="0.25">
      <c r="A255" t="s">
        <v>548</v>
      </c>
      <c r="B255" t="s">
        <v>429</v>
      </c>
      <c r="C255">
        <v>2</v>
      </c>
      <c r="D255">
        <v>20230724</v>
      </c>
      <c r="E255">
        <v>7</v>
      </c>
      <c r="F255">
        <v>411100</v>
      </c>
      <c r="G255" t="s">
        <v>18</v>
      </c>
      <c r="H255" t="s">
        <v>105</v>
      </c>
      <c r="I255" t="s">
        <v>106</v>
      </c>
      <c r="J255">
        <v>374996</v>
      </c>
      <c r="K255">
        <v>20230724</v>
      </c>
      <c r="L255" t="s">
        <v>6613</v>
      </c>
      <c r="M255">
        <v>0</v>
      </c>
      <c r="N255">
        <v>7</v>
      </c>
      <c r="O255" t="s">
        <v>19</v>
      </c>
      <c r="P255" t="s">
        <v>20</v>
      </c>
      <c r="Q255">
        <v>20230724</v>
      </c>
    </row>
    <row r="256" spans="1:17" x14ac:dyDescent="0.25">
      <c r="A256" t="s">
        <v>548</v>
      </c>
      <c r="B256" t="s">
        <v>429</v>
      </c>
      <c r="C256">
        <v>2</v>
      </c>
      <c r="D256">
        <v>20230724</v>
      </c>
      <c r="E256">
        <v>7</v>
      </c>
      <c r="F256">
        <v>411100</v>
      </c>
      <c r="G256" t="s">
        <v>18</v>
      </c>
      <c r="H256" t="s">
        <v>73</v>
      </c>
      <c r="I256" t="s">
        <v>74</v>
      </c>
      <c r="J256">
        <v>374997</v>
      </c>
      <c r="K256">
        <v>20230724</v>
      </c>
      <c r="L256" t="s">
        <v>6612</v>
      </c>
      <c r="M256">
        <v>0</v>
      </c>
      <c r="N256">
        <v>7</v>
      </c>
      <c r="O256" t="s">
        <v>19</v>
      </c>
      <c r="P256" t="s">
        <v>20</v>
      </c>
      <c r="Q256">
        <v>20230724</v>
      </c>
    </row>
    <row r="257" spans="1:17" x14ac:dyDescent="0.25">
      <c r="A257" t="s">
        <v>548</v>
      </c>
      <c r="B257" t="s">
        <v>429</v>
      </c>
      <c r="C257">
        <v>2</v>
      </c>
      <c r="D257">
        <v>20230724</v>
      </c>
      <c r="E257">
        <v>7</v>
      </c>
      <c r="F257">
        <v>411100</v>
      </c>
      <c r="G257" t="s">
        <v>18</v>
      </c>
      <c r="H257" t="s">
        <v>1172</v>
      </c>
      <c r="I257" t="s">
        <v>6571</v>
      </c>
      <c r="J257">
        <v>374998</v>
      </c>
      <c r="K257">
        <v>20230724</v>
      </c>
      <c r="L257" t="s">
        <v>6611</v>
      </c>
      <c r="M257">
        <v>0</v>
      </c>
      <c r="N257">
        <v>7</v>
      </c>
      <c r="O257" t="s">
        <v>19</v>
      </c>
      <c r="P257" t="s">
        <v>20</v>
      </c>
      <c r="Q257">
        <v>20230724</v>
      </c>
    </row>
    <row r="258" spans="1:17" x14ac:dyDescent="0.25">
      <c r="A258" t="s">
        <v>548</v>
      </c>
      <c r="B258" t="s">
        <v>429</v>
      </c>
      <c r="C258">
        <v>2</v>
      </c>
      <c r="D258">
        <v>20230724</v>
      </c>
      <c r="E258">
        <v>7</v>
      </c>
      <c r="F258">
        <v>411100</v>
      </c>
      <c r="G258" t="s">
        <v>18</v>
      </c>
      <c r="H258" t="s">
        <v>698</v>
      </c>
      <c r="I258" t="s">
        <v>699</v>
      </c>
      <c r="J258">
        <v>374999</v>
      </c>
      <c r="K258">
        <v>20230724</v>
      </c>
      <c r="L258" t="s">
        <v>6610</v>
      </c>
      <c r="M258">
        <v>0</v>
      </c>
      <c r="N258">
        <v>7</v>
      </c>
      <c r="O258" t="s">
        <v>19</v>
      </c>
      <c r="P258" t="s">
        <v>20</v>
      </c>
      <c r="Q258">
        <v>20230724</v>
      </c>
    </row>
    <row r="259" spans="1:17" x14ac:dyDescent="0.25">
      <c r="A259" t="s">
        <v>548</v>
      </c>
      <c r="B259" t="s">
        <v>429</v>
      </c>
      <c r="C259">
        <v>2</v>
      </c>
      <c r="D259">
        <v>20230724</v>
      </c>
      <c r="E259">
        <v>7</v>
      </c>
      <c r="F259">
        <v>411100</v>
      </c>
      <c r="G259" t="s">
        <v>18</v>
      </c>
      <c r="H259" t="s">
        <v>1417</v>
      </c>
      <c r="I259" t="s">
        <v>1418</v>
      </c>
      <c r="J259">
        <v>124060003</v>
      </c>
      <c r="K259">
        <v>20230724</v>
      </c>
      <c r="L259" t="s">
        <v>6609</v>
      </c>
      <c r="M259">
        <v>0</v>
      </c>
      <c r="N259">
        <v>20</v>
      </c>
      <c r="O259" t="s">
        <v>19</v>
      </c>
      <c r="P259" t="s">
        <v>20</v>
      </c>
      <c r="Q259">
        <v>20230724</v>
      </c>
    </row>
    <row r="260" spans="1:17" x14ac:dyDescent="0.25">
      <c r="A260" t="s">
        <v>548</v>
      </c>
      <c r="B260" t="s">
        <v>429</v>
      </c>
      <c r="C260">
        <v>2</v>
      </c>
      <c r="D260">
        <v>20230724</v>
      </c>
      <c r="E260">
        <v>7</v>
      </c>
      <c r="F260">
        <v>411100</v>
      </c>
      <c r="G260" t="s">
        <v>18</v>
      </c>
      <c r="H260" t="s">
        <v>154</v>
      </c>
      <c r="I260" t="s">
        <v>155</v>
      </c>
      <c r="J260">
        <v>375001</v>
      </c>
      <c r="K260">
        <v>20230724</v>
      </c>
      <c r="L260" t="s">
        <v>6608</v>
      </c>
      <c r="M260">
        <v>0</v>
      </c>
      <c r="N260">
        <v>3</v>
      </c>
      <c r="O260" t="s">
        <v>19</v>
      </c>
      <c r="P260" t="s">
        <v>20</v>
      </c>
      <c r="Q260">
        <v>20230724</v>
      </c>
    </row>
    <row r="261" spans="1:17" x14ac:dyDescent="0.25">
      <c r="A261" t="s">
        <v>548</v>
      </c>
      <c r="B261" t="s">
        <v>429</v>
      </c>
      <c r="C261">
        <v>2</v>
      </c>
      <c r="D261">
        <v>20230724</v>
      </c>
      <c r="E261">
        <v>7</v>
      </c>
      <c r="F261">
        <v>411100</v>
      </c>
      <c r="G261" t="s">
        <v>18</v>
      </c>
      <c r="H261" t="s">
        <v>2734</v>
      </c>
      <c r="I261" t="s">
        <v>2735</v>
      </c>
      <c r="J261">
        <v>375002</v>
      </c>
      <c r="K261">
        <v>20230724</v>
      </c>
      <c r="L261" t="s">
        <v>6607</v>
      </c>
      <c r="M261">
        <v>0</v>
      </c>
      <c r="N261">
        <v>3</v>
      </c>
      <c r="O261" t="s">
        <v>19</v>
      </c>
      <c r="P261" t="s">
        <v>20</v>
      </c>
      <c r="Q261">
        <v>20230724</v>
      </c>
    </row>
    <row r="262" spans="1:17" x14ac:dyDescent="0.25">
      <c r="A262" t="s">
        <v>548</v>
      </c>
      <c r="B262" t="s">
        <v>429</v>
      </c>
      <c r="C262">
        <v>2</v>
      </c>
      <c r="D262">
        <v>20230724</v>
      </c>
      <c r="E262">
        <v>7</v>
      </c>
      <c r="F262">
        <v>411100</v>
      </c>
      <c r="G262" t="s">
        <v>18</v>
      </c>
      <c r="H262" t="s">
        <v>237</v>
      </c>
      <c r="I262" t="s">
        <v>238</v>
      </c>
      <c r="J262">
        <v>375003</v>
      </c>
      <c r="K262">
        <v>20230724</v>
      </c>
      <c r="L262" t="s">
        <v>6606</v>
      </c>
      <c r="M262">
        <v>0</v>
      </c>
      <c r="N262">
        <v>3</v>
      </c>
      <c r="O262" t="s">
        <v>19</v>
      </c>
      <c r="P262" t="s">
        <v>20</v>
      </c>
      <c r="Q262">
        <v>20230724</v>
      </c>
    </row>
    <row r="263" spans="1:17" x14ac:dyDescent="0.25">
      <c r="A263" t="s">
        <v>548</v>
      </c>
      <c r="B263" t="s">
        <v>429</v>
      </c>
      <c r="C263">
        <v>2</v>
      </c>
      <c r="D263">
        <v>20230724</v>
      </c>
      <c r="E263">
        <v>7</v>
      </c>
      <c r="F263">
        <v>411100</v>
      </c>
      <c r="G263" t="s">
        <v>18</v>
      </c>
      <c r="H263" t="s">
        <v>3001</v>
      </c>
      <c r="I263" t="s">
        <v>3002</v>
      </c>
      <c r="J263">
        <v>375004</v>
      </c>
      <c r="K263">
        <v>20230724</v>
      </c>
      <c r="L263" t="s">
        <v>6605</v>
      </c>
      <c r="M263">
        <v>0</v>
      </c>
      <c r="N263">
        <v>3</v>
      </c>
      <c r="O263" t="s">
        <v>19</v>
      </c>
      <c r="P263" t="s">
        <v>20</v>
      </c>
      <c r="Q263">
        <v>20230724</v>
      </c>
    </row>
    <row r="264" spans="1:17" x14ac:dyDescent="0.25">
      <c r="A264" t="s">
        <v>548</v>
      </c>
      <c r="B264" t="s">
        <v>429</v>
      </c>
      <c r="C264">
        <v>2</v>
      </c>
      <c r="D264">
        <v>20230724</v>
      </c>
      <c r="E264">
        <v>7</v>
      </c>
      <c r="F264">
        <v>411100</v>
      </c>
      <c r="G264" t="s">
        <v>18</v>
      </c>
      <c r="H264" t="s">
        <v>1172</v>
      </c>
      <c r="I264" t="s">
        <v>6571</v>
      </c>
      <c r="J264">
        <v>375005</v>
      </c>
      <c r="K264">
        <v>20230724</v>
      </c>
      <c r="L264" t="s">
        <v>6604</v>
      </c>
      <c r="M264">
        <v>0</v>
      </c>
      <c r="N264">
        <v>3</v>
      </c>
      <c r="O264" t="s">
        <v>19</v>
      </c>
      <c r="P264" t="s">
        <v>20</v>
      </c>
      <c r="Q264">
        <v>20230724</v>
      </c>
    </row>
    <row r="265" spans="1:17" x14ac:dyDescent="0.25">
      <c r="A265" t="s">
        <v>548</v>
      </c>
      <c r="B265" t="s">
        <v>429</v>
      </c>
      <c r="C265">
        <v>2</v>
      </c>
      <c r="D265">
        <v>20230724</v>
      </c>
      <c r="E265">
        <v>7</v>
      </c>
      <c r="F265">
        <v>411100</v>
      </c>
      <c r="G265" t="s">
        <v>18</v>
      </c>
      <c r="H265" t="s">
        <v>1911</v>
      </c>
      <c r="I265" t="s">
        <v>1912</v>
      </c>
      <c r="J265">
        <v>375006</v>
      </c>
      <c r="K265">
        <v>20230724</v>
      </c>
      <c r="L265" t="s">
        <v>6603</v>
      </c>
      <c r="M265">
        <v>0</v>
      </c>
      <c r="N265">
        <v>0.5</v>
      </c>
      <c r="O265" t="s">
        <v>19</v>
      </c>
      <c r="P265" t="s">
        <v>20</v>
      </c>
      <c r="Q265">
        <v>20230724</v>
      </c>
    </row>
    <row r="266" spans="1:17" x14ac:dyDescent="0.25">
      <c r="A266" t="s">
        <v>548</v>
      </c>
      <c r="B266" t="s">
        <v>429</v>
      </c>
      <c r="C266">
        <v>2</v>
      </c>
      <c r="D266">
        <v>20230724</v>
      </c>
      <c r="E266">
        <v>7</v>
      </c>
      <c r="F266">
        <v>411100</v>
      </c>
      <c r="G266" t="s">
        <v>18</v>
      </c>
      <c r="H266" t="s">
        <v>1911</v>
      </c>
      <c r="I266" t="s">
        <v>1912</v>
      </c>
      <c r="J266">
        <v>375007</v>
      </c>
      <c r="K266">
        <v>20230724</v>
      </c>
      <c r="L266" t="s">
        <v>6602</v>
      </c>
      <c r="M266">
        <v>0</v>
      </c>
      <c r="N266">
        <v>2.5</v>
      </c>
      <c r="O266" t="s">
        <v>19</v>
      </c>
      <c r="P266" t="s">
        <v>20</v>
      </c>
      <c r="Q266">
        <v>20230724</v>
      </c>
    </row>
    <row r="267" spans="1:17" x14ac:dyDescent="0.25">
      <c r="A267" t="s">
        <v>548</v>
      </c>
      <c r="B267" t="s">
        <v>429</v>
      </c>
      <c r="C267">
        <v>2</v>
      </c>
      <c r="D267">
        <v>20230724</v>
      </c>
      <c r="E267">
        <v>7</v>
      </c>
      <c r="F267">
        <v>411100</v>
      </c>
      <c r="G267" t="s">
        <v>18</v>
      </c>
      <c r="H267" t="s">
        <v>1911</v>
      </c>
      <c r="I267" t="s">
        <v>1912</v>
      </c>
      <c r="J267">
        <v>375008</v>
      </c>
      <c r="K267">
        <v>20230724</v>
      </c>
      <c r="L267" t="s">
        <v>6601</v>
      </c>
      <c r="M267">
        <v>0</v>
      </c>
      <c r="N267">
        <v>3</v>
      </c>
      <c r="O267" t="s">
        <v>19</v>
      </c>
      <c r="P267" t="s">
        <v>20</v>
      </c>
      <c r="Q267">
        <v>20230724</v>
      </c>
    </row>
    <row r="268" spans="1:17" x14ac:dyDescent="0.25">
      <c r="A268" t="s">
        <v>548</v>
      </c>
      <c r="B268" t="s">
        <v>429</v>
      </c>
      <c r="C268">
        <v>2</v>
      </c>
      <c r="D268">
        <v>20230724</v>
      </c>
      <c r="E268">
        <v>7</v>
      </c>
      <c r="F268">
        <v>411100</v>
      </c>
      <c r="G268" t="s">
        <v>18</v>
      </c>
      <c r="H268" t="s">
        <v>1911</v>
      </c>
      <c r="I268" t="s">
        <v>1912</v>
      </c>
      <c r="J268">
        <v>375009</v>
      </c>
      <c r="K268">
        <v>20230724</v>
      </c>
      <c r="L268" t="s">
        <v>6600</v>
      </c>
      <c r="M268">
        <v>0</v>
      </c>
      <c r="N268">
        <v>3</v>
      </c>
      <c r="O268" t="s">
        <v>19</v>
      </c>
      <c r="P268" t="s">
        <v>20</v>
      </c>
      <c r="Q268">
        <v>20230724</v>
      </c>
    </row>
    <row r="269" spans="1:17" x14ac:dyDescent="0.25">
      <c r="A269" t="s">
        <v>548</v>
      </c>
      <c r="B269" t="s">
        <v>429</v>
      </c>
      <c r="C269">
        <v>2</v>
      </c>
      <c r="D269">
        <v>20230724</v>
      </c>
      <c r="E269">
        <v>7</v>
      </c>
      <c r="F269">
        <v>411100</v>
      </c>
      <c r="G269" t="s">
        <v>18</v>
      </c>
      <c r="H269" t="s">
        <v>85</v>
      </c>
      <c r="I269" t="s">
        <v>86</v>
      </c>
      <c r="J269">
        <v>375010</v>
      </c>
      <c r="K269">
        <v>20230724</v>
      </c>
      <c r="L269" t="s">
        <v>6599</v>
      </c>
      <c r="M269">
        <v>0</v>
      </c>
      <c r="N269">
        <v>3</v>
      </c>
      <c r="O269" t="s">
        <v>19</v>
      </c>
      <c r="P269" t="s">
        <v>20</v>
      </c>
      <c r="Q269">
        <v>20230724</v>
      </c>
    </row>
    <row r="270" spans="1:17" x14ac:dyDescent="0.25">
      <c r="A270" t="s">
        <v>548</v>
      </c>
      <c r="B270" t="s">
        <v>429</v>
      </c>
      <c r="C270">
        <v>2</v>
      </c>
      <c r="D270">
        <v>20230724</v>
      </c>
      <c r="E270">
        <v>7</v>
      </c>
      <c r="F270">
        <v>411100</v>
      </c>
      <c r="G270" t="s">
        <v>18</v>
      </c>
      <c r="H270" t="s">
        <v>24</v>
      </c>
      <c r="I270" t="s">
        <v>25</v>
      </c>
      <c r="J270">
        <v>375011</v>
      </c>
      <c r="K270">
        <v>20230724</v>
      </c>
      <c r="L270" t="s">
        <v>6598</v>
      </c>
      <c r="M270">
        <v>0</v>
      </c>
      <c r="N270">
        <v>11.05</v>
      </c>
      <c r="O270" t="s">
        <v>19</v>
      </c>
      <c r="P270" t="s">
        <v>20</v>
      </c>
      <c r="Q270">
        <v>20230724</v>
      </c>
    </row>
    <row r="271" spans="1:17" x14ac:dyDescent="0.25">
      <c r="A271" t="s">
        <v>548</v>
      </c>
      <c r="B271" t="s">
        <v>429</v>
      </c>
      <c r="C271">
        <v>2</v>
      </c>
      <c r="D271">
        <v>20230724</v>
      </c>
      <c r="E271">
        <v>7</v>
      </c>
      <c r="F271">
        <v>531105</v>
      </c>
      <c r="G271" t="s">
        <v>429</v>
      </c>
      <c r="H271" t="s">
        <v>401</v>
      </c>
      <c r="I271" t="s">
        <v>402</v>
      </c>
      <c r="J271">
        <v>375012</v>
      </c>
      <c r="K271">
        <v>20230724</v>
      </c>
      <c r="L271" t="s">
        <v>565</v>
      </c>
      <c r="M271">
        <v>100.05</v>
      </c>
      <c r="N271">
        <v>0</v>
      </c>
      <c r="O271" t="s">
        <v>19</v>
      </c>
      <c r="P271" t="s">
        <v>20</v>
      </c>
      <c r="Q271">
        <v>20230724</v>
      </c>
    </row>
    <row r="272" spans="1:17" x14ac:dyDescent="0.25">
      <c r="A272" t="s">
        <v>548</v>
      </c>
      <c r="B272" t="s">
        <v>429</v>
      </c>
      <c r="C272">
        <v>2</v>
      </c>
      <c r="D272">
        <v>20230725</v>
      </c>
      <c r="E272">
        <v>7</v>
      </c>
      <c r="F272">
        <v>411100</v>
      </c>
      <c r="G272" t="s">
        <v>18</v>
      </c>
      <c r="H272" t="s">
        <v>2602</v>
      </c>
      <c r="I272" t="s">
        <v>2603</v>
      </c>
      <c r="J272">
        <v>375013</v>
      </c>
      <c r="K272">
        <v>20230725</v>
      </c>
      <c r="L272" t="s">
        <v>6597</v>
      </c>
      <c r="M272">
        <v>0</v>
      </c>
      <c r="N272">
        <v>78.75</v>
      </c>
      <c r="O272" t="s">
        <v>19</v>
      </c>
      <c r="P272" t="s">
        <v>20</v>
      </c>
      <c r="Q272">
        <v>20230725</v>
      </c>
    </row>
    <row r="273" spans="1:17" x14ac:dyDescent="0.25">
      <c r="A273" t="s">
        <v>548</v>
      </c>
      <c r="B273" t="s">
        <v>429</v>
      </c>
      <c r="C273">
        <v>2</v>
      </c>
      <c r="D273">
        <v>20230725</v>
      </c>
      <c r="E273">
        <v>7</v>
      </c>
      <c r="F273">
        <v>531105</v>
      </c>
      <c r="G273" t="s">
        <v>429</v>
      </c>
      <c r="H273" t="s">
        <v>401</v>
      </c>
      <c r="I273" t="s">
        <v>402</v>
      </c>
      <c r="J273">
        <v>375014</v>
      </c>
      <c r="K273">
        <v>20230725</v>
      </c>
      <c r="L273" t="s">
        <v>565</v>
      </c>
      <c r="M273">
        <v>78.75</v>
      </c>
      <c r="N273">
        <v>0</v>
      </c>
      <c r="O273" t="s">
        <v>19</v>
      </c>
      <c r="P273" t="s">
        <v>20</v>
      </c>
      <c r="Q273">
        <v>20230725</v>
      </c>
    </row>
    <row r="274" spans="1:17" x14ac:dyDescent="0.25">
      <c r="A274" t="s">
        <v>548</v>
      </c>
      <c r="B274" t="s">
        <v>429</v>
      </c>
      <c r="C274">
        <v>2</v>
      </c>
      <c r="D274">
        <v>20230726</v>
      </c>
      <c r="E274">
        <v>7</v>
      </c>
      <c r="F274">
        <v>411020</v>
      </c>
      <c r="G274" t="s">
        <v>30</v>
      </c>
      <c r="H274" t="s">
        <v>285</v>
      </c>
      <c r="I274" t="s">
        <v>286</v>
      </c>
      <c r="J274">
        <v>375015</v>
      </c>
      <c r="K274">
        <v>20230726</v>
      </c>
      <c r="L274" t="s">
        <v>6596</v>
      </c>
      <c r="M274">
        <v>0</v>
      </c>
      <c r="N274">
        <v>65</v>
      </c>
      <c r="O274" t="s">
        <v>19</v>
      </c>
      <c r="P274" t="s">
        <v>20</v>
      </c>
      <c r="Q274">
        <v>20230726</v>
      </c>
    </row>
    <row r="275" spans="1:17" x14ac:dyDescent="0.25">
      <c r="A275" t="s">
        <v>548</v>
      </c>
      <c r="B275" t="s">
        <v>429</v>
      </c>
      <c r="C275">
        <v>2</v>
      </c>
      <c r="D275">
        <v>20230726</v>
      </c>
      <c r="E275">
        <v>7</v>
      </c>
      <c r="F275">
        <v>531105</v>
      </c>
      <c r="G275" t="s">
        <v>429</v>
      </c>
      <c r="H275" t="s">
        <v>401</v>
      </c>
      <c r="I275" t="s">
        <v>402</v>
      </c>
      <c r="J275">
        <v>375016</v>
      </c>
      <c r="K275">
        <v>20230726</v>
      </c>
      <c r="L275" t="s">
        <v>565</v>
      </c>
      <c r="M275">
        <v>65</v>
      </c>
      <c r="N275">
        <v>0</v>
      </c>
      <c r="O275" t="s">
        <v>19</v>
      </c>
      <c r="P275" t="s">
        <v>20</v>
      </c>
      <c r="Q275">
        <v>20230726</v>
      </c>
    </row>
    <row r="276" spans="1:17" x14ac:dyDescent="0.25">
      <c r="A276" t="s">
        <v>548</v>
      </c>
      <c r="B276" t="s">
        <v>429</v>
      </c>
      <c r="C276">
        <v>2</v>
      </c>
      <c r="D276">
        <v>20230727</v>
      </c>
      <c r="E276">
        <v>7</v>
      </c>
      <c r="F276">
        <v>411100</v>
      </c>
      <c r="G276" t="s">
        <v>18</v>
      </c>
      <c r="H276" t="s">
        <v>352</v>
      </c>
      <c r="I276" t="s">
        <v>353</v>
      </c>
      <c r="J276">
        <v>375017</v>
      </c>
      <c r="K276">
        <v>20230727</v>
      </c>
      <c r="L276" t="s">
        <v>6595</v>
      </c>
      <c r="M276">
        <v>0</v>
      </c>
      <c r="N276">
        <v>19.04</v>
      </c>
      <c r="O276" t="s">
        <v>19</v>
      </c>
      <c r="P276" t="s">
        <v>20</v>
      </c>
      <c r="Q276">
        <v>20230727</v>
      </c>
    </row>
    <row r="277" spans="1:17" x14ac:dyDescent="0.25">
      <c r="A277" t="s">
        <v>548</v>
      </c>
      <c r="B277" t="s">
        <v>429</v>
      </c>
      <c r="C277">
        <v>2</v>
      </c>
      <c r="D277">
        <v>20230727</v>
      </c>
      <c r="E277">
        <v>7</v>
      </c>
      <c r="F277">
        <v>411100</v>
      </c>
      <c r="G277" t="s">
        <v>18</v>
      </c>
      <c r="H277" t="s">
        <v>237</v>
      </c>
      <c r="I277" t="s">
        <v>238</v>
      </c>
      <c r="J277">
        <v>375018</v>
      </c>
      <c r="K277">
        <v>20230727</v>
      </c>
      <c r="L277" t="s">
        <v>6594</v>
      </c>
      <c r="M277">
        <v>0</v>
      </c>
      <c r="N277">
        <v>2.5</v>
      </c>
      <c r="O277" t="s">
        <v>19</v>
      </c>
      <c r="P277" t="s">
        <v>20</v>
      </c>
      <c r="Q277">
        <v>20230727</v>
      </c>
    </row>
    <row r="278" spans="1:17" x14ac:dyDescent="0.25">
      <c r="A278" t="s">
        <v>548</v>
      </c>
      <c r="B278" t="s">
        <v>429</v>
      </c>
      <c r="C278">
        <v>2</v>
      </c>
      <c r="D278">
        <v>20230727</v>
      </c>
      <c r="E278">
        <v>7</v>
      </c>
      <c r="F278">
        <v>411100</v>
      </c>
      <c r="G278" t="s">
        <v>18</v>
      </c>
      <c r="H278" t="s">
        <v>1911</v>
      </c>
      <c r="I278" t="s">
        <v>1912</v>
      </c>
      <c r="J278">
        <v>375019</v>
      </c>
      <c r="K278">
        <v>20230727</v>
      </c>
      <c r="L278" t="s">
        <v>6593</v>
      </c>
      <c r="M278">
        <v>0</v>
      </c>
      <c r="N278">
        <v>2.5</v>
      </c>
      <c r="O278" t="s">
        <v>19</v>
      </c>
      <c r="P278" t="s">
        <v>20</v>
      </c>
      <c r="Q278">
        <v>20230727</v>
      </c>
    </row>
    <row r="279" spans="1:17" x14ac:dyDescent="0.25">
      <c r="A279" t="s">
        <v>548</v>
      </c>
      <c r="B279" t="s">
        <v>429</v>
      </c>
      <c r="C279">
        <v>2</v>
      </c>
      <c r="D279">
        <v>20230727</v>
      </c>
      <c r="E279">
        <v>7</v>
      </c>
      <c r="F279">
        <v>411100</v>
      </c>
      <c r="G279" t="s">
        <v>18</v>
      </c>
      <c r="H279" t="s">
        <v>1911</v>
      </c>
      <c r="I279" t="s">
        <v>1912</v>
      </c>
      <c r="J279">
        <v>375020</v>
      </c>
      <c r="K279">
        <v>20230727</v>
      </c>
      <c r="L279" t="s">
        <v>6592</v>
      </c>
      <c r="M279">
        <v>0</v>
      </c>
      <c r="N279">
        <v>5</v>
      </c>
      <c r="O279" t="s">
        <v>19</v>
      </c>
      <c r="P279" t="s">
        <v>20</v>
      </c>
      <c r="Q279">
        <v>20230727</v>
      </c>
    </row>
    <row r="280" spans="1:17" x14ac:dyDescent="0.25">
      <c r="A280" t="s">
        <v>548</v>
      </c>
      <c r="B280" t="s">
        <v>429</v>
      </c>
      <c r="C280">
        <v>2</v>
      </c>
      <c r="D280">
        <v>20230727</v>
      </c>
      <c r="E280">
        <v>7</v>
      </c>
      <c r="F280">
        <v>411100</v>
      </c>
      <c r="G280" t="s">
        <v>18</v>
      </c>
      <c r="H280" t="s">
        <v>73</v>
      </c>
      <c r="I280" t="s">
        <v>74</v>
      </c>
      <c r="J280">
        <v>375021</v>
      </c>
      <c r="K280">
        <v>20230727</v>
      </c>
      <c r="L280" t="s">
        <v>6591</v>
      </c>
      <c r="M280">
        <v>0</v>
      </c>
      <c r="N280">
        <v>2.5</v>
      </c>
      <c r="O280" t="s">
        <v>19</v>
      </c>
      <c r="P280" t="s">
        <v>20</v>
      </c>
      <c r="Q280">
        <v>20230727</v>
      </c>
    </row>
    <row r="281" spans="1:17" x14ac:dyDescent="0.25">
      <c r="A281" t="s">
        <v>548</v>
      </c>
      <c r="B281" t="s">
        <v>429</v>
      </c>
      <c r="C281">
        <v>2</v>
      </c>
      <c r="D281">
        <v>20230727</v>
      </c>
      <c r="E281">
        <v>7</v>
      </c>
      <c r="F281">
        <v>411100</v>
      </c>
      <c r="G281" t="s">
        <v>18</v>
      </c>
      <c r="H281" t="s">
        <v>73</v>
      </c>
      <c r="I281" t="s">
        <v>74</v>
      </c>
      <c r="J281">
        <v>375022</v>
      </c>
      <c r="K281">
        <v>20230727</v>
      </c>
      <c r="L281" t="s">
        <v>6590</v>
      </c>
      <c r="M281">
        <v>0</v>
      </c>
      <c r="N281">
        <v>2.5</v>
      </c>
      <c r="O281" t="s">
        <v>19</v>
      </c>
      <c r="P281" t="s">
        <v>20</v>
      </c>
      <c r="Q281">
        <v>20230727</v>
      </c>
    </row>
    <row r="282" spans="1:17" x14ac:dyDescent="0.25">
      <c r="A282" t="s">
        <v>548</v>
      </c>
      <c r="B282" t="s">
        <v>429</v>
      </c>
      <c r="C282">
        <v>2</v>
      </c>
      <c r="D282">
        <v>20230727</v>
      </c>
      <c r="E282">
        <v>7</v>
      </c>
      <c r="F282">
        <v>411100</v>
      </c>
      <c r="G282" t="s">
        <v>18</v>
      </c>
      <c r="H282" t="s">
        <v>1172</v>
      </c>
      <c r="I282" t="s">
        <v>6571</v>
      </c>
      <c r="J282">
        <v>375023</v>
      </c>
      <c r="K282">
        <v>20230727</v>
      </c>
      <c r="L282" t="s">
        <v>6589</v>
      </c>
      <c r="M282">
        <v>0</v>
      </c>
      <c r="N282">
        <v>2.5</v>
      </c>
      <c r="O282" t="s">
        <v>19</v>
      </c>
      <c r="P282" t="s">
        <v>20</v>
      </c>
      <c r="Q282">
        <v>20230727</v>
      </c>
    </row>
    <row r="283" spans="1:17" x14ac:dyDescent="0.25">
      <c r="A283" t="s">
        <v>548</v>
      </c>
      <c r="B283" t="s">
        <v>429</v>
      </c>
      <c r="C283">
        <v>2</v>
      </c>
      <c r="D283">
        <v>20230727</v>
      </c>
      <c r="E283">
        <v>7</v>
      </c>
      <c r="F283">
        <v>411100</v>
      </c>
      <c r="G283" t="s">
        <v>18</v>
      </c>
      <c r="H283" t="s">
        <v>1172</v>
      </c>
      <c r="I283" t="s">
        <v>6571</v>
      </c>
      <c r="J283">
        <v>375024</v>
      </c>
      <c r="K283">
        <v>20230727</v>
      </c>
      <c r="L283" t="s">
        <v>6588</v>
      </c>
      <c r="M283">
        <v>0</v>
      </c>
      <c r="N283">
        <v>2.5</v>
      </c>
      <c r="O283" t="s">
        <v>19</v>
      </c>
      <c r="P283" t="s">
        <v>20</v>
      </c>
      <c r="Q283">
        <v>20230727</v>
      </c>
    </row>
    <row r="284" spans="1:17" x14ac:dyDescent="0.25">
      <c r="A284" t="s">
        <v>548</v>
      </c>
      <c r="B284" t="s">
        <v>429</v>
      </c>
      <c r="C284">
        <v>2</v>
      </c>
      <c r="D284">
        <v>20230727</v>
      </c>
      <c r="E284">
        <v>7</v>
      </c>
      <c r="F284">
        <v>411100</v>
      </c>
      <c r="G284" t="s">
        <v>18</v>
      </c>
      <c r="H284" t="s">
        <v>85</v>
      </c>
      <c r="I284" t="s">
        <v>86</v>
      </c>
      <c r="J284">
        <v>375025</v>
      </c>
      <c r="K284">
        <v>20230727</v>
      </c>
      <c r="L284" t="s">
        <v>6587</v>
      </c>
      <c r="M284">
        <v>0</v>
      </c>
      <c r="N284">
        <v>2.5</v>
      </c>
      <c r="O284" t="s">
        <v>19</v>
      </c>
      <c r="P284" t="s">
        <v>20</v>
      </c>
      <c r="Q284">
        <v>20230727</v>
      </c>
    </row>
    <row r="285" spans="1:17" x14ac:dyDescent="0.25">
      <c r="A285" t="s">
        <v>548</v>
      </c>
      <c r="B285" t="s">
        <v>429</v>
      </c>
      <c r="C285">
        <v>2</v>
      </c>
      <c r="D285">
        <v>20230727</v>
      </c>
      <c r="E285">
        <v>7</v>
      </c>
      <c r="F285">
        <v>411100</v>
      </c>
      <c r="G285" t="s">
        <v>18</v>
      </c>
      <c r="H285" t="s">
        <v>698</v>
      </c>
      <c r="I285" t="s">
        <v>699</v>
      </c>
      <c r="J285">
        <v>375026</v>
      </c>
      <c r="K285">
        <v>20230727</v>
      </c>
      <c r="L285" t="s">
        <v>6586</v>
      </c>
      <c r="M285">
        <v>0</v>
      </c>
      <c r="N285">
        <v>4.5</v>
      </c>
      <c r="O285" t="s">
        <v>19</v>
      </c>
      <c r="P285" t="s">
        <v>20</v>
      </c>
      <c r="Q285">
        <v>20230727</v>
      </c>
    </row>
    <row r="286" spans="1:17" x14ac:dyDescent="0.25">
      <c r="A286" t="s">
        <v>548</v>
      </c>
      <c r="B286" t="s">
        <v>429</v>
      </c>
      <c r="C286">
        <v>2</v>
      </c>
      <c r="D286">
        <v>20230727</v>
      </c>
      <c r="E286">
        <v>7</v>
      </c>
      <c r="F286">
        <v>411100</v>
      </c>
      <c r="G286" t="s">
        <v>18</v>
      </c>
      <c r="H286" t="s">
        <v>73</v>
      </c>
      <c r="I286" t="s">
        <v>74</v>
      </c>
      <c r="J286">
        <v>375027</v>
      </c>
      <c r="K286">
        <v>20230727</v>
      </c>
      <c r="L286" t="s">
        <v>6585</v>
      </c>
      <c r="M286">
        <v>0</v>
      </c>
      <c r="N286">
        <v>4.5</v>
      </c>
      <c r="O286" t="s">
        <v>19</v>
      </c>
      <c r="P286" t="s">
        <v>20</v>
      </c>
      <c r="Q286">
        <v>20230727</v>
      </c>
    </row>
    <row r="287" spans="1:17" x14ac:dyDescent="0.25">
      <c r="A287" t="s">
        <v>548</v>
      </c>
      <c r="B287" t="s">
        <v>429</v>
      </c>
      <c r="C287">
        <v>2</v>
      </c>
      <c r="D287">
        <v>20230727</v>
      </c>
      <c r="E287">
        <v>7</v>
      </c>
      <c r="F287">
        <v>411100</v>
      </c>
      <c r="G287" t="s">
        <v>18</v>
      </c>
      <c r="H287" t="s">
        <v>73</v>
      </c>
      <c r="I287" t="s">
        <v>74</v>
      </c>
      <c r="J287">
        <v>375028</v>
      </c>
      <c r="K287">
        <v>20230727</v>
      </c>
      <c r="L287" t="s">
        <v>6584</v>
      </c>
      <c r="M287">
        <v>0</v>
      </c>
      <c r="N287">
        <v>4.5</v>
      </c>
      <c r="O287" t="s">
        <v>19</v>
      </c>
      <c r="P287" t="s">
        <v>20</v>
      </c>
      <c r="Q287">
        <v>20230727</v>
      </c>
    </row>
    <row r="288" spans="1:17" x14ac:dyDescent="0.25">
      <c r="A288" t="s">
        <v>548</v>
      </c>
      <c r="B288" t="s">
        <v>429</v>
      </c>
      <c r="C288">
        <v>2</v>
      </c>
      <c r="D288">
        <v>20230727</v>
      </c>
      <c r="E288">
        <v>7</v>
      </c>
      <c r="F288">
        <v>411100</v>
      </c>
      <c r="G288" t="s">
        <v>18</v>
      </c>
      <c r="H288" t="s">
        <v>1172</v>
      </c>
      <c r="I288" t="s">
        <v>6571</v>
      </c>
      <c r="J288">
        <v>375029</v>
      </c>
      <c r="K288">
        <v>20230727</v>
      </c>
      <c r="L288" t="s">
        <v>6583</v>
      </c>
      <c r="M288">
        <v>0</v>
      </c>
      <c r="N288">
        <v>9</v>
      </c>
      <c r="O288" t="s">
        <v>19</v>
      </c>
      <c r="P288" t="s">
        <v>20</v>
      </c>
      <c r="Q288">
        <v>20230727</v>
      </c>
    </row>
    <row r="289" spans="1:17" x14ac:dyDescent="0.25">
      <c r="A289" t="s">
        <v>548</v>
      </c>
      <c r="B289" t="s">
        <v>429</v>
      </c>
      <c r="C289">
        <v>2</v>
      </c>
      <c r="D289">
        <v>20230727</v>
      </c>
      <c r="E289">
        <v>7</v>
      </c>
      <c r="F289">
        <v>411100</v>
      </c>
      <c r="G289" t="s">
        <v>18</v>
      </c>
      <c r="H289" t="s">
        <v>3321</v>
      </c>
      <c r="I289" t="s">
        <v>3322</v>
      </c>
      <c r="J289">
        <v>375030</v>
      </c>
      <c r="K289">
        <v>20230727</v>
      </c>
      <c r="L289" t="s">
        <v>6582</v>
      </c>
      <c r="M289">
        <v>0</v>
      </c>
      <c r="N289">
        <v>4.5</v>
      </c>
      <c r="O289" t="s">
        <v>19</v>
      </c>
      <c r="P289" t="s">
        <v>20</v>
      </c>
      <c r="Q289">
        <v>20230727</v>
      </c>
    </row>
    <row r="290" spans="1:17" x14ac:dyDescent="0.25">
      <c r="A290" t="s">
        <v>548</v>
      </c>
      <c r="B290" t="s">
        <v>429</v>
      </c>
      <c r="C290">
        <v>2</v>
      </c>
      <c r="D290">
        <v>20230727</v>
      </c>
      <c r="E290">
        <v>7</v>
      </c>
      <c r="F290">
        <v>411100</v>
      </c>
      <c r="G290" t="s">
        <v>18</v>
      </c>
      <c r="H290" t="s">
        <v>73</v>
      </c>
      <c r="I290" t="s">
        <v>74</v>
      </c>
      <c r="J290">
        <v>375031</v>
      </c>
      <c r="K290">
        <v>20230727</v>
      </c>
      <c r="L290" t="s">
        <v>6581</v>
      </c>
      <c r="M290">
        <v>0</v>
      </c>
      <c r="N290">
        <v>9</v>
      </c>
      <c r="O290" t="s">
        <v>19</v>
      </c>
      <c r="P290" t="s">
        <v>20</v>
      </c>
      <c r="Q290">
        <v>20230727</v>
      </c>
    </row>
    <row r="291" spans="1:17" x14ac:dyDescent="0.25">
      <c r="A291" t="s">
        <v>548</v>
      </c>
      <c r="B291" t="s">
        <v>429</v>
      </c>
      <c r="C291">
        <v>2</v>
      </c>
      <c r="D291">
        <v>20230727</v>
      </c>
      <c r="E291">
        <v>7</v>
      </c>
      <c r="F291">
        <v>411100</v>
      </c>
      <c r="G291" t="s">
        <v>18</v>
      </c>
      <c r="H291" t="s">
        <v>1172</v>
      </c>
      <c r="I291" t="s">
        <v>6571</v>
      </c>
      <c r="J291">
        <v>375032</v>
      </c>
      <c r="K291">
        <v>20230727</v>
      </c>
      <c r="L291" t="s">
        <v>6580</v>
      </c>
      <c r="M291">
        <v>0</v>
      </c>
      <c r="N291">
        <v>9</v>
      </c>
      <c r="O291" t="s">
        <v>19</v>
      </c>
      <c r="P291" t="s">
        <v>20</v>
      </c>
      <c r="Q291">
        <v>20230727</v>
      </c>
    </row>
    <row r="292" spans="1:17" x14ac:dyDescent="0.25">
      <c r="A292" t="s">
        <v>548</v>
      </c>
      <c r="B292" t="s">
        <v>429</v>
      </c>
      <c r="C292">
        <v>2</v>
      </c>
      <c r="D292">
        <v>20230727</v>
      </c>
      <c r="E292">
        <v>7</v>
      </c>
      <c r="F292">
        <v>411100</v>
      </c>
      <c r="G292" t="s">
        <v>18</v>
      </c>
      <c r="H292" t="s">
        <v>698</v>
      </c>
      <c r="I292" t="s">
        <v>699</v>
      </c>
      <c r="J292">
        <v>375033</v>
      </c>
      <c r="K292">
        <v>20230727</v>
      </c>
      <c r="L292" t="s">
        <v>6579</v>
      </c>
      <c r="M292">
        <v>0</v>
      </c>
      <c r="N292">
        <v>4.5</v>
      </c>
      <c r="O292" t="s">
        <v>19</v>
      </c>
      <c r="P292" t="s">
        <v>20</v>
      </c>
      <c r="Q292">
        <v>20230727</v>
      </c>
    </row>
    <row r="293" spans="1:17" x14ac:dyDescent="0.25">
      <c r="A293" t="s">
        <v>548</v>
      </c>
      <c r="B293" t="s">
        <v>429</v>
      </c>
      <c r="C293">
        <v>2</v>
      </c>
      <c r="D293">
        <v>20230727</v>
      </c>
      <c r="E293">
        <v>7</v>
      </c>
      <c r="F293">
        <v>411100</v>
      </c>
      <c r="G293" t="s">
        <v>18</v>
      </c>
      <c r="H293" t="s">
        <v>1033</v>
      </c>
      <c r="I293" t="s">
        <v>1034</v>
      </c>
      <c r="J293">
        <v>375034</v>
      </c>
      <c r="K293">
        <v>20230727</v>
      </c>
      <c r="L293" t="s">
        <v>6578</v>
      </c>
      <c r="M293">
        <v>0</v>
      </c>
      <c r="N293">
        <v>4.5</v>
      </c>
      <c r="O293" t="s">
        <v>19</v>
      </c>
      <c r="P293" t="s">
        <v>20</v>
      </c>
      <c r="Q293">
        <v>20230727</v>
      </c>
    </row>
    <row r="294" spans="1:17" x14ac:dyDescent="0.25">
      <c r="A294" t="s">
        <v>548</v>
      </c>
      <c r="B294" t="s">
        <v>429</v>
      </c>
      <c r="C294">
        <v>2</v>
      </c>
      <c r="D294">
        <v>20230727</v>
      </c>
      <c r="E294">
        <v>7</v>
      </c>
      <c r="F294">
        <v>411100</v>
      </c>
      <c r="G294" t="s">
        <v>18</v>
      </c>
      <c r="H294" t="s">
        <v>241</v>
      </c>
      <c r="I294" t="s">
        <v>242</v>
      </c>
      <c r="J294">
        <v>375035</v>
      </c>
      <c r="K294">
        <v>20230727</v>
      </c>
      <c r="L294" t="s">
        <v>6577</v>
      </c>
      <c r="M294">
        <v>0</v>
      </c>
      <c r="N294">
        <v>7.5</v>
      </c>
      <c r="O294" t="s">
        <v>19</v>
      </c>
      <c r="P294" t="s">
        <v>20</v>
      </c>
      <c r="Q294">
        <v>20230727</v>
      </c>
    </row>
    <row r="295" spans="1:17" x14ac:dyDescent="0.25">
      <c r="A295" t="s">
        <v>548</v>
      </c>
      <c r="B295" t="s">
        <v>429</v>
      </c>
      <c r="C295">
        <v>2</v>
      </c>
      <c r="D295">
        <v>20230727</v>
      </c>
      <c r="E295">
        <v>7</v>
      </c>
      <c r="F295">
        <v>411100</v>
      </c>
      <c r="G295" t="s">
        <v>18</v>
      </c>
      <c r="H295" t="s">
        <v>237</v>
      </c>
      <c r="I295" t="s">
        <v>238</v>
      </c>
      <c r="J295">
        <v>375036</v>
      </c>
      <c r="K295">
        <v>20230727</v>
      </c>
      <c r="L295" t="s">
        <v>6576</v>
      </c>
      <c r="M295">
        <v>0</v>
      </c>
      <c r="N295">
        <v>7.5</v>
      </c>
      <c r="O295" t="s">
        <v>19</v>
      </c>
      <c r="P295" t="s">
        <v>20</v>
      </c>
      <c r="Q295">
        <v>20230727</v>
      </c>
    </row>
    <row r="296" spans="1:17" x14ac:dyDescent="0.25">
      <c r="A296" t="s">
        <v>548</v>
      </c>
      <c r="B296" t="s">
        <v>429</v>
      </c>
      <c r="C296">
        <v>2</v>
      </c>
      <c r="D296">
        <v>20230727</v>
      </c>
      <c r="E296">
        <v>7</v>
      </c>
      <c r="F296">
        <v>411100</v>
      </c>
      <c r="G296" t="s">
        <v>18</v>
      </c>
      <c r="H296" t="s">
        <v>1911</v>
      </c>
      <c r="I296" t="s">
        <v>1912</v>
      </c>
      <c r="J296">
        <v>375037</v>
      </c>
      <c r="K296">
        <v>20230727</v>
      </c>
      <c r="L296" t="s">
        <v>6575</v>
      </c>
      <c r="M296">
        <v>0</v>
      </c>
      <c r="N296">
        <v>13.5</v>
      </c>
      <c r="O296" t="s">
        <v>19</v>
      </c>
      <c r="P296" t="s">
        <v>20</v>
      </c>
      <c r="Q296">
        <v>20230727</v>
      </c>
    </row>
    <row r="297" spans="1:17" x14ac:dyDescent="0.25">
      <c r="A297" t="s">
        <v>548</v>
      </c>
      <c r="B297" t="s">
        <v>429</v>
      </c>
      <c r="C297">
        <v>2</v>
      </c>
      <c r="D297">
        <v>20230727</v>
      </c>
      <c r="E297">
        <v>7</v>
      </c>
      <c r="F297">
        <v>411100</v>
      </c>
      <c r="G297" t="s">
        <v>18</v>
      </c>
      <c r="H297" t="s">
        <v>660</v>
      </c>
      <c r="I297" t="s">
        <v>661</v>
      </c>
      <c r="J297">
        <v>375038</v>
      </c>
      <c r="K297">
        <v>20230727</v>
      </c>
      <c r="L297" t="s">
        <v>6574</v>
      </c>
      <c r="M297">
        <v>0</v>
      </c>
      <c r="N297">
        <v>5</v>
      </c>
      <c r="O297" t="s">
        <v>19</v>
      </c>
      <c r="P297" t="s">
        <v>20</v>
      </c>
      <c r="Q297">
        <v>20230727</v>
      </c>
    </row>
    <row r="298" spans="1:17" x14ac:dyDescent="0.25">
      <c r="A298" t="s">
        <v>548</v>
      </c>
      <c r="B298" t="s">
        <v>429</v>
      </c>
      <c r="C298">
        <v>2</v>
      </c>
      <c r="D298">
        <v>20230727</v>
      </c>
      <c r="E298">
        <v>7</v>
      </c>
      <c r="F298">
        <v>411100</v>
      </c>
      <c r="G298" t="s">
        <v>18</v>
      </c>
      <c r="H298" t="s">
        <v>105</v>
      </c>
      <c r="I298" t="s">
        <v>106</v>
      </c>
      <c r="J298">
        <v>375039</v>
      </c>
      <c r="K298">
        <v>20230727</v>
      </c>
      <c r="L298" t="s">
        <v>6573</v>
      </c>
      <c r="M298">
        <v>0</v>
      </c>
      <c r="N298">
        <v>9.5</v>
      </c>
      <c r="O298" t="s">
        <v>19</v>
      </c>
      <c r="P298" t="s">
        <v>20</v>
      </c>
      <c r="Q298">
        <v>20230727</v>
      </c>
    </row>
    <row r="299" spans="1:17" x14ac:dyDescent="0.25">
      <c r="A299" t="s">
        <v>548</v>
      </c>
      <c r="B299" t="s">
        <v>429</v>
      </c>
      <c r="C299">
        <v>2</v>
      </c>
      <c r="D299">
        <v>20230727</v>
      </c>
      <c r="E299">
        <v>7</v>
      </c>
      <c r="F299">
        <v>411100</v>
      </c>
      <c r="G299" t="s">
        <v>18</v>
      </c>
      <c r="H299" t="s">
        <v>73</v>
      </c>
      <c r="I299" t="s">
        <v>74</v>
      </c>
      <c r="J299">
        <v>375040</v>
      </c>
      <c r="K299">
        <v>20230727</v>
      </c>
      <c r="L299" t="s">
        <v>6572</v>
      </c>
      <c r="M299">
        <v>0</v>
      </c>
      <c r="N299">
        <v>12</v>
      </c>
      <c r="O299" t="s">
        <v>19</v>
      </c>
      <c r="P299" t="s">
        <v>20</v>
      </c>
      <c r="Q299">
        <v>20230727</v>
      </c>
    </row>
    <row r="300" spans="1:17" x14ac:dyDescent="0.25">
      <c r="A300" t="s">
        <v>548</v>
      </c>
      <c r="B300" t="s">
        <v>429</v>
      </c>
      <c r="C300">
        <v>2</v>
      </c>
      <c r="D300">
        <v>20230727</v>
      </c>
      <c r="E300">
        <v>7</v>
      </c>
      <c r="F300">
        <v>411100</v>
      </c>
      <c r="G300" t="s">
        <v>18</v>
      </c>
      <c r="H300" t="s">
        <v>1172</v>
      </c>
      <c r="I300" t="s">
        <v>6571</v>
      </c>
      <c r="J300">
        <v>375041</v>
      </c>
      <c r="K300">
        <v>20230727</v>
      </c>
      <c r="L300" t="s">
        <v>6570</v>
      </c>
      <c r="M300">
        <v>0</v>
      </c>
      <c r="N300">
        <v>12</v>
      </c>
      <c r="O300" t="s">
        <v>19</v>
      </c>
      <c r="P300" t="s">
        <v>20</v>
      </c>
      <c r="Q300">
        <v>20230727</v>
      </c>
    </row>
    <row r="301" spans="1:17" x14ac:dyDescent="0.25">
      <c r="A301" t="s">
        <v>548</v>
      </c>
      <c r="B301" t="s">
        <v>429</v>
      </c>
      <c r="C301">
        <v>2</v>
      </c>
      <c r="D301">
        <v>20230727</v>
      </c>
      <c r="E301">
        <v>7</v>
      </c>
      <c r="F301">
        <v>411100</v>
      </c>
      <c r="G301" t="s">
        <v>18</v>
      </c>
      <c r="H301" t="s">
        <v>1911</v>
      </c>
      <c r="I301" t="s">
        <v>1912</v>
      </c>
      <c r="J301">
        <v>375042</v>
      </c>
      <c r="K301">
        <v>20230727</v>
      </c>
      <c r="L301" t="s">
        <v>6569</v>
      </c>
      <c r="M301">
        <v>0</v>
      </c>
      <c r="N301">
        <v>9</v>
      </c>
      <c r="O301" t="s">
        <v>19</v>
      </c>
      <c r="P301" t="s">
        <v>20</v>
      </c>
      <c r="Q301">
        <v>20230727</v>
      </c>
    </row>
    <row r="302" spans="1:17" x14ac:dyDescent="0.25">
      <c r="A302" t="s">
        <v>548</v>
      </c>
      <c r="B302" t="s">
        <v>429</v>
      </c>
      <c r="C302">
        <v>2</v>
      </c>
      <c r="D302">
        <v>20230727</v>
      </c>
      <c r="E302">
        <v>7</v>
      </c>
      <c r="F302">
        <v>411100</v>
      </c>
      <c r="G302" t="s">
        <v>18</v>
      </c>
      <c r="H302" t="s">
        <v>259</v>
      </c>
      <c r="I302" t="s">
        <v>260</v>
      </c>
      <c r="J302">
        <v>375043</v>
      </c>
      <c r="K302">
        <v>20230727</v>
      </c>
      <c r="L302" t="s">
        <v>6568</v>
      </c>
      <c r="M302">
        <v>0</v>
      </c>
      <c r="N302">
        <v>3</v>
      </c>
      <c r="O302" t="s">
        <v>19</v>
      </c>
      <c r="P302" t="s">
        <v>20</v>
      </c>
      <c r="Q302">
        <v>20230727</v>
      </c>
    </row>
    <row r="303" spans="1:17" x14ac:dyDescent="0.25">
      <c r="A303" t="s">
        <v>548</v>
      </c>
      <c r="B303" t="s">
        <v>429</v>
      </c>
      <c r="C303">
        <v>2</v>
      </c>
      <c r="D303">
        <v>20230727</v>
      </c>
      <c r="E303">
        <v>7</v>
      </c>
      <c r="F303">
        <v>411100</v>
      </c>
      <c r="G303" t="s">
        <v>18</v>
      </c>
      <c r="H303" t="s">
        <v>6567</v>
      </c>
      <c r="I303" t="s">
        <v>6566</v>
      </c>
      <c r="J303">
        <v>375044</v>
      </c>
      <c r="K303">
        <v>20230727</v>
      </c>
      <c r="L303" t="s">
        <v>6565</v>
      </c>
      <c r="M303">
        <v>0</v>
      </c>
      <c r="N303">
        <v>3</v>
      </c>
      <c r="O303" t="s">
        <v>19</v>
      </c>
      <c r="P303" t="s">
        <v>20</v>
      </c>
      <c r="Q303">
        <v>20230727</v>
      </c>
    </row>
    <row r="304" spans="1:17" x14ac:dyDescent="0.25">
      <c r="A304" t="s">
        <v>548</v>
      </c>
      <c r="B304" t="s">
        <v>429</v>
      </c>
      <c r="C304">
        <v>2</v>
      </c>
      <c r="D304">
        <v>20230727</v>
      </c>
      <c r="E304">
        <v>7</v>
      </c>
      <c r="F304">
        <v>531105</v>
      </c>
      <c r="G304" t="s">
        <v>429</v>
      </c>
      <c r="H304" t="s">
        <v>401</v>
      </c>
      <c r="I304" t="s">
        <v>402</v>
      </c>
      <c r="J304">
        <v>375045</v>
      </c>
      <c r="K304">
        <v>20230727</v>
      </c>
      <c r="L304" t="s">
        <v>565</v>
      </c>
      <c r="M304">
        <v>177.54</v>
      </c>
      <c r="N304">
        <v>0</v>
      </c>
      <c r="O304" t="s">
        <v>19</v>
      </c>
      <c r="P304" t="s">
        <v>20</v>
      </c>
      <c r="Q304">
        <v>20230727</v>
      </c>
    </row>
    <row r="305" spans="1:17" x14ac:dyDescent="0.25">
      <c r="A305" t="s">
        <v>548</v>
      </c>
      <c r="B305" t="s">
        <v>429</v>
      </c>
      <c r="C305">
        <v>2</v>
      </c>
      <c r="D305">
        <v>20230728</v>
      </c>
      <c r="E305">
        <v>7</v>
      </c>
      <c r="F305">
        <v>411010</v>
      </c>
      <c r="G305" t="s">
        <v>87</v>
      </c>
      <c r="H305" t="s">
        <v>93</v>
      </c>
      <c r="I305" t="s">
        <v>94</v>
      </c>
      <c r="J305">
        <v>375046</v>
      </c>
      <c r="K305">
        <v>20230728</v>
      </c>
      <c r="L305" t="s">
        <v>6564</v>
      </c>
      <c r="M305">
        <v>0</v>
      </c>
      <c r="N305">
        <v>128.30000000000001</v>
      </c>
      <c r="O305" t="s">
        <v>19</v>
      </c>
      <c r="P305" t="s">
        <v>20</v>
      </c>
      <c r="Q305">
        <v>20230728</v>
      </c>
    </row>
    <row r="306" spans="1:17" x14ac:dyDescent="0.25">
      <c r="A306" t="s">
        <v>548</v>
      </c>
      <c r="B306" t="s">
        <v>429</v>
      </c>
      <c r="C306">
        <v>2</v>
      </c>
      <c r="D306">
        <v>20230728</v>
      </c>
      <c r="E306">
        <v>7</v>
      </c>
      <c r="F306">
        <v>531105</v>
      </c>
      <c r="G306" t="s">
        <v>429</v>
      </c>
      <c r="H306" t="s">
        <v>401</v>
      </c>
      <c r="I306" t="s">
        <v>402</v>
      </c>
      <c r="J306">
        <v>375047</v>
      </c>
      <c r="K306">
        <v>20230728</v>
      </c>
      <c r="L306" t="s">
        <v>565</v>
      </c>
      <c r="M306">
        <v>128.30000000000001</v>
      </c>
      <c r="N306">
        <v>0</v>
      </c>
      <c r="O306" t="s">
        <v>19</v>
      </c>
      <c r="P306" t="s">
        <v>20</v>
      </c>
      <c r="Q306">
        <v>20230728</v>
      </c>
    </row>
    <row r="307" spans="1:17" x14ac:dyDescent="0.25">
      <c r="A307" t="s">
        <v>548</v>
      </c>
      <c r="B307" t="s">
        <v>429</v>
      </c>
      <c r="C307">
        <v>2</v>
      </c>
      <c r="D307">
        <v>20230731</v>
      </c>
      <c r="E307">
        <v>7</v>
      </c>
      <c r="F307">
        <v>411000</v>
      </c>
      <c r="G307" t="s">
        <v>21</v>
      </c>
      <c r="H307" t="s">
        <v>1616</v>
      </c>
      <c r="I307" t="s">
        <v>1617</v>
      </c>
      <c r="J307">
        <v>123060004</v>
      </c>
      <c r="K307">
        <v>20230731</v>
      </c>
      <c r="L307" t="s">
        <v>6563</v>
      </c>
      <c r="M307">
        <v>0</v>
      </c>
      <c r="N307">
        <v>10</v>
      </c>
      <c r="O307" t="s">
        <v>19</v>
      </c>
      <c r="P307" t="s">
        <v>20</v>
      </c>
      <c r="Q307">
        <v>20230731</v>
      </c>
    </row>
    <row r="308" spans="1:17" x14ac:dyDescent="0.25">
      <c r="A308" t="s">
        <v>548</v>
      </c>
      <c r="B308" t="s">
        <v>429</v>
      </c>
      <c r="C308">
        <v>2</v>
      </c>
      <c r="D308">
        <v>20230731</v>
      </c>
      <c r="E308">
        <v>7</v>
      </c>
      <c r="F308">
        <v>411100</v>
      </c>
      <c r="G308" t="s">
        <v>18</v>
      </c>
      <c r="H308" t="s">
        <v>6562</v>
      </c>
      <c r="I308" t="s">
        <v>6561</v>
      </c>
      <c r="J308">
        <v>375049</v>
      </c>
      <c r="K308">
        <v>20230731</v>
      </c>
      <c r="L308" t="s">
        <v>6560</v>
      </c>
      <c r="M308">
        <v>0</v>
      </c>
      <c r="N308">
        <v>46.25</v>
      </c>
      <c r="O308" t="s">
        <v>19</v>
      </c>
      <c r="P308" t="s">
        <v>20</v>
      </c>
      <c r="Q308">
        <v>20230731</v>
      </c>
    </row>
    <row r="309" spans="1:17" x14ac:dyDescent="0.25">
      <c r="A309" t="s">
        <v>548</v>
      </c>
      <c r="B309" t="s">
        <v>429</v>
      </c>
      <c r="C309">
        <v>2</v>
      </c>
      <c r="D309">
        <v>20230731</v>
      </c>
      <c r="E309">
        <v>7</v>
      </c>
      <c r="F309">
        <v>411100</v>
      </c>
      <c r="G309" t="s">
        <v>18</v>
      </c>
      <c r="H309" t="s">
        <v>641</v>
      </c>
      <c r="I309" t="s">
        <v>642</v>
      </c>
      <c r="J309">
        <v>123040064</v>
      </c>
      <c r="K309">
        <v>20230731</v>
      </c>
      <c r="L309" t="s">
        <v>6559</v>
      </c>
      <c r="M309">
        <v>0</v>
      </c>
      <c r="N309">
        <v>24.39</v>
      </c>
      <c r="O309" t="s">
        <v>19</v>
      </c>
      <c r="P309" t="s">
        <v>20</v>
      </c>
      <c r="Q309">
        <v>20230731</v>
      </c>
    </row>
    <row r="310" spans="1:17" x14ac:dyDescent="0.25">
      <c r="A310" t="s">
        <v>548</v>
      </c>
      <c r="B310" t="s">
        <v>429</v>
      </c>
      <c r="C310">
        <v>2</v>
      </c>
      <c r="D310">
        <v>20230731</v>
      </c>
      <c r="E310">
        <v>7</v>
      </c>
      <c r="F310">
        <v>531105</v>
      </c>
      <c r="G310" t="s">
        <v>429</v>
      </c>
      <c r="H310" t="s">
        <v>401</v>
      </c>
      <c r="I310" t="s">
        <v>402</v>
      </c>
      <c r="J310">
        <v>375051</v>
      </c>
      <c r="K310">
        <v>20230731</v>
      </c>
      <c r="L310" t="s">
        <v>565</v>
      </c>
      <c r="M310">
        <v>80.64</v>
      </c>
      <c r="N310">
        <v>0</v>
      </c>
      <c r="O310" t="s">
        <v>19</v>
      </c>
      <c r="P310" t="s">
        <v>20</v>
      </c>
      <c r="Q310">
        <v>20230731</v>
      </c>
    </row>
    <row r="311" spans="1:17" x14ac:dyDescent="0.25">
      <c r="A311" t="s">
        <v>548</v>
      </c>
      <c r="B311" t="s">
        <v>429</v>
      </c>
      <c r="C311">
        <v>2</v>
      </c>
      <c r="D311">
        <v>20230713</v>
      </c>
      <c r="E311">
        <v>7</v>
      </c>
      <c r="F311">
        <v>411010</v>
      </c>
      <c r="G311" t="s">
        <v>87</v>
      </c>
      <c r="H311" t="s">
        <v>5498</v>
      </c>
      <c r="I311" t="s">
        <v>5874</v>
      </c>
      <c r="J311">
        <v>223060014</v>
      </c>
      <c r="K311">
        <v>20230713</v>
      </c>
      <c r="L311" t="s">
        <v>6558</v>
      </c>
      <c r="M311">
        <v>0</v>
      </c>
      <c r="N311">
        <v>266.91000000000003</v>
      </c>
      <c r="O311" t="s">
        <v>19</v>
      </c>
      <c r="P311" t="s">
        <v>20</v>
      </c>
      <c r="Q311">
        <v>20230713</v>
      </c>
    </row>
    <row r="312" spans="1:17" x14ac:dyDescent="0.25">
      <c r="A312" t="s">
        <v>548</v>
      </c>
      <c r="B312" t="s">
        <v>429</v>
      </c>
      <c r="C312">
        <v>2</v>
      </c>
      <c r="D312">
        <v>20230713</v>
      </c>
      <c r="E312">
        <v>7</v>
      </c>
      <c r="F312">
        <v>531105</v>
      </c>
      <c r="G312" t="s">
        <v>429</v>
      </c>
      <c r="H312" t="s">
        <v>401</v>
      </c>
      <c r="I312" t="s">
        <v>402</v>
      </c>
      <c r="J312">
        <v>375192</v>
      </c>
      <c r="K312">
        <v>20230713</v>
      </c>
      <c r="L312" t="s">
        <v>565</v>
      </c>
      <c r="M312">
        <v>266.91000000000003</v>
      </c>
      <c r="N312">
        <v>0</v>
      </c>
      <c r="O312" t="s">
        <v>19</v>
      </c>
      <c r="P312" t="s">
        <v>20</v>
      </c>
      <c r="Q312">
        <v>20230713</v>
      </c>
    </row>
    <row r="313" spans="1:17" x14ac:dyDescent="0.25">
      <c r="A313" t="s">
        <v>548</v>
      </c>
      <c r="B313" t="s">
        <v>429</v>
      </c>
      <c r="C313">
        <v>2</v>
      </c>
      <c r="D313">
        <v>20230719</v>
      </c>
      <c r="E313">
        <v>7</v>
      </c>
      <c r="F313">
        <v>411100</v>
      </c>
      <c r="G313" t="s">
        <v>18</v>
      </c>
      <c r="H313" t="s">
        <v>734</v>
      </c>
      <c r="I313" t="s">
        <v>5873</v>
      </c>
      <c r="J313">
        <v>223060016</v>
      </c>
      <c r="K313">
        <v>20230719</v>
      </c>
      <c r="L313" t="s">
        <v>6557</v>
      </c>
      <c r="M313">
        <v>0</v>
      </c>
      <c r="N313">
        <v>115</v>
      </c>
      <c r="O313" t="s">
        <v>19</v>
      </c>
      <c r="P313" t="s">
        <v>20</v>
      </c>
      <c r="Q313">
        <v>20230719</v>
      </c>
    </row>
    <row r="314" spans="1:17" x14ac:dyDescent="0.25">
      <c r="A314" t="s">
        <v>548</v>
      </c>
      <c r="B314" t="s">
        <v>429</v>
      </c>
      <c r="C314">
        <v>2</v>
      </c>
      <c r="D314">
        <v>20230719</v>
      </c>
      <c r="E314">
        <v>7</v>
      </c>
      <c r="F314">
        <v>531105</v>
      </c>
      <c r="G314" t="s">
        <v>429</v>
      </c>
      <c r="H314" t="s">
        <v>401</v>
      </c>
      <c r="I314" t="s">
        <v>402</v>
      </c>
      <c r="J314">
        <v>375194</v>
      </c>
      <c r="K314">
        <v>20230719</v>
      </c>
      <c r="L314" t="s">
        <v>565</v>
      </c>
      <c r="M314">
        <v>115</v>
      </c>
      <c r="N314">
        <v>0</v>
      </c>
      <c r="O314" t="s">
        <v>19</v>
      </c>
      <c r="P314" t="s">
        <v>20</v>
      </c>
      <c r="Q314">
        <v>20230719</v>
      </c>
    </row>
    <row r="315" spans="1:17" x14ac:dyDescent="0.25">
      <c r="A315" t="s">
        <v>548</v>
      </c>
      <c r="B315" t="s">
        <v>429</v>
      </c>
      <c r="C315">
        <v>2</v>
      </c>
      <c r="D315">
        <v>20230721</v>
      </c>
      <c r="E315">
        <v>7</v>
      </c>
      <c r="F315">
        <v>411100</v>
      </c>
      <c r="G315" t="s">
        <v>18</v>
      </c>
      <c r="H315" t="s">
        <v>787</v>
      </c>
      <c r="I315" t="s">
        <v>788</v>
      </c>
      <c r="J315">
        <v>223050010</v>
      </c>
      <c r="K315">
        <v>20230721</v>
      </c>
      <c r="L315" t="s">
        <v>6556</v>
      </c>
      <c r="M315">
        <v>0</v>
      </c>
      <c r="N315">
        <v>13.91</v>
      </c>
      <c r="O315" t="s">
        <v>19</v>
      </c>
      <c r="P315" t="s">
        <v>20</v>
      </c>
      <c r="Q315">
        <v>20230721</v>
      </c>
    </row>
    <row r="316" spans="1:17" x14ac:dyDescent="0.25">
      <c r="A316" t="s">
        <v>548</v>
      </c>
      <c r="B316" t="s">
        <v>429</v>
      </c>
      <c r="C316">
        <v>2</v>
      </c>
      <c r="D316">
        <v>20230721</v>
      </c>
      <c r="E316">
        <v>7</v>
      </c>
      <c r="F316">
        <v>411100</v>
      </c>
      <c r="G316" t="s">
        <v>18</v>
      </c>
      <c r="H316" t="s">
        <v>787</v>
      </c>
      <c r="I316" t="s">
        <v>788</v>
      </c>
      <c r="J316">
        <v>223060010</v>
      </c>
      <c r="K316">
        <v>20230721</v>
      </c>
      <c r="L316" t="s">
        <v>6555</v>
      </c>
      <c r="M316">
        <v>0</v>
      </c>
      <c r="N316">
        <v>0.01</v>
      </c>
      <c r="O316" t="s">
        <v>19</v>
      </c>
      <c r="P316" t="s">
        <v>20</v>
      </c>
      <c r="Q316">
        <v>20230721</v>
      </c>
    </row>
    <row r="317" spans="1:17" x14ac:dyDescent="0.25">
      <c r="A317" t="s">
        <v>548</v>
      </c>
      <c r="B317" t="s">
        <v>429</v>
      </c>
      <c r="C317">
        <v>2</v>
      </c>
      <c r="D317">
        <v>20230721</v>
      </c>
      <c r="E317">
        <v>7</v>
      </c>
      <c r="F317">
        <v>531105</v>
      </c>
      <c r="G317" t="s">
        <v>429</v>
      </c>
      <c r="H317" t="s">
        <v>401</v>
      </c>
      <c r="I317" t="s">
        <v>402</v>
      </c>
      <c r="J317">
        <v>375197</v>
      </c>
      <c r="K317">
        <v>20230721</v>
      </c>
      <c r="L317" t="s">
        <v>565</v>
      </c>
      <c r="M317">
        <v>13.92</v>
      </c>
      <c r="N317">
        <v>0</v>
      </c>
      <c r="O317" t="s">
        <v>19</v>
      </c>
      <c r="P317" t="s">
        <v>20</v>
      </c>
      <c r="Q317">
        <v>20230721</v>
      </c>
    </row>
    <row r="318" spans="1:17" x14ac:dyDescent="0.25">
      <c r="A318" t="s">
        <v>548</v>
      </c>
      <c r="B318" t="s">
        <v>429</v>
      </c>
      <c r="C318">
        <v>2</v>
      </c>
      <c r="D318">
        <v>20230718</v>
      </c>
      <c r="E318">
        <v>7</v>
      </c>
      <c r="F318">
        <v>411020</v>
      </c>
      <c r="G318" t="s">
        <v>30</v>
      </c>
      <c r="H318" t="s">
        <v>332</v>
      </c>
      <c r="I318" t="s">
        <v>333</v>
      </c>
      <c r="J318">
        <v>323050005</v>
      </c>
      <c r="K318">
        <v>20230718</v>
      </c>
      <c r="L318" t="s">
        <v>6554</v>
      </c>
      <c r="M318">
        <v>0</v>
      </c>
      <c r="N318">
        <v>107.74</v>
      </c>
      <c r="O318" t="s">
        <v>19</v>
      </c>
      <c r="P318" t="s">
        <v>20</v>
      </c>
      <c r="Q318">
        <v>20230718</v>
      </c>
    </row>
    <row r="319" spans="1:17" x14ac:dyDescent="0.25">
      <c r="A319" t="s">
        <v>548</v>
      </c>
      <c r="B319" t="s">
        <v>429</v>
      </c>
      <c r="C319">
        <v>2</v>
      </c>
      <c r="D319">
        <v>20230718</v>
      </c>
      <c r="E319">
        <v>7</v>
      </c>
      <c r="F319">
        <v>411020</v>
      </c>
      <c r="G319" t="s">
        <v>30</v>
      </c>
      <c r="H319" t="s">
        <v>332</v>
      </c>
      <c r="I319" t="s">
        <v>333</v>
      </c>
      <c r="J319">
        <v>323050005</v>
      </c>
      <c r="K319">
        <v>20230718</v>
      </c>
      <c r="L319" t="s">
        <v>6553</v>
      </c>
      <c r="M319">
        <v>0</v>
      </c>
      <c r="N319">
        <v>2.2599999999999998</v>
      </c>
      <c r="O319" t="s">
        <v>19</v>
      </c>
      <c r="P319" t="s">
        <v>20</v>
      </c>
      <c r="Q319">
        <v>20230718</v>
      </c>
    </row>
    <row r="320" spans="1:17" x14ac:dyDescent="0.25">
      <c r="A320" t="s">
        <v>548</v>
      </c>
      <c r="B320" t="s">
        <v>429</v>
      </c>
      <c r="C320">
        <v>2</v>
      </c>
      <c r="D320">
        <v>20230718</v>
      </c>
      <c r="E320">
        <v>7</v>
      </c>
      <c r="F320">
        <v>531105</v>
      </c>
      <c r="G320" t="s">
        <v>429</v>
      </c>
      <c r="H320" t="s">
        <v>401</v>
      </c>
      <c r="I320" t="s">
        <v>402</v>
      </c>
      <c r="J320">
        <v>375278</v>
      </c>
      <c r="K320">
        <v>20230718</v>
      </c>
      <c r="L320" t="s">
        <v>565</v>
      </c>
      <c r="M320">
        <v>110</v>
      </c>
      <c r="N320">
        <v>0</v>
      </c>
      <c r="O320" t="s">
        <v>19</v>
      </c>
      <c r="P320" t="s">
        <v>20</v>
      </c>
      <c r="Q320">
        <v>20230718</v>
      </c>
    </row>
    <row r="321" spans="1:17" x14ac:dyDescent="0.25">
      <c r="A321" t="s">
        <v>548</v>
      </c>
      <c r="B321" t="s">
        <v>429</v>
      </c>
      <c r="C321">
        <v>2</v>
      </c>
      <c r="D321">
        <v>20230724</v>
      </c>
      <c r="E321">
        <v>7</v>
      </c>
      <c r="F321">
        <v>411100</v>
      </c>
      <c r="G321" t="s">
        <v>18</v>
      </c>
      <c r="H321" t="s">
        <v>3216</v>
      </c>
      <c r="I321" t="s">
        <v>6308</v>
      </c>
      <c r="J321">
        <v>323060008</v>
      </c>
      <c r="K321">
        <v>20230724</v>
      </c>
      <c r="L321" t="s">
        <v>6552</v>
      </c>
      <c r="M321">
        <v>0</v>
      </c>
      <c r="N321">
        <v>48.17</v>
      </c>
      <c r="O321" t="s">
        <v>19</v>
      </c>
      <c r="P321" t="s">
        <v>20</v>
      </c>
      <c r="Q321">
        <v>20230724</v>
      </c>
    </row>
    <row r="322" spans="1:17" x14ac:dyDescent="0.25">
      <c r="A322" t="s">
        <v>548</v>
      </c>
      <c r="B322" t="s">
        <v>429</v>
      </c>
      <c r="C322">
        <v>2</v>
      </c>
      <c r="D322">
        <v>20230724</v>
      </c>
      <c r="E322">
        <v>7</v>
      </c>
      <c r="F322">
        <v>411020</v>
      </c>
      <c r="G322" t="s">
        <v>30</v>
      </c>
      <c r="H322" t="s">
        <v>3631</v>
      </c>
      <c r="I322" t="s">
        <v>3632</v>
      </c>
      <c r="J322">
        <v>323060002</v>
      </c>
      <c r="K322">
        <v>20230724</v>
      </c>
      <c r="L322" t="s">
        <v>6551</v>
      </c>
      <c r="M322">
        <v>0</v>
      </c>
      <c r="N322">
        <v>40</v>
      </c>
      <c r="O322" t="s">
        <v>19</v>
      </c>
      <c r="P322" t="s">
        <v>20</v>
      </c>
      <c r="Q322">
        <v>20230724</v>
      </c>
    </row>
    <row r="323" spans="1:17" x14ac:dyDescent="0.25">
      <c r="A323" t="s">
        <v>548</v>
      </c>
      <c r="B323" t="s">
        <v>429</v>
      </c>
      <c r="C323">
        <v>2</v>
      </c>
      <c r="D323">
        <v>20230724</v>
      </c>
      <c r="E323">
        <v>7</v>
      </c>
      <c r="F323">
        <v>531105</v>
      </c>
      <c r="G323" t="s">
        <v>429</v>
      </c>
      <c r="H323" t="s">
        <v>401</v>
      </c>
      <c r="I323" t="s">
        <v>402</v>
      </c>
      <c r="J323">
        <v>375281</v>
      </c>
      <c r="K323">
        <v>20230724</v>
      </c>
      <c r="L323" t="s">
        <v>565</v>
      </c>
      <c r="M323">
        <v>88.17</v>
      </c>
      <c r="N323">
        <v>0</v>
      </c>
      <c r="O323" t="s">
        <v>19</v>
      </c>
      <c r="P323" t="s">
        <v>20</v>
      </c>
      <c r="Q323">
        <v>20230724</v>
      </c>
    </row>
    <row r="324" spans="1:17" x14ac:dyDescent="0.25">
      <c r="A324" t="s">
        <v>715</v>
      </c>
      <c r="B324" t="s">
        <v>432</v>
      </c>
      <c r="C324">
        <v>3</v>
      </c>
      <c r="D324">
        <v>20230703</v>
      </c>
      <c r="E324">
        <v>7</v>
      </c>
      <c r="F324">
        <v>401000</v>
      </c>
      <c r="G324" t="s">
        <v>41</v>
      </c>
      <c r="H324" t="s">
        <v>52</v>
      </c>
      <c r="I324" t="s">
        <v>53</v>
      </c>
      <c r="J324" t="s">
        <v>6550</v>
      </c>
      <c r="K324">
        <v>20230703</v>
      </c>
      <c r="L324" t="s">
        <v>6549</v>
      </c>
      <c r="M324">
        <v>68.59</v>
      </c>
      <c r="N324">
        <v>0</v>
      </c>
      <c r="O324" t="s">
        <v>23</v>
      </c>
      <c r="P324">
        <v>20230927</v>
      </c>
      <c r="Q324">
        <v>20230703</v>
      </c>
    </row>
    <row r="325" spans="1:17" x14ac:dyDescent="0.25">
      <c r="A325" t="s">
        <v>715</v>
      </c>
      <c r="B325" t="s">
        <v>432</v>
      </c>
      <c r="C325">
        <v>3</v>
      </c>
      <c r="D325">
        <v>20230703</v>
      </c>
      <c r="E325">
        <v>7</v>
      </c>
      <c r="F325">
        <v>512200</v>
      </c>
      <c r="G325" t="s">
        <v>432</v>
      </c>
      <c r="H325" t="s">
        <v>401</v>
      </c>
      <c r="I325" t="s">
        <v>402</v>
      </c>
      <c r="J325" t="s">
        <v>6550</v>
      </c>
      <c r="K325">
        <v>20230703</v>
      </c>
      <c r="L325" t="s">
        <v>6549</v>
      </c>
      <c r="M325">
        <v>0</v>
      </c>
      <c r="N325">
        <v>68.59</v>
      </c>
      <c r="O325" t="s">
        <v>19</v>
      </c>
      <c r="P325" t="s">
        <v>20</v>
      </c>
      <c r="Q325">
        <v>20230703</v>
      </c>
    </row>
    <row r="326" spans="1:17" x14ac:dyDescent="0.25">
      <c r="A326" t="s">
        <v>715</v>
      </c>
      <c r="B326" t="s">
        <v>432</v>
      </c>
      <c r="C326">
        <v>3</v>
      </c>
      <c r="D326">
        <v>20230703</v>
      </c>
      <c r="E326">
        <v>7</v>
      </c>
      <c r="F326">
        <v>401000</v>
      </c>
      <c r="G326" t="s">
        <v>41</v>
      </c>
      <c r="H326" t="s">
        <v>52</v>
      </c>
      <c r="I326" t="s">
        <v>53</v>
      </c>
      <c r="J326" t="s">
        <v>6548</v>
      </c>
      <c r="K326">
        <v>20230703</v>
      </c>
      <c r="L326" t="s">
        <v>6547</v>
      </c>
      <c r="M326">
        <v>416.59</v>
      </c>
      <c r="N326">
        <v>0</v>
      </c>
      <c r="O326" t="s">
        <v>23</v>
      </c>
      <c r="P326">
        <v>20230927</v>
      </c>
      <c r="Q326">
        <v>20230703</v>
      </c>
    </row>
    <row r="327" spans="1:17" x14ac:dyDescent="0.25">
      <c r="A327" t="s">
        <v>715</v>
      </c>
      <c r="B327" t="s">
        <v>432</v>
      </c>
      <c r="C327">
        <v>3</v>
      </c>
      <c r="D327">
        <v>20230703</v>
      </c>
      <c r="E327">
        <v>7</v>
      </c>
      <c r="F327">
        <v>512200</v>
      </c>
      <c r="G327" t="s">
        <v>432</v>
      </c>
      <c r="H327" t="s">
        <v>401</v>
      </c>
      <c r="I327" t="s">
        <v>402</v>
      </c>
      <c r="J327" t="s">
        <v>6548</v>
      </c>
      <c r="K327">
        <v>20230703</v>
      </c>
      <c r="L327" t="s">
        <v>6547</v>
      </c>
      <c r="M327">
        <v>0</v>
      </c>
      <c r="N327">
        <v>416.59</v>
      </c>
      <c r="O327" t="s">
        <v>19</v>
      </c>
      <c r="P327" t="s">
        <v>20</v>
      </c>
      <c r="Q327">
        <v>20230703</v>
      </c>
    </row>
    <row r="328" spans="1:17" x14ac:dyDescent="0.25">
      <c r="A328" t="s">
        <v>715</v>
      </c>
      <c r="B328" t="s">
        <v>432</v>
      </c>
      <c r="C328">
        <v>3</v>
      </c>
      <c r="D328">
        <v>20230707</v>
      </c>
      <c r="E328">
        <v>7</v>
      </c>
      <c r="F328">
        <v>401000</v>
      </c>
      <c r="G328" t="s">
        <v>41</v>
      </c>
      <c r="H328" t="s">
        <v>52</v>
      </c>
      <c r="I328" t="s">
        <v>53</v>
      </c>
      <c r="J328" t="s">
        <v>6546</v>
      </c>
      <c r="K328">
        <v>20230707</v>
      </c>
      <c r="L328" t="s">
        <v>6545</v>
      </c>
      <c r="M328">
        <v>62.4</v>
      </c>
      <c r="N328">
        <v>0</v>
      </c>
      <c r="O328" t="s">
        <v>23</v>
      </c>
      <c r="P328">
        <v>20230927</v>
      </c>
      <c r="Q328">
        <v>20230707</v>
      </c>
    </row>
    <row r="329" spans="1:17" x14ac:dyDescent="0.25">
      <c r="A329" t="s">
        <v>715</v>
      </c>
      <c r="B329" t="s">
        <v>432</v>
      </c>
      <c r="C329">
        <v>3</v>
      </c>
      <c r="D329">
        <v>20230707</v>
      </c>
      <c r="E329">
        <v>7</v>
      </c>
      <c r="F329">
        <v>512200</v>
      </c>
      <c r="G329" t="s">
        <v>432</v>
      </c>
      <c r="H329" t="s">
        <v>401</v>
      </c>
      <c r="I329" t="s">
        <v>402</v>
      </c>
      <c r="J329" t="s">
        <v>6546</v>
      </c>
      <c r="K329">
        <v>20230707</v>
      </c>
      <c r="L329" t="s">
        <v>6545</v>
      </c>
      <c r="M329">
        <v>0</v>
      </c>
      <c r="N329">
        <v>62.4</v>
      </c>
      <c r="O329" t="s">
        <v>19</v>
      </c>
      <c r="P329" t="s">
        <v>20</v>
      </c>
      <c r="Q329">
        <v>20230707</v>
      </c>
    </row>
    <row r="330" spans="1:17" x14ac:dyDescent="0.25">
      <c r="A330" t="s">
        <v>715</v>
      </c>
      <c r="B330" t="s">
        <v>432</v>
      </c>
      <c r="C330">
        <v>3</v>
      </c>
      <c r="D330">
        <v>20230707</v>
      </c>
      <c r="E330">
        <v>7</v>
      </c>
      <c r="F330">
        <v>401000</v>
      </c>
      <c r="G330" t="s">
        <v>41</v>
      </c>
      <c r="H330" t="s">
        <v>2392</v>
      </c>
      <c r="I330" t="s">
        <v>2393</v>
      </c>
      <c r="J330" t="s">
        <v>6544</v>
      </c>
      <c r="K330">
        <v>20230707</v>
      </c>
      <c r="L330" t="s">
        <v>4446</v>
      </c>
      <c r="M330">
        <v>464</v>
      </c>
      <c r="N330">
        <v>0</v>
      </c>
      <c r="O330" t="s">
        <v>23</v>
      </c>
      <c r="P330">
        <v>20230908</v>
      </c>
      <c r="Q330">
        <v>20230707</v>
      </c>
    </row>
    <row r="331" spans="1:17" x14ac:dyDescent="0.25">
      <c r="A331" t="s">
        <v>715</v>
      </c>
      <c r="B331" t="s">
        <v>432</v>
      </c>
      <c r="C331">
        <v>3</v>
      </c>
      <c r="D331">
        <v>20230707</v>
      </c>
      <c r="E331">
        <v>7</v>
      </c>
      <c r="F331">
        <v>512200</v>
      </c>
      <c r="G331" t="s">
        <v>432</v>
      </c>
      <c r="H331" t="s">
        <v>401</v>
      </c>
      <c r="I331" t="s">
        <v>402</v>
      </c>
      <c r="J331" t="s">
        <v>6544</v>
      </c>
      <c r="K331">
        <v>20230707</v>
      </c>
      <c r="L331" t="s">
        <v>4446</v>
      </c>
      <c r="M331">
        <v>0</v>
      </c>
      <c r="N331">
        <v>464</v>
      </c>
      <c r="O331" t="s">
        <v>19</v>
      </c>
      <c r="P331" t="s">
        <v>20</v>
      </c>
      <c r="Q331">
        <v>20230707</v>
      </c>
    </row>
    <row r="332" spans="1:17" x14ac:dyDescent="0.25">
      <c r="A332" t="s">
        <v>715</v>
      </c>
      <c r="B332" t="s">
        <v>432</v>
      </c>
      <c r="C332">
        <v>3</v>
      </c>
      <c r="D332">
        <v>20230710</v>
      </c>
      <c r="E332">
        <v>7</v>
      </c>
      <c r="F332">
        <v>627000</v>
      </c>
      <c r="G332" t="s">
        <v>480</v>
      </c>
      <c r="H332" t="s">
        <v>401</v>
      </c>
      <c r="I332" t="s">
        <v>402</v>
      </c>
      <c r="J332" t="s">
        <v>6543</v>
      </c>
      <c r="K332">
        <v>20230710</v>
      </c>
      <c r="L332" t="s">
        <v>4488</v>
      </c>
      <c r="M332">
        <v>15.88</v>
      </c>
      <c r="N332">
        <v>0</v>
      </c>
      <c r="O332" t="s">
        <v>19</v>
      </c>
      <c r="P332" t="s">
        <v>20</v>
      </c>
      <c r="Q332">
        <v>20230710</v>
      </c>
    </row>
    <row r="333" spans="1:17" x14ac:dyDescent="0.25">
      <c r="A333" t="s">
        <v>715</v>
      </c>
      <c r="B333" t="s">
        <v>432</v>
      </c>
      <c r="C333">
        <v>3</v>
      </c>
      <c r="D333">
        <v>20230710</v>
      </c>
      <c r="E333">
        <v>7</v>
      </c>
      <c r="F333">
        <v>512200</v>
      </c>
      <c r="G333" t="s">
        <v>432</v>
      </c>
      <c r="H333" t="s">
        <v>401</v>
      </c>
      <c r="I333" t="s">
        <v>402</v>
      </c>
      <c r="J333" t="s">
        <v>6543</v>
      </c>
      <c r="K333">
        <v>20230710</v>
      </c>
      <c r="L333" t="s">
        <v>4488</v>
      </c>
      <c r="M333">
        <v>0</v>
      </c>
      <c r="N333">
        <v>15.88</v>
      </c>
      <c r="O333" t="s">
        <v>19</v>
      </c>
      <c r="P333" t="s">
        <v>20</v>
      </c>
      <c r="Q333">
        <v>20230710</v>
      </c>
    </row>
    <row r="334" spans="1:17" x14ac:dyDescent="0.25">
      <c r="A334" t="s">
        <v>715</v>
      </c>
      <c r="B334" t="s">
        <v>432</v>
      </c>
      <c r="C334">
        <v>3</v>
      </c>
      <c r="D334">
        <v>20230712</v>
      </c>
      <c r="E334">
        <v>7</v>
      </c>
      <c r="F334">
        <v>471000</v>
      </c>
      <c r="G334" t="s">
        <v>4801</v>
      </c>
      <c r="H334" t="s">
        <v>401</v>
      </c>
      <c r="I334" t="s">
        <v>402</v>
      </c>
      <c r="J334" t="s">
        <v>6542</v>
      </c>
      <c r="K334">
        <v>20230712</v>
      </c>
      <c r="L334" t="s">
        <v>6541</v>
      </c>
      <c r="M334">
        <v>70.45</v>
      </c>
      <c r="N334">
        <v>0</v>
      </c>
      <c r="O334" t="s">
        <v>19</v>
      </c>
      <c r="P334" t="s">
        <v>20</v>
      </c>
      <c r="Q334">
        <v>20230712</v>
      </c>
    </row>
    <row r="335" spans="1:17" x14ac:dyDescent="0.25">
      <c r="A335" t="s">
        <v>715</v>
      </c>
      <c r="B335" t="s">
        <v>432</v>
      </c>
      <c r="C335">
        <v>3</v>
      </c>
      <c r="D335">
        <v>20230712</v>
      </c>
      <c r="E335">
        <v>7</v>
      </c>
      <c r="F335">
        <v>512200</v>
      </c>
      <c r="G335" t="s">
        <v>432</v>
      </c>
      <c r="H335" t="s">
        <v>401</v>
      </c>
      <c r="I335" t="s">
        <v>402</v>
      </c>
      <c r="J335" t="s">
        <v>6542</v>
      </c>
      <c r="K335">
        <v>20230712</v>
      </c>
      <c r="L335" t="s">
        <v>6541</v>
      </c>
      <c r="M335">
        <v>0</v>
      </c>
      <c r="N335">
        <v>70.45</v>
      </c>
      <c r="O335" t="s">
        <v>19</v>
      </c>
      <c r="P335" t="s">
        <v>20</v>
      </c>
      <c r="Q335">
        <v>20230712</v>
      </c>
    </row>
    <row r="336" spans="1:17" x14ac:dyDescent="0.25">
      <c r="A336" t="s">
        <v>715</v>
      </c>
      <c r="B336" t="s">
        <v>432</v>
      </c>
      <c r="C336">
        <v>3</v>
      </c>
      <c r="D336">
        <v>20230713</v>
      </c>
      <c r="E336">
        <v>7</v>
      </c>
      <c r="F336">
        <v>512200</v>
      </c>
      <c r="G336" t="s">
        <v>432</v>
      </c>
      <c r="H336" t="s">
        <v>401</v>
      </c>
      <c r="I336" t="s">
        <v>402</v>
      </c>
      <c r="J336" t="s">
        <v>6540</v>
      </c>
      <c r="K336">
        <v>20230713</v>
      </c>
      <c r="L336" t="s">
        <v>6539</v>
      </c>
      <c r="M336">
        <v>1429.41</v>
      </c>
      <c r="N336">
        <v>0</v>
      </c>
      <c r="O336" t="s">
        <v>19</v>
      </c>
      <c r="P336" t="s">
        <v>20</v>
      </c>
      <c r="Q336">
        <v>20230713</v>
      </c>
    </row>
    <row r="337" spans="1:17" x14ac:dyDescent="0.25">
      <c r="A337" t="s">
        <v>715</v>
      </c>
      <c r="B337" t="s">
        <v>432</v>
      </c>
      <c r="C337">
        <v>3</v>
      </c>
      <c r="D337">
        <v>20230713</v>
      </c>
      <c r="E337">
        <v>7</v>
      </c>
      <c r="F337">
        <v>511000</v>
      </c>
      <c r="G337" t="s">
        <v>431</v>
      </c>
      <c r="H337" t="s">
        <v>401</v>
      </c>
      <c r="I337" t="s">
        <v>402</v>
      </c>
      <c r="J337" t="s">
        <v>6540</v>
      </c>
      <c r="K337">
        <v>20230713</v>
      </c>
      <c r="L337" t="s">
        <v>6539</v>
      </c>
      <c r="M337">
        <v>0</v>
      </c>
      <c r="N337">
        <v>1429.41</v>
      </c>
      <c r="O337" t="s">
        <v>23</v>
      </c>
      <c r="P337">
        <v>20230904</v>
      </c>
      <c r="Q337">
        <v>20230713</v>
      </c>
    </row>
    <row r="338" spans="1:17" x14ac:dyDescent="0.25">
      <c r="A338" t="s">
        <v>715</v>
      </c>
      <c r="B338" t="s">
        <v>432</v>
      </c>
      <c r="C338">
        <v>3</v>
      </c>
      <c r="D338">
        <v>20230713</v>
      </c>
      <c r="E338">
        <v>7</v>
      </c>
      <c r="F338">
        <v>512200</v>
      </c>
      <c r="G338" t="s">
        <v>432</v>
      </c>
      <c r="H338" t="s">
        <v>401</v>
      </c>
      <c r="I338" t="s">
        <v>402</v>
      </c>
      <c r="J338" t="s">
        <v>6538</v>
      </c>
      <c r="K338">
        <v>20230713</v>
      </c>
      <c r="L338" t="s">
        <v>6537</v>
      </c>
      <c r="M338">
        <v>10133.27</v>
      </c>
      <c r="N338">
        <v>0</v>
      </c>
      <c r="O338" t="s">
        <v>19</v>
      </c>
      <c r="P338" t="s">
        <v>20</v>
      </c>
      <c r="Q338">
        <v>20230713</v>
      </c>
    </row>
    <row r="339" spans="1:17" x14ac:dyDescent="0.25">
      <c r="A339" t="s">
        <v>715</v>
      </c>
      <c r="B339" t="s">
        <v>432</v>
      </c>
      <c r="C339">
        <v>3</v>
      </c>
      <c r="D339">
        <v>20230713</v>
      </c>
      <c r="E339">
        <v>7</v>
      </c>
      <c r="F339">
        <v>511000</v>
      </c>
      <c r="G339" t="s">
        <v>431</v>
      </c>
      <c r="H339" t="s">
        <v>401</v>
      </c>
      <c r="I339" t="s">
        <v>402</v>
      </c>
      <c r="J339" t="s">
        <v>6538</v>
      </c>
      <c r="K339">
        <v>20230713</v>
      </c>
      <c r="L339" t="s">
        <v>6537</v>
      </c>
      <c r="M339">
        <v>0</v>
      </c>
      <c r="N339">
        <v>10133.27</v>
      </c>
      <c r="O339" t="s">
        <v>23</v>
      </c>
      <c r="P339">
        <v>20230904</v>
      </c>
      <c r="Q339">
        <v>20230713</v>
      </c>
    </row>
    <row r="340" spans="1:17" x14ac:dyDescent="0.25">
      <c r="A340" t="s">
        <v>715</v>
      </c>
      <c r="B340" t="s">
        <v>432</v>
      </c>
      <c r="C340">
        <v>3</v>
      </c>
      <c r="D340">
        <v>20230713</v>
      </c>
      <c r="E340">
        <v>7</v>
      </c>
      <c r="F340">
        <v>512200</v>
      </c>
      <c r="G340" t="s">
        <v>432</v>
      </c>
      <c r="H340" t="s">
        <v>401</v>
      </c>
      <c r="I340" t="s">
        <v>402</v>
      </c>
      <c r="J340" t="s">
        <v>6536</v>
      </c>
      <c r="K340">
        <v>20230713</v>
      </c>
      <c r="L340" t="s">
        <v>6535</v>
      </c>
      <c r="M340">
        <v>537.37</v>
      </c>
      <c r="N340">
        <v>0</v>
      </c>
      <c r="O340" t="s">
        <v>19</v>
      </c>
      <c r="P340" t="s">
        <v>20</v>
      </c>
      <c r="Q340">
        <v>20230713</v>
      </c>
    </row>
    <row r="341" spans="1:17" x14ac:dyDescent="0.25">
      <c r="A341" t="s">
        <v>715</v>
      </c>
      <c r="B341" t="s">
        <v>432</v>
      </c>
      <c r="C341">
        <v>3</v>
      </c>
      <c r="D341">
        <v>20230713</v>
      </c>
      <c r="E341">
        <v>7</v>
      </c>
      <c r="F341">
        <v>511000</v>
      </c>
      <c r="G341" t="s">
        <v>431</v>
      </c>
      <c r="H341" t="s">
        <v>401</v>
      </c>
      <c r="I341" t="s">
        <v>402</v>
      </c>
      <c r="J341" t="s">
        <v>6536</v>
      </c>
      <c r="K341">
        <v>20230713</v>
      </c>
      <c r="L341" t="s">
        <v>6535</v>
      </c>
      <c r="M341">
        <v>0</v>
      </c>
      <c r="N341">
        <v>537.37</v>
      </c>
      <c r="O341" t="s">
        <v>19</v>
      </c>
      <c r="P341" t="s">
        <v>20</v>
      </c>
      <c r="Q341">
        <v>20230713</v>
      </c>
    </row>
    <row r="342" spans="1:17" x14ac:dyDescent="0.25">
      <c r="A342" t="s">
        <v>715</v>
      </c>
      <c r="B342" t="s">
        <v>432</v>
      </c>
      <c r="C342">
        <v>3</v>
      </c>
      <c r="D342">
        <v>20230718</v>
      </c>
      <c r="E342">
        <v>7</v>
      </c>
      <c r="F342">
        <v>401000</v>
      </c>
      <c r="G342" t="s">
        <v>41</v>
      </c>
      <c r="H342" t="s">
        <v>52</v>
      </c>
      <c r="I342" t="s">
        <v>53</v>
      </c>
      <c r="J342" t="s">
        <v>6534</v>
      </c>
      <c r="K342">
        <v>20230718</v>
      </c>
      <c r="L342" t="s">
        <v>6533</v>
      </c>
      <c r="M342">
        <v>66</v>
      </c>
      <c r="N342">
        <v>0</v>
      </c>
      <c r="O342" t="s">
        <v>23</v>
      </c>
      <c r="P342">
        <v>20230927</v>
      </c>
      <c r="Q342">
        <v>20230718</v>
      </c>
    </row>
    <row r="343" spans="1:17" x14ac:dyDescent="0.25">
      <c r="A343" t="s">
        <v>715</v>
      </c>
      <c r="B343" t="s">
        <v>432</v>
      </c>
      <c r="C343">
        <v>3</v>
      </c>
      <c r="D343">
        <v>20230718</v>
      </c>
      <c r="E343">
        <v>7</v>
      </c>
      <c r="F343">
        <v>512200</v>
      </c>
      <c r="G343" t="s">
        <v>432</v>
      </c>
      <c r="H343" t="s">
        <v>401</v>
      </c>
      <c r="I343" t="s">
        <v>402</v>
      </c>
      <c r="J343" t="s">
        <v>6534</v>
      </c>
      <c r="K343">
        <v>20230718</v>
      </c>
      <c r="L343" t="s">
        <v>6533</v>
      </c>
      <c r="M343">
        <v>0</v>
      </c>
      <c r="N343">
        <v>66</v>
      </c>
      <c r="O343" t="s">
        <v>19</v>
      </c>
      <c r="P343" t="s">
        <v>20</v>
      </c>
      <c r="Q343">
        <v>20230718</v>
      </c>
    </row>
    <row r="344" spans="1:17" x14ac:dyDescent="0.25">
      <c r="A344" t="s">
        <v>715</v>
      </c>
      <c r="B344" t="s">
        <v>432</v>
      </c>
      <c r="C344">
        <v>3</v>
      </c>
      <c r="D344">
        <v>20230719</v>
      </c>
      <c r="E344">
        <v>7</v>
      </c>
      <c r="F344">
        <v>512200</v>
      </c>
      <c r="G344" t="s">
        <v>432</v>
      </c>
      <c r="H344" t="s">
        <v>401</v>
      </c>
      <c r="I344" t="s">
        <v>402</v>
      </c>
      <c r="J344" t="s">
        <v>6532</v>
      </c>
      <c r="K344">
        <v>20230719</v>
      </c>
      <c r="L344" t="s">
        <v>6528</v>
      </c>
      <c r="M344">
        <v>1745.25</v>
      </c>
      <c r="N344">
        <v>0</v>
      </c>
      <c r="O344" t="s">
        <v>19</v>
      </c>
      <c r="P344" t="s">
        <v>20</v>
      </c>
      <c r="Q344">
        <v>20230719</v>
      </c>
    </row>
    <row r="345" spans="1:17" x14ac:dyDescent="0.25">
      <c r="A345" t="s">
        <v>715</v>
      </c>
      <c r="B345" t="s">
        <v>432</v>
      </c>
      <c r="C345">
        <v>3</v>
      </c>
      <c r="D345">
        <v>20230719</v>
      </c>
      <c r="E345">
        <v>7</v>
      </c>
      <c r="F345">
        <v>511001</v>
      </c>
      <c r="G345" t="s">
        <v>434</v>
      </c>
      <c r="H345" t="s">
        <v>401</v>
      </c>
      <c r="I345" t="s">
        <v>402</v>
      </c>
      <c r="J345" t="s">
        <v>6532</v>
      </c>
      <c r="K345">
        <v>20230719</v>
      </c>
      <c r="L345" t="s">
        <v>6528</v>
      </c>
      <c r="M345">
        <v>0</v>
      </c>
      <c r="N345">
        <v>1799</v>
      </c>
      <c r="O345" t="s">
        <v>19</v>
      </c>
      <c r="P345" t="s">
        <v>20</v>
      </c>
      <c r="Q345">
        <v>20230719</v>
      </c>
    </row>
    <row r="346" spans="1:17" x14ac:dyDescent="0.25">
      <c r="A346" t="s">
        <v>715</v>
      </c>
      <c r="B346" t="s">
        <v>432</v>
      </c>
      <c r="C346">
        <v>3</v>
      </c>
      <c r="D346">
        <v>20230719</v>
      </c>
      <c r="E346">
        <v>7</v>
      </c>
      <c r="F346">
        <v>401000</v>
      </c>
      <c r="G346" t="s">
        <v>41</v>
      </c>
      <c r="H346" t="s">
        <v>125</v>
      </c>
      <c r="I346" t="s">
        <v>126</v>
      </c>
      <c r="J346" t="s">
        <v>6531</v>
      </c>
      <c r="K346">
        <v>20230719</v>
      </c>
      <c r="L346" t="s">
        <v>6530</v>
      </c>
      <c r="M346">
        <v>200</v>
      </c>
      <c r="N346">
        <v>0</v>
      </c>
      <c r="O346" t="s">
        <v>23</v>
      </c>
      <c r="P346">
        <v>20230918</v>
      </c>
      <c r="Q346">
        <v>20230719</v>
      </c>
    </row>
    <row r="347" spans="1:17" x14ac:dyDescent="0.25">
      <c r="A347" t="s">
        <v>715</v>
      </c>
      <c r="B347" t="s">
        <v>432</v>
      </c>
      <c r="C347">
        <v>3</v>
      </c>
      <c r="D347">
        <v>20230719</v>
      </c>
      <c r="E347">
        <v>7</v>
      </c>
      <c r="F347">
        <v>512200</v>
      </c>
      <c r="G347" t="s">
        <v>432</v>
      </c>
      <c r="H347" t="s">
        <v>401</v>
      </c>
      <c r="I347" t="s">
        <v>402</v>
      </c>
      <c r="J347" t="s">
        <v>6531</v>
      </c>
      <c r="K347">
        <v>20230719</v>
      </c>
      <c r="L347" t="s">
        <v>6530</v>
      </c>
      <c r="M347">
        <v>0</v>
      </c>
      <c r="N347">
        <v>200</v>
      </c>
      <c r="O347" t="s">
        <v>19</v>
      </c>
      <c r="P347" t="s">
        <v>20</v>
      </c>
      <c r="Q347">
        <v>20230719</v>
      </c>
    </row>
    <row r="348" spans="1:17" x14ac:dyDescent="0.25">
      <c r="A348" t="s">
        <v>715</v>
      </c>
      <c r="B348" t="s">
        <v>432</v>
      </c>
      <c r="C348">
        <v>3</v>
      </c>
      <c r="D348">
        <v>20230719</v>
      </c>
      <c r="E348">
        <v>7</v>
      </c>
      <c r="F348">
        <v>627400</v>
      </c>
      <c r="G348" t="s">
        <v>722</v>
      </c>
      <c r="H348" t="s">
        <v>401</v>
      </c>
      <c r="I348" t="s">
        <v>402</v>
      </c>
      <c r="J348" t="s">
        <v>6529</v>
      </c>
      <c r="K348">
        <v>20230719</v>
      </c>
      <c r="L348" t="s">
        <v>6528</v>
      </c>
      <c r="M348">
        <v>53.75</v>
      </c>
      <c r="N348">
        <v>0</v>
      </c>
      <c r="O348" t="s">
        <v>19</v>
      </c>
      <c r="P348" t="s">
        <v>20</v>
      </c>
      <c r="Q348">
        <v>20230719</v>
      </c>
    </row>
    <row r="349" spans="1:17" x14ac:dyDescent="0.25">
      <c r="A349" t="s">
        <v>715</v>
      </c>
      <c r="B349" t="s">
        <v>432</v>
      </c>
      <c r="C349">
        <v>3</v>
      </c>
      <c r="D349">
        <v>20230719</v>
      </c>
      <c r="E349">
        <v>7</v>
      </c>
      <c r="F349">
        <v>401000</v>
      </c>
      <c r="G349" t="s">
        <v>41</v>
      </c>
      <c r="H349" t="s">
        <v>2761</v>
      </c>
      <c r="I349" t="s">
        <v>2762</v>
      </c>
      <c r="J349" t="s">
        <v>6527</v>
      </c>
      <c r="K349">
        <v>20230719</v>
      </c>
      <c r="L349" t="s">
        <v>6526</v>
      </c>
      <c r="M349">
        <v>244.8</v>
      </c>
      <c r="N349">
        <v>0</v>
      </c>
      <c r="O349" t="s">
        <v>23</v>
      </c>
      <c r="P349">
        <v>20230918</v>
      </c>
      <c r="Q349">
        <v>20230719</v>
      </c>
    </row>
    <row r="350" spans="1:17" x14ac:dyDescent="0.25">
      <c r="A350" t="s">
        <v>715</v>
      </c>
      <c r="B350" t="s">
        <v>432</v>
      </c>
      <c r="C350">
        <v>3</v>
      </c>
      <c r="D350">
        <v>20230719</v>
      </c>
      <c r="E350">
        <v>7</v>
      </c>
      <c r="F350">
        <v>512200</v>
      </c>
      <c r="G350" t="s">
        <v>432</v>
      </c>
      <c r="H350" t="s">
        <v>401</v>
      </c>
      <c r="I350" t="s">
        <v>402</v>
      </c>
      <c r="J350" t="s">
        <v>6527</v>
      </c>
      <c r="K350">
        <v>20230719</v>
      </c>
      <c r="L350" t="s">
        <v>6526</v>
      </c>
      <c r="M350">
        <v>0</v>
      </c>
      <c r="N350">
        <v>244.8</v>
      </c>
      <c r="O350" t="s">
        <v>19</v>
      </c>
      <c r="P350" t="s">
        <v>20</v>
      </c>
      <c r="Q350">
        <v>20230719</v>
      </c>
    </row>
    <row r="351" spans="1:17" x14ac:dyDescent="0.25">
      <c r="A351" t="s">
        <v>715</v>
      </c>
      <c r="B351" t="s">
        <v>432</v>
      </c>
      <c r="C351">
        <v>3</v>
      </c>
      <c r="D351">
        <v>20230719</v>
      </c>
      <c r="E351">
        <v>7</v>
      </c>
      <c r="F351">
        <v>401000</v>
      </c>
      <c r="G351" t="s">
        <v>41</v>
      </c>
      <c r="H351" t="s">
        <v>2055</v>
      </c>
      <c r="I351" t="s">
        <v>2056</v>
      </c>
      <c r="J351" t="s">
        <v>6525</v>
      </c>
      <c r="K351">
        <v>20230719</v>
      </c>
      <c r="L351" t="s">
        <v>6524</v>
      </c>
      <c r="M351">
        <v>38</v>
      </c>
      <c r="N351">
        <v>0</v>
      </c>
      <c r="O351" t="s">
        <v>19</v>
      </c>
      <c r="P351" t="s">
        <v>20</v>
      </c>
      <c r="Q351">
        <v>20230719</v>
      </c>
    </row>
    <row r="352" spans="1:17" x14ac:dyDescent="0.25">
      <c r="A352" t="s">
        <v>715</v>
      </c>
      <c r="B352" t="s">
        <v>432</v>
      </c>
      <c r="C352">
        <v>3</v>
      </c>
      <c r="D352">
        <v>20230719</v>
      </c>
      <c r="E352">
        <v>7</v>
      </c>
      <c r="F352">
        <v>512200</v>
      </c>
      <c r="G352" t="s">
        <v>432</v>
      </c>
      <c r="H352" t="s">
        <v>401</v>
      </c>
      <c r="I352" t="s">
        <v>402</v>
      </c>
      <c r="J352" t="s">
        <v>6525</v>
      </c>
      <c r="K352">
        <v>20230719</v>
      </c>
      <c r="L352" t="s">
        <v>6524</v>
      </c>
      <c r="M352">
        <v>0</v>
      </c>
      <c r="N352">
        <v>38</v>
      </c>
      <c r="O352" t="s">
        <v>19</v>
      </c>
      <c r="P352" t="s">
        <v>20</v>
      </c>
      <c r="Q352">
        <v>20230719</v>
      </c>
    </row>
    <row r="353" spans="1:17" x14ac:dyDescent="0.25">
      <c r="A353" t="s">
        <v>715</v>
      </c>
      <c r="B353" t="s">
        <v>432</v>
      </c>
      <c r="C353">
        <v>3</v>
      </c>
      <c r="D353">
        <v>20230720</v>
      </c>
      <c r="E353">
        <v>7</v>
      </c>
      <c r="F353">
        <v>512200</v>
      </c>
      <c r="G353" t="s">
        <v>432</v>
      </c>
      <c r="H353" t="s">
        <v>401</v>
      </c>
      <c r="I353" t="s">
        <v>402</v>
      </c>
      <c r="J353" t="s">
        <v>6523</v>
      </c>
      <c r="K353">
        <v>20230720</v>
      </c>
      <c r="L353" t="s">
        <v>625</v>
      </c>
      <c r="M353">
        <v>8040</v>
      </c>
      <c r="N353">
        <v>0</v>
      </c>
      <c r="O353" t="s">
        <v>19</v>
      </c>
      <c r="P353" t="s">
        <v>20</v>
      </c>
      <c r="Q353">
        <v>20230720</v>
      </c>
    </row>
    <row r="354" spans="1:17" x14ac:dyDescent="0.25">
      <c r="A354" t="s">
        <v>715</v>
      </c>
      <c r="B354" t="s">
        <v>432</v>
      </c>
      <c r="C354">
        <v>3</v>
      </c>
      <c r="D354">
        <v>20230720</v>
      </c>
      <c r="E354">
        <v>7</v>
      </c>
      <c r="F354">
        <v>580000</v>
      </c>
      <c r="G354" t="s">
        <v>532</v>
      </c>
      <c r="H354" t="s">
        <v>401</v>
      </c>
      <c r="I354" t="s">
        <v>402</v>
      </c>
      <c r="J354" t="s">
        <v>6523</v>
      </c>
      <c r="K354">
        <v>20230720</v>
      </c>
      <c r="L354" t="s">
        <v>625</v>
      </c>
      <c r="M354">
        <v>0</v>
      </c>
      <c r="N354">
        <v>8040</v>
      </c>
      <c r="O354" t="s">
        <v>22</v>
      </c>
      <c r="P354">
        <v>20230724</v>
      </c>
      <c r="Q354">
        <v>20230720</v>
      </c>
    </row>
    <row r="355" spans="1:17" x14ac:dyDescent="0.25">
      <c r="A355" t="s">
        <v>715</v>
      </c>
      <c r="B355" t="s">
        <v>432</v>
      </c>
      <c r="C355">
        <v>3</v>
      </c>
      <c r="D355">
        <v>20230725</v>
      </c>
      <c r="E355">
        <v>7</v>
      </c>
      <c r="F355">
        <v>512200</v>
      </c>
      <c r="G355" t="s">
        <v>432</v>
      </c>
      <c r="H355" t="s">
        <v>401</v>
      </c>
      <c r="I355" t="s">
        <v>402</v>
      </c>
      <c r="J355" t="s">
        <v>6522</v>
      </c>
      <c r="K355">
        <v>20230725</v>
      </c>
      <c r="L355" t="s">
        <v>6520</v>
      </c>
      <c r="M355">
        <v>654.17999999999995</v>
      </c>
      <c r="N355">
        <v>0</v>
      </c>
      <c r="O355" t="s">
        <v>19</v>
      </c>
      <c r="P355" t="s">
        <v>20</v>
      </c>
      <c r="Q355">
        <v>20230725</v>
      </c>
    </row>
    <row r="356" spans="1:17" x14ac:dyDescent="0.25">
      <c r="A356" t="s">
        <v>715</v>
      </c>
      <c r="B356" t="s">
        <v>432</v>
      </c>
      <c r="C356">
        <v>3</v>
      </c>
      <c r="D356">
        <v>20230725</v>
      </c>
      <c r="E356">
        <v>7</v>
      </c>
      <c r="F356">
        <v>511002</v>
      </c>
      <c r="G356" t="s">
        <v>786</v>
      </c>
      <c r="H356" t="s">
        <v>401</v>
      </c>
      <c r="I356" t="s">
        <v>402</v>
      </c>
      <c r="J356" t="s">
        <v>6522</v>
      </c>
      <c r="K356">
        <v>20230725</v>
      </c>
      <c r="L356" t="s">
        <v>6520</v>
      </c>
      <c r="M356">
        <v>0</v>
      </c>
      <c r="N356">
        <v>700</v>
      </c>
      <c r="O356" t="s">
        <v>19</v>
      </c>
      <c r="P356" t="s">
        <v>20</v>
      </c>
      <c r="Q356">
        <v>20230725</v>
      </c>
    </row>
    <row r="357" spans="1:17" x14ac:dyDescent="0.25">
      <c r="A357" t="s">
        <v>715</v>
      </c>
      <c r="B357" t="s">
        <v>432</v>
      </c>
      <c r="C357">
        <v>3</v>
      </c>
      <c r="D357">
        <v>20230725</v>
      </c>
      <c r="E357">
        <v>7</v>
      </c>
      <c r="F357">
        <v>627500</v>
      </c>
      <c r="G357" t="s">
        <v>729</v>
      </c>
      <c r="H357" t="s">
        <v>401</v>
      </c>
      <c r="I357" t="s">
        <v>402</v>
      </c>
      <c r="J357" t="s">
        <v>6521</v>
      </c>
      <c r="K357">
        <v>20230725</v>
      </c>
      <c r="L357" t="s">
        <v>6520</v>
      </c>
      <c r="M357">
        <v>45.82</v>
      </c>
      <c r="N357">
        <v>0</v>
      </c>
      <c r="O357" t="s">
        <v>19</v>
      </c>
      <c r="P357" t="s">
        <v>20</v>
      </c>
      <c r="Q357">
        <v>20230725</v>
      </c>
    </row>
    <row r="358" spans="1:17" x14ac:dyDescent="0.25">
      <c r="A358" t="s">
        <v>715</v>
      </c>
      <c r="B358" t="s">
        <v>432</v>
      </c>
      <c r="C358">
        <v>3</v>
      </c>
      <c r="D358">
        <v>20230731</v>
      </c>
      <c r="E358">
        <v>7</v>
      </c>
      <c r="F358">
        <v>512200</v>
      </c>
      <c r="G358" t="s">
        <v>432</v>
      </c>
      <c r="H358" t="s">
        <v>401</v>
      </c>
      <c r="I358" t="s">
        <v>402</v>
      </c>
      <c r="J358" t="s">
        <v>6519</v>
      </c>
      <c r="K358">
        <v>20230731</v>
      </c>
      <c r="L358" t="s">
        <v>3374</v>
      </c>
      <c r="M358">
        <v>14837.34</v>
      </c>
      <c r="N358">
        <v>0</v>
      </c>
      <c r="O358" t="s">
        <v>19</v>
      </c>
      <c r="P358" t="s">
        <v>20</v>
      </c>
      <c r="Q358">
        <v>20230731</v>
      </c>
    </row>
    <row r="359" spans="1:17" x14ac:dyDescent="0.25">
      <c r="A359" t="s">
        <v>715</v>
      </c>
      <c r="B359" t="s">
        <v>432</v>
      </c>
      <c r="C359">
        <v>3</v>
      </c>
      <c r="D359">
        <v>20230731</v>
      </c>
      <c r="E359">
        <v>7</v>
      </c>
      <c r="F359">
        <v>511000</v>
      </c>
      <c r="G359" t="s">
        <v>431</v>
      </c>
      <c r="H359" t="s">
        <v>401</v>
      </c>
      <c r="I359" t="s">
        <v>402</v>
      </c>
      <c r="J359" t="s">
        <v>6519</v>
      </c>
      <c r="K359">
        <v>20230731</v>
      </c>
      <c r="L359" t="s">
        <v>6518</v>
      </c>
      <c r="M359">
        <v>0</v>
      </c>
      <c r="N359">
        <v>14837.34</v>
      </c>
      <c r="O359" t="s">
        <v>19</v>
      </c>
      <c r="P359" t="s">
        <v>20</v>
      </c>
      <c r="Q359">
        <v>20230731</v>
      </c>
    </row>
    <row r="360" spans="1:17" x14ac:dyDescent="0.25">
      <c r="A360" t="s">
        <v>715</v>
      </c>
      <c r="B360" t="s">
        <v>432</v>
      </c>
      <c r="C360">
        <v>3</v>
      </c>
      <c r="D360">
        <v>20230731</v>
      </c>
      <c r="E360">
        <v>7</v>
      </c>
      <c r="F360">
        <v>401000</v>
      </c>
      <c r="G360" t="s">
        <v>41</v>
      </c>
      <c r="H360" t="s">
        <v>189</v>
      </c>
      <c r="I360" t="s">
        <v>190</v>
      </c>
      <c r="J360" t="s">
        <v>6517</v>
      </c>
      <c r="K360">
        <v>20230731</v>
      </c>
      <c r="L360" t="s">
        <v>191</v>
      </c>
      <c r="M360">
        <v>210.75</v>
      </c>
      <c r="N360">
        <v>0</v>
      </c>
      <c r="O360" t="s">
        <v>23</v>
      </c>
      <c r="P360">
        <v>20230908</v>
      </c>
      <c r="Q360">
        <v>20230731</v>
      </c>
    </row>
    <row r="361" spans="1:17" x14ac:dyDescent="0.25">
      <c r="A361" t="s">
        <v>715</v>
      </c>
      <c r="B361" t="s">
        <v>432</v>
      </c>
      <c r="C361">
        <v>3</v>
      </c>
      <c r="D361">
        <v>20230731</v>
      </c>
      <c r="E361">
        <v>7</v>
      </c>
      <c r="F361">
        <v>512200</v>
      </c>
      <c r="G361" t="s">
        <v>432</v>
      </c>
      <c r="H361" t="s">
        <v>401</v>
      </c>
      <c r="I361" t="s">
        <v>402</v>
      </c>
      <c r="J361" t="s">
        <v>6517</v>
      </c>
      <c r="K361">
        <v>20230731</v>
      </c>
      <c r="L361" t="s">
        <v>191</v>
      </c>
      <c r="M361">
        <v>0</v>
      </c>
      <c r="N361">
        <v>210.75</v>
      </c>
      <c r="O361" t="s">
        <v>19</v>
      </c>
      <c r="P361" t="s">
        <v>20</v>
      </c>
      <c r="Q361">
        <v>20230731</v>
      </c>
    </row>
    <row r="362" spans="1:17" x14ac:dyDescent="0.25">
      <c r="A362" t="s">
        <v>715</v>
      </c>
      <c r="B362" t="s">
        <v>432</v>
      </c>
      <c r="C362">
        <v>3</v>
      </c>
      <c r="D362">
        <v>20230731</v>
      </c>
      <c r="E362">
        <v>7</v>
      </c>
      <c r="F362">
        <v>401000</v>
      </c>
      <c r="G362" t="s">
        <v>41</v>
      </c>
      <c r="H362" t="s">
        <v>52</v>
      </c>
      <c r="I362" t="s">
        <v>53</v>
      </c>
      <c r="J362" t="s">
        <v>6516</v>
      </c>
      <c r="K362">
        <v>20230731</v>
      </c>
      <c r="L362" t="s">
        <v>6515</v>
      </c>
      <c r="M362">
        <v>68.59</v>
      </c>
      <c r="N362">
        <v>0</v>
      </c>
      <c r="O362" t="s">
        <v>23</v>
      </c>
      <c r="P362">
        <v>20230927</v>
      </c>
      <c r="Q362">
        <v>20230731</v>
      </c>
    </row>
    <row r="363" spans="1:17" x14ac:dyDescent="0.25">
      <c r="A363" t="s">
        <v>715</v>
      </c>
      <c r="B363" t="s">
        <v>432</v>
      </c>
      <c r="C363">
        <v>3</v>
      </c>
      <c r="D363">
        <v>20230731</v>
      </c>
      <c r="E363">
        <v>7</v>
      </c>
      <c r="F363">
        <v>512200</v>
      </c>
      <c r="G363" t="s">
        <v>432</v>
      </c>
      <c r="H363" t="s">
        <v>401</v>
      </c>
      <c r="I363" t="s">
        <v>402</v>
      </c>
      <c r="J363" t="s">
        <v>6516</v>
      </c>
      <c r="K363">
        <v>20230731</v>
      </c>
      <c r="L363" t="s">
        <v>6515</v>
      </c>
      <c r="M363">
        <v>0</v>
      </c>
      <c r="N363">
        <v>68.59</v>
      </c>
      <c r="O363" t="s">
        <v>19</v>
      </c>
      <c r="P363" t="s">
        <v>20</v>
      </c>
      <c r="Q363">
        <v>20230731</v>
      </c>
    </row>
    <row r="364" spans="1:17" x14ac:dyDescent="0.25">
      <c r="A364" t="s">
        <v>715</v>
      </c>
      <c r="B364" t="s">
        <v>432</v>
      </c>
      <c r="C364">
        <v>3</v>
      </c>
      <c r="D364">
        <v>20230731</v>
      </c>
      <c r="E364">
        <v>7</v>
      </c>
      <c r="F364">
        <v>401000</v>
      </c>
      <c r="G364" t="s">
        <v>41</v>
      </c>
      <c r="H364" t="s">
        <v>52</v>
      </c>
      <c r="I364" t="s">
        <v>53</v>
      </c>
      <c r="J364" t="s">
        <v>6514</v>
      </c>
      <c r="K364">
        <v>20230731</v>
      </c>
      <c r="L364" t="s">
        <v>6513</v>
      </c>
      <c r="M364">
        <v>416.28</v>
      </c>
      <c r="N364">
        <v>0</v>
      </c>
      <c r="O364" t="s">
        <v>23</v>
      </c>
      <c r="P364">
        <v>20230927</v>
      </c>
      <c r="Q364">
        <v>20230731</v>
      </c>
    </row>
    <row r="365" spans="1:17" x14ac:dyDescent="0.25">
      <c r="A365" t="s">
        <v>715</v>
      </c>
      <c r="B365" t="s">
        <v>432</v>
      </c>
      <c r="C365">
        <v>3</v>
      </c>
      <c r="D365">
        <v>20230731</v>
      </c>
      <c r="E365">
        <v>7</v>
      </c>
      <c r="F365">
        <v>512200</v>
      </c>
      <c r="G365" t="s">
        <v>432</v>
      </c>
      <c r="H365" t="s">
        <v>401</v>
      </c>
      <c r="I365" t="s">
        <v>402</v>
      </c>
      <c r="J365" t="s">
        <v>6514</v>
      </c>
      <c r="K365">
        <v>20230731</v>
      </c>
      <c r="L365" t="s">
        <v>6513</v>
      </c>
      <c r="M365">
        <v>0</v>
      </c>
      <c r="N365">
        <v>416.28</v>
      </c>
      <c r="O365" t="s">
        <v>19</v>
      </c>
      <c r="P365" t="s">
        <v>20</v>
      </c>
      <c r="Q365">
        <v>20230731</v>
      </c>
    </row>
    <row r="366" spans="1:17" x14ac:dyDescent="0.25">
      <c r="A366" t="s">
        <v>715</v>
      </c>
      <c r="B366" t="s">
        <v>432</v>
      </c>
      <c r="C366">
        <v>3</v>
      </c>
      <c r="D366">
        <v>20230731</v>
      </c>
      <c r="E366">
        <v>7</v>
      </c>
      <c r="F366">
        <v>401000</v>
      </c>
      <c r="G366" t="s">
        <v>41</v>
      </c>
      <c r="H366" t="s">
        <v>52</v>
      </c>
      <c r="I366" t="s">
        <v>53</v>
      </c>
      <c r="J366" t="s">
        <v>6512</v>
      </c>
      <c r="K366">
        <v>20230731</v>
      </c>
      <c r="L366" t="s">
        <v>6511</v>
      </c>
      <c r="M366">
        <v>31</v>
      </c>
      <c r="N366">
        <v>0</v>
      </c>
      <c r="O366" t="s">
        <v>23</v>
      </c>
      <c r="P366">
        <v>20230927</v>
      </c>
      <c r="Q366">
        <v>20230731</v>
      </c>
    </row>
    <row r="367" spans="1:17" x14ac:dyDescent="0.25">
      <c r="A367" t="s">
        <v>715</v>
      </c>
      <c r="B367" t="s">
        <v>432</v>
      </c>
      <c r="C367">
        <v>3</v>
      </c>
      <c r="D367">
        <v>20230731</v>
      </c>
      <c r="E367">
        <v>7</v>
      </c>
      <c r="F367">
        <v>512200</v>
      </c>
      <c r="G367" t="s">
        <v>432</v>
      </c>
      <c r="H367" t="s">
        <v>401</v>
      </c>
      <c r="I367" t="s">
        <v>402</v>
      </c>
      <c r="J367" t="s">
        <v>6512</v>
      </c>
      <c r="K367">
        <v>20230731</v>
      </c>
      <c r="L367" t="s">
        <v>6511</v>
      </c>
      <c r="M367">
        <v>0</v>
      </c>
      <c r="N367">
        <v>31</v>
      </c>
      <c r="O367" t="s">
        <v>19</v>
      </c>
      <c r="P367" t="s">
        <v>20</v>
      </c>
      <c r="Q367">
        <v>20230731</v>
      </c>
    </row>
    <row r="368" spans="1:17" x14ac:dyDescent="0.25">
      <c r="A368" t="s">
        <v>715</v>
      </c>
      <c r="B368" t="s">
        <v>432</v>
      </c>
      <c r="C368">
        <v>3</v>
      </c>
      <c r="D368">
        <v>20230731</v>
      </c>
      <c r="E368">
        <v>7</v>
      </c>
      <c r="F368">
        <v>401000</v>
      </c>
      <c r="G368" t="s">
        <v>41</v>
      </c>
      <c r="H368" t="s">
        <v>2047</v>
      </c>
      <c r="I368" t="s">
        <v>2048</v>
      </c>
      <c r="J368" t="s">
        <v>6510</v>
      </c>
      <c r="K368">
        <v>20230731</v>
      </c>
      <c r="L368" t="s">
        <v>3369</v>
      </c>
      <c r="M368">
        <v>71.12</v>
      </c>
      <c r="N368">
        <v>0</v>
      </c>
      <c r="O368" t="s">
        <v>23</v>
      </c>
      <c r="P368">
        <v>20230908</v>
      </c>
      <c r="Q368">
        <v>20230731</v>
      </c>
    </row>
    <row r="369" spans="1:17" x14ac:dyDescent="0.25">
      <c r="A369" t="s">
        <v>715</v>
      </c>
      <c r="B369" t="s">
        <v>432</v>
      </c>
      <c r="C369">
        <v>3</v>
      </c>
      <c r="D369">
        <v>20230731</v>
      </c>
      <c r="E369">
        <v>7</v>
      </c>
      <c r="F369">
        <v>512200</v>
      </c>
      <c r="G369" t="s">
        <v>432</v>
      </c>
      <c r="H369" t="s">
        <v>401</v>
      </c>
      <c r="I369" t="s">
        <v>402</v>
      </c>
      <c r="J369" t="s">
        <v>6510</v>
      </c>
      <c r="K369">
        <v>20230731</v>
      </c>
      <c r="L369" t="s">
        <v>3369</v>
      </c>
      <c r="M369">
        <v>0</v>
      </c>
      <c r="N369">
        <v>71.12</v>
      </c>
      <c r="O369" t="s">
        <v>19</v>
      </c>
      <c r="P369" t="s">
        <v>20</v>
      </c>
      <c r="Q369">
        <v>20230731</v>
      </c>
    </row>
    <row r="370" spans="1:17" x14ac:dyDescent="0.25">
      <c r="A370" t="s">
        <v>715</v>
      </c>
      <c r="B370" t="s">
        <v>432</v>
      </c>
      <c r="C370">
        <v>3</v>
      </c>
      <c r="D370">
        <v>20230711</v>
      </c>
      <c r="E370">
        <v>7</v>
      </c>
      <c r="F370">
        <v>411000</v>
      </c>
      <c r="G370" t="s">
        <v>21</v>
      </c>
      <c r="H370" t="s">
        <v>742</v>
      </c>
      <c r="I370" t="s">
        <v>743</v>
      </c>
      <c r="J370">
        <v>123060002</v>
      </c>
      <c r="K370">
        <v>20230711</v>
      </c>
      <c r="L370" t="s">
        <v>6509</v>
      </c>
      <c r="M370">
        <v>0</v>
      </c>
      <c r="N370">
        <v>120</v>
      </c>
      <c r="O370" t="s">
        <v>19</v>
      </c>
      <c r="P370" t="s">
        <v>20</v>
      </c>
      <c r="Q370">
        <v>20230711</v>
      </c>
    </row>
    <row r="371" spans="1:17" x14ac:dyDescent="0.25">
      <c r="A371" t="s">
        <v>715</v>
      </c>
      <c r="B371" t="s">
        <v>432</v>
      </c>
      <c r="C371">
        <v>3</v>
      </c>
      <c r="D371">
        <v>20230711</v>
      </c>
      <c r="E371">
        <v>7</v>
      </c>
      <c r="F371">
        <v>512200</v>
      </c>
      <c r="G371" t="s">
        <v>432</v>
      </c>
      <c r="H371" t="s">
        <v>401</v>
      </c>
      <c r="I371" t="s">
        <v>402</v>
      </c>
      <c r="J371">
        <v>374116</v>
      </c>
      <c r="K371">
        <v>20230711</v>
      </c>
      <c r="L371" t="s">
        <v>2035</v>
      </c>
      <c r="M371">
        <v>120</v>
      </c>
      <c r="N371">
        <v>0</v>
      </c>
      <c r="O371" t="s">
        <v>19</v>
      </c>
      <c r="P371" t="s">
        <v>20</v>
      </c>
      <c r="Q371">
        <v>20230711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71"/>
  <sheetViews>
    <sheetView workbookViewId="0">
      <selection activeCell="E2" sqref="E2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6810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1</v>
      </c>
      <c r="D2">
        <v>20230801</v>
      </c>
      <c r="E2">
        <v>8</v>
      </c>
      <c r="F2">
        <v>401000</v>
      </c>
      <c r="G2" t="s">
        <v>41</v>
      </c>
      <c r="H2" t="s">
        <v>71</v>
      </c>
      <c r="I2" t="s">
        <v>72</v>
      </c>
      <c r="J2" t="s">
        <v>6942</v>
      </c>
      <c r="K2">
        <v>20230801</v>
      </c>
      <c r="L2" t="s">
        <v>5758</v>
      </c>
      <c r="M2">
        <v>344.15</v>
      </c>
      <c r="N2">
        <v>0</v>
      </c>
      <c r="O2" t="s">
        <v>22</v>
      </c>
      <c r="P2">
        <v>20230801</v>
      </c>
      <c r="Q2">
        <v>20230801</v>
      </c>
    </row>
    <row r="3" spans="1:19" x14ac:dyDescent="0.25">
      <c r="A3" t="s">
        <v>476</v>
      </c>
      <c r="B3" t="s">
        <v>477</v>
      </c>
      <c r="C3">
        <v>1</v>
      </c>
      <c r="D3">
        <v>20230801</v>
      </c>
      <c r="E3">
        <v>8</v>
      </c>
      <c r="F3">
        <v>401000</v>
      </c>
      <c r="G3" t="s">
        <v>41</v>
      </c>
      <c r="H3" t="s">
        <v>75</v>
      </c>
      <c r="I3" t="s">
        <v>76</v>
      </c>
      <c r="J3" t="s">
        <v>6942</v>
      </c>
      <c r="K3">
        <v>20230801</v>
      </c>
      <c r="L3" t="s">
        <v>5758</v>
      </c>
      <c r="M3">
        <v>222.24</v>
      </c>
      <c r="N3">
        <v>0</v>
      </c>
      <c r="O3" t="s">
        <v>22</v>
      </c>
      <c r="P3">
        <v>20230801</v>
      </c>
      <c r="Q3">
        <v>20230801</v>
      </c>
    </row>
    <row r="4" spans="1:19" x14ac:dyDescent="0.25">
      <c r="A4" t="s">
        <v>476</v>
      </c>
      <c r="B4" t="s">
        <v>477</v>
      </c>
      <c r="C4">
        <v>1</v>
      </c>
      <c r="D4">
        <v>20230801</v>
      </c>
      <c r="E4">
        <v>8</v>
      </c>
      <c r="F4">
        <v>467100</v>
      </c>
      <c r="G4" t="s">
        <v>160</v>
      </c>
      <c r="H4" t="s">
        <v>3392</v>
      </c>
      <c r="I4" t="s">
        <v>3393</v>
      </c>
      <c r="J4" t="s">
        <v>6942</v>
      </c>
      <c r="K4">
        <v>20230801</v>
      </c>
      <c r="L4" t="s">
        <v>5758</v>
      </c>
      <c r="M4">
        <v>38.75</v>
      </c>
      <c r="N4">
        <v>0</v>
      </c>
      <c r="O4" t="s">
        <v>22</v>
      </c>
      <c r="P4">
        <v>20230801</v>
      </c>
      <c r="Q4">
        <v>20230801</v>
      </c>
    </row>
    <row r="5" spans="1:19" x14ac:dyDescent="0.25">
      <c r="A5" t="s">
        <v>476</v>
      </c>
      <c r="B5" t="s">
        <v>477</v>
      </c>
      <c r="C5">
        <v>1</v>
      </c>
      <c r="D5">
        <v>20230801</v>
      </c>
      <c r="E5">
        <v>8</v>
      </c>
      <c r="F5">
        <v>401000</v>
      </c>
      <c r="G5" t="s">
        <v>41</v>
      </c>
      <c r="H5" t="s">
        <v>4483</v>
      </c>
      <c r="I5" t="s">
        <v>4484</v>
      </c>
      <c r="J5" t="s">
        <v>6942</v>
      </c>
      <c r="K5">
        <v>20230801</v>
      </c>
      <c r="L5" t="s">
        <v>5758</v>
      </c>
      <c r="M5">
        <v>3839.77</v>
      </c>
      <c r="N5">
        <v>0</v>
      </c>
      <c r="O5" t="s">
        <v>22</v>
      </c>
      <c r="P5">
        <v>20230801</v>
      </c>
      <c r="Q5">
        <v>20230801</v>
      </c>
    </row>
    <row r="6" spans="1:19" x14ac:dyDescent="0.25">
      <c r="A6" t="s">
        <v>476</v>
      </c>
      <c r="B6" t="s">
        <v>477</v>
      </c>
      <c r="C6">
        <v>1</v>
      </c>
      <c r="D6">
        <v>20230801</v>
      </c>
      <c r="E6">
        <v>8</v>
      </c>
      <c r="F6">
        <v>512000</v>
      </c>
      <c r="G6" t="s">
        <v>428</v>
      </c>
      <c r="H6" t="s">
        <v>401</v>
      </c>
      <c r="I6" t="s">
        <v>402</v>
      </c>
      <c r="J6" t="s">
        <v>6942</v>
      </c>
      <c r="K6">
        <v>20230801</v>
      </c>
      <c r="L6" t="s">
        <v>5758</v>
      </c>
      <c r="M6">
        <v>0</v>
      </c>
      <c r="N6">
        <v>4444.91</v>
      </c>
      <c r="O6" t="s">
        <v>19</v>
      </c>
      <c r="P6" t="s">
        <v>20</v>
      </c>
      <c r="Q6">
        <v>20230801</v>
      </c>
    </row>
    <row r="7" spans="1:19" x14ac:dyDescent="0.25">
      <c r="A7" t="s">
        <v>476</v>
      </c>
      <c r="B7" t="s">
        <v>477</v>
      </c>
      <c r="C7">
        <v>1</v>
      </c>
      <c r="D7">
        <v>20230801</v>
      </c>
      <c r="E7">
        <v>8</v>
      </c>
      <c r="F7">
        <v>401000</v>
      </c>
      <c r="G7" t="s">
        <v>41</v>
      </c>
      <c r="H7" t="s">
        <v>6941</v>
      </c>
      <c r="I7" t="s">
        <v>6940</v>
      </c>
      <c r="J7" t="s">
        <v>6939</v>
      </c>
      <c r="K7">
        <v>20230801</v>
      </c>
      <c r="L7" t="s">
        <v>6938</v>
      </c>
      <c r="M7">
        <v>91.7</v>
      </c>
      <c r="N7">
        <v>0</v>
      </c>
      <c r="O7" t="s">
        <v>23</v>
      </c>
      <c r="P7">
        <v>20230926</v>
      </c>
      <c r="Q7">
        <v>20230801</v>
      </c>
    </row>
    <row r="8" spans="1:19" x14ac:dyDescent="0.25">
      <c r="A8" t="s">
        <v>476</v>
      </c>
      <c r="B8" t="s">
        <v>477</v>
      </c>
      <c r="C8">
        <v>1</v>
      </c>
      <c r="D8">
        <v>20230801</v>
      </c>
      <c r="E8">
        <v>8</v>
      </c>
      <c r="F8">
        <v>512000</v>
      </c>
      <c r="G8" t="s">
        <v>428</v>
      </c>
      <c r="H8" t="s">
        <v>401</v>
      </c>
      <c r="I8" t="s">
        <v>402</v>
      </c>
      <c r="J8" t="s">
        <v>6939</v>
      </c>
      <c r="K8">
        <v>20230801</v>
      </c>
      <c r="L8" t="s">
        <v>6938</v>
      </c>
      <c r="M8">
        <v>0</v>
      </c>
      <c r="N8">
        <v>91.7</v>
      </c>
      <c r="O8" t="s">
        <v>19</v>
      </c>
      <c r="P8" t="s">
        <v>20</v>
      </c>
      <c r="Q8">
        <v>20230801</v>
      </c>
    </row>
    <row r="9" spans="1:19" x14ac:dyDescent="0.25">
      <c r="A9" t="s">
        <v>476</v>
      </c>
      <c r="B9" t="s">
        <v>477</v>
      </c>
      <c r="C9">
        <v>1</v>
      </c>
      <c r="D9">
        <v>20230801</v>
      </c>
      <c r="E9">
        <v>8</v>
      </c>
      <c r="F9">
        <v>401000</v>
      </c>
      <c r="G9" t="s">
        <v>41</v>
      </c>
      <c r="H9" t="s">
        <v>125</v>
      </c>
      <c r="I9" t="s">
        <v>126</v>
      </c>
      <c r="J9" t="s">
        <v>6937</v>
      </c>
      <c r="K9">
        <v>20230801</v>
      </c>
      <c r="L9" t="s">
        <v>6936</v>
      </c>
      <c r="M9">
        <v>0</v>
      </c>
      <c r="N9">
        <v>161</v>
      </c>
      <c r="O9" t="s">
        <v>23</v>
      </c>
      <c r="P9">
        <v>20230918</v>
      </c>
      <c r="Q9">
        <v>20230801</v>
      </c>
    </row>
    <row r="10" spans="1:19" x14ac:dyDescent="0.25">
      <c r="A10" t="s">
        <v>476</v>
      </c>
      <c r="B10" t="s">
        <v>477</v>
      </c>
      <c r="C10">
        <v>1</v>
      </c>
      <c r="D10">
        <v>20230801</v>
      </c>
      <c r="E10">
        <v>8</v>
      </c>
      <c r="F10">
        <v>512000</v>
      </c>
      <c r="G10" t="s">
        <v>428</v>
      </c>
      <c r="H10" t="s">
        <v>401</v>
      </c>
      <c r="I10" t="s">
        <v>402</v>
      </c>
      <c r="J10" t="s">
        <v>6937</v>
      </c>
      <c r="K10">
        <v>20230801</v>
      </c>
      <c r="L10" t="s">
        <v>6936</v>
      </c>
      <c r="M10">
        <v>161</v>
      </c>
      <c r="N10">
        <v>0</v>
      </c>
      <c r="O10" t="s">
        <v>19</v>
      </c>
      <c r="P10" t="s">
        <v>20</v>
      </c>
      <c r="Q10">
        <v>20230801</v>
      </c>
    </row>
    <row r="11" spans="1:19" x14ac:dyDescent="0.25">
      <c r="A11" t="s">
        <v>476</v>
      </c>
      <c r="B11" t="s">
        <v>477</v>
      </c>
      <c r="C11">
        <v>1</v>
      </c>
      <c r="D11">
        <v>20230802</v>
      </c>
      <c r="E11">
        <v>8</v>
      </c>
      <c r="F11">
        <v>401000</v>
      </c>
      <c r="G11" t="s">
        <v>41</v>
      </c>
      <c r="H11" t="s">
        <v>3228</v>
      </c>
      <c r="I11" t="s">
        <v>3229</v>
      </c>
      <c r="J11" t="s">
        <v>6935</v>
      </c>
      <c r="K11">
        <v>20230802</v>
      </c>
      <c r="L11" t="s">
        <v>3345</v>
      </c>
      <c r="M11">
        <v>372</v>
      </c>
      <c r="N11">
        <v>0</v>
      </c>
      <c r="O11" t="s">
        <v>23</v>
      </c>
      <c r="P11">
        <v>20230926</v>
      </c>
      <c r="Q11">
        <v>20230802</v>
      </c>
    </row>
    <row r="12" spans="1:19" x14ac:dyDescent="0.25">
      <c r="A12" t="s">
        <v>476</v>
      </c>
      <c r="B12" t="s">
        <v>477</v>
      </c>
      <c r="C12">
        <v>1</v>
      </c>
      <c r="D12">
        <v>20230802</v>
      </c>
      <c r="E12">
        <v>8</v>
      </c>
      <c r="F12">
        <v>512000</v>
      </c>
      <c r="G12" t="s">
        <v>428</v>
      </c>
      <c r="H12" t="s">
        <v>401</v>
      </c>
      <c r="I12" t="s">
        <v>402</v>
      </c>
      <c r="J12" t="s">
        <v>6935</v>
      </c>
      <c r="K12">
        <v>20230802</v>
      </c>
      <c r="L12" t="s">
        <v>3345</v>
      </c>
      <c r="M12">
        <v>0</v>
      </c>
      <c r="N12">
        <v>372</v>
      </c>
      <c r="O12" t="s">
        <v>19</v>
      </c>
      <c r="P12" t="s">
        <v>20</v>
      </c>
      <c r="Q12">
        <v>20230802</v>
      </c>
    </row>
    <row r="13" spans="1:19" x14ac:dyDescent="0.25">
      <c r="A13" t="s">
        <v>476</v>
      </c>
      <c r="B13" t="s">
        <v>477</v>
      </c>
      <c r="C13">
        <v>1</v>
      </c>
      <c r="D13">
        <v>20230802</v>
      </c>
      <c r="E13">
        <v>8</v>
      </c>
      <c r="F13">
        <v>401000</v>
      </c>
      <c r="G13" t="s">
        <v>41</v>
      </c>
      <c r="H13" t="s">
        <v>6903</v>
      </c>
      <c r="I13" t="s">
        <v>6902</v>
      </c>
      <c r="J13" t="s">
        <v>6934</v>
      </c>
      <c r="K13">
        <v>20230802</v>
      </c>
      <c r="L13" t="s">
        <v>6933</v>
      </c>
      <c r="M13">
        <v>110.4</v>
      </c>
      <c r="N13">
        <v>0</v>
      </c>
      <c r="O13" t="s">
        <v>19</v>
      </c>
      <c r="P13" t="s">
        <v>20</v>
      </c>
      <c r="Q13">
        <v>20230802</v>
      </c>
    </row>
    <row r="14" spans="1:19" x14ac:dyDescent="0.25">
      <c r="A14" t="s">
        <v>476</v>
      </c>
      <c r="B14" t="s">
        <v>477</v>
      </c>
      <c r="C14">
        <v>1</v>
      </c>
      <c r="D14">
        <v>20230802</v>
      </c>
      <c r="E14">
        <v>8</v>
      </c>
      <c r="F14">
        <v>512000</v>
      </c>
      <c r="G14" t="s">
        <v>428</v>
      </c>
      <c r="H14" t="s">
        <v>401</v>
      </c>
      <c r="I14" t="s">
        <v>402</v>
      </c>
      <c r="J14" t="s">
        <v>6934</v>
      </c>
      <c r="K14">
        <v>20230802</v>
      </c>
      <c r="L14" t="s">
        <v>6933</v>
      </c>
      <c r="M14">
        <v>0</v>
      </c>
      <c r="N14">
        <v>110.4</v>
      </c>
      <c r="O14" t="s">
        <v>19</v>
      </c>
      <c r="P14" t="s">
        <v>20</v>
      </c>
      <c r="Q14">
        <v>20230802</v>
      </c>
    </row>
    <row r="15" spans="1:19" x14ac:dyDescent="0.25">
      <c r="A15" t="s">
        <v>476</v>
      </c>
      <c r="B15" t="s">
        <v>477</v>
      </c>
      <c r="C15">
        <v>1</v>
      </c>
      <c r="D15">
        <v>20230802</v>
      </c>
      <c r="E15">
        <v>8</v>
      </c>
      <c r="F15">
        <v>401000</v>
      </c>
      <c r="G15" t="s">
        <v>41</v>
      </c>
      <c r="H15" t="s">
        <v>458</v>
      </c>
      <c r="I15" t="s">
        <v>459</v>
      </c>
      <c r="J15" t="s">
        <v>6932</v>
      </c>
      <c r="K15">
        <v>20230802</v>
      </c>
      <c r="L15" t="s">
        <v>2072</v>
      </c>
      <c r="M15">
        <v>708</v>
      </c>
      <c r="N15">
        <v>0</v>
      </c>
      <c r="O15" t="s">
        <v>19</v>
      </c>
      <c r="P15" t="s">
        <v>20</v>
      </c>
      <c r="Q15">
        <v>20230802</v>
      </c>
    </row>
    <row r="16" spans="1:19" x14ac:dyDescent="0.25">
      <c r="A16" t="s">
        <v>476</v>
      </c>
      <c r="B16" t="s">
        <v>477</v>
      </c>
      <c r="C16">
        <v>1</v>
      </c>
      <c r="D16">
        <v>20230802</v>
      </c>
      <c r="E16">
        <v>8</v>
      </c>
      <c r="F16">
        <v>512000</v>
      </c>
      <c r="G16" t="s">
        <v>428</v>
      </c>
      <c r="H16" t="s">
        <v>401</v>
      </c>
      <c r="I16" t="s">
        <v>402</v>
      </c>
      <c r="J16" t="s">
        <v>6932</v>
      </c>
      <c r="K16">
        <v>20230802</v>
      </c>
      <c r="L16" t="s">
        <v>2072</v>
      </c>
      <c r="M16">
        <v>0</v>
      </c>
      <c r="N16">
        <v>708</v>
      </c>
      <c r="O16" t="s">
        <v>19</v>
      </c>
      <c r="P16" t="s">
        <v>20</v>
      </c>
      <c r="Q16">
        <v>20230802</v>
      </c>
    </row>
    <row r="17" spans="1:17" x14ac:dyDescent="0.25">
      <c r="A17" t="s">
        <v>476</v>
      </c>
      <c r="B17" t="s">
        <v>477</v>
      </c>
      <c r="C17">
        <v>1</v>
      </c>
      <c r="D17">
        <v>20230803</v>
      </c>
      <c r="E17">
        <v>8</v>
      </c>
      <c r="F17">
        <v>468740</v>
      </c>
      <c r="G17" t="s">
        <v>426</v>
      </c>
      <c r="H17" t="s">
        <v>401</v>
      </c>
      <c r="I17" t="s">
        <v>402</v>
      </c>
      <c r="J17" t="s">
        <v>6931</v>
      </c>
      <c r="K17">
        <v>20230803</v>
      </c>
      <c r="L17" t="s">
        <v>6930</v>
      </c>
      <c r="M17">
        <v>0</v>
      </c>
      <c r="N17">
        <v>774</v>
      </c>
      <c r="O17" t="s">
        <v>19</v>
      </c>
      <c r="P17" t="s">
        <v>20</v>
      </c>
      <c r="Q17">
        <v>20230803</v>
      </c>
    </row>
    <row r="18" spans="1:17" x14ac:dyDescent="0.25">
      <c r="A18" t="s">
        <v>476</v>
      </c>
      <c r="B18" t="s">
        <v>477</v>
      </c>
      <c r="C18">
        <v>1</v>
      </c>
      <c r="D18">
        <v>20230803</v>
      </c>
      <c r="E18">
        <v>8</v>
      </c>
      <c r="F18">
        <v>512000</v>
      </c>
      <c r="G18" t="s">
        <v>428</v>
      </c>
      <c r="H18" t="s">
        <v>401</v>
      </c>
      <c r="I18" t="s">
        <v>402</v>
      </c>
      <c r="J18" t="s">
        <v>6931</v>
      </c>
      <c r="K18">
        <v>20230803</v>
      </c>
      <c r="L18" t="s">
        <v>6930</v>
      </c>
      <c r="M18">
        <v>774</v>
      </c>
      <c r="N18">
        <v>0</v>
      </c>
      <c r="O18" t="s">
        <v>19</v>
      </c>
      <c r="P18" t="s">
        <v>20</v>
      </c>
      <c r="Q18">
        <v>20230803</v>
      </c>
    </row>
    <row r="19" spans="1:17" x14ac:dyDescent="0.25">
      <c r="A19" t="s">
        <v>476</v>
      </c>
      <c r="B19" t="s">
        <v>477</v>
      </c>
      <c r="C19">
        <v>1</v>
      </c>
      <c r="D19">
        <v>20230803</v>
      </c>
      <c r="E19">
        <v>8</v>
      </c>
      <c r="F19">
        <v>421000</v>
      </c>
      <c r="G19" t="s">
        <v>403</v>
      </c>
      <c r="H19" t="s">
        <v>401</v>
      </c>
      <c r="I19" t="s">
        <v>402</v>
      </c>
      <c r="J19" t="s">
        <v>6929</v>
      </c>
      <c r="K19">
        <v>20230803</v>
      </c>
      <c r="L19" t="s">
        <v>6765</v>
      </c>
      <c r="M19">
        <v>14010.73</v>
      </c>
      <c r="N19">
        <v>0</v>
      </c>
      <c r="O19" t="s">
        <v>19</v>
      </c>
      <c r="P19" t="s">
        <v>20</v>
      </c>
      <c r="Q19">
        <v>20230803</v>
      </c>
    </row>
    <row r="20" spans="1:17" x14ac:dyDescent="0.25">
      <c r="A20" t="s">
        <v>476</v>
      </c>
      <c r="B20" t="s">
        <v>477</v>
      </c>
      <c r="C20">
        <v>1</v>
      </c>
      <c r="D20">
        <v>20230803</v>
      </c>
      <c r="E20">
        <v>8</v>
      </c>
      <c r="F20">
        <v>512000</v>
      </c>
      <c r="G20" t="s">
        <v>428</v>
      </c>
      <c r="H20" t="s">
        <v>401</v>
      </c>
      <c r="I20" t="s">
        <v>402</v>
      </c>
      <c r="J20" t="s">
        <v>6929</v>
      </c>
      <c r="K20">
        <v>20230803</v>
      </c>
      <c r="L20" t="s">
        <v>6765</v>
      </c>
      <c r="M20">
        <v>0</v>
      </c>
      <c r="N20">
        <v>14010.73</v>
      </c>
      <c r="O20" t="s">
        <v>19</v>
      </c>
      <c r="P20" t="s">
        <v>20</v>
      </c>
      <c r="Q20">
        <v>20230803</v>
      </c>
    </row>
    <row r="21" spans="1:17" x14ac:dyDescent="0.25">
      <c r="A21" t="s">
        <v>476</v>
      </c>
      <c r="B21" t="s">
        <v>477</v>
      </c>
      <c r="C21">
        <v>1</v>
      </c>
      <c r="D21">
        <v>20230803</v>
      </c>
      <c r="E21">
        <v>8</v>
      </c>
      <c r="F21">
        <v>627000</v>
      </c>
      <c r="G21" t="s">
        <v>480</v>
      </c>
      <c r="H21" t="s">
        <v>401</v>
      </c>
      <c r="I21" t="s">
        <v>402</v>
      </c>
      <c r="J21" t="s">
        <v>6928</v>
      </c>
      <c r="K21">
        <v>20230803</v>
      </c>
      <c r="L21" t="s">
        <v>4488</v>
      </c>
      <c r="M21">
        <v>49</v>
      </c>
      <c r="N21">
        <v>0</v>
      </c>
      <c r="O21" t="s">
        <v>19</v>
      </c>
      <c r="P21" t="s">
        <v>20</v>
      </c>
      <c r="Q21">
        <v>20230803</v>
      </c>
    </row>
    <row r="22" spans="1:17" x14ac:dyDescent="0.25">
      <c r="A22" t="s">
        <v>476</v>
      </c>
      <c r="B22" t="s">
        <v>477</v>
      </c>
      <c r="C22">
        <v>1</v>
      </c>
      <c r="D22">
        <v>20230803</v>
      </c>
      <c r="E22">
        <v>8</v>
      </c>
      <c r="F22">
        <v>512000</v>
      </c>
      <c r="G22" t="s">
        <v>428</v>
      </c>
      <c r="H22" t="s">
        <v>401</v>
      </c>
      <c r="I22" t="s">
        <v>402</v>
      </c>
      <c r="J22" t="s">
        <v>6928</v>
      </c>
      <c r="K22">
        <v>20230803</v>
      </c>
      <c r="L22" t="s">
        <v>4488</v>
      </c>
      <c r="M22">
        <v>0</v>
      </c>
      <c r="N22">
        <v>49</v>
      </c>
      <c r="O22" t="s">
        <v>19</v>
      </c>
      <c r="P22" t="s">
        <v>20</v>
      </c>
      <c r="Q22">
        <v>20230803</v>
      </c>
    </row>
    <row r="23" spans="1:17" x14ac:dyDescent="0.25">
      <c r="A23" t="s">
        <v>476</v>
      </c>
      <c r="B23" t="s">
        <v>477</v>
      </c>
      <c r="C23">
        <v>1</v>
      </c>
      <c r="D23">
        <v>20230803</v>
      </c>
      <c r="E23">
        <v>8</v>
      </c>
      <c r="F23">
        <v>627000</v>
      </c>
      <c r="G23" t="s">
        <v>480</v>
      </c>
      <c r="H23" t="s">
        <v>401</v>
      </c>
      <c r="I23" t="s">
        <v>402</v>
      </c>
      <c r="J23" t="s">
        <v>6927</v>
      </c>
      <c r="K23">
        <v>20230803</v>
      </c>
      <c r="L23" t="s">
        <v>4488</v>
      </c>
      <c r="M23">
        <v>13.78</v>
      </c>
      <c r="N23">
        <v>0</v>
      </c>
      <c r="O23" t="s">
        <v>19</v>
      </c>
      <c r="P23" t="s">
        <v>20</v>
      </c>
      <c r="Q23">
        <v>20230803</v>
      </c>
    </row>
    <row r="24" spans="1:17" x14ac:dyDescent="0.25">
      <c r="A24" t="s">
        <v>476</v>
      </c>
      <c r="B24" t="s">
        <v>477</v>
      </c>
      <c r="C24">
        <v>1</v>
      </c>
      <c r="D24">
        <v>20230803</v>
      </c>
      <c r="E24">
        <v>8</v>
      </c>
      <c r="F24">
        <v>512000</v>
      </c>
      <c r="G24" t="s">
        <v>428</v>
      </c>
      <c r="H24" t="s">
        <v>401</v>
      </c>
      <c r="I24" t="s">
        <v>402</v>
      </c>
      <c r="J24" t="s">
        <v>6927</v>
      </c>
      <c r="K24">
        <v>20230803</v>
      </c>
      <c r="L24" t="s">
        <v>4488</v>
      </c>
      <c r="M24">
        <v>0</v>
      </c>
      <c r="N24">
        <v>13.78</v>
      </c>
      <c r="O24" t="s">
        <v>19</v>
      </c>
      <c r="P24" t="s">
        <v>20</v>
      </c>
      <c r="Q24">
        <v>20230803</v>
      </c>
    </row>
    <row r="25" spans="1:17" x14ac:dyDescent="0.25">
      <c r="A25" t="s">
        <v>476</v>
      </c>
      <c r="B25" t="s">
        <v>477</v>
      </c>
      <c r="C25">
        <v>1</v>
      </c>
      <c r="D25">
        <v>20230804</v>
      </c>
      <c r="E25">
        <v>8</v>
      </c>
      <c r="F25">
        <v>467100</v>
      </c>
      <c r="G25" t="s">
        <v>160</v>
      </c>
      <c r="H25" t="s">
        <v>5416</v>
      </c>
      <c r="I25" t="s">
        <v>5417</v>
      </c>
      <c r="J25" t="s">
        <v>6926</v>
      </c>
      <c r="K25">
        <v>20230804</v>
      </c>
      <c r="L25" t="s">
        <v>5757</v>
      </c>
      <c r="M25">
        <v>461.7</v>
      </c>
      <c r="N25">
        <v>0</v>
      </c>
      <c r="O25" t="s">
        <v>19</v>
      </c>
      <c r="P25" t="s">
        <v>20</v>
      </c>
      <c r="Q25">
        <v>20230804</v>
      </c>
    </row>
    <row r="26" spans="1:17" x14ac:dyDescent="0.25">
      <c r="A26" t="s">
        <v>476</v>
      </c>
      <c r="B26" t="s">
        <v>477</v>
      </c>
      <c r="C26">
        <v>1</v>
      </c>
      <c r="D26">
        <v>20230804</v>
      </c>
      <c r="E26">
        <v>8</v>
      </c>
      <c r="F26">
        <v>401000</v>
      </c>
      <c r="G26" t="s">
        <v>41</v>
      </c>
      <c r="H26" t="s">
        <v>6795</v>
      </c>
      <c r="I26" t="s">
        <v>6794</v>
      </c>
      <c r="J26" t="s">
        <v>6926</v>
      </c>
      <c r="K26">
        <v>20230804</v>
      </c>
      <c r="L26" t="s">
        <v>5757</v>
      </c>
      <c r="M26">
        <v>15.99</v>
      </c>
      <c r="N26">
        <v>0</v>
      </c>
      <c r="O26" t="s">
        <v>23</v>
      </c>
      <c r="P26">
        <v>20230830</v>
      </c>
      <c r="Q26">
        <v>20230804</v>
      </c>
    </row>
    <row r="27" spans="1:17" x14ac:dyDescent="0.25">
      <c r="A27" t="s">
        <v>476</v>
      </c>
      <c r="B27" t="s">
        <v>477</v>
      </c>
      <c r="C27">
        <v>1</v>
      </c>
      <c r="D27">
        <v>20230804</v>
      </c>
      <c r="E27">
        <v>8</v>
      </c>
      <c r="F27">
        <v>512000</v>
      </c>
      <c r="G27" t="s">
        <v>428</v>
      </c>
      <c r="H27" t="s">
        <v>401</v>
      </c>
      <c r="I27" t="s">
        <v>402</v>
      </c>
      <c r="J27" t="s">
        <v>6926</v>
      </c>
      <c r="K27">
        <v>20230804</v>
      </c>
      <c r="L27" t="s">
        <v>5757</v>
      </c>
      <c r="M27">
        <v>0</v>
      </c>
      <c r="N27">
        <v>477.69</v>
      </c>
      <c r="O27" t="s">
        <v>19</v>
      </c>
      <c r="P27" t="s">
        <v>20</v>
      </c>
      <c r="Q27">
        <v>20230804</v>
      </c>
    </row>
    <row r="28" spans="1:17" x14ac:dyDescent="0.25">
      <c r="A28" t="s">
        <v>476</v>
      </c>
      <c r="B28" t="s">
        <v>477</v>
      </c>
      <c r="C28">
        <v>1</v>
      </c>
      <c r="D28">
        <v>20230804</v>
      </c>
      <c r="E28">
        <v>8</v>
      </c>
      <c r="F28">
        <v>467100</v>
      </c>
      <c r="G28" t="s">
        <v>160</v>
      </c>
      <c r="H28" t="s">
        <v>164</v>
      </c>
      <c r="I28" t="s">
        <v>165</v>
      </c>
      <c r="J28" t="s">
        <v>6925</v>
      </c>
      <c r="K28">
        <v>20230804</v>
      </c>
      <c r="L28" t="s">
        <v>5757</v>
      </c>
      <c r="M28">
        <v>1000</v>
      </c>
      <c r="N28">
        <v>0</v>
      </c>
      <c r="O28" t="s">
        <v>19</v>
      </c>
      <c r="P28" t="s">
        <v>20</v>
      </c>
      <c r="Q28">
        <v>20230804</v>
      </c>
    </row>
    <row r="29" spans="1:17" x14ac:dyDescent="0.25">
      <c r="A29" t="s">
        <v>476</v>
      </c>
      <c r="B29" t="s">
        <v>477</v>
      </c>
      <c r="C29">
        <v>1</v>
      </c>
      <c r="D29">
        <v>20230804</v>
      </c>
      <c r="E29">
        <v>8</v>
      </c>
      <c r="F29">
        <v>512000</v>
      </c>
      <c r="G29" t="s">
        <v>428</v>
      </c>
      <c r="H29" t="s">
        <v>401</v>
      </c>
      <c r="I29" t="s">
        <v>402</v>
      </c>
      <c r="J29" t="s">
        <v>6925</v>
      </c>
      <c r="K29">
        <v>20230804</v>
      </c>
      <c r="L29" t="s">
        <v>5757</v>
      </c>
      <c r="M29">
        <v>0</v>
      </c>
      <c r="N29">
        <v>1000</v>
      </c>
      <c r="O29" t="s">
        <v>19</v>
      </c>
      <c r="P29" t="s">
        <v>20</v>
      </c>
      <c r="Q29">
        <v>20230804</v>
      </c>
    </row>
    <row r="30" spans="1:17" x14ac:dyDescent="0.25">
      <c r="A30" t="s">
        <v>476</v>
      </c>
      <c r="B30" t="s">
        <v>477</v>
      </c>
      <c r="C30">
        <v>1</v>
      </c>
      <c r="D30">
        <v>20230804</v>
      </c>
      <c r="E30">
        <v>8</v>
      </c>
      <c r="F30">
        <v>468725</v>
      </c>
      <c r="G30" t="s">
        <v>424</v>
      </c>
      <c r="H30" t="s">
        <v>401</v>
      </c>
      <c r="I30" t="s">
        <v>402</v>
      </c>
      <c r="J30" t="s">
        <v>6924</v>
      </c>
      <c r="K30">
        <v>20230804</v>
      </c>
      <c r="L30" t="s">
        <v>6796</v>
      </c>
      <c r="M30">
        <v>0</v>
      </c>
      <c r="N30">
        <v>2666.8</v>
      </c>
      <c r="O30" t="s">
        <v>19</v>
      </c>
      <c r="P30" t="s">
        <v>20</v>
      </c>
      <c r="Q30">
        <v>20230804</v>
      </c>
    </row>
    <row r="31" spans="1:17" x14ac:dyDescent="0.25">
      <c r="A31" t="s">
        <v>476</v>
      </c>
      <c r="B31" t="s">
        <v>477</v>
      </c>
      <c r="C31">
        <v>1</v>
      </c>
      <c r="D31">
        <v>20230804</v>
      </c>
      <c r="E31">
        <v>8</v>
      </c>
      <c r="F31">
        <v>512000</v>
      </c>
      <c r="G31" t="s">
        <v>428</v>
      </c>
      <c r="H31" t="s">
        <v>401</v>
      </c>
      <c r="I31" t="s">
        <v>402</v>
      </c>
      <c r="J31" t="s">
        <v>6924</v>
      </c>
      <c r="K31">
        <v>20230804</v>
      </c>
      <c r="L31" t="s">
        <v>6796</v>
      </c>
      <c r="M31">
        <v>2666.8</v>
      </c>
      <c r="N31">
        <v>0</v>
      </c>
      <c r="O31" t="s">
        <v>19</v>
      </c>
      <c r="P31" t="s">
        <v>20</v>
      </c>
      <c r="Q31">
        <v>20230804</v>
      </c>
    </row>
    <row r="32" spans="1:17" x14ac:dyDescent="0.25">
      <c r="A32" t="s">
        <v>476</v>
      </c>
      <c r="B32" t="s">
        <v>477</v>
      </c>
      <c r="C32">
        <v>1</v>
      </c>
      <c r="D32">
        <v>20230804</v>
      </c>
      <c r="E32">
        <v>8</v>
      </c>
      <c r="F32">
        <v>627000</v>
      </c>
      <c r="G32" t="s">
        <v>480</v>
      </c>
      <c r="H32" t="s">
        <v>401</v>
      </c>
      <c r="I32" t="s">
        <v>402</v>
      </c>
      <c r="J32" t="s">
        <v>6923</v>
      </c>
      <c r="K32">
        <v>20230804</v>
      </c>
      <c r="L32" t="s">
        <v>6922</v>
      </c>
      <c r="M32">
        <v>55</v>
      </c>
      <c r="N32">
        <v>0</v>
      </c>
      <c r="O32" t="s">
        <v>19</v>
      </c>
      <c r="P32" t="s">
        <v>20</v>
      </c>
      <c r="Q32">
        <v>20230804</v>
      </c>
    </row>
    <row r="33" spans="1:17" x14ac:dyDescent="0.25">
      <c r="A33" t="s">
        <v>476</v>
      </c>
      <c r="B33" t="s">
        <v>477</v>
      </c>
      <c r="C33">
        <v>1</v>
      </c>
      <c r="D33">
        <v>20230804</v>
      </c>
      <c r="E33">
        <v>8</v>
      </c>
      <c r="F33">
        <v>512000</v>
      </c>
      <c r="G33" t="s">
        <v>428</v>
      </c>
      <c r="H33" t="s">
        <v>401</v>
      </c>
      <c r="I33" t="s">
        <v>402</v>
      </c>
      <c r="J33" t="s">
        <v>6923</v>
      </c>
      <c r="K33">
        <v>20230804</v>
      </c>
      <c r="L33" t="s">
        <v>6922</v>
      </c>
      <c r="M33">
        <v>0</v>
      </c>
      <c r="N33">
        <v>55</v>
      </c>
      <c r="O33" t="s">
        <v>19</v>
      </c>
      <c r="P33" t="s">
        <v>20</v>
      </c>
      <c r="Q33">
        <v>20230804</v>
      </c>
    </row>
    <row r="34" spans="1:17" x14ac:dyDescent="0.25">
      <c r="A34" t="s">
        <v>476</v>
      </c>
      <c r="B34" t="s">
        <v>477</v>
      </c>
      <c r="C34">
        <v>1</v>
      </c>
      <c r="D34">
        <v>20230804</v>
      </c>
      <c r="E34">
        <v>8</v>
      </c>
      <c r="F34">
        <v>627000</v>
      </c>
      <c r="G34" t="s">
        <v>480</v>
      </c>
      <c r="H34" t="s">
        <v>401</v>
      </c>
      <c r="I34" t="s">
        <v>402</v>
      </c>
      <c r="J34" t="s">
        <v>6921</v>
      </c>
      <c r="K34">
        <v>20230804</v>
      </c>
      <c r="L34" t="s">
        <v>4488</v>
      </c>
      <c r="M34">
        <v>9.9</v>
      </c>
      <c r="N34">
        <v>0</v>
      </c>
      <c r="O34" t="s">
        <v>19</v>
      </c>
      <c r="P34" t="s">
        <v>20</v>
      </c>
      <c r="Q34">
        <v>20230804</v>
      </c>
    </row>
    <row r="35" spans="1:17" x14ac:dyDescent="0.25">
      <c r="A35" t="s">
        <v>476</v>
      </c>
      <c r="B35" t="s">
        <v>477</v>
      </c>
      <c r="C35">
        <v>1</v>
      </c>
      <c r="D35">
        <v>20230804</v>
      </c>
      <c r="E35">
        <v>8</v>
      </c>
      <c r="F35">
        <v>512000</v>
      </c>
      <c r="G35" t="s">
        <v>428</v>
      </c>
      <c r="H35" t="s">
        <v>401</v>
      </c>
      <c r="I35" t="s">
        <v>402</v>
      </c>
      <c r="J35" t="s">
        <v>6921</v>
      </c>
      <c r="K35">
        <v>20230804</v>
      </c>
      <c r="L35" t="s">
        <v>4488</v>
      </c>
      <c r="M35">
        <v>0</v>
      </c>
      <c r="N35">
        <v>9.9</v>
      </c>
      <c r="O35" t="s">
        <v>19</v>
      </c>
      <c r="P35" t="s">
        <v>20</v>
      </c>
      <c r="Q35">
        <v>20230804</v>
      </c>
    </row>
    <row r="36" spans="1:17" x14ac:dyDescent="0.25">
      <c r="A36" t="s">
        <v>476</v>
      </c>
      <c r="B36" t="s">
        <v>477</v>
      </c>
      <c r="C36">
        <v>1</v>
      </c>
      <c r="D36">
        <v>20230807</v>
      </c>
      <c r="E36">
        <v>8</v>
      </c>
      <c r="F36">
        <v>471000</v>
      </c>
      <c r="G36" t="s">
        <v>4801</v>
      </c>
      <c r="H36" t="s">
        <v>401</v>
      </c>
      <c r="I36" t="s">
        <v>402</v>
      </c>
      <c r="J36" t="s">
        <v>6920</v>
      </c>
      <c r="K36">
        <v>20230807</v>
      </c>
      <c r="L36" t="s">
        <v>6919</v>
      </c>
      <c r="M36">
        <v>0</v>
      </c>
      <c r="N36">
        <v>3000</v>
      </c>
      <c r="O36" t="s">
        <v>19</v>
      </c>
      <c r="P36" t="s">
        <v>20</v>
      </c>
      <c r="Q36">
        <v>20230807</v>
      </c>
    </row>
    <row r="37" spans="1:17" x14ac:dyDescent="0.25">
      <c r="A37" t="s">
        <v>476</v>
      </c>
      <c r="B37" t="s">
        <v>477</v>
      </c>
      <c r="C37">
        <v>1</v>
      </c>
      <c r="D37">
        <v>20230807</v>
      </c>
      <c r="E37">
        <v>8</v>
      </c>
      <c r="F37">
        <v>512000</v>
      </c>
      <c r="G37" t="s">
        <v>428</v>
      </c>
      <c r="H37" t="s">
        <v>401</v>
      </c>
      <c r="I37" t="s">
        <v>402</v>
      </c>
      <c r="J37" t="s">
        <v>6920</v>
      </c>
      <c r="K37">
        <v>20230807</v>
      </c>
      <c r="L37" t="s">
        <v>6919</v>
      </c>
      <c r="M37">
        <v>3000</v>
      </c>
      <c r="N37">
        <v>0</v>
      </c>
      <c r="O37" t="s">
        <v>19</v>
      </c>
      <c r="P37" t="s">
        <v>20</v>
      </c>
      <c r="Q37">
        <v>20230807</v>
      </c>
    </row>
    <row r="38" spans="1:17" x14ac:dyDescent="0.25">
      <c r="A38" t="s">
        <v>476</v>
      </c>
      <c r="B38" t="s">
        <v>477</v>
      </c>
      <c r="C38">
        <v>1</v>
      </c>
      <c r="D38">
        <v>20230807</v>
      </c>
      <c r="E38">
        <v>8</v>
      </c>
      <c r="F38">
        <v>421000</v>
      </c>
      <c r="G38" t="s">
        <v>403</v>
      </c>
      <c r="H38" t="s">
        <v>401</v>
      </c>
      <c r="I38" t="s">
        <v>402</v>
      </c>
      <c r="J38" t="s">
        <v>6918</v>
      </c>
      <c r="K38">
        <v>20230807</v>
      </c>
      <c r="L38" t="s">
        <v>922</v>
      </c>
      <c r="M38">
        <v>8501.51</v>
      </c>
      <c r="N38">
        <v>0</v>
      </c>
      <c r="O38" t="s">
        <v>19</v>
      </c>
      <c r="P38" t="s">
        <v>20</v>
      </c>
      <c r="Q38">
        <v>20230807</v>
      </c>
    </row>
    <row r="39" spans="1:17" x14ac:dyDescent="0.25">
      <c r="A39" t="s">
        <v>476</v>
      </c>
      <c r="B39" t="s">
        <v>477</v>
      </c>
      <c r="C39">
        <v>1</v>
      </c>
      <c r="D39">
        <v>20230807</v>
      </c>
      <c r="E39">
        <v>8</v>
      </c>
      <c r="F39">
        <v>512000</v>
      </c>
      <c r="G39" t="s">
        <v>428</v>
      </c>
      <c r="H39" t="s">
        <v>401</v>
      </c>
      <c r="I39" t="s">
        <v>402</v>
      </c>
      <c r="J39" t="s">
        <v>6918</v>
      </c>
      <c r="K39">
        <v>20230807</v>
      </c>
      <c r="L39" t="s">
        <v>922</v>
      </c>
      <c r="M39">
        <v>0</v>
      </c>
      <c r="N39">
        <v>8501.51</v>
      </c>
      <c r="O39" t="s">
        <v>19</v>
      </c>
      <c r="P39" t="s">
        <v>20</v>
      </c>
      <c r="Q39">
        <v>20230807</v>
      </c>
    </row>
    <row r="40" spans="1:17" x14ac:dyDescent="0.25">
      <c r="A40" t="s">
        <v>476</v>
      </c>
      <c r="B40" t="s">
        <v>477</v>
      </c>
      <c r="C40">
        <v>1</v>
      </c>
      <c r="D40">
        <v>20230807</v>
      </c>
      <c r="E40">
        <v>8</v>
      </c>
      <c r="F40">
        <v>421000</v>
      </c>
      <c r="G40" t="s">
        <v>403</v>
      </c>
      <c r="H40" t="s">
        <v>401</v>
      </c>
      <c r="I40" t="s">
        <v>402</v>
      </c>
      <c r="J40" t="s">
        <v>6917</v>
      </c>
      <c r="K40">
        <v>20230807</v>
      </c>
      <c r="L40" t="s">
        <v>6765</v>
      </c>
      <c r="M40">
        <v>3906.5</v>
      </c>
      <c r="N40">
        <v>0</v>
      </c>
      <c r="O40" t="s">
        <v>19</v>
      </c>
      <c r="P40" t="s">
        <v>20</v>
      </c>
      <c r="Q40">
        <v>20230807</v>
      </c>
    </row>
    <row r="41" spans="1:17" x14ac:dyDescent="0.25">
      <c r="A41" t="s">
        <v>476</v>
      </c>
      <c r="B41" t="s">
        <v>477</v>
      </c>
      <c r="C41">
        <v>1</v>
      </c>
      <c r="D41">
        <v>20230807</v>
      </c>
      <c r="E41">
        <v>8</v>
      </c>
      <c r="F41">
        <v>512000</v>
      </c>
      <c r="G41" t="s">
        <v>428</v>
      </c>
      <c r="H41" t="s">
        <v>401</v>
      </c>
      <c r="I41" t="s">
        <v>402</v>
      </c>
      <c r="J41" t="s">
        <v>6917</v>
      </c>
      <c r="K41">
        <v>20230807</v>
      </c>
      <c r="L41" t="s">
        <v>6765</v>
      </c>
      <c r="M41">
        <v>0</v>
      </c>
      <c r="N41">
        <v>3906.5</v>
      </c>
      <c r="O41" t="s">
        <v>19</v>
      </c>
      <c r="P41" t="s">
        <v>20</v>
      </c>
      <c r="Q41">
        <v>20230807</v>
      </c>
    </row>
    <row r="42" spans="1:17" x14ac:dyDescent="0.25">
      <c r="A42" t="s">
        <v>476</v>
      </c>
      <c r="B42" t="s">
        <v>477</v>
      </c>
      <c r="C42">
        <v>1</v>
      </c>
      <c r="D42">
        <v>20230809</v>
      </c>
      <c r="E42">
        <v>8</v>
      </c>
      <c r="F42">
        <v>401000</v>
      </c>
      <c r="G42" t="s">
        <v>41</v>
      </c>
      <c r="H42" t="s">
        <v>6916</v>
      </c>
      <c r="I42" t="s">
        <v>6915</v>
      </c>
      <c r="J42" t="s">
        <v>6914</v>
      </c>
      <c r="K42">
        <v>20230809</v>
      </c>
      <c r="L42" t="s">
        <v>6913</v>
      </c>
      <c r="M42">
        <v>210</v>
      </c>
      <c r="N42">
        <v>0</v>
      </c>
      <c r="O42" t="s">
        <v>23</v>
      </c>
      <c r="P42">
        <v>20230926</v>
      </c>
      <c r="Q42">
        <v>20230809</v>
      </c>
    </row>
    <row r="43" spans="1:17" x14ac:dyDescent="0.25">
      <c r="A43" t="s">
        <v>476</v>
      </c>
      <c r="B43" t="s">
        <v>477</v>
      </c>
      <c r="C43">
        <v>1</v>
      </c>
      <c r="D43">
        <v>20230809</v>
      </c>
      <c r="E43">
        <v>8</v>
      </c>
      <c r="F43">
        <v>512000</v>
      </c>
      <c r="G43" t="s">
        <v>428</v>
      </c>
      <c r="H43" t="s">
        <v>401</v>
      </c>
      <c r="I43" t="s">
        <v>402</v>
      </c>
      <c r="J43" t="s">
        <v>6914</v>
      </c>
      <c r="K43">
        <v>20230809</v>
      </c>
      <c r="L43" t="s">
        <v>6913</v>
      </c>
      <c r="M43">
        <v>0</v>
      </c>
      <c r="N43">
        <v>210</v>
      </c>
      <c r="O43" t="s">
        <v>19</v>
      </c>
      <c r="P43" t="s">
        <v>20</v>
      </c>
      <c r="Q43">
        <v>20230809</v>
      </c>
    </row>
    <row r="44" spans="1:17" x14ac:dyDescent="0.25">
      <c r="A44" t="s">
        <v>476</v>
      </c>
      <c r="B44" t="s">
        <v>477</v>
      </c>
      <c r="C44">
        <v>1</v>
      </c>
      <c r="D44">
        <v>20230809</v>
      </c>
      <c r="E44">
        <v>8</v>
      </c>
      <c r="F44">
        <v>627000</v>
      </c>
      <c r="G44" t="s">
        <v>480</v>
      </c>
      <c r="H44" t="s">
        <v>401</v>
      </c>
      <c r="I44" t="s">
        <v>402</v>
      </c>
      <c r="J44" t="s">
        <v>6912</v>
      </c>
      <c r="K44">
        <v>20230809</v>
      </c>
      <c r="L44" t="s">
        <v>4488</v>
      </c>
      <c r="M44">
        <v>9.9</v>
      </c>
      <c r="N44">
        <v>0</v>
      </c>
      <c r="O44" t="s">
        <v>19</v>
      </c>
      <c r="P44" t="s">
        <v>20</v>
      </c>
      <c r="Q44">
        <v>20230809</v>
      </c>
    </row>
    <row r="45" spans="1:17" x14ac:dyDescent="0.25">
      <c r="A45" t="s">
        <v>476</v>
      </c>
      <c r="B45" t="s">
        <v>477</v>
      </c>
      <c r="C45">
        <v>1</v>
      </c>
      <c r="D45">
        <v>20230809</v>
      </c>
      <c r="E45">
        <v>8</v>
      </c>
      <c r="F45">
        <v>512000</v>
      </c>
      <c r="G45" t="s">
        <v>428</v>
      </c>
      <c r="H45" t="s">
        <v>401</v>
      </c>
      <c r="I45" t="s">
        <v>402</v>
      </c>
      <c r="J45" t="s">
        <v>6912</v>
      </c>
      <c r="K45">
        <v>20230809</v>
      </c>
      <c r="L45" t="s">
        <v>4488</v>
      </c>
      <c r="M45">
        <v>0</v>
      </c>
      <c r="N45">
        <v>9.9</v>
      </c>
      <c r="O45" t="s">
        <v>19</v>
      </c>
      <c r="P45" t="s">
        <v>20</v>
      </c>
      <c r="Q45">
        <v>20230809</v>
      </c>
    </row>
    <row r="46" spans="1:17" x14ac:dyDescent="0.25">
      <c r="A46" t="s">
        <v>476</v>
      </c>
      <c r="B46" t="s">
        <v>477</v>
      </c>
      <c r="C46">
        <v>1</v>
      </c>
      <c r="D46">
        <v>20230809</v>
      </c>
      <c r="E46">
        <v>8</v>
      </c>
      <c r="F46">
        <v>468200</v>
      </c>
      <c r="G46" t="s">
        <v>421</v>
      </c>
      <c r="H46" t="s">
        <v>401</v>
      </c>
      <c r="I46" t="s">
        <v>402</v>
      </c>
      <c r="J46" t="s">
        <v>6911</v>
      </c>
      <c r="K46">
        <v>20230809</v>
      </c>
      <c r="L46" t="s">
        <v>422</v>
      </c>
      <c r="M46">
        <v>0</v>
      </c>
      <c r="N46">
        <v>231.04</v>
      </c>
      <c r="O46" t="s">
        <v>19</v>
      </c>
      <c r="P46" t="s">
        <v>20</v>
      </c>
      <c r="Q46">
        <v>20230809</v>
      </c>
    </row>
    <row r="47" spans="1:17" x14ac:dyDescent="0.25">
      <c r="A47" t="s">
        <v>476</v>
      </c>
      <c r="B47" t="s">
        <v>477</v>
      </c>
      <c r="C47">
        <v>1</v>
      </c>
      <c r="D47">
        <v>20230809</v>
      </c>
      <c r="E47">
        <v>8</v>
      </c>
      <c r="F47">
        <v>512000</v>
      </c>
      <c r="G47" t="s">
        <v>428</v>
      </c>
      <c r="H47" t="s">
        <v>401</v>
      </c>
      <c r="I47" t="s">
        <v>402</v>
      </c>
      <c r="J47" t="s">
        <v>6911</v>
      </c>
      <c r="K47">
        <v>20230809</v>
      </c>
      <c r="L47" t="s">
        <v>422</v>
      </c>
      <c r="M47">
        <v>231.04</v>
      </c>
      <c r="N47">
        <v>0</v>
      </c>
      <c r="O47" t="s">
        <v>19</v>
      </c>
      <c r="P47" t="s">
        <v>20</v>
      </c>
      <c r="Q47">
        <v>20230809</v>
      </c>
    </row>
    <row r="48" spans="1:17" x14ac:dyDescent="0.25">
      <c r="A48" t="s">
        <v>476</v>
      </c>
      <c r="B48" t="s">
        <v>477</v>
      </c>
      <c r="C48">
        <v>1</v>
      </c>
      <c r="D48">
        <v>20230810</v>
      </c>
      <c r="E48">
        <v>8</v>
      </c>
      <c r="F48">
        <v>401000</v>
      </c>
      <c r="G48" t="s">
        <v>41</v>
      </c>
      <c r="H48" t="s">
        <v>125</v>
      </c>
      <c r="I48" t="s">
        <v>126</v>
      </c>
      <c r="J48" t="s">
        <v>6910</v>
      </c>
      <c r="K48">
        <v>20230810</v>
      </c>
      <c r="L48" t="s">
        <v>2320</v>
      </c>
      <c r="M48">
        <v>380</v>
      </c>
      <c r="N48">
        <v>0</v>
      </c>
      <c r="O48" t="s">
        <v>19</v>
      </c>
      <c r="P48" t="s">
        <v>20</v>
      </c>
      <c r="Q48">
        <v>20230810</v>
      </c>
    </row>
    <row r="49" spans="1:17" x14ac:dyDescent="0.25">
      <c r="A49" t="s">
        <v>476</v>
      </c>
      <c r="B49" t="s">
        <v>477</v>
      </c>
      <c r="C49">
        <v>1</v>
      </c>
      <c r="D49">
        <v>20230810</v>
      </c>
      <c r="E49">
        <v>8</v>
      </c>
      <c r="F49">
        <v>512000</v>
      </c>
      <c r="G49" t="s">
        <v>428</v>
      </c>
      <c r="H49" t="s">
        <v>401</v>
      </c>
      <c r="I49" t="s">
        <v>402</v>
      </c>
      <c r="J49" t="s">
        <v>6910</v>
      </c>
      <c r="K49">
        <v>20230810</v>
      </c>
      <c r="L49" t="s">
        <v>2320</v>
      </c>
      <c r="M49">
        <v>0</v>
      </c>
      <c r="N49">
        <v>380</v>
      </c>
      <c r="O49" t="s">
        <v>19</v>
      </c>
      <c r="P49" t="s">
        <v>20</v>
      </c>
      <c r="Q49">
        <v>20230810</v>
      </c>
    </row>
    <row r="50" spans="1:17" x14ac:dyDescent="0.25">
      <c r="A50" t="s">
        <v>476</v>
      </c>
      <c r="B50" t="s">
        <v>477</v>
      </c>
      <c r="C50">
        <v>1</v>
      </c>
      <c r="D50">
        <v>20230810</v>
      </c>
      <c r="E50">
        <v>8</v>
      </c>
      <c r="F50">
        <v>468200</v>
      </c>
      <c r="G50" t="s">
        <v>421</v>
      </c>
      <c r="H50" t="s">
        <v>401</v>
      </c>
      <c r="I50" t="s">
        <v>402</v>
      </c>
      <c r="J50" t="s">
        <v>6909</v>
      </c>
      <c r="K50">
        <v>20230810</v>
      </c>
      <c r="L50" t="s">
        <v>422</v>
      </c>
      <c r="M50">
        <v>0</v>
      </c>
      <c r="N50">
        <v>183.6</v>
      </c>
      <c r="O50" t="s">
        <v>19</v>
      </c>
      <c r="P50" t="s">
        <v>20</v>
      </c>
      <c r="Q50">
        <v>20230810</v>
      </c>
    </row>
    <row r="51" spans="1:17" x14ac:dyDescent="0.25">
      <c r="A51" t="s">
        <v>476</v>
      </c>
      <c r="B51" t="s">
        <v>477</v>
      </c>
      <c r="C51">
        <v>1</v>
      </c>
      <c r="D51">
        <v>20230810</v>
      </c>
      <c r="E51">
        <v>8</v>
      </c>
      <c r="F51">
        <v>512000</v>
      </c>
      <c r="G51" t="s">
        <v>428</v>
      </c>
      <c r="H51" t="s">
        <v>401</v>
      </c>
      <c r="I51" t="s">
        <v>402</v>
      </c>
      <c r="J51" t="s">
        <v>6909</v>
      </c>
      <c r="K51">
        <v>20230810</v>
      </c>
      <c r="L51" t="s">
        <v>422</v>
      </c>
      <c r="M51">
        <v>183.6</v>
      </c>
      <c r="N51">
        <v>0</v>
      </c>
      <c r="O51" t="s">
        <v>19</v>
      </c>
      <c r="P51" t="s">
        <v>20</v>
      </c>
      <c r="Q51">
        <v>20230810</v>
      </c>
    </row>
    <row r="52" spans="1:17" x14ac:dyDescent="0.25">
      <c r="A52" t="s">
        <v>476</v>
      </c>
      <c r="B52" t="s">
        <v>477</v>
      </c>
      <c r="C52">
        <v>1</v>
      </c>
      <c r="D52">
        <v>20230811</v>
      </c>
      <c r="E52">
        <v>8</v>
      </c>
      <c r="F52">
        <v>401000</v>
      </c>
      <c r="G52" t="s">
        <v>41</v>
      </c>
      <c r="H52" t="s">
        <v>225</v>
      </c>
      <c r="I52" t="s">
        <v>226</v>
      </c>
      <c r="J52" t="s">
        <v>6908</v>
      </c>
      <c r="K52">
        <v>20230811</v>
      </c>
      <c r="L52" t="s">
        <v>488</v>
      </c>
      <c r="M52">
        <v>2527.87</v>
      </c>
      <c r="N52">
        <v>0</v>
      </c>
      <c r="O52" t="s">
        <v>23</v>
      </c>
      <c r="P52">
        <v>20230928</v>
      </c>
      <c r="Q52">
        <v>20230811</v>
      </c>
    </row>
    <row r="53" spans="1:17" x14ac:dyDescent="0.25">
      <c r="A53" t="s">
        <v>476</v>
      </c>
      <c r="B53" t="s">
        <v>477</v>
      </c>
      <c r="C53">
        <v>1</v>
      </c>
      <c r="D53">
        <v>20230811</v>
      </c>
      <c r="E53">
        <v>8</v>
      </c>
      <c r="F53">
        <v>512000</v>
      </c>
      <c r="G53" t="s">
        <v>428</v>
      </c>
      <c r="H53" t="s">
        <v>401</v>
      </c>
      <c r="I53" t="s">
        <v>402</v>
      </c>
      <c r="J53" t="s">
        <v>6908</v>
      </c>
      <c r="K53">
        <v>20230811</v>
      </c>
      <c r="L53" t="s">
        <v>488</v>
      </c>
      <c r="M53">
        <v>0</v>
      </c>
      <c r="N53">
        <v>2527.87</v>
      </c>
      <c r="O53" t="s">
        <v>19</v>
      </c>
      <c r="P53" t="s">
        <v>20</v>
      </c>
      <c r="Q53">
        <v>20230811</v>
      </c>
    </row>
    <row r="54" spans="1:17" x14ac:dyDescent="0.25">
      <c r="A54" t="s">
        <v>476</v>
      </c>
      <c r="B54" t="s">
        <v>477</v>
      </c>
      <c r="C54">
        <v>1</v>
      </c>
      <c r="D54">
        <v>20230814</v>
      </c>
      <c r="E54">
        <v>8</v>
      </c>
      <c r="F54">
        <v>468740</v>
      </c>
      <c r="G54" t="s">
        <v>426</v>
      </c>
      <c r="H54" t="s">
        <v>401</v>
      </c>
      <c r="I54" t="s">
        <v>402</v>
      </c>
      <c r="J54" t="s">
        <v>6907</v>
      </c>
      <c r="K54">
        <v>20230814</v>
      </c>
      <c r="L54" t="s">
        <v>6906</v>
      </c>
      <c r="M54">
        <v>0</v>
      </c>
      <c r="N54">
        <v>6000</v>
      </c>
      <c r="O54" t="s">
        <v>19</v>
      </c>
      <c r="P54" t="s">
        <v>20</v>
      </c>
      <c r="Q54">
        <v>20230814</v>
      </c>
    </row>
    <row r="55" spans="1:17" x14ac:dyDescent="0.25">
      <c r="A55" t="s">
        <v>476</v>
      </c>
      <c r="B55" t="s">
        <v>477</v>
      </c>
      <c r="C55">
        <v>1</v>
      </c>
      <c r="D55">
        <v>20230814</v>
      </c>
      <c r="E55">
        <v>8</v>
      </c>
      <c r="F55">
        <v>512000</v>
      </c>
      <c r="G55" t="s">
        <v>428</v>
      </c>
      <c r="H55" t="s">
        <v>401</v>
      </c>
      <c r="I55" t="s">
        <v>402</v>
      </c>
      <c r="J55" t="s">
        <v>6907</v>
      </c>
      <c r="K55">
        <v>20230814</v>
      </c>
      <c r="L55" t="s">
        <v>6906</v>
      </c>
      <c r="M55">
        <v>6000</v>
      </c>
      <c r="N55">
        <v>0</v>
      </c>
      <c r="O55" t="s">
        <v>19</v>
      </c>
      <c r="P55" t="s">
        <v>20</v>
      </c>
      <c r="Q55">
        <v>20230814</v>
      </c>
    </row>
    <row r="56" spans="1:17" x14ac:dyDescent="0.25">
      <c r="A56" t="s">
        <v>476</v>
      </c>
      <c r="B56" t="s">
        <v>477</v>
      </c>
      <c r="C56">
        <v>1</v>
      </c>
      <c r="D56">
        <v>20230814</v>
      </c>
      <c r="E56">
        <v>8</v>
      </c>
      <c r="F56">
        <v>468730</v>
      </c>
      <c r="G56" t="s">
        <v>2371</v>
      </c>
      <c r="H56" t="s">
        <v>401</v>
      </c>
      <c r="I56" t="s">
        <v>402</v>
      </c>
      <c r="J56" t="s">
        <v>6905</v>
      </c>
      <c r="K56">
        <v>20230814</v>
      </c>
      <c r="L56" t="s">
        <v>6904</v>
      </c>
      <c r="M56">
        <v>0</v>
      </c>
      <c r="N56">
        <v>4500</v>
      </c>
      <c r="O56" t="s">
        <v>19</v>
      </c>
      <c r="P56" t="s">
        <v>20</v>
      </c>
      <c r="Q56">
        <v>20230814</v>
      </c>
    </row>
    <row r="57" spans="1:17" x14ac:dyDescent="0.25">
      <c r="A57" t="s">
        <v>476</v>
      </c>
      <c r="B57" t="s">
        <v>477</v>
      </c>
      <c r="C57">
        <v>1</v>
      </c>
      <c r="D57">
        <v>20230814</v>
      </c>
      <c r="E57">
        <v>8</v>
      </c>
      <c r="F57">
        <v>512000</v>
      </c>
      <c r="G57" t="s">
        <v>428</v>
      </c>
      <c r="H57" t="s">
        <v>401</v>
      </c>
      <c r="I57" t="s">
        <v>402</v>
      </c>
      <c r="J57" t="s">
        <v>6905</v>
      </c>
      <c r="K57">
        <v>20230814</v>
      </c>
      <c r="L57" t="s">
        <v>6904</v>
      </c>
      <c r="M57">
        <v>4500</v>
      </c>
      <c r="N57">
        <v>0</v>
      </c>
      <c r="O57" t="s">
        <v>19</v>
      </c>
      <c r="P57" t="s">
        <v>20</v>
      </c>
      <c r="Q57">
        <v>20230814</v>
      </c>
    </row>
    <row r="58" spans="1:17" x14ac:dyDescent="0.25">
      <c r="A58" t="s">
        <v>476</v>
      </c>
      <c r="B58" t="s">
        <v>477</v>
      </c>
      <c r="C58">
        <v>1</v>
      </c>
      <c r="D58">
        <v>20230814</v>
      </c>
      <c r="E58">
        <v>8</v>
      </c>
      <c r="F58">
        <v>401000</v>
      </c>
      <c r="G58" t="s">
        <v>41</v>
      </c>
      <c r="H58" t="s">
        <v>6903</v>
      </c>
      <c r="I58" t="s">
        <v>6902</v>
      </c>
      <c r="J58" t="s">
        <v>6901</v>
      </c>
      <c r="K58">
        <v>20230814</v>
      </c>
      <c r="L58" t="s">
        <v>6900</v>
      </c>
      <c r="M58">
        <v>78.2</v>
      </c>
      <c r="N58">
        <v>0</v>
      </c>
      <c r="O58" t="s">
        <v>23</v>
      </c>
      <c r="P58">
        <v>20230920</v>
      </c>
      <c r="Q58">
        <v>20230814</v>
      </c>
    </row>
    <row r="59" spans="1:17" x14ac:dyDescent="0.25">
      <c r="A59" t="s">
        <v>476</v>
      </c>
      <c r="B59" t="s">
        <v>477</v>
      </c>
      <c r="C59">
        <v>1</v>
      </c>
      <c r="D59">
        <v>20230814</v>
      </c>
      <c r="E59">
        <v>8</v>
      </c>
      <c r="F59">
        <v>512000</v>
      </c>
      <c r="G59" t="s">
        <v>428</v>
      </c>
      <c r="H59" t="s">
        <v>401</v>
      </c>
      <c r="I59" t="s">
        <v>402</v>
      </c>
      <c r="J59" t="s">
        <v>6901</v>
      </c>
      <c r="K59">
        <v>20230814</v>
      </c>
      <c r="L59" t="s">
        <v>6900</v>
      </c>
      <c r="M59">
        <v>0</v>
      </c>
      <c r="N59">
        <v>78.2</v>
      </c>
      <c r="O59" t="s">
        <v>19</v>
      </c>
      <c r="P59" t="s">
        <v>20</v>
      </c>
      <c r="Q59">
        <v>20230814</v>
      </c>
    </row>
    <row r="60" spans="1:17" x14ac:dyDescent="0.25">
      <c r="A60" t="s">
        <v>476</v>
      </c>
      <c r="B60" t="s">
        <v>477</v>
      </c>
      <c r="C60">
        <v>1</v>
      </c>
      <c r="D60">
        <v>20230814</v>
      </c>
      <c r="E60">
        <v>8</v>
      </c>
      <c r="F60">
        <v>437000</v>
      </c>
      <c r="G60" t="s">
        <v>430</v>
      </c>
      <c r="H60" t="s">
        <v>401</v>
      </c>
      <c r="I60" t="s">
        <v>402</v>
      </c>
      <c r="J60" t="s">
        <v>6899</v>
      </c>
      <c r="K60">
        <v>20230814</v>
      </c>
      <c r="L60" t="s">
        <v>497</v>
      </c>
      <c r="M60">
        <v>1584.16</v>
      </c>
      <c r="N60">
        <v>0</v>
      </c>
      <c r="O60" t="s">
        <v>19</v>
      </c>
      <c r="P60" t="s">
        <v>20</v>
      </c>
      <c r="Q60">
        <v>20230814</v>
      </c>
    </row>
    <row r="61" spans="1:17" x14ac:dyDescent="0.25">
      <c r="A61" t="s">
        <v>476</v>
      </c>
      <c r="B61" t="s">
        <v>477</v>
      </c>
      <c r="C61">
        <v>1</v>
      </c>
      <c r="D61">
        <v>20230814</v>
      </c>
      <c r="E61">
        <v>8</v>
      </c>
      <c r="F61">
        <v>512000</v>
      </c>
      <c r="G61" t="s">
        <v>428</v>
      </c>
      <c r="H61" t="s">
        <v>401</v>
      </c>
      <c r="I61" t="s">
        <v>402</v>
      </c>
      <c r="J61" t="s">
        <v>6899</v>
      </c>
      <c r="K61">
        <v>20230814</v>
      </c>
      <c r="L61" t="s">
        <v>497</v>
      </c>
      <c r="M61">
        <v>0</v>
      </c>
      <c r="N61">
        <v>1584.16</v>
      </c>
      <c r="O61" t="s">
        <v>19</v>
      </c>
      <c r="P61" t="s">
        <v>20</v>
      </c>
      <c r="Q61">
        <v>20230814</v>
      </c>
    </row>
    <row r="62" spans="1:17" x14ac:dyDescent="0.25">
      <c r="A62" t="s">
        <v>476</v>
      </c>
      <c r="B62" t="s">
        <v>477</v>
      </c>
      <c r="C62">
        <v>1</v>
      </c>
      <c r="D62">
        <v>20230815</v>
      </c>
      <c r="E62">
        <v>8</v>
      </c>
      <c r="F62">
        <v>627000</v>
      </c>
      <c r="G62" t="s">
        <v>480</v>
      </c>
      <c r="H62" t="s">
        <v>401</v>
      </c>
      <c r="I62" t="s">
        <v>402</v>
      </c>
      <c r="J62" t="s">
        <v>6898</v>
      </c>
      <c r="K62">
        <v>20230815</v>
      </c>
      <c r="L62" t="s">
        <v>6886</v>
      </c>
      <c r="M62">
        <v>9.9</v>
      </c>
      <c r="N62">
        <v>0</v>
      </c>
      <c r="O62" t="s">
        <v>19</v>
      </c>
      <c r="P62" t="s">
        <v>20</v>
      </c>
      <c r="Q62">
        <v>20230815</v>
      </c>
    </row>
    <row r="63" spans="1:17" x14ac:dyDescent="0.25">
      <c r="A63" t="s">
        <v>476</v>
      </c>
      <c r="B63" t="s">
        <v>477</v>
      </c>
      <c r="C63">
        <v>1</v>
      </c>
      <c r="D63">
        <v>20230815</v>
      </c>
      <c r="E63">
        <v>8</v>
      </c>
      <c r="F63">
        <v>512000</v>
      </c>
      <c r="G63" t="s">
        <v>428</v>
      </c>
      <c r="H63" t="s">
        <v>401</v>
      </c>
      <c r="I63" t="s">
        <v>402</v>
      </c>
      <c r="J63" t="s">
        <v>6898</v>
      </c>
      <c r="K63">
        <v>20230815</v>
      </c>
      <c r="L63" t="s">
        <v>6886</v>
      </c>
      <c r="M63">
        <v>0</v>
      </c>
      <c r="N63">
        <v>9.9</v>
      </c>
      <c r="O63" t="s">
        <v>19</v>
      </c>
      <c r="P63" t="s">
        <v>20</v>
      </c>
      <c r="Q63">
        <v>20230815</v>
      </c>
    </row>
    <row r="64" spans="1:17" x14ac:dyDescent="0.25">
      <c r="A64" t="s">
        <v>476</v>
      </c>
      <c r="B64" t="s">
        <v>477</v>
      </c>
      <c r="C64">
        <v>1</v>
      </c>
      <c r="D64">
        <v>20230816</v>
      </c>
      <c r="E64">
        <v>8</v>
      </c>
      <c r="F64">
        <v>447000</v>
      </c>
      <c r="G64" t="s">
        <v>419</v>
      </c>
      <c r="H64" t="s">
        <v>401</v>
      </c>
      <c r="I64" t="s">
        <v>402</v>
      </c>
      <c r="J64" t="s">
        <v>6897</v>
      </c>
      <c r="K64">
        <v>20230816</v>
      </c>
      <c r="L64" t="s">
        <v>898</v>
      </c>
      <c r="M64">
        <v>7596</v>
      </c>
      <c r="N64">
        <v>0</v>
      </c>
      <c r="O64" t="s">
        <v>19</v>
      </c>
      <c r="P64" t="s">
        <v>20</v>
      </c>
      <c r="Q64">
        <v>20230816</v>
      </c>
    </row>
    <row r="65" spans="1:17" x14ac:dyDescent="0.25">
      <c r="A65" t="s">
        <v>476</v>
      </c>
      <c r="B65" t="s">
        <v>477</v>
      </c>
      <c r="C65">
        <v>1</v>
      </c>
      <c r="D65">
        <v>20230816</v>
      </c>
      <c r="E65">
        <v>8</v>
      </c>
      <c r="F65">
        <v>512000</v>
      </c>
      <c r="G65" t="s">
        <v>428</v>
      </c>
      <c r="H65" t="s">
        <v>401</v>
      </c>
      <c r="I65" t="s">
        <v>402</v>
      </c>
      <c r="J65" t="s">
        <v>6897</v>
      </c>
      <c r="K65">
        <v>20230816</v>
      </c>
      <c r="L65" t="s">
        <v>898</v>
      </c>
      <c r="M65">
        <v>0</v>
      </c>
      <c r="N65">
        <v>7596</v>
      </c>
      <c r="O65" t="s">
        <v>19</v>
      </c>
      <c r="P65" t="s">
        <v>20</v>
      </c>
      <c r="Q65">
        <v>20230816</v>
      </c>
    </row>
    <row r="66" spans="1:17" x14ac:dyDescent="0.25">
      <c r="A66" t="s">
        <v>476</v>
      </c>
      <c r="B66" t="s">
        <v>477</v>
      </c>
      <c r="C66">
        <v>1</v>
      </c>
      <c r="D66">
        <v>20230817</v>
      </c>
      <c r="E66">
        <v>8</v>
      </c>
      <c r="F66">
        <v>431000</v>
      </c>
      <c r="G66" t="s">
        <v>408</v>
      </c>
      <c r="H66" t="s">
        <v>401</v>
      </c>
      <c r="I66" t="s">
        <v>402</v>
      </c>
      <c r="J66" t="s">
        <v>6896</v>
      </c>
      <c r="K66">
        <v>20230817</v>
      </c>
      <c r="L66" t="s">
        <v>409</v>
      </c>
      <c r="M66">
        <v>40329</v>
      </c>
      <c r="N66">
        <v>0</v>
      </c>
      <c r="O66" t="s">
        <v>19</v>
      </c>
      <c r="P66" t="s">
        <v>20</v>
      </c>
      <c r="Q66">
        <v>20230817</v>
      </c>
    </row>
    <row r="67" spans="1:17" x14ac:dyDescent="0.25">
      <c r="A67" t="s">
        <v>476</v>
      </c>
      <c r="B67" t="s">
        <v>477</v>
      </c>
      <c r="C67">
        <v>1</v>
      </c>
      <c r="D67">
        <v>20230817</v>
      </c>
      <c r="E67">
        <v>8</v>
      </c>
      <c r="F67">
        <v>512000</v>
      </c>
      <c r="G67" t="s">
        <v>428</v>
      </c>
      <c r="H67" t="s">
        <v>401</v>
      </c>
      <c r="I67" t="s">
        <v>402</v>
      </c>
      <c r="J67" t="s">
        <v>6896</v>
      </c>
      <c r="K67">
        <v>20230817</v>
      </c>
      <c r="L67" t="s">
        <v>409</v>
      </c>
      <c r="M67">
        <v>0</v>
      </c>
      <c r="N67">
        <v>40329</v>
      </c>
      <c r="O67" t="s">
        <v>19</v>
      </c>
      <c r="P67" t="s">
        <v>20</v>
      </c>
      <c r="Q67">
        <v>20230817</v>
      </c>
    </row>
    <row r="68" spans="1:17" x14ac:dyDescent="0.25">
      <c r="A68" t="s">
        <v>476</v>
      </c>
      <c r="B68" t="s">
        <v>477</v>
      </c>
      <c r="C68">
        <v>1</v>
      </c>
      <c r="D68">
        <v>20230818</v>
      </c>
      <c r="E68">
        <v>8</v>
      </c>
      <c r="F68">
        <v>421000</v>
      </c>
      <c r="G68" t="s">
        <v>403</v>
      </c>
      <c r="H68" t="s">
        <v>401</v>
      </c>
      <c r="I68" t="s">
        <v>402</v>
      </c>
      <c r="J68" t="s">
        <v>6895</v>
      </c>
      <c r="K68">
        <v>20230818</v>
      </c>
      <c r="L68" t="s">
        <v>6894</v>
      </c>
      <c r="M68">
        <v>706.65</v>
      </c>
      <c r="N68">
        <v>0</v>
      </c>
      <c r="O68" t="s">
        <v>19</v>
      </c>
      <c r="P68" t="s">
        <v>20</v>
      </c>
      <c r="Q68">
        <v>20230818</v>
      </c>
    </row>
    <row r="69" spans="1:17" x14ac:dyDescent="0.25">
      <c r="A69" t="s">
        <v>476</v>
      </c>
      <c r="B69" t="s">
        <v>477</v>
      </c>
      <c r="C69">
        <v>1</v>
      </c>
      <c r="D69">
        <v>20230818</v>
      </c>
      <c r="E69">
        <v>8</v>
      </c>
      <c r="F69">
        <v>512000</v>
      </c>
      <c r="G69" t="s">
        <v>428</v>
      </c>
      <c r="H69" t="s">
        <v>401</v>
      </c>
      <c r="I69" t="s">
        <v>402</v>
      </c>
      <c r="J69" t="s">
        <v>6895</v>
      </c>
      <c r="K69">
        <v>20230818</v>
      </c>
      <c r="L69" t="s">
        <v>6894</v>
      </c>
      <c r="M69">
        <v>0</v>
      </c>
      <c r="N69">
        <v>706.65</v>
      </c>
      <c r="O69" t="s">
        <v>19</v>
      </c>
      <c r="P69" t="s">
        <v>20</v>
      </c>
      <c r="Q69">
        <v>20230818</v>
      </c>
    </row>
    <row r="70" spans="1:17" x14ac:dyDescent="0.25">
      <c r="A70" t="s">
        <v>476</v>
      </c>
      <c r="B70" t="s">
        <v>477</v>
      </c>
      <c r="C70">
        <v>1</v>
      </c>
      <c r="D70">
        <v>20230818</v>
      </c>
      <c r="E70">
        <v>8</v>
      </c>
      <c r="F70">
        <v>468710</v>
      </c>
      <c r="G70" t="s">
        <v>423</v>
      </c>
      <c r="H70" t="s">
        <v>401</v>
      </c>
      <c r="I70" t="s">
        <v>402</v>
      </c>
      <c r="J70" t="s">
        <v>6893</v>
      </c>
      <c r="K70">
        <v>20230818</v>
      </c>
      <c r="L70" t="s">
        <v>6892</v>
      </c>
      <c r="M70">
        <v>0</v>
      </c>
      <c r="N70">
        <v>6000</v>
      </c>
      <c r="O70" t="s">
        <v>19</v>
      </c>
      <c r="P70" t="s">
        <v>20</v>
      </c>
      <c r="Q70">
        <v>20230818</v>
      </c>
    </row>
    <row r="71" spans="1:17" x14ac:dyDescent="0.25">
      <c r="A71" t="s">
        <v>476</v>
      </c>
      <c r="B71" t="s">
        <v>477</v>
      </c>
      <c r="C71">
        <v>1</v>
      </c>
      <c r="D71">
        <v>20230818</v>
      </c>
      <c r="E71">
        <v>8</v>
      </c>
      <c r="F71">
        <v>512000</v>
      </c>
      <c r="G71" t="s">
        <v>428</v>
      </c>
      <c r="H71" t="s">
        <v>401</v>
      </c>
      <c r="I71" t="s">
        <v>402</v>
      </c>
      <c r="J71" t="s">
        <v>6893</v>
      </c>
      <c r="K71">
        <v>20230818</v>
      </c>
      <c r="L71" t="s">
        <v>6892</v>
      </c>
      <c r="M71">
        <v>6000</v>
      </c>
      <c r="N71">
        <v>0</v>
      </c>
      <c r="O71" t="s">
        <v>19</v>
      </c>
      <c r="P71" t="s">
        <v>20</v>
      </c>
      <c r="Q71">
        <v>20230818</v>
      </c>
    </row>
    <row r="72" spans="1:17" x14ac:dyDescent="0.25">
      <c r="A72" t="s">
        <v>476</v>
      </c>
      <c r="B72" t="s">
        <v>477</v>
      </c>
      <c r="C72">
        <v>1</v>
      </c>
      <c r="D72">
        <v>20230821</v>
      </c>
      <c r="E72">
        <v>8</v>
      </c>
      <c r="F72">
        <v>411010</v>
      </c>
      <c r="G72" t="s">
        <v>87</v>
      </c>
      <c r="H72" t="s">
        <v>367</v>
      </c>
      <c r="I72" t="s">
        <v>368</v>
      </c>
      <c r="J72" t="s">
        <v>6891</v>
      </c>
      <c r="K72">
        <v>20230821</v>
      </c>
      <c r="L72" t="s">
        <v>6890</v>
      </c>
      <c r="M72">
        <v>0</v>
      </c>
      <c r="N72">
        <v>493.65</v>
      </c>
      <c r="O72" t="s">
        <v>19</v>
      </c>
      <c r="P72" t="s">
        <v>20</v>
      </c>
      <c r="Q72">
        <v>20230821</v>
      </c>
    </row>
    <row r="73" spans="1:17" x14ac:dyDescent="0.25">
      <c r="A73" t="s">
        <v>476</v>
      </c>
      <c r="B73" t="s">
        <v>477</v>
      </c>
      <c r="C73">
        <v>1</v>
      </c>
      <c r="D73">
        <v>20230821</v>
      </c>
      <c r="E73">
        <v>8</v>
      </c>
      <c r="F73">
        <v>512000</v>
      </c>
      <c r="G73" t="s">
        <v>428</v>
      </c>
      <c r="H73" t="s">
        <v>401</v>
      </c>
      <c r="I73" t="s">
        <v>402</v>
      </c>
      <c r="J73" t="s">
        <v>6891</v>
      </c>
      <c r="K73">
        <v>20230821</v>
      </c>
      <c r="L73" t="s">
        <v>6890</v>
      </c>
      <c r="M73">
        <v>493.65</v>
      </c>
      <c r="N73">
        <v>0</v>
      </c>
      <c r="O73" t="s">
        <v>19</v>
      </c>
      <c r="P73" t="s">
        <v>20</v>
      </c>
      <c r="Q73">
        <v>20230821</v>
      </c>
    </row>
    <row r="74" spans="1:17" x14ac:dyDescent="0.25">
      <c r="A74" t="s">
        <v>476</v>
      </c>
      <c r="B74" t="s">
        <v>477</v>
      </c>
      <c r="C74">
        <v>1</v>
      </c>
      <c r="D74">
        <v>20230822</v>
      </c>
      <c r="E74">
        <v>8</v>
      </c>
      <c r="F74">
        <v>627000</v>
      </c>
      <c r="G74" t="s">
        <v>480</v>
      </c>
      <c r="H74" t="s">
        <v>401</v>
      </c>
      <c r="I74" t="s">
        <v>402</v>
      </c>
      <c r="J74" t="s">
        <v>6889</v>
      </c>
      <c r="K74">
        <v>20230822</v>
      </c>
      <c r="L74" t="s">
        <v>6888</v>
      </c>
      <c r="M74">
        <v>60</v>
      </c>
      <c r="N74">
        <v>0</v>
      </c>
      <c r="O74" t="s">
        <v>19</v>
      </c>
      <c r="P74" t="s">
        <v>20</v>
      </c>
      <c r="Q74">
        <v>20230822</v>
      </c>
    </row>
    <row r="75" spans="1:17" x14ac:dyDescent="0.25">
      <c r="A75" t="s">
        <v>476</v>
      </c>
      <c r="B75" t="s">
        <v>477</v>
      </c>
      <c r="C75">
        <v>1</v>
      </c>
      <c r="D75">
        <v>20230822</v>
      </c>
      <c r="E75">
        <v>8</v>
      </c>
      <c r="F75">
        <v>512000</v>
      </c>
      <c r="G75" t="s">
        <v>428</v>
      </c>
      <c r="H75" t="s">
        <v>401</v>
      </c>
      <c r="I75" t="s">
        <v>402</v>
      </c>
      <c r="J75" t="s">
        <v>6889</v>
      </c>
      <c r="K75">
        <v>20230822</v>
      </c>
      <c r="L75" t="s">
        <v>6888</v>
      </c>
      <c r="M75">
        <v>0</v>
      </c>
      <c r="N75">
        <v>60</v>
      </c>
      <c r="O75" t="s">
        <v>19</v>
      </c>
      <c r="P75" t="s">
        <v>20</v>
      </c>
      <c r="Q75">
        <v>20230822</v>
      </c>
    </row>
    <row r="76" spans="1:17" x14ac:dyDescent="0.25">
      <c r="A76" t="s">
        <v>476</v>
      </c>
      <c r="B76" t="s">
        <v>477</v>
      </c>
      <c r="C76">
        <v>1</v>
      </c>
      <c r="D76">
        <v>20230822</v>
      </c>
      <c r="E76">
        <v>8</v>
      </c>
      <c r="F76">
        <v>627000</v>
      </c>
      <c r="G76" t="s">
        <v>480</v>
      </c>
      <c r="H76" t="s">
        <v>401</v>
      </c>
      <c r="I76" t="s">
        <v>402</v>
      </c>
      <c r="J76" t="s">
        <v>6887</v>
      </c>
      <c r="K76">
        <v>20230822</v>
      </c>
      <c r="L76" t="s">
        <v>6886</v>
      </c>
      <c r="M76">
        <v>9.9</v>
      </c>
      <c r="N76">
        <v>0</v>
      </c>
      <c r="O76" t="s">
        <v>19</v>
      </c>
      <c r="P76" t="s">
        <v>20</v>
      </c>
      <c r="Q76">
        <v>20230822</v>
      </c>
    </row>
    <row r="77" spans="1:17" x14ac:dyDescent="0.25">
      <c r="A77" t="s">
        <v>476</v>
      </c>
      <c r="B77" t="s">
        <v>477</v>
      </c>
      <c r="C77">
        <v>1</v>
      </c>
      <c r="D77">
        <v>20230822</v>
      </c>
      <c r="E77">
        <v>8</v>
      </c>
      <c r="F77">
        <v>512000</v>
      </c>
      <c r="G77" t="s">
        <v>428</v>
      </c>
      <c r="H77" t="s">
        <v>401</v>
      </c>
      <c r="I77" t="s">
        <v>402</v>
      </c>
      <c r="J77" t="s">
        <v>6887</v>
      </c>
      <c r="K77">
        <v>20230822</v>
      </c>
      <c r="L77" t="s">
        <v>6886</v>
      </c>
      <c r="M77">
        <v>0</v>
      </c>
      <c r="N77">
        <v>9.9</v>
      </c>
      <c r="O77" t="s">
        <v>19</v>
      </c>
      <c r="P77" t="s">
        <v>20</v>
      </c>
      <c r="Q77">
        <v>20230822</v>
      </c>
    </row>
    <row r="78" spans="1:17" x14ac:dyDescent="0.25">
      <c r="A78" t="s">
        <v>476</v>
      </c>
      <c r="B78" t="s">
        <v>477</v>
      </c>
      <c r="C78">
        <v>1</v>
      </c>
      <c r="D78">
        <v>20230822</v>
      </c>
      <c r="E78">
        <v>8</v>
      </c>
      <c r="F78">
        <v>468200</v>
      </c>
      <c r="G78" t="s">
        <v>421</v>
      </c>
      <c r="H78" t="s">
        <v>401</v>
      </c>
      <c r="I78" t="s">
        <v>402</v>
      </c>
      <c r="J78" t="s">
        <v>6885</v>
      </c>
      <c r="K78">
        <v>20230822</v>
      </c>
      <c r="L78" t="s">
        <v>422</v>
      </c>
      <c r="M78">
        <v>0</v>
      </c>
      <c r="N78">
        <v>404.32</v>
      </c>
      <c r="O78" t="s">
        <v>19</v>
      </c>
      <c r="P78" t="s">
        <v>20</v>
      </c>
      <c r="Q78">
        <v>20230822</v>
      </c>
    </row>
    <row r="79" spans="1:17" x14ac:dyDescent="0.25">
      <c r="A79" t="s">
        <v>476</v>
      </c>
      <c r="B79" t="s">
        <v>477</v>
      </c>
      <c r="C79">
        <v>1</v>
      </c>
      <c r="D79">
        <v>20230822</v>
      </c>
      <c r="E79">
        <v>8</v>
      </c>
      <c r="F79">
        <v>512000</v>
      </c>
      <c r="G79" t="s">
        <v>428</v>
      </c>
      <c r="H79" t="s">
        <v>401</v>
      </c>
      <c r="I79" t="s">
        <v>402</v>
      </c>
      <c r="J79" t="s">
        <v>6885</v>
      </c>
      <c r="K79">
        <v>20230822</v>
      </c>
      <c r="L79" t="s">
        <v>422</v>
      </c>
      <c r="M79">
        <v>404.32</v>
      </c>
      <c r="N79">
        <v>0</v>
      </c>
      <c r="O79" t="s">
        <v>19</v>
      </c>
      <c r="P79" t="s">
        <v>20</v>
      </c>
      <c r="Q79">
        <v>20230822</v>
      </c>
    </row>
    <row r="80" spans="1:17" x14ac:dyDescent="0.25">
      <c r="A80" t="s">
        <v>476</v>
      </c>
      <c r="B80" t="s">
        <v>477</v>
      </c>
      <c r="C80">
        <v>1</v>
      </c>
      <c r="D80">
        <v>20230823</v>
      </c>
      <c r="E80">
        <v>8</v>
      </c>
      <c r="F80">
        <v>442100</v>
      </c>
      <c r="G80" t="s">
        <v>435</v>
      </c>
      <c r="H80" t="s">
        <v>401</v>
      </c>
      <c r="I80" t="s">
        <v>402</v>
      </c>
      <c r="J80" t="s">
        <v>6884</v>
      </c>
      <c r="K80">
        <v>20230823</v>
      </c>
      <c r="L80" t="s">
        <v>528</v>
      </c>
      <c r="M80">
        <v>836</v>
      </c>
      <c r="N80">
        <v>0</v>
      </c>
      <c r="O80" t="s">
        <v>19</v>
      </c>
      <c r="P80" t="s">
        <v>20</v>
      </c>
      <c r="Q80">
        <v>20230823</v>
      </c>
    </row>
    <row r="81" spans="1:17" x14ac:dyDescent="0.25">
      <c r="A81" t="s">
        <v>476</v>
      </c>
      <c r="B81" t="s">
        <v>477</v>
      </c>
      <c r="C81">
        <v>1</v>
      </c>
      <c r="D81">
        <v>20230823</v>
      </c>
      <c r="E81">
        <v>8</v>
      </c>
      <c r="F81">
        <v>512000</v>
      </c>
      <c r="G81" t="s">
        <v>428</v>
      </c>
      <c r="H81" t="s">
        <v>401</v>
      </c>
      <c r="I81" t="s">
        <v>402</v>
      </c>
      <c r="J81" t="s">
        <v>6884</v>
      </c>
      <c r="K81">
        <v>20230823</v>
      </c>
      <c r="L81" t="s">
        <v>528</v>
      </c>
      <c r="M81">
        <v>0</v>
      </c>
      <c r="N81">
        <v>836</v>
      </c>
      <c r="O81" t="s">
        <v>19</v>
      </c>
      <c r="P81" t="s">
        <v>20</v>
      </c>
      <c r="Q81">
        <v>20230823</v>
      </c>
    </row>
    <row r="82" spans="1:17" x14ac:dyDescent="0.25">
      <c r="A82" t="s">
        <v>476</v>
      </c>
      <c r="B82" t="s">
        <v>477</v>
      </c>
      <c r="C82">
        <v>1</v>
      </c>
      <c r="D82">
        <v>20230824</v>
      </c>
      <c r="E82">
        <v>8</v>
      </c>
      <c r="F82">
        <v>401000</v>
      </c>
      <c r="G82" t="s">
        <v>41</v>
      </c>
      <c r="H82" t="s">
        <v>2388</v>
      </c>
      <c r="I82" t="s">
        <v>2389</v>
      </c>
      <c r="J82" t="s">
        <v>6883</v>
      </c>
      <c r="K82">
        <v>20230824</v>
      </c>
      <c r="L82" t="s">
        <v>6881</v>
      </c>
      <c r="M82">
        <v>78.7</v>
      </c>
      <c r="N82">
        <v>0</v>
      </c>
      <c r="O82" t="s">
        <v>23</v>
      </c>
      <c r="P82">
        <v>20230920</v>
      </c>
      <c r="Q82">
        <v>20230824</v>
      </c>
    </row>
    <row r="83" spans="1:17" x14ac:dyDescent="0.25">
      <c r="A83" t="s">
        <v>476</v>
      </c>
      <c r="B83" t="s">
        <v>477</v>
      </c>
      <c r="C83">
        <v>1</v>
      </c>
      <c r="D83">
        <v>20230824</v>
      </c>
      <c r="E83">
        <v>8</v>
      </c>
      <c r="F83">
        <v>512000</v>
      </c>
      <c r="G83" t="s">
        <v>428</v>
      </c>
      <c r="H83" t="s">
        <v>401</v>
      </c>
      <c r="I83" t="s">
        <v>402</v>
      </c>
      <c r="J83" t="s">
        <v>6883</v>
      </c>
      <c r="K83">
        <v>20230824</v>
      </c>
      <c r="L83" t="s">
        <v>6881</v>
      </c>
      <c r="M83">
        <v>0</v>
      </c>
      <c r="N83">
        <v>78.7</v>
      </c>
      <c r="O83" t="s">
        <v>19</v>
      </c>
      <c r="P83" t="s">
        <v>20</v>
      </c>
      <c r="Q83">
        <v>20230824</v>
      </c>
    </row>
    <row r="84" spans="1:17" x14ac:dyDescent="0.25">
      <c r="A84" t="s">
        <v>476</v>
      </c>
      <c r="B84" t="s">
        <v>477</v>
      </c>
      <c r="C84">
        <v>1</v>
      </c>
      <c r="D84">
        <v>20230824</v>
      </c>
      <c r="E84">
        <v>8</v>
      </c>
      <c r="F84">
        <v>401000</v>
      </c>
      <c r="G84" t="s">
        <v>41</v>
      </c>
      <c r="H84" t="s">
        <v>2388</v>
      </c>
      <c r="I84" t="s">
        <v>2389</v>
      </c>
      <c r="J84" t="s">
        <v>6882</v>
      </c>
      <c r="K84">
        <v>20230824</v>
      </c>
      <c r="L84" t="s">
        <v>6881</v>
      </c>
      <c r="M84">
        <v>105.45</v>
      </c>
      <c r="N84">
        <v>0</v>
      </c>
      <c r="O84" t="s">
        <v>23</v>
      </c>
      <c r="P84">
        <v>20230920</v>
      </c>
      <c r="Q84">
        <v>20230824</v>
      </c>
    </row>
    <row r="85" spans="1:17" x14ac:dyDescent="0.25">
      <c r="A85" t="s">
        <v>476</v>
      </c>
      <c r="B85" t="s">
        <v>477</v>
      </c>
      <c r="C85">
        <v>1</v>
      </c>
      <c r="D85">
        <v>20230824</v>
      </c>
      <c r="E85">
        <v>8</v>
      </c>
      <c r="F85">
        <v>512000</v>
      </c>
      <c r="G85" t="s">
        <v>428</v>
      </c>
      <c r="H85" t="s">
        <v>401</v>
      </c>
      <c r="I85" t="s">
        <v>402</v>
      </c>
      <c r="J85" t="s">
        <v>6882</v>
      </c>
      <c r="K85">
        <v>20230824</v>
      </c>
      <c r="L85" t="s">
        <v>6881</v>
      </c>
      <c r="M85">
        <v>0</v>
      </c>
      <c r="N85">
        <v>105.45</v>
      </c>
      <c r="O85" t="s">
        <v>19</v>
      </c>
      <c r="P85" t="s">
        <v>20</v>
      </c>
      <c r="Q85">
        <v>20230824</v>
      </c>
    </row>
    <row r="86" spans="1:17" x14ac:dyDescent="0.25">
      <c r="A86" t="s">
        <v>476</v>
      </c>
      <c r="B86" t="s">
        <v>477</v>
      </c>
      <c r="C86">
        <v>1</v>
      </c>
      <c r="D86">
        <v>20230825</v>
      </c>
      <c r="E86">
        <v>8</v>
      </c>
      <c r="F86">
        <v>433000</v>
      </c>
      <c r="G86" t="s">
        <v>410</v>
      </c>
      <c r="H86" t="s">
        <v>401</v>
      </c>
      <c r="I86" t="s">
        <v>402</v>
      </c>
      <c r="J86" t="s">
        <v>6880</v>
      </c>
      <c r="K86">
        <v>20230825</v>
      </c>
      <c r="L86" t="s">
        <v>530</v>
      </c>
      <c r="M86">
        <v>9494.9</v>
      </c>
      <c r="N86">
        <v>0</v>
      </c>
      <c r="O86" t="s">
        <v>19</v>
      </c>
      <c r="P86" t="s">
        <v>20</v>
      </c>
      <c r="Q86">
        <v>20230825</v>
      </c>
    </row>
    <row r="87" spans="1:17" x14ac:dyDescent="0.25">
      <c r="A87" t="s">
        <v>476</v>
      </c>
      <c r="B87" t="s">
        <v>477</v>
      </c>
      <c r="C87">
        <v>1</v>
      </c>
      <c r="D87">
        <v>20230825</v>
      </c>
      <c r="E87">
        <v>8</v>
      </c>
      <c r="F87">
        <v>512000</v>
      </c>
      <c r="G87" t="s">
        <v>428</v>
      </c>
      <c r="H87" t="s">
        <v>401</v>
      </c>
      <c r="I87" t="s">
        <v>402</v>
      </c>
      <c r="J87" t="s">
        <v>6880</v>
      </c>
      <c r="K87">
        <v>20230825</v>
      </c>
      <c r="L87" t="s">
        <v>530</v>
      </c>
      <c r="M87">
        <v>0</v>
      </c>
      <c r="N87">
        <v>9494.9</v>
      </c>
      <c r="O87" t="s">
        <v>19</v>
      </c>
      <c r="P87" t="s">
        <v>20</v>
      </c>
      <c r="Q87">
        <v>20230825</v>
      </c>
    </row>
    <row r="88" spans="1:17" x14ac:dyDescent="0.25">
      <c r="A88" t="s">
        <v>476</v>
      </c>
      <c r="B88" t="s">
        <v>477</v>
      </c>
      <c r="C88">
        <v>1</v>
      </c>
      <c r="D88">
        <v>20230829</v>
      </c>
      <c r="E88">
        <v>8</v>
      </c>
      <c r="F88">
        <v>433100</v>
      </c>
      <c r="G88" t="s">
        <v>411</v>
      </c>
      <c r="H88" t="s">
        <v>401</v>
      </c>
      <c r="I88" t="s">
        <v>402</v>
      </c>
      <c r="J88" t="s">
        <v>6879</v>
      </c>
      <c r="K88">
        <v>20230829</v>
      </c>
      <c r="L88" t="s">
        <v>534</v>
      </c>
      <c r="M88">
        <v>1398.47</v>
      </c>
      <c r="N88">
        <v>0</v>
      </c>
      <c r="O88" t="s">
        <v>19</v>
      </c>
      <c r="P88" t="s">
        <v>20</v>
      </c>
      <c r="Q88">
        <v>20230829</v>
      </c>
    </row>
    <row r="89" spans="1:17" x14ac:dyDescent="0.25">
      <c r="A89" t="s">
        <v>476</v>
      </c>
      <c r="B89" t="s">
        <v>477</v>
      </c>
      <c r="C89">
        <v>1</v>
      </c>
      <c r="D89">
        <v>20230829</v>
      </c>
      <c r="E89">
        <v>8</v>
      </c>
      <c r="F89">
        <v>512000</v>
      </c>
      <c r="G89" t="s">
        <v>428</v>
      </c>
      <c r="H89" t="s">
        <v>401</v>
      </c>
      <c r="I89" t="s">
        <v>402</v>
      </c>
      <c r="J89" t="s">
        <v>6879</v>
      </c>
      <c r="K89">
        <v>20230829</v>
      </c>
      <c r="L89" t="s">
        <v>534</v>
      </c>
      <c r="M89">
        <v>0</v>
      </c>
      <c r="N89">
        <v>1398.47</v>
      </c>
      <c r="O89" t="s">
        <v>19</v>
      </c>
      <c r="P89" t="s">
        <v>20</v>
      </c>
      <c r="Q89">
        <v>20230829</v>
      </c>
    </row>
    <row r="90" spans="1:17" x14ac:dyDescent="0.25">
      <c r="A90" t="s">
        <v>476</v>
      </c>
      <c r="B90" t="s">
        <v>477</v>
      </c>
      <c r="C90">
        <v>1</v>
      </c>
      <c r="D90">
        <v>20230830</v>
      </c>
      <c r="E90">
        <v>8</v>
      </c>
      <c r="F90">
        <v>401000</v>
      </c>
      <c r="G90" t="s">
        <v>41</v>
      </c>
      <c r="H90" t="s">
        <v>42</v>
      </c>
      <c r="I90" t="s">
        <v>43</v>
      </c>
      <c r="J90" t="s">
        <v>6876</v>
      </c>
      <c r="K90">
        <v>20230830</v>
      </c>
      <c r="L90" t="s">
        <v>5758</v>
      </c>
      <c r="M90">
        <v>2144.67</v>
      </c>
      <c r="N90">
        <v>0</v>
      </c>
      <c r="O90" t="s">
        <v>22</v>
      </c>
      <c r="P90">
        <v>20230830</v>
      </c>
      <c r="Q90">
        <v>20230830</v>
      </c>
    </row>
    <row r="91" spans="1:17" x14ac:dyDescent="0.25">
      <c r="A91" t="s">
        <v>476</v>
      </c>
      <c r="B91" t="s">
        <v>477</v>
      </c>
      <c r="C91">
        <v>1</v>
      </c>
      <c r="D91">
        <v>20230830</v>
      </c>
      <c r="E91">
        <v>8</v>
      </c>
      <c r="F91">
        <v>401000</v>
      </c>
      <c r="G91" t="s">
        <v>41</v>
      </c>
      <c r="H91" t="s">
        <v>46</v>
      </c>
      <c r="I91" t="s">
        <v>47</v>
      </c>
      <c r="J91" t="s">
        <v>6876</v>
      </c>
      <c r="K91">
        <v>20230830</v>
      </c>
      <c r="L91" t="s">
        <v>5758</v>
      </c>
      <c r="M91">
        <v>2133</v>
      </c>
      <c r="N91">
        <v>0</v>
      </c>
      <c r="O91" t="s">
        <v>22</v>
      </c>
      <c r="P91">
        <v>20230830</v>
      </c>
      <c r="Q91">
        <v>20230830</v>
      </c>
    </row>
    <row r="92" spans="1:17" x14ac:dyDescent="0.25">
      <c r="A92" t="s">
        <v>476</v>
      </c>
      <c r="B92" t="s">
        <v>477</v>
      </c>
      <c r="C92">
        <v>1</v>
      </c>
      <c r="D92">
        <v>20230830</v>
      </c>
      <c r="E92">
        <v>8</v>
      </c>
      <c r="F92">
        <v>467100</v>
      </c>
      <c r="G92" t="s">
        <v>160</v>
      </c>
      <c r="H92" t="s">
        <v>170</v>
      </c>
      <c r="I92" t="s">
        <v>171</v>
      </c>
      <c r="J92" t="s">
        <v>6876</v>
      </c>
      <c r="K92">
        <v>20230830</v>
      </c>
      <c r="L92" t="s">
        <v>5758</v>
      </c>
      <c r="M92">
        <v>203.11</v>
      </c>
      <c r="N92">
        <v>0</v>
      </c>
      <c r="O92" t="s">
        <v>22</v>
      </c>
      <c r="P92">
        <v>20230830</v>
      </c>
      <c r="Q92">
        <v>20230830</v>
      </c>
    </row>
    <row r="93" spans="1:17" x14ac:dyDescent="0.25">
      <c r="A93" t="s">
        <v>476</v>
      </c>
      <c r="B93" t="s">
        <v>477</v>
      </c>
      <c r="C93">
        <v>1</v>
      </c>
      <c r="D93">
        <v>20230830</v>
      </c>
      <c r="E93">
        <v>8</v>
      </c>
      <c r="F93">
        <v>467100</v>
      </c>
      <c r="G93" t="s">
        <v>160</v>
      </c>
      <c r="H93" t="s">
        <v>2749</v>
      </c>
      <c r="I93" t="s">
        <v>2750</v>
      </c>
      <c r="J93" t="s">
        <v>6876</v>
      </c>
      <c r="K93">
        <v>20230830</v>
      </c>
      <c r="L93" t="s">
        <v>5758</v>
      </c>
      <c r="M93">
        <v>51.85</v>
      </c>
      <c r="N93">
        <v>0</v>
      </c>
      <c r="O93" t="s">
        <v>22</v>
      </c>
      <c r="P93">
        <v>20230830</v>
      </c>
      <c r="Q93">
        <v>20230830</v>
      </c>
    </row>
    <row r="94" spans="1:17" x14ac:dyDescent="0.25">
      <c r="A94" t="s">
        <v>476</v>
      </c>
      <c r="B94" t="s">
        <v>477</v>
      </c>
      <c r="C94">
        <v>1</v>
      </c>
      <c r="D94">
        <v>20230830</v>
      </c>
      <c r="E94">
        <v>8</v>
      </c>
      <c r="F94">
        <v>401000</v>
      </c>
      <c r="G94" t="s">
        <v>41</v>
      </c>
      <c r="H94" t="s">
        <v>2439</v>
      </c>
      <c r="I94" t="s">
        <v>2440</v>
      </c>
      <c r="J94" t="s">
        <v>6876</v>
      </c>
      <c r="K94">
        <v>20230830</v>
      </c>
      <c r="L94" t="s">
        <v>5758</v>
      </c>
      <c r="M94">
        <v>972.8</v>
      </c>
      <c r="N94">
        <v>0</v>
      </c>
      <c r="O94" t="s">
        <v>22</v>
      </c>
      <c r="P94">
        <v>20230830</v>
      </c>
      <c r="Q94">
        <v>20230830</v>
      </c>
    </row>
    <row r="95" spans="1:17" x14ac:dyDescent="0.25">
      <c r="A95" t="s">
        <v>476</v>
      </c>
      <c r="B95" t="s">
        <v>477</v>
      </c>
      <c r="C95">
        <v>1</v>
      </c>
      <c r="D95">
        <v>20230830</v>
      </c>
      <c r="E95">
        <v>8</v>
      </c>
      <c r="F95">
        <v>467100</v>
      </c>
      <c r="G95" t="s">
        <v>160</v>
      </c>
      <c r="H95" t="s">
        <v>1726</v>
      </c>
      <c r="I95" t="s">
        <v>1727</v>
      </c>
      <c r="J95" t="s">
        <v>6876</v>
      </c>
      <c r="K95">
        <v>20230830</v>
      </c>
      <c r="L95" t="s">
        <v>5758</v>
      </c>
      <c r="M95">
        <v>11.15</v>
      </c>
      <c r="N95">
        <v>0</v>
      </c>
      <c r="O95" t="s">
        <v>22</v>
      </c>
      <c r="P95">
        <v>20230830</v>
      </c>
      <c r="Q95">
        <v>20230830</v>
      </c>
    </row>
    <row r="96" spans="1:17" x14ac:dyDescent="0.25">
      <c r="A96" t="s">
        <v>476</v>
      </c>
      <c r="B96" t="s">
        <v>477</v>
      </c>
      <c r="C96">
        <v>1</v>
      </c>
      <c r="D96">
        <v>20230830</v>
      </c>
      <c r="E96">
        <v>8</v>
      </c>
      <c r="F96">
        <v>467100</v>
      </c>
      <c r="G96" t="s">
        <v>160</v>
      </c>
      <c r="H96" t="s">
        <v>6878</v>
      </c>
      <c r="I96" t="s">
        <v>6877</v>
      </c>
      <c r="J96" t="s">
        <v>6876</v>
      </c>
      <c r="K96">
        <v>20230830</v>
      </c>
      <c r="L96" t="s">
        <v>5758</v>
      </c>
      <c r="M96">
        <v>125</v>
      </c>
      <c r="N96">
        <v>0</v>
      </c>
      <c r="O96" t="s">
        <v>22</v>
      </c>
      <c r="P96">
        <v>20230830</v>
      </c>
      <c r="Q96">
        <v>20230830</v>
      </c>
    </row>
    <row r="97" spans="1:17" x14ac:dyDescent="0.25">
      <c r="A97" t="s">
        <v>476</v>
      </c>
      <c r="B97" t="s">
        <v>477</v>
      </c>
      <c r="C97">
        <v>1</v>
      </c>
      <c r="D97">
        <v>20230830</v>
      </c>
      <c r="E97">
        <v>8</v>
      </c>
      <c r="F97">
        <v>467100</v>
      </c>
      <c r="G97" t="s">
        <v>160</v>
      </c>
      <c r="H97" t="s">
        <v>5086</v>
      </c>
      <c r="I97" t="s">
        <v>5087</v>
      </c>
      <c r="J97" t="s">
        <v>6876</v>
      </c>
      <c r="K97">
        <v>20230830</v>
      </c>
      <c r="L97" t="s">
        <v>5758</v>
      </c>
      <c r="M97">
        <v>10.38</v>
      </c>
      <c r="N97">
        <v>0</v>
      </c>
      <c r="O97" t="s">
        <v>22</v>
      </c>
      <c r="P97">
        <v>20230830</v>
      </c>
      <c r="Q97">
        <v>20230830</v>
      </c>
    </row>
    <row r="98" spans="1:17" x14ac:dyDescent="0.25">
      <c r="A98" t="s">
        <v>476</v>
      </c>
      <c r="B98" t="s">
        <v>477</v>
      </c>
      <c r="C98">
        <v>1</v>
      </c>
      <c r="D98">
        <v>20230830</v>
      </c>
      <c r="E98">
        <v>8</v>
      </c>
      <c r="F98">
        <v>512000</v>
      </c>
      <c r="G98" t="s">
        <v>428</v>
      </c>
      <c r="H98" t="s">
        <v>401</v>
      </c>
      <c r="I98" t="s">
        <v>402</v>
      </c>
      <c r="J98" t="s">
        <v>6876</v>
      </c>
      <c r="K98">
        <v>20230830</v>
      </c>
      <c r="L98" t="s">
        <v>5758</v>
      </c>
      <c r="M98">
        <v>0</v>
      </c>
      <c r="N98">
        <v>5651.96</v>
      </c>
      <c r="O98" t="s">
        <v>19</v>
      </c>
      <c r="P98" t="s">
        <v>20</v>
      </c>
      <c r="Q98">
        <v>20230830</v>
      </c>
    </row>
    <row r="99" spans="1:17" x14ac:dyDescent="0.25">
      <c r="A99" t="s">
        <v>476</v>
      </c>
      <c r="B99" t="s">
        <v>477</v>
      </c>
      <c r="C99">
        <v>1</v>
      </c>
      <c r="D99">
        <v>20230831</v>
      </c>
      <c r="E99">
        <v>8</v>
      </c>
      <c r="F99">
        <v>421000</v>
      </c>
      <c r="G99" t="s">
        <v>403</v>
      </c>
      <c r="H99" t="s">
        <v>401</v>
      </c>
      <c r="I99" t="s">
        <v>402</v>
      </c>
      <c r="J99" t="s">
        <v>6875</v>
      </c>
      <c r="K99">
        <v>20230831</v>
      </c>
      <c r="L99" t="s">
        <v>922</v>
      </c>
      <c r="M99">
        <v>50087.16</v>
      </c>
      <c r="N99">
        <v>0</v>
      </c>
      <c r="O99" t="s">
        <v>19</v>
      </c>
      <c r="P99" t="s">
        <v>20</v>
      </c>
      <c r="Q99">
        <v>20230831</v>
      </c>
    </row>
    <row r="100" spans="1:17" x14ac:dyDescent="0.25">
      <c r="A100" t="s">
        <v>476</v>
      </c>
      <c r="B100" t="s">
        <v>477</v>
      </c>
      <c r="C100">
        <v>1</v>
      </c>
      <c r="D100">
        <v>20230831</v>
      </c>
      <c r="E100">
        <v>8</v>
      </c>
      <c r="F100">
        <v>512000</v>
      </c>
      <c r="G100" t="s">
        <v>428</v>
      </c>
      <c r="H100" t="s">
        <v>401</v>
      </c>
      <c r="I100" t="s">
        <v>402</v>
      </c>
      <c r="J100" t="s">
        <v>6875</v>
      </c>
      <c r="K100">
        <v>20230831</v>
      </c>
      <c r="L100" t="s">
        <v>922</v>
      </c>
      <c r="M100">
        <v>0</v>
      </c>
      <c r="N100">
        <v>50087.16</v>
      </c>
      <c r="O100" t="s">
        <v>19</v>
      </c>
      <c r="P100" t="s">
        <v>20</v>
      </c>
      <c r="Q100">
        <v>20230831</v>
      </c>
    </row>
    <row r="101" spans="1:17" x14ac:dyDescent="0.25">
      <c r="A101" t="s">
        <v>476</v>
      </c>
      <c r="B101" t="s">
        <v>477</v>
      </c>
      <c r="C101">
        <v>1</v>
      </c>
      <c r="D101">
        <v>20230831</v>
      </c>
      <c r="E101">
        <v>8</v>
      </c>
      <c r="F101">
        <v>411100</v>
      </c>
      <c r="G101" t="s">
        <v>18</v>
      </c>
      <c r="H101" t="s">
        <v>3793</v>
      </c>
      <c r="I101" t="s">
        <v>3794</v>
      </c>
      <c r="J101">
        <v>385768</v>
      </c>
      <c r="K101">
        <v>20230831</v>
      </c>
      <c r="L101" t="s">
        <v>6873</v>
      </c>
      <c r="M101">
        <v>0</v>
      </c>
      <c r="N101">
        <v>82.8</v>
      </c>
      <c r="O101" t="s">
        <v>19</v>
      </c>
      <c r="P101" t="s">
        <v>20</v>
      </c>
      <c r="Q101">
        <v>20230831</v>
      </c>
    </row>
    <row r="102" spans="1:17" x14ac:dyDescent="0.25">
      <c r="A102" t="s">
        <v>476</v>
      </c>
      <c r="B102" t="s">
        <v>477</v>
      </c>
      <c r="C102">
        <v>1</v>
      </c>
      <c r="D102">
        <v>20230831</v>
      </c>
      <c r="E102">
        <v>8</v>
      </c>
      <c r="F102">
        <v>511003</v>
      </c>
      <c r="G102" t="s">
        <v>6874</v>
      </c>
      <c r="H102" t="s">
        <v>401</v>
      </c>
      <c r="I102" t="s">
        <v>402</v>
      </c>
      <c r="J102">
        <v>385769</v>
      </c>
      <c r="K102">
        <v>20230831</v>
      </c>
      <c r="L102" t="s">
        <v>6873</v>
      </c>
      <c r="M102">
        <v>82.8</v>
      </c>
      <c r="N102">
        <v>0</v>
      </c>
      <c r="O102" t="s">
        <v>19</v>
      </c>
      <c r="P102" t="s">
        <v>20</v>
      </c>
      <c r="Q102">
        <v>20230831</v>
      </c>
    </row>
    <row r="103" spans="1:17" x14ac:dyDescent="0.25">
      <c r="A103" t="s">
        <v>548</v>
      </c>
      <c r="B103" t="s">
        <v>429</v>
      </c>
      <c r="C103">
        <v>2</v>
      </c>
      <c r="D103">
        <v>20230802</v>
      </c>
      <c r="E103">
        <v>8</v>
      </c>
      <c r="F103">
        <v>467100</v>
      </c>
      <c r="G103" t="s">
        <v>160</v>
      </c>
      <c r="H103" t="s">
        <v>4958</v>
      </c>
      <c r="I103" t="s">
        <v>4959</v>
      </c>
      <c r="J103" t="s">
        <v>6872</v>
      </c>
      <c r="K103">
        <v>20230802</v>
      </c>
      <c r="L103" t="s">
        <v>6871</v>
      </c>
      <c r="M103">
        <v>74</v>
      </c>
      <c r="N103">
        <v>0</v>
      </c>
      <c r="O103" t="s">
        <v>23</v>
      </c>
      <c r="P103">
        <v>20230911</v>
      </c>
      <c r="Q103">
        <v>20230802</v>
      </c>
    </row>
    <row r="104" spans="1:17" x14ac:dyDescent="0.25">
      <c r="A104" t="s">
        <v>548</v>
      </c>
      <c r="B104" t="s">
        <v>429</v>
      </c>
      <c r="C104">
        <v>2</v>
      </c>
      <c r="D104">
        <v>20230802</v>
      </c>
      <c r="E104">
        <v>8</v>
      </c>
      <c r="F104">
        <v>531105</v>
      </c>
      <c r="G104" t="s">
        <v>429</v>
      </c>
      <c r="H104" t="s">
        <v>401</v>
      </c>
      <c r="I104" t="s">
        <v>402</v>
      </c>
      <c r="J104" t="s">
        <v>6872</v>
      </c>
      <c r="K104">
        <v>20230802</v>
      </c>
      <c r="L104" t="s">
        <v>6871</v>
      </c>
      <c r="M104">
        <v>0</v>
      </c>
      <c r="N104">
        <v>74</v>
      </c>
      <c r="O104" t="s">
        <v>19</v>
      </c>
      <c r="P104" t="s">
        <v>20</v>
      </c>
      <c r="Q104">
        <v>20230802</v>
      </c>
    </row>
    <row r="105" spans="1:17" x14ac:dyDescent="0.25">
      <c r="A105" t="s">
        <v>548</v>
      </c>
      <c r="B105" t="s">
        <v>429</v>
      </c>
      <c r="C105">
        <v>2</v>
      </c>
      <c r="D105">
        <v>20230803</v>
      </c>
      <c r="E105">
        <v>8</v>
      </c>
      <c r="F105">
        <v>467100</v>
      </c>
      <c r="G105" t="s">
        <v>160</v>
      </c>
      <c r="H105" t="s">
        <v>316</v>
      </c>
      <c r="I105" t="s">
        <v>317</v>
      </c>
      <c r="J105" t="s">
        <v>6870</v>
      </c>
      <c r="K105">
        <v>20230803</v>
      </c>
      <c r="L105" t="s">
        <v>6869</v>
      </c>
      <c r="M105">
        <v>150</v>
      </c>
      <c r="N105">
        <v>0</v>
      </c>
      <c r="O105" t="s">
        <v>23</v>
      </c>
      <c r="P105">
        <v>20230926</v>
      </c>
      <c r="Q105">
        <v>20230803</v>
      </c>
    </row>
    <row r="106" spans="1:17" x14ac:dyDescent="0.25">
      <c r="A106" t="s">
        <v>548</v>
      </c>
      <c r="B106" t="s">
        <v>429</v>
      </c>
      <c r="C106">
        <v>2</v>
      </c>
      <c r="D106">
        <v>20230803</v>
      </c>
      <c r="E106">
        <v>8</v>
      </c>
      <c r="F106">
        <v>531105</v>
      </c>
      <c r="G106" t="s">
        <v>429</v>
      </c>
      <c r="H106" t="s">
        <v>401</v>
      </c>
      <c r="I106" t="s">
        <v>402</v>
      </c>
      <c r="J106" t="s">
        <v>6870</v>
      </c>
      <c r="K106">
        <v>20230803</v>
      </c>
      <c r="L106" t="s">
        <v>6869</v>
      </c>
      <c r="M106">
        <v>0</v>
      </c>
      <c r="N106">
        <v>150</v>
      </c>
      <c r="O106" t="s">
        <v>19</v>
      </c>
      <c r="P106" t="s">
        <v>20</v>
      </c>
      <c r="Q106">
        <v>20230803</v>
      </c>
    </row>
    <row r="107" spans="1:17" x14ac:dyDescent="0.25">
      <c r="A107" t="s">
        <v>548</v>
      </c>
      <c r="B107" t="s">
        <v>429</v>
      </c>
      <c r="C107">
        <v>2</v>
      </c>
      <c r="D107">
        <v>20230801</v>
      </c>
      <c r="E107">
        <v>8</v>
      </c>
      <c r="F107">
        <v>411100</v>
      </c>
      <c r="G107" t="s">
        <v>18</v>
      </c>
      <c r="H107" t="s">
        <v>79</v>
      </c>
      <c r="I107" t="s">
        <v>80</v>
      </c>
      <c r="J107">
        <v>123040013</v>
      </c>
      <c r="K107">
        <v>20230801</v>
      </c>
      <c r="L107" t="s">
        <v>6868</v>
      </c>
      <c r="M107">
        <v>0</v>
      </c>
      <c r="N107">
        <v>36.56</v>
      </c>
      <c r="O107" t="s">
        <v>19</v>
      </c>
      <c r="P107" t="s">
        <v>20</v>
      </c>
      <c r="Q107">
        <v>20230801</v>
      </c>
    </row>
    <row r="108" spans="1:17" x14ac:dyDescent="0.25">
      <c r="A108" t="s">
        <v>548</v>
      </c>
      <c r="B108" t="s">
        <v>429</v>
      </c>
      <c r="C108">
        <v>2</v>
      </c>
      <c r="D108">
        <v>20230801</v>
      </c>
      <c r="E108">
        <v>8</v>
      </c>
      <c r="F108">
        <v>411100</v>
      </c>
      <c r="G108" t="s">
        <v>18</v>
      </c>
      <c r="H108" t="s">
        <v>79</v>
      </c>
      <c r="I108" t="s">
        <v>80</v>
      </c>
      <c r="J108">
        <v>123040013</v>
      </c>
      <c r="K108">
        <v>20230801</v>
      </c>
      <c r="L108" t="s">
        <v>6867</v>
      </c>
      <c r="M108">
        <v>0</v>
      </c>
      <c r="N108">
        <v>3.44</v>
      </c>
      <c r="O108" t="s">
        <v>19</v>
      </c>
      <c r="P108" t="s">
        <v>20</v>
      </c>
      <c r="Q108">
        <v>20230801</v>
      </c>
    </row>
    <row r="109" spans="1:17" x14ac:dyDescent="0.25">
      <c r="A109" t="s">
        <v>548</v>
      </c>
      <c r="B109" t="s">
        <v>429</v>
      </c>
      <c r="C109">
        <v>2</v>
      </c>
      <c r="D109">
        <v>20230801</v>
      </c>
      <c r="E109">
        <v>8</v>
      </c>
      <c r="F109">
        <v>411100</v>
      </c>
      <c r="G109" t="s">
        <v>18</v>
      </c>
      <c r="H109" t="s">
        <v>243</v>
      </c>
      <c r="I109" t="s">
        <v>6339</v>
      </c>
      <c r="J109">
        <v>123080002</v>
      </c>
      <c r="K109">
        <v>20230801</v>
      </c>
      <c r="L109" t="s">
        <v>6866</v>
      </c>
      <c r="M109">
        <v>0</v>
      </c>
      <c r="N109">
        <v>145.36000000000001</v>
      </c>
      <c r="O109" t="s">
        <v>19</v>
      </c>
      <c r="P109" t="s">
        <v>20</v>
      </c>
      <c r="Q109">
        <v>20230801</v>
      </c>
    </row>
    <row r="110" spans="1:17" x14ac:dyDescent="0.25">
      <c r="A110" t="s">
        <v>548</v>
      </c>
      <c r="B110" t="s">
        <v>429</v>
      </c>
      <c r="C110">
        <v>2</v>
      </c>
      <c r="D110">
        <v>20230801</v>
      </c>
      <c r="E110">
        <v>8</v>
      </c>
      <c r="F110">
        <v>411100</v>
      </c>
      <c r="G110" t="s">
        <v>18</v>
      </c>
      <c r="H110" t="s">
        <v>243</v>
      </c>
      <c r="I110" t="s">
        <v>6339</v>
      </c>
      <c r="J110">
        <v>123080002</v>
      </c>
      <c r="K110">
        <v>20230801</v>
      </c>
      <c r="L110" t="s">
        <v>6865</v>
      </c>
      <c r="M110">
        <v>65.28</v>
      </c>
      <c r="N110">
        <v>0</v>
      </c>
      <c r="O110" t="s">
        <v>19</v>
      </c>
      <c r="P110" t="s">
        <v>20</v>
      </c>
      <c r="Q110">
        <v>20230801</v>
      </c>
    </row>
    <row r="111" spans="1:17" x14ac:dyDescent="0.25">
      <c r="A111" t="s">
        <v>548</v>
      </c>
      <c r="B111" t="s">
        <v>429</v>
      </c>
      <c r="C111">
        <v>2</v>
      </c>
      <c r="D111">
        <v>20230801</v>
      </c>
      <c r="E111">
        <v>8</v>
      </c>
      <c r="F111">
        <v>531105</v>
      </c>
      <c r="G111" t="s">
        <v>429</v>
      </c>
      <c r="H111" t="s">
        <v>401</v>
      </c>
      <c r="I111" t="s">
        <v>402</v>
      </c>
      <c r="J111">
        <v>375423</v>
      </c>
      <c r="K111">
        <v>20230801</v>
      </c>
      <c r="L111" t="s">
        <v>565</v>
      </c>
      <c r="M111">
        <v>120.08</v>
      </c>
      <c r="N111">
        <v>0</v>
      </c>
      <c r="O111" t="s">
        <v>19</v>
      </c>
      <c r="P111" t="s">
        <v>20</v>
      </c>
      <c r="Q111">
        <v>20230801</v>
      </c>
    </row>
    <row r="112" spans="1:17" x14ac:dyDescent="0.25">
      <c r="A112" t="s">
        <v>548</v>
      </c>
      <c r="B112" t="s">
        <v>429</v>
      </c>
      <c r="C112">
        <v>2</v>
      </c>
      <c r="D112">
        <v>20230802</v>
      </c>
      <c r="E112">
        <v>8</v>
      </c>
      <c r="F112">
        <v>411100</v>
      </c>
      <c r="G112" t="s">
        <v>18</v>
      </c>
      <c r="H112" t="s">
        <v>6562</v>
      </c>
      <c r="I112" t="s">
        <v>6561</v>
      </c>
      <c r="J112">
        <v>375424</v>
      </c>
      <c r="K112">
        <v>20230802</v>
      </c>
      <c r="L112" t="s">
        <v>6864</v>
      </c>
      <c r="M112">
        <v>0</v>
      </c>
      <c r="N112">
        <v>20</v>
      </c>
      <c r="O112" t="s">
        <v>19</v>
      </c>
      <c r="P112" t="s">
        <v>20</v>
      </c>
      <c r="Q112">
        <v>20230802</v>
      </c>
    </row>
    <row r="113" spans="1:17" x14ac:dyDescent="0.25">
      <c r="A113" t="s">
        <v>548</v>
      </c>
      <c r="B113" t="s">
        <v>429</v>
      </c>
      <c r="C113">
        <v>2</v>
      </c>
      <c r="D113">
        <v>20230802</v>
      </c>
      <c r="E113">
        <v>8</v>
      </c>
      <c r="F113">
        <v>411100</v>
      </c>
      <c r="G113" t="s">
        <v>18</v>
      </c>
      <c r="H113" t="s">
        <v>320</v>
      </c>
      <c r="I113" t="s">
        <v>321</v>
      </c>
      <c r="J113">
        <v>123060011</v>
      </c>
      <c r="K113">
        <v>20230802</v>
      </c>
      <c r="L113" t="s">
        <v>6863</v>
      </c>
      <c r="M113">
        <v>0</v>
      </c>
      <c r="N113">
        <v>19.16</v>
      </c>
      <c r="O113" t="s">
        <v>19</v>
      </c>
      <c r="P113" t="s">
        <v>20</v>
      </c>
      <c r="Q113">
        <v>20230802</v>
      </c>
    </row>
    <row r="114" spans="1:17" x14ac:dyDescent="0.25">
      <c r="A114" t="s">
        <v>548</v>
      </c>
      <c r="B114" t="s">
        <v>429</v>
      </c>
      <c r="C114">
        <v>2</v>
      </c>
      <c r="D114">
        <v>20230802</v>
      </c>
      <c r="E114">
        <v>8</v>
      </c>
      <c r="F114">
        <v>531105</v>
      </c>
      <c r="G114" t="s">
        <v>429</v>
      </c>
      <c r="H114" t="s">
        <v>401</v>
      </c>
      <c r="I114" t="s">
        <v>402</v>
      </c>
      <c r="J114">
        <v>375426</v>
      </c>
      <c r="K114">
        <v>20230802</v>
      </c>
      <c r="L114" t="s">
        <v>565</v>
      </c>
      <c r="M114">
        <v>39.159999999999997</v>
      </c>
      <c r="N114">
        <v>0</v>
      </c>
      <c r="O114" t="s">
        <v>19</v>
      </c>
      <c r="P114" t="s">
        <v>20</v>
      </c>
      <c r="Q114">
        <v>20230802</v>
      </c>
    </row>
    <row r="115" spans="1:17" x14ac:dyDescent="0.25">
      <c r="A115" t="s">
        <v>548</v>
      </c>
      <c r="B115" t="s">
        <v>429</v>
      </c>
      <c r="C115">
        <v>2</v>
      </c>
      <c r="D115">
        <v>20230801</v>
      </c>
      <c r="E115">
        <v>8</v>
      </c>
      <c r="F115">
        <v>411010</v>
      </c>
      <c r="G115" t="s">
        <v>87</v>
      </c>
      <c r="H115" t="s">
        <v>381</v>
      </c>
      <c r="I115" t="s">
        <v>382</v>
      </c>
      <c r="J115">
        <v>375446</v>
      </c>
      <c r="K115">
        <v>20230801</v>
      </c>
      <c r="L115" t="s">
        <v>6862</v>
      </c>
      <c r="M115">
        <v>0</v>
      </c>
      <c r="N115">
        <v>560</v>
      </c>
      <c r="O115" t="s">
        <v>19</v>
      </c>
      <c r="P115" t="s">
        <v>20</v>
      </c>
      <c r="Q115">
        <v>20230801</v>
      </c>
    </row>
    <row r="116" spans="1:17" x14ac:dyDescent="0.25">
      <c r="A116" t="s">
        <v>548</v>
      </c>
      <c r="B116" t="s">
        <v>429</v>
      </c>
      <c r="C116">
        <v>2</v>
      </c>
      <c r="D116">
        <v>20230801</v>
      </c>
      <c r="E116">
        <v>8</v>
      </c>
      <c r="F116">
        <v>411010</v>
      </c>
      <c r="G116" t="s">
        <v>87</v>
      </c>
      <c r="H116" t="s">
        <v>3214</v>
      </c>
      <c r="I116" t="s">
        <v>3215</v>
      </c>
      <c r="J116">
        <v>375447</v>
      </c>
      <c r="K116">
        <v>20230801</v>
      </c>
      <c r="L116" t="s">
        <v>6861</v>
      </c>
      <c r="M116">
        <v>0</v>
      </c>
      <c r="N116">
        <v>326.27999999999997</v>
      </c>
      <c r="O116" t="s">
        <v>19</v>
      </c>
      <c r="P116" t="s">
        <v>20</v>
      </c>
      <c r="Q116">
        <v>20230801</v>
      </c>
    </row>
    <row r="117" spans="1:17" x14ac:dyDescent="0.25">
      <c r="A117" t="s">
        <v>548</v>
      </c>
      <c r="B117" t="s">
        <v>429</v>
      </c>
      <c r="C117">
        <v>2</v>
      </c>
      <c r="D117">
        <v>20230801</v>
      </c>
      <c r="E117">
        <v>8</v>
      </c>
      <c r="F117">
        <v>411010</v>
      </c>
      <c r="G117" t="s">
        <v>87</v>
      </c>
      <c r="H117" t="s">
        <v>3214</v>
      </c>
      <c r="I117" t="s">
        <v>3215</v>
      </c>
      <c r="J117">
        <v>375448</v>
      </c>
      <c r="K117">
        <v>20230801</v>
      </c>
      <c r="L117" t="s">
        <v>6860</v>
      </c>
      <c r="M117">
        <v>0</v>
      </c>
      <c r="N117">
        <v>3.72</v>
      </c>
      <c r="O117" t="s">
        <v>19</v>
      </c>
      <c r="P117" t="s">
        <v>20</v>
      </c>
      <c r="Q117">
        <v>20230801</v>
      </c>
    </row>
    <row r="118" spans="1:17" x14ac:dyDescent="0.25">
      <c r="A118" t="s">
        <v>548</v>
      </c>
      <c r="B118" t="s">
        <v>429</v>
      </c>
      <c r="C118">
        <v>2</v>
      </c>
      <c r="D118">
        <v>20230801</v>
      </c>
      <c r="E118">
        <v>8</v>
      </c>
      <c r="F118">
        <v>531105</v>
      </c>
      <c r="G118" t="s">
        <v>429</v>
      </c>
      <c r="H118" t="s">
        <v>401</v>
      </c>
      <c r="I118" t="s">
        <v>402</v>
      </c>
      <c r="J118">
        <v>375449</v>
      </c>
      <c r="K118">
        <v>20230801</v>
      </c>
      <c r="L118" t="s">
        <v>565</v>
      </c>
      <c r="M118">
        <v>890</v>
      </c>
      <c r="N118">
        <v>0</v>
      </c>
      <c r="O118" t="s">
        <v>19</v>
      </c>
      <c r="P118" t="s">
        <v>20</v>
      </c>
      <c r="Q118">
        <v>20230801</v>
      </c>
    </row>
    <row r="119" spans="1:17" x14ac:dyDescent="0.25">
      <c r="A119" t="s">
        <v>548</v>
      </c>
      <c r="B119" t="s">
        <v>429</v>
      </c>
      <c r="C119">
        <v>2</v>
      </c>
      <c r="D119">
        <v>20230801</v>
      </c>
      <c r="E119">
        <v>8</v>
      </c>
      <c r="F119">
        <v>411020</v>
      </c>
      <c r="G119" t="s">
        <v>30</v>
      </c>
      <c r="H119" t="s">
        <v>4145</v>
      </c>
      <c r="I119" t="s">
        <v>4146</v>
      </c>
      <c r="J119">
        <v>323040012</v>
      </c>
      <c r="K119">
        <v>20230801</v>
      </c>
      <c r="L119" t="s">
        <v>6859</v>
      </c>
      <c r="M119">
        <v>0</v>
      </c>
      <c r="N119">
        <v>348.15</v>
      </c>
      <c r="O119" t="s">
        <v>19</v>
      </c>
      <c r="P119" t="s">
        <v>20</v>
      </c>
      <c r="Q119">
        <v>20230801</v>
      </c>
    </row>
    <row r="120" spans="1:17" x14ac:dyDescent="0.25">
      <c r="A120" t="s">
        <v>548</v>
      </c>
      <c r="B120" t="s">
        <v>429</v>
      </c>
      <c r="C120">
        <v>2</v>
      </c>
      <c r="D120">
        <v>20230801</v>
      </c>
      <c r="E120">
        <v>8</v>
      </c>
      <c r="F120">
        <v>531105</v>
      </c>
      <c r="G120" t="s">
        <v>429</v>
      </c>
      <c r="H120" t="s">
        <v>401</v>
      </c>
      <c r="I120" t="s">
        <v>402</v>
      </c>
      <c r="J120">
        <v>375451</v>
      </c>
      <c r="K120">
        <v>20230801</v>
      </c>
      <c r="L120" t="s">
        <v>565</v>
      </c>
      <c r="M120">
        <v>348.15</v>
      </c>
      <c r="N120">
        <v>0</v>
      </c>
      <c r="O120" t="s">
        <v>19</v>
      </c>
      <c r="P120" t="s">
        <v>20</v>
      </c>
      <c r="Q120">
        <v>20230801</v>
      </c>
    </row>
    <row r="121" spans="1:17" x14ac:dyDescent="0.25">
      <c r="A121" t="s">
        <v>548</v>
      </c>
      <c r="B121" t="s">
        <v>429</v>
      </c>
      <c r="C121">
        <v>2</v>
      </c>
      <c r="D121">
        <v>20230829</v>
      </c>
      <c r="E121">
        <v>8</v>
      </c>
      <c r="F121">
        <v>411100</v>
      </c>
      <c r="G121" t="s">
        <v>18</v>
      </c>
      <c r="H121" t="s">
        <v>819</v>
      </c>
      <c r="I121" t="s">
        <v>820</v>
      </c>
      <c r="J121">
        <v>123070008</v>
      </c>
      <c r="K121">
        <v>20230829</v>
      </c>
      <c r="L121" t="s">
        <v>6858</v>
      </c>
      <c r="M121">
        <v>28.48</v>
      </c>
      <c r="N121">
        <v>0</v>
      </c>
      <c r="O121" t="s">
        <v>19</v>
      </c>
      <c r="P121" t="s">
        <v>20</v>
      </c>
      <c r="Q121">
        <v>20230829</v>
      </c>
    </row>
    <row r="122" spans="1:17" x14ac:dyDescent="0.25">
      <c r="A122" t="s">
        <v>548</v>
      </c>
      <c r="B122" t="s">
        <v>429</v>
      </c>
      <c r="C122">
        <v>2</v>
      </c>
      <c r="D122">
        <v>20230829</v>
      </c>
      <c r="E122">
        <v>8</v>
      </c>
      <c r="F122">
        <v>531105</v>
      </c>
      <c r="G122" t="s">
        <v>429</v>
      </c>
      <c r="H122" t="s">
        <v>401</v>
      </c>
      <c r="I122" t="s">
        <v>402</v>
      </c>
      <c r="J122">
        <v>385842</v>
      </c>
      <c r="K122">
        <v>20230829</v>
      </c>
      <c r="L122" t="s">
        <v>6858</v>
      </c>
      <c r="M122">
        <v>0</v>
      </c>
      <c r="N122">
        <v>28.48</v>
      </c>
      <c r="O122" t="s">
        <v>19</v>
      </c>
      <c r="P122" t="s">
        <v>20</v>
      </c>
      <c r="Q122">
        <v>20230829</v>
      </c>
    </row>
    <row r="123" spans="1:17" x14ac:dyDescent="0.25">
      <c r="A123" t="s">
        <v>548</v>
      </c>
      <c r="B123" t="s">
        <v>429</v>
      </c>
      <c r="C123">
        <v>2</v>
      </c>
      <c r="D123">
        <v>20230829</v>
      </c>
      <c r="E123">
        <v>8</v>
      </c>
      <c r="F123">
        <v>411100</v>
      </c>
      <c r="G123" t="s">
        <v>18</v>
      </c>
      <c r="H123" t="s">
        <v>787</v>
      </c>
      <c r="I123" t="s">
        <v>788</v>
      </c>
      <c r="J123">
        <v>123070016</v>
      </c>
      <c r="K123">
        <v>20230829</v>
      </c>
      <c r="L123" t="s">
        <v>6857</v>
      </c>
      <c r="M123">
        <v>0</v>
      </c>
      <c r="N123">
        <v>56.78</v>
      </c>
      <c r="O123" t="s">
        <v>19</v>
      </c>
      <c r="P123" t="s">
        <v>20</v>
      </c>
      <c r="Q123">
        <v>20230829</v>
      </c>
    </row>
    <row r="124" spans="1:17" x14ac:dyDescent="0.25">
      <c r="A124" t="s">
        <v>548</v>
      </c>
      <c r="B124" t="s">
        <v>429</v>
      </c>
      <c r="C124">
        <v>2</v>
      </c>
      <c r="D124">
        <v>20230829</v>
      </c>
      <c r="E124">
        <v>8</v>
      </c>
      <c r="F124">
        <v>411100</v>
      </c>
      <c r="G124" t="s">
        <v>18</v>
      </c>
      <c r="H124" t="s">
        <v>194</v>
      </c>
      <c r="I124" t="s">
        <v>195</v>
      </c>
      <c r="J124">
        <v>123070026</v>
      </c>
      <c r="K124">
        <v>20230829</v>
      </c>
      <c r="L124" t="s">
        <v>6856</v>
      </c>
      <c r="M124">
        <v>0</v>
      </c>
      <c r="N124">
        <v>12.66</v>
      </c>
      <c r="O124" t="s">
        <v>19</v>
      </c>
      <c r="P124" t="s">
        <v>20</v>
      </c>
      <c r="Q124">
        <v>20230829</v>
      </c>
    </row>
    <row r="125" spans="1:17" x14ac:dyDescent="0.25">
      <c r="A125" t="s">
        <v>548</v>
      </c>
      <c r="B125" t="s">
        <v>429</v>
      </c>
      <c r="C125">
        <v>2</v>
      </c>
      <c r="D125">
        <v>20230829</v>
      </c>
      <c r="E125">
        <v>8</v>
      </c>
      <c r="F125">
        <v>411100</v>
      </c>
      <c r="G125" t="s">
        <v>18</v>
      </c>
      <c r="H125" t="s">
        <v>142</v>
      </c>
      <c r="I125" t="s">
        <v>143</v>
      </c>
      <c r="J125">
        <v>385845</v>
      </c>
      <c r="K125">
        <v>20230829</v>
      </c>
      <c r="L125" t="s">
        <v>6855</v>
      </c>
      <c r="M125">
        <v>0</v>
      </c>
      <c r="N125">
        <v>13</v>
      </c>
      <c r="O125" t="s">
        <v>19</v>
      </c>
      <c r="P125" t="s">
        <v>20</v>
      </c>
      <c r="Q125">
        <v>20230829</v>
      </c>
    </row>
    <row r="126" spans="1:17" x14ac:dyDescent="0.25">
      <c r="A126" t="s">
        <v>548</v>
      </c>
      <c r="B126" t="s">
        <v>429</v>
      </c>
      <c r="C126">
        <v>2</v>
      </c>
      <c r="D126">
        <v>20230829</v>
      </c>
      <c r="E126">
        <v>8</v>
      </c>
      <c r="F126">
        <v>411100</v>
      </c>
      <c r="G126" t="s">
        <v>18</v>
      </c>
      <c r="H126" t="s">
        <v>6854</v>
      </c>
      <c r="I126" t="s">
        <v>6853</v>
      </c>
      <c r="J126">
        <v>385846</v>
      </c>
      <c r="K126">
        <v>20230829</v>
      </c>
      <c r="L126" t="s">
        <v>6852</v>
      </c>
      <c r="M126">
        <v>0</v>
      </c>
      <c r="N126">
        <v>18.309999999999999</v>
      </c>
      <c r="O126" t="s">
        <v>19</v>
      </c>
      <c r="P126" t="s">
        <v>20</v>
      </c>
      <c r="Q126">
        <v>20230829</v>
      </c>
    </row>
    <row r="127" spans="1:17" x14ac:dyDescent="0.25">
      <c r="A127" t="s">
        <v>548</v>
      </c>
      <c r="B127" t="s">
        <v>429</v>
      </c>
      <c r="C127">
        <v>2</v>
      </c>
      <c r="D127">
        <v>20230829</v>
      </c>
      <c r="E127">
        <v>8</v>
      </c>
      <c r="F127">
        <v>411100</v>
      </c>
      <c r="G127" t="s">
        <v>18</v>
      </c>
      <c r="H127" t="s">
        <v>6851</v>
      </c>
      <c r="I127" t="s">
        <v>6850</v>
      </c>
      <c r="J127">
        <v>385847</v>
      </c>
      <c r="K127">
        <v>20230829</v>
      </c>
      <c r="L127" t="s">
        <v>6849</v>
      </c>
      <c r="M127">
        <v>0</v>
      </c>
      <c r="N127">
        <v>21.16</v>
      </c>
      <c r="O127" t="s">
        <v>19</v>
      </c>
      <c r="P127" t="s">
        <v>20</v>
      </c>
      <c r="Q127">
        <v>20230829</v>
      </c>
    </row>
    <row r="128" spans="1:17" x14ac:dyDescent="0.25">
      <c r="A128" t="s">
        <v>548</v>
      </c>
      <c r="B128" t="s">
        <v>429</v>
      </c>
      <c r="C128">
        <v>2</v>
      </c>
      <c r="D128">
        <v>20230829</v>
      </c>
      <c r="E128">
        <v>8</v>
      </c>
      <c r="F128">
        <v>411100</v>
      </c>
      <c r="G128" t="s">
        <v>18</v>
      </c>
      <c r="H128" t="s">
        <v>804</v>
      </c>
      <c r="I128" t="s">
        <v>805</v>
      </c>
      <c r="J128">
        <v>123040113</v>
      </c>
      <c r="K128">
        <v>20230829</v>
      </c>
      <c r="L128" t="s">
        <v>6848</v>
      </c>
      <c r="M128">
        <v>0</v>
      </c>
      <c r="N128">
        <v>22.66</v>
      </c>
      <c r="O128" t="s">
        <v>19</v>
      </c>
      <c r="P128" t="s">
        <v>20</v>
      </c>
      <c r="Q128">
        <v>20230829</v>
      </c>
    </row>
    <row r="129" spans="1:17" x14ac:dyDescent="0.25">
      <c r="A129" t="s">
        <v>548</v>
      </c>
      <c r="B129" t="s">
        <v>429</v>
      </c>
      <c r="C129">
        <v>2</v>
      </c>
      <c r="D129">
        <v>20230829</v>
      </c>
      <c r="E129">
        <v>8</v>
      </c>
      <c r="F129">
        <v>531105</v>
      </c>
      <c r="G129" t="s">
        <v>429</v>
      </c>
      <c r="H129" t="s">
        <v>401</v>
      </c>
      <c r="I129" t="s">
        <v>402</v>
      </c>
      <c r="J129">
        <v>385849</v>
      </c>
      <c r="K129">
        <v>20230829</v>
      </c>
      <c r="L129" t="s">
        <v>565</v>
      </c>
      <c r="M129">
        <v>144.57</v>
      </c>
      <c r="N129">
        <v>0</v>
      </c>
      <c r="O129" t="s">
        <v>19</v>
      </c>
      <c r="P129" t="s">
        <v>20</v>
      </c>
      <c r="Q129">
        <v>20230829</v>
      </c>
    </row>
    <row r="130" spans="1:17" x14ac:dyDescent="0.25">
      <c r="A130" t="s">
        <v>548</v>
      </c>
      <c r="B130" t="s">
        <v>429</v>
      </c>
      <c r="C130">
        <v>2</v>
      </c>
      <c r="D130">
        <v>20230830</v>
      </c>
      <c r="E130">
        <v>8</v>
      </c>
      <c r="F130">
        <v>411000</v>
      </c>
      <c r="G130" t="s">
        <v>21</v>
      </c>
      <c r="H130" t="s">
        <v>271</v>
      </c>
      <c r="I130" t="s">
        <v>272</v>
      </c>
      <c r="J130">
        <v>123070052</v>
      </c>
      <c r="K130">
        <v>20230830</v>
      </c>
      <c r="L130" t="s">
        <v>6847</v>
      </c>
      <c r="M130">
        <v>0</v>
      </c>
      <c r="N130">
        <v>9.81</v>
      </c>
      <c r="O130" t="s">
        <v>19</v>
      </c>
      <c r="P130" t="s">
        <v>20</v>
      </c>
      <c r="Q130">
        <v>20230830</v>
      </c>
    </row>
    <row r="131" spans="1:17" x14ac:dyDescent="0.25">
      <c r="A131" t="s">
        <v>548</v>
      </c>
      <c r="B131" t="s">
        <v>429</v>
      </c>
      <c r="C131">
        <v>2</v>
      </c>
      <c r="D131">
        <v>20230830</v>
      </c>
      <c r="E131">
        <v>8</v>
      </c>
      <c r="F131">
        <v>411100</v>
      </c>
      <c r="G131" t="s">
        <v>18</v>
      </c>
      <c r="H131" t="s">
        <v>6381</v>
      </c>
      <c r="I131" t="s">
        <v>6380</v>
      </c>
      <c r="J131">
        <v>385851</v>
      </c>
      <c r="K131">
        <v>20230830</v>
      </c>
      <c r="L131" t="s">
        <v>6846</v>
      </c>
      <c r="M131">
        <v>0</v>
      </c>
      <c r="N131">
        <v>13.68</v>
      </c>
      <c r="O131" t="s">
        <v>19</v>
      </c>
      <c r="P131" t="s">
        <v>20</v>
      </c>
      <c r="Q131">
        <v>20230830</v>
      </c>
    </row>
    <row r="132" spans="1:17" x14ac:dyDescent="0.25">
      <c r="A132" t="s">
        <v>548</v>
      </c>
      <c r="B132" t="s">
        <v>429</v>
      </c>
      <c r="C132">
        <v>2</v>
      </c>
      <c r="D132">
        <v>20230830</v>
      </c>
      <c r="E132">
        <v>8</v>
      </c>
      <c r="F132">
        <v>411100</v>
      </c>
      <c r="G132" t="s">
        <v>18</v>
      </c>
      <c r="H132" t="s">
        <v>6381</v>
      </c>
      <c r="I132" t="s">
        <v>6380</v>
      </c>
      <c r="J132">
        <v>385852</v>
      </c>
      <c r="K132">
        <v>20230830</v>
      </c>
      <c r="L132" t="s">
        <v>6845</v>
      </c>
      <c r="M132">
        <v>0</v>
      </c>
      <c r="N132">
        <v>36.32</v>
      </c>
      <c r="O132" t="s">
        <v>19</v>
      </c>
      <c r="P132" t="s">
        <v>20</v>
      </c>
      <c r="Q132">
        <v>20230830</v>
      </c>
    </row>
    <row r="133" spans="1:17" x14ac:dyDescent="0.25">
      <c r="A133" t="s">
        <v>548</v>
      </c>
      <c r="B133" t="s">
        <v>429</v>
      </c>
      <c r="C133">
        <v>2</v>
      </c>
      <c r="D133">
        <v>20230830</v>
      </c>
      <c r="E133">
        <v>8</v>
      </c>
      <c r="F133">
        <v>531105</v>
      </c>
      <c r="G133" t="s">
        <v>429</v>
      </c>
      <c r="H133" t="s">
        <v>401</v>
      </c>
      <c r="I133" t="s">
        <v>402</v>
      </c>
      <c r="J133">
        <v>385853</v>
      </c>
      <c r="K133">
        <v>20230830</v>
      </c>
      <c r="L133" t="s">
        <v>565</v>
      </c>
      <c r="M133">
        <v>59.81</v>
      </c>
      <c r="N133">
        <v>0</v>
      </c>
      <c r="O133" t="s">
        <v>19</v>
      </c>
      <c r="P133" t="s">
        <v>20</v>
      </c>
      <c r="Q133">
        <v>20230830</v>
      </c>
    </row>
    <row r="134" spans="1:17" x14ac:dyDescent="0.25">
      <c r="A134" t="s">
        <v>548</v>
      </c>
      <c r="B134" t="s">
        <v>429</v>
      </c>
      <c r="C134">
        <v>2</v>
      </c>
      <c r="D134">
        <v>20230831</v>
      </c>
      <c r="E134">
        <v>8</v>
      </c>
      <c r="F134">
        <v>411020</v>
      </c>
      <c r="G134" t="s">
        <v>30</v>
      </c>
      <c r="H134" t="s">
        <v>796</v>
      </c>
      <c r="I134" t="s">
        <v>797</v>
      </c>
      <c r="J134">
        <v>385854</v>
      </c>
      <c r="K134">
        <v>20230831</v>
      </c>
      <c r="L134" t="s">
        <v>6844</v>
      </c>
      <c r="M134">
        <v>0</v>
      </c>
      <c r="N134">
        <v>1.1599999999999999</v>
      </c>
      <c r="O134" t="s">
        <v>19</v>
      </c>
      <c r="P134" t="s">
        <v>20</v>
      </c>
      <c r="Q134">
        <v>20230831</v>
      </c>
    </row>
    <row r="135" spans="1:17" x14ac:dyDescent="0.25">
      <c r="A135" t="s">
        <v>548</v>
      </c>
      <c r="B135" t="s">
        <v>429</v>
      </c>
      <c r="C135">
        <v>2</v>
      </c>
      <c r="D135">
        <v>20230831</v>
      </c>
      <c r="E135">
        <v>8</v>
      </c>
      <c r="F135">
        <v>531105</v>
      </c>
      <c r="G135" t="s">
        <v>429</v>
      </c>
      <c r="H135" t="s">
        <v>401</v>
      </c>
      <c r="I135" t="s">
        <v>402</v>
      </c>
      <c r="J135">
        <v>385855</v>
      </c>
      <c r="K135">
        <v>20230831</v>
      </c>
      <c r="L135" t="s">
        <v>565</v>
      </c>
      <c r="M135">
        <v>1.1599999999999999</v>
      </c>
      <c r="N135">
        <v>0</v>
      </c>
      <c r="O135" t="s">
        <v>19</v>
      </c>
      <c r="P135" t="s">
        <v>20</v>
      </c>
      <c r="Q135">
        <v>20230831</v>
      </c>
    </row>
    <row r="136" spans="1:17" x14ac:dyDescent="0.25">
      <c r="A136" t="s">
        <v>548</v>
      </c>
      <c r="B136" t="s">
        <v>429</v>
      </c>
      <c r="C136">
        <v>2</v>
      </c>
      <c r="D136">
        <v>20230803</v>
      </c>
      <c r="E136">
        <v>8</v>
      </c>
      <c r="F136">
        <v>411100</v>
      </c>
      <c r="G136" t="s">
        <v>18</v>
      </c>
      <c r="H136" t="s">
        <v>107</v>
      </c>
      <c r="I136" t="s">
        <v>108</v>
      </c>
      <c r="J136">
        <v>223060031</v>
      </c>
      <c r="K136">
        <v>20230803</v>
      </c>
      <c r="L136" t="s">
        <v>6843</v>
      </c>
      <c r="M136">
        <v>0</v>
      </c>
      <c r="N136">
        <v>85.53</v>
      </c>
      <c r="O136" t="s">
        <v>19</v>
      </c>
      <c r="P136" t="s">
        <v>20</v>
      </c>
      <c r="Q136">
        <v>20230803</v>
      </c>
    </row>
    <row r="137" spans="1:17" x14ac:dyDescent="0.25">
      <c r="A137" t="s">
        <v>548</v>
      </c>
      <c r="B137" t="s">
        <v>429</v>
      </c>
      <c r="C137">
        <v>2</v>
      </c>
      <c r="D137">
        <v>20230803</v>
      </c>
      <c r="E137">
        <v>8</v>
      </c>
      <c r="F137">
        <v>531105</v>
      </c>
      <c r="G137" t="s">
        <v>429</v>
      </c>
      <c r="H137" t="s">
        <v>401</v>
      </c>
      <c r="I137" t="s">
        <v>402</v>
      </c>
      <c r="J137">
        <v>386226</v>
      </c>
      <c r="K137">
        <v>20230803</v>
      </c>
      <c r="L137" t="s">
        <v>565</v>
      </c>
      <c r="M137">
        <v>85.53</v>
      </c>
      <c r="N137">
        <v>0</v>
      </c>
      <c r="O137" t="s">
        <v>19</v>
      </c>
      <c r="P137" t="s">
        <v>20</v>
      </c>
      <c r="Q137">
        <v>20230803</v>
      </c>
    </row>
    <row r="138" spans="1:17" x14ac:dyDescent="0.25">
      <c r="A138" t="s">
        <v>548</v>
      </c>
      <c r="B138" t="s">
        <v>429</v>
      </c>
      <c r="C138">
        <v>2</v>
      </c>
      <c r="D138">
        <v>20230804</v>
      </c>
      <c r="E138">
        <v>8</v>
      </c>
      <c r="F138">
        <v>411100</v>
      </c>
      <c r="G138" t="s">
        <v>18</v>
      </c>
      <c r="H138" t="s">
        <v>2168</v>
      </c>
      <c r="I138" t="s">
        <v>2169</v>
      </c>
      <c r="J138">
        <v>223060026</v>
      </c>
      <c r="K138">
        <v>20230804</v>
      </c>
      <c r="L138" t="s">
        <v>6842</v>
      </c>
      <c r="M138">
        <v>0</v>
      </c>
      <c r="N138">
        <v>2.8</v>
      </c>
      <c r="O138" t="s">
        <v>19</v>
      </c>
      <c r="P138" t="s">
        <v>20</v>
      </c>
      <c r="Q138">
        <v>20230804</v>
      </c>
    </row>
    <row r="139" spans="1:17" x14ac:dyDescent="0.25">
      <c r="A139" t="s">
        <v>548</v>
      </c>
      <c r="B139" t="s">
        <v>429</v>
      </c>
      <c r="C139">
        <v>2</v>
      </c>
      <c r="D139">
        <v>20230804</v>
      </c>
      <c r="E139">
        <v>8</v>
      </c>
      <c r="F139">
        <v>411010</v>
      </c>
      <c r="G139" t="s">
        <v>87</v>
      </c>
      <c r="H139" t="s">
        <v>379</v>
      </c>
      <c r="I139" t="s">
        <v>380</v>
      </c>
      <c r="J139">
        <v>223060029</v>
      </c>
      <c r="K139">
        <v>20230804</v>
      </c>
      <c r="L139" t="s">
        <v>6841</v>
      </c>
      <c r="M139">
        <v>0</v>
      </c>
      <c r="N139">
        <v>19.13</v>
      </c>
      <c r="O139" t="s">
        <v>19</v>
      </c>
      <c r="P139" t="s">
        <v>20</v>
      </c>
      <c r="Q139">
        <v>20230804</v>
      </c>
    </row>
    <row r="140" spans="1:17" x14ac:dyDescent="0.25">
      <c r="A140" t="s">
        <v>548</v>
      </c>
      <c r="B140" t="s">
        <v>429</v>
      </c>
      <c r="C140">
        <v>2</v>
      </c>
      <c r="D140">
        <v>20230804</v>
      </c>
      <c r="E140">
        <v>8</v>
      </c>
      <c r="F140">
        <v>531105</v>
      </c>
      <c r="G140" t="s">
        <v>429</v>
      </c>
      <c r="H140" t="s">
        <v>401</v>
      </c>
      <c r="I140" t="s">
        <v>402</v>
      </c>
      <c r="J140">
        <v>386229</v>
      </c>
      <c r="K140">
        <v>20230804</v>
      </c>
      <c r="L140" t="s">
        <v>565</v>
      </c>
      <c r="M140">
        <v>21.93</v>
      </c>
      <c r="N140">
        <v>0</v>
      </c>
      <c r="O140" t="s">
        <v>19</v>
      </c>
      <c r="P140" t="s">
        <v>20</v>
      </c>
      <c r="Q140">
        <v>20230804</v>
      </c>
    </row>
    <row r="141" spans="1:17" x14ac:dyDescent="0.25">
      <c r="A141" t="s">
        <v>548</v>
      </c>
      <c r="B141" t="s">
        <v>429</v>
      </c>
      <c r="C141">
        <v>2</v>
      </c>
      <c r="D141">
        <v>20230828</v>
      </c>
      <c r="E141">
        <v>8</v>
      </c>
      <c r="F141">
        <v>411010</v>
      </c>
      <c r="G141" t="s">
        <v>87</v>
      </c>
      <c r="H141" t="s">
        <v>363</v>
      </c>
      <c r="I141" t="s">
        <v>6660</v>
      </c>
      <c r="J141">
        <v>223070020</v>
      </c>
      <c r="K141">
        <v>20230828</v>
      </c>
      <c r="L141" t="s">
        <v>6840</v>
      </c>
      <c r="M141">
        <v>0</v>
      </c>
      <c r="N141">
        <v>167.27</v>
      </c>
      <c r="O141" t="s">
        <v>19</v>
      </c>
      <c r="P141" t="s">
        <v>20</v>
      </c>
      <c r="Q141">
        <v>20230828</v>
      </c>
    </row>
    <row r="142" spans="1:17" x14ac:dyDescent="0.25">
      <c r="A142" t="s">
        <v>548</v>
      </c>
      <c r="B142" t="s">
        <v>429</v>
      </c>
      <c r="C142">
        <v>2</v>
      </c>
      <c r="D142">
        <v>20230828</v>
      </c>
      <c r="E142">
        <v>8</v>
      </c>
      <c r="F142">
        <v>411010</v>
      </c>
      <c r="G142" t="s">
        <v>87</v>
      </c>
      <c r="H142" t="s">
        <v>363</v>
      </c>
      <c r="I142" t="s">
        <v>6660</v>
      </c>
      <c r="J142">
        <v>223070020</v>
      </c>
      <c r="K142">
        <v>20230828</v>
      </c>
      <c r="L142" t="s">
        <v>6839</v>
      </c>
      <c r="M142">
        <v>0</v>
      </c>
      <c r="N142">
        <v>1</v>
      </c>
      <c r="O142" t="s">
        <v>19</v>
      </c>
      <c r="P142" t="s">
        <v>20</v>
      </c>
      <c r="Q142">
        <v>20230828</v>
      </c>
    </row>
    <row r="143" spans="1:17" x14ac:dyDescent="0.25">
      <c r="A143" t="s">
        <v>548</v>
      </c>
      <c r="B143" t="s">
        <v>429</v>
      </c>
      <c r="C143">
        <v>2</v>
      </c>
      <c r="D143">
        <v>20230828</v>
      </c>
      <c r="E143">
        <v>8</v>
      </c>
      <c r="F143">
        <v>531105</v>
      </c>
      <c r="G143" t="s">
        <v>429</v>
      </c>
      <c r="H143" t="s">
        <v>401</v>
      </c>
      <c r="I143" t="s">
        <v>402</v>
      </c>
      <c r="J143">
        <v>386232</v>
      </c>
      <c r="K143">
        <v>20230828</v>
      </c>
      <c r="L143" t="s">
        <v>565</v>
      </c>
      <c r="M143">
        <v>168.27</v>
      </c>
      <c r="N143">
        <v>0</v>
      </c>
      <c r="O143" t="s">
        <v>19</v>
      </c>
      <c r="P143" t="s">
        <v>20</v>
      </c>
      <c r="Q143">
        <v>20230828</v>
      </c>
    </row>
    <row r="144" spans="1:17" x14ac:dyDescent="0.25">
      <c r="A144" t="s">
        <v>548</v>
      </c>
      <c r="B144" t="s">
        <v>429</v>
      </c>
      <c r="C144">
        <v>2</v>
      </c>
      <c r="D144">
        <v>20230830</v>
      </c>
      <c r="E144">
        <v>8</v>
      </c>
      <c r="F144">
        <v>411010</v>
      </c>
      <c r="G144" t="s">
        <v>87</v>
      </c>
      <c r="H144" t="s">
        <v>362</v>
      </c>
      <c r="I144" t="s">
        <v>6838</v>
      </c>
      <c r="J144">
        <v>223070023</v>
      </c>
      <c r="K144">
        <v>20230830</v>
      </c>
      <c r="L144" t="s">
        <v>6837</v>
      </c>
      <c r="M144">
        <v>0</v>
      </c>
      <c r="N144">
        <v>1.44</v>
      </c>
      <c r="O144" t="s">
        <v>19</v>
      </c>
      <c r="P144" t="s">
        <v>20</v>
      </c>
      <c r="Q144">
        <v>20230830</v>
      </c>
    </row>
    <row r="145" spans="1:17" x14ac:dyDescent="0.25">
      <c r="A145" t="s">
        <v>548</v>
      </c>
      <c r="B145" t="s">
        <v>429</v>
      </c>
      <c r="C145">
        <v>2</v>
      </c>
      <c r="D145">
        <v>20230830</v>
      </c>
      <c r="E145">
        <v>8</v>
      </c>
      <c r="F145">
        <v>531105</v>
      </c>
      <c r="G145" t="s">
        <v>429</v>
      </c>
      <c r="H145" t="s">
        <v>401</v>
      </c>
      <c r="I145" t="s">
        <v>402</v>
      </c>
      <c r="J145">
        <v>386234</v>
      </c>
      <c r="K145">
        <v>20230830</v>
      </c>
      <c r="L145" t="s">
        <v>565</v>
      </c>
      <c r="M145">
        <v>1.44</v>
      </c>
      <c r="N145">
        <v>0</v>
      </c>
      <c r="O145" t="s">
        <v>19</v>
      </c>
      <c r="P145" t="s">
        <v>20</v>
      </c>
      <c r="Q145">
        <v>20230830</v>
      </c>
    </row>
    <row r="146" spans="1:17" x14ac:dyDescent="0.25">
      <c r="A146" t="s">
        <v>715</v>
      </c>
      <c r="B146" t="s">
        <v>432</v>
      </c>
      <c r="C146">
        <v>3</v>
      </c>
      <c r="D146">
        <v>20230802</v>
      </c>
      <c r="E146">
        <v>8</v>
      </c>
      <c r="F146">
        <v>401000</v>
      </c>
      <c r="G146" t="s">
        <v>41</v>
      </c>
      <c r="H146" t="s">
        <v>189</v>
      </c>
      <c r="I146" t="s">
        <v>190</v>
      </c>
      <c r="J146" t="s">
        <v>6836</v>
      </c>
      <c r="K146">
        <v>20230802</v>
      </c>
      <c r="L146" t="s">
        <v>191</v>
      </c>
      <c r="M146">
        <v>1145.69</v>
      </c>
      <c r="N146">
        <v>0</v>
      </c>
      <c r="O146" t="s">
        <v>23</v>
      </c>
      <c r="P146">
        <v>20230918</v>
      </c>
      <c r="Q146">
        <v>20230802</v>
      </c>
    </row>
    <row r="147" spans="1:17" x14ac:dyDescent="0.25">
      <c r="A147" t="s">
        <v>715</v>
      </c>
      <c r="B147" t="s">
        <v>432</v>
      </c>
      <c r="C147">
        <v>3</v>
      </c>
      <c r="D147">
        <v>20230802</v>
      </c>
      <c r="E147">
        <v>8</v>
      </c>
      <c r="F147">
        <v>512200</v>
      </c>
      <c r="G147" t="s">
        <v>432</v>
      </c>
      <c r="H147" t="s">
        <v>401</v>
      </c>
      <c r="I147" t="s">
        <v>402</v>
      </c>
      <c r="J147" t="s">
        <v>6836</v>
      </c>
      <c r="K147">
        <v>20230802</v>
      </c>
      <c r="L147" t="s">
        <v>191</v>
      </c>
      <c r="M147">
        <v>0</v>
      </c>
      <c r="N147">
        <v>1145.69</v>
      </c>
      <c r="O147" t="s">
        <v>19</v>
      </c>
      <c r="P147" t="s">
        <v>20</v>
      </c>
      <c r="Q147">
        <v>20230802</v>
      </c>
    </row>
    <row r="148" spans="1:17" x14ac:dyDescent="0.25">
      <c r="A148" t="s">
        <v>715</v>
      </c>
      <c r="B148" t="s">
        <v>432</v>
      </c>
      <c r="C148">
        <v>3</v>
      </c>
      <c r="D148">
        <v>20230803</v>
      </c>
      <c r="E148">
        <v>8</v>
      </c>
      <c r="F148">
        <v>401000</v>
      </c>
      <c r="G148" t="s">
        <v>41</v>
      </c>
      <c r="H148" t="s">
        <v>448</v>
      </c>
      <c r="I148" t="s">
        <v>449</v>
      </c>
      <c r="J148" t="s">
        <v>6835</v>
      </c>
      <c r="K148">
        <v>20230803</v>
      </c>
      <c r="L148" t="s">
        <v>6834</v>
      </c>
      <c r="M148">
        <v>1039.3399999999999</v>
      </c>
      <c r="N148">
        <v>0</v>
      </c>
      <c r="O148" t="s">
        <v>19</v>
      </c>
      <c r="P148" t="s">
        <v>20</v>
      </c>
      <c r="Q148">
        <v>20230803</v>
      </c>
    </row>
    <row r="149" spans="1:17" x14ac:dyDescent="0.25">
      <c r="A149" t="s">
        <v>715</v>
      </c>
      <c r="B149" t="s">
        <v>432</v>
      </c>
      <c r="C149">
        <v>3</v>
      </c>
      <c r="D149">
        <v>20230803</v>
      </c>
      <c r="E149">
        <v>8</v>
      </c>
      <c r="F149">
        <v>512200</v>
      </c>
      <c r="G149" t="s">
        <v>432</v>
      </c>
      <c r="H149" t="s">
        <v>401</v>
      </c>
      <c r="I149" t="s">
        <v>402</v>
      </c>
      <c r="J149" t="s">
        <v>6835</v>
      </c>
      <c r="K149">
        <v>20230803</v>
      </c>
      <c r="L149" t="s">
        <v>6834</v>
      </c>
      <c r="M149">
        <v>0</v>
      </c>
      <c r="N149">
        <v>1039.3399999999999</v>
      </c>
      <c r="O149" t="s">
        <v>19</v>
      </c>
      <c r="P149" t="s">
        <v>20</v>
      </c>
      <c r="Q149">
        <v>20230803</v>
      </c>
    </row>
    <row r="150" spans="1:17" x14ac:dyDescent="0.25">
      <c r="A150" t="s">
        <v>715</v>
      </c>
      <c r="B150" t="s">
        <v>432</v>
      </c>
      <c r="C150">
        <v>3</v>
      </c>
      <c r="D150">
        <v>20230803</v>
      </c>
      <c r="E150">
        <v>8</v>
      </c>
      <c r="F150">
        <v>401000</v>
      </c>
      <c r="G150" t="s">
        <v>41</v>
      </c>
      <c r="H150" t="s">
        <v>132</v>
      </c>
      <c r="I150" t="s">
        <v>133</v>
      </c>
      <c r="J150" t="s">
        <v>6833</v>
      </c>
      <c r="K150">
        <v>20230803</v>
      </c>
      <c r="L150" t="s">
        <v>3374</v>
      </c>
      <c r="M150">
        <v>471.11</v>
      </c>
      <c r="N150">
        <v>0</v>
      </c>
      <c r="O150" t="s">
        <v>19</v>
      </c>
      <c r="P150" t="s">
        <v>20</v>
      </c>
      <c r="Q150">
        <v>20230803</v>
      </c>
    </row>
    <row r="151" spans="1:17" x14ac:dyDescent="0.25">
      <c r="A151" t="s">
        <v>715</v>
      </c>
      <c r="B151" t="s">
        <v>432</v>
      </c>
      <c r="C151">
        <v>3</v>
      </c>
      <c r="D151">
        <v>20230803</v>
      </c>
      <c r="E151">
        <v>8</v>
      </c>
      <c r="F151">
        <v>512200</v>
      </c>
      <c r="G151" t="s">
        <v>432</v>
      </c>
      <c r="H151" t="s">
        <v>401</v>
      </c>
      <c r="I151" t="s">
        <v>402</v>
      </c>
      <c r="J151" t="s">
        <v>6833</v>
      </c>
      <c r="K151">
        <v>20230803</v>
      </c>
      <c r="L151" t="s">
        <v>3374</v>
      </c>
      <c r="M151">
        <v>0</v>
      </c>
      <c r="N151">
        <v>471.11</v>
      </c>
      <c r="O151" t="s">
        <v>19</v>
      </c>
      <c r="P151" t="s">
        <v>20</v>
      </c>
      <c r="Q151">
        <v>20230803</v>
      </c>
    </row>
    <row r="152" spans="1:17" x14ac:dyDescent="0.25">
      <c r="A152" t="s">
        <v>715</v>
      </c>
      <c r="B152" t="s">
        <v>432</v>
      </c>
      <c r="C152">
        <v>3</v>
      </c>
      <c r="D152">
        <v>20230807</v>
      </c>
      <c r="E152">
        <v>8</v>
      </c>
      <c r="F152">
        <v>401000</v>
      </c>
      <c r="G152" t="s">
        <v>41</v>
      </c>
      <c r="H152" t="s">
        <v>52</v>
      </c>
      <c r="I152" t="s">
        <v>53</v>
      </c>
      <c r="J152" t="s">
        <v>6832</v>
      </c>
      <c r="K152">
        <v>20230807</v>
      </c>
      <c r="L152" t="s">
        <v>6831</v>
      </c>
      <c r="M152">
        <v>67.44</v>
      </c>
      <c r="N152">
        <v>0</v>
      </c>
      <c r="O152" t="s">
        <v>19</v>
      </c>
      <c r="P152" t="s">
        <v>20</v>
      </c>
      <c r="Q152">
        <v>20230807</v>
      </c>
    </row>
    <row r="153" spans="1:17" x14ac:dyDescent="0.25">
      <c r="A153" t="s">
        <v>715</v>
      </c>
      <c r="B153" t="s">
        <v>432</v>
      </c>
      <c r="C153">
        <v>3</v>
      </c>
      <c r="D153">
        <v>20230807</v>
      </c>
      <c r="E153">
        <v>8</v>
      </c>
      <c r="F153">
        <v>512200</v>
      </c>
      <c r="G153" t="s">
        <v>432</v>
      </c>
      <c r="H153" t="s">
        <v>401</v>
      </c>
      <c r="I153" t="s">
        <v>402</v>
      </c>
      <c r="J153" t="s">
        <v>6832</v>
      </c>
      <c r="K153">
        <v>20230807</v>
      </c>
      <c r="L153" t="s">
        <v>6831</v>
      </c>
      <c r="M153">
        <v>0</v>
      </c>
      <c r="N153">
        <v>67.44</v>
      </c>
      <c r="O153" t="s">
        <v>19</v>
      </c>
      <c r="P153" t="s">
        <v>20</v>
      </c>
      <c r="Q153">
        <v>20230807</v>
      </c>
    </row>
    <row r="154" spans="1:17" x14ac:dyDescent="0.25">
      <c r="A154" t="s">
        <v>715</v>
      </c>
      <c r="B154" t="s">
        <v>432</v>
      </c>
      <c r="C154">
        <v>3</v>
      </c>
      <c r="D154">
        <v>20230807</v>
      </c>
      <c r="E154">
        <v>8</v>
      </c>
      <c r="F154">
        <v>401000</v>
      </c>
      <c r="G154" t="s">
        <v>41</v>
      </c>
      <c r="H154" t="s">
        <v>52</v>
      </c>
      <c r="I154" t="s">
        <v>53</v>
      </c>
      <c r="J154" t="s">
        <v>6830</v>
      </c>
      <c r="K154">
        <v>20230807</v>
      </c>
      <c r="L154" t="s">
        <v>6829</v>
      </c>
      <c r="M154">
        <v>62.4</v>
      </c>
      <c r="N154">
        <v>0</v>
      </c>
      <c r="O154" t="s">
        <v>23</v>
      </c>
      <c r="P154">
        <v>20230927</v>
      </c>
      <c r="Q154">
        <v>20230807</v>
      </c>
    </row>
    <row r="155" spans="1:17" x14ac:dyDescent="0.25">
      <c r="A155" t="s">
        <v>715</v>
      </c>
      <c r="B155" t="s">
        <v>432</v>
      </c>
      <c r="C155">
        <v>3</v>
      </c>
      <c r="D155">
        <v>20230807</v>
      </c>
      <c r="E155">
        <v>8</v>
      </c>
      <c r="F155">
        <v>512200</v>
      </c>
      <c r="G155" t="s">
        <v>432</v>
      </c>
      <c r="H155" t="s">
        <v>401</v>
      </c>
      <c r="I155" t="s">
        <v>402</v>
      </c>
      <c r="J155" t="s">
        <v>6830</v>
      </c>
      <c r="K155">
        <v>20230807</v>
      </c>
      <c r="L155" t="s">
        <v>6829</v>
      </c>
      <c r="M155">
        <v>0</v>
      </c>
      <c r="N155">
        <v>62.4</v>
      </c>
      <c r="O155" t="s">
        <v>19</v>
      </c>
      <c r="P155" t="s">
        <v>20</v>
      </c>
      <c r="Q155">
        <v>20230807</v>
      </c>
    </row>
    <row r="156" spans="1:17" x14ac:dyDescent="0.25">
      <c r="A156" t="s">
        <v>715</v>
      </c>
      <c r="B156" t="s">
        <v>432</v>
      </c>
      <c r="C156">
        <v>3</v>
      </c>
      <c r="D156">
        <v>20230808</v>
      </c>
      <c r="E156">
        <v>8</v>
      </c>
      <c r="F156">
        <v>401000</v>
      </c>
      <c r="G156" t="s">
        <v>41</v>
      </c>
      <c r="H156" t="s">
        <v>6828</v>
      </c>
      <c r="I156" t="s">
        <v>6827</v>
      </c>
      <c r="J156" t="s">
        <v>6826</v>
      </c>
      <c r="K156">
        <v>20230808</v>
      </c>
      <c r="L156" t="s">
        <v>6825</v>
      </c>
      <c r="M156">
        <v>258</v>
      </c>
      <c r="N156">
        <v>0</v>
      </c>
      <c r="O156" t="s">
        <v>23</v>
      </c>
      <c r="P156">
        <v>20230914</v>
      </c>
      <c r="Q156">
        <v>20230808</v>
      </c>
    </row>
    <row r="157" spans="1:17" x14ac:dyDescent="0.25">
      <c r="A157" t="s">
        <v>715</v>
      </c>
      <c r="B157" t="s">
        <v>432</v>
      </c>
      <c r="C157">
        <v>3</v>
      </c>
      <c r="D157">
        <v>20230808</v>
      </c>
      <c r="E157">
        <v>8</v>
      </c>
      <c r="F157">
        <v>512200</v>
      </c>
      <c r="G157" t="s">
        <v>432</v>
      </c>
      <c r="H157" t="s">
        <v>401</v>
      </c>
      <c r="I157" t="s">
        <v>402</v>
      </c>
      <c r="J157" t="s">
        <v>6826</v>
      </c>
      <c r="K157">
        <v>20230808</v>
      </c>
      <c r="L157" t="s">
        <v>6825</v>
      </c>
      <c r="M157">
        <v>0</v>
      </c>
      <c r="N157">
        <v>258</v>
      </c>
      <c r="O157" t="s">
        <v>19</v>
      </c>
      <c r="P157" t="s">
        <v>20</v>
      </c>
      <c r="Q157">
        <v>20230808</v>
      </c>
    </row>
    <row r="158" spans="1:17" x14ac:dyDescent="0.25">
      <c r="A158" t="s">
        <v>715</v>
      </c>
      <c r="B158" t="s">
        <v>432</v>
      </c>
      <c r="C158">
        <v>3</v>
      </c>
      <c r="D158">
        <v>20230810</v>
      </c>
      <c r="E158">
        <v>8</v>
      </c>
      <c r="F158">
        <v>627000</v>
      </c>
      <c r="G158" t="s">
        <v>480</v>
      </c>
      <c r="H158" t="s">
        <v>401</v>
      </c>
      <c r="I158" t="s">
        <v>402</v>
      </c>
      <c r="J158" t="s">
        <v>6824</v>
      </c>
      <c r="K158">
        <v>20230810</v>
      </c>
      <c r="L158" t="s">
        <v>4488</v>
      </c>
      <c r="M158">
        <v>15.88</v>
      </c>
      <c r="N158">
        <v>0</v>
      </c>
      <c r="O158" t="s">
        <v>19</v>
      </c>
      <c r="P158" t="s">
        <v>20</v>
      </c>
      <c r="Q158">
        <v>20230810</v>
      </c>
    </row>
    <row r="159" spans="1:17" x14ac:dyDescent="0.25">
      <c r="A159" t="s">
        <v>715</v>
      </c>
      <c r="B159" t="s">
        <v>432</v>
      </c>
      <c r="C159">
        <v>3</v>
      </c>
      <c r="D159">
        <v>20230810</v>
      </c>
      <c r="E159">
        <v>8</v>
      </c>
      <c r="F159">
        <v>512200</v>
      </c>
      <c r="G159" t="s">
        <v>432</v>
      </c>
      <c r="H159" t="s">
        <v>401</v>
      </c>
      <c r="I159" t="s">
        <v>402</v>
      </c>
      <c r="J159" t="s">
        <v>6824</v>
      </c>
      <c r="K159">
        <v>20230810</v>
      </c>
      <c r="L159" t="s">
        <v>4488</v>
      </c>
      <c r="M159">
        <v>0</v>
      </c>
      <c r="N159">
        <v>15.88</v>
      </c>
      <c r="O159" t="s">
        <v>19</v>
      </c>
      <c r="P159" t="s">
        <v>20</v>
      </c>
      <c r="Q159">
        <v>20230810</v>
      </c>
    </row>
    <row r="160" spans="1:17" x14ac:dyDescent="0.25">
      <c r="A160" t="s">
        <v>715</v>
      </c>
      <c r="B160" t="s">
        <v>432</v>
      </c>
      <c r="C160">
        <v>3</v>
      </c>
      <c r="D160">
        <v>20230821</v>
      </c>
      <c r="E160">
        <v>8</v>
      </c>
      <c r="F160">
        <v>401000</v>
      </c>
      <c r="G160" t="s">
        <v>41</v>
      </c>
      <c r="H160" t="s">
        <v>52</v>
      </c>
      <c r="I160" t="s">
        <v>53</v>
      </c>
      <c r="J160" t="s">
        <v>6823</v>
      </c>
      <c r="K160">
        <v>20230821</v>
      </c>
      <c r="L160" t="s">
        <v>6822</v>
      </c>
      <c r="M160">
        <v>66</v>
      </c>
      <c r="N160">
        <v>0</v>
      </c>
      <c r="O160" t="s">
        <v>23</v>
      </c>
      <c r="P160">
        <v>20230927</v>
      </c>
      <c r="Q160">
        <v>20230821</v>
      </c>
    </row>
    <row r="161" spans="1:17" x14ac:dyDescent="0.25">
      <c r="A161" t="s">
        <v>715</v>
      </c>
      <c r="B161" t="s">
        <v>432</v>
      </c>
      <c r="C161">
        <v>3</v>
      </c>
      <c r="D161">
        <v>20230821</v>
      </c>
      <c r="E161">
        <v>8</v>
      </c>
      <c r="F161">
        <v>512200</v>
      </c>
      <c r="G161" t="s">
        <v>432</v>
      </c>
      <c r="H161" t="s">
        <v>401</v>
      </c>
      <c r="I161" t="s">
        <v>402</v>
      </c>
      <c r="J161" t="s">
        <v>6823</v>
      </c>
      <c r="K161">
        <v>20230821</v>
      </c>
      <c r="L161" t="s">
        <v>6822</v>
      </c>
      <c r="M161">
        <v>0</v>
      </c>
      <c r="N161">
        <v>66</v>
      </c>
      <c r="O161" t="s">
        <v>19</v>
      </c>
      <c r="P161" t="s">
        <v>20</v>
      </c>
      <c r="Q161">
        <v>20230821</v>
      </c>
    </row>
    <row r="162" spans="1:17" x14ac:dyDescent="0.25">
      <c r="A162" t="s">
        <v>715</v>
      </c>
      <c r="B162" t="s">
        <v>432</v>
      </c>
      <c r="C162">
        <v>3</v>
      </c>
      <c r="D162">
        <v>20230828</v>
      </c>
      <c r="E162">
        <v>8</v>
      </c>
      <c r="F162">
        <v>401000</v>
      </c>
      <c r="G162" t="s">
        <v>41</v>
      </c>
      <c r="H162" t="s">
        <v>6821</v>
      </c>
      <c r="I162" t="s">
        <v>6820</v>
      </c>
      <c r="J162" t="s">
        <v>6819</v>
      </c>
      <c r="K162">
        <v>20230828</v>
      </c>
      <c r="L162" t="s">
        <v>6818</v>
      </c>
      <c r="M162">
        <v>480</v>
      </c>
      <c r="N162">
        <v>0</v>
      </c>
      <c r="O162" t="s">
        <v>19</v>
      </c>
      <c r="P162" t="s">
        <v>20</v>
      </c>
      <c r="Q162">
        <v>20230828</v>
      </c>
    </row>
    <row r="163" spans="1:17" x14ac:dyDescent="0.25">
      <c r="A163" t="s">
        <v>715</v>
      </c>
      <c r="B163" t="s">
        <v>432</v>
      </c>
      <c r="C163">
        <v>3</v>
      </c>
      <c r="D163">
        <v>20230828</v>
      </c>
      <c r="E163">
        <v>8</v>
      </c>
      <c r="F163">
        <v>512200</v>
      </c>
      <c r="G163" t="s">
        <v>432</v>
      </c>
      <c r="H163" t="s">
        <v>401</v>
      </c>
      <c r="I163" t="s">
        <v>402</v>
      </c>
      <c r="J163" t="s">
        <v>6819</v>
      </c>
      <c r="K163">
        <v>20230828</v>
      </c>
      <c r="L163" t="s">
        <v>6818</v>
      </c>
      <c r="M163">
        <v>0</v>
      </c>
      <c r="N163">
        <v>480</v>
      </c>
      <c r="O163" t="s">
        <v>19</v>
      </c>
      <c r="P163" t="s">
        <v>20</v>
      </c>
      <c r="Q163">
        <v>20230828</v>
      </c>
    </row>
    <row r="164" spans="1:17" x14ac:dyDescent="0.25">
      <c r="A164" t="s">
        <v>715</v>
      </c>
      <c r="B164" t="s">
        <v>432</v>
      </c>
      <c r="C164">
        <v>3</v>
      </c>
      <c r="D164">
        <v>20230830</v>
      </c>
      <c r="E164">
        <v>8</v>
      </c>
      <c r="F164">
        <v>467100</v>
      </c>
      <c r="G164" t="s">
        <v>160</v>
      </c>
      <c r="H164" t="s">
        <v>4847</v>
      </c>
      <c r="I164" t="s">
        <v>4848</v>
      </c>
      <c r="J164" t="s">
        <v>6817</v>
      </c>
      <c r="K164">
        <v>20230830</v>
      </c>
      <c r="L164" t="s">
        <v>6816</v>
      </c>
      <c r="M164">
        <v>106.48</v>
      </c>
      <c r="N164">
        <v>0</v>
      </c>
      <c r="O164" t="s">
        <v>23</v>
      </c>
      <c r="P164">
        <v>20230914</v>
      </c>
      <c r="Q164">
        <v>20230830</v>
      </c>
    </row>
    <row r="165" spans="1:17" x14ac:dyDescent="0.25">
      <c r="A165" t="s">
        <v>715</v>
      </c>
      <c r="B165" t="s">
        <v>432</v>
      </c>
      <c r="C165">
        <v>3</v>
      </c>
      <c r="D165">
        <v>20230830</v>
      </c>
      <c r="E165">
        <v>8</v>
      </c>
      <c r="F165">
        <v>512200</v>
      </c>
      <c r="G165" t="s">
        <v>432</v>
      </c>
      <c r="H165" t="s">
        <v>401</v>
      </c>
      <c r="I165" t="s">
        <v>402</v>
      </c>
      <c r="J165" t="s">
        <v>6817</v>
      </c>
      <c r="K165">
        <v>20230830</v>
      </c>
      <c r="L165" t="s">
        <v>6816</v>
      </c>
      <c r="M165">
        <v>0</v>
      </c>
      <c r="N165">
        <v>106.48</v>
      </c>
      <c r="O165" t="s">
        <v>19</v>
      </c>
      <c r="P165" t="s">
        <v>20</v>
      </c>
      <c r="Q165">
        <v>20230830</v>
      </c>
    </row>
    <row r="166" spans="1:17" x14ac:dyDescent="0.25">
      <c r="A166" t="s">
        <v>715</v>
      </c>
      <c r="B166" t="s">
        <v>432</v>
      </c>
      <c r="C166">
        <v>3</v>
      </c>
      <c r="D166">
        <v>20230831</v>
      </c>
      <c r="E166">
        <v>8</v>
      </c>
      <c r="F166">
        <v>401000</v>
      </c>
      <c r="G166" t="s">
        <v>41</v>
      </c>
      <c r="H166" t="s">
        <v>52</v>
      </c>
      <c r="I166" t="s">
        <v>53</v>
      </c>
      <c r="J166" t="s">
        <v>6815</v>
      </c>
      <c r="K166">
        <v>20230831</v>
      </c>
      <c r="L166" t="s">
        <v>6814</v>
      </c>
      <c r="M166">
        <v>31</v>
      </c>
      <c r="N166">
        <v>0</v>
      </c>
      <c r="O166" t="s">
        <v>23</v>
      </c>
      <c r="P166">
        <v>20230927</v>
      </c>
      <c r="Q166">
        <v>20230831</v>
      </c>
    </row>
    <row r="167" spans="1:17" x14ac:dyDescent="0.25">
      <c r="A167" t="s">
        <v>715</v>
      </c>
      <c r="B167" t="s">
        <v>432</v>
      </c>
      <c r="C167">
        <v>3</v>
      </c>
      <c r="D167">
        <v>20230831</v>
      </c>
      <c r="E167">
        <v>8</v>
      </c>
      <c r="F167">
        <v>512200</v>
      </c>
      <c r="G167" t="s">
        <v>432</v>
      </c>
      <c r="H167" t="s">
        <v>401</v>
      </c>
      <c r="I167" t="s">
        <v>402</v>
      </c>
      <c r="J167" t="s">
        <v>6815</v>
      </c>
      <c r="K167">
        <v>20230831</v>
      </c>
      <c r="L167" t="s">
        <v>6814</v>
      </c>
      <c r="M167">
        <v>0</v>
      </c>
      <c r="N167">
        <v>31</v>
      </c>
      <c r="O167" t="s">
        <v>19</v>
      </c>
      <c r="P167" t="s">
        <v>20</v>
      </c>
      <c r="Q167">
        <v>20230831</v>
      </c>
    </row>
    <row r="168" spans="1:17" x14ac:dyDescent="0.25">
      <c r="A168" t="s">
        <v>715</v>
      </c>
      <c r="B168" t="s">
        <v>432</v>
      </c>
      <c r="C168">
        <v>3</v>
      </c>
      <c r="D168">
        <v>20230803</v>
      </c>
      <c r="E168">
        <v>8</v>
      </c>
      <c r="F168">
        <v>411100</v>
      </c>
      <c r="G168" t="s">
        <v>18</v>
      </c>
      <c r="H168" t="s">
        <v>179</v>
      </c>
      <c r="I168" t="s">
        <v>180</v>
      </c>
      <c r="J168">
        <v>375428</v>
      </c>
      <c r="K168">
        <v>20230803</v>
      </c>
      <c r="L168" t="s">
        <v>6813</v>
      </c>
      <c r="M168">
        <v>0</v>
      </c>
      <c r="N168">
        <v>79.8</v>
      </c>
      <c r="O168" t="s">
        <v>19</v>
      </c>
      <c r="P168" t="s">
        <v>20</v>
      </c>
      <c r="Q168">
        <v>20230803</v>
      </c>
    </row>
    <row r="169" spans="1:17" x14ac:dyDescent="0.25">
      <c r="A169" t="s">
        <v>715</v>
      </c>
      <c r="B169" t="s">
        <v>432</v>
      </c>
      <c r="C169">
        <v>3</v>
      </c>
      <c r="D169">
        <v>20230803</v>
      </c>
      <c r="E169">
        <v>8</v>
      </c>
      <c r="F169">
        <v>411100</v>
      </c>
      <c r="G169" t="s">
        <v>18</v>
      </c>
      <c r="H169" t="s">
        <v>179</v>
      </c>
      <c r="I169" t="s">
        <v>180</v>
      </c>
      <c r="J169">
        <v>375429</v>
      </c>
      <c r="K169">
        <v>20230803</v>
      </c>
      <c r="L169" t="s">
        <v>6812</v>
      </c>
      <c r="M169">
        <v>0</v>
      </c>
      <c r="N169">
        <v>79.8</v>
      </c>
      <c r="O169" t="s">
        <v>19</v>
      </c>
      <c r="P169" t="s">
        <v>20</v>
      </c>
      <c r="Q169">
        <v>20230803</v>
      </c>
    </row>
    <row r="170" spans="1:17" x14ac:dyDescent="0.25">
      <c r="A170" t="s">
        <v>715</v>
      </c>
      <c r="B170" t="s">
        <v>432</v>
      </c>
      <c r="C170">
        <v>3</v>
      </c>
      <c r="D170">
        <v>20230803</v>
      </c>
      <c r="E170">
        <v>8</v>
      </c>
      <c r="F170">
        <v>411100</v>
      </c>
      <c r="G170" t="s">
        <v>18</v>
      </c>
      <c r="H170" t="s">
        <v>179</v>
      </c>
      <c r="I170" t="s">
        <v>180</v>
      </c>
      <c r="J170">
        <v>375430</v>
      </c>
      <c r="K170">
        <v>20230803</v>
      </c>
      <c r="L170" t="s">
        <v>6811</v>
      </c>
      <c r="M170">
        <v>0</v>
      </c>
      <c r="N170">
        <v>79.8</v>
      </c>
      <c r="O170" t="s">
        <v>19</v>
      </c>
      <c r="P170" t="s">
        <v>20</v>
      </c>
      <c r="Q170">
        <v>20230803</v>
      </c>
    </row>
    <row r="171" spans="1:17" x14ac:dyDescent="0.25">
      <c r="A171" t="s">
        <v>715</v>
      </c>
      <c r="B171" t="s">
        <v>432</v>
      </c>
      <c r="C171">
        <v>3</v>
      </c>
      <c r="D171">
        <v>20230803</v>
      </c>
      <c r="E171">
        <v>8</v>
      </c>
      <c r="F171">
        <v>512200</v>
      </c>
      <c r="G171" t="s">
        <v>432</v>
      </c>
      <c r="H171" t="s">
        <v>401</v>
      </c>
      <c r="I171" t="s">
        <v>402</v>
      </c>
      <c r="J171">
        <v>375431</v>
      </c>
      <c r="K171">
        <v>20230803</v>
      </c>
      <c r="L171" t="s">
        <v>1607</v>
      </c>
      <c r="M171">
        <v>239.4</v>
      </c>
      <c r="N171">
        <v>0</v>
      </c>
      <c r="O171" t="s">
        <v>19</v>
      </c>
      <c r="P171" t="s">
        <v>20</v>
      </c>
      <c r="Q171">
        <v>20230803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480"/>
  <sheetViews>
    <sheetView topLeftCell="A441" workbookViewId="0">
      <selection activeCell="F2" sqref="F2:F480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6810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1</v>
      </c>
      <c r="D2">
        <v>20230901</v>
      </c>
      <c r="E2">
        <v>9</v>
      </c>
      <c r="F2">
        <v>401000</v>
      </c>
      <c r="G2" t="s">
        <v>41</v>
      </c>
      <c r="H2" t="s">
        <v>458</v>
      </c>
      <c r="I2" t="s">
        <v>459</v>
      </c>
      <c r="J2" t="s">
        <v>7386</v>
      </c>
      <c r="K2">
        <v>20230901</v>
      </c>
      <c r="L2" t="s">
        <v>7385</v>
      </c>
      <c r="M2">
        <v>708</v>
      </c>
      <c r="N2">
        <v>0</v>
      </c>
      <c r="O2" t="s">
        <v>19</v>
      </c>
      <c r="P2" t="s">
        <v>20</v>
      </c>
      <c r="Q2">
        <v>20230901</v>
      </c>
    </row>
    <row r="3" spans="1:19" x14ac:dyDescent="0.25">
      <c r="A3" t="s">
        <v>476</v>
      </c>
      <c r="B3" t="s">
        <v>477</v>
      </c>
      <c r="C3">
        <v>1</v>
      </c>
      <c r="D3">
        <v>20230901</v>
      </c>
      <c r="E3">
        <v>9</v>
      </c>
      <c r="F3">
        <v>512000</v>
      </c>
      <c r="G3" t="s">
        <v>428</v>
      </c>
      <c r="H3" t="s">
        <v>401</v>
      </c>
      <c r="I3" t="s">
        <v>402</v>
      </c>
      <c r="J3" t="s">
        <v>7386</v>
      </c>
      <c r="K3">
        <v>20230901</v>
      </c>
      <c r="L3" t="s">
        <v>7385</v>
      </c>
      <c r="M3">
        <v>0</v>
      </c>
      <c r="N3">
        <v>708</v>
      </c>
      <c r="O3" t="s">
        <v>19</v>
      </c>
      <c r="P3" t="s">
        <v>20</v>
      </c>
      <c r="Q3">
        <v>20230901</v>
      </c>
    </row>
    <row r="4" spans="1:19" x14ac:dyDescent="0.25">
      <c r="A4" t="s">
        <v>476</v>
      </c>
      <c r="B4" t="s">
        <v>477</v>
      </c>
      <c r="C4">
        <v>1</v>
      </c>
      <c r="D4">
        <v>20230904</v>
      </c>
      <c r="E4">
        <v>9</v>
      </c>
      <c r="F4">
        <v>627000</v>
      </c>
      <c r="G4" t="s">
        <v>480</v>
      </c>
      <c r="H4" t="s">
        <v>401</v>
      </c>
      <c r="I4" t="s">
        <v>402</v>
      </c>
      <c r="J4" t="s">
        <v>7384</v>
      </c>
      <c r="K4">
        <v>20230904</v>
      </c>
      <c r="L4" t="s">
        <v>4488</v>
      </c>
      <c r="M4">
        <v>49</v>
      </c>
      <c r="N4">
        <v>0</v>
      </c>
      <c r="O4" t="s">
        <v>19</v>
      </c>
      <c r="P4" t="s">
        <v>20</v>
      </c>
      <c r="Q4">
        <v>20230904</v>
      </c>
    </row>
    <row r="5" spans="1:19" x14ac:dyDescent="0.25">
      <c r="A5" t="s">
        <v>476</v>
      </c>
      <c r="B5" t="s">
        <v>477</v>
      </c>
      <c r="C5">
        <v>1</v>
      </c>
      <c r="D5">
        <v>20230904</v>
      </c>
      <c r="E5">
        <v>9</v>
      </c>
      <c r="F5">
        <v>512000</v>
      </c>
      <c r="G5" t="s">
        <v>428</v>
      </c>
      <c r="H5" t="s">
        <v>401</v>
      </c>
      <c r="I5" t="s">
        <v>402</v>
      </c>
      <c r="J5" t="s">
        <v>7384</v>
      </c>
      <c r="K5">
        <v>20230904</v>
      </c>
      <c r="L5" t="s">
        <v>4488</v>
      </c>
      <c r="M5">
        <v>0</v>
      </c>
      <c r="N5">
        <v>49</v>
      </c>
      <c r="O5" t="s">
        <v>19</v>
      </c>
      <c r="P5" t="s">
        <v>20</v>
      </c>
      <c r="Q5">
        <v>20230904</v>
      </c>
    </row>
    <row r="6" spans="1:19" x14ac:dyDescent="0.25">
      <c r="A6" t="s">
        <v>476</v>
      </c>
      <c r="B6" t="s">
        <v>477</v>
      </c>
      <c r="C6">
        <v>1</v>
      </c>
      <c r="D6">
        <v>20230904</v>
      </c>
      <c r="E6">
        <v>9</v>
      </c>
      <c r="F6">
        <v>627000</v>
      </c>
      <c r="G6" t="s">
        <v>480</v>
      </c>
      <c r="H6" t="s">
        <v>401</v>
      </c>
      <c r="I6" t="s">
        <v>402</v>
      </c>
      <c r="J6" t="s">
        <v>7383</v>
      </c>
      <c r="K6">
        <v>20230904</v>
      </c>
      <c r="L6" t="s">
        <v>4488</v>
      </c>
      <c r="M6">
        <v>11.7</v>
      </c>
      <c r="N6">
        <v>0</v>
      </c>
      <c r="O6" t="s">
        <v>19</v>
      </c>
      <c r="P6" t="s">
        <v>20</v>
      </c>
      <c r="Q6">
        <v>20230904</v>
      </c>
    </row>
    <row r="7" spans="1:19" x14ac:dyDescent="0.25">
      <c r="A7" t="s">
        <v>476</v>
      </c>
      <c r="B7" t="s">
        <v>477</v>
      </c>
      <c r="C7">
        <v>1</v>
      </c>
      <c r="D7">
        <v>20230904</v>
      </c>
      <c r="E7">
        <v>9</v>
      </c>
      <c r="F7">
        <v>512000</v>
      </c>
      <c r="G7" t="s">
        <v>428</v>
      </c>
      <c r="H7" t="s">
        <v>401</v>
      </c>
      <c r="I7" t="s">
        <v>402</v>
      </c>
      <c r="J7" t="s">
        <v>7383</v>
      </c>
      <c r="K7">
        <v>20230904</v>
      </c>
      <c r="L7" t="s">
        <v>4488</v>
      </c>
      <c r="M7">
        <v>0</v>
      </c>
      <c r="N7">
        <v>11.7</v>
      </c>
      <c r="O7" t="s">
        <v>19</v>
      </c>
      <c r="P7" t="s">
        <v>20</v>
      </c>
      <c r="Q7">
        <v>20230904</v>
      </c>
    </row>
    <row r="8" spans="1:19" x14ac:dyDescent="0.25">
      <c r="A8" t="s">
        <v>476</v>
      </c>
      <c r="B8" t="s">
        <v>477</v>
      </c>
      <c r="C8">
        <v>1</v>
      </c>
      <c r="D8">
        <v>20230905</v>
      </c>
      <c r="E8">
        <v>9</v>
      </c>
      <c r="F8">
        <v>468725</v>
      </c>
      <c r="G8" t="s">
        <v>424</v>
      </c>
      <c r="H8" t="s">
        <v>401</v>
      </c>
      <c r="I8" t="s">
        <v>402</v>
      </c>
      <c r="J8" t="s">
        <v>7382</v>
      </c>
      <c r="K8">
        <v>20230905</v>
      </c>
      <c r="L8" t="s">
        <v>2403</v>
      </c>
      <c r="M8">
        <v>0</v>
      </c>
      <c r="N8">
        <v>1333.4</v>
      </c>
      <c r="O8" t="s">
        <v>19</v>
      </c>
      <c r="P8" t="s">
        <v>20</v>
      </c>
      <c r="Q8">
        <v>20230905</v>
      </c>
    </row>
    <row r="9" spans="1:19" x14ac:dyDescent="0.25">
      <c r="A9" t="s">
        <v>476</v>
      </c>
      <c r="B9" t="s">
        <v>477</v>
      </c>
      <c r="C9">
        <v>1</v>
      </c>
      <c r="D9">
        <v>20230905</v>
      </c>
      <c r="E9">
        <v>9</v>
      </c>
      <c r="F9">
        <v>512000</v>
      </c>
      <c r="G9" t="s">
        <v>428</v>
      </c>
      <c r="H9" t="s">
        <v>401</v>
      </c>
      <c r="I9" t="s">
        <v>402</v>
      </c>
      <c r="J9" t="s">
        <v>7382</v>
      </c>
      <c r="K9">
        <v>20230905</v>
      </c>
      <c r="L9" t="s">
        <v>2403</v>
      </c>
      <c r="M9">
        <v>1333.4</v>
      </c>
      <c r="N9">
        <v>0</v>
      </c>
      <c r="O9" t="s">
        <v>19</v>
      </c>
      <c r="P9" t="s">
        <v>20</v>
      </c>
      <c r="Q9">
        <v>20230905</v>
      </c>
    </row>
    <row r="10" spans="1:19" x14ac:dyDescent="0.25">
      <c r="A10" t="s">
        <v>476</v>
      </c>
      <c r="B10" t="s">
        <v>477</v>
      </c>
      <c r="C10">
        <v>1</v>
      </c>
      <c r="D10">
        <v>20230905</v>
      </c>
      <c r="E10">
        <v>9</v>
      </c>
      <c r="F10">
        <v>468200</v>
      </c>
      <c r="G10" t="s">
        <v>421</v>
      </c>
      <c r="H10" t="s">
        <v>401</v>
      </c>
      <c r="I10" t="s">
        <v>402</v>
      </c>
      <c r="J10" t="s">
        <v>7381</v>
      </c>
      <c r="K10">
        <v>20230905</v>
      </c>
      <c r="L10" t="s">
        <v>422</v>
      </c>
      <c r="M10">
        <v>0</v>
      </c>
      <c r="N10">
        <v>404.32</v>
      </c>
      <c r="O10" t="s">
        <v>19</v>
      </c>
      <c r="P10" t="s">
        <v>20</v>
      </c>
      <c r="Q10">
        <v>20230905</v>
      </c>
    </row>
    <row r="11" spans="1:19" x14ac:dyDescent="0.25">
      <c r="A11" t="s">
        <v>476</v>
      </c>
      <c r="B11" t="s">
        <v>477</v>
      </c>
      <c r="C11">
        <v>1</v>
      </c>
      <c r="D11">
        <v>20230905</v>
      </c>
      <c r="E11">
        <v>9</v>
      </c>
      <c r="F11">
        <v>512000</v>
      </c>
      <c r="G11" t="s">
        <v>428</v>
      </c>
      <c r="H11" t="s">
        <v>401</v>
      </c>
      <c r="I11" t="s">
        <v>402</v>
      </c>
      <c r="J11" t="s">
        <v>7381</v>
      </c>
      <c r="K11">
        <v>20230905</v>
      </c>
      <c r="L11" t="s">
        <v>422</v>
      </c>
      <c r="M11">
        <v>404.32</v>
      </c>
      <c r="N11">
        <v>0</v>
      </c>
      <c r="O11" t="s">
        <v>19</v>
      </c>
      <c r="P11" t="s">
        <v>20</v>
      </c>
      <c r="Q11">
        <v>20230905</v>
      </c>
    </row>
    <row r="12" spans="1:19" x14ac:dyDescent="0.25">
      <c r="A12" t="s">
        <v>476</v>
      </c>
      <c r="B12" t="s">
        <v>477</v>
      </c>
      <c r="C12">
        <v>1</v>
      </c>
      <c r="D12">
        <v>20230908</v>
      </c>
      <c r="E12">
        <v>9</v>
      </c>
      <c r="F12">
        <v>467100</v>
      </c>
      <c r="G12" t="s">
        <v>160</v>
      </c>
      <c r="H12" t="s">
        <v>164</v>
      </c>
      <c r="I12" t="s">
        <v>165</v>
      </c>
      <c r="J12" t="s">
        <v>7380</v>
      </c>
      <c r="K12">
        <v>20230908</v>
      </c>
      <c r="L12" t="s">
        <v>5757</v>
      </c>
      <c r="M12">
        <v>500</v>
      </c>
      <c r="N12">
        <v>0</v>
      </c>
      <c r="O12" t="s">
        <v>23</v>
      </c>
      <c r="P12">
        <v>20231107</v>
      </c>
      <c r="Q12">
        <v>20230908</v>
      </c>
    </row>
    <row r="13" spans="1:19" x14ac:dyDescent="0.25">
      <c r="A13" t="s">
        <v>476</v>
      </c>
      <c r="B13" t="s">
        <v>477</v>
      </c>
      <c r="C13">
        <v>1</v>
      </c>
      <c r="D13">
        <v>20230908</v>
      </c>
      <c r="E13">
        <v>9</v>
      </c>
      <c r="F13">
        <v>512000</v>
      </c>
      <c r="G13" t="s">
        <v>428</v>
      </c>
      <c r="H13" t="s">
        <v>401</v>
      </c>
      <c r="I13" t="s">
        <v>402</v>
      </c>
      <c r="J13" t="s">
        <v>7380</v>
      </c>
      <c r="K13">
        <v>20230908</v>
      </c>
      <c r="L13" t="s">
        <v>5757</v>
      </c>
      <c r="M13">
        <v>0</v>
      </c>
      <c r="N13">
        <v>500</v>
      </c>
      <c r="O13" t="s">
        <v>19</v>
      </c>
      <c r="P13" t="s">
        <v>20</v>
      </c>
      <c r="Q13">
        <v>20230908</v>
      </c>
    </row>
    <row r="14" spans="1:19" x14ac:dyDescent="0.25">
      <c r="A14" t="s">
        <v>476</v>
      </c>
      <c r="B14" t="s">
        <v>477</v>
      </c>
      <c r="C14">
        <v>1</v>
      </c>
      <c r="D14">
        <v>20230908</v>
      </c>
      <c r="E14">
        <v>9</v>
      </c>
      <c r="F14">
        <v>445020</v>
      </c>
      <c r="G14" t="s">
        <v>414</v>
      </c>
      <c r="H14" t="s">
        <v>401</v>
      </c>
      <c r="I14" t="s">
        <v>402</v>
      </c>
      <c r="J14" t="s">
        <v>7375</v>
      </c>
      <c r="K14">
        <v>20230908</v>
      </c>
      <c r="L14" t="s">
        <v>7379</v>
      </c>
      <c r="M14">
        <v>0</v>
      </c>
      <c r="N14">
        <v>45258.77</v>
      </c>
      <c r="O14" t="s">
        <v>19</v>
      </c>
      <c r="P14" t="s">
        <v>20</v>
      </c>
      <c r="Q14">
        <v>20230908</v>
      </c>
    </row>
    <row r="15" spans="1:19" x14ac:dyDescent="0.25">
      <c r="A15" t="s">
        <v>476</v>
      </c>
      <c r="B15" t="s">
        <v>477</v>
      </c>
      <c r="C15">
        <v>1</v>
      </c>
      <c r="D15">
        <v>20230908</v>
      </c>
      <c r="E15">
        <v>9</v>
      </c>
      <c r="F15">
        <v>512000</v>
      </c>
      <c r="G15" t="s">
        <v>428</v>
      </c>
      <c r="H15" t="s">
        <v>401</v>
      </c>
      <c r="I15" t="s">
        <v>402</v>
      </c>
      <c r="J15" t="s">
        <v>7375</v>
      </c>
      <c r="K15">
        <v>20230908</v>
      </c>
      <c r="L15" t="s">
        <v>7378</v>
      </c>
      <c r="M15">
        <v>91359.73</v>
      </c>
      <c r="N15">
        <v>0</v>
      </c>
      <c r="O15" t="s">
        <v>19</v>
      </c>
      <c r="P15" t="s">
        <v>20</v>
      </c>
      <c r="Q15">
        <v>20230908</v>
      </c>
    </row>
    <row r="16" spans="1:19" x14ac:dyDescent="0.25">
      <c r="A16" t="s">
        <v>476</v>
      </c>
      <c r="B16" t="s">
        <v>477</v>
      </c>
      <c r="C16">
        <v>1</v>
      </c>
      <c r="D16">
        <v>20230908</v>
      </c>
      <c r="E16">
        <v>9</v>
      </c>
      <c r="F16">
        <v>445040</v>
      </c>
      <c r="G16" t="s">
        <v>7350</v>
      </c>
      <c r="H16" t="s">
        <v>401</v>
      </c>
      <c r="I16" t="s">
        <v>402</v>
      </c>
      <c r="J16" t="s">
        <v>7375</v>
      </c>
      <c r="K16">
        <v>20230908</v>
      </c>
      <c r="L16" t="s">
        <v>7377</v>
      </c>
      <c r="M16">
        <v>0</v>
      </c>
      <c r="N16">
        <v>7395.02</v>
      </c>
      <c r="O16" t="s">
        <v>19</v>
      </c>
      <c r="P16" t="s">
        <v>20</v>
      </c>
      <c r="Q16">
        <v>20230908</v>
      </c>
    </row>
    <row r="17" spans="1:17" x14ac:dyDescent="0.25">
      <c r="A17" t="s">
        <v>476</v>
      </c>
      <c r="B17" t="s">
        <v>477</v>
      </c>
      <c r="C17">
        <v>1</v>
      </c>
      <c r="D17">
        <v>20230908</v>
      </c>
      <c r="E17">
        <v>9</v>
      </c>
      <c r="F17">
        <v>445030</v>
      </c>
      <c r="G17" t="s">
        <v>415</v>
      </c>
      <c r="H17" t="s">
        <v>401</v>
      </c>
      <c r="I17" t="s">
        <v>402</v>
      </c>
      <c r="J17" t="s">
        <v>7375</v>
      </c>
      <c r="K17">
        <v>20230908</v>
      </c>
      <c r="L17" t="s">
        <v>7376</v>
      </c>
      <c r="M17">
        <v>0</v>
      </c>
      <c r="N17">
        <v>31089.94</v>
      </c>
      <c r="O17" t="s">
        <v>19</v>
      </c>
      <c r="P17" t="s">
        <v>20</v>
      </c>
      <c r="Q17">
        <v>20230908</v>
      </c>
    </row>
    <row r="18" spans="1:17" x14ac:dyDescent="0.25">
      <c r="A18" t="s">
        <v>476</v>
      </c>
      <c r="B18" t="s">
        <v>477</v>
      </c>
      <c r="C18">
        <v>1</v>
      </c>
      <c r="D18">
        <v>20230908</v>
      </c>
      <c r="E18">
        <v>9</v>
      </c>
      <c r="F18">
        <v>445040</v>
      </c>
      <c r="G18" t="s">
        <v>7350</v>
      </c>
      <c r="H18" t="s">
        <v>401</v>
      </c>
      <c r="I18" t="s">
        <v>402</v>
      </c>
      <c r="J18" t="s">
        <v>7375</v>
      </c>
      <c r="K18">
        <v>20230908</v>
      </c>
      <c r="L18" t="s">
        <v>7374</v>
      </c>
      <c r="M18">
        <v>0</v>
      </c>
      <c r="N18">
        <v>7616</v>
      </c>
      <c r="O18" t="s">
        <v>19</v>
      </c>
      <c r="P18" t="s">
        <v>20</v>
      </c>
      <c r="Q18">
        <v>20230908</v>
      </c>
    </row>
    <row r="19" spans="1:17" x14ac:dyDescent="0.25">
      <c r="A19" t="s">
        <v>476</v>
      </c>
      <c r="B19" t="s">
        <v>477</v>
      </c>
      <c r="C19">
        <v>1</v>
      </c>
      <c r="D19">
        <v>20230908</v>
      </c>
      <c r="E19">
        <v>9</v>
      </c>
      <c r="F19">
        <v>468740</v>
      </c>
      <c r="G19" t="s">
        <v>426</v>
      </c>
      <c r="H19" t="s">
        <v>401</v>
      </c>
      <c r="I19" t="s">
        <v>402</v>
      </c>
      <c r="J19" t="s">
        <v>7373</v>
      </c>
      <c r="K19">
        <v>20230908</v>
      </c>
      <c r="L19" t="s">
        <v>7372</v>
      </c>
      <c r="M19">
        <v>0</v>
      </c>
      <c r="N19">
        <v>73620</v>
      </c>
      <c r="O19" t="s">
        <v>23</v>
      </c>
      <c r="P19">
        <v>20231031</v>
      </c>
      <c r="Q19">
        <v>20230908</v>
      </c>
    </row>
    <row r="20" spans="1:17" x14ac:dyDescent="0.25">
      <c r="A20" t="s">
        <v>476</v>
      </c>
      <c r="B20" t="s">
        <v>477</v>
      </c>
      <c r="C20">
        <v>1</v>
      </c>
      <c r="D20">
        <v>20230908</v>
      </c>
      <c r="E20">
        <v>9</v>
      </c>
      <c r="F20">
        <v>512000</v>
      </c>
      <c r="G20" t="s">
        <v>428</v>
      </c>
      <c r="H20" t="s">
        <v>401</v>
      </c>
      <c r="I20" t="s">
        <v>402</v>
      </c>
      <c r="J20" t="s">
        <v>7373</v>
      </c>
      <c r="K20">
        <v>20230908</v>
      </c>
      <c r="L20" t="s">
        <v>7372</v>
      </c>
      <c r="M20">
        <v>73620</v>
      </c>
      <c r="N20">
        <v>0</v>
      </c>
      <c r="O20" t="s">
        <v>19</v>
      </c>
      <c r="P20" t="s">
        <v>20</v>
      </c>
      <c r="Q20">
        <v>20230908</v>
      </c>
    </row>
    <row r="21" spans="1:17" x14ac:dyDescent="0.25">
      <c r="A21" t="s">
        <v>476</v>
      </c>
      <c r="B21" t="s">
        <v>477</v>
      </c>
      <c r="C21">
        <v>1</v>
      </c>
      <c r="D21">
        <v>20230911</v>
      </c>
      <c r="E21">
        <v>9</v>
      </c>
      <c r="F21">
        <v>421000</v>
      </c>
      <c r="G21" t="s">
        <v>403</v>
      </c>
      <c r="H21" t="s">
        <v>401</v>
      </c>
      <c r="I21" t="s">
        <v>402</v>
      </c>
      <c r="J21" t="s">
        <v>7371</v>
      </c>
      <c r="K21">
        <v>20230911</v>
      </c>
      <c r="L21" t="s">
        <v>7370</v>
      </c>
      <c r="M21">
        <v>519.88</v>
      </c>
      <c r="N21">
        <v>0</v>
      </c>
      <c r="O21" t="s">
        <v>19</v>
      </c>
      <c r="P21" t="s">
        <v>20</v>
      </c>
      <c r="Q21">
        <v>20230911</v>
      </c>
    </row>
    <row r="22" spans="1:17" x14ac:dyDescent="0.25">
      <c r="A22" t="s">
        <v>476</v>
      </c>
      <c r="B22" t="s">
        <v>477</v>
      </c>
      <c r="C22">
        <v>1</v>
      </c>
      <c r="D22">
        <v>20230911</v>
      </c>
      <c r="E22">
        <v>9</v>
      </c>
      <c r="F22">
        <v>512000</v>
      </c>
      <c r="G22" t="s">
        <v>428</v>
      </c>
      <c r="H22" t="s">
        <v>401</v>
      </c>
      <c r="I22" t="s">
        <v>402</v>
      </c>
      <c r="J22" t="s">
        <v>7371</v>
      </c>
      <c r="K22">
        <v>20230911</v>
      </c>
      <c r="L22" t="s">
        <v>7370</v>
      </c>
      <c r="M22">
        <v>0</v>
      </c>
      <c r="N22">
        <v>519.88</v>
      </c>
      <c r="O22" t="s">
        <v>19</v>
      </c>
      <c r="P22" t="s">
        <v>20</v>
      </c>
      <c r="Q22">
        <v>20230911</v>
      </c>
    </row>
    <row r="23" spans="1:17" x14ac:dyDescent="0.25">
      <c r="A23" t="s">
        <v>476</v>
      </c>
      <c r="B23" t="s">
        <v>477</v>
      </c>
      <c r="C23">
        <v>1</v>
      </c>
      <c r="D23">
        <v>20230912</v>
      </c>
      <c r="E23">
        <v>9</v>
      </c>
      <c r="F23">
        <v>401000</v>
      </c>
      <c r="G23" t="s">
        <v>41</v>
      </c>
      <c r="H23" t="s">
        <v>42</v>
      </c>
      <c r="I23" t="s">
        <v>43</v>
      </c>
      <c r="J23" t="s">
        <v>7369</v>
      </c>
      <c r="K23">
        <v>20230912</v>
      </c>
      <c r="L23" t="s">
        <v>5758</v>
      </c>
      <c r="M23">
        <v>999.02</v>
      </c>
      <c r="N23">
        <v>0</v>
      </c>
      <c r="O23" t="s">
        <v>22</v>
      </c>
      <c r="P23">
        <v>20230912</v>
      </c>
      <c r="Q23">
        <v>20230912</v>
      </c>
    </row>
    <row r="24" spans="1:17" x14ac:dyDescent="0.25">
      <c r="A24" t="s">
        <v>476</v>
      </c>
      <c r="B24" t="s">
        <v>477</v>
      </c>
      <c r="C24">
        <v>1</v>
      </c>
      <c r="D24">
        <v>20230912</v>
      </c>
      <c r="E24">
        <v>9</v>
      </c>
      <c r="F24">
        <v>401000</v>
      </c>
      <c r="G24" t="s">
        <v>41</v>
      </c>
      <c r="H24" t="s">
        <v>46</v>
      </c>
      <c r="I24" t="s">
        <v>47</v>
      </c>
      <c r="J24" t="s">
        <v>7369</v>
      </c>
      <c r="K24">
        <v>20230912</v>
      </c>
      <c r="L24" t="s">
        <v>5758</v>
      </c>
      <c r="M24">
        <v>680</v>
      </c>
      <c r="N24">
        <v>0</v>
      </c>
      <c r="O24" t="s">
        <v>22</v>
      </c>
      <c r="P24">
        <v>20230912</v>
      </c>
      <c r="Q24">
        <v>20230912</v>
      </c>
    </row>
    <row r="25" spans="1:17" x14ac:dyDescent="0.25">
      <c r="A25" t="s">
        <v>476</v>
      </c>
      <c r="B25" t="s">
        <v>477</v>
      </c>
      <c r="C25">
        <v>1</v>
      </c>
      <c r="D25">
        <v>20230912</v>
      </c>
      <c r="E25">
        <v>9</v>
      </c>
      <c r="F25">
        <v>401000</v>
      </c>
      <c r="G25" t="s">
        <v>41</v>
      </c>
      <c r="H25" t="s">
        <v>462</v>
      </c>
      <c r="I25" t="s">
        <v>463</v>
      </c>
      <c r="J25" t="s">
        <v>7369</v>
      </c>
      <c r="K25">
        <v>20230912</v>
      </c>
      <c r="L25" t="s">
        <v>5758</v>
      </c>
      <c r="M25">
        <v>580.9</v>
      </c>
      <c r="N25">
        <v>0</v>
      </c>
      <c r="O25" t="s">
        <v>22</v>
      </c>
      <c r="P25">
        <v>20230912</v>
      </c>
      <c r="Q25">
        <v>20230912</v>
      </c>
    </row>
    <row r="26" spans="1:17" x14ac:dyDescent="0.25">
      <c r="A26" t="s">
        <v>476</v>
      </c>
      <c r="B26" t="s">
        <v>477</v>
      </c>
      <c r="C26">
        <v>1</v>
      </c>
      <c r="D26">
        <v>20230912</v>
      </c>
      <c r="E26">
        <v>9</v>
      </c>
      <c r="F26">
        <v>401000</v>
      </c>
      <c r="G26" t="s">
        <v>41</v>
      </c>
      <c r="H26" t="s">
        <v>56</v>
      </c>
      <c r="I26" t="s">
        <v>57</v>
      </c>
      <c r="J26" t="s">
        <v>7369</v>
      </c>
      <c r="K26">
        <v>20230912</v>
      </c>
      <c r="L26" t="s">
        <v>5758</v>
      </c>
      <c r="M26">
        <v>6936.4</v>
      </c>
      <c r="N26">
        <v>0</v>
      </c>
      <c r="O26" t="s">
        <v>22</v>
      </c>
      <c r="P26">
        <v>20230912</v>
      </c>
      <c r="Q26">
        <v>20230912</v>
      </c>
    </row>
    <row r="27" spans="1:17" x14ac:dyDescent="0.25">
      <c r="A27" t="s">
        <v>476</v>
      </c>
      <c r="B27" t="s">
        <v>477</v>
      </c>
      <c r="C27">
        <v>1</v>
      </c>
      <c r="D27">
        <v>20230912</v>
      </c>
      <c r="E27">
        <v>9</v>
      </c>
      <c r="F27">
        <v>401000</v>
      </c>
      <c r="G27" t="s">
        <v>41</v>
      </c>
      <c r="H27" t="s">
        <v>69</v>
      </c>
      <c r="I27" t="s">
        <v>70</v>
      </c>
      <c r="J27" t="s">
        <v>7369</v>
      </c>
      <c r="K27">
        <v>20230912</v>
      </c>
      <c r="L27" t="s">
        <v>5758</v>
      </c>
      <c r="M27">
        <v>1393</v>
      </c>
      <c r="N27">
        <v>0</v>
      </c>
      <c r="O27" t="s">
        <v>23</v>
      </c>
      <c r="P27">
        <v>20231031</v>
      </c>
      <c r="Q27">
        <v>20230912</v>
      </c>
    </row>
    <row r="28" spans="1:17" x14ac:dyDescent="0.25">
      <c r="A28" t="s">
        <v>476</v>
      </c>
      <c r="B28" t="s">
        <v>477</v>
      </c>
      <c r="C28">
        <v>1</v>
      </c>
      <c r="D28">
        <v>20230912</v>
      </c>
      <c r="E28">
        <v>9</v>
      </c>
      <c r="F28">
        <v>401000</v>
      </c>
      <c r="G28" t="s">
        <v>41</v>
      </c>
      <c r="H28" t="s">
        <v>97</v>
      </c>
      <c r="I28" t="s">
        <v>98</v>
      </c>
      <c r="J28" t="s">
        <v>7369</v>
      </c>
      <c r="K28">
        <v>20230912</v>
      </c>
      <c r="L28" t="s">
        <v>5758</v>
      </c>
      <c r="M28">
        <v>201.88</v>
      </c>
      <c r="N28">
        <v>0</v>
      </c>
      <c r="O28" t="s">
        <v>22</v>
      </c>
      <c r="P28">
        <v>20230912</v>
      </c>
      <c r="Q28">
        <v>20230912</v>
      </c>
    </row>
    <row r="29" spans="1:17" x14ac:dyDescent="0.25">
      <c r="A29" t="s">
        <v>476</v>
      </c>
      <c r="B29" t="s">
        <v>477</v>
      </c>
      <c r="C29">
        <v>1</v>
      </c>
      <c r="D29">
        <v>20230912</v>
      </c>
      <c r="E29">
        <v>9</v>
      </c>
      <c r="F29">
        <v>401000</v>
      </c>
      <c r="G29" t="s">
        <v>41</v>
      </c>
      <c r="H29" t="s">
        <v>860</v>
      </c>
      <c r="I29" t="s">
        <v>861</v>
      </c>
      <c r="J29" t="s">
        <v>7369</v>
      </c>
      <c r="K29">
        <v>20230912</v>
      </c>
      <c r="L29" t="s">
        <v>5758</v>
      </c>
      <c r="M29">
        <v>110.85</v>
      </c>
      <c r="N29">
        <v>0</v>
      </c>
      <c r="O29" t="s">
        <v>22</v>
      </c>
      <c r="P29">
        <v>20230912</v>
      </c>
      <c r="Q29">
        <v>20230912</v>
      </c>
    </row>
    <row r="30" spans="1:17" x14ac:dyDescent="0.25">
      <c r="A30" t="s">
        <v>476</v>
      </c>
      <c r="B30" t="s">
        <v>477</v>
      </c>
      <c r="C30">
        <v>1</v>
      </c>
      <c r="D30">
        <v>20230912</v>
      </c>
      <c r="E30">
        <v>9</v>
      </c>
      <c r="F30">
        <v>467100</v>
      </c>
      <c r="G30" t="s">
        <v>160</v>
      </c>
      <c r="H30" t="s">
        <v>164</v>
      </c>
      <c r="I30" t="s">
        <v>165</v>
      </c>
      <c r="J30" t="s">
        <v>7369</v>
      </c>
      <c r="K30">
        <v>20230912</v>
      </c>
      <c r="L30" t="s">
        <v>5758</v>
      </c>
      <c r="M30">
        <v>227.77</v>
      </c>
      <c r="N30">
        <v>0</v>
      </c>
      <c r="O30" t="s">
        <v>22</v>
      </c>
      <c r="P30">
        <v>20230912</v>
      </c>
      <c r="Q30">
        <v>20230912</v>
      </c>
    </row>
    <row r="31" spans="1:17" x14ac:dyDescent="0.25">
      <c r="A31" t="s">
        <v>476</v>
      </c>
      <c r="B31" t="s">
        <v>477</v>
      </c>
      <c r="C31">
        <v>1</v>
      </c>
      <c r="D31">
        <v>20230912</v>
      </c>
      <c r="E31">
        <v>9</v>
      </c>
      <c r="F31">
        <v>401000</v>
      </c>
      <c r="G31" t="s">
        <v>41</v>
      </c>
      <c r="H31" t="s">
        <v>395</v>
      </c>
      <c r="I31" t="s">
        <v>396</v>
      </c>
      <c r="J31" t="s">
        <v>7369</v>
      </c>
      <c r="K31">
        <v>20230912</v>
      </c>
      <c r="L31" t="s">
        <v>5758</v>
      </c>
      <c r="M31">
        <v>761.76</v>
      </c>
      <c r="N31">
        <v>0</v>
      </c>
      <c r="O31" t="s">
        <v>22</v>
      </c>
      <c r="P31">
        <v>20230912</v>
      </c>
      <c r="Q31">
        <v>20230912</v>
      </c>
    </row>
    <row r="32" spans="1:17" x14ac:dyDescent="0.25">
      <c r="A32" t="s">
        <v>476</v>
      </c>
      <c r="B32" t="s">
        <v>477</v>
      </c>
      <c r="C32">
        <v>1</v>
      </c>
      <c r="D32">
        <v>20230912</v>
      </c>
      <c r="E32">
        <v>9</v>
      </c>
      <c r="F32">
        <v>401000</v>
      </c>
      <c r="G32" t="s">
        <v>41</v>
      </c>
      <c r="H32" t="s">
        <v>4483</v>
      </c>
      <c r="I32" t="s">
        <v>4484</v>
      </c>
      <c r="J32" t="s">
        <v>7369</v>
      </c>
      <c r="K32">
        <v>20230912</v>
      </c>
      <c r="L32" t="s">
        <v>5758</v>
      </c>
      <c r="M32">
        <v>55.49</v>
      </c>
      <c r="N32">
        <v>0</v>
      </c>
      <c r="O32" t="s">
        <v>22</v>
      </c>
      <c r="P32">
        <v>20230912</v>
      </c>
      <c r="Q32">
        <v>20230912</v>
      </c>
    </row>
    <row r="33" spans="1:17" x14ac:dyDescent="0.25">
      <c r="A33" t="s">
        <v>476</v>
      </c>
      <c r="B33" t="s">
        <v>477</v>
      </c>
      <c r="C33">
        <v>1</v>
      </c>
      <c r="D33">
        <v>20230912</v>
      </c>
      <c r="E33">
        <v>9</v>
      </c>
      <c r="F33">
        <v>467100</v>
      </c>
      <c r="G33" t="s">
        <v>160</v>
      </c>
      <c r="H33" t="s">
        <v>5086</v>
      </c>
      <c r="I33" t="s">
        <v>5087</v>
      </c>
      <c r="J33" t="s">
        <v>7369</v>
      </c>
      <c r="K33">
        <v>20230912</v>
      </c>
      <c r="L33" t="s">
        <v>5758</v>
      </c>
      <c r="M33">
        <v>37.9</v>
      </c>
      <c r="N33">
        <v>0</v>
      </c>
      <c r="O33" t="s">
        <v>22</v>
      </c>
      <c r="P33">
        <v>20230912</v>
      </c>
      <c r="Q33">
        <v>20230912</v>
      </c>
    </row>
    <row r="34" spans="1:17" x14ac:dyDescent="0.25">
      <c r="A34" t="s">
        <v>476</v>
      </c>
      <c r="B34" t="s">
        <v>477</v>
      </c>
      <c r="C34">
        <v>1</v>
      </c>
      <c r="D34">
        <v>20230912</v>
      </c>
      <c r="E34">
        <v>9</v>
      </c>
      <c r="F34">
        <v>467100</v>
      </c>
      <c r="G34" t="s">
        <v>160</v>
      </c>
      <c r="H34" t="s">
        <v>5419</v>
      </c>
      <c r="I34" t="s">
        <v>5420</v>
      </c>
      <c r="J34" t="s">
        <v>7369</v>
      </c>
      <c r="K34">
        <v>20230912</v>
      </c>
      <c r="L34" t="s">
        <v>5758</v>
      </c>
      <c r="M34">
        <v>17.399999999999999</v>
      </c>
      <c r="N34">
        <v>0</v>
      </c>
      <c r="O34" t="s">
        <v>22</v>
      </c>
      <c r="P34">
        <v>20230912</v>
      </c>
      <c r="Q34">
        <v>20230912</v>
      </c>
    </row>
    <row r="35" spans="1:17" x14ac:dyDescent="0.25">
      <c r="A35" t="s">
        <v>476</v>
      </c>
      <c r="B35" t="s">
        <v>477</v>
      </c>
      <c r="C35">
        <v>1</v>
      </c>
      <c r="D35">
        <v>20230912</v>
      </c>
      <c r="E35">
        <v>9</v>
      </c>
      <c r="F35">
        <v>512000</v>
      </c>
      <c r="G35" t="s">
        <v>428</v>
      </c>
      <c r="H35" t="s">
        <v>401</v>
      </c>
      <c r="I35" t="s">
        <v>402</v>
      </c>
      <c r="J35" t="s">
        <v>7369</v>
      </c>
      <c r="K35">
        <v>20230912</v>
      </c>
      <c r="L35" t="s">
        <v>5758</v>
      </c>
      <c r="M35">
        <v>0</v>
      </c>
      <c r="N35">
        <v>12002.37</v>
      </c>
      <c r="O35" t="s">
        <v>19</v>
      </c>
      <c r="P35" t="s">
        <v>20</v>
      </c>
      <c r="Q35">
        <v>20230912</v>
      </c>
    </row>
    <row r="36" spans="1:17" x14ac:dyDescent="0.25">
      <c r="A36" t="s">
        <v>476</v>
      </c>
      <c r="B36" t="s">
        <v>477</v>
      </c>
      <c r="C36">
        <v>1</v>
      </c>
      <c r="D36">
        <v>20230912</v>
      </c>
      <c r="E36">
        <v>9</v>
      </c>
      <c r="F36">
        <v>437100</v>
      </c>
      <c r="G36" t="s">
        <v>436</v>
      </c>
      <c r="H36" t="s">
        <v>401</v>
      </c>
      <c r="I36" t="s">
        <v>402</v>
      </c>
      <c r="J36" t="s">
        <v>7368</v>
      </c>
      <c r="K36">
        <v>20230912</v>
      </c>
      <c r="L36" t="s">
        <v>5757</v>
      </c>
      <c r="M36">
        <v>70.16</v>
      </c>
      <c r="N36">
        <v>0</v>
      </c>
      <c r="O36" t="s">
        <v>23</v>
      </c>
      <c r="P36">
        <v>20230915</v>
      </c>
      <c r="Q36">
        <v>20230912</v>
      </c>
    </row>
    <row r="37" spans="1:17" x14ac:dyDescent="0.25">
      <c r="A37" t="s">
        <v>476</v>
      </c>
      <c r="B37" t="s">
        <v>477</v>
      </c>
      <c r="C37">
        <v>1</v>
      </c>
      <c r="D37">
        <v>20230912</v>
      </c>
      <c r="E37">
        <v>9</v>
      </c>
      <c r="F37">
        <v>512000</v>
      </c>
      <c r="G37" t="s">
        <v>428</v>
      </c>
      <c r="H37" t="s">
        <v>401</v>
      </c>
      <c r="I37" t="s">
        <v>402</v>
      </c>
      <c r="J37" t="s">
        <v>7368</v>
      </c>
      <c r="K37">
        <v>20230912</v>
      </c>
      <c r="L37" t="s">
        <v>5757</v>
      </c>
      <c r="M37">
        <v>0</v>
      </c>
      <c r="N37">
        <v>70.16</v>
      </c>
      <c r="O37" t="s">
        <v>19</v>
      </c>
      <c r="P37" t="s">
        <v>20</v>
      </c>
      <c r="Q37">
        <v>20230912</v>
      </c>
    </row>
    <row r="38" spans="1:17" x14ac:dyDescent="0.25">
      <c r="A38" t="s">
        <v>476</v>
      </c>
      <c r="B38" t="s">
        <v>477</v>
      </c>
      <c r="C38">
        <v>1</v>
      </c>
      <c r="D38">
        <v>20230912</v>
      </c>
      <c r="E38">
        <v>9</v>
      </c>
      <c r="F38">
        <v>437000</v>
      </c>
      <c r="G38" t="s">
        <v>430</v>
      </c>
      <c r="H38" t="s">
        <v>401</v>
      </c>
      <c r="I38" t="s">
        <v>402</v>
      </c>
      <c r="J38" t="s">
        <v>7367</v>
      </c>
      <c r="K38">
        <v>20230912</v>
      </c>
      <c r="L38" t="s">
        <v>497</v>
      </c>
      <c r="M38">
        <v>1757.92</v>
      </c>
      <c r="N38">
        <v>0</v>
      </c>
      <c r="O38" t="s">
        <v>23</v>
      </c>
      <c r="P38">
        <v>20231003</v>
      </c>
      <c r="Q38">
        <v>20230912</v>
      </c>
    </row>
    <row r="39" spans="1:17" x14ac:dyDescent="0.25">
      <c r="A39" t="s">
        <v>476</v>
      </c>
      <c r="B39" t="s">
        <v>477</v>
      </c>
      <c r="C39">
        <v>1</v>
      </c>
      <c r="D39">
        <v>20230912</v>
      </c>
      <c r="E39">
        <v>9</v>
      </c>
      <c r="F39">
        <v>512000</v>
      </c>
      <c r="G39" t="s">
        <v>428</v>
      </c>
      <c r="H39" t="s">
        <v>401</v>
      </c>
      <c r="I39" t="s">
        <v>402</v>
      </c>
      <c r="J39" t="s">
        <v>7367</v>
      </c>
      <c r="K39">
        <v>20230912</v>
      </c>
      <c r="L39" t="s">
        <v>497</v>
      </c>
      <c r="M39">
        <v>0</v>
      </c>
      <c r="N39">
        <v>1757.92</v>
      </c>
      <c r="O39" t="s">
        <v>19</v>
      </c>
      <c r="P39" t="s">
        <v>20</v>
      </c>
      <c r="Q39">
        <v>20230912</v>
      </c>
    </row>
    <row r="40" spans="1:17" x14ac:dyDescent="0.25">
      <c r="A40" t="s">
        <v>476</v>
      </c>
      <c r="B40" t="s">
        <v>477</v>
      </c>
      <c r="C40">
        <v>1</v>
      </c>
      <c r="D40">
        <v>20230913</v>
      </c>
      <c r="E40">
        <v>9</v>
      </c>
      <c r="F40">
        <v>401000</v>
      </c>
      <c r="G40" t="s">
        <v>41</v>
      </c>
      <c r="H40" t="s">
        <v>7366</v>
      </c>
      <c r="I40" t="s">
        <v>7365</v>
      </c>
      <c r="J40" t="s">
        <v>7364</v>
      </c>
      <c r="K40">
        <v>20230913</v>
      </c>
      <c r="L40" t="s">
        <v>7363</v>
      </c>
      <c r="M40">
        <v>742.6</v>
      </c>
      <c r="N40">
        <v>0</v>
      </c>
      <c r="O40" t="s">
        <v>23</v>
      </c>
      <c r="P40">
        <v>20231102</v>
      </c>
      <c r="Q40">
        <v>20230913</v>
      </c>
    </row>
    <row r="41" spans="1:17" x14ac:dyDescent="0.25">
      <c r="A41" t="s">
        <v>476</v>
      </c>
      <c r="B41" t="s">
        <v>477</v>
      </c>
      <c r="C41">
        <v>1</v>
      </c>
      <c r="D41">
        <v>20230913</v>
      </c>
      <c r="E41">
        <v>9</v>
      </c>
      <c r="F41">
        <v>512000</v>
      </c>
      <c r="G41" t="s">
        <v>428</v>
      </c>
      <c r="H41" t="s">
        <v>401</v>
      </c>
      <c r="I41" t="s">
        <v>402</v>
      </c>
      <c r="J41" t="s">
        <v>7364</v>
      </c>
      <c r="K41">
        <v>20230913</v>
      </c>
      <c r="L41" t="s">
        <v>7363</v>
      </c>
      <c r="M41">
        <v>0</v>
      </c>
      <c r="N41">
        <v>742.6</v>
      </c>
      <c r="O41" t="s">
        <v>19</v>
      </c>
      <c r="P41" t="s">
        <v>20</v>
      </c>
      <c r="Q41">
        <v>20230913</v>
      </c>
    </row>
    <row r="42" spans="1:17" x14ac:dyDescent="0.25">
      <c r="A42" t="s">
        <v>476</v>
      </c>
      <c r="B42" t="s">
        <v>477</v>
      </c>
      <c r="C42">
        <v>1</v>
      </c>
      <c r="D42">
        <v>20230914</v>
      </c>
      <c r="E42">
        <v>9</v>
      </c>
      <c r="F42">
        <v>401000</v>
      </c>
      <c r="G42" t="s">
        <v>41</v>
      </c>
      <c r="H42" t="s">
        <v>69</v>
      </c>
      <c r="I42" t="s">
        <v>70</v>
      </c>
      <c r="J42" t="s">
        <v>7362</v>
      </c>
      <c r="K42">
        <v>20230914</v>
      </c>
      <c r="L42" t="s">
        <v>7352</v>
      </c>
      <c r="M42">
        <v>0</v>
      </c>
      <c r="N42">
        <v>1393</v>
      </c>
      <c r="O42" t="s">
        <v>23</v>
      </c>
      <c r="P42">
        <v>20231031</v>
      </c>
      <c r="Q42">
        <v>20230914</v>
      </c>
    </row>
    <row r="43" spans="1:17" x14ac:dyDescent="0.25">
      <c r="A43" t="s">
        <v>476</v>
      </c>
      <c r="B43" t="s">
        <v>477</v>
      </c>
      <c r="C43">
        <v>1</v>
      </c>
      <c r="D43">
        <v>20230914</v>
      </c>
      <c r="E43">
        <v>9</v>
      </c>
      <c r="F43">
        <v>512000</v>
      </c>
      <c r="G43" t="s">
        <v>428</v>
      </c>
      <c r="H43" t="s">
        <v>401</v>
      </c>
      <c r="I43" t="s">
        <v>402</v>
      </c>
      <c r="J43" t="s">
        <v>7362</v>
      </c>
      <c r="K43">
        <v>20230914</v>
      </c>
      <c r="L43" t="s">
        <v>7352</v>
      </c>
      <c r="M43">
        <v>1393</v>
      </c>
      <c r="N43">
        <v>0</v>
      </c>
      <c r="O43" t="s">
        <v>19</v>
      </c>
      <c r="P43" t="s">
        <v>20</v>
      </c>
      <c r="Q43">
        <v>20230914</v>
      </c>
    </row>
    <row r="44" spans="1:17" x14ac:dyDescent="0.25">
      <c r="A44" t="s">
        <v>476</v>
      </c>
      <c r="B44" t="s">
        <v>477</v>
      </c>
      <c r="C44">
        <v>1</v>
      </c>
      <c r="D44">
        <v>20230915</v>
      </c>
      <c r="E44">
        <v>9</v>
      </c>
      <c r="F44">
        <v>401000</v>
      </c>
      <c r="G44" t="s">
        <v>41</v>
      </c>
      <c r="H44" t="s">
        <v>56</v>
      </c>
      <c r="I44" t="s">
        <v>57</v>
      </c>
      <c r="J44" t="s">
        <v>7361</v>
      </c>
      <c r="K44">
        <v>20230915</v>
      </c>
      <c r="L44" t="s">
        <v>5758</v>
      </c>
      <c r="M44">
        <v>1131.1199999999999</v>
      </c>
      <c r="N44">
        <v>0</v>
      </c>
      <c r="O44" t="s">
        <v>22</v>
      </c>
      <c r="P44">
        <v>20230915</v>
      </c>
      <c r="Q44">
        <v>20230915</v>
      </c>
    </row>
    <row r="45" spans="1:17" x14ac:dyDescent="0.25">
      <c r="A45" t="s">
        <v>476</v>
      </c>
      <c r="B45" t="s">
        <v>477</v>
      </c>
      <c r="C45">
        <v>1</v>
      </c>
      <c r="D45">
        <v>20230915</v>
      </c>
      <c r="E45">
        <v>9</v>
      </c>
      <c r="F45">
        <v>401000</v>
      </c>
      <c r="G45" t="s">
        <v>41</v>
      </c>
      <c r="H45" t="s">
        <v>69</v>
      </c>
      <c r="I45" t="s">
        <v>70</v>
      </c>
      <c r="J45" t="s">
        <v>7361</v>
      </c>
      <c r="K45">
        <v>20230915</v>
      </c>
      <c r="L45" t="s">
        <v>5758</v>
      </c>
      <c r="M45">
        <v>2304.42</v>
      </c>
      <c r="N45">
        <v>0</v>
      </c>
      <c r="O45" t="s">
        <v>23</v>
      </c>
      <c r="P45">
        <v>20231031</v>
      </c>
      <c r="Q45">
        <v>20230915</v>
      </c>
    </row>
    <row r="46" spans="1:17" x14ac:dyDescent="0.25">
      <c r="A46" t="s">
        <v>476</v>
      </c>
      <c r="B46" t="s">
        <v>477</v>
      </c>
      <c r="C46">
        <v>1</v>
      </c>
      <c r="D46">
        <v>20230915</v>
      </c>
      <c r="E46">
        <v>9</v>
      </c>
      <c r="F46">
        <v>512000</v>
      </c>
      <c r="G46" t="s">
        <v>428</v>
      </c>
      <c r="H46" t="s">
        <v>401</v>
      </c>
      <c r="I46" t="s">
        <v>402</v>
      </c>
      <c r="J46" t="s">
        <v>7361</v>
      </c>
      <c r="K46">
        <v>20230915</v>
      </c>
      <c r="L46" t="s">
        <v>5758</v>
      </c>
      <c r="M46">
        <v>0</v>
      </c>
      <c r="N46">
        <v>3435.54</v>
      </c>
      <c r="O46" t="s">
        <v>19</v>
      </c>
      <c r="P46" t="s">
        <v>20</v>
      </c>
      <c r="Q46">
        <v>20230915</v>
      </c>
    </row>
    <row r="47" spans="1:17" x14ac:dyDescent="0.25">
      <c r="A47" t="s">
        <v>476</v>
      </c>
      <c r="B47" t="s">
        <v>477</v>
      </c>
      <c r="C47">
        <v>1</v>
      </c>
      <c r="D47">
        <v>20230915</v>
      </c>
      <c r="E47">
        <v>9</v>
      </c>
      <c r="F47">
        <v>437100</v>
      </c>
      <c r="G47" t="s">
        <v>436</v>
      </c>
      <c r="H47" t="s">
        <v>401</v>
      </c>
      <c r="I47" t="s">
        <v>402</v>
      </c>
      <c r="J47" t="s">
        <v>7360</v>
      </c>
      <c r="K47">
        <v>20230915</v>
      </c>
      <c r="L47" t="s">
        <v>5757</v>
      </c>
      <c r="M47">
        <v>701.61</v>
      </c>
      <c r="N47">
        <v>0</v>
      </c>
      <c r="O47" t="s">
        <v>23</v>
      </c>
      <c r="P47">
        <v>20231002</v>
      </c>
      <c r="Q47">
        <v>20230915</v>
      </c>
    </row>
    <row r="48" spans="1:17" x14ac:dyDescent="0.25">
      <c r="A48" t="s">
        <v>476</v>
      </c>
      <c r="B48" t="s">
        <v>477</v>
      </c>
      <c r="C48">
        <v>1</v>
      </c>
      <c r="D48">
        <v>20230915</v>
      </c>
      <c r="E48">
        <v>9</v>
      </c>
      <c r="F48">
        <v>512000</v>
      </c>
      <c r="G48" t="s">
        <v>428</v>
      </c>
      <c r="H48" t="s">
        <v>401</v>
      </c>
      <c r="I48" t="s">
        <v>402</v>
      </c>
      <c r="J48" t="s">
        <v>7360</v>
      </c>
      <c r="K48">
        <v>20230915</v>
      </c>
      <c r="L48" t="s">
        <v>5757</v>
      </c>
      <c r="M48">
        <v>0</v>
      </c>
      <c r="N48">
        <v>701.61</v>
      </c>
      <c r="O48" t="s">
        <v>19</v>
      </c>
      <c r="P48" t="s">
        <v>20</v>
      </c>
      <c r="Q48">
        <v>20230915</v>
      </c>
    </row>
    <row r="49" spans="1:17" x14ac:dyDescent="0.25">
      <c r="A49" t="s">
        <v>476</v>
      </c>
      <c r="B49" t="s">
        <v>477</v>
      </c>
      <c r="C49">
        <v>1</v>
      </c>
      <c r="D49">
        <v>20230915</v>
      </c>
      <c r="E49">
        <v>9</v>
      </c>
      <c r="F49">
        <v>511003</v>
      </c>
      <c r="G49" t="s">
        <v>6874</v>
      </c>
      <c r="H49" t="s">
        <v>401</v>
      </c>
      <c r="I49" t="s">
        <v>402</v>
      </c>
      <c r="J49" t="s">
        <v>7359</v>
      </c>
      <c r="K49">
        <v>20230915</v>
      </c>
      <c r="L49" t="s">
        <v>7310</v>
      </c>
      <c r="M49">
        <v>0</v>
      </c>
      <c r="N49">
        <v>3234.11</v>
      </c>
      <c r="O49" t="s">
        <v>19</v>
      </c>
      <c r="P49" t="s">
        <v>20</v>
      </c>
      <c r="Q49">
        <v>20230915</v>
      </c>
    </row>
    <row r="50" spans="1:17" x14ac:dyDescent="0.25">
      <c r="A50" t="s">
        <v>476</v>
      </c>
      <c r="B50" t="s">
        <v>477</v>
      </c>
      <c r="C50">
        <v>1</v>
      </c>
      <c r="D50">
        <v>20230915</v>
      </c>
      <c r="E50">
        <v>9</v>
      </c>
      <c r="F50">
        <v>512000</v>
      </c>
      <c r="G50" t="s">
        <v>428</v>
      </c>
      <c r="H50" t="s">
        <v>401</v>
      </c>
      <c r="I50" t="s">
        <v>402</v>
      </c>
      <c r="J50" t="s">
        <v>7359</v>
      </c>
      <c r="K50">
        <v>20230915</v>
      </c>
      <c r="L50" t="s">
        <v>7310</v>
      </c>
      <c r="M50">
        <v>3234.11</v>
      </c>
      <c r="N50">
        <v>0</v>
      </c>
      <c r="O50" t="s">
        <v>19</v>
      </c>
      <c r="P50" t="s">
        <v>20</v>
      </c>
      <c r="Q50">
        <v>20230915</v>
      </c>
    </row>
    <row r="51" spans="1:17" x14ac:dyDescent="0.25">
      <c r="A51" t="s">
        <v>476</v>
      </c>
      <c r="B51" t="s">
        <v>477</v>
      </c>
      <c r="C51">
        <v>1</v>
      </c>
      <c r="D51">
        <v>20230915</v>
      </c>
      <c r="E51">
        <v>9</v>
      </c>
      <c r="F51">
        <v>445060</v>
      </c>
      <c r="G51" t="s">
        <v>2452</v>
      </c>
      <c r="H51" t="s">
        <v>401</v>
      </c>
      <c r="I51" t="s">
        <v>402</v>
      </c>
      <c r="J51" t="s">
        <v>7358</v>
      </c>
      <c r="K51">
        <v>20230915</v>
      </c>
      <c r="L51" t="s">
        <v>7357</v>
      </c>
      <c r="M51">
        <v>0</v>
      </c>
      <c r="N51">
        <v>44039</v>
      </c>
      <c r="O51" t="s">
        <v>23</v>
      </c>
      <c r="P51">
        <v>20231031</v>
      </c>
      <c r="Q51">
        <v>20230915</v>
      </c>
    </row>
    <row r="52" spans="1:17" x14ac:dyDescent="0.25">
      <c r="A52" t="s">
        <v>476</v>
      </c>
      <c r="B52" t="s">
        <v>477</v>
      </c>
      <c r="C52">
        <v>1</v>
      </c>
      <c r="D52">
        <v>20230915</v>
      </c>
      <c r="E52">
        <v>9</v>
      </c>
      <c r="F52">
        <v>512000</v>
      </c>
      <c r="G52" t="s">
        <v>428</v>
      </c>
      <c r="H52" t="s">
        <v>401</v>
      </c>
      <c r="I52" t="s">
        <v>402</v>
      </c>
      <c r="J52" t="s">
        <v>7358</v>
      </c>
      <c r="K52">
        <v>20230915</v>
      </c>
      <c r="L52" t="s">
        <v>7357</v>
      </c>
      <c r="M52">
        <v>44039</v>
      </c>
      <c r="N52">
        <v>0</v>
      </c>
      <c r="O52" t="s">
        <v>19</v>
      </c>
      <c r="P52" t="s">
        <v>20</v>
      </c>
      <c r="Q52">
        <v>20230915</v>
      </c>
    </row>
    <row r="53" spans="1:17" x14ac:dyDescent="0.25">
      <c r="A53" t="s">
        <v>476</v>
      </c>
      <c r="B53" t="s">
        <v>477</v>
      </c>
      <c r="C53">
        <v>1</v>
      </c>
      <c r="D53">
        <v>20230915</v>
      </c>
      <c r="E53">
        <v>9</v>
      </c>
      <c r="F53">
        <v>627000</v>
      </c>
      <c r="G53" t="s">
        <v>480</v>
      </c>
      <c r="H53" t="s">
        <v>401</v>
      </c>
      <c r="I53" t="s">
        <v>402</v>
      </c>
      <c r="J53" t="s">
        <v>7356</v>
      </c>
      <c r="K53">
        <v>20230915</v>
      </c>
      <c r="L53" t="s">
        <v>7355</v>
      </c>
      <c r="M53">
        <v>12.62</v>
      </c>
      <c r="N53">
        <v>0</v>
      </c>
      <c r="O53" t="s">
        <v>19</v>
      </c>
      <c r="P53" t="s">
        <v>20</v>
      </c>
      <c r="Q53">
        <v>20230915</v>
      </c>
    </row>
    <row r="54" spans="1:17" x14ac:dyDescent="0.25">
      <c r="A54" t="s">
        <v>476</v>
      </c>
      <c r="B54" t="s">
        <v>477</v>
      </c>
      <c r="C54">
        <v>1</v>
      </c>
      <c r="D54">
        <v>20230915</v>
      </c>
      <c r="E54">
        <v>9</v>
      </c>
      <c r="F54">
        <v>512000</v>
      </c>
      <c r="G54" t="s">
        <v>428</v>
      </c>
      <c r="H54" t="s">
        <v>401</v>
      </c>
      <c r="I54" t="s">
        <v>402</v>
      </c>
      <c r="J54" t="s">
        <v>7356</v>
      </c>
      <c r="K54">
        <v>20230915</v>
      </c>
      <c r="L54" t="s">
        <v>7355</v>
      </c>
      <c r="M54">
        <v>0</v>
      </c>
      <c r="N54">
        <v>12.62</v>
      </c>
      <c r="O54" t="s">
        <v>19</v>
      </c>
      <c r="P54" t="s">
        <v>20</v>
      </c>
      <c r="Q54">
        <v>20230915</v>
      </c>
    </row>
    <row r="55" spans="1:17" x14ac:dyDescent="0.25">
      <c r="A55" t="s">
        <v>476</v>
      </c>
      <c r="B55" t="s">
        <v>477</v>
      </c>
      <c r="C55">
        <v>1</v>
      </c>
      <c r="D55">
        <v>20230918</v>
      </c>
      <c r="E55">
        <v>9</v>
      </c>
      <c r="F55">
        <v>431000</v>
      </c>
      <c r="G55" t="s">
        <v>408</v>
      </c>
      <c r="H55" t="s">
        <v>401</v>
      </c>
      <c r="I55" t="s">
        <v>402</v>
      </c>
      <c r="J55" t="s">
        <v>7354</v>
      </c>
      <c r="K55">
        <v>20230918</v>
      </c>
      <c r="L55" t="s">
        <v>513</v>
      </c>
      <c r="M55">
        <v>32388</v>
      </c>
      <c r="N55">
        <v>0</v>
      </c>
      <c r="O55" t="s">
        <v>19</v>
      </c>
      <c r="P55" t="s">
        <v>20</v>
      </c>
      <c r="Q55">
        <v>20230918</v>
      </c>
    </row>
    <row r="56" spans="1:17" x14ac:dyDescent="0.25">
      <c r="A56" t="s">
        <v>476</v>
      </c>
      <c r="B56" t="s">
        <v>477</v>
      </c>
      <c r="C56">
        <v>1</v>
      </c>
      <c r="D56">
        <v>20230918</v>
      </c>
      <c r="E56">
        <v>9</v>
      </c>
      <c r="F56">
        <v>512000</v>
      </c>
      <c r="G56" t="s">
        <v>428</v>
      </c>
      <c r="H56" t="s">
        <v>401</v>
      </c>
      <c r="I56" t="s">
        <v>402</v>
      </c>
      <c r="J56" t="s">
        <v>7354</v>
      </c>
      <c r="K56">
        <v>20230918</v>
      </c>
      <c r="L56" t="s">
        <v>513</v>
      </c>
      <c r="M56">
        <v>0</v>
      </c>
      <c r="N56">
        <v>32388</v>
      </c>
      <c r="O56" t="s">
        <v>19</v>
      </c>
      <c r="P56" t="s">
        <v>20</v>
      </c>
      <c r="Q56">
        <v>20230918</v>
      </c>
    </row>
    <row r="57" spans="1:17" x14ac:dyDescent="0.25">
      <c r="A57" t="s">
        <v>476</v>
      </c>
      <c r="B57" t="s">
        <v>477</v>
      </c>
      <c r="C57">
        <v>1</v>
      </c>
      <c r="D57">
        <v>20230918</v>
      </c>
      <c r="E57">
        <v>9</v>
      </c>
      <c r="F57">
        <v>401000</v>
      </c>
      <c r="G57" t="s">
        <v>41</v>
      </c>
      <c r="H57" t="s">
        <v>69</v>
      </c>
      <c r="I57" t="s">
        <v>70</v>
      </c>
      <c r="J57" t="s">
        <v>7353</v>
      </c>
      <c r="K57">
        <v>20230918</v>
      </c>
      <c r="L57" t="s">
        <v>7352</v>
      </c>
      <c r="M57">
        <v>0</v>
      </c>
      <c r="N57">
        <v>2304.42</v>
      </c>
      <c r="O57" t="s">
        <v>23</v>
      </c>
      <c r="P57">
        <v>20231031</v>
      </c>
      <c r="Q57">
        <v>20230918</v>
      </c>
    </row>
    <row r="58" spans="1:17" x14ac:dyDescent="0.25">
      <c r="A58" t="s">
        <v>476</v>
      </c>
      <c r="B58" t="s">
        <v>477</v>
      </c>
      <c r="C58">
        <v>1</v>
      </c>
      <c r="D58">
        <v>20230918</v>
      </c>
      <c r="E58">
        <v>9</v>
      </c>
      <c r="F58">
        <v>512000</v>
      </c>
      <c r="G58" t="s">
        <v>428</v>
      </c>
      <c r="H58" t="s">
        <v>401</v>
      </c>
      <c r="I58" t="s">
        <v>402</v>
      </c>
      <c r="J58" t="s">
        <v>7353</v>
      </c>
      <c r="K58">
        <v>20230918</v>
      </c>
      <c r="L58" t="s">
        <v>7352</v>
      </c>
      <c r="M58">
        <v>2304.42</v>
      </c>
      <c r="N58">
        <v>0</v>
      </c>
      <c r="O58" t="s">
        <v>19</v>
      </c>
      <c r="P58" t="s">
        <v>20</v>
      </c>
      <c r="Q58">
        <v>20230918</v>
      </c>
    </row>
    <row r="59" spans="1:17" x14ac:dyDescent="0.25">
      <c r="A59" t="s">
        <v>476</v>
      </c>
      <c r="B59" t="s">
        <v>477</v>
      </c>
      <c r="C59">
        <v>1</v>
      </c>
      <c r="D59">
        <v>20230918</v>
      </c>
      <c r="E59">
        <v>9</v>
      </c>
      <c r="F59">
        <v>445000</v>
      </c>
      <c r="G59" t="s">
        <v>412</v>
      </c>
      <c r="H59" t="s">
        <v>401</v>
      </c>
      <c r="I59" t="s">
        <v>402</v>
      </c>
      <c r="J59" t="s">
        <v>7348</v>
      </c>
      <c r="K59">
        <v>20230918</v>
      </c>
      <c r="L59" t="s">
        <v>4213</v>
      </c>
      <c r="M59">
        <v>0</v>
      </c>
      <c r="N59">
        <v>6111.21</v>
      </c>
      <c r="O59" t="s">
        <v>19</v>
      </c>
      <c r="P59" t="s">
        <v>20</v>
      </c>
      <c r="Q59">
        <v>20230918</v>
      </c>
    </row>
    <row r="60" spans="1:17" x14ac:dyDescent="0.25">
      <c r="A60" t="s">
        <v>476</v>
      </c>
      <c r="B60" t="s">
        <v>477</v>
      </c>
      <c r="C60">
        <v>1</v>
      </c>
      <c r="D60">
        <v>20230918</v>
      </c>
      <c r="E60">
        <v>9</v>
      </c>
      <c r="F60">
        <v>445010</v>
      </c>
      <c r="G60" t="s">
        <v>413</v>
      </c>
      <c r="H60" t="s">
        <v>401</v>
      </c>
      <c r="I60" t="s">
        <v>402</v>
      </c>
      <c r="J60" t="s">
        <v>7348</v>
      </c>
      <c r="K60">
        <v>20230918</v>
      </c>
      <c r="L60" t="s">
        <v>4214</v>
      </c>
      <c r="M60">
        <v>0</v>
      </c>
      <c r="N60">
        <v>1979.42</v>
      </c>
      <c r="O60" t="s">
        <v>19</v>
      </c>
      <c r="P60" t="s">
        <v>20</v>
      </c>
      <c r="Q60">
        <v>20230918</v>
      </c>
    </row>
    <row r="61" spans="1:17" x14ac:dyDescent="0.25">
      <c r="A61" t="s">
        <v>476</v>
      </c>
      <c r="B61" t="s">
        <v>477</v>
      </c>
      <c r="C61">
        <v>1</v>
      </c>
      <c r="D61">
        <v>20230918</v>
      </c>
      <c r="E61">
        <v>9</v>
      </c>
      <c r="F61">
        <v>445040</v>
      </c>
      <c r="G61" t="s">
        <v>7350</v>
      </c>
      <c r="H61" t="s">
        <v>401</v>
      </c>
      <c r="I61" t="s">
        <v>402</v>
      </c>
      <c r="J61" t="s">
        <v>7348</v>
      </c>
      <c r="K61">
        <v>20230918</v>
      </c>
      <c r="L61" t="s">
        <v>7351</v>
      </c>
      <c r="M61">
        <v>0</v>
      </c>
      <c r="N61">
        <v>1670</v>
      </c>
      <c r="O61" t="s">
        <v>19</v>
      </c>
      <c r="P61" t="s">
        <v>20</v>
      </c>
      <c r="Q61">
        <v>20230918</v>
      </c>
    </row>
    <row r="62" spans="1:17" x14ac:dyDescent="0.25">
      <c r="A62" t="s">
        <v>476</v>
      </c>
      <c r="B62" t="s">
        <v>477</v>
      </c>
      <c r="C62">
        <v>1</v>
      </c>
      <c r="D62">
        <v>20230918</v>
      </c>
      <c r="E62">
        <v>9</v>
      </c>
      <c r="F62">
        <v>445040</v>
      </c>
      <c r="G62" t="s">
        <v>7350</v>
      </c>
      <c r="H62" t="s">
        <v>401</v>
      </c>
      <c r="I62" t="s">
        <v>402</v>
      </c>
      <c r="J62" t="s">
        <v>7348</v>
      </c>
      <c r="K62">
        <v>20230918</v>
      </c>
      <c r="L62" t="s">
        <v>7349</v>
      </c>
      <c r="M62">
        <v>0</v>
      </c>
      <c r="N62">
        <v>482.7</v>
      </c>
      <c r="O62" t="s">
        <v>19</v>
      </c>
      <c r="P62" t="s">
        <v>20</v>
      </c>
      <c r="Q62">
        <v>20230918</v>
      </c>
    </row>
    <row r="63" spans="1:17" x14ac:dyDescent="0.25">
      <c r="A63" t="s">
        <v>476</v>
      </c>
      <c r="B63" t="s">
        <v>477</v>
      </c>
      <c r="C63">
        <v>1</v>
      </c>
      <c r="D63">
        <v>20230918</v>
      </c>
      <c r="E63">
        <v>9</v>
      </c>
      <c r="F63">
        <v>512000</v>
      </c>
      <c r="G63" t="s">
        <v>428</v>
      </c>
      <c r="H63" t="s">
        <v>401</v>
      </c>
      <c r="I63" t="s">
        <v>402</v>
      </c>
      <c r="J63" t="s">
        <v>7348</v>
      </c>
      <c r="K63">
        <v>20230918</v>
      </c>
      <c r="L63" t="s">
        <v>7336</v>
      </c>
      <c r="M63">
        <v>10243.33</v>
      </c>
      <c r="N63">
        <v>0</v>
      </c>
      <c r="O63" t="s">
        <v>19</v>
      </c>
      <c r="P63" t="s">
        <v>20</v>
      </c>
      <c r="Q63">
        <v>20230918</v>
      </c>
    </row>
    <row r="64" spans="1:17" x14ac:dyDescent="0.25">
      <c r="A64" t="s">
        <v>476</v>
      </c>
      <c r="B64" t="s">
        <v>477</v>
      </c>
      <c r="C64">
        <v>1</v>
      </c>
      <c r="D64">
        <v>20230919</v>
      </c>
      <c r="E64">
        <v>9</v>
      </c>
      <c r="F64">
        <v>401000</v>
      </c>
      <c r="G64" t="s">
        <v>41</v>
      </c>
      <c r="H64" t="s">
        <v>46</v>
      </c>
      <c r="I64" t="s">
        <v>47</v>
      </c>
      <c r="J64" t="s">
        <v>7345</v>
      </c>
      <c r="K64">
        <v>20230919</v>
      </c>
      <c r="L64" t="s">
        <v>5758</v>
      </c>
      <c r="M64">
        <v>3948</v>
      </c>
      <c r="N64">
        <v>0</v>
      </c>
      <c r="O64" t="s">
        <v>22</v>
      </c>
      <c r="P64">
        <v>20230919</v>
      </c>
      <c r="Q64">
        <v>20230919</v>
      </c>
    </row>
    <row r="65" spans="1:17" x14ac:dyDescent="0.25">
      <c r="A65" t="s">
        <v>476</v>
      </c>
      <c r="B65" t="s">
        <v>477</v>
      </c>
      <c r="C65">
        <v>1</v>
      </c>
      <c r="D65">
        <v>20230919</v>
      </c>
      <c r="E65">
        <v>9</v>
      </c>
      <c r="F65">
        <v>401000</v>
      </c>
      <c r="G65" t="s">
        <v>41</v>
      </c>
      <c r="H65" t="s">
        <v>7347</v>
      </c>
      <c r="I65" t="s">
        <v>7346</v>
      </c>
      <c r="J65" t="s">
        <v>7345</v>
      </c>
      <c r="K65">
        <v>20230919</v>
      </c>
      <c r="L65" t="s">
        <v>5758</v>
      </c>
      <c r="M65">
        <v>900</v>
      </c>
      <c r="N65">
        <v>0</v>
      </c>
      <c r="O65" t="s">
        <v>22</v>
      </c>
      <c r="P65">
        <v>20230919</v>
      </c>
      <c r="Q65">
        <v>20230919</v>
      </c>
    </row>
    <row r="66" spans="1:17" x14ac:dyDescent="0.25">
      <c r="A66" t="s">
        <v>476</v>
      </c>
      <c r="B66" t="s">
        <v>477</v>
      </c>
      <c r="C66">
        <v>1</v>
      </c>
      <c r="D66">
        <v>20230919</v>
      </c>
      <c r="E66">
        <v>9</v>
      </c>
      <c r="F66">
        <v>512000</v>
      </c>
      <c r="G66" t="s">
        <v>428</v>
      </c>
      <c r="H66" t="s">
        <v>401</v>
      </c>
      <c r="I66" t="s">
        <v>402</v>
      </c>
      <c r="J66" t="s">
        <v>7345</v>
      </c>
      <c r="K66">
        <v>20230919</v>
      </c>
      <c r="L66" t="s">
        <v>5758</v>
      </c>
      <c r="M66">
        <v>0</v>
      </c>
      <c r="N66">
        <v>4848</v>
      </c>
      <c r="O66" t="s">
        <v>19</v>
      </c>
      <c r="P66" t="s">
        <v>20</v>
      </c>
      <c r="Q66">
        <v>20230919</v>
      </c>
    </row>
    <row r="67" spans="1:17" x14ac:dyDescent="0.25">
      <c r="A67" t="s">
        <v>476</v>
      </c>
      <c r="B67" t="s">
        <v>477</v>
      </c>
      <c r="C67">
        <v>1</v>
      </c>
      <c r="D67">
        <v>20230919</v>
      </c>
      <c r="E67">
        <v>9</v>
      </c>
      <c r="F67">
        <v>447000</v>
      </c>
      <c r="G67" t="s">
        <v>419</v>
      </c>
      <c r="H67" t="s">
        <v>401</v>
      </c>
      <c r="I67" t="s">
        <v>402</v>
      </c>
      <c r="J67" t="s">
        <v>7344</v>
      </c>
      <c r="K67">
        <v>20230919</v>
      </c>
      <c r="L67" t="s">
        <v>898</v>
      </c>
      <c r="M67">
        <v>6268</v>
      </c>
      <c r="N67">
        <v>0</v>
      </c>
      <c r="O67" t="s">
        <v>19</v>
      </c>
      <c r="P67" t="s">
        <v>20</v>
      </c>
      <c r="Q67">
        <v>20230919</v>
      </c>
    </row>
    <row r="68" spans="1:17" x14ac:dyDescent="0.25">
      <c r="A68" t="s">
        <v>476</v>
      </c>
      <c r="B68" t="s">
        <v>477</v>
      </c>
      <c r="C68">
        <v>1</v>
      </c>
      <c r="D68">
        <v>20230919</v>
      </c>
      <c r="E68">
        <v>9</v>
      </c>
      <c r="F68">
        <v>512000</v>
      </c>
      <c r="G68" t="s">
        <v>428</v>
      </c>
      <c r="H68" t="s">
        <v>401</v>
      </c>
      <c r="I68" t="s">
        <v>402</v>
      </c>
      <c r="J68" t="s">
        <v>7344</v>
      </c>
      <c r="K68">
        <v>20230919</v>
      </c>
      <c r="L68" t="s">
        <v>898</v>
      </c>
      <c r="M68">
        <v>0</v>
      </c>
      <c r="N68">
        <v>6268</v>
      </c>
      <c r="O68" t="s">
        <v>19</v>
      </c>
      <c r="P68" t="s">
        <v>20</v>
      </c>
      <c r="Q68">
        <v>20230919</v>
      </c>
    </row>
    <row r="69" spans="1:17" x14ac:dyDescent="0.25">
      <c r="A69" t="s">
        <v>476</v>
      </c>
      <c r="B69" t="s">
        <v>477</v>
      </c>
      <c r="C69">
        <v>1</v>
      </c>
      <c r="D69">
        <v>20230919</v>
      </c>
      <c r="E69">
        <v>9</v>
      </c>
      <c r="F69">
        <v>468200</v>
      </c>
      <c r="G69" t="s">
        <v>421</v>
      </c>
      <c r="H69" t="s">
        <v>401</v>
      </c>
      <c r="I69" t="s">
        <v>402</v>
      </c>
      <c r="J69" t="s">
        <v>7343</v>
      </c>
      <c r="K69">
        <v>20230919</v>
      </c>
      <c r="L69" t="s">
        <v>422</v>
      </c>
      <c r="M69">
        <v>0</v>
      </c>
      <c r="N69">
        <v>404.32</v>
      </c>
      <c r="O69" t="s">
        <v>19</v>
      </c>
      <c r="P69" t="s">
        <v>20</v>
      </c>
      <c r="Q69">
        <v>20230919</v>
      </c>
    </row>
    <row r="70" spans="1:17" x14ac:dyDescent="0.25">
      <c r="A70" t="s">
        <v>476</v>
      </c>
      <c r="B70" t="s">
        <v>477</v>
      </c>
      <c r="C70">
        <v>1</v>
      </c>
      <c r="D70">
        <v>20230919</v>
      </c>
      <c r="E70">
        <v>9</v>
      </c>
      <c r="F70">
        <v>512000</v>
      </c>
      <c r="G70" t="s">
        <v>428</v>
      </c>
      <c r="H70" t="s">
        <v>401</v>
      </c>
      <c r="I70" t="s">
        <v>402</v>
      </c>
      <c r="J70" t="s">
        <v>7343</v>
      </c>
      <c r="K70">
        <v>20230919</v>
      </c>
      <c r="L70" t="s">
        <v>422</v>
      </c>
      <c r="M70">
        <v>404.32</v>
      </c>
      <c r="N70">
        <v>0</v>
      </c>
      <c r="O70" t="s">
        <v>19</v>
      </c>
      <c r="P70" t="s">
        <v>20</v>
      </c>
      <c r="Q70">
        <v>20230919</v>
      </c>
    </row>
    <row r="71" spans="1:17" x14ac:dyDescent="0.25">
      <c r="A71" t="s">
        <v>476</v>
      </c>
      <c r="B71" t="s">
        <v>477</v>
      </c>
      <c r="C71">
        <v>1</v>
      </c>
      <c r="D71">
        <v>20230921</v>
      </c>
      <c r="E71">
        <v>9</v>
      </c>
      <c r="F71">
        <v>401000</v>
      </c>
      <c r="G71" t="s">
        <v>41</v>
      </c>
      <c r="H71" t="s">
        <v>140</v>
      </c>
      <c r="I71" t="s">
        <v>141</v>
      </c>
      <c r="J71" t="s">
        <v>7342</v>
      </c>
      <c r="K71">
        <v>20230921</v>
      </c>
      <c r="L71" t="s">
        <v>7340</v>
      </c>
      <c r="M71">
        <v>87.4</v>
      </c>
      <c r="N71">
        <v>0</v>
      </c>
      <c r="O71" t="s">
        <v>19</v>
      </c>
      <c r="P71" t="s">
        <v>20</v>
      </c>
      <c r="Q71">
        <v>20230921</v>
      </c>
    </row>
    <row r="72" spans="1:17" x14ac:dyDescent="0.25">
      <c r="A72" t="s">
        <v>476</v>
      </c>
      <c r="B72" t="s">
        <v>477</v>
      </c>
      <c r="C72">
        <v>1</v>
      </c>
      <c r="D72">
        <v>20230921</v>
      </c>
      <c r="E72">
        <v>9</v>
      </c>
      <c r="F72">
        <v>512000</v>
      </c>
      <c r="G72" t="s">
        <v>428</v>
      </c>
      <c r="H72" t="s">
        <v>401</v>
      </c>
      <c r="I72" t="s">
        <v>402</v>
      </c>
      <c r="J72" t="s">
        <v>7342</v>
      </c>
      <c r="K72">
        <v>20230921</v>
      </c>
      <c r="L72" t="s">
        <v>7340</v>
      </c>
      <c r="M72">
        <v>0</v>
      </c>
      <c r="N72">
        <v>87.4</v>
      </c>
      <c r="O72" t="s">
        <v>19</v>
      </c>
      <c r="P72" t="s">
        <v>20</v>
      </c>
      <c r="Q72">
        <v>20230921</v>
      </c>
    </row>
    <row r="73" spans="1:17" x14ac:dyDescent="0.25">
      <c r="A73" t="s">
        <v>476</v>
      </c>
      <c r="B73" t="s">
        <v>477</v>
      </c>
      <c r="C73">
        <v>1</v>
      </c>
      <c r="D73">
        <v>20230921</v>
      </c>
      <c r="E73">
        <v>9</v>
      </c>
      <c r="F73">
        <v>401000</v>
      </c>
      <c r="G73" t="s">
        <v>41</v>
      </c>
      <c r="H73" t="s">
        <v>140</v>
      </c>
      <c r="I73" t="s">
        <v>141</v>
      </c>
      <c r="J73" t="s">
        <v>7341</v>
      </c>
      <c r="K73">
        <v>20230921</v>
      </c>
      <c r="L73" t="s">
        <v>7340</v>
      </c>
      <c r="M73">
        <v>83.6</v>
      </c>
      <c r="N73">
        <v>0</v>
      </c>
      <c r="O73" t="s">
        <v>19</v>
      </c>
      <c r="P73" t="s">
        <v>20</v>
      </c>
      <c r="Q73">
        <v>20230921</v>
      </c>
    </row>
    <row r="74" spans="1:17" x14ac:dyDescent="0.25">
      <c r="A74" t="s">
        <v>476</v>
      </c>
      <c r="B74" t="s">
        <v>477</v>
      </c>
      <c r="C74">
        <v>1</v>
      </c>
      <c r="D74">
        <v>20230921</v>
      </c>
      <c r="E74">
        <v>9</v>
      </c>
      <c r="F74">
        <v>512000</v>
      </c>
      <c r="G74" t="s">
        <v>428</v>
      </c>
      <c r="H74" t="s">
        <v>401</v>
      </c>
      <c r="I74" t="s">
        <v>402</v>
      </c>
      <c r="J74" t="s">
        <v>7341</v>
      </c>
      <c r="K74">
        <v>20230921</v>
      </c>
      <c r="L74" t="s">
        <v>7340</v>
      </c>
      <c r="M74">
        <v>0</v>
      </c>
      <c r="N74">
        <v>83.6</v>
      </c>
      <c r="O74" t="s">
        <v>19</v>
      </c>
      <c r="P74" t="s">
        <v>20</v>
      </c>
      <c r="Q74">
        <v>20230921</v>
      </c>
    </row>
    <row r="75" spans="1:17" x14ac:dyDescent="0.25">
      <c r="A75" t="s">
        <v>476</v>
      </c>
      <c r="B75" t="s">
        <v>477</v>
      </c>
      <c r="C75">
        <v>1</v>
      </c>
      <c r="D75">
        <v>20230921</v>
      </c>
      <c r="E75">
        <v>9</v>
      </c>
      <c r="F75">
        <v>442100</v>
      </c>
      <c r="G75" t="s">
        <v>435</v>
      </c>
      <c r="H75" t="s">
        <v>401</v>
      </c>
      <c r="I75" t="s">
        <v>402</v>
      </c>
      <c r="J75" t="s">
        <v>7339</v>
      </c>
      <c r="K75">
        <v>20230921</v>
      </c>
      <c r="L75" t="s">
        <v>528</v>
      </c>
      <c r="M75">
        <v>824</v>
      </c>
      <c r="N75">
        <v>0</v>
      </c>
      <c r="O75" t="s">
        <v>19</v>
      </c>
      <c r="P75" t="s">
        <v>20</v>
      </c>
      <c r="Q75">
        <v>20230921</v>
      </c>
    </row>
    <row r="76" spans="1:17" x14ac:dyDescent="0.25">
      <c r="A76" t="s">
        <v>476</v>
      </c>
      <c r="B76" t="s">
        <v>477</v>
      </c>
      <c r="C76">
        <v>1</v>
      </c>
      <c r="D76">
        <v>20230921</v>
      </c>
      <c r="E76">
        <v>9</v>
      </c>
      <c r="F76">
        <v>512000</v>
      </c>
      <c r="G76" t="s">
        <v>428</v>
      </c>
      <c r="H76" t="s">
        <v>401</v>
      </c>
      <c r="I76" t="s">
        <v>402</v>
      </c>
      <c r="J76" t="s">
        <v>7339</v>
      </c>
      <c r="K76">
        <v>20230921</v>
      </c>
      <c r="L76" t="s">
        <v>528</v>
      </c>
      <c r="M76">
        <v>0</v>
      </c>
      <c r="N76">
        <v>824</v>
      </c>
      <c r="O76" t="s">
        <v>19</v>
      </c>
      <c r="P76" t="s">
        <v>20</v>
      </c>
      <c r="Q76">
        <v>20230921</v>
      </c>
    </row>
    <row r="77" spans="1:17" x14ac:dyDescent="0.25">
      <c r="A77" t="s">
        <v>476</v>
      </c>
      <c r="B77" t="s">
        <v>477</v>
      </c>
      <c r="C77">
        <v>1</v>
      </c>
      <c r="D77">
        <v>20230922</v>
      </c>
      <c r="E77">
        <v>9</v>
      </c>
      <c r="F77">
        <v>467100</v>
      </c>
      <c r="G77" t="s">
        <v>160</v>
      </c>
      <c r="H77" t="s">
        <v>1726</v>
      </c>
      <c r="I77" t="s">
        <v>1727</v>
      </c>
      <c r="J77" t="s">
        <v>7338</v>
      </c>
      <c r="K77">
        <v>20230922</v>
      </c>
      <c r="L77" t="s">
        <v>5757</v>
      </c>
      <c r="M77">
        <v>250</v>
      </c>
      <c r="N77">
        <v>0</v>
      </c>
      <c r="O77" t="s">
        <v>23</v>
      </c>
      <c r="P77">
        <v>20231107</v>
      </c>
      <c r="Q77">
        <v>20230922</v>
      </c>
    </row>
    <row r="78" spans="1:17" x14ac:dyDescent="0.25">
      <c r="A78" t="s">
        <v>476</v>
      </c>
      <c r="B78" t="s">
        <v>477</v>
      </c>
      <c r="C78">
        <v>1</v>
      </c>
      <c r="D78">
        <v>20230922</v>
      </c>
      <c r="E78">
        <v>9</v>
      </c>
      <c r="F78">
        <v>512000</v>
      </c>
      <c r="G78" t="s">
        <v>428</v>
      </c>
      <c r="H78" t="s">
        <v>401</v>
      </c>
      <c r="I78" t="s">
        <v>402</v>
      </c>
      <c r="J78" t="s">
        <v>7338</v>
      </c>
      <c r="K78">
        <v>20230922</v>
      </c>
      <c r="L78" t="s">
        <v>5757</v>
      </c>
      <c r="M78">
        <v>0</v>
      </c>
      <c r="N78">
        <v>250</v>
      </c>
      <c r="O78" t="s">
        <v>19</v>
      </c>
      <c r="P78" t="s">
        <v>20</v>
      </c>
      <c r="Q78">
        <v>20230922</v>
      </c>
    </row>
    <row r="79" spans="1:17" x14ac:dyDescent="0.25">
      <c r="A79" t="s">
        <v>476</v>
      </c>
      <c r="B79" t="s">
        <v>477</v>
      </c>
      <c r="C79">
        <v>1</v>
      </c>
      <c r="D79">
        <v>20230922</v>
      </c>
      <c r="E79">
        <v>9</v>
      </c>
      <c r="F79">
        <v>627000</v>
      </c>
      <c r="G79" t="s">
        <v>480</v>
      </c>
      <c r="H79" t="s">
        <v>401</v>
      </c>
      <c r="I79" t="s">
        <v>402</v>
      </c>
      <c r="J79" t="s">
        <v>7337</v>
      </c>
      <c r="K79">
        <v>20230922</v>
      </c>
      <c r="L79" t="s">
        <v>7336</v>
      </c>
      <c r="M79">
        <v>25.2</v>
      </c>
      <c r="N79">
        <v>0</v>
      </c>
      <c r="O79" t="s">
        <v>19</v>
      </c>
      <c r="P79" t="s">
        <v>20</v>
      </c>
      <c r="Q79">
        <v>20230922</v>
      </c>
    </row>
    <row r="80" spans="1:17" x14ac:dyDescent="0.25">
      <c r="A80" t="s">
        <v>476</v>
      </c>
      <c r="B80" t="s">
        <v>477</v>
      </c>
      <c r="C80">
        <v>1</v>
      </c>
      <c r="D80">
        <v>20230922</v>
      </c>
      <c r="E80">
        <v>9</v>
      </c>
      <c r="F80">
        <v>512000</v>
      </c>
      <c r="G80" t="s">
        <v>428</v>
      </c>
      <c r="H80" t="s">
        <v>401</v>
      </c>
      <c r="I80" t="s">
        <v>402</v>
      </c>
      <c r="J80" t="s">
        <v>7337</v>
      </c>
      <c r="K80">
        <v>20230922</v>
      </c>
      <c r="L80" t="s">
        <v>7336</v>
      </c>
      <c r="M80">
        <v>0</v>
      </c>
      <c r="N80">
        <v>25.2</v>
      </c>
      <c r="O80" t="s">
        <v>19</v>
      </c>
      <c r="P80" t="s">
        <v>20</v>
      </c>
      <c r="Q80">
        <v>20230922</v>
      </c>
    </row>
    <row r="81" spans="1:17" x14ac:dyDescent="0.25">
      <c r="A81" t="s">
        <v>476</v>
      </c>
      <c r="B81" t="s">
        <v>477</v>
      </c>
      <c r="C81">
        <v>1</v>
      </c>
      <c r="D81">
        <v>20230925</v>
      </c>
      <c r="E81">
        <v>9</v>
      </c>
      <c r="F81">
        <v>471000</v>
      </c>
      <c r="G81" t="s">
        <v>4801</v>
      </c>
      <c r="H81" t="s">
        <v>401</v>
      </c>
      <c r="I81" t="s">
        <v>402</v>
      </c>
      <c r="J81" t="s">
        <v>7335</v>
      </c>
      <c r="K81">
        <v>20230925</v>
      </c>
      <c r="L81" t="s">
        <v>7334</v>
      </c>
      <c r="M81">
        <v>0</v>
      </c>
      <c r="N81">
        <v>3932</v>
      </c>
      <c r="O81" t="s">
        <v>19</v>
      </c>
      <c r="P81" t="s">
        <v>20</v>
      </c>
      <c r="Q81">
        <v>20230925</v>
      </c>
    </row>
    <row r="82" spans="1:17" x14ac:dyDescent="0.25">
      <c r="A82" t="s">
        <v>476</v>
      </c>
      <c r="B82" t="s">
        <v>477</v>
      </c>
      <c r="C82">
        <v>1</v>
      </c>
      <c r="D82">
        <v>20230925</v>
      </c>
      <c r="E82">
        <v>9</v>
      </c>
      <c r="F82">
        <v>512000</v>
      </c>
      <c r="G82" t="s">
        <v>428</v>
      </c>
      <c r="H82" t="s">
        <v>401</v>
      </c>
      <c r="I82" t="s">
        <v>402</v>
      </c>
      <c r="J82" t="s">
        <v>7335</v>
      </c>
      <c r="K82">
        <v>20230925</v>
      </c>
      <c r="L82" t="s">
        <v>7334</v>
      </c>
      <c r="M82">
        <v>3932</v>
      </c>
      <c r="N82">
        <v>0</v>
      </c>
      <c r="O82" t="s">
        <v>19</v>
      </c>
      <c r="P82" t="s">
        <v>20</v>
      </c>
      <c r="Q82">
        <v>20230925</v>
      </c>
    </row>
    <row r="83" spans="1:17" x14ac:dyDescent="0.25">
      <c r="A83" t="s">
        <v>476</v>
      </c>
      <c r="B83" t="s">
        <v>477</v>
      </c>
      <c r="C83">
        <v>1</v>
      </c>
      <c r="D83">
        <v>20230925</v>
      </c>
      <c r="E83">
        <v>9</v>
      </c>
      <c r="F83">
        <v>433000</v>
      </c>
      <c r="G83" t="s">
        <v>410</v>
      </c>
      <c r="H83" t="s">
        <v>401</v>
      </c>
      <c r="I83" t="s">
        <v>402</v>
      </c>
      <c r="J83" t="s">
        <v>7333</v>
      </c>
      <c r="K83">
        <v>20230925</v>
      </c>
      <c r="L83" t="s">
        <v>530</v>
      </c>
      <c r="M83">
        <v>6700.09</v>
      </c>
      <c r="N83">
        <v>0</v>
      </c>
      <c r="O83" t="s">
        <v>19</v>
      </c>
      <c r="P83" t="s">
        <v>20</v>
      </c>
      <c r="Q83">
        <v>20230925</v>
      </c>
    </row>
    <row r="84" spans="1:17" x14ac:dyDescent="0.25">
      <c r="A84" t="s">
        <v>476</v>
      </c>
      <c r="B84" t="s">
        <v>477</v>
      </c>
      <c r="C84">
        <v>1</v>
      </c>
      <c r="D84">
        <v>20230925</v>
      </c>
      <c r="E84">
        <v>9</v>
      </c>
      <c r="F84">
        <v>512000</v>
      </c>
      <c r="G84" t="s">
        <v>428</v>
      </c>
      <c r="H84" t="s">
        <v>401</v>
      </c>
      <c r="I84" t="s">
        <v>402</v>
      </c>
      <c r="J84" t="s">
        <v>7333</v>
      </c>
      <c r="K84">
        <v>20230925</v>
      </c>
      <c r="L84" t="s">
        <v>530</v>
      </c>
      <c r="M84">
        <v>0</v>
      </c>
      <c r="N84">
        <v>6700.09</v>
      </c>
      <c r="O84" t="s">
        <v>19</v>
      </c>
      <c r="P84" t="s">
        <v>20</v>
      </c>
      <c r="Q84">
        <v>20230925</v>
      </c>
    </row>
    <row r="85" spans="1:17" x14ac:dyDescent="0.25">
      <c r="A85" t="s">
        <v>476</v>
      </c>
      <c r="B85" t="s">
        <v>477</v>
      </c>
      <c r="C85">
        <v>1</v>
      </c>
      <c r="D85">
        <v>20230925</v>
      </c>
      <c r="E85">
        <v>9</v>
      </c>
      <c r="F85">
        <v>468200</v>
      </c>
      <c r="G85" t="s">
        <v>421</v>
      </c>
      <c r="H85" t="s">
        <v>401</v>
      </c>
      <c r="I85" t="s">
        <v>402</v>
      </c>
      <c r="J85" t="s">
        <v>7332</v>
      </c>
      <c r="K85">
        <v>20230925</v>
      </c>
      <c r="L85" t="s">
        <v>422</v>
      </c>
      <c r="M85">
        <v>0</v>
      </c>
      <c r="N85">
        <v>160.53</v>
      </c>
      <c r="O85" t="s">
        <v>19</v>
      </c>
      <c r="P85" t="s">
        <v>20</v>
      </c>
      <c r="Q85">
        <v>20230925</v>
      </c>
    </row>
    <row r="86" spans="1:17" x14ac:dyDescent="0.25">
      <c r="A86" t="s">
        <v>476</v>
      </c>
      <c r="B86" t="s">
        <v>477</v>
      </c>
      <c r="C86">
        <v>1</v>
      </c>
      <c r="D86">
        <v>20230925</v>
      </c>
      <c r="E86">
        <v>9</v>
      </c>
      <c r="F86">
        <v>512000</v>
      </c>
      <c r="G86" t="s">
        <v>428</v>
      </c>
      <c r="H86" t="s">
        <v>401</v>
      </c>
      <c r="I86" t="s">
        <v>402</v>
      </c>
      <c r="J86" t="s">
        <v>7332</v>
      </c>
      <c r="K86">
        <v>20230925</v>
      </c>
      <c r="L86" t="s">
        <v>422</v>
      </c>
      <c r="M86">
        <v>160.53</v>
      </c>
      <c r="N86">
        <v>0</v>
      </c>
      <c r="O86" t="s">
        <v>19</v>
      </c>
      <c r="P86" t="s">
        <v>20</v>
      </c>
      <c r="Q86">
        <v>20230925</v>
      </c>
    </row>
    <row r="87" spans="1:17" x14ac:dyDescent="0.25">
      <c r="A87" t="s">
        <v>476</v>
      </c>
      <c r="B87" t="s">
        <v>477</v>
      </c>
      <c r="C87">
        <v>1</v>
      </c>
      <c r="D87">
        <v>20230926</v>
      </c>
      <c r="E87">
        <v>9</v>
      </c>
      <c r="F87">
        <v>467100</v>
      </c>
      <c r="G87" t="s">
        <v>160</v>
      </c>
      <c r="H87" t="s">
        <v>1201</v>
      </c>
      <c r="I87" t="s">
        <v>1202</v>
      </c>
      <c r="J87" t="s">
        <v>7325</v>
      </c>
      <c r="K87">
        <v>20230926</v>
      </c>
      <c r="L87" t="s">
        <v>5758</v>
      </c>
      <c r="M87">
        <v>38.99</v>
      </c>
      <c r="N87">
        <v>0</v>
      </c>
      <c r="O87" t="s">
        <v>22</v>
      </c>
      <c r="P87">
        <v>20230926</v>
      </c>
      <c r="Q87">
        <v>20230926</v>
      </c>
    </row>
    <row r="88" spans="1:17" x14ac:dyDescent="0.25">
      <c r="A88" t="s">
        <v>476</v>
      </c>
      <c r="B88" t="s">
        <v>477</v>
      </c>
      <c r="C88">
        <v>1</v>
      </c>
      <c r="D88">
        <v>20230926</v>
      </c>
      <c r="E88">
        <v>9</v>
      </c>
      <c r="F88">
        <v>401000</v>
      </c>
      <c r="G88" t="s">
        <v>41</v>
      </c>
      <c r="H88" t="s">
        <v>7331</v>
      </c>
      <c r="I88" t="s">
        <v>7330</v>
      </c>
      <c r="J88" t="s">
        <v>7325</v>
      </c>
      <c r="K88">
        <v>20230926</v>
      </c>
      <c r="L88" t="s">
        <v>5758</v>
      </c>
      <c r="M88">
        <v>38.549999999999997</v>
      </c>
      <c r="N88">
        <v>0</v>
      </c>
      <c r="O88" t="s">
        <v>22</v>
      </c>
      <c r="P88">
        <v>20230926</v>
      </c>
      <c r="Q88">
        <v>20230926</v>
      </c>
    </row>
    <row r="89" spans="1:17" x14ac:dyDescent="0.25">
      <c r="A89" t="s">
        <v>476</v>
      </c>
      <c r="B89" t="s">
        <v>477</v>
      </c>
      <c r="C89">
        <v>1</v>
      </c>
      <c r="D89">
        <v>20230926</v>
      </c>
      <c r="E89">
        <v>9</v>
      </c>
      <c r="F89">
        <v>401000</v>
      </c>
      <c r="G89" t="s">
        <v>41</v>
      </c>
      <c r="H89" t="s">
        <v>827</v>
      </c>
      <c r="I89" t="s">
        <v>828</v>
      </c>
      <c r="J89" t="s">
        <v>7325</v>
      </c>
      <c r="K89">
        <v>20230926</v>
      </c>
      <c r="L89" t="s">
        <v>5758</v>
      </c>
      <c r="M89">
        <v>126</v>
      </c>
      <c r="N89">
        <v>0</v>
      </c>
      <c r="O89" t="s">
        <v>22</v>
      </c>
      <c r="P89">
        <v>20230926</v>
      </c>
      <c r="Q89">
        <v>20230926</v>
      </c>
    </row>
    <row r="90" spans="1:17" x14ac:dyDescent="0.25">
      <c r="A90" t="s">
        <v>476</v>
      </c>
      <c r="B90" t="s">
        <v>477</v>
      </c>
      <c r="C90">
        <v>1</v>
      </c>
      <c r="D90">
        <v>20230926</v>
      </c>
      <c r="E90">
        <v>9</v>
      </c>
      <c r="F90">
        <v>401000</v>
      </c>
      <c r="G90" t="s">
        <v>41</v>
      </c>
      <c r="H90" t="s">
        <v>395</v>
      </c>
      <c r="I90" t="s">
        <v>396</v>
      </c>
      <c r="J90" t="s">
        <v>7325</v>
      </c>
      <c r="K90">
        <v>20230926</v>
      </c>
      <c r="L90" t="s">
        <v>5758</v>
      </c>
      <c r="M90">
        <v>393.6</v>
      </c>
      <c r="N90">
        <v>0</v>
      </c>
      <c r="O90" t="s">
        <v>22</v>
      </c>
      <c r="P90">
        <v>20230926</v>
      </c>
      <c r="Q90">
        <v>20230926</v>
      </c>
    </row>
    <row r="91" spans="1:17" x14ac:dyDescent="0.25">
      <c r="A91" t="s">
        <v>476</v>
      </c>
      <c r="B91" t="s">
        <v>477</v>
      </c>
      <c r="C91">
        <v>1</v>
      </c>
      <c r="D91">
        <v>20230926</v>
      </c>
      <c r="E91">
        <v>9</v>
      </c>
      <c r="F91">
        <v>401000</v>
      </c>
      <c r="G91" t="s">
        <v>41</v>
      </c>
      <c r="H91" t="s">
        <v>2765</v>
      </c>
      <c r="I91" t="s">
        <v>2766</v>
      </c>
      <c r="J91" t="s">
        <v>7325</v>
      </c>
      <c r="K91">
        <v>20230926</v>
      </c>
      <c r="L91" t="s">
        <v>5758</v>
      </c>
      <c r="M91">
        <v>40</v>
      </c>
      <c r="N91">
        <v>0</v>
      </c>
      <c r="O91" t="s">
        <v>22</v>
      </c>
      <c r="P91">
        <v>20230926</v>
      </c>
      <c r="Q91">
        <v>20230926</v>
      </c>
    </row>
    <row r="92" spans="1:17" x14ac:dyDescent="0.25">
      <c r="A92" t="s">
        <v>476</v>
      </c>
      <c r="B92" t="s">
        <v>477</v>
      </c>
      <c r="C92">
        <v>1</v>
      </c>
      <c r="D92">
        <v>20230926</v>
      </c>
      <c r="E92">
        <v>9</v>
      </c>
      <c r="F92">
        <v>467100</v>
      </c>
      <c r="G92" t="s">
        <v>160</v>
      </c>
      <c r="H92" t="s">
        <v>4847</v>
      </c>
      <c r="I92" t="s">
        <v>4848</v>
      </c>
      <c r="J92" t="s">
        <v>7325</v>
      </c>
      <c r="K92">
        <v>20230926</v>
      </c>
      <c r="L92" t="s">
        <v>5758</v>
      </c>
      <c r="M92">
        <v>66.17</v>
      </c>
      <c r="N92">
        <v>0</v>
      </c>
      <c r="O92" t="s">
        <v>22</v>
      </c>
      <c r="P92">
        <v>20230926</v>
      </c>
      <c r="Q92">
        <v>20230926</v>
      </c>
    </row>
    <row r="93" spans="1:17" x14ac:dyDescent="0.25">
      <c r="A93" t="s">
        <v>476</v>
      </c>
      <c r="B93" t="s">
        <v>477</v>
      </c>
      <c r="C93">
        <v>1</v>
      </c>
      <c r="D93">
        <v>20230926</v>
      </c>
      <c r="E93">
        <v>9</v>
      </c>
      <c r="F93">
        <v>401000</v>
      </c>
      <c r="G93" t="s">
        <v>41</v>
      </c>
      <c r="H93" t="s">
        <v>7329</v>
      </c>
      <c r="I93" t="s">
        <v>7328</v>
      </c>
      <c r="J93" t="s">
        <v>7325</v>
      </c>
      <c r="K93">
        <v>20230926</v>
      </c>
      <c r="L93" t="s">
        <v>5758</v>
      </c>
      <c r="M93">
        <v>2832</v>
      </c>
      <c r="N93">
        <v>0</v>
      </c>
      <c r="O93" t="s">
        <v>22</v>
      </c>
      <c r="P93">
        <v>20230926</v>
      </c>
      <c r="Q93">
        <v>20230926</v>
      </c>
    </row>
    <row r="94" spans="1:17" x14ac:dyDescent="0.25">
      <c r="A94" t="s">
        <v>476</v>
      </c>
      <c r="B94" t="s">
        <v>477</v>
      </c>
      <c r="C94">
        <v>1</v>
      </c>
      <c r="D94">
        <v>20230926</v>
      </c>
      <c r="E94">
        <v>9</v>
      </c>
      <c r="F94">
        <v>401000</v>
      </c>
      <c r="G94" t="s">
        <v>41</v>
      </c>
      <c r="H94" t="s">
        <v>7327</v>
      </c>
      <c r="I94" t="s">
        <v>7326</v>
      </c>
      <c r="J94" t="s">
        <v>7325</v>
      </c>
      <c r="K94">
        <v>20230926</v>
      </c>
      <c r="L94" t="s">
        <v>5758</v>
      </c>
      <c r="M94">
        <v>576</v>
      </c>
      <c r="N94">
        <v>0</v>
      </c>
      <c r="O94" t="s">
        <v>22</v>
      </c>
      <c r="P94">
        <v>20230926</v>
      </c>
      <c r="Q94">
        <v>20230926</v>
      </c>
    </row>
    <row r="95" spans="1:17" x14ac:dyDescent="0.25">
      <c r="A95" t="s">
        <v>476</v>
      </c>
      <c r="B95" t="s">
        <v>477</v>
      </c>
      <c r="C95">
        <v>1</v>
      </c>
      <c r="D95">
        <v>20230926</v>
      </c>
      <c r="E95">
        <v>9</v>
      </c>
      <c r="F95">
        <v>512000</v>
      </c>
      <c r="G95" t="s">
        <v>428</v>
      </c>
      <c r="H95" t="s">
        <v>401</v>
      </c>
      <c r="I95" t="s">
        <v>402</v>
      </c>
      <c r="J95" t="s">
        <v>7325</v>
      </c>
      <c r="K95">
        <v>20230926</v>
      </c>
      <c r="L95" t="s">
        <v>5758</v>
      </c>
      <c r="M95">
        <v>0</v>
      </c>
      <c r="N95">
        <v>4111.3100000000004</v>
      </c>
      <c r="O95" t="s">
        <v>19</v>
      </c>
      <c r="P95" t="s">
        <v>20</v>
      </c>
      <c r="Q95">
        <v>20230926</v>
      </c>
    </row>
    <row r="96" spans="1:17" x14ac:dyDescent="0.25">
      <c r="A96" t="s">
        <v>476</v>
      </c>
      <c r="B96" t="s">
        <v>477</v>
      </c>
      <c r="C96">
        <v>1</v>
      </c>
      <c r="D96">
        <v>20230926</v>
      </c>
      <c r="E96">
        <v>9</v>
      </c>
      <c r="F96">
        <v>448100</v>
      </c>
      <c r="G96" t="s">
        <v>420</v>
      </c>
      <c r="H96" t="s">
        <v>401</v>
      </c>
      <c r="I96" t="s">
        <v>402</v>
      </c>
      <c r="J96" t="s">
        <v>7324</v>
      </c>
      <c r="K96">
        <v>20230926</v>
      </c>
      <c r="L96" t="s">
        <v>5757</v>
      </c>
      <c r="M96">
        <v>4488</v>
      </c>
      <c r="N96">
        <v>0</v>
      </c>
      <c r="O96" t="s">
        <v>19</v>
      </c>
      <c r="P96" t="s">
        <v>20</v>
      </c>
      <c r="Q96">
        <v>20230926</v>
      </c>
    </row>
    <row r="97" spans="1:17" x14ac:dyDescent="0.25">
      <c r="A97" t="s">
        <v>476</v>
      </c>
      <c r="B97" t="s">
        <v>477</v>
      </c>
      <c r="C97">
        <v>1</v>
      </c>
      <c r="D97">
        <v>20230926</v>
      </c>
      <c r="E97">
        <v>9</v>
      </c>
      <c r="F97">
        <v>512000</v>
      </c>
      <c r="G97" t="s">
        <v>428</v>
      </c>
      <c r="H97" t="s">
        <v>401</v>
      </c>
      <c r="I97" t="s">
        <v>402</v>
      </c>
      <c r="J97" t="s">
        <v>7324</v>
      </c>
      <c r="K97">
        <v>20230926</v>
      </c>
      <c r="L97" t="s">
        <v>5757</v>
      </c>
      <c r="M97">
        <v>0</v>
      </c>
      <c r="N97">
        <v>4488</v>
      </c>
      <c r="O97" t="s">
        <v>19</v>
      </c>
      <c r="P97" t="s">
        <v>20</v>
      </c>
      <c r="Q97">
        <v>20230926</v>
      </c>
    </row>
    <row r="98" spans="1:17" x14ac:dyDescent="0.25">
      <c r="A98" t="s">
        <v>476</v>
      </c>
      <c r="B98" t="s">
        <v>477</v>
      </c>
      <c r="C98">
        <v>1</v>
      </c>
      <c r="D98">
        <v>20230926</v>
      </c>
      <c r="E98">
        <v>9</v>
      </c>
      <c r="F98">
        <v>468200</v>
      </c>
      <c r="G98" t="s">
        <v>421</v>
      </c>
      <c r="H98" t="s">
        <v>401</v>
      </c>
      <c r="I98" t="s">
        <v>402</v>
      </c>
      <c r="J98" t="s">
        <v>7323</v>
      </c>
      <c r="K98">
        <v>20230926</v>
      </c>
      <c r="L98" t="s">
        <v>422</v>
      </c>
      <c r="M98">
        <v>0</v>
      </c>
      <c r="N98">
        <v>37.28</v>
      </c>
      <c r="O98" t="s">
        <v>19</v>
      </c>
      <c r="P98" t="s">
        <v>20</v>
      </c>
      <c r="Q98">
        <v>20230926</v>
      </c>
    </row>
    <row r="99" spans="1:17" x14ac:dyDescent="0.25">
      <c r="A99" t="s">
        <v>476</v>
      </c>
      <c r="B99" t="s">
        <v>477</v>
      </c>
      <c r="C99">
        <v>1</v>
      </c>
      <c r="D99">
        <v>20230926</v>
      </c>
      <c r="E99">
        <v>9</v>
      </c>
      <c r="F99">
        <v>512000</v>
      </c>
      <c r="G99" t="s">
        <v>428</v>
      </c>
      <c r="H99" t="s">
        <v>401</v>
      </c>
      <c r="I99" t="s">
        <v>402</v>
      </c>
      <c r="J99" t="s">
        <v>7323</v>
      </c>
      <c r="K99">
        <v>20230926</v>
      </c>
      <c r="L99" t="s">
        <v>422</v>
      </c>
      <c r="M99">
        <v>37.28</v>
      </c>
      <c r="N99">
        <v>0</v>
      </c>
      <c r="O99" t="s">
        <v>19</v>
      </c>
      <c r="P99" t="s">
        <v>20</v>
      </c>
      <c r="Q99">
        <v>20230926</v>
      </c>
    </row>
    <row r="100" spans="1:17" x14ac:dyDescent="0.25">
      <c r="A100" t="s">
        <v>476</v>
      </c>
      <c r="B100" t="s">
        <v>477</v>
      </c>
      <c r="C100">
        <v>1</v>
      </c>
      <c r="D100">
        <v>20230927</v>
      </c>
      <c r="E100">
        <v>9</v>
      </c>
      <c r="F100">
        <v>468740</v>
      </c>
      <c r="G100" t="s">
        <v>426</v>
      </c>
      <c r="H100" t="s">
        <v>401</v>
      </c>
      <c r="I100" t="s">
        <v>402</v>
      </c>
      <c r="J100" t="s">
        <v>7322</v>
      </c>
      <c r="K100">
        <v>20230927</v>
      </c>
      <c r="L100" t="s">
        <v>7321</v>
      </c>
      <c r="M100">
        <v>0</v>
      </c>
      <c r="N100">
        <v>47197</v>
      </c>
      <c r="O100" t="s">
        <v>19</v>
      </c>
      <c r="P100" t="s">
        <v>20</v>
      </c>
      <c r="Q100">
        <v>20230927</v>
      </c>
    </row>
    <row r="101" spans="1:17" x14ac:dyDescent="0.25">
      <c r="A101" t="s">
        <v>476</v>
      </c>
      <c r="B101" t="s">
        <v>477</v>
      </c>
      <c r="C101">
        <v>1</v>
      </c>
      <c r="D101">
        <v>20230927</v>
      </c>
      <c r="E101">
        <v>9</v>
      </c>
      <c r="F101">
        <v>512000</v>
      </c>
      <c r="G101" t="s">
        <v>428</v>
      </c>
      <c r="H101" t="s">
        <v>401</v>
      </c>
      <c r="I101" t="s">
        <v>402</v>
      </c>
      <c r="J101" t="s">
        <v>7322</v>
      </c>
      <c r="K101">
        <v>20230927</v>
      </c>
      <c r="L101" t="s">
        <v>7321</v>
      </c>
      <c r="M101">
        <v>47197</v>
      </c>
      <c r="N101">
        <v>0</v>
      </c>
      <c r="O101" t="s">
        <v>19</v>
      </c>
      <c r="P101" t="s">
        <v>20</v>
      </c>
      <c r="Q101">
        <v>20230927</v>
      </c>
    </row>
    <row r="102" spans="1:17" x14ac:dyDescent="0.25">
      <c r="A102" t="s">
        <v>476</v>
      </c>
      <c r="B102" t="s">
        <v>477</v>
      </c>
      <c r="C102">
        <v>1</v>
      </c>
      <c r="D102">
        <v>20230927</v>
      </c>
      <c r="E102">
        <v>9</v>
      </c>
      <c r="F102">
        <v>468740</v>
      </c>
      <c r="G102" t="s">
        <v>426</v>
      </c>
      <c r="H102" t="s">
        <v>401</v>
      </c>
      <c r="I102" t="s">
        <v>402</v>
      </c>
      <c r="J102" t="s">
        <v>7320</v>
      </c>
      <c r="K102">
        <v>20230927</v>
      </c>
      <c r="L102" t="s">
        <v>7319</v>
      </c>
      <c r="M102">
        <v>0</v>
      </c>
      <c r="N102">
        <v>40949.5</v>
      </c>
      <c r="O102" t="s">
        <v>19</v>
      </c>
      <c r="P102" t="s">
        <v>20</v>
      </c>
      <c r="Q102">
        <v>20230927</v>
      </c>
    </row>
    <row r="103" spans="1:17" x14ac:dyDescent="0.25">
      <c r="A103" t="s">
        <v>476</v>
      </c>
      <c r="B103" t="s">
        <v>477</v>
      </c>
      <c r="C103">
        <v>1</v>
      </c>
      <c r="D103">
        <v>20230927</v>
      </c>
      <c r="E103">
        <v>9</v>
      </c>
      <c r="F103">
        <v>512000</v>
      </c>
      <c r="G103" t="s">
        <v>428</v>
      </c>
      <c r="H103" t="s">
        <v>401</v>
      </c>
      <c r="I103" t="s">
        <v>402</v>
      </c>
      <c r="J103" t="s">
        <v>7320</v>
      </c>
      <c r="K103">
        <v>20230927</v>
      </c>
      <c r="L103" t="s">
        <v>7319</v>
      </c>
      <c r="M103">
        <v>40949.5</v>
      </c>
      <c r="N103">
        <v>0</v>
      </c>
      <c r="O103" t="s">
        <v>19</v>
      </c>
      <c r="P103" t="s">
        <v>20</v>
      </c>
      <c r="Q103">
        <v>20230927</v>
      </c>
    </row>
    <row r="104" spans="1:17" x14ac:dyDescent="0.25">
      <c r="A104" t="s">
        <v>476</v>
      </c>
      <c r="B104" t="s">
        <v>477</v>
      </c>
      <c r="C104">
        <v>1</v>
      </c>
      <c r="D104">
        <v>20230927</v>
      </c>
      <c r="E104">
        <v>9</v>
      </c>
      <c r="F104">
        <v>421000</v>
      </c>
      <c r="G104" t="s">
        <v>403</v>
      </c>
      <c r="H104" t="s">
        <v>401</v>
      </c>
      <c r="I104" t="s">
        <v>402</v>
      </c>
      <c r="J104" t="s">
        <v>7318</v>
      </c>
      <c r="K104">
        <v>20230927</v>
      </c>
      <c r="L104" t="s">
        <v>922</v>
      </c>
      <c r="M104">
        <v>49257.73</v>
      </c>
      <c r="N104">
        <v>0</v>
      </c>
      <c r="O104" t="s">
        <v>19</v>
      </c>
      <c r="P104" t="s">
        <v>20</v>
      </c>
      <c r="Q104">
        <v>20230927</v>
      </c>
    </row>
    <row r="105" spans="1:17" x14ac:dyDescent="0.25">
      <c r="A105" t="s">
        <v>476</v>
      </c>
      <c r="B105" t="s">
        <v>477</v>
      </c>
      <c r="C105">
        <v>1</v>
      </c>
      <c r="D105">
        <v>20230927</v>
      </c>
      <c r="E105">
        <v>9</v>
      </c>
      <c r="F105">
        <v>512000</v>
      </c>
      <c r="G105" t="s">
        <v>428</v>
      </c>
      <c r="H105" t="s">
        <v>401</v>
      </c>
      <c r="I105" t="s">
        <v>402</v>
      </c>
      <c r="J105" t="s">
        <v>7318</v>
      </c>
      <c r="K105">
        <v>20230927</v>
      </c>
      <c r="L105" t="s">
        <v>922</v>
      </c>
      <c r="M105">
        <v>0</v>
      </c>
      <c r="N105">
        <v>49257.73</v>
      </c>
      <c r="O105" t="s">
        <v>19</v>
      </c>
      <c r="P105" t="s">
        <v>20</v>
      </c>
      <c r="Q105">
        <v>20230927</v>
      </c>
    </row>
    <row r="106" spans="1:17" x14ac:dyDescent="0.25">
      <c r="A106" t="s">
        <v>476</v>
      </c>
      <c r="B106" t="s">
        <v>477</v>
      </c>
      <c r="C106">
        <v>1</v>
      </c>
      <c r="D106">
        <v>20230928</v>
      </c>
      <c r="E106">
        <v>9</v>
      </c>
      <c r="F106">
        <v>468736</v>
      </c>
      <c r="G106" t="s">
        <v>1284</v>
      </c>
      <c r="H106" t="s">
        <v>401</v>
      </c>
      <c r="I106" t="s">
        <v>402</v>
      </c>
      <c r="J106" t="s">
        <v>7317</v>
      </c>
      <c r="K106">
        <v>20230928</v>
      </c>
      <c r="L106" t="s">
        <v>7316</v>
      </c>
      <c r="M106">
        <v>0</v>
      </c>
      <c r="N106">
        <v>300</v>
      </c>
      <c r="O106" t="s">
        <v>19</v>
      </c>
      <c r="P106" t="s">
        <v>20</v>
      </c>
      <c r="Q106">
        <v>20230928</v>
      </c>
    </row>
    <row r="107" spans="1:17" x14ac:dyDescent="0.25">
      <c r="A107" t="s">
        <v>476</v>
      </c>
      <c r="B107" t="s">
        <v>477</v>
      </c>
      <c r="C107">
        <v>1</v>
      </c>
      <c r="D107">
        <v>20230928</v>
      </c>
      <c r="E107">
        <v>9</v>
      </c>
      <c r="F107">
        <v>512000</v>
      </c>
      <c r="G107" t="s">
        <v>428</v>
      </c>
      <c r="H107" t="s">
        <v>401</v>
      </c>
      <c r="I107" t="s">
        <v>402</v>
      </c>
      <c r="J107" t="s">
        <v>7317</v>
      </c>
      <c r="K107">
        <v>20230928</v>
      </c>
      <c r="L107" t="s">
        <v>7316</v>
      </c>
      <c r="M107">
        <v>300</v>
      </c>
      <c r="N107">
        <v>0</v>
      </c>
      <c r="O107" t="s">
        <v>19</v>
      </c>
      <c r="P107" t="s">
        <v>20</v>
      </c>
      <c r="Q107">
        <v>20230928</v>
      </c>
    </row>
    <row r="108" spans="1:17" x14ac:dyDescent="0.25">
      <c r="A108" t="s">
        <v>476</v>
      </c>
      <c r="B108" t="s">
        <v>477</v>
      </c>
      <c r="C108">
        <v>1</v>
      </c>
      <c r="D108">
        <v>20230929</v>
      </c>
      <c r="E108">
        <v>9</v>
      </c>
      <c r="F108">
        <v>401000</v>
      </c>
      <c r="G108" t="s">
        <v>41</v>
      </c>
      <c r="H108" t="s">
        <v>48</v>
      </c>
      <c r="I108" t="s">
        <v>49</v>
      </c>
      <c r="J108" t="s">
        <v>7313</v>
      </c>
      <c r="K108">
        <v>20230929</v>
      </c>
      <c r="L108" t="s">
        <v>5758</v>
      </c>
      <c r="M108">
        <v>3878.6</v>
      </c>
      <c r="N108">
        <v>0</v>
      </c>
      <c r="O108" t="s">
        <v>22</v>
      </c>
      <c r="P108">
        <v>20230929</v>
      </c>
      <c r="Q108">
        <v>20230929</v>
      </c>
    </row>
    <row r="109" spans="1:17" x14ac:dyDescent="0.25">
      <c r="A109" t="s">
        <v>476</v>
      </c>
      <c r="B109" t="s">
        <v>477</v>
      </c>
      <c r="C109">
        <v>1</v>
      </c>
      <c r="D109">
        <v>20230929</v>
      </c>
      <c r="E109">
        <v>9</v>
      </c>
      <c r="F109">
        <v>401000</v>
      </c>
      <c r="G109" t="s">
        <v>41</v>
      </c>
      <c r="H109" t="s">
        <v>7315</v>
      </c>
      <c r="I109" t="s">
        <v>7314</v>
      </c>
      <c r="J109" t="s">
        <v>7313</v>
      </c>
      <c r="K109">
        <v>20230929</v>
      </c>
      <c r="L109" t="s">
        <v>5758</v>
      </c>
      <c r="M109">
        <v>68</v>
      </c>
      <c r="N109">
        <v>0</v>
      </c>
      <c r="O109" t="s">
        <v>22</v>
      </c>
      <c r="P109">
        <v>20230929</v>
      </c>
      <c r="Q109">
        <v>20230929</v>
      </c>
    </row>
    <row r="110" spans="1:17" x14ac:dyDescent="0.25">
      <c r="A110" t="s">
        <v>476</v>
      </c>
      <c r="B110" t="s">
        <v>477</v>
      </c>
      <c r="C110">
        <v>1</v>
      </c>
      <c r="D110">
        <v>20230929</v>
      </c>
      <c r="E110">
        <v>9</v>
      </c>
      <c r="F110">
        <v>512000</v>
      </c>
      <c r="G110" t="s">
        <v>428</v>
      </c>
      <c r="H110" t="s">
        <v>401</v>
      </c>
      <c r="I110" t="s">
        <v>402</v>
      </c>
      <c r="J110" t="s">
        <v>7313</v>
      </c>
      <c r="K110">
        <v>20230929</v>
      </c>
      <c r="L110" t="s">
        <v>5758</v>
      </c>
      <c r="M110">
        <v>0</v>
      </c>
      <c r="N110">
        <v>3946.6</v>
      </c>
      <c r="O110" t="s">
        <v>19</v>
      </c>
      <c r="P110" t="s">
        <v>20</v>
      </c>
      <c r="Q110">
        <v>20230929</v>
      </c>
    </row>
    <row r="111" spans="1:17" x14ac:dyDescent="0.25">
      <c r="A111" t="s">
        <v>476</v>
      </c>
      <c r="B111" t="s">
        <v>477</v>
      </c>
      <c r="C111">
        <v>1</v>
      </c>
      <c r="D111">
        <v>20230929</v>
      </c>
      <c r="E111">
        <v>9</v>
      </c>
      <c r="F111">
        <v>411100</v>
      </c>
      <c r="G111" t="s">
        <v>18</v>
      </c>
      <c r="H111" t="s">
        <v>7253</v>
      </c>
      <c r="I111" t="s">
        <v>1306</v>
      </c>
      <c r="J111" t="s">
        <v>7312</v>
      </c>
      <c r="K111">
        <v>20230929</v>
      </c>
      <c r="L111" t="s">
        <v>5757</v>
      </c>
      <c r="M111">
        <v>125.9</v>
      </c>
      <c r="N111">
        <v>0</v>
      </c>
      <c r="O111" t="s">
        <v>19</v>
      </c>
      <c r="P111" t="s">
        <v>20</v>
      </c>
      <c r="Q111">
        <v>20230929</v>
      </c>
    </row>
    <row r="112" spans="1:17" x14ac:dyDescent="0.25">
      <c r="A112" t="s">
        <v>476</v>
      </c>
      <c r="B112" t="s">
        <v>477</v>
      </c>
      <c r="C112">
        <v>1</v>
      </c>
      <c r="D112">
        <v>20230929</v>
      </c>
      <c r="E112">
        <v>9</v>
      </c>
      <c r="F112">
        <v>401000</v>
      </c>
      <c r="G112" t="s">
        <v>41</v>
      </c>
      <c r="H112" t="s">
        <v>1651</v>
      </c>
      <c r="I112" t="s">
        <v>1652</v>
      </c>
      <c r="J112" t="s">
        <v>7312</v>
      </c>
      <c r="K112">
        <v>20230929</v>
      </c>
      <c r="L112" t="s">
        <v>5757</v>
      </c>
      <c r="M112">
        <v>270</v>
      </c>
      <c r="N112">
        <v>0</v>
      </c>
      <c r="O112" t="s">
        <v>23</v>
      </c>
      <c r="P112">
        <v>20231006</v>
      </c>
      <c r="Q112">
        <v>20230929</v>
      </c>
    </row>
    <row r="113" spans="1:17" x14ac:dyDescent="0.25">
      <c r="A113" t="s">
        <v>476</v>
      </c>
      <c r="B113" t="s">
        <v>477</v>
      </c>
      <c r="C113">
        <v>1</v>
      </c>
      <c r="D113">
        <v>20230929</v>
      </c>
      <c r="E113">
        <v>9</v>
      </c>
      <c r="F113">
        <v>512000</v>
      </c>
      <c r="G113" t="s">
        <v>428</v>
      </c>
      <c r="H113" t="s">
        <v>401</v>
      </c>
      <c r="I113" t="s">
        <v>402</v>
      </c>
      <c r="J113" t="s">
        <v>7312</v>
      </c>
      <c r="K113">
        <v>20230929</v>
      </c>
      <c r="L113" t="s">
        <v>5757</v>
      </c>
      <c r="M113">
        <v>0</v>
      </c>
      <c r="N113">
        <v>395.9</v>
      </c>
      <c r="O113" t="s">
        <v>19</v>
      </c>
      <c r="P113" t="s">
        <v>20</v>
      </c>
      <c r="Q113">
        <v>20230929</v>
      </c>
    </row>
    <row r="114" spans="1:17" x14ac:dyDescent="0.25">
      <c r="A114" t="s">
        <v>476</v>
      </c>
      <c r="B114" t="s">
        <v>477</v>
      </c>
      <c r="C114">
        <v>1</v>
      </c>
      <c r="D114">
        <v>20230930</v>
      </c>
      <c r="E114">
        <v>9</v>
      </c>
      <c r="F114">
        <v>511003</v>
      </c>
      <c r="G114" t="s">
        <v>6874</v>
      </c>
      <c r="H114" t="s">
        <v>401</v>
      </c>
      <c r="I114" t="s">
        <v>402</v>
      </c>
      <c r="J114" t="s">
        <v>7311</v>
      </c>
      <c r="K114">
        <v>20230930</v>
      </c>
      <c r="L114" t="s">
        <v>7310</v>
      </c>
      <c r="M114">
        <v>0</v>
      </c>
      <c r="N114">
        <v>1185.8</v>
      </c>
      <c r="O114" t="s">
        <v>19</v>
      </c>
      <c r="P114" t="s">
        <v>20</v>
      </c>
      <c r="Q114">
        <v>20230930</v>
      </c>
    </row>
    <row r="115" spans="1:17" x14ac:dyDescent="0.25">
      <c r="A115" t="s">
        <v>476</v>
      </c>
      <c r="B115" t="s">
        <v>477</v>
      </c>
      <c r="C115">
        <v>1</v>
      </c>
      <c r="D115">
        <v>20230930</v>
      </c>
      <c r="E115">
        <v>9</v>
      </c>
      <c r="F115">
        <v>512000</v>
      </c>
      <c r="G115" t="s">
        <v>428</v>
      </c>
      <c r="H115" t="s">
        <v>401</v>
      </c>
      <c r="I115" t="s">
        <v>402</v>
      </c>
      <c r="J115" t="s">
        <v>7311</v>
      </c>
      <c r="K115">
        <v>20230930</v>
      </c>
      <c r="L115" t="s">
        <v>7310</v>
      </c>
      <c r="M115">
        <v>1185.8</v>
      </c>
      <c r="N115">
        <v>0</v>
      </c>
      <c r="O115" t="s">
        <v>19</v>
      </c>
      <c r="P115" t="s">
        <v>20</v>
      </c>
      <c r="Q115">
        <v>20230930</v>
      </c>
    </row>
    <row r="116" spans="1:17" x14ac:dyDescent="0.25">
      <c r="A116" t="s">
        <v>476</v>
      </c>
      <c r="B116" t="s">
        <v>477</v>
      </c>
      <c r="C116">
        <v>1</v>
      </c>
      <c r="D116">
        <v>20230930</v>
      </c>
      <c r="E116">
        <v>9</v>
      </c>
      <c r="F116">
        <v>627000</v>
      </c>
      <c r="G116" t="s">
        <v>480</v>
      </c>
      <c r="H116" t="s">
        <v>401</v>
      </c>
      <c r="I116" t="s">
        <v>402</v>
      </c>
      <c r="J116" t="s">
        <v>7309</v>
      </c>
      <c r="K116">
        <v>20230930</v>
      </c>
      <c r="L116" t="s">
        <v>7308</v>
      </c>
      <c r="M116">
        <v>4.63</v>
      </c>
      <c r="N116">
        <v>0</v>
      </c>
      <c r="O116" t="s">
        <v>19</v>
      </c>
      <c r="P116" t="s">
        <v>20</v>
      </c>
      <c r="Q116">
        <v>20230930</v>
      </c>
    </row>
    <row r="117" spans="1:17" x14ac:dyDescent="0.25">
      <c r="A117" t="s">
        <v>476</v>
      </c>
      <c r="B117" t="s">
        <v>477</v>
      </c>
      <c r="C117">
        <v>1</v>
      </c>
      <c r="D117">
        <v>20230930</v>
      </c>
      <c r="E117">
        <v>9</v>
      </c>
      <c r="F117">
        <v>512000</v>
      </c>
      <c r="G117" t="s">
        <v>428</v>
      </c>
      <c r="H117" t="s">
        <v>401</v>
      </c>
      <c r="I117" t="s">
        <v>402</v>
      </c>
      <c r="J117" t="s">
        <v>7309</v>
      </c>
      <c r="K117">
        <v>20230930</v>
      </c>
      <c r="L117" t="s">
        <v>7308</v>
      </c>
      <c r="M117">
        <v>0</v>
      </c>
      <c r="N117">
        <v>4.63</v>
      </c>
      <c r="O117" t="s">
        <v>19</v>
      </c>
      <c r="P117" t="s">
        <v>20</v>
      </c>
      <c r="Q117">
        <v>20230930</v>
      </c>
    </row>
    <row r="118" spans="1:17" x14ac:dyDescent="0.25">
      <c r="A118" t="s">
        <v>476</v>
      </c>
      <c r="B118" t="s">
        <v>477</v>
      </c>
      <c r="C118">
        <v>1</v>
      </c>
      <c r="D118">
        <v>20230901</v>
      </c>
      <c r="E118">
        <v>9</v>
      </c>
      <c r="F118">
        <v>411010</v>
      </c>
      <c r="G118" t="s">
        <v>87</v>
      </c>
      <c r="H118" t="s">
        <v>227</v>
      </c>
      <c r="I118" t="s">
        <v>228</v>
      </c>
      <c r="J118">
        <v>123060026</v>
      </c>
      <c r="K118">
        <v>20230901</v>
      </c>
      <c r="L118" t="s">
        <v>7307</v>
      </c>
      <c r="M118">
        <v>0</v>
      </c>
      <c r="N118">
        <v>61.18</v>
      </c>
      <c r="O118" t="s">
        <v>19</v>
      </c>
      <c r="P118" t="s">
        <v>20</v>
      </c>
      <c r="Q118">
        <v>20230901</v>
      </c>
    </row>
    <row r="119" spans="1:17" x14ac:dyDescent="0.25">
      <c r="A119" t="s">
        <v>476</v>
      </c>
      <c r="B119" t="s">
        <v>477</v>
      </c>
      <c r="C119">
        <v>1</v>
      </c>
      <c r="D119">
        <v>20230901</v>
      </c>
      <c r="E119">
        <v>9</v>
      </c>
      <c r="F119">
        <v>511003</v>
      </c>
      <c r="G119" t="s">
        <v>6874</v>
      </c>
      <c r="H119" t="s">
        <v>401</v>
      </c>
      <c r="I119" t="s">
        <v>402</v>
      </c>
      <c r="J119">
        <v>385771</v>
      </c>
      <c r="K119">
        <v>20230901</v>
      </c>
      <c r="L119" t="s">
        <v>7307</v>
      </c>
      <c r="M119">
        <v>61.18</v>
      </c>
      <c r="N119">
        <v>0</v>
      </c>
      <c r="O119" t="s">
        <v>19</v>
      </c>
      <c r="P119" t="s">
        <v>20</v>
      </c>
      <c r="Q119">
        <v>20230901</v>
      </c>
    </row>
    <row r="120" spans="1:17" x14ac:dyDescent="0.25">
      <c r="A120" t="s">
        <v>476</v>
      </c>
      <c r="B120" t="s">
        <v>477</v>
      </c>
      <c r="C120">
        <v>1</v>
      </c>
      <c r="D120">
        <v>20230901</v>
      </c>
      <c r="E120">
        <v>9</v>
      </c>
      <c r="F120">
        <v>411010</v>
      </c>
      <c r="G120" t="s">
        <v>87</v>
      </c>
      <c r="H120" t="s">
        <v>678</v>
      </c>
      <c r="I120" t="s">
        <v>679</v>
      </c>
      <c r="J120">
        <v>385772</v>
      </c>
      <c r="K120">
        <v>20230901</v>
      </c>
      <c r="L120" t="s">
        <v>7306</v>
      </c>
      <c r="M120">
        <v>0</v>
      </c>
      <c r="N120">
        <v>16.62</v>
      </c>
      <c r="O120" t="s">
        <v>19</v>
      </c>
      <c r="P120" t="s">
        <v>20</v>
      </c>
      <c r="Q120">
        <v>20230901</v>
      </c>
    </row>
    <row r="121" spans="1:17" x14ac:dyDescent="0.25">
      <c r="A121" t="s">
        <v>476</v>
      </c>
      <c r="B121" t="s">
        <v>477</v>
      </c>
      <c r="C121">
        <v>1</v>
      </c>
      <c r="D121">
        <v>20230901</v>
      </c>
      <c r="E121">
        <v>9</v>
      </c>
      <c r="F121">
        <v>511003</v>
      </c>
      <c r="G121" t="s">
        <v>6874</v>
      </c>
      <c r="H121" t="s">
        <v>401</v>
      </c>
      <c r="I121" t="s">
        <v>402</v>
      </c>
      <c r="J121">
        <v>385773</v>
      </c>
      <c r="K121">
        <v>20230901</v>
      </c>
      <c r="L121" t="s">
        <v>7306</v>
      </c>
      <c r="M121">
        <v>16.62</v>
      </c>
      <c r="N121">
        <v>0</v>
      </c>
      <c r="O121" t="s">
        <v>19</v>
      </c>
      <c r="P121" t="s">
        <v>20</v>
      </c>
      <c r="Q121">
        <v>20230901</v>
      </c>
    </row>
    <row r="122" spans="1:17" x14ac:dyDescent="0.25">
      <c r="A122" t="s">
        <v>476</v>
      </c>
      <c r="B122" t="s">
        <v>477</v>
      </c>
      <c r="C122">
        <v>1</v>
      </c>
      <c r="D122">
        <v>20230904</v>
      </c>
      <c r="E122">
        <v>9</v>
      </c>
      <c r="F122">
        <v>411100</v>
      </c>
      <c r="G122" t="s">
        <v>18</v>
      </c>
      <c r="H122" t="s">
        <v>243</v>
      </c>
      <c r="I122" t="s">
        <v>6339</v>
      </c>
      <c r="J122">
        <v>123080002</v>
      </c>
      <c r="K122">
        <v>20230904</v>
      </c>
      <c r="L122" t="s">
        <v>7305</v>
      </c>
      <c r="M122">
        <v>0</v>
      </c>
      <c r="N122">
        <v>41.04</v>
      </c>
      <c r="O122" t="s">
        <v>19</v>
      </c>
      <c r="P122" t="s">
        <v>20</v>
      </c>
      <c r="Q122">
        <v>20230904</v>
      </c>
    </row>
    <row r="123" spans="1:17" x14ac:dyDescent="0.25">
      <c r="A123" t="s">
        <v>476</v>
      </c>
      <c r="B123" t="s">
        <v>477</v>
      </c>
      <c r="C123">
        <v>1</v>
      </c>
      <c r="D123">
        <v>20230904</v>
      </c>
      <c r="E123">
        <v>9</v>
      </c>
      <c r="F123">
        <v>511003</v>
      </c>
      <c r="G123" t="s">
        <v>6874</v>
      </c>
      <c r="H123" t="s">
        <v>401</v>
      </c>
      <c r="I123" t="s">
        <v>402</v>
      </c>
      <c r="J123">
        <v>385775</v>
      </c>
      <c r="K123">
        <v>20230904</v>
      </c>
      <c r="L123" t="s">
        <v>7305</v>
      </c>
      <c r="M123">
        <v>41.04</v>
      </c>
      <c r="N123">
        <v>0</v>
      </c>
      <c r="O123" t="s">
        <v>19</v>
      </c>
      <c r="P123" t="s">
        <v>20</v>
      </c>
      <c r="Q123">
        <v>20230904</v>
      </c>
    </row>
    <row r="124" spans="1:17" x14ac:dyDescent="0.25">
      <c r="A124" t="s">
        <v>476</v>
      </c>
      <c r="B124" t="s">
        <v>477</v>
      </c>
      <c r="C124">
        <v>1</v>
      </c>
      <c r="D124">
        <v>20230904</v>
      </c>
      <c r="E124">
        <v>9</v>
      </c>
      <c r="F124">
        <v>411100</v>
      </c>
      <c r="G124" t="s">
        <v>18</v>
      </c>
      <c r="H124" t="s">
        <v>6562</v>
      </c>
      <c r="I124" t="s">
        <v>6561</v>
      </c>
      <c r="J124">
        <v>385776</v>
      </c>
      <c r="K124">
        <v>20230904</v>
      </c>
      <c r="L124" t="s">
        <v>7304</v>
      </c>
      <c r="M124">
        <v>0</v>
      </c>
      <c r="N124">
        <v>24.84</v>
      </c>
      <c r="O124" t="s">
        <v>19</v>
      </c>
      <c r="P124" t="s">
        <v>20</v>
      </c>
      <c r="Q124">
        <v>20230904</v>
      </c>
    </row>
    <row r="125" spans="1:17" x14ac:dyDescent="0.25">
      <c r="A125" t="s">
        <v>476</v>
      </c>
      <c r="B125" t="s">
        <v>477</v>
      </c>
      <c r="C125">
        <v>1</v>
      </c>
      <c r="D125">
        <v>20230904</v>
      </c>
      <c r="E125">
        <v>9</v>
      </c>
      <c r="F125">
        <v>511003</v>
      </c>
      <c r="G125" t="s">
        <v>6874</v>
      </c>
      <c r="H125" t="s">
        <v>401</v>
      </c>
      <c r="I125" t="s">
        <v>402</v>
      </c>
      <c r="J125">
        <v>385777</v>
      </c>
      <c r="K125">
        <v>20230904</v>
      </c>
      <c r="L125" t="s">
        <v>7304</v>
      </c>
      <c r="M125">
        <v>24.84</v>
      </c>
      <c r="N125">
        <v>0</v>
      </c>
      <c r="O125" t="s">
        <v>19</v>
      </c>
      <c r="P125" t="s">
        <v>20</v>
      </c>
      <c r="Q125">
        <v>20230904</v>
      </c>
    </row>
    <row r="126" spans="1:17" x14ac:dyDescent="0.25">
      <c r="A126" t="s">
        <v>476</v>
      </c>
      <c r="B126" t="s">
        <v>477</v>
      </c>
      <c r="C126">
        <v>1</v>
      </c>
      <c r="D126">
        <v>20230905</v>
      </c>
      <c r="E126">
        <v>9</v>
      </c>
      <c r="F126">
        <v>411100</v>
      </c>
      <c r="G126" t="s">
        <v>18</v>
      </c>
      <c r="H126" t="s">
        <v>694</v>
      </c>
      <c r="I126" t="s">
        <v>695</v>
      </c>
      <c r="J126">
        <v>123060017</v>
      </c>
      <c r="K126">
        <v>20230905</v>
      </c>
      <c r="L126" t="s">
        <v>7303</v>
      </c>
      <c r="M126">
        <v>0</v>
      </c>
      <c r="N126">
        <v>59.32</v>
      </c>
      <c r="O126" t="s">
        <v>19</v>
      </c>
      <c r="P126" t="s">
        <v>20</v>
      </c>
      <c r="Q126">
        <v>20230905</v>
      </c>
    </row>
    <row r="127" spans="1:17" x14ac:dyDescent="0.25">
      <c r="A127" t="s">
        <v>476</v>
      </c>
      <c r="B127" t="s">
        <v>477</v>
      </c>
      <c r="C127">
        <v>1</v>
      </c>
      <c r="D127">
        <v>20230905</v>
      </c>
      <c r="E127">
        <v>9</v>
      </c>
      <c r="F127">
        <v>511003</v>
      </c>
      <c r="G127" t="s">
        <v>6874</v>
      </c>
      <c r="H127" t="s">
        <v>401</v>
      </c>
      <c r="I127" t="s">
        <v>402</v>
      </c>
      <c r="J127">
        <v>385779</v>
      </c>
      <c r="K127">
        <v>20230905</v>
      </c>
      <c r="L127" t="s">
        <v>7303</v>
      </c>
      <c r="M127">
        <v>59.32</v>
      </c>
      <c r="N127">
        <v>0</v>
      </c>
      <c r="O127" t="s">
        <v>19</v>
      </c>
      <c r="P127" t="s">
        <v>20</v>
      </c>
      <c r="Q127">
        <v>20230905</v>
      </c>
    </row>
    <row r="128" spans="1:17" x14ac:dyDescent="0.25">
      <c r="A128" t="s">
        <v>476</v>
      </c>
      <c r="B128" t="s">
        <v>477</v>
      </c>
      <c r="C128">
        <v>1</v>
      </c>
      <c r="D128">
        <v>20230905</v>
      </c>
      <c r="E128">
        <v>9</v>
      </c>
      <c r="F128">
        <v>411100</v>
      </c>
      <c r="G128" t="s">
        <v>18</v>
      </c>
      <c r="H128" t="s">
        <v>7302</v>
      </c>
      <c r="I128" t="s">
        <v>7301</v>
      </c>
      <c r="J128">
        <v>385780</v>
      </c>
      <c r="K128">
        <v>20230905</v>
      </c>
      <c r="L128" t="s">
        <v>7300</v>
      </c>
      <c r="M128">
        <v>0</v>
      </c>
      <c r="N128">
        <v>17.440000000000001</v>
      </c>
      <c r="O128" t="s">
        <v>19</v>
      </c>
      <c r="P128" t="s">
        <v>20</v>
      </c>
      <c r="Q128">
        <v>20230905</v>
      </c>
    </row>
    <row r="129" spans="1:17" x14ac:dyDescent="0.25">
      <c r="A129" t="s">
        <v>476</v>
      </c>
      <c r="B129" t="s">
        <v>477</v>
      </c>
      <c r="C129">
        <v>1</v>
      </c>
      <c r="D129">
        <v>20230905</v>
      </c>
      <c r="E129">
        <v>9</v>
      </c>
      <c r="F129">
        <v>511003</v>
      </c>
      <c r="G129" t="s">
        <v>6874</v>
      </c>
      <c r="H129" t="s">
        <v>401</v>
      </c>
      <c r="I129" t="s">
        <v>402</v>
      </c>
      <c r="J129">
        <v>385781</v>
      </c>
      <c r="K129">
        <v>20230905</v>
      </c>
      <c r="L129" t="s">
        <v>7300</v>
      </c>
      <c r="M129">
        <v>17.440000000000001</v>
      </c>
      <c r="N129">
        <v>0</v>
      </c>
      <c r="O129" t="s">
        <v>19</v>
      </c>
      <c r="P129" t="s">
        <v>20</v>
      </c>
      <c r="Q129">
        <v>20230905</v>
      </c>
    </row>
    <row r="130" spans="1:17" x14ac:dyDescent="0.25">
      <c r="A130" t="s">
        <v>476</v>
      </c>
      <c r="B130" t="s">
        <v>477</v>
      </c>
      <c r="C130">
        <v>1</v>
      </c>
      <c r="D130">
        <v>20230905</v>
      </c>
      <c r="E130">
        <v>9</v>
      </c>
      <c r="F130">
        <v>411010</v>
      </c>
      <c r="G130" t="s">
        <v>87</v>
      </c>
      <c r="H130" t="s">
        <v>363</v>
      </c>
      <c r="I130" t="s">
        <v>6660</v>
      </c>
      <c r="J130">
        <v>385782</v>
      </c>
      <c r="K130">
        <v>20230905</v>
      </c>
      <c r="L130" t="s">
        <v>7299</v>
      </c>
      <c r="M130">
        <v>0</v>
      </c>
      <c r="N130">
        <v>30.8</v>
      </c>
      <c r="O130" t="s">
        <v>19</v>
      </c>
      <c r="P130" t="s">
        <v>20</v>
      </c>
      <c r="Q130">
        <v>20230905</v>
      </c>
    </row>
    <row r="131" spans="1:17" x14ac:dyDescent="0.25">
      <c r="A131" t="s">
        <v>476</v>
      </c>
      <c r="B131" t="s">
        <v>477</v>
      </c>
      <c r="C131">
        <v>1</v>
      </c>
      <c r="D131">
        <v>20230905</v>
      </c>
      <c r="E131">
        <v>9</v>
      </c>
      <c r="F131">
        <v>511003</v>
      </c>
      <c r="G131" t="s">
        <v>6874</v>
      </c>
      <c r="H131" t="s">
        <v>401</v>
      </c>
      <c r="I131" t="s">
        <v>402</v>
      </c>
      <c r="J131">
        <v>385783</v>
      </c>
      <c r="K131">
        <v>20230905</v>
      </c>
      <c r="L131" t="s">
        <v>7299</v>
      </c>
      <c r="M131">
        <v>30.8</v>
      </c>
      <c r="N131">
        <v>0</v>
      </c>
      <c r="O131" t="s">
        <v>19</v>
      </c>
      <c r="P131" t="s">
        <v>20</v>
      </c>
      <c r="Q131">
        <v>20230905</v>
      </c>
    </row>
    <row r="132" spans="1:17" x14ac:dyDescent="0.25">
      <c r="A132" t="s">
        <v>476</v>
      </c>
      <c r="B132" t="s">
        <v>477</v>
      </c>
      <c r="C132">
        <v>1</v>
      </c>
      <c r="D132">
        <v>20230906</v>
      </c>
      <c r="E132">
        <v>9</v>
      </c>
      <c r="F132">
        <v>411100</v>
      </c>
      <c r="G132" t="s">
        <v>18</v>
      </c>
      <c r="H132" t="s">
        <v>192</v>
      </c>
      <c r="I132" t="s">
        <v>193</v>
      </c>
      <c r="J132">
        <v>123080028</v>
      </c>
      <c r="K132">
        <v>20230906</v>
      </c>
      <c r="L132" t="s">
        <v>7298</v>
      </c>
      <c r="M132">
        <v>0</v>
      </c>
      <c r="N132">
        <v>9.1199999999999992</v>
      </c>
      <c r="O132" t="s">
        <v>19</v>
      </c>
      <c r="P132" t="s">
        <v>20</v>
      </c>
      <c r="Q132">
        <v>20230906</v>
      </c>
    </row>
    <row r="133" spans="1:17" x14ac:dyDescent="0.25">
      <c r="A133" t="s">
        <v>476</v>
      </c>
      <c r="B133" t="s">
        <v>477</v>
      </c>
      <c r="C133">
        <v>1</v>
      </c>
      <c r="D133">
        <v>20230906</v>
      </c>
      <c r="E133">
        <v>9</v>
      </c>
      <c r="F133">
        <v>511003</v>
      </c>
      <c r="G133" t="s">
        <v>6874</v>
      </c>
      <c r="H133" t="s">
        <v>401</v>
      </c>
      <c r="I133" t="s">
        <v>402</v>
      </c>
      <c r="J133">
        <v>385785</v>
      </c>
      <c r="K133">
        <v>20230906</v>
      </c>
      <c r="L133" t="s">
        <v>7298</v>
      </c>
      <c r="M133">
        <v>9.1199999999999992</v>
      </c>
      <c r="N133">
        <v>0</v>
      </c>
      <c r="O133" t="s">
        <v>19</v>
      </c>
      <c r="P133" t="s">
        <v>20</v>
      </c>
      <c r="Q133">
        <v>20230906</v>
      </c>
    </row>
    <row r="134" spans="1:17" x14ac:dyDescent="0.25">
      <c r="A134" t="s">
        <v>476</v>
      </c>
      <c r="B134" t="s">
        <v>477</v>
      </c>
      <c r="C134">
        <v>1</v>
      </c>
      <c r="D134">
        <v>20230906</v>
      </c>
      <c r="E134">
        <v>9</v>
      </c>
      <c r="F134">
        <v>411020</v>
      </c>
      <c r="G134" t="s">
        <v>30</v>
      </c>
      <c r="H134" t="s">
        <v>275</v>
      </c>
      <c r="I134" t="s">
        <v>276</v>
      </c>
      <c r="J134">
        <v>123080016</v>
      </c>
      <c r="K134">
        <v>20230906</v>
      </c>
      <c r="L134" t="s">
        <v>7296</v>
      </c>
      <c r="M134">
        <v>0</v>
      </c>
      <c r="N134">
        <v>29.04</v>
      </c>
      <c r="O134" t="s">
        <v>19</v>
      </c>
      <c r="P134" t="s">
        <v>20</v>
      </c>
      <c r="Q134">
        <v>20230906</v>
      </c>
    </row>
    <row r="135" spans="1:17" x14ac:dyDescent="0.25">
      <c r="A135" t="s">
        <v>476</v>
      </c>
      <c r="B135" t="s">
        <v>477</v>
      </c>
      <c r="C135">
        <v>1</v>
      </c>
      <c r="D135">
        <v>20230906</v>
      </c>
      <c r="E135">
        <v>9</v>
      </c>
      <c r="F135">
        <v>411020</v>
      </c>
      <c r="G135" t="s">
        <v>30</v>
      </c>
      <c r="H135" t="s">
        <v>275</v>
      </c>
      <c r="I135" t="s">
        <v>276</v>
      </c>
      <c r="J135">
        <v>123080016</v>
      </c>
      <c r="K135">
        <v>20230906</v>
      </c>
      <c r="L135" t="s">
        <v>7297</v>
      </c>
      <c r="M135">
        <v>0</v>
      </c>
      <c r="N135">
        <v>19.04</v>
      </c>
      <c r="O135" t="s">
        <v>19</v>
      </c>
      <c r="P135" t="s">
        <v>20</v>
      </c>
      <c r="Q135">
        <v>20230906</v>
      </c>
    </row>
    <row r="136" spans="1:17" x14ac:dyDescent="0.25">
      <c r="A136" t="s">
        <v>476</v>
      </c>
      <c r="B136" t="s">
        <v>477</v>
      </c>
      <c r="C136">
        <v>1</v>
      </c>
      <c r="D136">
        <v>20230906</v>
      </c>
      <c r="E136">
        <v>9</v>
      </c>
      <c r="F136">
        <v>511003</v>
      </c>
      <c r="G136" t="s">
        <v>6874</v>
      </c>
      <c r="H136" t="s">
        <v>401</v>
      </c>
      <c r="I136" t="s">
        <v>402</v>
      </c>
      <c r="J136">
        <v>385788</v>
      </c>
      <c r="K136">
        <v>20230906</v>
      </c>
      <c r="L136" t="s">
        <v>7296</v>
      </c>
      <c r="M136">
        <v>48.08</v>
      </c>
      <c r="N136">
        <v>0</v>
      </c>
      <c r="O136" t="s">
        <v>19</v>
      </c>
      <c r="P136" t="s">
        <v>20</v>
      </c>
      <c r="Q136">
        <v>20230906</v>
      </c>
    </row>
    <row r="137" spans="1:17" x14ac:dyDescent="0.25">
      <c r="A137" t="s">
        <v>476</v>
      </c>
      <c r="B137" t="s">
        <v>477</v>
      </c>
      <c r="C137">
        <v>1</v>
      </c>
      <c r="D137">
        <v>20230907</v>
      </c>
      <c r="E137">
        <v>9</v>
      </c>
      <c r="F137">
        <v>411100</v>
      </c>
      <c r="G137" t="s">
        <v>18</v>
      </c>
      <c r="H137" t="s">
        <v>6562</v>
      </c>
      <c r="I137" t="s">
        <v>6561</v>
      </c>
      <c r="J137">
        <v>385789</v>
      </c>
      <c r="K137">
        <v>20230907</v>
      </c>
      <c r="L137" t="s">
        <v>7295</v>
      </c>
      <c r="M137">
        <v>0</v>
      </c>
      <c r="N137">
        <v>48.14</v>
      </c>
      <c r="O137" t="s">
        <v>19</v>
      </c>
      <c r="P137" t="s">
        <v>20</v>
      </c>
      <c r="Q137">
        <v>20230907</v>
      </c>
    </row>
    <row r="138" spans="1:17" x14ac:dyDescent="0.25">
      <c r="A138" t="s">
        <v>476</v>
      </c>
      <c r="B138" t="s">
        <v>477</v>
      </c>
      <c r="C138">
        <v>1</v>
      </c>
      <c r="D138">
        <v>20230907</v>
      </c>
      <c r="E138">
        <v>9</v>
      </c>
      <c r="F138">
        <v>511003</v>
      </c>
      <c r="G138" t="s">
        <v>6874</v>
      </c>
      <c r="H138" t="s">
        <v>401</v>
      </c>
      <c r="I138" t="s">
        <v>402</v>
      </c>
      <c r="J138">
        <v>385790</v>
      </c>
      <c r="K138">
        <v>20230907</v>
      </c>
      <c r="L138" t="s">
        <v>7295</v>
      </c>
      <c r="M138">
        <v>48.14</v>
      </c>
      <c r="N138">
        <v>0</v>
      </c>
      <c r="O138" t="s">
        <v>19</v>
      </c>
      <c r="P138" t="s">
        <v>20</v>
      </c>
      <c r="Q138">
        <v>20230907</v>
      </c>
    </row>
    <row r="139" spans="1:17" x14ac:dyDescent="0.25">
      <c r="A139" t="s">
        <v>476</v>
      </c>
      <c r="B139" t="s">
        <v>477</v>
      </c>
      <c r="C139">
        <v>1</v>
      </c>
      <c r="D139">
        <v>20230907</v>
      </c>
      <c r="E139">
        <v>9</v>
      </c>
      <c r="F139">
        <v>411100</v>
      </c>
      <c r="G139" t="s">
        <v>18</v>
      </c>
      <c r="H139" t="s">
        <v>253</v>
      </c>
      <c r="I139" t="s">
        <v>254</v>
      </c>
      <c r="J139">
        <v>123080102</v>
      </c>
      <c r="K139">
        <v>20230907</v>
      </c>
      <c r="L139" t="s">
        <v>7294</v>
      </c>
      <c r="M139">
        <v>0</v>
      </c>
      <c r="N139">
        <v>20.69</v>
      </c>
      <c r="O139" t="s">
        <v>19</v>
      </c>
      <c r="P139" t="s">
        <v>20</v>
      </c>
      <c r="Q139">
        <v>20230907</v>
      </c>
    </row>
    <row r="140" spans="1:17" x14ac:dyDescent="0.25">
      <c r="A140" t="s">
        <v>476</v>
      </c>
      <c r="B140" t="s">
        <v>477</v>
      </c>
      <c r="C140">
        <v>1</v>
      </c>
      <c r="D140">
        <v>20230907</v>
      </c>
      <c r="E140">
        <v>9</v>
      </c>
      <c r="F140">
        <v>511003</v>
      </c>
      <c r="G140" t="s">
        <v>6874</v>
      </c>
      <c r="H140" t="s">
        <v>401</v>
      </c>
      <c r="I140" t="s">
        <v>402</v>
      </c>
      <c r="J140">
        <v>385792</v>
      </c>
      <c r="K140">
        <v>20230907</v>
      </c>
      <c r="L140" t="s">
        <v>7294</v>
      </c>
      <c r="M140">
        <v>20.69</v>
      </c>
      <c r="N140">
        <v>0</v>
      </c>
      <c r="O140" t="s">
        <v>19</v>
      </c>
      <c r="P140" t="s">
        <v>20</v>
      </c>
      <c r="Q140">
        <v>20230907</v>
      </c>
    </row>
    <row r="141" spans="1:17" x14ac:dyDescent="0.25">
      <c r="A141" t="s">
        <v>476</v>
      </c>
      <c r="B141" t="s">
        <v>477</v>
      </c>
      <c r="C141">
        <v>1</v>
      </c>
      <c r="D141">
        <v>20230908</v>
      </c>
      <c r="E141">
        <v>9</v>
      </c>
      <c r="F141">
        <v>411000</v>
      </c>
      <c r="G141" t="s">
        <v>21</v>
      </c>
      <c r="H141" t="s">
        <v>6336</v>
      </c>
      <c r="I141" t="s">
        <v>6335</v>
      </c>
      <c r="J141">
        <v>123070041</v>
      </c>
      <c r="K141">
        <v>20230908</v>
      </c>
      <c r="L141" t="s">
        <v>7293</v>
      </c>
      <c r="M141">
        <v>0</v>
      </c>
      <c r="N141">
        <v>36.54</v>
      </c>
      <c r="O141" t="s">
        <v>19</v>
      </c>
      <c r="P141" t="s">
        <v>20</v>
      </c>
      <c r="Q141">
        <v>20230908</v>
      </c>
    </row>
    <row r="142" spans="1:17" x14ac:dyDescent="0.25">
      <c r="A142" t="s">
        <v>476</v>
      </c>
      <c r="B142" t="s">
        <v>477</v>
      </c>
      <c r="C142">
        <v>1</v>
      </c>
      <c r="D142">
        <v>20230908</v>
      </c>
      <c r="E142">
        <v>9</v>
      </c>
      <c r="F142">
        <v>511003</v>
      </c>
      <c r="G142" t="s">
        <v>6874</v>
      </c>
      <c r="H142" t="s">
        <v>401</v>
      </c>
      <c r="I142" t="s">
        <v>402</v>
      </c>
      <c r="J142">
        <v>385794</v>
      </c>
      <c r="K142">
        <v>20230908</v>
      </c>
      <c r="L142" t="s">
        <v>7293</v>
      </c>
      <c r="M142">
        <v>36.54</v>
      </c>
      <c r="N142">
        <v>0</v>
      </c>
      <c r="O142" t="s">
        <v>19</v>
      </c>
      <c r="P142" t="s">
        <v>20</v>
      </c>
      <c r="Q142">
        <v>20230908</v>
      </c>
    </row>
    <row r="143" spans="1:17" x14ac:dyDescent="0.25">
      <c r="A143" t="s">
        <v>476</v>
      </c>
      <c r="B143" t="s">
        <v>477</v>
      </c>
      <c r="C143">
        <v>1</v>
      </c>
      <c r="D143">
        <v>20230908</v>
      </c>
      <c r="E143">
        <v>9</v>
      </c>
      <c r="F143">
        <v>411020</v>
      </c>
      <c r="G143" t="s">
        <v>30</v>
      </c>
      <c r="H143" t="s">
        <v>307</v>
      </c>
      <c r="I143" t="s">
        <v>308</v>
      </c>
      <c r="J143">
        <v>123070044</v>
      </c>
      <c r="K143">
        <v>20230908</v>
      </c>
      <c r="L143" t="s">
        <v>7292</v>
      </c>
      <c r="M143">
        <v>0</v>
      </c>
      <c r="N143">
        <v>15.29</v>
      </c>
      <c r="O143" t="s">
        <v>19</v>
      </c>
      <c r="P143" t="s">
        <v>20</v>
      </c>
      <c r="Q143">
        <v>20230908</v>
      </c>
    </row>
    <row r="144" spans="1:17" x14ac:dyDescent="0.25">
      <c r="A144" t="s">
        <v>476</v>
      </c>
      <c r="B144" t="s">
        <v>477</v>
      </c>
      <c r="C144">
        <v>1</v>
      </c>
      <c r="D144">
        <v>20230908</v>
      </c>
      <c r="E144">
        <v>9</v>
      </c>
      <c r="F144">
        <v>511003</v>
      </c>
      <c r="G144" t="s">
        <v>6874</v>
      </c>
      <c r="H144" t="s">
        <v>401</v>
      </c>
      <c r="I144" t="s">
        <v>402</v>
      </c>
      <c r="J144">
        <v>385796</v>
      </c>
      <c r="K144">
        <v>20230908</v>
      </c>
      <c r="L144" t="s">
        <v>7292</v>
      </c>
      <c r="M144">
        <v>15.29</v>
      </c>
      <c r="N144">
        <v>0</v>
      </c>
      <c r="O144" t="s">
        <v>19</v>
      </c>
      <c r="P144" t="s">
        <v>20</v>
      </c>
      <c r="Q144">
        <v>20230908</v>
      </c>
    </row>
    <row r="145" spans="1:17" x14ac:dyDescent="0.25">
      <c r="A145" t="s">
        <v>476</v>
      </c>
      <c r="B145" t="s">
        <v>477</v>
      </c>
      <c r="C145">
        <v>1</v>
      </c>
      <c r="D145">
        <v>20230908</v>
      </c>
      <c r="E145">
        <v>9</v>
      </c>
      <c r="F145">
        <v>411100</v>
      </c>
      <c r="G145" t="s">
        <v>18</v>
      </c>
      <c r="H145" t="s">
        <v>237</v>
      </c>
      <c r="I145" t="s">
        <v>238</v>
      </c>
      <c r="J145">
        <v>123070011</v>
      </c>
      <c r="K145">
        <v>20230908</v>
      </c>
      <c r="L145" t="s">
        <v>7291</v>
      </c>
      <c r="M145">
        <v>0</v>
      </c>
      <c r="N145">
        <v>32.29</v>
      </c>
      <c r="O145" t="s">
        <v>19</v>
      </c>
      <c r="P145" t="s">
        <v>20</v>
      </c>
      <c r="Q145">
        <v>20230908</v>
      </c>
    </row>
    <row r="146" spans="1:17" x14ac:dyDescent="0.25">
      <c r="A146" t="s">
        <v>476</v>
      </c>
      <c r="B146" t="s">
        <v>477</v>
      </c>
      <c r="C146">
        <v>1</v>
      </c>
      <c r="D146">
        <v>20230908</v>
      </c>
      <c r="E146">
        <v>9</v>
      </c>
      <c r="F146">
        <v>511003</v>
      </c>
      <c r="G146" t="s">
        <v>6874</v>
      </c>
      <c r="H146" t="s">
        <v>401</v>
      </c>
      <c r="I146" t="s">
        <v>402</v>
      </c>
      <c r="J146">
        <v>385798</v>
      </c>
      <c r="K146">
        <v>20230908</v>
      </c>
      <c r="L146" t="s">
        <v>7291</v>
      </c>
      <c r="M146">
        <v>32.29</v>
      </c>
      <c r="N146">
        <v>0</v>
      </c>
      <c r="O146" t="s">
        <v>19</v>
      </c>
      <c r="P146" t="s">
        <v>20</v>
      </c>
      <c r="Q146">
        <v>20230908</v>
      </c>
    </row>
    <row r="147" spans="1:17" x14ac:dyDescent="0.25">
      <c r="A147" t="s">
        <v>476</v>
      </c>
      <c r="B147" t="s">
        <v>477</v>
      </c>
      <c r="C147">
        <v>1</v>
      </c>
      <c r="D147">
        <v>20230908</v>
      </c>
      <c r="E147">
        <v>9</v>
      </c>
      <c r="F147">
        <v>411100</v>
      </c>
      <c r="G147" t="s">
        <v>18</v>
      </c>
      <c r="H147" t="s">
        <v>352</v>
      </c>
      <c r="I147" t="s">
        <v>353</v>
      </c>
      <c r="J147">
        <v>123080113</v>
      </c>
      <c r="K147">
        <v>20230908</v>
      </c>
      <c r="L147" t="s">
        <v>7290</v>
      </c>
      <c r="M147">
        <v>0</v>
      </c>
      <c r="N147">
        <v>19.04</v>
      </c>
      <c r="O147" t="s">
        <v>19</v>
      </c>
      <c r="P147" t="s">
        <v>20</v>
      </c>
      <c r="Q147">
        <v>20230908</v>
      </c>
    </row>
    <row r="148" spans="1:17" x14ac:dyDescent="0.25">
      <c r="A148" t="s">
        <v>476</v>
      </c>
      <c r="B148" t="s">
        <v>477</v>
      </c>
      <c r="C148">
        <v>1</v>
      </c>
      <c r="D148">
        <v>20230908</v>
      </c>
      <c r="E148">
        <v>9</v>
      </c>
      <c r="F148">
        <v>511003</v>
      </c>
      <c r="G148" t="s">
        <v>6874</v>
      </c>
      <c r="H148" t="s">
        <v>401</v>
      </c>
      <c r="I148" t="s">
        <v>402</v>
      </c>
      <c r="J148">
        <v>385800</v>
      </c>
      <c r="K148">
        <v>20230908</v>
      </c>
      <c r="L148" t="s">
        <v>7290</v>
      </c>
      <c r="M148">
        <v>19.04</v>
      </c>
      <c r="N148">
        <v>0</v>
      </c>
      <c r="O148" t="s">
        <v>19</v>
      </c>
      <c r="P148" t="s">
        <v>20</v>
      </c>
      <c r="Q148">
        <v>20230908</v>
      </c>
    </row>
    <row r="149" spans="1:17" x14ac:dyDescent="0.25">
      <c r="A149" t="s">
        <v>476</v>
      </c>
      <c r="B149" t="s">
        <v>477</v>
      </c>
      <c r="C149">
        <v>1</v>
      </c>
      <c r="D149">
        <v>20230908</v>
      </c>
      <c r="E149">
        <v>9</v>
      </c>
      <c r="F149">
        <v>411100</v>
      </c>
      <c r="G149" t="s">
        <v>18</v>
      </c>
      <c r="H149" t="s">
        <v>4133</v>
      </c>
      <c r="I149" t="s">
        <v>4134</v>
      </c>
      <c r="J149">
        <v>385801</v>
      </c>
      <c r="K149">
        <v>20230908</v>
      </c>
      <c r="L149" t="s">
        <v>7289</v>
      </c>
      <c r="M149">
        <v>0</v>
      </c>
      <c r="N149">
        <v>5</v>
      </c>
      <c r="O149" t="s">
        <v>19</v>
      </c>
      <c r="P149" t="s">
        <v>20</v>
      </c>
      <c r="Q149">
        <v>20230908</v>
      </c>
    </row>
    <row r="150" spans="1:17" x14ac:dyDescent="0.25">
      <c r="A150" t="s">
        <v>476</v>
      </c>
      <c r="B150" t="s">
        <v>477</v>
      </c>
      <c r="C150">
        <v>1</v>
      </c>
      <c r="D150">
        <v>20230908</v>
      </c>
      <c r="E150">
        <v>9</v>
      </c>
      <c r="F150">
        <v>511003</v>
      </c>
      <c r="G150" t="s">
        <v>6874</v>
      </c>
      <c r="H150" t="s">
        <v>401</v>
      </c>
      <c r="I150" t="s">
        <v>402</v>
      </c>
      <c r="J150">
        <v>385802</v>
      </c>
      <c r="K150">
        <v>20230908</v>
      </c>
      <c r="L150" t="s">
        <v>7289</v>
      </c>
      <c r="M150">
        <v>5</v>
      </c>
      <c r="N150">
        <v>0</v>
      </c>
      <c r="O150" t="s">
        <v>19</v>
      </c>
      <c r="P150" t="s">
        <v>20</v>
      </c>
      <c r="Q150">
        <v>20230908</v>
      </c>
    </row>
    <row r="151" spans="1:17" x14ac:dyDescent="0.25">
      <c r="A151" t="s">
        <v>476</v>
      </c>
      <c r="B151" t="s">
        <v>477</v>
      </c>
      <c r="C151">
        <v>1</v>
      </c>
      <c r="D151">
        <v>20230908</v>
      </c>
      <c r="E151">
        <v>9</v>
      </c>
      <c r="F151">
        <v>411100</v>
      </c>
      <c r="G151" t="s">
        <v>18</v>
      </c>
      <c r="H151" t="s">
        <v>207</v>
      </c>
      <c r="I151" t="s">
        <v>208</v>
      </c>
      <c r="J151">
        <v>123060010</v>
      </c>
      <c r="K151">
        <v>20230908</v>
      </c>
      <c r="L151" t="s">
        <v>7288</v>
      </c>
      <c r="M151">
        <v>0</v>
      </c>
      <c r="N151">
        <v>63.88</v>
      </c>
      <c r="O151" t="s">
        <v>19</v>
      </c>
      <c r="P151" t="s">
        <v>20</v>
      </c>
      <c r="Q151">
        <v>20230908</v>
      </c>
    </row>
    <row r="152" spans="1:17" x14ac:dyDescent="0.25">
      <c r="A152" t="s">
        <v>476</v>
      </c>
      <c r="B152" t="s">
        <v>477</v>
      </c>
      <c r="C152">
        <v>1</v>
      </c>
      <c r="D152">
        <v>20230908</v>
      </c>
      <c r="E152">
        <v>9</v>
      </c>
      <c r="F152">
        <v>511003</v>
      </c>
      <c r="G152" t="s">
        <v>6874</v>
      </c>
      <c r="H152" t="s">
        <v>401</v>
      </c>
      <c r="I152" t="s">
        <v>402</v>
      </c>
      <c r="J152">
        <v>385804</v>
      </c>
      <c r="K152">
        <v>20230908</v>
      </c>
      <c r="L152" t="s">
        <v>7288</v>
      </c>
      <c r="M152">
        <v>63.88</v>
      </c>
      <c r="N152">
        <v>0</v>
      </c>
      <c r="O152" t="s">
        <v>19</v>
      </c>
      <c r="P152" t="s">
        <v>20</v>
      </c>
      <c r="Q152">
        <v>20230908</v>
      </c>
    </row>
    <row r="153" spans="1:17" x14ac:dyDescent="0.25">
      <c r="A153" t="s">
        <v>476</v>
      </c>
      <c r="B153" t="s">
        <v>477</v>
      </c>
      <c r="C153">
        <v>1</v>
      </c>
      <c r="D153">
        <v>20230909</v>
      </c>
      <c r="E153">
        <v>9</v>
      </c>
      <c r="F153">
        <v>411100</v>
      </c>
      <c r="G153" t="s">
        <v>18</v>
      </c>
      <c r="H153" t="s">
        <v>7287</v>
      </c>
      <c r="I153" t="s">
        <v>7286</v>
      </c>
      <c r="J153">
        <v>123090025</v>
      </c>
      <c r="K153">
        <v>20230909</v>
      </c>
      <c r="L153" t="s">
        <v>7285</v>
      </c>
      <c r="M153">
        <v>0</v>
      </c>
      <c r="N153">
        <v>4</v>
      </c>
      <c r="O153" t="s">
        <v>19</v>
      </c>
      <c r="P153" t="s">
        <v>20</v>
      </c>
      <c r="Q153">
        <v>20230909</v>
      </c>
    </row>
    <row r="154" spans="1:17" x14ac:dyDescent="0.25">
      <c r="A154" t="s">
        <v>476</v>
      </c>
      <c r="B154" t="s">
        <v>477</v>
      </c>
      <c r="C154">
        <v>1</v>
      </c>
      <c r="D154">
        <v>20230909</v>
      </c>
      <c r="E154">
        <v>9</v>
      </c>
      <c r="F154">
        <v>511003</v>
      </c>
      <c r="G154" t="s">
        <v>6874</v>
      </c>
      <c r="H154" t="s">
        <v>401</v>
      </c>
      <c r="I154" t="s">
        <v>402</v>
      </c>
      <c r="J154">
        <v>385806</v>
      </c>
      <c r="K154">
        <v>20230909</v>
      </c>
      <c r="L154" t="s">
        <v>7285</v>
      </c>
      <c r="M154">
        <v>4</v>
      </c>
      <c r="N154">
        <v>0</v>
      </c>
      <c r="O154" t="s">
        <v>19</v>
      </c>
      <c r="P154" t="s">
        <v>20</v>
      </c>
      <c r="Q154">
        <v>20230909</v>
      </c>
    </row>
    <row r="155" spans="1:17" x14ac:dyDescent="0.25">
      <c r="A155" t="s">
        <v>476</v>
      </c>
      <c r="B155" t="s">
        <v>477</v>
      </c>
      <c r="C155">
        <v>1</v>
      </c>
      <c r="D155">
        <v>20230909</v>
      </c>
      <c r="E155">
        <v>9</v>
      </c>
      <c r="F155">
        <v>411100</v>
      </c>
      <c r="G155" t="s">
        <v>18</v>
      </c>
      <c r="H155" t="s">
        <v>3859</v>
      </c>
      <c r="I155" t="s">
        <v>3860</v>
      </c>
      <c r="J155">
        <v>123090027</v>
      </c>
      <c r="K155">
        <v>20230909</v>
      </c>
      <c r="L155" t="s">
        <v>7284</v>
      </c>
      <c r="M155">
        <v>0</v>
      </c>
      <c r="N155">
        <v>35</v>
      </c>
      <c r="O155" t="s">
        <v>19</v>
      </c>
      <c r="P155" t="s">
        <v>20</v>
      </c>
      <c r="Q155">
        <v>20230909</v>
      </c>
    </row>
    <row r="156" spans="1:17" x14ac:dyDescent="0.25">
      <c r="A156" t="s">
        <v>476</v>
      </c>
      <c r="B156" t="s">
        <v>477</v>
      </c>
      <c r="C156">
        <v>1</v>
      </c>
      <c r="D156">
        <v>20230909</v>
      </c>
      <c r="E156">
        <v>9</v>
      </c>
      <c r="F156">
        <v>511003</v>
      </c>
      <c r="G156" t="s">
        <v>6874</v>
      </c>
      <c r="H156" t="s">
        <v>401</v>
      </c>
      <c r="I156" t="s">
        <v>402</v>
      </c>
      <c r="J156">
        <v>385808</v>
      </c>
      <c r="K156">
        <v>20230909</v>
      </c>
      <c r="L156" t="s">
        <v>7284</v>
      </c>
      <c r="M156">
        <v>35</v>
      </c>
      <c r="N156">
        <v>0</v>
      </c>
      <c r="O156" t="s">
        <v>19</v>
      </c>
      <c r="P156" t="s">
        <v>20</v>
      </c>
      <c r="Q156">
        <v>20230909</v>
      </c>
    </row>
    <row r="157" spans="1:17" x14ac:dyDescent="0.25">
      <c r="A157" t="s">
        <v>476</v>
      </c>
      <c r="B157" t="s">
        <v>477</v>
      </c>
      <c r="C157">
        <v>1</v>
      </c>
      <c r="D157">
        <v>20230909</v>
      </c>
      <c r="E157">
        <v>9</v>
      </c>
      <c r="F157">
        <v>411100</v>
      </c>
      <c r="G157" t="s">
        <v>18</v>
      </c>
      <c r="H157" t="s">
        <v>7283</v>
      </c>
      <c r="I157" t="s">
        <v>7282</v>
      </c>
      <c r="J157">
        <v>123090028</v>
      </c>
      <c r="K157">
        <v>20230909</v>
      </c>
      <c r="L157" t="s">
        <v>7281</v>
      </c>
      <c r="M157">
        <v>0</v>
      </c>
      <c r="N157">
        <v>101.2</v>
      </c>
      <c r="O157" t="s">
        <v>19</v>
      </c>
      <c r="P157" t="s">
        <v>20</v>
      </c>
      <c r="Q157">
        <v>20230909</v>
      </c>
    </row>
    <row r="158" spans="1:17" x14ac:dyDescent="0.25">
      <c r="A158" t="s">
        <v>476</v>
      </c>
      <c r="B158" t="s">
        <v>477</v>
      </c>
      <c r="C158">
        <v>1</v>
      </c>
      <c r="D158">
        <v>20230909</v>
      </c>
      <c r="E158">
        <v>9</v>
      </c>
      <c r="F158">
        <v>511003</v>
      </c>
      <c r="G158" t="s">
        <v>6874</v>
      </c>
      <c r="H158" t="s">
        <v>401</v>
      </c>
      <c r="I158" t="s">
        <v>402</v>
      </c>
      <c r="J158">
        <v>385810</v>
      </c>
      <c r="K158">
        <v>20230909</v>
      </c>
      <c r="L158" t="s">
        <v>7281</v>
      </c>
      <c r="M158">
        <v>101.2</v>
      </c>
      <c r="N158">
        <v>0</v>
      </c>
      <c r="O158" t="s">
        <v>19</v>
      </c>
      <c r="P158" t="s">
        <v>20</v>
      </c>
      <c r="Q158">
        <v>20230909</v>
      </c>
    </row>
    <row r="159" spans="1:17" x14ac:dyDescent="0.25">
      <c r="A159" t="s">
        <v>476</v>
      </c>
      <c r="B159" t="s">
        <v>477</v>
      </c>
      <c r="C159">
        <v>1</v>
      </c>
      <c r="D159">
        <v>20230909</v>
      </c>
      <c r="E159">
        <v>9</v>
      </c>
      <c r="F159">
        <v>411100</v>
      </c>
      <c r="G159" t="s">
        <v>18</v>
      </c>
      <c r="H159" t="s">
        <v>7167</v>
      </c>
      <c r="I159" t="s">
        <v>7166</v>
      </c>
      <c r="J159">
        <v>385811</v>
      </c>
      <c r="K159">
        <v>20230909</v>
      </c>
      <c r="L159" t="s">
        <v>7280</v>
      </c>
      <c r="M159">
        <v>0</v>
      </c>
      <c r="N159">
        <v>21</v>
      </c>
      <c r="O159" t="s">
        <v>19</v>
      </c>
      <c r="P159" t="s">
        <v>20</v>
      </c>
      <c r="Q159">
        <v>20230909</v>
      </c>
    </row>
    <row r="160" spans="1:17" x14ac:dyDescent="0.25">
      <c r="A160" t="s">
        <v>476</v>
      </c>
      <c r="B160" t="s">
        <v>477</v>
      </c>
      <c r="C160">
        <v>1</v>
      </c>
      <c r="D160">
        <v>20230909</v>
      </c>
      <c r="E160">
        <v>9</v>
      </c>
      <c r="F160">
        <v>511003</v>
      </c>
      <c r="G160" t="s">
        <v>6874</v>
      </c>
      <c r="H160" t="s">
        <v>401</v>
      </c>
      <c r="I160" t="s">
        <v>402</v>
      </c>
      <c r="J160">
        <v>385812</v>
      </c>
      <c r="K160">
        <v>20230909</v>
      </c>
      <c r="L160" t="s">
        <v>7280</v>
      </c>
      <c r="M160">
        <v>21</v>
      </c>
      <c r="N160">
        <v>0</v>
      </c>
      <c r="O160" t="s">
        <v>19</v>
      </c>
      <c r="P160" t="s">
        <v>20</v>
      </c>
      <c r="Q160">
        <v>20230909</v>
      </c>
    </row>
    <row r="161" spans="1:17" x14ac:dyDescent="0.25">
      <c r="A161" t="s">
        <v>476</v>
      </c>
      <c r="B161" t="s">
        <v>477</v>
      </c>
      <c r="C161">
        <v>1</v>
      </c>
      <c r="D161">
        <v>20230909</v>
      </c>
      <c r="E161">
        <v>9</v>
      </c>
      <c r="F161">
        <v>411100</v>
      </c>
      <c r="G161" t="s">
        <v>18</v>
      </c>
      <c r="H161" t="s">
        <v>3865</v>
      </c>
      <c r="I161" t="s">
        <v>3866</v>
      </c>
      <c r="J161">
        <v>385813</v>
      </c>
      <c r="K161">
        <v>20230909</v>
      </c>
      <c r="L161" t="s">
        <v>7279</v>
      </c>
      <c r="M161">
        <v>0</v>
      </c>
      <c r="N161">
        <v>138</v>
      </c>
      <c r="O161" t="s">
        <v>19</v>
      </c>
      <c r="P161" t="s">
        <v>20</v>
      </c>
      <c r="Q161">
        <v>20230909</v>
      </c>
    </row>
    <row r="162" spans="1:17" x14ac:dyDescent="0.25">
      <c r="A162" t="s">
        <v>476</v>
      </c>
      <c r="B162" t="s">
        <v>477</v>
      </c>
      <c r="C162">
        <v>1</v>
      </c>
      <c r="D162">
        <v>20230909</v>
      </c>
      <c r="E162">
        <v>9</v>
      </c>
      <c r="F162">
        <v>511003</v>
      </c>
      <c r="G162" t="s">
        <v>6874</v>
      </c>
      <c r="H162" t="s">
        <v>401</v>
      </c>
      <c r="I162" t="s">
        <v>402</v>
      </c>
      <c r="J162">
        <v>385814</v>
      </c>
      <c r="K162">
        <v>20230909</v>
      </c>
      <c r="L162" t="s">
        <v>7279</v>
      </c>
      <c r="M162">
        <v>138</v>
      </c>
      <c r="N162">
        <v>0</v>
      </c>
      <c r="O162" t="s">
        <v>19</v>
      </c>
      <c r="P162" t="s">
        <v>20</v>
      </c>
      <c r="Q162">
        <v>20230909</v>
      </c>
    </row>
    <row r="163" spans="1:17" x14ac:dyDescent="0.25">
      <c r="A163" t="s">
        <v>476</v>
      </c>
      <c r="B163" t="s">
        <v>477</v>
      </c>
      <c r="C163">
        <v>1</v>
      </c>
      <c r="D163">
        <v>20230909</v>
      </c>
      <c r="E163">
        <v>9</v>
      </c>
      <c r="F163">
        <v>411100</v>
      </c>
      <c r="G163" t="s">
        <v>18</v>
      </c>
      <c r="H163" t="s">
        <v>83</v>
      </c>
      <c r="I163" t="s">
        <v>7278</v>
      </c>
      <c r="J163">
        <v>121060024</v>
      </c>
      <c r="K163">
        <v>20230909</v>
      </c>
      <c r="L163" t="s">
        <v>7277</v>
      </c>
      <c r="M163">
        <v>0</v>
      </c>
      <c r="N163">
        <v>163.4</v>
      </c>
      <c r="O163" t="s">
        <v>19</v>
      </c>
      <c r="P163" t="s">
        <v>20</v>
      </c>
      <c r="Q163">
        <v>20230909</v>
      </c>
    </row>
    <row r="164" spans="1:17" x14ac:dyDescent="0.25">
      <c r="A164" t="s">
        <v>476</v>
      </c>
      <c r="B164" t="s">
        <v>477</v>
      </c>
      <c r="C164">
        <v>1</v>
      </c>
      <c r="D164">
        <v>20230909</v>
      </c>
      <c r="E164">
        <v>9</v>
      </c>
      <c r="F164">
        <v>511003</v>
      </c>
      <c r="G164" t="s">
        <v>6874</v>
      </c>
      <c r="H164" t="s">
        <v>401</v>
      </c>
      <c r="I164" t="s">
        <v>402</v>
      </c>
      <c r="J164">
        <v>385816</v>
      </c>
      <c r="K164">
        <v>20230909</v>
      </c>
      <c r="L164" t="s">
        <v>7277</v>
      </c>
      <c r="M164">
        <v>163.4</v>
      </c>
      <c r="N164">
        <v>0</v>
      </c>
      <c r="O164" t="s">
        <v>19</v>
      </c>
      <c r="P164" t="s">
        <v>20</v>
      </c>
      <c r="Q164">
        <v>20230909</v>
      </c>
    </row>
    <row r="165" spans="1:17" x14ac:dyDescent="0.25">
      <c r="A165" t="s">
        <v>476</v>
      </c>
      <c r="B165" t="s">
        <v>477</v>
      </c>
      <c r="C165">
        <v>1</v>
      </c>
      <c r="D165">
        <v>20230909</v>
      </c>
      <c r="E165">
        <v>9</v>
      </c>
      <c r="F165">
        <v>411100</v>
      </c>
      <c r="G165" t="s">
        <v>18</v>
      </c>
      <c r="H165" t="s">
        <v>231</v>
      </c>
      <c r="I165" t="s">
        <v>7276</v>
      </c>
      <c r="J165">
        <v>385817</v>
      </c>
      <c r="K165">
        <v>20230909</v>
      </c>
      <c r="L165" t="s">
        <v>7275</v>
      </c>
      <c r="M165">
        <v>0</v>
      </c>
      <c r="N165">
        <v>22.46</v>
      </c>
      <c r="O165" t="s">
        <v>19</v>
      </c>
      <c r="P165" t="s">
        <v>20</v>
      </c>
      <c r="Q165">
        <v>20230909</v>
      </c>
    </row>
    <row r="166" spans="1:17" x14ac:dyDescent="0.25">
      <c r="A166" t="s">
        <v>476</v>
      </c>
      <c r="B166" t="s">
        <v>477</v>
      </c>
      <c r="C166">
        <v>1</v>
      </c>
      <c r="D166">
        <v>20230909</v>
      </c>
      <c r="E166">
        <v>9</v>
      </c>
      <c r="F166">
        <v>511003</v>
      </c>
      <c r="G166" t="s">
        <v>6874</v>
      </c>
      <c r="H166" t="s">
        <v>401</v>
      </c>
      <c r="I166" t="s">
        <v>402</v>
      </c>
      <c r="J166">
        <v>385818</v>
      </c>
      <c r="K166">
        <v>20230909</v>
      </c>
      <c r="L166" t="s">
        <v>7275</v>
      </c>
      <c r="M166">
        <v>22.46</v>
      </c>
      <c r="N166">
        <v>0</v>
      </c>
      <c r="O166" t="s">
        <v>19</v>
      </c>
      <c r="P166" t="s">
        <v>20</v>
      </c>
      <c r="Q166">
        <v>20230909</v>
      </c>
    </row>
    <row r="167" spans="1:17" x14ac:dyDescent="0.25">
      <c r="A167" t="s">
        <v>476</v>
      </c>
      <c r="B167" t="s">
        <v>477</v>
      </c>
      <c r="C167">
        <v>1</v>
      </c>
      <c r="D167">
        <v>20230909</v>
      </c>
      <c r="E167">
        <v>9</v>
      </c>
      <c r="F167">
        <v>411100</v>
      </c>
      <c r="G167" t="s">
        <v>18</v>
      </c>
      <c r="H167" t="s">
        <v>2523</v>
      </c>
      <c r="I167" t="s">
        <v>2524</v>
      </c>
      <c r="J167">
        <v>385819</v>
      </c>
      <c r="K167">
        <v>20230909</v>
      </c>
      <c r="L167" t="s">
        <v>7274</v>
      </c>
      <c r="M167">
        <v>0</v>
      </c>
      <c r="N167">
        <v>95</v>
      </c>
      <c r="O167" t="s">
        <v>19</v>
      </c>
      <c r="P167" t="s">
        <v>20</v>
      </c>
      <c r="Q167">
        <v>20230909</v>
      </c>
    </row>
    <row r="168" spans="1:17" x14ac:dyDescent="0.25">
      <c r="A168" t="s">
        <v>476</v>
      </c>
      <c r="B168" t="s">
        <v>477</v>
      </c>
      <c r="C168">
        <v>1</v>
      </c>
      <c r="D168">
        <v>20230909</v>
      </c>
      <c r="E168">
        <v>9</v>
      </c>
      <c r="F168">
        <v>511003</v>
      </c>
      <c r="G168" t="s">
        <v>6874</v>
      </c>
      <c r="H168" t="s">
        <v>401</v>
      </c>
      <c r="I168" t="s">
        <v>402</v>
      </c>
      <c r="J168">
        <v>385820</v>
      </c>
      <c r="K168">
        <v>20230909</v>
      </c>
      <c r="L168" t="s">
        <v>7274</v>
      </c>
      <c r="M168">
        <v>95</v>
      </c>
      <c r="N168">
        <v>0</v>
      </c>
      <c r="O168" t="s">
        <v>19</v>
      </c>
      <c r="P168" t="s">
        <v>20</v>
      </c>
      <c r="Q168">
        <v>20230909</v>
      </c>
    </row>
    <row r="169" spans="1:17" x14ac:dyDescent="0.25">
      <c r="A169" t="s">
        <v>476</v>
      </c>
      <c r="B169" t="s">
        <v>477</v>
      </c>
      <c r="C169">
        <v>1</v>
      </c>
      <c r="D169">
        <v>20230909</v>
      </c>
      <c r="E169">
        <v>9</v>
      </c>
      <c r="F169">
        <v>411100</v>
      </c>
      <c r="G169" t="s">
        <v>18</v>
      </c>
      <c r="H169" t="s">
        <v>2523</v>
      </c>
      <c r="I169" t="s">
        <v>2524</v>
      </c>
      <c r="J169">
        <v>385821</v>
      </c>
      <c r="K169">
        <v>20230909</v>
      </c>
      <c r="L169" t="s">
        <v>7273</v>
      </c>
      <c r="M169">
        <v>0</v>
      </c>
      <c r="N169">
        <v>90</v>
      </c>
      <c r="O169" t="s">
        <v>19</v>
      </c>
      <c r="P169" t="s">
        <v>20</v>
      </c>
      <c r="Q169">
        <v>20230909</v>
      </c>
    </row>
    <row r="170" spans="1:17" x14ac:dyDescent="0.25">
      <c r="A170" t="s">
        <v>476</v>
      </c>
      <c r="B170" t="s">
        <v>477</v>
      </c>
      <c r="C170">
        <v>1</v>
      </c>
      <c r="D170">
        <v>20230909</v>
      </c>
      <c r="E170">
        <v>9</v>
      </c>
      <c r="F170">
        <v>511003</v>
      </c>
      <c r="G170" t="s">
        <v>6874</v>
      </c>
      <c r="H170" t="s">
        <v>401</v>
      </c>
      <c r="I170" t="s">
        <v>402</v>
      </c>
      <c r="J170">
        <v>385822</v>
      </c>
      <c r="K170">
        <v>20230909</v>
      </c>
      <c r="L170" t="s">
        <v>7273</v>
      </c>
      <c r="M170">
        <v>90</v>
      </c>
      <c r="N170">
        <v>0</v>
      </c>
      <c r="O170" t="s">
        <v>19</v>
      </c>
      <c r="P170" t="s">
        <v>20</v>
      </c>
      <c r="Q170">
        <v>20230909</v>
      </c>
    </row>
    <row r="171" spans="1:17" x14ac:dyDescent="0.25">
      <c r="A171" t="s">
        <v>476</v>
      </c>
      <c r="B171" t="s">
        <v>477</v>
      </c>
      <c r="C171">
        <v>1</v>
      </c>
      <c r="D171">
        <v>20230911</v>
      </c>
      <c r="E171">
        <v>9</v>
      </c>
      <c r="F171">
        <v>411100</v>
      </c>
      <c r="G171" t="s">
        <v>18</v>
      </c>
      <c r="H171" t="s">
        <v>7272</v>
      </c>
      <c r="I171" t="s">
        <v>7271</v>
      </c>
      <c r="J171">
        <v>123090032</v>
      </c>
      <c r="K171">
        <v>20230911</v>
      </c>
      <c r="L171" t="s">
        <v>7270</v>
      </c>
      <c r="M171">
        <v>0</v>
      </c>
      <c r="N171">
        <v>42</v>
      </c>
      <c r="O171" t="s">
        <v>19</v>
      </c>
      <c r="P171" t="s">
        <v>20</v>
      </c>
      <c r="Q171">
        <v>20230911</v>
      </c>
    </row>
    <row r="172" spans="1:17" x14ac:dyDescent="0.25">
      <c r="A172" t="s">
        <v>476</v>
      </c>
      <c r="B172" t="s">
        <v>477</v>
      </c>
      <c r="C172">
        <v>1</v>
      </c>
      <c r="D172">
        <v>20230911</v>
      </c>
      <c r="E172">
        <v>9</v>
      </c>
      <c r="F172">
        <v>511003</v>
      </c>
      <c r="G172" t="s">
        <v>6874</v>
      </c>
      <c r="H172" t="s">
        <v>401</v>
      </c>
      <c r="I172" t="s">
        <v>402</v>
      </c>
      <c r="J172">
        <v>385824</v>
      </c>
      <c r="K172">
        <v>20230911</v>
      </c>
      <c r="L172" t="s">
        <v>7270</v>
      </c>
      <c r="M172">
        <v>42</v>
      </c>
      <c r="N172">
        <v>0</v>
      </c>
      <c r="O172" t="s">
        <v>19</v>
      </c>
      <c r="P172" t="s">
        <v>20</v>
      </c>
      <c r="Q172">
        <v>20230911</v>
      </c>
    </row>
    <row r="173" spans="1:17" x14ac:dyDescent="0.25">
      <c r="A173" t="s">
        <v>476</v>
      </c>
      <c r="B173" t="s">
        <v>477</v>
      </c>
      <c r="C173">
        <v>1</v>
      </c>
      <c r="D173">
        <v>20230911</v>
      </c>
      <c r="E173">
        <v>9</v>
      </c>
      <c r="F173">
        <v>411100</v>
      </c>
      <c r="G173" t="s">
        <v>18</v>
      </c>
      <c r="H173" t="s">
        <v>3627</v>
      </c>
      <c r="I173" t="s">
        <v>3628</v>
      </c>
      <c r="J173">
        <v>123090033</v>
      </c>
      <c r="K173">
        <v>20230911</v>
      </c>
      <c r="L173" t="s">
        <v>7269</v>
      </c>
      <c r="M173">
        <v>0</v>
      </c>
      <c r="N173">
        <v>60</v>
      </c>
      <c r="O173" t="s">
        <v>19</v>
      </c>
      <c r="P173" t="s">
        <v>20</v>
      </c>
      <c r="Q173">
        <v>20230911</v>
      </c>
    </row>
    <row r="174" spans="1:17" x14ac:dyDescent="0.25">
      <c r="A174" t="s">
        <v>476</v>
      </c>
      <c r="B174" t="s">
        <v>477</v>
      </c>
      <c r="C174">
        <v>1</v>
      </c>
      <c r="D174">
        <v>20230911</v>
      </c>
      <c r="E174">
        <v>9</v>
      </c>
      <c r="F174">
        <v>511003</v>
      </c>
      <c r="G174" t="s">
        <v>6874</v>
      </c>
      <c r="H174" t="s">
        <v>401</v>
      </c>
      <c r="I174" t="s">
        <v>402</v>
      </c>
      <c r="J174">
        <v>385826</v>
      </c>
      <c r="K174">
        <v>20230911</v>
      </c>
      <c r="L174" t="s">
        <v>7269</v>
      </c>
      <c r="M174">
        <v>60</v>
      </c>
      <c r="N174">
        <v>0</v>
      </c>
      <c r="O174" t="s">
        <v>19</v>
      </c>
      <c r="P174" t="s">
        <v>20</v>
      </c>
      <c r="Q174">
        <v>20230911</v>
      </c>
    </row>
    <row r="175" spans="1:17" x14ac:dyDescent="0.25">
      <c r="A175" t="s">
        <v>476</v>
      </c>
      <c r="B175" t="s">
        <v>477</v>
      </c>
      <c r="C175">
        <v>1</v>
      </c>
      <c r="D175">
        <v>20230911</v>
      </c>
      <c r="E175">
        <v>9</v>
      </c>
      <c r="F175">
        <v>411100</v>
      </c>
      <c r="G175" t="s">
        <v>18</v>
      </c>
      <c r="H175" t="s">
        <v>4650</v>
      </c>
      <c r="I175" t="s">
        <v>7104</v>
      </c>
      <c r="J175">
        <v>385827</v>
      </c>
      <c r="K175">
        <v>20230911</v>
      </c>
      <c r="L175" t="s">
        <v>7268</v>
      </c>
      <c r="M175">
        <v>0</v>
      </c>
      <c r="N175">
        <v>60</v>
      </c>
      <c r="O175" t="s">
        <v>19</v>
      </c>
      <c r="P175" t="s">
        <v>20</v>
      </c>
      <c r="Q175">
        <v>20230911</v>
      </c>
    </row>
    <row r="176" spans="1:17" x14ac:dyDescent="0.25">
      <c r="A176" t="s">
        <v>476</v>
      </c>
      <c r="B176" t="s">
        <v>477</v>
      </c>
      <c r="C176">
        <v>1</v>
      </c>
      <c r="D176">
        <v>20230911</v>
      </c>
      <c r="E176">
        <v>9</v>
      </c>
      <c r="F176">
        <v>511003</v>
      </c>
      <c r="G176" t="s">
        <v>6874</v>
      </c>
      <c r="H176" t="s">
        <v>401</v>
      </c>
      <c r="I176" t="s">
        <v>402</v>
      </c>
      <c r="J176">
        <v>385828</v>
      </c>
      <c r="K176">
        <v>20230911</v>
      </c>
      <c r="L176" t="s">
        <v>7268</v>
      </c>
      <c r="M176">
        <v>60</v>
      </c>
      <c r="N176">
        <v>0</v>
      </c>
      <c r="O176" t="s">
        <v>19</v>
      </c>
      <c r="P176" t="s">
        <v>20</v>
      </c>
      <c r="Q176">
        <v>20230911</v>
      </c>
    </row>
    <row r="177" spans="1:17" x14ac:dyDescent="0.25">
      <c r="A177" t="s">
        <v>476</v>
      </c>
      <c r="B177" t="s">
        <v>477</v>
      </c>
      <c r="C177">
        <v>1</v>
      </c>
      <c r="D177">
        <v>20230911</v>
      </c>
      <c r="E177">
        <v>9</v>
      </c>
      <c r="F177">
        <v>411100</v>
      </c>
      <c r="G177" t="s">
        <v>18</v>
      </c>
      <c r="H177" t="s">
        <v>4650</v>
      </c>
      <c r="I177" t="s">
        <v>7104</v>
      </c>
      <c r="J177">
        <v>385829</v>
      </c>
      <c r="K177">
        <v>20230911</v>
      </c>
      <c r="L177" t="s">
        <v>7267</v>
      </c>
      <c r="M177">
        <v>0</v>
      </c>
      <c r="N177">
        <v>3.6</v>
      </c>
      <c r="O177" t="s">
        <v>19</v>
      </c>
      <c r="P177" t="s">
        <v>20</v>
      </c>
      <c r="Q177">
        <v>20230911</v>
      </c>
    </row>
    <row r="178" spans="1:17" x14ac:dyDescent="0.25">
      <c r="A178" t="s">
        <v>476</v>
      </c>
      <c r="B178" t="s">
        <v>477</v>
      </c>
      <c r="C178">
        <v>1</v>
      </c>
      <c r="D178">
        <v>20230911</v>
      </c>
      <c r="E178">
        <v>9</v>
      </c>
      <c r="F178">
        <v>511003</v>
      </c>
      <c r="G178" t="s">
        <v>6874</v>
      </c>
      <c r="H178" t="s">
        <v>401</v>
      </c>
      <c r="I178" t="s">
        <v>402</v>
      </c>
      <c r="J178">
        <v>385830</v>
      </c>
      <c r="K178">
        <v>20230911</v>
      </c>
      <c r="L178" t="s">
        <v>7267</v>
      </c>
      <c r="M178">
        <v>3.6</v>
      </c>
      <c r="N178">
        <v>0</v>
      </c>
      <c r="O178" t="s">
        <v>19</v>
      </c>
      <c r="P178" t="s">
        <v>20</v>
      </c>
      <c r="Q178">
        <v>20230911</v>
      </c>
    </row>
    <row r="179" spans="1:17" x14ac:dyDescent="0.25">
      <c r="A179" t="s">
        <v>476</v>
      </c>
      <c r="B179" t="s">
        <v>477</v>
      </c>
      <c r="C179">
        <v>1</v>
      </c>
      <c r="D179">
        <v>20230911</v>
      </c>
      <c r="E179">
        <v>9</v>
      </c>
      <c r="F179">
        <v>411100</v>
      </c>
      <c r="G179" t="s">
        <v>18</v>
      </c>
      <c r="H179" t="s">
        <v>3656</v>
      </c>
      <c r="I179" t="s">
        <v>3657</v>
      </c>
      <c r="J179">
        <v>123090035</v>
      </c>
      <c r="K179">
        <v>20230911</v>
      </c>
      <c r="L179" t="s">
        <v>7266</v>
      </c>
      <c r="M179">
        <v>0</v>
      </c>
      <c r="N179">
        <v>60</v>
      </c>
      <c r="O179" t="s">
        <v>19</v>
      </c>
      <c r="P179" t="s">
        <v>20</v>
      </c>
      <c r="Q179">
        <v>20230911</v>
      </c>
    </row>
    <row r="180" spans="1:17" x14ac:dyDescent="0.25">
      <c r="A180" t="s">
        <v>476</v>
      </c>
      <c r="B180" t="s">
        <v>477</v>
      </c>
      <c r="C180">
        <v>1</v>
      </c>
      <c r="D180">
        <v>20230911</v>
      </c>
      <c r="E180">
        <v>9</v>
      </c>
      <c r="F180">
        <v>511003</v>
      </c>
      <c r="G180" t="s">
        <v>6874</v>
      </c>
      <c r="H180" t="s">
        <v>401</v>
      </c>
      <c r="I180" t="s">
        <v>402</v>
      </c>
      <c r="J180">
        <v>385832</v>
      </c>
      <c r="K180">
        <v>20230911</v>
      </c>
      <c r="L180" t="s">
        <v>7266</v>
      </c>
      <c r="M180">
        <v>60</v>
      </c>
      <c r="N180">
        <v>0</v>
      </c>
      <c r="O180" t="s">
        <v>19</v>
      </c>
      <c r="P180" t="s">
        <v>20</v>
      </c>
      <c r="Q180">
        <v>20230911</v>
      </c>
    </row>
    <row r="181" spans="1:17" x14ac:dyDescent="0.25">
      <c r="A181" t="s">
        <v>476</v>
      </c>
      <c r="B181" t="s">
        <v>477</v>
      </c>
      <c r="C181">
        <v>1</v>
      </c>
      <c r="D181">
        <v>20230912</v>
      </c>
      <c r="E181">
        <v>9</v>
      </c>
      <c r="F181">
        <v>411100</v>
      </c>
      <c r="G181" t="s">
        <v>18</v>
      </c>
      <c r="H181" t="s">
        <v>3924</v>
      </c>
      <c r="I181" t="s">
        <v>3925</v>
      </c>
      <c r="J181">
        <v>385833</v>
      </c>
      <c r="K181">
        <v>20230912</v>
      </c>
      <c r="L181" t="s">
        <v>7265</v>
      </c>
      <c r="M181">
        <v>0</v>
      </c>
      <c r="N181">
        <v>10</v>
      </c>
      <c r="O181" t="s">
        <v>19</v>
      </c>
      <c r="P181" t="s">
        <v>20</v>
      </c>
      <c r="Q181">
        <v>20230912</v>
      </c>
    </row>
    <row r="182" spans="1:17" x14ac:dyDescent="0.25">
      <c r="A182" t="s">
        <v>476</v>
      </c>
      <c r="B182" t="s">
        <v>477</v>
      </c>
      <c r="C182">
        <v>1</v>
      </c>
      <c r="D182">
        <v>20230912</v>
      </c>
      <c r="E182">
        <v>9</v>
      </c>
      <c r="F182">
        <v>511003</v>
      </c>
      <c r="G182" t="s">
        <v>6874</v>
      </c>
      <c r="H182" t="s">
        <v>401</v>
      </c>
      <c r="I182" t="s">
        <v>402</v>
      </c>
      <c r="J182">
        <v>385834</v>
      </c>
      <c r="K182">
        <v>20230912</v>
      </c>
      <c r="L182" t="s">
        <v>7265</v>
      </c>
      <c r="M182">
        <v>10</v>
      </c>
      <c r="N182">
        <v>0</v>
      </c>
      <c r="O182" t="s">
        <v>19</v>
      </c>
      <c r="P182" t="s">
        <v>20</v>
      </c>
      <c r="Q182">
        <v>20230912</v>
      </c>
    </row>
    <row r="183" spans="1:17" x14ac:dyDescent="0.25">
      <c r="A183" t="s">
        <v>476</v>
      </c>
      <c r="B183" t="s">
        <v>477</v>
      </c>
      <c r="C183">
        <v>1</v>
      </c>
      <c r="D183">
        <v>20230913</v>
      </c>
      <c r="E183">
        <v>9</v>
      </c>
      <c r="F183">
        <v>411000</v>
      </c>
      <c r="G183" t="s">
        <v>21</v>
      </c>
      <c r="H183" t="s">
        <v>1616</v>
      </c>
      <c r="I183" t="s">
        <v>1617</v>
      </c>
      <c r="J183">
        <v>123070057</v>
      </c>
      <c r="K183">
        <v>20230913</v>
      </c>
      <c r="L183" t="s">
        <v>7264</v>
      </c>
      <c r="M183">
        <v>0</v>
      </c>
      <c r="N183">
        <v>240</v>
      </c>
      <c r="O183" t="s">
        <v>19</v>
      </c>
      <c r="P183" t="s">
        <v>20</v>
      </c>
      <c r="Q183">
        <v>20230913</v>
      </c>
    </row>
    <row r="184" spans="1:17" x14ac:dyDescent="0.25">
      <c r="A184" t="s">
        <v>476</v>
      </c>
      <c r="B184" t="s">
        <v>477</v>
      </c>
      <c r="C184">
        <v>1</v>
      </c>
      <c r="D184">
        <v>20230913</v>
      </c>
      <c r="E184">
        <v>9</v>
      </c>
      <c r="F184">
        <v>511003</v>
      </c>
      <c r="G184" t="s">
        <v>6874</v>
      </c>
      <c r="H184" t="s">
        <v>401</v>
      </c>
      <c r="I184" t="s">
        <v>402</v>
      </c>
      <c r="J184">
        <v>385836</v>
      </c>
      <c r="K184">
        <v>20230913</v>
      </c>
      <c r="L184" t="s">
        <v>7264</v>
      </c>
      <c r="M184">
        <v>240</v>
      </c>
      <c r="N184">
        <v>0</v>
      </c>
      <c r="O184" t="s">
        <v>19</v>
      </c>
      <c r="P184" t="s">
        <v>20</v>
      </c>
      <c r="Q184">
        <v>20230913</v>
      </c>
    </row>
    <row r="185" spans="1:17" x14ac:dyDescent="0.25">
      <c r="A185" t="s">
        <v>476</v>
      </c>
      <c r="B185" t="s">
        <v>477</v>
      </c>
      <c r="C185">
        <v>1</v>
      </c>
      <c r="D185">
        <v>20230914</v>
      </c>
      <c r="E185">
        <v>9</v>
      </c>
      <c r="F185">
        <v>411100</v>
      </c>
      <c r="G185" t="s">
        <v>18</v>
      </c>
      <c r="H185" t="s">
        <v>4143</v>
      </c>
      <c r="I185" t="s">
        <v>4144</v>
      </c>
      <c r="J185">
        <v>385837</v>
      </c>
      <c r="K185">
        <v>20230914</v>
      </c>
      <c r="L185" t="s">
        <v>7263</v>
      </c>
      <c r="M185">
        <v>0</v>
      </c>
      <c r="N185">
        <v>10</v>
      </c>
      <c r="O185" t="s">
        <v>19</v>
      </c>
      <c r="P185" t="s">
        <v>20</v>
      </c>
      <c r="Q185">
        <v>20230914</v>
      </c>
    </row>
    <row r="186" spans="1:17" x14ac:dyDescent="0.25">
      <c r="A186" t="s">
        <v>476</v>
      </c>
      <c r="B186" t="s">
        <v>477</v>
      </c>
      <c r="C186">
        <v>1</v>
      </c>
      <c r="D186">
        <v>20230914</v>
      </c>
      <c r="E186">
        <v>9</v>
      </c>
      <c r="F186">
        <v>511003</v>
      </c>
      <c r="G186" t="s">
        <v>6874</v>
      </c>
      <c r="H186" t="s">
        <v>401</v>
      </c>
      <c r="I186" t="s">
        <v>402</v>
      </c>
      <c r="J186">
        <v>385838</v>
      </c>
      <c r="K186">
        <v>20230914</v>
      </c>
      <c r="L186" t="s">
        <v>7263</v>
      </c>
      <c r="M186">
        <v>10</v>
      </c>
      <c r="N186">
        <v>0</v>
      </c>
      <c r="O186" t="s">
        <v>19</v>
      </c>
      <c r="P186" t="s">
        <v>20</v>
      </c>
      <c r="Q186">
        <v>20230914</v>
      </c>
    </row>
    <row r="187" spans="1:17" x14ac:dyDescent="0.25">
      <c r="A187" t="s">
        <v>476</v>
      </c>
      <c r="B187" t="s">
        <v>477</v>
      </c>
      <c r="C187">
        <v>1</v>
      </c>
      <c r="D187">
        <v>20230914</v>
      </c>
      <c r="E187">
        <v>9</v>
      </c>
      <c r="F187">
        <v>411100</v>
      </c>
      <c r="G187" t="s">
        <v>18</v>
      </c>
      <c r="H187" t="s">
        <v>4143</v>
      </c>
      <c r="I187" t="s">
        <v>4144</v>
      </c>
      <c r="J187">
        <v>385839</v>
      </c>
      <c r="K187">
        <v>20230914</v>
      </c>
      <c r="L187" t="s">
        <v>7262</v>
      </c>
      <c r="M187">
        <v>0</v>
      </c>
      <c r="N187">
        <v>103.4</v>
      </c>
      <c r="O187" t="s">
        <v>19</v>
      </c>
      <c r="P187" t="s">
        <v>20</v>
      </c>
      <c r="Q187">
        <v>20230914</v>
      </c>
    </row>
    <row r="188" spans="1:17" x14ac:dyDescent="0.25">
      <c r="A188" t="s">
        <v>476</v>
      </c>
      <c r="B188" t="s">
        <v>477</v>
      </c>
      <c r="C188">
        <v>1</v>
      </c>
      <c r="D188">
        <v>20230914</v>
      </c>
      <c r="E188">
        <v>9</v>
      </c>
      <c r="F188">
        <v>511003</v>
      </c>
      <c r="G188" t="s">
        <v>6874</v>
      </c>
      <c r="H188" t="s">
        <v>401</v>
      </c>
      <c r="I188" t="s">
        <v>402</v>
      </c>
      <c r="J188">
        <v>385840</v>
      </c>
      <c r="K188">
        <v>20230914</v>
      </c>
      <c r="L188" t="s">
        <v>7262</v>
      </c>
      <c r="M188">
        <v>103.4</v>
      </c>
      <c r="N188">
        <v>0</v>
      </c>
      <c r="O188" t="s">
        <v>19</v>
      </c>
      <c r="P188" t="s">
        <v>20</v>
      </c>
      <c r="Q188">
        <v>20230914</v>
      </c>
    </row>
    <row r="189" spans="1:17" x14ac:dyDescent="0.25">
      <c r="A189" t="s">
        <v>476</v>
      </c>
      <c r="B189" t="s">
        <v>477</v>
      </c>
      <c r="C189">
        <v>1</v>
      </c>
      <c r="D189">
        <v>20230905</v>
      </c>
      <c r="E189">
        <v>9</v>
      </c>
      <c r="F189">
        <v>411010</v>
      </c>
      <c r="G189" t="s">
        <v>87</v>
      </c>
      <c r="H189" t="s">
        <v>365</v>
      </c>
      <c r="I189" t="s">
        <v>366</v>
      </c>
      <c r="J189">
        <v>223060004</v>
      </c>
      <c r="K189">
        <v>20230905</v>
      </c>
      <c r="L189" t="s">
        <v>7261</v>
      </c>
      <c r="M189">
        <v>0</v>
      </c>
      <c r="N189">
        <v>358.09</v>
      </c>
      <c r="O189" t="s">
        <v>19</v>
      </c>
      <c r="P189" t="s">
        <v>20</v>
      </c>
      <c r="Q189">
        <v>20230905</v>
      </c>
    </row>
    <row r="190" spans="1:17" x14ac:dyDescent="0.25">
      <c r="A190" t="s">
        <v>476</v>
      </c>
      <c r="B190" t="s">
        <v>477</v>
      </c>
      <c r="C190">
        <v>1</v>
      </c>
      <c r="D190">
        <v>20230905</v>
      </c>
      <c r="E190">
        <v>9</v>
      </c>
      <c r="F190">
        <v>511003</v>
      </c>
      <c r="G190" t="s">
        <v>6874</v>
      </c>
      <c r="H190" t="s">
        <v>401</v>
      </c>
      <c r="I190" t="s">
        <v>402</v>
      </c>
      <c r="J190">
        <v>386216</v>
      </c>
      <c r="K190">
        <v>20230905</v>
      </c>
      <c r="L190" t="s">
        <v>7261</v>
      </c>
      <c r="M190">
        <v>358.09</v>
      </c>
      <c r="N190">
        <v>0</v>
      </c>
      <c r="O190" t="s">
        <v>19</v>
      </c>
      <c r="P190" t="s">
        <v>20</v>
      </c>
      <c r="Q190">
        <v>20230905</v>
      </c>
    </row>
    <row r="191" spans="1:17" x14ac:dyDescent="0.25">
      <c r="A191" t="s">
        <v>476</v>
      </c>
      <c r="B191" t="s">
        <v>477</v>
      </c>
      <c r="C191">
        <v>1</v>
      </c>
      <c r="D191">
        <v>20230905</v>
      </c>
      <c r="E191">
        <v>9</v>
      </c>
      <c r="F191">
        <v>411100</v>
      </c>
      <c r="G191" t="s">
        <v>18</v>
      </c>
      <c r="H191" t="s">
        <v>694</v>
      </c>
      <c r="I191" t="s">
        <v>695</v>
      </c>
      <c r="J191">
        <v>223070004</v>
      </c>
      <c r="K191">
        <v>20230905</v>
      </c>
      <c r="L191" t="s">
        <v>7260</v>
      </c>
      <c r="M191">
        <v>0</v>
      </c>
      <c r="N191">
        <v>37.659999999999997</v>
      </c>
      <c r="O191" t="s">
        <v>19</v>
      </c>
      <c r="P191" t="s">
        <v>20</v>
      </c>
      <c r="Q191">
        <v>20230905</v>
      </c>
    </row>
    <row r="192" spans="1:17" x14ac:dyDescent="0.25">
      <c r="A192" t="s">
        <v>476</v>
      </c>
      <c r="B192" t="s">
        <v>477</v>
      </c>
      <c r="C192">
        <v>1</v>
      </c>
      <c r="D192">
        <v>20230905</v>
      </c>
      <c r="E192">
        <v>9</v>
      </c>
      <c r="F192">
        <v>511003</v>
      </c>
      <c r="G192" t="s">
        <v>6874</v>
      </c>
      <c r="H192" t="s">
        <v>401</v>
      </c>
      <c r="I192" t="s">
        <v>402</v>
      </c>
      <c r="J192">
        <v>386218</v>
      </c>
      <c r="K192">
        <v>20230905</v>
      </c>
      <c r="L192" t="s">
        <v>7260</v>
      </c>
      <c r="M192">
        <v>37.659999999999997</v>
      </c>
      <c r="N192">
        <v>0</v>
      </c>
      <c r="O192" t="s">
        <v>19</v>
      </c>
      <c r="P192" t="s">
        <v>20</v>
      </c>
      <c r="Q192">
        <v>20230905</v>
      </c>
    </row>
    <row r="193" spans="1:17" x14ac:dyDescent="0.25">
      <c r="A193" t="s">
        <v>476</v>
      </c>
      <c r="B193" t="s">
        <v>477</v>
      </c>
      <c r="C193">
        <v>1</v>
      </c>
      <c r="D193">
        <v>20230906</v>
      </c>
      <c r="E193">
        <v>9</v>
      </c>
      <c r="F193">
        <v>411010</v>
      </c>
      <c r="G193" t="s">
        <v>87</v>
      </c>
      <c r="H193" t="s">
        <v>4467</v>
      </c>
      <c r="I193" t="s">
        <v>4468</v>
      </c>
      <c r="J193">
        <v>223070012</v>
      </c>
      <c r="K193">
        <v>20230906</v>
      </c>
      <c r="L193" t="s">
        <v>7259</v>
      </c>
      <c r="M193">
        <v>0</v>
      </c>
      <c r="N193">
        <v>76.989999999999995</v>
      </c>
      <c r="O193" t="s">
        <v>19</v>
      </c>
      <c r="P193" t="s">
        <v>20</v>
      </c>
      <c r="Q193">
        <v>20230906</v>
      </c>
    </row>
    <row r="194" spans="1:17" x14ac:dyDescent="0.25">
      <c r="A194" t="s">
        <v>476</v>
      </c>
      <c r="B194" t="s">
        <v>477</v>
      </c>
      <c r="C194">
        <v>1</v>
      </c>
      <c r="D194">
        <v>20230906</v>
      </c>
      <c r="E194">
        <v>9</v>
      </c>
      <c r="F194">
        <v>511003</v>
      </c>
      <c r="G194" t="s">
        <v>6874</v>
      </c>
      <c r="H194" t="s">
        <v>401</v>
      </c>
      <c r="I194" t="s">
        <v>402</v>
      </c>
      <c r="J194">
        <v>386220</v>
      </c>
      <c r="K194">
        <v>20230906</v>
      </c>
      <c r="L194" t="s">
        <v>7259</v>
      </c>
      <c r="M194">
        <v>76.989999999999995</v>
      </c>
      <c r="N194">
        <v>0</v>
      </c>
      <c r="O194" t="s">
        <v>19</v>
      </c>
      <c r="P194" t="s">
        <v>20</v>
      </c>
      <c r="Q194">
        <v>20230906</v>
      </c>
    </row>
    <row r="195" spans="1:17" x14ac:dyDescent="0.25">
      <c r="A195" t="s">
        <v>476</v>
      </c>
      <c r="B195" t="s">
        <v>477</v>
      </c>
      <c r="C195">
        <v>1</v>
      </c>
      <c r="D195">
        <v>20230908</v>
      </c>
      <c r="E195">
        <v>9</v>
      </c>
      <c r="F195">
        <v>411100</v>
      </c>
      <c r="G195" t="s">
        <v>18</v>
      </c>
      <c r="H195" t="s">
        <v>352</v>
      </c>
      <c r="I195" t="s">
        <v>353</v>
      </c>
      <c r="J195">
        <v>223070027</v>
      </c>
      <c r="K195">
        <v>20230908</v>
      </c>
      <c r="L195" t="s">
        <v>7258</v>
      </c>
      <c r="M195">
        <v>0</v>
      </c>
      <c r="N195">
        <v>421.6</v>
      </c>
      <c r="O195" t="s">
        <v>19</v>
      </c>
      <c r="P195" t="s">
        <v>20</v>
      </c>
      <c r="Q195">
        <v>20230908</v>
      </c>
    </row>
    <row r="196" spans="1:17" x14ac:dyDescent="0.25">
      <c r="A196" t="s">
        <v>476</v>
      </c>
      <c r="B196" t="s">
        <v>477</v>
      </c>
      <c r="C196">
        <v>1</v>
      </c>
      <c r="D196">
        <v>20230908</v>
      </c>
      <c r="E196">
        <v>9</v>
      </c>
      <c r="F196">
        <v>511003</v>
      </c>
      <c r="G196" t="s">
        <v>6874</v>
      </c>
      <c r="H196" t="s">
        <v>401</v>
      </c>
      <c r="I196" t="s">
        <v>402</v>
      </c>
      <c r="J196">
        <v>386222</v>
      </c>
      <c r="K196">
        <v>20230908</v>
      </c>
      <c r="L196" t="s">
        <v>7258</v>
      </c>
      <c r="M196">
        <v>421.6</v>
      </c>
      <c r="N196">
        <v>0</v>
      </c>
      <c r="O196" t="s">
        <v>19</v>
      </c>
      <c r="P196" t="s">
        <v>20</v>
      </c>
      <c r="Q196">
        <v>20230908</v>
      </c>
    </row>
    <row r="197" spans="1:17" x14ac:dyDescent="0.25">
      <c r="A197" t="s">
        <v>476</v>
      </c>
      <c r="B197" t="s">
        <v>477</v>
      </c>
      <c r="C197">
        <v>1</v>
      </c>
      <c r="D197">
        <v>20230911</v>
      </c>
      <c r="E197">
        <v>9</v>
      </c>
      <c r="F197">
        <v>411100</v>
      </c>
      <c r="G197" t="s">
        <v>18</v>
      </c>
      <c r="H197" t="s">
        <v>77</v>
      </c>
      <c r="I197" t="s">
        <v>78</v>
      </c>
      <c r="J197">
        <v>223060018</v>
      </c>
      <c r="K197">
        <v>20230911</v>
      </c>
      <c r="L197" t="s">
        <v>7257</v>
      </c>
      <c r="M197">
        <v>0</v>
      </c>
      <c r="N197">
        <v>88.88</v>
      </c>
      <c r="O197" t="s">
        <v>19</v>
      </c>
      <c r="P197" t="s">
        <v>20</v>
      </c>
      <c r="Q197">
        <v>20230911</v>
      </c>
    </row>
    <row r="198" spans="1:17" x14ac:dyDescent="0.25">
      <c r="A198" t="s">
        <v>476</v>
      </c>
      <c r="B198" t="s">
        <v>477</v>
      </c>
      <c r="C198">
        <v>1</v>
      </c>
      <c r="D198">
        <v>20230911</v>
      </c>
      <c r="E198">
        <v>9</v>
      </c>
      <c r="F198">
        <v>511003</v>
      </c>
      <c r="G198" t="s">
        <v>6874</v>
      </c>
      <c r="H198" t="s">
        <v>401</v>
      </c>
      <c r="I198" t="s">
        <v>402</v>
      </c>
      <c r="J198">
        <v>386224</v>
      </c>
      <c r="K198">
        <v>20230911</v>
      </c>
      <c r="L198" t="s">
        <v>7257</v>
      </c>
      <c r="M198">
        <v>88.88</v>
      </c>
      <c r="N198">
        <v>0</v>
      </c>
      <c r="O198" t="s">
        <v>19</v>
      </c>
      <c r="P198" t="s">
        <v>20</v>
      </c>
      <c r="Q198">
        <v>20230911</v>
      </c>
    </row>
    <row r="199" spans="1:17" x14ac:dyDescent="0.25">
      <c r="A199" t="s">
        <v>476</v>
      </c>
      <c r="B199" t="s">
        <v>477</v>
      </c>
      <c r="C199">
        <v>1</v>
      </c>
      <c r="D199">
        <v>20230908</v>
      </c>
      <c r="E199">
        <v>9</v>
      </c>
      <c r="F199">
        <v>411020</v>
      </c>
      <c r="G199" t="s">
        <v>30</v>
      </c>
      <c r="H199" t="s">
        <v>332</v>
      </c>
      <c r="I199" t="s">
        <v>333</v>
      </c>
      <c r="J199">
        <v>323070023</v>
      </c>
      <c r="K199">
        <v>20230908</v>
      </c>
      <c r="L199" t="s">
        <v>7256</v>
      </c>
      <c r="M199">
        <v>0</v>
      </c>
      <c r="N199">
        <v>56.92</v>
      </c>
      <c r="O199" t="s">
        <v>19</v>
      </c>
      <c r="P199" t="s">
        <v>20</v>
      </c>
      <c r="Q199">
        <v>20230908</v>
      </c>
    </row>
    <row r="200" spans="1:17" x14ac:dyDescent="0.25">
      <c r="A200" t="s">
        <v>476</v>
      </c>
      <c r="B200" t="s">
        <v>477</v>
      </c>
      <c r="C200">
        <v>1</v>
      </c>
      <c r="D200">
        <v>20230908</v>
      </c>
      <c r="E200">
        <v>9</v>
      </c>
      <c r="F200">
        <v>511003</v>
      </c>
      <c r="G200" t="s">
        <v>6874</v>
      </c>
      <c r="H200" t="s">
        <v>401</v>
      </c>
      <c r="I200" t="s">
        <v>402</v>
      </c>
      <c r="J200">
        <v>386274</v>
      </c>
      <c r="K200">
        <v>20230908</v>
      </c>
      <c r="L200" t="s">
        <v>7256</v>
      </c>
      <c r="M200">
        <v>56.92</v>
      </c>
      <c r="N200">
        <v>0</v>
      </c>
      <c r="O200" t="s">
        <v>19</v>
      </c>
      <c r="P200" t="s">
        <v>20</v>
      </c>
      <c r="Q200">
        <v>20230908</v>
      </c>
    </row>
    <row r="201" spans="1:17" x14ac:dyDescent="0.25">
      <c r="A201" t="s">
        <v>476</v>
      </c>
      <c r="B201" t="s">
        <v>477</v>
      </c>
      <c r="C201">
        <v>1</v>
      </c>
      <c r="D201">
        <v>20230914</v>
      </c>
      <c r="E201">
        <v>9</v>
      </c>
      <c r="F201">
        <v>411100</v>
      </c>
      <c r="G201" t="s">
        <v>18</v>
      </c>
      <c r="H201" t="s">
        <v>263</v>
      </c>
      <c r="I201" t="s">
        <v>264</v>
      </c>
      <c r="J201">
        <v>323060009</v>
      </c>
      <c r="K201">
        <v>20230914</v>
      </c>
      <c r="L201" t="s">
        <v>7255</v>
      </c>
      <c r="M201">
        <v>0</v>
      </c>
      <c r="N201">
        <v>47.79</v>
      </c>
      <c r="O201" t="s">
        <v>19</v>
      </c>
      <c r="P201" t="s">
        <v>20</v>
      </c>
      <c r="Q201">
        <v>20230914</v>
      </c>
    </row>
    <row r="202" spans="1:17" x14ac:dyDescent="0.25">
      <c r="A202" t="s">
        <v>476</v>
      </c>
      <c r="B202" t="s">
        <v>477</v>
      </c>
      <c r="C202">
        <v>1</v>
      </c>
      <c r="D202">
        <v>20230914</v>
      </c>
      <c r="E202">
        <v>9</v>
      </c>
      <c r="F202">
        <v>511003</v>
      </c>
      <c r="G202" t="s">
        <v>6874</v>
      </c>
      <c r="H202" t="s">
        <v>401</v>
      </c>
      <c r="I202" t="s">
        <v>402</v>
      </c>
      <c r="J202">
        <v>386276</v>
      </c>
      <c r="K202">
        <v>20230914</v>
      </c>
      <c r="L202" t="s">
        <v>7255</v>
      </c>
      <c r="M202">
        <v>47.79</v>
      </c>
      <c r="N202">
        <v>0</v>
      </c>
      <c r="O202" t="s">
        <v>19</v>
      </c>
      <c r="P202" t="s">
        <v>20</v>
      </c>
      <c r="Q202">
        <v>20230914</v>
      </c>
    </row>
    <row r="203" spans="1:17" x14ac:dyDescent="0.25">
      <c r="A203" t="s">
        <v>476</v>
      </c>
      <c r="B203" t="s">
        <v>477</v>
      </c>
      <c r="C203">
        <v>1</v>
      </c>
      <c r="D203">
        <v>20230915</v>
      </c>
      <c r="E203">
        <v>9</v>
      </c>
      <c r="F203">
        <v>411100</v>
      </c>
      <c r="G203" t="s">
        <v>18</v>
      </c>
      <c r="H203" t="s">
        <v>4139</v>
      </c>
      <c r="I203" t="s">
        <v>4140</v>
      </c>
      <c r="J203">
        <v>123090038</v>
      </c>
      <c r="K203">
        <v>20230915</v>
      </c>
      <c r="L203" t="s">
        <v>7254</v>
      </c>
      <c r="M203">
        <v>0</v>
      </c>
      <c r="N203">
        <v>241</v>
      </c>
      <c r="O203" t="s">
        <v>19</v>
      </c>
      <c r="P203" t="s">
        <v>20</v>
      </c>
      <c r="Q203">
        <v>20230915</v>
      </c>
    </row>
    <row r="204" spans="1:17" x14ac:dyDescent="0.25">
      <c r="A204" t="s">
        <v>476</v>
      </c>
      <c r="B204" t="s">
        <v>477</v>
      </c>
      <c r="C204">
        <v>1</v>
      </c>
      <c r="D204">
        <v>20230915</v>
      </c>
      <c r="E204">
        <v>9</v>
      </c>
      <c r="F204">
        <v>511003</v>
      </c>
      <c r="G204" t="s">
        <v>6874</v>
      </c>
      <c r="H204" t="s">
        <v>401</v>
      </c>
      <c r="I204" t="s">
        <v>402</v>
      </c>
      <c r="J204">
        <v>387463</v>
      </c>
      <c r="K204">
        <v>20230915</v>
      </c>
      <c r="L204" t="s">
        <v>7254</v>
      </c>
      <c r="M204">
        <v>241</v>
      </c>
      <c r="N204">
        <v>0</v>
      </c>
      <c r="O204" t="s">
        <v>19</v>
      </c>
      <c r="P204" t="s">
        <v>20</v>
      </c>
      <c r="Q204">
        <v>20230915</v>
      </c>
    </row>
    <row r="205" spans="1:17" x14ac:dyDescent="0.25">
      <c r="A205" t="s">
        <v>476</v>
      </c>
      <c r="B205" t="s">
        <v>477</v>
      </c>
      <c r="C205">
        <v>1</v>
      </c>
      <c r="D205">
        <v>20230915</v>
      </c>
      <c r="E205">
        <v>9</v>
      </c>
      <c r="F205">
        <v>411100</v>
      </c>
      <c r="G205" t="s">
        <v>18</v>
      </c>
      <c r="H205" t="s">
        <v>7253</v>
      </c>
      <c r="I205" t="s">
        <v>1306</v>
      </c>
      <c r="J205">
        <v>123090039</v>
      </c>
      <c r="K205">
        <v>20230915</v>
      </c>
      <c r="L205" t="s">
        <v>7252</v>
      </c>
      <c r="M205">
        <v>0</v>
      </c>
      <c r="N205">
        <v>195</v>
      </c>
      <c r="O205" t="s">
        <v>23</v>
      </c>
      <c r="P205">
        <v>20231031</v>
      </c>
      <c r="Q205">
        <v>20230915</v>
      </c>
    </row>
    <row r="206" spans="1:17" x14ac:dyDescent="0.25">
      <c r="A206" t="s">
        <v>476</v>
      </c>
      <c r="B206" t="s">
        <v>477</v>
      </c>
      <c r="C206">
        <v>1</v>
      </c>
      <c r="D206">
        <v>20230915</v>
      </c>
      <c r="E206">
        <v>9</v>
      </c>
      <c r="F206">
        <v>511003</v>
      </c>
      <c r="G206" t="s">
        <v>6874</v>
      </c>
      <c r="H206" t="s">
        <v>401</v>
      </c>
      <c r="I206" t="s">
        <v>402</v>
      </c>
      <c r="J206">
        <v>387465</v>
      </c>
      <c r="K206">
        <v>20230915</v>
      </c>
      <c r="L206" t="s">
        <v>7252</v>
      </c>
      <c r="M206">
        <v>195</v>
      </c>
      <c r="N206">
        <v>0</v>
      </c>
      <c r="O206" t="s">
        <v>19</v>
      </c>
      <c r="P206" t="s">
        <v>20</v>
      </c>
      <c r="Q206">
        <v>20230915</v>
      </c>
    </row>
    <row r="207" spans="1:17" x14ac:dyDescent="0.25">
      <c r="A207" t="s">
        <v>476</v>
      </c>
      <c r="B207" t="s">
        <v>477</v>
      </c>
      <c r="C207">
        <v>1</v>
      </c>
      <c r="D207">
        <v>20230915</v>
      </c>
      <c r="E207">
        <v>9</v>
      </c>
      <c r="F207">
        <v>411010</v>
      </c>
      <c r="G207" t="s">
        <v>87</v>
      </c>
      <c r="H207" t="s">
        <v>227</v>
      </c>
      <c r="I207" t="s">
        <v>228</v>
      </c>
      <c r="J207">
        <v>387466</v>
      </c>
      <c r="K207">
        <v>20230915</v>
      </c>
      <c r="L207" t="s">
        <v>7251</v>
      </c>
      <c r="M207">
        <v>0</v>
      </c>
      <c r="N207">
        <v>40</v>
      </c>
      <c r="O207" t="s">
        <v>19</v>
      </c>
      <c r="P207" t="s">
        <v>20</v>
      </c>
      <c r="Q207">
        <v>20230915</v>
      </c>
    </row>
    <row r="208" spans="1:17" x14ac:dyDescent="0.25">
      <c r="A208" t="s">
        <v>476</v>
      </c>
      <c r="B208" t="s">
        <v>477</v>
      </c>
      <c r="C208">
        <v>1</v>
      </c>
      <c r="D208">
        <v>20230915</v>
      </c>
      <c r="E208">
        <v>9</v>
      </c>
      <c r="F208">
        <v>511003</v>
      </c>
      <c r="G208" t="s">
        <v>6874</v>
      </c>
      <c r="H208" t="s">
        <v>401</v>
      </c>
      <c r="I208" t="s">
        <v>402</v>
      </c>
      <c r="J208">
        <v>387467</v>
      </c>
      <c r="K208">
        <v>20230915</v>
      </c>
      <c r="L208" t="s">
        <v>7251</v>
      </c>
      <c r="M208">
        <v>40</v>
      </c>
      <c r="N208">
        <v>0</v>
      </c>
      <c r="O208" t="s">
        <v>19</v>
      </c>
      <c r="P208" t="s">
        <v>20</v>
      </c>
      <c r="Q208">
        <v>20230915</v>
      </c>
    </row>
    <row r="209" spans="1:17" x14ac:dyDescent="0.25">
      <c r="A209" t="s">
        <v>476</v>
      </c>
      <c r="B209" t="s">
        <v>477</v>
      </c>
      <c r="C209">
        <v>1</v>
      </c>
      <c r="D209">
        <v>20230918</v>
      </c>
      <c r="E209">
        <v>9</v>
      </c>
      <c r="F209">
        <v>411100</v>
      </c>
      <c r="G209" t="s">
        <v>18</v>
      </c>
      <c r="H209" t="s">
        <v>7250</v>
      </c>
      <c r="I209" t="s">
        <v>7249</v>
      </c>
      <c r="J209">
        <v>387468</v>
      </c>
      <c r="K209">
        <v>20230918</v>
      </c>
      <c r="L209" t="s">
        <v>7248</v>
      </c>
      <c r="M209">
        <v>0</v>
      </c>
      <c r="N209">
        <v>13</v>
      </c>
      <c r="O209" t="s">
        <v>19</v>
      </c>
      <c r="P209" t="s">
        <v>20</v>
      </c>
      <c r="Q209">
        <v>20230918</v>
      </c>
    </row>
    <row r="210" spans="1:17" x14ac:dyDescent="0.25">
      <c r="A210" t="s">
        <v>476</v>
      </c>
      <c r="B210" t="s">
        <v>477</v>
      </c>
      <c r="C210">
        <v>1</v>
      </c>
      <c r="D210">
        <v>20230918</v>
      </c>
      <c r="E210">
        <v>9</v>
      </c>
      <c r="F210">
        <v>511003</v>
      </c>
      <c r="G210" t="s">
        <v>6874</v>
      </c>
      <c r="H210" t="s">
        <v>401</v>
      </c>
      <c r="I210" t="s">
        <v>402</v>
      </c>
      <c r="J210">
        <v>387469</v>
      </c>
      <c r="K210">
        <v>20230918</v>
      </c>
      <c r="L210" t="s">
        <v>7248</v>
      </c>
      <c r="M210">
        <v>13</v>
      </c>
      <c r="N210">
        <v>0</v>
      </c>
      <c r="O210" t="s">
        <v>19</v>
      </c>
      <c r="P210" t="s">
        <v>20</v>
      </c>
      <c r="Q210">
        <v>20230918</v>
      </c>
    </row>
    <row r="211" spans="1:17" x14ac:dyDescent="0.25">
      <c r="A211" t="s">
        <v>476</v>
      </c>
      <c r="B211" t="s">
        <v>477</v>
      </c>
      <c r="C211">
        <v>1</v>
      </c>
      <c r="D211">
        <v>20230918</v>
      </c>
      <c r="E211">
        <v>9</v>
      </c>
      <c r="F211">
        <v>411100</v>
      </c>
      <c r="G211" t="s">
        <v>18</v>
      </c>
      <c r="H211" t="s">
        <v>4143</v>
      </c>
      <c r="I211" t="s">
        <v>4144</v>
      </c>
      <c r="J211">
        <v>387470</v>
      </c>
      <c r="K211">
        <v>20230918</v>
      </c>
      <c r="L211" t="s">
        <v>7247</v>
      </c>
      <c r="M211">
        <v>0</v>
      </c>
      <c r="N211">
        <v>12</v>
      </c>
      <c r="O211" t="s">
        <v>19</v>
      </c>
      <c r="P211" t="s">
        <v>20</v>
      </c>
      <c r="Q211">
        <v>20230918</v>
      </c>
    </row>
    <row r="212" spans="1:17" x14ac:dyDescent="0.25">
      <c r="A212" t="s">
        <v>476</v>
      </c>
      <c r="B212" t="s">
        <v>477</v>
      </c>
      <c r="C212">
        <v>1</v>
      </c>
      <c r="D212">
        <v>20230918</v>
      </c>
      <c r="E212">
        <v>9</v>
      </c>
      <c r="F212">
        <v>511003</v>
      </c>
      <c r="G212" t="s">
        <v>6874</v>
      </c>
      <c r="H212" t="s">
        <v>401</v>
      </c>
      <c r="I212" t="s">
        <v>402</v>
      </c>
      <c r="J212">
        <v>387471</v>
      </c>
      <c r="K212">
        <v>20230918</v>
      </c>
      <c r="L212" t="s">
        <v>7247</v>
      </c>
      <c r="M212">
        <v>12</v>
      </c>
      <c r="N212">
        <v>0</v>
      </c>
      <c r="O212" t="s">
        <v>19</v>
      </c>
      <c r="P212" t="s">
        <v>20</v>
      </c>
      <c r="Q212">
        <v>20230918</v>
      </c>
    </row>
    <row r="213" spans="1:17" x14ac:dyDescent="0.25">
      <c r="A213" t="s">
        <v>476</v>
      </c>
      <c r="B213" t="s">
        <v>477</v>
      </c>
      <c r="C213">
        <v>1</v>
      </c>
      <c r="D213">
        <v>20230918</v>
      </c>
      <c r="E213">
        <v>9</v>
      </c>
      <c r="F213">
        <v>411100</v>
      </c>
      <c r="G213" t="s">
        <v>18</v>
      </c>
      <c r="H213" t="s">
        <v>7246</v>
      </c>
      <c r="I213" t="s">
        <v>7245</v>
      </c>
      <c r="J213">
        <v>387472</v>
      </c>
      <c r="K213">
        <v>20230918</v>
      </c>
      <c r="L213" t="s">
        <v>7244</v>
      </c>
      <c r="M213">
        <v>0</v>
      </c>
      <c r="N213">
        <v>22</v>
      </c>
      <c r="O213" t="s">
        <v>19</v>
      </c>
      <c r="P213" t="s">
        <v>20</v>
      </c>
      <c r="Q213">
        <v>20230918</v>
      </c>
    </row>
    <row r="214" spans="1:17" x14ac:dyDescent="0.25">
      <c r="A214" t="s">
        <v>476</v>
      </c>
      <c r="B214" t="s">
        <v>477</v>
      </c>
      <c r="C214">
        <v>1</v>
      </c>
      <c r="D214">
        <v>20230918</v>
      </c>
      <c r="E214">
        <v>9</v>
      </c>
      <c r="F214">
        <v>511003</v>
      </c>
      <c r="G214" t="s">
        <v>6874</v>
      </c>
      <c r="H214" t="s">
        <v>401</v>
      </c>
      <c r="I214" t="s">
        <v>402</v>
      </c>
      <c r="J214">
        <v>387473</v>
      </c>
      <c r="K214">
        <v>20230918</v>
      </c>
      <c r="L214" t="s">
        <v>7244</v>
      </c>
      <c r="M214">
        <v>22</v>
      </c>
      <c r="N214">
        <v>0</v>
      </c>
      <c r="O214" t="s">
        <v>19</v>
      </c>
      <c r="P214" t="s">
        <v>20</v>
      </c>
      <c r="Q214">
        <v>20230918</v>
      </c>
    </row>
    <row r="215" spans="1:17" x14ac:dyDescent="0.25">
      <c r="A215" t="s">
        <v>476</v>
      </c>
      <c r="B215" t="s">
        <v>477</v>
      </c>
      <c r="C215">
        <v>1</v>
      </c>
      <c r="D215">
        <v>20230918</v>
      </c>
      <c r="E215">
        <v>9</v>
      </c>
      <c r="F215">
        <v>411100</v>
      </c>
      <c r="G215" t="s">
        <v>18</v>
      </c>
      <c r="H215" t="s">
        <v>7243</v>
      </c>
      <c r="I215" t="s">
        <v>7242</v>
      </c>
      <c r="J215">
        <v>387474</v>
      </c>
      <c r="K215">
        <v>20230918</v>
      </c>
      <c r="L215" t="s">
        <v>7241</v>
      </c>
      <c r="M215">
        <v>0</v>
      </c>
      <c r="N215">
        <v>13</v>
      </c>
      <c r="O215" t="s">
        <v>19</v>
      </c>
      <c r="P215" t="s">
        <v>20</v>
      </c>
      <c r="Q215">
        <v>20230918</v>
      </c>
    </row>
    <row r="216" spans="1:17" x14ac:dyDescent="0.25">
      <c r="A216" t="s">
        <v>476</v>
      </c>
      <c r="B216" t="s">
        <v>477</v>
      </c>
      <c r="C216">
        <v>1</v>
      </c>
      <c r="D216">
        <v>20230918</v>
      </c>
      <c r="E216">
        <v>9</v>
      </c>
      <c r="F216">
        <v>511003</v>
      </c>
      <c r="G216" t="s">
        <v>6874</v>
      </c>
      <c r="H216" t="s">
        <v>401</v>
      </c>
      <c r="I216" t="s">
        <v>402</v>
      </c>
      <c r="J216">
        <v>387475</v>
      </c>
      <c r="K216">
        <v>20230918</v>
      </c>
      <c r="L216" t="s">
        <v>7241</v>
      </c>
      <c r="M216">
        <v>13</v>
      </c>
      <c r="N216">
        <v>0</v>
      </c>
      <c r="O216" t="s">
        <v>19</v>
      </c>
      <c r="P216" t="s">
        <v>20</v>
      </c>
      <c r="Q216">
        <v>20230918</v>
      </c>
    </row>
    <row r="217" spans="1:17" x14ac:dyDescent="0.25">
      <c r="A217" t="s">
        <v>476</v>
      </c>
      <c r="B217" t="s">
        <v>477</v>
      </c>
      <c r="C217">
        <v>1</v>
      </c>
      <c r="D217">
        <v>20230918</v>
      </c>
      <c r="E217">
        <v>9</v>
      </c>
      <c r="F217">
        <v>411100</v>
      </c>
      <c r="G217" t="s">
        <v>18</v>
      </c>
      <c r="H217" t="s">
        <v>213</v>
      </c>
      <c r="I217" t="s">
        <v>214</v>
      </c>
      <c r="J217">
        <v>387476</v>
      </c>
      <c r="K217">
        <v>20230918</v>
      </c>
      <c r="L217" t="s">
        <v>7240</v>
      </c>
      <c r="M217">
        <v>0</v>
      </c>
      <c r="N217">
        <v>103</v>
      </c>
      <c r="O217" t="s">
        <v>19</v>
      </c>
      <c r="P217" t="s">
        <v>20</v>
      </c>
      <c r="Q217">
        <v>20230918</v>
      </c>
    </row>
    <row r="218" spans="1:17" x14ac:dyDescent="0.25">
      <c r="A218" t="s">
        <v>476</v>
      </c>
      <c r="B218" t="s">
        <v>477</v>
      </c>
      <c r="C218">
        <v>1</v>
      </c>
      <c r="D218">
        <v>20230918</v>
      </c>
      <c r="E218">
        <v>9</v>
      </c>
      <c r="F218">
        <v>511003</v>
      </c>
      <c r="G218" t="s">
        <v>6874</v>
      </c>
      <c r="H218" t="s">
        <v>401</v>
      </c>
      <c r="I218" t="s">
        <v>402</v>
      </c>
      <c r="J218">
        <v>387477</v>
      </c>
      <c r="K218">
        <v>20230918</v>
      </c>
      <c r="L218" t="s">
        <v>7240</v>
      </c>
      <c r="M218">
        <v>103</v>
      </c>
      <c r="N218">
        <v>0</v>
      </c>
      <c r="O218" t="s">
        <v>19</v>
      </c>
      <c r="P218" t="s">
        <v>20</v>
      </c>
      <c r="Q218">
        <v>20230918</v>
      </c>
    </row>
    <row r="219" spans="1:17" x14ac:dyDescent="0.25">
      <c r="A219" t="s">
        <v>476</v>
      </c>
      <c r="B219" t="s">
        <v>477</v>
      </c>
      <c r="C219">
        <v>1</v>
      </c>
      <c r="D219">
        <v>20230919</v>
      </c>
      <c r="E219">
        <v>9</v>
      </c>
      <c r="F219">
        <v>411100</v>
      </c>
      <c r="G219" t="s">
        <v>18</v>
      </c>
      <c r="H219" t="s">
        <v>7239</v>
      </c>
      <c r="I219" t="s">
        <v>7238</v>
      </c>
      <c r="J219">
        <v>123090041</v>
      </c>
      <c r="K219">
        <v>20230919</v>
      </c>
      <c r="L219" t="s">
        <v>7237</v>
      </c>
      <c r="M219">
        <v>0</v>
      </c>
      <c r="N219">
        <v>15</v>
      </c>
      <c r="O219" t="s">
        <v>19</v>
      </c>
      <c r="P219" t="s">
        <v>20</v>
      </c>
      <c r="Q219">
        <v>20230919</v>
      </c>
    </row>
    <row r="220" spans="1:17" x14ac:dyDescent="0.25">
      <c r="A220" t="s">
        <v>476</v>
      </c>
      <c r="B220" t="s">
        <v>477</v>
      </c>
      <c r="C220">
        <v>1</v>
      </c>
      <c r="D220">
        <v>20230919</v>
      </c>
      <c r="E220">
        <v>9</v>
      </c>
      <c r="F220">
        <v>511003</v>
      </c>
      <c r="G220" t="s">
        <v>6874</v>
      </c>
      <c r="H220" t="s">
        <v>401</v>
      </c>
      <c r="I220" t="s">
        <v>402</v>
      </c>
      <c r="J220">
        <v>387479</v>
      </c>
      <c r="K220">
        <v>20230919</v>
      </c>
      <c r="L220" t="s">
        <v>7237</v>
      </c>
      <c r="M220">
        <v>15</v>
      </c>
      <c r="N220">
        <v>0</v>
      </c>
      <c r="O220" t="s">
        <v>19</v>
      </c>
      <c r="P220" t="s">
        <v>20</v>
      </c>
      <c r="Q220">
        <v>20230919</v>
      </c>
    </row>
    <row r="221" spans="1:17" x14ac:dyDescent="0.25">
      <c r="A221" t="s">
        <v>476</v>
      </c>
      <c r="B221" t="s">
        <v>477</v>
      </c>
      <c r="C221">
        <v>1</v>
      </c>
      <c r="D221">
        <v>20230920</v>
      </c>
      <c r="E221">
        <v>9</v>
      </c>
      <c r="F221">
        <v>411100</v>
      </c>
      <c r="G221" t="s">
        <v>18</v>
      </c>
      <c r="H221" t="s">
        <v>7236</v>
      </c>
      <c r="I221" t="s">
        <v>7235</v>
      </c>
      <c r="J221">
        <v>123060007</v>
      </c>
      <c r="K221">
        <v>20230920</v>
      </c>
      <c r="L221" t="s">
        <v>7234</v>
      </c>
      <c r="M221">
        <v>0</v>
      </c>
      <c r="N221">
        <v>88.8</v>
      </c>
      <c r="O221" t="s">
        <v>19</v>
      </c>
      <c r="P221" t="s">
        <v>20</v>
      </c>
      <c r="Q221">
        <v>20230920</v>
      </c>
    </row>
    <row r="222" spans="1:17" x14ac:dyDescent="0.25">
      <c r="A222" t="s">
        <v>476</v>
      </c>
      <c r="B222" t="s">
        <v>477</v>
      </c>
      <c r="C222">
        <v>1</v>
      </c>
      <c r="D222">
        <v>20230920</v>
      </c>
      <c r="E222">
        <v>9</v>
      </c>
      <c r="F222">
        <v>511003</v>
      </c>
      <c r="G222" t="s">
        <v>6874</v>
      </c>
      <c r="H222" t="s">
        <v>401</v>
      </c>
      <c r="I222" t="s">
        <v>402</v>
      </c>
      <c r="J222">
        <v>387481</v>
      </c>
      <c r="K222">
        <v>20230920</v>
      </c>
      <c r="L222" t="s">
        <v>7234</v>
      </c>
      <c r="M222">
        <v>88.8</v>
      </c>
      <c r="N222">
        <v>0</v>
      </c>
      <c r="O222" t="s">
        <v>19</v>
      </c>
      <c r="P222" t="s">
        <v>20</v>
      </c>
      <c r="Q222">
        <v>20230920</v>
      </c>
    </row>
    <row r="223" spans="1:17" x14ac:dyDescent="0.25">
      <c r="A223" t="s">
        <v>476</v>
      </c>
      <c r="B223" t="s">
        <v>477</v>
      </c>
      <c r="C223">
        <v>1</v>
      </c>
      <c r="D223">
        <v>20230921</v>
      </c>
      <c r="E223">
        <v>9</v>
      </c>
      <c r="F223">
        <v>411100</v>
      </c>
      <c r="G223" t="s">
        <v>18</v>
      </c>
      <c r="H223" t="s">
        <v>944</v>
      </c>
      <c r="I223" t="s">
        <v>945</v>
      </c>
      <c r="J223">
        <v>387482</v>
      </c>
      <c r="K223">
        <v>20230921</v>
      </c>
      <c r="L223" t="s">
        <v>7233</v>
      </c>
      <c r="M223">
        <v>0</v>
      </c>
      <c r="N223">
        <v>50</v>
      </c>
      <c r="O223" t="s">
        <v>19</v>
      </c>
      <c r="P223" t="s">
        <v>20</v>
      </c>
      <c r="Q223">
        <v>20230921</v>
      </c>
    </row>
    <row r="224" spans="1:17" x14ac:dyDescent="0.25">
      <c r="A224" t="s">
        <v>476</v>
      </c>
      <c r="B224" t="s">
        <v>477</v>
      </c>
      <c r="C224">
        <v>1</v>
      </c>
      <c r="D224">
        <v>20230921</v>
      </c>
      <c r="E224">
        <v>9</v>
      </c>
      <c r="F224">
        <v>511003</v>
      </c>
      <c r="G224" t="s">
        <v>6874</v>
      </c>
      <c r="H224" t="s">
        <v>401</v>
      </c>
      <c r="I224" t="s">
        <v>402</v>
      </c>
      <c r="J224">
        <v>387483</v>
      </c>
      <c r="K224">
        <v>20230921</v>
      </c>
      <c r="L224" t="s">
        <v>7233</v>
      </c>
      <c r="M224">
        <v>50</v>
      </c>
      <c r="N224">
        <v>0</v>
      </c>
      <c r="O224" t="s">
        <v>19</v>
      </c>
      <c r="P224" t="s">
        <v>20</v>
      </c>
      <c r="Q224">
        <v>20230921</v>
      </c>
    </row>
    <row r="225" spans="1:17" x14ac:dyDescent="0.25">
      <c r="A225" t="s">
        <v>476</v>
      </c>
      <c r="B225" t="s">
        <v>477</v>
      </c>
      <c r="C225">
        <v>1</v>
      </c>
      <c r="D225">
        <v>20230922</v>
      </c>
      <c r="E225">
        <v>9</v>
      </c>
      <c r="F225">
        <v>411100</v>
      </c>
      <c r="G225" t="s">
        <v>18</v>
      </c>
      <c r="H225" t="s">
        <v>7232</v>
      </c>
      <c r="I225" t="s">
        <v>7231</v>
      </c>
      <c r="J225">
        <v>123090044</v>
      </c>
      <c r="K225">
        <v>20230922</v>
      </c>
      <c r="L225" t="s">
        <v>7230</v>
      </c>
      <c r="M225">
        <v>0</v>
      </c>
      <c r="N225">
        <v>195</v>
      </c>
      <c r="O225" t="s">
        <v>19</v>
      </c>
      <c r="P225" t="s">
        <v>20</v>
      </c>
      <c r="Q225">
        <v>20230922</v>
      </c>
    </row>
    <row r="226" spans="1:17" x14ac:dyDescent="0.25">
      <c r="A226" t="s">
        <v>476</v>
      </c>
      <c r="B226" t="s">
        <v>477</v>
      </c>
      <c r="C226">
        <v>1</v>
      </c>
      <c r="D226">
        <v>20230922</v>
      </c>
      <c r="E226">
        <v>9</v>
      </c>
      <c r="F226">
        <v>511003</v>
      </c>
      <c r="G226" t="s">
        <v>6874</v>
      </c>
      <c r="H226" t="s">
        <v>401</v>
      </c>
      <c r="I226" t="s">
        <v>402</v>
      </c>
      <c r="J226">
        <v>387485</v>
      </c>
      <c r="K226">
        <v>20230922</v>
      </c>
      <c r="L226" t="s">
        <v>7230</v>
      </c>
      <c r="M226">
        <v>195</v>
      </c>
      <c r="N226">
        <v>0</v>
      </c>
      <c r="O226" t="s">
        <v>19</v>
      </c>
      <c r="P226" t="s">
        <v>20</v>
      </c>
      <c r="Q226">
        <v>20230922</v>
      </c>
    </row>
    <row r="227" spans="1:17" x14ac:dyDescent="0.25">
      <c r="A227" t="s">
        <v>476</v>
      </c>
      <c r="B227" t="s">
        <v>477</v>
      </c>
      <c r="C227">
        <v>1</v>
      </c>
      <c r="D227">
        <v>20230925</v>
      </c>
      <c r="E227">
        <v>9</v>
      </c>
      <c r="F227">
        <v>411100</v>
      </c>
      <c r="G227" t="s">
        <v>18</v>
      </c>
      <c r="H227" t="s">
        <v>7229</v>
      </c>
      <c r="I227" t="s">
        <v>7228</v>
      </c>
      <c r="J227">
        <v>387486</v>
      </c>
      <c r="K227">
        <v>20230925</v>
      </c>
      <c r="L227" t="s">
        <v>7227</v>
      </c>
      <c r="M227">
        <v>0</v>
      </c>
      <c r="N227">
        <v>37</v>
      </c>
      <c r="O227" t="s">
        <v>19</v>
      </c>
      <c r="P227" t="s">
        <v>20</v>
      </c>
      <c r="Q227">
        <v>20230925</v>
      </c>
    </row>
    <row r="228" spans="1:17" x14ac:dyDescent="0.25">
      <c r="A228" t="s">
        <v>476</v>
      </c>
      <c r="B228" t="s">
        <v>477</v>
      </c>
      <c r="C228">
        <v>1</v>
      </c>
      <c r="D228">
        <v>20230925</v>
      </c>
      <c r="E228">
        <v>9</v>
      </c>
      <c r="F228">
        <v>511003</v>
      </c>
      <c r="G228" t="s">
        <v>6874</v>
      </c>
      <c r="H228" t="s">
        <v>401</v>
      </c>
      <c r="I228" t="s">
        <v>402</v>
      </c>
      <c r="J228">
        <v>387487</v>
      </c>
      <c r="K228">
        <v>20230925</v>
      </c>
      <c r="L228" t="s">
        <v>7227</v>
      </c>
      <c r="M228">
        <v>37</v>
      </c>
      <c r="N228">
        <v>0</v>
      </c>
      <c r="O228" t="s">
        <v>19</v>
      </c>
      <c r="P228" t="s">
        <v>20</v>
      </c>
      <c r="Q228">
        <v>20230925</v>
      </c>
    </row>
    <row r="229" spans="1:17" x14ac:dyDescent="0.25">
      <c r="A229" t="s">
        <v>476</v>
      </c>
      <c r="B229" t="s">
        <v>477</v>
      </c>
      <c r="C229">
        <v>1</v>
      </c>
      <c r="D229">
        <v>20230927</v>
      </c>
      <c r="E229">
        <v>9</v>
      </c>
      <c r="F229">
        <v>411100</v>
      </c>
      <c r="G229" t="s">
        <v>18</v>
      </c>
      <c r="H229" t="s">
        <v>5550</v>
      </c>
      <c r="I229" t="s">
        <v>5551</v>
      </c>
      <c r="J229">
        <v>387488</v>
      </c>
      <c r="K229">
        <v>20230927</v>
      </c>
      <c r="L229" t="s">
        <v>7226</v>
      </c>
      <c r="M229">
        <v>0</v>
      </c>
      <c r="N229">
        <v>22</v>
      </c>
      <c r="O229" t="s">
        <v>19</v>
      </c>
      <c r="P229" t="s">
        <v>20</v>
      </c>
      <c r="Q229">
        <v>20230927</v>
      </c>
    </row>
    <row r="230" spans="1:17" x14ac:dyDescent="0.25">
      <c r="A230" t="s">
        <v>476</v>
      </c>
      <c r="B230" t="s">
        <v>477</v>
      </c>
      <c r="C230">
        <v>1</v>
      </c>
      <c r="D230">
        <v>20230927</v>
      </c>
      <c r="E230">
        <v>9</v>
      </c>
      <c r="F230">
        <v>511003</v>
      </c>
      <c r="G230" t="s">
        <v>6874</v>
      </c>
      <c r="H230" t="s">
        <v>401</v>
      </c>
      <c r="I230" t="s">
        <v>402</v>
      </c>
      <c r="J230">
        <v>387489</v>
      </c>
      <c r="K230">
        <v>20230927</v>
      </c>
      <c r="L230" t="s">
        <v>7226</v>
      </c>
      <c r="M230">
        <v>22</v>
      </c>
      <c r="N230">
        <v>0</v>
      </c>
      <c r="O230" t="s">
        <v>19</v>
      </c>
      <c r="P230" t="s">
        <v>20</v>
      </c>
      <c r="Q230">
        <v>20230927</v>
      </c>
    </row>
    <row r="231" spans="1:17" x14ac:dyDescent="0.25">
      <c r="A231" t="s">
        <v>476</v>
      </c>
      <c r="B231" t="s">
        <v>477</v>
      </c>
      <c r="C231">
        <v>1</v>
      </c>
      <c r="D231">
        <v>20230928</v>
      </c>
      <c r="E231">
        <v>9</v>
      </c>
      <c r="F231">
        <v>411100</v>
      </c>
      <c r="G231" t="s">
        <v>18</v>
      </c>
      <c r="H231" t="s">
        <v>7225</v>
      </c>
      <c r="I231" t="s">
        <v>7224</v>
      </c>
      <c r="J231">
        <v>123090046</v>
      </c>
      <c r="K231">
        <v>20230928</v>
      </c>
      <c r="L231" t="s">
        <v>7223</v>
      </c>
      <c r="M231">
        <v>0</v>
      </c>
      <c r="N231">
        <v>173</v>
      </c>
      <c r="O231" t="s">
        <v>19</v>
      </c>
      <c r="P231" t="s">
        <v>20</v>
      </c>
      <c r="Q231">
        <v>20230928</v>
      </c>
    </row>
    <row r="232" spans="1:17" x14ac:dyDescent="0.25">
      <c r="A232" t="s">
        <v>476</v>
      </c>
      <c r="B232" t="s">
        <v>477</v>
      </c>
      <c r="C232">
        <v>1</v>
      </c>
      <c r="D232">
        <v>20230928</v>
      </c>
      <c r="E232">
        <v>9</v>
      </c>
      <c r="F232">
        <v>511003</v>
      </c>
      <c r="G232" t="s">
        <v>6874</v>
      </c>
      <c r="H232" t="s">
        <v>401</v>
      </c>
      <c r="I232" t="s">
        <v>402</v>
      </c>
      <c r="J232">
        <v>387491</v>
      </c>
      <c r="K232">
        <v>20230928</v>
      </c>
      <c r="L232" t="s">
        <v>7223</v>
      </c>
      <c r="M232">
        <v>173</v>
      </c>
      <c r="N232">
        <v>0</v>
      </c>
      <c r="O232" t="s">
        <v>19</v>
      </c>
      <c r="P232" t="s">
        <v>20</v>
      </c>
      <c r="Q232">
        <v>20230928</v>
      </c>
    </row>
    <row r="233" spans="1:17" x14ac:dyDescent="0.25">
      <c r="A233" t="s">
        <v>476</v>
      </c>
      <c r="B233" t="s">
        <v>477</v>
      </c>
      <c r="C233">
        <v>1</v>
      </c>
      <c r="D233">
        <v>20230928</v>
      </c>
      <c r="E233">
        <v>9</v>
      </c>
      <c r="F233">
        <v>411100</v>
      </c>
      <c r="G233" t="s">
        <v>18</v>
      </c>
      <c r="H233" t="s">
        <v>7222</v>
      </c>
      <c r="I233" t="s">
        <v>7221</v>
      </c>
      <c r="J233">
        <v>387492</v>
      </c>
      <c r="K233">
        <v>20230928</v>
      </c>
      <c r="L233" t="s">
        <v>7220</v>
      </c>
      <c r="M233">
        <v>0</v>
      </c>
      <c r="N233">
        <v>13</v>
      </c>
      <c r="O233" t="s">
        <v>19</v>
      </c>
      <c r="P233" t="s">
        <v>20</v>
      </c>
      <c r="Q233">
        <v>20230928</v>
      </c>
    </row>
    <row r="234" spans="1:17" x14ac:dyDescent="0.25">
      <c r="A234" t="s">
        <v>476</v>
      </c>
      <c r="B234" t="s">
        <v>477</v>
      </c>
      <c r="C234">
        <v>1</v>
      </c>
      <c r="D234">
        <v>20230928</v>
      </c>
      <c r="E234">
        <v>9</v>
      </c>
      <c r="F234">
        <v>511003</v>
      </c>
      <c r="G234" t="s">
        <v>6874</v>
      </c>
      <c r="H234" t="s">
        <v>401</v>
      </c>
      <c r="I234" t="s">
        <v>402</v>
      </c>
      <c r="J234">
        <v>387493</v>
      </c>
      <c r="K234">
        <v>20230928</v>
      </c>
      <c r="L234" t="s">
        <v>7220</v>
      </c>
      <c r="M234">
        <v>13</v>
      </c>
      <c r="N234">
        <v>0</v>
      </c>
      <c r="O234" t="s">
        <v>19</v>
      </c>
      <c r="P234" t="s">
        <v>20</v>
      </c>
      <c r="Q234">
        <v>20230928</v>
      </c>
    </row>
    <row r="235" spans="1:17" x14ac:dyDescent="0.25">
      <c r="A235" t="s">
        <v>476</v>
      </c>
      <c r="B235" t="s">
        <v>477</v>
      </c>
      <c r="C235">
        <v>1</v>
      </c>
      <c r="D235">
        <v>20230918</v>
      </c>
      <c r="E235">
        <v>9</v>
      </c>
      <c r="F235">
        <v>411020</v>
      </c>
      <c r="G235" t="s">
        <v>30</v>
      </c>
      <c r="H235" t="s">
        <v>385</v>
      </c>
      <c r="I235" t="s">
        <v>386</v>
      </c>
      <c r="J235">
        <v>123010063</v>
      </c>
      <c r="K235">
        <v>20230918</v>
      </c>
      <c r="L235" t="s">
        <v>7219</v>
      </c>
      <c r="M235">
        <v>0</v>
      </c>
      <c r="N235">
        <v>51</v>
      </c>
      <c r="O235" t="s">
        <v>19</v>
      </c>
      <c r="P235" t="s">
        <v>20</v>
      </c>
      <c r="Q235">
        <v>20230918</v>
      </c>
    </row>
    <row r="236" spans="1:17" x14ac:dyDescent="0.25">
      <c r="A236" t="s">
        <v>476</v>
      </c>
      <c r="B236" t="s">
        <v>477</v>
      </c>
      <c r="C236">
        <v>1</v>
      </c>
      <c r="D236">
        <v>20230918</v>
      </c>
      <c r="E236">
        <v>9</v>
      </c>
      <c r="F236">
        <v>512000</v>
      </c>
      <c r="G236" t="s">
        <v>428</v>
      </c>
      <c r="H236" t="s">
        <v>401</v>
      </c>
      <c r="I236" t="s">
        <v>402</v>
      </c>
      <c r="J236">
        <v>387495</v>
      </c>
      <c r="K236">
        <v>20230918</v>
      </c>
      <c r="L236" t="s">
        <v>3268</v>
      </c>
      <c r="M236">
        <v>51</v>
      </c>
      <c r="N236">
        <v>0</v>
      </c>
      <c r="O236" t="s">
        <v>19</v>
      </c>
      <c r="P236" t="s">
        <v>20</v>
      </c>
      <c r="Q236">
        <v>20230918</v>
      </c>
    </row>
    <row r="237" spans="1:17" x14ac:dyDescent="0.25">
      <c r="A237" t="s">
        <v>548</v>
      </c>
      <c r="B237" t="s">
        <v>429</v>
      </c>
      <c r="C237">
        <v>2</v>
      </c>
      <c r="D237">
        <v>20230901</v>
      </c>
      <c r="E237">
        <v>9</v>
      </c>
      <c r="F237">
        <v>706105</v>
      </c>
      <c r="G237" t="s">
        <v>2258</v>
      </c>
      <c r="H237" t="s">
        <v>401</v>
      </c>
      <c r="I237" t="s">
        <v>402</v>
      </c>
      <c r="J237" t="s">
        <v>7218</v>
      </c>
      <c r="K237">
        <v>20230901</v>
      </c>
      <c r="L237" t="s">
        <v>7217</v>
      </c>
      <c r="M237">
        <v>340</v>
      </c>
      <c r="N237">
        <v>0</v>
      </c>
      <c r="O237" t="s">
        <v>19</v>
      </c>
      <c r="P237" t="s">
        <v>20</v>
      </c>
      <c r="Q237">
        <v>20230901</v>
      </c>
    </row>
    <row r="238" spans="1:17" x14ac:dyDescent="0.25">
      <c r="A238" t="s">
        <v>548</v>
      </c>
      <c r="B238" t="s">
        <v>429</v>
      </c>
      <c r="C238">
        <v>2</v>
      </c>
      <c r="D238">
        <v>20230901</v>
      </c>
      <c r="E238">
        <v>9</v>
      </c>
      <c r="F238">
        <v>531105</v>
      </c>
      <c r="G238" t="s">
        <v>429</v>
      </c>
      <c r="H238" t="s">
        <v>401</v>
      </c>
      <c r="I238" t="s">
        <v>402</v>
      </c>
      <c r="J238" t="s">
        <v>7218</v>
      </c>
      <c r="K238">
        <v>20230901</v>
      </c>
      <c r="L238" t="s">
        <v>7217</v>
      </c>
      <c r="M238">
        <v>0</v>
      </c>
      <c r="N238">
        <v>340</v>
      </c>
      <c r="O238" t="s">
        <v>19</v>
      </c>
      <c r="P238" t="s">
        <v>20</v>
      </c>
      <c r="Q238">
        <v>20230901</v>
      </c>
    </row>
    <row r="239" spans="1:17" x14ac:dyDescent="0.25">
      <c r="A239" t="s">
        <v>548</v>
      </c>
      <c r="B239" t="s">
        <v>429</v>
      </c>
      <c r="C239">
        <v>2</v>
      </c>
      <c r="D239">
        <v>20230904</v>
      </c>
      <c r="E239">
        <v>9</v>
      </c>
      <c r="F239">
        <v>467100</v>
      </c>
      <c r="G239" t="s">
        <v>160</v>
      </c>
      <c r="H239" t="s">
        <v>4958</v>
      </c>
      <c r="I239" t="s">
        <v>4959</v>
      </c>
      <c r="J239" t="s">
        <v>7216</v>
      </c>
      <c r="K239">
        <v>20230904</v>
      </c>
      <c r="L239" t="s">
        <v>7215</v>
      </c>
      <c r="M239">
        <v>50</v>
      </c>
      <c r="N239">
        <v>0</v>
      </c>
      <c r="O239" t="s">
        <v>23</v>
      </c>
      <c r="P239">
        <v>20230926</v>
      </c>
      <c r="Q239">
        <v>20230904</v>
      </c>
    </row>
    <row r="240" spans="1:17" x14ac:dyDescent="0.25">
      <c r="A240" t="s">
        <v>548</v>
      </c>
      <c r="B240" t="s">
        <v>429</v>
      </c>
      <c r="C240">
        <v>2</v>
      </c>
      <c r="D240">
        <v>20230904</v>
      </c>
      <c r="E240">
        <v>9</v>
      </c>
      <c r="F240">
        <v>531105</v>
      </c>
      <c r="G240" t="s">
        <v>429</v>
      </c>
      <c r="H240" t="s">
        <v>401</v>
      </c>
      <c r="I240" t="s">
        <v>402</v>
      </c>
      <c r="J240" t="s">
        <v>7216</v>
      </c>
      <c r="K240">
        <v>20230904</v>
      </c>
      <c r="L240" t="s">
        <v>7215</v>
      </c>
      <c r="M240">
        <v>0</v>
      </c>
      <c r="N240">
        <v>50</v>
      </c>
      <c r="O240" t="s">
        <v>19</v>
      </c>
      <c r="P240" t="s">
        <v>20</v>
      </c>
      <c r="Q240">
        <v>20230904</v>
      </c>
    </row>
    <row r="241" spans="1:17" x14ac:dyDescent="0.25">
      <c r="A241" t="s">
        <v>548</v>
      </c>
      <c r="B241" t="s">
        <v>429</v>
      </c>
      <c r="C241">
        <v>2</v>
      </c>
      <c r="D241">
        <v>20230911</v>
      </c>
      <c r="E241">
        <v>9</v>
      </c>
      <c r="F241">
        <v>467100</v>
      </c>
      <c r="G241" t="s">
        <v>160</v>
      </c>
      <c r="H241" t="s">
        <v>4958</v>
      </c>
      <c r="I241" t="s">
        <v>4959</v>
      </c>
      <c r="J241" t="s">
        <v>7214</v>
      </c>
      <c r="K241">
        <v>20230911</v>
      </c>
      <c r="L241" t="s">
        <v>7213</v>
      </c>
      <c r="M241">
        <v>100</v>
      </c>
      <c r="N241">
        <v>0</v>
      </c>
      <c r="O241" t="s">
        <v>23</v>
      </c>
      <c r="P241">
        <v>20230926</v>
      </c>
      <c r="Q241">
        <v>20230911</v>
      </c>
    </row>
    <row r="242" spans="1:17" x14ac:dyDescent="0.25">
      <c r="A242" t="s">
        <v>548</v>
      </c>
      <c r="B242" t="s">
        <v>429</v>
      </c>
      <c r="C242">
        <v>2</v>
      </c>
      <c r="D242">
        <v>20230911</v>
      </c>
      <c r="E242">
        <v>9</v>
      </c>
      <c r="F242">
        <v>531105</v>
      </c>
      <c r="G242" t="s">
        <v>429</v>
      </c>
      <c r="H242" t="s">
        <v>401</v>
      </c>
      <c r="I242" t="s">
        <v>402</v>
      </c>
      <c r="J242" t="s">
        <v>7214</v>
      </c>
      <c r="K242">
        <v>20230911</v>
      </c>
      <c r="L242" t="s">
        <v>7213</v>
      </c>
      <c r="M242">
        <v>0</v>
      </c>
      <c r="N242">
        <v>100</v>
      </c>
      <c r="O242" t="s">
        <v>19</v>
      </c>
      <c r="P242" t="s">
        <v>20</v>
      </c>
      <c r="Q242">
        <v>20230911</v>
      </c>
    </row>
    <row r="243" spans="1:17" x14ac:dyDescent="0.25">
      <c r="A243" t="s">
        <v>548</v>
      </c>
      <c r="B243" t="s">
        <v>429</v>
      </c>
      <c r="C243">
        <v>2</v>
      </c>
      <c r="D243">
        <v>20230914</v>
      </c>
      <c r="E243">
        <v>9</v>
      </c>
      <c r="F243">
        <v>580000</v>
      </c>
      <c r="G243" t="s">
        <v>532</v>
      </c>
      <c r="H243" t="s">
        <v>401</v>
      </c>
      <c r="I243" t="s">
        <v>402</v>
      </c>
      <c r="J243" t="s">
        <v>6961</v>
      </c>
      <c r="K243">
        <v>20230914</v>
      </c>
      <c r="L243" t="s">
        <v>625</v>
      </c>
      <c r="M243">
        <v>4500</v>
      </c>
      <c r="N243">
        <v>0</v>
      </c>
      <c r="O243" t="s">
        <v>22</v>
      </c>
      <c r="P243">
        <v>20230915</v>
      </c>
      <c r="Q243">
        <v>20230914</v>
      </c>
    </row>
    <row r="244" spans="1:17" x14ac:dyDescent="0.25">
      <c r="A244" t="s">
        <v>548</v>
      </c>
      <c r="B244" t="s">
        <v>429</v>
      </c>
      <c r="C244">
        <v>2</v>
      </c>
      <c r="D244">
        <v>20230914</v>
      </c>
      <c r="E244">
        <v>9</v>
      </c>
      <c r="F244">
        <v>531105</v>
      </c>
      <c r="G244" t="s">
        <v>429</v>
      </c>
      <c r="H244" t="s">
        <v>401</v>
      </c>
      <c r="I244" t="s">
        <v>402</v>
      </c>
      <c r="J244" t="s">
        <v>6961</v>
      </c>
      <c r="K244">
        <v>20230914</v>
      </c>
      <c r="L244" t="s">
        <v>625</v>
      </c>
      <c r="M244">
        <v>0</v>
      </c>
      <c r="N244">
        <v>4500</v>
      </c>
      <c r="O244" t="s">
        <v>19</v>
      </c>
      <c r="P244" t="s">
        <v>20</v>
      </c>
      <c r="Q244">
        <v>20230914</v>
      </c>
    </row>
    <row r="245" spans="1:17" x14ac:dyDescent="0.25">
      <c r="A245" t="s">
        <v>548</v>
      </c>
      <c r="B245" t="s">
        <v>429</v>
      </c>
      <c r="C245">
        <v>2</v>
      </c>
      <c r="D245">
        <v>20230915</v>
      </c>
      <c r="E245">
        <v>9</v>
      </c>
      <c r="F245">
        <v>706105</v>
      </c>
      <c r="G245" t="s">
        <v>2258</v>
      </c>
      <c r="H245" t="s">
        <v>401</v>
      </c>
      <c r="I245" t="s">
        <v>402</v>
      </c>
      <c r="J245" t="s">
        <v>7208</v>
      </c>
      <c r="K245">
        <v>20230915</v>
      </c>
      <c r="L245" t="s">
        <v>7212</v>
      </c>
      <c r="M245">
        <v>0</v>
      </c>
      <c r="N245">
        <v>10</v>
      </c>
      <c r="O245" t="s">
        <v>19</v>
      </c>
      <c r="P245" t="s">
        <v>20</v>
      </c>
      <c r="Q245">
        <v>20230915</v>
      </c>
    </row>
    <row r="246" spans="1:17" x14ac:dyDescent="0.25">
      <c r="A246" t="s">
        <v>548</v>
      </c>
      <c r="B246" t="s">
        <v>429</v>
      </c>
      <c r="C246">
        <v>2</v>
      </c>
      <c r="D246">
        <v>20230915</v>
      </c>
      <c r="E246">
        <v>9</v>
      </c>
      <c r="F246">
        <v>706105</v>
      </c>
      <c r="G246" t="s">
        <v>2258</v>
      </c>
      <c r="H246" t="s">
        <v>401</v>
      </c>
      <c r="I246" t="s">
        <v>402</v>
      </c>
      <c r="J246" t="s">
        <v>7208</v>
      </c>
      <c r="K246">
        <v>20230915</v>
      </c>
      <c r="L246" t="s">
        <v>7211</v>
      </c>
      <c r="M246">
        <v>0</v>
      </c>
      <c r="N246">
        <v>14</v>
      </c>
      <c r="O246" t="s">
        <v>19</v>
      </c>
      <c r="P246" t="s">
        <v>20</v>
      </c>
      <c r="Q246">
        <v>20230915</v>
      </c>
    </row>
    <row r="247" spans="1:17" x14ac:dyDescent="0.25">
      <c r="A247" t="s">
        <v>548</v>
      </c>
      <c r="B247" t="s">
        <v>429</v>
      </c>
      <c r="C247">
        <v>2</v>
      </c>
      <c r="D247">
        <v>20230915</v>
      </c>
      <c r="E247">
        <v>9</v>
      </c>
      <c r="F247">
        <v>706105</v>
      </c>
      <c r="G247" t="s">
        <v>2258</v>
      </c>
      <c r="H247" t="s">
        <v>401</v>
      </c>
      <c r="I247" t="s">
        <v>402</v>
      </c>
      <c r="J247" t="s">
        <v>7208</v>
      </c>
      <c r="K247">
        <v>20230915</v>
      </c>
      <c r="L247" t="s">
        <v>7210</v>
      </c>
      <c r="M247">
        <v>0</v>
      </c>
      <c r="N247">
        <v>8</v>
      </c>
      <c r="O247" t="s">
        <v>19</v>
      </c>
      <c r="P247" t="s">
        <v>20</v>
      </c>
      <c r="Q247">
        <v>20230915</v>
      </c>
    </row>
    <row r="248" spans="1:17" x14ac:dyDescent="0.25">
      <c r="A248" t="s">
        <v>548</v>
      </c>
      <c r="B248" t="s">
        <v>429</v>
      </c>
      <c r="C248">
        <v>2</v>
      </c>
      <c r="D248">
        <v>20230915</v>
      </c>
      <c r="E248">
        <v>9</v>
      </c>
      <c r="F248">
        <v>706105</v>
      </c>
      <c r="G248" t="s">
        <v>2258</v>
      </c>
      <c r="H248" t="s">
        <v>401</v>
      </c>
      <c r="I248" t="s">
        <v>402</v>
      </c>
      <c r="J248" t="s">
        <v>7208</v>
      </c>
      <c r="K248">
        <v>20230915</v>
      </c>
      <c r="L248" t="s">
        <v>7209</v>
      </c>
      <c r="M248">
        <v>0</v>
      </c>
      <c r="N248">
        <v>8</v>
      </c>
      <c r="O248" t="s">
        <v>19</v>
      </c>
      <c r="P248" t="s">
        <v>20</v>
      </c>
      <c r="Q248">
        <v>20230915</v>
      </c>
    </row>
    <row r="249" spans="1:17" x14ac:dyDescent="0.25">
      <c r="A249" t="s">
        <v>548</v>
      </c>
      <c r="B249" t="s">
        <v>429</v>
      </c>
      <c r="C249">
        <v>2</v>
      </c>
      <c r="D249">
        <v>20230915</v>
      </c>
      <c r="E249">
        <v>9</v>
      </c>
      <c r="F249">
        <v>531105</v>
      </c>
      <c r="G249" t="s">
        <v>429</v>
      </c>
      <c r="H249" t="s">
        <v>401</v>
      </c>
      <c r="I249" t="s">
        <v>402</v>
      </c>
      <c r="J249" t="s">
        <v>7208</v>
      </c>
      <c r="K249">
        <v>20230915</v>
      </c>
      <c r="L249" t="s">
        <v>7207</v>
      </c>
      <c r="M249">
        <v>40</v>
      </c>
      <c r="N249">
        <v>0</v>
      </c>
      <c r="O249" t="s">
        <v>19</v>
      </c>
      <c r="P249" t="s">
        <v>20</v>
      </c>
      <c r="Q249">
        <v>20230915</v>
      </c>
    </row>
    <row r="250" spans="1:17" x14ac:dyDescent="0.25">
      <c r="A250" t="s">
        <v>548</v>
      </c>
      <c r="B250" t="s">
        <v>429</v>
      </c>
      <c r="C250">
        <v>2</v>
      </c>
      <c r="D250">
        <v>20230919</v>
      </c>
      <c r="E250">
        <v>9</v>
      </c>
      <c r="F250">
        <v>467100</v>
      </c>
      <c r="G250" t="s">
        <v>160</v>
      </c>
      <c r="H250" t="s">
        <v>4958</v>
      </c>
      <c r="I250" t="s">
        <v>4959</v>
      </c>
      <c r="J250" t="s">
        <v>7206</v>
      </c>
      <c r="K250">
        <v>20230919</v>
      </c>
      <c r="L250" t="s">
        <v>7205</v>
      </c>
      <c r="M250">
        <v>150</v>
      </c>
      <c r="N250">
        <v>0</v>
      </c>
      <c r="O250" t="s">
        <v>23</v>
      </c>
      <c r="P250">
        <v>20231023</v>
      </c>
      <c r="Q250">
        <v>20230919</v>
      </c>
    </row>
    <row r="251" spans="1:17" x14ac:dyDescent="0.25">
      <c r="A251" t="s">
        <v>548</v>
      </c>
      <c r="B251" t="s">
        <v>429</v>
      </c>
      <c r="C251">
        <v>2</v>
      </c>
      <c r="D251">
        <v>20230919</v>
      </c>
      <c r="E251">
        <v>9</v>
      </c>
      <c r="F251">
        <v>531105</v>
      </c>
      <c r="G251" t="s">
        <v>429</v>
      </c>
      <c r="H251" t="s">
        <v>401</v>
      </c>
      <c r="I251" t="s">
        <v>402</v>
      </c>
      <c r="J251" t="s">
        <v>7206</v>
      </c>
      <c r="K251">
        <v>20230919</v>
      </c>
      <c r="L251" t="s">
        <v>7205</v>
      </c>
      <c r="M251">
        <v>0</v>
      </c>
      <c r="N251">
        <v>150</v>
      </c>
      <c r="O251" t="s">
        <v>19</v>
      </c>
      <c r="P251" t="s">
        <v>20</v>
      </c>
      <c r="Q251">
        <v>20230919</v>
      </c>
    </row>
    <row r="252" spans="1:17" x14ac:dyDescent="0.25">
      <c r="A252" t="s">
        <v>548</v>
      </c>
      <c r="B252" t="s">
        <v>429</v>
      </c>
      <c r="C252">
        <v>2</v>
      </c>
      <c r="D252">
        <v>20230920</v>
      </c>
      <c r="E252">
        <v>9</v>
      </c>
      <c r="F252">
        <v>467100</v>
      </c>
      <c r="G252" t="s">
        <v>160</v>
      </c>
      <c r="H252" t="s">
        <v>4958</v>
      </c>
      <c r="I252" t="s">
        <v>4959</v>
      </c>
      <c r="J252" t="s">
        <v>7204</v>
      </c>
      <c r="K252">
        <v>20230920</v>
      </c>
      <c r="L252" t="s">
        <v>7203</v>
      </c>
      <c r="M252">
        <v>0</v>
      </c>
      <c r="N252">
        <v>36.28</v>
      </c>
      <c r="O252" t="s">
        <v>23</v>
      </c>
      <c r="P252">
        <v>20230926</v>
      </c>
      <c r="Q252">
        <v>20230920</v>
      </c>
    </row>
    <row r="253" spans="1:17" x14ac:dyDescent="0.25">
      <c r="A253" t="s">
        <v>548</v>
      </c>
      <c r="B253" t="s">
        <v>429</v>
      </c>
      <c r="C253">
        <v>2</v>
      </c>
      <c r="D253">
        <v>20230920</v>
      </c>
      <c r="E253">
        <v>9</v>
      </c>
      <c r="F253">
        <v>531105</v>
      </c>
      <c r="G253" t="s">
        <v>429</v>
      </c>
      <c r="H253" t="s">
        <v>401</v>
      </c>
      <c r="I253" t="s">
        <v>402</v>
      </c>
      <c r="J253" t="s">
        <v>7204</v>
      </c>
      <c r="K253">
        <v>20230920</v>
      </c>
      <c r="L253" t="s">
        <v>7203</v>
      </c>
      <c r="M253">
        <v>36.28</v>
      </c>
      <c r="N253">
        <v>0</v>
      </c>
      <c r="O253" t="s">
        <v>19</v>
      </c>
      <c r="P253" t="s">
        <v>20</v>
      </c>
      <c r="Q253">
        <v>20230920</v>
      </c>
    </row>
    <row r="254" spans="1:17" x14ac:dyDescent="0.25">
      <c r="A254" t="s">
        <v>548</v>
      </c>
      <c r="B254" t="s">
        <v>429</v>
      </c>
      <c r="C254">
        <v>2</v>
      </c>
      <c r="D254">
        <v>20230920</v>
      </c>
      <c r="E254">
        <v>9</v>
      </c>
      <c r="F254">
        <v>467100</v>
      </c>
      <c r="G254" t="s">
        <v>160</v>
      </c>
      <c r="H254" t="s">
        <v>4958</v>
      </c>
      <c r="I254" t="s">
        <v>4959</v>
      </c>
      <c r="J254" t="s">
        <v>7202</v>
      </c>
      <c r="K254">
        <v>20230920</v>
      </c>
      <c r="L254" t="s">
        <v>7201</v>
      </c>
      <c r="M254">
        <v>0</v>
      </c>
      <c r="N254">
        <v>93.3</v>
      </c>
      <c r="O254" t="s">
        <v>23</v>
      </c>
      <c r="P254">
        <v>20231023</v>
      </c>
      <c r="Q254">
        <v>20230920</v>
      </c>
    </row>
    <row r="255" spans="1:17" x14ac:dyDescent="0.25">
      <c r="A255" t="s">
        <v>548</v>
      </c>
      <c r="B255" t="s">
        <v>429</v>
      </c>
      <c r="C255">
        <v>2</v>
      </c>
      <c r="D255">
        <v>20230920</v>
      </c>
      <c r="E255">
        <v>9</v>
      </c>
      <c r="F255">
        <v>531105</v>
      </c>
      <c r="G255" t="s">
        <v>429</v>
      </c>
      <c r="H255" t="s">
        <v>401</v>
      </c>
      <c r="I255" t="s">
        <v>402</v>
      </c>
      <c r="J255" t="s">
        <v>7202</v>
      </c>
      <c r="K255">
        <v>20230920</v>
      </c>
      <c r="L255" t="s">
        <v>7201</v>
      </c>
      <c r="M255">
        <v>93.3</v>
      </c>
      <c r="N255">
        <v>0</v>
      </c>
      <c r="O255" t="s">
        <v>19</v>
      </c>
      <c r="P255" t="s">
        <v>20</v>
      </c>
      <c r="Q255">
        <v>20230920</v>
      </c>
    </row>
    <row r="256" spans="1:17" x14ac:dyDescent="0.25">
      <c r="A256" t="s">
        <v>548</v>
      </c>
      <c r="B256" t="s">
        <v>429</v>
      </c>
      <c r="C256">
        <v>2</v>
      </c>
      <c r="D256">
        <v>20230920</v>
      </c>
      <c r="E256">
        <v>9</v>
      </c>
      <c r="F256">
        <v>467100</v>
      </c>
      <c r="G256" t="s">
        <v>160</v>
      </c>
      <c r="H256" t="s">
        <v>4958</v>
      </c>
      <c r="I256" t="s">
        <v>4959</v>
      </c>
      <c r="J256" t="s">
        <v>7200</v>
      </c>
      <c r="K256">
        <v>20230920</v>
      </c>
      <c r="L256" t="s">
        <v>7199</v>
      </c>
      <c r="M256">
        <v>14.78</v>
      </c>
      <c r="N256">
        <v>0</v>
      </c>
      <c r="O256" t="s">
        <v>23</v>
      </c>
      <c r="P256">
        <v>20230926</v>
      </c>
      <c r="Q256">
        <v>20230920</v>
      </c>
    </row>
    <row r="257" spans="1:17" x14ac:dyDescent="0.25">
      <c r="A257" t="s">
        <v>548</v>
      </c>
      <c r="B257" t="s">
        <v>429</v>
      </c>
      <c r="C257">
        <v>2</v>
      </c>
      <c r="D257">
        <v>20230920</v>
      </c>
      <c r="E257">
        <v>9</v>
      </c>
      <c r="F257">
        <v>531105</v>
      </c>
      <c r="G257" t="s">
        <v>429</v>
      </c>
      <c r="H257" t="s">
        <v>401</v>
      </c>
      <c r="I257" t="s">
        <v>402</v>
      </c>
      <c r="J257" t="s">
        <v>7200</v>
      </c>
      <c r="K257">
        <v>20230920</v>
      </c>
      <c r="L257" t="s">
        <v>7199</v>
      </c>
      <c r="M257">
        <v>0</v>
      </c>
      <c r="N257">
        <v>14.78</v>
      </c>
      <c r="O257" t="s">
        <v>19</v>
      </c>
      <c r="P257" t="s">
        <v>20</v>
      </c>
      <c r="Q257">
        <v>20230920</v>
      </c>
    </row>
    <row r="258" spans="1:17" x14ac:dyDescent="0.25">
      <c r="A258" t="s">
        <v>548</v>
      </c>
      <c r="B258" t="s">
        <v>429</v>
      </c>
      <c r="C258">
        <v>2</v>
      </c>
      <c r="D258">
        <v>20230921</v>
      </c>
      <c r="E258">
        <v>9</v>
      </c>
      <c r="F258">
        <v>467100</v>
      </c>
      <c r="G258" t="s">
        <v>160</v>
      </c>
      <c r="H258" t="s">
        <v>4958</v>
      </c>
      <c r="I258" t="s">
        <v>4959</v>
      </c>
      <c r="J258" t="s">
        <v>7198</v>
      </c>
      <c r="K258">
        <v>20230921</v>
      </c>
      <c r="L258" t="s">
        <v>7197</v>
      </c>
      <c r="M258">
        <v>30</v>
      </c>
      <c r="N258">
        <v>0</v>
      </c>
      <c r="O258" t="s">
        <v>23</v>
      </c>
      <c r="P258">
        <v>20231023</v>
      </c>
      <c r="Q258">
        <v>20230921</v>
      </c>
    </row>
    <row r="259" spans="1:17" x14ac:dyDescent="0.25">
      <c r="A259" t="s">
        <v>548</v>
      </c>
      <c r="B259" t="s">
        <v>429</v>
      </c>
      <c r="C259">
        <v>2</v>
      </c>
      <c r="D259">
        <v>20230921</v>
      </c>
      <c r="E259">
        <v>9</v>
      </c>
      <c r="F259">
        <v>531105</v>
      </c>
      <c r="G259" t="s">
        <v>429</v>
      </c>
      <c r="H259" t="s">
        <v>401</v>
      </c>
      <c r="I259" t="s">
        <v>402</v>
      </c>
      <c r="J259" t="s">
        <v>7198</v>
      </c>
      <c r="K259">
        <v>20230921</v>
      </c>
      <c r="L259" t="s">
        <v>7197</v>
      </c>
      <c r="M259">
        <v>0</v>
      </c>
      <c r="N259">
        <v>30</v>
      </c>
      <c r="O259" t="s">
        <v>19</v>
      </c>
      <c r="P259" t="s">
        <v>20</v>
      </c>
      <c r="Q259">
        <v>20230921</v>
      </c>
    </row>
    <row r="260" spans="1:17" x14ac:dyDescent="0.25">
      <c r="A260" t="s">
        <v>548</v>
      </c>
      <c r="B260" t="s">
        <v>429</v>
      </c>
      <c r="C260">
        <v>2</v>
      </c>
      <c r="D260">
        <v>20230927</v>
      </c>
      <c r="E260">
        <v>9</v>
      </c>
      <c r="F260">
        <v>467100</v>
      </c>
      <c r="G260" t="s">
        <v>160</v>
      </c>
      <c r="H260" t="s">
        <v>316</v>
      </c>
      <c r="I260" t="s">
        <v>317</v>
      </c>
      <c r="J260" t="s">
        <v>7196</v>
      </c>
      <c r="K260">
        <v>20230927</v>
      </c>
      <c r="L260" t="s">
        <v>7195</v>
      </c>
      <c r="M260">
        <v>0</v>
      </c>
      <c r="N260">
        <v>30</v>
      </c>
      <c r="O260" t="s">
        <v>23</v>
      </c>
      <c r="P260">
        <v>20230927</v>
      </c>
      <c r="Q260">
        <v>20230927</v>
      </c>
    </row>
    <row r="261" spans="1:17" x14ac:dyDescent="0.25">
      <c r="A261" t="s">
        <v>548</v>
      </c>
      <c r="B261" t="s">
        <v>429</v>
      </c>
      <c r="C261">
        <v>2</v>
      </c>
      <c r="D261">
        <v>20230927</v>
      </c>
      <c r="E261">
        <v>9</v>
      </c>
      <c r="F261">
        <v>531105</v>
      </c>
      <c r="G261" t="s">
        <v>429</v>
      </c>
      <c r="H261" t="s">
        <v>401</v>
      </c>
      <c r="I261" t="s">
        <v>402</v>
      </c>
      <c r="J261" t="s">
        <v>7196</v>
      </c>
      <c r="K261">
        <v>20230927</v>
      </c>
      <c r="L261" t="s">
        <v>7195</v>
      </c>
      <c r="M261">
        <v>30</v>
      </c>
      <c r="N261">
        <v>0</v>
      </c>
      <c r="O261" t="s">
        <v>19</v>
      </c>
      <c r="P261" t="s">
        <v>20</v>
      </c>
      <c r="Q261">
        <v>20230927</v>
      </c>
    </row>
    <row r="262" spans="1:17" x14ac:dyDescent="0.25">
      <c r="A262" t="s">
        <v>548</v>
      </c>
      <c r="B262" t="s">
        <v>429</v>
      </c>
      <c r="C262">
        <v>2</v>
      </c>
      <c r="D262">
        <v>20230901</v>
      </c>
      <c r="E262">
        <v>9</v>
      </c>
      <c r="F262">
        <v>411100</v>
      </c>
      <c r="G262" t="s">
        <v>18</v>
      </c>
      <c r="H262" t="s">
        <v>6406</v>
      </c>
      <c r="I262" t="s">
        <v>6405</v>
      </c>
      <c r="J262">
        <v>123070034</v>
      </c>
      <c r="K262">
        <v>20230901</v>
      </c>
      <c r="L262" t="s">
        <v>7194</v>
      </c>
      <c r="M262">
        <v>0</v>
      </c>
      <c r="N262">
        <v>25.11</v>
      </c>
      <c r="O262" t="s">
        <v>19</v>
      </c>
      <c r="P262" t="s">
        <v>20</v>
      </c>
      <c r="Q262">
        <v>20230901</v>
      </c>
    </row>
    <row r="263" spans="1:17" x14ac:dyDescent="0.25">
      <c r="A263" t="s">
        <v>548</v>
      </c>
      <c r="B263" t="s">
        <v>429</v>
      </c>
      <c r="C263">
        <v>2</v>
      </c>
      <c r="D263">
        <v>20230901</v>
      </c>
      <c r="E263">
        <v>9</v>
      </c>
      <c r="F263">
        <v>411100</v>
      </c>
      <c r="G263" t="s">
        <v>18</v>
      </c>
      <c r="H263" t="s">
        <v>6406</v>
      </c>
      <c r="I263" t="s">
        <v>6405</v>
      </c>
      <c r="J263">
        <v>123070034</v>
      </c>
      <c r="K263">
        <v>20230901</v>
      </c>
      <c r="L263" t="s">
        <v>7193</v>
      </c>
      <c r="M263">
        <v>0</v>
      </c>
      <c r="N263">
        <v>4.8899999999999997</v>
      </c>
      <c r="O263" t="s">
        <v>19</v>
      </c>
      <c r="P263" t="s">
        <v>20</v>
      </c>
      <c r="Q263">
        <v>20230901</v>
      </c>
    </row>
    <row r="264" spans="1:17" x14ac:dyDescent="0.25">
      <c r="A264" t="s">
        <v>548</v>
      </c>
      <c r="B264" t="s">
        <v>429</v>
      </c>
      <c r="C264">
        <v>2</v>
      </c>
      <c r="D264">
        <v>20230901</v>
      </c>
      <c r="E264">
        <v>9</v>
      </c>
      <c r="F264">
        <v>411100</v>
      </c>
      <c r="G264" t="s">
        <v>18</v>
      </c>
      <c r="H264" t="s">
        <v>3842</v>
      </c>
      <c r="I264" t="s">
        <v>3843</v>
      </c>
      <c r="J264">
        <v>122100176</v>
      </c>
      <c r="K264">
        <v>20230901</v>
      </c>
      <c r="L264" t="s">
        <v>7192</v>
      </c>
      <c r="M264">
        <v>0</v>
      </c>
      <c r="N264">
        <v>66.5</v>
      </c>
      <c r="O264" t="s">
        <v>19</v>
      </c>
      <c r="P264" t="s">
        <v>20</v>
      </c>
      <c r="Q264">
        <v>20230901</v>
      </c>
    </row>
    <row r="265" spans="1:17" x14ac:dyDescent="0.25">
      <c r="A265" t="s">
        <v>548</v>
      </c>
      <c r="B265" t="s">
        <v>429</v>
      </c>
      <c r="C265">
        <v>2</v>
      </c>
      <c r="D265">
        <v>20230901</v>
      </c>
      <c r="E265">
        <v>9</v>
      </c>
      <c r="F265">
        <v>531105</v>
      </c>
      <c r="G265" t="s">
        <v>429</v>
      </c>
      <c r="H265" t="s">
        <v>401</v>
      </c>
      <c r="I265" t="s">
        <v>402</v>
      </c>
      <c r="J265">
        <v>385859</v>
      </c>
      <c r="K265">
        <v>20230901</v>
      </c>
      <c r="L265" t="s">
        <v>565</v>
      </c>
      <c r="M265">
        <v>96.5</v>
      </c>
      <c r="N265">
        <v>0</v>
      </c>
      <c r="O265" t="s">
        <v>19</v>
      </c>
      <c r="P265" t="s">
        <v>20</v>
      </c>
      <c r="Q265">
        <v>20230901</v>
      </c>
    </row>
    <row r="266" spans="1:17" x14ac:dyDescent="0.25">
      <c r="A266" t="s">
        <v>548</v>
      </c>
      <c r="B266" t="s">
        <v>429</v>
      </c>
      <c r="C266">
        <v>2</v>
      </c>
      <c r="D266">
        <v>20230905</v>
      </c>
      <c r="E266">
        <v>9</v>
      </c>
      <c r="F266">
        <v>411100</v>
      </c>
      <c r="G266" t="s">
        <v>18</v>
      </c>
      <c r="H266" t="s">
        <v>6373</v>
      </c>
      <c r="I266" t="s">
        <v>6372</v>
      </c>
      <c r="J266">
        <v>385860</v>
      </c>
      <c r="K266">
        <v>20230905</v>
      </c>
      <c r="L266" t="s">
        <v>7191</v>
      </c>
      <c r="M266">
        <v>0</v>
      </c>
      <c r="N266">
        <v>16.559999999999999</v>
      </c>
      <c r="O266" t="s">
        <v>19</v>
      </c>
      <c r="P266" t="s">
        <v>20</v>
      </c>
      <c r="Q266">
        <v>20230905</v>
      </c>
    </row>
    <row r="267" spans="1:17" x14ac:dyDescent="0.25">
      <c r="A267" t="s">
        <v>548</v>
      </c>
      <c r="B267" t="s">
        <v>429</v>
      </c>
      <c r="C267">
        <v>2</v>
      </c>
      <c r="D267">
        <v>20230905</v>
      </c>
      <c r="E267">
        <v>9</v>
      </c>
      <c r="F267">
        <v>411100</v>
      </c>
      <c r="G267" t="s">
        <v>18</v>
      </c>
      <c r="H267" t="s">
        <v>3658</v>
      </c>
      <c r="I267" t="s">
        <v>3659</v>
      </c>
      <c r="J267">
        <v>123070047</v>
      </c>
      <c r="K267">
        <v>20230905</v>
      </c>
      <c r="L267" t="s">
        <v>7190</v>
      </c>
      <c r="M267">
        <v>0</v>
      </c>
      <c r="N267">
        <v>51</v>
      </c>
      <c r="O267" t="s">
        <v>19</v>
      </c>
      <c r="P267" t="s">
        <v>20</v>
      </c>
      <c r="Q267">
        <v>20230905</v>
      </c>
    </row>
    <row r="268" spans="1:17" x14ac:dyDescent="0.25">
      <c r="A268" t="s">
        <v>548</v>
      </c>
      <c r="B268" t="s">
        <v>429</v>
      </c>
      <c r="C268">
        <v>2</v>
      </c>
      <c r="D268">
        <v>20230905</v>
      </c>
      <c r="E268">
        <v>9</v>
      </c>
      <c r="F268">
        <v>411100</v>
      </c>
      <c r="G268" t="s">
        <v>18</v>
      </c>
      <c r="H268" t="s">
        <v>3658</v>
      </c>
      <c r="I268" t="s">
        <v>3659</v>
      </c>
      <c r="J268">
        <v>123070047</v>
      </c>
      <c r="K268">
        <v>20230905</v>
      </c>
      <c r="L268" t="s">
        <v>7189</v>
      </c>
      <c r="M268">
        <v>0.08</v>
      </c>
      <c r="N268">
        <v>0</v>
      </c>
      <c r="O268" t="s">
        <v>19</v>
      </c>
      <c r="P268" t="s">
        <v>20</v>
      </c>
      <c r="Q268">
        <v>20230905</v>
      </c>
    </row>
    <row r="269" spans="1:17" x14ac:dyDescent="0.25">
      <c r="A269" t="s">
        <v>548</v>
      </c>
      <c r="B269" t="s">
        <v>429</v>
      </c>
      <c r="C269">
        <v>2</v>
      </c>
      <c r="D269">
        <v>20230905</v>
      </c>
      <c r="E269">
        <v>9</v>
      </c>
      <c r="F269">
        <v>531105</v>
      </c>
      <c r="G269" t="s">
        <v>429</v>
      </c>
      <c r="H269" t="s">
        <v>401</v>
      </c>
      <c r="I269" t="s">
        <v>402</v>
      </c>
      <c r="J269">
        <v>385863</v>
      </c>
      <c r="K269">
        <v>20230905</v>
      </c>
      <c r="L269" t="s">
        <v>565</v>
      </c>
      <c r="M269">
        <v>67.48</v>
      </c>
      <c r="N269">
        <v>0</v>
      </c>
      <c r="O269" t="s">
        <v>19</v>
      </c>
      <c r="P269" t="s">
        <v>20</v>
      </c>
      <c r="Q269">
        <v>20230905</v>
      </c>
    </row>
    <row r="270" spans="1:17" x14ac:dyDescent="0.25">
      <c r="A270" t="s">
        <v>548</v>
      </c>
      <c r="B270" t="s">
        <v>429</v>
      </c>
      <c r="C270">
        <v>2</v>
      </c>
      <c r="D270">
        <v>20230906</v>
      </c>
      <c r="E270">
        <v>9</v>
      </c>
      <c r="F270">
        <v>411100</v>
      </c>
      <c r="G270" t="s">
        <v>18</v>
      </c>
      <c r="H270" t="s">
        <v>305</v>
      </c>
      <c r="I270" t="s">
        <v>306</v>
      </c>
      <c r="J270">
        <v>123070038</v>
      </c>
      <c r="K270">
        <v>20230906</v>
      </c>
      <c r="L270" t="s">
        <v>7188</v>
      </c>
      <c r="M270">
        <v>0</v>
      </c>
      <c r="N270">
        <v>34.090000000000003</v>
      </c>
      <c r="O270" t="s">
        <v>19</v>
      </c>
      <c r="P270" t="s">
        <v>20</v>
      </c>
      <c r="Q270">
        <v>20230906</v>
      </c>
    </row>
    <row r="271" spans="1:17" x14ac:dyDescent="0.25">
      <c r="A271" t="s">
        <v>548</v>
      </c>
      <c r="B271" t="s">
        <v>429</v>
      </c>
      <c r="C271">
        <v>2</v>
      </c>
      <c r="D271">
        <v>20230906</v>
      </c>
      <c r="E271">
        <v>9</v>
      </c>
      <c r="F271">
        <v>411100</v>
      </c>
      <c r="G271" t="s">
        <v>18</v>
      </c>
      <c r="H271" t="s">
        <v>243</v>
      </c>
      <c r="I271" t="s">
        <v>6339</v>
      </c>
      <c r="J271">
        <v>385865</v>
      </c>
      <c r="K271">
        <v>20230906</v>
      </c>
      <c r="L271" t="s">
        <v>7187</v>
      </c>
      <c r="M271">
        <v>0</v>
      </c>
      <c r="N271">
        <v>10</v>
      </c>
      <c r="O271" t="s">
        <v>19</v>
      </c>
      <c r="P271" t="s">
        <v>20</v>
      </c>
      <c r="Q271">
        <v>20230906</v>
      </c>
    </row>
    <row r="272" spans="1:17" x14ac:dyDescent="0.25">
      <c r="A272" t="s">
        <v>548</v>
      </c>
      <c r="B272" t="s">
        <v>429</v>
      </c>
      <c r="C272">
        <v>2</v>
      </c>
      <c r="D272">
        <v>20230906</v>
      </c>
      <c r="E272">
        <v>9</v>
      </c>
      <c r="F272">
        <v>411100</v>
      </c>
      <c r="G272" t="s">
        <v>18</v>
      </c>
      <c r="H272" t="s">
        <v>301</v>
      </c>
      <c r="I272" t="s">
        <v>302</v>
      </c>
      <c r="J272">
        <v>385866</v>
      </c>
      <c r="K272">
        <v>20230906</v>
      </c>
      <c r="L272" t="s">
        <v>7186</v>
      </c>
      <c r="M272">
        <v>0</v>
      </c>
      <c r="N272">
        <v>43.78</v>
      </c>
      <c r="O272" t="s">
        <v>19</v>
      </c>
      <c r="P272" t="s">
        <v>20</v>
      </c>
      <c r="Q272">
        <v>20230906</v>
      </c>
    </row>
    <row r="273" spans="1:17" x14ac:dyDescent="0.25">
      <c r="A273" t="s">
        <v>548</v>
      </c>
      <c r="B273" t="s">
        <v>429</v>
      </c>
      <c r="C273">
        <v>2</v>
      </c>
      <c r="D273">
        <v>20230906</v>
      </c>
      <c r="E273">
        <v>9</v>
      </c>
      <c r="F273">
        <v>531105</v>
      </c>
      <c r="G273" t="s">
        <v>429</v>
      </c>
      <c r="H273" t="s">
        <v>401</v>
      </c>
      <c r="I273" t="s">
        <v>402</v>
      </c>
      <c r="J273">
        <v>385867</v>
      </c>
      <c r="K273">
        <v>20230906</v>
      </c>
      <c r="L273" t="s">
        <v>565</v>
      </c>
      <c r="M273">
        <v>87.87</v>
      </c>
      <c r="N273">
        <v>0</v>
      </c>
      <c r="O273" t="s">
        <v>19</v>
      </c>
      <c r="P273" t="s">
        <v>20</v>
      </c>
      <c r="Q273">
        <v>20230906</v>
      </c>
    </row>
    <row r="274" spans="1:17" x14ac:dyDescent="0.25">
      <c r="A274" t="s">
        <v>548</v>
      </c>
      <c r="B274" t="s">
        <v>429</v>
      </c>
      <c r="C274">
        <v>2</v>
      </c>
      <c r="D274">
        <v>20230907</v>
      </c>
      <c r="E274">
        <v>9</v>
      </c>
      <c r="F274">
        <v>411100</v>
      </c>
      <c r="G274" t="s">
        <v>18</v>
      </c>
      <c r="H274" t="s">
        <v>1417</v>
      </c>
      <c r="I274" t="s">
        <v>1418</v>
      </c>
      <c r="J274">
        <v>385868</v>
      </c>
      <c r="K274">
        <v>20230907</v>
      </c>
      <c r="L274" t="s">
        <v>7185</v>
      </c>
      <c r="M274">
        <v>0</v>
      </c>
      <c r="N274">
        <v>10</v>
      </c>
      <c r="O274" t="s">
        <v>19</v>
      </c>
      <c r="P274" t="s">
        <v>20</v>
      </c>
      <c r="Q274">
        <v>20230907</v>
      </c>
    </row>
    <row r="275" spans="1:17" x14ac:dyDescent="0.25">
      <c r="A275" t="s">
        <v>548</v>
      </c>
      <c r="B275" t="s">
        <v>429</v>
      </c>
      <c r="C275">
        <v>2</v>
      </c>
      <c r="D275">
        <v>20230907</v>
      </c>
      <c r="E275">
        <v>9</v>
      </c>
      <c r="F275">
        <v>411100</v>
      </c>
      <c r="G275" t="s">
        <v>18</v>
      </c>
      <c r="H275" t="s">
        <v>3566</v>
      </c>
      <c r="I275" t="s">
        <v>3567</v>
      </c>
      <c r="J275">
        <v>385869</v>
      </c>
      <c r="K275">
        <v>20230907</v>
      </c>
      <c r="L275" t="s">
        <v>7184</v>
      </c>
      <c r="M275">
        <v>0</v>
      </c>
      <c r="N275">
        <v>10</v>
      </c>
      <c r="O275" t="s">
        <v>19</v>
      </c>
      <c r="P275" t="s">
        <v>20</v>
      </c>
      <c r="Q275">
        <v>20230907</v>
      </c>
    </row>
    <row r="276" spans="1:17" x14ac:dyDescent="0.25">
      <c r="A276" t="s">
        <v>548</v>
      </c>
      <c r="B276" t="s">
        <v>429</v>
      </c>
      <c r="C276">
        <v>2</v>
      </c>
      <c r="D276">
        <v>20230907</v>
      </c>
      <c r="E276">
        <v>9</v>
      </c>
      <c r="F276">
        <v>411100</v>
      </c>
      <c r="G276" t="s">
        <v>18</v>
      </c>
      <c r="H276" t="s">
        <v>3868</v>
      </c>
      <c r="I276" t="s">
        <v>3869</v>
      </c>
      <c r="J276">
        <v>385870</v>
      </c>
      <c r="K276">
        <v>20230907</v>
      </c>
      <c r="L276" t="s">
        <v>7183</v>
      </c>
      <c r="M276">
        <v>0</v>
      </c>
      <c r="N276">
        <v>10</v>
      </c>
      <c r="O276" t="s">
        <v>19</v>
      </c>
      <c r="P276" t="s">
        <v>20</v>
      </c>
      <c r="Q276">
        <v>20230907</v>
      </c>
    </row>
    <row r="277" spans="1:17" x14ac:dyDescent="0.25">
      <c r="A277" t="s">
        <v>548</v>
      </c>
      <c r="B277" t="s">
        <v>429</v>
      </c>
      <c r="C277">
        <v>2</v>
      </c>
      <c r="D277">
        <v>20230907</v>
      </c>
      <c r="E277">
        <v>9</v>
      </c>
      <c r="F277">
        <v>411100</v>
      </c>
      <c r="G277" t="s">
        <v>18</v>
      </c>
      <c r="H277" t="s">
        <v>4053</v>
      </c>
      <c r="I277" t="s">
        <v>4054</v>
      </c>
      <c r="J277">
        <v>385871</v>
      </c>
      <c r="K277">
        <v>20230907</v>
      </c>
      <c r="L277" t="s">
        <v>7182</v>
      </c>
      <c r="M277">
        <v>0</v>
      </c>
      <c r="N277">
        <v>10</v>
      </c>
      <c r="O277" t="s">
        <v>19</v>
      </c>
      <c r="P277" t="s">
        <v>20</v>
      </c>
      <c r="Q277">
        <v>20230907</v>
      </c>
    </row>
    <row r="278" spans="1:17" x14ac:dyDescent="0.25">
      <c r="A278" t="s">
        <v>548</v>
      </c>
      <c r="B278" t="s">
        <v>429</v>
      </c>
      <c r="C278">
        <v>2</v>
      </c>
      <c r="D278">
        <v>20230907</v>
      </c>
      <c r="E278">
        <v>9</v>
      </c>
      <c r="F278">
        <v>411100</v>
      </c>
      <c r="G278" t="s">
        <v>18</v>
      </c>
      <c r="H278" t="s">
        <v>95</v>
      </c>
      <c r="I278" t="s">
        <v>96</v>
      </c>
      <c r="J278">
        <v>385872</v>
      </c>
      <c r="K278">
        <v>20230907</v>
      </c>
      <c r="L278" t="s">
        <v>7181</v>
      </c>
      <c r="M278">
        <v>0</v>
      </c>
      <c r="N278">
        <v>10</v>
      </c>
      <c r="O278" t="s">
        <v>19</v>
      </c>
      <c r="P278" t="s">
        <v>20</v>
      </c>
      <c r="Q278">
        <v>20230907</v>
      </c>
    </row>
    <row r="279" spans="1:17" x14ac:dyDescent="0.25">
      <c r="A279" t="s">
        <v>548</v>
      </c>
      <c r="B279" t="s">
        <v>429</v>
      </c>
      <c r="C279">
        <v>2</v>
      </c>
      <c r="D279">
        <v>20230907</v>
      </c>
      <c r="E279">
        <v>9</v>
      </c>
      <c r="F279">
        <v>411100</v>
      </c>
      <c r="G279" t="s">
        <v>18</v>
      </c>
      <c r="H279" t="s">
        <v>3937</v>
      </c>
      <c r="I279" t="s">
        <v>3938</v>
      </c>
      <c r="J279">
        <v>385873</v>
      </c>
      <c r="K279">
        <v>20230907</v>
      </c>
      <c r="L279" t="s">
        <v>7180</v>
      </c>
      <c r="M279">
        <v>0</v>
      </c>
      <c r="N279">
        <v>10</v>
      </c>
      <c r="O279" t="s">
        <v>19</v>
      </c>
      <c r="P279" t="s">
        <v>20</v>
      </c>
      <c r="Q279">
        <v>20230907</v>
      </c>
    </row>
    <row r="280" spans="1:17" x14ac:dyDescent="0.25">
      <c r="A280" t="s">
        <v>548</v>
      </c>
      <c r="B280" t="s">
        <v>429</v>
      </c>
      <c r="C280">
        <v>2</v>
      </c>
      <c r="D280">
        <v>20230907</v>
      </c>
      <c r="E280">
        <v>9</v>
      </c>
      <c r="F280">
        <v>411100</v>
      </c>
      <c r="G280" t="s">
        <v>18</v>
      </c>
      <c r="H280" t="s">
        <v>3569</v>
      </c>
      <c r="I280" t="s">
        <v>3570</v>
      </c>
      <c r="J280">
        <v>385874</v>
      </c>
      <c r="K280">
        <v>20230907</v>
      </c>
      <c r="L280" t="s">
        <v>7179</v>
      </c>
      <c r="M280">
        <v>0</v>
      </c>
      <c r="N280">
        <v>10</v>
      </c>
      <c r="O280" t="s">
        <v>19</v>
      </c>
      <c r="P280" t="s">
        <v>20</v>
      </c>
      <c r="Q280">
        <v>20230907</v>
      </c>
    </row>
    <row r="281" spans="1:17" x14ac:dyDescent="0.25">
      <c r="A281" t="s">
        <v>548</v>
      </c>
      <c r="B281" t="s">
        <v>429</v>
      </c>
      <c r="C281">
        <v>2</v>
      </c>
      <c r="D281">
        <v>20230907</v>
      </c>
      <c r="E281">
        <v>9</v>
      </c>
      <c r="F281">
        <v>411100</v>
      </c>
      <c r="G281" t="s">
        <v>18</v>
      </c>
      <c r="H281" t="s">
        <v>283</v>
      </c>
      <c r="I281" t="s">
        <v>284</v>
      </c>
      <c r="J281">
        <v>385875</v>
      </c>
      <c r="K281">
        <v>20230907</v>
      </c>
      <c r="L281" t="s">
        <v>7178</v>
      </c>
      <c r="M281">
        <v>0</v>
      </c>
      <c r="N281">
        <v>10</v>
      </c>
      <c r="O281" t="s">
        <v>19</v>
      </c>
      <c r="P281" t="s">
        <v>20</v>
      </c>
      <c r="Q281">
        <v>20230907</v>
      </c>
    </row>
    <row r="282" spans="1:17" x14ac:dyDescent="0.25">
      <c r="A282" t="s">
        <v>548</v>
      </c>
      <c r="B282" t="s">
        <v>429</v>
      </c>
      <c r="C282">
        <v>2</v>
      </c>
      <c r="D282">
        <v>20230907</v>
      </c>
      <c r="E282">
        <v>9</v>
      </c>
      <c r="F282">
        <v>411100</v>
      </c>
      <c r="G282" t="s">
        <v>18</v>
      </c>
      <c r="H282" t="s">
        <v>267</v>
      </c>
      <c r="I282" t="s">
        <v>268</v>
      </c>
      <c r="J282">
        <v>385876</v>
      </c>
      <c r="K282">
        <v>20230907</v>
      </c>
      <c r="L282" t="s">
        <v>7177</v>
      </c>
      <c r="M282">
        <v>0</v>
      </c>
      <c r="N282">
        <v>10</v>
      </c>
      <c r="O282" t="s">
        <v>19</v>
      </c>
      <c r="P282" t="s">
        <v>20</v>
      </c>
      <c r="Q282">
        <v>20230907</v>
      </c>
    </row>
    <row r="283" spans="1:17" x14ac:dyDescent="0.25">
      <c r="A283" t="s">
        <v>548</v>
      </c>
      <c r="B283" t="s">
        <v>429</v>
      </c>
      <c r="C283">
        <v>2</v>
      </c>
      <c r="D283">
        <v>20230907</v>
      </c>
      <c r="E283">
        <v>9</v>
      </c>
      <c r="F283">
        <v>411100</v>
      </c>
      <c r="G283" t="s">
        <v>18</v>
      </c>
      <c r="H283" t="s">
        <v>281</v>
      </c>
      <c r="I283" t="s">
        <v>282</v>
      </c>
      <c r="J283">
        <v>385877</v>
      </c>
      <c r="K283">
        <v>20230907</v>
      </c>
      <c r="L283" t="s">
        <v>7176</v>
      </c>
      <c r="M283">
        <v>0</v>
      </c>
      <c r="N283">
        <v>10</v>
      </c>
      <c r="O283" t="s">
        <v>19</v>
      </c>
      <c r="P283" t="s">
        <v>20</v>
      </c>
      <c r="Q283">
        <v>20230907</v>
      </c>
    </row>
    <row r="284" spans="1:17" x14ac:dyDescent="0.25">
      <c r="A284" t="s">
        <v>548</v>
      </c>
      <c r="B284" t="s">
        <v>429</v>
      </c>
      <c r="C284">
        <v>2</v>
      </c>
      <c r="D284">
        <v>20230907</v>
      </c>
      <c r="E284">
        <v>9</v>
      </c>
      <c r="F284">
        <v>411100</v>
      </c>
      <c r="G284" t="s">
        <v>18</v>
      </c>
      <c r="H284" t="s">
        <v>1043</v>
      </c>
      <c r="I284" t="s">
        <v>1044</v>
      </c>
      <c r="J284">
        <v>385878</v>
      </c>
      <c r="K284">
        <v>20230907</v>
      </c>
      <c r="L284" t="s">
        <v>7175</v>
      </c>
      <c r="M284">
        <v>0</v>
      </c>
      <c r="N284">
        <v>10</v>
      </c>
      <c r="O284" t="s">
        <v>19</v>
      </c>
      <c r="P284" t="s">
        <v>20</v>
      </c>
      <c r="Q284">
        <v>20230907</v>
      </c>
    </row>
    <row r="285" spans="1:17" x14ac:dyDescent="0.25">
      <c r="A285" t="s">
        <v>548</v>
      </c>
      <c r="B285" t="s">
        <v>429</v>
      </c>
      <c r="C285">
        <v>2</v>
      </c>
      <c r="D285">
        <v>20230907</v>
      </c>
      <c r="E285">
        <v>9</v>
      </c>
      <c r="F285">
        <v>411100</v>
      </c>
      <c r="G285" t="s">
        <v>18</v>
      </c>
      <c r="H285" t="s">
        <v>4027</v>
      </c>
      <c r="I285" t="s">
        <v>4028</v>
      </c>
      <c r="J285">
        <v>385879</v>
      </c>
      <c r="K285">
        <v>20230907</v>
      </c>
      <c r="L285" t="s">
        <v>7174</v>
      </c>
      <c r="M285">
        <v>0</v>
      </c>
      <c r="N285">
        <v>10</v>
      </c>
      <c r="O285" t="s">
        <v>19</v>
      </c>
      <c r="P285" t="s">
        <v>20</v>
      </c>
      <c r="Q285">
        <v>20230907</v>
      </c>
    </row>
    <row r="286" spans="1:17" x14ac:dyDescent="0.25">
      <c r="A286" t="s">
        <v>548</v>
      </c>
      <c r="B286" t="s">
        <v>429</v>
      </c>
      <c r="C286">
        <v>2</v>
      </c>
      <c r="D286">
        <v>20230907</v>
      </c>
      <c r="E286">
        <v>9</v>
      </c>
      <c r="F286">
        <v>411100</v>
      </c>
      <c r="G286" t="s">
        <v>18</v>
      </c>
      <c r="H286" t="s">
        <v>2246</v>
      </c>
      <c r="I286" t="s">
        <v>2247</v>
      </c>
      <c r="J286">
        <v>385880</v>
      </c>
      <c r="K286">
        <v>20230907</v>
      </c>
      <c r="L286" t="s">
        <v>7173</v>
      </c>
      <c r="M286">
        <v>0</v>
      </c>
      <c r="N286">
        <v>10</v>
      </c>
      <c r="O286" t="s">
        <v>19</v>
      </c>
      <c r="P286" t="s">
        <v>20</v>
      </c>
      <c r="Q286">
        <v>20230907</v>
      </c>
    </row>
    <row r="287" spans="1:17" x14ac:dyDescent="0.25">
      <c r="A287" t="s">
        <v>548</v>
      </c>
      <c r="B287" t="s">
        <v>429</v>
      </c>
      <c r="C287">
        <v>2</v>
      </c>
      <c r="D287">
        <v>20230907</v>
      </c>
      <c r="E287">
        <v>9</v>
      </c>
      <c r="F287">
        <v>531105</v>
      </c>
      <c r="G287" t="s">
        <v>429</v>
      </c>
      <c r="H287" t="s">
        <v>401</v>
      </c>
      <c r="I287" t="s">
        <v>402</v>
      </c>
      <c r="J287">
        <v>385881</v>
      </c>
      <c r="K287">
        <v>20230907</v>
      </c>
      <c r="L287" t="s">
        <v>565</v>
      </c>
      <c r="M287">
        <v>130</v>
      </c>
      <c r="N287">
        <v>0</v>
      </c>
      <c r="O287" t="s">
        <v>19</v>
      </c>
      <c r="P287" t="s">
        <v>20</v>
      </c>
      <c r="Q287">
        <v>20230907</v>
      </c>
    </row>
    <row r="288" spans="1:17" x14ac:dyDescent="0.25">
      <c r="A288" t="s">
        <v>548</v>
      </c>
      <c r="B288" t="s">
        <v>429</v>
      </c>
      <c r="C288">
        <v>2</v>
      </c>
      <c r="D288">
        <v>20230908</v>
      </c>
      <c r="E288">
        <v>9</v>
      </c>
      <c r="F288">
        <v>411000</v>
      </c>
      <c r="G288" t="s">
        <v>21</v>
      </c>
      <c r="H288" t="s">
        <v>279</v>
      </c>
      <c r="I288" t="s">
        <v>280</v>
      </c>
      <c r="J288">
        <v>385882</v>
      </c>
      <c r="K288">
        <v>20230908</v>
      </c>
      <c r="L288" t="s">
        <v>7172</v>
      </c>
      <c r="M288">
        <v>0</v>
      </c>
      <c r="N288">
        <v>38.880000000000003</v>
      </c>
      <c r="O288" t="s">
        <v>19</v>
      </c>
      <c r="P288" t="s">
        <v>20</v>
      </c>
      <c r="Q288">
        <v>20230908</v>
      </c>
    </row>
    <row r="289" spans="1:17" x14ac:dyDescent="0.25">
      <c r="A289" t="s">
        <v>548</v>
      </c>
      <c r="B289" t="s">
        <v>429</v>
      </c>
      <c r="C289">
        <v>2</v>
      </c>
      <c r="D289">
        <v>20230908</v>
      </c>
      <c r="E289">
        <v>9</v>
      </c>
      <c r="F289">
        <v>531105</v>
      </c>
      <c r="G289" t="s">
        <v>429</v>
      </c>
      <c r="H289" t="s">
        <v>401</v>
      </c>
      <c r="I289" t="s">
        <v>402</v>
      </c>
      <c r="J289">
        <v>385883</v>
      </c>
      <c r="K289">
        <v>20230908</v>
      </c>
      <c r="L289" t="s">
        <v>565</v>
      </c>
      <c r="M289">
        <v>38.880000000000003</v>
      </c>
      <c r="N289">
        <v>0</v>
      </c>
      <c r="O289" t="s">
        <v>19</v>
      </c>
      <c r="P289" t="s">
        <v>20</v>
      </c>
      <c r="Q289">
        <v>20230908</v>
      </c>
    </row>
    <row r="290" spans="1:17" x14ac:dyDescent="0.25">
      <c r="A290" t="s">
        <v>548</v>
      </c>
      <c r="B290" t="s">
        <v>429</v>
      </c>
      <c r="C290">
        <v>2</v>
      </c>
      <c r="D290">
        <v>20230909</v>
      </c>
      <c r="E290">
        <v>9</v>
      </c>
      <c r="F290">
        <v>411100</v>
      </c>
      <c r="G290" t="s">
        <v>18</v>
      </c>
      <c r="H290" t="s">
        <v>7171</v>
      </c>
      <c r="I290" t="s">
        <v>7170</v>
      </c>
      <c r="J290">
        <v>385884</v>
      </c>
      <c r="K290">
        <v>20230909</v>
      </c>
      <c r="L290" t="s">
        <v>7169</v>
      </c>
      <c r="M290">
        <v>0</v>
      </c>
      <c r="N290">
        <v>4</v>
      </c>
      <c r="O290" t="s">
        <v>19</v>
      </c>
      <c r="P290" t="s">
        <v>20</v>
      </c>
      <c r="Q290">
        <v>20230909</v>
      </c>
    </row>
    <row r="291" spans="1:17" x14ac:dyDescent="0.25">
      <c r="A291" t="s">
        <v>548</v>
      </c>
      <c r="B291" t="s">
        <v>429</v>
      </c>
      <c r="C291">
        <v>2</v>
      </c>
      <c r="D291">
        <v>20230909</v>
      </c>
      <c r="E291">
        <v>9</v>
      </c>
      <c r="F291">
        <v>411100</v>
      </c>
      <c r="G291" t="s">
        <v>18</v>
      </c>
      <c r="H291" t="s">
        <v>4650</v>
      </c>
      <c r="I291" t="s">
        <v>7104</v>
      </c>
      <c r="J291">
        <v>385885</v>
      </c>
      <c r="K291">
        <v>20230909</v>
      </c>
      <c r="L291" t="s">
        <v>7168</v>
      </c>
      <c r="M291">
        <v>0</v>
      </c>
      <c r="N291">
        <v>10</v>
      </c>
      <c r="O291" t="s">
        <v>19</v>
      </c>
      <c r="P291" t="s">
        <v>20</v>
      </c>
      <c r="Q291">
        <v>20230909</v>
      </c>
    </row>
    <row r="292" spans="1:17" x14ac:dyDescent="0.25">
      <c r="A292" t="s">
        <v>548</v>
      </c>
      <c r="B292" t="s">
        <v>429</v>
      </c>
      <c r="C292">
        <v>2</v>
      </c>
      <c r="D292">
        <v>20230909</v>
      </c>
      <c r="E292">
        <v>9</v>
      </c>
      <c r="F292">
        <v>411100</v>
      </c>
      <c r="G292" t="s">
        <v>18</v>
      </c>
      <c r="H292" t="s">
        <v>7167</v>
      </c>
      <c r="I292" t="s">
        <v>7166</v>
      </c>
      <c r="J292">
        <v>385886</v>
      </c>
      <c r="K292">
        <v>20230909</v>
      </c>
      <c r="L292" t="s">
        <v>7165</v>
      </c>
      <c r="M292">
        <v>0</v>
      </c>
      <c r="N292">
        <v>100</v>
      </c>
      <c r="O292" t="s">
        <v>19</v>
      </c>
      <c r="P292" t="s">
        <v>20</v>
      </c>
      <c r="Q292">
        <v>20230909</v>
      </c>
    </row>
    <row r="293" spans="1:17" x14ac:dyDescent="0.25">
      <c r="A293" t="s">
        <v>548</v>
      </c>
      <c r="B293" t="s">
        <v>429</v>
      </c>
      <c r="C293">
        <v>2</v>
      </c>
      <c r="D293">
        <v>20230909</v>
      </c>
      <c r="E293">
        <v>9</v>
      </c>
      <c r="F293">
        <v>411100</v>
      </c>
      <c r="G293" t="s">
        <v>18</v>
      </c>
      <c r="H293" t="s">
        <v>7164</v>
      </c>
      <c r="I293" t="s">
        <v>7163</v>
      </c>
      <c r="J293">
        <v>385887</v>
      </c>
      <c r="K293">
        <v>20230909</v>
      </c>
      <c r="L293" t="s">
        <v>7162</v>
      </c>
      <c r="M293">
        <v>0</v>
      </c>
      <c r="N293">
        <v>10</v>
      </c>
      <c r="O293" t="s">
        <v>19</v>
      </c>
      <c r="P293" t="s">
        <v>20</v>
      </c>
      <c r="Q293">
        <v>20230909</v>
      </c>
    </row>
    <row r="294" spans="1:17" x14ac:dyDescent="0.25">
      <c r="A294" t="s">
        <v>548</v>
      </c>
      <c r="B294" t="s">
        <v>429</v>
      </c>
      <c r="C294">
        <v>2</v>
      </c>
      <c r="D294">
        <v>20230909</v>
      </c>
      <c r="E294">
        <v>9</v>
      </c>
      <c r="F294">
        <v>531105</v>
      </c>
      <c r="G294" t="s">
        <v>429</v>
      </c>
      <c r="H294" t="s">
        <v>401</v>
      </c>
      <c r="I294" t="s">
        <v>402</v>
      </c>
      <c r="J294">
        <v>385888</v>
      </c>
      <c r="K294">
        <v>20230909</v>
      </c>
      <c r="L294" t="s">
        <v>565</v>
      </c>
      <c r="M294">
        <v>124</v>
      </c>
      <c r="N294">
        <v>0</v>
      </c>
      <c r="O294" t="s">
        <v>19</v>
      </c>
      <c r="P294" t="s">
        <v>20</v>
      </c>
      <c r="Q294">
        <v>20230909</v>
      </c>
    </row>
    <row r="295" spans="1:17" x14ac:dyDescent="0.25">
      <c r="A295" t="s">
        <v>548</v>
      </c>
      <c r="B295" t="s">
        <v>429</v>
      </c>
      <c r="C295">
        <v>2</v>
      </c>
      <c r="D295">
        <v>20230912</v>
      </c>
      <c r="E295">
        <v>9</v>
      </c>
      <c r="F295">
        <v>411100</v>
      </c>
      <c r="G295" t="s">
        <v>18</v>
      </c>
      <c r="H295" t="s">
        <v>73</v>
      </c>
      <c r="I295" t="s">
        <v>74</v>
      </c>
      <c r="J295">
        <v>123080145</v>
      </c>
      <c r="K295">
        <v>20230912</v>
      </c>
      <c r="L295" t="s">
        <v>7161</v>
      </c>
      <c r="M295">
        <v>0</v>
      </c>
      <c r="N295">
        <v>7</v>
      </c>
      <c r="O295" t="s">
        <v>19</v>
      </c>
      <c r="P295" t="s">
        <v>20</v>
      </c>
      <c r="Q295">
        <v>20230912</v>
      </c>
    </row>
    <row r="296" spans="1:17" x14ac:dyDescent="0.25">
      <c r="A296" t="s">
        <v>548</v>
      </c>
      <c r="B296" t="s">
        <v>429</v>
      </c>
      <c r="C296">
        <v>2</v>
      </c>
      <c r="D296">
        <v>20230912</v>
      </c>
      <c r="E296">
        <v>9</v>
      </c>
      <c r="F296">
        <v>411100</v>
      </c>
      <c r="G296" t="s">
        <v>18</v>
      </c>
      <c r="H296" t="s">
        <v>73</v>
      </c>
      <c r="I296" t="s">
        <v>74</v>
      </c>
      <c r="J296">
        <v>123080145</v>
      </c>
      <c r="K296">
        <v>20230912</v>
      </c>
      <c r="L296" t="s">
        <v>7160</v>
      </c>
      <c r="M296">
        <v>0</v>
      </c>
      <c r="N296">
        <v>7</v>
      </c>
      <c r="O296" t="s">
        <v>19</v>
      </c>
      <c r="P296" t="s">
        <v>20</v>
      </c>
      <c r="Q296">
        <v>20230912</v>
      </c>
    </row>
    <row r="297" spans="1:17" x14ac:dyDescent="0.25">
      <c r="A297" t="s">
        <v>548</v>
      </c>
      <c r="B297" t="s">
        <v>429</v>
      </c>
      <c r="C297">
        <v>2</v>
      </c>
      <c r="D297">
        <v>20230912</v>
      </c>
      <c r="E297">
        <v>9</v>
      </c>
      <c r="F297">
        <v>411100</v>
      </c>
      <c r="G297" t="s">
        <v>18</v>
      </c>
      <c r="H297" t="s">
        <v>1172</v>
      </c>
      <c r="I297" t="s">
        <v>6571</v>
      </c>
      <c r="J297">
        <v>123080119</v>
      </c>
      <c r="K297">
        <v>20230912</v>
      </c>
      <c r="L297" t="s">
        <v>7159</v>
      </c>
      <c r="M297">
        <v>0</v>
      </c>
      <c r="N297">
        <v>7</v>
      </c>
      <c r="O297" t="s">
        <v>19</v>
      </c>
      <c r="P297" t="s">
        <v>20</v>
      </c>
      <c r="Q297">
        <v>20230912</v>
      </c>
    </row>
    <row r="298" spans="1:17" x14ac:dyDescent="0.25">
      <c r="A298" t="s">
        <v>548</v>
      </c>
      <c r="B298" t="s">
        <v>429</v>
      </c>
      <c r="C298">
        <v>2</v>
      </c>
      <c r="D298">
        <v>20230912</v>
      </c>
      <c r="E298">
        <v>9</v>
      </c>
      <c r="F298">
        <v>411100</v>
      </c>
      <c r="G298" t="s">
        <v>18</v>
      </c>
      <c r="H298" t="s">
        <v>1172</v>
      </c>
      <c r="I298" t="s">
        <v>6571</v>
      </c>
      <c r="J298">
        <v>123080119</v>
      </c>
      <c r="K298">
        <v>20230912</v>
      </c>
      <c r="L298" t="s">
        <v>7158</v>
      </c>
      <c r="M298">
        <v>0</v>
      </c>
      <c r="N298">
        <v>7</v>
      </c>
      <c r="O298" t="s">
        <v>19</v>
      </c>
      <c r="P298" t="s">
        <v>20</v>
      </c>
      <c r="Q298">
        <v>20230912</v>
      </c>
    </row>
    <row r="299" spans="1:17" x14ac:dyDescent="0.25">
      <c r="A299" t="s">
        <v>548</v>
      </c>
      <c r="B299" t="s">
        <v>429</v>
      </c>
      <c r="C299">
        <v>2</v>
      </c>
      <c r="D299">
        <v>20230912</v>
      </c>
      <c r="E299">
        <v>9</v>
      </c>
      <c r="F299">
        <v>411100</v>
      </c>
      <c r="G299" t="s">
        <v>18</v>
      </c>
      <c r="H299" t="s">
        <v>2734</v>
      </c>
      <c r="I299" t="s">
        <v>2735</v>
      </c>
      <c r="J299">
        <v>123080131</v>
      </c>
      <c r="K299">
        <v>20230912</v>
      </c>
      <c r="L299" t="s">
        <v>7157</v>
      </c>
      <c r="M299">
        <v>0</v>
      </c>
      <c r="N299">
        <v>7</v>
      </c>
      <c r="O299" t="s">
        <v>19</v>
      </c>
      <c r="P299" t="s">
        <v>20</v>
      </c>
      <c r="Q299">
        <v>20230912</v>
      </c>
    </row>
    <row r="300" spans="1:17" x14ac:dyDescent="0.25">
      <c r="A300" t="s">
        <v>548</v>
      </c>
      <c r="B300" t="s">
        <v>429</v>
      </c>
      <c r="C300">
        <v>2</v>
      </c>
      <c r="D300">
        <v>20230912</v>
      </c>
      <c r="E300">
        <v>9</v>
      </c>
      <c r="F300">
        <v>411100</v>
      </c>
      <c r="G300" t="s">
        <v>18</v>
      </c>
      <c r="H300" t="s">
        <v>1911</v>
      </c>
      <c r="I300" t="s">
        <v>1912</v>
      </c>
      <c r="J300">
        <v>123080037</v>
      </c>
      <c r="K300">
        <v>20230912</v>
      </c>
      <c r="L300" t="s">
        <v>7156</v>
      </c>
      <c r="M300">
        <v>0</v>
      </c>
      <c r="N300">
        <v>7</v>
      </c>
      <c r="O300" t="s">
        <v>19</v>
      </c>
      <c r="P300" t="s">
        <v>20</v>
      </c>
      <c r="Q300">
        <v>20230912</v>
      </c>
    </row>
    <row r="301" spans="1:17" x14ac:dyDescent="0.25">
      <c r="A301" t="s">
        <v>548</v>
      </c>
      <c r="B301" t="s">
        <v>429</v>
      </c>
      <c r="C301">
        <v>2</v>
      </c>
      <c r="D301">
        <v>20230912</v>
      </c>
      <c r="E301">
        <v>9</v>
      </c>
      <c r="F301">
        <v>411010</v>
      </c>
      <c r="G301" t="s">
        <v>87</v>
      </c>
      <c r="H301" t="s">
        <v>93</v>
      </c>
      <c r="I301" t="s">
        <v>94</v>
      </c>
      <c r="J301">
        <v>385895</v>
      </c>
      <c r="K301">
        <v>20230912</v>
      </c>
      <c r="L301" t="s">
        <v>7155</v>
      </c>
      <c r="M301">
        <v>0</v>
      </c>
      <c r="N301">
        <v>7</v>
      </c>
      <c r="O301" t="s">
        <v>19</v>
      </c>
      <c r="P301" t="s">
        <v>20</v>
      </c>
      <c r="Q301">
        <v>20230912</v>
      </c>
    </row>
    <row r="302" spans="1:17" x14ac:dyDescent="0.25">
      <c r="A302" t="s">
        <v>548</v>
      </c>
      <c r="B302" t="s">
        <v>429</v>
      </c>
      <c r="C302">
        <v>2</v>
      </c>
      <c r="D302">
        <v>20230912</v>
      </c>
      <c r="E302">
        <v>9</v>
      </c>
      <c r="F302">
        <v>411100</v>
      </c>
      <c r="G302" t="s">
        <v>18</v>
      </c>
      <c r="H302" t="s">
        <v>660</v>
      </c>
      <c r="I302" t="s">
        <v>661</v>
      </c>
      <c r="J302">
        <v>123080082</v>
      </c>
      <c r="K302">
        <v>20230912</v>
      </c>
      <c r="L302" t="s">
        <v>7154</v>
      </c>
      <c r="M302">
        <v>0</v>
      </c>
      <c r="N302">
        <v>7</v>
      </c>
      <c r="O302" t="s">
        <v>19</v>
      </c>
      <c r="P302" t="s">
        <v>20</v>
      </c>
      <c r="Q302">
        <v>20230912</v>
      </c>
    </row>
    <row r="303" spans="1:17" x14ac:dyDescent="0.25">
      <c r="A303" t="s">
        <v>548</v>
      </c>
      <c r="B303" t="s">
        <v>429</v>
      </c>
      <c r="C303">
        <v>2</v>
      </c>
      <c r="D303">
        <v>20230912</v>
      </c>
      <c r="E303">
        <v>9</v>
      </c>
      <c r="F303">
        <v>411100</v>
      </c>
      <c r="G303" t="s">
        <v>18</v>
      </c>
      <c r="H303" t="s">
        <v>698</v>
      </c>
      <c r="I303" t="s">
        <v>699</v>
      </c>
      <c r="J303">
        <v>123080079</v>
      </c>
      <c r="K303">
        <v>20230912</v>
      </c>
      <c r="L303" t="s">
        <v>7153</v>
      </c>
      <c r="M303">
        <v>0</v>
      </c>
      <c r="N303">
        <v>7</v>
      </c>
      <c r="O303" t="s">
        <v>19</v>
      </c>
      <c r="P303" t="s">
        <v>20</v>
      </c>
      <c r="Q303">
        <v>20230912</v>
      </c>
    </row>
    <row r="304" spans="1:17" x14ac:dyDescent="0.25">
      <c r="A304" t="s">
        <v>548</v>
      </c>
      <c r="B304" t="s">
        <v>429</v>
      </c>
      <c r="C304">
        <v>2</v>
      </c>
      <c r="D304">
        <v>20230912</v>
      </c>
      <c r="E304">
        <v>9</v>
      </c>
      <c r="F304">
        <v>411100</v>
      </c>
      <c r="G304" t="s">
        <v>18</v>
      </c>
      <c r="H304" t="s">
        <v>85</v>
      </c>
      <c r="I304" t="s">
        <v>86</v>
      </c>
      <c r="J304">
        <v>123080013</v>
      </c>
      <c r="K304">
        <v>20230912</v>
      </c>
      <c r="L304" t="s">
        <v>7152</v>
      </c>
      <c r="M304">
        <v>0</v>
      </c>
      <c r="N304">
        <v>7</v>
      </c>
      <c r="O304" t="s">
        <v>19</v>
      </c>
      <c r="P304" t="s">
        <v>20</v>
      </c>
      <c r="Q304">
        <v>20230912</v>
      </c>
    </row>
    <row r="305" spans="1:17" x14ac:dyDescent="0.25">
      <c r="A305" t="s">
        <v>548</v>
      </c>
      <c r="B305" t="s">
        <v>429</v>
      </c>
      <c r="C305">
        <v>2</v>
      </c>
      <c r="D305">
        <v>20230912</v>
      </c>
      <c r="E305">
        <v>9</v>
      </c>
      <c r="F305">
        <v>411100</v>
      </c>
      <c r="G305" t="s">
        <v>18</v>
      </c>
      <c r="H305" t="s">
        <v>85</v>
      </c>
      <c r="I305" t="s">
        <v>86</v>
      </c>
      <c r="J305">
        <v>123080013</v>
      </c>
      <c r="K305">
        <v>20230912</v>
      </c>
      <c r="L305" t="s">
        <v>7151</v>
      </c>
      <c r="M305">
        <v>0</v>
      </c>
      <c r="N305">
        <v>7</v>
      </c>
      <c r="O305" t="s">
        <v>19</v>
      </c>
      <c r="P305" t="s">
        <v>20</v>
      </c>
      <c r="Q305">
        <v>20230912</v>
      </c>
    </row>
    <row r="306" spans="1:17" x14ac:dyDescent="0.25">
      <c r="A306" t="s">
        <v>548</v>
      </c>
      <c r="B306" t="s">
        <v>429</v>
      </c>
      <c r="C306">
        <v>2</v>
      </c>
      <c r="D306">
        <v>20230912</v>
      </c>
      <c r="E306">
        <v>9</v>
      </c>
      <c r="F306">
        <v>411100</v>
      </c>
      <c r="G306" t="s">
        <v>18</v>
      </c>
      <c r="H306" t="s">
        <v>241</v>
      </c>
      <c r="I306" t="s">
        <v>242</v>
      </c>
      <c r="J306">
        <v>123080109</v>
      </c>
      <c r="K306">
        <v>20230912</v>
      </c>
      <c r="L306" t="s">
        <v>7150</v>
      </c>
      <c r="M306">
        <v>0</v>
      </c>
      <c r="N306">
        <v>7</v>
      </c>
      <c r="O306" t="s">
        <v>19</v>
      </c>
      <c r="P306" t="s">
        <v>20</v>
      </c>
      <c r="Q306">
        <v>20230912</v>
      </c>
    </row>
    <row r="307" spans="1:17" x14ac:dyDescent="0.25">
      <c r="A307" t="s">
        <v>548</v>
      </c>
      <c r="B307" t="s">
        <v>429</v>
      </c>
      <c r="C307">
        <v>2</v>
      </c>
      <c r="D307">
        <v>20230912</v>
      </c>
      <c r="E307">
        <v>9</v>
      </c>
      <c r="F307">
        <v>411100</v>
      </c>
      <c r="G307" t="s">
        <v>18</v>
      </c>
      <c r="H307" t="s">
        <v>154</v>
      </c>
      <c r="I307" t="s">
        <v>155</v>
      </c>
      <c r="J307">
        <v>123080038</v>
      </c>
      <c r="K307">
        <v>20230912</v>
      </c>
      <c r="L307" t="s">
        <v>7149</v>
      </c>
      <c r="M307">
        <v>0</v>
      </c>
      <c r="N307">
        <v>11.5</v>
      </c>
      <c r="O307" t="s">
        <v>19</v>
      </c>
      <c r="P307" t="s">
        <v>20</v>
      </c>
      <c r="Q307">
        <v>20230912</v>
      </c>
    </row>
    <row r="308" spans="1:17" x14ac:dyDescent="0.25">
      <c r="A308" t="s">
        <v>548</v>
      </c>
      <c r="B308" t="s">
        <v>429</v>
      </c>
      <c r="C308">
        <v>2</v>
      </c>
      <c r="D308">
        <v>20230912</v>
      </c>
      <c r="E308">
        <v>9</v>
      </c>
      <c r="F308">
        <v>411100</v>
      </c>
      <c r="G308" t="s">
        <v>18</v>
      </c>
      <c r="H308" t="s">
        <v>81</v>
      </c>
      <c r="I308" t="s">
        <v>82</v>
      </c>
      <c r="J308">
        <v>123080033</v>
      </c>
      <c r="K308">
        <v>20230912</v>
      </c>
      <c r="L308" t="s">
        <v>7148</v>
      </c>
      <c r="M308">
        <v>0</v>
      </c>
      <c r="N308">
        <v>7</v>
      </c>
      <c r="O308" t="s">
        <v>19</v>
      </c>
      <c r="P308" t="s">
        <v>20</v>
      </c>
      <c r="Q308">
        <v>20230912</v>
      </c>
    </row>
    <row r="309" spans="1:17" x14ac:dyDescent="0.25">
      <c r="A309" t="s">
        <v>548</v>
      </c>
      <c r="B309" t="s">
        <v>429</v>
      </c>
      <c r="C309">
        <v>2</v>
      </c>
      <c r="D309">
        <v>20230912</v>
      </c>
      <c r="E309">
        <v>9</v>
      </c>
      <c r="F309">
        <v>411100</v>
      </c>
      <c r="G309" t="s">
        <v>18</v>
      </c>
      <c r="H309" t="s">
        <v>105</v>
      </c>
      <c r="I309" t="s">
        <v>7131</v>
      </c>
      <c r="J309">
        <v>123080091</v>
      </c>
      <c r="K309">
        <v>20230912</v>
      </c>
      <c r="L309" t="s">
        <v>7147</v>
      </c>
      <c r="M309">
        <v>0</v>
      </c>
      <c r="N309">
        <v>7</v>
      </c>
      <c r="O309" t="s">
        <v>19</v>
      </c>
      <c r="P309" t="s">
        <v>20</v>
      </c>
      <c r="Q309">
        <v>20230912</v>
      </c>
    </row>
    <row r="310" spans="1:17" x14ac:dyDescent="0.25">
      <c r="A310" t="s">
        <v>548</v>
      </c>
      <c r="B310" t="s">
        <v>429</v>
      </c>
      <c r="C310">
        <v>2</v>
      </c>
      <c r="D310">
        <v>20230912</v>
      </c>
      <c r="E310">
        <v>9</v>
      </c>
      <c r="F310">
        <v>411100</v>
      </c>
      <c r="G310" t="s">
        <v>18</v>
      </c>
      <c r="H310" t="s">
        <v>105</v>
      </c>
      <c r="I310" t="s">
        <v>7131</v>
      </c>
      <c r="J310">
        <v>123080091</v>
      </c>
      <c r="K310">
        <v>20230912</v>
      </c>
      <c r="L310" t="s">
        <v>7146</v>
      </c>
      <c r="M310">
        <v>0</v>
      </c>
      <c r="N310">
        <v>7</v>
      </c>
      <c r="O310" t="s">
        <v>19</v>
      </c>
      <c r="P310" t="s">
        <v>20</v>
      </c>
      <c r="Q310">
        <v>20230912</v>
      </c>
    </row>
    <row r="311" spans="1:17" x14ac:dyDescent="0.25">
      <c r="A311" t="s">
        <v>548</v>
      </c>
      <c r="B311" t="s">
        <v>429</v>
      </c>
      <c r="C311">
        <v>2</v>
      </c>
      <c r="D311">
        <v>20230912</v>
      </c>
      <c r="E311">
        <v>9</v>
      </c>
      <c r="F311">
        <v>411100</v>
      </c>
      <c r="G311" t="s">
        <v>18</v>
      </c>
      <c r="H311" t="s">
        <v>105</v>
      </c>
      <c r="I311" t="s">
        <v>7131</v>
      </c>
      <c r="J311">
        <v>123080091</v>
      </c>
      <c r="K311">
        <v>20230912</v>
      </c>
      <c r="L311" t="s">
        <v>7145</v>
      </c>
      <c r="M311">
        <v>0</v>
      </c>
      <c r="N311">
        <v>7</v>
      </c>
      <c r="O311" t="s">
        <v>19</v>
      </c>
      <c r="P311" t="s">
        <v>20</v>
      </c>
      <c r="Q311">
        <v>20230912</v>
      </c>
    </row>
    <row r="312" spans="1:17" x14ac:dyDescent="0.25">
      <c r="A312" t="s">
        <v>548</v>
      </c>
      <c r="B312" t="s">
        <v>429</v>
      </c>
      <c r="C312">
        <v>2</v>
      </c>
      <c r="D312">
        <v>20230912</v>
      </c>
      <c r="E312">
        <v>9</v>
      </c>
      <c r="F312">
        <v>411100</v>
      </c>
      <c r="G312" t="s">
        <v>18</v>
      </c>
      <c r="H312" t="s">
        <v>105</v>
      </c>
      <c r="I312" t="s">
        <v>7131</v>
      </c>
      <c r="J312">
        <v>123080091</v>
      </c>
      <c r="K312">
        <v>20230912</v>
      </c>
      <c r="L312" t="s">
        <v>7144</v>
      </c>
      <c r="M312">
        <v>0</v>
      </c>
      <c r="N312">
        <v>2.5</v>
      </c>
      <c r="O312" t="s">
        <v>19</v>
      </c>
      <c r="P312" t="s">
        <v>20</v>
      </c>
      <c r="Q312">
        <v>20230912</v>
      </c>
    </row>
    <row r="313" spans="1:17" x14ac:dyDescent="0.25">
      <c r="A313" t="s">
        <v>548</v>
      </c>
      <c r="B313" t="s">
        <v>429</v>
      </c>
      <c r="C313">
        <v>2</v>
      </c>
      <c r="D313">
        <v>20230912</v>
      </c>
      <c r="E313">
        <v>9</v>
      </c>
      <c r="F313">
        <v>411100</v>
      </c>
      <c r="G313" t="s">
        <v>18</v>
      </c>
      <c r="H313" t="s">
        <v>1043</v>
      </c>
      <c r="I313" t="s">
        <v>1044</v>
      </c>
      <c r="J313">
        <v>123080110</v>
      </c>
      <c r="K313">
        <v>20230912</v>
      </c>
      <c r="L313" t="s">
        <v>7143</v>
      </c>
      <c r="M313">
        <v>0</v>
      </c>
      <c r="N313">
        <v>7</v>
      </c>
      <c r="O313" t="s">
        <v>19</v>
      </c>
      <c r="P313" t="s">
        <v>20</v>
      </c>
      <c r="Q313">
        <v>20230912</v>
      </c>
    </row>
    <row r="314" spans="1:17" x14ac:dyDescent="0.25">
      <c r="A314" t="s">
        <v>548</v>
      </c>
      <c r="B314" t="s">
        <v>429</v>
      </c>
      <c r="C314">
        <v>2</v>
      </c>
      <c r="D314">
        <v>20230912</v>
      </c>
      <c r="E314">
        <v>9</v>
      </c>
      <c r="F314">
        <v>411100</v>
      </c>
      <c r="G314" t="s">
        <v>18</v>
      </c>
      <c r="H314" t="s">
        <v>1033</v>
      </c>
      <c r="I314" t="s">
        <v>1034</v>
      </c>
      <c r="J314">
        <v>123080067</v>
      </c>
      <c r="K314">
        <v>20230912</v>
      </c>
      <c r="L314" t="s">
        <v>7142</v>
      </c>
      <c r="M314">
        <v>0</v>
      </c>
      <c r="N314">
        <v>7</v>
      </c>
      <c r="O314" t="s">
        <v>19</v>
      </c>
      <c r="P314" t="s">
        <v>20</v>
      </c>
      <c r="Q314">
        <v>20230912</v>
      </c>
    </row>
    <row r="315" spans="1:17" x14ac:dyDescent="0.25">
      <c r="A315" t="s">
        <v>548</v>
      </c>
      <c r="B315" t="s">
        <v>429</v>
      </c>
      <c r="C315">
        <v>2</v>
      </c>
      <c r="D315">
        <v>20230912</v>
      </c>
      <c r="E315">
        <v>9</v>
      </c>
      <c r="F315">
        <v>411100</v>
      </c>
      <c r="G315" t="s">
        <v>18</v>
      </c>
      <c r="H315" t="s">
        <v>237</v>
      </c>
      <c r="I315" t="s">
        <v>238</v>
      </c>
      <c r="J315">
        <v>123080035</v>
      </c>
      <c r="K315">
        <v>20230912</v>
      </c>
      <c r="L315" t="s">
        <v>7141</v>
      </c>
      <c r="M315">
        <v>0</v>
      </c>
      <c r="N315">
        <v>7</v>
      </c>
      <c r="O315" t="s">
        <v>19</v>
      </c>
      <c r="P315" t="s">
        <v>20</v>
      </c>
      <c r="Q315">
        <v>20230912</v>
      </c>
    </row>
    <row r="316" spans="1:17" x14ac:dyDescent="0.25">
      <c r="A316" t="s">
        <v>548</v>
      </c>
      <c r="B316" t="s">
        <v>429</v>
      </c>
      <c r="C316">
        <v>2</v>
      </c>
      <c r="D316">
        <v>20230912</v>
      </c>
      <c r="E316">
        <v>9</v>
      </c>
      <c r="F316">
        <v>411100</v>
      </c>
      <c r="G316" t="s">
        <v>18</v>
      </c>
      <c r="H316" t="s">
        <v>259</v>
      </c>
      <c r="I316" t="s">
        <v>260</v>
      </c>
      <c r="J316">
        <v>123080014</v>
      </c>
      <c r="K316">
        <v>20230912</v>
      </c>
      <c r="L316" t="s">
        <v>7140</v>
      </c>
      <c r="M316">
        <v>0</v>
      </c>
      <c r="N316">
        <v>7</v>
      </c>
      <c r="O316" t="s">
        <v>19</v>
      </c>
      <c r="P316" t="s">
        <v>20</v>
      </c>
      <c r="Q316">
        <v>20230912</v>
      </c>
    </row>
    <row r="317" spans="1:17" x14ac:dyDescent="0.25">
      <c r="A317" t="s">
        <v>548</v>
      </c>
      <c r="B317" t="s">
        <v>429</v>
      </c>
      <c r="C317">
        <v>2</v>
      </c>
      <c r="D317">
        <v>20230912</v>
      </c>
      <c r="E317">
        <v>9</v>
      </c>
      <c r="F317">
        <v>411100</v>
      </c>
      <c r="G317" t="s">
        <v>18</v>
      </c>
      <c r="H317" t="s">
        <v>2969</v>
      </c>
      <c r="I317" t="s">
        <v>2970</v>
      </c>
      <c r="J317">
        <v>385911</v>
      </c>
      <c r="K317">
        <v>20230912</v>
      </c>
      <c r="L317" t="s">
        <v>7139</v>
      </c>
      <c r="M317">
        <v>0</v>
      </c>
      <c r="N317">
        <v>28</v>
      </c>
      <c r="O317" t="s">
        <v>19</v>
      </c>
      <c r="P317" t="s">
        <v>20</v>
      </c>
      <c r="Q317">
        <v>20230912</v>
      </c>
    </row>
    <row r="318" spans="1:17" x14ac:dyDescent="0.25">
      <c r="A318" t="s">
        <v>548</v>
      </c>
      <c r="B318" t="s">
        <v>429</v>
      </c>
      <c r="C318">
        <v>2</v>
      </c>
      <c r="D318">
        <v>20230912</v>
      </c>
      <c r="E318">
        <v>9</v>
      </c>
      <c r="F318">
        <v>531105</v>
      </c>
      <c r="G318" t="s">
        <v>429</v>
      </c>
      <c r="H318" t="s">
        <v>401</v>
      </c>
      <c r="I318" t="s">
        <v>402</v>
      </c>
      <c r="J318">
        <v>385912</v>
      </c>
      <c r="K318">
        <v>20230912</v>
      </c>
      <c r="L318" t="s">
        <v>565</v>
      </c>
      <c r="M318">
        <v>182</v>
      </c>
      <c r="N318">
        <v>0</v>
      </c>
      <c r="O318" t="s">
        <v>19</v>
      </c>
      <c r="P318" t="s">
        <v>20</v>
      </c>
      <c r="Q318">
        <v>20230912</v>
      </c>
    </row>
    <row r="319" spans="1:17" x14ac:dyDescent="0.25">
      <c r="A319" t="s">
        <v>548</v>
      </c>
      <c r="B319" t="s">
        <v>429</v>
      </c>
      <c r="C319">
        <v>2</v>
      </c>
      <c r="D319">
        <v>20230913</v>
      </c>
      <c r="E319">
        <v>9</v>
      </c>
      <c r="F319">
        <v>411100</v>
      </c>
      <c r="G319" t="s">
        <v>18</v>
      </c>
      <c r="H319" t="s">
        <v>5398</v>
      </c>
      <c r="I319" t="s">
        <v>5399</v>
      </c>
      <c r="J319">
        <v>385913</v>
      </c>
      <c r="K319">
        <v>20230913</v>
      </c>
      <c r="L319" t="s">
        <v>7138</v>
      </c>
      <c r="M319">
        <v>0</v>
      </c>
      <c r="N319">
        <v>60</v>
      </c>
      <c r="O319" t="s">
        <v>19</v>
      </c>
      <c r="P319" t="s">
        <v>20</v>
      </c>
      <c r="Q319">
        <v>20230913</v>
      </c>
    </row>
    <row r="320" spans="1:17" x14ac:dyDescent="0.25">
      <c r="A320" t="s">
        <v>548</v>
      </c>
      <c r="B320" t="s">
        <v>429</v>
      </c>
      <c r="C320">
        <v>2</v>
      </c>
      <c r="D320">
        <v>20230913</v>
      </c>
      <c r="E320">
        <v>9</v>
      </c>
      <c r="F320">
        <v>531105</v>
      </c>
      <c r="G320" t="s">
        <v>429</v>
      </c>
      <c r="H320" t="s">
        <v>401</v>
      </c>
      <c r="I320" t="s">
        <v>402</v>
      </c>
      <c r="J320">
        <v>385914</v>
      </c>
      <c r="K320">
        <v>20230913</v>
      </c>
      <c r="L320" t="s">
        <v>565</v>
      </c>
      <c r="M320">
        <v>60</v>
      </c>
      <c r="N320">
        <v>0</v>
      </c>
      <c r="O320" t="s">
        <v>19</v>
      </c>
      <c r="P320" t="s">
        <v>20</v>
      </c>
      <c r="Q320">
        <v>20230913</v>
      </c>
    </row>
    <row r="321" spans="1:17" x14ac:dyDescent="0.25">
      <c r="A321" t="s">
        <v>548</v>
      </c>
      <c r="B321" t="s">
        <v>429</v>
      </c>
      <c r="C321">
        <v>2</v>
      </c>
      <c r="D321">
        <v>20230914</v>
      </c>
      <c r="E321">
        <v>9</v>
      </c>
      <c r="F321">
        <v>411100</v>
      </c>
      <c r="G321" t="s">
        <v>18</v>
      </c>
      <c r="H321" t="s">
        <v>7137</v>
      </c>
      <c r="I321" t="s">
        <v>7136</v>
      </c>
      <c r="J321">
        <v>385915</v>
      </c>
      <c r="K321">
        <v>20230914</v>
      </c>
      <c r="L321" t="s">
        <v>7135</v>
      </c>
      <c r="M321">
        <v>0</v>
      </c>
      <c r="N321">
        <v>10</v>
      </c>
      <c r="O321" t="s">
        <v>19</v>
      </c>
      <c r="P321" t="s">
        <v>20</v>
      </c>
      <c r="Q321">
        <v>20230914</v>
      </c>
    </row>
    <row r="322" spans="1:17" x14ac:dyDescent="0.25">
      <c r="A322" t="s">
        <v>548</v>
      </c>
      <c r="B322" t="s">
        <v>429</v>
      </c>
      <c r="C322">
        <v>2</v>
      </c>
      <c r="D322">
        <v>20230914</v>
      </c>
      <c r="E322">
        <v>9</v>
      </c>
      <c r="F322">
        <v>411100</v>
      </c>
      <c r="G322" t="s">
        <v>18</v>
      </c>
      <c r="H322" t="s">
        <v>7134</v>
      </c>
      <c r="I322" t="s">
        <v>7133</v>
      </c>
      <c r="J322">
        <v>385916</v>
      </c>
      <c r="K322">
        <v>20230914</v>
      </c>
      <c r="L322" t="s">
        <v>7132</v>
      </c>
      <c r="M322">
        <v>0</v>
      </c>
      <c r="N322">
        <v>22</v>
      </c>
      <c r="O322" t="s">
        <v>19</v>
      </c>
      <c r="P322" t="s">
        <v>20</v>
      </c>
      <c r="Q322">
        <v>20230914</v>
      </c>
    </row>
    <row r="323" spans="1:17" x14ac:dyDescent="0.25">
      <c r="A323" t="s">
        <v>548</v>
      </c>
      <c r="B323" t="s">
        <v>429</v>
      </c>
      <c r="C323">
        <v>2</v>
      </c>
      <c r="D323">
        <v>20230914</v>
      </c>
      <c r="E323">
        <v>9</v>
      </c>
      <c r="F323">
        <v>531105</v>
      </c>
      <c r="G323" t="s">
        <v>429</v>
      </c>
      <c r="H323" t="s">
        <v>401</v>
      </c>
      <c r="I323" t="s">
        <v>402</v>
      </c>
      <c r="J323">
        <v>385917</v>
      </c>
      <c r="K323">
        <v>20230914</v>
      </c>
      <c r="L323" t="s">
        <v>565</v>
      </c>
      <c r="M323">
        <v>32</v>
      </c>
      <c r="N323">
        <v>0</v>
      </c>
      <c r="O323" t="s">
        <v>19</v>
      </c>
      <c r="P323" t="s">
        <v>20</v>
      </c>
      <c r="Q323">
        <v>20230914</v>
      </c>
    </row>
    <row r="324" spans="1:17" x14ac:dyDescent="0.25">
      <c r="A324" t="s">
        <v>548</v>
      </c>
      <c r="B324" t="s">
        <v>429</v>
      </c>
      <c r="C324">
        <v>2</v>
      </c>
      <c r="D324">
        <v>20230912</v>
      </c>
      <c r="E324">
        <v>9</v>
      </c>
      <c r="F324">
        <v>411100</v>
      </c>
      <c r="G324" t="s">
        <v>18</v>
      </c>
      <c r="H324" t="s">
        <v>105</v>
      </c>
      <c r="I324" t="s">
        <v>7131</v>
      </c>
      <c r="J324">
        <v>385918</v>
      </c>
      <c r="K324">
        <v>20230912</v>
      </c>
      <c r="L324" t="s">
        <v>7130</v>
      </c>
      <c r="M324">
        <v>9.5</v>
      </c>
      <c r="N324">
        <v>0</v>
      </c>
      <c r="O324" t="s">
        <v>19</v>
      </c>
      <c r="P324" t="s">
        <v>20</v>
      </c>
      <c r="Q324">
        <v>20230912</v>
      </c>
    </row>
    <row r="325" spans="1:17" x14ac:dyDescent="0.25">
      <c r="A325" t="s">
        <v>548</v>
      </c>
      <c r="B325" t="s">
        <v>429</v>
      </c>
      <c r="C325">
        <v>2</v>
      </c>
      <c r="D325">
        <v>20230912</v>
      </c>
      <c r="E325">
        <v>9</v>
      </c>
      <c r="F325">
        <v>531105</v>
      </c>
      <c r="G325" t="s">
        <v>429</v>
      </c>
      <c r="H325" t="s">
        <v>401</v>
      </c>
      <c r="I325" t="s">
        <v>402</v>
      </c>
      <c r="J325">
        <v>385919</v>
      </c>
      <c r="K325">
        <v>20230912</v>
      </c>
      <c r="L325" t="s">
        <v>565</v>
      </c>
      <c r="M325">
        <v>0</v>
      </c>
      <c r="N325">
        <v>9.5</v>
      </c>
      <c r="O325" t="s">
        <v>19</v>
      </c>
      <c r="P325" t="s">
        <v>20</v>
      </c>
      <c r="Q325">
        <v>20230912</v>
      </c>
    </row>
    <row r="326" spans="1:17" x14ac:dyDescent="0.25">
      <c r="A326" t="s">
        <v>548</v>
      </c>
      <c r="B326" t="s">
        <v>429</v>
      </c>
      <c r="C326">
        <v>2</v>
      </c>
      <c r="D326">
        <v>20230901</v>
      </c>
      <c r="E326">
        <v>9</v>
      </c>
      <c r="F326">
        <v>411010</v>
      </c>
      <c r="G326" t="s">
        <v>87</v>
      </c>
      <c r="H326" t="s">
        <v>5498</v>
      </c>
      <c r="I326" t="s">
        <v>5874</v>
      </c>
      <c r="J326">
        <v>223070014</v>
      </c>
      <c r="K326">
        <v>20230901</v>
      </c>
      <c r="L326" t="s">
        <v>7129</v>
      </c>
      <c r="M326">
        <v>0</v>
      </c>
      <c r="N326">
        <v>205</v>
      </c>
      <c r="O326" t="s">
        <v>19</v>
      </c>
      <c r="P326" t="s">
        <v>20</v>
      </c>
      <c r="Q326">
        <v>20230901</v>
      </c>
    </row>
    <row r="327" spans="1:17" x14ac:dyDescent="0.25">
      <c r="A327" t="s">
        <v>548</v>
      </c>
      <c r="B327" t="s">
        <v>429</v>
      </c>
      <c r="C327">
        <v>2</v>
      </c>
      <c r="D327">
        <v>20230901</v>
      </c>
      <c r="E327">
        <v>9</v>
      </c>
      <c r="F327">
        <v>411100</v>
      </c>
      <c r="G327" t="s">
        <v>18</v>
      </c>
      <c r="H327" t="s">
        <v>787</v>
      </c>
      <c r="I327" t="s">
        <v>788</v>
      </c>
      <c r="J327">
        <v>223070009</v>
      </c>
      <c r="K327">
        <v>20230901</v>
      </c>
      <c r="L327" t="s">
        <v>7128</v>
      </c>
      <c r="M327">
        <v>0</v>
      </c>
      <c r="N327">
        <v>13.34</v>
      </c>
      <c r="O327" t="s">
        <v>19</v>
      </c>
      <c r="P327" t="s">
        <v>20</v>
      </c>
      <c r="Q327">
        <v>20230901</v>
      </c>
    </row>
    <row r="328" spans="1:17" x14ac:dyDescent="0.25">
      <c r="A328" t="s">
        <v>548</v>
      </c>
      <c r="B328" t="s">
        <v>429</v>
      </c>
      <c r="C328">
        <v>2</v>
      </c>
      <c r="D328">
        <v>20230901</v>
      </c>
      <c r="E328">
        <v>9</v>
      </c>
      <c r="F328">
        <v>531105</v>
      </c>
      <c r="G328" t="s">
        <v>429</v>
      </c>
      <c r="H328" t="s">
        <v>401</v>
      </c>
      <c r="I328" t="s">
        <v>402</v>
      </c>
      <c r="J328">
        <v>386237</v>
      </c>
      <c r="K328">
        <v>20230901</v>
      </c>
      <c r="L328" t="s">
        <v>565</v>
      </c>
      <c r="M328">
        <v>218.34</v>
      </c>
      <c r="N328">
        <v>0</v>
      </c>
      <c r="O328" t="s">
        <v>19</v>
      </c>
      <c r="P328" t="s">
        <v>20</v>
      </c>
      <c r="Q328">
        <v>20230901</v>
      </c>
    </row>
    <row r="329" spans="1:17" x14ac:dyDescent="0.25">
      <c r="A329" t="s">
        <v>548</v>
      </c>
      <c r="B329" t="s">
        <v>429</v>
      </c>
      <c r="C329">
        <v>2</v>
      </c>
      <c r="D329">
        <v>20230905</v>
      </c>
      <c r="E329">
        <v>9</v>
      </c>
      <c r="F329">
        <v>411100</v>
      </c>
      <c r="G329" t="s">
        <v>18</v>
      </c>
      <c r="H329" t="s">
        <v>107</v>
      </c>
      <c r="I329" t="s">
        <v>108</v>
      </c>
      <c r="J329">
        <v>223070031</v>
      </c>
      <c r="K329">
        <v>20230905</v>
      </c>
      <c r="L329" t="s">
        <v>7127</v>
      </c>
      <c r="M329">
        <v>0</v>
      </c>
      <c r="N329">
        <v>25.41</v>
      </c>
      <c r="O329" t="s">
        <v>19</v>
      </c>
      <c r="P329" t="s">
        <v>20</v>
      </c>
      <c r="Q329">
        <v>20230905</v>
      </c>
    </row>
    <row r="330" spans="1:17" x14ac:dyDescent="0.25">
      <c r="A330" t="s">
        <v>548</v>
      </c>
      <c r="B330" t="s">
        <v>429</v>
      </c>
      <c r="C330">
        <v>2</v>
      </c>
      <c r="D330">
        <v>20230905</v>
      </c>
      <c r="E330">
        <v>9</v>
      </c>
      <c r="F330">
        <v>531105</v>
      </c>
      <c r="G330" t="s">
        <v>429</v>
      </c>
      <c r="H330" t="s">
        <v>401</v>
      </c>
      <c r="I330" t="s">
        <v>402</v>
      </c>
      <c r="J330">
        <v>386239</v>
      </c>
      <c r="K330">
        <v>20230905</v>
      </c>
      <c r="L330" t="s">
        <v>565</v>
      </c>
      <c r="M330">
        <v>25.41</v>
      </c>
      <c r="N330">
        <v>0</v>
      </c>
      <c r="O330" t="s">
        <v>19</v>
      </c>
      <c r="P330" t="s">
        <v>20</v>
      </c>
      <c r="Q330">
        <v>20230905</v>
      </c>
    </row>
    <row r="331" spans="1:17" x14ac:dyDescent="0.25">
      <c r="A331" t="s">
        <v>548</v>
      </c>
      <c r="B331" t="s">
        <v>429</v>
      </c>
      <c r="C331">
        <v>2</v>
      </c>
      <c r="D331">
        <v>20230906</v>
      </c>
      <c r="E331">
        <v>9</v>
      </c>
      <c r="F331">
        <v>411100</v>
      </c>
      <c r="G331" t="s">
        <v>18</v>
      </c>
      <c r="H331" t="s">
        <v>233</v>
      </c>
      <c r="I331" t="s">
        <v>234</v>
      </c>
      <c r="J331">
        <v>223070019</v>
      </c>
      <c r="K331">
        <v>20230906</v>
      </c>
      <c r="L331" t="s">
        <v>7126</v>
      </c>
      <c r="M331">
        <v>0</v>
      </c>
      <c r="N331">
        <v>47.87</v>
      </c>
      <c r="O331" t="s">
        <v>19</v>
      </c>
      <c r="P331" t="s">
        <v>20</v>
      </c>
      <c r="Q331">
        <v>20230906</v>
      </c>
    </row>
    <row r="332" spans="1:17" x14ac:dyDescent="0.25">
      <c r="A332" t="s">
        <v>548</v>
      </c>
      <c r="B332" t="s">
        <v>429</v>
      </c>
      <c r="C332">
        <v>2</v>
      </c>
      <c r="D332">
        <v>20230906</v>
      </c>
      <c r="E332">
        <v>9</v>
      </c>
      <c r="F332">
        <v>411100</v>
      </c>
      <c r="G332" t="s">
        <v>18</v>
      </c>
      <c r="H332" t="s">
        <v>233</v>
      </c>
      <c r="I332" t="s">
        <v>234</v>
      </c>
      <c r="J332">
        <v>223070019</v>
      </c>
      <c r="K332">
        <v>20230906</v>
      </c>
      <c r="L332" t="s">
        <v>7125</v>
      </c>
      <c r="M332">
        <v>0</v>
      </c>
      <c r="N332">
        <v>2.13</v>
      </c>
      <c r="O332" t="s">
        <v>19</v>
      </c>
      <c r="P332" t="s">
        <v>20</v>
      </c>
      <c r="Q332">
        <v>20230906</v>
      </c>
    </row>
    <row r="333" spans="1:17" x14ac:dyDescent="0.25">
      <c r="A333" t="s">
        <v>548</v>
      </c>
      <c r="B333" t="s">
        <v>429</v>
      </c>
      <c r="C333">
        <v>2</v>
      </c>
      <c r="D333">
        <v>20230906</v>
      </c>
      <c r="E333">
        <v>9</v>
      </c>
      <c r="F333">
        <v>531105</v>
      </c>
      <c r="G333" t="s">
        <v>429</v>
      </c>
      <c r="H333" t="s">
        <v>401</v>
      </c>
      <c r="I333" t="s">
        <v>402</v>
      </c>
      <c r="J333">
        <v>386242</v>
      </c>
      <c r="K333">
        <v>20230906</v>
      </c>
      <c r="L333" t="s">
        <v>565</v>
      </c>
      <c r="M333">
        <v>50</v>
      </c>
      <c r="N333">
        <v>0</v>
      </c>
      <c r="O333" t="s">
        <v>19</v>
      </c>
      <c r="P333" t="s">
        <v>20</v>
      </c>
      <c r="Q333">
        <v>20230906</v>
      </c>
    </row>
    <row r="334" spans="1:17" x14ac:dyDescent="0.25">
      <c r="A334" t="s">
        <v>548</v>
      </c>
      <c r="B334" t="s">
        <v>429</v>
      </c>
      <c r="C334">
        <v>2</v>
      </c>
      <c r="D334">
        <v>20230906</v>
      </c>
      <c r="E334">
        <v>9</v>
      </c>
      <c r="F334">
        <v>411100</v>
      </c>
      <c r="G334" t="s">
        <v>18</v>
      </c>
      <c r="H334" t="s">
        <v>192</v>
      </c>
      <c r="I334" t="s">
        <v>193</v>
      </c>
      <c r="J334">
        <v>323060005</v>
      </c>
      <c r="K334">
        <v>20230906</v>
      </c>
      <c r="L334" t="s">
        <v>7124</v>
      </c>
      <c r="M334">
        <v>0</v>
      </c>
      <c r="N334">
        <v>102.28</v>
      </c>
      <c r="O334" t="s">
        <v>19</v>
      </c>
      <c r="P334" t="s">
        <v>20</v>
      </c>
      <c r="Q334">
        <v>20230906</v>
      </c>
    </row>
    <row r="335" spans="1:17" x14ac:dyDescent="0.25">
      <c r="A335" t="s">
        <v>548</v>
      </c>
      <c r="B335" t="s">
        <v>429</v>
      </c>
      <c r="C335">
        <v>2</v>
      </c>
      <c r="D335">
        <v>20230906</v>
      </c>
      <c r="E335">
        <v>9</v>
      </c>
      <c r="F335">
        <v>411020</v>
      </c>
      <c r="G335" t="s">
        <v>30</v>
      </c>
      <c r="H335" t="s">
        <v>4147</v>
      </c>
      <c r="I335" t="s">
        <v>4148</v>
      </c>
      <c r="J335">
        <v>323070029</v>
      </c>
      <c r="K335">
        <v>20230906</v>
      </c>
      <c r="L335" t="s">
        <v>7123</v>
      </c>
      <c r="M335">
        <v>0</v>
      </c>
      <c r="N335">
        <v>45.59</v>
      </c>
      <c r="O335" t="s">
        <v>19</v>
      </c>
      <c r="P335" t="s">
        <v>20</v>
      </c>
      <c r="Q335">
        <v>20230906</v>
      </c>
    </row>
    <row r="336" spans="1:17" x14ac:dyDescent="0.25">
      <c r="A336" t="s">
        <v>548</v>
      </c>
      <c r="B336" t="s">
        <v>429</v>
      </c>
      <c r="C336">
        <v>2</v>
      </c>
      <c r="D336">
        <v>20230906</v>
      </c>
      <c r="E336">
        <v>9</v>
      </c>
      <c r="F336">
        <v>531105</v>
      </c>
      <c r="G336" t="s">
        <v>429</v>
      </c>
      <c r="H336" t="s">
        <v>401</v>
      </c>
      <c r="I336" t="s">
        <v>402</v>
      </c>
      <c r="J336">
        <v>386279</v>
      </c>
      <c r="K336">
        <v>20230906</v>
      </c>
      <c r="L336" t="s">
        <v>565</v>
      </c>
      <c r="M336">
        <v>147.87</v>
      </c>
      <c r="N336">
        <v>0</v>
      </c>
      <c r="O336" t="s">
        <v>19</v>
      </c>
      <c r="P336" t="s">
        <v>20</v>
      </c>
      <c r="Q336">
        <v>20230906</v>
      </c>
    </row>
    <row r="337" spans="1:17" x14ac:dyDescent="0.25">
      <c r="A337" t="s">
        <v>548</v>
      </c>
      <c r="B337" t="s">
        <v>429</v>
      </c>
      <c r="C337">
        <v>2</v>
      </c>
      <c r="D337">
        <v>20230908</v>
      </c>
      <c r="E337">
        <v>9</v>
      </c>
      <c r="F337">
        <v>411020</v>
      </c>
      <c r="G337" t="s">
        <v>30</v>
      </c>
      <c r="H337" t="s">
        <v>3633</v>
      </c>
      <c r="I337" t="s">
        <v>3634</v>
      </c>
      <c r="J337">
        <v>323070021</v>
      </c>
      <c r="K337">
        <v>20230908</v>
      </c>
      <c r="L337" t="s">
        <v>7122</v>
      </c>
      <c r="M337">
        <v>0</v>
      </c>
      <c r="N337">
        <v>52.71</v>
      </c>
      <c r="O337" t="s">
        <v>19</v>
      </c>
      <c r="P337" t="s">
        <v>20</v>
      </c>
      <c r="Q337">
        <v>20230908</v>
      </c>
    </row>
    <row r="338" spans="1:17" x14ac:dyDescent="0.25">
      <c r="A338" t="s">
        <v>548</v>
      </c>
      <c r="B338" t="s">
        <v>429</v>
      </c>
      <c r="C338">
        <v>2</v>
      </c>
      <c r="D338">
        <v>20230908</v>
      </c>
      <c r="E338">
        <v>9</v>
      </c>
      <c r="F338">
        <v>531105</v>
      </c>
      <c r="G338" t="s">
        <v>429</v>
      </c>
      <c r="H338" t="s">
        <v>401</v>
      </c>
      <c r="I338" t="s">
        <v>402</v>
      </c>
      <c r="J338">
        <v>386281</v>
      </c>
      <c r="K338">
        <v>20230908</v>
      </c>
      <c r="L338" t="s">
        <v>565</v>
      </c>
      <c r="M338">
        <v>52.71</v>
      </c>
      <c r="N338">
        <v>0</v>
      </c>
      <c r="O338" t="s">
        <v>19</v>
      </c>
      <c r="P338" t="s">
        <v>20</v>
      </c>
      <c r="Q338">
        <v>20230908</v>
      </c>
    </row>
    <row r="339" spans="1:17" x14ac:dyDescent="0.25">
      <c r="A339" t="s">
        <v>548</v>
      </c>
      <c r="B339" t="s">
        <v>429</v>
      </c>
      <c r="C339">
        <v>2</v>
      </c>
      <c r="D339">
        <v>20230911</v>
      </c>
      <c r="E339">
        <v>9</v>
      </c>
      <c r="F339">
        <v>411020</v>
      </c>
      <c r="G339" t="s">
        <v>30</v>
      </c>
      <c r="H339" t="s">
        <v>399</v>
      </c>
      <c r="I339" t="s">
        <v>400</v>
      </c>
      <c r="J339">
        <v>323060020</v>
      </c>
      <c r="K339">
        <v>20230911</v>
      </c>
      <c r="L339" t="s">
        <v>7121</v>
      </c>
      <c r="M339">
        <v>0</v>
      </c>
      <c r="N339">
        <v>220.5</v>
      </c>
      <c r="O339" t="s">
        <v>19</v>
      </c>
      <c r="P339" t="s">
        <v>20</v>
      </c>
      <c r="Q339">
        <v>20230911</v>
      </c>
    </row>
    <row r="340" spans="1:17" x14ac:dyDescent="0.25">
      <c r="A340" t="s">
        <v>548</v>
      </c>
      <c r="B340" t="s">
        <v>429</v>
      </c>
      <c r="C340">
        <v>2</v>
      </c>
      <c r="D340">
        <v>20230911</v>
      </c>
      <c r="E340">
        <v>9</v>
      </c>
      <c r="F340">
        <v>531105</v>
      </c>
      <c r="G340" t="s">
        <v>429</v>
      </c>
      <c r="H340" t="s">
        <v>401</v>
      </c>
      <c r="I340" t="s">
        <v>402</v>
      </c>
      <c r="J340">
        <v>386283</v>
      </c>
      <c r="K340">
        <v>20230911</v>
      </c>
      <c r="L340" t="s">
        <v>565</v>
      </c>
      <c r="M340">
        <v>220.5</v>
      </c>
      <c r="N340">
        <v>0</v>
      </c>
      <c r="O340" t="s">
        <v>19</v>
      </c>
      <c r="P340" t="s">
        <v>20</v>
      </c>
      <c r="Q340">
        <v>20230911</v>
      </c>
    </row>
    <row r="341" spans="1:17" x14ac:dyDescent="0.25">
      <c r="A341" t="s">
        <v>548</v>
      </c>
      <c r="B341" t="s">
        <v>429</v>
      </c>
      <c r="C341">
        <v>2</v>
      </c>
      <c r="D341">
        <v>20230922</v>
      </c>
      <c r="E341">
        <v>9</v>
      </c>
      <c r="F341">
        <v>411100</v>
      </c>
      <c r="G341" t="s">
        <v>18</v>
      </c>
      <c r="H341" t="s">
        <v>7120</v>
      </c>
      <c r="I341" t="s">
        <v>7119</v>
      </c>
      <c r="J341">
        <v>387496</v>
      </c>
      <c r="K341">
        <v>20230922</v>
      </c>
      <c r="L341" t="s">
        <v>7118</v>
      </c>
      <c r="M341">
        <v>22</v>
      </c>
      <c r="N341">
        <v>0</v>
      </c>
      <c r="O341" t="s">
        <v>19</v>
      </c>
      <c r="P341" t="s">
        <v>20</v>
      </c>
      <c r="Q341">
        <v>20230922</v>
      </c>
    </row>
    <row r="342" spans="1:17" x14ac:dyDescent="0.25">
      <c r="A342" t="s">
        <v>548</v>
      </c>
      <c r="B342" t="s">
        <v>429</v>
      </c>
      <c r="C342">
        <v>2</v>
      </c>
      <c r="D342">
        <v>20230922</v>
      </c>
      <c r="E342">
        <v>9</v>
      </c>
      <c r="F342">
        <v>531105</v>
      </c>
      <c r="G342" t="s">
        <v>429</v>
      </c>
      <c r="H342" t="s">
        <v>401</v>
      </c>
      <c r="I342" t="s">
        <v>402</v>
      </c>
      <c r="J342">
        <v>387497</v>
      </c>
      <c r="K342">
        <v>20230922</v>
      </c>
      <c r="L342" t="s">
        <v>7118</v>
      </c>
      <c r="M342">
        <v>0</v>
      </c>
      <c r="N342">
        <v>22</v>
      </c>
      <c r="O342" t="s">
        <v>19</v>
      </c>
      <c r="P342" t="s">
        <v>20</v>
      </c>
      <c r="Q342">
        <v>20230922</v>
      </c>
    </row>
    <row r="343" spans="1:17" x14ac:dyDescent="0.25">
      <c r="A343" t="s">
        <v>548</v>
      </c>
      <c r="B343" t="s">
        <v>429</v>
      </c>
      <c r="C343">
        <v>2</v>
      </c>
      <c r="D343">
        <v>20230915</v>
      </c>
      <c r="E343">
        <v>9</v>
      </c>
      <c r="F343">
        <v>411100</v>
      </c>
      <c r="G343" t="s">
        <v>18</v>
      </c>
      <c r="H343" t="s">
        <v>3964</v>
      </c>
      <c r="I343" t="s">
        <v>3965</v>
      </c>
      <c r="J343">
        <v>123090040</v>
      </c>
      <c r="K343">
        <v>20230915</v>
      </c>
      <c r="L343" t="s">
        <v>7117</v>
      </c>
      <c r="M343">
        <v>0</v>
      </c>
      <c r="N343">
        <v>19</v>
      </c>
      <c r="O343" t="s">
        <v>19</v>
      </c>
      <c r="P343" t="s">
        <v>20</v>
      </c>
      <c r="Q343">
        <v>20230915</v>
      </c>
    </row>
    <row r="344" spans="1:17" x14ac:dyDescent="0.25">
      <c r="A344" t="s">
        <v>548</v>
      </c>
      <c r="B344" t="s">
        <v>429</v>
      </c>
      <c r="C344">
        <v>2</v>
      </c>
      <c r="D344">
        <v>20230915</v>
      </c>
      <c r="E344">
        <v>9</v>
      </c>
      <c r="F344">
        <v>531105</v>
      </c>
      <c r="G344" t="s">
        <v>429</v>
      </c>
      <c r="H344" t="s">
        <v>401</v>
      </c>
      <c r="I344" t="s">
        <v>402</v>
      </c>
      <c r="J344">
        <v>387499</v>
      </c>
      <c r="K344">
        <v>20230915</v>
      </c>
      <c r="L344" t="s">
        <v>565</v>
      </c>
      <c r="M344">
        <v>19</v>
      </c>
      <c r="N344">
        <v>0</v>
      </c>
      <c r="O344" t="s">
        <v>19</v>
      </c>
      <c r="P344" t="s">
        <v>20</v>
      </c>
      <c r="Q344">
        <v>20230915</v>
      </c>
    </row>
    <row r="345" spans="1:17" x14ac:dyDescent="0.25">
      <c r="A345" t="s">
        <v>548</v>
      </c>
      <c r="B345" t="s">
        <v>429</v>
      </c>
      <c r="C345">
        <v>2</v>
      </c>
      <c r="D345">
        <v>20230918</v>
      </c>
      <c r="E345">
        <v>9</v>
      </c>
      <c r="F345">
        <v>411100</v>
      </c>
      <c r="G345" t="s">
        <v>18</v>
      </c>
      <c r="H345" t="s">
        <v>7116</v>
      </c>
      <c r="I345" t="s">
        <v>7115</v>
      </c>
      <c r="J345">
        <v>387500</v>
      </c>
      <c r="K345">
        <v>20230918</v>
      </c>
      <c r="L345" t="s">
        <v>7114</v>
      </c>
      <c r="M345">
        <v>0</v>
      </c>
      <c r="N345">
        <v>22</v>
      </c>
      <c r="O345" t="s">
        <v>19</v>
      </c>
      <c r="P345" t="s">
        <v>20</v>
      </c>
      <c r="Q345">
        <v>20230918</v>
      </c>
    </row>
    <row r="346" spans="1:17" x14ac:dyDescent="0.25">
      <c r="A346" t="s">
        <v>548</v>
      </c>
      <c r="B346" t="s">
        <v>429</v>
      </c>
      <c r="C346">
        <v>2</v>
      </c>
      <c r="D346">
        <v>20230918</v>
      </c>
      <c r="E346">
        <v>9</v>
      </c>
      <c r="F346">
        <v>411100</v>
      </c>
      <c r="G346" t="s">
        <v>18</v>
      </c>
      <c r="H346" t="s">
        <v>7113</v>
      </c>
      <c r="I346" t="s">
        <v>7112</v>
      </c>
      <c r="J346">
        <v>387501</v>
      </c>
      <c r="K346">
        <v>20230918</v>
      </c>
      <c r="L346" t="s">
        <v>7111</v>
      </c>
      <c r="M346">
        <v>0</v>
      </c>
      <c r="N346">
        <v>13</v>
      </c>
      <c r="O346" t="s">
        <v>19</v>
      </c>
      <c r="P346" t="s">
        <v>20</v>
      </c>
      <c r="Q346">
        <v>20230918</v>
      </c>
    </row>
    <row r="347" spans="1:17" x14ac:dyDescent="0.25">
      <c r="A347" t="s">
        <v>548</v>
      </c>
      <c r="B347" t="s">
        <v>429</v>
      </c>
      <c r="C347">
        <v>2</v>
      </c>
      <c r="D347">
        <v>20230918</v>
      </c>
      <c r="E347">
        <v>9</v>
      </c>
      <c r="F347">
        <v>411100</v>
      </c>
      <c r="G347" t="s">
        <v>18</v>
      </c>
      <c r="H347" t="s">
        <v>4826</v>
      </c>
      <c r="I347" t="s">
        <v>4827</v>
      </c>
      <c r="J347">
        <v>387502</v>
      </c>
      <c r="K347">
        <v>20230918</v>
      </c>
      <c r="L347" t="s">
        <v>7110</v>
      </c>
      <c r="M347">
        <v>0</v>
      </c>
      <c r="N347">
        <v>22</v>
      </c>
      <c r="O347" t="s">
        <v>19</v>
      </c>
      <c r="P347" t="s">
        <v>20</v>
      </c>
      <c r="Q347">
        <v>20230918</v>
      </c>
    </row>
    <row r="348" spans="1:17" x14ac:dyDescent="0.25">
      <c r="A348" t="s">
        <v>548</v>
      </c>
      <c r="B348" t="s">
        <v>429</v>
      </c>
      <c r="C348">
        <v>2</v>
      </c>
      <c r="D348">
        <v>20230918</v>
      </c>
      <c r="E348">
        <v>9</v>
      </c>
      <c r="F348">
        <v>411100</v>
      </c>
      <c r="G348" t="s">
        <v>18</v>
      </c>
      <c r="H348" t="s">
        <v>3645</v>
      </c>
      <c r="I348" t="s">
        <v>7109</v>
      </c>
      <c r="J348">
        <v>387503</v>
      </c>
      <c r="K348">
        <v>20230918</v>
      </c>
      <c r="L348" t="s">
        <v>7108</v>
      </c>
      <c r="M348">
        <v>0</v>
      </c>
      <c r="N348">
        <v>22</v>
      </c>
      <c r="O348" t="s">
        <v>19</v>
      </c>
      <c r="P348" t="s">
        <v>20</v>
      </c>
      <c r="Q348">
        <v>20230918</v>
      </c>
    </row>
    <row r="349" spans="1:17" x14ac:dyDescent="0.25">
      <c r="A349" t="s">
        <v>548</v>
      </c>
      <c r="B349" t="s">
        <v>429</v>
      </c>
      <c r="C349">
        <v>2</v>
      </c>
      <c r="D349">
        <v>20230918</v>
      </c>
      <c r="E349">
        <v>9</v>
      </c>
      <c r="F349">
        <v>411100</v>
      </c>
      <c r="G349" t="s">
        <v>18</v>
      </c>
      <c r="H349" t="s">
        <v>95</v>
      </c>
      <c r="I349" t="s">
        <v>96</v>
      </c>
      <c r="J349">
        <v>387504</v>
      </c>
      <c r="K349">
        <v>20230918</v>
      </c>
      <c r="L349" t="s">
        <v>7107</v>
      </c>
      <c r="M349">
        <v>0</v>
      </c>
      <c r="N349">
        <v>12</v>
      </c>
      <c r="O349" t="s">
        <v>19</v>
      </c>
      <c r="P349" t="s">
        <v>20</v>
      </c>
      <c r="Q349">
        <v>20230918</v>
      </c>
    </row>
    <row r="350" spans="1:17" x14ac:dyDescent="0.25">
      <c r="A350" t="s">
        <v>548</v>
      </c>
      <c r="B350" t="s">
        <v>429</v>
      </c>
      <c r="C350">
        <v>2</v>
      </c>
      <c r="D350">
        <v>20230918</v>
      </c>
      <c r="E350">
        <v>9</v>
      </c>
      <c r="F350">
        <v>411020</v>
      </c>
      <c r="G350" t="s">
        <v>30</v>
      </c>
      <c r="H350" t="s">
        <v>3560</v>
      </c>
      <c r="I350" t="s">
        <v>3561</v>
      </c>
      <c r="J350">
        <v>387505</v>
      </c>
      <c r="K350">
        <v>20230918</v>
      </c>
      <c r="L350" t="s">
        <v>7106</v>
      </c>
      <c r="M350">
        <v>0</v>
      </c>
      <c r="N350">
        <v>22</v>
      </c>
      <c r="O350" t="s">
        <v>19</v>
      </c>
      <c r="P350" t="s">
        <v>20</v>
      </c>
      <c r="Q350">
        <v>20230918</v>
      </c>
    </row>
    <row r="351" spans="1:17" x14ac:dyDescent="0.25">
      <c r="A351" t="s">
        <v>548</v>
      </c>
      <c r="B351" t="s">
        <v>429</v>
      </c>
      <c r="C351">
        <v>2</v>
      </c>
      <c r="D351">
        <v>20230918</v>
      </c>
      <c r="E351">
        <v>9</v>
      </c>
      <c r="F351">
        <v>411100</v>
      </c>
      <c r="G351" t="s">
        <v>18</v>
      </c>
      <c r="H351" t="s">
        <v>3569</v>
      </c>
      <c r="I351" t="s">
        <v>3570</v>
      </c>
      <c r="J351">
        <v>387506</v>
      </c>
      <c r="K351">
        <v>20230918</v>
      </c>
      <c r="L351" t="s">
        <v>7105</v>
      </c>
      <c r="M351">
        <v>0</v>
      </c>
      <c r="N351">
        <v>12</v>
      </c>
      <c r="O351" t="s">
        <v>19</v>
      </c>
      <c r="P351" t="s">
        <v>20</v>
      </c>
      <c r="Q351">
        <v>20230918</v>
      </c>
    </row>
    <row r="352" spans="1:17" x14ac:dyDescent="0.25">
      <c r="A352" t="s">
        <v>548</v>
      </c>
      <c r="B352" t="s">
        <v>429</v>
      </c>
      <c r="C352">
        <v>2</v>
      </c>
      <c r="D352">
        <v>20230918</v>
      </c>
      <c r="E352">
        <v>9</v>
      </c>
      <c r="F352">
        <v>411100</v>
      </c>
      <c r="G352" t="s">
        <v>18</v>
      </c>
      <c r="H352" t="s">
        <v>4650</v>
      </c>
      <c r="I352" t="s">
        <v>7104</v>
      </c>
      <c r="J352">
        <v>387507</v>
      </c>
      <c r="K352">
        <v>20230918</v>
      </c>
      <c r="L352" t="s">
        <v>7103</v>
      </c>
      <c r="M352">
        <v>0</v>
      </c>
      <c r="N352">
        <v>12</v>
      </c>
      <c r="O352" t="s">
        <v>19</v>
      </c>
      <c r="P352" t="s">
        <v>20</v>
      </c>
      <c r="Q352">
        <v>20230918</v>
      </c>
    </row>
    <row r="353" spans="1:17" x14ac:dyDescent="0.25">
      <c r="A353" t="s">
        <v>548</v>
      </c>
      <c r="B353" t="s">
        <v>429</v>
      </c>
      <c r="C353">
        <v>2</v>
      </c>
      <c r="D353">
        <v>20230918</v>
      </c>
      <c r="E353">
        <v>9</v>
      </c>
      <c r="F353">
        <v>411100</v>
      </c>
      <c r="G353" t="s">
        <v>18</v>
      </c>
      <c r="H353" t="s">
        <v>2246</v>
      </c>
      <c r="I353" t="s">
        <v>2247</v>
      </c>
      <c r="J353">
        <v>387508</v>
      </c>
      <c r="K353">
        <v>20230918</v>
      </c>
      <c r="L353" t="s">
        <v>7102</v>
      </c>
      <c r="M353">
        <v>0</v>
      </c>
      <c r="N353">
        <v>12</v>
      </c>
      <c r="O353" t="s">
        <v>19</v>
      </c>
      <c r="P353" t="s">
        <v>20</v>
      </c>
      <c r="Q353">
        <v>20230918</v>
      </c>
    </row>
    <row r="354" spans="1:17" x14ac:dyDescent="0.25">
      <c r="A354" t="s">
        <v>548</v>
      </c>
      <c r="B354" t="s">
        <v>429</v>
      </c>
      <c r="C354">
        <v>2</v>
      </c>
      <c r="D354">
        <v>20230918</v>
      </c>
      <c r="E354">
        <v>9</v>
      </c>
      <c r="F354">
        <v>411100</v>
      </c>
      <c r="G354" t="s">
        <v>18</v>
      </c>
      <c r="H354" t="s">
        <v>3566</v>
      </c>
      <c r="I354" t="s">
        <v>3567</v>
      </c>
      <c r="J354">
        <v>387509</v>
      </c>
      <c r="K354">
        <v>20230918</v>
      </c>
      <c r="L354" t="s">
        <v>7101</v>
      </c>
      <c r="M354">
        <v>0</v>
      </c>
      <c r="N354">
        <v>12</v>
      </c>
      <c r="O354" t="s">
        <v>19</v>
      </c>
      <c r="P354" t="s">
        <v>20</v>
      </c>
      <c r="Q354">
        <v>20230918</v>
      </c>
    </row>
    <row r="355" spans="1:17" x14ac:dyDescent="0.25">
      <c r="A355" t="s">
        <v>548</v>
      </c>
      <c r="B355" t="s">
        <v>429</v>
      </c>
      <c r="C355">
        <v>2</v>
      </c>
      <c r="D355">
        <v>20230918</v>
      </c>
      <c r="E355">
        <v>9</v>
      </c>
      <c r="F355">
        <v>411100</v>
      </c>
      <c r="G355" t="s">
        <v>18</v>
      </c>
      <c r="H355" t="s">
        <v>7100</v>
      </c>
      <c r="I355" t="s">
        <v>7099</v>
      </c>
      <c r="J355">
        <v>387510</v>
      </c>
      <c r="K355">
        <v>20230918</v>
      </c>
      <c r="L355" t="s">
        <v>7098</v>
      </c>
      <c r="M355">
        <v>0</v>
      </c>
      <c r="N355">
        <v>13</v>
      </c>
      <c r="O355" t="s">
        <v>19</v>
      </c>
      <c r="P355" t="s">
        <v>20</v>
      </c>
      <c r="Q355">
        <v>20230918</v>
      </c>
    </row>
    <row r="356" spans="1:17" x14ac:dyDescent="0.25">
      <c r="A356" t="s">
        <v>548</v>
      </c>
      <c r="B356" t="s">
        <v>429</v>
      </c>
      <c r="C356">
        <v>2</v>
      </c>
      <c r="D356">
        <v>20230918</v>
      </c>
      <c r="E356">
        <v>9</v>
      </c>
      <c r="F356">
        <v>411100</v>
      </c>
      <c r="G356" t="s">
        <v>18</v>
      </c>
      <c r="H356" t="s">
        <v>7097</v>
      </c>
      <c r="I356" t="s">
        <v>7096</v>
      </c>
      <c r="J356">
        <v>387511</v>
      </c>
      <c r="K356">
        <v>20230918</v>
      </c>
      <c r="L356" t="s">
        <v>7095</v>
      </c>
      <c r="M356">
        <v>0</v>
      </c>
      <c r="N356">
        <v>13</v>
      </c>
      <c r="O356" t="s">
        <v>19</v>
      </c>
      <c r="P356" t="s">
        <v>20</v>
      </c>
      <c r="Q356">
        <v>20230918</v>
      </c>
    </row>
    <row r="357" spans="1:17" x14ac:dyDescent="0.25">
      <c r="A357" t="s">
        <v>548</v>
      </c>
      <c r="B357" t="s">
        <v>429</v>
      </c>
      <c r="C357">
        <v>2</v>
      </c>
      <c r="D357">
        <v>20230918</v>
      </c>
      <c r="E357">
        <v>9</v>
      </c>
      <c r="F357">
        <v>411100</v>
      </c>
      <c r="G357" t="s">
        <v>18</v>
      </c>
      <c r="H357" t="s">
        <v>7093</v>
      </c>
      <c r="I357" t="s">
        <v>7092</v>
      </c>
      <c r="J357">
        <v>387512</v>
      </c>
      <c r="K357">
        <v>20230918</v>
      </c>
      <c r="L357" t="s">
        <v>7094</v>
      </c>
      <c r="M357">
        <v>0</v>
      </c>
      <c r="N357">
        <v>22</v>
      </c>
      <c r="O357" t="s">
        <v>19</v>
      </c>
      <c r="P357" t="s">
        <v>20</v>
      </c>
      <c r="Q357">
        <v>20230918</v>
      </c>
    </row>
    <row r="358" spans="1:17" x14ac:dyDescent="0.25">
      <c r="A358" t="s">
        <v>548</v>
      </c>
      <c r="B358" t="s">
        <v>429</v>
      </c>
      <c r="C358">
        <v>2</v>
      </c>
      <c r="D358">
        <v>20230918</v>
      </c>
      <c r="E358">
        <v>9</v>
      </c>
      <c r="F358">
        <v>411100</v>
      </c>
      <c r="G358" t="s">
        <v>18</v>
      </c>
      <c r="H358" t="s">
        <v>7093</v>
      </c>
      <c r="I358" t="s">
        <v>7092</v>
      </c>
      <c r="J358">
        <v>387513</v>
      </c>
      <c r="K358">
        <v>20230918</v>
      </c>
      <c r="L358" t="s">
        <v>7091</v>
      </c>
      <c r="M358">
        <v>0</v>
      </c>
      <c r="N358">
        <v>10</v>
      </c>
      <c r="O358" t="s">
        <v>19</v>
      </c>
      <c r="P358" t="s">
        <v>20</v>
      </c>
      <c r="Q358">
        <v>20230918</v>
      </c>
    </row>
    <row r="359" spans="1:17" x14ac:dyDescent="0.25">
      <c r="A359" t="s">
        <v>548</v>
      </c>
      <c r="B359" t="s">
        <v>429</v>
      </c>
      <c r="C359">
        <v>2</v>
      </c>
      <c r="D359">
        <v>20230918</v>
      </c>
      <c r="E359">
        <v>9</v>
      </c>
      <c r="F359">
        <v>411100</v>
      </c>
      <c r="G359" t="s">
        <v>18</v>
      </c>
      <c r="H359" t="s">
        <v>7090</v>
      </c>
      <c r="I359" t="s">
        <v>7089</v>
      </c>
      <c r="J359">
        <v>387514</v>
      </c>
      <c r="K359">
        <v>20230918</v>
      </c>
      <c r="L359" t="s">
        <v>7088</v>
      </c>
      <c r="M359">
        <v>0</v>
      </c>
      <c r="N359">
        <v>22</v>
      </c>
      <c r="O359" t="s">
        <v>19</v>
      </c>
      <c r="P359" t="s">
        <v>20</v>
      </c>
      <c r="Q359">
        <v>20230918</v>
      </c>
    </row>
    <row r="360" spans="1:17" x14ac:dyDescent="0.25">
      <c r="A360" t="s">
        <v>548</v>
      </c>
      <c r="B360" t="s">
        <v>429</v>
      </c>
      <c r="C360">
        <v>2</v>
      </c>
      <c r="D360">
        <v>20230918</v>
      </c>
      <c r="E360">
        <v>9</v>
      </c>
      <c r="F360">
        <v>411100</v>
      </c>
      <c r="G360" t="s">
        <v>18</v>
      </c>
      <c r="H360" t="s">
        <v>4021</v>
      </c>
      <c r="I360" t="s">
        <v>4022</v>
      </c>
      <c r="J360">
        <v>387515</v>
      </c>
      <c r="K360">
        <v>20230918</v>
      </c>
      <c r="L360" t="s">
        <v>7087</v>
      </c>
      <c r="M360">
        <v>0</v>
      </c>
      <c r="N360">
        <v>22</v>
      </c>
      <c r="O360" t="s">
        <v>19</v>
      </c>
      <c r="P360" t="s">
        <v>20</v>
      </c>
      <c r="Q360">
        <v>20230918</v>
      </c>
    </row>
    <row r="361" spans="1:17" x14ac:dyDescent="0.25">
      <c r="A361" t="s">
        <v>548</v>
      </c>
      <c r="B361" t="s">
        <v>429</v>
      </c>
      <c r="C361">
        <v>2</v>
      </c>
      <c r="D361">
        <v>20230918</v>
      </c>
      <c r="E361">
        <v>9</v>
      </c>
      <c r="F361">
        <v>411100</v>
      </c>
      <c r="G361" t="s">
        <v>18</v>
      </c>
      <c r="H361" t="s">
        <v>4015</v>
      </c>
      <c r="I361" t="s">
        <v>4016</v>
      </c>
      <c r="J361">
        <v>387516</v>
      </c>
      <c r="K361">
        <v>20230918</v>
      </c>
      <c r="L361" t="s">
        <v>7086</v>
      </c>
      <c r="M361">
        <v>0</v>
      </c>
      <c r="N361">
        <v>22</v>
      </c>
      <c r="O361" t="s">
        <v>19</v>
      </c>
      <c r="P361" t="s">
        <v>20</v>
      </c>
      <c r="Q361">
        <v>20230918</v>
      </c>
    </row>
    <row r="362" spans="1:17" x14ac:dyDescent="0.25">
      <c r="A362" t="s">
        <v>548</v>
      </c>
      <c r="B362" t="s">
        <v>429</v>
      </c>
      <c r="C362">
        <v>2</v>
      </c>
      <c r="D362">
        <v>20230918</v>
      </c>
      <c r="E362">
        <v>9</v>
      </c>
      <c r="F362">
        <v>411100</v>
      </c>
      <c r="G362" t="s">
        <v>18</v>
      </c>
      <c r="H362" t="s">
        <v>3553</v>
      </c>
      <c r="I362" t="s">
        <v>3554</v>
      </c>
      <c r="J362">
        <v>387517</v>
      </c>
      <c r="K362">
        <v>20230918</v>
      </c>
      <c r="L362" t="s">
        <v>7085</v>
      </c>
      <c r="M362">
        <v>0</v>
      </c>
      <c r="N362">
        <v>22</v>
      </c>
      <c r="O362" t="s">
        <v>19</v>
      </c>
      <c r="P362" t="s">
        <v>20</v>
      </c>
      <c r="Q362">
        <v>20230918</v>
      </c>
    </row>
    <row r="363" spans="1:17" x14ac:dyDescent="0.25">
      <c r="A363" t="s">
        <v>548</v>
      </c>
      <c r="B363" t="s">
        <v>429</v>
      </c>
      <c r="C363">
        <v>2</v>
      </c>
      <c r="D363">
        <v>20230918</v>
      </c>
      <c r="E363">
        <v>9</v>
      </c>
      <c r="F363">
        <v>531105</v>
      </c>
      <c r="G363" t="s">
        <v>429</v>
      </c>
      <c r="H363" t="s">
        <v>401</v>
      </c>
      <c r="I363" t="s">
        <v>402</v>
      </c>
      <c r="J363">
        <v>387518</v>
      </c>
      <c r="K363">
        <v>20230918</v>
      </c>
      <c r="L363" t="s">
        <v>565</v>
      </c>
      <c r="M363">
        <v>307</v>
      </c>
      <c r="N363">
        <v>0</v>
      </c>
      <c r="O363" t="s">
        <v>19</v>
      </c>
      <c r="P363" t="s">
        <v>20</v>
      </c>
      <c r="Q363">
        <v>20230918</v>
      </c>
    </row>
    <row r="364" spans="1:17" x14ac:dyDescent="0.25">
      <c r="A364" t="s">
        <v>548</v>
      </c>
      <c r="B364" t="s">
        <v>429</v>
      </c>
      <c r="C364">
        <v>2</v>
      </c>
      <c r="D364">
        <v>20230919</v>
      </c>
      <c r="E364">
        <v>9</v>
      </c>
      <c r="F364">
        <v>411000</v>
      </c>
      <c r="G364" t="s">
        <v>21</v>
      </c>
      <c r="H364" t="s">
        <v>4460</v>
      </c>
      <c r="I364" t="s">
        <v>214</v>
      </c>
      <c r="J364">
        <v>387519</v>
      </c>
      <c r="K364">
        <v>20230919</v>
      </c>
      <c r="L364" t="s">
        <v>7084</v>
      </c>
      <c r="M364">
        <v>0</v>
      </c>
      <c r="N364">
        <v>70</v>
      </c>
      <c r="O364" t="s">
        <v>19</v>
      </c>
      <c r="P364" t="s">
        <v>20</v>
      </c>
      <c r="Q364">
        <v>20230919</v>
      </c>
    </row>
    <row r="365" spans="1:17" x14ac:dyDescent="0.25">
      <c r="A365" t="s">
        <v>548</v>
      </c>
      <c r="B365" t="s">
        <v>429</v>
      </c>
      <c r="C365">
        <v>2</v>
      </c>
      <c r="D365">
        <v>20230919</v>
      </c>
      <c r="E365">
        <v>9</v>
      </c>
      <c r="F365">
        <v>411100</v>
      </c>
      <c r="G365" t="s">
        <v>18</v>
      </c>
      <c r="H365" t="s">
        <v>3547</v>
      </c>
      <c r="I365" t="s">
        <v>3548</v>
      </c>
      <c r="J365">
        <v>387520</v>
      </c>
      <c r="K365">
        <v>20230919</v>
      </c>
      <c r="L365" t="s">
        <v>7083</v>
      </c>
      <c r="M365">
        <v>0</v>
      </c>
      <c r="N365">
        <v>22</v>
      </c>
      <c r="O365" t="s">
        <v>19</v>
      </c>
      <c r="P365" t="s">
        <v>20</v>
      </c>
      <c r="Q365">
        <v>20230919</v>
      </c>
    </row>
    <row r="366" spans="1:17" x14ac:dyDescent="0.25">
      <c r="A366" t="s">
        <v>548</v>
      </c>
      <c r="B366" t="s">
        <v>429</v>
      </c>
      <c r="C366">
        <v>2</v>
      </c>
      <c r="D366">
        <v>20230919</v>
      </c>
      <c r="E366">
        <v>9</v>
      </c>
      <c r="F366">
        <v>411100</v>
      </c>
      <c r="G366" t="s">
        <v>18</v>
      </c>
      <c r="H366" t="s">
        <v>3547</v>
      </c>
      <c r="I366" t="s">
        <v>3548</v>
      </c>
      <c r="J366">
        <v>387521</v>
      </c>
      <c r="K366">
        <v>20230919</v>
      </c>
      <c r="L366" t="s">
        <v>7082</v>
      </c>
      <c r="M366">
        <v>0</v>
      </c>
      <c r="N366">
        <v>12</v>
      </c>
      <c r="O366" t="s">
        <v>19</v>
      </c>
      <c r="P366" t="s">
        <v>20</v>
      </c>
      <c r="Q366">
        <v>20230919</v>
      </c>
    </row>
    <row r="367" spans="1:17" x14ac:dyDescent="0.25">
      <c r="A367" t="s">
        <v>548</v>
      </c>
      <c r="B367" t="s">
        <v>429</v>
      </c>
      <c r="C367">
        <v>2</v>
      </c>
      <c r="D367">
        <v>20230919</v>
      </c>
      <c r="E367">
        <v>9</v>
      </c>
      <c r="F367">
        <v>411100</v>
      </c>
      <c r="G367" t="s">
        <v>18</v>
      </c>
      <c r="H367" t="s">
        <v>3547</v>
      </c>
      <c r="I367" t="s">
        <v>3548</v>
      </c>
      <c r="J367">
        <v>387522</v>
      </c>
      <c r="K367">
        <v>20230919</v>
      </c>
      <c r="L367" t="s">
        <v>7081</v>
      </c>
      <c r="M367">
        <v>0</v>
      </c>
      <c r="N367">
        <v>12</v>
      </c>
      <c r="O367" t="s">
        <v>19</v>
      </c>
      <c r="P367" t="s">
        <v>20</v>
      </c>
      <c r="Q367">
        <v>20230919</v>
      </c>
    </row>
    <row r="368" spans="1:17" x14ac:dyDescent="0.25">
      <c r="A368" t="s">
        <v>548</v>
      </c>
      <c r="B368" t="s">
        <v>429</v>
      </c>
      <c r="C368">
        <v>2</v>
      </c>
      <c r="D368">
        <v>20230919</v>
      </c>
      <c r="E368">
        <v>9</v>
      </c>
      <c r="F368">
        <v>411100</v>
      </c>
      <c r="G368" t="s">
        <v>18</v>
      </c>
      <c r="H368" t="s">
        <v>7078</v>
      </c>
      <c r="I368" t="s">
        <v>7077</v>
      </c>
      <c r="J368">
        <v>387523</v>
      </c>
      <c r="K368">
        <v>20230919</v>
      </c>
      <c r="L368" t="s">
        <v>7080</v>
      </c>
      <c r="M368">
        <v>0</v>
      </c>
      <c r="N368">
        <v>22</v>
      </c>
      <c r="O368" t="s">
        <v>19</v>
      </c>
      <c r="P368" t="s">
        <v>20</v>
      </c>
      <c r="Q368">
        <v>20230919</v>
      </c>
    </row>
    <row r="369" spans="1:17" x14ac:dyDescent="0.25">
      <c r="A369" t="s">
        <v>548</v>
      </c>
      <c r="B369" t="s">
        <v>429</v>
      </c>
      <c r="C369">
        <v>2</v>
      </c>
      <c r="D369">
        <v>20230919</v>
      </c>
      <c r="E369">
        <v>9</v>
      </c>
      <c r="F369">
        <v>411100</v>
      </c>
      <c r="G369" t="s">
        <v>18</v>
      </c>
      <c r="H369" t="s">
        <v>2173</v>
      </c>
      <c r="I369" t="s">
        <v>2174</v>
      </c>
      <c r="J369">
        <v>387524</v>
      </c>
      <c r="K369">
        <v>20230919</v>
      </c>
      <c r="L369" t="s">
        <v>7079</v>
      </c>
      <c r="M369">
        <v>0</v>
      </c>
      <c r="N369">
        <v>13</v>
      </c>
      <c r="O369" t="s">
        <v>19</v>
      </c>
      <c r="P369" t="s">
        <v>20</v>
      </c>
      <c r="Q369">
        <v>20230919</v>
      </c>
    </row>
    <row r="370" spans="1:17" x14ac:dyDescent="0.25">
      <c r="A370" t="s">
        <v>548</v>
      </c>
      <c r="B370" t="s">
        <v>429</v>
      </c>
      <c r="C370">
        <v>2</v>
      </c>
      <c r="D370">
        <v>20230919</v>
      </c>
      <c r="E370">
        <v>9</v>
      </c>
      <c r="F370">
        <v>531105</v>
      </c>
      <c r="G370" t="s">
        <v>429</v>
      </c>
      <c r="H370" t="s">
        <v>401</v>
      </c>
      <c r="I370" t="s">
        <v>402</v>
      </c>
      <c r="J370">
        <v>387525</v>
      </c>
      <c r="K370">
        <v>20230919</v>
      </c>
      <c r="L370" t="s">
        <v>565</v>
      </c>
      <c r="M370">
        <v>151</v>
      </c>
      <c r="N370">
        <v>0</v>
      </c>
      <c r="O370" t="s">
        <v>19</v>
      </c>
      <c r="P370" t="s">
        <v>20</v>
      </c>
      <c r="Q370">
        <v>20230919</v>
      </c>
    </row>
    <row r="371" spans="1:17" x14ac:dyDescent="0.25">
      <c r="A371" t="s">
        <v>548</v>
      </c>
      <c r="B371" t="s">
        <v>429</v>
      </c>
      <c r="C371">
        <v>2</v>
      </c>
      <c r="D371">
        <v>20230920</v>
      </c>
      <c r="E371">
        <v>9</v>
      </c>
      <c r="F371">
        <v>411100</v>
      </c>
      <c r="G371" t="s">
        <v>18</v>
      </c>
      <c r="H371" t="s">
        <v>7078</v>
      </c>
      <c r="I371" t="s">
        <v>7077</v>
      </c>
      <c r="J371">
        <v>387526</v>
      </c>
      <c r="K371">
        <v>20230920</v>
      </c>
      <c r="L371" t="s">
        <v>7076</v>
      </c>
      <c r="M371">
        <v>0</v>
      </c>
      <c r="N371">
        <v>12</v>
      </c>
      <c r="O371" t="s">
        <v>19</v>
      </c>
      <c r="P371" t="s">
        <v>20</v>
      </c>
      <c r="Q371">
        <v>20230920</v>
      </c>
    </row>
    <row r="372" spans="1:17" x14ac:dyDescent="0.25">
      <c r="A372" t="s">
        <v>548</v>
      </c>
      <c r="B372" t="s">
        <v>429</v>
      </c>
      <c r="C372">
        <v>2</v>
      </c>
      <c r="D372">
        <v>20230920</v>
      </c>
      <c r="E372">
        <v>9</v>
      </c>
      <c r="F372">
        <v>411100</v>
      </c>
      <c r="G372" t="s">
        <v>18</v>
      </c>
      <c r="H372" t="s">
        <v>7075</v>
      </c>
      <c r="I372" t="s">
        <v>7074</v>
      </c>
      <c r="J372">
        <v>387527</v>
      </c>
      <c r="K372">
        <v>20230920</v>
      </c>
      <c r="L372" t="s">
        <v>7073</v>
      </c>
      <c r="M372">
        <v>0</v>
      </c>
      <c r="N372">
        <v>34</v>
      </c>
      <c r="O372" t="s">
        <v>19</v>
      </c>
      <c r="P372" t="s">
        <v>20</v>
      </c>
      <c r="Q372">
        <v>20230920</v>
      </c>
    </row>
    <row r="373" spans="1:17" x14ac:dyDescent="0.25">
      <c r="A373" t="s">
        <v>548</v>
      </c>
      <c r="B373" t="s">
        <v>429</v>
      </c>
      <c r="C373">
        <v>2</v>
      </c>
      <c r="D373">
        <v>20230920</v>
      </c>
      <c r="E373">
        <v>9</v>
      </c>
      <c r="F373">
        <v>411100</v>
      </c>
      <c r="G373" t="s">
        <v>18</v>
      </c>
      <c r="H373" t="s">
        <v>7072</v>
      </c>
      <c r="I373" t="s">
        <v>7071</v>
      </c>
      <c r="J373">
        <v>387528</v>
      </c>
      <c r="K373">
        <v>20230920</v>
      </c>
      <c r="L373" t="s">
        <v>7070</v>
      </c>
      <c r="M373">
        <v>0</v>
      </c>
      <c r="N373">
        <v>22</v>
      </c>
      <c r="O373" t="s">
        <v>19</v>
      </c>
      <c r="P373" t="s">
        <v>20</v>
      </c>
      <c r="Q373">
        <v>20230920</v>
      </c>
    </row>
    <row r="374" spans="1:17" x14ac:dyDescent="0.25">
      <c r="A374" t="s">
        <v>548</v>
      </c>
      <c r="B374" t="s">
        <v>429</v>
      </c>
      <c r="C374">
        <v>2</v>
      </c>
      <c r="D374">
        <v>20230920</v>
      </c>
      <c r="E374">
        <v>9</v>
      </c>
      <c r="F374">
        <v>411100</v>
      </c>
      <c r="G374" t="s">
        <v>18</v>
      </c>
      <c r="H374" t="s">
        <v>7069</v>
      </c>
      <c r="I374" t="s">
        <v>7068</v>
      </c>
      <c r="J374">
        <v>387529</v>
      </c>
      <c r="K374">
        <v>20230920</v>
      </c>
      <c r="L374" t="s">
        <v>7067</v>
      </c>
      <c r="M374">
        <v>0</v>
      </c>
      <c r="N374">
        <v>13</v>
      </c>
      <c r="O374" t="s">
        <v>19</v>
      </c>
      <c r="P374" t="s">
        <v>20</v>
      </c>
      <c r="Q374">
        <v>20230920</v>
      </c>
    </row>
    <row r="375" spans="1:17" x14ac:dyDescent="0.25">
      <c r="A375" t="s">
        <v>548</v>
      </c>
      <c r="B375" t="s">
        <v>429</v>
      </c>
      <c r="C375">
        <v>2</v>
      </c>
      <c r="D375">
        <v>20230920</v>
      </c>
      <c r="E375">
        <v>9</v>
      </c>
      <c r="F375">
        <v>411020</v>
      </c>
      <c r="G375" t="s">
        <v>30</v>
      </c>
      <c r="H375" t="s">
        <v>3639</v>
      </c>
      <c r="I375" t="s">
        <v>3640</v>
      </c>
      <c r="J375">
        <v>387530</v>
      </c>
      <c r="K375">
        <v>20230920</v>
      </c>
      <c r="L375" t="s">
        <v>7066</v>
      </c>
      <c r="M375">
        <v>0</v>
      </c>
      <c r="N375">
        <v>12</v>
      </c>
      <c r="O375" t="s">
        <v>19</v>
      </c>
      <c r="P375" t="s">
        <v>20</v>
      </c>
      <c r="Q375">
        <v>20230920</v>
      </c>
    </row>
    <row r="376" spans="1:17" x14ac:dyDescent="0.25">
      <c r="A376" t="s">
        <v>548</v>
      </c>
      <c r="B376" t="s">
        <v>429</v>
      </c>
      <c r="C376">
        <v>2</v>
      </c>
      <c r="D376">
        <v>20230920</v>
      </c>
      <c r="E376">
        <v>9</v>
      </c>
      <c r="F376">
        <v>411100</v>
      </c>
      <c r="G376" t="s">
        <v>18</v>
      </c>
      <c r="H376" t="s">
        <v>3959</v>
      </c>
      <c r="I376" t="s">
        <v>3960</v>
      </c>
      <c r="J376">
        <v>387531</v>
      </c>
      <c r="K376">
        <v>20230920</v>
      </c>
      <c r="L376" t="s">
        <v>7065</v>
      </c>
      <c r="M376">
        <v>0</v>
      </c>
      <c r="N376">
        <v>22</v>
      </c>
      <c r="O376" t="s">
        <v>19</v>
      </c>
      <c r="P376" t="s">
        <v>20</v>
      </c>
      <c r="Q376">
        <v>20230920</v>
      </c>
    </row>
    <row r="377" spans="1:17" x14ac:dyDescent="0.25">
      <c r="A377" t="s">
        <v>548</v>
      </c>
      <c r="B377" t="s">
        <v>429</v>
      </c>
      <c r="C377">
        <v>2</v>
      </c>
      <c r="D377">
        <v>20230920</v>
      </c>
      <c r="E377">
        <v>9</v>
      </c>
      <c r="F377">
        <v>411100</v>
      </c>
      <c r="G377" t="s">
        <v>18</v>
      </c>
      <c r="H377" t="s">
        <v>5063</v>
      </c>
      <c r="I377" t="s">
        <v>5064</v>
      </c>
      <c r="J377">
        <v>387532</v>
      </c>
      <c r="K377">
        <v>20230920</v>
      </c>
      <c r="L377" t="s">
        <v>7064</v>
      </c>
      <c r="M377">
        <v>0</v>
      </c>
      <c r="N377">
        <v>22</v>
      </c>
      <c r="O377" t="s">
        <v>19</v>
      </c>
      <c r="P377" t="s">
        <v>20</v>
      </c>
      <c r="Q377">
        <v>20230920</v>
      </c>
    </row>
    <row r="378" spans="1:17" x14ac:dyDescent="0.25">
      <c r="A378" t="s">
        <v>548</v>
      </c>
      <c r="B378" t="s">
        <v>429</v>
      </c>
      <c r="C378">
        <v>2</v>
      </c>
      <c r="D378">
        <v>20230920</v>
      </c>
      <c r="E378">
        <v>9</v>
      </c>
      <c r="F378">
        <v>411100</v>
      </c>
      <c r="G378" t="s">
        <v>18</v>
      </c>
      <c r="H378" t="s">
        <v>3547</v>
      </c>
      <c r="I378" t="s">
        <v>3548</v>
      </c>
      <c r="J378">
        <v>387533</v>
      </c>
      <c r="K378">
        <v>20230920</v>
      </c>
      <c r="L378" t="s">
        <v>7063</v>
      </c>
      <c r="M378">
        <v>0</v>
      </c>
      <c r="N378">
        <v>12</v>
      </c>
      <c r="O378" t="s">
        <v>19</v>
      </c>
      <c r="P378" t="s">
        <v>20</v>
      </c>
      <c r="Q378">
        <v>20230920</v>
      </c>
    </row>
    <row r="379" spans="1:17" x14ac:dyDescent="0.25">
      <c r="A379" t="s">
        <v>548</v>
      </c>
      <c r="B379" t="s">
        <v>429</v>
      </c>
      <c r="C379">
        <v>2</v>
      </c>
      <c r="D379">
        <v>20230920</v>
      </c>
      <c r="E379">
        <v>9</v>
      </c>
      <c r="F379">
        <v>411100</v>
      </c>
      <c r="G379" t="s">
        <v>18</v>
      </c>
      <c r="H379" t="s">
        <v>2901</v>
      </c>
      <c r="I379" t="s">
        <v>2902</v>
      </c>
      <c r="J379">
        <v>387534</v>
      </c>
      <c r="K379">
        <v>20230920</v>
      </c>
      <c r="L379" t="s">
        <v>7062</v>
      </c>
      <c r="M379">
        <v>0</v>
      </c>
      <c r="N379">
        <v>12</v>
      </c>
      <c r="O379" t="s">
        <v>19</v>
      </c>
      <c r="P379" t="s">
        <v>20</v>
      </c>
      <c r="Q379">
        <v>20230920</v>
      </c>
    </row>
    <row r="380" spans="1:17" x14ac:dyDescent="0.25">
      <c r="A380" t="s">
        <v>548</v>
      </c>
      <c r="B380" t="s">
        <v>429</v>
      </c>
      <c r="C380">
        <v>2</v>
      </c>
      <c r="D380">
        <v>20230920</v>
      </c>
      <c r="E380">
        <v>9</v>
      </c>
      <c r="F380">
        <v>411100</v>
      </c>
      <c r="G380" t="s">
        <v>18</v>
      </c>
      <c r="H380" t="s">
        <v>4053</v>
      </c>
      <c r="I380" t="s">
        <v>4054</v>
      </c>
      <c r="J380">
        <v>387535</v>
      </c>
      <c r="K380">
        <v>20230920</v>
      </c>
      <c r="L380" t="s">
        <v>7061</v>
      </c>
      <c r="M380">
        <v>0</v>
      </c>
      <c r="N380">
        <v>3</v>
      </c>
      <c r="O380" t="s">
        <v>19</v>
      </c>
      <c r="P380" t="s">
        <v>20</v>
      </c>
      <c r="Q380">
        <v>20230920</v>
      </c>
    </row>
    <row r="381" spans="1:17" x14ac:dyDescent="0.25">
      <c r="A381" t="s">
        <v>548</v>
      </c>
      <c r="B381" t="s">
        <v>429</v>
      </c>
      <c r="C381">
        <v>2</v>
      </c>
      <c r="D381">
        <v>20230920</v>
      </c>
      <c r="E381">
        <v>9</v>
      </c>
      <c r="F381">
        <v>411100</v>
      </c>
      <c r="G381" t="s">
        <v>18</v>
      </c>
      <c r="H381" t="s">
        <v>3937</v>
      </c>
      <c r="I381" t="s">
        <v>3938</v>
      </c>
      <c r="J381">
        <v>387536</v>
      </c>
      <c r="K381">
        <v>20230920</v>
      </c>
      <c r="L381" t="s">
        <v>7060</v>
      </c>
      <c r="M381">
        <v>0</v>
      </c>
      <c r="N381">
        <v>12</v>
      </c>
      <c r="O381" t="s">
        <v>19</v>
      </c>
      <c r="P381" t="s">
        <v>20</v>
      </c>
      <c r="Q381">
        <v>20230920</v>
      </c>
    </row>
    <row r="382" spans="1:17" x14ac:dyDescent="0.25">
      <c r="A382" t="s">
        <v>548</v>
      </c>
      <c r="B382" t="s">
        <v>429</v>
      </c>
      <c r="C382">
        <v>2</v>
      </c>
      <c r="D382">
        <v>20230920</v>
      </c>
      <c r="E382">
        <v>9</v>
      </c>
      <c r="F382">
        <v>411100</v>
      </c>
      <c r="G382" t="s">
        <v>18</v>
      </c>
      <c r="H382" t="s">
        <v>3998</v>
      </c>
      <c r="I382" t="s">
        <v>3999</v>
      </c>
      <c r="J382">
        <v>387537</v>
      </c>
      <c r="K382">
        <v>20230920</v>
      </c>
      <c r="L382" t="s">
        <v>7059</v>
      </c>
      <c r="M382">
        <v>0</v>
      </c>
      <c r="N382">
        <v>22</v>
      </c>
      <c r="O382" t="s">
        <v>19</v>
      </c>
      <c r="P382" t="s">
        <v>20</v>
      </c>
      <c r="Q382">
        <v>20230920</v>
      </c>
    </row>
    <row r="383" spans="1:17" x14ac:dyDescent="0.25">
      <c r="A383" t="s">
        <v>548</v>
      </c>
      <c r="B383" t="s">
        <v>429</v>
      </c>
      <c r="C383">
        <v>2</v>
      </c>
      <c r="D383">
        <v>20230920</v>
      </c>
      <c r="E383">
        <v>9</v>
      </c>
      <c r="F383">
        <v>411100</v>
      </c>
      <c r="G383" t="s">
        <v>18</v>
      </c>
      <c r="H383" t="s">
        <v>4982</v>
      </c>
      <c r="I383" t="s">
        <v>4983</v>
      </c>
      <c r="J383">
        <v>387538</v>
      </c>
      <c r="K383">
        <v>20230920</v>
      </c>
      <c r="L383" t="s">
        <v>7058</v>
      </c>
      <c r="M383">
        <v>0</v>
      </c>
      <c r="N383">
        <v>13</v>
      </c>
      <c r="O383" t="s">
        <v>19</v>
      </c>
      <c r="P383" t="s">
        <v>20</v>
      </c>
      <c r="Q383">
        <v>20230920</v>
      </c>
    </row>
    <row r="384" spans="1:17" x14ac:dyDescent="0.25">
      <c r="A384" t="s">
        <v>548</v>
      </c>
      <c r="B384" t="s">
        <v>429</v>
      </c>
      <c r="C384">
        <v>2</v>
      </c>
      <c r="D384">
        <v>20230920</v>
      </c>
      <c r="E384">
        <v>9</v>
      </c>
      <c r="F384">
        <v>411100</v>
      </c>
      <c r="G384" t="s">
        <v>18</v>
      </c>
      <c r="H384" t="s">
        <v>3975</v>
      </c>
      <c r="I384" t="s">
        <v>3976</v>
      </c>
      <c r="J384">
        <v>387539</v>
      </c>
      <c r="K384">
        <v>20230920</v>
      </c>
      <c r="L384" t="s">
        <v>7057</v>
      </c>
      <c r="M384">
        <v>0</v>
      </c>
      <c r="N384">
        <v>22</v>
      </c>
      <c r="O384" t="s">
        <v>19</v>
      </c>
      <c r="P384" t="s">
        <v>20</v>
      </c>
      <c r="Q384">
        <v>20230920</v>
      </c>
    </row>
    <row r="385" spans="1:17" x14ac:dyDescent="0.25">
      <c r="A385" t="s">
        <v>548</v>
      </c>
      <c r="B385" t="s">
        <v>429</v>
      </c>
      <c r="C385">
        <v>2</v>
      </c>
      <c r="D385">
        <v>20230920</v>
      </c>
      <c r="E385">
        <v>9</v>
      </c>
      <c r="F385">
        <v>411100</v>
      </c>
      <c r="G385" t="s">
        <v>18</v>
      </c>
      <c r="H385" t="s">
        <v>3978</v>
      </c>
      <c r="I385" t="s">
        <v>3979</v>
      </c>
      <c r="J385">
        <v>387540</v>
      </c>
      <c r="K385">
        <v>20230920</v>
      </c>
      <c r="L385" t="s">
        <v>7056</v>
      </c>
      <c r="M385">
        <v>0</v>
      </c>
      <c r="N385">
        <v>22</v>
      </c>
      <c r="O385" t="s">
        <v>19</v>
      </c>
      <c r="P385" t="s">
        <v>20</v>
      </c>
      <c r="Q385">
        <v>20230920</v>
      </c>
    </row>
    <row r="386" spans="1:17" x14ac:dyDescent="0.25">
      <c r="A386" t="s">
        <v>548</v>
      </c>
      <c r="B386" t="s">
        <v>429</v>
      </c>
      <c r="C386">
        <v>2</v>
      </c>
      <c r="D386">
        <v>20230920</v>
      </c>
      <c r="E386">
        <v>9</v>
      </c>
      <c r="F386">
        <v>411100</v>
      </c>
      <c r="G386" t="s">
        <v>18</v>
      </c>
      <c r="H386" t="s">
        <v>3985</v>
      </c>
      <c r="I386" t="s">
        <v>3986</v>
      </c>
      <c r="J386">
        <v>387541</v>
      </c>
      <c r="K386">
        <v>20230920</v>
      </c>
      <c r="L386" t="s">
        <v>7055</v>
      </c>
      <c r="M386">
        <v>0</v>
      </c>
      <c r="N386">
        <v>22</v>
      </c>
      <c r="O386" t="s">
        <v>19</v>
      </c>
      <c r="P386" t="s">
        <v>20</v>
      </c>
      <c r="Q386">
        <v>20230920</v>
      </c>
    </row>
    <row r="387" spans="1:17" x14ac:dyDescent="0.25">
      <c r="A387" t="s">
        <v>548</v>
      </c>
      <c r="B387" t="s">
        <v>429</v>
      </c>
      <c r="C387">
        <v>2</v>
      </c>
      <c r="D387">
        <v>20230920</v>
      </c>
      <c r="E387">
        <v>9</v>
      </c>
      <c r="F387">
        <v>411100</v>
      </c>
      <c r="G387" t="s">
        <v>18</v>
      </c>
      <c r="H387" t="s">
        <v>3981</v>
      </c>
      <c r="I387" t="s">
        <v>3982</v>
      </c>
      <c r="J387">
        <v>387542</v>
      </c>
      <c r="K387">
        <v>20230920</v>
      </c>
      <c r="L387" t="s">
        <v>7054</v>
      </c>
      <c r="M387">
        <v>0</v>
      </c>
      <c r="N387">
        <v>13</v>
      </c>
      <c r="O387" t="s">
        <v>19</v>
      </c>
      <c r="P387" t="s">
        <v>20</v>
      </c>
      <c r="Q387">
        <v>20230920</v>
      </c>
    </row>
    <row r="388" spans="1:17" x14ac:dyDescent="0.25">
      <c r="A388" t="s">
        <v>548</v>
      </c>
      <c r="B388" t="s">
        <v>429</v>
      </c>
      <c r="C388">
        <v>2</v>
      </c>
      <c r="D388">
        <v>20230920</v>
      </c>
      <c r="E388">
        <v>9</v>
      </c>
      <c r="F388">
        <v>411100</v>
      </c>
      <c r="G388" t="s">
        <v>18</v>
      </c>
      <c r="H388" t="s">
        <v>1515</v>
      </c>
      <c r="I388" t="s">
        <v>1516</v>
      </c>
      <c r="J388">
        <v>387543</v>
      </c>
      <c r="K388">
        <v>20230920</v>
      </c>
      <c r="L388" t="s">
        <v>7053</v>
      </c>
      <c r="M388">
        <v>0</v>
      </c>
      <c r="N388">
        <v>12</v>
      </c>
      <c r="O388" t="s">
        <v>19</v>
      </c>
      <c r="P388" t="s">
        <v>20</v>
      </c>
      <c r="Q388">
        <v>20230920</v>
      </c>
    </row>
    <row r="389" spans="1:17" x14ac:dyDescent="0.25">
      <c r="A389" t="s">
        <v>548</v>
      </c>
      <c r="B389" t="s">
        <v>429</v>
      </c>
      <c r="C389">
        <v>2</v>
      </c>
      <c r="D389">
        <v>20230920</v>
      </c>
      <c r="E389">
        <v>9</v>
      </c>
      <c r="F389">
        <v>531105</v>
      </c>
      <c r="G389" t="s">
        <v>429</v>
      </c>
      <c r="H389" t="s">
        <v>401</v>
      </c>
      <c r="I389" t="s">
        <v>402</v>
      </c>
      <c r="J389">
        <v>387544</v>
      </c>
      <c r="K389">
        <v>20230920</v>
      </c>
      <c r="L389" t="s">
        <v>565</v>
      </c>
      <c r="M389">
        <v>302</v>
      </c>
      <c r="N389">
        <v>0</v>
      </c>
      <c r="O389" t="s">
        <v>19</v>
      </c>
      <c r="P389" t="s">
        <v>20</v>
      </c>
      <c r="Q389">
        <v>20230920</v>
      </c>
    </row>
    <row r="390" spans="1:17" x14ac:dyDescent="0.25">
      <c r="A390" t="s">
        <v>548</v>
      </c>
      <c r="B390" t="s">
        <v>429</v>
      </c>
      <c r="C390">
        <v>2</v>
      </c>
      <c r="D390">
        <v>20230921</v>
      </c>
      <c r="E390">
        <v>9</v>
      </c>
      <c r="F390">
        <v>411100</v>
      </c>
      <c r="G390" t="s">
        <v>18</v>
      </c>
      <c r="H390" t="s">
        <v>255</v>
      </c>
      <c r="I390" t="s">
        <v>7052</v>
      </c>
      <c r="J390">
        <v>387545</v>
      </c>
      <c r="K390">
        <v>20230921</v>
      </c>
      <c r="L390" t="s">
        <v>7051</v>
      </c>
      <c r="M390">
        <v>0</v>
      </c>
      <c r="N390">
        <v>13</v>
      </c>
      <c r="O390" t="s">
        <v>19</v>
      </c>
      <c r="P390" t="s">
        <v>20</v>
      </c>
      <c r="Q390">
        <v>20230921</v>
      </c>
    </row>
    <row r="391" spans="1:17" x14ac:dyDescent="0.25">
      <c r="A391" t="s">
        <v>548</v>
      </c>
      <c r="B391" t="s">
        <v>429</v>
      </c>
      <c r="C391">
        <v>2</v>
      </c>
      <c r="D391">
        <v>20230921</v>
      </c>
      <c r="E391">
        <v>9</v>
      </c>
      <c r="F391">
        <v>411100</v>
      </c>
      <c r="G391" t="s">
        <v>18</v>
      </c>
      <c r="H391" t="s">
        <v>1299</v>
      </c>
      <c r="I391" t="s">
        <v>1300</v>
      </c>
      <c r="J391">
        <v>387546</v>
      </c>
      <c r="K391">
        <v>20230921</v>
      </c>
      <c r="L391" t="s">
        <v>7050</v>
      </c>
      <c r="M391">
        <v>0</v>
      </c>
      <c r="N391">
        <v>10</v>
      </c>
      <c r="O391" t="s">
        <v>19</v>
      </c>
      <c r="P391" t="s">
        <v>20</v>
      </c>
      <c r="Q391">
        <v>20230921</v>
      </c>
    </row>
    <row r="392" spans="1:17" x14ac:dyDescent="0.25">
      <c r="A392" t="s">
        <v>548</v>
      </c>
      <c r="B392" t="s">
        <v>429</v>
      </c>
      <c r="C392">
        <v>2</v>
      </c>
      <c r="D392">
        <v>20230921</v>
      </c>
      <c r="E392">
        <v>9</v>
      </c>
      <c r="F392">
        <v>411100</v>
      </c>
      <c r="G392" t="s">
        <v>18</v>
      </c>
      <c r="H392" t="s">
        <v>60</v>
      </c>
      <c r="I392" t="s">
        <v>7049</v>
      </c>
      <c r="J392">
        <v>387547</v>
      </c>
      <c r="K392">
        <v>20230921</v>
      </c>
      <c r="L392" t="s">
        <v>7048</v>
      </c>
      <c r="M392">
        <v>0</v>
      </c>
      <c r="N392">
        <v>10</v>
      </c>
      <c r="O392" t="s">
        <v>19</v>
      </c>
      <c r="P392" t="s">
        <v>20</v>
      </c>
      <c r="Q392">
        <v>20230921</v>
      </c>
    </row>
    <row r="393" spans="1:17" x14ac:dyDescent="0.25">
      <c r="A393" t="s">
        <v>548</v>
      </c>
      <c r="B393" t="s">
        <v>429</v>
      </c>
      <c r="C393">
        <v>2</v>
      </c>
      <c r="D393">
        <v>20230921</v>
      </c>
      <c r="E393">
        <v>9</v>
      </c>
      <c r="F393">
        <v>411100</v>
      </c>
      <c r="G393" t="s">
        <v>18</v>
      </c>
      <c r="H393" t="s">
        <v>7047</v>
      </c>
      <c r="I393" t="s">
        <v>7046</v>
      </c>
      <c r="J393">
        <v>387548</v>
      </c>
      <c r="K393">
        <v>20230921</v>
      </c>
      <c r="L393" t="s">
        <v>7045</v>
      </c>
      <c r="M393">
        <v>0</v>
      </c>
      <c r="N393">
        <v>10</v>
      </c>
      <c r="O393" t="s">
        <v>19</v>
      </c>
      <c r="P393" t="s">
        <v>20</v>
      </c>
      <c r="Q393">
        <v>20230921</v>
      </c>
    </row>
    <row r="394" spans="1:17" x14ac:dyDescent="0.25">
      <c r="A394" t="s">
        <v>548</v>
      </c>
      <c r="B394" t="s">
        <v>429</v>
      </c>
      <c r="C394">
        <v>2</v>
      </c>
      <c r="D394">
        <v>20230921</v>
      </c>
      <c r="E394">
        <v>9</v>
      </c>
      <c r="F394">
        <v>411010</v>
      </c>
      <c r="G394" t="s">
        <v>87</v>
      </c>
      <c r="H394" t="s">
        <v>88</v>
      </c>
      <c r="I394" t="s">
        <v>7044</v>
      </c>
      <c r="J394">
        <v>124060007</v>
      </c>
      <c r="K394">
        <v>20230921</v>
      </c>
      <c r="L394" t="s">
        <v>7043</v>
      </c>
      <c r="M394">
        <v>0</v>
      </c>
      <c r="N394">
        <v>10</v>
      </c>
      <c r="O394" t="s">
        <v>19</v>
      </c>
      <c r="P394" t="s">
        <v>20</v>
      </c>
      <c r="Q394">
        <v>20230921</v>
      </c>
    </row>
    <row r="395" spans="1:17" x14ac:dyDescent="0.25">
      <c r="A395" t="s">
        <v>548</v>
      </c>
      <c r="B395" t="s">
        <v>429</v>
      </c>
      <c r="C395">
        <v>2</v>
      </c>
      <c r="D395">
        <v>20230921</v>
      </c>
      <c r="E395">
        <v>9</v>
      </c>
      <c r="F395">
        <v>411010</v>
      </c>
      <c r="G395" t="s">
        <v>87</v>
      </c>
      <c r="H395" t="s">
        <v>678</v>
      </c>
      <c r="I395" t="s">
        <v>679</v>
      </c>
      <c r="J395">
        <v>387550</v>
      </c>
      <c r="K395">
        <v>20230921</v>
      </c>
      <c r="L395" t="s">
        <v>7042</v>
      </c>
      <c r="M395">
        <v>0</v>
      </c>
      <c r="N395">
        <v>10</v>
      </c>
      <c r="O395" t="s">
        <v>19</v>
      </c>
      <c r="P395" t="s">
        <v>20</v>
      </c>
      <c r="Q395">
        <v>20230921</v>
      </c>
    </row>
    <row r="396" spans="1:17" x14ac:dyDescent="0.25">
      <c r="A396" t="s">
        <v>548</v>
      </c>
      <c r="B396" t="s">
        <v>429</v>
      </c>
      <c r="C396">
        <v>2</v>
      </c>
      <c r="D396">
        <v>20230921</v>
      </c>
      <c r="E396">
        <v>9</v>
      </c>
      <c r="F396">
        <v>411100</v>
      </c>
      <c r="G396" t="s">
        <v>18</v>
      </c>
      <c r="H396" t="s">
        <v>2367</v>
      </c>
      <c r="I396" t="s">
        <v>2368</v>
      </c>
      <c r="J396">
        <v>387551</v>
      </c>
      <c r="K396">
        <v>20230921</v>
      </c>
      <c r="L396" t="s">
        <v>7041</v>
      </c>
      <c r="M396">
        <v>0</v>
      </c>
      <c r="N396">
        <v>10</v>
      </c>
      <c r="O396" t="s">
        <v>19</v>
      </c>
      <c r="P396" t="s">
        <v>20</v>
      </c>
      <c r="Q396">
        <v>20230921</v>
      </c>
    </row>
    <row r="397" spans="1:17" x14ac:dyDescent="0.25">
      <c r="A397" t="s">
        <v>548</v>
      </c>
      <c r="B397" t="s">
        <v>429</v>
      </c>
      <c r="C397">
        <v>2</v>
      </c>
      <c r="D397">
        <v>20230921</v>
      </c>
      <c r="E397">
        <v>9</v>
      </c>
      <c r="F397">
        <v>411100</v>
      </c>
      <c r="G397" t="s">
        <v>18</v>
      </c>
      <c r="H397" t="s">
        <v>7040</v>
      </c>
      <c r="I397" t="s">
        <v>7039</v>
      </c>
      <c r="J397">
        <v>387552</v>
      </c>
      <c r="K397">
        <v>20230921</v>
      </c>
      <c r="L397" t="s">
        <v>7038</v>
      </c>
      <c r="M397">
        <v>0</v>
      </c>
      <c r="N397">
        <v>13</v>
      </c>
      <c r="O397" t="s">
        <v>19</v>
      </c>
      <c r="P397" t="s">
        <v>20</v>
      </c>
      <c r="Q397">
        <v>20230921</v>
      </c>
    </row>
    <row r="398" spans="1:17" x14ac:dyDescent="0.25">
      <c r="A398" t="s">
        <v>548</v>
      </c>
      <c r="B398" t="s">
        <v>429</v>
      </c>
      <c r="C398">
        <v>2</v>
      </c>
      <c r="D398">
        <v>20230921</v>
      </c>
      <c r="E398">
        <v>9</v>
      </c>
      <c r="F398">
        <v>411100</v>
      </c>
      <c r="G398" t="s">
        <v>18</v>
      </c>
      <c r="H398" t="s">
        <v>1458</v>
      </c>
      <c r="I398" t="s">
        <v>1459</v>
      </c>
      <c r="J398">
        <v>387553</v>
      </c>
      <c r="K398">
        <v>20230921</v>
      </c>
      <c r="L398" t="s">
        <v>7037</v>
      </c>
      <c r="M398">
        <v>0</v>
      </c>
      <c r="N398">
        <v>13</v>
      </c>
      <c r="O398" t="s">
        <v>19</v>
      </c>
      <c r="P398" t="s">
        <v>20</v>
      </c>
      <c r="Q398">
        <v>20230921</v>
      </c>
    </row>
    <row r="399" spans="1:17" x14ac:dyDescent="0.25">
      <c r="A399" t="s">
        <v>548</v>
      </c>
      <c r="B399" t="s">
        <v>429</v>
      </c>
      <c r="C399">
        <v>2</v>
      </c>
      <c r="D399">
        <v>20230921</v>
      </c>
      <c r="E399">
        <v>9</v>
      </c>
      <c r="F399">
        <v>411100</v>
      </c>
      <c r="G399" t="s">
        <v>18</v>
      </c>
      <c r="H399" t="s">
        <v>4310</v>
      </c>
      <c r="I399" t="s">
        <v>4311</v>
      </c>
      <c r="J399">
        <v>387554</v>
      </c>
      <c r="K399">
        <v>20230921</v>
      </c>
      <c r="L399" t="s">
        <v>7036</v>
      </c>
      <c r="M399">
        <v>0</v>
      </c>
      <c r="N399">
        <v>10</v>
      </c>
      <c r="O399" t="s">
        <v>19</v>
      </c>
      <c r="P399" t="s">
        <v>20</v>
      </c>
      <c r="Q399">
        <v>20230921</v>
      </c>
    </row>
    <row r="400" spans="1:17" x14ac:dyDescent="0.25">
      <c r="A400" t="s">
        <v>548</v>
      </c>
      <c r="B400" t="s">
        <v>429</v>
      </c>
      <c r="C400">
        <v>2</v>
      </c>
      <c r="D400">
        <v>20230921</v>
      </c>
      <c r="E400">
        <v>9</v>
      </c>
      <c r="F400">
        <v>411100</v>
      </c>
      <c r="G400" t="s">
        <v>18</v>
      </c>
      <c r="H400" t="s">
        <v>7035</v>
      </c>
      <c r="I400" t="s">
        <v>7034</v>
      </c>
      <c r="J400">
        <v>387555</v>
      </c>
      <c r="K400">
        <v>20230921</v>
      </c>
      <c r="L400" t="s">
        <v>7033</v>
      </c>
      <c r="M400">
        <v>0</v>
      </c>
      <c r="N400">
        <v>10</v>
      </c>
      <c r="O400" t="s">
        <v>19</v>
      </c>
      <c r="P400" t="s">
        <v>20</v>
      </c>
      <c r="Q400">
        <v>20230921</v>
      </c>
    </row>
    <row r="401" spans="1:17" x14ac:dyDescent="0.25">
      <c r="A401" t="s">
        <v>548</v>
      </c>
      <c r="B401" t="s">
        <v>429</v>
      </c>
      <c r="C401">
        <v>2</v>
      </c>
      <c r="D401">
        <v>20230921</v>
      </c>
      <c r="E401">
        <v>9</v>
      </c>
      <c r="F401">
        <v>411100</v>
      </c>
      <c r="G401" t="s">
        <v>18</v>
      </c>
      <c r="H401" t="s">
        <v>1774</v>
      </c>
      <c r="I401" t="s">
        <v>1775</v>
      </c>
      <c r="J401">
        <v>387556</v>
      </c>
      <c r="K401">
        <v>20230921</v>
      </c>
      <c r="L401" t="s">
        <v>7032</v>
      </c>
      <c r="M401">
        <v>0</v>
      </c>
      <c r="N401">
        <v>10</v>
      </c>
      <c r="O401" t="s">
        <v>19</v>
      </c>
      <c r="P401" t="s">
        <v>20</v>
      </c>
      <c r="Q401">
        <v>20230921</v>
      </c>
    </row>
    <row r="402" spans="1:17" x14ac:dyDescent="0.25">
      <c r="A402" t="s">
        <v>548</v>
      </c>
      <c r="B402" t="s">
        <v>429</v>
      </c>
      <c r="C402">
        <v>2</v>
      </c>
      <c r="D402">
        <v>20230921</v>
      </c>
      <c r="E402">
        <v>9</v>
      </c>
      <c r="F402">
        <v>411100</v>
      </c>
      <c r="G402" t="s">
        <v>18</v>
      </c>
      <c r="H402" t="s">
        <v>7031</v>
      </c>
      <c r="I402" t="s">
        <v>7030</v>
      </c>
      <c r="J402">
        <v>387557</v>
      </c>
      <c r="K402">
        <v>20230921</v>
      </c>
      <c r="L402" t="s">
        <v>7029</v>
      </c>
      <c r="M402">
        <v>0</v>
      </c>
      <c r="N402">
        <v>10</v>
      </c>
      <c r="O402" t="s">
        <v>19</v>
      </c>
      <c r="P402" t="s">
        <v>20</v>
      </c>
      <c r="Q402">
        <v>20230921</v>
      </c>
    </row>
    <row r="403" spans="1:17" x14ac:dyDescent="0.25">
      <c r="A403" t="s">
        <v>548</v>
      </c>
      <c r="B403" t="s">
        <v>429</v>
      </c>
      <c r="C403">
        <v>2</v>
      </c>
      <c r="D403">
        <v>20230921</v>
      </c>
      <c r="E403">
        <v>9</v>
      </c>
      <c r="F403">
        <v>411020</v>
      </c>
      <c r="G403" t="s">
        <v>30</v>
      </c>
      <c r="H403" t="s">
        <v>7028</v>
      </c>
      <c r="I403" t="s">
        <v>7027</v>
      </c>
      <c r="J403">
        <v>387558</v>
      </c>
      <c r="K403">
        <v>20230921</v>
      </c>
      <c r="L403" t="s">
        <v>7026</v>
      </c>
      <c r="M403">
        <v>0</v>
      </c>
      <c r="N403">
        <v>10</v>
      </c>
      <c r="O403" t="s">
        <v>19</v>
      </c>
      <c r="P403" t="s">
        <v>20</v>
      </c>
      <c r="Q403">
        <v>20230921</v>
      </c>
    </row>
    <row r="404" spans="1:17" x14ac:dyDescent="0.25">
      <c r="A404" t="s">
        <v>548</v>
      </c>
      <c r="B404" t="s">
        <v>429</v>
      </c>
      <c r="C404">
        <v>2</v>
      </c>
      <c r="D404">
        <v>20230921</v>
      </c>
      <c r="E404">
        <v>9</v>
      </c>
      <c r="F404">
        <v>411100</v>
      </c>
      <c r="G404" t="s">
        <v>18</v>
      </c>
      <c r="H404" t="s">
        <v>154</v>
      </c>
      <c r="I404" t="s">
        <v>155</v>
      </c>
      <c r="J404">
        <v>387559</v>
      </c>
      <c r="K404">
        <v>20230921</v>
      </c>
      <c r="L404" t="s">
        <v>7025</v>
      </c>
      <c r="M404">
        <v>0</v>
      </c>
      <c r="N404">
        <v>10</v>
      </c>
      <c r="O404" t="s">
        <v>19</v>
      </c>
      <c r="P404" t="s">
        <v>20</v>
      </c>
      <c r="Q404">
        <v>20230921</v>
      </c>
    </row>
    <row r="405" spans="1:17" x14ac:dyDescent="0.25">
      <c r="A405" t="s">
        <v>548</v>
      </c>
      <c r="B405" t="s">
        <v>429</v>
      </c>
      <c r="C405">
        <v>2</v>
      </c>
      <c r="D405">
        <v>20230921</v>
      </c>
      <c r="E405">
        <v>9</v>
      </c>
      <c r="F405">
        <v>411100</v>
      </c>
      <c r="G405" t="s">
        <v>18</v>
      </c>
      <c r="H405" t="s">
        <v>4033</v>
      </c>
      <c r="I405" t="s">
        <v>4034</v>
      </c>
      <c r="J405">
        <v>387560</v>
      </c>
      <c r="K405">
        <v>20230921</v>
      </c>
      <c r="L405" t="s">
        <v>7024</v>
      </c>
      <c r="M405">
        <v>0</v>
      </c>
      <c r="N405">
        <v>22</v>
      </c>
      <c r="O405" t="s">
        <v>19</v>
      </c>
      <c r="P405" t="s">
        <v>20</v>
      </c>
      <c r="Q405">
        <v>20230921</v>
      </c>
    </row>
    <row r="406" spans="1:17" x14ac:dyDescent="0.25">
      <c r="A406" t="s">
        <v>548</v>
      </c>
      <c r="B406" t="s">
        <v>429</v>
      </c>
      <c r="C406">
        <v>2</v>
      </c>
      <c r="D406">
        <v>20230921</v>
      </c>
      <c r="E406">
        <v>9</v>
      </c>
      <c r="F406">
        <v>411100</v>
      </c>
      <c r="G406" t="s">
        <v>18</v>
      </c>
      <c r="H406" t="s">
        <v>7023</v>
      </c>
      <c r="I406" t="s">
        <v>7022</v>
      </c>
      <c r="J406">
        <v>387561</v>
      </c>
      <c r="K406">
        <v>20230921</v>
      </c>
      <c r="L406" t="s">
        <v>7021</v>
      </c>
      <c r="M406">
        <v>0</v>
      </c>
      <c r="N406">
        <v>10</v>
      </c>
      <c r="O406" t="s">
        <v>19</v>
      </c>
      <c r="P406" t="s">
        <v>20</v>
      </c>
      <c r="Q406">
        <v>20230921</v>
      </c>
    </row>
    <row r="407" spans="1:17" x14ac:dyDescent="0.25">
      <c r="A407" t="s">
        <v>548</v>
      </c>
      <c r="B407" t="s">
        <v>429</v>
      </c>
      <c r="C407">
        <v>2</v>
      </c>
      <c r="D407">
        <v>20230921</v>
      </c>
      <c r="E407">
        <v>9</v>
      </c>
      <c r="F407">
        <v>411100</v>
      </c>
      <c r="G407" t="s">
        <v>18</v>
      </c>
      <c r="H407" t="s">
        <v>2165</v>
      </c>
      <c r="I407" t="s">
        <v>2166</v>
      </c>
      <c r="J407">
        <v>387562</v>
      </c>
      <c r="K407">
        <v>20230921</v>
      </c>
      <c r="L407" t="s">
        <v>7020</v>
      </c>
      <c r="M407">
        <v>0</v>
      </c>
      <c r="N407">
        <v>22</v>
      </c>
      <c r="O407" t="s">
        <v>19</v>
      </c>
      <c r="P407" t="s">
        <v>20</v>
      </c>
      <c r="Q407">
        <v>20230921</v>
      </c>
    </row>
    <row r="408" spans="1:17" x14ac:dyDescent="0.25">
      <c r="A408" t="s">
        <v>548</v>
      </c>
      <c r="B408" t="s">
        <v>429</v>
      </c>
      <c r="C408">
        <v>2</v>
      </c>
      <c r="D408">
        <v>20230921</v>
      </c>
      <c r="E408">
        <v>9</v>
      </c>
      <c r="F408">
        <v>411100</v>
      </c>
      <c r="G408" t="s">
        <v>18</v>
      </c>
      <c r="H408" t="s">
        <v>4047</v>
      </c>
      <c r="I408" t="s">
        <v>4048</v>
      </c>
      <c r="J408">
        <v>387563</v>
      </c>
      <c r="K408">
        <v>20230921</v>
      </c>
      <c r="L408" t="s">
        <v>7019</v>
      </c>
      <c r="M408">
        <v>0</v>
      </c>
      <c r="N408">
        <v>22</v>
      </c>
      <c r="O408" t="s">
        <v>19</v>
      </c>
      <c r="P408" t="s">
        <v>20</v>
      </c>
      <c r="Q408">
        <v>20230921</v>
      </c>
    </row>
    <row r="409" spans="1:17" x14ac:dyDescent="0.25">
      <c r="A409" t="s">
        <v>548</v>
      </c>
      <c r="B409" t="s">
        <v>429</v>
      </c>
      <c r="C409">
        <v>2</v>
      </c>
      <c r="D409">
        <v>20230921</v>
      </c>
      <c r="E409">
        <v>9</v>
      </c>
      <c r="F409">
        <v>411100</v>
      </c>
      <c r="G409" t="s">
        <v>18</v>
      </c>
      <c r="H409" t="s">
        <v>2901</v>
      </c>
      <c r="I409" t="s">
        <v>2902</v>
      </c>
      <c r="J409">
        <v>387564</v>
      </c>
      <c r="K409">
        <v>20230921</v>
      </c>
      <c r="L409" t="s">
        <v>7018</v>
      </c>
      <c r="M409">
        <v>0</v>
      </c>
      <c r="N409">
        <v>12</v>
      </c>
      <c r="O409" t="s">
        <v>19</v>
      </c>
      <c r="P409" t="s">
        <v>20</v>
      </c>
      <c r="Q409">
        <v>20230921</v>
      </c>
    </row>
    <row r="410" spans="1:17" x14ac:dyDescent="0.25">
      <c r="A410" t="s">
        <v>548</v>
      </c>
      <c r="B410" t="s">
        <v>429</v>
      </c>
      <c r="C410">
        <v>2</v>
      </c>
      <c r="D410">
        <v>20230921</v>
      </c>
      <c r="E410">
        <v>9</v>
      </c>
      <c r="F410">
        <v>411100</v>
      </c>
      <c r="G410" t="s">
        <v>18</v>
      </c>
      <c r="H410" t="s">
        <v>4064</v>
      </c>
      <c r="I410" t="s">
        <v>4065</v>
      </c>
      <c r="J410">
        <v>387565</v>
      </c>
      <c r="K410">
        <v>20230921</v>
      </c>
      <c r="L410" t="s">
        <v>7017</v>
      </c>
      <c r="M410">
        <v>0</v>
      </c>
      <c r="N410">
        <v>13</v>
      </c>
      <c r="O410" t="s">
        <v>19</v>
      </c>
      <c r="P410" t="s">
        <v>20</v>
      </c>
      <c r="Q410">
        <v>20230921</v>
      </c>
    </row>
    <row r="411" spans="1:17" x14ac:dyDescent="0.25">
      <c r="A411" t="s">
        <v>548</v>
      </c>
      <c r="B411" t="s">
        <v>429</v>
      </c>
      <c r="C411">
        <v>2</v>
      </c>
      <c r="D411">
        <v>20230921</v>
      </c>
      <c r="E411">
        <v>9</v>
      </c>
      <c r="F411">
        <v>411100</v>
      </c>
      <c r="G411" t="s">
        <v>18</v>
      </c>
      <c r="H411" t="s">
        <v>4064</v>
      </c>
      <c r="I411" t="s">
        <v>4065</v>
      </c>
      <c r="J411">
        <v>387566</v>
      </c>
      <c r="K411">
        <v>20230921</v>
      </c>
      <c r="L411" t="s">
        <v>7016</v>
      </c>
      <c r="M411">
        <v>0</v>
      </c>
      <c r="N411">
        <v>3</v>
      </c>
      <c r="O411" t="s">
        <v>19</v>
      </c>
      <c r="P411" t="s">
        <v>20</v>
      </c>
      <c r="Q411">
        <v>20230921</v>
      </c>
    </row>
    <row r="412" spans="1:17" x14ac:dyDescent="0.25">
      <c r="A412" t="s">
        <v>548</v>
      </c>
      <c r="B412" t="s">
        <v>429</v>
      </c>
      <c r="C412">
        <v>2</v>
      </c>
      <c r="D412">
        <v>20230921</v>
      </c>
      <c r="E412">
        <v>9</v>
      </c>
      <c r="F412">
        <v>411100</v>
      </c>
      <c r="G412" t="s">
        <v>18</v>
      </c>
      <c r="H412" t="s">
        <v>7015</v>
      </c>
      <c r="I412" t="s">
        <v>7014</v>
      </c>
      <c r="J412">
        <v>387567</v>
      </c>
      <c r="K412">
        <v>20230921</v>
      </c>
      <c r="L412" t="s">
        <v>7013</v>
      </c>
      <c r="M412">
        <v>0</v>
      </c>
      <c r="N412">
        <v>22</v>
      </c>
      <c r="O412" t="s">
        <v>19</v>
      </c>
      <c r="P412" t="s">
        <v>20</v>
      </c>
      <c r="Q412">
        <v>20230921</v>
      </c>
    </row>
    <row r="413" spans="1:17" x14ac:dyDescent="0.25">
      <c r="A413" t="s">
        <v>548</v>
      </c>
      <c r="B413" t="s">
        <v>429</v>
      </c>
      <c r="C413">
        <v>2</v>
      </c>
      <c r="D413">
        <v>20230921</v>
      </c>
      <c r="E413">
        <v>9</v>
      </c>
      <c r="F413">
        <v>411100</v>
      </c>
      <c r="G413" t="s">
        <v>18</v>
      </c>
      <c r="H413" t="s">
        <v>3635</v>
      </c>
      <c r="I413" t="s">
        <v>6401</v>
      </c>
      <c r="J413">
        <v>387568</v>
      </c>
      <c r="K413">
        <v>20230921</v>
      </c>
      <c r="L413" t="s">
        <v>7012</v>
      </c>
      <c r="M413">
        <v>0</v>
      </c>
      <c r="N413">
        <v>13</v>
      </c>
      <c r="O413" t="s">
        <v>19</v>
      </c>
      <c r="P413" t="s">
        <v>20</v>
      </c>
      <c r="Q413">
        <v>20230921</v>
      </c>
    </row>
    <row r="414" spans="1:17" x14ac:dyDescent="0.25">
      <c r="A414" t="s">
        <v>548</v>
      </c>
      <c r="B414" t="s">
        <v>429</v>
      </c>
      <c r="C414">
        <v>2</v>
      </c>
      <c r="D414">
        <v>20230921</v>
      </c>
      <c r="E414">
        <v>9</v>
      </c>
      <c r="F414">
        <v>531105</v>
      </c>
      <c r="G414" t="s">
        <v>429</v>
      </c>
      <c r="H414" t="s">
        <v>401</v>
      </c>
      <c r="I414" t="s">
        <v>402</v>
      </c>
      <c r="J414">
        <v>387569</v>
      </c>
      <c r="K414">
        <v>20230921</v>
      </c>
      <c r="L414" t="s">
        <v>565</v>
      </c>
      <c r="M414">
        <v>298</v>
      </c>
      <c r="N414">
        <v>0</v>
      </c>
      <c r="O414" t="s">
        <v>19</v>
      </c>
      <c r="P414" t="s">
        <v>20</v>
      </c>
      <c r="Q414">
        <v>20230921</v>
      </c>
    </row>
    <row r="415" spans="1:17" x14ac:dyDescent="0.25">
      <c r="A415" t="s">
        <v>548</v>
      </c>
      <c r="B415" t="s">
        <v>429</v>
      </c>
      <c r="C415">
        <v>2</v>
      </c>
      <c r="D415">
        <v>20230922</v>
      </c>
      <c r="E415">
        <v>9</v>
      </c>
      <c r="F415">
        <v>411100</v>
      </c>
      <c r="G415" t="s">
        <v>18</v>
      </c>
      <c r="H415" t="s">
        <v>7011</v>
      </c>
      <c r="I415" t="s">
        <v>7010</v>
      </c>
      <c r="J415">
        <v>387570</v>
      </c>
      <c r="K415">
        <v>20230922</v>
      </c>
      <c r="L415" t="s">
        <v>7009</v>
      </c>
      <c r="M415">
        <v>0</v>
      </c>
      <c r="N415">
        <v>121</v>
      </c>
      <c r="O415" t="s">
        <v>19</v>
      </c>
      <c r="P415" t="s">
        <v>20</v>
      </c>
      <c r="Q415">
        <v>20230922</v>
      </c>
    </row>
    <row r="416" spans="1:17" x14ac:dyDescent="0.25">
      <c r="A416" t="s">
        <v>548</v>
      </c>
      <c r="B416" t="s">
        <v>429</v>
      </c>
      <c r="C416">
        <v>2</v>
      </c>
      <c r="D416">
        <v>20230922</v>
      </c>
      <c r="E416">
        <v>9</v>
      </c>
      <c r="F416">
        <v>411100</v>
      </c>
      <c r="G416" t="s">
        <v>18</v>
      </c>
      <c r="H416" t="s">
        <v>7008</v>
      </c>
      <c r="I416" t="s">
        <v>7007</v>
      </c>
      <c r="J416">
        <v>123090042</v>
      </c>
      <c r="K416">
        <v>20230922</v>
      </c>
      <c r="L416" t="s">
        <v>7006</v>
      </c>
      <c r="M416">
        <v>0</v>
      </c>
      <c r="N416">
        <v>5</v>
      </c>
      <c r="O416" t="s">
        <v>19</v>
      </c>
      <c r="P416" t="s">
        <v>20</v>
      </c>
      <c r="Q416">
        <v>20230922</v>
      </c>
    </row>
    <row r="417" spans="1:17" x14ac:dyDescent="0.25">
      <c r="A417" t="s">
        <v>548</v>
      </c>
      <c r="B417" t="s">
        <v>429</v>
      </c>
      <c r="C417">
        <v>2</v>
      </c>
      <c r="D417">
        <v>20230922</v>
      </c>
      <c r="E417">
        <v>9</v>
      </c>
      <c r="F417">
        <v>531105</v>
      </c>
      <c r="G417" t="s">
        <v>429</v>
      </c>
      <c r="H417" t="s">
        <v>401</v>
      </c>
      <c r="I417" t="s">
        <v>402</v>
      </c>
      <c r="J417">
        <v>387572</v>
      </c>
      <c r="K417">
        <v>20230922</v>
      </c>
      <c r="L417" t="s">
        <v>565</v>
      </c>
      <c r="M417">
        <v>126</v>
      </c>
      <c r="N417">
        <v>0</v>
      </c>
      <c r="O417" t="s">
        <v>19</v>
      </c>
      <c r="P417" t="s">
        <v>20</v>
      </c>
      <c r="Q417">
        <v>20230922</v>
      </c>
    </row>
    <row r="418" spans="1:17" x14ac:dyDescent="0.25">
      <c r="A418" t="s">
        <v>548</v>
      </c>
      <c r="B418" t="s">
        <v>429</v>
      </c>
      <c r="C418">
        <v>2</v>
      </c>
      <c r="D418">
        <v>20230925</v>
      </c>
      <c r="E418">
        <v>9</v>
      </c>
      <c r="F418">
        <v>411100</v>
      </c>
      <c r="G418" t="s">
        <v>18</v>
      </c>
      <c r="H418" t="s">
        <v>3216</v>
      </c>
      <c r="I418" t="s">
        <v>6308</v>
      </c>
      <c r="J418">
        <v>122070058</v>
      </c>
      <c r="K418">
        <v>20230925</v>
      </c>
      <c r="L418" t="s">
        <v>7005</v>
      </c>
      <c r="M418">
        <v>0</v>
      </c>
      <c r="N418">
        <v>30</v>
      </c>
      <c r="O418" t="s">
        <v>19</v>
      </c>
      <c r="P418" t="s">
        <v>20</v>
      </c>
      <c r="Q418">
        <v>20230925</v>
      </c>
    </row>
    <row r="419" spans="1:17" x14ac:dyDescent="0.25">
      <c r="A419" t="s">
        <v>548</v>
      </c>
      <c r="B419" t="s">
        <v>429</v>
      </c>
      <c r="C419">
        <v>2</v>
      </c>
      <c r="D419">
        <v>20230925</v>
      </c>
      <c r="E419">
        <v>9</v>
      </c>
      <c r="F419">
        <v>411020</v>
      </c>
      <c r="G419" t="s">
        <v>30</v>
      </c>
      <c r="H419" t="s">
        <v>338</v>
      </c>
      <c r="I419" t="s">
        <v>339</v>
      </c>
      <c r="J419">
        <v>387574</v>
      </c>
      <c r="K419">
        <v>20230925</v>
      </c>
      <c r="L419" t="s">
        <v>7004</v>
      </c>
      <c r="M419">
        <v>0</v>
      </c>
      <c r="N419">
        <v>10</v>
      </c>
      <c r="O419" t="s">
        <v>19</v>
      </c>
      <c r="P419" t="s">
        <v>20</v>
      </c>
      <c r="Q419">
        <v>20230925</v>
      </c>
    </row>
    <row r="420" spans="1:17" x14ac:dyDescent="0.25">
      <c r="A420" t="s">
        <v>548</v>
      </c>
      <c r="B420" t="s">
        <v>429</v>
      </c>
      <c r="C420">
        <v>2</v>
      </c>
      <c r="D420">
        <v>20230925</v>
      </c>
      <c r="E420">
        <v>9</v>
      </c>
      <c r="F420">
        <v>411100</v>
      </c>
      <c r="G420" t="s">
        <v>18</v>
      </c>
      <c r="H420" t="s">
        <v>277</v>
      </c>
      <c r="I420" t="s">
        <v>278</v>
      </c>
      <c r="J420">
        <v>387575</v>
      </c>
      <c r="K420">
        <v>20230925</v>
      </c>
      <c r="L420" t="s">
        <v>7003</v>
      </c>
      <c r="M420">
        <v>0</v>
      </c>
      <c r="N420">
        <v>10</v>
      </c>
      <c r="O420" t="s">
        <v>19</v>
      </c>
      <c r="P420" t="s">
        <v>20</v>
      </c>
      <c r="Q420">
        <v>20230925</v>
      </c>
    </row>
    <row r="421" spans="1:17" x14ac:dyDescent="0.25">
      <c r="A421" t="s">
        <v>548</v>
      </c>
      <c r="B421" t="s">
        <v>429</v>
      </c>
      <c r="C421">
        <v>2</v>
      </c>
      <c r="D421">
        <v>20230925</v>
      </c>
      <c r="E421">
        <v>9</v>
      </c>
      <c r="F421">
        <v>531105</v>
      </c>
      <c r="G421" t="s">
        <v>429</v>
      </c>
      <c r="H421" t="s">
        <v>401</v>
      </c>
      <c r="I421" t="s">
        <v>402</v>
      </c>
      <c r="J421">
        <v>387576</v>
      </c>
      <c r="K421">
        <v>20230925</v>
      </c>
      <c r="L421" t="s">
        <v>565</v>
      </c>
      <c r="M421">
        <v>50</v>
      </c>
      <c r="N421">
        <v>0</v>
      </c>
      <c r="O421" t="s">
        <v>19</v>
      </c>
      <c r="P421" t="s">
        <v>20</v>
      </c>
      <c r="Q421">
        <v>20230925</v>
      </c>
    </row>
    <row r="422" spans="1:17" x14ac:dyDescent="0.25">
      <c r="A422" t="s">
        <v>548</v>
      </c>
      <c r="B422" t="s">
        <v>429</v>
      </c>
      <c r="C422">
        <v>2</v>
      </c>
      <c r="D422">
        <v>20230926</v>
      </c>
      <c r="E422">
        <v>9</v>
      </c>
      <c r="F422">
        <v>411100</v>
      </c>
      <c r="G422" t="s">
        <v>18</v>
      </c>
      <c r="H422" t="s">
        <v>2282</v>
      </c>
      <c r="I422" t="s">
        <v>2283</v>
      </c>
      <c r="J422">
        <v>387577</v>
      </c>
      <c r="K422">
        <v>20230926</v>
      </c>
      <c r="L422" t="s">
        <v>7002</v>
      </c>
      <c r="M422">
        <v>0</v>
      </c>
      <c r="N422">
        <v>10</v>
      </c>
      <c r="O422" t="s">
        <v>19</v>
      </c>
      <c r="P422" t="s">
        <v>20</v>
      </c>
      <c r="Q422">
        <v>20230926</v>
      </c>
    </row>
    <row r="423" spans="1:17" x14ac:dyDescent="0.25">
      <c r="A423" t="s">
        <v>548</v>
      </c>
      <c r="B423" t="s">
        <v>429</v>
      </c>
      <c r="C423">
        <v>2</v>
      </c>
      <c r="D423">
        <v>20230926</v>
      </c>
      <c r="E423">
        <v>9</v>
      </c>
      <c r="F423">
        <v>411100</v>
      </c>
      <c r="G423" t="s">
        <v>18</v>
      </c>
      <c r="H423" t="s">
        <v>7001</v>
      </c>
      <c r="I423" t="s">
        <v>7000</v>
      </c>
      <c r="J423">
        <v>387578</v>
      </c>
      <c r="K423">
        <v>20230926</v>
      </c>
      <c r="L423" t="s">
        <v>6999</v>
      </c>
      <c r="M423">
        <v>0</v>
      </c>
      <c r="N423">
        <v>10</v>
      </c>
      <c r="O423" t="s">
        <v>19</v>
      </c>
      <c r="P423" t="s">
        <v>20</v>
      </c>
      <c r="Q423">
        <v>20230926</v>
      </c>
    </row>
    <row r="424" spans="1:17" x14ac:dyDescent="0.25">
      <c r="A424" t="s">
        <v>548</v>
      </c>
      <c r="B424" t="s">
        <v>429</v>
      </c>
      <c r="C424">
        <v>2</v>
      </c>
      <c r="D424">
        <v>20230926</v>
      </c>
      <c r="E424">
        <v>9</v>
      </c>
      <c r="F424">
        <v>531105</v>
      </c>
      <c r="G424" t="s">
        <v>429</v>
      </c>
      <c r="H424" t="s">
        <v>401</v>
      </c>
      <c r="I424" t="s">
        <v>402</v>
      </c>
      <c r="J424">
        <v>387579</v>
      </c>
      <c r="K424">
        <v>20230926</v>
      </c>
      <c r="L424" t="s">
        <v>565</v>
      </c>
      <c r="M424">
        <v>20</v>
      </c>
      <c r="N424">
        <v>0</v>
      </c>
      <c r="O424" t="s">
        <v>19</v>
      </c>
      <c r="P424" t="s">
        <v>20</v>
      </c>
      <c r="Q424">
        <v>20230926</v>
      </c>
    </row>
    <row r="425" spans="1:17" x14ac:dyDescent="0.25">
      <c r="A425" t="s">
        <v>548</v>
      </c>
      <c r="B425" t="s">
        <v>429</v>
      </c>
      <c r="C425">
        <v>2</v>
      </c>
      <c r="D425">
        <v>20230927</v>
      </c>
      <c r="E425">
        <v>9</v>
      </c>
      <c r="F425">
        <v>411100</v>
      </c>
      <c r="G425" t="s">
        <v>18</v>
      </c>
      <c r="H425" t="s">
        <v>6998</v>
      </c>
      <c r="I425" t="s">
        <v>6997</v>
      </c>
      <c r="J425">
        <v>387580</v>
      </c>
      <c r="K425">
        <v>20230927</v>
      </c>
      <c r="L425" t="s">
        <v>6996</v>
      </c>
      <c r="M425">
        <v>0</v>
      </c>
      <c r="N425">
        <v>13</v>
      </c>
      <c r="O425" t="s">
        <v>19</v>
      </c>
      <c r="P425" t="s">
        <v>20</v>
      </c>
      <c r="Q425">
        <v>20230927</v>
      </c>
    </row>
    <row r="426" spans="1:17" x14ac:dyDescent="0.25">
      <c r="A426" t="s">
        <v>548</v>
      </c>
      <c r="B426" t="s">
        <v>429</v>
      </c>
      <c r="C426">
        <v>2</v>
      </c>
      <c r="D426">
        <v>20230927</v>
      </c>
      <c r="E426">
        <v>9</v>
      </c>
      <c r="F426">
        <v>411100</v>
      </c>
      <c r="G426" t="s">
        <v>18</v>
      </c>
      <c r="H426" t="s">
        <v>6995</v>
      </c>
      <c r="I426" t="s">
        <v>6994</v>
      </c>
      <c r="J426">
        <v>387581</v>
      </c>
      <c r="K426">
        <v>20230927</v>
      </c>
      <c r="L426" t="s">
        <v>6993</v>
      </c>
      <c r="M426">
        <v>0</v>
      </c>
      <c r="N426">
        <v>13</v>
      </c>
      <c r="O426" t="s">
        <v>19</v>
      </c>
      <c r="P426" t="s">
        <v>20</v>
      </c>
      <c r="Q426">
        <v>20230927</v>
      </c>
    </row>
    <row r="427" spans="1:17" x14ac:dyDescent="0.25">
      <c r="A427" t="s">
        <v>548</v>
      </c>
      <c r="B427" t="s">
        <v>429</v>
      </c>
      <c r="C427">
        <v>2</v>
      </c>
      <c r="D427">
        <v>20230927</v>
      </c>
      <c r="E427">
        <v>9</v>
      </c>
      <c r="F427">
        <v>411100</v>
      </c>
      <c r="G427" t="s">
        <v>18</v>
      </c>
      <c r="H427" t="s">
        <v>6992</v>
      </c>
      <c r="I427" t="s">
        <v>6991</v>
      </c>
      <c r="J427">
        <v>387582</v>
      </c>
      <c r="K427">
        <v>20230927</v>
      </c>
      <c r="L427" t="s">
        <v>6990</v>
      </c>
      <c r="M427">
        <v>0</v>
      </c>
      <c r="N427">
        <v>22</v>
      </c>
      <c r="O427" t="s">
        <v>19</v>
      </c>
      <c r="P427" t="s">
        <v>20</v>
      </c>
      <c r="Q427">
        <v>20230927</v>
      </c>
    </row>
    <row r="428" spans="1:17" x14ac:dyDescent="0.25">
      <c r="A428" t="s">
        <v>548</v>
      </c>
      <c r="B428" t="s">
        <v>429</v>
      </c>
      <c r="C428">
        <v>2</v>
      </c>
      <c r="D428">
        <v>20230927</v>
      </c>
      <c r="E428">
        <v>9</v>
      </c>
      <c r="F428">
        <v>531105</v>
      </c>
      <c r="G428" t="s">
        <v>429</v>
      </c>
      <c r="H428" t="s">
        <v>401</v>
      </c>
      <c r="I428" t="s">
        <v>402</v>
      </c>
      <c r="J428">
        <v>387583</v>
      </c>
      <c r="K428">
        <v>20230927</v>
      </c>
      <c r="L428" t="s">
        <v>565</v>
      </c>
      <c r="M428">
        <v>48</v>
      </c>
      <c r="N428">
        <v>0</v>
      </c>
      <c r="O428" t="s">
        <v>19</v>
      </c>
      <c r="P428" t="s">
        <v>20</v>
      </c>
      <c r="Q428">
        <v>20230927</v>
      </c>
    </row>
    <row r="429" spans="1:17" x14ac:dyDescent="0.25">
      <c r="A429" t="s">
        <v>548</v>
      </c>
      <c r="B429" t="s">
        <v>429</v>
      </c>
      <c r="C429">
        <v>2</v>
      </c>
      <c r="D429">
        <v>20230928</v>
      </c>
      <c r="E429">
        <v>9</v>
      </c>
      <c r="F429">
        <v>411100</v>
      </c>
      <c r="G429" t="s">
        <v>18</v>
      </c>
      <c r="H429" t="s">
        <v>6989</v>
      </c>
      <c r="I429" t="s">
        <v>6988</v>
      </c>
      <c r="J429">
        <v>387584</v>
      </c>
      <c r="K429">
        <v>20230928</v>
      </c>
      <c r="L429" t="s">
        <v>6987</v>
      </c>
      <c r="M429">
        <v>0</v>
      </c>
      <c r="N429">
        <v>22</v>
      </c>
      <c r="O429" t="s">
        <v>19</v>
      </c>
      <c r="P429" t="s">
        <v>20</v>
      </c>
      <c r="Q429">
        <v>20230928</v>
      </c>
    </row>
    <row r="430" spans="1:17" x14ac:dyDescent="0.25">
      <c r="A430" t="s">
        <v>548</v>
      </c>
      <c r="B430" t="s">
        <v>429</v>
      </c>
      <c r="C430">
        <v>2</v>
      </c>
      <c r="D430">
        <v>20230928</v>
      </c>
      <c r="E430">
        <v>9</v>
      </c>
      <c r="F430">
        <v>531105</v>
      </c>
      <c r="G430" t="s">
        <v>429</v>
      </c>
      <c r="H430" t="s">
        <v>401</v>
      </c>
      <c r="I430" t="s">
        <v>402</v>
      </c>
      <c r="J430">
        <v>387585</v>
      </c>
      <c r="K430">
        <v>20230928</v>
      </c>
      <c r="L430" t="s">
        <v>565</v>
      </c>
      <c r="M430">
        <v>22</v>
      </c>
      <c r="N430">
        <v>0</v>
      </c>
      <c r="O430" t="s">
        <v>19</v>
      </c>
      <c r="P430" t="s">
        <v>20</v>
      </c>
      <c r="Q430">
        <v>20230928</v>
      </c>
    </row>
    <row r="431" spans="1:17" x14ac:dyDescent="0.25">
      <c r="A431" t="s">
        <v>548</v>
      </c>
      <c r="B431" t="s">
        <v>429</v>
      </c>
      <c r="C431">
        <v>2</v>
      </c>
      <c r="D431">
        <v>20230919</v>
      </c>
      <c r="E431">
        <v>9</v>
      </c>
      <c r="F431">
        <v>411100</v>
      </c>
      <c r="G431" t="s">
        <v>18</v>
      </c>
      <c r="H431" t="s">
        <v>2168</v>
      </c>
      <c r="I431" t="s">
        <v>2169</v>
      </c>
      <c r="J431">
        <v>223070026</v>
      </c>
      <c r="K431">
        <v>20230919</v>
      </c>
      <c r="L431" t="s">
        <v>6986</v>
      </c>
      <c r="M431">
        <v>0</v>
      </c>
      <c r="N431">
        <v>1.56</v>
      </c>
      <c r="O431" t="s">
        <v>19</v>
      </c>
      <c r="P431" t="s">
        <v>20</v>
      </c>
      <c r="Q431">
        <v>20230919</v>
      </c>
    </row>
    <row r="432" spans="1:17" x14ac:dyDescent="0.25">
      <c r="A432" t="s">
        <v>548</v>
      </c>
      <c r="B432" t="s">
        <v>429</v>
      </c>
      <c r="C432">
        <v>2</v>
      </c>
      <c r="D432">
        <v>20230919</v>
      </c>
      <c r="E432">
        <v>9</v>
      </c>
      <c r="F432">
        <v>531105</v>
      </c>
      <c r="G432" t="s">
        <v>429</v>
      </c>
      <c r="H432" t="s">
        <v>401</v>
      </c>
      <c r="I432" t="s">
        <v>402</v>
      </c>
      <c r="J432">
        <v>387693</v>
      </c>
      <c r="K432">
        <v>20230919</v>
      </c>
      <c r="L432" t="s">
        <v>565</v>
      </c>
      <c r="M432">
        <v>1.56</v>
      </c>
      <c r="N432">
        <v>0</v>
      </c>
      <c r="O432" t="s">
        <v>19</v>
      </c>
      <c r="P432" t="s">
        <v>20</v>
      </c>
      <c r="Q432">
        <v>20230919</v>
      </c>
    </row>
    <row r="433" spans="1:17" x14ac:dyDescent="0.25">
      <c r="A433" t="s">
        <v>548</v>
      </c>
      <c r="B433" t="s">
        <v>429</v>
      </c>
      <c r="C433">
        <v>2</v>
      </c>
      <c r="D433">
        <v>20230925</v>
      </c>
      <c r="E433">
        <v>9</v>
      </c>
      <c r="F433">
        <v>411100</v>
      </c>
      <c r="G433" t="s">
        <v>18</v>
      </c>
      <c r="H433" t="s">
        <v>3216</v>
      </c>
      <c r="I433" t="s">
        <v>6308</v>
      </c>
      <c r="J433">
        <v>323070024</v>
      </c>
      <c r="K433">
        <v>20230925</v>
      </c>
      <c r="L433" t="s">
        <v>6985</v>
      </c>
      <c r="M433">
        <v>0</v>
      </c>
      <c r="N433">
        <v>33.74</v>
      </c>
      <c r="O433" t="s">
        <v>19</v>
      </c>
      <c r="P433" t="s">
        <v>20</v>
      </c>
      <c r="Q433">
        <v>20230925</v>
      </c>
    </row>
    <row r="434" spans="1:17" x14ac:dyDescent="0.25">
      <c r="A434" t="s">
        <v>548</v>
      </c>
      <c r="B434" t="s">
        <v>429</v>
      </c>
      <c r="C434">
        <v>2</v>
      </c>
      <c r="D434">
        <v>20230925</v>
      </c>
      <c r="E434">
        <v>9</v>
      </c>
      <c r="F434">
        <v>531105</v>
      </c>
      <c r="G434" t="s">
        <v>429</v>
      </c>
      <c r="H434" t="s">
        <v>401</v>
      </c>
      <c r="I434" t="s">
        <v>402</v>
      </c>
      <c r="J434">
        <v>387695</v>
      </c>
      <c r="K434">
        <v>20230925</v>
      </c>
      <c r="L434" t="s">
        <v>565</v>
      </c>
      <c r="M434">
        <v>33.74</v>
      </c>
      <c r="N434">
        <v>0</v>
      </c>
      <c r="O434" t="s">
        <v>19</v>
      </c>
      <c r="P434" t="s">
        <v>20</v>
      </c>
      <c r="Q434">
        <v>20230925</v>
      </c>
    </row>
    <row r="435" spans="1:17" x14ac:dyDescent="0.25">
      <c r="A435" t="s">
        <v>548</v>
      </c>
      <c r="B435" t="s">
        <v>429</v>
      </c>
      <c r="C435">
        <v>2</v>
      </c>
      <c r="D435">
        <v>20230926</v>
      </c>
      <c r="E435">
        <v>9</v>
      </c>
      <c r="F435">
        <v>411100</v>
      </c>
      <c r="G435" t="s">
        <v>18</v>
      </c>
      <c r="H435" t="s">
        <v>3641</v>
      </c>
      <c r="I435" t="s">
        <v>3642</v>
      </c>
      <c r="J435">
        <v>323040018</v>
      </c>
      <c r="K435">
        <v>20230926</v>
      </c>
      <c r="L435" t="s">
        <v>6984</v>
      </c>
      <c r="M435">
        <v>0</v>
      </c>
      <c r="N435">
        <v>3.4</v>
      </c>
      <c r="O435" t="s">
        <v>19</v>
      </c>
      <c r="P435" t="s">
        <v>20</v>
      </c>
      <c r="Q435">
        <v>20230926</v>
      </c>
    </row>
    <row r="436" spans="1:17" x14ac:dyDescent="0.25">
      <c r="A436" t="s">
        <v>548</v>
      </c>
      <c r="B436" t="s">
        <v>429</v>
      </c>
      <c r="C436">
        <v>2</v>
      </c>
      <c r="D436">
        <v>20230926</v>
      </c>
      <c r="E436">
        <v>9</v>
      </c>
      <c r="F436">
        <v>531105</v>
      </c>
      <c r="G436" t="s">
        <v>429</v>
      </c>
      <c r="H436" t="s">
        <v>401</v>
      </c>
      <c r="I436" t="s">
        <v>402</v>
      </c>
      <c r="J436">
        <v>387697</v>
      </c>
      <c r="K436">
        <v>20230926</v>
      </c>
      <c r="L436" t="s">
        <v>565</v>
      </c>
      <c r="M436">
        <v>3.4</v>
      </c>
      <c r="N436">
        <v>0</v>
      </c>
      <c r="O436" t="s">
        <v>19</v>
      </c>
      <c r="P436" t="s">
        <v>20</v>
      </c>
      <c r="Q436">
        <v>20230926</v>
      </c>
    </row>
    <row r="437" spans="1:17" x14ac:dyDescent="0.25">
      <c r="A437" t="s">
        <v>548</v>
      </c>
      <c r="B437" t="s">
        <v>429</v>
      </c>
      <c r="C437">
        <v>2</v>
      </c>
      <c r="D437">
        <v>20230928</v>
      </c>
      <c r="E437">
        <v>9</v>
      </c>
      <c r="F437">
        <v>411100</v>
      </c>
      <c r="G437" t="s">
        <v>18</v>
      </c>
      <c r="H437" t="s">
        <v>2876</v>
      </c>
      <c r="I437" t="s">
        <v>2877</v>
      </c>
      <c r="J437">
        <v>389818</v>
      </c>
      <c r="K437">
        <v>20230928</v>
      </c>
      <c r="L437" t="s">
        <v>6983</v>
      </c>
      <c r="M437">
        <v>0</v>
      </c>
      <c r="N437">
        <v>22</v>
      </c>
      <c r="O437" t="s">
        <v>19</v>
      </c>
      <c r="P437" t="s">
        <v>20</v>
      </c>
      <c r="Q437">
        <v>20230928</v>
      </c>
    </row>
    <row r="438" spans="1:17" x14ac:dyDescent="0.25">
      <c r="A438" t="s">
        <v>548</v>
      </c>
      <c r="B438" t="s">
        <v>429</v>
      </c>
      <c r="C438">
        <v>2</v>
      </c>
      <c r="D438">
        <v>20230928</v>
      </c>
      <c r="E438">
        <v>9</v>
      </c>
      <c r="F438">
        <v>531105</v>
      </c>
      <c r="G438" t="s">
        <v>429</v>
      </c>
      <c r="H438" t="s">
        <v>401</v>
      </c>
      <c r="I438" t="s">
        <v>402</v>
      </c>
      <c r="J438">
        <v>389819</v>
      </c>
      <c r="K438">
        <v>20230928</v>
      </c>
      <c r="L438" t="s">
        <v>565</v>
      </c>
      <c r="M438">
        <v>22</v>
      </c>
      <c r="N438">
        <v>0</v>
      </c>
      <c r="O438" t="s">
        <v>19</v>
      </c>
      <c r="P438" t="s">
        <v>20</v>
      </c>
      <c r="Q438">
        <v>20230928</v>
      </c>
    </row>
    <row r="439" spans="1:17" x14ac:dyDescent="0.25">
      <c r="A439" t="s">
        <v>715</v>
      </c>
      <c r="B439" t="s">
        <v>432</v>
      </c>
      <c r="C439">
        <v>3</v>
      </c>
      <c r="D439">
        <v>20230904</v>
      </c>
      <c r="E439">
        <v>9</v>
      </c>
      <c r="F439">
        <v>401000</v>
      </c>
      <c r="G439" t="s">
        <v>41</v>
      </c>
      <c r="H439" t="s">
        <v>52</v>
      </c>
      <c r="I439" t="s">
        <v>53</v>
      </c>
      <c r="J439" t="s">
        <v>6982</v>
      </c>
      <c r="K439">
        <v>20230904</v>
      </c>
      <c r="L439" t="s">
        <v>6981</v>
      </c>
      <c r="M439">
        <v>68.59</v>
      </c>
      <c r="N439">
        <v>0</v>
      </c>
      <c r="O439" t="s">
        <v>19</v>
      </c>
      <c r="P439" t="s">
        <v>20</v>
      </c>
      <c r="Q439">
        <v>20230904</v>
      </c>
    </row>
    <row r="440" spans="1:17" x14ac:dyDescent="0.25">
      <c r="A440" t="s">
        <v>715</v>
      </c>
      <c r="B440" t="s">
        <v>432</v>
      </c>
      <c r="C440">
        <v>3</v>
      </c>
      <c r="D440">
        <v>20230904</v>
      </c>
      <c r="E440">
        <v>9</v>
      </c>
      <c r="F440">
        <v>512200</v>
      </c>
      <c r="G440" t="s">
        <v>432</v>
      </c>
      <c r="H440" t="s">
        <v>401</v>
      </c>
      <c r="I440" t="s">
        <v>402</v>
      </c>
      <c r="J440" t="s">
        <v>6982</v>
      </c>
      <c r="K440">
        <v>20230904</v>
      </c>
      <c r="L440" t="s">
        <v>6981</v>
      </c>
      <c r="M440">
        <v>0</v>
      </c>
      <c r="N440">
        <v>68.59</v>
      </c>
      <c r="O440" t="s">
        <v>19</v>
      </c>
      <c r="P440" t="s">
        <v>20</v>
      </c>
      <c r="Q440">
        <v>20230904</v>
      </c>
    </row>
    <row r="441" spans="1:17" x14ac:dyDescent="0.25">
      <c r="A441" t="s">
        <v>715</v>
      </c>
      <c r="B441" t="s">
        <v>432</v>
      </c>
      <c r="C441">
        <v>3</v>
      </c>
      <c r="D441">
        <v>20230904</v>
      </c>
      <c r="E441">
        <v>9</v>
      </c>
      <c r="F441">
        <v>401000</v>
      </c>
      <c r="G441" t="s">
        <v>41</v>
      </c>
      <c r="H441" t="s">
        <v>52</v>
      </c>
      <c r="I441" t="s">
        <v>53</v>
      </c>
      <c r="J441" t="s">
        <v>6980</v>
      </c>
      <c r="K441">
        <v>20230904</v>
      </c>
      <c r="L441" t="s">
        <v>6979</v>
      </c>
      <c r="M441">
        <v>413.28</v>
      </c>
      <c r="N441">
        <v>0</v>
      </c>
      <c r="O441" t="s">
        <v>19</v>
      </c>
      <c r="P441" t="s">
        <v>20</v>
      </c>
      <c r="Q441">
        <v>20230904</v>
      </c>
    </row>
    <row r="442" spans="1:17" x14ac:dyDescent="0.25">
      <c r="A442" t="s">
        <v>715</v>
      </c>
      <c r="B442" t="s">
        <v>432</v>
      </c>
      <c r="C442">
        <v>3</v>
      </c>
      <c r="D442">
        <v>20230904</v>
      </c>
      <c r="E442">
        <v>9</v>
      </c>
      <c r="F442">
        <v>512200</v>
      </c>
      <c r="G442" t="s">
        <v>432</v>
      </c>
      <c r="H442" t="s">
        <v>401</v>
      </c>
      <c r="I442" t="s">
        <v>402</v>
      </c>
      <c r="J442" t="s">
        <v>6980</v>
      </c>
      <c r="K442">
        <v>20230904</v>
      </c>
      <c r="L442" t="s">
        <v>6979</v>
      </c>
      <c r="M442">
        <v>0</v>
      </c>
      <c r="N442">
        <v>413.28</v>
      </c>
      <c r="O442" t="s">
        <v>19</v>
      </c>
      <c r="P442" t="s">
        <v>20</v>
      </c>
      <c r="Q442">
        <v>20230904</v>
      </c>
    </row>
    <row r="443" spans="1:17" x14ac:dyDescent="0.25">
      <c r="A443" t="s">
        <v>715</v>
      </c>
      <c r="B443" t="s">
        <v>432</v>
      </c>
      <c r="C443">
        <v>3</v>
      </c>
      <c r="D443">
        <v>20230905</v>
      </c>
      <c r="E443">
        <v>9</v>
      </c>
      <c r="F443">
        <v>401000</v>
      </c>
      <c r="G443" t="s">
        <v>41</v>
      </c>
      <c r="H443" t="s">
        <v>52</v>
      </c>
      <c r="I443" t="s">
        <v>53</v>
      </c>
      <c r="J443" t="s">
        <v>6978</v>
      </c>
      <c r="K443">
        <v>20230905</v>
      </c>
      <c r="L443" t="s">
        <v>6977</v>
      </c>
      <c r="M443">
        <v>62.4</v>
      </c>
      <c r="N443">
        <v>0</v>
      </c>
      <c r="O443" t="s">
        <v>19</v>
      </c>
      <c r="P443" t="s">
        <v>20</v>
      </c>
      <c r="Q443">
        <v>20230905</v>
      </c>
    </row>
    <row r="444" spans="1:17" x14ac:dyDescent="0.25">
      <c r="A444" t="s">
        <v>715</v>
      </c>
      <c r="B444" t="s">
        <v>432</v>
      </c>
      <c r="C444">
        <v>3</v>
      </c>
      <c r="D444">
        <v>20230905</v>
      </c>
      <c r="E444">
        <v>9</v>
      </c>
      <c r="F444">
        <v>512200</v>
      </c>
      <c r="G444" t="s">
        <v>432</v>
      </c>
      <c r="H444" t="s">
        <v>401</v>
      </c>
      <c r="I444" t="s">
        <v>402</v>
      </c>
      <c r="J444" t="s">
        <v>6978</v>
      </c>
      <c r="K444">
        <v>20230905</v>
      </c>
      <c r="L444" t="s">
        <v>6977</v>
      </c>
      <c r="M444">
        <v>0</v>
      </c>
      <c r="N444">
        <v>62.4</v>
      </c>
      <c r="O444" t="s">
        <v>19</v>
      </c>
      <c r="P444" t="s">
        <v>20</v>
      </c>
      <c r="Q444">
        <v>20230905</v>
      </c>
    </row>
    <row r="445" spans="1:17" x14ac:dyDescent="0.25">
      <c r="A445" t="s">
        <v>715</v>
      </c>
      <c r="B445" t="s">
        <v>432</v>
      </c>
      <c r="C445">
        <v>3</v>
      </c>
      <c r="D445">
        <v>20230906</v>
      </c>
      <c r="E445">
        <v>9</v>
      </c>
      <c r="F445">
        <v>401000</v>
      </c>
      <c r="G445" t="s">
        <v>41</v>
      </c>
      <c r="H445" t="s">
        <v>4469</v>
      </c>
      <c r="I445" t="s">
        <v>4470</v>
      </c>
      <c r="J445" t="s">
        <v>6976</v>
      </c>
      <c r="K445">
        <v>20230906</v>
      </c>
      <c r="L445" t="s">
        <v>6975</v>
      </c>
      <c r="M445">
        <v>149.79</v>
      </c>
      <c r="N445">
        <v>0</v>
      </c>
      <c r="O445" t="s">
        <v>19</v>
      </c>
      <c r="P445" t="s">
        <v>20</v>
      </c>
      <c r="Q445">
        <v>20230906</v>
      </c>
    </row>
    <row r="446" spans="1:17" x14ac:dyDescent="0.25">
      <c r="A446" t="s">
        <v>715</v>
      </c>
      <c r="B446" t="s">
        <v>432</v>
      </c>
      <c r="C446">
        <v>3</v>
      </c>
      <c r="D446">
        <v>20230906</v>
      </c>
      <c r="E446">
        <v>9</v>
      </c>
      <c r="F446">
        <v>512200</v>
      </c>
      <c r="G446" t="s">
        <v>432</v>
      </c>
      <c r="H446" t="s">
        <v>401</v>
      </c>
      <c r="I446" t="s">
        <v>402</v>
      </c>
      <c r="J446" t="s">
        <v>6976</v>
      </c>
      <c r="K446">
        <v>20230906</v>
      </c>
      <c r="L446" t="s">
        <v>6975</v>
      </c>
      <c r="M446">
        <v>0</v>
      </c>
      <c r="N446">
        <v>149.79</v>
      </c>
      <c r="O446" t="s">
        <v>19</v>
      </c>
      <c r="P446" t="s">
        <v>20</v>
      </c>
      <c r="Q446">
        <v>20230906</v>
      </c>
    </row>
    <row r="447" spans="1:17" x14ac:dyDescent="0.25">
      <c r="A447" t="s">
        <v>715</v>
      </c>
      <c r="B447" t="s">
        <v>432</v>
      </c>
      <c r="C447">
        <v>3</v>
      </c>
      <c r="D447">
        <v>20230907</v>
      </c>
      <c r="E447">
        <v>9</v>
      </c>
      <c r="F447">
        <v>401000</v>
      </c>
      <c r="G447" t="s">
        <v>41</v>
      </c>
      <c r="H447" t="s">
        <v>2049</v>
      </c>
      <c r="I447" t="s">
        <v>2050</v>
      </c>
      <c r="J447" t="s">
        <v>6974</v>
      </c>
      <c r="K447">
        <v>20230907</v>
      </c>
      <c r="L447" t="s">
        <v>6973</v>
      </c>
      <c r="M447">
        <v>248.93</v>
      </c>
      <c r="N447">
        <v>0</v>
      </c>
      <c r="O447" t="s">
        <v>19</v>
      </c>
      <c r="P447" t="s">
        <v>20</v>
      </c>
      <c r="Q447">
        <v>20230907</v>
      </c>
    </row>
    <row r="448" spans="1:17" x14ac:dyDescent="0.25">
      <c r="A448" t="s">
        <v>715</v>
      </c>
      <c r="B448" t="s">
        <v>432</v>
      </c>
      <c r="C448">
        <v>3</v>
      </c>
      <c r="D448">
        <v>20230907</v>
      </c>
      <c r="E448">
        <v>9</v>
      </c>
      <c r="F448">
        <v>512200</v>
      </c>
      <c r="G448" t="s">
        <v>432</v>
      </c>
      <c r="H448" t="s">
        <v>401</v>
      </c>
      <c r="I448" t="s">
        <v>402</v>
      </c>
      <c r="J448" t="s">
        <v>6974</v>
      </c>
      <c r="K448">
        <v>20230907</v>
      </c>
      <c r="L448" t="s">
        <v>6973</v>
      </c>
      <c r="M448">
        <v>0</v>
      </c>
      <c r="N448">
        <v>248.93</v>
      </c>
      <c r="O448" t="s">
        <v>19</v>
      </c>
      <c r="P448" t="s">
        <v>20</v>
      </c>
      <c r="Q448">
        <v>20230907</v>
      </c>
    </row>
    <row r="449" spans="1:17" x14ac:dyDescent="0.25">
      <c r="A449" t="s">
        <v>715</v>
      </c>
      <c r="B449" t="s">
        <v>432</v>
      </c>
      <c r="C449">
        <v>3</v>
      </c>
      <c r="D449">
        <v>20230908</v>
      </c>
      <c r="E449">
        <v>9</v>
      </c>
      <c r="F449">
        <v>471000</v>
      </c>
      <c r="G449" t="s">
        <v>4801</v>
      </c>
      <c r="H449" t="s">
        <v>401</v>
      </c>
      <c r="I449" t="s">
        <v>402</v>
      </c>
      <c r="J449" t="s">
        <v>6972</v>
      </c>
      <c r="K449">
        <v>20230908</v>
      </c>
      <c r="L449" t="s">
        <v>6971</v>
      </c>
      <c r="M449">
        <v>354.66</v>
      </c>
      <c r="N449">
        <v>0</v>
      </c>
      <c r="O449" t="s">
        <v>19</v>
      </c>
      <c r="P449" t="s">
        <v>20</v>
      </c>
      <c r="Q449">
        <v>20230908</v>
      </c>
    </row>
    <row r="450" spans="1:17" x14ac:dyDescent="0.25">
      <c r="A450" t="s">
        <v>715</v>
      </c>
      <c r="B450" t="s">
        <v>432</v>
      </c>
      <c r="C450">
        <v>3</v>
      </c>
      <c r="D450">
        <v>20230908</v>
      </c>
      <c r="E450">
        <v>9</v>
      </c>
      <c r="F450">
        <v>512200</v>
      </c>
      <c r="G450" t="s">
        <v>432</v>
      </c>
      <c r="H450" t="s">
        <v>401</v>
      </c>
      <c r="I450" t="s">
        <v>402</v>
      </c>
      <c r="J450" t="s">
        <v>6972</v>
      </c>
      <c r="K450">
        <v>20230908</v>
      </c>
      <c r="L450" t="s">
        <v>6971</v>
      </c>
      <c r="M450">
        <v>0</v>
      </c>
      <c r="N450">
        <v>354.66</v>
      </c>
      <c r="O450" t="s">
        <v>19</v>
      </c>
      <c r="P450" t="s">
        <v>20</v>
      </c>
      <c r="Q450">
        <v>20230908</v>
      </c>
    </row>
    <row r="451" spans="1:17" x14ac:dyDescent="0.25">
      <c r="A451" t="s">
        <v>715</v>
      </c>
      <c r="B451" t="s">
        <v>432</v>
      </c>
      <c r="C451">
        <v>3</v>
      </c>
      <c r="D451">
        <v>20230911</v>
      </c>
      <c r="E451">
        <v>9</v>
      </c>
      <c r="F451">
        <v>627000</v>
      </c>
      <c r="G451" t="s">
        <v>480</v>
      </c>
      <c r="H451" t="s">
        <v>401</v>
      </c>
      <c r="I451" t="s">
        <v>402</v>
      </c>
      <c r="J451" t="s">
        <v>6970</v>
      </c>
      <c r="K451">
        <v>20230911</v>
      </c>
      <c r="L451" t="s">
        <v>482</v>
      </c>
      <c r="M451">
        <v>15.98</v>
      </c>
      <c r="N451">
        <v>0</v>
      </c>
      <c r="O451" t="s">
        <v>19</v>
      </c>
      <c r="P451" t="s">
        <v>20</v>
      </c>
      <c r="Q451">
        <v>20230911</v>
      </c>
    </row>
    <row r="452" spans="1:17" x14ac:dyDescent="0.25">
      <c r="A452" t="s">
        <v>715</v>
      </c>
      <c r="B452" t="s">
        <v>432</v>
      </c>
      <c r="C452">
        <v>3</v>
      </c>
      <c r="D452">
        <v>20230911</v>
      </c>
      <c r="E452">
        <v>9</v>
      </c>
      <c r="F452">
        <v>512200</v>
      </c>
      <c r="G452" t="s">
        <v>432</v>
      </c>
      <c r="H452" t="s">
        <v>401</v>
      </c>
      <c r="I452" t="s">
        <v>402</v>
      </c>
      <c r="J452" t="s">
        <v>6970</v>
      </c>
      <c r="K452">
        <v>20230911</v>
      </c>
      <c r="L452" t="s">
        <v>482</v>
      </c>
      <c r="M452">
        <v>0</v>
      </c>
      <c r="N452">
        <v>15.98</v>
      </c>
      <c r="O452" t="s">
        <v>19</v>
      </c>
      <c r="P452" t="s">
        <v>20</v>
      </c>
      <c r="Q452">
        <v>20230911</v>
      </c>
    </row>
    <row r="453" spans="1:17" x14ac:dyDescent="0.25">
      <c r="A453" t="s">
        <v>715</v>
      </c>
      <c r="B453" t="s">
        <v>432</v>
      </c>
      <c r="C453">
        <v>3</v>
      </c>
      <c r="D453">
        <v>20230913</v>
      </c>
      <c r="E453">
        <v>9</v>
      </c>
      <c r="F453">
        <v>411020</v>
      </c>
      <c r="G453" t="s">
        <v>30</v>
      </c>
      <c r="H453" t="s">
        <v>275</v>
      </c>
      <c r="I453" t="s">
        <v>276</v>
      </c>
      <c r="J453" t="s">
        <v>6519</v>
      </c>
      <c r="K453">
        <v>20230913</v>
      </c>
      <c r="L453" t="s">
        <v>6969</v>
      </c>
      <c r="M453">
        <v>48.08</v>
      </c>
      <c r="N453">
        <v>0</v>
      </c>
      <c r="O453" t="s">
        <v>19</v>
      </c>
      <c r="P453" t="s">
        <v>20</v>
      </c>
      <c r="Q453">
        <v>20230913</v>
      </c>
    </row>
    <row r="454" spans="1:17" x14ac:dyDescent="0.25">
      <c r="A454" t="s">
        <v>715</v>
      </c>
      <c r="B454" t="s">
        <v>432</v>
      </c>
      <c r="C454">
        <v>3</v>
      </c>
      <c r="D454">
        <v>20230913</v>
      </c>
      <c r="E454">
        <v>9</v>
      </c>
      <c r="F454">
        <v>512200</v>
      </c>
      <c r="G454" t="s">
        <v>432</v>
      </c>
      <c r="H454" t="s">
        <v>401</v>
      </c>
      <c r="I454" t="s">
        <v>402</v>
      </c>
      <c r="J454" t="s">
        <v>6519</v>
      </c>
      <c r="K454">
        <v>20230913</v>
      </c>
      <c r="L454" t="s">
        <v>6968</v>
      </c>
      <c r="M454">
        <v>0</v>
      </c>
      <c r="N454">
        <v>48.08</v>
      </c>
      <c r="O454" t="s">
        <v>19</v>
      </c>
      <c r="P454" t="s">
        <v>20</v>
      </c>
      <c r="Q454">
        <v>20230913</v>
      </c>
    </row>
    <row r="455" spans="1:17" x14ac:dyDescent="0.25">
      <c r="A455" t="s">
        <v>715</v>
      </c>
      <c r="B455" t="s">
        <v>432</v>
      </c>
      <c r="C455">
        <v>3</v>
      </c>
      <c r="D455">
        <v>20230913</v>
      </c>
      <c r="E455">
        <v>9</v>
      </c>
      <c r="F455">
        <v>401000</v>
      </c>
      <c r="G455" t="s">
        <v>41</v>
      </c>
      <c r="H455" t="s">
        <v>1643</v>
      </c>
      <c r="I455" t="s">
        <v>1644</v>
      </c>
      <c r="J455" t="s">
        <v>6967</v>
      </c>
      <c r="K455">
        <v>20230913</v>
      </c>
      <c r="L455" t="s">
        <v>6964</v>
      </c>
      <c r="M455">
        <v>60</v>
      </c>
      <c r="N455">
        <v>0</v>
      </c>
      <c r="O455" t="s">
        <v>19</v>
      </c>
      <c r="P455" t="s">
        <v>20</v>
      </c>
      <c r="Q455">
        <v>20230913</v>
      </c>
    </row>
    <row r="456" spans="1:17" x14ac:dyDescent="0.25">
      <c r="A456" t="s">
        <v>715</v>
      </c>
      <c r="B456" t="s">
        <v>432</v>
      </c>
      <c r="C456">
        <v>3</v>
      </c>
      <c r="D456">
        <v>20230913</v>
      </c>
      <c r="E456">
        <v>9</v>
      </c>
      <c r="F456">
        <v>512200</v>
      </c>
      <c r="G456" t="s">
        <v>432</v>
      </c>
      <c r="H456" t="s">
        <v>401</v>
      </c>
      <c r="I456" t="s">
        <v>402</v>
      </c>
      <c r="J456" t="s">
        <v>6967</v>
      </c>
      <c r="K456">
        <v>20230913</v>
      </c>
      <c r="L456" t="s">
        <v>6964</v>
      </c>
      <c r="M456">
        <v>0</v>
      </c>
      <c r="N456">
        <v>60</v>
      </c>
      <c r="O456" t="s">
        <v>19</v>
      </c>
      <c r="P456" t="s">
        <v>20</v>
      </c>
      <c r="Q456">
        <v>20230913</v>
      </c>
    </row>
    <row r="457" spans="1:17" x14ac:dyDescent="0.25">
      <c r="A457" t="s">
        <v>715</v>
      </c>
      <c r="B457" t="s">
        <v>432</v>
      </c>
      <c r="C457">
        <v>3</v>
      </c>
      <c r="D457">
        <v>20230913</v>
      </c>
      <c r="E457">
        <v>9</v>
      </c>
      <c r="F457">
        <v>401000</v>
      </c>
      <c r="G457" t="s">
        <v>41</v>
      </c>
      <c r="H457" t="s">
        <v>1643</v>
      </c>
      <c r="I457" t="s">
        <v>1644</v>
      </c>
      <c r="J457" t="s">
        <v>6966</v>
      </c>
      <c r="K457">
        <v>20230913</v>
      </c>
      <c r="L457" t="s">
        <v>6964</v>
      </c>
      <c r="M457">
        <v>180</v>
      </c>
      <c r="N457">
        <v>0</v>
      </c>
      <c r="O457" t="s">
        <v>19</v>
      </c>
      <c r="P457" t="s">
        <v>20</v>
      </c>
      <c r="Q457">
        <v>20230913</v>
      </c>
    </row>
    <row r="458" spans="1:17" x14ac:dyDescent="0.25">
      <c r="A458" t="s">
        <v>715</v>
      </c>
      <c r="B458" t="s">
        <v>432</v>
      </c>
      <c r="C458">
        <v>3</v>
      </c>
      <c r="D458">
        <v>20230913</v>
      </c>
      <c r="E458">
        <v>9</v>
      </c>
      <c r="F458">
        <v>512200</v>
      </c>
      <c r="G458" t="s">
        <v>432</v>
      </c>
      <c r="H458" t="s">
        <v>401</v>
      </c>
      <c r="I458" t="s">
        <v>402</v>
      </c>
      <c r="J458" t="s">
        <v>6966</v>
      </c>
      <c r="K458">
        <v>20230913</v>
      </c>
      <c r="L458" t="s">
        <v>6964</v>
      </c>
      <c r="M458">
        <v>0</v>
      </c>
      <c r="N458">
        <v>180</v>
      </c>
      <c r="O458" t="s">
        <v>19</v>
      </c>
      <c r="P458" t="s">
        <v>20</v>
      </c>
      <c r="Q458">
        <v>20230913</v>
      </c>
    </row>
    <row r="459" spans="1:17" x14ac:dyDescent="0.25">
      <c r="A459" t="s">
        <v>715</v>
      </c>
      <c r="B459" t="s">
        <v>432</v>
      </c>
      <c r="C459">
        <v>3</v>
      </c>
      <c r="D459">
        <v>20230913</v>
      </c>
      <c r="E459">
        <v>9</v>
      </c>
      <c r="F459">
        <v>401000</v>
      </c>
      <c r="G459" t="s">
        <v>41</v>
      </c>
      <c r="H459" t="s">
        <v>1643</v>
      </c>
      <c r="I459" t="s">
        <v>1644</v>
      </c>
      <c r="J459" t="s">
        <v>6965</v>
      </c>
      <c r="K459">
        <v>20230913</v>
      </c>
      <c r="L459" t="s">
        <v>6964</v>
      </c>
      <c r="M459">
        <v>20</v>
      </c>
      <c r="N459">
        <v>0</v>
      </c>
      <c r="O459" t="s">
        <v>19</v>
      </c>
      <c r="P459" t="s">
        <v>20</v>
      </c>
      <c r="Q459">
        <v>20230913</v>
      </c>
    </row>
    <row r="460" spans="1:17" x14ac:dyDescent="0.25">
      <c r="A460" t="s">
        <v>715</v>
      </c>
      <c r="B460" t="s">
        <v>432</v>
      </c>
      <c r="C460">
        <v>3</v>
      </c>
      <c r="D460">
        <v>20230913</v>
      </c>
      <c r="E460">
        <v>9</v>
      </c>
      <c r="F460">
        <v>512200</v>
      </c>
      <c r="G460" t="s">
        <v>432</v>
      </c>
      <c r="H460" t="s">
        <v>401</v>
      </c>
      <c r="I460" t="s">
        <v>402</v>
      </c>
      <c r="J460" t="s">
        <v>6965</v>
      </c>
      <c r="K460">
        <v>20230913</v>
      </c>
      <c r="L460" t="s">
        <v>6964</v>
      </c>
      <c r="M460">
        <v>0</v>
      </c>
      <c r="N460">
        <v>20</v>
      </c>
      <c r="O460" t="s">
        <v>19</v>
      </c>
      <c r="P460" t="s">
        <v>20</v>
      </c>
      <c r="Q460">
        <v>20230913</v>
      </c>
    </row>
    <row r="461" spans="1:17" x14ac:dyDescent="0.25">
      <c r="A461" t="s">
        <v>715</v>
      </c>
      <c r="B461" t="s">
        <v>432</v>
      </c>
      <c r="C461">
        <v>3</v>
      </c>
      <c r="D461">
        <v>20230914</v>
      </c>
      <c r="E461">
        <v>9</v>
      </c>
      <c r="F461">
        <v>512200</v>
      </c>
      <c r="G461" t="s">
        <v>432</v>
      </c>
      <c r="H461" t="s">
        <v>401</v>
      </c>
      <c r="I461" t="s">
        <v>402</v>
      </c>
      <c r="J461" t="s">
        <v>6963</v>
      </c>
      <c r="K461">
        <v>20230914</v>
      </c>
      <c r="L461" t="s">
        <v>6962</v>
      </c>
      <c r="M461">
        <v>6927.84</v>
      </c>
      <c r="N461">
        <v>0</v>
      </c>
      <c r="O461" t="s">
        <v>19</v>
      </c>
      <c r="P461" t="s">
        <v>20</v>
      </c>
      <c r="Q461">
        <v>20230914</v>
      </c>
    </row>
    <row r="462" spans="1:17" x14ac:dyDescent="0.25">
      <c r="A462" t="s">
        <v>715</v>
      </c>
      <c r="B462" t="s">
        <v>432</v>
      </c>
      <c r="C462">
        <v>3</v>
      </c>
      <c r="D462">
        <v>20230914</v>
      </c>
      <c r="E462">
        <v>9</v>
      </c>
      <c r="F462">
        <v>511000</v>
      </c>
      <c r="G462" t="s">
        <v>431</v>
      </c>
      <c r="H462" t="s">
        <v>401</v>
      </c>
      <c r="I462" t="s">
        <v>402</v>
      </c>
      <c r="J462" t="s">
        <v>6963</v>
      </c>
      <c r="K462">
        <v>20230914</v>
      </c>
      <c r="L462" t="s">
        <v>6962</v>
      </c>
      <c r="M462">
        <v>0</v>
      </c>
      <c r="N462">
        <v>6927.84</v>
      </c>
      <c r="O462" t="s">
        <v>19</v>
      </c>
      <c r="P462" t="s">
        <v>20</v>
      </c>
      <c r="Q462">
        <v>20230914</v>
      </c>
    </row>
    <row r="463" spans="1:17" x14ac:dyDescent="0.25">
      <c r="A463" t="s">
        <v>715</v>
      </c>
      <c r="B463" t="s">
        <v>432</v>
      </c>
      <c r="C463">
        <v>3</v>
      </c>
      <c r="D463">
        <v>20230914</v>
      </c>
      <c r="E463">
        <v>9</v>
      </c>
      <c r="F463">
        <v>512200</v>
      </c>
      <c r="G463" t="s">
        <v>432</v>
      </c>
      <c r="H463" t="s">
        <v>401</v>
      </c>
      <c r="I463" t="s">
        <v>402</v>
      </c>
      <c r="J463" t="s">
        <v>6961</v>
      </c>
      <c r="K463">
        <v>20230914</v>
      </c>
      <c r="L463" t="s">
        <v>625</v>
      </c>
      <c r="M463">
        <v>4500</v>
      </c>
      <c r="N463">
        <v>0</v>
      </c>
      <c r="O463" t="s">
        <v>19</v>
      </c>
      <c r="P463" t="s">
        <v>20</v>
      </c>
      <c r="Q463">
        <v>20230914</v>
      </c>
    </row>
    <row r="464" spans="1:17" x14ac:dyDescent="0.25">
      <c r="A464" t="s">
        <v>715</v>
      </c>
      <c r="B464" t="s">
        <v>432</v>
      </c>
      <c r="C464">
        <v>3</v>
      </c>
      <c r="D464">
        <v>20230914</v>
      </c>
      <c r="E464">
        <v>9</v>
      </c>
      <c r="F464">
        <v>580000</v>
      </c>
      <c r="G464" t="s">
        <v>532</v>
      </c>
      <c r="H464" t="s">
        <v>401</v>
      </c>
      <c r="I464" t="s">
        <v>402</v>
      </c>
      <c r="J464" t="s">
        <v>6961</v>
      </c>
      <c r="K464">
        <v>20230914</v>
      </c>
      <c r="L464" t="s">
        <v>625</v>
      </c>
      <c r="M464">
        <v>0</v>
      </c>
      <c r="N464">
        <v>4500</v>
      </c>
      <c r="O464" t="s">
        <v>22</v>
      </c>
      <c r="P464">
        <v>20230915</v>
      </c>
      <c r="Q464">
        <v>20230914</v>
      </c>
    </row>
    <row r="465" spans="1:17" x14ac:dyDescent="0.25">
      <c r="A465" t="s">
        <v>715</v>
      </c>
      <c r="B465" t="s">
        <v>432</v>
      </c>
      <c r="C465">
        <v>3</v>
      </c>
      <c r="D465">
        <v>20230915</v>
      </c>
      <c r="E465">
        <v>9</v>
      </c>
      <c r="F465">
        <v>471000</v>
      </c>
      <c r="G465" t="s">
        <v>4801</v>
      </c>
      <c r="H465" t="s">
        <v>401</v>
      </c>
      <c r="I465" t="s">
        <v>402</v>
      </c>
      <c r="J465" t="s">
        <v>6960</v>
      </c>
      <c r="K465">
        <v>20230915</v>
      </c>
      <c r="L465" t="s">
        <v>6959</v>
      </c>
      <c r="M465">
        <v>74</v>
      </c>
      <c r="N465">
        <v>0</v>
      </c>
      <c r="O465" t="s">
        <v>19</v>
      </c>
      <c r="P465" t="s">
        <v>20</v>
      </c>
      <c r="Q465">
        <v>20230915</v>
      </c>
    </row>
    <row r="466" spans="1:17" x14ac:dyDescent="0.25">
      <c r="A466" t="s">
        <v>715</v>
      </c>
      <c r="B466" t="s">
        <v>432</v>
      </c>
      <c r="C466">
        <v>3</v>
      </c>
      <c r="D466">
        <v>20230915</v>
      </c>
      <c r="E466">
        <v>9</v>
      </c>
      <c r="F466">
        <v>512200</v>
      </c>
      <c r="G466" t="s">
        <v>432</v>
      </c>
      <c r="H466" t="s">
        <v>401</v>
      </c>
      <c r="I466" t="s">
        <v>402</v>
      </c>
      <c r="J466" t="s">
        <v>6960</v>
      </c>
      <c r="K466">
        <v>20230915</v>
      </c>
      <c r="L466" t="s">
        <v>6959</v>
      </c>
      <c r="M466">
        <v>0</v>
      </c>
      <c r="N466">
        <v>74</v>
      </c>
      <c r="O466" t="s">
        <v>19</v>
      </c>
      <c r="P466" t="s">
        <v>20</v>
      </c>
      <c r="Q466">
        <v>20230915</v>
      </c>
    </row>
    <row r="467" spans="1:17" x14ac:dyDescent="0.25">
      <c r="A467" t="s">
        <v>715</v>
      </c>
      <c r="B467" t="s">
        <v>432</v>
      </c>
      <c r="C467">
        <v>3</v>
      </c>
      <c r="D467">
        <v>20230918</v>
      </c>
      <c r="E467">
        <v>9</v>
      </c>
      <c r="F467">
        <v>401000</v>
      </c>
      <c r="G467" t="s">
        <v>41</v>
      </c>
      <c r="H467" t="s">
        <v>52</v>
      </c>
      <c r="I467" t="s">
        <v>53</v>
      </c>
      <c r="J467" t="s">
        <v>6958</v>
      </c>
      <c r="K467">
        <v>20230918</v>
      </c>
      <c r="L467" t="s">
        <v>6957</v>
      </c>
      <c r="M467">
        <v>66</v>
      </c>
      <c r="N467">
        <v>0</v>
      </c>
      <c r="O467" t="s">
        <v>19</v>
      </c>
      <c r="P467" t="s">
        <v>20</v>
      </c>
      <c r="Q467">
        <v>20230918</v>
      </c>
    </row>
    <row r="468" spans="1:17" x14ac:dyDescent="0.25">
      <c r="A468" t="s">
        <v>715</v>
      </c>
      <c r="B468" t="s">
        <v>432</v>
      </c>
      <c r="C468">
        <v>3</v>
      </c>
      <c r="D468">
        <v>20230918</v>
      </c>
      <c r="E468">
        <v>9</v>
      </c>
      <c r="F468">
        <v>512200</v>
      </c>
      <c r="G468" t="s">
        <v>432</v>
      </c>
      <c r="H468" t="s">
        <v>401</v>
      </c>
      <c r="I468" t="s">
        <v>402</v>
      </c>
      <c r="J468" t="s">
        <v>6958</v>
      </c>
      <c r="K468">
        <v>20230918</v>
      </c>
      <c r="L468" t="s">
        <v>6957</v>
      </c>
      <c r="M468">
        <v>0</v>
      </c>
      <c r="N468">
        <v>66</v>
      </c>
      <c r="O468" t="s">
        <v>19</v>
      </c>
      <c r="P468" t="s">
        <v>20</v>
      </c>
      <c r="Q468">
        <v>20230918</v>
      </c>
    </row>
    <row r="469" spans="1:17" x14ac:dyDescent="0.25">
      <c r="A469" t="s">
        <v>715</v>
      </c>
      <c r="B469" t="s">
        <v>432</v>
      </c>
      <c r="C469">
        <v>3</v>
      </c>
      <c r="D469">
        <v>20230918</v>
      </c>
      <c r="E469">
        <v>9</v>
      </c>
      <c r="F469">
        <v>401000</v>
      </c>
      <c r="G469" t="s">
        <v>41</v>
      </c>
      <c r="H469" t="s">
        <v>6956</v>
      </c>
      <c r="I469" t="s">
        <v>6955</v>
      </c>
      <c r="J469" t="s">
        <v>6954</v>
      </c>
      <c r="K469">
        <v>20230918</v>
      </c>
      <c r="L469" t="s">
        <v>6953</v>
      </c>
      <c r="M469">
        <v>714.05</v>
      </c>
      <c r="N469">
        <v>0</v>
      </c>
      <c r="O469" t="s">
        <v>19</v>
      </c>
      <c r="P469" t="s">
        <v>20</v>
      </c>
      <c r="Q469">
        <v>20230918</v>
      </c>
    </row>
    <row r="470" spans="1:17" x14ac:dyDescent="0.25">
      <c r="A470" t="s">
        <v>715</v>
      </c>
      <c r="B470" t="s">
        <v>432</v>
      </c>
      <c r="C470">
        <v>3</v>
      </c>
      <c r="D470">
        <v>20230918</v>
      </c>
      <c r="E470">
        <v>9</v>
      </c>
      <c r="F470">
        <v>512200</v>
      </c>
      <c r="G470" t="s">
        <v>432</v>
      </c>
      <c r="H470" t="s">
        <v>401</v>
      </c>
      <c r="I470" t="s">
        <v>402</v>
      </c>
      <c r="J470" t="s">
        <v>6954</v>
      </c>
      <c r="K470">
        <v>20230918</v>
      </c>
      <c r="L470" t="s">
        <v>6953</v>
      </c>
      <c r="M470">
        <v>0</v>
      </c>
      <c r="N470">
        <v>714.05</v>
      </c>
      <c r="O470" t="s">
        <v>19</v>
      </c>
      <c r="P470" t="s">
        <v>20</v>
      </c>
      <c r="Q470">
        <v>20230918</v>
      </c>
    </row>
    <row r="471" spans="1:17" x14ac:dyDescent="0.25">
      <c r="A471" t="s">
        <v>715</v>
      </c>
      <c r="B471" t="s">
        <v>432</v>
      </c>
      <c r="C471">
        <v>3</v>
      </c>
      <c r="D471">
        <v>20230918</v>
      </c>
      <c r="E471">
        <v>9</v>
      </c>
      <c r="F471">
        <v>401000</v>
      </c>
      <c r="G471" t="s">
        <v>41</v>
      </c>
      <c r="H471" t="s">
        <v>6952</v>
      </c>
      <c r="I471" t="s">
        <v>6951</v>
      </c>
      <c r="J471" t="s">
        <v>6950</v>
      </c>
      <c r="K471">
        <v>20230918</v>
      </c>
      <c r="L471" t="s">
        <v>6949</v>
      </c>
      <c r="M471">
        <v>890.81</v>
      </c>
      <c r="N471">
        <v>0</v>
      </c>
      <c r="O471" t="s">
        <v>19</v>
      </c>
      <c r="P471" t="s">
        <v>20</v>
      </c>
      <c r="Q471">
        <v>20230918</v>
      </c>
    </row>
    <row r="472" spans="1:17" x14ac:dyDescent="0.25">
      <c r="A472" t="s">
        <v>715</v>
      </c>
      <c r="B472" t="s">
        <v>432</v>
      </c>
      <c r="C472">
        <v>3</v>
      </c>
      <c r="D472">
        <v>20230918</v>
      </c>
      <c r="E472">
        <v>9</v>
      </c>
      <c r="F472">
        <v>512200</v>
      </c>
      <c r="G472" t="s">
        <v>432</v>
      </c>
      <c r="H472" t="s">
        <v>401</v>
      </c>
      <c r="I472" t="s">
        <v>402</v>
      </c>
      <c r="J472" t="s">
        <v>6950</v>
      </c>
      <c r="K472">
        <v>20230918</v>
      </c>
      <c r="L472" t="s">
        <v>6949</v>
      </c>
      <c r="M472">
        <v>0</v>
      </c>
      <c r="N472">
        <v>890.81</v>
      </c>
      <c r="O472" t="s">
        <v>19</v>
      </c>
      <c r="P472" t="s">
        <v>20</v>
      </c>
      <c r="Q472">
        <v>20230918</v>
      </c>
    </row>
    <row r="473" spans="1:17" x14ac:dyDescent="0.25">
      <c r="A473" t="s">
        <v>715</v>
      </c>
      <c r="B473" t="s">
        <v>432</v>
      </c>
      <c r="C473">
        <v>3</v>
      </c>
      <c r="D473">
        <v>20230918</v>
      </c>
      <c r="E473">
        <v>9</v>
      </c>
      <c r="F473">
        <v>401000</v>
      </c>
      <c r="G473" t="s">
        <v>41</v>
      </c>
      <c r="H473" t="s">
        <v>6066</v>
      </c>
      <c r="I473" t="s">
        <v>6067</v>
      </c>
      <c r="J473" t="s">
        <v>6948</v>
      </c>
      <c r="K473">
        <v>20230918</v>
      </c>
      <c r="L473" t="s">
        <v>6069</v>
      </c>
      <c r="M473">
        <v>20.72</v>
      </c>
      <c r="N473">
        <v>0</v>
      </c>
      <c r="O473" t="s">
        <v>19</v>
      </c>
      <c r="P473" t="s">
        <v>20</v>
      </c>
      <c r="Q473">
        <v>20230918</v>
      </c>
    </row>
    <row r="474" spans="1:17" x14ac:dyDescent="0.25">
      <c r="A474" t="s">
        <v>715</v>
      </c>
      <c r="B474" t="s">
        <v>432</v>
      </c>
      <c r="C474">
        <v>3</v>
      </c>
      <c r="D474">
        <v>20230918</v>
      </c>
      <c r="E474">
        <v>9</v>
      </c>
      <c r="F474">
        <v>512200</v>
      </c>
      <c r="G474" t="s">
        <v>432</v>
      </c>
      <c r="H474" t="s">
        <v>401</v>
      </c>
      <c r="I474" t="s">
        <v>402</v>
      </c>
      <c r="J474" t="s">
        <v>6948</v>
      </c>
      <c r="K474">
        <v>20230918</v>
      </c>
      <c r="L474" t="s">
        <v>6069</v>
      </c>
      <c r="M474">
        <v>0</v>
      </c>
      <c r="N474">
        <v>20.72</v>
      </c>
      <c r="O474" t="s">
        <v>19</v>
      </c>
      <c r="P474" t="s">
        <v>20</v>
      </c>
      <c r="Q474">
        <v>20230918</v>
      </c>
    </row>
    <row r="475" spans="1:17" x14ac:dyDescent="0.25">
      <c r="A475" t="s">
        <v>715</v>
      </c>
      <c r="B475" t="s">
        <v>432</v>
      </c>
      <c r="C475">
        <v>3</v>
      </c>
      <c r="D475">
        <v>20230928</v>
      </c>
      <c r="E475">
        <v>9</v>
      </c>
      <c r="F475">
        <v>512200</v>
      </c>
      <c r="G475" t="s">
        <v>432</v>
      </c>
      <c r="H475" t="s">
        <v>401</v>
      </c>
      <c r="I475" t="s">
        <v>402</v>
      </c>
      <c r="J475" t="s">
        <v>6947</v>
      </c>
      <c r="K475">
        <v>20230928</v>
      </c>
      <c r="L475" t="s">
        <v>6946</v>
      </c>
      <c r="M475">
        <v>4383.18</v>
      </c>
      <c r="N475">
        <v>0</v>
      </c>
      <c r="O475" t="s">
        <v>19</v>
      </c>
      <c r="P475" t="s">
        <v>20</v>
      </c>
      <c r="Q475">
        <v>20230928</v>
      </c>
    </row>
    <row r="476" spans="1:17" x14ac:dyDescent="0.25">
      <c r="A476" t="s">
        <v>715</v>
      </c>
      <c r="B476" t="s">
        <v>432</v>
      </c>
      <c r="C476">
        <v>3</v>
      </c>
      <c r="D476">
        <v>20230928</v>
      </c>
      <c r="E476">
        <v>9</v>
      </c>
      <c r="F476">
        <v>511000</v>
      </c>
      <c r="G476" t="s">
        <v>431</v>
      </c>
      <c r="H476" t="s">
        <v>401</v>
      </c>
      <c r="I476" t="s">
        <v>402</v>
      </c>
      <c r="J476" t="s">
        <v>6947</v>
      </c>
      <c r="K476">
        <v>20230928</v>
      </c>
      <c r="L476" t="s">
        <v>6946</v>
      </c>
      <c r="M476">
        <v>0</v>
      </c>
      <c r="N476">
        <v>4383.18</v>
      </c>
      <c r="O476" t="s">
        <v>19</v>
      </c>
      <c r="P476" t="s">
        <v>20</v>
      </c>
      <c r="Q476">
        <v>20230928</v>
      </c>
    </row>
    <row r="477" spans="1:17" x14ac:dyDescent="0.25">
      <c r="A477" t="s">
        <v>715</v>
      </c>
      <c r="B477" t="s">
        <v>432</v>
      </c>
      <c r="C477">
        <v>3</v>
      </c>
      <c r="D477">
        <v>20230913</v>
      </c>
      <c r="E477">
        <v>9</v>
      </c>
      <c r="F477">
        <v>411100</v>
      </c>
      <c r="G477" t="s">
        <v>18</v>
      </c>
      <c r="H477" t="s">
        <v>179</v>
      </c>
      <c r="I477" t="s">
        <v>180</v>
      </c>
      <c r="J477">
        <v>385920</v>
      </c>
      <c r="K477">
        <v>20230913</v>
      </c>
      <c r="L477" t="s">
        <v>6945</v>
      </c>
      <c r="M477">
        <v>79.8</v>
      </c>
      <c r="N477">
        <v>0</v>
      </c>
      <c r="O477" t="s">
        <v>19</v>
      </c>
      <c r="P477" t="s">
        <v>20</v>
      </c>
      <c r="Q477">
        <v>20230913</v>
      </c>
    </row>
    <row r="478" spans="1:17" x14ac:dyDescent="0.25">
      <c r="A478" t="s">
        <v>715</v>
      </c>
      <c r="B478" t="s">
        <v>432</v>
      </c>
      <c r="C478">
        <v>3</v>
      </c>
      <c r="D478">
        <v>20230913</v>
      </c>
      <c r="E478">
        <v>9</v>
      </c>
      <c r="F478">
        <v>411100</v>
      </c>
      <c r="G478" t="s">
        <v>18</v>
      </c>
      <c r="H478" t="s">
        <v>179</v>
      </c>
      <c r="I478" t="s">
        <v>180</v>
      </c>
      <c r="J478">
        <v>385921</v>
      </c>
      <c r="K478">
        <v>20230913</v>
      </c>
      <c r="L478" t="s">
        <v>6944</v>
      </c>
      <c r="M478">
        <v>79.8</v>
      </c>
      <c r="N478">
        <v>0</v>
      </c>
      <c r="O478" t="s">
        <v>19</v>
      </c>
      <c r="P478" t="s">
        <v>20</v>
      </c>
      <c r="Q478">
        <v>20230913</v>
      </c>
    </row>
    <row r="479" spans="1:17" x14ac:dyDescent="0.25">
      <c r="A479" t="s">
        <v>715</v>
      </c>
      <c r="B479" t="s">
        <v>432</v>
      </c>
      <c r="C479">
        <v>3</v>
      </c>
      <c r="D479">
        <v>20230913</v>
      </c>
      <c r="E479">
        <v>9</v>
      </c>
      <c r="F479">
        <v>411100</v>
      </c>
      <c r="G479" t="s">
        <v>18</v>
      </c>
      <c r="H479" t="s">
        <v>179</v>
      </c>
      <c r="I479" t="s">
        <v>180</v>
      </c>
      <c r="J479">
        <v>385922</v>
      </c>
      <c r="K479">
        <v>20230913</v>
      </c>
      <c r="L479" t="s">
        <v>6943</v>
      </c>
      <c r="M479">
        <v>79.8</v>
      </c>
      <c r="N479">
        <v>0</v>
      </c>
      <c r="O479" t="s">
        <v>19</v>
      </c>
      <c r="P479" t="s">
        <v>20</v>
      </c>
      <c r="Q479">
        <v>20230913</v>
      </c>
    </row>
    <row r="480" spans="1:17" x14ac:dyDescent="0.25">
      <c r="A480" t="s">
        <v>715</v>
      </c>
      <c r="B480" t="s">
        <v>432</v>
      </c>
      <c r="C480">
        <v>3</v>
      </c>
      <c r="D480">
        <v>20230913</v>
      </c>
      <c r="E480">
        <v>9</v>
      </c>
      <c r="F480">
        <v>512200</v>
      </c>
      <c r="G480" t="s">
        <v>432</v>
      </c>
      <c r="H480" t="s">
        <v>401</v>
      </c>
      <c r="I480" t="s">
        <v>402</v>
      </c>
      <c r="J480">
        <v>385923</v>
      </c>
      <c r="K480">
        <v>20230913</v>
      </c>
      <c r="L480" t="s">
        <v>1607</v>
      </c>
      <c r="M480">
        <v>0</v>
      </c>
      <c r="N480">
        <v>239.4</v>
      </c>
      <c r="O480" t="s">
        <v>19</v>
      </c>
      <c r="P480" t="s">
        <v>20</v>
      </c>
      <c r="Q480">
        <v>20230913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40"/>
  <sheetViews>
    <sheetView topLeftCell="A408" workbookViewId="0">
      <selection activeCell="E440" sqref="E440"/>
    </sheetView>
  </sheetViews>
  <sheetFormatPr baseColWidth="10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476</v>
      </c>
      <c r="B2" t="s">
        <v>477</v>
      </c>
      <c r="C2">
        <v>1</v>
      </c>
      <c r="D2">
        <v>20231002</v>
      </c>
      <c r="E2">
        <v>10</v>
      </c>
      <c r="F2">
        <v>421000</v>
      </c>
      <c r="G2" t="s">
        <v>403</v>
      </c>
      <c r="H2" t="s">
        <v>401</v>
      </c>
      <c r="I2" t="s">
        <v>402</v>
      </c>
      <c r="J2" t="s">
        <v>7722</v>
      </c>
      <c r="K2">
        <v>20231002</v>
      </c>
      <c r="L2" t="s">
        <v>922</v>
      </c>
      <c r="M2">
        <v>813.48</v>
      </c>
      <c r="N2">
        <v>0</v>
      </c>
      <c r="O2" t="s">
        <v>19</v>
      </c>
      <c r="P2" t="s">
        <v>20</v>
      </c>
      <c r="Q2">
        <v>20231002</v>
      </c>
    </row>
    <row r="3" spans="1:19" x14ac:dyDescent="0.25">
      <c r="A3" t="s">
        <v>476</v>
      </c>
      <c r="B3" t="s">
        <v>477</v>
      </c>
      <c r="C3">
        <v>1</v>
      </c>
      <c r="D3">
        <v>20231002</v>
      </c>
      <c r="E3">
        <v>10</v>
      </c>
      <c r="F3">
        <v>512000</v>
      </c>
      <c r="G3" t="s">
        <v>428</v>
      </c>
      <c r="H3" t="s">
        <v>401</v>
      </c>
      <c r="I3" t="s">
        <v>402</v>
      </c>
      <c r="J3" t="s">
        <v>7722</v>
      </c>
      <c r="K3">
        <v>20231002</v>
      </c>
      <c r="L3" t="s">
        <v>922</v>
      </c>
      <c r="M3">
        <v>0</v>
      </c>
      <c r="N3">
        <v>813.48</v>
      </c>
      <c r="O3" t="s">
        <v>19</v>
      </c>
      <c r="P3" t="s">
        <v>20</v>
      </c>
      <c r="Q3">
        <v>20231002</v>
      </c>
    </row>
    <row r="4" spans="1:19" x14ac:dyDescent="0.25">
      <c r="A4" t="s">
        <v>476</v>
      </c>
      <c r="B4" t="s">
        <v>477</v>
      </c>
      <c r="C4">
        <v>1</v>
      </c>
      <c r="D4">
        <v>20231002</v>
      </c>
      <c r="E4">
        <v>10</v>
      </c>
      <c r="F4">
        <v>627000</v>
      </c>
      <c r="G4" t="s">
        <v>480</v>
      </c>
      <c r="H4" t="s">
        <v>401</v>
      </c>
      <c r="I4" t="s">
        <v>402</v>
      </c>
      <c r="J4" t="s">
        <v>7721</v>
      </c>
      <c r="K4">
        <v>20231002</v>
      </c>
      <c r="L4" t="s">
        <v>4488</v>
      </c>
      <c r="M4">
        <v>7.5</v>
      </c>
      <c r="N4">
        <v>0</v>
      </c>
      <c r="O4" t="s">
        <v>19</v>
      </c>
      <c r="P4" t="s">
        <v>20</v>
      </c>
      <c r="Q4">
        <v>20231002</v>
      </c>
    </row>
    <row r="5" spans="1:19" x14ac:dyDescent="0.25">
      <c r="A5" t="s">
        <v>476</v>
      </c>
      <c r="B5" t="s">
        <v>477</v>
      </c>
      <c r="C5">
        <v>1</v>
      </c>
      <c r="D5">
        <v>20231002</v>
      </c>
      <c r="E5">
        <v>10</v>
      </c>
      <c r="F5">
        <v>512000</v>
      </c>
      <c r="G5" t="s">
        <v>428</v>
      </c>
      <c r="H5" t="s">
        <v>401</v>
      </c>
      <c r="I5" t="s">
        <v>402</v>
      </c>
      <c r="J5" t="s">
        <v>7721</v>
      </c>
      <c r="K5">
        <v>20231002</v>
      </c>
      <c r="L5" t="s">
        <v>4488</v>
      </c>
      <c r="M5">
        <v>0</v>
      </c>
      <c r="N5">
        <v>7.5</v>
      </c>
      <c r="O5" t="s">
        <v>19</v>
      </c>
      <c r="P5" t="s">
        <v>20</v>
      </c>
      <c r="Q5">
        <v>20231002</v>
      </c>
    </row>
    <row r="6" spans="1:19" x14ac:dyDescent="0.25">
      <c r="A6" t="s">
        <v>476</v>
      </c>
      <c r="B6" t="s">
        <v>477</v>
      </c>
      <c r="C6">
        <v>1</v>
      </c>
      <c r="D6">
        <v>20231003</v>
      </c>
      <c r="E6">
        <v>10</v>
      </c>
      <c r="F6">
        <v>627000</v>
      </c>
      <c r="G6" t="s">
        <v>480</v>
      </c>
      <c r="H6" t="s">
        <v>401</v>
      </c>
      <c r="I6" t="s">
        <v>402</v>
      </c>
      <c r="J6" t="s">
        <v>7720</v>
      </c>
      <c r="K6">
        <v>20231003</v>
      </c>
      <c r="L6" t="s">
        <v>4488</v>
      </c>
      <c r="M6">
        <v>55.67</v>
      </c>
      <c r="N6">
        <v>0</v>
      </c>
      <c r="O6" t="s">
        <v>19</v>
      </c>
      <c r="P6" t="s">
        <v>20</v>
      </c>
      <c r="Q6">
        <v>20231003</v>
      </c>
    </row>
    <row r="7" spans="1:19" x14ac:dyDescent="0.25">
      <c r="A7" t="s">
        <v>476</v>
      </c>
      <c r="B7" t="s">
        <v>477</v>
      </c>
      <c r="C7">
        <v>1</v>
      </c>
      <c r="D7">
        <v>20231003</v>
      </c>
      <c r="E7">
        <v>10</v>
      </c>
      <c r="F7">
        <v>512000</v>
      </c>
      <c r="G7" t="s">
        <v>428</v>
      </c>
      <c r="H7" t="s">
        <v>401</v>
      </c>
      <c r="I7" t="s">
        <v>402</v>
      </c>
      <c r="J7" t="s">
        <v>7720</v>
      </c>
      <c r="K7">
        <v>20231003</v>
      </c>
      <c r="L7" t="s">
        <v>4488</v>
      </c>
      <c r="M7">
        <v>0</v>
      </c>
      <c r="N7">
        <v>55.67</v>
      </c>
      <c r="O7" t="s">
        <v>19</v>
      </c>
      <c r="P7" t="s">
        <v>20</v>
      </c>
      <c r="Q7">
        <v>20231003</v>
      </c>
    </row>
    <row r="8" spans="1:19" x14ac:dyDescent="0.25">
      <c r="A8" t="s">
        <v>476</v>
      </c>
      <c r="B8" t="s">
        <v>477</v>
      </c>
      <c r="C8">
        <v>1</v>
      </c>
      <c r="D8">
        <v>20231003</v>
      </c>
      <c r="E8">
        <v>10</v>
      </c>
      <c r="F8">
        <v>468200</v>
      </c>
      <c r="G8" t="s">
        <v>421</v>
      </c>
      <c r="H8" t="s">
        <v>401</v>
      </c>
      <c r="I8" t="s">
        <v>402</v>
      </c>
      <c r="J8" t="s">
        <v>7719</v>
      </c>
      <c r="K8">
        <v>20231003</v>
      </c>
      <c r="L8" t="s">
        <v>422</v>
      </c>
      <c r="M8">
        <v>0</v>
      </c>
      <c r="N8">
        <v>404.32</v>
      </c>
      <c r="O8" t="s">
        <v>19</v>
      </c>
      <c r="P8" t="s">
        <v>20</v>
      </c>
      <c r="Q8">
        <v>20231003</v>
      </c>
    </row>
    <row r="9" spans="1:19" x14ac:dyDescent="0.25">
      <c r="A9" t="s">
        <v>476</v>
      </c>
      <c r="B9" t="s">
        <v>477</v>
      </c>
      <c r="C9">
        <v>1</v>
      </c>
      <c r="D9">
        <v>20231003</v>
      </c>
      <c r="E9">
        <v>10</v>
      </c>
      <c r="F9">
        <v>512000</v>
      </c>
      <c r="G9" t="s">
        <v>428</v>
      </c>
      <c r="H9" t="s">
        <v>401</v>
      </c>
      <c r="I9" t="s">
        <v>402</v>
      </c>
      <c r="J9" t="s">
        <v>7719</v>
      </c>
      <c r="K9">
        <v>20231003</v>
      </c>
      <c r="L9" t="s">
        <v>422</v>
      </c>
      <c r="M9">
        <v>404.32</v>
      </c>
      <c r="N9">
        <v>0</v>
      </c>
      <c r="O9" t="s">
        <v>19</v>
      </c>
      <c r="P9" t="s">
        <v>20</v>
      </c>
      <c r="Q9">
        <v>20231003</v>
      </c>
    </row>
    <row r="10" spans="1:19" x14ac:dyDescent="0.25">
      <c r="A10" t="s">
        <v>476</v>
      </c>
      <c r="B10" t="s">
        <v>477</v>
      </c>
      <c r="C10">
        <v>1</v>
      </c>
      <c r="D10">
        <v>20231003</v>
      </c>
      <c r="E10">
        <v>10</v>
      </c>
      <c r="F10">
        <v>627000</v>
      </c>
      <c r="G10" t="s">
        <v>480</v>
      </c>
      <c r="H10" t="s">
        <v>401</v>
      </c>
      <c r="I10" t="s">
        <v>402</v>
      </c>
      <c r="J10" t="s">
        <v>7718</v>
      </c>
      <c r="K10">
        <v>20231003</v>
      </c>
      <c r="L10" t="s">
        <v>4488</v>
      </c>
      <c r="M10">
        <v>49</v>
      </c>
      <c r="N10">
        <v>0</v>
      </c>
      <c r="O10" t="s">
        <v>19</v>
      </c>
      <c r="P10" t="s">
        <v>20</v>
      </c>
      <c r="Q10">
        <v>20231003</v>
      </c>
    </row>
    <row r="11" spans="1:19" x14ac:dyDescent="0.25">
      <c r="A11" t="s">
        <v>476</v>
      </c>
      <c r="B11" t="s">
        <v>477</v>
      </c>
      <c r="C11">
        <v>1</v>
      </c>
      <c r="D11">
        <v>20231003</v>
      </c>
      <c r="E11">
        <v>10</v>
      </c>
      <c r="F11">
        <v>512000</v>
      </c>
      <c r="G11" t="s">
        <v>428</v>
      </c>
      <c r="H11" t="s">
        <v>401</v>
      </c>
      <c r="I11" t="s">
        <v>402</v>
      </c>
      <c r="J11" t="s">
        <v>7718</v>
      </c>
      <c r="K11">
        <v>20231003</v>
      </c>
      <c r="L11" t="s">
        <v>4488</v>
      </c>
      <c r="M11">
        <v>0</v>
      </c>
      <c r="N11">
        <v>49</v>
      </c>
      <c r="O11" t="s">
        <v>19</v>
      </c>
      <c r="P11" t="s">
        <v>20</v>
      </c>
      <c r="Q11">
        <v>20231003</v>
      </c>
    </row>
    <row r="12" spans="1:19" x14ac:dyDescent="0.25">
      <c r="A12" t="s">
        <v>476</v>
      </c>
      <c r="B12" t="s">
        <v>477</v>
      </c>
      <c r="C12">
        <v>1</v>
      </c>
      <c r="D12">
        <v>20231003</v>
      </c>
      <c r="E12">
        <v>10</v>
      </c>
      <c r="F12">
        <v>627000</v>
      </c>
      <c r="G12" t="s">
        <v>480</v>
      </c>
      <c r="H12" t="s">
        <v>401</v>
      </c>
      <c r="I12" t="s">
        <v>402</v>
      </c>
      <c r="J12" t="s">
        <v>7717</v>
      </c>
      <c r="K12">
        <v>20231003</v>
      </c>
      <c r="L12" t="s">
        <v>4488</v>
      </c>
      <c r="M12">
        <v>9.75</v>
      </c>
      <c r="N12">
        <v>0</v>
      </c>
      <c r="O12" t="s">
        <v>19</v>
      </c>
      <c r="P12" t="s">
        <v>20</v>
      </c>
      <c r="Q12">
        <v>20231003</v>
      </c>
    </row>
    <row r="13" spans="1:19" x14ac:dyDescent="0.25">
      <c r="A13" t="s">
        <v>476</v>
      </c>
      <c r="B13" t="s">
        <v>477</v>
      </c>
      <c r="C13">
        <v>1</v>
      </c>
      <c r="D13">
        <v>20231003</v>
      </c>
      <c r="E13">
        <v>10</v>
      </c>
      <c r="F13">
        <v>512000</v>
      </c>
      <c r="G13" t="s">
        <v>428</v>
      </c>
      <c r="H13" t="s">
        <v>401</v>
      </c>
      <c r="I13" t="s">
        <v>402</v>
      </c>
      <c r="J13" t="s">
        <v>7717</v>
      </c>
      <c r="K13">
        <v>20231003</v>
      </c>
      <c r="L13" t="s">
        <v>4488</v>
      </c>
      <c r="M13">
        <v>0</v>
      </c>
      <c r="N13">
        <v>9.75</v>
      </c>
      <c r="O13" t="s">
        <v>19</v>
      </c>
      <c r="P13" t="s">
        <v>20</v>
      </c>
      <c r="Q13">
        <v>20231003</v>
      </c>
    </row>
    <row r="14" spans="1:19" x14ac:dyDescent="0.25">
      <c r="A14" t="s">
        <v>476</v>
      </c>
      <c r="B14" t="s">
        <v>477</v>
      </c>
      <c r="C14">
        <v>1</v>
      </c>
      <c r="D14">
        <v>20231004</v>
      </c>
      <c r="E14">
        <v>10</v>
      </c>
      <c r="F14">
        <v>433100</v>
      </c>
      <c r="G14" t="s">
        <v>411</v>
      </c>
      <c r="H14" t="s">
        <v>401</v>
      </c>
      <c r="I14" t="s">
        <v>402</v>
      </c>
      <c r="J14" t="s">
        <v>7716</v>
      </c>
      <c r="K14">
        <v>20231004</v>
      </c>
      <c r="L14" t="s">
        <v>534</v>
      </c>
      <c r="M14">
        <v>1280.56</v>
      </c>
      <c r="N14">
        <v>0</v>
      </c>
      <c r="O14" t="s">
        <v>19</v>
      </c>
      <c r="P14" t="s">
        <v>20</v>
      </c>
      <c r="Q14">
        <v>20231004</v>
      </c>
    </row>
    <row r="15" spans="1:19" x14ac:dyDescent="0.25">
      <c r="A15" t="s">
        <v>476</v>
      </c>
      <c r="B15" t="s">
        <v>477</v>
      </c>
      <c r="C15">
        <v>1</v>
      </c>
      <c r="D15">
        <v>20231004</v>
      </c>
      <c r="E15">
        <v>10</v>
      </c>
      <c r="F15">
        <v>512000</v>
      </c>
      <c r="G15" t="s">
        <v>428</v>
      </c>
      <c r="H15" t="s">
        <v>401</v>
      </c>
      <c r="I15" t="s">
        <v>402</v>
      </c>
      <c r="J15" t="s">
        <v>7716</v>
      </c>
      <c r="K15">
        <v>20231004</v>
      </c>
      <c r="L15" t="s">
        <v>534</v>
      </c>
      <c r="M15">
        <v>0</v>
      </c>
      <c r="N15">
        <v>1280.56</v>
      </c>
      <c r="O15" t="s">
        <v>19</v>
      </c>
      <c r="P15" t="s">
        <v>20</v>
      </c>
      <c r="Q15">
        <v>20231004</v>
      </c>
    </row>
    <row r="16" spans="1:19" x14ac:dyDescent="0.25">
      <c r="A16" t="s">
        <v>476</v>
      </c>
      <c r="B16" t="s">
        <v>477</v>
      </c>
      <c r="C16">
        <v>1</v>
      </c>
      <c r="D16">
        <v>20231004</v>
      </c>
      <c r="E16">
        <v>10</v>
      </c>
      <c r="F16">
        <v>468200</v>
      </c>
      <c r="G16" t="s">
        <v>421</v>
      </c>
      <c r="H16" t="s">
        <v>401</v>
      </c>
      <c r="I16" t="s">
        <v>402</v>
      </c>
      <c r="J16" t="s">
        <v>7715</v>
      </c>
      <c r="K16">
        <v>20231004</v>
      </c>
      <c r="L16" t="s">
        <v>422</v>
      </c>
      <c r="M16">
        <v>0</v>
      </c>
      <c r="N16">
        <v>6853.18</v>
      </c>
      <c r="O16" t="s">
        <v>19</v>
      </c>
      <c r="P16" t="s">
        <v>20</v>
      </c>
      <c r="Q16">
        <v>20231004</v>
      </c>
    </row>
    <row r="17" spans="1:17" x14ac:dyDescent="0.25">
      <c r="A17" t="s">
        <v>476</v>
      </c>
      <c r="B17" t="s">
        <v>477</v>
      </c>
      <c r="C17">
        <v>1</v>
      </c>
      <c r="D17">
        <v>20231004</v>
      </c>
      <c r="E17">
        <v>10</v>
      </c>
      <c r="F17">
        <v>512000</v>
      </c>
      <c r="G17" t="s">
        <v>428</v>
      </c>
      <c r="H17" t="s">
        <v>401</v>
      </c>
      <c r="I17" t="s">
        <v>402</v>
      </c>
      <c r="J17" t="s">
        <v>7715</v>
      </c>
      <c r="K17">
        <v>20231004</v>
      </c>
      <c r="L17" t="s">
        <v>422</v>
      </c>
      <c r="M17">
        <v>6853.18</v>
      </c>
      <c r="N17">
        <v>0</v>
      </c>
      <c r="O17" t="s">
        <v>19</v>
      </c>
      <c r="P17" t="s">
        <v>20</v>
      </c>
      <c r="Q17">
        <v>20231004</v>
      </c>
    </row>
    <row r="18" spans="1:17" x14ac:dyDescent="0.25">
      <c r="A18" t="s">
        <v>476</v>
      </c>
      <c r="B18" t="s">
        <v>477</v>
      </c>
      <c r="C18">
        <v>1</v>
      </c>
      <c r="D18">
        <v>20231005</v>
      </c>
      <c r="E18">
        <v>10</v>
      </c>
      <c r="F18">
        <v>468730</v>
      </c>
      <c r="G18" t="s">
        <v>2371</v>
      </c>
      <c r="H18" t="s">
        <v>401</v>
      </c>
      <c r="I18" t="s">
        <v>402</v>
      </c>
      <c r="J18" t="s">
        <v>7714</v>
      </c>
      <c r="K18">
        <v>20231005</v>
      </c>
      <c r="L18" t="s">
        <v>2403</v>
      </c>
      <c r="M18">
        <v>0</v>
      </c>
      <c r="N18">
        <v>666.6</v>
      </c>
      <c r="O18" t="s">
        <v>19</v>
      </c>
      <c r="P18" t="s">
        <v>20</v>
      </c>
      <c r="Q18">
        <v>20231005</v>
      </c>
    </row>
    <row r="19" spans="1:17" x14ac:dyDescent="0.25">
      <c r="A19" t="s">
        <v>476</v>
      </c>
      <c r="B19" t="s">
        <v>477</v>
      </c>
      <c r="C19">
        <v>1</v>
      </c>
      <c r="D19">
        <v>20231005</v>
      </c>
      <c r="E19">
        <v>10</v>
      </c>
      <c r="F19">
        <v>512000</v>
      </c>
      <c r="G19" t="s">
        <v>428</v>
      </c>
      <c r="H19" t="s">
        <v>401</v>
      </c>
      <c r="I19" t="s">
        <v>402</v>
      </c>
      <c r="J19" t="s">
        <v>7714</v>
      </c>
      <c r="K19">
        <v>20231005</v>
      </c>
      <c r="L19" t="s">
        <v>2403</v>
      </c>
      <c r="M19">
        <v>666.6</v>
      </c>
      <c r="N19">
        <v>0</v>
      </c>
      <c r="O19" t="s">
        <v>19</v>
      </c>
      <c r="P19" t="s">
        <v>20</v>
      </c>
      <c r="Q19">
        <v>20231005</v>
      </c>
    </row>
    <row r="20" spans="1:17" x14ac:dyDescent="0.25">
      <c r="A20" t="s">
        <v>476</v>
      </c>
      <c r="B20" t="s">
        <v>477</v>
      </c>
      <c r="C20">
        <v>1</v>
      </c>
      <c r="D20">
        <v>20231006</v>
      </c>
      <c r="E20">
        <v>10</v>
      </c>
      <c r="F20">
        <v>401000</v>
      </c>
      <c r="G20" t="s">
        <v>41</v>
      </c>
      <c r="H20" t="s">
        <v>42</v>
      </c>
      <c r="I20" t="s">
        <v>43</v>
      </c>
      <c r="J20" t="s">
        <v>7713</v>
      </c>
      <c r="K20">
        <v>20231006</v>
      </c>
      <c r="L20" t="s">
        <v>5758</v>
      </c>
      <c r="M20">
        <v>204</v>
      </c>
      <c r="N20">
        <v>0</v>
      </c>
      <c r="O20" t="s">
        <v>23</v>
      </c>
      <c r="P20">
        <v>20231023</v>
      </c>
      <c r="Q20">
        <v>20231006</v>
      </c>
    </row>
    <row r="21" spans="1:17" x14ac:dyDescent="0.25">
      <c r="A21" t="s">
        <v>476</v>
      </c>
      <c r="B21" t="s">
        <v>477</v>
      </c>
      <c r="C21">
        <v>1</v>
      </c>
      <c r="D21">
        <v>20231006</v>
      </c>
      <c r="E21">
        <v>10</v>
      </c>
      <c r="F21">
        <v>401000</v>
      </c>
      <c r="G21" t="s">
        <v>41</v>
      </c>
      <c r="H21" t="s">
        <v>48</v>
      </c>
      <c r="I21" t="s">
        <v>49</v>
      </c>
      <c r="J21" t="s">
        <v>7713</v>
      </c>
      <c r="K21">
        <v>20231006</v>
      </c>
      <c r="L21" t="s">
        <v>5758</v>
      </c>
      <c r="M21">
        <v>1311.08</v>
      </c>
      <c r="N21">
        <v>0</v>
      </c>
      <c r="O21" t="s">
        <v>23</v>
      </c>
      <c r="P21">
        <v>20231018</v>
      </c>
      <c r="Q21">
        <v>20231006</v>
      </c>
    </row>
    <row r="22" spans="1:17" x14ac:dyDescent="0.25">
      <c r="A22" t="s">
        <v>476</v>
      </c>
      <c r="B22" t="s">
        <v>477</v>
      </c>
      <c r="C22">
        <v>1</v>
      </c>
      <c r="D22">
        <v>20231006</v>
      </c>
      <c r="E22">
        <v>10</v>
      </c>
      <c r="F22">
        <v>401000</v>
      </c>
      <c r="G22" t="s">
        <v>41</v>
      </c>
      <c r="H22" t="s">
        <v>50</v>
      </c>
      <c r="I22" t="s">
        <v>51</v>
      </c>
      <c r="J22" t="s">
        <v>7713</v>
      </c>
      <c r="K22">
        <v>20231006</v>
      </c>
      <c r="L22" t="s">
        <v>5758</v>
      </c>
      <c r="M22">
        <v>3685</v>
      </c>
      <c r="N22">
        <v>0</v>
      </c>
      <c r="O22" t="s">
        <v>23</v>
      </c>
      <c r="P22">
        <v>20231025</v>
      </c>
      <c r="Q22">
        <v>20231006</v>
      </c>
    </row>
    <row r="23" spans="1:17" x14ac:dyDescent="0.25">
      <c r="A23" t="s">
        <v>476</v>
      </c>
      <c r="B23" t="s">
        <v>477</v>
      </c>
      <c r="C23">
        <v>1</v>
      </c>
      <c r="D23">
        <v>20231006</v>
      </c>
      <c r="E23">
        <v>10</v>
      </c>
      <c r="F23">
        <v>401000</v>
      </c>
      <c r="G23" t="s">
        <v>41</v>
      </c>
      <c r="H23" t="s">
        <v>71</v>
      </c>
      <c r="I23" t="s">
        <v>72</v>
      </c>
      <c r="J23" t="s">
        <v>7713</v>
      </c>
      <c r="K23">
        <v>20231006</v>
      </c>
      <c r="L23" t="s">
        <v>5758</v>
      </c>
      <c r="M23">
        <v>362.62</v>
      </c>
      <c r="N23">
        <v>0</v>
      </c>
      <c r="O23" t="s">
        <v>23</v>
      </c>
      <c r="P23">
        <v>20231018</v>
      </c>
      <c r="Q23">
        <v>20231006</v>
      </c>
    </row>
    <row r="24" spans="1:17" x14ac:dyDescent="0.25">
      <c r="A24" t="s">
        <v>476</v>
      </c>
      <c r="B24" t="s">
        <v>477</v>
      </c>
      <c r="C24">
        <v>1</v>
      </c>
      <c r="D24">
        <v>20231006</v>
      </c>
      <c r="E24">
        <v>10</v>
      </c>
      <c r="F24">
        <v>401000</v>
      </c>
      <c r="G24" t="s">
        <v>41</v>
      </c>
      <c r="H24" t="s">
        <v>97</v>
      </c>
      <c r="I24" t="s">
        <v>98</v>
      </c>
      <c r="J24" t="s">
        <v>7713</v>
      </c>
      <c r="K24">
        <v>20231006</v>
      </c>
      <c r="L24" t="s">
        <v>5758</v>
      </c>
      <c r="M24">
        <v>149.57</v>
      </c>
      <c r="N24">
        <v>0</v>
      </c>
      <c r="O24" t="s">
        <v>19</v>
      </c>
      <c r="P24" t="s">
        <v>20</v>
      </c>
      <c r="Q24">
        <v>20231006</v>
      </c>
    </row>
    <row r="25" spans="1:17" x14ac:dyDescent="0.25">
      <c r="A25" t="s">
        <v>476</v>
      </c>
      <c r="B25" t="s">
        <v>477</v>
      </c>
      <c r="C25">
        <v>1</v>
      </c>
      <c r="D25">
        <v>20231006</v>
      </c>
      <c r="E25">
        <v>10</v>
      </c>
      <c r="F25">
        <v>401000</v>
      </c>
      <c r="G25" t="s">
        <v>41</v>
      </c>
      <c r="H25" t="s">
        <v>474</v>
      </c>
      <c r="I25" t="s">
        <v>475</v>
      </c>
      <c r="J25" t="s">
        <v>7713</v>
      </c>
      <c r="K25">
        <v>20231006</v>
      </c>
      <c r="L25" t="s">
        <v>5758</v>
      </c>
      <c r="M25">
        <v>180</v>
      </c>
      <c r="N25">
        <v>0</v>
      </c>
      <c r="O25" t="s">
        <v>23</v>
      </c>
      <c r="P25">
        <v>20231026</v>
      </c>
      <c r="Q25">
        <v>20231006</v>
      </c>
    </row>
    <row r="26" spans="1:17" x14ac:dyDescent="0.25">
      <c r="A26" t="s">
        <v>476</v>
      </c>
      <c r="B26" t="s">
        <v>477</v>
      </c>
      <c r="C26">
        <v>1</v>
      </c>
      <c r="D26">
        <v>20231006</v>
      </c>
      <c r="E26">
        <v>10</v>
      </c>
      <c r="F26">
        <v>401000</v>
      </c>
      <c r="G26" t="s">
        <v>41</v>
      </c>
      <c r="H26" t="s">
        <v>472</v>
      </c>
      <c r="I26" t="s">
        <v>473</v>
      </c>
      <c r="J26" t="s">
        <v>7713</v>
      </c>
      <c r="K26">
        <v>20231006</v>
      </c>
      <c r="L26" t="s">
        <v>5758</v>
      </c>
      <c r="M26">
        <v>140</v>
      </c>
      <c r="N26">
        <v>0</v>
      </c>
      <c r="O26" t="s">
        <v>23</v>
      </c>
      <c r="P26">
        <v>20231026</v>
      </c>
      <c r="Q26">
        <v>20231006</v>
      </c>
    </row>
    <row r="27" spans="1:17" x14ac:dyDescent="0.25">
      <c r="A27" t="s">
        <v>476</v>
      </c>
      <c r="B27" t="s">
        <v>477</v>
      </c>
      <c r="C27">
        <v>1</v>
      </c>
      <c r="D27">
        <v>20231006</v>
      </c>
      <c r="E27">
        <v>10</v>
      </c>
      <c r="F27">
        <v>401000</v>
      </c>
      <c r="G27" t="s">
        <v>41</v>
      </c>
      <c r="H27" t="s">
        <v>303</v>
      </c>
      <c r="I27" t="s">
        <v>304</v>
      </c>
      <c r="J27" t="s">
        <v>7713</v>
      </c>
      <c r="K27">
        <v>20231006</v>
      </c>
      <c r="L27" t="s">
        <v>5758</v>
      </c>
      <c r="M27">
        <v>360</v>
      </c>
      <c r="N27">
        <v>0</v>
      </c>
      <c r="O27" t="s">
        <v>23</v>
      </c>
      <c r="P27">
        <v>20231026</v>
      </c>
      <c r="Q27">
        <v>20231006</v>
      </c>
    </row>
    <row r="28" spans="1:17" x14ac:dyDescent="0.25">
      <c r="A28" t="s">
        <v>476</v>
      </c>
      <c r="B28" t="s">
        <v>477</v>
      </c>
      <c r="C28">
        <v>1</v>
      </c>
      <c r="D28">
        <v>20231006</v>
      </c>
      <c r="E28">
        <v>10</v>
      </c>
      <c r="F28">
        <v>401000</v>
      </c>
      <c r="G28" t="s">
        <v>41</v>
      </c>
      <c r="H28" t="s">
        <v>830</v>
      </c>
      <c r="I28" t="s">
        <v>831</v>
      </c>
      <c r="J28" t="s">
        <v>7713</v>
      </c>
      <c r="K28">
        <v>20231006</v>
      </c>
      <c r="L28" t="s">
        <v>5758</v>
      </c>
      <c r="M28">
        <v>120</v>
      </c>
      <c r="N28">
        <v>0</v>
      </c>
      <c r="O28" t="s">
        <v>23</v>
      </c>
      <c r="P28">
        <v>20231026</v>
      </c>
      <c r="Q28">
        <v>20231006</v>
      </c>
    </row>
    <row r="29" spans="1:17" x14ac:dyDescent="0.25">
      <c r="A29" t="s">
        <v>476</v>
      </c>
      <c r="B29" t="s">
        <v>477</v>
      </c>
      <c r="C29">
        <v>1</v>
      </c>
      <c r="D29">
        <v>20231006</v>
      </c>
      <c r="E29">
        <v>10</v>
      </c>
      <c r="F29">
        <v>401000</v>
      </c>
      <c r="G29" t="s">
        <v>41</v>
      </c>
      <c r="H29" t="s">
        <v>2765</v>
      </c>
      <c r="I29" t="s">
        <v>2766</v>
      </c>
      <c r="J29" t="s">
        <v>7713</v>
      </c>
      <c r="K29">
        <v>20231006</v>
      </c>
      <c r="L29" t="s">
        <v>5758</v>
      </c>
      <c r="M29">
        <v>80</v>
      </c>
      <c r="N29">
        <v>0</v>
      </c>
      <c r="O29" t="s">
        <v>23</v>
      </c>
      <c r="P29">
        <v>20231023</v>
      </c>
      <c r="Q29">
        <v>20231006</v>
      </c>
    </row>
    <row r="30" spans="1:17" x14ac:dyDescent="0.25">
      <c r="A30" t="s">
        <v>476</v>
      </c>
      <c r="B30" t="s">
        <v>477</v>
      </c>
      <c r="C30">
        <v>1</v>
      </c>
      <c r="D30">
        <v>20231006</v>
      </c>
      <c r="E30">
        <v>10</v>
      </c>
      <c r="F30">
        <v>512000</v>
      </c>
      <c r="G30" t="s">
        <v>428</v>
      </c>
      <c r="H30" t="s">
        <v>401</v>
      </c>
      <c r="I30" t="s">
        <v>402</v>
      </c>
      <c r="J30" t="s">
        <v>7713</v>
      </c>
      <c r="K30">
        <v>20231006</v>
      </c>
      <c r="L30" t="s">
        <v>5758</v>
      </c>
      <c r="M30">
        <v>0</v>
      </c>
      <c r="N30">
        <v>6592.27</v>
      </c>
      <c r="O30" t="s">
        <v>19</v>
      </c>
      <c r="P30" t="s">
        <v>20</v>
      </c>
      <c r="Q30">
        <v>20231006</v>
      </c>
    </row>
    <row r="31" spans="1:17" x14ac:dyDescent="0.25">
      <c r="A31" t="s">
        <v>476</v>
      </c>
      <c r="B31" t="s">
        <v>477</v>
      </c>
      <c r="C31">
        <v>1</v>
      </c>
      <c r="D31">
        <v>20231006</v>
      </c>
      <c r="E31">
        <v>10</v>
      </c>
      <c r="F31">
        <v>401000</v>
      </c>
      <c r="G31" t="s">
        <v>41</v>
      </c>
      <c r="H31" t="s">
        <v>4471</v>
      </c>
      <c r="I31" t="s">
        <v>4472</v>
      </c>
      <c r="J31" t="s">
        <v>7711</v>
      </c>
      <c r="K31">
        <v>20231006</v>
      </c>
      <c r="L31" t="s">
        <v>5757</v>
      </c>
      <c r="M31">
        <v>100</v>
      </c>
      <c r="N31">
        <v>0</v>
      </c>
      <c r="O31" t="s">
        <v>23</v>
      </c>
      <c r="P31">
        <v>20231018</v>
      </c>
      <c r="Q31">
        <v>20231006</v>
      </c>
    </row>
    <row r="32" spans="1:17" x14ac:dyDescent="0.25">
      <c r="A32" t="s">
        <v>476</v>
      </c>
      <c r="B32" t="s">
        <v>477</v>
      </c>
      <c r="C32">
        <v>1</v>
      </c>
      <c r="D32">
        <v>20231006</v>
      </c>
      <c r="E32">
        <v>10</v>
      </c>
      <c r="F32">
        <v>467100</v>
      </c>
      <c r="G32" t="s">
        <v>160</v>
      </c>
      <c r="H32" t="s">
        <v>5416</v>
      </c>
      <c r="I32" t="s">
        <v>5417</v>
      </c>
      <c r="J32" t="s">
        <v>7711</v>
      </c>
      <c r="K32">
        <v>20231006</v>
      </c>
      <c r="L32" t="s">
        <v>5757</v>
      </c>
      <c r="M32">
        <v>413.1</v>
      </c>
      <c r="N32">
        <v>0</v>
      </c>
      <c r="O32" t="s">
        <v>19</v>
      </c>
      <c r="P32" t="s">
        <v>20</v>
      </c>
      <c r="Q32">
        <v>20231006</v>
      </c>
    </row>
    <row r="33" spans="1:17" x14ac:dyDescent="0.25">
      <c r="A33" t="s">
        <v>476</v>
      </c>
      <c r="B33" t="s">
        <v>477</v>
      </c>
      <c r="C33">
        <v>1</v>
      </c>
      <c r="D33">
        <v>20231006</v>
      </c>
      <c r="E33">
        <v>10</v>
      </c>
      <c r="F33">
        <v>427004</v>
      </c>
      <c r="G33" t="s">
        <v>908</v>
      </c>
      <c r="H33" t="s">
        <v>401</v>
      </c>
      <c r="I33" t="s">
        <v>402</v>
      </c>
      <c r="J33" t="s">
        <v>7711</v>
      </c>
      <c r="K33">
        <v>20231006</v>
      </c>
      <c r="L33" t="s">
        <v>5757</v>
      </c>
      <c r="M33">
        <v>151</v>
      </c>
      <c r="N33">
        <v>0</v>
      </c>
      <c r="O33" t="s">
        <v>19</v>
      </c>
      <c r="P33" t="s">
        <v>20</v>
      </c>
      <c r="Q33">
        <v>20231006</v>
      </c>
    </row>
    <row r="34" spans="1:17" x14ac:dyDescent="0.25">
      <c r="A34" t="s">
        <v>476</v>
      </c>
      <c r="B34" t="s">
        <v>477</v>
      </c>
      <c r="C34">
        <v>1</v>
      </c>
      <c r="D34">
        <v>20231006</v>
      </c>
      <c r="E34">
        <v>10</v>
      </c>
      <c r="F34">
        <v>427006</v>
      </c>
      <c r="G34" t="s">
        <v>7712</v>
      </c>
      <c r="H34" t="s">
        <v>401</v>
      </c>
      <c r="I34" t="s">
        <v>402</v>
      </c>
      <c r="J34" t="s">
        <v>7711</v>
      </c>
      <c r="K34">
        <v>20231006</v>
      </c>
      <c r="L34" t="s">
        <v>5757</v>
      </c>
      <c r="M34">
        <v>283</v>
      </c>
      <c r="N34">
        <v>0</v>
      </c>
      <c r="O34" t="s">
        <v>19</v>
      </c>
      <c r="P34" t="s">
        <v>20</v>
      </c>
      <c r="Q34">
        <v>20231006</v>
      </c>
    </row>
    <row r="35" spans="1:17" x14ac:dyDescent="0.25">
      <c r="A35" t="s">
        <v>476</v>
      </c>
      <c r="B35" t="s">
        <v>477</v>
      </c>
      <c r="C35">
        <v>1</v>
      </c>
      <c r="D35">
        <v>20231006</v>
      </c>
      <c r="E35">
        <v>10</v>
      </c>
      <c r="F35">
        <v>512000</v>
      </c>
      <c r="G35" t="s">
        <v>428</v>
      </c>
      <c r="H35" t="s">
        <v>401</v>
      </c>
      <c r="I35" t="s">
        <v>402</v>
      </c>
      <c r="J35" t="s">
        <v>7711</v>
      </c>
      <c r="K35">
        <v>20231006</v>
      </c>
      <c r="L35" t="s">
        <v>5757</v>
      </c>
      <c r="M35">
        <v>0</v>
      </c>
      <c r="N35">
        <v>947.1</v>
      </c>
      <c r="O35" t="s">
        <v>19</v>
      </c>
      <c r="P35" t="s">
        <v>20</v>
      </c>
      <c r="Q35">
        <v>20231006</v>
      </c>
    </row>
    <row r="36" spans="1:17" x14ac:dyDescent="0.25">
      <c r="A36" t="s">
        <v>476</v>
      </c>
      <c r="B36" t="s">
        <v>477</v>
      </c>
      <c r="C36">
        <v>1</v>
      </c>
      <c r="D36">
        <v>20231009</v>
      </c>
      <c r="E36">
        <v>10</v>
      </c>
      <c r="F36">
        <v>401000</v>
      </c>
      <c r="G36" t="s">
        <v>41</v>
      </c>
      <c r="H36" t="s">
        <v>458</v>
      </c>
      <c r="I36" t="s">
        <v>459</v>
      </c>
      <c r="J36" t="s">
        <v>7710</v>
      </c>
      <c r="K36">
        <v>20231009</v>
      </c>
      <c r="L36" t="s">
        <v>546</v>
      </c>
      <c r="M36">
        <v>708</v>
      </c>
      <c r="N36">
        <v>0</v>
      </c>
      <c r="O36" t="s">
        <v>19</v>
      </c>
      <c r="P36" t="s">
        <v>20</v>
      </c>
      <c r="Q36">
        <v>20231009</v>
      </c>
    </row>
    <row r="37" spans="1:17" x14ac:dyDescent="0.25">
      <c r="A37" t="s">
        <v>476</v>
      </c>
      <c r="B37" t="s">
        <v>477</v>
      </c>
      <c r="C37">
        <v>1</v>
      </c>
      <c r="D37">
        <v>20231009</v>
      </c>
      <c r="E37">
        <v>10</v>
      </c>
      <c r="F37">
        <v>512000</v>
      </c>
      <c r="G37" t="s">
        <v>428</v>
      </c>
      <c r="H37" t="s">
        <v>401</v>
      </c>
      <c r="I37" t="s">
        <v>402</v>
      </c>
      <c r="J37" t="s">
        <v>7710</v>
      </c>
      <c r="K37">
        <v>20231009</v>
      </c>
      <c r="L37" t="s">
        <v>546</v>
      </c>
      <c r="M37">
        <v>0</v>
      </c>
      <c r="N37">
        <v>708</v>
      </c>
      <c r="O37" t="s">
        <v>19</v>
      </c>
      <c r="P37" t="s">
        <v>20</v>
      </c>
      <c r="Q37">
        <v>20231009</v>
      </c>
    </row>
    <row r="38" spans="1:17" x14ac:dyDescent="0.25">
      <c r="A38" t="s">
        <v>476</v>
      </c>
      <c r="B38" t="s">
        <v>477</v>
      </c>
      <c r="C38">
        <v>1</v>
      </c>
      <c r="D38">
        <v>20231009</v>
      </c>
      <c r="E38">
        <v>10</v>
      </c>
      <c r="F38">
        <v>468200</v>
      </c>
      <c r="G38" t="s">
        <v>421</v>
      </c>
      <c r="H38" t="s">
        <v>401</v>
      </c>
      <c r="I38" t="s">
        <v>402</v>
      </c>
      <c r="J38" t="s">
        <v>7709</v>
      </c>
      <c r="K38">
        <v>20231009</v>
      </c>
      <c r="L38" t="s">
        <v>422</v>
      </c>
      <c r="M38">
        <v>0</v>
      </c>
      <c r="N38">
        <v>37.28</v>
      </c>
      <c r="O38" t="s">
        <v>19</v>
      </c>
      <c r="P38" t="s">
        <v>20</v>
      </c>
      <c r="Q38">
        <v>20231009</v>
      </c>
    </row>
    <row r="39" spans="1:17" x14ac:dyDescent="0.25">
      <c r="A39" t="s">
        <v>476</v>
      </c>
      <c r="B39" t="s">
        <v>477</v>
      </c>
      <c r="C39">
        <v>1</v>
      </c>
      <c r="D39">
        <v>20231009</v>
      </c>
      <c r="E39">
        <v>10</v>
      </c>
      <c r="F39">
        <v>512000</v>
      </c>
      <c r="G39" t="s">
        <v>428</v>
      </c>
      <c r="H39" t="s">
        <v>401</v>
      </c>
      <c r="I39" t="s">
        <v>402</v>
      </c>
      <c r="J39" t="s">
        <v>7709</v>
      </c>
      <c r="K39">
        <v>20231009</v>
      </c>
      <c r="L39" t="s">
        <v>422</v>
      </c>
      <c r="M39">
        <v>37.28</v>
      </c>
      <c r="N39">
        <v>0</v>
      </c>
      <c r="O39" t="s">
        <v>19</v>
      </c>
      <c r="P39" t="s">
        <v>20</v>
      </c>
      <c r="Q39">
        <v>20231009</v>
      </c>
    </row>
    <row r="40" spans="1:17" x14ac:dyDescent="0.25">
      <c r="A40" t="s">
        <v>476</v>
      </c>
      <c r="B40" t="s">
        <v>477</v>
      </c>
      <c r="C40">
        <v>1</v>
      </c>
      <c r="D40">
        <v>20231009</v>
      </c>
      <c r="E40">
        <v>10</v>
      </c>
      <c r="F40">
        <v>437000</v>
      </c>
      <c r="G40" t="s">
        <v>430</v>
      </c>
      <c r="H40" t="s">
        <v>401</v>
      </c>
      <c r="I40" t="s">
        <v>402</v>
      </c>
      <c r="J40" t="s">
        <v>7708</v>
      </c>
      <c r="K40">
        <v>20231009</v>
      </c>
      <c r="L40" t="s">
        <v>497</v>
      </c>
      <c r="M40">
        <v>1584.88</v>
      </c>
      <c r="N40">
        <v>0</v>
      </c>
      <c r="O40" t="s">
        <v>19</v>
      </c>
      <c r="P40" t="s">
        <v>20</v>
      </c>
      <c r="Q40">
        <v>20231009</v>
      </c>
    </row>
    <row r="41" spans="1:17" x14ac:dyDescent="0.25">
      <c r="A41" t="s">
        <v>476</v>
      </c>
      <c r="B41" t="s">
        <v>477</v>
      </c>
      <c r="C41">
        <v>1</v>
      </c>
      <c r="D41">
        <v>20231009</v>
      </c>
      <c r="E41">
        <v>10</v>
      </c>
      <c r="F41">
        <v>512000</v>
      </c>
      <c r="G41" t="s">
        <v>428</v>
      </c>
      <c r="H41" t="s">
        <v>401</v>
      </c>
      <c r="I41" t="s">
        <v>402</v>
      </c>
      <c r="J41" t="s">
        <v>7708</v>
      </c>
      <c r="K41">
        <v>20231009</v>
      </c>
      <c r="L41" t="s">
        <v>497</v>
      </c>
      <c r="M41">
        <v>0</v>
      </c>
      <c r="N41">
        <v>1584.88</v>
      </c>
      <c r="O41" t="s">
        <v>19</v>
      </c>
      <c r="P41" t="s">
        <v>20</v>
      </c>
      <c r="Q41">
        <v>20231009</v>
      </c>
    </row>
    <row r="42" spans="1:17" x14ac:dyDescent="0.25">
      <c r="A42" t="s">
        <v>476</v>
      </c>
      <c r="B42" t="s">
        <v>477</v>
      </c>
      <c r="C42">
        <v>1</v>
      </c>
      <c r="D42">
        <v>20231012</v>
      </c>
      <c r="E42">
        <v>10</v>
      </c>
      <c r="F42">
        <v>471000</v>
      </c>
      <c r="G42" t="s">
        <v>4801</v>
      </c>
      <c r="H42" t="s">
        <v>401</v>
      </c>
      <c r="I42" t="s">
        <v>402</v>
      </c>
      <c r="J42" t="s">
        <v>7707</v>
      </c>
      <c r="K42">
        <v>20231012</v>
      </c>
      <c r="L42" t="s">
        <v>7334</v>
      </c>
      <c r="M42">
        <v>0</v>
      </c>
      <c r="N42">
        <v>2400</v>
      </c>
      <c r="O42" t="s">
        <v>19</v>
      </c>
      <c r="P42" t="s">
        <v>20</v>
      </c>
      <c r="Q42">
        <v>20231012</v>
      </c>
    </row>
    <row r="43" spans="1:17" x14ac:dyDescent="0.25">
      <c r="A43" t="s">
        <v>476</v>
      </c>
      <c r="B43" t="s">
        <v>477</v>
      </c>
      <c r="C43">
        <v>1</v>
      </c>
      <c r="D43">
        <v>20231012</v>
      </c>
      <c r="E43">
        <v>10</v>
      </c>
      <c r="F43">
        <v>512000</v>
      </c>
      <c r="G43" t="s">
        <v>428</v>
      </c>
      <c r="H43" t="s">
        <v>401</v>
      </c>
      <c r="I43" t="s">
        <v>402</v>
      </c>
      <c r="J43" t="s">
        <v>7707</v>
      </c>
      <c r="K43">
        <v>20231012</v>
      </c>
      <c r="L43" t="s">
        <v>7334</v>
      </c>
      <c r="M43">
        <v>2400</v>
      </c>
      <c r="N43">
        <v>0</v>
      </c>
      <c r="O43" t="s">
        <v>19</v>
      </c>
      <c r="P43" t="s">
        <v>20</v>
      </c>
      <c r="Q43">
        <v>20231012</v>
      </c>
    </row>
    <row r="44" spans="1:17" x14ac:dyDescent="0.25">
      <c r="A44" t="s">
        <v>476</v>
      </c>
      <c r="B44" t="s">
        <v>477</v>
      </c>
      <c r="C44">
        <v>1</v>
      </c>
      <c r="D44">
        <v>20231013</v>
      </c>
      <c r="E44">
        <v>10</v>
      </c>
      <c r="F44">
        <v>421000</v>
      </c>
      <c r="G44" t="s">
        <v>403</v>
      </c>
      <c r="H44" t="s">
        <v>401</v>
      </c>
      <c r="I44" t="s">
        <v>402</v>
      </c>
      <c r="J44" t="s">
        <v>7706</v>
      </c>
      <c r="K44">
        <v>20231013</v>
      </c>
      <c r="L44" t="s">
        <v>7705</v>
      </c>
      <c r="M44">
        <v>45.8</v>
      </c>
      <c r="N44">
        <v>0</v>
      </c>
      <c r="O44" t="s">
        <v>19</v>
      </c>
      <c r="P44" t="s">
        <v>20</v>
      </c>
      <c r="Q44">
        <v>20231013</v>
      </c>
    </row>
    <row r="45" spans="1:17" x14ac:dyDescent="0.25">
      <c r="A45" t="s">
        <v>476</v>
      </c>
      <c r="B45" t="s">
        <v>477</v>
      </c>
      <c r="C45">
        <v>1</v>
      </c>
      <c r="D45">
        <v>20231013</v>
      </c>
      <c r="E45">
        <v>10</v>
      </c>
      <c r="F45">
        <v>512000</v>
      </c>
      <c r="G45" t="s">
        <v>428</v>
      </c>
      <c r="H45" t="s">
        <v>401</v>
      </c>
      <c r="I45" t="s">
        <v>402</v>
      </c>
      <c r="J45" t="s">
        <v>7706</v>
      </c>
      <c r="K45">
        <v>20231013</v>
      </c>
      <c r="L45" t="s">
        <v>7705</v>
      </c>
      <c r="M45">
        <v>0</v>
      </c>
      <c r="N45">
        <v>45.8</v>
      </c>
      <c r="O45" t="s">
        <v>19</v>
      </c>
      <c r="P45" t="s">
        <v>20</v>
      </c>
      <c r="Q45">
        <v>20231013</v>
      </c>
    </row>
    <row r="46" spans="1:17" x14ac:dyDescent="0.25">
      <c r="A46" t="s">
        <v>476</v>
      </c>
      <c r="B46" t="s">
        <v>477</v>
      </c>
      <c r="C46">
        <v>1</v>
      </c>
      <c r="D46">
        <v>20231014</v>
      </c>
      <c r="E46">
        <v>10</v>
      </c>
      <c r="F46">
        <v>511003</v>
      </c>
      <c r="G46" t="s">
        <v>6874</v>
      </c>
      <c r="H46" t="s">
        <v>401</v>
      </c>
      <c r="I46" t="s">
        <v>402</v>
      </c>
      <c r="J46" t="s">
        <v>7704</v>
      </c>
      <c r="K46">
        <v>20231014</v>
      </c>
      <c r="L46" t="s">
        <v>7703</v>
      </c>
      <c r="M46">
        <v>0</v>
      </c>
      <c r="N46">
        <v>5105.3599999999997</v>
      </c>
      <c r="O46" t="s">
        <v>19</v>
      </c>
      <c r="P46" t="s">
        <v>20</v>
      </c>
      <c r="Q46">
        <v>20231014</v>
      </c>
    </row>
    <row r="47" spans="1:17" x14ac:dyDescent="0.25">
      <c r="A47" t="s">
        <v>476</v>
      </c>
      <c r="B47" t="s">
        <v>477</v>
      </c>
      <c r="C47">
        <v>1</v>
      </c>
      <c r="D47">
        <v>20231014</v>
      </c>
      <c r="E47">
        <v>10</v>
      </c>
      <c r="F47">
        <v>512000</v>
      </c>
      <c r="G47" t="s">
        <v>428</v>
      </c>
      <c r="H47" t="s">
        <v>401</v>
      </c>
      <c r="I47" t="s">
        <v>402</v>
      </c>
      <c r="J47" t="s">
        <v>7704</v>
      </c>
      <c r="K47">
        <v>20231014</v>
      </c>
      <c r="L47" t="s">
        <v>7703</v>
      </c>
      <c r="M47">
        <v>5105.3599999999997</v>
      </c>
      <c r="N47">
        <v>0</v>
      </c>
      <c r="O47" t="s">
        <v>19</v>
      </c>
      <c r="P47" t="s">
        <v>20</v>
      </c>
      <c r="Q47">
        <v>20231014</v>
      </c>
    </row>
    <row r="48" spans="1:17" x14ac:dyDescent="0.25">
      <c r="A48" t="s">
        <v>476</v>
      </c>
      <c r="B48" t="s">
        <v>477</v>
      </c>
      <c r="C48">
        <v>1</v>
      </c>
      <c r="D48">
        <v>20231015</v>
      </c>
      <c r="E48">
        <v>10</v>
      </c>
      <c r="F48">
        <v>627000</v>
      </c>
      <c r="G48" t="s">
        <v>480</v>
      </c>
      <c r="H48" t="s">
        <v>401</v>
      </c>
      <c r="I48" t="s">
        <v>402</v>
      </c>
      <c r="J48" t="s">
        <v>7702</v>
      </c>
      <c r="K48">
        <v>20231015</v>
      </c>
      <c r="L48" t="s">
        <v>7701</v>
      </c>
      <c r="M48">
        <v>19.899999999999999</v>
      </c>
      <c r="N48">
        <v>0</v>
      </c>
      <c r="O48" t="s">
        <v>19</v>
      </c>
      <c r="P48" t="s">
        <v>20</v>
      </c>
      <c r="Q48">
        <v>20231015</v>
      </c>
    </row>
    <row r="49" spans="1:17" x14ac:dyDescent="0.25">
      <c r="A49" t="s">
        <v>476</v>
      </c>
      <c r="B49" t="s">
        <v>477</v>
      </c>
      <c r="C49">
        <v>1</v>
      </c>
      <c r="D49">
        <v>20231015</v>
      </c>
      <c r="E49">
        <v>10</v>
      </c>
      <c r="F49">
        <v>512000</v>
      </c>
      <c r="G49" t="s">
        <v>428</v>
      </c>
      <c r="H49" t="s">
        <v>401</v>
      </c>
      <c r="I49" t="s">
        <v>402</v>
      </c>
      <c r="J49" t="s">
        <v>7702</v>
      </c>
      <c r="K49">
        <v>20231015</v>
      </c>
      <c r="L49" t="s">
        <v>7701</v>
      </c>
      <c r="M49">
        <v>0</v>
      </c>
      <c r="N49">
        <v>19.899999999999999</v>
      </c>
      <c r="O49" t="s">
        <v>19</v>
      </c>
      <c r="P49" t="s">
        <v>20</v>
      </c>
      <c r="Q49">
        <v>20231015</v>
      </c>
    </row>
    <row r="50" spans="1:17" x14ac:dyDescent="0.25">
      <c r="A50" t="s">
        <v>476</v>
      </c>
      <c r="B50" t="s">
        <v>477</v>
      </c>
      <c r="C50">
        <v>1</v>
      </c>
      <c r="D50">
        <v>20231016</v>
      </c>
      <c r="E50">
        <v>10</v>
      </c>
      <c r="F50">
        <v>447000</v>
      </c>
      <c r="G50" t="s">
        <v>419</v>
      </c>
      <c r="H50" t="s">
        <v>401</v>
      </c>
      <c r="I50" t="s">
        <v>402</v>
      </c>
      <c r="J50" t="s">
        <v>7700</v>
      </c>
      <c r="K50">
        <v>20231016</v>
      </c>
      <c r="L50" t="s">
        <v>898</v>
      </c>
      <c r="M50">
        <v>4746</v>
      </c>
      <c r="N50">
        <v>0</v>
      </c>
      <c r="O50" t="s">
        <v>19</v>
      </c>
      <c r="P50" t="s">
        <v>20</v>
      </c>
      <c r="Q50">
        <v>20231016</v>
      </c>
    </row>
    <row r="51" spans="1:17" x14ac:dyDescent="0.25">
      <c r="A51" t="s">
        <v>476</v>
      </c>
      <c r="B51" t="s">
        <v>477</v>
      </c>
      <c r="C51">
        <v>1</v>
      </c>
      <c r="D51">
        <v>20231016</v>
      </c>
      <c r="E51">
        <v>10</v>
      </c>
      <c r="F51">
        <v>512000</v>
      </c>
      <c r="G51" t="s">
        <v>428</v>
      </c>
      <c r="H51" t="s">
        <v>401</v>
      </c>
      <c r="I51" t="s">
        <v>402</v>
      </c>
      <c r="J51" t="s">
        <v>7700</v>
      </c>
      <c r="K51">
        <v>20231016</v>
      </c>
      <c r="L51" t="s">
        <v>898</v>
      </c>
      <c r="M51">
        <v>0</v>
      </c>
      <c r="N51">
        <v>4746</v>
      </c>
      <c r="O51" t="s">
        <v>19</v>
      </c>
      <c r="P51" t="s">
        <v>20</v>
      </c>
      <c r="Q51">
        <v>20231016</v>
      </c>
    </row>
    <row r="52" spans="1:17" x14ac:dyDescent="0.25">
      <c r="A52" t="s">
        <v>476</v>
      </c>
      <c r="B52" t="s">
        <v>477</v>
      </c>
      <c r="C52">
        <v>1</v>
      </c>
      <c r="D52">
        <v>20231017</v>
      </c>
      <c r="E52">
        <v>10</v>
      </c>
      <c r="F52">
        <v>431000</v>
      </c>
      <c r="G52" t="s">
        <v>408</v>
      </c>
      <c r="H52" t="s">
        <v>401</v>
      </c>
      <c r="I52" t="s">
        <v>402</v>
      </c>
      <c r="J52" t="s">
        <v>7699</v>
      </c>
      <c r="K52">
        <v>20231017</v>
      </c>
      <c r="L52" t="s">
        <v>409</v>
      </c>
      <c r="M52">
        <v>24658</v>
      </c>
      <c r="N52">
        <v>0</v>
      </c>
      <c r="O52" t="s">
        <v>19</v>
      </c>
      <c r="P52" t="s">
        <v>20</v>
      </c>
      <c r="Q52">
        <v>20231017</v>
      </c>
    </row>
    <row r="53" spans="1:17" x14ac:dyDescent="0.25">
      <c r="A53" t="s">
        <v>476</v>
      </c>
      <c r="B53" t="s">
        <v>477</v>
      </c>
      <c r="C53">
        <v>1</v>
      </c>
      <c r="D53">
        <v>20231017</v>
      </c>
      <c r="E53">
        <v>10</v>
      </c>
      <c r="F53">
        <v>512000</v>
      </c>
      <c r="G53" t="s">
        <v>428</v>
      </c>
      <c r="H53" t="s">
        <v>401</v>
      </c>
      <c r="I53" t="s">
        <v>402</v>
      </c>
      <c r="J53" t="s">
        <v>7699</v>
      </c>
      <c r="K53">
        <v>20231017</v>
      </c>
      <c r="L53" t="s">
        <v>409</v>
      </c>
      <c r="M53">
        <v>0</v>
      </c>
      <c r="N53">
        <v>24658</v>
      </c>
      <c r="O53" t="s">
        <v>19</v>
      </c>
      <c r="P53" t="s">
        <v>20</v>
      </c>
      <c r="Q53">
        <v>20231017</v>
      </c>
    </row>
    <row r="54" spans="1:17" x14ac:dyDescent="0.25">
      <c r="A54" t="s">
        <v>476</v>
      </c>
      <c r="B54" t="s">
        <v>477</v>
      </c>
      <c r="C54">
        <v>1</v>
      </c>
      <c r="D54">
        <v>20231017</v>
      </c>
      <c r="E54">
        <v>10</v>
      </c>
      <c r="F54">
        <v>468710</v>
      </c>
      <c r="G54" t="s">
        <v>423</v>
      </c>
      <c r="H54" t="s">
        <v>401</v>
      </c>
      <c r="I54" t="s">
        <v>402</v>
      </c>
      <c r="J54" t="s">
        <v>7698</v>
      </c>
      <c r="K54">
        <v>20231017</v>
      </c>
      <c r="L54" t="s">
        <v>7697</v>
      </c>
      <c r="M54">
        <v>0</v>
      </c>
      <c r="N54">
        <v>1890</v>
      </c>
      <c r="O54" t="s">
        <v>19</v>
      </c>
      <c r="P54" t="s">
        <v>20</v>
      </c>
      <c r="Q54">
        <v>20231017</v>
      </c>
    </row>
    <row r="55" spans="1:17" x14ac:dyDescent="0.25">
      <c r="A55" t="s">
        <v>476</v>
      </c>
      <c r="B55" t="s">
        <v>477</v>
      </c>
      <c r="C55">
        <v>1</v>
      </c>
      <c r="D55">
        <v>20231017</v>
      </c>
      <c r="E55">
        <v>10</v>
      </c>
      <c r="F55">
        <v>512000</v>
      </c>
      <c r="G55" t="s">
        <v>428</v>
      </c>
      <c r="H55" t="s">
        <v>401</v>
      </c>
      <c r="I55" t="s">
        <v>402</v>
      </c>
      <c r="J55" t="s">
        <v>7698</v>
      </c>
      <c r="K55">
        <v>20231017</v>
      </c>
      <c r="L55" t="s">
        <v>7697</v>
      </c>
      <c r="M55">
        <v>1890</v>
      </c>
      <c r="N55">
        <v>0</v>
      </c>
      <c r="O55" t="s">
        <v>19</v>
      </c>
      <c r="P55" t="s">
        <v>20</v>
      </c>
      <c r="Q55">
        <v>20231017</v>
      </c>
    </row>
    <row r="56" spans="1:17" x14ac:dyDescent="0.25">
      <c r="A56" t="s">
        <v>476</v>
      </c>
      <c r="B56" t="s">
        <v>477</v>
      </c>
      <c r="C56">
        <v>1</v>
      </c>
      <c r="D56">
        <v>20231017</v>
      </c>
      <c r="E56">
        <v>10</v>
      </c>
      <c r="F56">
        <v>468200</v>
      </c>
      <c r="G56" t="s">
        <v>421</v>
      </c>
      <c r="H56" t="s">
        <v>401</v>
      </c>
      <c r="I56" t="s">
        <v>402</v>
      </c>
      <c r="J56" t="s">
        <v>7696</v>
      </c>
      <c r="K56">
        <v>20231017</v>
      </c>
      <c r="L56" t="s">
        <v>422</v>
      </c>
      <c r="M56">
        <v>0</v>
      </c>
      <c r="N56">
        <v>404.32</v>
      </c>
      <c r="O56" t="s">
        <v>19</v>
      </c>
      <c r="P56" t="s">
        <v>20</v>
      </c>
      <c r="Q56">
        <v>20231017</v>
      </c>
    </row>
    <row r="57" spans="1:17" x14ac:dyDescent="0.25">
      <c r="A57" t="s">
        <v>476</v>
      </c>
      <c r="B57" t="s">
        <v>477</v>
      </c>
      <c r="C57">
        <v>1</v>
      </c>
      <c r="D57">
        <v>20231017</v>
      </c>
      <c r="E57">
        <v>10</v>
      </c>
      <c r="F57">
        <v>512000</v>
      </c>
      <c r="G57" t="s">
        <v>428</v>
      </c>
      <c r="H57" t="s">
        <v>401</v>
      </c>
      <c r="I57" t="s">
        <v>402</v>
      </c>
      <c r="J57" t="s">
        <v>7696</v>
      </c>
      <c r="K57">
        <v>20231017</v>
      </c>
      <c r="L57" t="s">
        <v>422</v>
      </c>
      <c r="M57">
        <v>404.32</v>
      </c>
      <c r="N57">
        <v>0</v>
      </c>
      <c r="O57" t="s">
        <v>19</v>
      </c>
      <c r="P57" t="s">
        <v>20</v>
      </c>
      <c r="Q57">
        <v>20231017</v>
      </c>
    </row>
    <row r="58" spans="1:17" x14ac:dyDescent="0.25">
      <c r="A58" t="s">
        <v>476</v>
      </c>
      <c r="B58" t="s">
        <v>477</v>
      </c>
      <c r="C58">
        <v>1</v>
      </c>
      <c r="D58">
        <v>20231018</v>
      </c>
      <c r="E58">
        <v>10</v>
      </c>
      <c r="F58">
        <v>467100</v>
      </c>
      <c r="G58" t="s">
        <v>160</v>
      </c>
      <c r="H58" t="s">
        <v>1726</v>
      </c>
      <c r="I58" t="s">
        <v>1727</v>
      </c>
      <c r="J58" t="s">
        <v>7695</v>
      </c>
      <c r="K58">
        <v>20231018</v>
      </c>
      <c r="L58" t="s">
        <v>5757</v>
      </c>
      <c r="M58">
        <v>300</v>
      </c>
      <c r="N58">
        <v>0</v>
      </c>
      <c r="O58" t="s">
        <v>23</v>
      </c>
      <c r="P58">
        <v>20231107</v>
      </c>
      <c r="Q58">
        <v>20231018</v>
      </c>
    </row>
    <row r="59" spans="1:17" x14ac:dyDescent="0.25">
      <c r="A59" t="s">
        <v>476</v>
      </c>
      <c r="B59" t="s">
        <v>477</v>
      </c>
      <c r="C59">
        <v>1</v>
      </c>
      <c r="D59">
        <v>20231018</v>
      </c>
      <c r="E59">
        <v>10</v>
      </c>
      <c r="F59">
        <v>512000</v>
      </c>
      <c r="G59" t="s">
        <v>428</v>
      </c>
      <c r="H59" t="s">
        <v>401</v>
      </c>
      <c r="I59" t="s">
        <v>402</v>
      </c>
      <c r="J59" t="s">
        <v>7695</v>
      </c>
      <c r="K59">
        <v>20231018</v>
      </c>
      <c r="L59" t="s">
        <v>5757</v>
      </c>
      <c r="M59">
        <v>0</v>
      </c>
      <c r="N59">
        <v>300</v>
      </c>
      <c r="O59" t="s">
        <v>19</v>
      </c>
      <c r="P59" t="s">
        <v>20</v>
      </c>
      <c r="Q59">
        <v>20231018</v>
      </c>
    </row>
    <row r="60" spans="1:17" x14ac:dyDescent="0.25">
      <c r="A60" t="s">
        <v>476</v>
      </c>
      <c r="B60" t="s">
        <v>477</v>
      </c>
      <c r="C60">
        <v>1</v>
      </c>
      <c r="D60">
        <v>20231018</v>
      </c>
      <c r="E60">
        <v>10</v>
      </c>
      <c r="F60">
        <v>401000</v>
      </c>
      <c r="G60" t="s">
        <v>41</v>
      </c>
      <c r="H60" t="s">
        <v>48</v>
      </c>
      <c r="I60" t="s">
        <v>49</v>
      </c>
      <c r="J60" t="s">
        <v>7694</v>
      </c>
      <c r="K60">
        <v>20231018</v>
      </c>
      <c r="L60" t="s">
        <v>5758</v>
      </c>
      <c r="M60">
        <v>1329.08</v>
      </c>
      <c r="N60">
        <v>0</v>
      </c>
      <c r="O60" t="s">
        <v>22</v>
      </c>
      <c r="P60">
        <v>20231018</v>
      </c>
      <c r="Q60">
        <v>20231018</v>
      </c>
    </row>
    <row r="61" spans="1:17" x14ac:dyDescent="0.25">
      <c r="A61" t="s">
        <v>476</v>
      </c>
      <c r="B61" t="s">
        <v>477</v>
      </c>
      <c r="C61">
        <v>1</v>
      </c>
      <c r="D61">
        <v>20231018</v>
      </c>
      <c r="E61">
        <v>10</v>
      </c>
      <c r="F61">
        <v>401000</v>
      </c>
      <c r="G61" t="s">
        <v>41</v>
      </c>
      <c r="H61" t="s">
        <v>67</v>
      </c>
      <c r="I61" t="s">
        <v>68</v>
      </c>
      <c r="J61" t="s">
        <v>7694</v>
      </c>
      <c r="K61">
        <v>20231018</v>
      </c>
      <c r="L61" t="s">
        <v>5758</v>
      </c>
      <c r="M61">
        <v>258.98</v>
      </c>
      <c r="N61">
        <v>0</v>
      </c>
      <c r="O61" t="s">
        <v>22</v>
      </c>
      <c r="P61">
        <v>20231018</v>
      </c>
      <c r="Q61">
        <v>20231018</v>
      </c>
    </row>
    <row r="62" spans="1:17" x14ac:dyDescent="0.25">
      <c r="A62" t="s">
        <v>476</v>
      </c>
      <c r="B62" t="s">
        <v>477</v>
      </c>
      <c r="C62">
        <v>1</v>
      </c>
      <c r="D62">
        <v>20231018</v>
      </c>
      <c r="E62">
        <v>10</v>
      </c>
      <c r="F62">
        <v>401000</v>
      </c>
      <c r="G62" t="s">
        <v>41</v>
      </c>
      <c r="H62" t="s">
        <v>71</v>
      </c>
      <c r="I62" t="s">
        <v>72</v>
      </c>
      <c r="J62" t="s">
        <v>7694</v>
      </c>
      <c r="K62">
        <v>20231018</v>
      </c>
      <c r="L62" t="s">
        <v>5758</v>
      </c>
      <c r="M62">
        <v>69.400000000000006</v>
      </c>
      <c r="N62">
        <v>0</v>
      </c>
      <c r="O62" t="s">
        <v>22</v>
      </c>
      <c r="P62">
        <v>20231018</v>
      </c>
      <c r="Q62">
        <v>20231018</v>
      </c>
    </row>
    <row r="63" spans="1:17" x14ac:dyDescent="0.25">
      <c r="A63" t="s">
        <v>476</v>
      </c>
      <c r="B63" t="s">
        <v>477</v>
      </c>
      <c r="C63">
        <v>1</v>
      </c>
      <c r="D63">
        <v>20231018</v>
      </c>
      <c r="E63">
        <v>10</v>
      </c>
      <c r="F63">
        <v>467100</v>
      </c>
      <c r="G63" t="s">
        <v>160</v>
      </c>
      <c r="H63" t="s">
        <v>4847</v>
      </c>
      <c r="I63" t="s">
        <v>4848</v>
      </c>
      <c r="J63" t="s">
        <v>7694</v>
      </c>
      <c r="K63">
        <v>20231018</v>
      </c>
      <c r="L63" t="s">
        <v>5758</v>
      </c>
      <c r="M63">
        <v>38.049999999999997</v>
      </c>
      <c r="N63">
        <v>0</v>
      </c>
      <c r="O63" t="s">
        <v>22</v>
      </c>
      <c r="P63">
        <v>20231018</v>
      </c>
      <c r="Q63">
        <v>20231018</v>
      </c>
    </row>
    <row r="64" spans="1:17" x14ac:dyDescent="0.25">
      <c r="A64" t="s">
        <v>476</v>
      </c>
      <c r="B64" t="s">
        <v>477</v>
      </c>
      <c r="C64">
        <v>1</v>
      </c>
      <c r="D64">
        <v>20231018</v>
      </c>
      <c r="E64">
        <v>10</v>
      </c>
      <c r="F64">
        <v>401000</v>
      </c>
      <c r="G64" t="s">
        <v>41</v>
      </c>
      <c r="H64" t="s">
        <v>7327</v>
      </c>
      <c r="I64" t="s">
        <v>7326</v>
      </c>
      <c r="J64" t="s">
        <v>7694</v>
      </c>
      <c r="K64">
        <v>20231018</v>
      </c>
      <c r="L64" t="s">
        <v>5758</v>
      </c>
      <c r="M64">
        <v>576</v>
      </c>
      <c r="N64">
        <v>0</v>
      </c>
      <c r="O64" t="s">
        <v>22</v>
      </c>
      <c r="P64">
        <v>20231018</v>
      </c>
      <c r="Q64">
        <v>20231018</v>
      </c>
    </row>
    <row r="65" spans="1:17" x14ac:dyDescent="0.25">
      <c r="A65" t="s">
        <v>476</v>
      </c>
      <c r="B65" t="s">
        <v>477</v>
      </c>
      <c r="C65">
        <v>1</v>
      </c>
      <c r="D65">
        <v>20231018</v>
      </c>
      <c r="E65">
        <v>10</v>
      </c>
      <c r="F65">
        <v>512000</v>
      </c>
      <c r="G65" t="s">
        <v>428</v>
      </c>
      <c r="H65" t="s">
        <v>401</v>
      </c>
      <c r="I65" t="s">
        <v>402</v>
      </c>
      <c r="J65" t="s">
        <v>7694</v>
      </c>
      <c r="K65">
        <v>20231018</v>
      </c>
      <c r="L65" t="s">
        <v>5758</v>
      </c>
      <c r="M65">
        <v>0</v>
      </c>
      <c r="N65">
        <v>2271.5100000000002</v>
      </c>
      <c r="O65" t="s">
        <v>19</v>
      </c>
      <c r="P65" t="s">
        <v>20</v>
      </c>
      <c r="Q65">
        <v>20231018</v>
      </c>
    </row>
    <row r="66" spans="1:17" x14ac:dyDescent="0.25">
      <c r="A66" t="s">
        <v>476</v>
      </c>
      <c r="B66" t="s">
        <v>477</v>
      </c>
      <c r="C66">
        <v>1</v>
      </c>
      <c r="D66">
        <v>20231018</v>
      </c>
      <c r="E66">
        <v>10</v>
      </c>
      <c r="F66">
        <v>706105</v>
      </c>
      <c r="G66" t="s">
        <v>2258</v>
      </c>
      <c r="H66" t="s">
        <v>401</v>
      </c>
      <c r="I66" t="s">
        <v>402</v>
      </c>
      <c r="J66" t="s">
        <v>7693</v>
      </c>
      <c r="K66">
        <v>20231018</v>
      </c>
      <c r="L66" t="s">
        <v>7662</v>
      </c>
      <c r="M66">
        <v>0</v>
      </c>
      <c r="N66">
        <v>4</v>
      </c>
      <c r="O66" t="s">
        <v>19</v>
      </c>
      <c r="P66" t="s">
        <v>20</v>
      </c>
      <c r="Q66">
        <v>20231018</v>
      </c>
    </row>
    <row r="67" spans="1:17" x14ac:dyDescent="0.25">
      <c r="A67" t="s">
        <v>476</v>
      </c>
      <c r="B67" t="s">
        <v>477</v>
      </c>
      <c r="C67">
        <v>1</v>
      </c>
      <c r="D67">
        <v>20231018</v>
      </c>
      <c r="E67">
        <v>10</v>
      </c>
      <c r="F67">
        <v>511003</v>
      </c>
      <c r="G67" t="s">
        <v>6874</v>
      </c>
      <c r="H67" t="s">
        <v>401</v>
      </c>
      <c r="I67" t="s">
        <v>402</v>
      </c>
      <c r="J67" t="s">
        <v>7693</v>
      </c>
      <c r="K67">
        <v>20231018</v>
      </c>
      <c r="L67" t="s">
        <v>7662</v>
      </c>
      <c r="M67">
        <v>4</v>
      </c>
      <c r="N67">
        <v>0</v>
      </c>
      <c r="O67" t="s">
        <v>19</v>
      </c>
      <c r="P67" t="s">
        <v>20</v>
      </c>
      <c r="Q67">
        <v>20231018</v>
      </c>
    </row>
    <row r="68" spans="1:17" x14ac:dyDescent="0.25">
      <c r="A68" t="s">
        <v>476</v>
      </c>
      <c r="B68" t="s">
        <v>477</v>
      </c>
      <c r="C68">
        <v>1</v>
      </c>
      <c r="D68">
        <v>20231019</v>
      </c>
      <c r="E68">
        <v>10</v>
      </c>
      <c r="F68">
        <v>468710</v>
      </c>
      <c r="G68" t="s">
        <v>423</v>
      </c>
      <c r="H68" t="s">
        <v>401</v>
      </c>
      <c r="I68" t="s">
        <v>402</v>
      </c>
      <c r="J68" t="s">
        <v>7692</v>
      </c>
      <c r="K68">
        <v>20231019</v>
      </c>
      <c r="L68" t="s">
        <v>7691</v>
      </c>
      <c r="M68">
        <v>0</v>
      </c>
      <c r="N68">
        <v>23740</v>
      </c>
      <c r="O68" t="s">
        <v>19</v>
      </c>
      <c r="P68" t="s">
        <v>20</v>
      </c>
      <c r="Q68">
        <v>20231019</v>
      </c>
    </row>
    <row r="69" spans="1:17" x14ac:dyDescent="0.25">
      <c r="A69" t="s">
        <v>476</v>
      </c>
      <c r="B69" t="s">
        <v>477</v>
      </c>
      <c r="C69">
        <v>1</v>
      </c>
      <c r="D69">
        <v>20231019</v>
      </c>
      <c r="E69">
        <v>10</v>
      </c>
      <c r="F69">
        <v>512000</v>
      </c>
      <c r="G69" t="s">
        <v>428</v>
      </c>
      <c r="H69" t="s">
        <v>401</v>
      </c>
      <c r="I69" t="s">
        <v>402</v>
      </c>
      <c r="J69" t="s">
        <v>7692</v>
      </c>
      <c r="K69">
        <v>20231019</v>
      </c>
      <c r="L69" t="s">
        <v>7691</v>
      </c>
      <c r="M69">
        <v>23740</v>
      </c>
      <c r="N69">
        <v>0</v>
      </c>
      <c r="O69" t="s">
        <v>19</v>
      </c>
      <c r="P69" t="s">
        <v>20</v>
      </c>
      <c r="Q69">
        <v>20231019</v>
      </c>
    </row>
    <row r="70" spans="1:17" x14ac:dyDescent="0.25">
      <c r="A70" t="s">
        <v>476</v>
      </c>
      <c r="B70" t="s">
        <v>477</v>
      </c>
      <c r="C70">
        <v>1</v>
      </c>
      <c r="D70">
        <v>20231020</v>
      </c>
      <c r="E70">
        <v>10</v>
      </c>
      <c r="F70">
        <v>401000</v>
      </c>
      <c r="G70" t="s">
        <v>41</v>
      </c>
      <c r="H70" t="s">
        <v>5077</v>
      </c>
      <c r="I70" t="s">
        <v>5078</v>
      </c>
      <c r="J70" t="s">
        <v>7688</v>
      </c>
      <c r="K70">
        <v>20231020</v>
      </c>
      <c r="L70" t="s">
        <v>5757</v>
      </c>
      <c r="M70">
        <v>219.6</v>
      </c>
      <c r="N70">
        <v>0</v>
      </c>
      <c r="O70" t="s">
        <v>19</v>
      </c>
      <c r="P70" t="s">
        <v>20</v>
      </c>
      <c r="Q70">
        <v>20231020</v>
      </c>
    </row>
    <row r="71" spans="1:17" x14ac:dyDescent="0.25">
      <c r="A71" t="s">
        <v>476</v>
      </c>
      <c r="B71" t="s">
        <v>477</v>
      </c>
      <c r="C71">
        <v>1</v>
      </c>
      <c r="D71">
        <v>20231020</v>
      </c>
      <c r="E71">
        <v>10</v>
      </c>
      <c r="F71">
        <v>401000</v>
      </c>
      <c r="G71" t="s">
        <v>41</v>
      </c>
      <c r="H71" t="s">
        <v>7690</v>
      </c>
      <c r="I71" t="s">
        <v>7689</v>
      </c>
      <c r="J71" t="s">
        <v>7688</v>
      </c>
      <c r="K71">
        <v>20231020</v>
      </c>
      <c r="L71" t="s">
        <v>5757</v>
      </c>
      <c r="M71">
        <v>1273.5999999999999</v>
      </c>
      <c r="N71">
        <v>0</v>
      </c>
      <c r="O71" t="s">
        <v>19</v>
      </c>
      <c r="P71" t="s">
        <v>20</v>
      </c>
      <c r="Q71">
        <v>20231020</v>
      </c>
    </row>
    <row r="72" spans="1:17" x14ac:dyDescent="0.25">
      <c r="A72" t="s">
        <v>476</v>
      </c>
      <c r="B72" t="s">
        <v>477</v>
      </c>
      <c r="C72">
        <v>1</v>
      </c>
      <c r="D72">
        <v>20231020</v>
      </c>
      <c r="E72">
        <v>10</v>
      </c>
      <c r="F72">
        <v>401000</v>
      </c>
      <c r="G72" t="s">
        <v>41</v>
      </c>
      <c r="H72" t="s">
        <v>7690</v>
      </c>
      <c r="I72" t="s">
        <v>7689</v>
      </c>
      <c r="J72" t="s">
        <v>7688</v>
      </c>
      <c r="K72">
        <v>20231020</v>
      </c>
      <c r="L72" t="s">
        <v>5757</v>
      </c>
      <c r="M72">
        <v>1393</v>
      </c>
      <c r="N72">
        <v>0</v>
      </c>
      <c r="O72" t="s">
        <v>19</v>
      </c>
      <c r="P72" t="s">
        <v>20</v>
      </c>
      <c r="Q72">
        <v>20231020</v>
      </c>
    </row>
    <row r="73" spans="1:17" x14ac:dyDescent="0.25">
      <c r="A73" t="s">
        <v>476</v>
      </c>
      <c r="B73" t="s">
        <v>477</v>
      </c>
      <c r="C73">
        <v>1</v>
      </c>
      <c r="D73">
        <v>20231020</v>
      </c>
      <c r="E73">
        <v>10</v>
      </c>
      <c r="F73">
        <v>401000</v>
      </c>
      <c r="G73" t="s">
        <v>41</v>
      </c>
      <c r="H73" t="s">
        <v>7690</v>
      </c>
      <c r="I73" t="s">
        <v>7689</v>
      </c>
      <c r="J73" t="s">
        <v>7688</v>
      </c>
      <c r="K73">
        <v>20231020</v>
      </c>
      <c r="L73" t="s">
        <v>5757</v>
      </c>
      <c r="M73">
        <v>1030.82</v>
      </c>
      <c r="N73">
        <v>0</v>
      </c>
      <c r="O73" t="s">
        <v>19</v>
      </c>
      <c r="P73" t="s">
        <v>20</v>
      </c>
      <c r="Q73">
        <v>20231020</v>
      </c>
    </row>
    <row r="74" spans="1:17" x14ac:dyDescent="0.25">
      <c r="A74" t="s">
        <v>476</v>
      </c>
      <c r="B74" t="s">
        <v>477</v>
      </c>
      <c r="C74">
        <v>1</v>
      </c>
      <c r="D74">
        <v>20231020</v>
      </c>
      <c r="E74">
        <v>10</v>
      </c>
      <c r="F74">
        <v>512000</v>
      </c>
      <c r="G74" t="s">
        <v>428</v>
      </c>
      <c r="H74" t="s">
        <v>401</v>
      </c>
      <c r="I74" t="s">
        <v>402</v>
      </c>
      <c r="J74" t="s">
        <v>7688</v>
      </c>
      <c r="K74">
        <v>20231020</v>
      </c>
      <c r="L74" t="s">
        <v>5757</v>
      </c>
      <c r="M74">
        <v>0</v>
      </c>
      <c r="N74">
        <v>3917.02</v>
      </c>
      <c r="O74" t="s">
        <v>19</v>
      </c>
      <c r="P74" t="s">
        <v>20</v>
      </c>
      <c r="Q74">
        <v>20231020</v>
      </c>
    </row>
    <row r="75" spans="1:17" x14ac:dyDescent="0.25">
      <c r="A75" t="s">
        <v>476</v>
      </c>
      <c r="B75" t="s">
        <v>477</v>
      </c>
      <c r="C75">
        <v>1</v>
      </c>
      <c r="D75">
        <v>20231020</v>
      </c>
      <c r="E75">
        <v>10</v>
      </c>
      <c r="F75">
        <v>401000</v>
      </c>
      <c r="G75" t="s">
        <v>41</v>
      </c>
      <c r="H75" t="s">
        <v>842</v>
      </c>
      <c r="I75" t="s">
        <v>843</v>
      </c>
      <c r="J75" t="s">
        <v>7685</v>
      </c>
      <c r="K75">
        <v>20231020</v>
      </c>
      <c r="L75" t="s">
        <v>5758</v>
      </c>
      <c r="M75">
        <v>100</v>
      </c>
      <c r="N75">
        <v>0</v>
      </c>
      <c r="O75" t="s">
        <v>22</v>
      </c>
      <c r="P75">
        <v>20231020</v>
      </c>
      <c r="Q75">
        <v>20231020</v>
      </c>
    </row>
    <row r="76" spans="1:17" x14ac:dyDescent="0.25">
      <c r="A76" t="s">
        <v>476</v>
      </c>
      <c r="B76" t="s">
        <v>477</v>
      </c>
      <c r="C76">
        <v>1</v>
      </c>
      <c r="D76">
        <v>20231020</v>
      </c>
      <c r="E76">
        <v>10</v>
      </c>
      <c r="F76">
        <v>401000</v>
      </c>
      <c r="G76" t="s">
        <v>41</v>
      </c>
      <c r="H76" t="s">
        <v>827</v>
      </c>
      <c r="I76" t="s">
        <v>828</v>
      </c>
      <c r="J76" t="s">
        <v>7685</v>
      </c>
      <c r="K76">
        <v>20231020</v>
      </c>
      <c r="L76" t="s">
        <v>5758</v>
      </c>
      <c r="M76">
        <v>189</v>
      </c>
      <c r="N76">
        <v>0</v>
      </c>
      <c r="O76" t="s">
        <v>22</v>
      </c>
      <c r="P76">
        <v>20231020</v>
      </c>
      <c r="Q76">
        <v>20231020</v>
      </c>
    </row>
    <row r="77" spans="1:17" x14ac:dyDescent="0.25">
      <c r="A77" t="s">
        <v>476</v>
      </c>
      <c r="B77" t="s">
        <v>477</v>
      </c>
      <c r="C77">
        <v>1</v>
      </c>
      <c r="D77">
        <v>20231020</v>
      </c>
      <c r="E77">
        <v>10</v>
      </c>
      <c r="F77">
        <v>401000</v>
      </c>
      <c r="G77" t="s">
        <v>41</v>
      </c>
      <c r="H77" t="s">
        <v>7687</v>
      </c>
      <c r="I77" t="s">
        <v>7686</v>
      </c>
      <c r="J77" t="s">
        <v>7685</v>
      </c>
      <c r="K77">
        <v>20231020</v>
      </c>
      <c r="L77" t="s">
        <v>5758</v>
      </c>
      <c r="M77">
        <v>200</v>
      </c>
      <c r="N77">
        <v>0</v>
      </c>
      <c r="O77" t="s">
        <v>22</v>
      </c>
      <c r="P77">
        <v>20231020</v>
      </c>
      <c r="Q77">
        <v>20231020</v>
      </c>
    </row>
    <row r="78" spans="1:17" x14ac:dyDescent="0.25">
      <c r="A78" t="s">
        <v>476</v>
      </c>
      <c r="B78" t="s">
        <v>477</v>
      </c>
      <c r="C78">
        <v>1</v>
      </c>
      <c r="D78">
        <v>20231020</v>
      </c>
      <c r="E78">
        <v>10</v>
      </c>
      <c r="F78">
        <v>512000</v>
      </c>
      <c r="G78" t="s">
        <v>428</v>
      </c>
      <c r="H78" t="s">
        <v>401</v>
      </c>
      <c r="I78" t="s">
        <v>402</v>
      </c>
      <c r="J78" t="s">
        <v>7685</v>
      </c>
      <c r="K78">
        <v>20231020</v>
      </c>
      <c r="L78" t="s">
        <v>5758</v>
      </c>
      <c r="M78">
        <v>0</v>
      </c>
      <c r="N78">
        <v>489</v>
      </c>
      <c r="O78" t="s">
        <v>19</v>
      </c>
      <c r="P78" t="s">
        <v>20</v>
      </c>
      <c r="Q78">
        <v>20231020</v>
      </c>
    </row>
    <row r="79" spans="1:17" x14ac:dyDescent="0.25">
      <c r="A79" t="s">
        <v>476</v>
      </c>
      <c r="B79" t="s">
        <v>477</v>
      </c>
      <c r="C79">
        <v>1</v>
      </c>
      <c r="D79">
        <v>20231020</v>
      </c>
      <c r="E79">
        <v>10</v>
      </c>
      <c r="F79">
        <v>468200</v>
      </c>
      <c r="G79" t="s">
        <v>421</v>
      </c>
      <c r="H79" t="s">
        <v>401</v>
      </c>
      <c r="I79" t="s">
        <v>402</v>
      </c>
      <c r="J79" t="s">
        <v>7684</v>
      </c>
      <c r="K79">
        <v>20231020</v>
      </c>
      <c r="L79" t="s">
        <v>422</v>
      </c>
      <c r="M79">
        <v>0</v>
      </c>
      <c r="N79">
        <v>66.209999999999994</v>
      </c>
      <c r="O79" t="s">
        <v>19</v>
      </c>
      <c r="P79" t="s">
        <v>20</v>
      </c>
      <c r="Q79">
        <v>20231020</v>
      </c>
    </row>
    <row r="80" spans="1:17" x14ac:dyDescent="0.25">
      <c r="A80" t="s">
        <v>476</v>
      </c>
      <c r="B80" t="s">
        <v>477</v>
      </c>
      <c r="C80">
        <v>1</v>
      </c>
      <c r="D80">
        <v>20231020</v>
      </c>
      <c r="E80">
        <v>10</v>
      </c>
      <c r="F80">
        <v>512000</v>
      </c>
      <c r="G80" t="s">
        <v>428</v>
      </c>
      <c r="H80" t="s">
        <v>401</v>
      </c>
      <c r="I80" t="s">
        <v>402</v>
      </c>
      <c r="J80" t="s">
        <v>7684</v>
      </c>
      <c r="K80">
        <v>20231020</v>
      </c>
      <c r="L80" t="s">
        <v>422</v>
      </c>
      <c r="M80">
        <v>66.209999999999994</v>
      </c>
      <c r="N80">
        <v>0</v>
      </c>
      <c r="O80" t="s">
        <v>19</v>
      </c>
      <c r="P80" t="s">
        <v>20</v>
      </c>
      <c r="Q80">
        <v>20231020</v>
      </c>
    </row>
    <row r="81" spans="1:17" x14ac:dyDescent="0.25">
      <c r="A81" t="s">
        <v>476</v>
      </c>
      <c r="B81" t="s">
        <v>477</v>
      </c>
      <c r="C81">
        <v>1</v>
      </c>
      <c r="D81">
        <v>20231023</v>
      </c>
      <c r="E81">
        <v>10</v>
      </c>
      <c r="F81">
        <v>706105</v>
      </c>
      <c r="G81" t="s">
        <v>2258</v>
      </c>
      <c r="H81" t="s">
        <v>401</v>
      </c>
      <c r="I81" t="s">
        <v>402</v>
      </c>
      <c r="J81" t="s">
        <v>7683</v>
      </c>
      <c r="K81">
        <v>20231023</v>
      </c>
      <c r="L81" t="s">
        <v>7662</v>
      </c>
      <c r="M81">
        <v>0</v>
      </c>
      <c r="N81">
        <v>15</v>
      </c>
      <c r="O81" t="s">
        <v>19</v>
      </c>
      <c r="P81" t="s">
        <v>20</v>
      </c>
      <c r="Q81">
        <v>20231023</v>
      </c>
    </row>
    <row r="82" spans="1:17" x14ac:dyDescent="0.25">
      <c r="A82" t="s">
        <v>476</v>
      </c>
      <c r="B82" t="s">
        <v>477</v>
      </c>
      <c r="C82">
        <v>1</v>
      </c>
      <c r="D82">
        <v>20231023</v>
      </c>
      <c r="E82">
        <v>10</v>
      </c>
      <c r="F82">
        <v>511003</v>
      </c>
      <c r="G82" t="s">
        <v>6874</v>
      </c>
      <c r="H82" t="s">
        <v>401</v>
      </c>
      <c r="I82" t="s">
        <v>402</v>
      </c>
      <c r="J82" t="s">
        <v>7683</v>
      </c>
      <c r="K82">
        <v>20231023</v>
      </c>
      <c r="L82" t="s">
        <v>7662</v>
      </c>
      <c r="M82">
        <v>15</v>
      </c>
      <c r="N82">
        <v>0</v>
      </c>
      <c r="O82" t="s">
        <v>19</v>
      </c>
      <c r="P82" t="s">
        <v>20</v>
      </c>
      <c r="Q82">
        <v>20231023</v>
      </c>
    </row>
    <row r="83" spans="1:17" x14ac:dyDescent="0.25">
      <c r="A83" t="s">
        <v>476</v>
      </c>
      <c r="B83" t="s">
        <v>477</v>
      </c>
      <c r="C83">
        <v>1</v>
      </c>
      <c r="D83">
        <v>20231023</v>
      </c>
      <c r="E83">
        <v>10</v>
      </c>
      <c r="F83">
        <v>706105</v>
      </c>
      <c r="G83" t="s">
        <v>2258</v>
      </c>
      <c r="H83" t="s">
        <v>401</v>
      </c>
      <c r="I83" t="s">
        <v>402</v>
      </c>
      <c r="J83" t="s">
        <v>7682</v>
      </c>
      <c r="K83">
        <v>20231023</v>
      </c>
      <c r="L83" t="s">
        <v>7662</v>
      </c>
      <c r="M83">
        <v>0</v>
      </c>
      <c r="N83">
        <v>19</v>
      </c>
      <c r="O83" t="s">
        <v>19</v>
      </c>
      <c r="P83" t="s">
        <v>20</v>
      </c>
      <c r="Q83">
        <v>20231023</v>
      </c>
    </row>
    <row r="84" spans="1:17" x14ac:dyDescent="0.25">
      <c r="A84" t="s">
        <v>476</v>
      </c>
      <c r="B84" t="s">
        <v>477</v>
      </c>
      <c r="C84">
        <v>1</v>
      </c>
      <c r="D84">
        <v>20231023</v>
      </c>
      <c r="E84">
        <v>10</v>
      </c>
      <c r="F84">
        <v>511003</v>
      </c>
      <c r="G84" t="s">
        <v>6874</v>
      </c>
      <c r="H84" t="s">
        <v>401</v>
      </c>
      <c r="I84" t="s">
        <v>402</v>
      </c>
      <c r="J84" t="s">
        <v>7682</v>
      </c>
      <c r="K84">
        <v>20231023</v>
      </c>
      <c r="L84" t="s">
        <v>7662</v>
      </c>
      <c r="M84">
        <v>19</v>
      </c>
      <c r="N84">
        <v>0</v>
      </c>
      <c r="O84" t="s">
        <v>19</v>
      </c>
      <c r="P84" t="s">
        <v>20</v>
      </c>
      <c r="Q84">
        <v>20231023</v>
      </c>
    </row>
    <row r="85" spans="1:17" x14ac:dyDescent="0.25">
      <c r="A85" t="s">
        <v>476</v>
      </c>
      <c r="B85" t="s">
        <v>477</v>
      </c>
      <c r="C85">
        <v>1</v>
      </c>
      <c r="D85">
        <v>20231023</v>
      </c>
      <c r="E85">
        <v>10</v>
      </c>
      <c r="F85">
        <v>706105</v>
      </c>
      <c r="G85" t="s">
        <v>2258</v>
      </c>
      <c r="H85" t="s">
        <v>401</v>
      </c>
      <c r="I85" t="s">
        <v>402</v>
      </c>
      <c r="J85" t="s">
        <v>7681</v>
      </c>
      <c r="K85">
        <v>20231023</v>
      </c>
      <c r="L85" t="s">
        <v>7662</v>
      </c>
      <c r="M85">
        <v>0</v>
      </c>
      <c r="N85">
        <v>21.88</v>
      </c>
      <c r="O85" t="s">
        <v>19</v>
      </c>
      <c r="P85" t="s">
        <v>20</v>
      </c>
      <c r="Q85">
        <v>20231023</v>
      </c>
    </row>
    <row r="86" spans="1:17" x14ac:dyDescent="0.25">
      <c r="A86" t="s">
        <v>476</v>
      </c>
      <c r="B86" t="s">
        <v>477</v>
      </c>
      <c r="C86">
        <v>1</v>
      </c>
      <c r="D86">
        <v>20231023</v>
      </c>
      <c r="E86">
        <v>10</v>
      </c>
      <c r="F86">
        <v>511003</v>
      </c>
      <c r="G86" t="s">
        <v>6874</v>
      </c>
      <c r="H86" t="s">
        <v>401</v>
      </c>
      <c r="I86" t="s">
        <v>402</v>
      </c>
      <c r="J86" t="s">
        <v>7681</v>
      </c>
      <c r="K86">
        <v>20231023</v>
      </c>
      <c r="L86" t="s">
        <v>7662</v>
      </c>
      <c r="M86">
        <v>21.88</v>
      </c>
      <c r="N86">
        <v>0</v>
      </c>
      <c r="O86" t="s">
        <v>19</v>
      </c>
      <c r="P86" t="s">
        <v>20</v>
      </c>
      <c r="Q86">
        <v>20231023</v>
      </c>
    </row>
    <row r="87" spans="1:17" x14ac:dyDescent="0.25">
      <c r="A87" t="s">
        <v>476</v>
      </c>
      <c r="B87" t="s">
        <v>477</v>
      </c>
      <c r="C87">
        <v>1</v>
      </c>
      <c r="D87">
        <v>20231023</v>
      </c>
      <c r="E87">
        <v>10</v>
      </c>
      <c r="F87">
        <v>627000</v>
      </c>
      <c r="G87" t="s">
        <v>480</v>
      </c>
      <c r="H87" t="s">
        <v>401</v>
      </c>
      <c r="I87" t="s">
        <v>402</v>
      </c>
      <c r="J87" t="s">
        <v>7680</v>
      </c>
      <c r="K87">
        <v>20231023</v>
      </c>
      <c r="L87" t="s">
        <v>7679</v>
      </c>
      <c r="M87">
        <v>25.2</v>
      </c>
      <c r="N87">
        <v>0</v>
      </c>
      <c r="O87" t="s">
        <v>19</v>
      </c>
      <c r="P87" t="s">
        <v>20</v>
      </c>
      <c r="Q87">
        <v>20231023</v>
      </c>
    </row>
    <row r="88" spans="1:17" x14ac:dyDescent="0.25">
      <c r="A88" t="s">
        <v>476</v>
      </c>
      <c r="B88" t="s">
        <v>477</v>
      </c>
      <c r="C88">
        <v>1</v>
      </c>
      <c r="D88">
        <v>20231023</v>
      </c>
      <c r="E88">
        <v>10</v>
      </c>
      <c r="F88">
        <v>512000</v>
      </c>
      <c r="G88" t="s">
        <v>428</v>
      </c>
      <c r="H88" t="s">
        <v>401</v>
      </c>
      <c r="I88" t="s">
        <v>402</v>
      </c>
      <c r="J88" t="s">
        <v>7680</v>
      </c>
      <c r="K88">
        <v>20231023</v>
      </c>
      <c r="L88" t="s">
        <v>7679</v>
      </c>
      <c r="M88">
        <v>0</v>
      </c>
      <c r="N88">
        <v>25.2</v>
      </c>
      <c r="O88" t="s">
        <v>19</v>
      </c>
      <c r="P88" t="s">
        <v>20</v>
      </c>
      <c r="Q88">
        <v>20231023</v>
      </c>
    </row>
    <row r="89" spans="1:17" x14ac:dyDescent="0.25">
      <c r="A89" t="s">
        <v>476</v>
      </c>
      <c r="B89" t="s">
        <v>477</v>
      </c>
      <c r="C89">
        <v>1</v>
      </c>
      <c r="D89">
        <v>20231023</v>
      </c>
      <c r="E89">
        <v>10</v>
      </c>
      <c r="F89">
        <v>468740</v>
      </c>
      <c r="G89" t="s">
        <v>426</v>
      </c>
      <c r="H89" t="s">
        <v>401</v>
      </c>
      <c r="I89" t="s">
        <v>402</v>
      </c>
      <c r="J89" t="s">
        <v>7678</v>
      </c>
      <c r="K89">
        <v>20231023</v>
      </c>
      <c r="L89" t="s">
        <v>7677</v>
      </c>
      <c r="M89">
        <v>0</v>
      </c>
      <c r="N89">
        <v>5200</v>
      </c>
      <c r="O89" t="s">
        <v>19</v>
      </c>
      <c r="P89" t="s">
        <v>20</v>
      </c>
      <c r="Q89">
        <v>20231023</v>
      </c>
    </row>
    <row r="90" spans="1:17" x14ac:dyDescent="0.25">
      <c r="A90" t="s">
        <v>476</v>
      </c>
      <c r="B90" t="s">
        <v>477</v>
      </c>
      <c r="C90">
        <v>1</v>
      </c>
      <c r="D90">
        <v>20231023</v>
      </c>
      <c r="E90">
        <v>10</v>
      </c>
      <c r="F90">
        <v>512000</v>
      </c>
      <c r="G90" t="s">
        <v>428</v>
      </c>
      <c r="H90" t="s">
        <v>401</v>
      </c>
      <c r="I90" t="s">
        <v>402</v>
      </c>
      <c r="J90" t="s">
        <v>7678</v>
      </c>
      <c r="K90">
        <v>20231023</v>
      </c>
      <c r="L90" t="s">
        <v>7677</v>
      </c>
      <c r="M90">
        <v>5200</v>
      </c>
      <c r="N90">
        <v>0</v>
      </c>
      <c r="O90" t="s">
        <v>19</v>
      </c>
      <c r="P90" t="s">
        <v>20</v>
      </c>
      <c r="Q90">
        <v>20231023</v>
      </c>
    </row>
    <row r="91" spans="1:17" x14ac:dyDescent="0.25">
      <c r="A91" t="s">
        <v>476</v>
      </c>
      <c r="B91" t="s">
        <v>477</v>
      </c>
      <c r="C91">
        <v>1</v>
      </c>
      <c r="D91">
        <v>20231024</v>
      </c>
      <c r="E91">
        <v>10</v>
      </c>
      <c r="F91">
        <v>442100</v>
      </c>
      <c r="G91" t="s">
        <v>435</v>
      </c>
      <c r="H91" t="s">
        <v>401</v>
      </c>
      <c r="I91" t="s">
        <v>402</v>
      </c>
      <c r="J91" t="s">
        <v>7676</v>
      </c>
      <c r="K91">
        <v>20231024</v>
      </c>
      <c r="L91" t="s">
        <v>528</v>
      </c>
      <c r="M91">
        <v>775</v>
      </c>
      <c r="N91">
        <v>0</v>
      </c>
      <c r="O91" t="s">
        <v>19</v>
      </c>
      <c r="P91" t="s">
        <v>20</v>
      </c>
      <c r="Q91">
        <v>20231024</v>
      </c>
    </row>
    <row r="92" spans="1:17" x14ac:dyDescent="0.25">
      <c r="A92" t="s">
        <v>476</v>
      </c>
      <c r="B92" t="s">
        <v>477</v>
      </c>
      <c r="C92">
        <v>1</v>
      </c>
      <c r="D92">
        <v>20231024</v>
      </c>
      <c r="E92">
        <v>10</v>
      </c>
      <c r="F92">
        <v>512000</v>
      </c>
      <c r="G92" t="s">
        <v>428</v>
      </c>
      <c r="H92" t="s">
        <v>401</v>
      </c>
      <c r="I92" t="s">
        <v>402</v>
      </c>
      <c r="J92" t="s">
        <v>7676</v>
      </c>
      <c r="K92">
        <v>20231024</v>
      </c>
      <c r="L92" t="s">
        <v>528</v>
      </c>
      <c r="M92">
        <v>0</v>
      </c>
      <c r="N92">
        <v>775</v>
      </c>
      <c r="O92" t="s">
        <v>19</v>
      </c>
      <c r="P92" t="s">
        <v>20</v>
      </c>
      <c r="Q92">
        <v>20231024</v>
      </c>
    </row>
    <row r="93" spans="1:17" x14ac:dyDescent="0.25">
      <c r="A93" t="s">
        <v>476</v>
      </c>
      <c r="B93" t="s">
        <v>477</v>
      </c>
      <c r="C93">
        <v>1</v>
      </c>
      <c r="D93">
        <v>20231025</v>
      </c>
      <c r="E93">
        <v>10</v>
      </c>
      <c r="F93">
        <v>433000</v>
      </c>
      <c r="G93" t="s">
        <v>410</v>
      </c>
      <c r="H93" t="s">
        <v>401</v>
      </c>
      <c r="I93" t="s">
        <v>402</v>
      </c>
      <c r="J93" t="s">
        <v>7675</v>
      </c>
      <c r="K93">
        <v>20231025</v>
      </c>
      <c r="L93" t="s">
        <v>530</v>
      </c>
      <c r="M93">
        <v>4955.12</v>
      </c>
      <c r="N93">
        <v>0</v>
      </c>
      <c r="O93" t="s">
        <v>19</v>
      </c>
      <c r="P93" t="s">
        <v>20</v>
      </c>
      <c r="Q93">
        <v>20231025</v>
      </c>
    </row>
    <row r="94" spans="1:17" x14ac:dyDescent="0.25">
      <c r="A94" t="s">
        <v>476</v>
      </c>
      <c r="B94" t="s">
        <v>477</v>
      </c>
      <c r="C94">
        <v>1</v>
      </c>
      <c r="D94">
        <v>20231025</v>
      </c>
      <c r="E94">
        <v>10</v>
      </c>
      <c r="F94">
        <v>512000</v>
      </c>
      <c r="G94" t="s">
        <v>428</v>
      </c>
      <c r="H94" t="s">
        <v>401</v>
      </c>
      <c r="I94" t="s">
        <v>402</v>
      </c>
      <c r="J94" t="s">
        <v>7675</v>
      </c>
      <c r="K94">
        <v>20231025</v>
      </c>
      <c r="L94" t="s">
        <v>530</v>
      </c>
      <c r="M94">
        <v>0</v>
      </c>
      <c r="N94">
        <v>4955.12</v>
      </c>
      <c r="O94" t="s">
        <v>19</v>
      </c>
      <c r="P94" t="s">
        <v>20</v>
      </c>
      <c r="Q94">
        <v>20231025</v>
      </c>
    </row>
    <row r="95" spans="1:17" x14ac:dyDescent="0.25">
      <c r="A95" t="s">
        <v>476</v>
      </c>
      <c r="B95" t="s">
        <v>477</v>
      </c>
      <c r="C95">
        <v>1</v>
      </c>
      <c r="D95">
        <v>20231025</v>
      </c>
      <c r="E95">
        <v>10</v>
      </c>
      <c r="F95">
        <v>433100</v>
      </c>
      <c r="G95" t="s">
        <v>411</v>
      </c>
      <c r="H95" t="s">
        <v>401</v>
      </c>
      <c r="I95" t="s">
        <v>402</v>
      </c>
      <c r="J95" t="s">
        <v>7674</v>
      </c>
      <c r="K95">
        <v>20231025</v>
      </c>
      <c r="L95" t="s">
        <v>534</v>
      </c>
      <c r="M95">
        <v>1169.3699999999999</v>
      </c>
      <c r="N95">
        <v>0</v>
      </c>
      <c r="O95" t="s">
        <v>19</v>
      </c>
      <c r="P95" t="s">
        <v>20</v>
      </c>
      <c r="Q95">
        <v>20231025</v>
      </c>
    </row>
    <row r="96" spans="1:17" x14ac:dyDescent="0.25">
      <c r="A96" t="s">
        <v>476</v>
      </c>
      <c r="B96" t="s">
        <v>477</v>
      </c>
      <c r="C96">
        <v>1</v>
      </c>
      <c r="D96">
        <v>20231025</v>
      </c>
      <c r="E96">
        <v>10</v>
      </c>
      <c r="F96">
        <v>512000</v>
      </c>
      <c r="G96" t="s">
        <v>428</v>
      </c>
      <c r="H96" t="s">
        <v>401</v>
      </c>
      <c r="I96" t="s">
        <v>402</v>
      </c>
      <c r="J96" t="s">
        <v>7674</v>
      </c>
      <c r="K96">
        <v>20231025</v>
      </c>
      <c r="L96" t="s">
        <v>534</v>
      </c>
      <c r="M96">
        <v>0</v>
      </c>
      <c r="N96">
        <v>1169.3699999999999</v>
      </c>
      <c r="O96" t="s">
        <v>19</v>
      </c>
      <c r="P96" t="s">
        <v>20</v>
      </c>
      <c r="Q96">
        <v>20231025</v>
      </c>
    </row>
    <row r="97" spans="1:17" x14ac:dyDescent="0.25">
      <c r="A97" t="s">
        <v>476</v>
      </c>
      <c r="B97" t="s">
        <v>477</v>
      </c>
      <c r="C97">
        <v>1</v>
      </c>
      <c r="D97">
        <v>20231025</v>
      </c>
      <c r="E97">
        <v>10</v>
      </c>
      <c r="F97">
        <v>706237</v>
      </c>
      <c r="G97" t="s">
        <v>4203</v>
      </c>
      <c r="H97" t="s">
        <v>401</v>
      </c>
      <c r="I97" t="s">
        <v>402</v>
      </c>
      <c r="J97" t="s">
        <v>7673</v>
      </c>
      <c r="K97">
        <v>20231025</v>
      </c>
      <c r="L97" t="s">
        <v>7672</v>
      </c>
      <c r="M97">
        <v>0</v>
      </c>
      <c r="N97">
        <v>3014.19</v>
      </c>
      <c r="O97" t="s">
        <v>19</v>
      </c>
      <c r="P97" t="s">
        <v>20</v>
      </c>
      <c r="Q97">
        <v>20231025</v>
      </c>
    </row>
    <row r="98" spans="1:17" x14ac:dyDescent="0.25">
      <c r="A98" t="s">
        <v>476</v>
      </c>
      <c r="B98" t="s">
        <v>477</v>
      </c>
      <c r="C98">
        <v>1</v>
      </c>
      <c r="D98">
        <v>20231025</v>
      </c>
      <c r="E98">
        <v>10</v>
      </c>
      <c r="F98">
        <v>512000</v>
      </c>
      <c r="G98" t="s">
        <v>428</v>
      </c>
      <c r="H98" t="s">
        <v>401</v>
      </c>
      <c r="I98" t="s">
        <v>402</v>
      </c>
      <c r="J98" t="s">
        <v>7673</v>
      </c>
      <c r="K98">
        <v>20231025</v>
      </c>
      <c r="L98" t="s">
        <v>7672</v>
      </c>
      <c r="M98">
        <v>3014.19</v>
      </c>
      <c r="N98">
        <v>0</v>
      </c>
      <c r="O98" t="s">
        <v>19</v>
      </c>
      <c r="P98" t="s">
        <v>20</v>
      </c>
      <c r="Q98">
        <v>20231025</v>
      </c>
    </row>
    <row r="99" spans="1:17" x14ac:dyDescent="0.25">
      <c r="A99" t="s">
        <v>476</v>
      </c>
      <c r="B99" t="s">
        <v>477</v>
      </c>
      <c r="C99">
        <v>1</v>
      </c>
      <c r="D99">
        <v>20231026</v>
      </c>
      <c r="E99">
        <v>10</v>
      </c>
      <c r="F99">
        <v>445050</v>
      </c>
      <c r="G99" t="s">
        <v>416</v>
      </c>
      <c r="H99" t="s">
        <v>401</v>
      </c>
      <c r="I99" t="s">
        <v>402</v>
      </c>
      <c r="J99" t="s">
        <v>7668</v>
      </c>
      <c r="K99">
        <v>20231026</v>
      </c>
      <c r="L99" t="s">
        <v>7671</v>
      </c>
      <c r="M99">
        <v>0</v>
      </c>
      <c r="N99">
        <v>15926.63</v>
      </c>
      <c r="O99" t="s">
        <v>19</v>
      </c>
      <c r="P99" t="s">
        <v>20</v>
      </c>
      <c r="Q99">
        <v>20231026</v>
      </c>
    </row>
    <row r="100" spans="1:17" x14ac:dyDescent="0.25">
      <c r="A100" t="s">
        <v>476</v>
      </c>
      <c r="B100" t="s">
        <v>477</v>
      </c>
      <c r="C100">
        <v>1</v>
      </c>
      <c r="D100">
        <v>20231026</v>
      </c>
      <c r="E100">
        <v>10</v>
      </c>
      <c r="F100">
        <v>445050</v>
      </c>
      <c r="G100" t="s">
        <v>416</v>
      </c>
      <c r="H100" t="s">
        <v>401</v>
      </c>
      <c r="I100" t="s">
        <v>402</v>
      </c>
      <c r="J100" t="s">
        <v>7668</v>
      </c>
      <c r="K100">
        <v>20231026</v>
      </c>
      <c r="L100" t="s">
        <v>7670</v>
      </c>
      <c r="M100">
        <v>0</v>
      </c>
      <c r="N100">
        <v>15926.63</v>
      </c>
      <c r="O100" t="s">
        <v>19</v>
      </c>
      <c r="P100" t="s">
        <v>20</v>
      </c>
      <c r="Q100">
        <v>20231026</v>
      </c>
    </row>
    <row r="101" spans="1:17" x14ac:dyDescent="0.25">
      <c r="A101" t="s">
        <v>476</v>
      </c>
      <c r="B101" t="s">
        <v>477</v>
      </c>
      <c r="C101">
        <v>1</v>
      </c>
      <c r="D101">
        <v>20231026</v>
      </c>
      <c r="E101">
        <v>10</v>
      </c>
      <c r="F101">
        <v>445051</v>
      </c>
      <c r="G101" t="s">
        <v>417</v>
      </c>
      <c r="H101" t="s">
        <v>401</v>
      </c>
      <c r="I101" t="s">
        <v>402</v>
      </c>
      <c r="J101" t="s">
        <v>7668</v>
      </c>
      <c r="K101">
        <v>20231026</v>
      </c>
      <c r="L101" t="s">
        <v>7669</v>
      </c>
      <c r="M101">
        <v>0</v>
      </c>
      <c r="N101">
        <v>10316.34</v>
      </c>
      <c r="O101" t="s">
        <v>19</v>
      </c>
      <c r="P101" t="s">
        <v>20</v>
      </c>
      <c r="Q101">
        <v>20231026</v>
      </c>
    </row>
    <row r="102" spans="1:17" x14ac:dyDescent="0.25">
      <c r="A102" t="s">
        <v>476</v>
      </c>
      <c r="B102" t="s">
        <v>477</v>
      </c>
      <c r="C102">
        <v>1</v>
      </c>
      <c r="D102">
        <v>20231026</v>
      </c>
      <c r="E102">
        <v>10</v>
      </c>
      <c r="F102">
        <v>445051</v>
      </c>
      <c r="G102" t="s">
        <v>417</v>
      </c>
      <c r="H102" t="s">
        <v>401</v>
      </c>
      <c r="I102" t="s">
        <v>402</v>
      </c>
      <c r="J102" t="s">
        <v>7668</v>
      </c>
      <c r="K102">
        <v>20231026</v>
      </c>
      <c r="L102" t="s">
        <v>7667</v>
      </c>
      <c r="M102">
        <v>0</v>
      </c>
      <c r="N102">
        <v>10316.34</v>
      </c>
      <c r="O102" t="s">
        <v>19</v>
      </c>
      <c r="P102" t="s">
        <v>20</v>
      </c>
      <c r="Q102">
        <v>20231026</v>
      </c>
    </row>
    <row r="103" spans="1:17" x14ac:dyDescent="0.25">
      <c r="A103" t="s">
        <v>476</v>
      </c>
      <c r="B103" t="s">
        <v>477</v>
      </c>
      <c r="C103">
        <v>1</v>
      </c>
      <c r="D103">
        <v>20231026</v>
      </c>
      <c r="E103">
        <v>10</v>
      </c>
      <c r="F103">
        <v>512000</v>
      </c>
      <c r="G103" t="s">
        <v>428</v>
      </c>
      <c r="H103" t="s">
        <v>401</v>
      </c>
      <c r="I103" t="s">
        <v>402</v>
      </c>
      <c r="J103" t="s">
        <v>7668</v>
      </c>
      <c r="K103">
        <v>20231026</v>
      </c>
      <c r="L103" t="s">
        <v>7667</v>
      </c>
      <c r="M103">
        <v>52485.94</v>
      </c>
      <c r="N103">
        <v>0</v>
      </c>
      <c r="O103" t="s">
        <v>19</v>
      </c>
      <c r="P103" t="s">
        <v>20</v>
      </c>
      <c r="Q103">
        <v>20231026</v>
      </c>
    </row>
    <row r="104" spans="1:17" x14ac:dyDescent="0.25">
      <c r="A104" t="s">
        <v>476</v>
      </c>
      <c r="B104" t="s">
        <v>477</v>
      </c>
      <c r="C104">
        <v>1</v>
      </c>
      <c r="D104">
        <v>20231026</v>
      </c>
      <c r="E104">
        <v>10</v>
      </c>
      <c r="F104">
        <v>771300</v>
      </c>
      <c r="G104" t="s">
        <v>1664</v>
      </c>
      <c r="H104" t="s">
        <v>401</v>
      </c>
      <c r="I104" t="s">
        <v>402</v>
      </c>
      <c r="J104" t="s">
        <v>7666</v>
      </c>
      <c r="K104">
        <v>20231026</v>
      </c>
      <c r="L104" t="s">
        <v>1666</v>
      </c>
      <c r="M104">
        <v>0</v>
      </c>
      <c r="N104">
        <v>2103.0100000000002</v>
      </c>
      <c r="O104" t="s">
        <v>19</v>
      </c>
      <c r="P104" t="s">
        <v>20</v>
      </c>
      <c r="Q104">
        <v>20231026</v>
      </c>
    </row>
    <row r="105" spans="1:17" x14ac:dyDescent="0.25">
      <c r="A105" t="s">
        <v>476</v>
      </c>
      <c r="B105" t="s">
        <v>477</v>
      </c>
      <c r="C105">
        <v>1</v>
      </c>
      <c r="D105">
        <v>20231026</v>
      </c>
      <c r="E105">
        <v>10</v>
      </c>
      <c r="F105">
        <v>512000</v>
      </c>
      <c r="G105" t="s">
        <v>428</v>
      </c>
      <c r="H105" t="s">
        <v>401</v>
      </c>
      <c r="I105" t="s">
        <v>402</v>
      </c>
      <c r="J105" t="s">
        <v>7666</v>
      </c>
      <c r="K105">
        <v>20231026</v>
      </c>
      <c r="L105" t="s">
        <v>1666</v>
      </c>
      <c r="M105">
        <v>2103.0100000000002</v>
      </c>
      <c r="N105">
        <v>0</v>
      </c>
      <c r="O105" t="s">
        <v>19</v>
      </c>
      <c r="P105" t="s">
        <v>20</v>
      </c>
      <c r="Q105">
        <v>20231026</v>
      </c>
    </row>
    <row r="106" spans="1:17" x14ac:dyDescent="0.25">
      <c r="A106" t="s">
        <v>476</v>
      </c>
      <c r="B106" t="s">
        <v>477</v>
      </c>
      <c r="C106">
        <v>1</v>
      </c>
      <c r="D106">
        <v>20231027</v>
      </c>
      <c r="E106">
        <v>10</v>
      </c>
      <c r="F106">
        <v>401000</v>
      </c>
      <c r="G106" t="s">
        <v>41</v>
      </c>
      <c r="H106" t="s">
        <v>42</v>
      </c>
      <c r="I106" t="s">
        <v>43</v>
      </c>
      <c r="J106" t="s">
        <v>7665</v>
      </c>
      <c r="K106">
        <v>20231027</v>
      </c>
      <c r="L106" t="s">
        <v>5758</v>
      </c>
      <c r="M106">
        <v>484.72</v>
      </c>
      <c r="N106">
        <v>0</v>
      </c>
      <c r="O106" t="s">
        <v>22</v>
      </c>
      <c r="P106">
        <v>20231027</v>
      </c>
      <c r="Q106">
        <v>20231027</v>
      </c>
    </row>
    <row r="107" spans="1:17" x14ac:dyDescent="0.25">
      <c r="A107" t="s">
        <v>476</v>
      </c>
      <c r="B107" t="s">
        <v>477</v>
      </c>
      <c r="C107">
        <v>1</v>
      </c>
      <c r="D107">
        <v>20231027</v>
      </c>
      <c r="E107">
        <v>10</v>
      </c>
      <c r="F107">
        <v>401000</v>
      </c>
      <c r="G107" t="s">
        <v>41</v>
      </c>
      <c r="H107" t="s">
        <v>44</v>
      </c>
      <c r="I107" t="s">
        <v>45</v>
      </c>
      <c r="J107" t="s">
        <v>7665</v>
      </c>
      <c r="K107">
        <v>20231027</v>
      </c>
      <c r="L107" t="s">
        <v>5758</v>
      </c>
      <c r="M107">
        <v>178.2</v>
      </c>
      <c r="N107">
        <v>0</v>
      </c>
      <c r="O107" t="s">
        <v>22</v>
      </c>
      <c r="P107">
        <v>20231027</v>
      </c>
      <c r="Q107">
        <v>20231027</v>
      </c>
    </row>
    <row r="108" spans="1:17" x14ac:dyDescent="0.25">
      <c r="A108" t="s">
        <v>476</v>
      </c>
      <c r="B108" t="s">
        <v>477</v>
      </c>
      <c r="C108">
        <v>1</v>
      </c>
      <c r="D108">
        <v>20231027</v>
      </c>
      <c r="E108">
        <v>10</v>
      </c>
      <c r="F108">
        <v>401000</v>
      </c>
      <c r="G108" t="s">
        <v>41</v>
      </c>
      <c r="H108" t="s">
        <v>54</v>
      </c>
      <c r="I108" t="s">
        <v>55</v>
      </c>
      <c r="J108" t="s">
        <v>7665</v>
      </c>
      <c r="K108">
        <v>20231027</v>
      </c>
      <c r="L108" t="s">
        <v>5758</v>
      </c>
      <c r="M108">
        <v>203.56</v>
      </c>
      <c r="N108">
        <v>0</v>
      </c>
      <c r="O108" t="s">
        <v>22</v>
      </c>
      <c r="P108">
        <v>20231027</v>
      </c>
      <c r="Q108">
        <v>20231027</v>
      </c>
    </row>
    <row r="109" spans="1:17" x14ac:dyDescent="0.25">
      <c r="A109" t="s">
        <v>476</v>
      </c>
      <c r="B109" t="s">
        <v>477</v>
      </c>
      <c r="C109">
        <v>1</v>
      </c>
      <c r="D109">
        <v>20231027</v>
      </c>
      <c r="E109">
        <v>10</v>
      </c>
      <c r="F109">
        <v>401000</v>
      </c>
      <c r="G109" t="s">
        <v>41</v>
      </c>
      <c r="H109" t="s">
        <v>56</v>
      </c>
      <c r="I109" t="s">
        <v>57</v>
      </c>
      <c r="J109" t="s">
        <v>7665</v>
      </c>
      <c r="K109">
        <v>20231027</v>
      </c>
      <c r="L109" t="s">
        <v>5758</v>
      </c>
      <c r="M109">
        <v>1095.3699999999999</v>
      </c>
      <c r="N109">
        <v>0</v>
      </c>
      <c r="O109" t="s">
        <v>22</v>
      </c>
      <c r="P109">
        <v>20231027</v>
      </c>
      <c r="Q109">
        <v>20231027</v>
      </c>
    </row>
    <row r="110" spans="1:17" x14ac:dyDescent="0.25">
      <c r="A110" t="s">
        <v>476</v>
      </c>
      <c r="B110" t="s">
        <v>477</v>
      </c>
      <c r="C110">
        <v>1</v>
      </c>
      <c r="D110">
        <v>20231027</v>
      </c>
      <c r="E110">
        <v>10</v>
      </c>
      <c r="F110">
        <v>401000</v>
      </c>
      <c r="G110" t="s">
        <v>41</v>
      </c>
      <c r="H110" t="s">
        <v>67</v>
      </c>
      <c r="I110" t="s">
        <v>68</v>
      </c>
      <c r="J110" t="s">
        <v>7665</v>
      </c>
      <c r="K110">
        <v>20231027</v>
      </c>
      <c r="L110" t="s">
        <v>5758</v>
      </c>
      <c r="M110">
        <v>402.62</v>
      </c>
      <c r="N110">
        <v>0</v>
      </c>
      <c r="O110" t="s">
        <v>22</v>
      </c>
      <c r="P110">
        <v>20231027</v>
      </c>
      <c r="Q110">
        <v>20231027</v>
      </c>
    </row>
    <row r="111" spans="1:17" x14ac:dyDescent="0.25">
      <c r="A111" t="s">
        <v>476</v>
      </c>
      <c r="B111" t="s">
        <v>477</v>
      </c>
      <c r="C111">
        <v>1</v>
      </c>
      <c r="D111">
        <v>20231027</v>
      </c>
      <c r="E111">
        <v>10</v>
      </c>
      <c r="F111">
        <v>467100</v>
      </c>
      <c r="G111" t="s">
        <v>160</v>
      </c>
      <c r="H111" t="s">
        <v>1201</v>
      </c>
      <c r="I111" t="s">
        <v>1202</v>
      </c>
      <c r="J111" t="s">
        <v>7665</v>
      </c>
      <c r="K111">
        <v>20231027</v>
      </c>
      <c r="L111" t="s">
        <v>5758</v>
      </c>
      <c r="M111">
        <v>20.36</v>
      </c>
      <c r="N111">
        <v>0</v>
      </c>
      <c r="O111" t="s">
        <v>22</v>
      </c>
      <c r="P111">
        <v>20231027</v>
      </c>
      <c r="Q111">
        <v>20231027</v>
      </c>
    </row>
    <row r="112" spans="1:17" x14ac:dyDescent="0.25">
      <c r="A112" t="s">
        <v>476</v>
      </c>
      <c r="B112" t="s">
        <v>477</v>
      </c>
      <c r="C112">
        <v>1</v>
      </c>
      <c r="D112">
        <v>20231027</v>
      </c>
      <c r="E112">
        <v>10</v>
      </c>
      <c r="F112">
        <v>467100</v>
      </c>
      <c r="G112" t="s">
        <v>160</v>
      </c>
      <c r="H112" t="s">
        <v>1307</v>
      </c>
      <c r="I112" t="s">
        <v>1308</v>
      </c>
      <c r="J112" t="s">
        <v>7665</v>
      </c>
      <c r="K112">
        <v>20231027</v>
      </c>
      <c r="L112" t="s">
        <v>5758</v>
      </c>
      <c r="M112">
        <v>185.35</v>
      </c>
      <c r="N112">
        <v>0</v>
      </c>
      <c r="O112" t="s">
        <v>22</v>
      </c>
      <c r="P112">
        <v>20231027</v>
      </c>
      <c r="Q112">
        <v>20231027</v>
      </c>
    </row>
    <row r="113" spans="1:17" x14ac:dyDescent="0.25">
      <c r="A113" t="s">
        <v>476</v>
      </c>
      <c r="B113" t="s">
        <v>477</v>
      </c>
      <c r="C113">
        <v>1</v>
      </c>
      <c r="D113">
        <v>20231027</v>
      </c>
      <c r="E113">
        <v>10</v>
      </c>
      <c r="F113">
        <v>401000</v>
      </c>
      <c r="G113" t="s">
        <v>41</v>
      </c>
      <c r="H113" t="s">
        <v>472</v>
      </c>
      <c r="I113" t="s">
        <v>473</v>
      </c>
      <c r="J113" t="s">
        <v>7665</v>
      </c>
      <c r="K113">
        <v>20231027</v>
      </c>
      <c r="L113" t="s">
        <v>5758</v>
      </c>
      <c r="M113">
        <v>210</v>
      </c>
      <c r="N113">
        <v>0</v>
      </c>
      <c r="O113" t="s">
        <v>22</v>
      </c>
      <c r="P113">
        <v>20231027</v>
      </c>
      <c r="Q113">
        <v>20231027</v>
      </c>
    </row>
    <row r="114" spans="1:17" x14ac:dyDescent="0.25">
      <c r="A114" t="s">
        <v>476</v>
      </c>
      <c r="B114" t="s">
        <v>477</v>
      </c>
      <c r="C114">
        <v>1</v>
      </c>
      <c r="D114">
        <v>20231027</v>
      </c>
      <c r="E114">
        <v>10</v>
      </c>
      <c r="F114">
        <v>401000</v>
      </c>
      <c r="G114" t="s">
        <v>41</v>
      </c>
      <c r="H114" t="s">
        <v>2765</v>
      </c>
      <c r="I114" t="s">
        <v>2766</v>
      </c>
      <c r="J114" t="s">
        <v>7665</v>
      </c>
      <c r="K114">
        <v>20231027</v>
      </c>
      <c r="L114" t="s">
        <v>5758</v>
      </c>
      <c r="M114">
        <v>120</v>
      </c>
      <c r="N114">
        <v>0</v>
      </c>
      <c r="O114" t="s">
        <v>22</v>
      </c>
      <c r="P114">
        <v>20231027</v>
      </c>
      <c r="Q114">
        <v>20231027</v>
      </c>
    </row>
    <row r="115" spans="1:17" x14ac:dyDescent="0.25">
      <c r="A115" t="s">
        <v>476</v>
      </c>
      <c r="B115" t="s">
        <v>477</v>
      </c>
      <c r="C115">
        <v>1</v>
      </c>
      <c r="D115">
        <v>20231027</v>
      </c>
      <c r="E115">
        <v>10</v>
      </c>
      <c r="F115">
        <v>512000</v>
      </c>
      <c r="G115" t="s">
        <v>428</v>
      </c>
      <c r="H115" t="s">
        <v>401</v>
      </c>
      <c r="I115" t="s">
        <v>402</v>
      </c>
      <c r="J115" t="s">
        <v>7665</v>
      </c>
      <c r="K115">
        <v>20231027</v>
      </c>
      <c r="L115" t="s">
        <v>5758</v>
      </c>
      <c r="M115">
        <v>0</v>
      </c>
      <c r="N115">
        <v>2900.18</v>
      </c>
      <c r="O115" t="s">
        <v>19</v>
      </c>
      <c r="P115" t="s">
        <v>20</v>
      </c>
      <c r="Q115">
        <v>20231027</v>
      </c>
    </row>
    <row r="116" spans="1:17" x14ac:dyDescent="0.25">
      <c r="A116" t="s">
        <v>476</v>
      </c>
      <c r="B116" t="s">
        <v>477</v>
      </c>
      <c r="C116">
        <v>1</v>
      </c>
      <c r="D116">
        <v>20231028</v>
      </c>
      <c r="E116">
        <v>10</v>
      </c>
      <c r="F116">
        <v>706105</v>
      </c>
      <c r="G116" t="s">
        <v>2258</v>
      </c>
      <c r="H116" t="s">
        <v>401</v>
      </c>
      <c r="I116" t="s">
        <v>402</v>
      </c>
      <c r="J116" t="s">
        <v>7664</v>
      </c>
      <c r="K116">
        <v>20231028</v>
      </c>
      <c r="L116" t="s">
        <v>7662</v>
      </c>
      <c r="M116">
        <v>0</v>
      </c>
      <c r="N116">
        <v>21</v>
      </c>
      <c r="O116" t="s">
        <v>19</v>
      </c>
      <c r="P116" t="s">
        <v>20</v>
      </c>
      <c r="Q116">
        <v>20231028</v>
      </c>
    </row>
    <row r="117" spans="1:17" x14ac:dyDescent="0.25">
      <c r="A117" t="s">
        <v>476</v>
      </c>
      <c r="B117" t="s">
        <v>477</v>
      </c>
      <c r="C117">
        <v>1</v>
      </c>
      <c r="D117">
        <v>20231028</v>
      </c>
      <c r="E117">
        <v>10</v>
      </c>
      <c r="F117">
        <v>511003</v>
      </c>
      <c r="G117" t="s">
        <v>6874</v>
      </c>
      <c r="H117" t="s">
        <v>401</v>
      </c>
      <c r="I117" t="s">
        <v>402</v>
      </c>
      <c r="J117" t="s">
        <v>7664</v>
      </c>
      <c r="K117">
        <v>20231028</v>
      </c>
      <c r="L117" t="s">
        <v>7662</v>
      </c>
      <c r="M117">
        <v>21</v>
      </c>
      <c r="N117">
        <v>0</v>
      </c>
      <c r="O117" t="s">
        <v>19</v>
      </c>
      <c r="P117" t="s">
        <v>20</v>
      </c>
      <c r="Q117">
        <v>20231028</v>
      </c>
    </row>
    <row r="118" spans="1:17" x14ac:dyDescent="0.25">
      <c r="A118" t="s">
        <v>476</v>
      </c>
      <c r="B118" t="s">
        <v>477</v>
      </c>
      <c r="C118">
        <v>1</v>
      </c>
      <c r="D118">
        <v>20231028</v>
      </c>
      <c r="E118">
        <v>10</v>
      </c>
      <c r="F118">
        <v>706105</v>
      </c>
      <c r="G118" t="s">
        <v>2258</v>
      </c>
      <c r="H118" t="s">
        <v>401</v>
      </c>
      <c r="I118" t="s">
        <v>402</v>
      </c>
      <c r="J118" t="s">
        <v>7663</v>
      </c>
      <c r="K118">
        <v>20231028</v>
      </c>
      <c r="L118" t="s">
        <v>7662</v>
      </c>
      <c r="M118">
        <v>0</v>
      </c>
      <c r="N118">
        <v>30</v>
      </c>
      <c r="O118" t="s">
        <v>19</v>
      </c>
      <c r="P118" t="s">
        <v>20</v>
      </c>
      <c r="Q118">
        <v>20231028</v>
      </c>
    </row>
    <row r="119" spans="1:17" x14ac:dyDescent="0.25">
      <c r="A119" t="s">
        <v>476</v>
      </c>
      <c r="B119" t="s">
        <v>477</v>
      </c>
      <c r="C119">
        <v>1</v>
      </c>
      <c r="D119">
        <v>20231028</v>
      </c>
      <c r="E119">
        <v>10</v>
      </c>
      <c r="F119">
        <v>511003</v>
      </c>
      <c r="G119" t="s">
        <v>6874</v>
      </c>
      <c r="H119" t="s">
        <v>401</v>
      </c>
      <c r="I119" t="s">
        <v>402</v>
      </c>
      <c r="J119" t="s">
        <v>7663</v>
      </c>
      <c r="K119">
        <v>20231028</v>
      </c>
      <c r="L119" t="s">
        <v>7662</v>
      </c>
      <c r="M119">
        <v>30</v>
      </c>
      <c r="N119">
        <v>0</v>
      </c>
      <c r="O119" t="s">
        <v>19</v>
      </c>
      <c r="P119" t="s">
        <v>20</v>
      </c>
      <c r="Q119">
        <v>20231028</v>
      </c>
    </row>
    <row r="120" spans="1:17" x14ac:dyDescent="0.25">
      <c r="A120" t="s">
        <v>476</v>
      </c>
      <c r="B120" t="s">
        <v>477</v>
      </c>
      <c r="C120">
        <v>1</v>
      </c>
      <c r="D120">
        <v>20231030</v>
      </c>
      <c r="E120">
        <v>10</v>
      </c>
      <c r="F120">
        <v>421000</v>
      </c>
      <c r="G120" t="s">
        <v>403</v>
      </c>
      <c r="H120" t="s">
        <v>401</v>
      </c>
      <c r="I120" t="s">
        <v>402</v>
      </c>
      <c r="J120" t="s">
        <v>7661</v>
      </c>
      <c r="K120">
        <v>20231030</v>
      </c>
      <c r="L120" t="s">
        <v>922</v>
      </c>
      <c r="M120">
        <v>51218.84</v>
      </c>
      <c r="N120">
        <v>0</v>
      </c>
      <c r="O120" t="s">
        <v>19</v>
      </c>
      <c r="P120" t="s">
        <v>20</v>
      </c>
      <c r="Q120">
        <v>20231030</v>
      </c>
    </row>
    <row r="121" spans="1:17" x14ac:dyDescent="0.25">
      <c r="A121" t="s">
        <v>476</v>
      </c>
      <c r="B121" t="s">
        <v>477</v>
      </c>
      <c r="C121">
        <v>1</v>
      </c>
      <c r="D121">
        <v>20231030</v>
      </c>
      <c r="E121">
        <v>10</v>
      </c>
      <c r="F121">
        <v>512000</v>
      </c>
      <c r="G121" t="s">
        <v>428</v>
      </c>
      <c r="H121" t="s">
        <v>401</v>
      </c>
      <c r="I121" t="s">
        <v>402</v>
      </c>
      <c r="J121" t="s">
        <v>7661</v>
      </c>
      <c r="K121">
        <v>20231030</v>
      </c>
      <c r="L121" t="s">
        <v>922</v>
      </c>
      <c r="M121">
        <v>0</v>
      </c>
      <c r="N121">
        <v>51218.84</v>
      </c>
      <c r="O121" t="s">
        <v>19</v>
      </c>
      <c r="P121" t="s">
        <v>20</v>
      </c>
      <c r="Q121">
        <v>20231030</v>
      </c>
    </row>
    <row r="122" spans="1:17" x14ac:dyDescent="0.25">
      <c r="A122" t="s">
        <v>476</v>
      </c>
      <c r="B122" t="s">
        <v>477</v>
      </c>
      <c r="C122">
        <v>1</v>
      </c>
      <c r="D122">
        <v>20231030</v>
      </c>
      <c r="E122">
        <v>10</v>
      </c>
      <c r="F122">
        <v>421000</v>
      </c>
      <c r="G122" t="s">
        <v>403</v>
      </c>
      <c r="H122" t="s">
        <v>401</v>
      </c>
      <c r="I122" t="s">
        <v>402</v>
      </c>
      <c r="J122" t="s">
        <v>7660</v>
      </c>
      <c r="K122">
        <v>20231030</v>
      </c>
      <c r="L122" t="s">
        <v>7659</v>
      </c>
      <c r="M122">
        <v>0</v>
      </c>
      <c r="N122">
        <v>741.09</v>
      </c>
      <c r="O122" t="s">
        <v>19</v>
      </c>
      <c r="P122" t="s">
        <v>20</v>
      </c>
      <c r="Q122">
        <v>20231030</v>
      </c>
    </row>
    <row r="123" spans="1:17" x14ac:dyDescent="0.25">
      <c r="A123" t="s">
        <v>476</v>
      </c>
      <c r="B123" t="s">
        <v>477</v>
      </c>
      <c r="C123">
        <v>1</v>
      </c>
      <c r="D123">
        <v>20231030</v>
      </c>
      <c r="E123">
        <v>10</v>
      </c>
      <c r="F123">
        <v>512000</v>
      </c>
      <c r="G123" t="s">
        <v>428</v>
      </c>
      <c r="H123" t="s">
        <v>401</v>
      </c>
      <c r="I123" t="s">
        <v>402</v>
      </c>
      <c r="J123" t="s">
        <v>7660</v>
      </c>
      <c r="K123">
        <v>20231030</v>
      </c>
      <c r="L123" t="s">
        <v>7659</v>
      </c>
      <c r="M123">
        <v>741.09</v>
      </c>
      <c r="N123">
        <v>0</v>
      </c>
      <c r="O123" t="s">
        <v>19</v>
      </c>
      <c r="P123" t="s">
        <v>20</v>
      </c>
      <c r="Q123">
        <v>20231030</v>
      </c>
    </row>
    <row r="124" spans="1:17" x14ac:dyDescent="0.25">
      <c r="A124" t="s">
        <v>476</v>
      </c>
      <c r="B124" t="s">
        <v>477</v>
      </c>
      <c r="C124">
        <v>1</v>
      </c>
      <c r="D124">
        <v>20231031</v>
      </c>
      <c r="E124">
        <v>10</v>
      </c>
      <c r="F124">
        <v>511003</v>
      </c>
      <c r="G124" t="s">
        <v>6874</v>
      </c>
      <c r="H124" t="s">
        <v>401</v>
      </c>
      <c r="I124" t="s">
        <v>402</v>
      </c>
      <c r="J124" t="s">
        <v>7658</v>
      </c>
      <c r="K124">
        <v>20231031</v>
      </c>
      <c r="L124" t="s">
        <v>7657</v>
      </c>
      <c r="M124">
        <v>0</v>
      </c>
      <c r="N124">
        <v>593.4</v>
      </c>
      <c r="O124" t="s">
        <v>19</v>
      </c>
      <c r="P124" t="s">
        <v>20</v>
      </c>
      <c r="Q124">
        <v>20231031</v>
      </c>
    </row>
    <row r="125" spans="1:17" x14ac:dyDescent="0.25">
      <c r="A125" t="s">
        <v>476</v>
      </c>
      <c r="B125" t="s">
        <v>477</v>
      </c>
      <c r="C125">
        <v>1</v>
      </c>
      <c r="D125">
        <v>20231031</v>
      </c>
      <c r="E125">
        <v>10</v>
      </c>
      <c r="F125">
        <v>512000</v>
      </c>
      <c r="G125" t="s">
        <v>428</v>
      </c>
      <c r="H125" t="s">
        <v>401</v>
      </c>
      <c r="I125" t="s">
        <v>402</v>
      </c>
      <c r="J125" t="s">
        <v>7658</v>
      </c>
      <c r="K125">
        <v>20231031</v>
      </c>
      <c r="L125" t="s">
        <v>7657</v>
      </c>
      <c r="M125">
        <v>593.4</v>
      </c>
      <c r="N125">
        <v>0</v>
      </c>
      <c r="O125" t="s">
        <v>19</v>
      </c>
      <c r="P125" t="s">
        <v>20</v>
      </c>
      <c r="Q125">
        <v>20231031</v>
      </c>
    </row>
    <row r="126" spans="1:17" x14ac:dyDescent="0.25">
      <c r="A126" t="s">
        <v>476</v>
      </c>
      <c r="B126" t="s">
        <v>477</v>
      </c>
      <c r="C126">
        <v>1</v>
      </c>
      <c r="D126">
        <v>20231031</v>
      </c>
      <c r="E126">
        <v>10</v>
      </c>
      <c r="F126">
        <v>401000</v>
      </c>
      <c r="G126" t="s">
        <v>41</v>
      </c>
      <c r="H126" t="s">
        <v>458</v>
      </c>
      <c r="I126" t="s">
        <v>459</v>
      </c>
      <c r="J126" t="s">
        <v>7656</v>
      </c>
      <c r="K126">
        <v>20231031</v>
      </c>
      <c r="L126" t="s">
        <v>546</v>
      </c>
      <c r="M126">
        <v>708</v>
      </c>
      <c r="N126">
        <v>0</v>
      </c>
      <c r="O126" t="s">
        <v>19</v>
      </c>
      <c r="P126" t="s">
        <v>20</v>
      </c>
      <c r="Q126">
        <v>20231031</v>
      </c>
    </row>
    <row r="127" spans="1:17" x14ac:dyDescent="0.25">
      <c r="A127" t="s">
        <v>476</v>
      </c>
      <c r="B127" t="s">
        <v>477</v>
      </c>
      <c r="C127">
        <v>1</v>
      </c>
      <c r="D127">
        <v>20231031</v>
      </c>
      <c r="E127">
        <v>10</v>
      </c>
      <c r="F127">
        <v>512000</v>
      </c>
      <c r="G127" t="s">
        <v>428</v>
      </c>
      <c r="H127" t="s">
        <v>401</v>
      </c>
      <c r="I127" t="s">
        <v>402</v>
      </c>
      <c r="J127" t="s">
        <v>7656</v>
      </c>
      <c r="K127">
        <v>20231031</v>
      </c>
      <c r="L127" t="s">
        <v>546</v>
      </c>
      <c r="M127">
        <v>0</v>
      </c>
      <c r="N127">
        <v>708</v>
      </c>
      <c r="O127" t="s">
        <v>19</v>
      </c>
      <c r="P127" t="s">
        <v>20</v>
      </c>
      <c r="Q127">
        <v>20231031</v>
      </c>
    </row>
    <row r="128" spans="1:17" x14ac:dyDescent="0.25">
      <c r="A128" t="s">
        <v>476</v>
      </c>
      <c r="B128" t="s">
        <v>477</v>
      </c>
      <c r="C128">
        <v>1</v>
      </c>
      <c r="D128">
        <v>20231031</v>
      </c>
      <c r="E128">
        <v>10</v>
      </c>
      <c r="F128">
        <v>468200</v>
      </c>
      <c r="G128" t="s">
        <v>421</v>
      </c>
      <c r="H128" t="s">
        <v>401</v>
      </c>
      <c r="I128" t="s">
        <v>402</v>
      </c>
      <c r="J128" t="s">
        <v>7655</v>
      </c>
      <c r="K128">
        <v>20231031</v>
      </c>
      <c r="L128" t="s">
        <v>422</v>
      </c>
      <c r="M128">
        <v>0</v>
      </c>
      <c r="N128">
        <v>741.93</v>
      </c>
      <c r="O128" t="s">
        <v>19</v>
      </c>
      <c r="P128" t="s">
        <v>20</v>
      </c>
      <c r="Q128">
        <v>20231031</v>
      </c>
    </row>
    <row r="129" spans="1:17" x14ac:dyDescent="0.25">
      <c r="A129" t="s">
        <v>476</v>
      </c>
      <c r="B129" t="s">
        <v>477</v>
      </c>
      <c r="C129">
        <v>1</v>
      </c>
      <c r="D129">
        <v>20231031</v>
      </c>
      <c r="E129">
        <v>10</v>
      </c>
      <c r="F129">
        <v>512000</v>
      </c>
      <c r="G129" t="s">
        <v>428</v>
      </c>
      <c r="H129" t="s">
        <v>401</v>
      </c>
      <c r="I129" t="s">
        <v>402</v>
      </c>
      <c r="J129" t="s">
        <v>7655</v>
      </c>
      <c r="K129">
        <v>20231031</v>
      </c>
      <c r="L129" t="s">
        <v>422</v>
      </c>
      <c r="M129">
        <v>741.93</v>
      </c>
      <c r="N129">
        <v>0</v>
      </c>
      <c r="O129" t="s">
        <v>19</v>
      </c>
      <c r="P129" t="s">
        <v>20</v>
      </c>
      <c r="Q129">
        <v>20231031</v>
      </c>
    </row>
    <row r="130" spans="1:17" x14ac:dyDescent="0.25">
      <c r="A130" t="s">
        <v>476</v>
      </c>
      <c r="B130" t="s">
        <v>477</v>
      </c>
      <c r="C130">
        <v>1</v>
      </c>
      <c r="D130">
        <v>20231031</v>
      </c>
      <c r="E130">
        <v>10</v>
      </c>
      <c r="F130">
        <v>627000</v>
      </c>
      <c r="G130" t="s">
        <v>480</v>
      </c>
      <c r="H130" t="s">
        <v>401</v>
      </c>
      <c r="I130" t="s">
        <v>402</v>
      </c>
      <c r="J130" t="s">
        <v>7654</v>
      </c>
      <c r="K130">
        <v>20231031</v>
      </c>
      <c r="L130" t="s">
        <v>7653</v>
      </c>
      <c r="M130">
        <v>2.3199999999999998</v>
      </c>
      <c r="N130">
        <v>0</v>
      </c>
      <c r="O130" t="s">
        <v>19</v>
      </c>
      <c r="P130" t="s">
        <v>20</v>
      </c>
      <c r="Q130">
        <v>20231031</v>
      </c>
    </row>
    <row r="131" spans="1:17" x14ac:dyDescent="0.25">
      <c r="A131" t="s">
        <v>476</v>
      </c>
      <c r="B131" t="s">
        <v>477</v>
      </c>
      <c r="C131">
        <v>1</v>
      </c>
      <c r="D131">
        <v>20231031</v>
      </c>
      <c r="E131">
        <v>10</v>
      </c>
      <c r="F131">
        <v>512000</v>
      </c>
      <c r="G131" t="s">
        <v>428</v>
      </c>
      <c r="H131" t="s">
        <v>401</v>
      </c>
      <c r="I131" t="s">
        <v>402</v>
      </c>
      <c r="J131" t="s">
        <v>7654</v>
      </c>
      <c r="K131">
        <v>20231031</v>
      </c>
      <c r="L131" t="s">
        <v>7653</v>
      </c>
      <c r="M131">
        <v>0</v>
      </c>
      <c r="N131">
        <v>2.3199999999999998</v>
      </c>
      <c r="O131" t="s">
        <v>19</v>
      </c>
      <c r="P131" t="s">
        <v>20</v>
      </c>
      <c r="Q131">
        <v>20231031</v>
      </c>
    </row>
    <row r="132" spans="1:17" x14ac:dyDescent="0.25">
      <c r="A132" t="s">
        <v>476</v>
      </c>
      <c r="B132" t="s">
        <v>477</v>
      </c>
      <c r="C132">
        <v>1</v>
      </c>
      <c r="D132">
        <v>20231002</v>
      </c>
      <c r="E132">
        <v>10</v>
      </c>
      <c r="F132">
        <v>411100</v>
      </c>
      <c r="G132" t="s">
        <v>18</v>
      </c>
      <c r="H132" t="s">
        <v>6562</v>
      </c>
      <c r="I132" t="s">
        <v>6561</v>
      </c>
      <c r="J132">
        <v>389743</v>
      </c>
      <c r="K132">
        <v>20231002</v>
      </c>
      <c r="L132" t="s">
        <v>7652</v>
      </c>
      <c r="M132">
        <v>0</v>
      </c>
      <c r="N132">
        <v>174.72</v>
      </c>
      <c r="O132" t="s">
        <v>19</v>
      </c>
      <c r="P132" t="s">
        <v>20</v>
      </c>
      <c r="Q132">
        <v>20231002</v>
      </c>
    </row>
    <row r="133" spans="1:17" x14ac:dyDescent="0.25">
      <c r="A133" t="s">
        <v>476</v>
      </c>
      <c r="B133" t="s">
        <v>477</v>
      </c>
      <c r="C133">
        <v>1</v>
      </c>
      <c r="D133">
        <v>20231002</v>
      </c>
      <c r="E133">
        <v>10</v>
      </c>
      <c r="F133">
        <v>511003</v>
      </c>
      <c r="G133" t="s">
        <v>6874</v>
      </c>
      <c r="H133" t="s">
        <v>401</v>
      </c>
      <c r="I133" t="s">
        <v>402</v>
      </c>
      <c r="J133">
        <v>389744</v>
      </c>
      <c r="K133">
        <v>20231002</v>
      </c>
      <c r="L133" t="s">
        <v>7652</v>
      </c>
      <c r="M133">
        <v>174.72</v>
      </c>
      <c r="N133">
        <v>0</v>
      </c>
      <c r="O133" t="s">
        <v>19</v>
      </c>
      <c r="P133" t="s">
        <v>20</v>
      </c>
      <c r="Q133">
        <v>20231002</v>
      </c>
    </row>
    <row r="134" spans="1:17" x14ac:dyDescent="0.25">
      <c r="A134" t="s">
        <v>476</v>
      </c>
      <c r="B134" t="s">
        <v>477</v>
      </c>
      <c r="C134">
        <v>1</v>
      </c>
      <c r="D134">
        <v>20231002</v>
      </c>
      <c r="E134">
        <v>10</v>
      </c>
      <c r="F134">
        <v>411100</v>
      </c>
      <c r="G134" t="s">
        <v>18</v>
      </c>
      <c r="H134" t="s">
        <v>694</v>
      </c>
      <c r="I134" t="s">
        <v>695</v>
      </c>
      <c r="J134">
        <v>123060017</v>
      </c>
      <c r="K134">
        <v>20231002</v>
      </c>
      <c r="L134" t="s">
        <v>7651</v>
      </c>
      <c r="M134">
        <v>0</v>
      </c>
      <c r="N134">
        <v>193.52</v>
      </c>
      <c r="O134" t="s">
        <v>19</v>
      </c>
      <c r="P134" t="s">
        <v>20</v>
      </c>
      <c r="Q134">
        <v>20231002</v>
      </c>
    </row>
    <row r="135" spans="1:17" x14ac:dyDescent="0.25">
      <c r="A135" t="s">
        <v>476</v>
      </c>
      <c r="B135" t="s">
        <v>477</v>
      </c>
      <c r="C135">
        <v>1</v>
      </c>
      <c r="D135">
        <v>20231002</v>
      </c>
      <c r="E135">
        <v>10</v>
      </c>
      <c r="F135">
        <v>511003</v>
      </c>
      <c r="G135" t="s">
        <v>6874</v>
      </c>
      <c r="H135" t="s">
        <v>401</v>
      </c>
      <c r="I135" t="s">
        <v>402</v>
      </c>
      <c r="J135">
        <v>389746</v>
      </c>
      <c r="K135">
        <v>20231002</v>
      </c>
      <c r="L135" t="s">
        <v>7651</v>
      </c>
      <c r="M135">
        <v>193.52</v>
      </c>
      <c r="N135">
        <v>0</v>
      </c>
      <c r="O135" t="s">
        <v>19</v>
      </c>
      <c r="P135" t="s">
        <v>20</v>
      </c>
      <c r="Q135">
        <v>20231002</v>
      </c>
    </row>
    <row r="136" spans="1:17" x14ac:dyDescent="0.25">
      <c r="A136" t="s">
        <v>476</v>
      </c>
      <c r="B136" t="s">
        <v>477</v>
      </c>
      <c r="C136">
        <v>1</v>
      </c>
      <c r="D136">
        <v>20231002</v>
      </c>
      <c r="E136">
        <v>10</v>
      </c>
      <c r="F136">
        <v>411100</v>
      </c>
      <c r="G136" t="s">
        <v>18</v>
      </c>
      <c r="H136" t="s">
        <v>2041</v>
      </c>
      <c r="I136" t="s">
        <v>2042</v>
      </c>
      <c r="J136">
        <v>389747</v>
      </c>
      <c r="K136">
        <v>20231002</v>
      </c>
      <c r="L136" t="s">
        <v>7650</v>
      </c>
      <c r="M136">
        <v>0</v>
      </c>
      <c r="N136">
        <v>82.56</v>
      </c>
      <c r="O136" t="s">
        <v>19</v>
      </c>
      <c r="P136" t="s">
        <v>20</v>
      </c>
      <c r="Q136">
        <v>20231002</v>
      </c>
    </row>
    <row r="137" spans="1:17" x14ac:dyDescent="0.25">
      <c r="A137" t="s">
        <v>476</v>
      </c>
      <c r="B137" t="s">
        <v>477</v>
      </c>
      <c r="C137">
        <v>1</v>
      </c>
      <c r="D137">
        <v>20231002</v>
      </c>
      <c r="E137">
        <v>10</v>
      </c>
      <c r="F137">
        <v>511003</v>
      </c>
      <c r="G137" t="s">
        <v>6874</v>
      </c>
      <c r="H137" t="s">
        <v>401</v>
      </c>
      <c r="I137" t="s">
        <v>402</v>
      </c>
      <c r="J137">
        <v>389748</v>
      </c>
      <c r="K137">
        <v>20231002</v>
      </c>
      <c r="L137" t="s">
        <v>7650</v>
      </c>
      <c r="M137">
        <v>82.56</v>
      </c>
      <c r="N137">
        <v>0</v>
      </c>
      <c r="O137" t="s">
        <v>19</v>
      </c>
      <c r="P137" t="s">
        <v>20</v>
      </c>
      <c r="Q137">
        <v>20231002</v>
      </c>
    </row>
    <row r="138" spans="1:17" x14ac:dyDescent="0.25">
      <c r="A138" t="s">
        <v>476</v>
      </c>
      <c r="B138" t="s">
        <v>477</v>
      </c>
      <c r="C138">
        <v>1</v>
      </c>
      <c r="D138">
        <v>20231002</v>
      </c>
      <c r="E138">
        <v>10</v>
      </c>
      <c r="F138">
        <v>411100</v>
      </c>
      <c r="G138" t="s">
        <v>18</v>
      </c>
      <c r="H138" t="s">
        <v>1762</v>
      </c>
      <c r="I138" t="s">
        <v>1763</v>
      </c>
      <c r="J138">
        <v>389749</v>
      </c>
      <c r="K138">
        <v>20231002</v>
      </c>
      <c r="L138" t="s">
        <v>7649</v>
      </c>
      <c r="M138">
        <v>0</v>
      </c>
      <c r="N138">
        <v>70.8</v>
      </c>
      <c r="O138" t="s">
        <v>19</v>
      </c>
      <c r="P138" t="s">
        <v>20</v>
      </c>
      <c r="Q138">
        <v>20231002</v>
      </c>
    </row>
    <row r="139" spans="1:17" x14ac:dyDescent="0.25">
      <c r="A139" t="s">
        <v>476</v>
      </c>
      <c r="B139" t="s">
        <v>477</v>
      </c>
      <c r="C139">
        <v>1</v>
      </c>
      <c r="D139">
        <v>20231002</v>
      </c>
      <c r="E139">
        <v>10</v>
      </c>
      <c r="F139">
        <v>511003</v>
      </c>
      <c r="G139" t="s">
        <v>6874</v>
      </c>
      <c r="H139" t="s">
        <v>401</v>
      </c>
      <c r="I139" t="s">
        <v>402</v>
      </c>
      <c r="J139">
        <v>389750</v>
      </c>
      <c r="K139">
        <v>20231002</v>
      </c>
      <c r="L139" t="s">
        <v>7649</v>
      </c>
      <c r="M139">
        <v>70.8</v>
      </c>
      <c r="N139">
        <v>0</v>
      </c>
      <c r="O139" t="s">
        <v>19</v>
      </c>
      <c r="P139" t="s">
        <v>20</v>
      </c>
      <c r="Q139">
        <v>20231002</v>
      </c>
    </row>
    <row r="140" spans="1:17" x14ac:dyDescent="0.25">
      <c r="A140" t="s">
        <v>476</v>
      </c>
      <c r="B140" t="s">
        <v>477</v>
      </c>
      <c r="C140">
        <v>1</v>
      </c>
      <c r="D140">
        <v>20231002</v>
      </c>
      <c r="E140">
        <v>10</v>
      </c>
      <c r="F140">
        <v>411100</v>
      </c>
      <c r="G140" t="s">
        <v>18</v>
      </c>
      <c r="H140" t="s">
        <v>61</v>
      </c>
      <c r="I140" t="s">
        <v>62</v>
      </c>
      <c r="J140">
        <v>389751</v>
      </c>
      <c r="K140">
        <v>20231002</v>
      </c>
      <c r="L140" t="s">
        <v>7648</v>
      </c>
      <c r="M140">
        <v>0</v>
      </c>
      <c r="N140">
        <v>38</v>
      </c>
      <c r="O140" t="s">
        <v>19</v>
      </c>
      <c r="P140" t="s">
        <v>20</v>
      </c>
      <c r="Q140">
        <v>20231002</v>
      </c>
    </row>
    <row r="141" spans="1:17" x14ac:dyDescent="0.25">
      <c r="A141" t="s">
        <v>476</v>
      </c>
      <c r="B141" t="s">
        <v>477</v>
      </c>
      <c r="C141">
        <v>1</v>
      </c>
      <c r="D141">
        <v>20231002</v>
      </c>
      <c r="E141">
        <v>10</v>
      </c>
      <c r="F141">
        <v>511003</v>
      </c>
      <c r="G141" t="s">
        <v>6874</v>
      </c>
      <c r="H141" t="s">
        <v>401</v>
      </c>
      <c r="I141" t="s">
        <v>402</v>
      </c>
      <c r="J141">
        <v>389752</v>
      </c>
      <c r="K141">
        <v>20231002</v>
      </c>
      <c r="L141" t="s">
        <v>7648</v>
      </c>
      <c r="M141">
        <v>38</v>
      </c>
      <c r="N141">
        <v>0</v>
      </c>
      <c r="O141" t="s">
        <v>19</v>
      </c>
      <c r="P141" t="s">
        <v>20</v>
      </c>
      <c r="Q141">
        <v>20231002</v>
      </c>
    </row>
    <row r="142" spans="1:17" x14ac:dyDescent="0.25">
      <c r="A142" t="s">
        <v>476</v>
      </c>
      <c r="B142" t="s">
        <v>477</v>
      </c>
      <c r="C142">
        <v>1</v>
      </c>
      <c r="D142">
        <v>20231002</v>
      </c>
      <c r="E142">
        <v>10</v>
      </c>
      <c r="F142">
        <v>411100</v>
      </c>
      <c r="G142" t="s">
        <v>18</v>
      </c>
      <c r="H142" t="s">
        <v>2736</v>
      </c>
      <c r="I142" t="s">
        <v>2737</v>
      </c>
      <c r="J142">
        <v>389753</v>
      </c>
      <c r="K142">
        <v>20231002</v>
      </c>
      <c r="L142" t="s">
        <v>7647</v>
      </c>
      <c r="M142">
        <v>0</v>
      </c>
      <c r="N142">
        <v>272.33999999999997</v>
      </c>
      <c r="O142" t="s">
        <v>19</v>
      </c>
      <c r="P142" t="s">
        <v>20</v>
      </c>
      <c r="Q142">
        <v>20231002</v>
      </c>
    </row>
    <row r="143" spans="1:17" x14ac:dyDescent="0.25">
      <c r="A143" t="s">
        <v>476</v>
      </c>
      <c r="B143" t="s">
        <v>477</v>
      </c>
      <c r="C143">
        <v>1</v>
      </c>
      <c r="D143">
        <v>20231002</v>
      </c>
      <c r="E143">
        <v>10</v>
      </c>
      <c r="F143">
        <v>511003</v>
      </c>
      <c r="G143" t="s">
        <v>6874</v>
      </c>
      <c r="H143" t="s">
        <v>401</v>
      </c>
      <c r="I143" t="s">
        <v>402</v>
      </c>
      <c r="J143">
        <v>389754</v>
      </c>
      <c r="K143">
        <v>20231002</v>
      </c>
      <c r="L143" t="s">
        <v>7647</v>
      </c>
      <c r="M143">
        <v>272.33999999999997</v>
      </c>
      <c r="N143">
        <v>0</v>
      </c>
      <c r="O143" t="s">
        <v>19</v>
      </c>
      <c r="P143" t="s">
        <v>20</v>
      </c>
      <c r="Q143">
        <v>20231002</v>
      </c>
    </row>
    <row r="144" spans="1:17" x14ac:dyDescent="0.25">
      <c r="A144" t="s">
        <v>476</v>
      </c>
      <c r="B144" t="s">
        <v>477</v>
      </c>
      <c r="C144">
        <v>1</v>
      </c>
      <c r="D144">
        <v>20231002</v>
      </c>
      <c r="E144">
        <v>10</v>
      </c>
      <c r="F144">
        <v>411100</v>
      </c>
      <c r="G144" t="s">
        <v>18</v>
      </c>
      <c r="H144" t="s">
        <v>7646</v>
      </c>
      <c r="I144" t="s">
        <v>7645</v>
      </c>
      <c r="J144">
        <v>389755</v>
      </c>
      <c r="K144">
        <v>20231002</v>
      </c>
      <c r="L144" t="s">
        <v>7644</v>
      </c>
      <c r="M144">
        <v>0</v>
      </c>
      <c r="N144">
        <v>30</v>
      </c>
      <c r="O144" t="s">
        <v>19</v>
      </c>
      <c r="P144" t="s">
        <v>20</v>
      </c>
      <c r="Q144">
        <v>20231002</v>
      </c>
    </row>
    <row r="145" spans="1:17" x14ac:dyDescent="0.25">
      <c r="A145" t="s">
        <v>476</v>
      </c>
      <c r="B145" t="s">
        <v>477</v>
      </c>
      <c r="C145">
        <v>1</v>
      </c>
      <c r="D145">
        <v>20231002</v>
      </c>
      <c r="E145">
        <v>10</v>
      </c>
      <c r="F145">
        <v>511003</v>
      </c>
      <c r="G145" t="s">
        <v>6874</v>
      </c>
      <c r="H145" t="s">
        <v>401</v>
      </c>
      <c r="I145" t="s">
        <v>402</v>
      </c>
      <c r="J145">
        <v>389756</v>
      </c>
      <c r="K145">
        <v>20231002</v>
      </c>
      <c r="L145" t="s">
        <v>7644</v>
      </c>
      <c r="M145">
        <v>30</v>
      </c>
      <c r="N145">
        <v>0</v>
      </c>
      <c r="O145" t="s">
        <v>19</v>
      </c>
      <c r="P145" t="s">
        <v>20</v>
      </c>
      <c r="Q145">
        <v>20231002</v>
      </c>
    </row>
    <row r="146" spans="1:17" x14ac:dyDescent="0.25">
      <c r="A146" t="s">
        <v>476</v>
      </c>
      <c r="B146" t="s">
        <v>477</v>
      </c>
      <c r="C146">
        <v>1</v>
      </c>
      <c r="D146">
        <v>20231002</v>
      </c>
      <c r="E146">
        <v>10</v>
      </c>
      <c r="F146">
        <v>411100</v>
      </c>
      <c r="G146" t="s">
        <v>18</v>
      </c>
      <c r="H146" t="s">
        <v>3648</v>
      </c>
      <c r="I146" t="s">
        <v>3649</v>
      </c>
      <c r="J146">
        <v>389757</v>
      </c>
      <c r="K146">
        <v>20231002</v>
      </c>
      <c r="L146" t="s">
        <v>7643</v>
      </c>
      <c r="M146">
        <v>0</v>
      </c>
      <c r="N146">
        <v>75.2</v>
      </c>
      <c r="O146" t="s">
        <v>19</v>
      </c>
      <c r="P146" t="s">
        <v>20</v>
      </c>
      <c r="Q146">
        <v>20231002</v>
      </c>
    </row>
    <row r="147" spans="1:17" x14ac:dyDescent="0.25">
      <c r="A147" t="s">
        <v>476</v>
      </c>
      <c r="B147" t="s">
        <v>477</v>
      </c>
      <c r="C147">
        <v>1</v>
      </c>
      <c r="D147">
        <v>20231002</v>
      </c>
      <c r="E147">
        <v>10</v>
      </c>
      <c r="F147">
        <v>511003</v>
      </c>
      <c r="G147" t="s">
        <v>6874</v>
      </c>
      <c r="H147" t="s">
        <v>401</v>
      </c>
      <c r="I147" t="s">
        <v>402</v>
      </c>
      <c r="J147">
        <v>389758</v>
      </c>
      <c r="K147">
        <v>20231002</v>
      </c>
      <c r="L147" t="s">
        <v>7643</v>
      </c>
      <c r="M147">
        <v>75.2</v>
      </c>
      <c r="N147">
        <v>0</v>
      </c>
      <c r="O147" t="s">
        <v>19</v>
      </c>
      <c r="P147" t="s">
        <v>20</v>
      </c>
      <c r="Q147">
        <v>20231002</v>
      </c>
    </row>
    <row r="148" spans="1:17" x14ac:dyDescent="0.25">
      <c r="A148" t="s">
        <v>476</v>
      </c>
      <c r="B148" t="s">
        <v>477</v>
      </c>
      <c r="C148">
        <v>1</v>
      </c>
      <c r="D148">
        <v>20231002</v>
      </c>
      <c r="E148">
        <v>10</v>
      </c>
      <c r="F148">
        <v>411100</v>
      </c>
      <c r="G148" t="s">
        <v>18</v>
      </c>
      <c r="H148" t="s">
        <v>4123</v>
      </c>
      <c r="I148" t="s">
        <v>4124</v>
      </c>
      <c r="J148">
        <v>389759</v>
      </c>
      <c r="K148">
        <v>20231002</v>
      </c>
      <c r="L148" t="s">
        <v>7642</v>
      </c>
      <c r="M148">
        <v>0</v>
      </c>
      <c r="N148">
        <v>76.16</v>
      </c>
      <c r="O148" t="s">
        <v>19</v>
      </c>
      <c r="P148" t="s">
        <v>20</v>
      </c>
      <c r="Q148">
        <v>20231002</v>
      </c>
    </row>
    <row r="149" spans="1:17" x14ac:dyDescent="0.25">
      <c r="A149" t="s">
        <v>476</v>
      </c>
      <c r="B149" t="s">
        <v>477</v>
      </c>
      <c r="C149">
        <v>1</v>
      </c>
      <c r="D149">
        <v>20231002</v>
      </c>
      <c r="E149">
        <v>10</v>
      </c>
      <c r="F149">
        <v>511003</v>
      </c>
      <c r="G149" t="s">
        <v>6874</v>
      </c>
      <c r="H149" t="s">
        <v>401</v>
      </c>
      <c r="I149" t="s">
        <v>402</v>
      </c>
      <c r="J149">
        <v>389760</v>
      </c>
      <c r="K149">
        <v>20231002</v>
      </c>
      <c r="L149" t="s">
        <v>7642</v>
      </c>
      <c r="M149">
        <v>76.16</v>
      </c>
      <c r="N149">
        <v>0</v>
      </c>
      <c r="O149" t="s">
        <v>19</v>
      </c>
      <c r="P149" t="s">
        <v>20</v>
      </c>
      <c r="Q149">
        <v>20231002</v>
      </c>
    </row>
    <row r="150" spans="1:17" x14ac:dyDescent="0.25">
      <c r="A150" t="s">
        <v>476</v>
      </c>
      <c r="B150" t="s">
        <v>477</v>
      </c>
      <c r="C150">
        <v>1</v>
      </c>
      <c r="D150">
        <v>20231002</v>
      </c>
      <c r="E150">
        <v>10</v>
      </c>
      <c r="F150">
        <v>411100</v>
      </c>
      <c r="G150" t="s">
        <v>18</v>
      </c>
      <c r="H150" t="s">
        <v>7641</v>
      </c>
      <c r="I150" t="s">
        <v>7640</v>
      </c>
      <c r="J150">
        <v>389761</v>
      </c>
      <c r="K150">
        <v>20231002</v>
      </c>
      <c r="L150" t="s">
        <v>7639</v>
      </c>
      <c r="M150">
        <v>0</v>
      </c>
      <c r="N150">
        <v>148.5</v>
      </c>
      <c r="O150" t="s">
        <v>19</v>
      </c>
      <c r="P150" t="s">
        <v>20</v>
      </c>
      <c r="Q150">
        <v>20231002</v>
      </c>
    </row>
    <row r="151" spans="1:17" x14ac:dyDescent="0.25">
      <c r="A151" t="s">
        <v>476</v>
      </c>
      <c r="B151" t="s">
        <v>477</v>
      </c>
      <c r="C151">
        <v>1</v>
      </c>
      <c r="D151">
        <v>20231002</v>
      </c>
      <c r="E151">
        <v>10</v>
      </c>
      <c r="F151">
        <v>511003</v>
      </c>
      <c r="G151" t="s">
        <v>6874</v>
      </c>
      <c r="H151" t="s">
        <v>401</v>
      </c>
      <c r="I151" t="s">
        <v>402</v>
      </c>
      <c r="J151">
        <v>389762</v>
      </c>
      <c r="K151">
        <v>20231002</v>
      </c>
      <c r="L151" t="s">
        <v>7639</v>
      </c>
      <c r="M151">
        <v>148.5</v>
      </c>
      <c r="N151">
        <v>0</v>
      </c>
      <c r="O151" t="s">
        <v>19</v>
      </c>
      <c r="P151" t="s">
        <v>20</v>
      </c>
      <c r="Q151">
        <v>20231002</v>
      </c>
    </row>
    <row r="152" spans="1:17" x14ac:dyDescent="0.25">
      <c r="A152" t="s">
        <v>476</v>
      </c>
      <c r="B152" t="s">
        <v>477</v>
      </c>
      <c r="C152">
        <v>1</v>
      </c>
      <c r="D152">
        <v>20231003</v>
      </c>
      <c r="E152">
        <v>10</v>
      </c>
      <c r="F152">
        <v>411020</v>
      </c>
      <c r="G152" t="s">
        <v>30</v>
      </c>
      <c r="H152" t="s">
        <v>796</v>
      </c>
      <c r="I152" t="s">
        <v>797</v>
      </c>
      <c r="J152">
        <v>123070032</v>
      </c>
      <c r="K152">
        <v>20231003</v>
      </c>
      <c r="L152" t="s">
        <v>7638</v>
      </c>
      <c r="M152">
        <v>0</v>
      </c>
      <c r="N152">
        <v>101.92</v>
      </c>
      <c r="O152" t="s">
        <v>19</v>
      </c>
      <c r="P152" t="s">
        <v>20</v>
      </c>
      <c r="Q152">
        <v>20231003</v>
      </c>
    </row>
    <row r="153" spans="1:17" x14ac:dyDescent="0.25">
      <c r="A153" t="s">
        <v>476</v>
      </c>
      <c r="B153" t="s">
        <v>477</v>
      </c>
      <c r="C153">
        <v>1</v>
      </c>
      <c r="D153">
        <v>20231003</v>
      </c>
      <c r="E153">
        <v>10</v>
      </c>
      <c r="F153">
        <v>511003</v>
      </c>
      <c r="G153" t="s">
        <v>6874</v>
      </c>
      <c r="H153" t="s">
        <v>401</v>
      </c>
      <c r="I153" t="s">
        <v>402</v>
      </c>
      <c r="J153">
        <v>389764</v>
      </c>
      <c r="K153">
        <v>20231003</v>
      </c>
      <c r="L153" t="s">
        <v>7638</v>
      </c>
      <c r="M153">
        <v>101.92</v>
      </c>
      <c r="N153">
        <v>0</v>
      </c>
      <c r="O153" t="s">
        <v>19</v>
      </c>
      <c r="P153" t="s">
        <v>20</v>
      </c>
      <c r="Q153">
        <v>20231003</v>
      </c>
    </row>
    <row r="154" spans="1:17" x14ac:dyDescent="0.25">
      <c r="A154" t="s">
        <v>476</v>
      </c>
      <c r="B154" t="s">
        <v>477</v>
      </c>
      <c r="C154">
        <v>1</v>
      </c>
      <c r="D154">
        <v>20231004</v>
      </c>
      <c r="E154">
        <v>10</v>
      </c>
      <c r="F154">
        <v>411100</v>
      </c>
      <c r="G154" t="s">
        <v>18</v>
      </c>
      <c r="H154" t="s">
        <v>315</v>
      </c>
      <c r="I154" t="s">
        <v>7637</v>
      </c>
      <c r="J154">
        <v>389765</v>
      </c>
      <c r="K154">
        <v>20231004</v>
      </c>
      <c r="L154" t="s">
        <v>7636</v>
      </c>
      <c r="M154">
        <v>0</v>
      </c>
      <c r="N154">
        <v>81.400000000000006</v>
      </c>
      <c r="O154" t="s">
        <v>19</v>
      </c>
      <c r="P154" t="s">
        <v>20</v>
      </c>
      <c r="Q154">
        <v>20231004</v>
      </c>
    </row>
    <row r="155" spans="1:17" x14ac:dyDescent="0.25">
      <c r="A155" t="s">
        <v>476</v>
      </c>
      <c r="B155" t="s">
        <v>477</v>
      </c>
      <c r="C155">
        <v>1</v>
      </c>
      <c r="D155">
        <v>20231004</v>
      </c>
      <c r="E155">
        <v>10</v>
      </c>
      <c r="F155">
        <v>511003</v>
      </c>
      <c r="G155" t="s">
        <v>6874</v>
      </c>
      <c r="H155" t="s">
        <v>401</v>
      </c>
      <c r="I155" t="s">
        <v>402</v>
      </c>
      <c r="J155">
        <v>389766</v>
      </c>
      <c r="K155">
        <v>20231004</v>
      </c>
      <c r="L155" t="s">
        <v>7636</v>
      </c>
      <c r="M155">
        <v>81.400000000000006</v>
      </c>
      <c r="N155">
        <v>0</v>
      </c>
      <c r="O155" t="s">
        <v>19</v>
      </c>
      <c r="P155" t="s">
        <v>20</v>
      </c>
      <c r="Q155">
        <v>20231004</v>
      </c>
    </row>
    <row r="156" spans="1:17" x14ac:dyDescent="0.25">
      <c r="A156" t="s">
        <v>476</v>
      </c>
      <c r="B156" t="s">
        <v>477</v>
      </c>
      <c r="C156">
        <v>1</v>
      </c>
      <c r="D156">
        <v>20231004</v>
      </c>
      <c r="E156">
        <v>10</v>
      </c>
      <c r="F156">
        <v>411100</v>
      </c>
      <c r="G156" t="s">
        <v>18</v>
      </c>
      <c r="H156" t="s">
        <v>7566</v>
      </c>
      <c r="I156" t="s">
        <v>7565</v>
      </c>
      <c r="J156">
        <v>389767</v>
      </c>
      <c r="K156">
        <v>20231004</v>
      </c>
      <c r="L156" t="s">
        <v>7635</v>
      </c>
      <c r="M156">
        <v>0</v>
      </c>
      <c r="N156">
        <v>10</v>
      </c>
      <c r="O156" t="s">
        <v>19</v>
      </c>
      <c r="P156" t="s">
        <v>20</v>
      </c>
      <c r="Q156">
        <v>20231004</v>
      </c>
    </row>
    <row r="157" spans="1:17" x14ac:dyDescent="0.25">
      <c r="A157" t="s">
        <v>476</v>
      </c>
      <c r="B157" t="s">
        <v>477</v>
      </c>
      <c r="C157">
        <v>1</v>
      </c>
      <c r="D157">
        <v>20231004</v>
      </c>
      <c r="E157">
        <v>10</v>
      </c>
      <c r="F157">
        <v>511003</v>
      </c>
      <c r="G157" t="s">
        <v>6874</v>
      </c>
      <c r="H157" t="s">
        <v>401</v>
      </c>
      <c r="I157" t="s">
        <v>402</v>
      </c>
      <c r="J157">
        <v>389768</v>
      </c>
      <c r="K157">
        <v>20231004</v>
      </c>
      <c r="L157" t="s">
        <v>7635</v>
      </c>
      <c r="M157">
        <v>10</v>
      </c>
      <c r="N157">
        <v>0</v>
      </c>
      <c r="O157" t="s">
        <v>19</v>
      </c>
      <c r="P157" t="s">
        <v>20</v>
      </c>
      <c r="Q157">
        <v>20231004</v>
      </c>
    </row>
    <row r="158" spans="1:17" x14ac:dyDescent="0.25">
      <c r="A158" t="s">
        <v>476</v>
      </c>
      <c r="B158" t="s">
        <v>477</v>
      </c>
      <c r="C158">
        <v>1</v>
      </c>
      <c r="D158">
        <v>20231004</v>
      </c>
      <c r="E158">
        <v>10</v>
      </c>
      <c r="F158">
        <v>411100</v>
      </c>
      <c r="G158" t="s">
        <v>18</v>
      </c>
      <c r="H158" t="s">
        <v>4121</v>
      </c>
      <c r="I158" t="s">
        <v>4122</v>
      </c>
      <c r="J158">
        <v>123040005</v>
      </c>
      <c r="K158">
        <v>20231004</v>
      </c>
      <c r="L158" t="s">
        <v>7634</v>
      </c>
      <c r="M158">
        <v>0</v>
      </c>
      <c r="N158">
        <v>45</v>
      </c>
      <c r="O158" t="s">
        <v>19</v>
      </c>
      <c r="P158" t="s">
        <v>20</v>
      </c>
      <c r="Q158">
        <v>20231004</v>
      </c>
    </row>
    <row r="159" spans="1:17" x14ac:dyDescent="0.25">
      <c r="A159" t="s">
        <v>476</v>
      </c>
      <c r="B159" t="s">
        <v>477</v>
      </c>
      <c r="C159">
        <v>1</v>
      </c>
      <c r="D159">
        <v>20231004</v>
      </c>
      <c r="E159">
        <v>10</v>
      </c>
      <c r="F159">
        <v>511003</v>
      </c>
      <c r="G159" t="s">
        <v>6874</v>
      </c>
      <c r="H159" t="s">
        <v>401</v>
      </c>
      <c r="I159" t="s">
        <v>402</v>
      </c>
      <c r="J159">
        <v>389770</v>
      </c>
      <c r="K159">
        <v>20231004</v>
      </c>
      <c r="L159" t="s">
        <v>7634</v>
      </c>
      <c r="M159">
        <v>45</v>
      </c>
      <c r="N159">
        <v>0</v>
      </c>
      <c r="O159" t="s">
        <v>19</v>
      </c>
      <c r="P159" t="s">
        <v>20</v>
      </c>
      <c r="Q159">
        <v>20231004</v>
      </c>
    </row>
    <row r="160" spans="1:17" x14ac:dyDescent="0.25">
      <c r="A160" t="s">
        <v>476</v>
      </c>
      <c r="B160" t="s">
        <v>477</v>
      </c>
      <c r="C160">
        <v>1</v>
      </c>
      <c r="D160">
        <v>20231004</v>
      </c>
      <c r="E160">
        <v>10</v>
      </c>
      <c r="F160">
        <v>411100</v>
      </c>
      <c r="G160" t="s">
        <v>18</v>
      </c>
      <c r="H160" t="s">
        <v>7633</v>
      </c>
      <c r="I160" t="s">
        <v>7632</v>
      </c>
      <c r="J160">
        <v>389771</v>
      </c>
      <c r="K160">
        <v>20231004</v>
      </c>
      <c r="L160" t="s">
        <v>7631</v>
      </c>
      <c r="M160">
        <v>0</v>
      </c>
      <c r="N160">
        <v>54.64</v>
      </c>
      <c r="O160" t="s">
        <v>23</v>
      </c>
      <c r="P160">
        <v>20231211</v>
      </c>
      <c r="Q160">
        <v>20231004</v>
      </c>
    </row>
    <row r="161" spans="1:17" x14ac:dyDescent="0.25">
      <c r="A161" t="s">
        <v>476</v>
      </c>
      <c r="B161" t="s">
        <v>477</v>
      </c>
      <c r="C161">
        <v>1</v>
      </c>
      <c r="D161">
        <v>20231004</v>
      </c>
      <c r="E161">
        <v>10</v>
      </c>
      <c r="F161">
        <v>511003</v>
      </c>
      <c r="G161" t="s">
        <v>6874</v>
      </c>
      <c r="H161" t="s">
        <v>401</v>
      </c>
      <c r="I161" t="s">
        <v>402</v>
      </c>
      <c r="J161">
        <v>389772</v>
      </c>
      <c r="K161">
        <v>20231004</v>
      </c>
      <c r="L161" t="s">
        <v>7631</v>
      </c>
      <c r="M161">
        <v>54.64</v>
      </c>
      <c r="N161">
        <v>0</v>
      </c>
      <c r="O161" t="s">
        <v>19</v>
      </c>
      <c r="P161" t="s">
        <v>20</v>
      </c>
      <c r="Q161">
        <v>20231004</v>
      </c>
    </row>
    <row r="162" spans="1:17" x14ac:dyDescent="0.25">
      <c r="A162" t="s">
        <v>476</v>
      </c>
      <c r="B162" t="s">
        <v>477</v>
      </c>
      <c r="C162">
        <v>1</v>
      </c>
      <c r="D162">
        <v>20231005</v>
      </c>
      <c r="E162">
        <v>10</v>
      </c>
      <c r="F162">
        <v>411100</v>
      </c>
      <c r="G162" t="s">
        <v>18</v>
      </c>
      <c r="H162" t="s">
        <v>231</v>
      </c>
      <c r="I162" t="s">
        <v>7276</v>
      </c>
      <c r="J162">
        <v>123090017</v>
      </c>
      <c r="K162">
        <v>20231005</v>
      </c>
      <c r="L162" t="s">
        <v>7630</v>
      </c>
      <c r="M162">
        <v>0</v>
      </c>
      <c r="N162">
        <v>36.28</v>
      </c>
      <c r="O162" t="s">
        <v>19</v>
      </c>
      <c r="P162" t="s">
        <v>20</v>
      </c>
      <c r="Q162">
        <v>20231005</v>
      </c>
    </row>
    <row r="163" spans="1:17" x14ac:dyDescent="0.25">
      <c r="A163" t="s">
        <v>476</v>
      </c>
      <c r="B163" t="s">
        <v>477</v>
      </c>
      <c r="C163">
        <v>1</v>
      </c>
      <c r="D163">
        <v>20231005</v>
      </c>
      <c r="E163">
        <v>10</v>
      </c>
      <c r="F163">
        <v>511003</v>
      </c>
      <c r="G163" t="s">
        <v>6874</v>
      </c>
      <c r="H163" t="s">
        <v>401</v>
      </c>
      <c r="I163" t="s">
        <v>402</v>
      </c>
      <c r="J163">
        <v>389774</v>
      </c>
      <c r="K163">
        <v>20231005</v>
      </c>
      <c r="L163" t="s">
        <v>7630</v>
      </c>
      <c r="M163">
        <v>36.28</v>
      </c>
      <c r="N163">
        <v>0</v>
      </c>
      <c r="O163" t="s">
        <v>19</v>
      </c>
      <c r="P163" t="s">
        <v>20</v>
      </c>
      <c r="Q163">
        <v>20231005</v>
      </c>
    </row>
    <row r="164" spans="1:17" x14ac:dyDescent="0.25">
      <c r="A164" t="s">
        <v>476</v>
      </c>
      <c r="B164" t="s">
        <v>477</v>
      </c>
      <c r="C164">
        <v>1</v>
      </c>
      <c r="D164">
        <v>20231005</v>
      </c>
      <c r="E164">
        <v>10</v>
      </c>
      <c r="F164">
        <v>411020</v>
      </c>
      <c r="G164" t="s">
        <v>30</v>
      </c>
      <c r="H164" t="s">
        <v>307</v>
      </c>
      <c r="I164" t="s">
        <v>308</v>
      </c>
      <c r="J164">
        <v>123090108</v>
      </c>
      <c r="K164">
        <v>20231005</v>
      </c>
      <c r="L164" t="s">
        <v>7628</v>
      </c>
      <c r="M164">
        <v>0</v>
      </c>
      <c r="N164">
        <v>89.55</v>
      </c>
      <c r="O164" t="s">
        <v>19</v>
      </c>
      <c r="P164" t="s">
        <v>20</v>
      </c>
      <c r="Q164">
        <v>20231005</v>
      </c>
    </row>
    <row r="165" spans="1:17" x14ac:dyDescent="0.25">
      <c r="A165" t="s">
        <v>476</v>
      </c>
      <c r="B165" t="s">
        <v>477</v>
      </c>
      <c r="C165">
        <v>1</v>
      </c>
      <c r="D165">
        <v>20231005</v>
      </c>
      <c r="E165">
        <v>10</v>
      </c>
      <c r="F165">
        <v>411020</v>
      </c>
      <c r="G165" t="s">
        <v>30</v>
      </c>
      <c r="H165" t="s">
        <v>307</v>
      </c>
      <c r="I165" t="s">
        <v>308</v>
      </c>
      <c r="J165">
        <v>123090108</v>
      </c>
      <c r="K165">
        <v>20231005</v>
      </c>
      <c r="L165" t="s">
        <v>7629</v>
      </c>
      <c r="M165">
        <v>0.99</v>
      </c>
      <c r="N165">
        <v>0</v>
      </c>
      <c r="O165" t="s">
        <v>19</v>
      </c>
      <c r="P165" t="s">
        <v>20</v>
      </c>
      <c r="Q165">
        <v>20231005</v>
      </c>
    </row>
    <row r="166" spans="1:17" x14ac:dyDescent="0.25">
      <c r="A166" t="s">
        <v>476</v>
      </c>
      <c r="B166" t="s">
        <v>477</v>
      </c>
      <c r="C166">
        <v>1</v>
      </c>
      <c r="D166">
        <v>20231005</v>
      </c>
      <c r="E166">
        <v>10</v>
      </c>
      <c r="F166">
        <v>511003</v>
      </c>
      <c r="G166" t="s">
        <v>6874</v>
      </c>
      <c r="H166" t="s">
        <v>401</v>
      </c>
      <c r="I166" t="s">
        <v>402</v>
      </c>
      <c r="J166">
        <v>389777</v>
      </c>
      <c r="K166">
        <v>20231005</v>
      </c>
      <c r="L166" t="s">
        <v>7628</v>
      </c>
      <c r="M166">
        <v>88.56</v>
      </c>
      <c r="N166">
        <v>0</v>
      </c>
      <c r="O166" t="s">
        <v>19</v>
      </c>
      <c r="P166" t="s">
        <v>20</v>
      </c>
      <c r="Q166">
        <v>20231005</v>
      </c>
    </row>
    <row r="167" spans="1:17" x14ac:dyDescent="0.25">
      <c r="A167" t="s">
        <v>476</v>
      </c>
      <c r="B167" t="s">
        <v>477</v>
      </c>
      <c r="C167">
        <v>1</v>
      </c>
      <c r="D167">
        <v>20231005</v>
      </c>
      <c r="E167">
        <v>10</v>
      </c>
      <c r="F167">
        <v>411100</v>
      </c>
      <c r="G167" t="s">
        <v>18</v>
      </c>
      <c r="H167" t="s">
        <v>7627</v>
      </c>
      <c r="I167" t="s">
        <v>7626</v>
      </c>
      <c r="J167">
        <v>389778</v>
      </c>
      <c r="K167">
        <v>20231005</v>
      </c>
      <c r="L167" t="s">
        <v>7625</v>
      </c>
      <c r="M167">
        <v>0</v>
      </c>
      <c r="N167">
        <v>195</v>
      </c>
      <c r="O167" t="s">
        <v>19</v>
      </c>
      <c r="P167" t="s">
        <v>20</v>
      </c>
      <c r="Q167">
        <v>20231005</v>
      </c>
    </row>
    <row r="168" spans="1:17" x14ac:dyDescent="0.25">
      <c r="A168" t="s">
        <v>476</v>
      </c>
      <c r="B168" t="s">
        <v>477</v>
      </c>
      <c r="C168">
        <v>1</v>
      </c>
      <c r="D168">
        <v>20231005</v>
      </c>
      <c r="E168">
        <v>10</v>
      </c>
      <c r="F168">
        <v>511003</v>
      </c>
      <c r="G168" t="s">
        <v>6874</v>
      </c>
      <c r="H168" t="s">
        <v>401</v>
      </c>
      <c r="I168" t="s">
        <v>402</v>
      </c>
      <c r="J168">
        <v>389779</v>
      </c>
      <c r="K168">
        <v>20231005</v>
      </c>
      <c r="L168" t="s">
        <v>7625</v>
      </c>
      <c r="M168">
        <v>195</v>
      </c>
      <c r="N168">
        <v>0</v>
      </c>
      <c r="O168" t="s">
        <v>19</v>
      </c>
      <c r="P168" t="s">
        <v>20</v>
      </c>
      <c r="Q168">
        <v>20231005</v>
      </c>
    </row>
    <row r="169" spans="1:17" x14ac:dyDescent="0.25">
      <c r="A169" t="s">
        <v>476</v>
      </c>
      <c r="B169" t="s">
        <v>477</v>
      </c>
      <c r="C169">
        <v>1</v>
      </c>
      <c r="D169">
        <v>20231005</v>
      </c>
      <c r="E169">
        <v>10</v>
      </c>
      <c r="F169">
        <v>411010</v>
      </c>
      <c r="G169" t="s">
        <v>87</v>
      </c>
      <c r="H169" t="s">
        <v>678</v>
      </c>
      <c r="I169" t="s">
        <v>679</v>
      </c>
      <c r="J169">
        <v>389780</v>
      </c>
      <c r="K169">
        <v>20231005</v>
      </c>
      <c r="L169" t="s">
        <v>7624</v>
      </c>
      <c r="M169">
        <v>0</v>
      </c>
      <c r="N169">
        <v>132</v>
      </c>
      <c r="O169" t="s">
        <v>19</v>
      </c>
      <c r="P169" t="s">
        <v>20</v>
      </c>
      <c r="Q169">
        <v>20231005</v>
      </c>
    </row>
    <row r="170" spans="1:17" x14ac:dyDescent="0.25">
      <c r="A170" t="s">
        <v>476</v>
      </c>
      <c r="B170" t="s">
        <v>477</v>
      </c>
      <c r="C170">
        <v>1</v>
      </c>
      <c r="D170">
        <v>20231005</v>
      </c>
      <c r="E170">
        <v>10</v>
      </c>
      <c r="F170">
        <v>511003</v>
      </c>
      <c r="G170" t="s">
        <v>6874</v>
      </c>
      <c r="H170" t="s">
        <v>401</v>
      </c>
      <c r="I170" t="s">
        <v>402</v>
      </c>
      <c r="J170">
        <v>389781</v>
      </c>
      <c r="K170">
        <v>20231005</v>
      </c>
      <c r="L170" t="s">
        <v>7624</v>
      </c>
      <c r="M170">
        <v>132</v>
      </c>
      <c r="N170">
        <v>0</v>
      </c>
      <c r="O170" t="s">
        <v>19</v>
      </c>
      <c r="P170" t="s">
        <v>20</v>
      </c>
      <c r="Q170">
        <v>20231005</v>
      </c>
    </row>
    <row r="171" spans="1:17" x14ac:dyDescent="0.25">
      <c r="A171" t="s">
        <v>476</v>
      </c>
      <c r="B171" t="s">
        <v>477</v>
      </c>
      <c r="C171">
        <v>1</v>
      </c>
      <c r="D171">
        <v>20231006</v>
      </c>
      <c r="E171">
        <v>10</v>
      </c>
      <c r="F171">
        <v>411100</v>
      </c>
      <c r="G171" t="s">
        <v>18</v>
      </c>
      <c r="H171" t="s">
        <v>352</v>
      </c>
      <c r="I171" t="s">
        <v>353</v>
      </c>
      <c r="J171">
        <v>389782</v>
      </c>
      <c r="K171">
        <v>20231006</v>
      </c>
      <c r="L171" t="s">
        <v>7623</v>
      </c>
      <c r="M171">
        <v>0</v>
      </c>
      <c r="N171">
        <v>152.32</v>
      </c>
      <c r="O171" t="s">
        <v>19</v>
      </c>
      <c r="P171" t="s">
        <v>20</v>
      </c>
      <c r="Q171">
        <v>20231006</v>
      </c>
    </row>
    <row r="172" spans="1:17" x14ac:dyDescent="0.25">
      <c r="A172" t="s">
        <v>476</v>
      </c>
      <c r="B172" t="s">
        <v>477</v>
      </c>
      <c r="C172">
        <v>1</v>
      </c>
      <c r="D172">
        <v>20231006</v>
      </c>
      <c r="E172">
        <v>10</v>
      </c>
      <c r="F172">
        <v>511003</v>
      </c>
      <c r="G172" t="s">
        <v>6874</v>
      </c>
      <c r="H172" t="s">
        <v>401</v>
      </c>
      <c r="I172" t="s">
        <v>402</v>
      </c>
      <c r="J172">
        <v>389783</v>
      </c>
      <c r="K172">
        <v>20231006</v>
      </c>
      <c r="L172" t="s">
        <v>7623</v>
      </c>
      <c r="M172">
        <v>152.32</v>
      </c>
      <c r="N172">
        <v>0</v>
      </c>
      <c r="O172" t="s">
        <v>19</v>
      </c>
      <c r="P172" t="s">
        <v>20</v>
      </c>
      <c r="Q172">
        <v>20231006</v>
      </c>
    </row>
    <row r="173" spans="1:17" x14ac:dyDescent="0.25">
      <c r="A173" t="s">
        <v>476</v>
      </c>
      <c r="B173" t="s">
        <v>477</v>
      </c>
      <c r="C173">
        <v>1</v>
      </c>
      <c r="D173">
        <v>20231006</v>
      </c>
      <c r="E173">
        <v>10</v>
      </c>
      <c r="F173">
        <v>411100</v>
      </c>
      <c r="G173" t="s">
        <v>18</v>
      </c>
      <c r="H173" t="s">
        <v>4335</v>
      </c>
      <c r="I173" t="s">
        <v>4336</v>
      </c>
      <c r="J173">
        <v>389784</v>
      </c>
      <c r="K173">
        <v>20231006</v>
      </c>
      <c r="L173" t="s">
        <v>7622</v>
      </c>
      <c r="M173">
        <v>0</v>
      </c>
      <c r="N173">
        <v>50</v>
      </c>
      <c r="O173" t="s">
        <v>19</v>
      </c>
      <c r="P173" t="s">
        <v>20</v>
      </c>
      <c r="Q173">
        <v>20231006</v>
      </c>
    </row>
    <row r="174" spans="1:17" x14ac:dyDescent="0.25">
      <c r="A174" t="s">
        <v>476</v>
      </c>
      <c r="B174" t="s">
        <v>477</v>
      </c>
      <c r="C174">
        <v>1</v>
      </c>
      <c r="D174">
        <v>20231006</v>
      </c>
      <c r="E174">
        <v>10</v>
      </c>
      <c r="F174">
        <v>511003</v>
      </c>
      <c r="G174" t="s">
        <v>6874</v>
      </c>
      <c r="H174" t="s">
        <v>401</v>
      </c>
      <c r="I174" t="s">
        <v>402</v>
      </c>
      <c r="J174">
        <v>389785</v>
      </c>
      <c r="K174">
        <v>20231006</v>
      </c>
      <c r="L174" t="s">
        <v>7622</v>
      </c>
      <c r="M174">
        <v>50</v>
      </c>
      <c r="N174">
        <v>0</v>
      </c>
      <c r="O174" t="s">
        <v>19</v>
      </c>
      <c r="P174" t="s">
        <v>20</v>
      </c>
      <c r="Q174">
        <v>20231006</v>
      </c>
    </row>
    <row r="175" spans="1:17" x14ac:dyDescent="0.25">
      <c r="A175" t="s">
        <v>476</v>
      </c>
      <c r="B175" t="s">
        <v>477</v>
      </c>
      <c r="C175">
        <v>1</v>
      </c>
      <c r="D175">
        <v>20231006</v>
      </c>
      <c r="E175">
        <v>10</v>
      </c>
      <c r="F175">
        <v>411010</v>
      </c>
      <c r="G175" t="s">
        <v>87</v>
      </c>
      <c r="H175" t="s">
        <v>363</v>
      </c>
      <c r="I175" t="s">
        <v>6660</v>
      </c>
      <c r="J175">
        <v>389786</v>
      </c>
      <c r="K175">
        <v>20231006</v>
      </c>
      <c r="L175" t="s">
        <v>7621</v>
      </c>
      <c r="M175">
        <v>0</v>
      </c>
      <c r="N175">
        <v>110.4</v>
      </c>
      <c r="O175" t="s">
        <v>19</v>
      </c>
      <c r="P175" t="s">
        <v>20</v>
      </c>
      <c r="Q175">
        <v>20231006</v>
      </c>
    </row>
    <row r="176" spans="1:17" x14ac:dyDescent="0.25">
      <c r="A176" t="s">
        <v>476</v>
      </c>
      <c r="B176" t="s">
        <v>477</v>
      </c>
      <c r="C176">
        <v>1</v>
      </c>
      <c r="D176">
        <v>20231006</v>
      </c>
      <c r="E176">
        <v>10</v>
      </c>
      <c r="F176">
        <v>511003</v>
      </c>
      <c r="G176" t="s">
        <v>6874</v>
      </c>
      <c r="H176" t="s">
        <v>401</v>
      </c>
      <c r="I176" t="s">
        <v>402</v>
      </c>
      <c r="J176">
        <v>389787</v>
      </c>
      <c r="K176">
        <v>20231006</v>
      </c>
      <c r="L176" t="s">
        <v>7621</v>
      </c>
      <c r="M176">
        <v>110.4</v>
      </c>
      <c r="N176">
        <v>0</v>
      </c>
      <c r="O176" t="s">
        <v>19</v>
      </c>
      <c r="P176" t="s">
        <v>20</v>
      </c>
      <c r="Q176">
        <v>20231006</v>
      </c>
    </row>
    <row r="177" spans="1:17" x14ac:dyDescent="0.25">
      <c r="A177" t="s">
        <v>476</v>
      </c>
      <c r="B177" t="s">
        <v>477</v>
      </c>
      <c r="C177">
        <v>1</v>
      </c>
      <c r="D177">
        <v>20231006</v>
      </c>
      <c r="E177">
        <v>10</v>
      </c>
      <c r="F177">
        <v>411100</v>
      </c>
      <c r="G177" t="s">
        <v>18</v>
      </c>
      <c r="H177" t="s">
        <v>3793</v>
      </c>
      <c r="I177" t="s">
        <v>3794</v>
      </c>
      <c r="J177">
        <v>389788</v>
      </c>
      <c r="K177">
        <v>20231006</v>
      </c>
      <c r="L177" t="s">
        <v>7620</v>
      </c>
      <c r="M177">
        <v>0</v>
      </c>
      <c r="N177">
        <v>82.8</v>
      </c>
      <c r="O177" t="s">
        <v>19</v>
      </c>
      <c r="P177" t="s">
        <v>20</v>
      </c>
      <c r="Q177">
        <v>20231006</v>
      </c>
    </row>
    <row r="178" spans="1:17" x14ac:dyDescent="0.25">
      <c r="A178" t="s">
        <v>476</v>
      </c>
      <c r="B178" t="s">
        <v>477</v>
      </c>
      <c r="C178">
        <v>1</v>
      </c>
      <c r="D178">
        <v>20231006</v>
      </c>
      <c r="E178">
        <v>10</v>
      </c>
      <c r="F178">
        <v>511003</v>
      </c>
      <c r="G178" t="s">
        <v>6874</v>
      </c>
      <c r="H178" t="s">
        <v>401</v>
      </c>
      <c r="I178" t="s">
        <v>402</v>
      </c>
      <c r="J178">
        <v>389789</v>
      </c>
      <c r="K178">
        <v>20231006</v>
      </c>
      <c r="L178" t="s">
        <v>7620</v>
      </c>
      <c r="M178">
        <v>82.8</v>
      </c>
      <c r="N178">
        <v>0</v>
      </c>
      <c r="O178" t="s">
        <v>19</v>
      </c>
      <c r="P178" t="s">
        <v>20</v>
      </c>
      <c r="Q178">
        <v>20231006</v>
      </c>
    </row>
    <row r="179" spans="1:17" x14ac:dyDescent="0.25">
      <c r="A179" t="s">
        <v>476</v>
      </c>
      <c r="B179" t="s">
        <v>477</v>
      </c>
      <c r="C179">
        <v>1</v>
      </c>
      <c r="D179">
        <v>20231006</v>
      </c>
      <c r="E179">
        <v>10</v>
      </c>
      <c r="F179">
        <v>411010</v>
      </c>
      <c r="G179" t="s">
        <v>87</v>
      </c>
      <c r="H179" t="s">
        <v>227</v>
      </c>
      <c r="I179" t="s">
        <v>228</v>
      </c>
      <c r="J179">
        <v>123090120</v>
      </c>
      <c r="K179">
        <v>20231006</v>
      </c>
      <c r="L179" t="s">
        <v>7619</v>
      </c>
      <c r="M179">
        <v>0</v>
      </c>
      <c r="N179">
        <v>280.62</v>
      </c>
      <c r="O179" t="s">
        <v>19</v>
      </c>
      <c r="P179" t="s">
        <v>20</v>
      </c>
      <c r="Q179">
        <v>20231006</v>
      </c>
    </row>
    <row r="180" spans="1:17" x14ac:dyDescent="0.25">
      <c r="A180" t="s">
        <v>476</v>
      </c>
      <c r="B180" t="s">
        <v>477</v>
      </c>
      <c r="C180">
        <v>1</v>
      </c>
      <c r="D180">
        <v>20231006</v>
      </c>
      <c r="E180">
        <v>10</v>
      </c>
      <c r="F180">
        <v>511003</v>
      </c>
      <c r="G180" t="s">
        <v>6874</v>
      </c>
      <c r="H180" t="s">
        <v>401</v>
      </c>
      <c r="I180" t="s">
        <v>402</v>
      </c>
      <c r="J180">
        <v>389791</v>
      </c>
      <c r="K180">
        <v>20231006</v>
      </c>
      <c r="L180" t="s">
        <v>7619</v>
      </c>
      <c r="M180">
        <v>280.62</v>
      </c>
      <c r="N180">
        <v>0</v>
      </c>
      <c r="O180" t="s">
        <v>19</v>
      </c>
      <c r="P180" t="s">
        <v>20</v>
      </c>
      <c r="Q180">
        <v>20231006</v>
      </c>
    </row>
    <row r="181" spans="1:17" x14ac:dyDescent="0.25">
      <c r="A181" t="s">
        <v>476</v>
      </c>
      <c r="B181" t="s">
        <v>477</v>
      </c>
      <c r="C181">
        <v>1</v>
      </c>
      <c r="D181">
        <v>20231006</v>
      </c>
      <c r="E181">
        <v>10</v>
      </c>
      <c r="F181">
        <v>411100</v>
      </c>
      <c r="G181" t="s">
        <v>18</v>
      </c>
      <c r="H181" t="s">
        <v>710</v>
      </c>
      <c r="I181" t="s">
        <v>711</v>
      </c>
      <c r="J181">
        <v>123070050</v>
      </c>
      <c r="K181">
        <v>20231006</v>
      </c>
      <c r="L181" t="s">
        <v>7618</v>
      </c>
      <c r="M181">
        <v>0</v>
      </c>
      <c r="N181">
        <v>90.88</v>
      </c>
      <c r="O181" t="s">
        <v>19</v>
      </c>
      <c r="P181" t="s">
        <v>20</v>
      </c>
      <c r="Q181">
        <v>20231006</v>
      </c>
    </row>
    <row r="182" spans="1:17" x14ac:dyDescent="0.25">
      <c r="A182" t="s">
        <v>476</v>
      </c>
      <c r="B182" t="s">
        <v>477</v>
      </c>
      <c r="C182">
        <v>1</v>
      </c>
      <c r="D182">
        <v>20231006</v>
      </c>
      <c r="E182">
        <v>10</v>
      </c>
      <c r="F182">
        <v>511003</v>
      </c>
      <c r="G182" t="s">
        <v>6874</v>
      </c>
      <c r="H182" t="s">
        <v>401</v>
      </c>
      <c r="I182" t="s">
        <v>402</v>
      </c>
      <c r="J182">
        <v>389793</v>
      </c>
      <c r="K182">
        <v>20231006</v>
      </c>
      <c r="L182" t="s">
        <v>7618</v>
      </c>
      <c r="M182">
        <v>90.88</v>
      </c>
      <c r="N182">
        <v>0</v>
      </c>
      <c r="O182" t="s">
        <v>19</v>
      </c>
      <c r="P182" t="s">
        <v>20</v>
      </c>
      <c r="Q182">
        <v>20231006</v>
      </c>
    </row>
    <row r="183" spans="1:17" x14ac:dyDescent="0.25">
      <c r="A183" t="s">
        <v>476</v>
      </c>
      <c r="B183" t="s">
        <v>477</v>
      </c>
      <c r="C183">
        <v>1</v>
      </c>
      <c r="D183">
        <v>20231006</v>
      </c>
      <c r="E183">
        <v>10</v>
      </c>
      <c r="F183">
        <v>411100</v>
      </c>
      <c r="G183" t="s">
        <v>18</v>
      </c>
      <c r="H183" t="s">
        <v>5638</v>
      </c>
      <c r="I183" t="s">
        <v>5639</v>
      </c>
      <c r="J183">
        <v>389794</v>
      </c>
      <c r="K183">
        <v>20231006</v>
      </c>
      <c r="L183" t="s">
        <v>7617</v>
      </c>
      <c r="M183">
        <v>0</v>
      </c>
      <c r="N183">
        <v>120.96</v>
      </c>
      <c r="O183" t="s">
        <v>19</v>
      </c>
      <c r="P183" t="s">
        <v>20</v>
      </c>
      <c r="Q183">
        <v>20231006</v>
      </c>
    </row>
    <row r="184" spans="1:17" x14ac:dyDescent="0.25">
      <c r="A184" t="s">
        <v>476</v>
      </c>
      <c r="B184" t="s">
        <v>477</v>
      </c>
      <c r="C184">
        <v>1</v>
      </c>
      <c r="D184">
        <v>20231006</v>
      </c>
      <c r="E184">
        <v>10</v>
      </c>
      <c r="F184">
        <v>511003</v>
      </c>
      <c r="G184" t="s">
        <v>6874</v>
      </c>
      <c r="H184" t="s">
        <v>401</v>
      </c>
      <c r="I184" t="s">
        <v>402</v>
      </c>
      <c r="J184">
        <v>389795</v>
      </c>
      <c r="K184">
        <v>20231006</v>
      </c>
      <c r="L184" t="s">
        <v>7617</v>
      </c>
      <c r="M184">
        <v>120.96</v>
      </c>
      <c r="N184">
        <v>0</v>
      </c>
      <c r="O184" t="s">
        <v>19</v>
      </c>
      <c r="P184" t="s">
        <v>20</v>
      </c>
      <c r="Q184">
        <v>20231006</v>
      </c>
    </row>
    <row r="185" spans="1:17" x14ac:dyDescent="0.25">
      <c r="A185" t="s">
        <v>476</v>
      </c>
      <c r="B185" t="s">
        <v>477</v>
      </c>
      <c r="C185">
        <v>1</v>
      </c>
      <c r="D185">
        <v>20231006</v>
      </c>
      <c r="E185">
        <v>10</v>
      </c>
      <c r="F185">
        <v>411100</v>
      </c>
      <c r="G185" t="s">
        <v>18</v>
      </c>
      <c r="H185" t="s">
        <v>7302</v>
      </c>
      <c r="I185" t="s">
        <v>7301</v>
      </c>
      <c r="J185">
        <v>389796</v>
      </c>
      <c r="K185">
        <v>20231006</v>
      </c>
      <c r="L185" t="s">
        <v>7616</v>
      </c>
      <c r="M185">
        <v>0</v>
      </c>
      <c r="N185">
        <v>3.72</v>
      </c>
      <c r="O185" t="s">
        <v>19</v>
      </c>
      <c r="P185" t="s">
        <v>20</v>
      </c>
      <c r="Q185">
        <v>20231006</v>
      </c>
    </row>
    <row r="186" spans="1:17" x14ac:dyDescent="0.25">
      <c r="A186" t="s">
        <v>476</v>
      </c>
      <c r="B186" t="s">
        <v>477</v>
      </c>
      <c r="C186">
        <v>1</v>
      </c>
      <c r="D186">
        <v>20231006</v>
      </c>
      <c r="E186">
        <v>10</v>
      </c>
      <c r="F186">
        <v>511003</v>
      </c>
      <c r="G186" t="s">
        <v>6874</v>
      </c>
      <c r="H186" t="s">
        <v>401</v>
      </c>
      <c r="I186" t="s">
        <v>402</v>
      </c>
      <c r="J186">
        <v>389797</v>
      </c>
      <c r="K186">
        <v>20231006</v>
      </c>
      <c r="L186" t="s">
        <v>7616</v>
      </c>
      <c r="M186">
        <v>3.72</v>
      </c>
      <c r="N186">
        <v>0</v>
      </c>
      <c r="O186" t="s">
        <v>19</v>
      </c>
      <c r="P186" t="s">
        <v>20</v>
      </c>
      <c r="Q186">
        <v>20231006</v>
      </c>
    </row>
    <row r="187" spans="1:17" x14ac:dyDescent="0.25">
      <c r="A187" t="s">
        <v>476</v>
      </c>
      <c r="B187" t="s">
        <v>477</v>
      </c>
      <c r="C187">
        <v>1</v>
      </c>
      <c r="D187">
        <v>20231009</v>
      </c>
      <c r="E187">
        <v>10</v>
      </c>
      <c r="F187">
        <v>411100</v>
      </c>
      <c r="G187" t="s">
        <v>18</v>
      </c>
      <c r="H187" t="s">
        <v>7615</v>
      </c>
      <c r="I187" t="s">
        <v>7614</v>
      </c>
      <c r="J187">
        <v>389798</v>
      </c>
      <c r="K187">
        <v>20231009</v>
      </c>
      <c r="L187" t="s">
        <v>7613</v>
      </c>
      <c r="M187">
        <v>0</v>
      </c>
      <c r="N187">
        <v>77.760000000000005</v>
      </c>
      <c r="O187" t="s">
        <v>19</v>
      </c>
      <c r="P187" t="s">
        <v>20</v>
      </c>
      <c r="Q187">
        <v>20231009</v>
      </c>
    </row>
    <row r="188" spans="1:17" x14ac:dyDescent="0.25">
      <c r="A188" t="s">
        <v>476</v>
      </c>
      <c r="B188" t="s">
        <v>477</v>
      </c>
      <c r="C188">
        <v>1</v>
      </c>
      <c r="D188">
        <v>20231009</v>
      </c>
      <c r="E188">
        <v>10</v>
      </c>
      <c r="F188">
        <v>511003</v>
      </c>
      <c r="G188" t="s">
        <v>6874</v>
      </c>
      <c r="H188" t="s">
        <v>401</v>
      </c>
      <c r="I188" t="s">
        <v>402</v>
      </c>
      <c r="J188">
        <v>389799</v>
      </c>
      <c r="K188">
        <v>20231009</v>
      </c>
      <c r="L188" t="s">
        <v>7613</v>
      </c>
      <c r="M188">
        <v>77.760000000000005</v>
      </c>
      <c r="N188">
        <v>0</v>
      </c>
      <c r="O188" t="s">
        <v>19</v>
      </c>
      <c r="P188" t="s">
        <v>20</v>
      </c>
      <c r="Q188">
        <v>20231009</v>
      </c>
    </row>
    <row r="189" spans="1:17" x14ac:dyDescent="0.25">
      <c r="A189" t="s">
        <v>476</v>
      </c>
      <c r="B189" t="s">
        <v>477</v>
      </c>
      <c r="C189">
        <v>1</v>
      </c>
      <c r="D189">
        <v>20231009</v>
      </c>
      <c r="E189">
        <v>10</v>
      </c>
      <c r="F189">
        <v>411100</v>
      </c>
      <c r="G189" t="s">
        <v>18</v>
      </c>
      <c r="H189" t="s">
        <v>289</v>
      </c>
      <c r="I189" t="s">
        <v>290</v>
      </c>
      <c r="J189">
        <v>123050038</v>
      </c>
      <c r="K189">
        <v>20231009</v>
      </c>
      <c r="L189" t="s">
        <v>7612</v>
      </c>
      <c r="M189">
        <v>0</v>
      </c>
      <c r="N189">
        <v>51.82</v>
      </c>
      <c r="O189" t="s">
        <v>19</v>
      </c>
      <c r="P189" t="s">
        <v>20</v>
      </c>
      <c r="Q189">
        <v>20231009</v>
      </c>
    </row>
    <row r="190" spans="1:17" x14ac:dyDescent="0.25">
      <c r="A190" t="s">
        <v>476</v>
      </c>
      <c r="B190" t="s">
        <v>477</v>
      </c>
      <c r="C190">
        <v>1</v>
      </c>
      <c r="D190">
        <v>20231009</v>
      </c>
      <c r="E190">
        <v>10</v>
      </c>
      <c r="F190">
        <v>511003</v>
      </c>
      <c r="G190" t="s">
        <v>6874</v>
      </c>
      <c r="H190" t="s">
        <v>401</v>
      </c>
      <c r="I190" t="s">
        <v>402</v>
      </c>
      <c r="J190">
        <v>389801</v>
      </c>
      <c r="K190">
        <v>20231009</v>
      </c>
      <c r="L190" t="s">
        <v>7612</v>
      </c>
      <c r="M190">
        <v>51.82</v>
      </c>
      <c r="N190">
        <v>0</v>
      </c>
      <c r="O190" t="s">
        <v>19</v>
      </c>
      <c r="P190" t="s">
        <v>20</v>
      </c>
      <c r="Q190">
        <v>20231009</v>
      </c>
    </row>
    <row r="191" spans="1:17" x14ac:dyDescent="0.25">
      <c r="A191" t="s">
        <v>476</v>
      </c>
      <c r="B191" t="s">
        <v>477</v>
      </c>
      <c r="C191">
        <v>1</v>
      </c>
      <c r="D191">
        <v>20231009</v>
      </c>
      <c r="E191">
        <v>10</v>
      </c>
      <c r="F191">
        <v>411020</v>
      </c>
      <c r="G191" t="s">
        <v>30</v>
      </c>
      <c r="H191" t="s">
        <v>275</v>
      </c>
      <c r="I191" t="s">
        <v>276</v>
      </c>
      <c r="J191">
        <v>389802</v>
      </c>
      <c r="K191">
        <v>20231009</v>
      </c>
      <c r="L191" t="s">
        <v>7611</v>
      </c>
      <c r="M191">
        <v>0</v>
      </c>
      <c r="N191">
        <v>76.16</v>
      </c>
      <c r="O191" t="s">
        <v>19</v>
      </c>
      <c r="P191" t="s">
        <v>20</v>
      </c>
      <c r="Q191">
        <v>20231009</v>
      </c>
    </row>
    <row r="192" spans="1:17" x14ac:dyDescent="0.25">
      <c r="A192" t="s">
        <v>476</v>
      </c>
      <c r="B192" t="s">
        <v>477</v>
      </c>
      <c r="C192">
        <v>1</v>
      </c>
      <c r="D192">
        <v>20231009</v>
      </c>
      <c r="E192">
        <v>10</v>
      </c>
      <c r="F192">
        <v>511003</v>
      </c>
      <c r="G192" t="s">
        <v>6874</v>
      </c>
      <c r="H192" t="s">
        <v>401</v>
      </c>
      <c r="I192" t="s">
        <v>402</v>
      </c>
      <c r="J192">
        <v>389803</v>
      </c>
      <c r="K192">
        <v>20231009</v>
      </c>
      <c r="L192" t="s">
        <v>7611</v>
      </c>
      <c r="M192">
        <v>76.16</v>
      </c>
      <c r="N192">
        <v>0</v>
      </c>
      <c r="O192" t="s">
        <v>19</v>
      </c>
      <c r="P192" t="s">
        <v>20</v>
      </c>
      <c r="Q192">
        <v>20231009</v>
      </c>
    </row>
    <row r="193" spans="1:17" x14ac:dyDescent="0.25">
      <c r="A193" t="s">
        <v>476</v>
      </c>
      <c r="B193" t="s">
        <v>477</v>
      </c>
      <c r="C193">
        <v>1</v>
      </c>
      <c r="D193">
        <v>20231009</v>
      </c>
      <c r="E193">
        <v>10</v>
      </c>
      <c r="F193">
        <v>411100</v>
      </c>
      <c r="G193" t="s">
        <v>18</v>
      </c>
      <c r="H193" t="s">
        <v>7610</v>
      </c>
      <c r="I193" t="s">
        <v>7609</v>
      </c>
      <c r="J193">
        <v>389804</v>
      </c>
      <c r="K193">
        <v>20231009</v>
      </c>
      <c r="L193" t="s">
        <v>7608</v>
      </c>
      <c r="M193">
        <v>0</v>
      </c>
      <c r="N193">
        <v>184.72</v>
      </c>
      <c r="O193" t="s">
        <v>19</v>
      </c>
      <c r="P193" t="s">
        <v>20</v>
      </c>
      <c r="Q193">
        <v>20231009</v>
      </c>
    </row>
    <row r="194" spans="1:17" x14ac:dyDescent="0.25">
      <c r="A194" t="s">
        <v>476</v>
      </c>
      <c r="B194" t="s">
        <v>477</v>
      </c>
      <c r="C194">
        <v>1</v>
      </c>
      <c r="D194">
        <v>20231009</v>
      </c>
      <c r="E194">
        <v>10</v>
      </c>
      <c r="F194">
        <v>511003</v>
      </c>
      <c r="G194" t="s">
        <v>6874</v>
      </c>
      <c r="H194" t="s">
        <v>401</v>
      </c>
      <c r="I194" t="s">
        <v>402</v>
      </c>
      <c r="J194">
        <v>389805</v>
      </c>
      <c r="K194">
        <v>20231009</v>
      </c>
      <c r="L194" t="s">
        <v>7608</v>
      </c>
      <c r="M194">
        <v>184.72</v>
      </c>
      <c r="N194">
        <v>0</v>
      </c>
      <c r="O194" t="s">
        <v>19</v>
      </c>
      <c r="P194" t="s">
        <v>20</v>
      </c>
      <c r="Q194">
        <v>20231009</v>
      </c>
    </row>
    <row r="195" spans="1:17" x14ac:dyDescent="0.25">
      <c r="A195" t="s">
        <v>476</v>
      </c>
      <c r="B195" t="s">
        <v>477</v>
      </c>
      <c r="C195">
        <v>1</v>
      </c>
      <c r="D195">
        <v>20231010</v>
      </c>
      <c r="E195">
        <v>10</v>
      </c>
      <c r="F195">
        <v>411100</v>
      </c>
      <c r="G195" t="s">
        <v>18</v>
      </c>
      <c r="H195" t="s">
        <v>5642</v>
      </c>
      <c r="I195" t="s">
        <v>5643</v>
      </c>
      <c r="J195">
        <v>389806</v>
      </c>
      <c r="K195">
        <v>20231010</v>
      </c>
      <c r="L195" t="s">
        <v>7607</v>
      </c>
      <c r="M195">
        <v>0</v>
      </c>
      <c r="N195">
        <v>152.32</v>
      </c>
      <c r="O195" t="s">
        <v>19</v>
      </c>
      <c r="P195" t="s">
        <v>20</v>
      </c>
      <c r="Q195">
        <v>20231010</v>
      </c>
    </row>
    <row r="196" spans="1:17" x14ac:dyDescent="0.25">
      <c r="A196" t="s">
        <v>476</v>
      </c>
      <c r="B196" t="s">
        <v>477</v>
      </c>
      <c r="C196">
        <v>1</v>
      </c>
      <c r="D196">
        <v>20231010</v>
      </c>
      <c r="E196">
        <v>10</v>
      </c>
      <c r="F196">
        <v>511003</v>
      </c>
      <c r="G196" t="s">
        <v>6874</v>
      </c>
      <c r="H196" t="s">
        <v>401</v>
      </c>
      <c r="I196" t="s">
        <v>402</v>
      </c>
      <c r="J196">
        <v>389807</v>
      </c>
      <c r="K196">
        <v>20231010</v>
      </c>
      <c r="L196" t="s">
        <v>7607</v>
      </c>
      <c r="M196">
        <v>152.32</v>
      </c>
      <c r="N196">
        <v>0</v>
      </c>
      <c r="O196" t="s">
        <v>19</v>
      </c>
      <c r="P196" t="s">
        <v>20</v>
      </c>
      <c r="Q196">
        <v>20231010</v>
      </c>
    </row>
    <row r="197" spans="1:17" x14ac:dyDescent="0.25">
      <c r="A197" t="s">
        <v>476</v>
      </c>
      <c r="B197" t="s">
        <v>477</v>
      </c>
      <c r="C197">
        <v>1</v>
      </c>
      <c r="D197">
        <v>20231011</v>
      </c>
      <c r="E197">
        <v>10</v>
      </c>
      <c r="F197">
        <v>411100</v>
      </c>
      <c r="G197" t="s">
        <v>18</v>
      </c>
      <c r="H197" t="s">
        <v>6373</v>
      </c>
      <c r="I197" t="s">
        <v>6372</v>
      </c>
      <c r="J197">
        <v>389808</v>
      </c>
      <c r="K197">
        <v>20231011</v>
      </c>
      <c r="L197" t="s">
        <v>7606</v>
      </c>
      <c r="M197">
        <v>0</v>
      </c>
      <c r="N197">
        <v>143.28</v>
      </c>
      <c r="O197" t="s">
        <v>19</v>
      </c>
      <c r="P197" t="s">
        <v>20</v>
      </c>
      <c r="Q197">
        <v>20231011</v>
      </c>
    </row>
    <row r="198" spans="1:17" x14ac:dyDescent="0.25">
      <c r="A198" t="s">
        <v>476</v>
      </c>
      <c r="B198" t="s">
        <v>477</v>
      </c>
      <c r="C198">
        <v>1</v>
      </c>
      <c r="D198">
        <v>20231011</v>
      </c>
      <c r="E198">
        <v>10</v>
      </c>
      <c r="F198">
        <v>511003</v>
      </c>
      <c r="G198" t="s">
        <v>6874</v>
      </c>
      <c r="H198" t="s">
        <v>401</v>
      </c>
      <c r="I198" t="s">
        <v>402</v>
      </c>
      <c r="J198">
        <v>389809</v>
      </c>
      <c r="K198">
        <v>20231011</v>
      </c>
      <c r="L198" t="s">
        <v>7606</v>
      </c>
      <c r="M198">
        <v>143.28</v>
      </c>
      <c r="N198">
        <v>0</v>
      </c>
      <c r="O198" t="s">
        <v>19</v>
      </c>
      <c r="P198" t="s">
        <v>20</v>
      </c>
      <c r="Q198">
        <v>20231011</v>
      </c>
    </row>
    <row r="199" spans="1:17" x14ac:dyDescent="0.25">
      <c r="A199" t="s">
        <v>476</v>
      </c>
      <c r="B199" t="s">
        <v>477</v>
      </c>
      <c r="C199">
        <v>1</v>
      </c>
      <c r="D199">
        <v>20231011</v>
      </c>
      <c r="E199">
        <v>10</v>
      </c>
      <c r="F199">
        <v>411100</v>
      </c>
      <c r="G199" t="s">
        <v>18</v>
      </c>
      <c r="H199" t="s">
        <v>340</v>
      </c>
      <c r="I199" t="s">
        <v>341</v>
      </c>
      <c r="J199">
        <v>389810</v>
      </c>
      <c r="K199">
        <v>20231011</v>
      </c>
      <c r="L199" t="s">
        <v>7605</v>
      </c>
      <c r="M199">
        <v>0</v>
      </c>
      <c r="N199">
        <v>6.16</v>
      </c>
      <c r="O199" t="s">
        <v>19</v>
      </c>
      <c r="P199" t="s">
        <v>20</v>
      </c>
      <c r="Q199">
        <v>20231011</v>
      </c>
    </row>
    <row r="200" spans="1:17" x14ac:dyDescent="0.25">
      <c r="A200" t="s">
        <v>476</v>
      </c>
      <c r="B200" t="s">
        <v>477</v>
      </c>
      <c r="C200">
        <v>1</v>
      </c>
      <c r="D200">
        <v>20231011</v>
      </c>
      <c r="E200">
        <v>10</v>
      </c>
      <c r="F200">
        <v>511003</v>
      </c>
      <c r="G200" t="s">
        <v>6874</v>
      </c>
      <c r="H200" t="s">
        <v>401</v>
      </c>
      <c r="I200" t="s">
        <v>402</v>
      </c>
      <c r="J200">
        <v>389811</v>
      </c>
      <c r="K200">
        <v>20231011</v>
      </c>
      <c r="L200" t="s">
        <v>7605</v>
      </c>
      <c r="M200">
        <v>6.16</v>
      </c>
      <c r="N200">
        <v>0</v>
      </c>
      <c r="O200" t="s">
        <v>19</v>
      </c>
      <c r="P200" t="s">
        <v>20</v>
      </c>
      <c r="Q200">
        <v>20231011</v>
      </c>
    </row>
    <row r="201" spans="1:17" x14ac:dyDescent="0.25">
      <c r="A201" t="s">
        <v>476</v>
      </c>
      <c r="B201" t="s">
        <v>477</v>
      </c>
      <c r="C201">
        <v>1</v>
      </c>
      <c r="D201">
        <v>20231011</v>
      </c>
      <c r="E201">
        <v>10</v>
      </c>
      <c r="F201">
        <v>411100</v>
      </c>
      <c r="G201" t="s">
        <v>18</v>
      </c>
      <c r="H201" t="s">
        <v>7604</v>
      </c>
      <c r="I201" t="s">
        <v>7603</v>
      </c>
      <c r="J201">
        <v>389812</v>
      </c>
      <c r="K201">
        <v>20231011</v>
      </c>
      <c r="L201" t="s">
        <v>7602</v>
      </c>
      <c r="M201">
        <v>0</v>
      </c>
      <c r="N201">
        <v>30</v>
      </c>
      <c r="O201" t="s">
        <v>19</v>
      </c>
      <c r="P201" t="s">
        <v>20</v>
      </c>
      <c r="Q201">
        <v>20231011</v>
      </c>
    </row>
    <row r="202" spans="1:17" x14ac:dyDescent="0.25">
      <c r="A202" t="s">
        <v>476</v>
      </c>
      <c r="B202" t="s">
        <v>477</v>
      </c>
      <c r="C202">
        <v>1</v>
      </c>
      <c r="D202">
        <v>20231011</v>
      </c>
      <c r="E202">
        <v>10</v>
      </c>
      <c r="F202">
        <v>511003</v>
      </c>
      <c r="G202" t="s">
        <v>6874</v>
      </c>
      <c r="H202" t="s">
        <v>401</v>
      </c>
      <c r="I202" t="s">
        <v>402</v>
      </c>
      <c r="J202">
        <v>389813</v>
      </c>
      <c r="K202">
        <v>20231011</v>
      </c>
      <c r="L202" t="s">
        <v>7602</v>
      </c>
      <c r="M202">
        <v>30</v>
      </c>
      <c r="N202">
        <v>0</v>
      </c>
      <c r="O202" t="s">
        <v>19</v>
      </c>
      <c r="P202" t="s">
        <v>20</v>
      </c>
      <c r="Q202">
        <v>20231011</v>
      </c>
    </row>
    <row r="203" spans="1:17" x14ac:dyDescent="0.25">
      <c r="A203" t="s">
        <v>476</v>
      </c>
      <c r="B203" t="s">
        <v>477</v>
      </c>
      <c r="C203">
        <v>1</v>
      </c>
      <c r="D203">
        <v>20231011</v>
      </c>
      <c r="E203">
        <v>10</v>
      </c>
      <c r="F203">
        <v>411100</v>
      </c>
      <c r="G203" t="s">
        <v>18</v>
      </c>
      <c r="H203" t="s">
        <v>3658</v>
      </c>
      <c r="I203" t="s">
        <v>3659</v>
      </c>
      <c r="J203">
        <v>389814</v>
      </c>
      <c r="K203">
        <v>20231011</v>
      </c>
      <c r="L203" t="s">
        <v>7601</v>
      </c>
      <c r="M203">
        <v>0</v>
      </c>
      <c r="N203">
        <v>173.72</v>
      </c>
      <c r="O203" t="s">
        <v>19</v>
      </c>
      <c r="P203" t="s">
        <v>20</v>
      </c>
      <c r="Q203">
        <v>20231011</v>
      </c>
    </row>
    <row r="204" spans="1:17" x14ac:dyDescent="0.25">
      <c r="A204" t="s">
        <v>476</v>
      </c>
      <c r="B204" t="s">
        <v>477</v>
      </c>
      <c r="C204">
        <v>1</v>
      </c>
      <c r="D204">
        <v>20231011</v>
      </c>
      <c r="E204">
        <v>10</v>
      </c>
      <c r="F204">
        <v>511003</v>
      </c>
      <c r="G204" t="s">
        <v>6874</v>
      </c>
      <c r="H204" t="s">
        <v>401</v>
      </c>
      <c r="I204" t="s">
        <v>402</v>
      </c>
      <c r="J204">
        <v>389815</v>
      </c>
      <c r="K204">
        <v>20231011</v>
      </c>
      <c r="L204" t="s">
        <v>7601</v>
      </c>
      <c r="M204">
        <v>173.72</v>
      </c>
      <c r="N204">
        <v>0</v>
      </c>
      <c r="O204" t="s">
        <v>19</v>
      </c>
      <c r="P204" t="s">
        <v>20</v>
      </c>
      <c r="Q204">
        <v>20231011</v>
      </c>
    </row>
    <row r="205" spans="1:17" x14ac:dyDescent="0.25">
      <c r="A205" t="s">
        <v>476</v>
      </c>
      <c r="B205" t="s">
        <v>477</v>
      </c>
      <c r="C205">
        <v>1</v>
      </c>
      <c r="D205">
        <v>20231002</v>
      </c>
      <c r="E205">
        <v>10</v>
      </c>
      <c r="F205">
        <v>411100</v>
      </c>
      <c r="G205" t="s">
        <v>18</v>
      </c>
      <c r="H205" t="s">
        <v>694</v>
      </c>
      <c r="I205" t="s">
        <v>695</v>
      </c>
      <c r="J205">
        <v>222090006</v>
      </c>
      <c r="K205">
        <v>20231002</v>
      </c>
      <c r="L205" t="s">
        <v>7600</v>
      </c>
      <c r="M205">
        <v>0</v>
      </c>
      <c r="N205">
        <v>94.44</v>
      </c>
      <c r="O205" t="s">
        <v>19</v>
      </c>
      <c r="P205" t="s">
        <v>20</v>
      </c>
      <c r="Q205">
        <v>20231002</v>
      </c>
    </row>
    <row r="206" spans="1:17" x14ac:dyDescent="0.25">
      <c r="A206" t="s">
        <v>476</v>
      </c>
      <c r="B206" t="s">
        <v>477</v>
      </c>
      <c r="C206">
        <v>1</v>
      </c>
      <c r="D206">
        <v>20231002</v>
      </c>
      <c r="E206">
        <v>10</v>
      </c>
      <c r="F206">
        <v>511003</v>
      </c>
      <c r="G206" t="s">
        <v>6874</v>
      </c>
      <c r="H206" t="s">
        <v>401</v>
      </c>
      <c r="I206" t="s">
        <v>402</v>
      </c>
      <c r="J206">
        <v>390058</v>
      </c>
      <c r="K206">
        <v>20231002</v>
      </c>
      <c r="L206" t="s">
        <v>7600</v>
      </c>
      <c r="M206">
        <v>94.44</v>
      </c>
      <c r="N206">
        <v>0</v>
      </c>
      <c r="O206" t="s">
        <v>19</v>
      </c>
      <c r="P206" t="s">
        <v>20</v>
      </c>
      <c r="Q206">
        <v>20231002</v>
      </c>
    </row>
    <row r="207" spans="1:17" x14ac:dyDescent="0.25">
      <c r="A207" t="s">
        <v>476</v>
      </c>
      <c r="B207" t="s">
        <v>477</v>
      </c>
      <c r="C207">
        <v>1</v>
      </c>
      <c r="D207">
        <v>20231003</v>
      </c>
      <c r="E207">
        <v>10</v>
      </c>
      <c r="F207">
        <v>411010</v>
      </c>
      <c r="G207" t="s">
        <v>87</v>
      </c>
      <c r="H207" t="s">
        <v>381</v>
      </c>
      <c r="I207" t="s">
        <v>382</v>
      </c>
      <c r="J207">
        <v>223070008</v>
      </c>
      <c r="K207">
        <v>20231003</v>
      </c>
      <c r="L207" t="s">
        <v>7599</v>
      </c>
      <c r="M207">
        <v>0</v>
      </c>
      <c r="N207">
        <v>683.95</v>
      </c>
      <c r="O207" t="s">
        <v>19</v>
      </c>
      <c r="P207" t="s">
        <v>20</v>
      </c>
      <c r="Q207">
        <v>20231003</v>
      </c>
    </row>
    <row r="208" spans="1:17" x14ac:dyDescent="0.25">
      <c r="A208" t="s">
        <v>476</v>
      </c>
      <c r="B208" t="s">
        <v>477</v>
      </c>
      <c r="C208">
        <v>1</v>
      </c>
      <c r="D208">
        <v>20231003</v>
      </c>
      <c r="E208">
        <v>10</v>
      </c>
      <c r="F208">
        <v>511003</v>
      </c>
      <c r="G208" t="s">
        <v>6874</v>
      </c>
      <c r="H208" t="s">
        <v>401</v>
      </c>
      <c r="I208" t="s">
        <v>402</v>
      </c>
      <c r="J208">
        <v>390060</v>
      </c>
      <c r="K208">
        <v>20231003</v>
      </c>
      <c r="L208" t="s">
        <v>7599</v>
      </c>
      <c r="M208">
        <v>683.95</v>
      </c>
      <c r="N208">
        <v>0</v>
      </c>
      <c r="O208" t="s">
        <v>19</v>
      </c>
      <c r="P208" t="s">
        <v>20</v>
      </c>
      <c r="Q208">
        <v>20231003</v>
      </c>
    </row>
    <row r="209" spans="1:17" x14ac:dyDescent="0.25">
      <c r="A209" t="s">
        <v>476</v>
      </c>
      <c r="B209" t="s">
        <v>477</v>
      </c>
      <c r="C209">
        <v>1</v>
      </c>
      <c r="D209">
        <v>20231004</v>
      </c>
      <c r="E209">
        <v>10</v>
      </c>
      <c r="F209">
        <v>411010</v>
      </c>
      <c r="G209" t="s">
        <v>87</v>
      </c>
      <c r="H209" t="s">
        <v>7598</v>
      </c>
      <c r="I209" t="s">
        <v>7597</v>
      </c>
      <c r="J209">
        <v>390061</v>
      </c>
      <c r="K209">
        <v>20231004</v>
      </c>
      <c r="L209" t="s">
        <v>7596</v>
      </c>
      <c r="M209">
        <v>0</v>
      </c>
      <c r="N209">
        <v>82.65</v>
      </c>
      <c r="O209" t="s">
        <v>19</v>
      </c>
      <c r="P209" t="s">
        <v>20</v>
      </c>
      <c r="Q209">
        <v>20231004</v>
      </c>
    </row>
    <row r="210" spans="1:17" x14ac:dyDescent="0.25">
      <c r="A210" t="s">
        <v>476</v>
      </c>
      <c r="B210" t="s">
        <v>477</v>
      </c>
      <c r="C210">
        <v>1</v>
      </c>
      <c r="D210">
        <v>20231004</v>
      </c>
      <c r="E210">
        <v>10</v>
      </c>
      <c r="F210">
        <v>511003</v>
      </c>
      <c r="G210" t="s">
        <v>6874</v>
      </c>
      <c r="H210" t="s">
        <v>401</v>
      </c>
      <c r="I210" t="s">
        <v>402</v>
      </c>
      <c r="J210">
        <v>390062</v>
      </c>
      <c r="K210">
        <v>20231004</v>
      </c>
      <c r="L210" t="s">
        <v>7596</v>
      </c>
      <c r="M210">
        <v>82.65</v>
      </c>
      <c r="N210">
        <v>0</v>
      </c>
      <c r="O210" t="s">
        <v>19</v>
      </c>
      <c r="P210" t="s">
        <v>20</v>
      </c>
      <c r="Q210">
        <v>20231004</v>
      </c>
    </row>
    <row r="211" spans="1:17" x14ac:dyDescent="0.25">
      <c r="A211" t="s">
        <v>476</v>
      </c>
      <c r="B211" t="s">
        <v>477</v>
      </c>
      <c r="C211">
        <v>1</v>
      </c>
      <c r="D211">
        <v>20231004</v>
      </c>
      <c r="E211">
        <v>10</v>
      </c>
      <c r="F211">
        <v>411100</v>
      </c>
      <c r="G211" t="s">
        <v>18</v>
      </c>
      <c r="H211" t="s">
        <v>340</v>
      </c>
      <c r="I211" t="s">
        <v>341</v>
      </c>
      <c r="J211">
        <v>390063</v>
      </c>
      <c r="K211">
        <v>20231004</v>
      </c>
      <c r="L211" t="s">
        <v>7595</v>
      </c>
      <c r="M211">
        <v>0</v>
      </c>
      <c r="N211">
        <v>30.35</v>
      </c>
      <c r="O211" t="s">
        <v>19</v>
      </c>
      <c r="P211" t="s">
        <v>20</v>
      </c>
      <c r="Q211">
        <v>20231004</v>
      </c>
    </row>
    <row r="212" spans="1:17" x14ac:dyDescent="0.25">
      <c r="A212" t="s">
        <v>476</v>
      </c>
      <c r="B212" t="s">
        <v>477</v>
      </c>
      <c r="C212">
        <v>1</v>
      </c>
      <c r="D212">
        <v>20231004</v>
      </c>
      <c r="E212">
        <v>10</v>
      </c>
      <c r="F212">
        <v>511003</v>
      </c>
      <c r="G212" t="s">
        <v>6874</v>
      </c>
      <c r="H212" t="s">
        <v>401</v>
      </c>
      <c r="I212" t="s">
        <v>402</v>
      </c>
      <c r="J212">
        <v>390064</v>
      </c>
      <c r="K212">
        <v>20231004</v>
      </c>
      <c r="L212" t="s">
        <v>7595</v>
      </c>
      <c r="M212">
        <v>30.35</v>
      </c>
      <c r="N212">
        <v>0</v>
      </c>
      <c r="O212" t="s">
        <v>19</v>
      </c>
      <c r="P212" t="s">
        <v>20</v>
      </c>
      <c r="Q212">
        <v>20231004</v>
      </c>
    </row>
    <row r="213" spans="1:17" x14ac:dyDescent="0.25">
      <c r="A213" t="s">
        <v>476</v>
      </c>
      <c r="B213" t="s">
        <v>477</v>
      </c>
      <c r="C213">
        <v>1</v>
      </c>
      <c r="D213">
        <v>20231004</v>
      </c>
      <c r="E213">
        <v>10</v>
      </c>
      <c r="F213">
        <v>411010</v>
      </c>
      <c r="G213" t="s">
        <v>87</v>
      </c>
      <c r="H213" t="s">
        <v>5498</v>
      </c>
      <c r="I213" t="s">
        <v>5874</v>
      </c>
      <c r="J213">
        <v>223080006</v>
      </c>
      <c r="K213">
        <v>20231004</v>
      </c>
      <c r="L213" t="s">
        <v>7594</v>
      </c>
      <c r="M213">
        <v>0</v>
      </c>
      <c r="N213">
        <v>265.83999999999997</v>
      </c>
      <c r="O213" t="s">
        <v>19</v>
      </c>
      <c r="P213" t="s">
        <v>20</v>
      </c>
      <c r="Q213">
        <v>20231004</v>
      </c>
    </row>
    <row r="214" spans="1:17" x14ac:dyDescent="0.25">
      <c r="A214" t="s">
        <v>476</v>
      </c>
      <c r="B214" t="s">
        <v>477</v>
      </c>
      <c r="C214">
        <v>1</v>
      </c>
      <c r="D214">
        <v>20231004</v>
      </c>
      <c r="E214">
        <v>10</v>
      </c>
      <c r="F214">
        <v>511003</v>
      </c>
      <c r="G214" t="s">
        <v>6874</v>
      </c>
      <c r="H214" t="s">
        <v>401</v>
      </c>
      <c r="I214" t="s">
        <v>402</v>
      </c>
      <c r="J214">
        <v>390066</v>
      </c>
      <c r="K214">
        <v>20231004</v>
      </c>
      <c r="L214" t="s">
        <v>7594</v>
      </c>
      <c r="M214">
        <v>265.83999999999997</v>
      </c>
      <c r="N214">
        <v>0</v>
      </c>
      <c r="O214" t="s">
        <v>19</v>
      </c>
      <c r="P214" t="s">
        <v>20</v>
      </c>
      <c r="Q214">
        <v>20231004</v>
      </c>
    </row>
    <row r="215" spans="1:17" x14ac:dyDescent="0.25">
      <c r="A215" t="s">
        <v>476</v>
      </c>
      <c r="B215" t="s">
        <v>477</v>
      </c>
      <c r="C215">
        <v>1</v>
      </c>
      <c r="D215">
        <v>20231009</v>
      </c>
      <c r="E215">
        <v>10</v>
      </c>
      <c r="F215">
        <v>411010</v>
      </c>
      <c r="G215" t="s">
        <v>87</v>
      </c>
      <c r="H215" t="s">
        <v>365</v>
      </c>
      <c r="I215" t="s">
        <v>366</v>
      </c>
      <c r="J215">
        <v>390067</v>
      </c>
      <c r="K215">
        <v>20231009</v>
      </c>
      <c r="L215" t="s">
        <v>7593</v>
      </c>
      <c r="M215">
        <v>0</v>
      </c>
      <c r="N215">
        <v>83.09</v>
      </c>
      <c r="O215" t="s">
        <v>19</v>
      </c>
      <c r="P215" t="s">
        <v>20</v>
      </c>
      <c r="Q215">
        <v>20231009</v>
      </c>
    </row>
    <row r="216" spans="1:17" x14ac:dyDescent="0.25">
      <c r="A216" t="s">
        <v>476</v>
      </c>
      <c r="B216" t="s">
        <v>477</v>
      </c>
      <c r="C216">
        <v>1</v>
      </c>
      <c r="D216">
        <v>20231009</v>
      </c>
      <c r="E216">
        <v>10</v>
      </c>
      <c r="F216">
        <v>511003</v>
      </c>
      <c r="G216" t="s">
        <v>6874</v>
      </c>
      <c r="H216" t="s">
        <v>401</v>
      </c>
      <c r="I216" t="s">
        <v>402</v>
      </c>
      <c r="J216">
        <v>390068</v>
      </c>
      <c r="K216">
        <v>20231009</v>
      </c>
      <c r="L216" t="s">
        <v>7593</v>
      </c>
      <c r="M216">
        <v>83.09</v>
      </c>
      <c r="N216">
        <v>0</v>
      </c>
      <c r="O216" t="s">
        <v>19</v>
      </c>
      <c r="P216" t="s">
        <v>20</v>
      </c>
      <c r="Q216">
        <v>20231009</v>
      </c>
    </row>
    <row r="217" spans="1:17" x14ac:dyDescent="0.25">
      <c r="A217" t="s">
        <v>476</v>
      </c>
      <c r="B217" t="s">
        <v>477</v>
      </c>
      <c r="C217">
        <v>1</v>
      </c>
      <c r="D217">
        <v>20231010</v>
      </c>
      <c r="E217">
        <v>10</v>
      </c>
      <c r="F217">
        <v>411100</v>
      </c>
      <c r="G217" t="s">
        <v>18</v>
      </c>
      <c r="H217" t="s">
        <v>107</v>
      </c>
      <c r="I217" t="s">
        <v>108</v>
      </c>
      <c r="J217">
        <v>390069</v>
      </c>
      <c r="K217">
        <v>20231010</v>
      </c>
      <c r="L217" t="s">
        <v>7592</v>
      </c>
      <c r="M217">
        <v>0</v>
      </c>
      <c r="N217">
        <v>109.91</v>
      </c>
      <c r="O217" t="s">
        <v>19</v>
      </c>
      <c r="P217" t="s">
        <v>20</v>
      </c>
      <c r="Q217">
        <v>20231010</v>
      </c>
    </row>
    <row r="218" spans="1:17" x14ac:dyDescent="0.25">
      <c r="A218" t="s">
        <v>476</v>
      </c>
      <c r="B218" t="s">
        <v>477</v>
      </c>
      <c r="C218">
        <v>1</v>
      </c>
      <c r="D218">
        <v>20231010</v>
      </c>
      <c r="E218">
        <v>10</v>
      </c>
      <c r="F218">
        <v>511003</v>
      </c>
      <c r="G218" t="s">
        <v>6874</v>
      </c>
      <c r="H218" t="s">
        <v>401</v>
      </c>
      <c r="I218" t="s">
        <v>402</v>
      </c>
      <c r="J218">
        <v>390070</v>
      </c>
      <c r="K218">
        <v>20231010</v>
      </c>
      <c r="L218" t="s">
        <v>7592</v>
      </c>
      <c r="M218">
        <v>109.91</v>
      </c>
      <c r="N218">
        <v>0</v>
      </c>
      <c r="O218" t="s">
        <v>19</v>
      </c>
      <c r="P218" t="s">
        <v>20</v>
      </c>
      <c r="Q218">
        <v>20231010</v>
      </c>
    </row>
    <row r="219" spans="1:17" x14ac:dyDescent="0.25">
      <c r="A219" t="s">
        <v>476</v>
      </c>
      <c r="B219" t="s">
        <v>477</v>
      </c>
      <c r="C219">
        <v>1</v>
      </c>
      <c r="D219">
        <v>20231018</v>
      </c>
      <c r="E219">
        <v>10</v>
      </c>
      <c r="F219">
        <v>411100</v>
      </c>
      <c r="G219" t="s">
        <v>18</v>
      </c>
      <c r="H219" t="s">
        <v>77</v>
      </c>
      <c r="I219" t="s">
        <v>78</v>
      </c>
      <c r="J219">
        <v>390240</v>
      </c>
      <c r="K219">
        <v>20231018</v>
      </c>
      <c r="L219" t="s">
        <v>7591</v>
      </c>
      <c r="M219">
        <v>0</v>
      </c>
      <c r="N219">
        <v>43.43</v>
      </c>
      <c r="O219" t="s">
        <v>19</v>
      </c>
      <c r="P219" t="s">
        <v>20</v>
      </c>
      <c r="Q219">
        <v>20231018</v>
      </c>
    </row>
    <row r="220" spans="1:17" x14ac:dyDescent="0.25">
      <c r="A220" t="s">
        <v>476</v>
      </c>
      <c r="B220" t="s">
        <v>477</v>
      </c>
      <c r="C220">
        <v>1</v>
      </c>
      <c r="D220">
        <v>20231018</v>
      </c>
      <c r="E220">
        <v>10</v>
      </c>
      <c r="F220">
        <v>511003</v>
      </c>
      <c r="G220" t="s">
        <v>6874</v>
      </c>
      <c r="H220" t="s">
        <v>401</v>
      </c>
      <c r="I220" t="s">
        <v>402</v>
      </c>
      <c r="J220">
        <v>390241</v>
      </c>
      <c r="K220">
        <v>20231018</v>
      </c>
      <c r="L220" t="s">
        <v>7591</v>
      </c>
      <c r="M220">
        <v>43.43</v>
      </c>
      <c r="N220">
        <v>0</v>
      </c>
      <c r="O220" t="s">
        <v>19</v>
      </c>
      <c r="P220" t="s">
        <v>20</v>
      </c>
      <c r="Q220">
        <v>20231018</v>
      </c>
    </row>
    <row r="221" spans="1:17" x14ac:dyDescent="0.25">
      <c r="A221" t="s">
        <v>476</v>
      </c>
      <c r="B221" t="s">
        <v>477</v>
      </c>
      <c r="C221">
        <v>1</v>
      </c>
      <c r="D221">
        <v>20231020</v>
      </c>
      <c r="E221">
        <v>10</v>
      </c>
      <c r="F221">
        <v>411010</v>
      </c>
      <c r="G221" t="s">
        <v>87</v>
      </c>
      <c r="H221" t="s">
        <v>7590</v>
      </c>
      <c r="I221" t="s">
        <v>7589</v>
      </c>
      <c r="J221">
        <v>223080012</v>
      </c>
      <c r="K221">
        <v>20231020</v>
      </c>
      <c r="L221" t="s">
        <v>7588</v>
      </c>
      <c r="M221">
        <v>0</v>
      </c>
      <c r="N221">
        <v>150.25</v>
      </c>
      <c r="O221" t="s">
        <v>19</v>
      </c>
      <c r="P221" t="s">
        <v>20</v>
      </c>
      <c r="Q221">
        <v>20231020</v>
      </c>
    </row>
    <row r="222" spans="1:17" x14ac:dyDescent="0.25">
      <c r="A222" t="s">
        <v>476</v>
      </c>
      <c r="B222" t="s">
        <v>477</v>
      </c>
      <c r="C222">
        <v>1</v>
      </c>
      <c r="D222">
        <v>20231020</v>
      </c>
      <c r="E222">
        <v>10</v>
      </c>
      <c r="F222">
        <v>511003</v>
      </c>
      <c r="G222" t="s">
        <v>6874</v>
      </c>
      <c r="H222" t="s">
        <v>401</v>
      </c>
      <c r="I222" t="s">
        <v>402</v>
      </c>
      <c r="J222">
        <v>391600</v>
      </c>
      <c r="K222">
        <v>20231020</v>
      </c>
      <c r="L222" t="s">
        <v>7588</v>
      </c>
      <c r="M222">
        <v>150.25</v>
      </c>
      <c r="N222">
        <v>0</v>
      </c>
      <c r="O222" t="s">
        <v>19</v>
      </c>
      <c r="P222" t="s">
        <v>20</v>
      </c>
      <c r="Q222">
        <v>20231020</v>
      </c>
    </row>
    <row r="223" spans="1:17" x14ac:dyDescent="0.25">
      <c r="A223" t="s">
        <v>476</v>
      </c>
      <c r="B223" t="s">
        <v>477</v>
      </c>
      <c r="C223">
        <v>1</v>
      </c>
      <c r="D223">
        <v>20231031</v>
      </c>
      <c r="E223">
        <v>10</v>
      </c>
      <c r="F223">
        <v>411100</v>
      </c>
      <c r="G223" t="s">
        <v>18</v>
      </c>
      <c r="H223" t="s">
        <v>7253</v>
      </c>
      <c r="I223" t="s">
        <v>1306</v>
      </c>
      <c r="J223">
        <v>123090039</v>
      </c>
      <c r="K223">
        <v>20231031</v>
      </c>
      <c r="L223" t="s">
        <v>7587</v>
      </c>
      <c r="M223">
        <v>92.5</v>
      </c>
      <c r="N223">
        <v>0</v>
      </c>
      <c r="O223" t="s">
        <v>19</v>
      </c>
      <c r="P223" t="s">
        <v>20</v>
      </c>
      <c r="Q223">
        <v>20231031</v>
      </c>
    </row>
    <row r="224" spans="1:17" x14ac:dyDescent="0.25">
      <c r="A224" t="s">
        <v>476</v>
      </c>
      <c r="B224" t="s">
        <v>477</v>
      </c>
      <c r="C224">
        <v>1</v>
      </c>
      <c r="D224">
        <v>20231031</v>
      </c>
      <c r="E224">
        <v>10</v>
      </c>
      <c r="F224">
        <v>512000</v>
      </c>
      <c r="G224" t="s">
        <v>428</v>
      </c>
      <c r="H224" t="s">
        <v>401</v>
      </c>
      <c r="I224" t="s">
        <v>402</v>
      </c>
      <c r="J224">
        <v>391699</v>
      </c>
      <c r="K224">
        <v>20231031</v>
      </c>
      <c r="L224" t="s">
        <v>7587</v>
      </c>
      <c r="M224">
        <v>0</v>
      </c>
      <c r="N224">
        <v>92.5</v>
      </c>
      <c r="O224" t="s">
        <v>19</v>
      </c>
      <c r="P224" t="s">
        <v>20</v>
      </c>
      <c r="Q224">
        <v>20231031</v>
      </c>
    </row>
    <row r="225" spans="1:17" x14ac:dyDescent="0.25">
      <c r="A225" t="s">
        <v>476</v>
      </c>
      <c r="B225" t="s">
        <v>477</v>
      </c>
      <c r="C225">
        <v>1</v>
      </c>
      <c r="D225">
        <v>20231031</v>
      </c>
      <c r="E225">
        <v>10</v>
      </c>
      <c r="F225">
        <v>411100</v>
      </c>
      <c r="G225" t="s">
        <v>18</v>
      </c>
      <c r="H225" t="s">
        <v>7586</v>
      </c>
      <c r="I225" t="s">
        <v>7585</v>
      </c>
      <c r="J225">
        <v>123090084</v>
      </c>
      <c r="K225">
        <v>20231031</v>
      </c>
      <c r="L225" t="s">
        <v>7584</v>
      </c>
      <c r="M225">
        <v>0</v>
      </c>
      <c r="N225">
        <v>195</v>
      </c>
      <c r="O225" t="s">
        <v>19</v>
      </c>
      <c r="P225" t="s">
        <v>20</v>
      </c>
      <c r="Q225">
        <v>20231031</v>
      </c>
    </row>
    <row r="226" spans="1:17" x14ac:dyDescent="0.25">
      <c r="A226" t="s">
        <v>476</v>
      </c>
      <c r="B226" t="s">
        <v>477</v>
      </c>
      <c r="C226">
        <v>1</v>
      </c>
      <c r="D226">
        <v>20231031</v>
      </c>
      <c r="E226">
        <v>10</v>
      </c>
      <c r="F226">
        <v>511003</v>
      </c>
      <c r="G226" t="s">
        <v>6874</v>
      </c>
      <c r="H226" t="s">
        <v>401</v>
      </c>
      <c r="I226" t="s">
        <v>402</v>
      </c>
      <c r="J226">
        <v>391701</v>
      </c>
      <c r="K226">
        <v>20231031</v>
      </c>
      <c r="L226" t="s">
        <v>7584</v>
      </c>
      <c r="M226">
        <v>195</v>
      </c>
      <c r="N226">
        <v>0</v>
      </c>
      <c r="O226" t="s">
        <v>19</v>
      </c>
      <c r="P226" t="s">
        <v>20</v>
      </c>
      <c r="Q226">
        <v>20231031</v>
      </c>
    </row>
    <row r="227" spans="1:17" x14ac:dyDescent="0.25">
      <c r="A227" t="s">
        <v>476</v>
      </c>
      <c r="B227" t="s">
        <v>477</v>
      </c>
      <c r="C227">
        <v>1</v>
      </c>
      <c r="D227">
        <v>20231031</v>
      </c>
      <c r="E227">
        <v>10</v>
      </c>
      <c r="F227">
        <v>411010</v>
      </c>
      <c r="G227" t="s">
        <v>87</v>
      </c>
      <c r="H227" t="s">
        <v>7583</v>
      </c>
      <c r="I227" t="s">
        <v>7582</v>
      </c>
      <c r="J227">
        <v>391708</v>
      </c>
      <c r="K227">
        <v>20231031</v>
      </c>
      <c r="L227" t="s">
        <v>7581</v>
      </c>
      <c r="M227">
        <v>0</v>
      </c>
      <c r="N227">
        <v>251.34</v>
      </c>
      <c r="O227" t="s">
        <v>19</v>
      </c>
      <c r="P227" t="s">
        <v>20</v>
      </c>
      <c r="Q227">
        <v>20231031</v>
      </c>
    </row>
    <row r="228" spans="1:17" x14ac:dyDescent="0.25">
      <c r="A228" t="s">
        <v>476</v>
      </c>
      <c r="B228" t="s">
        <v>477</v>
      </c>
      <c r="C228">
        <v>1</v>
      </c>
      <c r="D228">
        <v>20231031</v>
      </c>
      <c r="E228">
        <v>10</v>
      </c>
      <c r="F228">
        <v>511003</v>
      </c>
      <c r="G228" t="s">
        <v>6874</v>
      </c>
      <c r="H228" t="s">
        <v>401</v>
      </c>
      <c r="I228" t="s">
        <v>402</v>
      </c>
      <c r="J228">
        <v>391709</v>
      </c>
      <c r="K228">
        <v>20231031</v>
      </c>
      <c r="L228" t="s">
        <v>7581</v>
      </c>
      <c r="M228">
        <v>251.34</v>
      </c>
      <c r="N228">
        <v>0</v>
      </c>
      <c r="O228" t="s">
        <v>19</v>
      </c>
      <c r="P228" t="s">
        <v>20</v>
      </c>
      <c r="Q228">
        <v>20231031</v>
      </c>
    </row>
    <row r="229" spans="1:17" x14ac:dyDescent="0.25">
      <c r="A229" t="s">
        <v>476</v>
      </c>
      <c r="B229" t="s">
        <v>477</v>
      </c>
      <c r="C229">
        <v>1</v>
      </c>
      <c r="D229">
        <v>20231031</v>
      </c>
      <c r="E229">
        <v>10</v>
      </c>
      <c r="F229">
        <v>411100</v>
      </c>
      <c r="G229" t="s">
        <v>18</v>
      </c>
      <c r="H229" t="s">
        <v>192</v>
      </c>
      <c r="I229" t="s">
        <v>193</v>
      </c>
      <c r="J229">
        <v>323090007</v>
      </c>
      <c r="K229">
        <v>20231031</v>
      </c>
      <c r="L229" t="s">
        <v>7580</v>
      </c>
      <c r="M229">
        <v>0</v>
      </c>
      <c r="N229">
        <v>63.38</v>
      </c>
      <c r="O229" t="s">
        <v>23</v>
      </c>
      <c r="P229">
        <v>20231211</v>
      </c>
      <c r="Q229">
        <v>20231031</v>
      </c>
    </row>
    <row r="230" spans="1:17" x14ac:dyDescent="0.25">
      <c r="A230" t="s">
        <v>476</v>
      </c>
      <c r="B230" t="s">
        <v>477</v>
      </c>
      <c r="C230">
        <v>1</v>
      </c>
      <c r="D230">
        <v>20231031</v>
      </c>
      <c r="E230">
        <v>10</v>
      </c>
      <c r="F230">
        <v>511003</v>
      </c>
      <c r="G230" t="s">
        <v>6874</v>
      </c>
      <c r="H230" t="s">
        <v>401</v>
      </c>
      <c r="I230" t="s">
        <v>402</v>
      </c>
      <c r="J230">
        <v>391756</v>
      </c>
      <c r="K230">
        <v>20231031</v>
      </c>
      <c r="L230" t="s">
        <v>7580</v>
      </c>
      <c r="M230">
        <v>63.38</v>
      </c>
      <c r="N230">
        <v>0</v>
      </c>
      <c r="O230" t="s">
        <v>19</v>
      </c>
      <c r="P230" t="s">
        <v>20</v>
      </c>
      <c r="Q230">
        <v>20231031</v>
      </c>
    </row>
    <row r="231" spans="1:17" x14ac:dyDescent="0.25">
      <c r="A231" t="s">
        <v>476</v>
      </c>
      <c r="B231" t="s">
        <v>477</v>
      </c>
      <c r="C231">
        <v>1</v>
      </c>
      <c r="D231">
        <v>20231012</v>
      </c>
      <c r="E231">
        <v>10</v>
      </c>
      <c r="F231">
        <v>411100</v>
      </c>
      <c r="G231" t="s">
        <v>18</v>
      </c>
      <c r="H231" t="s">
        <v>207</v>
      </c>
      <c r="I231" t="s">
        <v>208</v>
      </c>
      <c r="J231">
        <v>393488</v>
      </c>
      <c r="K231">
        <v>20231012</v>
      </c>
      <c r="L231" t="s">
        <v>7579</v>
      </c>
      <c r="M231">
        <v>0</v>
      </c>
      <c r="N231">
        <v>38.880000000000003</v>
      </c>
      <c r="O231" t="s">
        <v>19</v>
      </c>
      <c r="P231" t="s">
        <v>20</v>
      </c>
      <c r="Q231">
        <v>20231012</v>
      </c>
    </row>
    <row r="232" spans="1:17" x14ac:dyDescent="0.25">
      <c r="A232" t="s">
        <v>476</v>
      </c>
      <c r="B232" t="s">
        <v>477</v>
      </c>
      <c r="C232">
        <v>1</v>
      </c>
      <c r="D232">
        <v>20231012</v>
      </c>
      <c r="E232">
        <v>10</v>
      </c>
      <c r="F232">
        <v>511003</v>
      </c>
      <c r="G232" t="s">
        <v>6874</v>
      </c>
      <c r="H232" t="s">
        <v>401</v>
      </c>
      <c r="I232" t="s">
        <v>402</v>
      </c>
      <c r="J232">
        <v>393489</v>
      </c>
      <c r="K232">
        <v>20231012</v>
      </c>
      <c r="L232" t="s">
        <v>7579</v>
      </c>
      <c r="M232">
        <v>38.880000000000003</v>
      </c>
      <c r="N232">
        <v>0</v>
      </c>
      <c r="O232" t="s">
        <v>19</v>
      </c>
      <c r="P232" t="s">
        <v>20</v>
      </c>
      <c r="Q232">
        <v>20231012</v>
      </c>
    </row>
    <row r="233" spans="1:17" x14ac:dyDescent="0.25">
      <c r="A233" t="s">
        <v>476</v>
      </c>
      <c r="B233" t="s">
        <v>477</v>
      </c>
      <c r="C233">
        <v>1</v>
      </c>
      <c r="D233">
        <v>20231016</v>
      </c>
      <c r="E233">
        <v>10</v>
      </c>
      <c r="F233">
        <v>411100</v>
      </c>
      <c r="G233" t="s">
        <v>18</v>
      </c>
      <c r="H233" t="s">
        <v>2736</v>
      </c>
      <c r="I233" t="s">
        <v>2737</v>
      </c>
      <c r="J233">
        <v>393490</v>
      </c>
      <c r="K233">
        <v>20231016</v>
      </c>
      <c r="L233" t="s">
        <v>7578</v>
      </c>
      <c r="M233">
        <v>0</v>
      </c>
      <c r="N233">
        <v>67.56</v>
      </c>
      <c r="O233" t="s">
        <v>19</v>
      </c>
      <c r="P233" t="s">
        <v>20</v>
      </c>
      <c r="Q233">
        <v>20231016</v>
      </c>
    </row>
    <row r="234" spans="1:17" x14ac:dyDescent="0.25">
      <c r="A234" t="s">
        <v>476</v>
      </c>
      <c r="B234" t="s">
        <v>477</v>
      </c>
      <c r="C234">
        <v>1</v>
      </c>
      <c r="D234">
        <v>20231016</v>
      </c>
      <c r="E234">
        <v>10</v>
      </c>
      <c r="F234">
        <v>511003</v>
      </c>
      <c r="G234" t="s">
        <v>6874</v>
      </c>
      <c r="H234" t="s">
        <v>401</v>
      </c>
      <c r="I234" t="s">
        <v>402</v>
      </c>
      <c r="J234">
        <v>393491</v>
      </c>
      <c r="K234">
        <v>20231016</v>
      </c>
      <c r="L234" t="s">
        <v>7578</v>
      </c>
      <c r="M234">
        <v>67.56</v>
      </c>
      <c r="N234">
        <v>0</v>
      </c>
      <c r="O234" t="s">
        <v>19</v>
      </c>
      <c r="P234" t="s">
        <v>20</v>
      </c>
      <c r="Q234">
        <v>20231016</v>
      </c>
    </row>
    <row r="235" spans="1:17" x14ac:dyDescent="0.25">
      <c r="A235" t="s">
        <v>476</v>
      </c>
      <c r="B235" t="s">
        <v>477</v>
      </c>
      <c r="C235">
        <v>1</v>
      </c>
      <c r="D235">
        <v>20231016</v>
      </c>
      <c r="E235">
        <v>10</v>
      </c>
      <c r="F235">
        <v>411100</v>
      </c>
      <c r="G235" t="s">
        <v>18</v>
      </c>
      <c r="H235" t="s">
        <v>3793</v>
      </c>
      <c r="I235" t="s">
        <v>3794</v>
      </c>
      <c r="J235">
        <v>393492</v>
      </c>
      <c r="K235">
        <v>20231016</v>
      </c>
      <c r="L235" t="s">
        <v>7577</v>
      </c>
      <c r="M235">
        <v>0</v>
      </c>
      <c r="N235">
        <v>152.32</v>
      </c>
      <c r="O235" t="s">
        <v>19</v>
      </c>
      <c r="P235" t="s">
        <v>20</v>
      </c>
      <c r="Q235">
        <v>20231016</v>
      </c>
    </row>
    <row r="236" spans="1:17" x14ac:dyDescent="0.25">
      <c r="A236" t="s">
        <v>476</v>
      </c>
      <c r="B236" t="s">
        <v>477</v>
      </c>
      <c r="C236">
        <v>1</v>
      </c>
      <c r="D236">
        <v>20231016</v>
      </c>
      <c r="E236">
        <v>10</v>
      </c>
      <c r="F236">
        <v>511003</v>
      </c>
      <c r="G236" t="s">
        <v>6874</v>
      </c>
      <c r="H236" t="s">
        <v>401</v>
      </c>
      <c r="I236" t="s">
        <v>402</v>
      </c>
      <c r="J236">
        <v>393493</v>
      </c>
      <c r="K236">
        <v>20231016</v>
      </c>
      <c r="L236" t="s">
        <v>7577</v>
      </c>
      <c r="M236">
        <v>152.32</v>
      </c>
      <c r="N236">
        <v>0</v>
      </c>
      <c r="O236" t="s">
        <v>19</v>
      </c>
      <c r="P236" t="s">
        <v>20</v>
      </c>
      <c r="Q236">
        <v>20231016</v>
      </c>
    </row>
    <row r="237" spans="1:17" x14ac:dyDescent="0.25">
      <c r="A237" t="s">
        <v>476</v>
      </c>
      <c r="B237" t="s">
        <v>477</v>
      </c>
      <c r="C237">
        <v>1</v>
      </c>
      <c r="D237">
        <v>20231016</v>
      </c>
      <c r="E237">
        <v>10</v>
      </c>
      <c r="F237">
        <v>411100</v>
      </c>
      <c r="G237" t="s">
        <v>18</v>
      </c>
      <c r="H237" t="s">
        <v>7576</v>
      </c>
      <c r="I237" t="s">
        <v>7575</v>
      </c>
      <c r="J237">
        <v>393494</v>
      </c>
      <c r="K237">
        <v>20231016</v>
      </c>
      <c r="L237" t="s">
        <v>7574</v>
      </c>
      <c r="M237">
        <v>0</v>
      </c>
      <c r="N237">
        <v>22</v>
      </c>
      <c r="O237" t="s">
        <v>19</v>
      </c>
      <c r="P237" t="s">
        <v>20</v>
      </c>
      <c r="Q237">
        <v>20231016</v>
      </c>
    </row>
    <row r="238" spans="1:17" x14ac:dyDescent="0.25">
      <c r="A238" t="s">
        <v>476</v>
      </c>
      <c r="B238" t="s">
        <v>477</v>
      </c>
      <c r="C238">
        <v>1</v>
      </c>
      <c r="D238">
        <v>20231016</v>
      </c>
      <c r="E238">
        <v>10</v>
      </c>
      <c r="F238">
        <v>511003</v>
      </c>
      <c r="G238" t="s">
        <v>6874</v>
      </c>
      <c r="H238" t="s">
        <v>401</v>
      </c>
      <c r="I238" t="s">
        <v>402</v>
      </c>
      <c r="J238">
        <v>393495</v>
      </c>
      <c r="K238">
        <v>20231016</v>
      </c>
      <c r="L238" t="s">
        <v>7574</v>
      </c>
      <c r="M238">
        <v>22</v>
      </c>
      <c r="N238">
        <v>0</v>
      </c>
      <c r="O238" t="s">
        <v>19</v>
      </c>
      <c r="P238" t="s">
        <v>20</v>
      </c>
      <c r="Q238">
        <v>20231016</v>
      </c>
    </row>
    <row r="239" spans="1:17" x14ac:dyDescent="0.25">
      <c r="A239" t="s">
        <v>476</v>
      </c>
      <c r="B239" t="s">
        <v>477</v>
      </c>
      <c r="C239">
        <v>1</v>
      </c>
      <c r="D239">
        <v>20231016</v>
      </c>
      <c r="E239">
        <v>10</v>
      </c>
      <c r="F239">
        <v>411100</v>
      </c>
      <c r="G239" t="s">
        <v>18</v>
      </c>
      <c r="H239" t="s">
        <v>7573</v>
      </c>
      <c r="I239" t="s">
        <v>7572</v>
      </c>
      <c r="J239">
        <v>393496</v>
      </c>
      <c r="K239">
        <v>20231016</v>
      </c>
      <c r="L239" t="s">
        <v>7571</v>
      </c>
      <c r="M239">
        <v>0</v>
      </c>
      <c r="N239">
        <v>24.72</v>
      </c>
      <c r="O239" t="s">
        <v>19</v>
      </c>
      <c r="P239" t="s">
        <v>20</v>
      </c>
      <c r="Q239">
        <v>20231016</v>
      </c>
    </row>
    <row r="240" spans="1:17" x14ac:dyDescent="0.25">
      <c r="A240" t="s">
        <v>476</v>
      </c>
      <c r="B240" t="s">
        <v>477</v>
      </c>
      <c r="C240">
        <v>1</v>
      </c>
      <c r="D240">
        <v>20231016</v>
      </c>
      <c r="E240">
        <v>10</v>
      </c>
      <c r="F240">
        <v>511003</v>
      </c>
      <c r="G240" t="s">
        <v>6874</v>
      </c>
      <c r="H240" t="s">
        <v>401</v>
      </c>
      <c r="I240" t="s">
        <v>402</v>
      </c>
      <c r="J240">
        <v>393497</v>
      </c>
      <c r="K240">
        <v>20231016</v>
      </c>
      <c r="L240" t="s">
        <v>7571</v>
      </c>
      <c r="M240">
        <v>24.72</v>
      </c>
      <c r="N240">
        <v>0</v>
      </c>
      <c r="O240" t="s">
        <v>19</v>
      </c>
      <c r="P240" t="s">
        <v>20</v>
      </c>
      <c r="Q240">
        <v>20231016</v>
      </c>
    </row>
    <row r="241" spans="1:17" x14ac:dyDescent="0.25">
      <c r="A241" t="s">
        <v>476</v>
      </c>
      <c r="B241" t="s">
        <v>477</v>
      </c>
      <c r="C241">
        <v>1</v>
      </c>
      <c r="D241">
        <v>20231017</v>
      </c>
      <c r="E241">
        <v>10</v>
      </c>
      <c r="F241">
        <v>411100</v>
      </c>
      <c r="G241" t="s">
        <v>18</v>
      </c>
      <c r="H241" t="s">
        <v>787</v>
      </c>
      <c r="I241" t="s">
        <v>788</v>
      </c>
      <c r="J241">
        <v>393498</v>
      </c>
      <c r="K241">
        <v>20231017</v>
      </c>
      <c r="L241" t="s">
        <v>7570</v>
      </c>
      <c r="M241">
        <v>0</v>
      </c>
      <c r="N241">
        <v>11.23</v>
      </c>
      <c r="O241" t="s">
        <v>19</v>
      </c>
      <c r="P241" t="s">
        <v>20</v>
      </c>
      <c r="Q241">
        <v>20231017</v>
      </c>
    </row>
    <row r="242" spans="1:17" x14ac:dyDescent="0.25">
      <c r="A242" t="s">
        <v>476</v>
      </c>
      <c r="B242" t="s">
        <v>477</v>
      </c>
      <c r="C242">
        <v>1</v>
      </c>
      <c r="D242">
        <v>20231017</v>
      </c>
      <c r="E242">
        <v>10</v>
      </c>
      <c r="F242">
        <v>511003</v>
      </c>
      <c r="G242" t="s">
        <v>6874</v>
      </c>
      <c r="H242" t="s">
        <v>401</v>
      </c>
      <c r="I242" t="s">
        <v>402</v>
      </c>
      <c r="J242">
        <v>393499</v>
      </c>
      <c r="K242">
        <v>20231017</v>
      </c>
      <c r="L242" t="s">
        <v>7570</v>
      </c>
      <c r="M242">
        <v>11.23</v>
      </c>
      <c r="N242">
        <v>0</v>
      </c>
      <c r="O242" t="s">
        <v>19</v>
      </c>
      <c r="P242" t="s">
        <v>20</v>
      </c>
      <c r="Q242">
        <v>20231017</v>
      </c>
    </row>
    <row r="243" spans="1:17" x14ac:dyDescent="0.25">
      <c r="A243" t="s">
        <v>476</v>
      </c>
      <c r="B243" t="s">
        <v>477</v>
      </c>
      <c r="C243">
        <v>1</v>
      </c>
      <c r="D243">
        <v>20231018</v>
      </c>
      <c r="E243">
        <v>10</v>
      </c>
      <c r="F243">
        <v>411100</v>
      </c>
      <c r="G243" t="s">
        <v>18</v>
      </c>
      <c r="H243" t="s">
        <v>7569</v>
      </c>
      <c r="I243" t="s">
        <v>7568</v>
      </c>
      <c r="J243">
        <v>393500</v>
      </c>
      <c r="K243">
        <v>20231018</v>
      </c>
      <c r="L243" t="s">
        <v>7567</v>
      </c>
      <c r="M243">
        <v>0</v>
      </c>
      <c r="N243">
        <v>13</v>
      </c>
      <c r="O243" t="s">
        <v>19</v>
      </c>
      <c r="P243" t="s">
        <v>20</v>
      </c>
      <c r="Q243">
        <v>20231018</v>
      </c>
    </row>
    <row r="244" spans="1:17" x14ac:dyDescent="0.25">
      <c r="A244" t="s">
        <v>476</v>
      </c>
      <c r="B244" t="s">
        <v>477</v>
      </c>
      <c r="C244">
        <v>1</v>
      </c>
      <c r="D244">
        <v>20231018</v>
      </c>
      <c r="E244">
        <v>10</v>
      </c>
      <c r="F244">
        <v>511003</v>
      </c>
      <c r="G244" t="s">
        <v>6874</v>
      </c>
      <c r="H244" t="s">
        <v>401</v>
      </c>
      <c r="I244" t="s">
        <v>402</v>
      </c>
      <c r="J244">
        <v>393501</v>
      </c>
      <c r="K244">
        <v>20231018</v>
      </c>
      <c r="L244" t="s">
        <v>7567</v>
      </c>
      <c r="M244">
        <v>13</v>
      </c>
      <c r="N244">
        <v>0</v>
      </c>
      <c r="O244" t="s">
        <v>19</v>
      </c>
      <c r="P244" t="s">
        <v>20</v>
      </c>
      <c r="Q244">
        <v>20231018</v>
      </c>
    </row>
    <row r="245" spans="1:17" x14ac:dyDescent="0.25">
      <c r="A245" t="s">
        <v>476</v>
      </c>
      <c r="B245" t="s">
        <v>477</v>
      </c>
      <c r="C245">
        <v>1</v>
      </c>
      <c r="D245">
        <v>20231016</v>
      </c>
      <c r="E245">
        <v>10</v>
      </c>
      <c r="F245">
        <v>411100</v>
      </c>
      <c r="G245" t="s">
        <v>18</v>
      </c>
      <c r="H245" t="s">
        <v>7566</v>
      </c>
      <c r="I245" t="s">
        <v>7565</v>
      </c>
      <c r="J245">
        <v>393502</v>
      </c>
      <c r="K245">
        <v>20231016</v>
      </c>
      <c r="L245" t="s">
        <v>7564</v>
      </c>
      <c r="M245">
        <v>10</v>
      </c>
      <c r="N245">
        <v>0</v>
      </c>
      <c r="O245" t="s">
        <v>19</v>
      </c>
      <c r="P245" t="s">
        <v>20</v>
      </c>
      <c r="Q245">
        <v>20231016</v>
      </c>
    </row>
    <row r="246" spans="1:17" x14ac:dyDescent="0.25">
      <c r="A246" t="s">
        <v>476</v>
      </c>
      <c r="B246" t="s">
        <v>477</v>
      </c>
      <c r="C246">
        <v>1</v>
      </c>
      <c r="D246">
        <v>20231016</v>
      </c>
      <c r="E246">
        <v>10</v>
      </c>
      <c r="F246">
        <v>511003</v>
      </c>
      <c r="G246" t="s">
        <v>6874</v>
      </c>
      <c r="H246" t="s">
        <v>401</v>
      </c>
      <c r="I246" t="s">
        <v>402</v>
      </c>
      <c r="J246">
        <v>393503</v>
      </c>
      <c r="K246">
        <v>20231016</v>
      </c>
      <c r="L246" t="s">
        <v>7563</v>
      </c>
      <c r="M246">
        <v>0</v>
      </c>
      <c r="N246">
        <v>10</v>
      </c>
      <c r="O246" t="s">
        <v>19</v>
      </c>
      <c r="P246" t="s">
        <v>20</v>
      </c>
      <c r="Q246">
        <v>20231016</v>
      </c>
    </row>
    <row r="247" spans="1:17" x14ac:dyDescent="0.25">
      <c r="A247" t="s">
        <v>548</v>
      </c>
      <c r="B247" t="s">
        <v>429</v>
      </c>
      <c r="C247">
        <v>2</v>
      </c>
      <c r="D247">
        <v>20231005</v>
      </c>
      <c r="E247">
        <v>10</v>
      </c>
      <c r="F247">
        <v>467100</v>
      </c>
      <c r="G247" t="s">
        <v>160</v>
      </c>
      <c r="H247" t="s">
        <v>172</v>
      </c>
      <c r="I247" t="s">
        <v>173</v>
      </c>
      <c r="J247" t="s">
        <v>7562</v>
      </c>
      <c r="K247">
        <v>20231005</v>
      </c>
      <c r="L247" t="s">
        <v>6215</v>
      </c>
      <c r="M247">
        <v>0</v>
      </c>
      <c r="N247">
        <v>34.83</v>
      </c>
      <c r="O247" t="s">
        <v>23</v>
      </c>
      <c r="P247">
        <v>20231023</v>
      </c>
      <c r="Q247">
        <v>20231005</v>
      </c>
    </row>
    <row r="248" spans="1:17" x14ac:dyDescent="0.25">
      <c r="A248" t="s">
        <v>548</v>
      </c>
      <c r="B248" t="s">
        <v>429</v>
      </c>
      <c r="C248">
        <v>2</v>
      </c>
      <c r="D248">
        <v>20231005</v>
      </c>
      <c r="E248">
        <v>10</v>
      </c>
      <c r="F248">
        <v>531105</v>
      </c>
      <c r="G248" t="s">
        <v>429</v>
      </c>
      <c r="H248" t="s">
        <v>401</v>
      </c>
      <c r="I248" t="s">
        <v>402</v>
      </c>
      <c r="J248" t="s">
        <v>7562</v>
      </c>
      <c r="K248">
        <v>20231005</v>
      </c>
      <c r="L248" t="s">
        <v>6215</v>
      </c>
      <c r="M248">
        <v>34.83</v>
      </c>
      <c r="N248">
        <v>0</v>
      </c>
      <c r="O248" t="s">
        <v>19</v>
      </c>
      <c r="P248" t="s">
        <v>20</v>
      </c>
      <c r="Q248">
        <v>20231005</v>
      </c>
    </row>
    <row r="249" spans="1:17" x14ac:dyDescent="0.25">
      <c r="A249" t="s">
        <v>548</v>
      </c>
      <c r="B249" t="s">
        <v>429</v>
      </c>
      <c r="C249">
        <v>2</v>
      </c>
      <c r="D249">
        <v>20231006</v>
      </c>
      <c r="E249">
        <v>10</v>
      </c>
      <c r="F249">
        <v>467100</v>
      </c>
      <c r="G249" t="s">
        <v>160</v>
      </c>
      <c r="H249" t="s">
        <v>4958</v>
      </c>
      <c r="I249" t="s">
        <v>4959</v>
      </c>
      <c r="J249" t="s">
        <v>7561</v>
      </c>
      <c r="K249">
        <v>20231006</v>
      </c>
      <c r="L249" t="s">
        <v>7560</v>
      </c>
      <c r="M249">
        <v>0</v>
      </c>
      <c r="N249">
        <v>17.010000000000002</v>
      </c>
      <c r="O249" t="s">
        <v>23</v>
      </c>
      <c r="P249">
        <v>20231023</v>
      </c>
      <c r="Q249">
        <v>20231006</v>
      </c>
    </row>
    <row r="250" spans="1:17" x14ac:dyDescent="0.25">
      <c r="A250" t="s">
        <v>548</v>
      </c>
      <c r="B250" t="s">
        <v>429</v>
      </c>
      <c r="C250">
        <v>2</v>
      </c>
      <c r="D250">
        <v>20231006</v>
      </c>
      <c r="E250">
        <v>10</v>
      </c>
      <c r="F250">
        <v>531105</v>
      </c>
      <c r="G250" t="s">
        <v>429</v>
      </c>
      <c r="H250" t="s">
        <v>401</v>
      </c>
      <c r="I250" t="s">
        <v>402</v>
      </c>
      <c r="J250" t="s">
        <v>7561</v>
      </c>
      <c r="K250">
        <v>20231006</v>
      </c>
      <c r="L250" t="s">
        <v>7560</v>
      </c>
      <c r="M250">
        <v>17.010000000000002</v>
      </c>
      <c r="N250">
        <v>0</v>
      </c>
      <c r="O250" t="s">
        <v>19</v>
      </c>
      <c r="P250" t="s">
        <v>20</v>
      </c>
      <c r="Q250">
        <v>20231006</v>
      </c>
    </row>
    <row r="251" spans="1:17" x14ac:dyDescent="0.25">
      <c r="A251" t="s">
        <v>548</v>
      </c>
      <c r="B251" t="s">
        <v>429</v>
      </c>
      <c r="C251">
        <v>2</v>
      </c>
      <c r="D251">
        <v>20231007</v>
      </c>
      <c r="E251">
        <v>10</v>
      </c>
      <c r="F251">
        <v>467100</v>
      </c>
      <c r="G251" t="s">
        <v>160</v>
      </c>
      <c r="H251" t="s">
        <v>1726</v>
      </c>
      <c r="I251" t="s">
        <v>1727</v>
      </c>
      <c r="J251" t="s">
        <v>7559</v>
      </c>
      <c r="K251">
        <v>20231007</v>
      </c>
      <c r="L251" t="s">
        <v>7558</v>
      </c>
      <c r="M251">
        <v>30</v>
      </c>
      <c r="N251">
        <v>0</v>
      </c>
      <c r="O251" t="s">
        <v>23</v>
      </c>
      <c r="P251">
        <v>20231024</v>
      </c>
      <c r="Q251">
        <v>20231007</v>
      </c>
    </row>
    <row r="252" spans="1:17" x14ac:dyDescent="0.25">
      <c r="A252" t="s">
        <v>548</v>
      </c>
      <c r="B252" t="s">
        <v>429</v>
      </c>
      <c r="C252">
        <v>2</v>
      </c>
      <c r="D252">
        <v>20231007</v>
      </c>
      <c r="E252">
        <v>10</v>
      </c>
      <c r="F252">
        <v>531105</v>
      </c>
      <c r="G252" t="s">
        <v>429</v>
      </c>
      <c r="H252" t="s">
        <v>401</v>
      </c>
      <c r="I252" t="s">
        <v>402</v>
      </c>
      <c r="J252" t="s">
        <v>7559</v>
      </c>
      <c r="K252">
        <v>20231007</v>
      </c>
      <c r="L252" t="s">
        <v>7558</v>
      </c>
      <c r="M252">
        <v>0</v>
      </c>
      <c r="N252">
        <v>30</v>
      </c>
      <c r="O252" t="s">
        <v>19</v>
      </c>
      <c r="P252" t="s">
        <v>20</v>
      </c>
      <c r="Q252">
        <v>20231007</v>
      </c>
    </row>
    <row r="253" spans="1:17" x14ac:dyDescent="0.25">
      <c r="A253" t="s">
        <v>548</v>
      </c>
      <c r="B253" t="s">
        <v>429</v>
      </c>
      <c r="C253">
        <v>2</v>
      </c>
      <c r="D253">
        <v>20231010</v>
      </c>
      <c r="E253">
        <v>10</v>
      </c>
      <c r="F253">
        <v>580000</v>
      </c>
      <c r="G253" t="s">
        <v>532</v>
      </c>
      <c r="H253" t="s">
        <v>401</v>
      </c>
      <c r="I253" t="s">
        <v>402</v>
      </c>
      <c r="J253" t="s">
        <v>7411</v>
      </c>
      <c r="K253">
        <v>20231010</v>
      </c>
      <c r="L253" t="s">
        <v>625</v>
      </c>
      <c r="M253">
        <v>650</v>
      </c>
      <c r="N253">
        <v>0</v>
      </c>
      <c r="O253" t="s">
        <v>22</v>
      </c>
      <c r="P253">
        <v>20231011</v>
      </c>
      <c r="Q253">
        <v>20231010</v>
      </c>
    </row>
    <row r="254" spans="1:17" x14ac:dyDescent="0.25">
      <c r="A254" t="s">
        <v>548</v>
      </c>
      <c r="B254" t="s">
        <v>429</v>
      </c>
      <c r="C254">
        <v>2</v>
      </c>
      <c r="D254">
        <v>20231010</v>
      </c>
      <c r="E254">
        <v>10</v>
      </c>
      <c r="F254">
        <v>531105</v>
      </c>
      <c r="G254" t="s">
        <v>429</v>
      </c>
      <c r="H254" t="s">
        <v>401</v>
      </c>
      <c r="I254" t="s">
        <v>402</v>
      </c>
      <c r="J254" t="s">
        <v>7411</v>
      </c>
      <c r="K254">
        <v>20231010</v>
      </c>
      <c r="L254" t="s">
        <v>625</v>
      </c>
      <c r="M254">
        <v>0</v>
      </c>
      <c r="N254">
        <v>650</v>
      </c>
      <c r="O254" t="s">
        <v>19</v>
      </c>
      <c r="P254" t="s">
        <v>20</v>
      </c>
      <c r="Q254">
        <v>20231010</v>
      </c>
    </row>
    <row r="255" spans="1:17" x14ac:dyDescent="0.25">
      <c r="A255" t="s">
        <v>548</v>
      </c>
      <c r="B255" t="s">
        <v>429</v>
      </c>
      <c r="C255">
        <v>2</v>
      </c>
      <c r="D255">
        <v>20231012</v>
      </c>
      <c r="E255">
        <v>10</v>
      </c>
      <c r="F255">
        <v>467100</v>
      </c>
      <c r="G255" t="s">
        <v>160</v>
      </c>
      <c r="H255" t="s">
        <v>4958</v>
      </c>
      <c r="I255" t="s">
        <v>4959</v>
      </c>
      <c r="J255" t="s">
        <v>7557</v>
      </c>
      <c r="K255">
        <v>20231012</v>
      </c>
      <c r="L255" t="s">
        <v>7556</v>
      </c>
      <c r="M255">
        <v>100</v>
      </c>
      <c r="N255">
        <v>0</v>
      </c>
      <c r="O255" t="s">
        <v>23</v>
      </c>
      <c r="P255">
        <v>20231023</v>
      </c>
      <c r="Q255">
        <v>20231012</v>
      </c>
    </row>
    <row r="256" spans="1:17" x14ac:dyDescent="0.25">
      <c r="A256" t="s">
        <v>548</v>
      </c>
      <c r="B256" t="s">
        <v>429</v>
      </c>
      <c r="C256">
        <v>2</v>
      </c>
      <c r="D256">
        <v>20231012</v>
      </c>
      <c r="E256">
        <v>10</v>
      </c>
      <c r="F256">
        <v>531105</v>
      </c>
      <c r="G256" t="s">
        <v>429</v>
      </c>
      <c r="H256" t="s">
        <v>401</v>
      </c>
      <c r="I256" t="s">
        <v>402</v>
      </c>
      <c r="J256" t="s">
        <v>7557</v>
      </c>
      <c r="K256">
        <v>20231012</v>
      </c>
      <c r="L256" t="s">
        <v>7556</v>
      </c>
      <c r="M256">
        <v>0</v>
      </c>
      <c r="N256">
        <v>100</v>
      </c>
      <c r="O256" t="s">
        <v>19</v>
      </c>
      <c r="P256" t="s">
        <v>20</v>
      </c>
      <c r="Q256">
        <v>20231012</v>
      </c>
    </row>
    <row r="257" spans="1:17" x14ac:dyDescent="0.25">
      <c r="A257" t="s">
        <v>548</v>
      </c>
      <c r="B257" t="s">
        <v>429</v>
      </c>
      <c r="C257">
        <v>2</v>
      </c>
      <c r="D257">
        <v>20231012</v>
      </c>
      <c r="E257">
        <v>10</v>
      </c>
      <c r="F257">
        <v>467100</v>
      </c>
      <c r="G257" t="s">
        <v>160</v>
      </c>
      <c r="H257" t="s">
        <v>4958</v>
      </c>
      <c r="I257" t="s">
        <v>4959</v>
      </c>
      <c r="J257" t="s">
        <v>7555</v>
      </c>
      <c r="K257">
        <v>20231012</v>
      </c>
      <c r="L257" t="s">
        <v>7554</v>
      </c>
      <c r="M257">
        <v>0</v>
      </c>
      <c r="N257">
        <v>50.54</v>
      </c>
      <c r="O257" t="s">
        <v>23</v>
      </c>
      <c r="P257">
        <v>20231023</v>
      </c>
      <c r="Q257">
        <v>20231012</v>
      </c>
    </row>
    <row r="258" spans="1:17" x14ac:dyDescent="0.25">
      <c r="A258" t="s">
        <v>548</v>
      </c>
      <c r="B258" t="s">
        <v>429</v>
      </c>
      <c r="C258">
        <v>2</v>
      </c>
      <c r="D258">
        <v>20231012</v>
      </c>
      <c r="E258">
        <v>10</v>
      </c>
      <c r="F258">
        <v>531105</v>
      </c>
      <c r="G258" t="s">
        <v>429</v>
      </c>
      <c r="H258" t="s">
        <v>401</v>
      </c>
      <c r="I258" t="s">
        <v>402</v>
      </c>
      <c r="J258" t="s">
        <v>7555</v>
      </c>
      <c r="K258">
        <v>20231012</v>
      </c>
      <c r="L258" t="s">
        <v>7554</v>
      </c>
      <c r="M258">
        <v>50.54</v>
      </c>
      <c r="N258">
        <v>0</v>
      </c>
      <c r="O258" t="s">
        <v>19</v>
      </c>
      <c r="P258" t="s">
        <v>20</v>
      </c>
      <c r="Q258">
        <v>20231012</v>
      </c>
    </row>
    <row r="259" spans="1:17" x14ac:dyDescent="0.25">
      <c r="A259" t="s">
        <v>548</v>
      </c>
      <c r="B259" t="s">
        <v>429</v>
      </c>
      <c r="C259">
        <v>2</v>
      </c>
      <c r="D259">
        <v>20231017</v>
      </c>
      <c r="E259">
        <v>10</v>
      </c>
      <c r="F259">
        <v>467100</v>
      </c>
      <c r="G259" t="s">
        <v>160</v>
      </c>
      <c r="H259" t="s">
        <v>4958</v>
      </c>
      <c r="I259" t="s">
        <v>4959</v>
      </c>
      <c r="J259" t="s">
        <v>7553</v>
      </c>
      <c r="K259">
        <v>20231017</v>
      </c>
      <c r="L259" t="s">
        <v>7197</v>
      </c>
      <c r="M259">
        <v>30</v>
      </c>
      <c r="N259">
        <v>0</v>
      </c>
      <c r="O259" t="s">
        <v>23</v>
      </c>
      <c r="P259">
        <v>20231130</v>
      </c>
      <c r="Q259">
        <v>20231017</v>
      </c>
    </row>
    <row r="260" spans="1:17" x14ac:dyDescent="0.25">
      <c r="A260" t="s">
        <v>548</v>
      </c>
      <c r="B260" t="s">
        <v>429</v>
      </c>
      <c r="C260">
        <v>2</v>
      </c>
      <c r="D260">
        <v>20231017</v>
      </c>
      <c r="E260">
        <v>10</v>
      </c>
      <c r="F260">
        <v>531105</v>
      </c>
      <c r="G260" t="s">
        <v>429</v>
      </c>
      <c r="H260" t="s">
        <v>401</v>
      </c>
      <c r="I260" t="s">
        <v>402</v>
      </c>
      <c r="J260" t="s">
        <v>7553</v>
      </c>
      <c r="K260">
        <v>20231017</v>
      </c>
      <c r="L260" t="s">
        <v>7197</v>
      </c>
      <c r="M260">
        <v>0</v>
      </c>
      <c r="N260">
        <v>30</v>
      </c>
      <c r="O260" t="s">
        <v>19</v>
      </c>
      <c r="P260" t="s">
        <v>20</v>
      </c>
      <c r="Q260">
        <v>20231017</v>
      </c>
    </row>
    <row r="261" spans="1:17" x14ac:dyDescent="0.25">
      <c r="A261" t="s">
        <v>548</v>
      </c>
      <c r="B261" t="s">
        <v>429</v>
      </c>
      <c r="C261">
        <v>2</v>
      </c>
      <c r="D261">
        <v>20231017</v>
      </c>
      <c r="E261">
        <v>10</v>
      </c>
      <c r="F261">
        <v>467100</v>
      </c>
      <c r="G261" t="s">
        <v>160</v>
      </c>
      <c r="H261" t="s">
        <v>4958</v>
      </c>
      <c r="I261" t="s">
        <v>4959</v>
      </c>
      <c r="J261" t="s">
        <v>7552</v>
      </c>
      <c r="K261">
        <v>20231017</v>
      </c>
      <c r="L261" t="s">
        <v>7551</v>
      </c>
      <c r="M261">
        <v>120</v>
      </c>
      <c r="N261">
        <v>0</v>
      </c>
      <c r="O261" t="s">
        <v>19</v>
      </c>
      <c r="P261" t="s">
        <v>20</v>
      </c>
      <c r="Q261">
        <v>20231017</v>
      </c>
    </row>
    <row r="262" spans="1:17" x14ac:dyDescent="0.25">
      <c r="A262" t="s">
        <v>548</v>
      </c>
      <c r="B262" t="s">
        <v>429</v>
      </c>
      <c r="C262">
        <v>2</v>
      </c>
      <c r="D262">
        <v>20231017</v>
      </c>
      <c r="E262">
        <v>10</v>
      </c>
      <c r="F262">
        <v>531105</v>
      </c>
      <c r="G262" t="s">
        <v>429</v>
      </c>
      <c r="H262" t="s">
        <v>401</v>
      </c>
      <c r="I262" t="s">
        <v>402</v>
      </c>
      <c r="J262" t="s">
        <v>7552</v>
      </c>
      <c r="K262">
        <v>20231017</v>
      </c>
      <c r="L262" t="s">
        <v>7551</v>
      </c>
      <c r="M262">
        <v>0</v>
      </c>
      <c r="N262">
        <v>120</v>
      </c>
      <c r="O262" t="s">
        <v>19</v>
      </c>
      <c r="P262" t="s">
        <v>20</v>
      </c>
      <c r="Q262">
        <v>20231017</v>
      </c>
    </row>
    <row r="263" spans="1:17" x14ac:dyDescent="0.25">
      <c r="A263" t="s">
        <v>548</v>
      </c>
      <c r="B263" t="s">
        <v>429</v>
      </c>
      <c r="C263">
        <v>2</v>
      </c>
      <c r="D263">
        <v>20231020</v>
      </c>
      <c r="E263">
        <v>10</v>
      </c>
      <c r="F263">
        <v>467100</v>
      </c>
      <c r="G263" t="s">
        <v>160</v>
      </c>
      <c r="H263" t="s">
        <v>3392</v>
      </c>
      <c r="I263" t="s">
        <v>3393</v>
      </c>
      <c r="J263" t="s">
        <v>7550</v>
      </c>
      <c r="K263">
        <v>20231020</v>
      </c>
      <c r="L263" t="s">
        <v>7549</v>
      </c>
      <c r="M263">
        <v>300</v>
      </c>
      <c r="N263">
        <v>0</v>
      </c>
      <c r="O263" t="s">
        <v>23</v>
      </c>
      <c r="P263">
        <v>20231023</v>
      </c>
      <c r="Q263">
        <v>20231020</v>
      </c>
    </row>
    <row r="264" spans="1:17" x14ac:dyDescent="0.25">
      <c r="A264" t="s">
        <v>548</v>
      </c>
      <c r="B264" t="s">
        <v>429</v>
      </c>
      <c r="C264">
        <v>2</v>
      </c>
      <c r="D264">
        <v>20231020</v>
      </c>
      <c r="E264">
        <v>10</v>
      </c>
      <c r="F264">
        <v>531105</v>
      </c>
      <c r="G264" t="s">
        <v>429</v>
      </c>
      <c r="H264" t="s">
        <v>401</v>
      </c>
      <c r="I264" t="s">
        <v>402</v>
      </c>
      <c r="J264" t="s">
        <v>7550</v>
      </c>
      <c r="K264">
        <v>20231020</v>
      </c>
      <c r="L264" t="s">
        <v>7549</v>
      </c>
      <c r="M264">
        <v>0</v>
      </c>
      <c r="N264">
        <v>300</v>
      </c>
      <c r="O264" t="s">
        <v>19</v>
      </c>
      <c r="P264" t="s">
        <v>20</v>
      </c>
      <c r="Q264">
        <v>20231020</v>
      </c>
    </row>
    <row r="265" spans="1:17" x14ac:dyDescent="0.25">
      <c r="A265" t="s">
        <v>548</v>
      </c>
      <c r="B265" t="s">
        <v>429</v>
      </c>
      <c r="C265">
        <v>2</v>
      </c>
      <c r="D265">
        <v>20231020</v>
      </c>
      <c r="E265">
        <v>10</v>
      </c>
      <c r="F265">
        <v>467100</v>
      </c>
      <c r="G265" t="s">
        <v>160</v>
      </c>
      <c r="H265" t="s">
        <v>3392</v>
      </c>
      <c r="I265" t="s">
        <v>3393</v>
      </c>
      <c r="J265" t="s">
        <v>7548</v>
      </c>
      <c r="K265">
        <v>20231020</v>
      </c>
      <c r="L265" t="s">
        <v>7547</v>
      </c>
      <c r="M265">
        <v>0</v>
      </c>
      <c r="N265">
        <v>129.78</v>
      </c>
      <c r="O265" t="s">
        <v>23</v>
      </c>
      <c r="P265">
        <v>20231023</v>
      </c>
      <c r="Q265">
        <v>20231020</v>
      </c>
    </row>
    <row r="266" spans="1:17" x14ac:dyDescent="0.25">
      <c r="A266" t="s">
        <v>548</v>
      </c>
      <c r="B266" t="s">
        <v>429</v>
      </c>
      <c r="C266">
        <v>2</v>
      </c>
      <c r="D266">
        <v>20231020</v>
      </c>
      <c r="E266">
        <v>10</v>
      </c>
      <c r="F266">
        <v>531105</v>
      </c>
      <c r="G266" t="s">
        <v>429</v>
      </c>
      <c r="H266" t="s">
        <v>401</v>
      </c>
      <c r="I266" t="s">
        <v>402</v>
      </c>
      <c r="J266" t="s">
        <v>7548</v>
      </c>
      <c r="K266">
        <v>20231020</v>
      </c>
      <c r="L266" t="s">
        <v>7547</v>
      </c>
      <c r="M266">
        <v>129.78</v>
      </c>
      <c r="N266">
        <v>0</v>
      </c>
      <c r="O266" t="s">
        <v>19</v>
      </c>
      <c r="P266" t="s">
        <v>20</v>
      </c>
      <c r="Q266">
        <v>20231020</v>
      </c>
    </row>
    <row r="267" spans="1:17" x14ac:dyDescent="0.25">
      <c r="A267" t="s">
        <v>548</v>
      </c>
      <c r="B267" t="s">
        <v>429</v>
      </c>
      <c r="C267">
        <v>2</v>
      </c>
      <c r="D267">
        <v>20231023</v>
      </c>
      <c r="E267">
        <v>10</v>
      </c>
      <c r="F267">
        <v>706105</v>
      </c>
      <c r="G267" t="s">
        <v>2258</v>
      </c>
      <c r="H267" t="s">
        <v>401</v>
      </c>
      <c r="I267" t="s">
        <v>402</v>
      </c>
      <c r="J267" t="s">
        <v>7546</v>
      </c>
      <c r="K267">
        <v>20231023</v>
      </c>
      <c r="L267" t="s">
        <v>7545</v>
      </c>
      <c r="M267">
        <v>0</v>
      </c>
      <c r="N267">
        <v>32</v>
      </c>
      <c r="O267" t="s">
        <v>19</v>
      </c>
      <c r="P267" t="s">
        <v>20</v>
      </c>
      <c r="Q267">
        <v>20231023</v>
      </c>
    </row>
    <row r="268" spans="1:17" x14ac:dyDescent="0.25">
      <c r="A268" t="s">
        <v>548</v>
      </c>
      <c r="B268" t="s">
        <v>429</v>
      </c>
      <c r="C268">
        <v>2</v>
      </c>
      <c r="D268">
        <v>20231023</v>
      </c>
      <c r="E268">
        <v>10</v>
      </c>
      <c r="F268">
        <v>531105</v>
      </c>
      <c r="G268" t="s">
        <v>429</v>
      </c>
      <c r="H268" t="s">
        <v>401</v>
      </c>
      <c r="I268" t="s">
        <v>402</v>
      </c>
      <c r="J268" t="s">
        <v>7546</v>
      </c>
      <c r="K268">
        <v>20231023</v>
      </c>
      <c r="L268" t="s">
        <v>7545</v>
      </c>
      <c r="M268">
        <v>32</v>
      </c>
      <c r="N268">
        <v>0</v>
      </c>
      <c r="O268" t="s">
        <v>19</v>
      </c>
      <c r="P268" t="s">
        <v>20</v>
      </c>
      <c r="Q268">
        <v>20231023</v>
      </c>
    </row>
    <row r="269" spans="1:17" x14ac:dyDescent="0.25">
      <c r="A269" t="s">
        <v>548</v>
      </c>
      <c r="B269" t="s">
        <v>429</v>
      </c>
      <c r="C269">
        <v>2</v>
      </c>
      <c r="D269">
        <v>20231024</v>
      </c>
      <c r="E269">
        <v>10</v>
      </c>
      <c r="F269">
        <v>467100</v>
      </c>
      <c r="G269" t="s">
        <v>160</v>
      </c>
      <c r="H269" t="s">
        <v>1726</v>
      </c>
      <c r="I269" t="s">
        <v>1727</v>
      </c>
      <c r="J269" t="s">
        <v>7544</v>
      </c>
      <c r="K269">
        <v>20231024</v>
      </c>
      <c r="L269" t="s">
        <v>7543</v>
      </c>
      <c r="M269">
        <v>0</v>
      </c>
      <c r="N269">
        <v>21.6</v>
      </c>
      <c r="O269" t="s">
        <v>23</v>
      </c>
      <c r="P269">
        <v>20231024</v>
      </c>
      <c r="Q269">
        <v>20231024</v>
      </c>
    </row>
    <row r="270" spans="1:17" x14ac:dyDescent="0.25">
      <c r="A270" t="s">
        <v>548</v>
      </c>
      <c r="B270" t="s">
        <v>429</v>
      </c>
      <c r="C270">
        <v>2</v>
      </c>
      <c r="D270">
        <v>20231024</v>
      </c>
      <c r="E270">
        <v>10</v>
      </c>
      <c r="F270">
        <v>531105</v>
      </c>
      <c r="G270" t="s">
        <v>429</v>
      </c>
      <c r="H270" t="s">
        <v>401</v>
      </c>
      <c r="I270" t="s">
        <v>402</v>
      </c>
      <c r="J270" t="s">
        <v>7544</v>
      </c>
      <c r="K270">
        <v>20231024</v>
      </c>
      <c r="L270" t="s">
        <v>7543</v>
      </c>
      <c r="M270">
        <v>21.6</v>
      </c>
      <c r="N270">
        <v>0</v>
      </c>
      <c r="O270" t="s">
        <v>19</v>
      </c>
      <c r="P270" t="s">
        <v>20</v>
      </c>
      <c r="Q270">
        <v>20231024</v>
      </c>
    </row>
    <row r="271" spans="1:17" x14ac:dyDescent="0.25">
      <c r="A271" t="s">
        <v>548</v>
      </c>
      <c r="B271" t="s">
        <v>429</v>
      </c>
      <c r="C271">
        <v>2</v>
      </c>
      <c r="D271">
        <v>20231024</v>
      </c>
      <c r="E271">
        <v>10</v>
      </c>
      <c r="F271">
        <v>467100</v>
      </c>
      <c r="G271" t="s">
        <v>160</v>
      </c>
      <c r="H271" t="s">
        <v>1726</v>
      </c>
      <c r="I271" t="s">
        <v>1727</v>
      </c>
      <c r="J271" t="s">
        <v>7542</v>
      </c>
      <c r="K271">
        <v>20231024</v>
      </c>
      <c r="L271" t="s">
        <v>7541</v>
      </c>
      <c r="M271">
        <v>100</v>
      </c>
      <c r="N271">
        <v>0</v>
      </c>
      <c r="O271" t="s">
        <v>23</v>
      </c>
      <c r="P271">
        <v>20231215</v>
      </c>
      <c r="Q271">
        <v>20231024</v>
      </c>
    </row>
    <row r="272" spans="1:17" x14ac:dyDescent="0.25">
      <c r="A272" t="s">
        <v>548</v>
      </c>
      <c r="B272" t="s">
        <v>429</v>
      </c>
      <c r="C272">
        <v>2</v>
      </c>
      <c r="D272">
        <v>20231024</v>
      </c>
      <c r="E272">
        <v>10</v>
      </c>
      <c r="F272">
        <v>531105</v>
      </c>
      <c r="G272" t="s">
        <v>429</v>
      </c>
      <c r="H272" t="s">
        <v>401</v>
      </c>
      <c r="I272" t="s">
        <v>402</v>
      </c>
      <c r="J272" t="s">
        <v>7542</v>
      </c>
      <c r="K272">
        <v>20231024</v>
      </c>
      <c r="L272" t="s">
        <v>7541</v>
      </c>
      <c r="M272">
        <v>0</v>
      </c>
      <c r="N272">
        <v>100</v>
      </c>
      <c r="O272" t="s">
        <v>19</v>
      </c>
      <c r="P272" t="s">
        <v>20</v>
      </c>
      <c r="Q272">
        <v>20231024</v>
      </c>
    </row>
    <row r="273" spans="1:17" x14ac:dyDescent="0.25">
      <c r="A273" t="s">
        <v>548</v>
      </c>
      <c r="B273" t="s">
        <v>429</v>
      </c>
      <c r="C273">
        <v>2</v>
      </c>
      <c r="D273">
        <v>20231024</v>
      </c>
      <c r="E273">
        <v>10</v>
      </c>
      <c r="F273">
        <v>467100</v>
      </c>
      <c r="G273" t="s">
        <v>160</v>
      </c>
      <c r="H273" t="s">
        <v>172</v>
      </c>
      <c r="I273" t="s">
        <v>173</v>
      </c>
      <c r="J273" t="s">
        <v>7540</v>
      </c>
      <c r="K273">
        <v>20231024</v>
      </c>
      <c r="L273" t="s">
        <v>7539</v>
      </c>
      <c r="M273">
        <v>150</v>
      </c>
      <c r="N273">
        <v>0</v>
      </c>
      <c r="O273" t="s">
        <v>23</v>
      </c>
      <c r="P273">
        <v>20231107</v>
      </c>
      <c r="Q273">
        <v>20231024</v>
      </c>
    </row>
    <row r="274" spans="1:17" x14ac:dyDescent="0.25">
      <c r="A274" t="s">
        <v>548</v>
      </c>
      <c r="B274" t="s">
        <v>429</v>
      </c>
      <c r="C274">
        <v>2</v>
      </c>
      <c r="D274">
        <v>20231024</v>
      </c>
      <c r="E274">
        <v>10</v>
      </c>
      <c r="F274">
        <v>531105</v>
      </c>
      <c r="G274" t="s">
        <v>429</v>
      </c>
      <c r="H274" t="s">
        <v>401</v>
      </c>
      <c r="I274" t="s">
        <v>402</v>
      </c>
      <c r="J274" t="s">
        <v>7540</v>
      </c>
      <c r="K274">
        <v>20231024</v>
      </c>
      <c r="L274" t="s">
        <v>7539</v>
      </c>
      <c r="M274">
        <v>0</v>
      </c>
      <c r="N274">
        <v>150</v>
      </c>
      <c r="O274" t="s">
        <v>19</v>
      </c>
      <c r="P274" t="s">
        <v>20</v>
      </c>
      <c r="Q274">
        <v>20231024</v>
      </c>
    </row>
    <row r="275" spans="1:17" x14ac:dyDescent="0.25">
      <c r="A275" t="s">
        <v>548</v>
      </c>
      <c r="B275" t="s">
        <v>429</v>
      </c>
      <c r="C275">
        <v>2</v>
      </c>
      <c r="D275">
        <v>20231027</v>
      </c>
      <c r="E275">
        <v>10</v>
      </c>
      <c r="F275">
        <v>580000</v>
      </c>
      <c r="G275" t="s">
        <v>532</v>
      </c>
      <c r="H275" t="s">
        <v>401</v>
      </c>
      <c r="I275" t="s">
        <v>402</v>
      </c>
      <c r="J275" t="s">
        <v>7396</v>
      </c>
      <c r="K275">
        <v>20231027</v>
      </c>
      <c r="L275" t="s">
        <v>625</v>
      </c>
      <c r="M275">
        <v>2800</v>
      </c>
      <c r="N275">
        <v>0</v>
      </c>
      <c r="O275" t="s">
        <v>22</v>
      </c>
      <c r="P275">
        <v>20231027</v>
      </c>
      <c r="Q275">
        <v>20231027</v>
      </c>
    </row>
    <row r="276" spans="1:17" x14ac:dyDescent="0.25">
      <c r="A276" t="s">
        <v>548</v>
      </c>
      <c r="B276" t="s">
        <v>429</v>
      </c>
      <c r="C276">
        <v>2</v>
      </c>
      <c r="D276">
        <v>20231027</v>
      </c>
      <c r="E276">
        <v>10</v>
      </c>
      <c r="F276">
        <v>531105</v>
      </c>
      <c r="G276" t="s">
        <v>429</v>
      </c>
      <c r="H276" t="s">
        <v>401</v>
      </c>
      <c r="I276" t="s">
        <v>402</v>
      </c>
      <c r="J276" t="s">
        <v>7396</v>
      </c>
      <c r="K276">
        <v>20231027</v>
      </c>
      <c r="L276" t="s">
        <v>625</v>
      </c>
      <c r="M276">
        <v>0</v>
      </c>
      <c r="N276">
        <v>2800</v>
      </c>
      <c r="O276" t="s">
        <v>19</v>
      </c>
      <c r="P276" t="s">
        <v>20</v>
      </c>
      <c r="Q276">
        <v>20231027</v>
      </c>
    </row>
    <row r="277" spans="1:17" x14ac:dyDescent="0.25">
      <c r="A277" t="s">
        <v>548</v>
      </c>
      <c r="B277" t="s">
        <v>429</v>
      </c>
      <c r="C277">
        <v>2</v>
      </c>
      <c r="D277">
        <v>20231028</v>
      </c>
      <c r="E277">
        <v>10</v>
      </c>
      <c r="F277">
        <v>706105</v>
      </c>
      <c r="G277" t="s">
        <v>2258</v>
      </c>
      <c r="H277" t="s">
        <v>401</v>
      </c>
      <c r="I277" t="s">
        <v>402</v>
      </c>
      <c r="J277" t="s">
        <v>7538</v>
      </c>
      <c r="K277">
        <v>20231028</v>
      </c>
      <c r="L277" t="s">
        <v>7537</v>
      </c>
      <c r="M277">
        <v>0</v>
      </c>
      <c r="N277">
        <v>122</v>
      </c>
      <c r="O277" t="s">
        <v>19</v>
      </c>
      <c r="P277" t="s">
        <v>20</v>
      </c>
      <c r="Q277">
        <v>20231028</v>
      </c>
    </row>
    <row r="278" spans="1:17" x14ac:dyDescent="0.25">
      <c r="A278" t="s">
        <v>548</v>
      </c>
      <c r="B278" t="s">
        <v>429</v>
      </c>
      <c r="C278">
        <v>2</v>
      </c>
      <c r="D278">
        <v>20231028</v>
      </c>
      <c r="E278">
        <v>10</v>
      </c>
      <c r="F278">
        <v>531105</v>
      </c>
      <c r="G278" t="s">
        <v>429</v>
      </c>
      <c r="H278" t="s">
        <v>401</v>
      </c>
      <c r="I278" t="s">
        <v>402</v>
      </c>
      <c r="J278" t="s">
        <v>7538</v>
      </c>
      <c r="K278">
        <v>20231028</v>
      </c>
      <c r="L278" t="s">
        <v>7537</v>
      </c>
      <c r="M278">
        <v>122</v>
      </c>
      <c r="N278">
        <v>0</v>
      </c>
      <c r="O278" t="s">
        <v>19</v>
      </c>
      <c r="P278" t="s">
        <v>20</v>
      </c>
      <c r="Q278">
        <v>20231028</v>
      </c>
    </row>
    <row r="279" spans="1:17" x14ac:dyDescent="0.25">
      <c r="A279" t="s">
        <v>548</v>
      </c>
      <c r="B279" t="s">
        <v>429</v>
      </c>
      <c r="C279">
        <v>2</v>
      </c>
      <c r="D279">
        <v>20231030</v>
      </c>
      <c r="E279">
        <v>10</v>
      </c>
      <c r="F279">
        <v>467100</v>
      </c>
      <c r="G279" t="s">
        <v>160</v>
      </c>
      <c r="H279" t="s">
        <v>3392</v>
      </c>
      <c r="I279" t="s">
        <v>3393</v>
      </c>
      <c r="J279" t="s">
        <v>7536</v>
      </c>
      <c r="K279">
        <v>20231030</v>
      </c>
      <c r="L279" t="s">
        <v>7535</v>
      </c>
      <c r="M279">
        <v>150</v>
      </c>
      <c r="N279">
        <v>0</v>
      </c>
      <c r="O279" t="s">
        <v>19</v>
      </c>
      <c r="P279" t="s">
        <v>20</v>
      </c>
      <c r="Q279">
        <v>20231030</v>
      </c>
    </row>
    <row r="280" spans="1:17" x14ac:dyDescent="0.25">
      <c r="A280" t="s">
        <v>548</v>
      </c>
      <c r="B280" t="s">
        <v>429</v>
      </c>
      <c r="C280">
        <v>2</v>
      </c>
      <c r="D280">
        <v>20231030</v>
      </c>
      <c r="E280">
        <v>10</v>
      </c>
      <c r="F280">
        <v>531105</v>
      </c>
      <c r="G280" t="s">
        <v>429</v>
      </c>
      <c r="H280" t="s">
        <v>401</v>
      </c>
      <c r="I280" t="s">
        <v>402</v>
      </c>
      <c r="J280" t="s">
        <v>7536</v>
      </c>
      <c r="K280">
        <v>20231030</v>
      </c>
      <c r="L280" t="s">
        <v>7535</v>
      </c>
      <c r="M280">
        <v>0</v>
      </c>
      <c r="N280">
        <v>150</v>
      </c>
      <c r="O280" t="s">
        <v>19</v>
      </c>
      <c r="P280" t="s">
        <v>20</v>
      </c>
      <c r="Q280">
        <v>20231030</v>
      </c>
    </row>
    <row r="281" spans="1:17" x14ac:dyDescent="0.25">
      <c r="A281" t="s">
        <v>548</v>
      </c>
      <c r="B281" t="s">
        <v>429</v>
      </c>
      <c r="C281">
        <v>2</v>
      </c>
      <c r="D281">
        <v>20231030</v>
      </c>
      <c r="E281">
        <v>10</v>
      </c>
      <c r="F281">
        <v>467100</v>
      </c>
      <c r="G281" t="s">
        <v>160</v>
      </c>
      <c r="H281" t="s">
        <v>1305</v>
      </c>
      <c r="I281" t="s">
        <v>1306</v>
      </c>
      <c r="J281" t="s">
        <v>7534</v>
      </c>
      <c r="K281">
        <v>20231030</v>
      </c>
      <c r="L281" t="s">
        <v>7533</v>
      </c>
      <c r="M281">
        <v>80</v>
      </c>
      <c r="N281">
        <v>0</v>
      </c>
      <c r="O281" t="s">
        <v>23</v>
      </c>
      <c r="P281">
        <v>20231201</v>
      </c>
      <c r="Q281">
        <v>20231030</v>
      </c>
    </row>
    <row r="282" spans="1:17" x14ac:dyDescent="0.25">
      <c r="A282" t="s">
        <v>548</v>
      </c>
      <c r="B282" t="s">
        <v>429</v>
      </c>
      <c r="C282">
        <v>2</v>
      </c>
      <c r="D282">
        <v>20231030</v>
      </c>
      <c r="E282">
        <v>10</v>
      </c>
      <c r="F282">
        <v>531105</v>
      </c>
      <c r="G282" t="s">
        <v>429</v>
      </c>
      <c r="H282" t="s">
        <v>401</v>
      </c>
      <c r="I282" t="s">
        <v>402</v>
      </c>
      <c r="J282" t="s">
        <v>7534</v>
      </c>
      <c r="K282">
        <v>20231030</v>
      </c>
      <c r="L282" t="s">
        <v>7533</v>
      </c>
      <c r="M282">
        <v>0</v>
      </c>
      <c r="N282">
        <v>80</v>
      </c>
      <c r="O282" t="s">
        <v>19</v>
      </c>
      <c r="P282" t="s">
        <v>20</v>
      </c>
      <c r="Q282">
        <v>20231030</v>
      </c>
    </row>
    <row r="283" spans="1:17" x14ac:dyDescent="0.25">
      <c r="A283" t="s">
        <v>548</v>
      </c>
      <c r="B283" t="s">
        <v>429</v>
      </c>
      <c r="C283">
        <v>2</v>
      </c>
      <c r="D283">
        <v>20231030</v>
      </c>
      <c r="E283">
        <v>10</v>
      </c>
      <c r="F283">
        <v>467100</v>
      </c>
      <c r="G283" t="s">
        <v>160</v>
      </c>
      <c r="H283" t="s">
        <v>172</v>
      </c>
      <c r="I283" t="s">
        <v>173</v>
      </c>
      <c r="J283" t="s">
        <v>7532</v>
      </c>
      <c r="K283">
        <v>20231030</v>
      </c>
      <c r="L283" t="s">
        <v>6215</v>
      </c>
      <c r="M283">
        <v>0</v>
      </c>
      <c r="N283">
        <v>20</v>
      </c>
      <c r="O283" t="s">
        <v>23</v>
      </c>
      <c r="P283">
        <v>20231107</v>
      </c>
      <c r="Q283">
        <v>20231030</v>
      </c>
    </row>
    <row r="284" spans="1:17" x14ac:dyDescent="0.25">
      <c r="A284" t="s">
        <v>548</v>
      </c>
      <c r="B284" t="s">
        <v>429</v>
      </c>
      <c r="C284">
        <v>2</v>
      </c>
      <c r="D284">
        <v>20231030</v>
      </c>
      <c r="E284">
        <v>10</v>
      </c>
      <c r="F284">
        <v>531105</v>
      </c>
      <c r="G284" t="s">
        <v>429</v>
      </c>
      <c r="H284" t="s">
        <v>401</v>
      </c>
      <c r="I284" t="s">
        <v>402</v>
      </c>
      <c r="J284" t="s">
        <v>7532</v>
      </c>
      <c r="K284">
        <v>20231030</v>
      </c>
      <c r="L284" t="s">
        <v>6215</v>
      </c>
      <c r="M284">
        <v>20</v>
      </c>
      <c r="N284">
        <v>0</v>
      </c>
      <c r="O284" t="s">
        <v>19</v>
      </c>
      <c r="P284" t="s">
        <v>20</v>
      </c>
      <c r="Q284">
        <v>20231030</v>
      </c>
    </row>
    <row r="285" spans="1:17" x14ac:dyDescent="0.25">
      <c r="A285" t="s">
        <v>548</v>
      </c>
      <c r="B285" t="s">
        <v>429</v>
      </c>
      <c r="C285">
        <v>2</v>
      </c>
      <c r="D285">
        <v>20231031</v>
      </c>
      <c r="E285">
        <v>10</v>
      </c>
      <c r="F285">
        <v>467100</v>
      </c>
      <c r="G285" t="s">
        <v>160</v>
      </c>
      <c r="H285" t="s">
        <v>1305</v>
      </c>
      <c r="I285" t="s">
        <v>1306</v>
      </c>
      <c r="J285" t="s">
        <v>7531</v>
      </c>
      <c r="K285">
        <v>20231031</v>
      </c>
      <c r="L285" t="s">
        <v>7530</v>
      </c>
      <c r="M285">
        <v>0</v>
      </c>
      <c r="N285">
        <v>24</v>
      </c>
      <c r="O285" t="s">
        <v>23</v>
      </c>
      <c r="P285">
        <v>20231201</v>
      </c>
      <c r="Q285">
        <v>20231031</v>
      </c>
    </row>
    <row r="286" spans="1:17" x14ac:dyDescent="0.25">
      <c r="A286" t="s">
        <v>548</v>
      </c>
      <c r="B286" t="s">
        <v>429</v>
      </c>
      <c r="C286">
        <v>2</v>
      </c>
      <c r="D286">
        <v>20231031</v>
      </c>
      <c r="E286">
        <v>10</v>
      </c>
      <c r="F286">
        <v>531105</v>
      </c>
      <c r="G286" t="s">
        <v>429</v>
      </c>
      <c r="H286" t="s">
        <v>401</v>
      </c>
      <c r="I286" t="s">
        <v>402</v>
      </c>
      <c r="J286" t="s">
        <v>7531</v>
      </c>
      <c r="K286">
        <v>20231031</v>
      </c>
      <c r="L286" t="s">
        <v>7530</v>
      </c>
      <c r="M286">
        <v>24</v>
      </c>
      <c r="N286">
        <v>0</v>
      </c>
      <c r="O286" t="s">
        <v>19</v>
      </c>
      <c r="P286" t="s">
        <v>20</v>
      </c>
      <c r="Q286">
        <v>20231031</v>
      </c>
    </row>
    <row r="287" spans="1:17" x14ac:dyDescent="0.25">
      <c r="A287" t="s">
        <v>548</v>
      </c>
      <c r="B287" t="s">
        <v>429</v>
      </c>
      <c r="C287">
        <v>2</v>
      </c>
      <c r="D287">
        <v>20231002</v>
      </c>
      <c r="E287">
        <v>10</v>
      </c>
      <c r="F287">
        <v>411100</v>
      </c>
      <c r="G287" t="s">
        <v>18</v>
      </c>
      <c r="H287" t="s">
        <v>3536</v>
      </c>
      <c r="I287" t="s">
        <v>3537</v>
      </c>
      <c r="J287">
        <v>389820</v>
      </c>
      <c r="K287">
        <v>20231002</v>
      </c>
      <c r="L287" t="s">
        <v>7529</v>
      </c>
      <c r="M287">
        <v>0</v>
      </c>
      <c r="N287">
        <v>107.52</v>
      </c>
      <c r="O287" t="s">
        <v>19</v>
      </c>
      <c r="P287" t="s">
        <v>20</v>
      </c>
      <c r="Q287">
        <v>20231002</v>
      </c>
    </row>
    <row r="288" spans="1:17" x14ac:dyDescent="0.25">
      <c r="A288" t="s">
        <v>548</v>
      </c>
      <c r="B288" t="s">
        <v>429</v>
      </c>
      <c r="C288">
        <v>2</v>
      </c>
      <c r="D288">
        <v>20231002</v>
      </c>
      <c r="E288">
        <v>10</v>
      </c>
      <c r="F288">
        <v>411100</v>
      </c>
      <c r="G288" t="s">
        <v>18</v>
      </c>
      <c r="H288" t="s">
        <v>233</v>
      </c>
      <c r="I288" t="s">
        <v>234</v>
      </c>
      <c r="J288">
        <v>389821</v>
      </c>
      <c r="K288">
        <v>20231002</v>
      </c>
      <c r="L288" t="s">
        <v>7528</v>
      </c>
      <c r="M288">
        <v>0</v>
      </c>
      <c r="N288">
        <v>34.56</v>
      </c>
      <c r="O288" t="s">
        <v>19</v>
      </c>
      <c r="P288" t="s">
        <v>20</v>
      </c>
      <c r="Q288">
        <v>20231002</v>
      </c>
    </row>
    <row r="289" spans="1:17" x14ac:dyDescent="0.25">
      <c r="A289" t="s">
        <v>548</v>
      </c>
      <c r="B289" t="s">
        <v>429</v>
      </c>
      <c r="C289">
        <v>2</v>
      </c>
      <c r="D289">
        <v>20231002</v>
      </c>
      <c r="E289">
        <v>10</v>
      </c>
      <c r="F289">
        <v>411100</v>
      </c>
      <c r="G289" t="s">
        <v>18</v>
      </c>
      <c r="H289" t="s">
        <v>7527</v>
      </c>
      <c r="I289" t="s">
        <v>7526</v>
      </c>
      <c r="J289">
        <v>389822</v>
      </c>
      <c r="K289">
        <v>20231002</v>
      </c>
      <c r="L289" t="s">
        <v>7525</v>
      </c>
      <c r="M289">
        <v>0</v>
      </c>
      <c r="N289">
        <v>22</v>
      </c>
      <c r="O289" t="s">
        <v>19</v>
      </c>
      <c r="P289" t="s">
        <v>20</v>
      </c>
      <c r="Q289">
        <v>20231002</v>
      </c>
    </row>
    <row r="290" spans="1:17" x14ac:dyDescent="0.25">
      <c r="A290" t="s">
        <v>548</v>
      </c>
      <c r="B290" t="s">
        <v>429</v>
      </c>
      <c r="C290">
        <v>2</v>
      </c>
      <c r="D290">
        <v>20231002</v>
      </c>
      <c r="E290">
        <v>10</v>
      </c>
      <c r="F290">
        <v>411100</v>
      </c>
      <c r="G290" t="s">
        <v>18</v>
      </c>
      <c r="H290" t="s">
        <v>295</v>
      </c>
      <c r="I290" t="s">
        <v>296</v>
      </c>
      <c r="J290">
        <v>389823</v>
      </c>
      <c r="K290">
        <v>20231002</v>
      </c>
      <c r="L290" t="s">
        <v>7524</v>
      </c>
      <c r="M290">
        <v>0</v>
      </c>
      <c r="N290">
        <v>10</v>
      </c>
      <c r="O290" t="s">
        <v>19</v>
      </c>
      <c r="P290" t="s">
        <v>20</v>
      </c>
      <c r="Q290">
        <v>20231002</v>
      </c>
    </row>
    <row r="291" spans="1:17" x14ac:dyDescent="0.25">
      <c r="A291" t="s">
        <v>548</v>
      </c>
      <c r="B291" t="s">
        <v>429</v>
      </c>
      <c r="C291">
        <v>2</v>
      </c>
      <c r="D291">
        <v>20231002</v>
      </c>
      <c r="E291">
        <v>10</v>
      </c>
      <c r="F291">
        <v>531105</v>
      </c>
      <c r="G291" t="s">
        <v>429</v>
      </c>
      <c r="H291" t="s">
        <v>401</v>
      </c>
      <c r="I291" t="s">
        <v>402</v>
      </c>
      <c r="J291">
        <v>389824</v>
      </c>
      <c r="K291">
        <v>20231002</v>
      </c>
      <c r="L291" t="s">
        <v>565</v>
      </c>
      <c r="M291">
        <v>174.08</v>
      </c>
      <c r="N291">
        <v>0</v>
      </c>
      <c r="O291" t="s">
        <v>19</v>
      </c>
      <c r="P291" t="s">
        <v>20</v>
      </c>
      <c r="Q291">
        <v>20231002</v>
      </c>
    </row>
    <row r="292" spans="1:17" x14ac:dyDescent="0.25">
      <c r="A292" t="s">
        <v>548</v>
      </c>
      <c r="B292" t="s">
        <v>429</v>
      </c>
      <c r="C292">
        <v>2</v>
      </c>
      <c r="D292">
        <v>20231003</v>
      </c>
      <c r="E292">
        <v>10</v>
      </c>
      <c r="F292">
        <v>411100</v>
      </c>
      <c r="G292" t="s">
        <v>18</v>
      </c>
      <c r="H292" t="s">
        <v>6381</v>
      </c>
      <c r="I292" t="s">
        <v>6380</v>
      </c>
      <c r="J292">
        <v>389825</v>
      </c>
      <c r="K292">
        <v>20231003</v>
      </c>
      <c r="L292" t="s">
        <v>7523</v>
      </c>
      <c r="M292">
        <v>0</v>
      </c>
      <c r="N292">
        <v>42.72</v>
      </c>
      <c r="O292" t="s">
        <v>19</v>
      </c>
      <c r="P292" t="s">
        <v>20</v>
      </c>
      <c r="Q292">
        <v>20231003</v>
      </c>
    </row>
    <row r="293" spans="1:17" x14ac:dyDescent="0.25">
      <c r="A293" t="s">
        <v>548</v>
      </c>
      <c r="B293" t="s">
        <v>429</v>
      </c>
      <c r="C293">
        <v>2</v>
      </c>
      <c r="D293">
        <v>20231003</v>
      </c>
      <c r="E293">
        <v>10</v>
      </c>
      <c r="F293">
        <v>411100</v>
      </c>
      <c r="G293" t="s">
        <v>18</v>
      </c>
      <c r="H293" t="s">
        <v>358</v>
      </c>
      <c r="I293" t="s">
        <v>359</v>
      </c>
      <c r="J293">
        <v>389826</v>
      </c>
      <c r="K293">
        <v>20231003</v>
      </c>
      <c r="L293" t="s">
        <v>7522</v>
      </c>
      <c r="M293">
        <v>0</v>
      </c>
      <c r="N293">
        <v>10</v>
      </c>
      <c r="O293" t="s">
        <v>19</v>
      </c>
      <c r="P293" t="s">
        <v>20</v>
      </c>
      <c r="Q293">
        <v>20231003</v>
      </c>
    </row>
    <row r="294" spans="1:17" x14ac:dyDescent="0.25">
      <c r="A294" t="s">
        <v>548</v>
      </c>
      <c r="B294" t="s">
        <v>429</v>
      </c>
      <c r="C294">
        <v>2</v>
      </c>
      <c r="D294">
        <v>20231003</v>
      </c>
      <c r="E294">
        <v>10</v>
      </c>
      <c r="F294">
        <v>411100</v>
      </c>
      <c r="G294" t="s">
        <v>18</v>
      </c>
      <c r="H294" t="s">
        <v>269</v>
      </c>
      <c r="I294" t="s">
        <v>270</v>
      </c>
      <c r="J294">
        <v>389827</v>
      </c>
      <c r="K294">
        <v>20231003</v>
      </c>
      <c r="L294" t="s">
        <v>7521</v>
      </c>
      <c r="M294">
        <v>0</v>
      </c>
      <c r="N294">
        <v>10</v>
      </c>
      <c r="O294" t="s">
        <v>19</v>
      </c>
      <c r="P294" t="s">
        <v>20</v>
      </c>
      <c r="Q294">
        <v>20231003</v>
      </c>
    </row>
    <row r="295" spans="1:17" x14ac:dyDescent="0.25">
      <c r="A295" t="s">
        <v>548</v>
      </c>
      <c r="B295" t="s">
        <v>429</v>
      </c>
      <c r="C295">
        <v>2</v>
      </c>
      <c r="D295">
        <v>20231003</v>
      </c>
      <c r="E295">
        <v>10</v>
      </c>
      <c r="F295">
        <v>411100</v>
      </c>
      <c r="G295" t="s">
        <v>18</v>
      </c>
      <c r="H295" t="s">
        <v>1515</v>
      </c>
      <c r="I295" t="s">
        <v>1516</v>
      </c>
      <c r="J295">
        <v>389828</v>
      </c>
      <c r="K295">
        <v>20231003</v>
      </c>
      <c r="L295" t="s">
        <v>7520</v>
      </c>
      <c r="M295">
        <v>0</v>
      </c>
      <c r="N295">
        <v>10</v>
      </c>
      <c r="O295" t="s">
        <v>19</v>
      </c>
      <c r="P295" t="s">
        <v>20</v>
      </c>
      <c r="Q295">
        <v>20231003</v>
      </c>
    </row>
    <row r="296" spans="1:17" x14ac:dyDescent="0.25">
      <c r="A296" t="s">
        <v>548</v>
      </c>
      <c r="B296" t="s">
        <v>429</v>
      </c>
      <c r="C296">
        <v>2</v>
      </c>
      <c r="D296">
        <v>20231003</v>
      </c>
      <c r="E296">
        <v>10</v>
      </c>
      <c r="F296">
        <v>411100</v>
      </c>
      <c r="G296" t="s">
        <v>18</v>
      </c>
      <c r="H296" t="s">
        <v>2898</v>
      </c>
      <c r="I296" t="s">
        <v>2899</v>
      </c>
      <c r="J296">
        <v>389829</v>
      </c>
      <c r="K296">
        <v>20231003</v>
      </c>
      <c r="L296" t="s">
        <v>7519</v>
      </c>
      <c r="M296">
        <v>0</v>
      </c>
      <c r="N296">
        <v>10</v>
      </c>
      <c r="O296" t="s">
        <v>19</v>
      </c>
      <c r="P296" t="s">
        <v>20</v>
      </c>
      <c r="Q296">
        <v>20231003</v>
      </c>
    </row>
    <row r="297" spans="1:17" x14ac:dyDescent="0.25">
      <c r="A297" t="s">
        <v>548</v>
      </c>
      <c r="B297" t="s">
        <v>429</v>
      </c>
      <c r="C297">
        <v>2</v>
      </c>
      <c r="D297">
        <v>20231003</v>
      </c>
      <c r="E297">
        <v>10</v>
      </c>
      <c r="F297">
        <v>411100</v>
      </c>
      <c r="G297" t="s">
        <v>18</v>
      </c>
      <c r="H297" t="s">
        <v>5478</v>
      </c>
      <c r="I297" t="s">
        <v>5479</v>
      </c>
      <c r="J297">
        <v>389830</v>
      </c>
      <c r="K297">
        <v>20231003</v>
      </c>
      <c r="L297" t="s">
        <v>7518</v>
      </c>
      <c r="M297">
        <v>0</v>
      </c>
      <c r="N297">
        <v>22</v>
      </c>
      <c r="O297" t="s">
        <v>19</v>
      </c>
      <c r="P297" t="s">
        <v>20</v>
      </c>
      <c r="Q297">
        <v>20231003</v>
      </c>
    </row>
    <row r="298" spans="1:17" x14ac:dyDescent="0.25">
      <c r="A298" t="s">
        <v>548</v>
      </c>
      <c r="B298" t="s">
        <v>429</v>
      </c>
      <c r="C298">
        <v>2</v>
      </c>
      <c r="D298">
        <v>20231003</v>
      </c>
      <c r="E298">
        <v>10</v>
      </c>
      <c r="F298">
        <v>411100</v>
      </c>
      <c r="G298" t="s">
        <v>18</v>
      </c>
      <c r="H298" t="s">
        <v>7517</v>
      </c>
      <c r="I298" t="s">
        <v>7516</v>
      </c>
      <c r="J298">
        <v>123090034</v>
      </c>
      <c r="K298">
        <v>20231003</v>
      </c>
      <c r="L298" t="s">
        <v>7515</v>
      </c>
      <c r="M298">
        <v>0</v>
      </c>
      <c r="N298">
        <v>10</v>
      </c>
      <c r="O298" t="s">
        <v>19</v>
      </c>
      <c r="P298" t="s">
        <v>20</v>
      </c>
      <c r="Q298">
        <v>20231003</v>
      </c>
    </row>
    <row r="299" spans="1:17" x14ac:dyDescent="0.25">
      <c r="A299" t="s">
        <v>548</v>
      </c>
      <c r="B299" t="s">
        <v>429</v>
      </c>
      <c r="C299">
        <v>2</v>
      </c>
      <c r="D299">
        <v>20231003</v>
      </c>
      <c r="E299">
        <v>10</v>
      </c>
      <c r="F299">
        <v>531105</v>
      </c>
      <c r="G299" t="s">
        <v>429</v>
      </c>
      <c r="H299" t="s">
        <v>401</v>
      </c>
      <c r="I299" t="s">
        <v>402</v>
      </c>
      <c r="J299">
        <v>389832</v>
      </c>
      <c r="K299">
        <v>20231003</v>
      </c>
      <c r="L299" t="s">
        <v>565</v>
      </c>
      <c r="M299">
        <v>114.72</v>
      </c>
      <c r="N299">
        <v>0</v>
      </c>
      <c r="O299" t="s">
        <v>19</v>
      </c>
      <c r="P299" t="s">
        <v>20</v>
      </c>
      <c r="Q299">
        <v>20231003</v>
      </c>
    </row>
    <row r="300" spans="1:17" x14ac:dyDescent="0.25">
      <c r="A300" t="s">
        <v>548</v>
      </c>
      <c r="B300" t="s">
        <v>429</v>
      </c>
      <c r="C300">
        <v>2</v>
      </c>
      <c r="D300">
        <v>20231004</v>
      </c>
      <c r="E300">
        <v>10</v>
      </c>
      <c r="F300">
        <v>411100</v>
      </c>
      <c r="G300" t="s">
        <v>18</v>
      </c>
      <c r="H300" t="s">
        <v>237</v>
      </c>
      <c r="I300" t="s">
        <v>238</v>
      </c>
      <c r="J300">
        <v>389833</v>
      </c>
      <c r="K300">
        <v>20231004</v>
      </c>
      <c r="L300" t="s">
        <v>7514</v>
      </c>
      <c r="M300">
        <v>0</v>
      </c>
      <c r="N300">
        <v>126.09</v>
      </c>
      <c r="O300" t="s">
        <v>19</v>
      </c>
      <c r="P300" t="s">
        <v>20</v>
      </c>
      <c r="Q300">
        <v>20231004</v>
      </c>
    </row>
    <row r="301" spans="1:17" x14ac:dyDescent="0.25">
      <c r="A301" t="s">
        <v>548</v>
      </c>
      <c r="B301" t="s">
        <v>429</v>
      </c>
      <c r="C301">
        <v>2</v>
      </c>
      <c r="D301">
        <v>20231004</v>
      </c>
      <c r="E301">
        <v>10</v>
      </c>
      <c r="F301">
        <v>411100</v>
      </c>
      <c r="G301" t="s">
        <v>18</v>
      </c>
      <c r="H301" t="s">
        <v>237</v>
      </c>
      <c r="I301" t="s">
        <v>238</v>
      </c>
      <c r="J301">
        <v>389834</v>
      </c>
      <c r="K301">
        <v>20231004</v>
      </c>
      <c r="L301" t="s">
        <v>7513</v>
      </c>
      <c r="M301">
        <v>0</v>
      </c>
      <c r="N301">
        <v>3.91</v>
      </c>
      <c r="O301" t="s">
        <v>19</v>
      </c>
      <c r="P301" t="s">
        <v>20</v>
      </c>
      <c r="Q301">
        <v>20231004</v>
      </c>
    </row>
    <row r="302" spans="1:17" x14ac:dyDescent="0.25">
      <c r="A302" t="s">
        <v>548</v>
      </c>
      <c r="B302" t="s">
        <v>429</v>
      </c>
      <c r="C302">
        <v>2</v>
      </c>
      <c r="D302">
        <v>20231004</v>
      </c>
      <c r="E302">
        <v>10</v>
      </c>
      <c r="F302">
        <v>531105</v>
      </c>
      <c r="G302" t="s">
        <v>429</v>
      </c>
      <c r="H302" t="s">
        <v>401</v>
      </c>
      <c r="I302" t="s">
        <v>402</v>
      </c>
      <c r="J302">
        <v>389835</v>
      </c>
      <c r="K302">
        <v>20231004</v>
      </c>
      <c r="L302" t="s">
        <v>565</v>
      </c>
      <c r="M302">
        <v>130</v>
      </c>
      <c r="N302">
        <v>0</v>
      </c>
      <c r="O302" t="s">
        <v>19</v>
      </c>
      <c r="P302" t="s">
        <v>20</v>
      </c>
      <c r="Q302">
        <v>20231004</v>
      </c>
    </row>
    <row r="303" spans="1:17" x14ac:dyDescent="0.25">
      <c r="A303" t="s">
        <v>548</v>
      </c>
      <c r="B303" t="s">
        <v>429</v>
      </c>
      <c r="C303">
        <v>2</v>
      </c>
      <c r="D303">
        <v>20231005</v>
      </c>
      <c r="E303">
        <v>10</v>
      </c>
      <c r="F303">
        <v>411100</v>
      </c>
      <c r="G303" t="s">
        <v>18</v>
      </c>
      <c r="H303" t="s">
        <v>194</v>
      </c>
      <c r="I303" t="s">
        <v>195</v>
      </c>
      <c r="J303">
        <v>389836</v>
      </c>
      <c r="K303">
        <v>20231005</v>
      </c>
      <c r="L303" t="s">
        <v>7512</v>
      </c>
      <c r="M303">
        <v>0</v>
      </c>
      <c r="N303">
        <v>59</v>
      </c>
      <c r="O303" t="s">
        <v>19</v>
      </c>
      <c r="P303" t="s">
        <v>20</v>
      </c>
      <c r="Q303">
        <v>20231005</v>
      </c>
    </row>
    <row r="304" spans="1:17" x14ac:dyDescent="0.25">
      <c r="A304" t="s">
        <v>548</v>
      </c>
      <c r="B304" t="s">
        <v>429</v>
      </c>
      <c r="C304">
        <v>2</v>
      </c>
      <c r="D304">
        <v>20231005</v>
      </c>
      <c r="E304">
        <v>10</v>
      </c>
      <c r="F304">
        <v>411100</v>
      </c>
      <c r="G304" t="s">
        <v>18</v>
      </c>
      <c r="H304" t="s">
        <v>787</v>
      </c>
      <c r="I304" t="s">
        <v>788</v>
      </c>
      <c r="J304">
        <v>389837</v>
      </c>
      <c r="K304">
        <v>20231005</v>
      </c>
      <c r="L304" t="s">
        <v>7511</v>
      </c>
      <c r="M304">
        <v>0</v>
      </c>
      <c r="N304">
        <v>117.18</v>
      </c>
      <c r="O304" t="s">
        <v>19</v>
      </c>
      <c r="P304" t="s">
        <v>20</v>
      </c>
      <c r="Q304">
        <v>20231005</v>
      </c>
    </row>
    <row r="305" spans="1:17" x14ac:dyDescent="0.25">
      <c r="A305" t="s">
        <v>548</v>
      </c>
      <c r="B305" t="s">
        <v>429</v>
      </c>
      <c r="C305">
        <v>2</v>
      </c>
      <c r="D305">
        <v>20231005</v>
      </c>
      <c r="E305">
        <v>10</v>
      </c>
      <c r="F305">
        <v>411100</v>
      </c>
      <c r="G305" t="s">
        <v>18</v>
      </c>
      <c r="H305" t="s">
        <v>787</v>
      </c>
      <c r="I305" t="s">
        <v>788</v>
      </c>
      <c r="J305">
        <v>389838</v>
      </c>
      <c r="K305">
        <v>20231005</v>
      </c>
      <c r="L305" t="s">
        <v>7510</v>
      </c>
      <c r="M305">
        <v>0</v>
      </c>
      <c r="N305">
        <v>0.02</v>
      </c>
      <c r="O305" t="s">
        <v>19</v>
      </c>
      <c r="P305" t="s">
        <v>20</v>
      </c>
      <c r="Q305">
        <v>20231005</v>
      </c>
    </row>
    <row r="306" spans="1:17" x14ac:dyDescent="0.25">
      <c r="A306" t="s">
        <v>548</v>
      </c>
      <c r="B306" t="s">
        <v>429</v>
      </c>
      <c r="C306">
        <v>2</v>
      </c>
      <c r="D306">
        <v>20231005</v>
      </c>
      <c r="E306">
        <v>10</v>
      </c>
      <c r="F306">
        <v>411100</v>
      </c>
      <c r="G306" t="s">
        <v>18</v>
      </c>
      <c r="H306" t="s">
        <v>787</v>
      </c>
      <c r="I306" t="s">
        <v>788</v>
      </c>
      <c r="J306">
        <v>389839</v>
      </c>
      <c r="K306">
        <v>20231005</v>
      </c>
      <c r="L306" t="s">
        <v>7509</v>
      </c>
      <c r="M306">
        <v>0</v>
      </c>
      <c r="N306">
        <v>45</v>
      </c>
      <c r="O306" t="s">
        <v>19</v>
      </c>
      <c r="P306" t="s">
        <v>20</v>
      </c>
      <c r="Q306">
        <v>20231005</v>
      </c>
    </row>
    <row r="307" spans="1:17" x14ac:dyDescent="0.25">
      <c r="A307" t="s">
        <v>548</v>
      </c>
      <c r="B307" t="s">
        <v>429</v>
      </c>
      <c r="C307">
        <v>2</v>
      </c>
      <c r="D307">
        <v>20231005</v>
      </c>
      <c r="E307">
        <v>10</v>
      </c>
      <c r="F307">
        <v>411100</v>
      </c>
      <c r="G307" t="s">
        <v>18</v>
      </c>
      <c r="H307" t="s">
        <v>7508</v>
      </c>
      <c r="I307" t="s">
        <v>7507</v>
      </c>
      <c r="J307">
        <v>389840</v>
      </c>
      <c r="K307">
        <v>20231005</v>
      </c>
      <c r="L307" t="s">
        <v>7506</v>
      </c>
      <c r="M307">
        <v>0</v>
      </c>
      <c r="N307">
        <v>10</v>
      </c>
      <c r="O307" t="s">
        <v>19</v>
      </c>
      <c r="P307" t="s">
        <v>20</v>
      </c>
      <c r="Q307">
        <v>20231005</v>
      </c>
    </row>
    <row r="308" spans="1:17" x14ac:dyDescent="0.25">
      <c r="A308" t="s">
        <v>548</v>
      </c>
      <c r="B308" t="s">
        <v>429</v>
      </c>
      <c r="C308">
        <v>2</v>
      </c>
      <c r="D308">
        <v>20231005</v>
      </c>
      <c r="E308">
        <v>10</v>
      </c>
      <c r="F308">
        <v>411100</v>
      </c>
      <c r="G308" t="s">
        <v>18</v>
      </c>
      <c r="H308" t="s">
        <v>638</v>
      </c>
      <c r="I308" t="s">
        <v>639</v>
      </c>
      <c r="J308">
        <v>389841</v>
      </c>
      <c r="K308">
        <v>20231005</v>
      </c>
      <c r="L308" t="s">
        <v>7505</v>
      </c>
      <c r="M308">
        <v>0</v>
      </c>
      <c r="N308">
        <v>100</v>
      </c>
      <c r="O308" t="s">
        <v>19</v>
      </c>
      <c r="P308" t="s">
        <v>20</v>
      </c>
      <c r="Q308">
        <v>20231005</v>
      </c>
    </row>
    <row r="309" spans="1:17" x14ac:dyDescent="0.25">
      <c r="A309" t="s">
        <v>548</v>
      </c>
      <c r="B309" t="s">
        <v>429</v>
      </c>
      <c r="C309">
        <v>2</v>
      </c>
      <c r="D309">
        <v>20231005</v>
      </c>
      <c r="E309">
        <v>10</v>
      </c>
      <c r="F309">
        <v>411100</v>
      </c>
      <c r="G309" t="s">
        <v>18</v>
      </c>
      <c r="H309" t="s">
        <v>156</v>
      </c>
      <c r="I309" t="s">
        <v>157</v>
      </c>
      <c r="J309">
        <v>389842</v>
      </c>
      <c r="K309">
        <v>20231005</v>
      </c>
      <c r="L309" t="s">
        <v>7504</v>
      </c>
      <c r="M309">
        <v>0</v>
      </c>
      <c r="N309">
        <v>145</v>
      </c>
      <c r="O309" t="s">
        <v>19</v>
      </c>
      <c r="P309" t="s">
        <v>20</v>
      </c>
      <c r="Q309">
        <v>20231005</v>
      </c>
    </row>
    <row r="310" spans="1:17" x14ac:dyDescent="0.25">
      <c r="A310" t="s">
        <v>548</v>
      </c>
      <c r="B310" t="s">
        <v>429</v>
      </c>
      <c r="C310">
        <v>2</v>
      </c>
      <c r="D310">
        <v>20231005</v>
      </c>
      <c r="E310">
        <v>10</v>
      </c>
      <c r="F310">
        <v>531105</v>
      </c>
      <c r="G310" t="s">
        <v>429</v>
      </c>
      <c r="H310" t="s">
        <v>401</v>
      </c>
      <c r="I310" t="s">
        <v>402</v>
      </c>
      <c r="J310">
        <v>389843</v>
      </c>
      <c r="K310">
        <v>20231005</v>
      </c>
      <c r="L310" t="s">
        <v>565</v>
      </c>
      <c r="M310">
        <v>476.2</v>
      </c>
      <c r="N310">
        <v>0</v>
      </c>
      <c r="O310" t="s">
        <v>19</v>
      </c>
      <c r="P310" t="s">
        <v>20</v>
      </c>
      <c r="Q310">
        <v>20231005</v>
      </c>
    </row>
    <row r="311" spans="1:17" x14ac:dyDescent="0.25">
      <c r="A311" t="s">
        <v>548</v>
      </c>
      <c r="B311" t="s">
        <v>429</v>
      </c>
      <c r="C311">
        <v>2</v>
      </c>
      <c r="D311">
        <v>20231006</v>
      </c>
      <c r="E311">
        <v>10</v>
      </c>
      <c r="F311">
        <v>411010</v>
      </c>
      <c r="G311" t="s">
        <v>87</v>
      </c>
      <c r="H311" t="s">
        <v>363</v>
      </c>
      <c r="I311" t="s">
        <v>6660</v>
      </c>
      <c r="J311">
        <v>389844</v>
      </c>
      <c r="K311">
        <v>20231006</v>
      </c>
      <c r="L311" t="s">
        <v>7503</v>
      </c>
      <c r="M311">
        <v>0</v>
      </c>
      <c r="N311">
        <v>20</v>
      </c>
      <c r="O311" t="s">
        <v>19</v>
      </c>
      <c r="P311" t="s">
        <v>20</v>
      </c>
      <c r="Q311">
        <v>20231006</v>
      </c>
    </row>
    <row r="312" spans="1:17" x14ac:dyDescent="0.25">
      <c r="A312" t="s">
        <v>548</v>
      </c>
      <c r="B312" t="s">
        <v>429</v>
      </c>
      <c r="C312">
        <v>2</v>
      </c>
      <c r="D312">
        <v>20231006</v>
      </c>
      <c r="E312">
        <v>10</v>
      </c>
      <c r="F312">
        <v>531105</v>
      </c>
      <c r="G312" t="s">
        <v>429</v>
      </c>
      <c r="H312" t="s">
        <v>401</v>
      </c>
      <c r="I312" t="s">
        <v>402</v>
      </c>
      <c r="J312">
        <v>389845</v>
      </c>
      <c r="K312">
        <v>20231006</v>
      </c>
      <c r="L312" t="s">
        <v>565</v>
      </c>
      <c r="M312">
        <v>20</v>
      </c>
      <c r="N312">
        <v>0</v>
      </c>
      <c r="O312" t="s">
        <v>19</v>
      </c>
      <c r="P312" t="s">
        <v>20</v>
      </c>
      <c r="Q312">
        <v>20231006</v>
      </c>
    </row>
    <row r="313" spans="1:17" x14ac:dyDescent="0.25">
      <c r="A313" t="s">
        <v>548</v>
      </c>
      <c r="B313" t="s">
        <v>429</v>
      </c>
      <c r="C313">
        <v>2</v>
      </c>
      <c r="D313">
        <v>20231009</v>
      </c>
      <c r="E313">
        <v>10</v>
      </c>
      <c r="F313">
        <v>411000</v>
      </c>
      <c r="G313" t="s">
        <v>21</v>
      </c>
      <c r="H313" t="s">
        <v>271</v>
      </c>
      <c r="I313" t="s">
        <v>272</v>
      </c>
      <c r="J313">
        <v>389846</v>
      </c>
      <c r="K313">
        <v>20231009</v>
      </c>
      <c r="L313" t="s">
        <v>7502</v>
      </c>
      <c r="M313">
        <v>0</v>
      </c>
      <c r="N313">
        <v>103.99</v>
      </c>
      <c r="O313" t="s">
        <v>19</v>
      </c>
      <c r="P313" t="s">
        <v>20</v>
      </c>
      <c r="Q313">
        <v>20231009</v>
      </c>
    </row>
    <row r="314" spans="1:17" x14ac:dyDescent="0.25">
      <c r="A314" t="s">
        <v>548</v>
      </c>
      <c r="B314" t="s">
        <v>429</v>
      </c>
      <c r="C314">
        <v>2</v>
      </c>
      <c r="D314">
        <v>20231009</v>
      </c>
      <c r="E314">
        <v>10</v>
      </c>
      <c r="F314">
        <v>411100</v>
      </c>
      <c r="G314" t="s">
        <v>18</v>
      </c>
      <c r="H314" t="s">
        <v>674</v>
      </c>
      <c r="I314" t="s">
        <v>675</v>
      </c>
      <c r="J314">
        <v>389847</v>
      </c>
      <c r="K314">
        <v>20231009</v>
      </c>
      <c r="L314" t="s">
        <v>7501</v>
      </c>
      <c r="M314">
        <v>0</v>
      </c>
      <c r="N314">
        <v>7</v>
      </c>
      <c r="O314" t="s">
        <v>19</v>
      </c>
      <c r="P314" t="s">
        <v>20</v>
      </c>
      <c r="Q314">
        <v>20231009</v>
      </c>
    </row>
    <row r="315" spans="1:17" x14ac:dyDescent="0.25">
      <c r="A315" t="s">
        <v>548</v>
      </c>
      <c r="B315" t="s">
        <v>429</v>
      </c>
      <c r="C315">
        <v>2</v>
      </c>
      <c r="D315">
        <v>20231009</v>
      </c>
      <c r="E315">
        <v>10</v>
      </c>
      <c r="F315">
        <v>411100</v>
      </c>
      <c r="G315" t="s">
        <v>18</v>
      </c>
      <c r="H315" t="s">
        <v>1043</v>
      </c>
      <c r="I315" t="s">
        <v>1044</v>
      </c>
      <c r="J315">
        <v>122020185</v>
      </c>
      <c r="K315">
        <v>20231009</v>
      </c>
      <c r="L315" t="s">
        <v>7500</v>
      </c>
      <c r="M315">
        <v>0</v>
      </c>
      <c r="N315">
        <v>5</v>
      </c>
      <c r="O315" t="s">
        <v>19</v>
      </c>
      <c r="P315" t="s">
        <v>20</v>
      </c>
      <c r="Q315">
        <v>20231009</v>
      </c>
    </row>
    <row r="316" spans="1:17" x14ac:dyDescent="0.25">
      <c r="A316" t="s">
        <v>548</v>
      </c>
      <c r="B316" t="s">
        <v>429</v>
      </c>
      <c r="C316">
        <v>2</v>
      </c>
      <c r="D316">
        <v>20231009</v>
      </c>
      <c r="E316">
        <v>10</v>
      </c>
      <c r="F316">
        <v>411100</v>
      </c>
      <c r="G316" t="s">
        <v>18</v>
      </c>
      <c r="H316" t="s">
        <v>1043</v>
      </c>
      <c r="I316" t="s">
        <v>1044</v>
      </c>
      <c r="J316">
        <v>122020185</v>
      </c>
      <c r="K316">
        <v>20231009</v>
      </c>
      <c r="L316" t="s">
        <v>7499</v>
      </c>
      <c r="M316">
        <v>0</v>
      </c>
      <c r="N316">
        <v>2</v>
      </c>
      <c r="O316" t="s">
        <v>19</v>
      </c>
      <c r="P316" t="s">
        <v>20</v>
      </c>
      <c r="Q316">
        <v>20231009</v>
      </c>
    </row>
    <row r="317" spans="1:17" x14ac:dyDescent="0.25">
      <c r="A317" t="s">
        <v>548</v>
      </c>
      <c r="B317" t="s">
        <v>429</v>
      </c>
      <c r="C317">
        <v>2</v>
      </c>
      <c r="D317">
        <v>20231009</v>
      </c>
      <c r="E317">
        <v>10</v>
      </c>
      <c r="F317">
        <v>411100</v>
      </c>
      <c r="G317" t="s">
        <v>18</v>
      </c>
      <c r="H317" t="s">
        <v>85</v>
      </c>
      <c r="I317" t="s">
        <v>86</v>
      </c>
      <c r="J317">
        <v>123080013</v>
      </c>
      <c r="K317">
        <v>20231009</v>
      </c>
      <c r="L317" t="s">
        <v>7498</v>
      </c>
      <c r="M317">
        <v>0</v>
      </c>
      <c r="N317">
        <v>4.5</v>
      </c>
      <c r="O317" t="s">
        <v>19</v>
      </c>
      <c r="P317" t="s">
        <v>20</v>
      </c>
      <c r="Q317">
        <v>20231009</v>
      </c>
    </row>
    <row r="318" spans="1:17" x14ac:dyDescent="0.25">
      <c r="A318" t="s">
        <v>548</v>
      </c>
      <c r="B318" t="s">
        <v>429</v>
      </c>
      <c r="C318">
        <v>2</v>
      </c>
      <c r="D318">
        <v>20231009</v>
      </c>
      <c r="E318">
        <v>10</v>
      </c>
      <c r="F318">
        <v>411100</v>
      </c>
      <c r="G318" t="s">
        <v>18</v>
      </c>
      <c r="H318" t="s">
        <v>3321</v>
      </c>
      <c r="I318" t="s">
        <v>3322</v>
      </c>
      <c r="J318">
        <v>123080031</v>
      </c>
      <c r="K318">
        <v>20231009</v>
      </c>
      <c r="L318" t="s">
        <v>7497</v>
      </c>
      <c r="M318">
        <v>0</v>
      </c>
      <c r="N318">
        <v>7</v>
      </c>
      <c r="O318" t="s">
        <v>19</v>
      </c>
      <c r="P318" t="s">
        <v>20</v>
      </c>
      <c r="Q318">
        <v>20231009</v>
      </c>
    </row>
    <row r="319" spans="1:17" x14ac:dyDescent="0.25">
      <c r="A319" t="s">
        <v>548</v>
      </c>
      <c r="B319" t="s">
        <v>429</v>
      </c>
      <c r="C319">
        <v>2</v>
      </c>
      <c r="D319">
        <v>20231009</v>
      </c>
      <c r="E319">
        <v>10</v>
      </c>
      <c r="F319">
        <v>411100</v>
      </c>
      <c r="G319" t="s">
        <v>18</v>
      </c>
      <c r="H319" t="s">
        <v>81</v>
      </c>
      <c r="I319" t="s">
        <v>82</v>
      </c>
      <c r="J319">
        <v>123080033</v>
      </c>
      <c r="K319">
        <v>20231009</v>
      </c>
      <c r="L319" t="s">
        <v>7496</v>
      </c>
      <c r="M319">
        <v>0</v>
      </c>
      <c r="N319">
        <v>18.5</v>
      </c>
      <c r="O319" t="s">
        <v>19</v>
      </c>
      <c r="P319" t="s">
        <v>20</v>
      </c>
      <c r="Q319">
        <v>20231009</v>
      </c>
    </row>
    <row r="320" spans="1:17" x14ac:dyDescent="0.25">
      <c r="A320" t="s">
        <v>548</v>
      </c>
      <c r="B320" t="s">
        <v>429</v>
      </c>
      <c r="C320">
        <v>2</v>
      </c>
      <c r="D320">
        <v>20231009</v>
      </c>
      <c r="E320">
        <v>10</v>
      </c>
      <c r="F320">
        <v>531105</v>
      </c>
      <c r="G320" t="s">
        <v>429</v>
      </c>
      <c r="H320" t="s">
        <v>401</v>
      </c>
      <c r="I320" t="s">
        <v>402</v>
      </c>
      <c r="J320">
        <v>389853</v>
      </c>
      <c r="K320">
        <v>20231009</v>
      </c>
      <c r="L320" t="s">
        <v>565</v>
      </c>
      <c r="M320">
        <v>147.99</v>
      </c>
      <c r="N320">
        <v>0</v>
      </c>
      <c r="O320" t="s">
        <v>19</v>
      </c>
      <c r="P320" t="s">
        <v>20</v>
      </c>
      <c r="Q320">
        <v>20231009</v>
      </c>
    </row>
    <row r="321" spans="1:17" x14ac:dyDescent="0.25">
      <c r="A321" t="s">
        <v>548</v>
      </c>
      <c r="B321" t="s">
        <v>429</v>
      </c>
      <c r="C321">
        <v>2</v>
      </c>
      <c r="D321">
        <v>20231010</v>
      </c>
      <c r="E321">
        <v>10</v>
      </c>
      <c r="F321">
        <v>411100</v>
      </c>
      <c r="G321" t="s">
        <v>18</v>
      </c>
      <c r="H321" t="s">
        <v>928</v>
      </c>
      <c r="I321" t="s">
        <v>929</v>
      </c>
      <c r="J321">
        <v>122070139</v>
      </c>
      <c r="K321">
        <v>20231010</v>
      </c>
      <c r="L321" t="s">
        <v>7495</v>
      </c>
      <c r="M321">
        <v>0</v>
      </c>
      <c r="N321">
        <v>90</v>
      </c>
      <c r="O321" t="s">
        <v>19</v>
      </c>
      <c r="P321" t="s">
        <v>20</v>
      </c>
      <c r="Q321">
        <v>20231010</v>
      </c>
    </row>
    <row r="322" spans="1:17" x14ac:dyDescent="0.25">
      <c r="A322" t="s">
        <v>548</v>
      </c>
      <c r="B322" t="s">
        <v>429</v>
      </c>
      <c r="C322">
        <v>2</v>
      </c>
      <c r="D322">
        <v>20231010</v>
      </c>
      <c r="E322">
        <v>10</v>
      </c>
      <c r="F322">
        <v>411100</v>
      </c>
      <c r="G322" t="s">
        <v>18</v>
      </c>
      <c r="H322" t="s">
        <v>3704</v>
      </c>
      <c r="I322" t="s">
        <v>3705</v>
      </c>
      <c r="J322">
        <v>389855</v>
      </c>
      <c r="K322">
        <v>20231010</v>
      </c>
      <c r="L322" t="s">
        <v>7494</v>
      </c>
      <c r="M322">
        <v>0</v>
      </c>
      <c r="N322">
        <v>80</v>
      </c>
      <c r="O322" t="s">
        <v>19</v>
      </c>
      <c r="P322" t="s">
        <v>20</v>
      </c>
      <c r="Q322">
        <v>20231010</v>
      </c>
    </row>
    <row r="323" spans="1:17" x14ac:dyDescent="0.25">
      <c r="A323" t="s">
        <v>548</v>
      </c>
      <c r="B323" t="s">
        <v>429</v>
      </c>
      <c r="C323">
        <v>2</v>
      </c>
      <c r="D323">
        <v>20231010</v>
      </c>
      <c r="E323">
        <v>10</v>
      </c>
      <c r="F323">
        <v>411100</v>
      </c>
      <c r="G323" t="s">
        <v>18</v>
      </c>
      <c r="H323" t="s">
        <v>6671</v>
      </c>
      <c r="I323" t="s">
        <v>6670</v>
      </c>
      <c r="J323">
        <v>389856</v>
      </c>
      <c r="K323">
        <v>20231010</v>
      </c>
      <c r="L323" t="s">
        <v>7493</v>
      </c>
      <c r="M323">
        <v>0</v>
      </c>
      <c r="N323">
        <v>22.5</v>
      </c>
      <c r="O323" t="s">
        <v>19</v>
      </c>
      <c r="P323" t="s">
        <v>20</v>
      </c>
      <c r="Q323">
        <v>20231010</v>
      </c>
    </row>
    <row r="324" spans="1:17" x14ac:dyDescent="0.25">
      <c r="A324" t="s">
        <v>548</v>
      </c>
      <c r="B324" t="s">
        <v>429</v>
      </c>
      <c r="C324">
        <v>2</v>
      </c>
      <c r="D324">
        <v>20231010</v>
      </c>
      <c r="E324">
        <v>10</v>
      </c>
      <c r="F324">
        <v>531105</v>
      </c>
      <c r="G324" t="s">
        <v>429</v>
      </c>
      <c r="H324" t="s">
        <v>401</v>
      </c>
      <c r="I324" t="s">
        <v>402</v>
      </c>
      <c r="J324">
        <v>389857</v>
      </c>
      <c r="K324">
        <v>20231010</v>
      </c>
      <c r="L324" t="s">
        <v>565</v>
      </c>
      <c r="M324">
        <v>192.5</v>
      </c>
      <c r="N324">
        <v>0</v>
      </c>
      <c r="O324" t="s">
        <v>19</v>
      </c>
      <c r="P324" t="s">
        <v>20</v>
      </c>
      <c r="Q324">
        <v>20231010</v>
      </c>
    </row>
    <row r="325" spans="1:17" x14ac:dyDescent="0.25">
      <c r="A325" t="s">
        <v>548</v>
      </c>
      <c r="B325" t="s">
        <v>429</v>
      </c>
      <c r="C325">
        <v>2</v>
      </c>
      <c r="D325">
        <v>20231011</v>
      </c>
      <c r="E325">
        <v>10</v>
      </c>
      <c r="F325">
        <v>411010</v>
      </c>
      <c r="G325" t="s">
        <v>87</v>
      </c>
      <c r="H325" t="s">
        <v>363</v>
      </c>
      <c r="I325" t="s">
        <v>6660</v>
      </c>
      <c r="J325">
        <v>389858</v>
      </c>
      <c r="K325">
        <v>20231011</v>
      </c>
      <c r="L325" t="s">
        <v>7492</v>
      </c>
      <c r="M325">
        <v>0</v>
      </c>
      <c r="N325">
        <v>60</v>
      </c>
      <c r="O325" t="s">
        <v>19</v>
      </c>
      <c r="P325" t="s">
        <v>20</v>
      </c>
      <c r="Q325">
        <v>20231011</v>
      </c>
    </row>
    <row r="326" spans="1:17" x14ac:dyDescent="0.25">
      <c r="A326" t="s">
        <v>548</v>
      </c>
      <c r="B326" t="s">
        <v>429</v>
      </c>
      <c r="C326">
        <v>2</v>
      </c>
      <c r="D326">
        <v>20231011</v>
      </c>
      <c r="E326">
        <v>10</v>
      </c>
      <c r="F326">
        <v>411100</v>
      </c>
      <c r="G326" t="s">
        <v>18</v>
      </c>
      <c r="H326" t="s">
        <v>305</v>
      </c>
      <c r="I326" t="s">
        <v>306</v>
      </c>
      <c r="J326">
        <v>389859</v>
      </c>
      <c r="K326">
        <v>20231011</v>
      </c>
      <c r="L326" t="s">
        <v>7491</v>
      </c>
      <c r="M326">
        <v>0</v>
      </c>
      <c r="N326">
        <v>130</v>
      </c>
      <c r="O326" t="s">
        <v>19</v>
      </c>
      <c r="P326" t="s">
        <v>20</v>
      </c>
      <c r="Q326">
        <v>20231011</v>
      </c>
    </row>
    <row r="327" spans="1:17" x14ac:dyDescent="0.25">
      <c r="A327" t="s">
        <v>548</v>
      </c>
      <c r="B327" t="s">
        <v>429</v>
      </c>
      <c r="C327">
        <v>2</v>
      </c>
      <c r="D327">
        <v>20231011</v>
      </c>
      <c r="E327">
        <v>10</v>
      </c>
      <c r="F327">
        <v>531105</v>
      </c>
      <c r="G327" t="s">
        <v>429</v>
      </c>
      <c r="H327" t="s">
        <v>401</v>
      </c>
      <c r="I327" t="s">
        <v>402</v>
      </c>
      <c r="J327">
        <v>389860</v>
      </c>
      <c r="K327">
        <v>20231011</v>
      </c>
      <c r="L327" t="s">
        <v>565</v>
      </c>
      <c r="M327">
        <v>190</v>
      </c>
      <c r="N327">
        <v>0</v>
      </c>
      <c r="O327" t="s">
        <v>19</v>
      </c>
      <c r="P327" t="s">
        <v>20</v>
      </c>
      <c r="Q327">
        <v>20231011</v>
      </c>
    </row>
    <row r="328" spans="1:17" x14ac:dyDescent="0.25">
      <c r="A328" t="s">
        <v>548</v>
      </c>
      <c r="B328" t="s">
        <v>429</v>
      </c>
      <c r="C328">
        <v>2</v>
      </c>
      <c r="D328">
        <v>20231012</v>
      </c>
      <c r="E328">
        <v>10</v>
      </c>
      <c r="F328">
        <v>411100</v>
      </c>
      <c r="G328" t="s">
        <v>18</v>
      </c>
      <c r="H328" t="s">
        <v>245</v>
      </c>
      <c r="I328" t="s">
        <v>246</v>
      </c>
      <c r="J328">
        <v>389861</v>
      </c>
      <c r="K328">
        <v>20231012</v>
      </c>
      <c r="L328" t="s">
        <v>7490</v>
      </c>
      <c r="M328">
        <v>0</v>
      </c>
      <c r="N328">
        <v>40</v>
      </c>
      <c r="O328" t="s">
        <v>19</v>
      </c>
      <c r="P328" t="s">
        <v>20</v>
      </c>
      <c r="Q328">
        <v>20231012</v>
      </c>
    </row>
    <row r="329" spans="1:17" x14ac:dyDescent="0.25">
      <c r="A329" t="s">
        <v>548</v>
      </c>
      <c r="B329" t="s">
        <v>429</v>
      </c>
      <c r="C329">
        <v>2</v>
      </c>
      <c r="D329">
        <v>20231012</v>
      </c>
      <c r="E329">
        <v>10</v>
      </c>
      <c r="F329">
        <v>411100</v>
      </c>
      <c r="G329" t="s">
        <v>18</v>
      </c>
      <c r="H329" t="s">
        <v>1043</v>
      </c>
      <c r="I329" t="s">
        <v>1044</v>
      </c>
      <c r="J329">
        <v>123080110</v>
      </c>
      <c r="K329">
        <v>20231012</v>
      </c>
      <c r="L329" t="s">
        <v>7489</v>
      </c>
      <c r="M329">
        <v>0</v>
      </c>
      <c r="N329">
        <v>10</v>
      </c>
      <c r="O329" t="s">
        <v>19</v>
      </c>
      <c r="P329" t="s">
        <v>20</v>
      </c>
      <c r="Q329">
        <v>20231012</v>
      </c>
    </row>
    <row r="330" spans="1:17" x14ac:dyDescent="0.25">
      <c r="A330" t="s">
        <v>548</v>
      </c>
      <c r="B330" t="s">
        <v>429</v>
      </c>
      <c r="C330">
        <v>2</v>
      </c>
      <c r="D330">
        <v>20231012</v>
      </c>
      <c r="E330">
        <v>10</v>
      </c>
      <c r="F330">
        <v>411100</v>
      </c>
      <c r="G330" t="s">
        <v>18</v>
      </c>
      <c r="H330" t="s">
        <v>1043</v>
      </c>
      <c r="I330" t="s">
        <v>1044</v>
      </c>
      <c r="J330">
        <v>123080110</v>
      </c>
      <c r="K330">
        <v>20231012</v>
      </c>
      <c r="L330" t="s">
        <v>7488</v>
      </c>
      <c r="M330">
        <v>0</v>
      </c>
      <c r="N330">
        <v>1.5</v>
      </c>
      <c r="O330" t="s">
        <v>19</v>
      </c>
      <c r="P330" t="s">
        <v>20</v>
      </c>
      <c r="Q330">
        <v>20231012</v>
      </c>
    </row>
    <row r="331" spans="1:17" x14ac:dyDescent="0.25">
      <c r="A331" t="s">
        <v>548</v>
      </c>
      <c r="B331" t="s">
        <v>429</v>
      </c>
      <c r="C331">
        <v>2</v>
      </c>
      <c r="D331">
        <v>20231012</v>
      </c>
      <c r="E331">
        <v>10</v>
      </c>
      <c r="F331">
        <v>531105</v>
      </c>
      <c r="G331" t="s">
        <v>429</v>
      </c>
      <c r="H331" t="s">
        <v>401</v>
      </c>
      <c r="I331" t="s">
        <v>402</v>
      </c>
      <c r="J331">
        <v>389864</v>
      </c>
      <c r="K331">
        <v>20231012</v>
      </c>
      <c r="L331" t="s">
        <v>565</v>
      </c>
      <c r="M331">
        <v>51.5</v>
      </c>
      <c r="N331">
        <v>0</v>
      </c>
      <c r="O331" t="s">
        <v>19</v>
      </c>
      <c r="P331" t="s">
        <v>20</v>
      </c>
      <c r="Q331">
        <v>20231012</v>
      </c>
    </row>
    <row r="332" spans="1:17" x14ac:dyDescent="0.25">
      <c r="A332" t="s">
        <v>548</v>
      </c>
      <c r="B332" t="s">
        <v>429</v>
      </c>
      <c r="C332">
        <v>2</v>
      </c>
      <c r="D332">
        <v>20231002</v>
      </c>
      <c r="E332">
        <v>10</v>
      </c>
      <c r="F332">
        <v>411100</v>
      </c>
      <c r="G332" t="s">
        <v>18</v>
      </c>
      <c r="H332" t="s">
        <v>1911</v>
      </c>
      <c r="I332" t="s">
        <v>1912</v>
      </c>
      <c r="J332">
        <v>389865</v>
      </c>
      <c r="K332">
        <v>20231002</v>
      </c>
      <c r="L332" t="s">
        <v>7487</v>
      </c>
      <c r="M332">
        <v>7</v>
      </c>
      <c r="N332">
        <v>0</v>
      </c>
      <c r="O332" t="s">
        <v>19</v>
      </c>
      <c r="P332" t="s">
        <v>20</v>
      </c>
      <c r="Q332">
        <v>20231002</v>
      </c>
    </row>
    <row r="333" spans="1:17" x14ac:dyDescent="0.25">
      <c r="A333" t="s">
        <v>548</v>
      </c>
      <c r="B333" t="s">
        <v>429</v>
      </c>
      <c r="C333">
        <v>2</v>
      </c>
      <c r="D333">
        <v>20231002</v>
      </c>
      <c r="E333">
        <v>10</v>
      </c>
      <c r="F333">
        <v>531105</v>
      </c>
      <c r="G333" t="s">
        <v>429</v>
      </c>
      <c r="H333" t="s">
        <v>401</v>
      </c>
      <c r="I333" t="s">
        <v>402</v>
      </c>
      <c r="J333">
        <v>389866</v>
      </c>
      <c r="K333">
        <v>20231002</v>
      </c>
      <c r="L333" t="s">
        <v>565</v>
      </c>
      <c r="M333">
        <v>0</v>
      </c>
      <c r="N333">
        <v>7</v>
      </c>
      <c r="O333" t="s">
        <v>19</v>
      </c>
      <c r="P333" t="s">
        <v>20</v>
      </c>
      <c r="Q333">
        <v>20231002</v>
      </c>
    </row>
    <row r="334" spans="1:17" x14ac:dyDescent="0.25">
      <c r="A334" t="s">
        <v>548</v>
      </c>
      <c r="B334" t="s">
        <v>429</v>
      </c>
      <c r="C334">
        <v>2</v>
      </c>
      <c r="D334">
        <v>20231009</v>
      </c>
      <c r="E334">
        <v>10</v>
      </c>
      <c r="F334">
        <v>411100</v>
      </c>
      <c r="G334" t="s">
        <v>18</v>
      </c>
      <c r="H334" t="s">
        <v>1043</v>
      </c>
      <c r="I334" t="s">
        <v>1044</v>
      </c>
      <c r="J334">
        <v>389867</v>
      </c>
      <c r="K334">
        <v>20231009</v>
      </c>
      <c r="L334" t="s">
        <v>7486</v>
      </c>
      <c r="M334">
        <v>3</v>
      </c>
      <c r="N334">
        <v>0</v>
      </c>
      <c r="O334" t="s">
        <v>19</v>
      </c>
      <c r="P334" t="s">
        <v>20</v>
      </c>
      <c r="Q334">
        <v>20231009</v>
      </c>
    </row>
    <row r="335" spans="1:17" x14ac:dyDescent="0.25">
      <c r="A335" t="s">
        <v>548</v>
      </c>
      <c r="B335" t="s">
        <v>429</v>
      </c>
      <c r="C335">
        <v>2</v>
      </c>
      <c r="D335">
        <v>20231009</v>
      </c>
      <c r="E335">
        <v>10</v>
      </c>
      <c r="F335">
        <v>411100</v>
      </c>
      <c r="G335" t="s">
        <v>18</v>
      </c>
      <c r="H335" t="s">
        <v>1043</v>
      </c>
      <c r="I335" t="s">
        <v>1044</v>
      </c>
      <c r="J335">
        <v>389868</v>
      </c>
      <c r="K335">
        <v>20231009</v>
      </c>
      <c r="L335" t="s">
        <v>7485</v>
      </c>
      <c r="M335">
        <v>4</v>
      </c>
      <c r="N335">
        <v>0</v>
      </c>
      <c r="O335" t="s">
        <v>19</v>
      </c>
      <c r="P335" t="s">
        <v>20</v>
      </c>
      <c r="Q335">
        <v>20231009</v>
      </c>
    </row>
    <row r="336" spans="1:17" x14ac:dyDescent="0.25">
      <c r="A336" t="s">
        <v>548</v>
      </c>
      <c r="B336" t="s">
        <v>429</v>
      </c>
      <c r="C336">
        <v>2</v>
      </c>
      <c r="D336">
        <v>20231009</v>
      </c>
      <c r="E336">
        <v>10</v>
      </c>
      <c r="F336">
        <v>411100</v>
      </c>
      <c r="G336" t="s">
        <v>18</v>
      </c>
      <c r="H336" t="s">
        <v>154</v>
      </c>
      <c r="I336" t="s">
        <v>155</v>
      </c>
      <c r="J336">
        <v>389869</v>
      </c>
      <c r="K336">
        <v>20231009</v>
      </c>
      <c r="L336" t="s">
        <v>7484</v>
      </c>
      <c r="M336">
        <v>4.5</v>
      </c>
      <c r="N336">
        <v>0</v>
      </c>
      <c r="O336" t="s">
        <v>19</v>
      </c>
      <c r="P336" t="s">
        <v>20</v>
      </c>
      <c r="Q336">
        <v>20231009</v>
      </c>
    </row>
    <row r="337" spans="1:17" x14ac:dyDescent="0.25">
      <c r="A337" t="s">
        <v>548</v>
      </c>
      <c r="B337" t="s">
        <v>429</v>
      </c>
      <c r="C337">
        <v>2</v>
      </c>
      <c r="D337">
        <v>20231009</v>
      </c>
      <c r="E337">
        <v>10</v>
      </c>
      <c r="F337">
        <v>411100</v>
      </c>
      <c r="G337" t="s">
        <v>18</v>
      </c>
      <c r="H337" t="s">
        <v>1911</v>
      </c>
      <c r="I337" t="s">
        <v>1912</v>
      </c>
      <c r="J337">
        <v>389870</v>
      </c>
      <c r="K337">
        <v>20231009</v>
      </c>
      <c r="L337" t="s">
        <v>7483</v>
      </c>
      <c r="M337">
        <v>4.5</v>
      </c>
      <c r="N337">
        <v>0</v>
      </c>
      <c r="O337" t="s">
        <v>19</v>
      </c>
      <c r="P337" t="s">
        <v>20</v>
      </c>
      <c r="Q337">
        <v>20231009</v>
      </c>
    </row>
    <row r="338" spans="1:17" x14ac:dyDescent="0.25">
      <c r="A338" t="s">
        <v>548</v>
      </c>
      <c r="B338" t="s">
        <v>429</v>
      </c>
      <c r="C338">
        <v>2</v>
      </c>
      <c r="D338">
        <v>20231009</v>
      </c>
      <c r="E338">
        <v>10</v>
      </c>
      <c r="F338">
        <v>411100</v>
      </c>
      <c r="G338" t="s">
        <v>18</v>
      </c>
      <c r="H338" t="s">
        <v>1043</v>
      </c>
      <c r="I338" t="s">
        <v>1044</v>
      </c>
      <c r="J338">
        <v>389871</v>
      </c>
      <c r="K338">
        <v>20231009</v>
      </c>
      <c r="L338" t="s">
        <v>7482</v>
      </c>
      <c r="M338">
        <v>4.5</v>
      </c>
      <c r="N338">
        <v>0</v>
      </c>
      <c r="O338" t="s">
        <v>19</v>
      </c>
      <c r="P338" t="s">
        <v>20</v>
      </c>
      <c r="Q338">
        <v>20231009</v>
      </c>
    </row>
    <row r="339" spans="1:17" x14ac:dyDescent="0.25">
      <c r="A339" t="s">
        <v>548</v>
      </c>
      <c r="B339" t="s">
        <v>429</v>
      </c>
      <c r="C339">
        <v>2</v>
      </c>
      <c r="D339">
        <v>20231009</v>
      </c>
      <c r="E339">
        <v>10</v>
      </c>
      <c r="F339">
        <v>411100</v>
      </c>
      <c r="G339" t="s">
        <v>18</v>
      </c>
      <c r="H339" t="s">
        <v>154</v>
      </c>
      <c r="I339" t="s">
        <v>155</v>
      </c>
      <c r="J339">
        <v>389872</v>
      </c>
      <c r="K339">
        <v>20231009</v>
      </c>
      <c r="L339" t="s">
        <v>7481</v>
      </c>
      <c r="M339">
        <v>3</v>
      </c>
      <c r="N339">
        <v>0</v>
      </c>
      <c r="O339" t="s">
        <v>19</v>
      </c>
      <c r="P339" t="s">
        <v>20</v>
      </c>
      <c r="Q339">
        <v>20231009</v>
      </c>
    </row>
    <row r="340" spans="1:17" x14ac:dyDescent="0.25">
      <c r="A340" t="s">
        <v>548</v>
      </c>
      <c r="B340" t="s">
        <v>429</v>
      </c>
      <c r="C340">
        <v>2</v>
      </c>
      <c r="D340">
        <v>20231009</v>
      </c>
      <c r="E340">
        <v>10</v>
      </c>
      <c r="F340">
        <v>411100</v>
      </c>
      <c r="G340" t="s">
        <v>18</v>
      </c>
      <c r="H340" t="s">
        <v>1911</v>
      </c>
      <c r="I340" t="s">
        <v>1912</v>
      </c>
      <c r="J340">
        <v>389873</v>
      </c>
      <c r="K340">
        <v>20231009</v>
      </c>
      <c r="L340" t="s">
        <v>7480</v>
      </c>
      <c r="M340">
        <v>3</v>
      </c>
      <c r="N340">
        <v>0</v>
      </c>
      <c r="O340" t="s">
        <v>19</v>
      </c>
      <c r="P340" t="s">
        <v>20</v>
      </c>
      <c r="Q340">
        <v>20231009</v>
      </c>
    </row>
    <row r="341" spans="1:17" x14ac:dyDescent="0.25">
      <c r="A341" t="s">
        <v>548</v>
      </c>
      <c r="B341" t="s">
        <v>429</v>
      </c>
      <c r="C341">
        <v>2</v>
      </c>
      <c r="D341">
        <v>20231009</v>
      </c>
      <c r="E341">
        <v>10</v>
      </c>
      <c r="F341">
        <v>411100</v>
      </c>
      <c r="G341" t="s">
        <v>18</v>
      </c>
      <c r="H341" t="s">
        <v>1911</v>
      </c>
      <c r="I341" t="s">
        <v>1912</v>
      </c>
      <c r="J341">
        <v>389874</v>
      </c>
      <c r="K341">
        <v>20231009</v>
      </c>
      <c r="L341" t="s">
        <v>7479</v>
      </c>
      <c r="M341">
        <v>3</v>
      </c>
      <c r="N341">
        <v>0</v>
      </c>
      <c r="O341" t="s">
        <v>19</v>
      </c>
      <c r="P341" t="s">
        <v>20</v>
      </c>
      <c r="Q341">
        <v>20231009</v>
      </c>
    </row>
    <row r="342" spans="1:17" x14ac:dyDescent="0.25">
      <c r="A342" t="s">
        <v>548</v>
      </c>
      <c r="B342" t="s">
        <v>429</v>
      </c>
      <c r="C342">
        <v>2</v>
      </c>
      <c r="D342">
        <v>20231009</v>
      </c>
      <c r="E342">
        <v>10</v>
      </c>
      <c r="F342">
        <v>411100</v>
      </c>
      <c r="G342" t="s">
        <v>18</v>
      </c>
      <c r="H342" t="s">
        <v>1911</v>
      </c>
      <c r="I342" t="s">
        <v>1912</v>
      </c>
      <c r="J342">
        <v>389875</v>
      </c>
      <c r="K342">
        <v>20231009</v>
      </c>
      <c r="L342" t="s">
        <v>7478</v>
      </c>
      <c r="M342">
        <v>3</v>
      </c>
      <c r="N342">
        <v>0</v>
      </c>
      <c r="O342" t="s">
        <v>19</v>
      </c>
      <c r="P342" t="s">
        <v>20</v>
      </c>
      <c r="Q342">
        <v>20231009</v>
      </c>
    </row>
    <row r="343" spans="1:17" x14ac:dyDescent="0.25">
      <c r="A343" t="s">
        <v>548</v>
      </c>
      <c r="B343" t="s">
        <v>429</v>
      </c>
      <c r="C343">
        <v>2</v>
      </c>
      <c r="D343">
        <v>20231009</v>
      </c>
      <c r="E343">
        <v>10</v>
      </c>
      <c r="F343">
        <v>411100</v>
      </c>
      <c r="G343" t="s">
        <v>18</v>
      </c>
      <c r="H343" t="s">
        <v>1911</v>
      </c>
      <c r="I343" t="s">
        <v>1912</v>
      </c>
      <c r="J343">
        <v>389876</v>
      </c>
      <c r="K343">
        <v>20231009</v>
      </c>
      <c r="L343" t="s">
        <v>7477</v>
      </c>
      <c r="M343">
        <v>2.5</v>
      </c>
      <c r="N343">
        <v>0</v>
      </c>
      <c r="O343" t="s">
        <v>19</v>
      </c>
      <c r="P343" t="s">
        <v>20</v>
      </c>
      <c r="Q343">
        <v>20231009</v>
      </c>
    </row>
    <row r="344" spans="1:17" x14ac:dyDescent="0.25">
      <c r="A344" t="s">
        <v>548</v>
      </c>
      <c r="B344" t="s">
        <v>429</v>
      </c>
      <c r="C344">
        <v>2</v>
      </c>
      <c r="D344">
        <v>20231009</v>
      </c>
      <c r="E344">
        <v>10</v>
      </c>
      <c r="F344">
        <v>411100</v>
      </c>
      <c r="G344" t="s">
        <v>18</v>
      </c>
      <c r="H344" t="s">
        <v>1911</v>
      </c>
      <c r="I344" t="s">
        <v>1912</v>
      </c>
      <c r="J344">
        <v>389877</v>
      </c>
      <c r="K344">
        <v>20231009</v>
      </c>
      <c r="L344" t="s">
        <v>7476</v>
      </c>
      <c r="M344">
        <v>5</v>
      </c>
      <c r="N344">
        <v>0</v>
      </c>
      <c r="O344" t="s">
        <v>19</v>
      </c>
      <c r="P344" t="s">
        <v>20</v>
      </c>
      <c r="Q344">
        <v>20231009</v>
      </c>
    </row>
    <row r="345" spans="1:17" x14ac:dyDescent="0.25">
      <c r="A345" t="s">
        <v>548</v>
      </c>
      <c r="B345" t="s">
        <v>429</v>
      </c>
      <c r="C345">
        <v>2</v>
      </c>
      <c r="D345">
        <v>20231009</v>
      </c>
      <c r="E345">
        <v>10</v>
      </c>
      <c r="F345">
        <v>411100</v>
      </c>
      <c r="G345" t="s">
        <v>18</v>
      </c>
      <c r="H345" t="s">
        <v>1911</v>
      </c>
      <c r="I345" t="s">
        <v>1912</v>
      </c>
      <c r="J345">
        <v>389878</v>
      </c>
      <c r="K345">
        <v>20231009</v>
      </c>
      <c r="L345" t="s">
        <v>7475</v>
      </c>
      <c r="M345">
        <v>13.5</v>
      </c>
      <c r="N345">
        <v>0</v>
      </c>
      <c r="O345" t="s">
        <v>19</v>
      </c>
      <c r="P345" t="s">
        <v>20</v>
      </c>
      <c r="Q345">
        <v>20231009</v>
      </c>
    </row>
    <row r="346" spans="1:17" x14ac:dyDescent="0.25">
      <c r="A346" t="s">
        <v>548</v>
      </c>
      <c r="B346" t="s">
        <v>429</v>
      </c>
      <c r="C346">
        <v>2</v>
      </c>
      <c r="D346">
        <v>20231009</v>
      </c>
      <c r="E346">
        <v>10</v>
      </c>
      <c r="F346">
        <v>411100</v>
      </c>
      <c r="G346" t="s">
        <v>18</v>
      </c>
      <c r="H346" t="s">
        <v>1911</v>
      </c>
      <c r="I346" t="s">
        <v>1912</v>
      </c>
      <c r="J346">
        <v>389879</v>
      </c>
      <c r="K346">
        <v>20231009</v>
      </c>
      <c r="L346" t="s">
        <v>7474</v>
      </c>
      <c r="M346">
        <v>9</v>
      </c>
      <c r="N346">
        <v>0</v>
      </c>
      <c r="O346" t="s">
        <v>19</v>
      </c>
      <c r="P346" t="s">
        <v>20</v>
      </c>
      <c r="Q346">
        <v>20231009</v>
      </c>
    </row>
    <row r="347" spans="1:17" x14ac:dyDescent="0.25">
      <c r="A347" t="s">
        <v>548</v>
      </c>
      <c r="B347" t="s">
        <v>429</v>
      </c>
      <c r="C347">
        <v>2</v>
      </c>
      <c r="D347">
        <v>20231009</v>
      </c>
      <c r="E347">
        <v>10</v>
      </c>
      <c r="F347">
        <v>411100</v>
      </c>
      <c r="G347" t="s">
        <v>18</v>
      </c>
      <c r="H347" t="s">
        <v>154</v>
      </c>
      <c r="I347" t="s">
        <v>155</v>
      </c>
      <c r="J347">
        <v>389880</v>
      </c>
      <c r="K347">
        <v>20231009</v>
      </c>
      <c r="L347" t="s">
        <v>7473</v>
      </c>
      <c r="M347">
        <v>11.5</v>
      </c>
      <c r="N347">
        <v>0</v>
      </c>
      <c r="O347" t="s">
        <v>19</v>
      </c>
      <c r="P347" t="s">
        <v>20</v>
      </c>
      <c r="Q347">
        <v>20231009</v>
      </c>
    </row>
    <row r="348" spans="1:17" x14ac:dyDescent="0.25">
      <c r="A348" t="s">
        <v>548</v>
      </c>
      <c r="B348" t="s">
        <v>429</v>
      </c>
      <c r="C348">
        <v>2</v>
      </c>
      <c r="D348">
        <v>20231009</v>
      </c>
      <c r="E348">
        <v>10</v>
      </c>
      <c r="F348">
        <v>411100</v>
      </c>
      <c r="G348" t="s">
        <v>18</v>
      </c>
      <c r="H348" t="s">
        <v>1043</v>
      </c>
      <c r="I348" t="s">
        <v>1044</v>
      </c>
      <c r="J348">
        <v>389881</v>
      </c>
      <c r="K348">
        <v>20231009</v>
      </c>
      <c r="L348" t="s">
        <v>7472</v>
      </c>
      <c r="M348">
        <v>7</v>
      </c>
      <c r="N348">
        <v>0</v>
      </c>
      <c r="O348" t="s">
        <v>19</v>
      </c>
      <c r="P348" t="s">
        <v>20</v>
      </c>
      <c r="Q348">
        <v>20231009</v>
      </c>
    </row>
    <row r="349" spans="1:17" x14ac:dyDescent="0.25">
      <c r="A349" t="s">
        <v>548</v>
      </c>
      <c r="B349" t="s">
        <v>429</v>
      </c>
      <c r="C349">
        <v>2</v>
      </c>
      <c r="D349">
        <v>20231009</v>
      </c>
      <c r="E349">
        <v>10</v>
      </c>
      <c r="F349">
        <v>531105</v>
      </c>
      <c r="G349" t="s">
        <v>429</v>
      </c>
      <c r="H349" t="s">
        <v>401</v>
      </c>
      <c r="I349" t="s">
        <v>402</v>
      </c>
      <c r="J349">
        <v>389882</v>
      </c>
      <c r="K349">
        <v>20231009</v>
      </c>
      <c r="L349" t="s">
        <v>565</v>
      </c>
      <c r="M349">
        <v>0</v>
      </c>
      <c r="N349">
        <v>81</v>
      </c>
      <c r="O349" t="s">
        <v>19</v>
      </c>
      <c r="P349" t="s">
        <v>20</v>
      </c>
      <c r="Q349">
        <v>20231009</v>
      </c>
    </row>
    <row r="350" spans="1:17" x14ac:dyDescent="0.25">
      <c r="A350" t="s">
        <v>548</v>
      </c>
      <c r="B350" t="s">
        <v>429</v>
      </c>
      <c r="C350">
        <v>2</v>
      </c>
      <c r="D350">
        <v>20231005</v>
      </c>
      <c r="E350">
        <v>10</v>
      </c>
      <c r="F350">
        <v>411100</v>
      </c>
      <c r="G350" t="s">
        <v>18</v>
      </c>
      <c r="H350" t="s">
        <v>787</v>
      </c>
      <c r="I350" t="s">
        <v>788</v>
      </c>
      <c r="J350">
        <v>390071</v>
      </c>
      <c r="K350">
        <v>20231005</v>
      </c>
      <c r="L350" t="s">
        <v>7471</v>
      </c>
      <c r="M350">
        <v>0</v>
      </c>
      <c r="N350">
        <v>22.2</v>
      </c>
      <c r="O350" t="s">
        <v>19</v>
      </c>
      <c r="P350" t="s">
        <v>20</v>
      </c>
      <c r="Q350">
        <v>20231005</v>
      </c>
    </row>
    <row r="351" spans="1:17" x14ac:dyDescent="0.25">
      <c r="A351" t="s">
        <v>548</v>
      </c>
      <c r="B351" t="s">
        <v>429</v>
      </c>
      <c r="C351">
        <v>2</v>
      </c>
      <c r="D351">
        <v>20231005</v>
      </c>
      <c r="E351">
        <v>10</v>
      </c>
      <c r="F351">
        <v>411100</v>
      </c>
      <c r="G351" t="s">
        <v>18</v>
      </c>
      <c r="H351" t="s">
        <v>734</v>
      </c>
      <c r="I351" t="s">
        <v>5873</v>
      </c>
      <c r="J351">
        <v>223070016</v>
      </c>
      <c r="K351">
        <v>20231005</v>
      </c>
      <c r="L351" t="s">
        <v>7470</v>
      </c>
      <c r="M351">
        <v>0</v>
      </c>
      <c r="N351">
        <v>299</v>
      </c>
      <c r="O351" t="s">
        <v>19</v>
      </c>
      <c r="P351" t="s">
        <v>20</v>
      </c>
      <c r="Q351">
        <v>20231005</v>
      </c>
    </row>
    <row r="352" spans="1:17" x14ac:dyDescent="0.25">
      <c r="A352" t="s">
        <v>548</v>
      </c>
      <c r="B352" t="s">
        <v>429</v>
      </c>
      <c r="C352">
        <v>2</v>
      </c>
      <c r="D352">
        <v>20231005</v>
      </c>
      <c r="E352">
        <v>10</v>
      </c>
      <c r="F352">
        <v>531105</v>
      </c>
      <c r="G352" t="s">
        <v>429</v>
      </c>
      <c r="H352" t="s">
        <v>401</v>
      </c>
      <c r="I352" t="s">
        <v>402</v>
      </c>
      <c r="J352">
        <v>390073</v>
      </c>
      <c r="K352">
        <v>20231005</v>
      </c>
      <c r="L352" t="s">
        <v>565</v>
      </c>
      <c r="M352">
        <v>321.2</v>
      </c>
      <c r="N352">
        <v>0</v>
      </c>
      <c r="O352" t="s">
        <v>19</v>
      </c>
      <c r="P352" t="s">
        <v>20</v>
      </c>
      <c r="Q352">
        <v>20231005</v>
      </c>
    </row>
    <row r="353" spans="1:17" x14ac:dyDescent="0.25">
      <c r="A353" t="s">
        <v>548</v>
      </c>
      <c r="B353" t="s">
        <v>429</v>
      </c>
      <c r="C353">
        <v>2</v>
      </c>
      <c r="D353">
        <v>20231006</v>
      </c>
      <c r="E353">
        <v>10</v>
      </c>
      <c r="F353">
        <v>411100</v>
      </c>
      <c r="G353" t="s">
        <v>18</v>
      </c>
      <c r="H353" t="s">
        <v>7469</v>
      </c>
      <c r="I353" t="s">
        <v>7468</v>
      </c>
      <c r="J353">
        <v>390074</v>
      </c>
      <c r="K353">
        <v>20231006</v>
      </c>
      <c r="L353" t="s">
        <v>7467</v>
      </c>
      <c r="M353">
        <v>0</v>
      </c>
      <c r="N353">
        <v>81.41</v>
      </c>
      <c r="O353" t="s">
        <v>19</v>
      </c>
      <c r="P353" t="s">
        <v>20</v>
      </c>
      <c r="Q353">
        <v>20231006</v>
      </c>
    </row>
    <row r="354" spans="1:17" x14ac:dyDescent="0.25">
      <c r="A354" t="s">
        <v>548</v>
      </c>
      <c r="B354" t="s">
        <v>429</v>
      </c>
      <c r="C354">
        <v>2</v>
      </c>
      <c r="D354">
        <v>20231006</v>
      </c>
      <c r="E354">
        <v>10</v>
      </c>
      <c r="F354">
        <v>531105</v>
      </c>
      <c r="G354" t="s">
        <v>429</v>
      </c>
      <c r="H354" t="s">
        <v>401</v>
      </c>
      <c r="I354" t="s">
        <v>402</v>
      </c>
      <c r="J354">
        <v>390075</v>
      </c>
      <c r="K354">
        <v>20231006</v>
      </c>
      <c r="L354" t="s">
        <v>565</v>
      </c>
      <c r="M354">
        <v>81.41</v>
      </c>
      <c r="N354">
        <v>0</v>
      </c>
      <c r="O354" t="s">
        <v>19</v>
      </c>
      <c r="P354" t="s">
        <v>20</v>
      </c>
      <c r="Q354">
        <v>20231006</v>
      </c>
    </row>
    <row r="355" spans="1:17" x14ac:dyDescent="0.25">
      <c r="A355" t="s">
        <v>548</v>
      </c>
      <c r="B355" t="s">
        <v>429</v>
      </c>
      <c r="C355">
        <v>2</v>
      </c>
      <c r="D355">
        <v>20231009</v>
      </c>
      <c r="E355">
        <v>10</v>
      </c>
      <c r="F355">
        <v>411010</v>
      </c>
      <c r="G355" t="s">
        <v>87</v>
      </c>
      <c r="H355" t="s">
        <v>379</v>
      </c>
      <c r="I355" t="s">
        <v>380</v>
      </c>
      <c r="J355">
        <v>390076</v>
      </c>
      <c r="K355">
        <v>20231009</v>
      </c>
      <c r="L355" t="s">
        <v>7466</v>
      </c>
      <c r="M355">
        <v>0</v>
      </c>
      <c r="N355">
        <v>10</v>
      </c>
      <c r="O355" t="s">
        <v>19</v>
      </c>
      <c r="P355" t="s">
        <v>20</v>
      </c>
      <c r="Q355">
        <v>20231009</v>
      </c>
    </row>
    <row r="356" spans="1:17" x14ac:dyDescent="0.25">
      <c r="A356" t="s">
        <v>548</v>
      </c>
      <c r="B356" t="s">
        <v>429</v>
      </c>
      <c r="C356">
        <v>2</v>
      </c>
      <c r="D356">
        <v>20231009</v>
      </c>
      <c r="E356">
        <v>10</v>
      </c>
      <c r="F356">
        <v>531105</v>
      </c>
      <c r="G356" t="s">
        <v>429</v>
      </c>
      <c r="H356" t="s">
        <v>401</v>
      </c>
      <c r="I356" t="s">
        <v>402</v>
      </c>
      <c r="J356">
        <v>390077</v>
      </c>
      <c r="K356">
        <v>20231009</v>
      </c>
      <c r="L356" t="s">
        <v>565</v>
      </c>
      <c r="M356">
        <v>10</v>
      </c>
      <c r="N356">
        <v>0</v>
      </c>
      <c r="O356" t="s">
        <v>19</v>
      </c>
      <c r="P356" t="s">
        <v>20</v>
      </c>
      <c r="Q356">
        <v>20231009</v>
      </c>
    </row>
    <row r="357" spans="1:17" x14ac:dyDescent="0.25">
      <c r="A357" t="s">
        <v>548</v>
      </c>
      <c r="B357" t="s">
        <v>429</v>
      </c>
      <c r="C357">
        <v>2</v>
      </c>
      <c r="D357">
        <v>20231009</v>
      </c>
      <c r="E357">
        <v>10</v>
      </c>
      <c r="F357">
        <v>411020</v>
      </c>
      <c r="G357" t="s">
        <v>30</v>
      </c>
      <c r="H357" t="s">
        <v>7465</v>
      </c>
      <c r="I357" t="s">
        <v>7464</v>
      </c>
      <c r="J357">
        <v>323070001</v>
      </c>
      <c r="K357">
        <v>20231009</v>
      </c>
      <c r="L357" t="s">
        <v>7463</v>
      </c>
      <c r="M357">
        <v>0</v>
      </c>
      <c r="N357">
        <v>32.99</v>
      </c>
      <c r="O357" t="s">
        <v>19</v>
      </c>
      <c r="P357" t="s">
        <v>20</v>
      </c>
      <c r="Q357">
        <v>20231009</v>
      </c>
    </row>
    <row r="358" spans="1:17" x14ac:dyDescent="0.25">
      <c r="A358" t="s">
        <v>548</v>
      </c>
      <c r="B358" t="s">
        <v>429</v>
      </c>
      <c r="C358">
        <v>2</v>
      </c>
      <c r="D358">
        <v>20231009</v>
      </c>
      <c r="E358">
        <v>10</v>
      </c>
      <c r="F358">
        <v>531105</v>
      </c>
      <c r="G358" t="s">
        <v>429</v>
      </c>
      <c r="H358" t="s">
        <v>401</v>
      </c>
      <c r="I358" t="s">
        <v>402</v>
      </c>
      <c r="J358">
        <v>390133</v>
      </c>
      <c r="K358">
        <v>20231009</v>
      </c>
      <c r="L358" t="s">
        <v>565</v>
      </c>
      <c r="M358">
        <v>32.99</v>
      </c>
      <c r="N358">
        <v>0</v>
      </c>
      <c r="O358" t="s">
        <v>19</v>
      </c>
      <c r="P358" t="s">
        <v>20</v>
      </c>
      <c r="Q358">
        <v>20231009</v>
      </c>
    </row>
    <row r="359" spans="1:17" x14ac:dyDescent="0.25">
      <c r="A359" t="s">
        <v>548</v>
      </c>
      <c r="B359" t="s">
        <v>429</v>
      </c>
      <c r="C359">
        <v>2</v>
      </c>
      <c r="D359">
        <v>20231011</v>
      </c>
      <c r="E359">
        <v>10</v>
      </c>
      <c r="F359">
        <v>411020</v>
      </c>
      <c r="G359" t="s">
        <v>30</v>
      </c>
      <c r="H359" t="s">
        <v>7462</v>
      </c>
      <c r="I359" t="s">
        <v>7461</v>
      </c>
      <c r="J359">
        <v>323070003</v>
      </c>
      <c r="K359">
        <v>20231011</v>
      </c>
      <c r="L359" t="s">
        <v>7460</v>
      </c>
      <c r="M359">
        <v>0</v>
      </c>
      <c r="N359">
        <v>279.11</v>
      </c>
      <c r="O359" t="s">
        <v>19</v>
      </c>
      <c r="P359" t="s">
        <v>20</v>
      </c>
      <c r="Q359">
        <v>20231011</v>
      </c>
    </row>
    <row r="360" spans="1:17" x14ac:dyDescent="0.25">
      <c r="A360" t="s">
        <v>548</v>
      </c>
      <c r="B360" t="s">
        <v>429</v>
      </c>
      <c r="C360">
        <v>2</v>
      </c>
      <c r="D360">
        <v>20231011</v>
      </c>
      <c r="E360">
        <v>10</v>
      </c>
      <c r="F360">
        <v>531105</v>
      </c>
      <c r="G360" t="s">
        <v>429</v>
      </c>
      <c r="H360" t="s">
        <v>401</v>
      </c>
      <c r="I360" t="s">
        <v>402</v>
      </c>
      <c r="J360">
        <v>390135</v>
      </c>
      <c r="K360">
        <v>20231011</v>
      </c>
      <c r="L360" t="s">
        <v>565</v>
      </c>
      <c r="M360">
        <v>279.11</v>
      </c>
      <c r="N360">
        <v>0</v>
      </c>
      <c r="O360" t="s">
        <v>19</v>
      </c>
      <c r="P360" t="s">
        <v>20</v>
      </c>
      <c r="Q360">
        <v>20231011</v>
      </c>
    </row>
    <row r="361" spans="1:17" x14ac:dyDescent="0.25">
      <c r="A361" t="s">
        <v>548</v>
      </c>
      <c r="B361" t="s">
        <v>429</v>
      </c>
      <c r="C361">
        <v>2</v>
      </c>
      <c r="D361">
        <v>20231016</v>
      </c>
      <c r="E361">
        <v>10</v>
      </c>
      <c r="F361">
        <v>411020</v>
      </c>
      <c r="G361" t="s">
        <v>30</v>
      </c>
      <c r="H361" t="s">
        <v>338</v>
      </c>
      <c r="I361" t="s">
        <v>339</v>
      </c>
      <c r="J361">
        <v>323060022</v>
      </c>
      <c r="K361">
        <v>20231016</v>
      </c>
      <c r="L361" t="s">
        <v>7459</v>
      </c>
      <c r="M361">
        <v>0</v>
      </c>
      <c r="N361">
        <v>56.89</v>
      </c>
      <c r="O361" t="s">
        <v>19</v>
      </c>
      <c r="P361" t="s">
        <v>20</v>
      </c>
      <c r="Q361">
        <v>20231016</v>
      </c>
    </row>
    <row r="362" spans="1:17" x14ac:dyDescent="0.25">
      <c r="A362" t="s">
        <v>548</v>
      </c>
      <c r="B362" t="s">
        <v>429</v>
      </c>
      <c r="C362">
        <v>2</v>
      </c>
      <c r="D362">
        <v>20231016</v>
      </c>
      <c r="E362">
        <v>10</v>
      </c>
      <c r="F362">
        <v>531105</v>
      </c>
      <c r="G362" t="s">
        <v>429</v>
      </c>
      <c r="H362" t="s">
        <v>401</v>
      </c>
      <c r="I362" t="s">
        <v>402</v>
      </c>
      <c r="J362">
        <v>390247</v>
      </c>
      <c r="K362">
        <v>20231016</v>
      </c>
      <c r="L362" t="s">
        <v>565</v>
      </c>
      <c r="M362">
        <v>56.89</v>
      </c>
      <c r="N362">
        <v>0</v>
      </c>
      <c r="O362" t="s">
        <v>19</v>
      </c>
      <c r="P362" t="s">
        <v>20</v>
      </c>
      <c r="Q362">
        <v>20231016</v>
      </c>
    </row>
    <row r="363" spans="1:17" x14ac:dyDescent="0.25">
      <c r="A363" t="s">
        <v>548</v>
      </c>
      <c r="B363" t="s">
        <v>429</v>
      </c>
      <c r="C363">
        <v>2</v>
      </c>
      <c r="D363">
        <v>20231017</v>
      </c>
      <c r="E363">
        <v>10</v>
      </c>
      <c r="F363">
        <v>411020</v>
      </c>
      <c r="G363" t="s">
        <v>30</v>
      </c>
      <c r="H363" t="s">
        <v>4147</v>
      </c>
      <c r="I363" t="s">
        <v>4148</v>
      </c>
      <c r="J363">
        <v>323090016</v>
      </c>
      <c r="K363">
        <v>20231017</v>
      </c>
      <c r="L363" t="s">
        <v>7458</v>
      </c>
      <c r="M363">
        <v>0</v>
      </c>
      <c r="N363">
        <v>40.770000000000003</v>
      </c>
      <c r="O363" t="s">
        <v>19</v>
      </c>
      <c r="P363" t="s">
        <v>20</v>
      </c>
      <c r="Q363">
        <v>20231017</v>
      </c>
    </row>
    <row r="364" spans="1:17" x14ac:dyDescent="0.25">
      <c r="A364" t="s">
        <v>548</v>
      </c>
      <c r="B364" t="s">
        <v>429</v>
      </c>
      <c r="C364">
        <v>2</v>
      </c>
      <c r="D364">
        <v>20231017</v>
      </c>
      <c r="E364">
        <v>10</v>
      </c>
      <c r="F364">
        <v>411020</v>
      </c>
      <c r="G364" t="s">
        <v>30</v>
      </c>
      <c r="H364" t="s">
        <v>4147</v>
      </c>
      <c r="I364" t="s">
        <v>4148</v>
      </c>
      <c r="J364">
        <v>323090016</v>
      </c>
      <c r="K364">
        <v>20231017</v>
      </c>
      <c r="L364" t="s">
        <v>7457</v>
      </c>
      <c r="M364">
        <v>0</v>
      </c>
      <c r="N364">
        <v>0.03</v>
      </c>
      <c r="O364" t="s">
        <v>19</v>
      </c>
      <c r="P364" t="s">
        <v>20</v>
      </c>
      <c r="Q364">
        <v>20231017</v>
      </c>
    </row>
    <row r="365" spans="1:17" x14ac:dyDescent="0.25">
      <c r="A365" t="s">
        <v>548</v>
      </c>
      <c r="B365" t="s">
        <v>429</v>
      </c>
      <c r="C365">
        <v>2</v>
      </c>
      <c r="D365">
        <v>20231017</v>
      </c>
      <c r="E365">
        <v>10</v>
      </c>
      <c r="F365">
        <v>411100</v>
      </c>
      <c r="G365" t="s">
        <v>18</v>
      </c>
      <c r="H365" t="s">
        <v>3635</v>
      </c>
      <c r="I365" t="s">
        <v>6401</v>
      </c>
      <c r="J365">
        <v>323060010</v>
      </c>
      <c r="K365">
        <v>20231017</v>
      </c>
      <c r="L365" t="s">
        <v>7456</v>
      </c>
      <c r="M365">
        <v>0</v>
      </c>
      <c r="N365">
        <v>206.05</v>
      </c>
      <c r="O365" t="s">
        <v>19</v>
      </c>
      <c r="P365" t="s">
        <v>20</v>
      </c>
      <c r="Q365">
        <v>20231017</v>
      </c>
    </row>
    <row r="366" spans="1:17" x14ac:dyDescent="0.25">
      <c r="A366" t="s">
        <v>548</v>
      </c>
      <c r="B366" t="s">
        <v>429</v>
      </c>
      <c r="C366">
        <v>2</v>
      </c>
      <c r="D366">
        <v>20231017</v>
      </c>
      <c r="E366">
        <v>10</v>
      </c>
      <c r="F366">
        <v>411100</v>
      </c>
      <c r="G366" t="s">
        <v>18</v>
      </c>
      <c r="H366" t="s">
        <v>3635</v>
      </c>
      <c r="I366" t="s">
        <v>6401</v>
      </c>
      <c r="J366">
        <v>323060010</v>
      </c>
      <c r="K366">
        <v>20231017</v>
      </c>
      <c r="L366" t="s">
        <v>7455</v>
      </c>
      <c r="M366">
        <v>0</v>
      </c>
      <c r="N366">
        <v>3.95</v>
      </c>
      <c r="O366" t="s">
        <v>19</v>
      </c>
      <c r="P366" t="s">
        <v>20</v>
      </c>
      <c r="Q366">
        <v>20231017</v>
      </c>
    </row>
    <row r="367" spans="1:17" x14ac:dyDescent="0.25">
      <c r="A367" t="s">
        <v>548</v>
      </c>
      <c r="B367" t="s">
        <v>429</v>
      </c>
      <c r="C367">
        <v>2</v>
      </c>
      <c r="D367">
        <v>20231017</v>
      </c>
      <c r="E367">
        <v>10</v>
      </c>
      <c r="F367">
        <v>531105</v>
      </c>
      <c r="G367" t="s">
        <v>429</v>
      </c>
      <c r="H367" t="s">
        <v>401</v>
      </c>
      <c r="I367" t="s">
        <v>402</v>
      </c>
      <c r="J367">
        <v>390252</v>
      </c>
      <c r="K367">
        <v>20231017</v>
      </c>
      <c r="L367" t="s">
        <v>565</v>
      </c>
      <c r="M367">
        <v>250.8</v>
      </c>
      <c r="N367">
        <v>0</v>
      </c>
      <c r="O367" t="s">
        <v>19</v>
      </c>
      <c r="P367" t="s">
        <v>20</v>
      </c>
      <c r="Q367">
        <v>20231017</v>
      </c>
    </row>
    <row r="368" spans="1:17" x14ac:dyDescent="0.25">
      <c r="A368" t="s">
        <v>548</v>
      </c>
      <c r="B368" t="s">
        <v>429</v>
      </c>
      <c r="C368">
        <v>2</v>
      </c>
      <c r="D368">
        <v>20231018</v>
      </c>
      <c r="E368">
        <v>10</v>
      </c>
      <c r="F368">
        <v>411020</v>
      </c>
      <c r="G368" t="s">
        <v>30</v>
      </c>
      <c r="H368" t="s">
        <v>3633</v>
      </c>
      <c r="I368" t="s">
        <v>3634</v>
      </c>
      <c r="J368">
        <v>323090006</v>
      </c>
      <c r="K368">
        <v>20231018</v>
      </c>
      <c r="L368" t="s">
        <v>7454</v>
      </c>
      <c r="M368">
        <v>0</v>
      </c>
      <c r="N368">
        <v>53.82</v>
      </c>
      <c r="O368" t="s">
        <v>19</v>
      </c>
      <c r="P368" t="s">
        <v>20</v>
      </c>
      <c r="Q368">
        <v>20231018</v>
      </c>
    </row>
    <row r="369" spans="1:17" x14ac:dyDescent="0.25">
      <c r="A369" t="s">
        <v>548</v>
      </c>
      <c r="B369" t="s">
        <v>429</v>
      </c>
      <c r="C369">
        <v>2</v>
      </c>
      <c r="D369">
        <v>20231018</v>
      </c>
      <c r="E369">
        <v>10</v>
      </c>
      <c r="F369">
        <v>411020</v>
      </c>
      <c r="G369" t="s">
        <v>30</v>
      </c>
      <c r="H369" t="s">
        <v>3633</v>
      </c>
      <c r="I369" t="s">
        <v>3634</v>
      </c>
      <c r="J369">
        <v>323090006</v>
      </c>
      <c r="K369">
        <v>20231018</v>
      </c>
      <c r="L369" t="s">
        <v>7453</v>
      </c>
      <c r="M369">
        <v>0</v>
      </c>
      <c r="N369">
        <v>16.18</v>
      </c>
      <c r="O369" t="s">
        <v>19</v>
      </c>
      <c r="P369" t="s">
        <v>20</v>
      </c>
      <c r="Q369">
        <v>20231018</v>
      </c>
    </row>
    <row r="370" spans="1:17" x14ac:dyDescent="0.25">
      <c r="A370" t="s">
        <v>548</v>
      </c>
      <c r="B370" t="s">
        <v>429</v>
      </c>
      <c r="C370">
        <v>2</v>
      </c>
      <c r="D370">
        <v>20231018</v>
      </c>
      <c r="E370">
        <v>10</v>
      </c>
      <c r="F370">
        <v>531105</v>
      </c>
      <c r="G370" t="s">
        <v>429</v>
      </c>
      <c r="H370" t="s">
        <v>401</v>
      </c>
      <c r="I370" t="s">
        <v>402</v>
      </c>
      <c r="J370">
        <v>390255</v>
      </c>
      <c r="K370">
        <v>20231018</v>
      </c>
      <c r="L370" t="s">
        <v>565</v>
      </c>
      <c r="M370">
        <v>70</v>
      </c>
      <c r="N370">
        <v>0</v>
      </c>
      <c r="O370" t="s">
        <v>19</v>
      </c>
      <c r="P370" t="s">
        <v>20</v>
      </c>
      <c r="Q370">
        <v>20231018</v>
      </c>
    </row>
    <row r="371" spans="1:17" x14ac:dyDescent="0.25">
      <c r="A371" t="s">
        <v>548</v>
      </c>
      <c r="B371" t="s">
        <v>429</v>
      </c>
      <c r="C371">
        <v>2</v>
      </c>
      <c r="D371">
        <v>20231023</v>
      </c>
      <c r="E371">
        <v>10</v>
      </c>
      <c r="F371">
        <v>411100</v>
      </c>
      <c r="G371" t="s">
        <v>18</v>
      </c>
      <c r="H371" t="s">
        <v>7452</v>
      </c>
      <c r="I371" t="s">
        <v>7451</v>
      </c>
      <c r="J371">
        <v>391569</v>
      </c>
      <c r="K371">
        <v>20231023</v>
      </c>
      <c r="L371" t="s">
        <v>7450</v>
      </c>
      <c r="M371">
        <v>0</v>
      </c>
      <c r="N371">
        <v>13</v>
      </c>
      <c r="O371" t="s">
        <v>19</v>
      </c>
      <c r="P371" t="s">
        <v>20</v>
      </c>
      <c r="Q371">
        <v>20231023</v>
      </c>
    </row>
    <row r="372" spans="1:17" x14ac:dyDescent="0.25">
      <c r="A372" t="s">
        <v>548</v>
      </c>
      <c r="B372" t="s">
        <v>429</v>
      </c>
      <c r="C372">
        <v>2</v>
      </c>
      <c r="D372">
        <v>20231023</v>
      </c>
      <c r="E372">
        <v>10</v>
      </c>
      <c r="F372">
        <v>411100</v>
      </c>
      <c r="G372" t="s">
        <v>18</v>
      </c>
      <c r="H372" t="s">
        <v>7449</v>
      </c>
      <c r="I372" t="s">
        <v>7448</v>
      </c>
      <c r="J372">
        <v>391570</v>
      </c>
      <c r="K372">
        <v>20231023</v>
      </c>
      <c r="L372" t="s">
        <v>7447</v>
      </c>
      <c r="M372">
        <v>0</v>
      </c>
      <c r="N372">
        <v>13</v>
      </c>
      <c r="O372" t="s">
        <v>19</v>
      </c>
      <c r="P372" t="s">
        <v>20</v>
      </c>
      <c r="Q372">
        <v>20231023</v>
      </c>
    </row>
    <row r="373" spans="1:17" x14ac:dyDescent="0.25">
      <c r="A373" t="s">
        <v>548</v>
      </c>
      <c r="B373" t="s">
        <v>429</v>
      </c>
      <c r="C373">
        <v>2</v>
      </c>
      <c r="D373">
        <v>20231023</v>
      </c>
      <c r="E373">
        <v>10</v>
      </c>
      <c r="F373">
        <v>531105</v>
      </c>
      <c r="G373" t="s">
        <v>429</v>
      </c>
      <c r="H373" t="s">
        <v>401</v>
      </c>
      <c r="I373" t="s">
        <v>402</v>
      </c>
      <c r="J373">
        <v>391571</v>
      </c>
      <c r="K373">
        <v>20231023</v>
      </c>
      <c r="L373" t="s">
        <v>565</v>
      </c>
      <c r="M373">
        <v>26</v>
      </c>
      <c r="N373">
        <v>0</v>
      </c>
      <c r="O373" t="s">
        <v>19</v>
      </c>
      <c r="P373" t="s">
        <v>20</v>
      </c>
      <c r="Q373">
        <v>20231023</v>
      </c>
    </row>
    <row r="374" spans="1:17" x14ac:dyDescent="0.25">
      <c r="A374" t="s">
        <v>548</v>
      </c>
      <c r="B374" t="s">
        <v>429</v>
      </c>
      <c r="C374">
        <v>2</v>
      </c>
      <c r="D374">
        <v>20231024</v>
      </c>
      <c r="E374">
        <v>10</v>
      </c>
      <c r="F374">
        <v>411100</v>
      </c>
      <c r="G374" t="s">
        <v>18</v>
      </c>
      <c r="H374" t="s">
        <v>660</v>
      </c>
      <c r="I374" t="s">
        <v>661</v>
      </c>
      <c r="J374">
        <v>123080082</v>
      </c>
      <c r="K374">
        <v>20231024</v>
      </c>
      <c r="L374" t="s">
        <v>7446</v>
      </c>
      <c r="M374">
        <v>2.12</v>
      </c>
      <c r="N374">
        <v>0</v>
      </c>
      <c r="O374" t="s">
        <v>19</v>
      </c>
      <c r="P374" t="s">
        <v>20</v>
      </c>
      <c r="Q374">
        <v>20231024</v>
      </c>
    </row>
    <row r="375" spans="1:17" x14ac:dyDescent="0.25">
      <c r="A375" t="s">
        <v>548</v>
      </c>
      <c r="B375" t="s">
        <v>429</v>
      </c>
      <c r="C375">
        <v>2</v>
      </c>
      <c r="D375">
        <v>20231024</v>
      </c>
      <c r="E375">
        <v>10</v>
      </c>
      <c r="F375">
        <v>411100</v>
      </c>
      <c r="G375" t="s">
        <v>18</v>
      </c>
      <c r="H375" t="s">
        <v>660</v>
      </c>
      <c r="I375" t="s">
        <v>661</v>
      </c>
      <c r="J375">
        <v>123080082</v>
      </c>
      <c r="K375">
        <v>20231024</v>
      </c>
      <c r="L375" t="s">
        <v>7445</v>
      </c>
      <c r="M375">
        <v>0</v>
      </c>
      <c r="N375">
        <v>9.1199999999999992</v>
      </c>
      <c r="O375" t="s">
        <v>19</v>
      </c>
      <c r="P375" t="s">
        <v>20</v>
      </c>
      <c r="Q375">
        <v>20231024</v>
      </c>
    </row>
    <row r="376" spans="1:17" x14ac:dyDescent="0.25">
      <c r="A376" t="s">
        <v>548</v>
      </c>
      <c r="B376" t="s">
        <v>429</v>
      </c>
      <c r="C376">
        <v>2</v>
      </c>
      <c r="D376">
        <v>20231024</v>
      </c>
      <c r="E376">
        <v>10</v>
      </c>
      <c r="F376">
        <v>531105</v>
      </c>
      <c r="G376" t="s">
        <v>429</v>
      </c>
      <c r="H376" t="s">
        <v>401</v>
      </c>
      <c r="I376" t="s">
        <v>402</v>
      </c>
      <c r="J376">
        <v>391574</v>
      </c>
      <c r="K376">
        <v>20231024</v>
      </c>
      <c r="L376" t="s">
        <v>565</v>
      </c>
      <c r="M376">
        <v>7</v>
      </c>
      <c r="N376">
        <v>0</v>
      </c>
      <c r="O376" t="s">
        <v>19</v>
      </c>
      <c r="P376" t="s">
        <v>20</v>
      </c>
      <c r="Q376">
        <v>20231024</v>
      </c>
    </row>
    <row r="377" spans="1:17" x14ac:dyDescent="0.25">
      <c r="A377" t="s">
        <v>548</v>
      </c>
      <c r="B377" t="s">
        <v>429</v>
      </c>
      <c r="C377">
        <v>2</v>
      </c>
      <c r="D377">
        <v>20231025</v>
      </c>
      <c r="E377">
        <v>10</v>
      </c>
      <c r="F377">
        <v>411100</v>
      </c>
      <c r="G377" t="s">
        <v>18</v>
      </c>
      <c r="H377" t="s">
        <v>7444</v>
      </c>
      <c r="I377" t="s">
        <v>7443</v>
      </c>
      <c r="J377">
        <v>391575</v>
      </c>
      <c r="K377">
        <v>20231025</v>
      </c>
      <c r="L377" t="s">
        <v>7442</v>
      </c>
      <c r="M377">
        <v>0</v>
      </c>
      <c r="N377">
        <v>22</v>
      </c>
      <c r="O377" t="s">
        <v>19</v>
      </c>
      <c r="P377" t="s">
        <v>20</v>
      </c>
      <c r="Q377">
        <v>20231025</v>
      </c>
    </row>
    <row r="378" spans="1:17" x14ac:dyDescent="0.25">
      <c r="A378" t="s">
        <v>548</v>
      </c>
      <c r="B378" t="s">
        <v>429</v>
      </c>
      <c r="C378">
        <v>2</v>
      </c>
      <c r="D378">
        <v>20231025</v>
      </c>
      <c r="E378">
        <v>10</v>
      </c>
      <c r="F378">
        <v>531105</v>
      </c>
      <c r="G378" t="s">
        <v>429</v>
      </c>
      <c r="H378" t="s">
        <v>401</v>
      </c>
      <c r="I378" t="s">
        <v>402</v>
      </c>
      <c r="J378">
        <v>391576</v>
      </c>
      <c r="K378">
        <v>20231025</v>
      </c>
      <c r="L378" t="s">
        <v>565</v>
      </c>
      <c r="M378">
        <v>22</v>
      </c>
      <c r="N378">
        <v>0</v>
      </c>
      <c r="O378" t="s">
        <v>19</v>
      </c>
      <c r="P378" t="s">
        <v>20</v>
      </c>
      <c r="Q378">
        <v>20231025</v>
      </c>
    </row>
    <row r="379" spans="1:17" x14ac:dyDescent="0.25">
      <c r="A379" t="s">
        <v>548</v>
      </c>
      <c r="B379" t="s">
        <v>429</v>
      </c>
      <c r="C379">
        <v>2</v>
      </c>
      <c r="D379">
        <v>20231026</v>
      </c>
      <c r="E379">
        <v>10</v>
      </c>
      <c r="F379">
        <v>411010</v>
      </c>
      <c r="G379" t="s">
        <v>87</v>
      </c>
      <c r="H379" t="s">
        <v>363</v>
      </c>
      <c r="I379" t="s">
        <v>6660</v>
      </c>
      <c r="J379">
        <v>391577</v>
      </c>
      <c r="K379">
        <v>20231026</v>
      </c>
      <c r="L379" t="s">
        <v>7441</v>
      </c>
      <c r="M379">
        <v>0</v>
      </c>
      <c r="N379">
        <v>15</v>
      </c>
      <c r="O379" t="s">
        <v>19</v>
      </c>
      <c r="P379" t="s">
        <v>20</v>
      </c>
      <c r="Q379">
        <v>20231026</v>
      </c>
    </row>
    <row r="380" spans="1:17" x14ac:dyDescent="0.25">
      <c r="A380" t="s">
        <v>548</v>
      </c>
      <c r="B380" t="s">
        <v>429</v>
      </c>
      <c r="C380">
        <v>2</v>
      </c>
      <c r="D380">
        <v>20231026</v>
      </c>
      <c r="E380">
        <v>10</v>
      </c>
      <c r="F380">
        <v>531105</v>
      </c>
      <c r="G380" t="s">
        <v>429</v>
      </c>
      <c r="H380" t="s">
        <v>401</v>
      </c>
      <c r="I380" t="s">
        <v>402</v>
      </c>
      <c r="J380">
        <v>391578</v>
      </c>
      <c r="K380">
        <v>20231026</v>
      </c>
      <c r="L380" t="s">
        <v>565</v>
      </c>
      <c r="M380">
        <v>15</v>
      </c>
      <c r="N380">
        <v>0</v>
      </c>
      <c r="O380" t="s">
        <v>19</v>
      </c>
      <c r="P380" t="s">
        <v>20</v>
      </c>
      <c r="Q380">
        <v>20231026</v>
      </c>
    </row>
    <row r="381" spans="1:17" x14ac:dyDescent="0.25">
      <c r="A381" t="s">
        <v>548</v>
      </c>
      <c r="B381" t="s">
        <v>429</v>
      </c>
      <c r="C381">
        <v>2</v>
      </c>
      <c r="D381">
        <v>20231027</v>
      </c>
      <c r="E381">
        <v>10</v>
      </c>
      <c r="F381">
        <v>411010</v>
      </c>
      <c r="G381" t="s">
        <v>87</v>
      </c>
      <c r="H381" t="s">
        <v>7440</v>
      </c>
      <c r="I381" t="s">
        <v>7439</v>
      </c>
      <c r="J381">
        <v>391579</v>
      </c>
      <c r="K381">
        <v>20231027</v>
      </c>
      <c r="L381" t="s">
        <v>7438</v>
      </c>
      <c r="M381">
        <v>0</v>
      </c>
      <c r="N381">
        <v>22</v>
      </c>
      <c r="O381" t="s">
        <v>19</v>
      </c>
      <c r="P381" t="s">
        <v>20</v>
      </c>
      <c r="Q381">
        <v>20231027</v>
      </c>
    </row>
    <row r="382" spans="1:17" x14ac:dyDescent="0.25">
      <c r="A382" t="s">
        <v>548</v>
      </c>
      <c r="B382" t="s">
        <v>429</v>
      </c>
      <c r="C382">
        <v>2</v>
      </c>
      <c r="D382">
        <v>20231027</v>
      </c>
      <c r="E382">
        <v>10</v>
      </c>
      <c r="F382">
        <v>531105</v>
      </c>
      <c r="G382" t="s">
        <v>429</v>
      </c>
      <c r="H382" t="s">
        <v>401</v>
      </c>
      <c r="I382" t="s">
        <v>402</v>
      </c>
      <c r="J382">
        <v>391580</v>
      </c>
      <c r="K382">
        <v>20231027</v>
      </c>
      <c r="L382" t="s">
        <v>565</v>
      </c>
      <c r="M382">
        <v>22</v>
      </c>
      <c r="N382">
        <v>0</v>
      </c>
      <c r="O382" t="s">
        <v>19</v>
      </c>
      <c r="P382" t="s">
        <v>20</v>
      </c>
      <c r="Q382">
        <v>20231027</v>
      </c>
    </row>
    <row r="383" spans="1:17" x14ac:dyDescent="0.25">
      <c r="A383" t="s">
        <v>548</v>
      </c>
      <c r="B383" t="s">
        <v>429</v>
      </c>
      <c r="C383">
        <v>2</v>
      </c>
      <c r="D383">
        <v>20231013</v>
      </c>
      <c r="E383">
        <v>10</v>
      </c>
      <c r="F383">
        <v>411100</v>
      </c>
      <c r="G383" t="s">
        <v>18</v>
      </c>
      <c r="H383" t="s">
        <v>2995</v>
      </c>
      <c r="I383" t="s">
        <v>2996</v>
      </c>
      <c r="J383">
        <v>393504</v>
      </c>
      <c r="K383">
        <v>20231013</v>
      </c>
      <c r="L383" t="s">
        <v>7437</v>
      </c>
      <c r="M383">
        <v>0</v>
      </c>
      <c r="N383">
        <v>50</v>
      </c>
      <c r="O383" t="s">
        <v>19</v>
      </c>
      <c r="P383" t="s">
        <v>20</v>
      </c>
      <c r="Q383">
        <v>20231013</v>
      </c>
    </row>
    <row r="384" spans="1:17" x14ac:dyDescent="0.25">
      <c r="A384" t="s">
        <v>548</v>
      </c>
      <c r="B384" t="s">
        <v>429</v>
      </c>
      <c r="C384">
        <v>2</v>
      </c>
      <c r="D384">
        <v>20231013</v>
      </c>
      <c r="E384">
        <v>10</v>
      </c>
      <c r="F384">
        <v>531105</v>
      </c>
      <c r="G384" t="s">
        <v>429</v>
      </c>
      <c r="H384" t="s">
        <v>401</v>
      </c>
      <c r="I384" t="s">
        <v>402</v>
      </c>
      <c r="J384">
        <v>393505</v>
      </c>
      <c r="K384">
        <v>20231013</v>
      </c>
      <c r="L384" t="s">
        <v>565</v>
      </c>
      <c r="M384">
        <v>50</v>
      </c>
      <c r="N384">
        <v>0</v>
      </c>
      <c r="O384" t="s">
        <v>19</v>
      </c>
      <c r="P384" t="s">
        <v>20</v>
      </c>
      <c r="Q384">
        <v>20231013</v>
      </c>
    </row>
    <row r="385" spans="1:17" x14ac:dyDescent="0.25">
      <c r="A385" t="s">
        <v>548</v>
      </c>
      <c r="B385" t="s">
        <v>429</v>
      </c>
      <c r="C385">
        <v>2</v>
      </c>
      <c r="D385">
        <v>20231016</v>
      </c>
      <c r="E385">
        <v>10</v>
      </c>
      <c r="F385">
        <v>411100</v>
      </c>
      <c r="G385" t="s">
        <v>18</v>
      </c>
      <c r="H385" t="s">
        <v>313</v>
      </c>
      <c r="I385" t="s">
        <v>314</v>
      </c>
      <c r="J385">
        <v>121070087</v>
      </c>
      <c r="K385">
        <v>20231016</v>
      </c>
      <c r="L385" t="s">
        <v>7436</v>
      </c>
      <c r="M385">
        <v>0</v>
      </c>
      <c r="N385">
        <v>50</v>
      </c>
      <c r="O385" t="s">
        <v>19</v>
      </c>
      <c r="P385" t="s">
        <v>20</v>
      </c>
      <c r="Q385">
        <v>20231016</v>
      </c>
    </row>
    <row r="386" spans="1:17" x14ac:dyDescent="0.25">
      <c r="A386" t="s">
        <v>548</v>
      </c>
      <c r="B386" t="s">
        <v>429</v>
      </c>
      <c r="C386">
        <v>2</v>
      </c>
      <c r="D386">
        <v>20231016</v>
      </c>
      <c r="E386">
        <v>10</v>
      </c>
      <c r="F386">
        <v>411100</v>
      </c>
      <c r="G386" t="s">
        <v>18</v>
      </c>
      <c r="H386" t="s">
        <v>7435</v>
      </c>
      <c r="I386" t="s">
        <v>7434</v>
      </c>
      <c r="J386">
        <v>393507</v>
      </c>
      <c r="K386">
        <v>20231016</v>
      </c>
      <c r="L386" t="s">
        <v>7433</v>
      </c>
      <c r="M386">
        <v>0</v>
      </c>
      <c r="N386">
        <v>22</v>
      </c>
      <c r="O386" t="s">
        <v>19</v>
      </c>
      <c r="P386" t="s">
        <v>20</v>
      </c>
      <c r="Q386">
        <v>20231016</v>
      </c>
    </row>
    <row r="387" spans="1:17" x14ac:dyDescent="0.25">
      <c r="A387" t="s">
        <v>548</v>
      </c>
      <c r="B387" t="s">
        <v>429</v>
      </c>
      <c r="C387">
        <v>2</v>
      </c>
      <c r="D387">
        <v>20231016</v>
      </c>
      <c r="E387">
        <v>10</v>
      </c>
      <c r="F387">
        <v>411100</v>
      </c>
      <c r="G387" t="s">
        <v>18</v>
      </c>
      <c r="H387" t="s">
        <v>4003</v>
      </c>
      <c r="I387" t="s">
        <v>4004</v>
      </c>
      <c r="J387">
        <v>393508</v>
      </c>
      <c r="K387">
        <v>20231016</v>
      </c>
      <c r="L387" t="s">
        <v>7432</v>
      </c>
      <c r="M387">
        <v>0</v>
      </c>
      <c r="N387">
        <v>13</v>
      </c>
      <c r="O387" t="s">
        <v>19</v>
      </c>
      <c r="P387" t="s">
        <v>20</v>
      </c>
      <c r="Q387">
        <v>20231016</v>
      </c>
    </row>
    <row r="388" spans="1:17" x14ac:dyDescent="0.25">
      <c r="A388" t="s">
        <v>548</v>
      </c>
      <c r="B388" t="s">
        <v>429</v>
      </c>
      <c r="C388">
        <v>2</v>
      </c>
      <c r="D388">
        <v>20231016</v>
      </c>
      <c r="E388">
        <v>10</v>
      </c>
      <c r="F388">
        <v>531105</v>
      </c>
      <c r="G388" t="s">
        <v>429</v>
      </c>
      <c r="H388" t="s">
        <v>401</v>
      </c>
      <c r="I388" t="s">
        <v>402</v>
      </c>
      <c r="J388">
        <v>393509</v>
      </c>
      <c r="K388">
        <v>20231016</v>
      </c>
      <c r="L388" t="s">
        <v>565</v>
      </c>
      <c r="M388">
        <v>85</v>
      </c>
      <c r="N388">
        <v>0</v>
      </c>
      <c r="O388" t="s">
        <v>19</v>
      </c>
      <c r="P388" t="s">
        <v>20</v>
      </c>
      <c r="Q388">
        <v>20231016</v>
      </c>
    </row>
    <row r="389" spans="1:17" x14ac:dyDescent="0.25">
      <c r="A389" t="s">
        <v>548</v>
      </c>
      <c r="B389" t="s">
        <v>429</v>
      </c>
      <c r="C389">
        <v>2</v>
      </c>
      <c r="D389">
        <v>20231018</v>
      </c>
      <c r="E389">
        <v>10</v>
      </c>
      <c r="F389">
        <v>411100</v>
      </c>
      <c r="G389" t="s">
        <v>18</v>
      </c>
      <c r="H389" t="s">
        <v>237</v>
      </c>
      <c r="I389" t="s">
        <v>238</v>
      </c>
      <c r="J389">
        <v>123080035</v>
      </c>
      <c r="K389">
        <v>20231018</v>
      </c>
      <c r="L389" t="s">
        <v>7431</v>
      </c>
      <c r="M389">
        <v>0</v>
      </c>
      <c r="N389">
        <v>13.09</v>
      </c>
      <c r="O389" t="s">
        <v>19</v>
      </c>
      <c r="P389" t="s">
        <v>20</v>
      </c>
      <c r="Q389">
        <v>20231018</v>
      </c>
    </row>
    <row r="390" spans="1:17" x14ac:dyDescent="0.25">
      <c r="A390" t="s">
        <v>548</v>
      </c>
      <c r="B390" t="s">
        <v>429</v>
      </c>
      <c r="C390">
        <v>2</v>
      </c>
      <c r="D390">
        <v>20231018</v>
      </c>
      <c r="E390">
        <v>10</v>
      </c>
      <c r="F390">
        <v>531105</v>
      </c>
      <c r="G390" t="s">
        <v>429</v>
      </c>
      <c r="H390" t="s">
        <v>401</v>
      </c>
      <c r="I390" t="s">
        <v>402</v>
      </c>
      <c r="J390">
        <v>393511</v>
      </c>
      <c r="K390">
        <v>20231018</v>
      </c>
      <c r="L390" t="s">
        <v>565</v>
      </c>
      <c r="M390">
        <v>13.09</v>
      </c>
      <c r="N390">
        <v>0</v>
      </c>
      <c r="O390" t="s">
        <v>19</v>
      </c>
      <c r="P390" t="s">
        <v>20</v>
      </c>
      <c r="Q390">
        <v>20231018</v>
      </c>
    </row>
    <row r="391" spans="1:17" x14ac:dyDescent="0.25">
      <c r="A391" t="s">
        <v>715</v>
      </c>
      <c r="B391" t="s">
        <v>432</v>
      </c>
      <c r="C391">
        <v>3</v>
      </c>
      <c r="D391">
        <v>20231002</v>
      </c>
      <c r="E391">
        <v>10</v>
      </c>
      <c r="F391">
        <v>401000</v>
      </c>
      <c r="G391" t="s">
        <v>41</v>
      </c>
      <c r="H391" t="s">
        <v>52</v>
      </c>
      <c r="I391" t="s">
        <v>53</v>
      </c>
      <c r="J391" t="s">
        <v>7430</v>
      </c>
      <c r="K391">
        <v>20231002</v>
      </c>
      <c r="L391" t="s">
        <v>7429</v>
      </c>
      <c r="M391">
        <v>68.59</v>
      </c>
      <c r="N391">
        <v>0</v>
      </c>
      <c r="O391" t="s">
        <v>19</v>
      </c>
      <c r="P391" t="s">
        <v>20</v>
      </c>
      <c r="Q391">
        <v>20231002</v>
      </c>
    </row>
    <row r="392" spans="1:17" x14ac:dyDescent="0.25">
      <c r="A392" t="s">
        <v>715</v>
      </c>
      <c r="B392" t="s">
        <v>432</v>
      </c>
      <c r="C392">
        <v>3</v>
      </c>
      <c r="D392">
        <v>20231002</v>
      </c>
      <c r="E392">
        <v>10</v>
      </c>
      <c r="F392">
        <v>512200</v>
      </c>
      <c r="G392" t="s">
        <v>432</v>
      </c>
      <c r="H392" t="s">
        <v>401</v>
      </c>
      <c r="I392" t="s">
        <v>402</v>
      </c>
      <c r="J392" t="s">
        <v>7430</v>
      </c>
      <c r="K392">
        <v>20231002</v>
      </c>
      <c r="L392" t="s">
        <v>7429</v>
      </c>
      <c r="M392">
        <v>0</v>
      </c>
      <c r="N392">
        <v>68.59</v>
      </c>
      <c r="O392" t="s">
        <v>19</v>
      </c>
      <c r="P392" t="s">
        <v>20</v>
      </c>
      <c r="Q392">
        <v>20231002</v>
      </c>
    </row>
    <row r="393" spans="1:17" x14ac:dyDescent="0.25">
      <c r="A393" t="s">
        <v>715</v>
      </c>
      <c r="B393" t="s">
        <v>432</v>
      </c>
      <c r="C393">
        <v>3</v>
      </c>
      <c r="D393">
        <v>20231002</v>
      </c>
      <c r="E393">
        <v>10</v>
      </c>
      <c r="F393">
        <v>401000</v>
      </c>
      <c r="G393" t="s">
        <v>41</v>
      </c>
      <c r="H393" t="s">
        <v>52</v>
      </c>
      <c r="I393" t="s">
        <v>53</v>
      </c>
      <c r="J393" t="s">
        <v>7428</v>
      </c>
      <c r="K393">
        <v>20231002</v>
      </c>
      <c r="L393" t="s">
        <v>7427</v>
      </c>
      <c r="M393">
        <v>416.28</v>
      </c>
      <c r="N393">
        <v>0</v>
      </c>
      <c r="O393" t="s">
        <v>19</v>
      </c>
      <c r="P393" t="s">
        <v>20</v>
      </c>
      <c r="Q393">
        <v>20231002</v>
      </c>
    </row>
    <row r="394" spans="1:17" x14ac:dyDescent="0.25">
      <c r="A394" t="s">
        <v>715</v>
      </c>
      <c r="B394" t="s">
        <v>432</v>
      </c>
      <c r="C394">
        <v>3</v>
      </c>
      <c r="D394">
        <v>20231002</v>
      </c>
      <c r="E394">
        <v>10</v>
      </c>
      <c r="F394">
        <v>512200</v>
      </c>
      <c r="G394" t="s">
        <v>432</v>
      </c>
      <c r="H394" t="s">
        <v>401</v>
      </c>
      <c r="I394" t="s">
        <v>402</v>
      </c>
      <c r="J394" t="s">
        <v>7428</v>
      </c>
      <c r="K394">
        <v>20231002</v>
      </c>
      <c r="L394" t="s">
        <v>7427</v>
      </c>
      <c r="M394">
        <v>0</v>
      </c>
      <c r="N394">
        <v>416.28</v>
      </c>
      <c r="O394" t="s">
        <v>19</v>
      </c>
      <c r="P394" t="s">
        <v>20</v>
      </c>
      <c r="Q394">
        <v>20231002</v>
      </c>
    </row>
    <row r="395" spans="1:17" x14ac:dyDescent="0.25">
      <c r="A395" t="s">
        <v>715</v>
      </c>
      <c r="B395" t="s">
        <v>432</v>
      </c>
      <c r="C395">
        <v>3</v>
      </c>
      <c r="D395">
        <v>20231002</v>
      </c>
      <c r="E395">
        <v>10</v>
      </c>
      <c r="F395">
        <v>401000</v>
      </c>
      <c r="G395" t="s">
        <v>41</v>
      </c>
      <c r="H395" t="s">
        <v>52</v>
      </c>
      <c r="I395" t="s">
        <v>53</v>
      </c>
      <c r="J395" t="s">
        <v>7426</v>
      </c>
      <c r="K395">
        <v>20231002</v>
      </c>
      <c r="L395" t="s">
        <v>7425</v>
      </c>
      <c r="M395">
        <v>31</v>
      </c>
      <c r="N395">
        <v>0</v>
      </c>
      <c r="O395" t="s">
        <v>19</v>
      </c>
      <c r="P395" t="s">
        <v>20</v>
      </c>
      <c r="Q395">
        <v>20231002</v>
      </c>
    </row>
    <row r="396" spans="1:17" x14ac:dyDescent="0.25">
      <c r="A396" t="s">
        <v>715</v>
      </c>
      <c r="B396" t="s">
        <v>432</v>
      </c>
      <c r="C396">
        <v>3</v>
      </c>
      <c r="D396">
        <v>20231002</v>
      </c>
      <c r="E396">
        <v>10</v>
      </c>
      <c r="F396">
        <v>512200</v>
      </c>
      <c r="G396" t="s">
        <v>432</v>
      </c>
      <c r="H396" t="s">
        <v>401</v>
      </c>
      <c r="I396" t="s">
        <v>402</v>
      </c>
      <c r="J396" t="s">
        <v>7426</v>
      </c>
      <c r="K396">
        <v>20231002</v>
      </c>
      <c r="L396" t="s">
        <v>7425</v>
      </c>
      <c r="M396">
        <v>0</v>
      </c>
      <c r="N396">
        <v>31</v>
      </c>
      <c r="O396" t="s">
        <v>19</v>
      </c>
      <c r="P396" t="s">
        <v>20</v>
      </c>
      <c r="Q396">
        <v>20231002</v>
      </c>
    </row>
    <row r="397" spans="1:17" x14ac:dyDescent="0.25">
      <c r="A397" t="s">
        <v>715</v>
      </c>
      <c r="B397" t="s">
        <v>432</v>
      </c>
      <c r="C397">
        <v>3</v>
      </c>
      <c r="D397">
        <v>20231002</v>
      </c>
      <c r="E397">
        <v>10</v>
      </c>
      <c r="F397">
        <v>401000</v>
      </c>
      <c r="G397" t="s">
        <v>41</v>
      </c>
      <c r="H397" t="s">
        <v>7424</v>
      </c>
      <c r="I397" t="s">
        <v>7423</v>
      </c>
      <c r="J397" t="s">
        <v>7422</v>
      </c>
      <c r="K397">
        <v>20231002</v>
      </c>
      <c r="L397" t="s">
        <v>7421</v>
      </c>
      <c r="M397">
        <v>99.99</v>
      </c>
      <c r="N397">
        <v>0</v>
      </c>
      <c r="O397" t="s">
        <v>19</v>
      </c>
      <c r="P397" t="s">
        <v>20</v>
      </c>
      <c r="Q397">
        <v>20231002</v>
      </c>
    </row>
    <row r="398" spans="1:17" x14ac:dyDescent="0.25">
      <c r="A398" t="s">
        <v>715</v>
      </c>
      <c r="B398" t="s">
        <v>432</v>
      </c>
      <c r="C398">
        <v>3</v>
      </c>
      <c r="D398">
        <v>20231002</v>
      </c>
      <c r="E398">
        <v>10</v>
      </c>
      <c r="F398">
        <v>512200</v>
      </c>
      <c r="G398" t="s">
        <v>432</v>
      </c>
      <c r="H398" t="s">
        <v>401</v>
      </c>
      <c r="I398" t="s">
        <v>402</v>
      </c>
      <c r="J398" t="s">
        <v>7422</v>
      </c>
      <c r="K398">
        <v>20231002</v>
      </c>
      <c r="L398" t="s">
        <v>7421</v>
      </c>
      <c r="M398">
        <v>0</v>
      </c>
      <c r="N398">
        <v>99.99</v>
      </c>
      <c r="O398" t="s">
        <v>19</v>
      </c>
      <c r="P398" t="s">
        <v>20</v>
      </c>
      <c r="Q398">
        <v>20231002</v>
      </c>
    </row>
    <row r="399" spans="1:17" x14ac:dyDescent="0.25">
      <c r="A399" t="s">
        <v>715</v>
      </c>
      <c r="B399" t="s">
        <v>432</v>
      </c>
      <c r="C399">
        <v>3</v>
      </c>
      <c r="D399">
        <v>20231002</v>
      </c>
      <c r="E399">
        <v>10</v>
      </c>
      <c r="F399">
        <v>401000</v>
      </c>
      <c r="G399" t="s">
        <v>41</v>
      </c>
      <c r="H399" t="s">
        <v>2047</v>
      </c>
      <c r="I399" t="s">
        <v>2048</v>
      </c>
      <c r="J399" t="s">
        <v>7420</v>
      </c>
      <c r="K399">
        <v>20231002</v>
      </c>
      <c r="L399" t="s">
        <v>7419</v>
      </c>
      <c r="M399">
        <v>59.68</v>
      </c>
      <c r="N399">
        <v>0</v>
      </c>
      <c r="O399" t="s">
        <v>19</v>
      </c>
      <c r="P399" t="s">
        <v>20</v>
      </c>
      <c r="Q399">
        <v>20231002</v>
      </c>
    </row>
    <row r="400" spans="1:17" x14ac:dyDescent="0.25">
      <c r="A400" t="s">
        <v>715</v>
      </c>
      <c r="B400" t="s">
        <v>432</v>
      </c>
      <c r="C400">
        <v>3</v>
      </c>
      <c r="D400">
        <v>20231002</v>
      </c>
      <c r="E400">
        <v>10</v>
      </c>
      <c r="F400">
        <v>512200</v>
      </c>
      <c r="G400" t="s">
        <v>432</v>
      </c>
      <c r="H400" t="s">
        <v>401</v>
      </c>
      <c r="I400" t="s">
        <v>402</v>
      </c>
      <c r="J400" t="s">
        <v>7420</v>
      </c>
      <c r="K400">
        <v>20231002</v>
      </c>
      <c r="L400" t="s">
        <v>7419</v>
      </c>
      <c r="M400">
        <v>0</v>
      </c>
      <c r="N400">
        <v>59.68</v>
      </c>
      <c r="O400" t="s">
        <v>19</v>
      </c>
      <c r="P400" t="s">
        <v>20</v>
      </c>
      <c r="Q400">
        <v>20231002</v>
      </c>
    </row>
    <row r="401" spans="1:17" x14ac:dyDescent="0.25">
      <c r="A401" t="s">
        <v>715</v>
      </c>
      <c r="B401" t="s">
        <v>432</v>
      </c>
      <c r="C401">
        <v>3</v>
      </c>
      <c r="D401">
        <v>20231003</v>
      </c>
      <c r="E401">
        <v>10</v>
      </c>
      <c r="F401">
        <v>401000</v>
      </c>
      <c r="G401" t="s">
        <v>41</v>
      </c>
      <c r="H401" t="s">
        <v>189</v>
      </c>
      <c r="I401" t="s">
        <v>190</v>
      </c>
      <c r="J401" t="s">
        <v>7418</v>
      </c>
      <c r="K401">
        <v>20231003</v>
      </c>
      <c r="L401" t="s">
        <v>191</v>
      </c>
      <c r="M401">
        <v>138.61000000000001</v>
      </c>
      <c r="N401">
        <v>0</v>
      </c>
      <c r="O401" t="s">
        <v>19</v>
      </c>
      <c r="P401" t="s">
        <v>20</v>
      </c>
      <c r="Q401">
        <v>20231003</v>
      </c>
    </row>
    <row r="402" spans="1:17" x14ac:dyDescent="0.25">
      <c r="A402" t="s">
        <v>715</v>
      </c>
      <c r="B402" t="s">
        <v>432</v>
      </c>
      <c r="C402">
        <v>3</v>
      </c>
      <c r="D402">
        <v>20231003</v>
      </c>
      <c r="E402">
        <v>10</v>
      </c>
      <c r="F402">
        <v>512200</v>
      </c>
      <c r="G402" t="s">
        <v>432</v>
      </c>
      <c r="H402" t="s">
        <v>401</v>
      </c>
      <c r="I402" t="s">
        <v>402</v>
      </c>
      <c r="J402" t="s">
        <v>7418</v>
      </c>
      <c r="K402">
        <v>20231003</v>
      </c>
      <c r="L402" t="s">
        <v>191</v>
      </c>
      <c r="M402">
        <v>0</v>
      </c>
      <c r="N402">
        <v>138.61000000000001</v>
      </c>
      <c r="O402" t="s">
        <v>19</v>
      </c>
      <c r="P402" t="s">
        <v>20</v>
      </c>
      <c r="Q402">
        <v>20231003</v>
      </c>
    </row>
    <row r="403" spans="1:17" x14ac:dyDescent="0.25">
      <c r="A403" t="s">
        <v>715</v>
      </c>
      <c r="B403" t="s">
        <v>432</v>
      </c>
      <c r="C403">
        <v>3</v>
      </c>
      <c r="D403">
        <v>20231005</v>
      </c>
      <c r="E403">
        <v>10</v>
      </c>
      <c r="F403">
        <v>467100</v>
      </c>
      <c r="G403" t="s">
        <v>160</v>
      </c>
      <c r="H403" t="s">
        <v>2645</v>
      </c>
      <c r="I403" t="s">
        <v>2646</v>
      </c>
      <c r="J403" t="s">
        <v>7417</v>
      </c>
      <c r="K403">
        <v>20231005</v>
      </c>
      <c r="L403" t="s">
        <v>7416</v>
      </c>
      <c r="M403">
        <v>27.48</v>
      </c>
      <c r="N403">
        <v>0</v>
      </c>
      <c r="O403" t="s">
        <v>19</v>
      </c>
      <c r="P403" t="s">
        <v>20</v>
      </c>
      <c r="Q403">
        <v>20231005</v>
      </c>
    </row>
    <row r="404" spans="1:17" x14ac:dyDescent="0.25">
      <c r="A404" t="s">
        <v>715</v>
      </c>
      <c r="B404" t="s">
        <v>432</v>
      </c>
      <c r="C404">
        <v>3</v>
      </c>
      <c r="D404">
        <v>20231005</v>
      </c>
      <c r="E404">
        <v>10</v>
      </c>
      <c r="F404">
        <v>512200</v>
      </c>
      <c r="G404" t="s">
        <v>432</v>
      </c>
      <c r="H404" t="s">
        <v>401</v>
      </c>
      <c r="I404" t="s">
        <v>402</v>
      </c>
      <c r="J404" t="s">
        <v>7417</v>
      </c>
      <c r="K404">
        <v>20231005</v>
      </c>
      <c r="L404" t="s">
        <v>7416</v>
      </c>
      <c r="M404">
        <v>0</v>
      </c>
      <c r="N404">
        <v>27.48</v>
      </c>
      <c r="O404" t="s">
        <v>19</v>
      </c>
      <c r="P404" t="s">
        <v>20</v>
      </c>
      <c r="Q404">
        <v>20231005</v>
      </c>
    </row>
    <row r="405" spans="1:17" x14ac:dyDescent="0.25">
      <c r="A405" t="s">
        <v>715</v>
      </c>
      <c r="B405" t="s">
        <v>432</v>
      </c>
      <c r="C405">
        <v>3</v>
      </c>
      <c r="D405">
        <v>20231009</v>
      </c>
      <c r="E405">
        <v>10</v>
      </c>
      <c r="F405">
        <v>401000</v>
      </c>
      <c r="G405" t="s">
        <v>41</v>
      </c>
      <c r="H405" t="s">
        <v>52</v>
      </c>
      <c r="I405" t="s">
        <v>53</v>
      </c>
      <c r="J405" t="s">
        <v>7415</v>
      </c>
      <c r="K405">
        <v>20231009</v>
      </c>
      <c r="L405" t="s">
        <v>7414</v>
      </c>
      <c r="M405">
        <v>67.44</v>
      </c>
      <c r="N405">
        <v>0</v>
      </c>
      <c r="O405" t="s">
        <v>19</v>
      </c>
      <c r="P405" t="s">
        <v>20</v>
      </c>
      <c r="Q405">
        <v>20231009</v>
      </c>
    </row>
    <row r="406" spans="1:17" x14ac:dyDescent="0.25">
      <c r="A406" t="s">
        <v>715</v>
      </c>
      <c r="B406" t="s">
        <v>432</v>
      </c>
      <c r="C406">
        <v>3</v>
      </c>
      <c r="D406">
        <v>20231009</v>
      </c>
      <c r="E406">
        <v>10</v>
      </c>
      <c r="F406">
        <v>512200</v>
      </c>
      <c r="G406" t="s">
        <v>432</v>
      </c>
      <c r="H406" t="s">
        <v>401</v>
      </c>
      <c r="I406" t="s">
        <v>402</v>
      </c>
      <c r="J406" t="s">
        <v>7415</v>
      </c>
      <c r="K406">
        <v>20231009</v>
      </c>
      <c r="L406" t="s">
        <v>7414</v>
      </c>
      <c r="M406">
        <v>0</v>
      </c>
      <c r="N406">
        <v>67.44</v>
      </c>
      <c r="O406" t="s">
        <v>19</v>
      </c>
      <c r="P406" t="s">
        <v>20</v>
      </c>
      <c r="Q406">
        <v>20231009</v>
      </c>
    </row>
    <row r="407" spans="1:17" x14ac:dyDescent="0.25">
      <c r="A407" t="s">
        <v>715</v>
      </c>
      <c r="B407" t="s">
        <v>432</v>
      </c>
      <c r="C407">
        <v>3</v>
      </c>
      <c r="D407">
        <v>20231009</v>
      </c>
      <c r="E407">
        <v>10</v>
      </c>
      <c r="F407">
        <v>401000</v>
      </c>
      <c r="G407" t="s">
        <v>41</v>
      </c>
      <c r="H407" t="s">
        <v>52</v>
      </c>
      <c r="I407" t="s">
        <v>53</v>
      </c>
      <c r="J407" t="s">
        <v>7413</v>
      </c>
      <c r="K407">
        <v>20231009</v>
      </c>
      <c r="L407" t="s">
        <v>7412</v>
      </c>
      <c r="M407">
        <v>62.4</v>
      </c>
      <c r="N407">
        <v>0</v>
      </c>
      <c r="O407" t="s">
        <v>19</v>
      </c>
      <c r="P407" t="s">
        <v>20</v>
      </c>
      <c r="Q407">
        <v>20231009</v>
      </c>
    </row>
    <row r="408" spans="1:17" x14ac:dyDescent="0.25">
      <c r="A408" t="s">
        <v>715</v>
      </c>
      <c r="B408" t="s">
        <v>432</v>
      </c>
      <c r="C408">
        <v>3</v>
      </c>
      <c r="D408">
        <v>20231009</v>
      </c>
      <c r="E408">
        <v>10</v>
      </c>
      <c r="F408">
        <v>512200</v>
      </c>
      <c r="G408" t="s">
        <v>432</v>
      </c>
      <c r="H408" t="s">
        <v>401</v>
      </c>
      <c r="I408" t="s">
        <v>402</v>
      </c>
      <c r="J408" t="s">
        <v>7413</v>
      </c>
      <c r="K408">
        <v>20231009</v>
      </c>
      <c r="L408" t="s">
        <v>7412</v>
      </c>
      <c r="M408">
        <v>0</v>
      </c>
      <c r="N408">
        <v>62.4</v>
      </c>
      <c r="O408" t="s">
        <v>19</v>
      </c>
      <c r="P408" t="s">
        <v>20</v>
      </c>
      <c r="Q408">
        <v>20231009</v>
      </c>
    </row>
    <row r="409" spans="1:17" x14ac:dyDescent="0.25">
      <c r="A409" t="s">
        <v>715</v>
      </c>
      <c r="B409" t="s">
        <v>432</v>
      </c>
      <c r="C409">
        <v>3</v>
      </c>
      <c r="D409">
        <v>20231010</v>
      </c>
      <c r="E409">
        <v>10</v>
      </c>
      <c r="F409">
        <v>512200</v>
      </c>
      <c r="G409" t="s">
        <v>432</v>
      </c>
      <c r="H409" t="s">
        <v>401</v>
      </c>
      <c r="I409" t="s">
        <v>402</v>
      </c>
      <c r="J409" t="s">
        <v>7411</v>
      </c>
      <c r="K409">
        <v>20231010</v>
      </c>
      <c r="L409" t="s">
        <v>625</v>
      </c>
      <c r="M409">
        <v>650</v>
      </c>
      <c r="N409">
        <v>0</v>
      </c>
      <c r="O409" t="s">
        <v>19</v>
      </c>
      <c r="P409" t="s">
        <v>20</v>
      </c>
      <c r="Q409">
        <v>20231010</v>
      </c>
    </row>
    <row r="410" spans="1:17" x14ac:dyDescent="0.25">
      <c r="A410" t="s">
        <v>715</v>
      </c>
      <c r="B410" t="s">
        <v>432</v>
      </c>
      <c r="C410">
        <v>3</v>
      </c>
      <c r="D410">
        <v>20231010</v>
      </c>
      <c r="E410">
        <v>10</v>
      </c>
      <c r="F410">
        <v>580000</v>
      </c>
      <c r="G410" t="s">
        <v>532</v>
      </c>
      <c r="H410" t="s">
        <v>401</v>
      </c>
      <c r="I410" t="s">
        <v>402</v>
      </c>
      <c r="J410" t="s">
        <v>7411</v>
      </c>
      <c r="K410">
        <v>20231010</v>
      </c>
      <c r="L410" t="s">
        <v>625</v>
      </c>
      <c r="M410">
        <v>0</v>
      </c>
      <c r="N410">
        <v>650</v>
      </c>
      <c r="O410" t="s">
        <v>22</v>
      </c>
      <c r="P410">
        <v>20231011</v>
      </c>
      <c r="Q410">
        <v>20231010</v>
      </c>
    </row>
    <row r="411" spans="1:17" x14ac:dyDescent="0.25">
      <c r="A411" t="s">
        <v>715</v>
      </c>
      <c r="B411" t="s">
        <v>432</v>
      </c>
      <c r="C411">
        <v>3</v>
      </c>
      <c r="D411">
        <v>20231010</v>
      </c>
      <c r="E411">
        <v>10</v>
      </c>
      <c r="F411">
        <v>627000</v>
      </c>
      <c r="G411" t="s">
        <v>480</v>
      </c>
      <c r="H411" t="s">
        <v>401</v>
      </c>
      <c r="I411" t="s">
        <v>402</v>
      </c>
      <c r="J411" t="s">
        <v>7410</v>
      </c>
      <c r="K411">
        <v>20231010</v>
      </c>
      <c r="L411" t="s">
        <v>4488</v>
      </c>
      <c r="M411">
        <v>15.98</v>
      </c>
      <c r="N411">
        <v>0</v>
      </c>
      <c r="O411" t="s">
        <v>19</v>
      </c>
      <c r="P411" t="s">
        <v>20</v>
      </c>
      <c r="Q411">
        <v>20231010</v>
      </c>
    </row>
    <row r="412" spans="1:17" x14ac:dyDescent="0.25">
      <c r="A412" t="s">
        <v>715</v>
      </c>
      <c r="B412" t="s">
        <v>432</v>
      </c>
      <c r="C412">
        <v>3</v>
      </c>
      <c r="D412">
        <v>20231010</v>
      </c>
      <c r="E412">
        <v>10</v>
      </c>
      <c r="F412">
        <v>512200</v>
      </c>
      <c r="G412" t="s">
        <v>432</v>
      </c>
      <c r="H412" t="s">
        <v>401</v>
      </c>
      <c r="I412" t="s">
        <v>402</v>
      </c>
      <c r="J412" t="s">
        <v>7410</v>
      </c>
      <c r="K412">
        <v>20231010</v>
      </c>
      <c r="L412" t="s">
        <v>4488</v>
      </c>
      <c r="M412">
        <v>0</v>
      </c>
      <c r="N412">
        <v>15.98</v>
      </c>
      <c r="O412" t="s">
        <v>19</v>
      </c>
      <c r="P412" t="s">
        <v>20</v>
      </c>
      <c r="Q412">
        <v>20231010</v>
      </c>
    </row>
    <row r="413" spans="1:17" x14ac:dyDescent="0.25">
      <c r="A413" t="s">
        <v>715</v>
      </c>
      <c r="B413" t="s">
        <v>432</v>
      </c>
      <c r="C413">
        <v>3</v>
      </c>
      <c r="D413">
        <v>20231010</v>
      </c>
      <c r="E413">
        <v>10</v>
      </c>
      <c r="F413">
        <v>401000</v>
      </c>
      <c r="G413" t="s">
        <v>41</v>
      </c>
      <c r="H413" t="s">
        <v>189</v>
      </c>
      <c r="I413" t="s">
        <v>190</v>
      </c>
      <c r="J413" t="s">
        <v>7409</v>
      </c>
      <c r="K413">
        <v>20231010</v>
      </c>
      <c r="L413" t="s">
        <v>191</v>
      </c>
      <c r="M413">
        <v>903.2</v>
      </c>
      <c r="N413">
        <v>0</v>
      </c>
      <c r="O413" t="s">
        <v>19</v>
      </c>
      <c r="P413" t="s">
        <v>20</v>
      </c>
      <c r="Q413">
        <v>20231010</v>
      </c>
    </row>
    <row r="414" spans="1:17" x14ac:dyDescent="0.25">
      <c r="A414" t="s">
        <v>715</v>
      </c>
      <c r="B414" t="s">
        <v>432</v>
      </c>
      <c r="C414">
        <v>3</v>
      </c>
      <c r="D414">
        <v>20231010</v>
      </c>
      <c r="E414">
        <v>10</v>
      </c>
      <c r="F414">
        <v>512200</v>
      </c>
      <c r="G414" t="s">
        <v>432</v>
      </c>
      <c r="H414" t="s">
        <v>401</v>
      </c>
      <c r="I414" t="s">
        <v>402</v>
      </c>
      <c r="J414" t="s">
        <v>7409</v>
      </c>
      <c r="K414">
        <v>20231010</v>
      </c>
      <c r="L414" t="s">
        <v>191</v>
      </c>
      <c r="M414">
        <v>0</v>
      </c>
      <c r="N414">
        <v>903.2</v>
      </c>
      <c r="O414" t="s">
        <v>19</v>
      </c>
      <c r="P414" t="s">
        <v>20</v>
      </c>
      <c r="Q414">
        <v>20231010</v>
      </c>
    </row>
    <row r="415" spans="1:17" x14ac:dyDescent="0.25">
      <c r="A415" t="s">
        <v>715</v>
      </c>
      <c r="B415" t="s">
        <v>432</v>
      </c>
      <c r="C415">
        <v>3</v>
      </c>
      <c r="D415">
        <v>20231010</v>
      </c>
      <c r="E415">
        <v>10</v>
      </c>
      <c r="F415">
        <v>401000</v>
      </c>
      <c r="G415" t="s">
        <v>41</v>
      </c>
      <c r="H415" t="s">
        <v>2392</v>
      </c>
      <c r="I415" t="s">
        <v>2393</v>
      </c>
      <c r="J415" t="s">
        <v>7408</v>
      </c>
      <c r="K415">
        <v>20231010</v>
      </c>
      <c r="L415" t="s">
        <v>4446</v>
      </c>
      <c r="M415">
        <v>232</v>
      </c>
      <c r="N415">
        <v>0</v>
      </c>
      <c r="O415" t="s">
        <v>19</v>
      </c>
      <c r="P415" t="s">
        <v>20</v>
      </c>
      <c r="Q415">
        <v>20231010</v>
      </c>
    </row>
    <row r="416" spans="1:17" x14ac:dyDescent="0.25">
      <c r="A416" t="s">
        <v>715</v>
      </c>
      <c r="B416" t="s">
        <v>432</v>
      </c>
      <c r="C416">
        <v>3</v>
      </c>
      <c r="D416">
        <v>20231010</v>
      </c>
      <c r="E416">
        <v>10</v>
      </c>
      <c r="F416">
        <v>512200</v>
      </c>
      <c r="G416" t="s">
        <v>432</v>
      </c>
      <c r="H416" t="s">
        <v>401</v>
      </c>
      <c r="I416" t="s">
        <v>402</v>
      </c>
      <c r="J416" t="s">
        <v>7408</v>
      </c>
      <c r="K416">
        <v>20231010</v>
      </c>
      <c r="L416" t="s">
        <v>4446</v>
      </c>
      <c r="M416">
        <v>0</v>
      </c>
      <c r="N416">
        <v>232</v>
      </c>
      <c r="O416" t="s">
        <v>19</v>
      </c>
      <c r="P416" t="s">
        <v>20</v>
      </c>
      <c r="Q416">
        <v>20231010</v>
      </c>
    </row>
    <row r="417" spans="1:17" x14ac:dyDescent="0.25">
      <c r="A417" t="s">
        <v>715</v>
      </c>
      <c r="B417" t="s">
        <v>432</v>
      </c>
      <c r="C417">
        <v>3</v>
      </c>
      <c r="D417">
        <v>20231012</v>
      </c>
      <c r="E417">
        <v>10</v>
      </c>
      <c r="F417">
        <v>512200</v>
      </c>
      <c r="G417" t="s">
        <v>432</v>
      </c>
      <c r="H417" t="s">
        <v>401</v>
      </c>
      <c r="I417" t="s">
        <v>402</v>
      </c>
      <c r="J417" t="s">
        <v>7407</v>
      </c>
      <c r="K417">
        <v>20231012</v>
      </c>
      <c r="L417" t="s">
        <v>7406</v>
      </c>
      <c r="M417">
        <v>1600</v>
      </c>
      <c r="N417">
        <v>0</v>
      </c>
      <c r="O417" t="s">
        <v>19</v>
      </c>
      <c r="P417" t="s">
        <v>20</v>
      </c>
      <c r="Q417">
        <v>20231012</v>
      </c>
    </row>
    <row r="418" spans="1:17" x14ac:dyDescent="0.25">
      <c r="A418" t="s">
        <v>715</v>
      </c>
      <c r="B418" t="s">
        <v>432</v>
      </c>
      <c r="C418">
        <v>3</v>
      </c>
      <c r="D418">
        <v>20231012</v>
      </c>
      <c r="E418">
        <v>10</v>
      </c>
      <c r="F418">
        <v>511001</v>
      </c>
      <c r="G418" t="s">
        <v>434</v>
      </c>
      <c r="H418" t="s">
        <v>401</v>
      </c>
      <c r="I418" t="s">
        <v>402</v>
      </c>
      <c r="J418" t="s">
        <v>7407</v>
      </c>
      <c r="K418">
        <v>20231012</v>
      </c>
      <c r="L418" t="s">
        <v>7406</v>
      </c>
      <c r="M418">
        <v>0</v>
      </c>
      <c r="N418">
        <v>1600</v>
      </c>
      <c r="O418" t="s">
        <v>19</v>
      </c>
      <c r="P418" t="s">
        <v>20</v>
      </c>
      <c r="Q418">
        <v>20231012</v>
      </c>
    </row>
    <row r="419" spans="1:17" x14ac:dyDescent="0.25">
      <c r="A419" t="s">
        <v>715</v>
      </c>
      <c r="B419" t="s">
        <v>432</v>
      </c>
      <c r="C419">
        <v>3</v>
      </c>
      <c r="D419">
        <v>20231012</v>
      </c>
      <c r="E419">
        <v>10</v>
      </c>
      <c r="F419">
        <v>512200</v>
      </c>
      <c r="G419" t="s">
        <v>432</v>
      </c>
      <c r="H419" t="s">
        <v>401</v>
      </c>
      <c r="I419" t="s">
        <v>402</v>
      </c>
      <c r="J419" t="s">
        <v>7405</v>
      </c>
      <c r="K419">
        <v>20231012</v>
      </c>
      <c r="L419" t="s">
        <v>7404</v>
      </c>
      <c r="M419">
        <v>8009.76</v>
      </c>
      <c r="N419">
        <v>0</v>
      </c>
      <c r="O419" t="s">
        <v>19</v>
      </c>
      <c r="P419" t="s">
        <v>20</v>
      </c>
      <c r="Q419">
        <v>20231012</v>
      </c>
    </row>
    <row r="420" spans="1:17" x14ac:dyDescent="0.25">
      <c r="A420" t="s">
        <v>715</v>
      </c>
      <c r="B420" t="s">
        <v>432</v>
      </c>
      <c r="C420">
        <v>3</v>
      </c>
      <c r="D420">
        <v>20231012</v>
      </c>
      <c r="E420">
        <v>10</v>
      </c>
      <c r="F420">
        <v>511000</v>
      </c>
      <c r="G420" t="s">
        <v>431</v>
      </c>
      <c r="H420" t="s">
        <v>401</v>
      </c>
      <c r="I420" t="s">
        <v>402</v>
      </c>
      <c r="J420" t="s">
        <v>7405</v>
      </c>
      <c r="K420">
        <v>20231012</v>
      </c>
      <c r="L420" t="s">
        <v>7404</v>
      </c>
      <c r="M420">
        <v>0</v>
      </c>
      <c r="N420">
        <v>8009.76</v>
      </c>
      <c r="O420" t="s">
        <v>19</v>
      </c>
      <c r="P420" t="s">
        <v>20</v>
      </c>
      <c r="Q420">
        <v>20231012</v>
      </c>
    </row>
    <row r="421" spans="1:17" x14ac:dyDescent="0.25">
      <c r="A421" t="s">
        <v>715</v>
      </c>
      <c r="B421" t="s">
        <v>432</v>
      </c>
      <c r="C421">
        <v>3</v>
      </c>
      <c r="D421">
        <v>20231019</v>
      </c>
      <c r="E421">
        <v>10</v>
      </c>
      <c r="F421">
        <v>401000</v>
      </c>
      <c r="G421" t="s">
        <v>41</v>
      </c>
      <c r="H421" t="s">
        <v>52</v>
      </c>
      <c r="I421" t="s">
        <v>53</v>
      </c>
      <c r="J421" t="s">
        <v>7403</v>
      </c>
      <c r="K421">
        <v>20231019</v>
      </c>
      <c r="L421" t="s">
        <v>7402</v>
      </c>
      <c r="M421">
        <v>66</v>
      </c>
      <c r="N421">
        <v>0</v>
      </c>
      <c r="O421" t="s">
        <v>19</v>
      </c>
      <c r="P421" t="s">
        <v>20</v>
      </c>
      <c r="Q421">
        <v>20231019</v>
      </c>
    </row>
    <row r="422" spans="1:17" x14ac:dyDescent="0.25">
      <c r="A422" t="s">
        <v>715</v>
      </c>
      <c r="B422" t="s">
        <v>432</v>
      </c>
      <c r="C422">
        <v>3</v>
      </c>
      <c r="D422">
        <v>20231019</v>
      </c>
      <c r="E422">
        <v>10</v>
      </c>
      <c r="F422">
        <v>512200</v>
      </c>
      <c r="G422" t="s">
        <v>432</v>
      </c>
      <c r="H422" t="s">
        <v>401</v>
      </c>
      <c r="I422" t="s">
        <v>402</v>
      </c>
      <c r="J422" t="s">
        <v>7403</v>
      </c>
      <c r="K422">
        <v>20231019</v>
      </c>
      <c r="L422" t="s">
        <v>7402</v>
      </c>
      <c r="M422">
        <v>0</v>
      </c>
      <c r="N422">
        <v>66</v>
      </c>
      <c r="O422" t="s">
        <v>19</v>
      </c>
      <c r="P422" t="s">
        <v>20</v>
      </c>
      <c r="Q422">
        <v>20231019</v>
      </c>
    </row>
    <row r="423" spans="1:17" x14ac:dyDescent="0.25">
      <c r="A423" t="s">
        <v>715</v>
      </c>
      <c r="B423" t="s">
        <v>432</v>
      </c>
      <c r="C423">
        <v>3</v>
      </c>
      <c r="D423">
        <v>20231020</v>
      </c>
      <c r="E423">
        <v>10</v>
      </c>
      <c r="F423">
        <v>401000</v>
      </c>
      <c r="G423" t="s">
        <v>41</v>
      </c>
      <c r="H423" t="s">
        <v>1635</v>
      </c>
      <c r="I423" t="s">
        <v>1636</v>
      </c>
      <c r="J423" t="s">
        <v>7401</v>
      </c>
      <c r="K423">
        <v>20231020</v>
      </c>
      <c r="L423" t="s">
        <v>7400</v>
      </c>
      <c r="M423">
        <v>906</v>
      </c>
      <c r="N423">
        <v>0</v>
      </c>
      <c r="O423" t="s">
        <v>23</v>
      </c>
      <c r="P423">
        <v>20231023</v>
      </c>
      <c r="Q423">
        <v>20231020</v>
      </c>
    </row>
    <row r="424" spans="1:17" x14ac:dyDescent="0.25">
      <c r="A424" t="s">
        <v>715</v>
      </c>
      <c r="B424" t="s">
        <v>432</v>
      </c>
      <c r="C424">
        <v>3</v>
      </c>
      <c r="D424">
        <v>20231020</v>
      </c>
      <c r="E424">
        <v>10</v>
      </c>
      <c r="F424">
        <v>512200</v>
      </c>
      <c r="G424" t="s">
        <v>432</v>
      </c>
      <c r="H424" t="s">
        <v>401</v>
      </c>
      <c r="I424" t="s">
        <v>402</v>
      </c>
      <c r="J424" t="s">
        <v>7401</v>
      </c>
      <c r="K424">
        <v>20231020</v>
      </c>
      <c r="L424" t="s">
        <v>7400</v>
      </c>
      <c r="M424">
        <v>0</v>
      </c>
      <c r="N424">
        <v>906</v>
      </c>
      <c r="O424" t="s">
        <v>19</v>
      </c>
      <c r="P424" t="s">
        <v>20</v>
      </c>
      <c r="Q424">
        <v>20231020</v>
      </c>
    </row>
    <row r="425" spans="1:17" x14ac:dyDescent="0.25">
      <c r="A425" t="s">
        <v>715</v>
      </c>
      <c r="B425" t="s">
        <v>432</v>
      </c>
      <c r="C425">
        <v>3</v>
      </c>
      <c r="D425">
        <v>20231020</v>
      </c>
      <c r="E425">
        <v>10</v>
      </c>
      <c r="F425">
        <v>401000</v>
      </c>
      <c r="G425" t="s">
        <v>41</v>
      </c>
      <c r="H425" t="s">
        <v>181</v>
      </c>
      <c r="I425" t="s">
        <v>182</v>
      </c>
      <c r="J425" t="s">
        <v>7399</v>
      </c>
      <c r="K425">
        <v>20231020</v>
      </c>
      <c r="L425" t="s">
        <v>727</v>
      </c>
      <c r="M425">
        <v>119.34</v>
      </c>
      <c r="N425">
        <v>0</v>
      </c>
      <c r="O425" t="s">
        <v>23</v>
      </c>
      <c r="P425">
        <v>20231219</v>
      </c>
      <c r="Q425">
        <v>20231020</v>
      </c>
    </row>
    <row r="426" spans="1:17" x14ac:dyDescent="0.25">
      <c r="A426" t="s">
        <v>715</v>
      </c>
      <c r="B426" t="s">
        <v>432</v>
      </c>
      <c r="C426">
        <v>3</v>
      </c>
      <c r="D426">
        <v>20231020</v>
      </c>
      <c r="E426">
        <v>10</v>
      </c>
      <c r="F426">
        <v>512200</v>
      </c>
      <c r="G426" t="s">
        <v>432</v>
      </c>
      <c r="H426" t="s">
        <v>401</v>
      </c>
      <c r="I426" t="s">
        <v>402</v>
      </c>
      <c r="J426" t="s">
        <v>7399</v>
      </c>
      <c r="K426">
        <v>20231020</v>
      </c>
      <c r="L426" t="s">
        <v>727</v>
      </c>
      <c r="M426">
        <v>0</v>
      </c>
      <c r="N426">
        <v>119.34</v>
      </c>
      <c r="O426" t="s">
        <v>19</v>
      </c>
      <c r="P426" t="s">
        <v>20</v>
      </c>
      <c r="Q426">
        <v>20231020</v>
      </c>
    </row>
    <row r="427" spans="1:17" x14ac:dyDescent="0.25">
      <c r="A427" t="s">
        <v>715</v>
      </c>
      <c r="B427" t="s">
        <v>432</v>
      </c>
      <c r="C427">
        <v>3</v>
      </c>
      <c r="D427">
        <v>20231025</v>
      </c>
      <c r="E427">
        <v>10</v>
      </c>
      <c r="F427">
        <v>401000</v>
      </c>
      <c r="G427" t="s">
        <v>41</v>
      </c>
      <c r="H427" t="s">
        <v>4469</v>
      </c>
      <c r="I427" t="s">
        <v>4470</v>
      </c>
      <c r="J427" t="s">
        <v>7398</v>
      </c>
      <c r="K427">
        <v>20231025</v>
      </c>
      <c r="L427" t="s">
        <v>4711</v>
      </c>
      <c r="M427">
        <v>88.35</v>
      </c>
      <c r="N427">
        <v>0</v>
      </c>
      <c r="O427" t="s">
        <v>19</v>
      </c>
      <c r="P427" t="s">
        <v>20</v>
      </c>
      <c r="Q427">
        <v>20231025</v>
      </c>
    </row>
    <row r="428" spans="1:17" x14ac:dyDescent="0.25">
      <c r="A428" t="s">
        <v>715</v>
      </c>
      <c r="B428" t="s">
        <v>432</v>
      </c>
      <c r="C428">
        <v>3</v>
      </c>
      <c r="D428">
        <v>20231025</v>
      </c>
      <c r="E428">
        <v>10</v>
      </c>
      <c r="F428">
        <v>512200</v>
      </c>
      <c r="G428" t="s">
        <v>432</v>
      </c>
      <c r="H428" t="s">
        <v>401</v>
      </c>
      <c r="I428" t="s">
        <v>402</v>
      </c>
      <c r="J428" t="s">
        <v>7398</v>
      </c>
      <c r="K428">
        <v>20231025</v>
      </c>
      <c r="L428" t="s">
        <v>4711</v>
      </c>
      <c r="M428">
        <v>0</v>
      </c>
      <c r="N428">
        <v>88.35</v>
      </c>
      <c r="O428" t="s">
        <v>19</v>
      </c>
      <c r="P428" t="s">
        <v>20</v>
      </c>
      <c r="Q428">
        <v>20231025</v>
      </c>
    </row>
    <row r="429" spans="1:17" x14ac:dyDescent="0.25">
      <c r="A429" t="s">
        <v>715</v>
      </c>
      <c r="B429" t="s">
        <v>432</v>
      </c>
      <c r="C429">
        <v>3</v>
      </c>
      <c r="D429">
        <v>20231026</v>
      </c>
      <c r="E429">
        <v>10</v>
      </c>
      <c r="F429">
        <v>401000</v>
      </c>
      <c r="G429" t="s">
        <v>41</v>
      </c>
      <c r="H429" t="s">
        <v>1655</v>
      </c>
      <c r="I429" t="s">
        <v>1656</v>
      </c>
      <c r="J429" t="s">
        <v>7397</v>
      </c>
      <c r="K429">
        <v>20231026</v>
      </c>
      <c r="L429" t="s">
        <v>7388</v>
      </c>
      <c r="M429">
        <v>161.5</v>
      </c>
      <c r="N429">
        <v>0</v>
      </c>
      <c r="O429" t="s">
        <v>19</v>
      </c>
      <c r="P429" t="s">
        <v>20</v>
      </c>
      <c r="Q429">
        <v>20231026</v>
      </c>
    </row>
    <row r="430" spans="1:17" x14ac:dyDescent="0.25">
      <c r="A430" t="s">
        <v>715</v>
      </c>
      <c r="B430" t="s">
        <v>432</v>
      </c>
      <c r="C430">
        <v>3</v>
      </c>
      <c r="D430">
        <v>20231026</v>
      </c>
      <c r="E430">
        <v>10</v>
      </c>
      <c r="F430">
        <v>512200</v>
      </c>
      <c r="G430" t="s">
        <v>432</v>
      </c>
      <c r="H430" t="s">
        <v>401</v>
      </c>
      <c r="I430" t="s">
        <v>402</v>
      </c>
      <c r="J430" t="s">
        <v>7397</v>
      </c>
      <c r="K430">
        <v>20231026</v>
      </c>
      <c r="L430" t="s">
        <v>7388</v>
      </c>
      <c r="M430">
        <v>0</v>
      </c>
      <c r="N430">
        <v>161.5</v>
      </c>
      <c r="O430" t="s">
        <v>19</v>
      </c>
      <c r="P430" t="s">
        <v>20</v>
      </c>
      <c r="Q430">
        <v>20231026</v>
      </c>
    </row>
    <row r="431" spans="1:17" x14ac:dyDescent="0.25">
      <c r="A431" t="s">
        <v>715</v>
      </c>
      <c r="B431" t="s">
        <v>432</v>
      </c>
      <c r="C431">
        <v>3</v>
      </c>
      <c r="D431">
        <v>20231027</v>
      </c>
      <c r="E431">
        <v>10</v>
      </c>
      <c r="F431">
        <v>512200</v>
      </c>
      <c r="G431" t="s">
        <v>432</v>
      </c>
      <c r="H431" t="s">
        <v>401</v>
      </c>
      <c r="I431" t="s">
        <v>402</v>
      </c>
      <c r="J431" t="s">
        <v>7396</v>
      </c>
      <c r="K431">
        <v>20231027</v>
      </c>
      <c r="L431" t="s">
        <v>625</v>
      </c>
      <c r="M431">
        <v>2800</v>
      </c>
      <c r="N431">
        <v>0</v>
      </c>
      <c r="O431" t="s">
        <v>19</v>
      </c>
      <c r="P431" t="s">
        <v>20</v>
      </c>
      <c r="Q431">
        <v>20231027</v>
      </c>
    </row>
    <row r="432" spans="1:17" x14ac:dyDescent="0.25">
      <c r="A432" t="s">
        <v>715</v>
      </c>
      <c r="B432" t="s">
        <v>432</v>
      </c>
      <c r="C432">
        <v>3</v>
      </c>
      <c r="D432">
        <v>20231027</v>
      </c>
      <c r="E432">
        <v>10</v>
      </c>
      <c r="F432">
        <v>580000</v>
      </c>
      <c r="G432" t="s">
        <v>532</v>
      </c>
      <c r="H432" t="s">
        <v>401</v>
      </c>
      <c r="I432" t="s">
        <v>402</v>
      </c>
      <c r="J432" t="s">
        <v>7396</v>
      </c>
      <c r="K432">
        <v>20231027</v>
      </c>
      <c r="L432" t="s">
        <v>625</v>
      </c>
      <c r="M432">
        <v>0</v>
      </c>
      <c r="N432">
        <v>2800</v>
      </c>
      <c r="O432" t="s">
        <v>22</v>
      </c>
      <c r="P432">
        <v>20231027</v>
      </c>
      <c r="Q432">
        <v>20231027</v>
      </c>
    </row>
    <row r="433" spans="1:17" x14ac:dyDescent="0.25">
      <c r="A433" t="s">
        <v>715</v>
      </c>
      <c r="B433" t="s">
        <v>432</v>
      </c>
      <c r="C433">
        <v>3</v>
      </c>
      <c r="D433">
        <v>20231030</v>
      </c>
      <c r="E433">
        <v>10</v>
      </c>
      <c r="F433">
        <v>401000</v>
      </c>
      <c r="G433" t="s">
        <v>41</v>
      </c>
      <c r="H433" t="s">
        <v>52</v>
      </c>
      <c r="I433" t="s">
        <v>53</v>
      </c>
      <c r="J433" t="s">
        <v>7395</v>
      </c>
      <c r="K433">
        <v>20231030</v>
      </c>
      <c r="L433" t="s">
        <v>7394</v>
      </c>
      <c r="M433">
        <v>68.59</v>
      </c>
      <c r="N433">
        <v>0</v>
      </c>
      <c r="O433" t="s">
        <v>19</v>
      </c>
      <c r="P433" t="s">
        <v>20</v>
      </c>
      <c r="Q433">
        <v>20231030</v>
      </c>
    </row>
    <row r="434" spans="1:17" x14ac:dyDescent="0.25">
      <c r="A434" t="s">
        <v>715</v>
      </c>
      <c r="B434" t="s">
        <v>432</v>
      </c>
      <c r="C434">
        <v>3</v>
      </c>
      <c r="D434">
        <v>20231030</v>
      </c>
      <c r="E434">
        <v>10</v>
      </c>
      <c r="F434">
        <v>512200</v>
      </c>
      <c r="G434" t="s">
        <v>432</v>
      </c>
      <c r="H434" t="s">
        <v>401</v>
      </c>
      <c r="I434" t="s">
        <v>402</v>
      </c>
      <c r="J434" t="s">
        <v>7395</v>
      </c>
      <c r="K434">
        <v>20231030</v>
      </c>
      <c r="L434" t="s">
        <v>7394</v>
      </c>
      <c r="M434">
        <v>0</v>
      </c>
      <c r="N434">
        <v>68.59</v>
      </c>
      <c r="O434" t="s">
        <v>19</v>
      </c>
      <c r="P434" t="s">
        <v>20</v>
      </c>
      <c r="Q434">
        <v>20231030</v>
      </c>
    </row>
    <row r="435" spans="1:17" x14ac:dyDescent="0.25">
      <c r="A435" t="s">
        <v>715</v>
      </c>
      <c r="B435" t="s">
        <v>432</v>
      </c>
      <c r="C435">
        <v>3</v>
      </c>
      <c r="D435">
        <v>20231030</v>
      </c>
      <c r="E435">
        <v>10</v>
      </c>
      <c r="F435">
        <v>401000</v>
      </c>
      <c r="G435" t="s">
        <v>41</v>
      </c>
      <c r="H435" t="s">
        <v>52</v>
      </c>
      <c r="I435" t="s">
        <v>53</v>
      </c>
      <c r="J435" t="s">
        <v>7393</v>
      </c>
      <c r="K435">
        <v>20231030</v>
      </c>
      <c r="L435" t="s">
        <v>7392</v>
      </c>
      <c r="M435">
        <v>407.28</v>
      </c>
      <c r="N435">
        <v>0</v>
      </c>
      <c r="O435" t="s">
        <v>19</v>
      </c>
      <c r="P435" t="s">
        <v>20</v>
      </c>
      <c r="Q435">
        <v>20231030</v>
      </c>
    </row>
    <row r="436" spans="1:17" x14ac:dyDescent="0.25">
      <c r="A436" t="s">
        <v>715</v>
      </c>
      <c r="B436" t="s">
        <v>432</v>
      </c>
      <c r="C436">
        <v>3</v>
      </c>
      <c r="D436">
        <v>20231030</v>
      </c>
      <c r="E436">
        <v>10</v>
      </c>
      <c r="F436">
        <v>512200</v>
      </c>
      <c r="G436" t="s">
        <v>432</v>
      </c>
      <c r="H436" t="s">
        <v>401</v>
      </c>
      <c r="I436" t="s">
        <v>402</v>
      </c>
      <c r="J436" t="s">
        <v>7393</v>
      </c>
      <c r="K436">
        <v>20231030</v>
      </c>
      <c r="L436" t="s">
        <v>7392</v>
      </c>
      <c r="M436">
        <v>0</v>
      </c>
      <c r="N436">
        <v>407.28</v>
      </c>
      <c r="O436" t="s">
        <v>19</v>
      </c>
      <c r="P436" t="s">
        <v>20</v>
      </c>
      <c r="Q436">
        <v>20231030</v>
      </c>
    </row>
    <row r="437" spans="1:17" x14ac:dyDescent="0.25">
      <c r="A437" t="s">
        <v>715</v>
      </c>
      <c r="B437" t="s">
        <v>432</v>
      </c>
      <c r="C437">
        <v>3</v>
      </c>
      <c r="D437">
        <v>20231030</v>
      </c>
      <c r="E437">
        <v>10</v>
      </c>
      <c r="F437">
        <v>401000</v>
      </c>
      <c r="G437" t="s">
        <v>41</v>
      </c>
      <c r="H437" t="s">
        <v>52</v>
      </c>
      <c r="I437" t="s">
        <v>53</v>
      </c>
      <c r="J437" t="s">
        <v>7391</v>
      </c>
      <c r="K437">
        <v>20231030</v>
      </c>
      <c r="L437" t="s">
        <v>7390</v>
      </c>
      <c r="M437">
        <v>31</v>
      </c>
      <c r="N437">
        <v>0</v>
      </c>
      <c r="O437" t="s">
        <v>19</v>
      </c>
      <c r="P437" t="s">
        <v>20</v>
      </c>
      <c r="Q437">
        <v>20231030</v>
      </c>
    </row>
    <row r="438" spans="1:17" x14ac:dyDescent="0.25">
      <c r="A438" t="s">
        <v>715</v>
      </c>
      <c r="B438" t="s">
        <v>432</v>
      </c>
      <c r="C438">
        <v>3</v>
      </c>
      <c r="D438">
        <v>20231030</v>
      </c>
      <c r="E438">
        <v>10</v>
      </c>
      <c r="F438">
        <v>512200</v>
      </c>
      <c r="G438" t="s">
        <v>432</v>
      </c>
      <c r="H438" t="s">
        <v>401</v>
      </c>
      <c r="I438" t="s">
        <v>402</v>
      </c>
      <c r="J438" t="s">
        <v>7391</v>
      </c>
      <c r="K438">
        <v>20231030</v>
      </c>
      <c r="L438" t="s">
        <v>7390</v>
      </c>
      <c r="M438">
        <v>0</v>
      </c>
      <c r="N438">
        <v>31</v>
      </c>
      <c r="O438" t="s">
        <v>19</v>
      </c>
      <c r="P438" t="s">
        <v>20</v>
      </c>
      <c r="Q438">
        <v>20231030</v>
      </c>
    </row>
    <row r="439" spans="1:17" x14ac:dyDescent="0.25">
      <c r="A439" t="s">
        <v>715</v>
      </c>
      <c r="B439" t="s">
        <v>432</v>
      </c>
      <c r="C439">
        <v>3</v>
      </c>
      <c r="D439">
        <v>20231030</v>
      </c>
      <c r="E439">
        <v>10</v>
      </c>
      <c r="F439">
        <v>401000</v>
      </c>
      <c r="G439" t="s">
        <v>41</v>
      </c>
      <c r="H439" t="s">
        <v>1655</v>
      </c>
      <c r="I439" t="s">
        <v>1656</v>
      </c>
      <c r="J439" t="s">
        <v>7389</v>
      </c>
      <c r="K439">
        <v>20231030</v>
      </c>
      <c r="L439" t="s">
        <v>7388</v>
      </c>
      <c r="M439">
        <v>204</v>
      </c>
      <c r="N439">
        <v>0</v>
      </c>
      <c r="O439" t="s">
        <v>19</v>
      </c>
      <c r="P439" t="s">
        <v>20</v>
      </c>
      <c r="Q439">
        <v>20231030</v>
      </c>
    </row>
    <row r="440" spans="1:17" x14ac:dyDescent="0.25">
      <c r="A440" t="s">
        <v>715</v>
      </c>
      <c r="B440" t="s">
        <v>432</v>
      </c>
      <c r="C440">
        <v>3</v>
      </c>
      <c r="D440">
        <v>20231030</v>
      </c>
      <c r="E440">
        <v>10</v>
      </c>
      <c r="F440">
        <v>512200</v>
      </c>
      <c r="G440" t="s">
        <v>432</v>
      </c>
      <c r="H440" t="s">
        <v>401</v>
      </c>
      <c r="I440" t="s">
        <v>402</v>
      </c>
      <c r="J440" t="s">
        <v>7389</v>
      </c>
      <c r="K440">
        <v>20231030</v>
      </c>
      <c r="L440" t="s">
        <v>7388</v>
      </c>
      <c r="M440">
        <v>0</v>
      </c>
      <c r="N440">
        <v>204</v>
      </c>
      <c r="O440" t="s">
        <v>19</v>
      </c>
      <c r="P440" t="s">
        <v>20</v>
      </c>
      <c r="Q440">
        <v>20231030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Trésorerie</vt:lpstr>
      <vt:lpstr>2022</vt:lpstr>
      <vt:lpstr>2023-01</vt:lpstr>
      <vt:lpstr>2023-02</vt:lpstr>
      <vt:lpstr>2023-03</vt:lpstr>
      <vt:lpstr>2023-04</vt:lpstr>
      <vt:lpstr>2023-05</vt:lpstr>
      <vt:lpstr>2023-06</vt:lpstr>
      <vt:lpstr>2023-07</vt:lpstr>
      <vt:lpstr>2023-08</vt:lpstr>
      <vt:lpstr>2023-09</vt:lpstr>
      <vt:lpstr>2023-10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Cyril BORAND</cp:lastModifiedBy>
  <dcterms:modified xsi:type="dcterms:W3CDTF">2026-02-20T18:18:17Z</dcterms:modified>
</cp:coreProperties>
</file>